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itoramento" sheetId="1" state="visible" r:id="rId3"/>
    <sheet name="Parâmetros" sheetId="2" state="visible" r:id="rId4"/>
    <sheet name="Dados" sheetId="3" state="visible" r:id="rId5"/>
    <sheet name="Notas" sheetId="4" state="visible" r:id="rId6"/>
  </sheets>
  <definedNames>
    <definedName function="false" hidden="true" localSheetId="2" name="_xlnm._FilterDatabase" vbProcedure="false">Dados!$A$1:$AE$3971</definedName>
    <definedName function="false" hidden="false" localSheetId="0" name="_xlnm.Print_Titles" vbProcedure="false">Monitoramento!$4:$4</definedName>
    <definedName function="false" hidden="false" name="DATAS" vbProcedure="false">Parâmetros!$B$11:$B$11</definedName>
    <definedName function="false" hidden="false" name="P_DEL_NG" vbProcedure="false">Parâmetros!$B$5</definedName>
    <definedName function="false" hidden="false" name="P_DEL_SEM_IA" vbProcedure="false">Parâmetros!$B$6</definedName>
    <definedName function="false" hidden="false" name="P_IDADE_15M" vbProcedure="false">Parâmetros!$B$8</definedName>
    <definedName function="false" hidden="false" name="P_IDADE_3M" vbProcedure="false">Parâmetros!$B$7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<sst xmlns="http://schemas.openxmlformats.org/spreadsheetml/2006/main" count="8183" uniqueCount="1737">
  <si>
    <t xml:space="preserve">ARKAFLA – Monitoramento diário do rebanho</t>
  </si>
  <si>
    <t xml:space="preserve">Relatório zootécnico diário · 1 dias mais recentes (14/10/2026 a 14/10/2026) · definições na aba Notas</t>
  </si>
  <si>
    <t xml:space="preserve">Indicador</t>
  </si>
  <si>
    <t xml:space="preserve">Unidade</t>
  </si>
  <si>
    <t xml:space="preserve">Variação
(último − anterior)</t>
  </si>
  <si>
    <t xml:space="preserve">Animais adultos (LACT &gt; 0)</t>
  </si>
  <si>
    <t xml:space="preserve">Vacas adultas</t>
  </si>
  <si>
    <t xml:space="preserve">cab</t>
  </si>
  <si>
    <t xml:space="preserve">Vacas em lactação (lotes 1 a 6 e 10)</t>
  </si>
  <si>
    <t xml:space="preserve">DEL médio da lactação</t>
  </si>
  <si>
    <t xml:space="preserve">dias</t>
  </si>
  <si>
    <t xml:space="preserve">Produção média nas últimas 24 h (DP)</t>
  </si>
  <si>
    <t xml:space="preserve">kg/vaca</t>
  </si>
  <si>
    <t xml:space="preserve">   Produção média do lote 1 (DP)</t>
  </si>
  <si>
    <t xml:space="preserve">   Produção média do lote 2 (DP)</t>
  </si>
  <si>
    <t xml:space="preserve">   Produção média do lote 3 (DP)</t>
  </si>
  <si>
    <t xml:space="preserve">   Produção média do lote 4 (DP)</t>
  </si>
  <si>
    <t xml:space="preserve">   Produção média do lote 5 (DP)</t>
  </si>
  <si>
    <t xml:space="preserve">   Produção média do lote 6 (DP)</t>
  </si>
  <si>
    <t xml:space="preserve">Animais em tratamento (lote 10)</t>
  </si>
  <si>
    <t xml:space="preserve">Leite vendido</t>
  </si>
  <si>
    <t xml:space="preserve">kg</t>
  </si>
  <si>
    <t xml:space="preserve">Vacas gestantes totais (DDP ≥ 1)</t>
  </si>
  <si>
    <t xml:space="preserve">Em lactação com DEL &gt; 150 não gestantes</t>
  </si>
  <si>
    <t xml:space="preserve">Vacas a descartar (DNB)</t>
  </si>
  <si>
    <t xml:space="preserve">Em lactação, DEL &gt; 70 sem IA (NumIAs = 0)</t>
  </si>
  <si>
    <t xml:space="preserve">Vacas que começaram a lactação</t>
  </si>
  <si>
    <t xml:space="preserve">Saída de animais adultos</t>
  </si>
  <si>
    <t xml:space="preserve">   Lote 10 – entradas</t>
  </si>
  <si>
    <t xml:space="preserve">   Lote 10 – saídas</t>
  </si>
  <si>
    <t xml:space="preserve">   Lote 10 – saldo (entradas − saídas)</t>
  </si>
  <si>
    <t xml:space="preserve">Animais jovens (LACT = 0)</t>
  </si>
  <si>
    <t xml:space="preserve">Animais jovens totais</t>
  </si>
  <si>
    <t xml:space="preserve">Animais com ≥ 3 meses</t>
  </si>
  <si>
    <t xml:space="preserve">Novilhas gestantes (DDP ≥ 1)</t>
  </si>
  <si>
    <t xml:space="preserve">Novilhas &gt; 15 meses não gestantes</t>
  </si>
  <si>
    <t xml:space="preserve">Complementar – rebanho</t>
  </si>
  <si>
    <t xml:space="preserve">Total de animais</t>
  </si>
  <si>
    <t xml:space="preserve">   Em lactação no tanque (lotes 1 a 6)</t>
  </si>
  <si>
    <t xml:space="preserve">Vacas secas (adultas fora da lactação)</t>
  </si>
  <si>
    <t xml:space="preserve">Novilhas em reprodução (sem machos)</t>
  </si>
  <si>
    <t xml:space="preserve">Bezerras / recria (Youngstock)</t>
  </si>
  <si>
    <t xml:space="preserve">Machos</t>
  </si>
  <si>
    <t xml:space="preserve">Animais com até 7 dias de idade</t>
  </si>
  <si>
    <t xml:space="preserve">Vacas paridas há até 21 dias (DEL ≤ 21)</t>
  </si>
  <si>
    <t xml:space="preserve">Complementar – produção (leite do tanque: lotes 1 a 6, vacas com leite &gt; 0)</t>
  </si>
  <si>
    <t xml:space="preserve">Vacas com pesagem de leite</t>
  </si>
  <si>
    <t xml:space="preserve">Leite total do dia</t>
  </si>
  <si>
    <t xml:space="preserve">Leite descartado – lote 10</t>
  </si>
  <si>
    <t xml:space="preserve">% do leite produzido que foi descartado</t>
  </si>
  <si>
    <t xml:space="preserve">%</t>
  </si>
  <si>
    <t xml:space="preserve">Média de leite por vaca (tanque)</t>
  </si>
  <si>
    <t xml:space="preserve">Média de leite 7 dias (tanque)</t>
  </si>
  <si>
    <t xml:space="preserve">Média primíparas (LACT 1)</t>
  </si>
  <si>
    <t xml:space="preserve">Média multíparas (LACT ≥ 2)</t>
  </si>
  <si>
    <t xml:space="preserve">Vacas com leite &lt; 20 kg</t>
  </si>
  <si>
    <t xml:space="preserve">DEL médio (lotes 1 a 6)</t>
  </si>
  <si>
    <t xml:space="preserve">Gordura média</t>
  </si>
  <si>
    <t xml:space="preserve">Proteína média</t>
  </si>
  <si>
    <t xml:space="preserve">Complementar – reprodução das vacas em lactação (lotes 1 a 6 e 10)</t>
  </si>
  <si>
    <t xml:space="preserve">Frescas (Fresca)</t>
  </si>
  <si>
    <t xml:space="preserve">Inseminadas (Bred)</t>
  </si>
  <si>
    <t xml:space="preserve">Prenhas</t>
  </si>
  <si>
    <t xml:space="preserve">Vazias</t>
  </si>
  <si>
    <t xml:space="preserve">% prenhes das vacas em lactação</t>
  </si>
  <si>
    <t xml:space="preserve">DEL médio ao 1º serviço (DEL1S)</t>
  </si>
  <si>
    <t xml:space="preserve">Dias em aberto médios das prenhas</t>
  </si>
  <si>
    <t xml:space="preserve">IAs por prenhez (prenhas)</t>
  </si>
  <si>
    <t xml:space="preserve">IAs</t>
  </si>
  <si>
    <t xml:space="preserve">Complementar – reprodução das novilhas</t>
  </si>
  <si>
    <t xml:space="preserve">Novilhas inseminadas (Bred)</t>
  </si>
  <si>
    <t xml:space="preserve">Novilhas prenhas</t>
  </si>
  <si>
    <t xml:space="preserve">Novilhas vazias</t>
  </si>
  <si>
    <t xml:space="preserve">Animais por lote</t>
  </si>
  <si>
    <t xml:space="preserve">Lote 1</t>
  </si>
  <si>
    <t xml:space="preserve">Lote 2</t>
  </si>
  <si>
    <t xml:space="preserve">Lote 3</t>
  </si>
  <si>
    <t xml:space="preserve">Lote 4</t>
  </si>
  <si>
    <t xml:space="preserve">Lote 5</t>
  </si>
  <si>
    <t xml:space="preserve">Lote 6</t>
  </si>
  <si>
    <t xml:space="preserve">Lote 7</t>
  </si>
  <si>
    <t xml:space="preserve">Lote 8</t>
  </si>
  <si>
    <t xml:space="preserve">Lote 9</t>
  </si>
  <si>
    <t xml:space="preserve">Lote 10</t>
  </si>
  <si>
    <t xml:space="preserve">Lote 11</t>
  </si>
  <si>
    <t xml:space="preserve">Lote 13</t>
  </si>
  <si>
    <t xml:space="preserve">Lote 14</t>
  </si>
  <si>
    <t xml:space="preserve">Lote 15</t>
  </si>
  <si>
    <t xml:space="preserve">Lote 16</t>
  </si>
  <si>
    <t xml:space="preserve">Parâmetros dos indicadores</t>
  </si>
  <si>
    <t xml:space="preserve">Células amarelas podem ser alteradas; o Monitoramento recalcula.</t>
  </si>
  <si>
    <t xml:space="preserve">Parâmetro</t>
  </si>
  <si>
    <t xml:space="preserve">Valor</t>
  </si>
  <si>
    <t xml:space="preserve">Nome</t>
  </si>
  <si>
    <t xml:space="preserve">Vacas não gestantes: DEL acima de (dias)</t>
  </si>
  <si>
    <t xml:space="preserve">P_DEL_NG</t>
  </si>
  <si>
    <t xml:space="preserve">Vacas sem inseminação: DEL acima de (dias)</t>
  </si>
  <si>
    <t xml:space="preserve">P_DEL_SEM_IA</t>
  </si>
  <si>
    <t xml:space="preserve">Animais jovens ≥ 3 meses: idade mínima (dias)</t>
  </si>
  <si>
    <t xml:space="preserve">P_IDADE_3M</t>
  </si>
  <si>
    <t xml:space="preserve">Novilhas atrasadas: idade acima de (dias) – 15 meses</t>
  </si>
  <si>
    <t xml:space="preserve">P_IDADE_15M</t>
  </si>
  <si>
    <t xml:space="preserve">Datas dos relatórios na aba Dados (nº do dia)</t>
  </si>
  <si>
    <t xml:space="preserve">Zootecnico_2026-10-14.xlsx</t>
  </si>
  <si>
    <t xml:space="preserve">Data</t>
  </si>
  <si>
    <t xml:space="preserve">Lote</t>
  </si>
  <si>
    <t xml:space="preserve">Brinco</t>
  </si>
  <si>
    <t xml:space="preserve">DEL</t>
  </si>
  <si>
    <t xml:space="preserve">LACT</t>
  </si>
  <si>
    <t xml:space="preserve">DtNasc</t>
  </si>
  <si>
    <t xml:space="preserve">Leite</t>
  </si>
  <si>
    <t xml:space="preserve">Leite7</t>
  </si>
  <si>
    <t xml:space="preserve">StatRepro</t>
  </si>
  <si>
    <t xml:space="preserve">DiasVazia</t>
  </si>
  <si>
    <t xml:space="preserve">DEL1S</t>
  </si>
  <si>
    <t xml:space="preserve">DDP</t>
  </si>
  <si>
    <t xml:space="preserve">PTAGen_Leite</t>
  </si>
  <si>
    <t xml:space="preserve">Gord_PTAGen</t>
  </si>
  <si>
    <t xml:space="preserve">Pro_GenPTA</t>
  </si>
  <si>
    <t xml:space="preserve">%Gord</t>
  </si>
  <si>
    <t xml:space="preserve">Prot%</t>
  </si>
  <si>
    <t xml:space="preserve">ProdLeite 100DEL</t>
  </si>
  <si>
    <t xml:space="preserve">ProdLeite 200DEL</t>
  </si>
  <si>
    <t xml:space="preserve">PicoLeite</t>
  </si>
  <si>
    <t xml:space="preserve">IdadeDias</t>
  </si>
  <si>
    <t xml:space="preserve">NumIAs</t>
  </si>
  <si>
    <t xml:space="preserve">DiaNº</t>
  </si>
  <si>
    <t xml:space="preserve">Lactação</t>
  </si>
  <si>
    <t xml:space="preserve">Lote10</t>
  </si>
  <si>
    <t xml:space="preserve">Lactação ant.</t>
  </si>
  <si>
    <t xml:space="preserve">Lote10 ant.</t>
  </si>
  <si>
    <t xml:space="preserve">Iniciou lactação</t>
  </si>
  <si>
    <t xml:space="preserve">Entrou lote 10</t>
  </si>
  <si>
    <t xml:space="preserve">Saída adulto em</t>
  </si>
  <si>
    <t xml:space="preserve">Saída lote 10 em</t>
  </si>
  <si>
    <t xml:space="preserve">2026-10-11</t>
  </si>
  <si>
    <t xml:space="preserve">Male</t>
  </si>
  <si>
    <t xml:space="preserve">2023-10-29</t>
  </si>
  <si>
    <t xml:space="preserve">Prenha</t>
  </si>
  <si>
    <t xml:space="preserve">2024-06-02</t>
  </si>
  <si>
    <t xml:space="preserve">2024-09-18</t>
  </si>
  <si>
    <t xml:space="preserve">2025-01-24</t>
  </si>
  <si>
    <t xml:space="preserve">2020-09-03</t>
  </si>
  <si>
    <t xml:space="preserve">Dry</t>
  </si>
  <si>
    <t xml:space="preserve">2022-02-06</t>
  </si>
  <si>
    <t xml:space="preserve">2022-02-15</t>
  </si>
  <si>
    <t xml:space="preserve">2016-05-24</t>
  </si>
  <si>
    <t xml:space="preserve">Fresca</t>
  </si>
  <si>
    <t xml:space="preserve">2018-10-22</t>
  </si>
  <si>
    <t xml:space="preserve">2019-09-08</t>
  </si>
  <si>
    <t xml:space="preserve">2019-12-21</t>
  </si>
  <si>
    <t xml:space="preserve">DNB</t>
  </si>
  <si>
    <t xml:space="preserve">2020-10-23</t>
  </si>
  <si>
    <t xml:space="preserve">2020-10-22</t>
  </si>
  <si>
    <t xml:space="preserve">2020-06-27</t>
  </si>
  <si>
    <t xml:space="preserve">2020-10-26</t>
  </si>
  <si>
    <t xml:space="preserve">2023-03-12</t>
  </si>
  <si>
    <t xml:space="preserve">2017-11-26</t>
  </si>
  <si>
    <t xml:space="preserve">2018-07-19</t>
  </si>
  <si>
    <t xml:space="preserve">2018-09-07</t>
  </si>
  <si>
    <t xml:space="preserve">2018-09-08</t>
  </si>
  <si>
    <t xml:space="preserve">2018-09-15</t>
  </si>
  <si>
    <t xml:space="preserve">2018-11-08</t>
  </si>
  <si>
    <t xml:space="preserve">2018-11-23</t>
  </si>
  <si>
    <t xml:space="preserve">2019-01-23</t>
  </si>
  <si>
    <t xml:space="preserve">2026-03-09</t>
  </si>
  <si>
    <t xml:space="preserve">Youngstock</t>
  </si>
  <si>
    <t xml:space="preserve">2019-04-09</t>
  </si>
  <si>
    <t xml:space="preserve">Bred</t>
  </si>
  <si>
    <t xml:space="preserve">2019-05-14</t>
  </si>
  <si>
    <t xml:space="preserve">2019-05-30</t>
  </si>
  <si>
    <t xml:space="preserve">2019-06-08</t>
  </si>
  <si>
    <t xml:space="preserve">2019-06-17</t>
  </si>
  <si>
    <t xml:space="preserve">2019-07-14</t>
  </si>
  <si>
    <t xml:space="preserve">2019-10-01</t>
  </si>
  <si>
    <t xml:space="preserve">2019-10-31</t>
  </si>
  <si>
    <t xml:space="preserve">Vazia</t>
  </si>
  <si>
    <t xml:space="preserve">2019-11-05</t>
  </si>
  <si>
    <t xml:space="preserve">2019-11-17</t>
  </si>
  <si>
    <t xml:space="preserve">2019-12-12</t>
  </si>
  <si>
    <t xml:space="preserve">2020-01-15</t>
  </si>
  <si>
    <t xml:space="preserve">2020-01-16</t>
  </si>
  <si>
    <t xml:space="preserve">2020-01-17</t>
  </si>
  <si>
    <t xml:space="preserve">2020-02-06</t>
  </si>
  <si>
    <t xml:space="preserve">2020-02-10</t>
  </si>
  <si>
    <t xml:space="preserve">2020-02-19</t>
  </si>
  <si>
    <t xml:space="preserve">2020-02-21</t>
  </si>
  <si>
    <t xml:space="preserve">2020-03-07</t>
  </si>
  <si>
    <t xml:space="preserve">2020-04-01</t>
  </si>
  <si>
    <t xml:space="preserve">2020-04-05</t>
  </si>
  <si>
    <t xml:space="preserve">2020-04-10</t>
  </si>
  <si>
    <t xml:space="preserve">2020-04-19</t>
  </si>
  <si>
    <t xml:space="preserve">2020-04-24</t>
  </si>
  <si>
    <t xml:space="preserve">2020-04-28</t>
  </si>
  <si>
    <t xml:space="preserve">2020-05-15</t>
  </si>
  <si>
    <t xml:space="preserve">2020-05-18</t>
  </si>
  <si>
    <t xml:space="preserve">2020-05-25</t>
  </si>
  <si>
    <t xml:space="preserve">2020-05-29</t>
  </si>
  <si>
    <t xml:space="preserve">2020-06-03</t>
  </si>
  <si>
    <t xml:space="preserve">2020-06-04</t>
  </si>
  <si>
    <t xml:space="preserve">2020-06-21</t>
  </si>
  <si>
    <t xml:space="preserve">2020-07-01</t>
  </si>
  <si>
    <t xml:space="preserve">2020-07-06</t>
  </si>
  <si>
    <t xml:space="preserve">2020-07-13</t>
  </si>
  <si>
    <t xml:space="preserve">2020-07-20</t>
  </si>
  <si>
    <t xml:space="preserve">2020-07-21</t>
  </si>
  <si>
    <t xml:space="preserve">2020-08-08</t>
  </si>
  <si>
    <t xml:space="preserve">2020-08-22</t>
  </si>
  <si>
    <t xml:space="preserve">2020-08-23</t>
  </si>
  <si>
    <t xml:space="preserve">2020-09-06</t>
  </si>
  <si>
    <t xml:space="preserve">2020-09-13</t>
  </si>
  <si>
    <t xml:space="preserve">2020-09-17</t>
  </si>
  <si>
    <t xml:space="preserve">2020-09-20</t>
  </si>
  <si>
    <t xml:space="preserve">2020-09-23</t>
  </si>
  <si>
    <t xml:space="preserve">2020-09-25</t>
  </si>
  <si>
    <t xml:space="preserve">2020-09-27</t>
  </si>
  <si>
    <t xml:space="preserve">2020-10-05</t>
  </si>
  <si>
    <t xml:space="preserve">2020-10-14</t>
  </si>
  <si>
    <t xml:space="preserve">2020-10-16</t>
  </si>
  <si>
    <t xml:space="preserve">2020-10-18</t>
  </si>
  <si>
    <t xml:space="preserve">2020-10-24</t>
  </si>
  <si>
    <t xml:space="preserve">2020-11-13</t>
  </si>
  <si>
    <t xml:space="preserve">2020-11-14</t>
  </si>
  <si>
    <t xml:space="preserve">2020-11-16</t>
  </si>
  <si>
    <t xml:space="preserve">2020-11-17</t>
  </si>
  <si>
    <t xml:space="preserve">2020-11-21</t>
  </si>
  <si>
    <t xml:space="preserve">2020-11-22</t>
  </si>
  <si>
    <t xml:space="preserve">2020-11-27</t>
  </si>
  <si>
    <t xml:space="preserve">2020-11-28</t>
  </si>
  <si>
    <t xml:space="preserve">2020-11-30</t>
  </si>
  <si>
    <t xml:space="preserve">2020-12-03</t>
  </si>
  <si>
    <t xml:space="preserve">2020-12-12</t>
  </si>
  <si>
    <t xml:space="preserve">2020-12-11</t>
  </si>
  <si>
    <t xml:space="preserve">2020-12-15</t>
  </si>
  <si>
    <t xml:space="preserve">2020-12-17</t>
  </si>
  <si>
    <t xml:space="preserve">2020-12-19</t>
  </si>
  <si>
    <t xml:space="preserve">2021-01-03</t>
  </si>
  <si>
    <t xml:space="preserve">2021-01-04</t>
  </si>
  <si>
    <t xml:space="preserve">2021-01-11</t>
  </si>
  <si>
    <t xml:space="preserve">2021-01-12</t>
  </si>
  <si>
    <t xml:space="preserve">2021-01-21</t>
  </si>
  <si>
    <t xml:space="preserve">2021-01-23</t>
  </si>
  <si>
    <t xml:space="preserve">2021-02-01</t>
  </si>
  <si>
    <t xml:space="preserve">2021-02-03</t>
  </si>
  <si>
    <t xml:space="preserve">2021-02-04</t>
  </si>
  <si>
    <t xml:space="preserve">2021-02-11</t>
  </si>
  <si>
    <t xml:space="preserve">2021-02-17</t>
  </si>
  <si>
    <t xml:space="preserve">2021-03-03</t>
  </si>
  <si>
    <t xml:space="preserve">2021-03-04</t>
  </si>
  <si>
    <t xml:space="preserve">2021-03-06</t>
  </si>
  <si>
    <t xml:space="preserve">2021-03-16</t>
  </si>
  <si>
    <t xml:space="preserve">2021-03-18</t>
  </si>
  <si>
    <t xml:space="preserve">2021-03-19</t>
  </si>
  <si>
    <t xml:space="preserve">2021-03-23</t>
  </si>
  <si>
    <t xml:space="preserve">2021-03-27</t>
  </si>
  <si>
    <t xml:space="preserve">2021-04-01</t>
  </si>
  <si>
    <t xml:space="preserve">2021-04-03</t>
  </si>
  <si>
    <t xml:space="preserve">2021-04-05</t>
  </si>
  <si>
    <t xml:space="preserve">2021-04-09</t>
  </si>
  <si>
    <t xml:space="preserve">2021-04-10</t>
  </si>
  <si>
    <t xml:space="preserve">2021-04-11</t>
  </si>
  <si>
    <t xml:space="preserve">2021-04-12</t>
  </si>
  <si>
    <t xml:space="preserve">2021-04-13</t>
  </si>
  <si>
    <t xml:space="preserve">2021-04-15</t>
  </si>
  <si>
    <t xml:space="preserve">2021-04-23</t>
  </si>
  <si>
    <t xml:space="preserve">2021-04-26</t>
  </si>
  <si>
    <t xml:space="preserve">2021-04-27</t>
  </si>
  <si>
    <t xml:space="preserve">2021-04-29</t>
  </si>
  <si>
    <t xml:space="preserve">2021-05-01</t>
  </si>
  <si>
    <t xml:space="preserve">2021-05-02</t>
  </si>
  <si>
    <t xml:space="preserve">2021-05-03</t>
  </si>
  <si>
    <t xml:space="preserve">2021-05-11</t>
  </si>
  <si>
    <t xml:space="preserve">2021-05-13</t>
  </si>
  <si>
    <t xml:space="preserve">2021-05-17</t>
  </si>
  <si>
    <t xml:space="preserve">2021-05-19</t>
  </si>
  <si>
    <t xml:space="preserve">2021-05-28</t>
  </si>
  <si>
    <t xml:space="preserve">2021-05-29</t>
  </si>
  <si>
    <t xml:space="preserve">2021-05-30</t>
  </si>
  <si>
    <t xml:space="preserve">2021-06-11</t>
  </si>
  <si>
    <t xml:space="preserve">2021-06-13</t>
  </si>
  <si>
    <t xml:space="preserve">2021-06-16</t>
  </si>
  <si>
    <t xml:space="preserve">2021-06-18</t>
  </si>
  <si>
    <t xml:space="preserve">2021-06-19</t>
  </si>
  <si>
    <t xml:space="preserve">2021-06-20</t>
  </si>
  <si>
    <t xml:space="preserve">2021-06-22</t>
  </si>
  <si>
    <t xml:space="preserve">2021-06-24</t>
  </si>
  <si>
    <t xml:space="preserve">2021-07-02</t>
  </si>
  <si>
    <t xml:space="preserve">2021-07-03</t>
  </si>
  <si>
    <t xml:space="preserve">2021-07-05</t>
  </si>
  <si>
    <t xml:space="preserve">2021-07-07</t>
  </si>
  <si>
    <t xml:space="preserve">2021-07-08</t>
  </si>
  <si>
    <t xml:space="preserve">2021-07-12</t>
  </si>
  <si>
    <t xml:space="preserve">2021-07-14</t>
  </si>
  <si>
    <t xml:space="preserve">2021-07-18</t>
  </si>
  <si>
    <t xml:space="preserve">2021-07-19</t>
  </si>
  <si>
    <t xml:space="preserve">2021-07-29</t>
  </si>
  <si>
    <t xml:space="preserve">2021-08-02</t>
  </si>
  <si>
    <t xml:space="preserve">2021-08-03</t>
  </si>
  <si>
    <t xml:space="preserve">2021-08-06</t>
  </si>
  <si>
    <t xml:space="preserve">2021-08-10</t>
  </si>
  <si>
    <t xml:space="preserve">2021-08-12</t>
  </si>
  <si>
    <t xml:space="preserve">2021-08-13</t>
  </si>
  <si>
    <t xml:space="preserve">2021-08-15</t>
  </si>
  <si>
    <t xml:space="preserve">2021-08-17</t>
  </si>
  <si>
    <t xml:space="preserve">2021-08-18</t>
  </si>
  <si>
    <t xml:space="preserve">2021-08-19</t>
  </si>
  <si>
    <t xml:space="preserve">2021-08-21</t>
  </si>
  <si>
    <t xml:space="preserve">2021-08-22</t>
  </si>
  <si>
    <t xml:space="preserve">2021-08-25</t>
  </si>
  <si>
    <t xml:space="preserve">2021-08-26</t>
  </si>
  <si>
    <t xml:space="preserve">2021-08-27</t>
  </si>
  <si>
    <t xml:space="preserve">2021-08-29</t>
  </si>
  <si>
    <t xml:space="preserve">2021-08-30</t>
  </si>
  <si>
    <t xml:space="preserve">2021-09-01</t>
  </si>
  <si>
    <t xml:space="preserve">2021-09-03</t>
  </si>
  <si>
    <t xml:space="preserve">2021-09-12</t>
  </si>
  <si>
    <t xml:space="preserve">2021-09-13</t>
  </si>
  <si>
    <t xml:space="preserve">2021-09-14</t>
  </si>
  <si>
    <t xml:space="preserve">2021-09-15</t>
  </si>
  <si>
    <t xml:space="preserve">2021-09-21</t>
  </si>
  <si>
    <t xml:space="preserve">2021-09-24</t>
  </si>
  <si>
    <t xml:space="preserve">2021-09-30</t>
  </si>
  <si>
    <t xml:space="preserve">2021-10-05</t>
  </si>
  <si>
    <t xml:space="preserve">2021-10-06</t>
  </si>
  <si>
    <t xml:space="preserve">2021-10-07</t>
  </si>
  <si>
    <t xml:space="preserve">2021-10-08</t>
  </si>
  <si>
    <t xml:space="preserve">2021-10-09</t>
  </si>
  <si>
    <t xml:space="preserve">2021-10-12</t>
  </si>
  <si>
    <t xml:space="preserve">2021-10-15</t>
  </si>
  <si>
    <t xml:space="preserve">2021-10-16</t>
  </si>
  <si>
    <t xml:space="preserve">2021-10-18</t>
  </si>
  <si>
    <t xml:space="preserve">2021-10-23</t>
  </si>
  <si>
    <t xml:space="preserve">2021-10-26</t>
  </si>
  <si>
    <t xml:space="preserve">2021-10-28</t>
  </si>
  <si>
    <t xml:space="preserve">2021-10-30</t>
  </si>
  <si>
    <t xml:space="preserve">2021-11-01</t>
  </si>
  <si>
    <t xml:space="preserve">2021-11-02</t>
  </si>
  <si>
    <t xml:space="preserve">2021-11-03</t>
  </si>
  <si>
    <t xml:space="preserve">2021-11-05</t>
  </si>
  <si>
    <t xml:space="preserve">2021-11-06</t>
  </si>
  <si>
    <t xml:space="preserve">Dry DNB</t>
  </si>
  <si>
    <t xml:space="preserve">2021-11-11</t>
  </si>
  <si>
    <t xml:space="preserve">2021-11-13</t>
  </si>
  <si>
    <t xml:space="preserve">2021-11-14</t>
  </si>
  <si>
    <t xml:space="preserve">2021-11-16</t>
  </si>
  <si>
    <t xml:space="preserve">2021-11-26</t>
  </si>
  <si>
    <t xml:space="preserve">2021-11-27</t>
  </si>
  <si>
    <t xml:space="preserve">2021-11-29</t>
  </si>
  <si>
    <t xml:space="preserve">2021-12-01</t>
  </si>
  <si>
    <t xml:space="preserve">2021-12-03</t>
  </si>
  <si>
    <t xml:space="preserve">2021-12-07</t>
  </si>
  <si>
    <t xml:space="preserve">2021-12-11</t>
  </si>
  <si>
    <t xml:space="preserve">2021-12-14</t>
  </si>
  <si>
    <t xml:space="preserve">2021-12-21</t>
  </si>
  <si>
    <t xml:space="preserve">2021-12-29</t>
  </si>
  <si>
    <t xml:space="preserve">2021-12-30</t>
  </si>
  <si>
    <t xml:space="preserve">2021-12-31</t>
  </si>
  <si>
    <t xml:space="preserve">2022-01-02</t>
  </si>
  <si>
    <t xml:space="preserve">2022-01-03</t>
  </si>
  <si>
    <t xml:space="preserve">2022-01-04</t>
  </si>
  <si>
    <t xml:space="preserve">2022-01-05</t>
  </si>
  <si>
    <t xml:space="preserve">2022-01-06</t>
  </si>
  <si>
    <t xml:space="preserve">2022-01-08</t>
  </si>
  <si>
    <t xml:space="preserve">2022-01-11</t>
  </si>
  <si>
    <t xml:space="preserve">2022-01-19</t>
  </si>
  <si>
    <t xml:space="preserve">2022-01-20</t>
  </si>
  <si>
    <t xml:space="preserve">2022-01-22</t>
  </si>
  <si>
    <t xml:space="preserve">2022-01-23</t>
  </si>
  <si>
    <t xml:space="preserve">2022-01-28</t>
  </si>
  <si>
    <t xml:space="preserve">2022-02-03</t>
  </si>
  <si>
    <t xml:space="preserve">2022-02-05</t>
  </si>
  <si>
    <t xml:space="preserve">2022-02-07</t>
  </si>
  <si>
    <t xml:space="preserve">2022-02-08</t>
  </si>
  <si>
    <t xml:space="preserve">2022-02-10</t>
  </si>
  <si>
    <t xml:space="preserve">2022-02-14</t>
  </si>
  <si>
    <t xml:space="preserve">2022-02-18</t>
  </si>
  <si>
    <t xml:space="preserve">2022-02-19</t>
  </si>
  <si>
    <t xml:space="preserve">2022-02-20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</si>
  <si>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</si>
  <si>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</si>
  <si>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</si>
  <si>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</si>
  <si>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</si>
  <si>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</si>
  <si>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</si>
  <si>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</si>
  <si>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2022-03-07</t>
  </si>
  <si>
    <t xml:space="preserve">2022-03-11</t>
  </si>
  <si>
    <t xml:space="preserve">2022-03-13</t>
  </si>
  <si>
    <t xml:space="preserve">2022-03-14</t>
  </si>
  <si>
    <t xml:space="preserve">2022-03-16</t>
  </si>
  <si>
    <t xml:space="preserve">2022-03-19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</si>
  <si>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</si>
  <si>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</si>
  <si>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</si>
  <si>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</si>
  <si>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</si>
  <si>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2022-03-26</t>
  </si>
  <si>
    <t xml:space="preserve">2022-03-27</t>
  </si>
  <si>
    <t xml:space="preserve">2022-03-30</t>
  </si>
  <si>
    <t xml:space="preserve">2022-04-01</t>
  </si>
  <si>
    <t xml:space="preserve">2022-04-04</t>
  </si>
  <si>
    <t xml:space="preserve">2022-04-05</t>
  </si>
  <si>
    <t xml:space="preserve">2022-04-06</t>
  </si>
  <si>
    <t xml:space="preserve">2022-04-08</t>
  </si>
  <si>
    <t xml:space="preserve">2022-04-09</t>
  </si>
  <si>
    <t xml:space="preserve">2022-04-10</t>
  </si>
  <si>
    <t xml:space="preserve">2022-04-11</t>
  </si>
  <si>
    <t xml:space="preserve">2022-04-12</t>
  </si>
  <si>
    <t xml:space="preserve">2022-04-13</t>
  </si>
  <si>
    <t xml:space="preserve">2022-04-15</t>
  </si>
  <si>
    <t xml:space="preserve">2022-04-16</t>
  </si>
  <si>
    <t xml:space="preserve">2022-04-18</t>
  </si>
  <si>
    <t xml:space="preserve">2022-04-21</t>
  </si>
  <si>
    <t xml:space="preserve">2022-04-25</t>
  </si>
  <si>
    <t xml:space="preserve">2022-04-29</t>
  </si>
  <si>
    <t xml:space="preserve">2022-05-02</t>
  </si>
  <si>
    <t xml:space="preserve">2022-05-07</t>
  </si>
  <si>
    <t xml:space="preserve">2022-05-11</t>
  </si>
  <si>
    <t xml:space="preserve">2022-05-12</t>
  </si>
  <si>
    <t xml:space="preserve">2022-05-14</t>
  </si>
  <si>
    <t xml:space="preserve">2022-05-16</t>
  </si>
  <si>
    <t xml:space="preserve">2022-05-17</t>
  </si>
  <si>
    <t xml:space="preserve">2022-05-18</t>
  </si>
  <si>
    <t xml:space="preserve">2022-05-20</t>
  </si>
  <si>
    <t xml:space="preserve">2022-05-24</t>
  </si>
  <si>
    <t xml:space="preserve">2022-05-25</t>
  </si>
  <si>
    <t xml:space="preserve">2022-05-26</t>
  </si>
  <si>
    <t xml:space="preserve">2022-05-31</t>
  </si>
  <si>
    <t xml:space="preserve">2022-06-02</t>
  </si>
  <si>
    <t xml:space="preserve">2022-06-03</t>
  </si>
  <si>
    <t xml:space="preserve">2022-06-09</t>
  </si>
  <si>
    <t xml:space="preserve">2022-06-15</t>
  </si>
  <si>
    <t xml:space="preserve">2022-06-17</t>
  </si>
  <si>
    <t xml:space="preserve">2022-06-16</t>
  </si>
  <si>
    <t xml:space="preserve">2022-06-20</t>
  </si>
  <si>
    <t xml:space="preserve">2022-06-23</t>
  </si>
  <si>
    <t xml:space="preserve">2022-06-25</t>
  </si>
  <si>
    <t xml:space="preserve">2022-06-26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</si>
  <si>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</si>
  <si>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</si>
  <si>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</si>
  <si>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</si>
  <si>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2022-07-03</t>
  </si>
  <si>
    <t xml:space="preserve">2022-07-05</t>
  </si>
  <si>
    <t xml:space="preserve">2022-07-06</t>
  </si>
  <si>
    <t xml:space="preserve">2022-07-07</t>
  </si>
  <si>
    <t xml:space="preserve">2022-07-11</t>
  </si>
  <si>
    <t xml:space="preserve">2022-07-13</t>
  </si>
  <si>
    <t xml:space="preserve">2022-07-14</t>
  </si>
  <si>
    <t xml:space="preserve">2022-07-16</t>
  </si>
  <si>
    <t xml:space="preserve">2022-07-17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</si>
  <si>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</si>
  <si>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</si>
  <si>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</si>
  <si>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</si>
  <si>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</si>
  <si>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</si>
  <si>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</si>
  <si>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</si>
  <si>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</si>
  <si>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</si>
  <si>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</si>
  <si>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</si>
  <si>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2022-08-03</t>
  </si>
  <si>
    <t xml:space="preserve">2022-08-04</t>
  </si>
  <si>
    <t xml:space="preserve">2022-08-06</t>
  </si>
  <si>
    <t xml:space="preserve">2022-08-08</t>
  </si>
  <si>
    <t xml:space="preserve">2022-08-11</t>
  </si>
  <si>
    <t xml:space="preserve">2022-08-12</t>
  </si>
  <si>
    <t xml:space="preserve">2022-08-14</t>
  </si>
  <si>
    <t xml:space="preserve">2022-08-16</t>
  </si>
  <si>
    <t xml:space="preserve">2022-08-17</t>
  </si>
  <si>
    <t xml:space="preserve">2022-08-19</t>
  </si>
  <si>
    <t xml:space="preserve">2022-08-20</t>
  </si>
  <si>
    <t xml:space="preserve">2022-08-23</t>
  </si>
  <si>
    <t xml:space="preserve">2022-08-25</t>
  </si>
  <si>
    <t xml:space="preserve">Dry Bred</t>
  </si>
  <si>
    <t xml:space="preserve">2022-08-26</t>
  </si>
  <si>
    <t xml:space="preserve">2022-08-27</t>
  </si>
  <si>
    <t xml:space="preserve">2022-08-28</t>
  </si>
  <si>
    <t xml:space="preserve">2022-08-29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</si>
  <si>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</si>
  <si>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</si>
  <si>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</si>
  <si>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</si>
  <si>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2022-09-05</t>
  </si>
  <si>
    <t xml:space="preserve">2022-09-06</t>
  </si>
  <si>
    <t xml:space="preserve">2022-09-08</t>
  </si>
  <si>
    <t xml:space="preserve">2022-09-11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</si>
  <si>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</si>
  <si>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</si>
  <si>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</si>
  <si>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</si>
  <si>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</si>
  <si>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</si>
  <si>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2022-09-19</t>
  </si>
  <si>
    <t xml:space="preserve">2022-09-20</t>
  </si>
  <si>
    <t xml:space="preserve">2022-09-24</t>
  </si>
  <si>
    <t xml:space="preserve">2022-09-30</t>
  </si>
  <si>
    <t xml:space="preserve">2022-10-01</t>
  </si>
  <si>
    <t xml:space="preserve">2022-10-02</t>
  </si>
  <si>
    <t xml:space="preserve">2022-10-04</t>
  </si>
  <si>
    <t xml:space="preserve">2022-10-05</t>
  </si>
  <si>
    <t xml:space="preserve">2022-10-09</t>
  </si>
  <si>
    <t xml:space="preserve">2022-10-10</t>
  </si>
  <si>
    <t xml:space="preserve">2022-10-11</t>
  </si>
  <si>
    <t xml:space="preserve">2022-10-12</t>
  </si>
  <si>
    <t xml:space="preserve">2022-10-15</t>
  </si>
  <si>
    <t xml:space="preserve">2022-10-16</t>
  </si>
  <si>
    <t xml:space="preserve">2022-10-18</t>
  </si>
  <si>
    <t xml:space="preserve">2022-10-19</t>
  </si>
  <si>
    <t xml:space="preserve">2022-10-20</t>
  </si>
  <si>
    <t xml:space="preserve">2022-10-26</t>
  </si>
  <si>
    <t xml:space="preserve">2022-10-27</t>
  </si>
  <si>
    <t xml:space="preserve">2022-10-28</t>
  </si>
  <si>
    <t xml:space="preserve">2022-10-30</t>
  </si>
  <si>
    <t xml:space="preserve">2022-10-31</t>
  </si>
  <si>
    <t xml:space="preserve">2022-11-01</t>
  </si>
  <si>
    <t xml:space="preserve">2022-11-02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</si>
  <si>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</si>
  <si>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</si>
  <si>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</si>
  <si>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</si>
  <si>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</si>
  <si>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</si>
  <si>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</si>
  <si>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</si>
  <si>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</si>
  <si>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2022-11-19</t>
  </si>
  <si>
    <t xml:space="preserve">2022-11-21</t>
  </si>
  <si>
    <t xml:space="preserve">2022-11-26</t>
  </si>
  <si>
    <t xml:space="preserve">2022-11-27</t>
  </si>
  <si>
    <t xml:space="preserve">2022-11-28</t>
  </si>
  <si>
    <t xml:space="preserve">2022-11-29</t>
  </si>
  <si>
    <t xml:space="preserve">2022-12-01</t>
  </si>
  <si>
    <t xml:space="preserve">2022-12-02</t>
  </si>
  <si>
    <t xml:space="preserve">2022-12-03</t>
  </si>
  <si>
    <t xml:space="preserve">2022-12-05</t>
  </si>
  <si>
    <t xml:space="preserve">2022-12-06</t>
  </si>
  <si>
    <t xml:space="preserve">2022-12-11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</si>
  <si>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</si>
  <si>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</si>
  <si>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</si>
  <si>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</si>
  <si>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</si>
  <si>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</si>
  <si>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</si>
  <si>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</si>
  <si>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</si>
  <si>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</si>
  <si>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</si>
  <si>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</si>
  <si>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2022-12-29</t>
  </si>
  <si>
    <t xml:space="preserve">2022-12-30</t>
  </si>
  <si>
    <t xml:space="preserve">2022-12-31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</si>
  <si>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</si>
  <si>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</si>
  <si>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</si>
  <si>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</si>
  <si>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</si>
  <si>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2023-01-09</t>
  </si>
  <si>
    <t xml:space="preserve">2023-01-12</t>
  </si>
  <si>
    <t xml:space="preserve">2023-01-13</t>
  </si>
  <si>
    <t xml:space="preserve">2023-01-15</t>
  </si>
  <si>
    <t xml:space="preserve">2023-01-18</t>
  </si>
  <si>
    <t xml:space="preserve">2023-01-19</t>
  </si>
  <si>
    <t xml:space="preserve">2023-01-20</t>
  </si>
  <si>
    <t xml:space="preserve">2023-01-21</t>
  </si>
  <si>
    <t xml:space="preserve">2023-01-22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</si>
  <si>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</si>
  <si>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</si>
  <si>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</si>
  <si>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</si>
  <si>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2023-02-01</t>
  </si>
  <si>
    <t xml:space="preserve">2023-02-03</t>
  </si>
  <si>
    <t xml:space="preserve">2023-02-04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</si>
  <si>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</si>
  <si>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</si>
  <si>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</si>
  <si>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</si>
  <si>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2023-02-11</t>
  </si>
  <si>
    <t xml:space="preserve">2023-02-12</t>
  </si>
  <si>
    <t xml:space="preserve">2023-02-15</t>
  </si>
  <si>
    <t xml:space="preserve">2023-02-16</t>
  </si>
  <si>
    <t xml:space="preserve">2023-02-19</t>
  </si>
  <si>
    <t xml:space="preserve">2023-02-17</t>
  </si>
  <si>
    <t xml:space="preserve">2023-02-18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</si>
  <si>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</si>
  <si>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</si>
  <si>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</si>
  <si>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</si>
  <si>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</si>
  <si>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2023-02-25</t>
  </si>
  <si>
    <t xml:space="preserve">2023-02-27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</si>
  <si>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</si>
  <si>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</si>
  <si>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</si>
  <si>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</si>
  <si>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2023-03-06</t>
  </si>
  <si>
    <t xml:space="preserve">2023-03-07</t>
  </si>
  <si>
    <t xml:space="preserve">2023-03-09</t>
  </si>
  <si>
    <t xml:space="preserve">2023-03-10</t>
  </si>
  <si>
    <t xml:space="preserve">2023-03-11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</si>
  <si>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</si>
  <si>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</si>
  <si>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</si>
  <si>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</si>
  <si>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</si>
  <si>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</si>
  <si>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2023-03-20</t>
  </si>
  <si>
    <t xml:space="preserve">2023-03-21</t>
  </si>
  <si>
    <t xml:space="preserve">2023-03-23</t>
  </si>
  <si>
    <t xml:space="preserve">2023-03-24</t>
  </si>
  <si>
    <t xml:space="preserve">2023-03-30</t>
  </si>
  <si>
    <t xml:space="preserve">2023-03-31</t>
  </si>
  <si>
    <t xml:space="preserve">2023-04-04</t>
  </si>
  <si>
    <t xml:space="preserve">2023-04-03</t>
  </si>
  <si>
    <t xml:space="preserve">2023-04-05</t>
  </si>
  <si>
    <t xml:space="preserve">2023-04-06</t>
  </si>
  <si>
    <t xml:space="preserve">2023-04-09</t>
  </si>
  <si>
    <t xml:space="preserve">2023-04-10</t>
  </si>
  <si>
    <t xml:space="preserve">2023-04-11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</si>
  <si>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</si>
  <si>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</si>
  <si>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</si>
  <si>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</si>
  <si>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2023-04-18</t>
  </si>
  <si>
    <t xml:space="preserve">2023-04-19</t>
  </si>
  <si>
    <t xml:space="preserve">2023-04-21</t>
  </si>
  <si>
    <t xml:space="preserve">2023-04-23</t>
  </si>
  <si>
    <t xml:space="preserve">2023-04-24</t>
  </si>
  <si>
    <t xml:space="preserve">2023-04-25</t>
  </si>
  <si>
    <t xml:space="preserve">2023-04-26</t>
  </si>
  <si>
    <t xml:space="preserve">2023-04-28</t>
  </si>
  <si>
    <t xml:space="preserve">2023-04-29</t>
  </si>
  <si>
    <t xml:space="preserve">2023-05-01</t>
  </si>
  <si>
    <t xml:space="preserve">2023-05-03</t>
  </si>
  <si>
    <t xml:space="preserve">2023-05-06</t>
  </si>
  <si>
    <t xml:space="preserve">2023-05-07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</si>
  <si>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</si>
  <si>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</si>
  <si>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</si>
  <si>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</si>
  <si>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2023-05-13</t>
  </si>
  <si>
    <t xml:space="preserve">2023-05-14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</si>
  <si>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</si>
  <si>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</si>
  <si>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</si>
  <si>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</si>
  <si>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</si>
  <si>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2023-05-22</t>
  </si>
  <si>
    <t xml:space="preserve">2023-05-23</t>
  </si>
  <si>
    <t xml:space="preserve">2023-05-24</t>
  </si>
  <si>
    <t xml:space="preserve">2023-05-26</t>
  </si>
  <si>
    <t xml:space="preserve">2023-05-28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</si>
  <si>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</si>
  <si>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</si>
  <si>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</si>
  <si>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</si>
  <si>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</si>
  <si>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</si>
  <si>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2023-06-05</t>
  </si>
  <si>
    <t xml:space="preserve">2023-06-06</t>
  </si>
  <si>
    <t xml:space="preserve">2023-06-08</t>
  </si>
  <si>
    <t xml:space="preserve">2023-06-09</t>
  </si>
  <si>
    <t xml:space="preserve">2023-06-10</t>
  </si>
  <si>
    <t xml:space="preserve">2023-06-12</t>
  </si>
  <si>
    <t xml:space="preserve">2023-06-14</t>
  </si>
  <si>
    <t xml:space="preserve">2023-06-18</t>
  </si>
  <si>
    <t xml:space="preserve">2023-06-15</t>
  </si>
  <si>
    <t xml:space="preserve">2023-06-16</t>
  </si>
  <si>
    <t xml:space="preserve">2023-06-17</t>
  </si>
  <si>
    <t xml:space="preserve">2023-06-20</t>
  </si>
  <si>
    <t xml:space="preserve">2023-06-22</t>
  </si>
  <si>
    <t xml:space="preserve">2023-06-23</t>
  </si>
  <si>
    <t xml:space="preserve">2023-06-24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</si>
  <si>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</si>
  <si>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</si>
  <si>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</si>
  <si>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</si>
  <si>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2023-07-01</t>
  </si>
  <si>
    <t xml:space="preserve">2023-07-04</t>
  </si>
  <si>
    <t xml:space="preserve">2023-07-02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</si>
  <si>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</si>
  <si>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</si>
  <si>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</si>
  <si>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</si>
  <si>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</si>
  <si>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</si>
  <si>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</si>
  <si>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</si>
  <si>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</si>
  <si>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</si>
  <si>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</si>
  <si>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2023-07-17</t>
  </si>
  <si>
    <t xml:space="preserve">2023-07-18</t>
  </si>
  <si>
    <t xml:space="preserve">2023-07-20</t>
  </si>
  <si>
    <t xml:space="preserve">2023-07-21</t>
  </si>
  <si>
    <t xml:space="preserve">2023-07-23</t>
  </si>
  <si>
    <t xml:space="preserve">2023-07-25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</si>
  <si>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</si>
  <si>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</si>
  <si>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</si>
  <si>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</si>
  <si>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</si>
  <si>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2023-07-31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</si>
  <si>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</si>
  <si>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</si>
  <si>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</si>
  <si>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</si>
  <si>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</si>
  <si>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2023-08-07</t>
  </si>
  <si>
    <t xml:space="preserve">2023-08-09</t>
  </si>
  <si>
    <t xml:space="preserve">2023-08-10</t>
  </si>
  <si>
    <t xml:space="preserve">2023-08-12</t>
  </si>
  <si>
    <t xml:space="preserve">2023-08-13</t>
  </si>
  <si>
    <t xml:space="preserve">2023-08-14</t>
  </si>
  <si>
    <t xml:space="preserve">2023-08-15</t>
  </si>
  <si>
    <t xml:space="preserve">2023-08-16</t>
  </si>
  <si>
    <t xml:space="preserve">2023-08-17</t>
  </si>
  <si>
    <t xml:space="preserve">2023-08-19</t>
  </si>
  <si>
    <t xml:space="preserve">2023-08-20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</si>
  <si>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</si>
  <si>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</si>
  <si>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</si>
  <si>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</si>
  <si>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</si>
  <si>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</si>
  <si>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</si>
  <si>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2023-08-28</t>
  </si>
  <si>
    <t xml:space="preserve">2023-08-30</t>
  </si>
  <si>
    <t xml:space="preserve">2023-09-01</t>
  </si>
  <si>
    <t xml:space="preserve">2023-09-02</t>
  </si>
  <si>
    <t xml:space="preserve">2023-09-03</t>
  </si>
  <si>
    <t xml:space="preserve">2023-09-04</t>
  </si>
  <si>
    <t xml:space="preserve">2023-09-05</t>
  </si>
  <si>
    <t xml:space="preserve">2023-09-09</t>
  </si>
  <si>
    <t xml:space="preserve">2023-09-10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</si>
  <si>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</si>
  <si>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</si>
  <si>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</si>
  <si>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</si>
  <si>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</si>
  <si>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</si>
  <si>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</si>
  <si>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2023-09-18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</si>
  <si>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</si>
  <si>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</si>
  <si>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</si>
  <si>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</si>
  <si>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</si>
  <si>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</si>
  <si>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</si>
  <si>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</si>
  <si>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</si>
  <si>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2023-10-01</t>
  </si>
  <si>
    <t xml:space="preserve">2023-10-05</t>
  </si>
  <si>
    <t xml:space="preserve">2023-10-11</t>
  </si>
  <si>
    <t xml:space="preserve">2023-10-12</t>
  </si>
  <si>
    <t xml:space="preserve">2023-10-15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</si>
  <si>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</si>
  <si>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</si>
  <si>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</si>
  <si>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</si>
  <si>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</si>
  <si>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</si>
  <si>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2023-10-23</t>
  </si>
  <si>
    <t xml:space="preserve">2023-10-24</t>
  </si>
  <si>
    <t xml:space="preserve">2023-10-31</t>
  </si>
  <si>
    <t xml:space="preserve">2023-11-01</t>
  </si>
  <si>
    <t xml:space="preserve">2023-11-02</t>
  </si>
  <si>
    <t xml:space="preserve">2023-11-04</t>
  </si>
  <si>
    <t xml:space="preserve">2023-11-05</t>
  </si>
  <si>
    <t xml:space="preserve">2023-11-07</t>
  </si>
  <si>
    <t xml:space="preserve">2023-11-08</t>
  </si>
  <si>
    <t xml:space="preserve">2023-11-10</t>
  </si>
  <si>
    <t xml:space="preserve">2023-11-11</t>
  </si>
  <si>
    <t xml:space="preserve">2023-11-12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</si>
  <si>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</si>
  <si>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</si>
  <si>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</si>
  <si>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</si>
  <si>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</si>
  <si>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</si>
  <si>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</si>
  <si>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</si>
  <si>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</si>
  <si>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</si>
  <si>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</si>
  <si>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</si>
  <si>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2023-11-25</t>
  </si>
  <si>
    <t xml:space="preserve">2023-11-26</t>
  </si>
  <si>
    <t xml:space="preserve">2023-11-27</t>
  </si>
  <si>
    <t xml:space="preserve">2023-11-28</t>
  </si>
  <si>
    <t xml:space="preserve">2023-11-29</t>
  </si>
  <si>
    <t xml:space="preserve">2023-12-01</t>
  </si>
  <si>
    <t xml:space="preserve">2023-12-02</t>
  </si>
  <si>
    <t xml:space="preserve">2023-12-03</t>
  </si>
  <si>
    <t xml:space="preserve">2023-12-05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</si>
  <si>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</si>
  <si>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</si>
  <si>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</si>
  <si>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</si>
  <si>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2023-12-11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</si>
  <si>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</si>
  <si>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</si>
  <si>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</si>
  <si>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</si>
  <si>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2023-12-17</t>
  </si>
  <si>
    <t xml:space="preserve">2023-12-18</t>
  </si>
  <si>
    <t xml:space="preserve">2023-12-20</t>
  </si>
  <si>
    <t xml:space="preserve">2023-12-22</t>
  </si>
  <si>
    <t xml:space="preserve">2023-12-23</t>
  </si>
  <si>
    <t xml:space="preserve">2023-12-24</t>
  </si>
  <si>
    <t xml:space="preserve">2023-12-26</t>
  </si>
  <si>
    <t xml:space="preserve">2023-12-28</t>
  </si>
  <si>
    <t xml:space="preserve">2024-01-01</t>
  </si>
  <si>
    <t xml:space="preserve">2024-01-02</t>
  </si>
  <si>
    <t xml:space="preserve">2024-01-04</t>
  </si>
  <si>
    <t xml:space="preserve">2024-01-05</t>
  </si>
  <si>
    <t xml:space="preserve">2024-01-06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</si>
  <si>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</si>
  <si>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</si>
  <si>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</si>
  <si>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</si>
  <si>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</si>
  <si>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2024-01-13</t>
  </si>
  <si>
    <t xml:space="preserve">2024-01-14</t>
  </si>
  <si>
    <t xml:space="preserve">2024-01-15</t>
  </si>
  <si>
    <t xml:space="preserve">2024-01-17</t>
  </si>
  <si>
    <t xml:space="preserve">2024-01-19</t>
  </si>
  <si>
    <t xml:space="preserve">2024-01-21</t>
  </si>
  <si>
    <t xml:space="preserve">2024-01-20</t>
  </si>
  <si>
    <t xml:space="preserve">2024-01-22</t>
  </si>
  <si>
    <t xml:space="preserve">2024-01-25</t>
  </si>
  <si>
    <t xml:space="preserve">2024-01-26</t>
  </si>
  <si>
    <t xml:space="preserve">2024-01-28</t>
  </si>
  <si>
    <t xml:space="preserve">2024-01-30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</si>
  <si>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</si>
  <si>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</si>
  <si>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</si>
  <si>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</si>
  <si>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</si>
  <si>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</si>
  <si>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</si>
  <si>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</si>
  <si>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2024-02-10</t>
  </si>
  <si>
    <t xml:space="preserve">2024-02-11</t>
  </si>
  <si>
    <t xml:space="preserve">2024-02-13</t>
  </si>
  <si>
    <t xml:space="preserve">2024-02-12</t>
  </si>
  <si>
    <t xml:space="preserve">2024-02-14</t>
  </si>
  <si>
    <t xml:space="preserve">2024-02-15</t>
  </si>
  <si>
    <t xml:space="preserve">2024-02-16</t>
  </si>
  <si>
    <t xml:space="preserve">2024-02-17</t>
  </si>
  <si>
    <t xml:space="preserve">2024-02-20</t>
  </si>
  <si>
    <t xml:space="preserve">2024-02-22</t>
  </si>
  <si>
    <t xml:space="preserve">2024-02-23</t>
  </si>
  <si>
    <t xml:space="preserve">2024-02-24</t>
  </si>
  <si>
    <t xml:space="preserve">2024-02-25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</si>
  <si>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</si>
  <si>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</si>
  <si>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</si>
  <si>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</si>
  <si>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2024-03-02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</si>
  <si>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</si>
  <si>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</si>
  <si>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</si>
  <si>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</si>
  <si>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</si>
  <si>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</si>
  <si>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2024-03-11</t>
  </si>
  <si>
    <t xml:space="preserve">2024-03-10</t>
  </si>
  <si>
    <t xml:space="preserve">2024-03-12</t>
  </si>
  <si>
    <t xml:space="preserve">2024-03-14</t>
  </si>
  <si>
    <t xml:space="preserve">2024-03-15</t>
  </si>
  <si>
    <t xml:space="preserve">2024-03-17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</si>
  <si>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</si>
  <si>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</si>
  <si>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</si>
  <si>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</si>
  <si>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</si>
  <si>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</si>
  <si>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</si>
  <si>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</si>
  <si>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</si>
  <si>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</si>
  <si>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</si>
  <si>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</si>
  <si>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</si>
  <si>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</si>
  <si>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</si>
  <si>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</si>
  <si>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</si>
  <si>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</si>
  <si>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</si>
  <si>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2024-04-07</t>
  </si>
  <si>
    <t xml:space="preserve">2024-04-08</t>
  </si>
  <si>
    <t xml:space="preserve">2024-04-10</t>
  </si>
  <si>
    <t xml:space="preserve">2024-04-11</t>
  </si>
  <si>
    <t xml:space="preserve">2024-04-12</t>
  </si>
  <si>
    <t xml:space="preserve">2024-04-14</t>
  </si>
  <si>
    <t xml:space="preserve">2024-04-15</t>
  </si>
  <si>
    <t xml:space="preserve">2024-04-16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</si>
  <si>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</si>
  <si>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</si>
  <si>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</si>
  <si>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</si>
  <si>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</si>
  <si>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</si>
  <si>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</si>
  <si>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</si>
  <si>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</si>
  <si>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</si>
  <si>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2024-04-29</t>
  </si>
  <si>
    <t xml:space="preserve">2024-05-01</t>
  </si>
  <si>
    <t xml:space="preserve">2024-04-30</t>
  </si>
  <si>
    <t xml:space="preserve">2024-05-02</t>
  </si>
  <si>
    <t xml:space="preserve">2024-05-06</t>
  </si>
  <si>
    <t xml:space="preserve">2024-05-03</t>
  </si>
  <si>
    <t xml:space="preserve">2024-05-04</t>
  </si>
  <si>
    <t xml:space="preserve">2024-05-05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</si>
  <si>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</si>
  <si>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</si>
  <si>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</si>
  <si>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</si>
  <si>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</si>
  <si>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</si>
  <si>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</si>
  <si>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</si>
  <si>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</si>
  <si>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2024-05-19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</si>
  <si>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</si>
  <si>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</si>
  <si>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</si>
  <si>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</si>
  <si>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</si>
  <si>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</si>
  <si>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2024-05-27</t>
  </si>
  <si>
    <t xml:space="preserve">2024-05-28</t>
  </si>
  <si>
    <t xml:space="preserve">2024-05-30</t>
  </si>
  <si>
    <t xml:space="preserve">2024-05-31</t>
  </si>
  <si>
    <t xml:space="preserve">2024-06-01</t>
  </si>
  <si>
    <t xml:space="preserve">2024-06-03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</si>
  <si>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</si>
  <si>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</si>
  <si>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</si>
  <si>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</si>
  <si>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</si>
  <si>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</si>
  <si>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2024-06-10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</si>
  <si>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</si>
  <si>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</si>
  <si>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</si>
  <si>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</si>
  <si>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</si>
  <si>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</si>
  <si>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</si>
  <si>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</si>
  <si>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</si>
  <si>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</si>
  <si>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</si>
  <si>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</si>
  <si>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</si>
  <si>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</si>
  <si>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</si>
  <si>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</si>
  <si>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</si>
  <si>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</si>
  <si>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2024-07-02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</si>
  <si>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</si>
  <si>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</si>
  <si>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</si>
  <si>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</si>
  <si>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</si>
  <si>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2024-07-08</t>
  </si>
  <si>
    <t xml:space="preserve">2024-07-09</t>
  </si>
  <si>
    <t xml:space="preserve">2024-07-11</t>
  </si>
  <si>
    <t xml:space="preserve">2024-07-13</t>
  </si>
  <si>
    <t xml:space="preserve">2024-07-16</t>
  </si>
  <si>
    <t xml:space="preserve">2024-07-17</t>
  </si>
  <si>
    <t xml:space="preserve">2024-07-18</t>
  </si>
  <si>
    <t xml:space="preserve">2024-07-19</t>
  </si>
  <si>
    <t xml:space="preserve">2024-07-22</t>
  </si>
  <si>
    <t xml:space="preserve">2024-07-21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</si>
  <si>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</si>
  <si>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</si>
  <si>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</si>
  <si>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</si>
  <si>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</si>
  <si>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2024-07-29</t>
  </si>
  <si>
    <t xml:space="preserve">2024-07-30</t>
  </si>
  <si>
    <t xml:space="preserve">2024-07-31</t>
  </si>
  <si>
    <t xml:space="preserve">2024-08-01</t>
  </si>
  <si>
    <t xml:space="preserve">2024-08-03</t>
  </si>
  <si>
    <t xml:space="preserve">2024-08-05</t>
  </si>
  <si>
    <t xml:space="preserve">2024-08-06</t>
  </si>
  <si>
    <t xml:space="preserve">2024-08-08</t>
  </si>
  <si>
    <t xml:space="preserve">2024-08-09</t>
  </si>
  <si>
    <t xml:space="preserve">2024-08-11</t>
  </si>
  <si>
    <t xml:space="preserve">2024-08-12</t>
  </si>
  <si>
    <t xml:space="preserve">2024-08-13</t>
  </si>
  <si>
    <t xml:space="preserve">2024-08-14</t>
  </si>
  <si>
    <t xml:space="preserve">2024-08-16</t>
  </si>
  <si>
    <t xml:space="preserve">2024-08-17</t>
  </si>
  <si>
    <t xml:space="preserve">2024-08-18</t>
  </si>
  <si>
    <t xml:space="preserve">2024-08-20</t>
  </si>
  <si>
    <t xml:space="preserve">2024-08-22</t>
  </si>
  <si>
    <t xml:space="preserve">2024-08-24</t>
  </si>
  <si>
    <t xml:space="preserve">2024-08-25</t>
  </si>
  <si>
    <t xml:space="preserve">2024-08-26</t>
  </si>
  <si>
    <t xml:space="preserve">2024-08-27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</si>
  <si>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</si>
  <si>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</si>
  <si>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</si>
  <si>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</si>
  <si>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2024-09-02</t>
  </si>
  <si>
    <t xml:space="preserve">2024-09-03</t>
  </si>
  <si>
    <t xml:space="preserve">2024-09-04</t>
  </si>
  <si>
    <t xml:space="preserve">2024-09-06</t>
  </si>
  <si>
    <t xml:space="preserve">2024-09-07</t>
  </si>
  <si>
    <t xml:space="preserve">2024-09-09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</si>
  <si>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</si>
  <si>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</si>
  <si>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</si>
  <si>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</si>
  <si>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2024-09-16</t>
  </si>
  <si>
    <t xml:space="preserve">2024-09-17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</si>
  <si>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</si>
  <si>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</si>
  <si>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</si>
  <si>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</si>
  <si>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2024-09-24</t>
  </si>
  <si>
    <t xml:space="preserve">2024-09-25</t>
  </si>
  <si>
    <t xml:space="preserve">2024-09-27</t>
  </si>
  <si>
    <t xml:space="preserve">2024-09-28</t>
  </si>
  <si>
    <t xml:space="preserve">2024-09-29</t>
  </si>
  <si>
    <t xml:space="preserve">2024-10-01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</si>
  <si>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</si>
  <si>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</si>
  <si>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</si>
  <si>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</si>
  <si>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2024-10-09</t>
  </si>
  <si>
    <t xml:space="preserve">2024-10-06</t>
  </si>
  <si>
    <t xml:space="preserve">2024-10-07</t>
  </si>
  <si>
    <t xml:space="preserve">2024-10-08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</si>
  <si>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</si>
  <si>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</si>
  <si>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</si>
  <si>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</si>
  <si>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2024-10-14</t>
  </si>
  <si>
    <t xml:space="preserve">2024-10-15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</si>
  <si>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</si>
  <si>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</si>
  <si>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</si>
  <si>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</si>
  <si>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2024-10-21</t>
  </si>
  <si>
    <t xml:space="preserve">2024-10-22</t>
  </si>
  <si>
    <t xml:space="preserve">2024-10-23</t>
  </si>
  <si>
    <t xml:space="preserve">2024-10-25</t>
  </si>
  <si>
    <t xml:space="preserve">2024-10-26</t>
  </si>
  <si>
    <t xml:space="preserve">2024-10-27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</si>
  <si>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</si>
  <si>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</si>
  <si>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</si>
  <si>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</si>
  <si>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</si>
  <si>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</si>
  <si>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</si>
  <si>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</si>
  <si>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</si>
  <si>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</si>
  <si>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2024-11-11</t>
  </si>
  <si>
    <t xml:space="preserve">2024-11-12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</si>
  <si>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</si>
  <si>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</si>
  <si>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</si>
  <si>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</si>
  <si>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</si>
  <si>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</si>
  <si>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</si>
  <si>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</si>
  <si>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</si>
  <si>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</si>
  <si>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</si>
  <si>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2024-11-25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</si>
  <si>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</si>
  <si>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</si>
  <si>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</si>
  <si>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</si>
  <si>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2024-12-02</t>
  </si>
  <si>
    <t xml:space="preserve">2024-12-03</t>
  </si>
  <si>
    <t xml:space="preserve">2024-12-04</t>
  </si>
  <si>
    <t xml:space="preserve">2024-12-06</t>
  </si>
  <si>
    <t xml:space="preserve">2024-12-07</t>
  </si>
  <si>
    <t xml:space="preserve">2024-12-08</t>
  </si>
  <si>
    <t xml:space="preserve">2024-12-09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</si>
  <si>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</si>
  <si>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</si>
  <si>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</si>
  <si>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</si>
  <si>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</si>
  <si>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</si>
  <si>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</si>
  <si>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</si>
  <si>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</si>
  <si>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</si>
  <si>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</si>
  <si>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2024-12-24</t>
  </si>
  <si>
    <t xml:space="preserve">2025-11-24</t>
  </si>
  <si>
    <t xml:space="preserve">2024-12-25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</si>
  <si>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</si>
  <si>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</si>
  <si>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</si>
  <si>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</si>
  <si>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</si>
  <si>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</si>
  <si>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</si>
  <si>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</si>
  <si>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2025-01-04</t>
  </si>
  <si>
    <t xml:space="preserve">2025-01-06</t>
  </si>
  <si>
    <t xml:space="preserve">2025-01-07</t>
  </si>
  <si>
    <t xml:space="preserve">2025-01-09</t>
  </si>
  <si>
    <t xml:space="preserve">2025-01-10</t>
  </si>
  <si>
    <t xml:space="preserve">2025-01-11</t>
  </si>
  <si>
    <t xml:space="preserve">2025-01-12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</si>
  <si>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</si>
  <si>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</si>
  <si>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</si>
  <si>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</si>
  <si>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</si>
  <si>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2025-01-18</t>
  </si>
  <si>
    <t xml:space="preserve">2025-01-20</t>
  </si>
  <si>
    <t xml:space="preserve">2025-01-21</t>
  </si>
  <si>
    <t xml:space="preserve">2025-01-23</t>
  </si>
  <si>
    <t xml:space="preserve">2025-01-25</t>
  </si>
  <si>
    <t xml:space="preserve">2025-01-26</t>
  </si>
  <si>
    <t xml:space="preserve">2025-01-27</t>
  </si>
  <si>
    <t xml:space="preserve">2025-01-28</t>
  </si>
  <si>
    <t xml:space="preserve">2025-01-30</t>
  </si>
  <si>
    <t xml:space="preserve">2025-01-31</t>
  </si>
  <si>
    <t xml:space="preserve">2025-02-01</t>
  </si>
  <si>
    <t xml:space="preserve">2025-02-02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</si>
  <si>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</si>
  <si>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</si>
  <si>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</si>
  <si>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</si>
  <si>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</si>
  <si>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2025-02-08</t>
  </si>
  <si>
    <t xml:space="preserve">2025-02-09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</si>
  <si>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</si>
  <si>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</si>
  <si>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</si>
  <si>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</si>
  <si>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2025-02-15</t>
  </si>
  <si>
    <t xml:space="preserve">2025-02-16</t>
  </si>
  <si>
    <t xml:space="preserve">2025-02-17</t>
  </si>
  <si>
    <t xml:space="preserve">2025-02-20</t>
  </si>
  <si>
    <t xml:space="preserve">2025-02-22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</si>
  <si>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</si>
  <si>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</si>
  <si>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</si>
  <si>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</si>
  <si>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2025-03-01</t>
  </si>
  <si>
    <t xml:space="preserve">2025-03-02</t>
  </si>
  <si>
    <t xml:space="preserve">2025-03-04</t>
  </si>
  <si>
    <t xml:space="preserve">2025-03-05</t>
  </si>
  <si>
    <t xml:space="preserve">2025-03-07</t>
  </si>
  <si>
    <t xml:space="preserve">2025-03-08</t>
  </si>
  <si>
    <t xml:space="preserve">2025-03-09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</si>
  <si>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</si>
  <si>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</si>
  <si>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</si>
  <si>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</si>
  <si>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</si>
  <si>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</si>
  <si>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2025-03-17</t>
  </si>
  <si>
    <t xml:space="preserve">2025-03-16</t>
  </si>
  <si>
    <t xml:space="preserve">2025-03-18</t>
  </si>
  <si>
    <t xml:space="preserve">2025-03-19</t>
  </si>
  <si>
    <t xml:space="preserve">2025-03-21</t>
  </si>
  <si>
    <t xml:space="preserve">2025-03-24</t>
  </si>
  <si>
    <t xml:space="preserve">2025-03-26</t>
  </si>
  <si>
    <t xml:space="preserve">2025-03-27</t>
  </si>
  <si>
    <t xml:space="preserve">2025-03-29</t>
  </si>
  <si>
    <t xml:space="preserve">2025-03-30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</si>
  <si>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</si>
  <si>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</si>
  <si>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</si>
  <si>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</si>
  <si>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2025-04-06</t>
  </si>
  <si>
    <t xml:space="preserve">2025-04-08</t>
  </si>
  <si>
    <t xml:space="preserve">2025-04-07</t>
  </si>
  <si>
    <t xml:space="preserve">2025-04-09</t>
  </si>
  <si>
    <t xml:space="preserve">2025-04-10</t>
  </si>
  <si>
    <t xml:space="preserve">2025-04-11</t>
  </si>
  <si>
    <t xml:space="preserve">2025-04-12</t>
  </si>
  <si>
    <t xml:space="preserve">2025-04-13</t>
  </si>
  <si>
    <t xml:space="preserve">2025-04-14</t>
  </si>
  <si>
    <t xml:space="preserve">2025-04-16</t>
  </si>
  <si>
    <t xml:space="preserve">2025-04-18</t>
  </si>
  <si>
    <t xml:space="preserve">2025-04-19</t>
  </si>
  <si>
    <t xml:space="preserve">2025-04-20</t>
  </si>
  <si>
    <t xml:space="preserve">2025-04-21</t>
  </si>
  <si>
    <t xml:space="preserve">2025-04-23</t>
  </si>
  <si>
    <t xml:space="preserve">2025-04-24</t>
  </si>
  <si>
    <t xml:space="preserve">2025-04-25</t>
  </si>
  <si>
    <t xml:space="preserve">2025-04-26</t>
  </si>
  <si>
    <t xml:space="preserve">2025-04-30</t>
  </si>
  <si>
    <t xml:space="preserve">2025-05-01</t>
  </si>
  <si>
    <t xml:space="preserve">2025-05-02</t>
  </si>
  <si>
    <t xml:space="preserve">2025-05-03</t>
  </si>
  <si>
    <t xml:space="preserve">2025-05-06</t>
  </si>
  <si>
    <t xml:space="preserve">2025-05-08</t>
  </si>
  <si>
    <t xml:space="preserve">2025-05-09</t>
  </si>
  <si>
    <t xml:space="preserve">2025-05-10</t>
  </si>
  <si>
    <t xml:space="preserve">2025-05-14</t>
  </si>
  <si>
    <t xml:space="preserve">2025-05-11</t>
  </si>
  <si>
    <t xml:space="preserve">2025-05-12</t>
  </si>
  <si>
    <t xml:space="preserve">2025-05-13</t>
  </si>
  <si>
    <t xml:space="preserve">2025-05-15</t>
  </si>
  <si>
    <t xml:space="preserve">2025-05-16</t>
  </si>
  <si>
    <t xml:space="preserve">2025-05-17</t>
  </si>
  <si>
    <t xml:space="preserve">2025-05-18</t>
  </si>
  <si>
    <t xml:space="preserve">2025-05-19</t>
  </si>
  <si>
    <t xml:space="preserve">2025-05-20</t>
  </si>
  <si>
    <t xml:space="preserve">2025-05-22</t>
  </si>
  <si>
    <t xml:space="preserve">2025-05-23</t>
  </si>
  <si>
    <t xml:space="preserve">2025-05-26</t>
  </si>
  <si>
    <t xml:space="preserve">2025-05-27</t>
  </si>
  <si>
    <t xml:space="preserve">2025-05-28</t>
  </si>
  <si>
    <t xml:space="preserve">2025-05-30</t>
  </si>
  <si>
    <t xml:space="preserve">2025-05-31</t>
  </si>
  <si>
    <t xml:space="preserve">2025-06-01</t>
  </si>
  <si>
    <t xml:space="preserve">2025-06-02</t>
  </si>
  <si>
    <t xml:space="preserve">2025-06-03</t>
  </si>
  <si>
    <t xml:space="preserve">2025-06-04</t>
  </si>
  <si>
    <t xml:space="preserve">2025-06-06</t>
  </si>
  <si>
    <t xml:space="preserve">2025-06-07</t>
  </si>
  <si>
    <t xml:space="preserve">2025-06-08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</si>
  <si>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</si>
  <si>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</si>
  <si>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</si>
  <si>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</si>
  <si>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2025-06-14</t>
  </si>
  <si>
    <t xml:space="preserve">2025-06-16</t>
  </si>
  <si>
    <t xml:space="preserve">2025-06-17</t>
  </si>
  <si>
    <t xml:space="preserve">2025-06-19</t>
  </si>
  <si>
    <t xml:space="preserve">2025-06-20</t>
  </si>
  <si>
    <t xml:space="preserve">2025-06-21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</si>
  <si>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</si>
  <si>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</si>
  <si>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</si>
  <si>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</si>
  <si>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</si>
  <si>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2025-06-28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</si>
  <si>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</si>
  <si>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</si>
  <si>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</si>
  <si>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</si>
  <si>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2025-07-05</t>
  </si>
  <si>
    <t xml:space="preserve">2025-07-07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</si>
  <si>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</si>
  <si>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</si>
  <si>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</si>
  <si>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</si>
  <si>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2025-07-12</t>
  </si>
  <si>
    <t xml:space="preserve">2025-07-16</t>
  </si>
  <si>
    <t xml:space="preserve">2025-07-14</t>
  </si>
  <si>
    <t xml:space="preserve">2025-07-15</t>
  </si>
  <si>
    <t xml:space="preserve">2025-07-17</t>
  </si>
  <si>
    <t xml:space="preserve">2025-07-18</t>
  </si>
  <si>
    <t xml:space="preserve">2025-07-20</t>
  </si>
  <si>
    <t xml:space="preserve">2025-07-22</t>
  </si>
  <si>
    <t xml:space="preserve">2025-07-24</t>
  </si>
  <si>
    <t xml:space="preserve">2025-07-26</t>
  </si>
  <si>
    <t xml:space="preserve">2025-07-27</t>
  </si>
  <si>
    <t xml:space="preserve">2025-07-28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</si>
  <si>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</si>
  <si>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</si>
  <si>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</si>
  <si>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</si>
  <si>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2025-08-02</t>
  </si>
  <si>
    <t xml:space="preserve">2025-08-03</t>
  </si>
  <si>
    <t xml:space="preserve">2025-08-08</t>
  </si>
  <si>
    <t xml:space="preserve">2025-08-06</t>
  </si>
  <si>
    <t xml:space="preserve">2025-08-09</t>
  </si>
  <si>
    <t xml:space="preserve">2025-08-10</t>
  </si>
  <si>
    <t xml:space="preserve">2025-08-11</t>
  </si>
  <si>
    <t xml:space="preserve">2025-08-12</t>
  </si>
  <si>
    <t xml:space="preserve">2025-08-13</t>
  </si>
  <si>
    <t xml:space="preserve">2025-06-15</t>
  </si>
  <si>
    <t xml:space="preserve">2025-08-14</t>
  </si>
  <si>
    <t xml:space="preserve">2025-08-15</t>
  </si>
  <si>
    <t xml:space="preserve">2025-08-16</t>
  </si>
  <si>
    <t xml:space="preserve">2025-08-17</t>
  </si>
  <si>
    <t xml:space="preserve">2025-09-15</t>
  </si>
  <si>
    <t xml:space="preserve">2025-08-04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</si>
  <si>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</si>
  <si>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</si>
  <si>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</si>
  <si>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</si>
  <si>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</si>
  <si>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</si>
  <si>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2025-08-24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</si>
  <si>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</si>
  <si>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</si>
  <si>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</si>
  <si>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</si>
  <si>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</si>
  <si>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2025-08-30</t>
  </si>
  <si>
    <t xml:space="preserve">2025-08-31</t>
  </si>
  <si>
    <t xml:space="preserve">2025-09-01</t>
  </si>
  <si>
    <t xml:space="preserve">2025-09-02</t>
  </si>
  <si>
    <t xml:space="preserve">2025-09-04</t>
  </si>
  <si>
    <t xml:space="preserve">2025-09-05</t>
  </si>
  <si>
    <t xml:space="preserve">2025-09-07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</si>
  <si>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</si>
  <si>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</si>
  <si>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</si>
  <si>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</si>
  <si>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</si>
  <si>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</si>
  <si>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</si>
  <si>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</si>
  <si>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2025-09-20</t>
  </si>
  <si>
    <t xml:space="preserve">2025-09-21</t>
  </si>
  <si>
    <t xml:space="preserve">2025-09-22</t>
  </si>
  <si>
    <t xml:space="preserve">2025-09-23</t>
  </si>
  <si>
    <t xml:space="preserve">2025-09-25</t>
  </si>
  <si>
    <t xml:space="preserve">2025-09-26</t>
  </si>
  <si>
    <t xml:space="preserve">2025-09-27</t>
  </si>
  <si>
    <t xml:space="preserve">2025-09-28</t>
  </si>
  <si>
    <t xml:space="preserve">2025-09-29</t>
  </si>
  <si>
    <t xml:space="preserve">2025-10-01</t>
  </si>
  <si>
    <t xml:space="preserve">2025-10-02</t>
  </si>
  <si>
    <t xml:space="preserve">2025-10-03</t>
  </si>
  <si>
    <t xml:space="preserve">2025-10-04</t>
  </si>
  <si>
    <t xml:space="preserve">2025-10-06</t>
  </si>
  <si>
    <t xml:space="preserve">2025-10-07</t>
  </si>
  <si>
    <t xml:space="preserve">2025-10-09</t>
  </si>
  <si>
    <t xml:space="preserve">2025-10-08</t>
  </si>
  <si>
    <t xml:space="preserve">2025-10-10</t>
  </si>
  <si>
    <t xml:space="preserve">2025-10-11</t>
  </si>
  <si>
    <t xml:space="preserve">2025-10-13</t>
  </si>
  <si>
    <t xml:space="preserve">2025-10-14</t>
  </si>
  <si>
    <t xml:space="preserve">2025-10-15</t>
  </si>
  <si>
    <t xml:space="preserve">2025-10-16</t>
  </si>
  <si>
    <t xml:space="preserve">2025-10-18</t>
  </si>
  <si>
    <t xml:space="preserve">2025-10-17</t>
  </si>
  <si>
    <t xml:space="preserve">2025-10-19</t>
  </si>
  <si>
    <t xml:space="preserve">2025-10-20</t>
  </si>
  <si>
    <t xml:space="preserve">2025-10-21</t>
  </si>
  <si>
    <t xml:space="preserve">2025-10-22</t>
  </si>
  <si>
    <t xml:space="preserve">2025-10-23</t>
  </si>
  <si>
    <t xml:space="preserve">2025-10-24</t>
  </si>
  <si>
    <t xml:space="preserve">2025-10-25</t>
  </si>
  <si>
    <t xml:space="preserve">2025-10-26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</si>
  <si>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</si>
  <si>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</si>
  <si>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</si>
  <si>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</si>
  <si>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</si>
  <si>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2025-11-01</t>
  </si>
  <si>
    <t xml:space="preserve">2025-11-02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</si>
  <si>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</si>
  <si>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</si>
  <si>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</si>
  <si>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</si>
  <si>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</si>
  <si>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2025-11-08</t>
  </si>
  <si>
    <t xml:space="preserve">2025-11-09</t>
  </si>
  <si>
    <t xml:space="preserve">2025-11-10</t>
  </si>
  <si>
    <t xml:space="preserve">2025-11-11</t>
  </si>
  <si>
    <t xml:space="preserve">2025-11-13</t>
  </si>
  <si>
    <t xml:space="preserve">2025-11-14</t>
  </si>
  <si>
    <t xml:space="preserve">2025-11-16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</si>
  <si>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</si>
  <si>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</si>
  <si>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</si>
  <si>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</si>
  <si>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</si>
  <si>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2025-11-22</t>
  </si>
  <si>
    <t xml:space="preserve">2025-11-23</t>
  </si>
  <si>
    <t xml:space="preserve">2025-11-25</t>
  </si>
  <si>
    <t xml:space="preserve">2025-11-26</t>
  </si>
  <si>
    <t xml:space="preserve">2025-11-28</t>
  </si>
  <si>
    <t xml:space="preserve">2025-11-27</t>
  </si>
  <si>
    <t xml:space="preserve">2025-11-29</t>
  </si>
  <si>
    <t xml:space="preserve">2025-11-30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</si>
  <si>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</si>
  <si>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</si>
  <si>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</si>
  <si>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</si>
  <si>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</si>
  <si>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2025-12-06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</si>
  <si>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</si>
  <si>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</si>
  <si>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</si>
  <si>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</si>
  <si>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</si>
  <si>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</si>
  <si>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</si>
  <si>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</si>
  <si>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2025-12-16</t>
  </si>
  <si>
    <t xml:space="preserve">2025-12-17</t>
  </si>
  <si>
    <t xml:space="preserve">2025-12-19</t>
  </si>
  <si>
    <t xml:space="preserve">2025-12-20</t>
  </si>
  <si>
    <t xml:space="preserve">2025-12-21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</si>
  <si>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</si>
  <si>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</si>
  <si>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</si>
  <si>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</si>
  <si>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2025-12-27</t>
  </si>
  <si>
    <t xml:space="preserve">2025-12-28</t>
  </si>
  <si>
    <t xml:space="preserve">2025-12-30</t>
  </si>
  <si>
    <t xml:space="preserve">2025-12-31</t>
  </si>
  <si>
    <t xml:space="preserve">2026-01-01</t>
  </si>
  <si>
    <t xml:space="preserve">2026-01-02</t>
  </si>
  <si>
    <t xml:space="preserve">2026-01-03</t>
  </si>
  <si>
    <t xml:space="preserve">2026-01-04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</si>
  <si>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</si>
  <si>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</si>
  <si>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</si>
  <si>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</si>
  <si>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</si>
  <si>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2026-01-10</t>
  </si>
  <si>
    <t xml:space="preserve">2026-01-11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</si>
  <si>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</si>
  <si>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</si>
  <si>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</si>
  <si>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</si>
  <si>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</si>
  <si>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2026-01-17</t>
  </si>
  <si>
    <t xml:space="preserve">2026-01-18</t>
  </si>
  <si>
    <t xml:space="preserve">2026-01-20</t>
  </si>
  <si>
    <t xml:space="preserve">2026-01-21</t>
  </si>
  <si>
    <t xml:space="preserve">2026-01-22</t>
  </si>
  <si>
    <t xml:space="preserve">2026-01-24</t>
  </si>
  <si>
    <t xml:space="preserve">2026-01-25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</si>
  <si>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</si>
  <si>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</si>
  <si>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</si>
  <si>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</si>
  <si>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</si>
  <si>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2026-01-31</t>
  </si>
  <si>
    <t xml:space="preserve">2026-02-01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</si>
  <si>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</si>
  <si>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</si>
  <si>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</si>
  <si>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</si>
  <si>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</si>
  <si>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</si>
  <si>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</si>
  <si>
    <t xml:space="preserve">2026-02-09</t>
  </si>
  <si>
    <t xml:space="preserve">2026-02-10</t>
  </si>
  <si>
    <t xml:space="preserve">2026-02-11</t>
  </si>
  <si>
    <t xml:space="preserve">2026-02-12</t>
  </si>
  <si>
    <t xml:space="preserve">2026-02-13</t>
  </si>
  <si>
    <t xml:space="preserve">2026-02-15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</si>
  <si>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</si>
  <si>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</si>
  <si>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</si>
  <si>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</si>
  <si>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2026-02-20</t>
  </si>
  <si>
    <t xml:space="preserve">2026-02-21</t>
  </si>
  <si>
    <t xml:space="preserve">2026-02-22</t>
  </si>
  <si>
    <t xml:space="preserve">2026-02-23</t>
  </si>
  <si>
    <t xml:space="preserve">2026-02-25</t>
  </si>
  <si>
    <t xml:space="preserve">2026-02-26</t>
  </si>
  <si>
    <t xml:space="preserve">2026-02-27</t>
  </si>
  <si>
    <t xml:space="preserve">2026-02-28</t>
  </si>
  <si>
    <t xml:space="preserve">2026-03-01</t>
  </si>
  <si>
    <t xml:space="preserve">2026-03-02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</si>
  <si>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</si>
  <si>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</si>
  <si>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</si>
  <si>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</si>
  <si>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2026-03-07</t>
  </si>
  <si>
    <t xml:space="preserve">2026-03-08</t>
  </si>
  <si>
    <t xml:space="preserve">2026-03-12</t>
  </si>
  <si>
    <t xml:space="preserve">2026-03-11</t>
  </si>
  <si>
    <t xml:space="preserve">2026-03-13</t>
  </si>
  <si>
    <t xml:space="preserve">2026-03-14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</si>
  <si>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</si>
  <si>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</si>
  <si>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</si>
  <si>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</si>
  <si>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</si>
  <si>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2026-03-21</t>
  </si>
  <si>
    <t xml:space="preserve">2026-03-22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</si>
  <si>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</si>
  <si>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</si>
  <si>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</si>
  <si>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</si>
  <si>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</si>
  <si>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2026-03-28</t>
  </si>
  <si>
    <t xml:space="preserve">2026-03-29</t>
  </si>
  <si>
    <t xml:space="preserve">2026-03-30</t>
  </si>
  <si>
    <t xml:space="preserve">2026-03-31</t>
  </si>
  <si>
    <t xml:space="preserve">2026-04-01</t>
  </si>
  <si>
    <t xml:space="preserve">2026-04-02</t>
  </si>
  <si>
    <t xml:space="preserve">2026-04-03</t>
  </si>
  <si>
    <t xml:space="preserve">2026-04-04</t>
  </si>
  <si>
    <t xml:space="preserve">2026-04-05</t>
  </si>
  <si>
    <t xml:space="preserve">2026-04-06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</si>
  <si>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</si>
  <si>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</si>
  <si>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</si>
  <si>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</si>
  <si>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2026-04-11</t>
  </si>
  <si>
    <t xml:space="preserve">2026-04-12</t>
  </si>
  <si>
    <t xml:space="preserve">2026-04-13</t>
  </si>
  <si>
    <t xml:space="preserve">2026-04-14</t>
  </si>
  <si>
    <t xml:space="preserve">2026-04-15</t>
  </si>
  <si>
    <t xml:space="preserve">2026-04-16</t>
  </si>
  <si>
    <t xml:space="preserve">2026-04-17</t>
  </si>
  <si>
    <t xml:space="preserve">2026-04-18</t>
  </si>
  <si>
    <t xml:space="preserve">2026-04-19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</si>
  <si>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</si>
  <si>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</si>
  <si>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</si>
  <si>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</si>
  <si>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2026-04-24</t>
  </si>
  <si>
    <t xml:space="preserve">2026-04-26</t>
  </si>
  <si>
    <t xml:space="preserve">2026-04-27</t>
  </si>
  <si>
    <t xml:space="preserve">2026-04-28</t>
  </si>
  <si>
    <t xml:space="preserve">2026-04-29</t>
  </si>
  <si>
    <t xml:space="preserve">2026-04-30</t>
  </si>
  <si>
    <t xml:space="preserve">2026-05-01</t>
  </si>
  <si>
    <t xml:space="preserve">2026-05-02</t>
  </si>
  <si>
    <t xml:space="preserve">2026-05-03</t>
  </si>
  <si>
    <t xml:space="preserve">2026-05-04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</si>
  <si>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</si>
  <si>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</si>
  <si>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</si>
  <si>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</si>
  <si>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</si>
  <si>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</si>
  <si>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</si>
  <si>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</si>
  <si>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</si>
  <si>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</si>
  <si>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</si>
  <si>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2026-05-16</t>
  </si>
  <si>
    <t xml:space="preserve">2026-05-18</t>
  </si>
  <si>
    <t xml:space="preserve">2026-05-17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</si>
  <si>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</si>
  <si>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</si>
  <si>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</si>
  <si>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</si>
  <si>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2026-05-23</t>
  </si>
  <si>
    <t xml:space="preserve">2026-05-24</t>
  </si>
  <si>
    <t xml:space="preserve">2026-05-25</t>
  </si>
  <si>
    <t xml:space="preserve">2026-05-26</t>
  </si>
  <si>
    <t xml:space="preserve">2026-05-27</t>
  </si>
  <si>
    <t xml:space="preserve">2026-05-28</t>
  </si>
  <si>
    <t xml:space="preserve">2026-05-30</t>
  </si>
  <si>
    <t xml:space="preserve">2026-05-31</t>
  </si>
  <si>
    <t xml:space="preserve">2026-06-01</t>
  </si>
  <si>
    <t xml:space="preserve">2026-06-02</t>
  </si>
  <si>
    <t xml:space="preserve">2026-06-03</t>
  </si>
  <si>
    <t xml:space="preserve">2026-06-04</t>
  </si>
  <si>
    <t xml:space="preserve">2026-06-05</t>
  </si>
  <si>
    <t xml:space="preserve">2026-06-06</t>
  </si>
  <si>
    <t xml:space="preserve">2026-06-07</t>
  </si>
  <si>
    <t xml:space="preserve">2026-06-08</t>
  </si>
  <si>
    <t xml:space="preserve">2026-06-09</t>
  </si>
  <si>
    <t xml:space="preserve">2026-06-10</t>
  </si>
  <si>
    <t xml:space="preserve">2026-06-11</t>
  </si>
  <si>
    <t xml:space="preserve">2026-06-12</t>
  </si>
  <si>
    <t xml:space="preserve">2026-06-14</t>
  </si>
  <si>
    <t xml:space="preserve">2026-06-15</t>
  </si>
  <si>
    <t xml:space="preserve">2026-06-16</t>
  </si>
  <si>
    <t xml:space="preserve">2026-06-17</t>
  </si>
  <si>
    <t xml:space="preserve">2026-06-23</t>
  </si>
  <si>
    <t xml:space="preserve">2026-06-18</t>
  </si>
  <si>
    <t xml:space="preserve">2026-06-19</t>
  </si>
  <si>
    <t xml:space="preserve">2026-06-20</t>
  </si>
  <si>
    <t xml:space="preserve">2026-06-21</t>
  </si>
  <si>
    <t xml:space="preserve">2026-06-24</t>
  </si>
  <si>
    <t xml:space="preserve">2026-06-25</t>
  </si>
  <si>
    <t xml:space="preserve">2026-06-26</t>
  </si>
  <si>
    <t xml:space="preserve">2026-06-27</t>
  </si>
  <si>
    <t xml:space="preserve">2026-06-28</t>
  </si>
  <si>
    <t xml:space="preserve">2026-06-29</t>
  </si>
  <si>
    <t xml:space="preserve">2026-07-01</t>
  </si>
  <si>
    <t xml:space="preserve">2026-07-03</t>
  </si>
  <si>
    <t xml:space="preserve">2026-07-04</t>
  </si>
  <si>
    <t xml:space="preserve">2026-07-05</t>
  </si>
  <si>
    <t xml:space="preserve">2026-07-06</t>
  </si>
  <si>
    <t xml:space="preserve">2026-07-07</t>
  </si>
  <si>
    <t xml:space="preserve">2026-07-08</t>
  </si>
  <si>
    <t xml:space="preserve">2026-07-09</t>
  </si>
  <si>
    <t xml:space="preserve">2026-07-10</t>
  </si>
  <si>
    <t xml:space="preserve">2026-07-11</t>
  </si>
  <si>
    <t xml:space="preserve">2026-07-12</t>
  </si>
  <si>
    <t xml:space="preserve">2026-07-13</t>
  </si>
  <si>
    <t xml:space="preserve">2026-07-14</t>
  </si>
  <si>
    <t xml:space="preserve">2026-07-15</t>
  </si>
  <si>
    <t xml:space="preserve">2026-07-16</t>
  </si>
  <si>
    <t xml:space="preserve">2026-07-17</t>
  </si>
  <si>
    <t xml:space="preserve">2026-07-18</t>
  </si>
  <si>
    <t xml:space="preserve">2026-07-19</t>
  </si>
  <si>
    <t xml:space="preserve">2026-07-20</t>
  </si>
  <si>
    <t xml:space="preserve">2026-07-21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</si>
  <si>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</si>
  <si>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</si>
  <si>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</si>
  <si>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</si>
  <si>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2026-07-28</t>
  </si>
  <si>
    <t xml:space="preserve">2026-07-29</t>
  </si>
  <si>
    <t xml:space="preserve">2026-07-30</t>
  </si>
  <si>
    <t xml:space="preserve">2026-08-01</t>
  </si>
  <si>
    <t xml:space="preserve">2026-08-02</t>
  </si>
  <si>
    <t xml:space="preserve">2026-08-03</t>
  </si>
  <si>
    <t xml:space="preserve">2026-08-04</t>
  </si>
  <si>
    <t xml:space="preserve">2026-08-05</t>
  </si>
  <si>
    <t xml:space="preserve">2026-08-06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</si>
  <si>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</si>
  <si>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</si>
  <si>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</si>
  <si>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</si>
  <si>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</si>
  <si>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</si>
  <si>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</si>
  <si>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</si>
  <si>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</si>
  <si>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</si>
  <si>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</si>
  <si>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</si>
  <si>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</si>
  <si>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</si>
  <si>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</si>
  <si>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</si>
  <si>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</si>
  <si>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</si>
  <si>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</si>
  <si>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</si>
  <si>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</si>
  <si>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</si>
  <si>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2026-08-30</t>
  </si>
  <si>
    <t xml:space="preserve">2026-09-01</t>
  </si>
  <si>
    <t xml:space="preserve">2026-08-31</t>
  </si>
  <si>
    <t xml:space="preserve">2026-09-02</t>
  </si>
  <si>
    <t xml:space="preserve">2026-09-03</t>
  </si>
  <si>
    <t xml:space="preserve">2026-09-04</t>
  </si>
  <si>
    <t xml:space="preserve">2026-09-05</t>
  </si>
  <si>
    <t xml:space="preserve">2026-09-06</t>
  </si>
  <si>
    <t xml:space="preserve">2026-09-07</t>
  </si>
  <si>
    <t xml:space="preserve">2026-09-08</t>
  </si>
  <si>
    <t xml:space="preserve">2026-09-09</t>
  </si>
  <si>
    <t xml:space="preserve">2026-09-10</t>
  </si>
  <si>
    <t xml:space="preserve">2026-09-11</t>
  </si>
  <si>
    <t xml:space="preserve">2026-09-12</t>
  </si>
  <si>
    <t xml:space="preserve">2026-09-13</t>
  </si>
  <si>
    <t xml:space="preserve">2026-09-14</t>
  </si>
  <si>
    <t xml:space="preserve">2026-09-15</t>
  </si>
  <si>
    <t xml:space="preserve">2026-09-16</t>
  </si>
  <si>
    <t xml:space="preserve">2026-09-17</t>
  </si>
  <si>
    <t xml:space="preserve">2026-09-19</t>
  </si>
  <si>
    <t xml:space="preserve">2026-09-20</t>
  </si>
  <si>
    <t xml:space="preserve">2026-09-21</t>
  </si>
  <si>
    <t xml:space="preserve">2026-09-23</t>
  </si>
  <si>
    <t xml:space="preserve">2026-09-24</t>
  </si>
  <si>
    <t xml:space="preserve">2026-09-25</t>
  </si>
  <si>
    <t xml:space="preserve">2026-09-26</t>
  </si>
  <si>
    <t xml:space="preserve">2026-09-27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</si>
  <si>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</si>
  <si>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</si>
  <si>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</si>
  <si>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</si>
  <si>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2026-10-03</t>
  </si>
  <si>
    <t xml:space="preserve">2026-10-04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</si>
  <si>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</si>
  <si>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</si>
  <si>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</si>
  <si>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</si>
  <si>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</si>
  <si>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2026-10-10</t>
  </si>
  <si>
    <t xml:space="preserve">2026-10-12</t>
  </si>
  <si>
    <t xml:space="preserve">2026-10-13</t>
  </si>
  <si>
    <t xml:space="preserve">2026-10-14</t>
  </si>
  <si>
    <t xml:space="preserve">2025-09-03</t>
  </si>
  <si>
    <t xml:space="preserve">Sterile</t>
  </si>
  <si>
    <t xml:space="preserve">2025-12-26</t>
  </si>
  <si>
    <t xml:space="preserve">2025-12-29</t>
  </si>
  <si>
    <t xml:space="preserve">2026-01-23</t>
  </si>
  <si>
    <t xml:space="preserve">2026-02-14</t>
  </si>
  <si>
    <t xml:space="preserve">2026-03-15</t>
  </si>
  <si>
    <t xml:space="preserve">2026-05-29</t>
  </si>
  <si>
    <t xml:space="preserve">2026-06-13</t>
  </si>
  <si>
    <t xml:space="preserve">2026-06-22</t>
  </si>
  <si>
    <t xml:space="preserve">2026-07-02</t>
  </si>
  <si>
    <t xml:space="preserve">2026-07-22</t>
  </si>
  <si>
    <t xml:space="preserve">2026-09-22</t>
  </si>
  <si>
    <t xml:space="preserve">2026-09-29</t>
  </si>
  <si>
    <t xml:space="preserve">Notas e definições</t>
  </si>
  <si>
    <t xml:space="preserve">Fonte</t>
  </si>
  <si>
    <t xml:space="preserve">Relatório zootécnico diário ("Zootécnico Jorge atualizado DD-MM-AAAA.xlsx"), um arquivo por dia. A data de cada coluna é a data escrita no nome do arquivo.</t>
  </si>
  <si>
    <t xml:space="preserve">Dias exibidos</t>
  </si>
  <si>
    <t xml:space="preserve">Os 10 relatórios mais recentes guardados em dados/zootecnico. Ao entrar um dia novo, o mais antigo sai da tabela (o arquivo continua guardado). A aba Dados traz também o dia anterior ao primeiro exibido, para as comparações.</t>
  </si>
  <si>
    <t xml:space="preserve">Atualização</t>
  </si>
  <si>
    <t xml:space="preserve">python3 scripts/monitor_diario.py &lt;novo_relatorio.xlsx&gt; — guarda o relatório como Zootecnico_AAAA-MM-DD.xlsx e refaz esta planilha. Um relatório novo da mesma data substitui o anterior.</t>
  </si>
  <si>
    <t xml:space="preserve">Adultos / jovens</t>
  </si>
  <si>
    <t xml:space="preserve">Adultos: LACT &gt; 0. Jovens: LACT = 0 (inclui machos).</t>
  </si>
  <si>
    <t xml:space="preserve">Vacas em lactação</t>
  </si>
  <si>
    <t xml:space="preserve">Adultas (LACT &gt; 0) nos lotes 1, 2, 3, 4, 5, 6 e 10. O lote 10 são vacas em tratamento com leite descartado.</t>
  </si>
  <si>
    <t xml:space="preserve">DEL médio</t>
  </si>
  <si>
    <t xml:space="preserve">Média de DEL das vacas em lactação.</t>
  </si>
  <si>
    <t xml:space="preserve">Produção 24 h</t>
  </si>
  <si>
    <t xml:space="preserve">Média da coluna Leite das vacas em lactação com Leite &gt; 0 (lotes 1 a 6 e 10). Por lote: adultas do lote com Leite &gt; 0.</t>
  </si>
  <si>
    <t xml:space="preserve">Valor de entrada (azul/amarelo), lido de dados/leite_vendido.json. Será preenchido a partir do PDF do laticínio.</t>
  </si>
  <si>
    <t xml:space="preserve">Gestantes</t>
  </si>
  <si>
    <t xml:space="preserve">DDP (dias de prenhez) ≥ 1. Vacas gestantes inclui secas.</t>
  </si>
  <si>
    <t xml:space="preserve">DEL &gt; 150 não gestantes</t>
  </si>
  <si>
    <t xml:space="preserve">Vacas em lactação com DEL acima do parâmetro e DDP vazio.</t>
  </si>
  <si>
    <t xml:space="preserve">Adultas com StatRepro = DNB ou Dry DNB.</t>
  </si>
  <si>
    <t xml:space="preserve">DEL &gt; 70 sem IA</t>
  </si>
  <si>
    <t xml:space="preserve">Vacas em lactação com DEL acima do parâmetro e NumIAs = 0.</t>
  </si>
  <si>
    <t xml:space="preserve">Começaram a lactação</t>
  </si>
  <si>
    <t xml:space="preserve">Vacas em lactação no dia que não estavam em lactação (ou não estavam no relatório) no dia anterior. Comparação por brinco.</t>
  </si>
  <si>
    <t xml:space="preserve">Saída de adultos</t>
  </si>
  <si>
    <t xml:space="preserve">Adultos que estavam no relatório do dia anterior e não estão no do dia.</t>
  </si>
  <si>
    <t xml:space="preserve">Entradas: adultas no lote 10 no dia que não estavam no lote 10 no dia anterior. Saídas: estavam no lote 10 no dia anterior e no dia estão em outro lote ou saíram do relatório. Saldo = entradas − saídas.</t>
  </si>
  <si>
    <t xml:space="preserve">Comparações</t>
  </si>
  <si>
    <t xml:space="preserve">"Dia anterior" é o relatório anterior guardado. Sem ele, a célula fica vazia. Se faltar um dia, a comparação é com o último relatório que existe.</t>
  </si>
  <si>
    <t xml:space="preserve">Média (DP)</t>
  </si>
  <si>
    <t xml:space="preserve">Linhas de produção média: a célula traz a média e, entre parênteses, o desvio padrão amostral (n − 1) do Leite. A variação compara só as médias.</t>
  </si>
  <si>
    <t xml:space="preserve">Blocos complementares</t>
  </si>
  <si>
    <t xml:space="preserve">Indicadores da primeira versão. Leite do tanque = lotes 1 a 6; o lote 10 aparece como leite descartado. Secas = adultas fora dos lotes 1 a 6 e 10. Novilhas = jovens sem machos e sem Youngstock.</t>
  </si>
  <si>
    <t xml:space="preserve">Jovens ≥ 3 meses</t>
  </si>
  <si>
    <t xml:space="preserve">IdadeDias ≥ parâmetro (90 dias).</t>
  </si>
  <si>
    <t xml:space="preserve">Novilhas atrasadas</t>
  </si>
  <si>
    <t xml:space="preserve">LACT = 0, exceto machos, com IdadeDias acima do parâmetro (456 dias ≈ 15 meses) e DDP vazio.</t>
  </si>
  <si>
    <t xml:space="preserve">Variação</t>
  </si>
  <si>
    <t xml:space="preserve">Último dia menos o dia anterior exibido. Verde = subiu, vermelho = caiu (a cor não indica se é bom ou ruim).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</si>
</sst>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0"/>
    <numFmt numFmtId="167" formatCode="0.0"/>
    <numFmt numFmtId="168" formatCode="#,##0"/>
    <numFmt numFmtId="169" formatCode="0.0%"/>
    <numFmt numFmtId="170" formatCode="0.00"/>
  </numFmts>
  <fonts count="13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8B"/>
      <name val="Arial"/>
      <family val="0"/>
      <charset val="1"/>
    </font>
    <font>
      <i val="true"/>
      <sz val="9"/>
      <color rgb="FF5E6B6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Calibri"/>
      <family val="2"/>
      <charset val="1"/>
    </font>
    <font>
      <sz val="9"/>
      <color rgb="FF5E6B6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6ECE8"/>
        <bgColor rgb="FFD5E3EC"/>
      </patternFill>
    </fill>
    <fill>
      <patternFill patternType="solid">
        <fgColor rgb="FF1F5F8B"/>
        <bgColor rgb="FF008080"/>
      </patternFill>
    </fill>
    <fill>
      <patternFill patternType="solid">
        <fgColor rgb="FFF5F8F6"/>
        <bgColor rgb="FFFFFFFF"/>
      </patternFill>
    </fill>
    <fill>
      <patternFill patternType="solid">
        <fgColor rgb="FFFFF6D6"/>
        <bgColor rgb="FFF5F8F6"/>
      </patternFill>
    </fill>
    <fill>
      <patternFill patternType="solid">
        <fgColor rgb="FFD5E3EC"/>
        <bgColor rgb="FFE6EC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CB"/>
      </left>
      <right style="thin">
        <color rgb="FFC9D1CB"/>
      </right>
      <top style="thin">
        <color rgb="FFC9D1CB"/>
      </top>
      <bottom style="thin">
        <color rgb="FFC9D1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7B45"/>
      </font>
    </dxf>
    <dxf>
      <font>
        <name val="Arial"/>
        <charset val="1"/>
        <family val="0"/>
        <b val="1"/>
        <color rgb="FFB03A2E"/>
      </font>
    </dxf>
    <dxf>
      <fill>
        <patternFill patternType="solid">
          <fgColor rgb="FFE6EC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3E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5"/>
      <rgbColor rgb="FFC9D1CB"/>
      <rgbColor rgb="FF808080"/>
      <rgbColor rgb="FF9999FF"/>
      <rgbColor rgb="FF993366"/>
      <rgbColor rgb="FFFFF6D6"/>
      <rgbColor rgb="FFE6ECE8"/>
      <rgbColor rgb="FF660066"/>
      <rgbColor rgb="FFFF8080"/>
      <rgbColor rgb="FF1F5F8B"/>
      <rgbColor rgb="FFD5E3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8F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63"/>
      <rgbColor rgb="FF969696"/>
      <rgbColor rgb="FF003366"/>
      <rgbColor rgb="FF339966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"/>
    <col collapsed="false" customWidth="true" hidden="false" outlineLevel="0" max="3" min="3" style="0" width="11.5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4" t="n">
        <v>46309</v>
      </c>
      <c r="D4" s="3" t="s">
        <v>4</v>
      </c>
    </row>
    <row r="5" customFormat="false" ht="15" hidden="false" customHeight="false" outlineLevel="0" collapsed="false">
      <c r="A5" s="5" t="s">
        <v>5</v>
      </c>
      <c r="B5" s="6"/>
      <c r="C5" s="6"/>
      <c r="D5" s="6"/>
    </row>
    <row r="6" customFormat="false" ht="15" hidden="false" customHeight="false" outlineLevel="0" collapsed="false">
      <c r="A6" s="7" t="s">
        <v>6</v>
      </c>
      <c r="B6" s="8" t="s">
        <v>7</v>
      </c>
      <c r="C6" s="9" t="n">
        <f aca="false">COUNTIFS(Dados!$A$2:$A$3971,C$4,Dados!$E$2:$E$3971,"&gt;0")</f>
        <v>1856</v>
      </c>
      <c r="D6" s="10"/>
    </row>
    <row r="7" customFormat="false" ht="15" hidden="false" customHeight="false" outlineLevel="0" collapsed="false">
      <c r="A7" s="11" t="s">
        <v>8</v>
      </c>
      <c r="B7" s="12" t="s">
        <v>7</v>
      </c>
      <c r="C7" s="13" t="n">
        <f aca="false">COUNTIFS(Dados!$A$2:$A$3971,C$4,Dados!$X$2:$X$3971,1)</f>
        <v>1652</v>
      </c>
      <c r="D7" s="14"/>
    </row>
    <row r="8" customFormat="false" ht="15" hidden="false" customHeight="false" outlineLevel="0" collapsed="false">
      <c r="A8" s="7" t="s">
        <v>9</v>
      </c>
      <c r="B8" s="8" t="s">
        <v>10</v>
      </c>
      <c r="C8" s="9" t="n">
        <f aca="false">IFERROR(AVERAGEIFS(Dados!$D$2:$D$3971,Dados!$A$2:$A$3971,C$4,Dados!$X$2:$X$3971,1),"")</f>
        <v>187.771791767554</v>
      </c>
      <c r="D8" s="10"/>
    </row>
    <row r="9" customFormat="false" ht="15" hidden="false" customHeight="false" outlineLevel="0" collapsed="false">
      <c r="A9" s="11" t="s">
        <v>11</v>
      </c>
      <c r="B9" s="12" t="s">
        <v>12</v>
      </c>
      <c r="C9" s="15" t="str">
        <f aca="false">IF(SUMPRODUCT((Dados!$A$2:$A$3971=C$4)*(Dados!$X$2:$X$3971=1)*(Dados!$G$2:$G$3971&gt;0))=0,"",IF(SUMPRODUCT((Dados!$A$2:$A$3971=C$4)*(Dados!$X$2:$X$3971=1)*(Dados!$G$2:$G$3971&gt;0))&lt;2,FIXED(SUMPRODUCT((Dados!$A$2:$A$3971=C$4)*(Dados!$X$2:$X$3971=1)*(Dados!$G$2:$G$3971&gt;0),Dados!$G$2:$G$3971)/SUMPRODUCT((Dados!$A$2:$A$3971=C$4)*(Dados!$X$2:$X$3971=1)*(Dados!$G$2:$G$3971&gt;0)),1,TRUE()),FIXED(SUMPRODUCT((Dados!$A$2:$A$3971=C$4)*(Dados!$X$2:$X$3971=1)*(Dados!$G$2:$G$3971&gt;0),Dados!$G$2:$G$3971)/SUMPRODUCT((Dados!$A$2:$A$3971=C$4)*(Dados!$X$2:$X$3971=1)*(Dados!$G$2:$G$3971&gt;0)),1,TRUE())&amp;" ("&amp;FIXED(SQRT(MAX(0,(SUMPRODUCT((Dados!$A$2:$A$3971=C$4)*(Dados!$X$2:$X$3971=1)*(Dados!$G$2:$G$3971&gt;0),Dados!$G$2:$G$3971,Dados!$G$2:$G$3971)-SUMPRODUCT((Dados!$A$2:$A$3971=C$4)*(Dados!$X$2:$X$3971=1)*(Dados!$G$2:$G$3971&gt;0),Dados!$G$2:$G$3971)^2/SUMPRODUCT((Dados!$A$2:$A$3971=C$4)*(Dados!$X$2:$X$3971=1)*(Dados!$G$2:$G$3971&gt;0)))/(SUMPRODUCT((Dados!$A$2:$A$3971=C$4)*(Dados!$X$2:$X$3971=1)*(Dados!$G$2:$G$3971&gt;0))-1))),1,TRUE())&amp;")"))</f>
        <v>43.3 (12.4)</v>
      </c>
      <c r="D9" s="14"/>
    </row>
    <row r="10" customFormat="false" ht="15" hidden="false" customHeight="false" outlineLevel="0" collapsed="false">
      <c r="A10" s="7" t="s">
        <v>13</v>
      </c>
      <c r="B10" s="8" t="s">
        <v>12</v>
      </c>
      <c r="C10" s="16" t="str">
        <f aca="false">IF(SUMPRODUCT((Dados!$A$2:$A$3971=C$4)*(Dados!$E$2:$E$3971&gt;0)*(Dados!$B$2:$B$3971=1)*(Dados!$G$2:$G$3971&gt;0))=0,"",IF(SUMPRODUCT((Dados!$A$2:$A$3971=C$4)*(Dados!$E$2:$E$3971&gt;0)*(Dados!$B$2:$B$3971=1)*(Dados!$G$2:$G$3971&gt;0))&lt;2,FIXED(SUMPRODUCT((Dados!$A$2:$A$3971=C$4)*(Dados!$E$2:$E$3971&gt;0)*(Dados!$B$2:$B$3971=1)*(Dados!$G$2:$G$3971&gt;0),Dados!$G$2:$G$3971)/SUMPRODUCT((Dados!$A$2:$A$3971=C$4)*(Dados!$E$2:$E$3971&gt;0)*(Dados!$B$2:$B$3971=1)*(Dados!$G$2:$G$3971&gt;0)),1,TRUE()),FIXED(SUMPRODUCT((Dados!$A$2:$A$3971=C$4)*(Dados!$E$2:$E$3971&gt;0)*(Dados!$B$2:$B$3971=1)*(Dados!$G$2:$G$3971&gt;0),Dados!$G$2:$G$3971)/SUMPRODUCT((Dados!$A$2:$A$3971=C$4)*(Dados!$E$2:$E$3971&gt;0)*(Dados!$B$2:$B$3971=1)*(Dados!$G$2:$G$3971&gt;0)),1,TRUE())&amp;" ("&amp;FIXED(SQRT(MAX(0,(SUMPRODUCT((Dados!$A$2:$A$3971=C$4)*(Dados!$E$2:$E$3971&gt;0)*(Dados!$B$2:$B$3971=1)*(Dados!$G$2:$G$3971&gt;0),Dados!$G$2:$G$3971,Dados!$G$2:$G$3971)-SUMPRODUCT((Dados!$A$2:$A$3971=C$4)*(Dados!$E$2:$E$3971&gt;0)*(Dados!$B$2:$B$3971=1)*(Dados!$G$2:$G$3971&gt;0),Dados!$G$2:$G$3971)^2/SUMPRODUCT((Dados!$A$2:$A$3971=C$4)*(Dados!$E$2:$E$3971&gt;0)*(Dados!$B$2:$B$3971=1)*(Dados!$G$2:$G$3971&gt;0)))/(SUMPRODUCT((Dados!$A$2:$A$3971=C$4)*(Dados!$E$2:$E$3971&gt;0)*(Dados!$B$2:$B$3971=1)*(Dados!$G$2:$G$3971&gt;0))-1))),1,TRUE())&amp;")"))</f>
        <v>43.6 (10.1)</v>
      </c>
      <c r="D10" s="10"/>
    </row>
    <row r="11" customFormat="false" ht="15" hidden="false" customHeight="false" outlineLevel="0" collapsed="false">
      <c r="A11" s="11" t="s">
        <v>14</v>
      </c>
      <c r="B11" s="12" t="s">
        <v>12</v>
      </c>
      <c r="C11" s="15" t="str">
        <f aca="false">IF(SUMPRODUCT((Dados!$A$2:$A$3971=C$4)*(Dados!$E$2:$E$3971&gt;0)*(Dados!$B$2:$B$3971=2)*(Dados!$G$2:$G$3971&gt;0))=0,"",IF(SUMPRODUCT((Dados!$A$2:$A$3971=C$4)*(Dados!$E$2:$E$3971&gt;0)*(Dados!$B$2:$B$3971=2)*(Dados!$G$2:$G$3971&gt;0))&lt;2,FIXED(SUMPRODUCT((Dados!$A$2:$A$3971=C$4)*(Dados!$E$2:$E$3971&gt;0)*(Dados!$B$2:$B$3971=2)*(Dados!$G$2:$G$3971&gt;0),Dados!$G$2:$G$3971)/SUMPRODUCT((Dados!$A$2:$A$3971=C$4)*(Dados!$E$2:$E$3971&gt;0)*(Dados!$B$2:$B$3971=2)*(Dados!$G$2:$G$3971&gt;0)),1,TRUE()),FIXED(SUMPRODUCT((Dados!$A$2:$A$3971=C$4)*(Dados!$E$2:$E$3971&gt;0)*(Dados!$B$2:$B$3971=2)*(Dados!$G$2:$G$3971&gt;0),Dados!$G$2:$G$3971)/SUMPRODUCT((Dados!$A$2:$A$3971=C$4)*(Dados!$E$2:$E$3971&gt;0)*(Dados!$B$2:$B$3971=2)*(Dados!$G$2:$G$3971&gt;0)),1,TRUE())&amp;" ("&amp;FIXED(SQRT(MAX(0,(SUMPRODUCT((Dados!$A$2:$A$3971=C$4)*(Dados!$E$2:$E$3971&gt;0)*(Dados!$B$2:$B$3971=2)*(Dados!$G$2:$G$3971&gt;0),Dados!$G$2:$G$3971,Dados!$G$2:$G$3971)-SUMPRODUCT((Dados!$A$2:$A$3971=C$4)*(Dados!$E$2:$E$3971&gt;0)*(Dados!$B$2:$B$3971=2)*(Dados!$G$2:$G$3971&gt;0),Dados!$G$2:$G$3971)^2/SUMPRODUCT((Dados!$A$2:$A$3971=C$4)*(Dados!$E$2:$E$3971&gt;0)*(Dados!$B$2:$B$3971=2)*(Dados!$G$2:$G$3971&gt;0)))/(SUMPRODUCT((Dados!$A$2:$A$3971=C$4)*(Dados!$E$2:$E$3971&gt;0)*(Dados!$B$2:$B$3971=2)*(Dados!$G$2:$G$3971&gt;0))-1))),1,TRUE())&amp;")"))</f>
        <v>53.4 (9.4)</v>
      </c>
      <c r="D11" s="14"/>
    </row>
    <row r="12" customFormat="false" ht="15" hidden="false" customHeight="false" outlineLevel="0" collapsed="false">
      <c r="A12" s="7" t="s">
        <v>15</v>
      </c>
      <c r="B12" s="8" t="s">
        <v>12</v>
      </c>
      <c r="C12" s="16" t="str">
        <f aca="false">IF(SUMPRODUCT((Dados!$A$2:$A$3971=C$4)*(Dados!$E$2:$E$3971&gt;0)*(Dados!$B$2:$B$3971=3)*(Dados!$G$2:$G$3971&gt;0))=0,"",IF(SUMPRODUCT((Dados!$A$2:$A$3971=C$4)*(Dados!$E$2:$E$3971&gt;0)*(Dados!$B$2:$B$3971=3)*(Dados!$G$2:$G$3971&gt;0))&lt;2,FIXED(SUMPRODUCT((Dados!$A$2:$A$3971=C$4)*(Dados!$E$2:$E$3971&gt;0)*(Dados!$B$2:$B$3971=3)*(Dados!$G$2:$G$3971&gt;0),Dados!$G$2:$G$3971)/SUMPRODUCT((Dados!$A$2:$A$3971=C$4)*(Dados!$E$2:$E$3971&gt;0)*(Dados!$B$2:$B$3971=3)*(Dados!$G$2:$G$3971&gt;0)),1,TRUE()),FIXED(SUMPRODUCT((Dados!$A$2:$A$3971=C$4)*(Dados!$E$2:$E$3971&gt;0)*(Dados!$B$2:$B$3971=3)*(Dados!$G$2:$G$3971&gt;0),Dados!$G$2:$G$3971)/SUMPRODUCT((Dados!$A$2:$A$3971=C$4)*(Dados!$E$2:$E$3971&gt;0)*(Dados!$B$2:$B$3971=3)*(Dados!$G$2:$G$3971&gt;0)),1,TRUE())&amp;" ("&amp;FIXED(SQRT(MAX(0,(SUMPRODUCT((Dados!$A$2:$A$3971=C$4)*(Dados!$E$2:$E$3971&gt;0)*(Dados!$B$2:$B$3971=3)*(Dados!$G$2:$G$3971&gt;0),Dados!$G$2:$G$3971,Dados!$G$2:$G$3971)-SUMPRODUCT((Dados!$A$2:$A$3971=C$4)*(Dados!$E$2:$E$3971&gt;0)*(Dados!$B$2:$B$3971=3)*(Dados!$G$2:$G$3971&gt;0),Dados!$G$2:$G$3971)^2/SUMPRODUCT((Dados!$A$2:$A$3971=C$4)*(Dados!$E$2:$E$3971&gt;0)*(Dados!$B$2:$B$3971=3)*(Dados!$G$2:$G$3971&gt;0)))/(SUMPRODUCT((Dados!$A$2:$A$3971=C$4)*(Dados!$E$2:$E$3971&gt;0)*(Dados!$B$2:$B$3971=3)*(Dados!$G$2:$G$3971&gt;0))-1))),1,TRUE())&amp;")"))</f>
        <v>54.7 (10.7)</v>
      </c>
      <c r="D12" s="10"/>
    </row>
    <row r="13" customFormat="false" ht="15" hidden="false" customHeight="false" outlineLevel="0" collapsed="false">
      <c r="A13" s="11" t="s">
        <v>16</v>
      </c>
      <c r="B13" s="12" t="s">
        <v>12</v>
      </c>
      <c r="C13" s="15" t="str">
        <f aca="false">IF(SUMPRODUCT((Dados!$A$2:$A$3971=C$4)*(Dados!$E$2:$E$3971&gt;0)*(Dados!$B$2:$B$3971=4)*(Dados!$G$2:$G$3971&gt;0))=0,"",IF(SUMPRODUCT((Dados!$A$2:$A$3971=C$4)*(Dados!$E$2:$E$3971&gt;0)*(Dados!$B$2:$B$3971=4)*(Dados!$G$2:$G$3971&gt;0))&lt;2,FIXED(SUMPRODUCT((Dados!$A$2:$A$3971=C$4)*(Dados!$E$2:$E$3971&gt;0)*(Dados!$B$2:$B$3971=4)*(Dados!$G$2:$G$3971&gt;0),Dados!$G$2:$G$3971)/SUMPRODUCT((Dados!$A$2:$A$3971=C$4)*(Dados!$E$2:$E$3971&gt;0)*(Dados!$B$2:$B$3971=4)*(Dados!$G$2:$G$3971&gt;0)),1,TRUE()),FIXED(SUMPRODUCT((Dados!$A$2:$A$3971=C$4)*(Dados!$E$2:$E$3971&gt;0)*(Dados!$B$2:$B$3971=4)*(Dados!$G$2:$G$3971&gt;0),Dados!$G$2:$G$3971)/SUMPRODUCT((Dados!$A$2:$A$3971=C$4)*(Dados!$E$2:$E$3971&gt;0)*(Dados!$B$2:$B$3971=4)*(Dados!$G$2:$G$3971&gt;0)),1,TRUE())&amp;" ("&amp;FIXED(SQRT(MAX(0,(SUMPRODUCT((Dados!$A$2:$A$3971=C$4)*(Dados!$E$2:$E$3971&gt;0)*(Dados!$B$2:$B$3971=4)*(Dados!$G$2:$G$3971&gt;0),Dados!$G$2:$G$3971,Dados!$G$2:$G$3971)-SUMPRODUCT((Dados!$A$2:$A$3971=C$4)*(Dados!$E$2:$E$3971&gt;0)*(Dados!$B$2:$B$3971=4)*(Dados!$G$2:$G$3971&gt;0),Dados!$G$2:$G$3971)^2/SUMPRODUCT((Dados!$A$2:$A$3971=C$4)*(Dados!$E$2:$E$3971&gt;0)*(Dados!$B$2:$B$3971=4)*(Dados!$G$2:$G$3971&gt;0)))/(SUMPRODUCT((Dados!$A$2:$A$3971=C$4)*(Dados!$E$2:$E$3971&gt;0)*(Dados!$B$2:$B$3971=4)*(Dados!$G$2:$G$3971&gt;0))-1))),1,TRUE())&amp;")"))</f>
        <v>45.2 (8.6)</v>
      </c>
      <c r="D13" s="14"/>
    </row>
    <row r="14" customFormat="false" ht="15" hidden="false" customHeight="false" outlineLevel="0" collapsed="false">
      <c r="A14" s="7" t="s">
        <v>17</v>
      </c>
      <c r="B14" s="8" t="s">
        <v>12</v>
      </c>
      <c r="C14" s="16" t="str">
        <f aca="false">IF(SUMPRODUCT((Dados!$A$2:$A$3971=C$4)*(Dados!$E$2:$E$3971&gt;0)*(Dados!$B$2:$B$3971=5)*(Dados!$G$2:$G$3971&gt;0))=0,"",IF(SUMPRODUCT((Dados!$A$2:$A$3971=C$4)*(Dados!$E$2:$E$3971&gt;0)*(Dados!$B$2:$B$3971=5)*(Dados!$G$2:$G$3971&gt;0))&lt;2,FIXED(SUMPRODUCT((Dados!$A$2:$A$3971=C$4)*(Dados!$E$2:$E$3971&gt;0)*(Dados!$B$2:$B$3971=5)*(Dados!$G$2:$G$3971&gt;0),Dados!$G$2:$G$3971)/SUMPRODUCT((Dados!$A$2:$A$3971=C$4)*(Dados!$E$2:$E$3971&gt;0)*(Dados!$B$2:$B$3971=5)*(Dados!$G$2:$G$3971&gt;0)),1,TRUE()),FIXED(SUMPRODUCT((Dados!$A$2:$A$3971=C$4)*(Dados!$E$2:$E$3971&gt;0)*(Dados!$B$2:$B$3971=5)*(Dados!$G$2:$G$3971&gt;0),Dados!$G$2:$G$3971)/SUMPRODUCT((Dados!$A$2:$A$3971=C$4)*(Dados!$E$2:$E$3971&gt;0)*(Dados!$B$2:$B$3971=5)*(Dados!$G$2:$G$3971&gt;0)),1,TRUE())&amp;" ("&amp;FIXED(SQRT(MAX(0,(SUMPRODUCT((Dados!$A$2:$A$3971=C$4)*(Dados!$E$2:$E$3971&gt;0)*(Dados!$B$2:$B$3971=5)*(Dados!$G$2:$G$3971&gt;0),Dados!$G$2:$G$3971,Dados!$G$2:$G$3971)-SUMPRODUCT((Dados!$A$2:$A$3971=C$4)*(Dados!$E$2:$E$3971&gt;0)*(Dados!$B$2:$B$3971=5)*(Dados!$G$2:$G$3971&gt;0),Dados!$G$2:$G$3971)^2/SUMPRODUCT((Dados!$A$2:$A$3971=C$4)*(Dados!$E$2:$E$3971&gt;0)*(Dados!$B$2:$B$3971=5)*(Dados!$G$2:$G$3971&gt;0)))/(SUMPRODUCT((Dados!$A$2:$A$3971=C$4)*(Dados!$E$2:$E$3971&gt;0)*(Dados!$B$2:$B$3971=5)*(Dados!$G$2:$G$3971&gt;0))-1))),1,TRUE())&amp;")"))</f>
        <v>38.0 (7.7)</v>
      </c>
      <c r="D14" s="10"/>
    </row>
    <row r="15" customFormat="false" ht="15" hidden="false" customHeight="false" outlineLevel="0" collapsed="false">
      <c r="A15" s="11" t="s">
        <v>18</v>
      </c>
      <c r="B15" s="12" t="s">
        <v>12</v>
      </c>
      <c r="C15" s="15" t="str">
        <f aca="false">IF(SUMPRODUCT((Dados!$A$2:$A$3971=C$4)*(Dados!$E$2:$E$3971&gt;0)*(Dados!$B$2:$B$3971=6)*(Dados!$G$2:$G$3971&gt;0))=0,"",IF(SUMPRODUCT((Dados!$A$2:$A$3971=C$4)*(Dados!$E$2:$E$3971&gt;0)*(Dados!$B$2:$B$3971=6)*(Dados!$G$2:$G$3971&gt;0))&lt;2,FIXED(SUMPRODUCT((Dados!$A$2:$A$3971=C$4)*(Dados!$E$2:$E$3971&gt;0)*(Dados!$B$2:$B$3971=6)*(Dados!$G$2:$G$3971&gt;0),Dados!$G$2:$G$3971)/SUMPRODUCT((Dados!$A$2:$A$3971=C$4)*(Dados!$E$2:$E$3971&gt;0)*(Dados!$B$2:$B$3971=6)*(Dados!$G$2:$G$3971&gt;0)),1,TRUE()),FIXED(SUMPRODUCT((Dados!$A$2:$A$3971=C$4)*(Dados!$E$2:$E$3971&gt;0)*(Dados!$B$2:$B$3971=6)*(Dados!$G$2:$G$3971&gt;0),Dados!$G$2:$G$3971)/SUMPRODUCT((Dados!$A$2:$A$3971=C$4)*(Dados!$E$2:$E$3971&gt;0)*(Dados!$B$2:$B$3971=6)*(Dados!$G$2:$G$3971&gt;0)),1,TRUE())&amp;" ("&amp;FIXED(SQRT(MAX(0,(SUMPRODUCT((Dados!$A$2:$A$3971=C$4)*(Dados!$E$2:$E$3971&gt;0)*(Dados!$B$2:$B$3971=6)*(Dados!$G$2:$G$3971&gt;0),Dados!$G$2:$G$3971,Dados!$G$2:$G$3971)-SUMPRODUCT((Dados!$A$2:$A$3971=C$4)*(Dados!$E$2:$E$3971&gt;0)*(Dados!$B$2:$B$3971=6)*(Dados!$G$2:$G$3971&gt;0),Dados!$G$2:$G$3971)^2/SUMPRODUCT((Dados!$A$2:$A$3971=C$4)*(Dados!$E$2:$E$3971&gt;0)*(Dados!$B$2:$B$3971=6)*(Dados!$G$2:$G$3971&gt;0)))/(SUMPRODUCT((Dados!$A$2:$A$3971=C$4)*(Dados!$E$2:$E$3971&gt;0)*(Dados!$B$2:$B$3971=6)*(Dados!$G$2:$G$3971&gt;0))-1))),1,TRUE())&amp;")"))</f>
        <v>25.0 (6.4)</v>
      </c>
      <c r="D15" s="14"/>
    </row>
    <row r="16" customFormat="false" ht="15" hidden="false" customHeight="false" outlineLevel="0" collapsed="false">
      <c r="A16" s="7" t="s">
        <v>19</v>
      </c>
      <c r="B16" s="8" t="s">
        <v>7</v>
      </c>
      <c r="C16" s="9" t="n">
        <f aca="false">COUNTIFS(Dados!$A$2:$A$3971,C$4,Dados!$E$2:$E$3971,"&gt;0",Dados!$B$2:$B$3971,10)</f>
        <v>57</v>
      </c>
      <c r="D16" s="10"/>
    </row>
    <row r="17" customFormat="false" ht="15" hidden="false" customHeight="false" outlineLevel="0" collapsed="false">
      <c r="A17" s="7" t="s">
        <v>20</v>
      </c>
      <c r="B17" s="8" t="s">
        <v>21</v>
      </c>
      <c r="C17" s="17"/>
      <c r="D17" s="10"/>
    </row>
    <row r="18" customFormat="false" ht="15" hidden="false" customHeight="false" outlineLevel="0" collapsed="false">
      <c r="A18" s="7" t="s">
        <v>22</v>
      </c>
      <c r="B18" s="8" t="s">
        <v>7</v>
      </c>
      <c r="C18" s="9" t="n">
        <f aca="false">COUNTIFS(Dados!$A$2:$A$3971,C$4,Dados!$E$2:$E$3971,"&gt;0",Dados!$L$2:$L$3971,"&gt;=1")</f>
        <v>988</v>
      </c>
      <c r="D18" s="10"/>
    </row>
    <row r="19" customFormat="false" ht="15" hidden="false" customHeight="false" outlineLevel="0" collapsed="false">
      <c r="A19" s="11" t="s">
        <v>23</v>
      </c>
      <c r="B19" s="12" t="s">
        <v>7</v>
      </c>
      <c r="C19" s="13" t="n">
        <f aca="false">COUNTIFS(Dados!$A$2:$A$3971,C$4,Dados!$X$2:$X$3971,1,Dados!$D$2:$D$3971,"&gt;"&amp;P_DEL_NG&amp;"")-COUNTIFS(Dados!$A$2:$A$3971,C$4,Dados!$X$2:$X$3971,1,Dados!$D$2:$D$3971,"&gt;"&amp;P_DEL_NG&amp;"",Dados!$L$2:$L$3971,"&gt;=1")</f>
        <v>274</v>
      </c>
      <c r="D19" s="14"/>
    </row>
    <row r="20" customFormat="false" ht="15" hidden="false" customHeight="false" outlineLevel="0" collapsed="false">
      <c r="A20" s="7" t="s">
        <v>24</v>
      </c>
      <c r="B20" s="8" t="s">
        <v>7</v>
      </c>
      <c r="C20" s="9" t="n">
        <f aca="false">COUNTIFS(Dados!$A$2:$A$3971,C$4,Dados!$E$2:$E$3971,"&gt;0",Dados!$I$2:$I$3971,"DNB")+COUNTIFS(Dados!$A$2:$A$3971,C$4,Dados!$E$2:$E$3971,"&gt;0",Dados!$I$2:$I$3971,"Dry DNB")</f>
        <v>59</v>
      </c>
      <c r="D20" s="10"/>
    </row>
    <row r="21" customFormat="false" ht="15" hidden="false" customHeight="false" outlineLevel="0" collapsed="false">
      <c r="A21" s="11" t="s">
        <v>25</v>
      </c>
      <c r="B21" s="12" t="s">
        <v>7</v>
      </c>
      <c r="C21" s="13" t="n">
        <f aca="false">COUNTIFS(Dados!$A$2:$A$3971,C$4,Dados!$X$2:$X$3971,1,Dados!$D$2:$D$3971,"&gt;"&amp;P_DEL_SEM_IA&amp;"",Dados!$V$2:$V$3971,0)</f>
        <v>16</v>
      </c>
      <c r="D21" s="14"/>
    </row>
    <row r="22" customFormat="false" ht="15" hidden="false" customHeight="false" outlineLevel="0" collapsed="false">
      <c r="A22" s="7" t="s">
        <v>26</v>
      </c>
      <c r="B22" s="8" t="s">
        <v>7</v>
      </c>
      <c r="C22" s="9" t="str">
        <f aca="false">IF(MATCH(C$4,DATAS,0)=1,"",COUNTIFS(Dados!$A$2:$A$3971,C$4,Dados!$AB$2:$AB$3971,1))</f>
        <v/>
      </c>
      <c r="D22" s="10"/>
    </row>
    <row r="23" customFormat="false" ht="15" hidden="false" customHeight="false" outlineLevel="0" collapsed="false">
      <c r="A23" s="11" t="s">
        <v>27</v>
      </c>
      <c r="B23" s="12" t="s">
        <v>7</v>
      </c>
      <c r="C23" s="13" t="str">
        <f aca="false">IF(MATCH(C$4,DATAS,0)=1,"",COUNTIFS(Dados!$AD$2:$AD$3971,C$4))</f>
        <v/>
      </c>
      <c r="D23" s="14"/>
    </row>
    <row r="24" customFormat="false" ht="15" hidden="false" customHeight="false" outlineLevel="0" collapsed="false">
      <c r="A24" s="7" t="s">
        <v>28</v>
      </c>
      <c r="B24" s="8" t="s">
        <v>7</v>
      </c>
      <c r="C24" s="9" t="str">
        <f aca="false">IF(MATCH(C$4,DATAS,0)=1,"",COUNTIFS(Dados!$A$2:$A$3971,C$4,Dados!$AC$2:$AC$3971,1))</f>
        <v/>
      </c>
      <c r="D24" s="10"/>
    </row>
    <row r="25" customFormat="false" ht="15" hidden="false" customHeight="false" outlineLevel="0" collapsed="false">
      <c r="A25" s="11" t="s">
        <v>29</v>
      </c>
      <c r="B25" s="12" t="s">
        <v>7</v>
      </c>
      <c r="C25" s="13" t="str">
        <f aca="false">IF(MATCH(C$4,DATAS,0)=1,"",COUNTIFS(Dados!$AE$2:$AE$3971,C$4))</f>
        <v/>
      </c>
      <c r="D25" s="14"/>
    </row>
    <row r="26" customFormat="false" ht="15" hidden="false" customHeight="false" outlineLevel="0" collapsed="false">
      <c r="A26" s="7" t="s">
        <v>30</v>
      </c>
      <c r="B26" s="8" t="s">
        <v>7</v>
      </c>
      <c r="C26" s="9" t="str">
        <f aca="false">IF(MATCH(C$4,DATAS,0)=1,"",COUNTIFS(Dados!$A$2:$A$3971,C$4,Dados!$AC$2:$AC$3971,1)-COUNTIFS(Dados!$AE$2:$AE$3971,C$4))</f>
        <v/>
      </c>
      <c r="D26" s="10"/>
    </row>
    <row r="27" customFormat="false" ht="15" hidden="false" customHeight="false" outlineLevel="0" collapsed="false">
      <c r="A27" s="5" t="s">
        <v>31</v>
      </c>
      <c r="B27" s="6"/>
      <c r="C27" s="6"/>
      <c r="D27" s="6"/>
    </row>
    <row r="28" customFormat="false" ht="15" hidden="false" customHeight="false" outlineLevel="0" collapsed="false">
      <c r="A28" s="7" t="s">
        <v>32</v>
      </c>
      <c r="B28" s="8" t="s">
        <v>7</v>
      </c>
      <c r="C28" s="9" t="n">
        <f aca="false">COUNTIFS(Dados!$A$2:$A$3971,C$4,Dados!$E$2:$E$3971,0)</f>
        <v>2114</v>
      </c>
      <c r="D28" s="10"/>
    </row>
    <row r="29" customFormat="false" ht="15" hidden="false" customHeight="false" outlineLevel="0" collapsed="false">
      <c r="A29" s="11" t="s">
        <v>33</v>
      </c>
      <c r="B29" s="12" t="s">
        <v>7</v>
      </c>
      <c r="C29" s="13" t="n">
        <f aca="false">COUNTIFS(Dados!$A$2:$A$3971,C$4,Dados!$E$2:$E$3971,0,Dados!$U$2:$U$3971,"&gt;="&amp;P_IDADE_3M&amp;"")</f>
        <v>1816</v>
      </c>
      <c r="D29" s="14"/>
    </row>
    <row r="30" customFormat="false" ht="15" hidden="false" customHeight="false" outlineLevel="0" collapsed="false">
      <c r="A30" s="7" t="s">
        <v>34</v>
      </c>
      <c r="B30" s="8" t="s">
        <v>7</v>
      </c>
      <c r="C30" s="9" t="n">
        <f aca="false">COUNTIFS(Dados!$A$2:$A$3971,C$4,Dados!$E$2:$E$3971,0,Dados!$L$2:$L$3971,"&gt;=1")</f>
        <v>542</v>
      </c>
      <c r="D30" s="10"/>
    </row>
    <row r="31" customFormat="false" ht="15" hidden="false" customHeight="false" outlineLevel="0" collapsed="false">
      <c r="A31" s="11" t="s">
        <v>35</v>
      </c>
      <c r="B31" s="12" t="s">
        <v>7</v>
      </c>
      <c r="C31" s="13" t="n">
        <f aca="false">COUNTIFS(Dados!$A$2:$A$3971,C$4,Dados!$E$2:$E$3971,0,Dados!$I$2:$I$3971,"&lt;&gt;Male",Dados!$U$2:$U$3971,"&gt;"&amp;P_IDADE_15M&amp;"")-COUNTIFS(Dados!$A$2:$A$3971,C$4,Dados!$E$2:$E$3971,0,Dados!$I$2:$I$3971,"&lt;&gt;Male",Dados!$U$2:$U$3971,"&gt;"&amp;P_IDADE_15M&amp;"",Dados!$L$2:$L$3971,"&gt;=1")</f>
        <v>69</v>
      </c>
      <c r="D31" s="14"/>
    </row>
    <row r="32" customFormat="false" ht="15" hidden="false" customHeight="false" outlineLevel="0" collapsed="false">
      <c r="A32" s="5" t="s">
        <v>36</v>
      </c>
      <c r="B32" s="6"/>
      <c r="C32" s="6"/>
      <c r="D32" s="6"/>
    </row>
    <row r="33" customFormat="false" ht="15" hidden="false" customHeight="false" outlineLevel="0" collapsed="false">
      <c r="A33" s="7" t="s">
        <v>37</v>
      </c>
      <c r="B33" s="8" t="s">
        <v>7</v>
      </c>
      <c r="C33" s="9" t="n">
        <f aca="false">COUNTIFS(Dados!$A$2:$A$3971,C$4)</f>
        <v>3970</v>
      </c>
      <c r="D33" s="10"/>
    </row>
    <row r="34" customFormat="false" ht="15" hidden="false" customHeight="false" outlineLevel="0" collapsed="false">
      <c r="A34" s="11" t="s">
        <v>38</v>
      </c>
      <c r="B34" s="12" t="s">
        <v>7</v>
      </c>
      <c r="C34" s="13" t="n">
        <f aca="false">COUNTIFS(Dados!$A$2:$A$3971,C$4,Dados!$X$2:$X$3971,1,Dados!$B$2:$B$3971,"&lt;=6")</f>
        <v>1595</v>
      </c>
      <c r="D34" s="14"/>
    </row>
    <row r="35" customFormat="false" ht="15" hidden="false" customHeight="false" outlineLevel="0" collapsed="false">
      <c r="A35" s="7" t="s">
        <v>39</v>
      </c>
      <c r="B35" s="8" t="s">
        <v>7</v>
      </c>
      <c r="C35" s="9" t="n">
        <f aca="false">COUNTIFS(Dados!$A$2:$A$3971,C$4,Dados!$E$2:$E$3971,"&gt;0",Dados!$X$2:$X$3971,0)</f>
        <v>204</v>
      </c>
      <c r="D35" s="10"/>
    </row>
    <row r="36" customFormat="false" ht="15" hidden="false" customHeight="false" outlineLevel="0" collapsed="false">
      <c r="A36" s="11" t="s">
        <v>40</v>
      </c>
      <c r="B36" s="12" t="s">
        <v>7</v>
      </c>
      <c r="C36" s="13" t="n">
        <f aca="false">COUNTIFS(Dados!$A$2:$A$3971,C$4,Dados!$E$2:$E$3971,0,Dados!$I$2:$I$3971,"&lt;&gt;Male",Dados!$I$2:$I$3971,"&lt;&gt;Youngstock")</f>
        <v>750</v>
      </c>
      <c r="D36" s="14"/>
    </row>
    <row r="37" customFormat="false" ht="15" hidden="false" customHeight="false" outlineLevel="0" collapsed="false">
      <c r="A37" s="7" t="s">
        <v>41</v>
      </c>
      <c r="B37" s="8" t="s">
        <v>7</v>
      </c>
      <c r="C37" s="9" t="n">
        <f aca="false">COUNTIFS(Dados!$A$2:$A$3971,C$4,Dados!$E$2:$E$3971,0,Dados!$I$2:$I$3971,"Youngstock")</f>
        <v>1155</v>
      </c>
      <c r="D37" s="10"/>
    </row>
    <row r="38" customFormat="false" ht="15" hidden="false" customHeight="false" outlineLevel="0" collapsed="false">
      <c r="A38" s="11" t="s">
        <v>42</v>
      </c>
      <c r="B38" s="12" t="s">
        <v>7</v>
      </c>
      <c r="C38" s="13" t="n">
        <f aca="false">COUNTIFS(Dados!$A$2:$A$3971,C$4,Dados!$I$2:$I$3971,"Male")</f>
        <v>209</v>
      </c>
      <c r="D38" s="14"/>
    </row>
    <row r="39" customFormat="false" ht="15" hidden="false" customHeight="false" outlineLevel="0" collapsed="false">
      <c r="A39" s="7" t="s">
        <v>43</v>
      </c>
      <c r="B39" s="8" t="s">
        <v>7</v>
      </c>
      <c r="C39" s="9" t="n">
        <f aca="false">COUNTIFS(Dados!$A$2:$A$3971,C$4,Dados!$U$2:$U$3971,"&lt;=7")</f>
        <v>23</v>
      </c>
      <c r="D39" s="10"/>
    </row>
    <row r="40" customFormat="false" ht="15" hidden="false" customHeight="false" outlineLevel="0" collapsed="false">
      <c r="A40" s="11" t="s">
        <v>44</v>
      </c>
      <c r="B40" s="12" t="s">
        <v>7</v>
      </c>
      <c r="C40" s="13" t="n">
        <f aca="false">COUNTIFS(Dados!$A$2:$A$3971,C$4,Dados!$X$2:$X$3971,1,Dados!$D$2:$D$3971,"&lt;=21")</f>
        <v>94</v>
      </c>
      <c r="D40" s="14"/>
    </row>
    <row r="41" customFormat="false" ht="15" hidden="false" customHeight="false" outlineLevel="0" collapsed="false">
      <c r="A41" s="5" t="s">
        <v>45</v>
      </c>
      <c r="B41" s="6"/>
      <c r="C41" s="6"/>
      <c r="D41" s="6"/>
    </row>
    <row r="42" customFormat="false" ht="15" hidden="false" customHeight="false" outlineLevel="0" collapsed="false">
      <c r="A42" s="7" t="s">
        <v>46</v>
      </c>
      <c r="B42" s="8" t="s">
        <v>7</v>
      </c>
      <c r="C42" s="9" t="n">
        <f aca="false">COUNTIFS(Dados!$A$2:$A$3971,C$4,Dados!$X$2:$X$3971,1,Dados!$B$2:$B$3971,"&lt;=6",Dados!$G$2:$G$3971,"&gt;0")</f>
        <v>1547</v>
      </c>
      <c r="D42" s="10"/>
    </row>
    <row r="43" customFormat="false" ht="15" hidden="false" customHeight="false" outlineLevel="0" collapsed="false">
      <c r="A43" s="11" t="s">
        <v>47</v>
      </c>
      <c r="B43" s="12" t="s">
        <v>21</v>
      </c>
      <c r="C43" s="18" t="n">
        <f aca="false">SUMIFS(Dados!$G$2:$G$3971,Dados!$A$2:$A$3971,C$4,Dados!$X$2:$X$3971,1,Dados!$B$2:$B$3971,"&lt;=6",Dados!$G$2:$G$3971,"&gt;0")</f>
        <v>67643.4</v>
      </c>
      <c r="D43" s="14"/>
    </row>
    <row r="44" customFormat="false" ht="15" hidden="false" customHeight="false" outlineLevel="0" collapsed="false">
      <c r="A44" s="7" t="s">
        <v>48</v>
      </c>
      <c r="B44" s="8" t="s">
        <v>21</v>
      </c>
      <c r="C44" s="19" t="n">
        <f aca="false">SUMIFS(Dados!$G$2:$G$3971,Dados!$A$2:$A$3971,C$4,Dados!$X$2:$X$3971,1,Dados!$B$2:$B$3971,10,Dados!$G$2:$G$3971,"&gt;0")</f>
        <v>767.8</v>
      </c>
      <c r="D44" s="10"/>
    </row>
    <row r="45" customFormat="false" ht="15" hidden="false" customHeight="false" outlineLevel="0" collapsed="false">
      <c r="A45" s="11" t="s">
        <v>49</v>
      </c>
      <c r="B45" s="12" t="s">
        <v>50</v>
      </c>
      <c r="C45" s="20" t="n">
        <f aca="false">IFERROR(SUMIFS(Dados!$G$2:$G$3971,Dados!$A$2:$A$3971,C$4,Dados!$X$2:$X$3971,1,Dados!$B$2:$B$3971,10,Dados!$G$2:$G$3971,"&gt;0")/(SUMIFS(Dados!$G$2:$G$3971,Dados!$A$2:$A$3971,C$4,Dados!$X$2:$X$3971,1,Dados!$B$2:$B$3971,"&lt;=6",Dados!$G$2:$G$3971,"&gt;0")+SUMIFS(Dados!$G$2:$G$3971,Dados!$A$2:$A$3971,C$4,Dados!$X$2:$X$3971,1,Dados!$B$2:$B$3971,10,Dados!$G$2:$G$3971,"&gt;0")),"")</f>
        <v>0.0112233084641111</v>
      </c>
      <c r="D45" s="14"/>
    </row>
    <row r="46" customFormat="false" ht="15" hidden="false" customHeight="false" outlineLevel="0" collapsed="false">
      <c r="A46" s="7" t="s">
        <v>51</v>
      </c>
      <c r="B46" s="8" t="s">
        <v>12</v>
      </c>
      <c r="C46" s="21" t="n">
        <f aca="false">IFERROR(AVERAGEIFS(Dados!$G$2:$G$3971,Dados!$A$2:$A$3971,C$4,Dados!$X$2:$X$3971,1,Dados!$B$2:$B$3971,"&lt;=6",Dados!$G$2:$G$3971,"&gt;0"),"")</f>
        <v>43.7255332902392</v>
      </c>
      <c r="D46" s="10"/>
    </row>
    <row r="47" customFormat="false" ht="15" hidden="false" customHeight="false" outlineLevel="0" collapsed="false">
      <c r="A47" s="11" t="s">
        <v>52</v>
      </c>
      <c r="B47" s="12" t="s">
        <v>12</v>
      </c>
      <c r="C47" s="22" t="n">
        <f aca="false">IFERROR(AVERAGEIFS(Dados!$H$2:$H$3971,Dados!$A$2:$A$3971,C$4,Dados!$X$2:$X$3971,1,Dados!$B$2:$B$3971,"&lt;=6",Dados!$H$2:$H$3971,"&gt;0"),"")</f>
        <v>42.5241116751269</v>
      </c>
      <c r="D47" s="14"/>
    </row>
    <row r="48" customFormat="false" ht="15" hidden="false" customHeight="false" outlineLevel="0" collapsed="false">
      <c r="A48" s="7" t="s">
        <v>53</v>
      </c>
      <c r="B48" s="8" t="s">
        <v>12</v>
      </c>
      <c r="C48" s="21" t="n">
        <f aca="false">IFERROR(AVERAGEIFS(Dados!$G$2:$G$3971,Dados!$A$2:$A$3971,C$4,Dados!$X$2:$X$3971,1,Dados!$B$2:$B$3971,"&lt;=6",Dados!$G$2:$G$3971,"&gt;0",Dados!$E$2:$E$3971,1),"")</f>
        <v>43.1134670487106</v>
      </c>
      <c r="D48" s="10"/>
    </row>
    <row r="49" customFormat="false" ht="15" hidden="false" customHeight="false" outlineLevel="0" collapsed="false">
      <c r="A49" s="11" t="s">
        <v>54</v>
      </c>
      <c r="B49" s="12" t="s">
        <v>12</v>
      </c>
      <c r="C49" s="22" t="n">
        <f aca="false">IFERROR(AVERAGEIFS(Dados!$G$2:$G$3971,Dados!$A$2:$A$3971,C$4,Dados!$X$2:$X$3971,1,Dados!$B$2:$B$3971,"&lt;=6",Dados!$G$2:$G$3971,"&gt;0",Dados!$E$2:$E$3971,"&gt;=2"),"")</f>
        <v>44.2287396937574</v>
      </c>
      <c r="D49" s="14"/>
    </row>
    <row r="50" customFormat="false" ht="15" hidden="false" customHeight="false" outlineLevel="0" collapsed="false">
      <c r="A50" s="7" t="s">
        <v>55</v>
      </c>
      <c r="B50" s="8" t="s">
        <v>7</v>
      </c>
      <c r="C50" s="9" t="n">
        <f aca="false">COUNTIFS(Dados!$A$2:$A$3971,C$4,Dados!$X$2:$X$3971,1,Dados!$B$2:$B$3971,"&lt;=6",Dados!$G$2:$G$3971,"&gt;0",Dados!$G$2:$G$3971,"&lt;20")</f>
        <v>45</v>
      </c>
      <c r="D50" s="10"/>
    </row>
    <row r="51" customFormat="false" ht="15" hidden="false" customHeight="false" outlineLevel="0" collapsed="false">
      <c r="A51" s="11" t="s">
        <v>56</v>
      </c>
      <c r="B51" s="12" t="s">
        <v>10</v>
      </c>
      <c r="C51" s="13" t="n">
        <f aca="false">IFERROR(AVERAGEIFS(Dados!$D$2:$D$3971,Dados!$A$2:$A$3971,C$4,Dados!$X$2:$X$3971,1,Dados!$B$2:$B$3971,"&lt;=6"),"")</f>
        <v>188.575548589342</v>
      </c>
      <c r="D51" s="14"/>
    </row>
    <row r="52" customFormat="false" ht="15" hidden="false" customHeight="false" outlineLevel="0" collapsed="false">
      <c r="A52" s="7" t="s">
        <v>57</v>
      </c>
      <c r="B52" s="8" t="s">
        <v>50</v>
      </c>
      <c r="C52" s="23" t="n">
        <f aca="false">IFERROR(AVERAGEIFS(Dados!$P$2:$P$3971,Dados!$A$2:$A$3971,C$4,Dados!$X$2:$X$3971,1,Dados!$B$2:$B$3971,"&lt;=6",Dados!$P$2:$P$3971,"&gt;0"),"")</f>
        <v>4.0107718579235</v>
      </c>
      <c r="D52" s="10"/>
    </row>
    <row r="53" customFormat="false" ht="15" hidden="false" customHeight="false" outlineLevel="0" collapsed="false">
      <c r="A53" s="11" t="s">
        <v>58</v>
      </c>
      <c r="B53" s="12" t="s">
        <v>50</v>
      </c>
      <c r="C53" s="24" t="n">
        <f aca="false">IFERROR(AVERAGEIFS(Dados!$Q$2:$Q$3971,Dados!$A$2:$A$3971,C$4,Dados!$X$2:$X$3971,1,Dados!$B$2:$B$3971,"&lt;=6",Dados!$Q$2:$Q$3971,"&gt;0"),"")</f>
        <v>3.53262295081967</v>
      </c>
      <c r="D53" s="14"/>
    </row>
    <row r="54" customFormat="false" ht="15" hidden="false" customHeight="false" outlineLevel="0" collapsed="false">
      <c r="A54" s="5" t="s">
        <v>59</v>
      </c>
      <c r="B54" s="6"/>
      <c r="C54" s="6"/>
      <c r="D54" s="6"/>
    </row>
    <row r="55" customFormat="false" ht="15" hidden="false" customHeight="false" outlineLevel="0" collapsed="false">
      <c r="A55" s="7" t="s">
        <v>60</v>
      </c>
      <c r="B55" s="8" t="s">
        <v>7</v>
      </c>
      <c r="C55" s="9" t="n">
        <f aca="false">COUNTIFS(Dados!$A$2:$A$3971,C$4,Dados!$X$2:$X$3971,1,Dados!$I$2:$I$3971,"Fresca")</f>
        <v>287</v>
      </c>
      <c r="D55" s="10"/>
    </row>
    <row r="56" customFormat="false" ht="15" hidden="false" customHeight="false" outlineLevel="0" collapsed="false">
      <c r="A56" s="11" t="s">
        <v>61</v>
      </c>
      <c r="B56" s="12" t="s">
        <v>7</v>
      </c>
      <c r="C56" s="13" t="n">
        <f aca="false">COUNTIFS(Dados!$A$2:$A$3971,C$4,Dados!$X$2:$X$3971,1,Dados!$I$2:$I$3971,"Bred")</f>
        <v>375</v>
      </c>
      <c r="D56" s="14"/>
    </row>
    <row r="57" customFormat="false" ht="15" hidden="false" customHeight="false" outlineLevel="0" collapsed="false">
      <c r="A57" s="7" t="s">
        <v>62</v>
      </c>
      <c r="B57" s="8" t="s">
        <v>7</v>
      </c>
      <c r="C57" s="9" t="n">
        <f aca="false">COUNTIFS(Dados!$A$2:$A$3971,C$4,Dados!$X$2:$X$3971,1,Dados!$I$2:$I$3971,"Prenha")</f>
        <v>787</v>
      </c>
      <c r="D57" s="10"/>
    </row>
    <row r="58" customFormat="false" ht="15" hidden="false" customHeight="false" outlineLevel="0" collapsed="false">
      <c r="A58" s="11" t="s">
        <v>63</v>
      </c>
      <c r="B58" s="12" t="s">
        <v>7</v>
      </c>
      <c r="C58" s="13" t="n">
        <f aca="false">COUNTIFS(Dados!$A$2:$A$3971,C$4,Dados!$X$2:$X$3971,1,Dados!$I$2:$I$3971,"Vazia")</f>
        <v>144</v>
      </c>
      <c r="D58" s="14"/>
    </row>
    <row r="59" customFormat="false" ht="15" hidden="false" customHeight="false" outlineLevel="0" collapsed="false">
      <c r="A59" s="7" t="s">
        <v>64</v>
      </c>
      <c r="B59" s="8" t="s">
        <v>50</v>
      </c>
      <c r="C59" s="25" t="n">
        <f aca="false">IFERROR(COUNTIFS(Dados!$A$2:$A$3971,C$4,Dados!$X$2:$X$3971,1,Dados!$I$2:$I$3971,"Prenha")/COUNTIFS(Dados!$A$2:$A$3971,C$4,Dados!$X$2:$X$3971,1),"")</f>
        <v>0.476392251815981</v>
      </c>
      <c r="D59" s="10"/>
    </row>
    <row r="60" customFormat="false" ht="15" hidden="false" customHeight="false" outlineLevel="0" collapsed="false">
      <c r="A60" s="11" t="s">
        <v>65</v>
      </c>
      <c r="B60" s="12" t="s">
        <v>10</v>
      </c>
      <c r="C60" s="13" t="n">
        <f aca="false">IFERROR(AVERAGEIFS(Dados!$K$2:$K$3971,Dados!$A$2:$A$3971,C$4,Dados!$X$2:$X$3971,1,Dados!$K$2:$K$3971,"&gt;0"),"")</f>
        <v>67.7021593447506</v>
      </c>
      <c r="D60" s="14"/>
    </row>
    <row r="61" customFormat="false" ht="15" hidden="false" customHeight="false" outlineLevel="0" collapsed="false">
      <c r="A61" s="7" t="s">
        <v>66</v>
      </c>
      <c r="B61" s="8" t="s">
        <v>10</v>
      </c>
      <c r="C61" s="9" t="n">
        <f aca="false">IFERROR(AVERAGEIFS(Dados!$J$2:$J$3971,Dados!$A$2:$A$3971,C$4,Dados!$X$2:$X$3971,1,Dados!$I$2:$I$3971,"Prenha"),"")</f>
        <v>132.852604828463</v>
      </c>
      <c r="D61" s="10"/>
    </row>
    <row r="62" customFormat="false" ht="15" hidden="false" customHeight="false" outlineLevel="0" collapsed="false">
      <c r="A62" s="11" t="s">
        <v>67</v>
      </c>
      <c r="B62" s="12" t="s">
        <v>68</v>
      </c>
      <c r="C62" s="24" t="n">
        <f aca="false">IFERROR(AVERAGEIFS(Dados!$V$2:$V$3971,Dados!$A$2:$A$3971,C$4,Dados!$X$2:$X$3971,1,Dados!$I$2:$I$3971,"Prenha"),"")</f>
        <v>2.73697585768742</v>
      </c>
      <c r="D62" s="14"/>
    </row>
    <row r="63" customFormat="false" ht="15" hidden="false" customHeight="false" outlineLevel="0" collapsed="false">
      <c r="A63" s="5" t="s">
        <v>69</v>
      </c>
      <c r="B63" s="6"/>
      <c r="C63" s="6"/>
      <c r="D63" s="6"/>
    </row>
    <row r="64" customFormat="false" ht="15" hidden="false" customHeight="false" outlineLevel="0" collapsed="false">
      <c r="A64" s="7" t="s">
        <v>70</v>
      </c>
      <c r="B64" s="8" t="s">
        <v>7</v>
      </c>
      <c r="C64" s="9" t="n">
        <f aca="false">COUNTIFS(Dados!$A$2:$A$3971,C$4,Dados!$E$2:$E$3971,0,Dados!$I$2:$I$3971,"Bred")</f>
        <v>136</v>
      </c>
      <c r="D64" s="10"/>
    </row>
    <row r="65" customFormat="false" ht="15" hidden="false" customHeight="false" outlineLevel="0" collapsed="false">
      <c r="A65" s="11" t="s">
        <v>71</v>
      </c>
      <c r="B65" s="12" t="s">
        <v>7</v>
      </c>
      <c r="C65" s="13" t="n">
        <f aca="false">COUNTIFS(Dados!$A$2:$A$3971,C$4,Dados!$E$2:$E$3971,0,Dados!$I$2:$I$3971,"Prenha")</f>
        <v>542</v>
      </c>
      <c r="D65" s="14"/>
    </row>
    <row r="66" customFormat="false" ht="15" hidden="false" customHeight="false" outlineLevel="0" collapsed="false">
      <c r="A66" s="7" t="s">
        <v>72</v>
      </c>
      <c r="B66" s="8" t="s">
        <v>7</v>
      </c>
      <c r="C66" s="9" t="n">
        <f aca="false">COUNTIFS(Dados!$A$2:$A$3971,C$4,Dados!$E$2:$E$3971,0,Dados!$I$2:$I$3971,"Vazia")</f>
        <v>59</v>
      </c>
      <c r="D66" s="10"/>
    </row>
    <row r="67" customFormat="false" ht="15" hidden="false" customHeight="false" outlineLevel="0" collapsed="false">
      <c r="A67" s="5" t="s">
        <v>73</v>
      </c>
      <c r="B67" s="6"/>
      <c r="C67" s="6"/>
      <c r="D67" s="6"/>
    </row>
    <row r="68" customFormat="false" ht="15" hidden="false" customHeight="false" outlineLevel="0" collapsed="false">
      <c r="A68" s="7" t="s">
        <v>74</v>
      </c>
      <c r="B68" s="8" t="s">
        <v>7</v>
      </c>
      <c r="C68" s="9" t="n">
        <f aca="false">COUNTIFS(Dados!$A$2:$A$3971,C$4,Dados!$B$2:$B$3971,1)</f>
        <v>218</v>
      </c>
      <c r="D68" s="10"/>
    </row>
    <row r="69" customFormat="false" ht="15" hidden="false" customHeight="false" outlineLevel="0" collapsed="false">
      <c r="A69" s="11" t="s">
        <v>75</v>
      </c>
      <c r="B69" s="12" t="s">
        <v>7</v>
      </c>
      <c r="C69" s="13" t="n">
        <f aca="false">COUNTIFS(Dados!$A$2:$A$3971,C$4,Dados!$B$2:$B$3971,2)</f>
        <v>210</v>
      </c>
      <c r="D69" s="14"/>
    </row>
    <row r="70" customFormat="false" ht="15" hidden="false" customHeight="false" outlineLevel="0" collapsed="false">
      <c r="A70" s="7" t="s">
        <v>76</v>
      </c>
      <c r="B70" s="8" t="s">
        <v>7</v>
      </c>
      <c r="C70" s="9" t="n">
        <f aca="false">COUNTIFS(Dados!$A$2:$A$3971,C$4,Dados!$B$2:$B$3971,3)</f>
        <v>210</v>
      </c>
      <c r="D70" s="10"/>
    </row>
    <row r="71" customFormat="false" ht="15" hidden="false" customHeight="false" outlineLevel="0" collapsed="false">
      <c r="A71" s="11" t="s">
        <v>77</v>
      </c>
      <c r="B71" s="12" t="s">
        <v>7</v>
      </c>
      <c r="C71" s="13" t="n">
        <f aca="false">COUNTIFS(Dados!$A$2:$A$3971,C$4,Dados!$B$2:$B$3971,4)</f>
        <v>398</v>
      </c>
      <c r="D71" s="14"/>
    </row>
    <row r="72" customFormat="false" ht="15" hidden="false" customHeight="false" outlineLevel="0" collapsed="false">
      <c r="A72" s="7" t="s">
        <v>78</v>
      </c>
      <c r="B72" s="8" t="s">
        <v>7</v>
      </c>
      <c r="C72" s="9" t="n">
        <f aca="false">COUNTIFS(Dados!$A$2:$A$3971,C$4,Dados!$B$2:$B$3971,5)</f>
        <v>401</v>
      </c>
      <c r="D72" s="10"/>
    </row>
    <row r="73" customFormat="false" ht="15" hidden="false" customHeight="false" outlineLevel="0" collapsed="false">
      <c r="A73" s="11" t="s">
        <v>79</v>
      </c>
      <c r="B73" s="12" t="s">
        <v>7</v>
      </c>
      <c r="C73" s="13" t="n">
        <f aca="false">COUNTIFS(Dados!$A$2:$A$3971,C$4,Dados!$B$2:$B$3971,6)</f>
        <v>158</v>
      </c>
      <c r="D73" s="14"/>
    </row>
    <row r="74" customFormat="false" ht="15" hidden="false" customHeight="false" outlineLevel="0" collapsed="false">
      <c r="A74" s="7" t="s">
        <v>80</v>
      </c>
      <c r="B74" s="8" t="s">
        <v>7</v>
      </c>
      <c r="C74" s="9" t="n">
        <f aca="false">COUNTIFS(Dados!$A$2:$A$3971,C$4,Dados!$B$2:$B$3971,7)</f>
        <v>196</v>
      </c>
      <c r="D74" s="10"/>
    </row>
    <row r="75" customFormat="false" ht="15" hidden="false" customHeight="false" outlineLevel="0" collapsed="false">
      <c r="A75" s="11" t="s">
        <v>81</v>
      </c>
      <c r="B75" s="12" t="s">
        <v>7</v>
      </c>
      <c r="C75" s="13" t="n">
        <f aca="false">COUNTIFS(Dados!$A$2:$A$3971,C$4,Dados!$B$2:$B$3971,8)</f>
        <v>472</v>
      </c>
      <c r="D75" s="14"/>
    </row>
    <row r="76" customFormat="false" ht="15" hidden="false" customHeight="false" outlineLevel="0" collapsed="false">
      <c r="A76" s="7" t="s">
        <v>82</v>
      </c>
      <c r="B76" s="8" t="s">
        <v>7</v>
      </c>
      <c r="C76" s="9" t="n">
        <f aca="false">COUNTIFS(Dados!$A$2:$A$3971,C$4,Dados!$B$2:$B$3971,9)</f>
        <v>6</v>
      </c>
      <c r="D76" s="10"/>
    </row>
    <row r="77" customFormat="false" ht="15" hidden="false" customHeight="false" outlineLevel="0" collapsed="false">
      <c r="A77" s="11" t="s">
        <v>83</v>
      </c>
      <c r="B77" s="12" t="s">
        <v>7</v>
      </c>
      <c r="C77" s="13" t="n">
        <f aca="false">COUNTIFS(Dados!$A$2:$A$3971,C$4,Dados!$B$2:$B$3971,10)</f>
        <v>58</v>
      </c>
      <c r="D77" s="14"/>
    </row>
    <row r="78" customFormat="false" ht="15" hidden="false" customHeight="false" outlineLevel="0" collapsed="false">
      <c r="A78" s="7" t="s">
        <v>84</v>
      </c>
      <c r="B78" s="8" t="s">
        <v>7</v>
      </c>
      <c r="C78" s="9" t="n">
        <f aca="false">COUNTIFS(Dados!$A$2:$A$3971,C$4,Dados!$B$2:$B$3971,11)</f>
        <v>144</v>
      </c>
      <c r="D78" s="10"/>
    </row>
    <row r="79" customFormat="false" ht="15" hidden="false" customHeight="false" outlineLevel="0" collapsed="false">
      <c r="A79" s="11" t="s">
        <v>85</v>
      </c>
      <c r="B79" s="12" t="s">
        <v>7</v>
      </c>
      <c r="C79" s="13" t="n">
        <f aca="false">COUNTIFS(Dados!$A$2:$A$3971,C$4,Dados!$B$2:$B$3971,13)</f>
        <v>939</v>
      </c>
      <c r="D79" s="14"/>
    </row>
    <row r="80" customFormat="false" ht="15" hidden="false" customHeight="false" outlineLevel="0" collapsed="false">
      <c r="A80" s="7" t="s">
        <v>86</v>
      </c>
      <c r="B80" s="8" t="s">
        <v>7</v>
      </c>
      <c r="C80" s="9" t="n">
        <f aca="false">COUNTIFS(Dados!$A$2:$A$3971,C$4,Dados!$B$2:$B$3971,14)</f>
        <v>73</v>
      </c>
      <c r="D80" s="10"/>
    </row>
    <row r="81" customFormat="false" ht="15" hidden="false" customHeight="false" outlineLevel="0" collapsed="false">
      <c r="A81" s="11" t="s">
        <v>87</v>
      </c>
      <c r="B81" s="12" t="s">
        <v>7</v>
      </c>
      <c r="C81" s="13" t="n">
        <f aca="false">COUNTIFS(Dados!$A$2:$A$3971,C$4,Dados!$B$2:$B$3971,15)</f>
        <v>220</v>
      </c>
      <c r="D81" s="14"/>
    </row>
    <row r="82" customFormat="false" ht="15" hidden="false" customHeight="false" outlineLevel="0" collapsed="false">
      <c r="A82" s="7" t="s">
        <v>88</v>
      </c>
      <c r="B82" s="8" t="s">
        <v>7</v>
      </c>
      <c r="C82" s="9" t="n">
        <f aca="false">COUNTIFS(Dados!$A$2:$A$3971,C$4,Dados!$B$2:$B$3971,16)</f>
        <v>267</v>
      </c>
      <c r="D82" s="10"/>
    </row>
  </sheetData>
  <conditionalFormatting sqref="D5:D82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4" customFormat="false" ht="15" hidden="false" customHeight="false" outlineLevel="0" collapsed="false">
      <c r="A4" s="26" t="s">
        <v>91</v>
      </c>
      <c r="B4" s="26" t="s">
        <v>92</v>
      </c>
      <c r="C4" s="26" t="s">
        <v>93</v>
      </c>
    </row>
    <row r="5" customFormat="false" ht="15" hidden="false" customHeight="false" outlineLevel="0" collapsed="false">
      <c r="A5" s="27" t="s">
        <v>94</v>
      </c>
      <c r="B5" s="28" t="n">
        <v>150</v>
      </c>
      <c r="C5" s="29" t="s">
        <v>95</v>
      </c>
    </row>
    <row r="6" customFormat="false" ht="15" hidden="false" customHeight="false" outlineLevel="0" collapsed="false">
      <c r="A6" s="27" t="s">
        <v>96</v>
      </c>
      <c r="B6" s="28" t="n">
        <v>70</v>
      </c>
      <c r="C6" s="29" t="s">
        <v>97</v>
      </c>
    </row>
    <row r="7" customFormat="false" ht="15" hidden="false" customHeight="false" outlineLevel="0" collapsed="false">
      <c r="A7" s="27" t="s">
        <v>98</v>
      </c>
      <c r="B7" s="28" t="n">
        <v>90</v>
      </c>
      <c r="C7" s="29" t="s">
        <v>99</v>
      </c>
    </row>
    <row r="8" customFormat="false" ht="15" hidden="false" customHeight="false" outlineLevel="0" collapsed="false">
      <c r="A8" s="27" t="s">
        <v>100</v>
      </c>
      <c r="B8" s="28" t="n">
        <v>456</v>
      </c>
      <c r="C8" s="29" t="s">
        <v>101</v>
      </c>
    </row>
    <row r="10" customFormat="false" ht="15" hidden="false" customHeight="false" outlineLevel="0" collapsed="false">
      <c r="A10" s="30" t="s">
        <v>102</v>
      </c>
    </row>
    <row r="11" customFormat="false" ht="15" hidden="false" customHeight="false" outlineLevel="0" collapsed="false">
      <c r="A11" s="27" t="n">
        <v>1</v>
      </c>
      <c r="B11" s="31" t="n">
        <v>46309</v>
      </c>
      <c r="C11" s="29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9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1" min="23" style="0" width="12"/>
  </cols>
  <sheetData>
    <row r="1" customFormat="false" ht="43.25" hidden="false" customHeight="false" outlineLevel="0" collapsed="false">
      <c r="A1" s="3" t="s">
        <v>104</v>
      </c>
      <c r="B1" s="3" t="s">
        <v>105</v>
      </c>
      <c r="C1" s="3" t="s">
        <v>106</v>
      </c>
      <c r="D1" s="3" t="s">
        <v>107</v>
      </c>
      <c r="E1" s="3" t="s">
        <v>108</v>
      </c>
      <c r="F1" s="3" t="s">
        <v>109</v>
      </c>
      <c r="G1" s="3" t="s">
        <v>110</v>
      </c>
      <c r="H1" s="3" t="s">
        <v>111</v>
      </c>
      <c r="I1" s="3" t="s">
        <v>112</v>
      </c>
      <c r="J1" s="3" t="s">
        <v>113</v>
      </c>
      <c r="K1" s="3" t="s">
        <v>114</v>
      </c>
      <c r="L1" s="3" t="s">
        <v>115</v>
      </c>
      <c r="M1" s="3" t="s">
        <v>116</v>
      </c>
      <c r="N1" s="3" t="s">
        <v>117</v>
      </c>
      <c r="O1" s="3" t="s">
        <v>118</v>
      </c>
      <c r="P1" s="3" t="s">
        <v>119</v>
      </c>
      <c r="Q1" s="3" t="s">
        <v>120</v>
      </c>
      <c r="R1" s="3" t="s">
        <v>121</v>
      </c>
      <c r="S1" s="3" t="s">
        <v>122</v>
      </c>
      <c r="T1" s="3" t="s">
        <v>123</v>
      </c>
      <c r="U1" s="3" t="s">
        <v>124</v>
      </c>
      <c r="V1" s="3" t="s">
        <v>125</v>
      </c>
      <c r="W1" s="32" t="s">
        <v>126</v>
      </c>
      <c r="X1" s="32" t="s">
        <v>127</v>
      </c>
      <c r="Y1" s="32" t="s">
        <v>128</v>
      </c>
      <c r="Z1" s="32" t="s">
        <v>129</v>
      </c>
      <c r="AA1" s="32" t="s">
        <v>130</v>
      </c>
      <c r="AB1" s="32" t="s">
        <v>131</v>
      </c>
      <c r="AC1" s="32" t="s">
        <v>132</v>
      </c>
      <c r="AD1" s="32" t="s">
        <v>133</v>
      </c>
      <c r="AE1" s="32" t="s">
        <v>134</v>
      </c>
    </row>
    <row r="2" customFormat="false" ht="15" hidden="false" customHeight="false" outlineLevel="0" collapsed="false">
      <c r="A2" s="33" t="n">
        <v>46309</v>
      </c>
      <c r="B2" s="0" t="n">
        <v>15</v>
      </c>
      <c r="C2" s="0" t="n">
        <v>0</v>
      </c>
      <c r="E2" s="0" t="n">
        <v>0</v>
      </c>
      <c r="F2" s="27" t="s">
        <v>135</v>
      </c>
      <c r="I2" s="27" t="s">
        <v>136</v>
      </c>
      <c r="U2" s="0" t="n">
        <v>4</v>
      </c>
      <c r="V2" s="0" t="n">
        <v>0</v>
      </c>
      <c r="W2" s="27" t="n">
        <f aca="false">MATCH(A2,DATAS,0)</f>
        <v>1</v>
      </c>
      <c r="X2" s="27" t="n">
        <f aca="false">IF(AND(E2&gt;0,OR(AND(B2&gt;=1,B2&lt;=6),B2=10)),1,0)</f>
        <v>0</v>
      </c>
      <c r="Y2" s="27" t="n">
        <f aca="false">IF(AND(E2&gt;0,B2=10),1,0)</f>
        <v>0</v>
      </c>
      <c r="Z2" s="0" t="str">
        <f aca="false">IF(FALSE(),X1,"")</f>
        <v/>
      </c>
      <c r="AA2" s="0" t="str">
        <f aca="false">IF(FALSE(),Y1,"")</f>
        <v/>
      </c>
      <c r="AB2" s="0" t="str">
        <f aca="false">IF(W2=1,"",IF(AND(X2=1,Z2&lt;&gt;1),1,0))</f>
        <v/>
      </c>
      <c r="AC2" s="0" t="str">
        <f aca="false">IF(W2=1,"",IF(AND(Y2=1,AA2&lt;&gt;1),1,0))</f>
        <v/>
      </c>
      <c r="AD2" s="33" t="str">
        <f aca="false">IF(AND(E2&gt;0,W2&lt;1,NOT(AND(C3=C2,W3=W2+1))),INDEX(DATAS,W2+1),"")</f>
        <v/>
      </c>
      <c r="AE2" s="33" t="str">
        <f aca="false">IF(AND(Y2=1,W2&lt;1),IF(AND(C3=C2,W3=W2+1),IF(Y3=1,"",INDEX(DATAS,W2+1)),INDEX(DATAS,W2+1)),"")</f>
        <v/>
      </c>
    </row>
    <row r="3" customFormat="false" ht="15" hidden="false" customHeight="false" outlineLevel="0" collapsed="false">
      <c r="A3" s="33" t="n">
        <v>46309</v>
      </c>
      <c r="B3" s="0" t="n">
        <v>10</v>
      </c>
      <c r="C3" s="0" t="n">
        <v>100</v>
      </c>
      <c r="D3" s="0" t="n">
        <v>294</v>
      </c>
      <c r="E3" s="0" t="n">
        <v>1</v>
      </c>
      <c r="F3" s="27" t="s">
        <v>137</v>
      </c>
      <c r="G3" s="0" t="n">
        <v>29.9</v>
      </c>
      <c r="H3" s="0" t="n">
        <v>42</v>
      </c>
      <c r="I3" s="27" t="s">
        <v>138</v>
      </c>
      <c r="J3" s="0" t="n">
        <v>184</v>
      </c>
      <c r="K3" s="0" t="n">
        <v>70</v>
      </c>
      <c r="L3" s="0" t="n">
        <v>110</v>
      </c>
      <c r="P3" s="0" t="n">
        <v>4.02</v>
      </c>
      <c r="Q3" s="0" t="n">
        <v>3.78</v>
      </c>
      <c r="R3" s="0" t="n">
        <v>4013</v>
      </c>
      <c r="S3" s="0" t="n">
        <v>10979</v>
      </c>
      <c r="T3" s="0" t="n">
        <v>58.85</v>
      </c>
      <c r="U3" s="0" t="n">
        <v>1082</v>
      </c>
      <c r="V3" s="0" t="n">
        <v>4</v>
      </c>
      <c r="W3" s="27" t="n">
        <f aca="false">MATCH(A3,DATAS,0)</f>
        <v>1</v>
      </c>
      <c r="X3" s="27" t="n">
        <f aca="false">IF(AND(E3&gt;0,OR(AND(B3&gt;=1,B3&lt;=6),B3=10)),1,0)</f>
        <v>1</v>
      </c>
      <c r="Y3" s="27" t="n">
        <f aca="false">IF(AND(E3&gt;0,B3=10),1,0)</f>
        <v>1</v>
      </c>
      <c r="Z3" s="0" t="str">
        <f aca="false">IF(AND(C2=C3,W2=W3-1),X2,"")</f>
        <v/>
      </c>
      <c r="AA3" s="0" t="str">
        <f aca="false">IF(AND(C2=C3,W2=W3-1),Y2,"")</f>
        <v/>
      </c>
      <c r="AB3" s="0" t="str">
        <f aca="false">IF(W3=1,"",IF(AND(X3=1,Z3&lt;&gt;1),1,0))</f>
        <v/>
      </c>
      <c r="AC3" s="0" t="str">
        <f aca="false">IF(W3=1,"",IF(AND(Y3=1,AA3&lt;&gt;1),1,0))</f>
        <v/>
      </c>
      <c r="AD3" s="33" t="str">
        <f aca="false">IF(AND(E3&gt;0,W3&lt;1,NOT(AND(C4=C3,W4=W3+1))),INDEX(DATAS,W3+1),"")</f>
        <v/>
      </c>
      <c r="AE3" s="33" t="str">
        <f aca="false">IF(AND(Y3=1,W3&lt;1),IF(AND(C4=C3,W4=W3+1),IF(Y4=1,"",INDEX(DATAS,W3+1)),INDEX(DATAS,W3+1)),"")</f>
        <v/>
      </c>
    </row>
    <row r="4" customFormat="false" ht="15" hidden="false" customHeight="false" outlineLevel="0" collapsed="false">
      <c r="A4" s="33" t="n">
        <v>46309</v>
      </c>
      <c r="B4" s="0" t="n">
        <v>10</v>
      </c>
      <c r="C4" s="0" t="n">
        <v>101</v>
      </c>
      <c r="D4" s="0" t="n">
        <v>197</v>
      </c>
      <c r="E4" s="0" t="n">
        <v>1</v>
      </c>
      <c r="F4" s="27" t="s">
        <v>139</v>
      </c>
      <c r="G4" s="0" t="n">
        <v>22.5</v>
      </c>
      <c r="H4" s="0" t="n">
        <v>32</v>
      </c>
      <c r="I4" s="27" t="s">
        <v>138</v>
      </c>
      <c r="J4" s="0" t="n">
        <v>106</v>
      </c>
      <c r="K4" s="0" t="n">
        <v>106</v>
      </c>
      <c r="L4" s="0" t="n">
        <v>91</v>
      </c>
      <c r="P4" s="0" t="n">
        <v>5.18</v>
      </c>
      <c r="Q4" s="0" t="n">
        <v>3.53</v>
      </c>
      <c r="R4" s="0" t="n">
        <v>4966</v>
      </c>
      <c r="S4" s="0" t="n">
        <v>9906</v>
      </c>
      <c r="T4" s="0" t="n">
        <v>58.75</v>
      </c>
      <c r="U4" s="0" t="n">
        <v>865</v>
      </c>
      <c r="V4" s="0" t="n">
        <v>1</v>
      </c>
      <c r="W4" s="27" t="n">
        <f aca="false">MATCH(A4,DATAS,0)</f>
        <v>1</v>
      </c>
      <c r="X4" s="27" t="n">
        <f aca="false">IF(AND(E4&gt;0,OR(AND(B4&gt;=1,B4&lt;=6),B4=10)),1,0)</f>
        <v>1</v>
      </c>
      <c r="Y4" s="27" t="n">
        <f aca="false">IF(AND(E4&gt;0,B4=10),1,0)</f>
        <v>1</v>
      </c>
      <c r="Z4" s="0" t="str">
        <f aca="false">IF(AND(C3=C4,W3=W4-1),X3,"")</f>
        <v/>
      </c>
      <c r="AA4" s="0" t="str">
        <f aca="false">IF(AND(C3=C4,W3=W4-1),Y3,"")</f>
        <v/>
      </c>
      <c r="AB4" s="0" t="str">
        <f aca="false">IF(W4=1,"",IF(AND(X4=1,Z4&lt;&gt;1),1,0))</f>
        <v/>
      </c>
      <c r="AC4" s="0" t="str">
        <f aca="false">IF(W4=1,"",IF(AND(Y4=1,AA4&lt;&gt;1),1,0))</f>
        <v/>
      </c>
      <c r="AD4" s="33" t="str">
        <f aca="false">IF(AND(E4&gt;0,W4&lt;1,NOT(AND(C5=C4,W5=W4+1))),INDEX(DATAS,W4+1),"")</f>
        <v/>
      </c>
      <c r="AE4" s="33" t="str">
        <f aca="false">IF(AND(Y4=1,W4&lt;1),IF(AND(C5=C4,W5=W4+1),IF(Y5=1,"",INDEX(DATAS,W4+1)),INDEX(DATAS,W4+1)),"")</f>
        <v/>
      </c>
    </row>
    <row r="5" customFormat="false" ht="15" hidden="false" customHeight="false" outlineLevel="0" collapsed="false">
      <c r="A5" s="33" t="n">
        <v>46309</v>
      </c>
      <c r="B5" s="0" t="n">
        <v>8</v>
      </c>
      <c r="C5" s="0" t="n">
        <v>102</v>
      </c>
      <c r="E5" s="0" t="n">
        <v>0</v>
      </c>
      <c r="F5" s="27" t="s">
        <v>140</v>
      </c>
      <c r="I5" s="27" t="s">
        <v>138</v>
      </c>
      <c r="L5" s="0" t="n">
        <v>132</v>
      </c>
      <c r="U5" s="0" t="n">
        <v>757</v>
      </c>
      <c r="V5" s="0" t="n">
        <v>4</v>
      </c>
      <c r="W5" s="27" t="n">
        <f aca="false">MATCH(A5,DATAS,0)</f>
        <v>1</v>
      </c>
      <c r="X5" s="27" t="n">
        <f aca="false">IF(AND(E5&gt;0,OR(AND(B5&gt;=1,B5&lt;=6),B5=10)),1,0)</f>
        <v>0</v>
      </c>
      <c r="Y5" s="27" t="n">
        <f aca="false">IF(AND(E5&gt;0,B5=10),1,0)</f>
        <v>0</v>
      </c>
      <c r="Z5" s="0" t="str">
        <f aca="false">IF(AND(C4=C5,W4=W5-1),X4,"")</f>
        <v/>
      </c>
      <c r="AA5" s="0" t="str">
        <f aca="false">IF(AND(C4=C5,W4=W5-1),Y4,"")</f>
        <v/>
      </c>
      <c r="AB5" s="0" t="str">
        <f aca="false">IF(W5=1,"",IF(AND(X5=1,Z5&lt;&gt;1),1,0))</f>
        <v/>
      </c>
      <c r="AC5" s="0" t="str">
        <f aca="false">IF(W5=1,"",IF(AND(Y5=1,AA5&lt;&gt;1),1,0))</f>
        <v/>
      </c>
      <c r="AD5" s="33" t="str">
        <f aca="false">IF(AND(E5&gt;0,W5&lt;1,NOT(AND(C6=C5,W6=W5+1))),INDEX(DATAS,W5+1),"")</f>
        <v/>
      </c>
      <c r="AE5" s="33" t="str">
        <f aca="false">IF(AND(Y5=1,W5&lt;1),IF(AND(C6=C5,W6=W5+1),IF(Y6=1,"",INDEX(DATAS,W5+1)),INDEX(DATAS,W5+1)),"")</f>
        <v/>
      </c>
    </row>
    <row r="6" customFormat="false" ht="15" hidden="false" customHeight="false" outlineLevel="0" collapsed="false">
      <c r="A6" s="33" t="n">
        <v>46309</v>
      </c>
      <c r="B6" s="0" t="n">
        <v>8</v>
      </c>
      <c r="C6" s="0" t="n">
        <v>103</v>
      </c>
      <c r="E6" s="0" t="n">
        <v>0</v>
      </c>
      <c r="F6" s="27" t="s">
        <v>141</v>
      </c>
      <c r="I6" s="27" t="s">
        <v>138</v>
      </c>
      <c r="L6" s="0" t="n">
        <v>93</v>
      </c>
      <c r="U6" s="0" t="n">
        <v>629</v>
      </c>
      <c r="V6" s="0" t="n">
        <v>1</v>
      </c>
      <c r="W6" s="27" t="n">
        <f aca="false">MATCH(A6,DATAS,0)</f>
        <v>1</v>
      </c>
      <c r="X6" s="27" t="n">
        <f aca="false">IF(AND(E6&gt;0,OR(AND(B6&gt;=1,B6&lt;=6),B6=10)),1,0)</f>
        <v>0</v>
      </c>
      <c r="Y6" s="27" t="n">
        <f aca="false">IF(AND(E6&gt;0,B6=10),1,0)</f>
        <v>0</v>
      </c>
      <c r="Z6" s="0" t="str">
        <f aca="false">IF(AND(C5=C6,W5=W6-1),X5,"")</f>
        <v/>
      </c>
      <c r="AA6" s="0" t="str">
        <f aca="false">IF(AND(C5=C6,W5=W6-1),Y5,"")</f>
        <v/>
      </c>
      <c r="AB6" s="0" t="str">
        <f aca="false">IF(W6=1,"",IF(AND(X6=1,Z6&lt;&gt;1),1,0))</f>
        <v/>
      </c>
      <c r="AC6" s="0" t="str">
        <f aca="false">IF(W6=1,"",IF(AND(Y6=1,AA6&lt;&gt;1),1,0))</f>
        <v/>
      </c>
      <c r="AD6" s="33" t="str">
        <f aca="false">IF(AND(E6&gt;0,W6&lt;1,NOT(AND(C7=C6,W7=W6+1))),INDEX(DATAS,W6+1),"")</f>
        <v/>
      </c>
      <c r="AE6" s="33" t="str">
        <f aca="false">IF(AND(Y6=1,W6&lt;1),IF(AND(C7=C6,W7=W6+1),IF(Y7=1,"",INDEX(DATAS,W6+1)),INDEX(DATAS,W6+1)),"")</f>
        <v/>
      </c>
    </row>
    <row r="7" customFormat="false" ht="15" hidden="false" customHeight="false" outlineLevel="0" collapsed="false">
      <c r="A7" s="33" t="n">
        <v>46309</v>
      </c>
      <c r="B7" s="0" t="n">
        <v>7</v>
      </c>
      <c r="C7" s="0" t="n">
        <v>218</v>
      </c>
      <c r="D7" s="0" t="n">
        <v>529</v>
      </c>
      <c r="E7" s="0" t="n">
        <v>3</v>
      </c>
      <c r="F7" s="27" t="s">
        <v>142</v>
      </c>
      <c r="I7" s="27" t="s">
        <v>143</v>
      </c>
      <c r="J7" s="0" t="n">
        <v>425</v>
      </c>
      <c r="K7" s="0" t="n">
        <v>83</v>
      </c>
      <c r="L7" s="0" t="n">
        <v>182</v>
      </c>
      <c r="P7" s="0" t="n">
        <v>5.18</v>
      </c>
      <c r="Q7" s="0" t="n">
        <v>4.18</v>
      </c>
      <c r="R7" s="0" t="n">
        <v>5465</v>
      </c>
      <c r="S7" s="0" t="n">
        <v>9509</v>
      </c>
      <c r="T7" s="0" t="n">
        <v>65.9</v>
      </c>
      <c r="U7" s="0" t="n">
        <v>2233</v>
      </c>
      <c r="V7" s="0" t="n">
        <v>10</v>
      </c>
      <c r="W7" s="27" t="n">
        <f aca="false">MATCH(A7,DATAS,0)</f>
        <v>1</v>
      </c>
      <c r="X7" s="27" t="n">
        <f aca="false">IF(AND(E7&gt;0,OR(AND(B7&gt;=1,B7&lt;=6),B7=10)),1,0)</f>
        <v>0</v>
      </c>
      <c r="Y7" s="27" t="n">
        <f aca="false">IF(AND(E7&gt;0,B7=10),1,0)</f>
        <v>0</v>
      </c>
      <c r="Z7" s="0" t="str">
        <f aca="false">IF(AND(C6=C7,W6=W7-1),X6,"")</f>
        <v/>
      </c>
      <c r="AA7" s="0" t="str">
        <f aca="false">IF(AND(C6=C7,W6=W7-1),Y6,"")</f>
        <v/>
      </c>
      <c r="AB7" s="0" t="str">
        <f aca="false">IF(W7=1,"",IF(AND(X7=1,Z7&lt;&gt;1),1,0))</f>
        <v/>
      </c>
      <c r="AC7" s="0" t="str">
        <f aca="false">IF(W7=1,"",IF(AND(Y7=1,AA7&lt;&gt;1),1,0))</f>
        <v/>
      </c>
      <c r="AD7" s="33" t="str">
        <f aca="false">IF(AND(E7&gt;0,W7&lt;1,NOT(AND(C8=C7,W8=W7+1))),INDEX(DATAS,W7+1),"")</f>
        <v/>
      </c>
      <c r="AE7" s="33" t="str">
        <f aca="false">IF(AND(Y7=1,W7&lt;1),IF(AND(C8=C7,W8=W7+1),IF(Y8=1,"",INDEX(DATAS,W7+1)),INDEX(DATAS,W7+1)),"")</f>
        <v/>
      </c>
    </row>
    <row r="8" customFormat="false" ht="15" hidden="false" customHeight="false" outlineLevel="0" collapsed="false">
      <c r="A8" s="33" t="n">
        <v>46309</v>
      </c>
      <c r="B8" s="0" t="n">
        <v>5</v>
      </c>
      <c r="C8" s="0" t="n">
        <v>649</v>
      </c>
      <c r="D8" s="0" t="n">
        <v>280</v>
      </c>
      <c r="E8" s="0" t="n">
        <v>3</v>
      </c>
      <c r="F8" s="27" t="s">
        <v>144</v>
      </c>
      <c r="G8" s="0" t="n">
        <v>51.4</v>
      </c>
      <c r="H8" s="0" t="n">
        <v>41</v>
      </c>
      <c r="I8" s="27" t="s">
        <v>138</v>
      </c>
      <c r="J8" s="0" t="n">
        <v>182</v>
      </c>
      <c r="K8" s="0" t="n">
        <v>63</v>
      </c>
      <c r="L8" s="0" t="n">
        <v>98</v>
      </c>
      <c r="M8" s="0" t="n">
        <v>152.82</v>
      </c>
      <c r="N8" s="0" t="n">
        <v>33.41</v>
      </c>
      <c r="O8" s="0" t="n">
        <v>9.94</v>
      </c>
      <c r="P8" s="0" t="n">
        <v>3.45</v>
      </c>
      <c r="Q8" s="0" t="n">
        <v>3.35</v>
      </c>
      <c r="R8" s="0" t="n">
        <v>6436</v>
      </c>
      <c r="S8" s="0" t="n">
        <v>12617</v>
      </c>
      <c r="T8" s="0" t="n">
        <v>63.75</v>
      </c>
      <c r="U8" s="0" t="n">
        <v>1712</v>
      </c>
      <c r="V8" s="0" t="n">
        <v>4</v>
      </c>
      <c r="W8" s="27" t="n">
        <f aca="false">MATCH(A8,DATAS,0)</f>
        <v>1</v>
      </c>
      <c r="X8" s="27" t="n">
        <f aca="false">IF(AND(E8&gt;0,OR(AND(B8&gt;=1,B8&lt;=6),B8=10)),1,0)</f>
        <v>1</v>
      </c>
      <c r="Y8" s="27" t="n">
        <f aca="false">IF(AND(E8&gt;0,B8=10),1,0)</f>
        <v>0</v>
      </c>
      <c r="Z8" s="0" t="str">
        <f aca="false">IF(AND(C7=C8,W7=W8-1),X7,"")</f>
        <v/>
      </c>
      <c r="AA8" s="0" t="str">
        <f aca="false">IF(AND(C7=C8,W7=W8-1),Y7,"")</f>
        <v/>
      </c>
      <c r="AB8" s="0" t="str">
        <f aca="false">IF(W8=1,"",IF(AND(X8=1,Z8&lt;&gt;1),1,0))</f>
        <v/>
      </c>
      <c r="AC8" s="0" t="str">
        <f aca="false">IF(W8=1,"",IF(AND(Y8=1,AA8&lt;&gt;1),1,0))</f>
        <v/>
      </c>
      <c r="AD8" s="33" t="str">
        <f aca="false">IF(AND(E8&gt;0,W8&lt;1,NOT(AND(C9=C8,W9=W8+1))),INDEX(DATAS,W8+1),"")</f>
        <v/>
      </c>
      <c r="AE8" s="33" t="str">
        <f aca="false">IF(AND(Y8=1,W8&lt;1),IF(AND(C9=C8,W9=W8+1),IF(Y9=1,"",INDEX(DATAS,W8+1)),INDEX(DATAS,W8+1)),"")</f>
        <v/>
      </c>
    </row>
    <row r="9" customFormat="false" ht="15" hidden="false" customHeight="false" outlineLevel="0" collapsed="false">
      <c r="A9" s="33" t="n">
        <v>46309</v>
      </c>
      <c r="B9" s="0" t="n">
        <v>7</v>
      </c>
      <c r="C9" s="0" t="n">
        <v>650</v>
      </c>
      <c r="D9" s="0" t="n">
        <v>339</v>
      </c>
      <c r="E9" s="0" t="n">
        <v>2</v>
      </c>
      <c r="F9" s="27" t="s">
        <v>145</v>
      </c>
      <c r="I9" s="27" t="s">
        <v>143</v>
      </c>
      <c r="J9" s="0" t="n">
        <v>235</v>
      </c>
      <c r="K9" s="0" t="n">
        <v>60</v>
      </c>
      <c r="L9" s="0" t="n">
        <v>245</v>
      </c>
      <c r="M9" s="0" t="n">
        <v>540.98</v>
      </c>
      <c r="N9" s="0" t="n">
        <v>29.3</v>
      </c>
      <c r="O9" s="0" t="n">
        <v>26.44</v>
      </c>
      <c r="P9" s="0" t="n">
        <v>4.44</v>
      </c>
      <c r="Q9" s="0" t="n">
        <v>3.4</v>
      </c>
      <c r="R9" s="0" t="n">
        <v>6197</v>
      </c>
      <c r="S9" s="0" t="n">
        <v>10568</v>
      </c>
      <c r="T9" s="0" t="n">
        <v>68</v>
      </c>
      <c r="U9" s="0" t="n">
        <v>1703</v>
      </c>
      <c r="V9" s="0" t="n">
        <v>5</v>
      </c>
      <c r="W9" s="27" t="n">
        <f aca="false">MATCH(A9,DATAS,0)</f>
        <v>1</v>
      </c>
      <c r="X9" s="27" t="n">
        <f aca="false">IF(AND(E9&gt;0,OR(AND(B9&gt;=1,B9&lt;=6),B9=10)),1,0)</f>
        <v>0</v>
      </c>
      <c r="Y9" s="27" t="n">
        <f aca="false">IF(AND(E9&gt;0,B9=10),1,0)</f>
        <v>0</v>
      </c>
      <c r="Z9" s="0" t="str">
        <f aca="false">IF(AND(C8=C9,W8=W9-1),X8,"")</f>
        <v/>
      </c>
      <c r="AA9" s="0" t="str">
        <f aca="false">IF(AND(C8=C9,W8=W9-1),Y8,"")</f>
        <v/>
      </c>
      <c r="AB9" s="0" t="str">
        <f aca="false">IF(W9=1,"",IF(AND(X9=1,Z9&lt;&gt;1),1,0))</f>
        <v/>
      </c>
      <c r="AC9" s="0" t="str">
        <f aca="false">IF(W9=1,"",IF(AND(Y9=1,AA9&lt;&gt;1),1,0))</f>
        <v/>
      </c>
      <c r="AD9" s="33" t="str">
        <f aca="false">IF(AND(E9&gt;0,W9&lt;1,NOT(AND(C10=C9,W10=W9+1))),INDEX(DATAS,W9+1),"")</f>
        <v/>
      </c>
      <c r="AE9" s="33" t="str">
        <f aca="false">IF(AND(Y9=1,W9&lt;1),IF(AND(C10=C9,W10=W9+1),IF(Y10=1,"",INDEX(DATAS,W9+1)),INDEX(DATAS,W9+1)),"")</f>
        <v/>
      </c>
    </row>
    <row r="10" customFormat="false" ht="15" hidden="false" customHeight="false" outlineLevel="0" collapsed="false">
      <c r="A10" s="33" t="n">
        <v>46309</v>
      </c>
      <c r="B10" s="0" t="n">
        <v>5</v>
      </c>
      <c r="C10" s="0" t="n">
        <v>892</v>
      </c>
      <c r="D10" s="0" t="n">
        <v>47</v>
      </c>
      <c r="E10" s="0" t="n">
        <v>7</v>
      </c>
      <c r="F10" s="27" t="s">
        <v>146</v>
      </c>
      <c r="G10" s="0" t="n">
        <v>32.8</v>
      </c>
      <c r="H10" s="0" t="n">
        <v>38</v>
      </c>
      <c r="I10" s="27" t="s">
        <v>147</v>
      </c>
      <c r="J10" s="0" t="n">
        <v>47</v>
      </c>
      <c r="P10" s="0" t="n">
        <v>3.26</v>
      </c>
      <c r="Q10" s="0" t="n">
        <v>3.4</v>
      </c>
      <c r="R10" s="0" t="n">
        <v>3183</v>
      </c>
      <c r="S10" s="0" t="n">
        <v>6398</v>
      </c>
      <c r="U10" s="0" t="n">
        <v>3796</v>
      </c>
      <c r="V10" s="0" t="n">
        <v>0</v>
      </c>
      <c r="W10" s="27" t="n">
        <f aca="false">MATCH(A10,DATAS,0)</f>
        <v>1</v>
      </c>
      <c r="X10" s="27" t="n">
        <f aca="false">IF(AND(E10&gt;0,OR(AND(B10&gt;=1,B10&lt;=6),B10=10)),1,0)</f>
        <v>1</v>
      </c>
      <c r="Y10" s="27" t="n">
        <f aca="false">IF(AND(E10&gt;0,B10=10),1,0)</f>
        <v>0</v>
      </c>
      <c r="Z10" s="0" t="str">
        <f aca="false">IF(AND(C9=C10,W9=W10-1),X9,"")</f>
        <v/>
      </c>
      <c r="AA10" s="0" t="str">
        <f aca="false">IF(AND(C9=C10,W9=W10-1),Y9,"")</f>
        <v/>
      </c>
      <c r="AB10" s="0" t="str">
        <f aca="false">IF(W10=1,"",IF(AND(X10=1,Z10&lt;&gt;1),1,0))</f>
        <v/>
      </c>
      <c r="AC10" s="0" t="str">
        <f aca="false">IF(W10=1,"",IF(AND(Y10=1,AA10&lt;&gt;1),1,0))</f>
        <v/>
      </c>
      <c r="AD10" s="33" t="str">
        <f aca="false">IF(AND(E10&gt;0,W10&lt;1,NOT(AND(C11=C10,W11=W10+1))),INDEX(DATAS,W10+1),"")</f>
        <v/>
      </c>
      <c r="AE10" s="33" t="str">
        <f aca="false">IF(AND(Y10=1,W10&lt;1),IF(AND(C11=C10,W11=W10+1),IF(Y11=1,"",INDEX(DATAS,W10+1)),INDEX(DATAS,W10+1)),"")</f>
        <v/>
      </c>
    </row>
    <row r="11" customFormat="false" ht="15" hidden="false" customHeight="false" outlineLevel="0" collapsed="false">
      <c r="A11" s="33" t="n">
        <v>46309</v>
      </c>
      <c r="B11" s="0" t="n">
        <v>14</v>
      </c>
      <c r="C11" s="0" t="n">
        <v>1075</v>
      </c>
      <c r="D11" s="0" t="n">
        <v>536</v>
      </c>
      <c r="E11" s="0" t="n">
        <v>4</v>
      </c>
      <c r="F11" s="27" t="s">
        <v>148</v>
      </c>
      <c r="I11" s="27" t="s">
        <v>143</v>
      </c>
      <c r="J11" s="0" t="n">
        <v>467</v>
      </c>
      <c r="K11" s="0" t="n">
        <v>69</v>
      </c>
      <c r="L11" s="0" t="n">
        <v>266</v>
      </c>
      <c r="P11" s="0" t="n">
        <v>4.25</v>
      </c>
      <c r="Q11" s="0" t="n">
        <v>4.7</v>
      </c>
      <c r="R11" s="0" t="n">
        <v>6082</v>
      </c>
      <c r="S11" s="0" t="n">
        <v>11102</v>
      </c>
      <c r="T11" s="0" t="n">
        <v>65</v>
      </c>
      <c r="U11" s="0" t="n">
        <v>2915</v>
      </c>
      <c r="V11" s="0" t="n">
        <v>9</v>
      </c>
      <c r="W11" s="27" t="n">
        <f aca="false">MATCH(A11,DATAS,0)</f>
        <v>1</v>
      </c>
      <c r="X11" s="27" t="n">
        <f aca="false">IF(AND(E11&gt;0,OR(AND(B11&gt;=1,B11&lt;=6),B11=10)),1,0)</f>
        <v>0</v>
      </c>
      <c r="Y11" s="27" t="n">
        <f aca="false">IF(AND(E11&gt;0,B11=10),1,0)</f>
        <v>0</v>
      </c>
      <c r="Z11" s="0" t="str">
        <f aca="false">IF(AND(C10=C11,W10=W11-1),X10,"")</f>
        <v/>
      </c>
      <c r="AA11" s="0" t="str">
        <f aca="false">IF(AND(C10=C11,W10=W11-1),Y10,"")</f>
        <v/>
      </c>
      <c r="AB11" s="0" t="str">
        <f aca="false">IF(W11=1,"",IF(AND(X11=1,Z11&lt;&gt;1),1,0))</f>
        <v/>
      </c>
      <c r="AC11" s="0" t="str">
        <f aca="false">IF(W11=1,"",IF(AND(Y11=1,AA11&lt;&gt;1),1,0))</f>
        <v/>
      </c>
      <c r="AD11" s="33" t="str">
        <f aca="false">IF(AND(E11&gt;0,W11&lt;1,NOT(AND(C12=C11,W12=W11+1))),INDEX(DATAS,W11+1),"")</f>
        <v/>
      </c>
      <c r="AE11" s="33" t="str">
        <f aca="false">IF(AND(Y11=1,W11&lt;1),IF(AND(C12=C11,W12=W11+1),IF(Y12=1,"",INDEX(DATAS,W11+1)),INDEX(DATAS,W11+1)),"")</f>
        <v/>
      </c>
    </row>
    <row r="12" customFormat="false" ht="15" hidden="false" customHeight="false" outlineLevel="0" collapsed="false">
      <c r="A12" s="33" t="n">
        <v>46309</v>
      </c>
      <c r="B12" s="0" t="n">
        <v>5</v>
      </c>
      <c r="C12" s="0" t="n">
        <v>1142</v>
      </c>
      <c r="D12" s="0" t="n">
        <v>52</v>
      </c>
      <c r="E12" s="0" t="n">
        <v>6</v>
      </c>
      <c r="F12" s="27" t="s">
        <v>149</v>
      </c>
      <c r="G12" s="0" t="n">
        <v>37.1</v>
      </c>
      <c r="H12" s="0" t="n">
        <v>31</v>
      </c>
      <c r="I12" s="27" t="s">
        <v>147</v>
      </c>
      <c r="J12" s="0" t="n">
        <v>52</v>
      </c>
      <c r="M12" s="0" t="n">
        <v>869.87</v>
      </c>
      <c r="N12" s="0" t="n">
        <v>-1.85</v>
      </c>
      <c r="O12" s="0" t="n">
        <v>17.42</v>
      </c>
      <c r="P12" s="0" t="n">
        <v>2.66</v>
      </c>
      <c r="Q12" s="0" t="n">
        <v>2.72</v>
      </c>
      <c r="R12" s="0" t="n">
        <v>3730</v>
      </c>
      <c r="S12" s="0" t="n">
        <v>7499</v>
      </c>
      <c r="U12" s="0" t="n">
        <v>2594</v>
      </c>
      <c r="V12" s="0" t="n">
        <v>0</v>
      </c>
      <c r="W12" s="27" t="n">
        <f aca="false">MATCH(A12,DATAS,0)</f>
        <v>1</v>
      </c>
      <c r="X12" s="27" t="n">
        <f aca="false">IF(AND(E12&gt;0,OR(AND(B12&gt;=1,B12&lt;=6),B12=10)),1,0)</f>
        <v>1</v>
      </c>
      <c r="Y12" s="27" t="n">
        <f aca="false">IF(AND(E12&gt;0,B12=10),1,0)</f>
        <v>0</v>
      </c>
      <c r="Z12" s="0" t="str">
        <f aca="false">IF(AND(C11=C12,W11=W12-1),X11,"")</f>
        <v/>
      </c>
      <c r="AA12" s="0" t="str">
        <f aca="false">IF(AND(C11=C12,W11=W12-1),Y11,"")</f>
        <v/>
      </c>
      <c r="AB12" s="0" t="str">
        <f aca="false">IF(W12=1,"",IF(AND(X12=1,Z12&lt;&gt;1),1,0))</f>
        <v/>
      </c>
      <c r="AC12" s="0" t="str">
        <f aca="false">IF(W12=1,"",IF(AND(Y12=1,AA12&lt;&gt;1),1,0))</f>
        <v/>
      </c>
      <c r="AD12" s="33" t="str">
        <f aca="false">IF(AND(E12&gt;0,W12&lt;1,NOT(AND(C13=C12,W13=W12+1))),INDEX(DATAS,W12+1),"")</f>
        <v/>
      </c>
      <c r="AE12" s="33" t="str">
        <f aca="false">IF(AND(Y12=1,W12&lt;1),IF(AND(C13=C12,W13=W12+1),IF(Y13=1,"",INDEX(DATAS,W12+1)),INDEX(DATAS,W12+1)),"")</f>
        <v/>
      </c>
    </row>
    <row r="13" customFormat="false" ht="15" hidden="false" customHeight="false" outlineLevel="0" collapsed="false">
      <c r="A13" s="33" t="n">
        <v>46309</v>
      </c>
      <c r="B13" s="0" t="n">
        <v>5</v>
      </c>
      <c r="C13" s="0" t="n">
        <v>1160</v>
      </c>
      <c r="D13" s="0" t="n">
        <v>230</v>
      </c>
      <c r="E13" s="0" t="n">
        <v>3</v>
      </c>
      <c r="F13" s="27" t="s">
        <v>150</v>
      </c>
      <c r="G13" s="0" t="n">
        <v>21.1</v>
      </c>
      <c r="H13" s="0" t="n">
        <v>30</v>
      </c>
      <c r="I13" s="27" t="s">
        <v>151</v>
      </c>
      <c r="J13" s="0" t="n">
        <v>230</v>
      </c>
      <c r="K13" s="0" t="n">
        <v>69</v>
      </c>
      <c r="M13" s="0" t="n">
        <v>594.46</v>
      </c>
      <c r="N13" s="0" t="n">
        <v>32.34</v>
      </c>
      <c r="O13" s="0" t="n">
        <v>22.91</v>
      </c>
      <c r="P13" s="0" t="n">
        <v>4.83</v>
      </c>
      <c r="Q13" s="0" t="n">
        <v>3.52</v>
      </c>
      <c r="R13" s="0" t="n">
        <v>4226</v>
      </c>
      <c r="S13" s="0" t="n">
        <v>8219</v>
      </c>
      <c r="T13" s="0" t="n">
        <v>48.45</v>
      </c>
      <c r="U13" s="0" t="n">
        <v>2490</v>
      </c>
      <c r="V13" s="0" t="n">
        <v>3</v>
      </c>
      <c r="W13" s="27" t="n">
        <f aca="false">MATCH(A13,DATAS,0)</f>
        <v>1</v>
      </c>
      <c r="X13" s="27" t="n">
        <f aca="false">IF(AND(E13&gt;0,OR(AND(B13&gt;=1,B13&lt;=6),B13=10)),1,0)</f>
        <v>1</v>
      </c>
      <c r="Y13" s="27" t="n">
        <f aca="false">IF(AND(E13&gt;0,B13=10),1,0)</f>
        <v>0</v>
      </c>
      <c r="Z13" s="0" t="str">
        <f aca="false">IF(AND(C12=C13,W12=W13-1),X12,"")</f>
        <v/>
      </c>
      <c r="AA13" s="0" t="str">
        <f aca="false">IF(AND(C12=C13,W12=W13-1),Y12,"")</f>
        <v/>
      </c>
      <c r="AB13" s="0" t="str">
        <f aca="false">IF(W13=1,"",IF(AND(X13=1,Z13&lt;&gt;1),1,0))</f>
        <v/>
      </c>
      <c r="AC13" s="0" t="str">
        <f aca="false">IF(W13=1,"",IF(AND(Y13=1,AA13&lt;&gt;1),1,0))</f>
        <v/>
      </c>
      <c r="AD13" s="33" t="str">
        <f aca="false">IF(AND(E13&gt;0,W13&lt;1,NOT(AND(C14=C13,W14=W13+1))),INDEX(DATAS,W13+1),"")</f>
        <v/>
      </c>
      <c r="AE13" s="33" t="str">
        <f aca="false">IF(AND(Y13=1,W13&lt;1),IF(AND(C14=C13,W14=W13+1),IF(Y14=1,"",INDEX(DATAS,W13+1)),INDEX(DATAS,W13+1)),"")</f>
        <v/>
      </c>
    </row>
    <row r="14" customFormat="false" ht="15" hidden="false" customHeight="false" outlineLevel="0" collapsed="false">
      <c r="A14" s="33" t="n">
        <v>46309</v>
      </c>
      <c r="B14" s="0" t="n">
        <v>5</v>
      </c>
      <c r="C14" s="0" t="n">
        <v>1198</v>
      </c>
      <c r="D14" s="0" t="n">
        <v>198</v>
      </c>
      <c r="E14" s="0" t="n">
        <v>4</v>
      </c>
      <c r="F14" s="27" t="s">
        <v>152</v>
      </c>
      <c r="G14" s="0" t="n">
        <v>33.5</v>
      </c>
      <c r="H14" s="0" t="n">
        <v>35</v>
      </c>
      <c r="I14" s="27" t="s">
        <v>151</v>
      </c>
      <c r="J14" s="0" t="n">
        <v>198</v>
      </c>
      <c r="P14" s="0" t="n">
        <v>3.38</v>
      </c>
      <c r="Q14" s="0" t="n">
        <v>3.05</v>
      </c>
      <c r="R14" s="0" t="n">
        <v>4464</v>
      </c>
      <c r="S14" s="0" t="n">
        <v>8997</v>
      </c>
      <c r="T14" s="0" t="n">
        <v>48.65</v>
      </c>
      <c r="U14" s="0" t="n">
        <v>2183</v>
      </c>
      <c r="V14" s="0" t="n">
        <v>0</v>
      </c>
      <c r="W14" s="27" t="n">
        <f aca="false">MATCH(A14,DATAS,0)</f>
        <v>1</v>
      </c>
      <c r="X14" s="27" t="n">
        <f aca="false">IF(AND(E14&gt;0,OR(AND(B14&gt;=1,B14&lt;=6),B14=10)),1,0)</f>
        <v>1</v>
      </c>
      <c r="Y14" s="27" t="n">
        <f aca="false">IF(AND(E14&gt;0,B14=10),1,0)</f>
        <v>0</v>
      </c>
      <c r="Z14" s="0" t="str">
        <f aca="false">IF(AND(C13=C14,W13=W14-1),X13,"")</f>
        <v/>
      </c>
      <c r="AA14" s="0" t="str">
        <f aca="false">IF(AND(C13=C14,W13=W14-1),Y13,"")</f>
        <v/>
      </c>
      <c r="AB14" s="0" t="str">
        <f aca="false">IF(W14=1,"",IF(AND(X14=1,Z14&lt;&gt;1),1,0))</f>
        <v/>
      </c>
      <c r="AC14" s="0" t="str">
        <f aca="false">IF(W14=1,"",IF(AND(Y14=1,AA14&lt;&gt;1),1,0))</f>
        <v/>
      </c>
      <c r="AD14" s="33" t="str">
        <f aca="false">IF(AND(E14&gt;0,W14&lt;1,NOT(AND(C15=C14,W15=W14+1))),INDEX(DATAS,W14+1),"")</f>
        <v/>
      </c>
      <c r="AE14" s="33" t="str">
        <f aca="false">IF(AND(Y14=1,W14&lt;1),IF(AND(C15=C14,W15=W14+1),IF(Y15=1,"",INDEX(DATAS,W14+1)),INDEX(DATAS,W14+1)),"")</f>
        <v/>
      </c>
    </row>
    <row r="15" customFormat="false" ht="15" hidden="false" customHeight="false" outlineLevel="0" collapsed="false">
      <c r="A15" s="33" t="n">
        <v>46309</v>
      </c>
      <c r="B15" s="0" t="n">
        <v>3</v>
      </c>
      <c r="C15" s="0" t="n">
        <v>1200</v>
      </c>
      <c r="D15" s="0" t="n">
        <v>62</v>
      </c>
      <c r="E15" s="0" t="n">
        <v>6</v>
      </c>
      <c r="F15" s="27" t="s">
        <v>153</v>
      </c>
      <c r="G15" s="0" t="n">
        <v>49</v>
      </c>
      <c r="H15" s="0" t="n">
        <v>46</v>
      </c>
      <c r="I15" s="27" t="s">
        <v>147</v>
      </c>
      <c r="J15" s="0" t="n">
        <v>62</v>
      </c>
      <c r="M15" s="0" t="n">
        <v>-76.69</v>
      </c>
      <c r="N15" s="0" t="n">
        <v>25.94</v>
      </c>
      <c r="O15" s="0" t="n">
        <v>5.65</v>
      </c>
      <c r="P15" s="0" t="n">
        <v>3.04</v>
      </c>
      <c r="Q15" s="0" t="n">
        <v>2.9</v>
      </c>
      <c r="R15" s="0" t="n">
        <v>5707</v>
      </c>
      <c r="S15" s="0" t="n">
        <v>11472</v>
      </c>
      <c r="U15" s="0" t="n">
        <v>2184</v>
      </c>
      <c r="V15" s="0" t="n">
        <v>0</v>
      </c>
      <c r="W15" s="27" t="n">
        <f aca="false">MATCH(A15,DATAS,0)</f>
        <v>1</v>
      </c>
      <c r="X15" s="27" t="n">
        <f aca="false">IF(AND(E15&gt;0,OR(AND(B15&gt;=1,B15&lt;=6),B15=10)),1,0)</f>
        <v>1</v>
      </c>
      <c r="Y15" s="27" t="n">
        <f aca="false">IF(AND(E15&gt;0,B15=10),1,0)</f>
        <v>0</v>
      </c>
      <c r="Z15" s="0" t="str">
        <f aca="false">IF(AND(C14=C15,W14=W15-1),X14,"")</f>
        <v/>
      </c>
      <c r="AA15" s="0" t="str">
        <f aca="false">IF(AND(C14=C15,W14=W15-1),Y14,"")</f>
        <v/>
      </c>
      <c r="AB15" s="0" t="str">
        <f aca="false">IF(W15=1,"",IF(AND(X15=1,Z15&lt;&gt;1),1,0))</f>
        <v/>
      </c>
      <c r="AC15" s="0" t="str">
        <f aca="false">IF(W15=1,"",IF(AND(Y15=1,AA15&lt;&gt;1),1,0))</f>
        <v/>
      </c>
      <c r="AD15" s="33" t="str">
        <f aca="false">IF(AND(E15&gt;0,W15&lt;1,NOT(AND(C16=C15,W16=W15+1))),INDEX(DATAS,W15+1),"")</f>
        <v/>
      </c>
      <c r="AE15" s="33" t="str">
        <f aca="false">IF(AND(Y15=1,W15&lt;1),IF(AND(C16=C15,W16=W15+1),IF(Y16=1,"",INDEX(DATAS,W15+1)),INDEX(DATAS,W15+1)),"")</f>
        <v/>
      </c>
    </row>
    <row r="16" customFormat="false" ht="15" hidden="false" customHeight="false" outlineLevel="0" collapsed="false">
      <c r="A16" s="33" t="n">
        <v>46309</v>
      </c>
      <c r="B16" s="0" t="n">
        <v>2</v>
      </c>
      <c r="C16" s="0" t="n">
        <v>1202</v>
      </c>
      <c r="D16" s="0" t="n">
        <v>13</v>
      </c>
      <c r="E16" s="0" t="n">
        <v>5</v>
      </c>
      <c r="F16" s="27" t="s">
        <v>154</v>
      </c>
      <c r="G16" s="0" t="n">
        <v>45.5</v>
      </c>
      <c r="H16" s="0" t="n">
        <v>37</v>
      </c>
      <c r="I16" s="27" t="s">
        <v>147</v>
      </c>
      <c r="J16" s="0" t="n">
        <v>13</v>
      </c>
      <c r="M16" s="0" t="n">
        <v>107.54</v>
      </c>
      <c r="N16" s="0" t="n">
        <v>-13.12</v>
      </c>
      <c r="O16" s="0" t="n">
        <v>7.29</v>
      </c>
      <c r="R16" s="0" t="n">
        <v>2908</v>
      </c>
      <c r="S16" s="0" t="n">
        <v>5846</v>
      </c>
      <c r="U16" s="0" t="n">
        <v>2301</v>
      </c>
      <c r="V16" s="0" t="n">
        <v>0</v>
      </c>
      <c r="W16" s="27" t="n">
        <f aca="false">MATCH(A16,DATAS,0)</f>
        <v>1</v>
      </c>
      <c r="X16" s="27" t="n">
        <f aca="false">IF(AND(E16&gt;0,OR(AND(B16&gt;=1,B16&lt;=6),B16=10)),1,0)</f>
        <v>1</v>
      </c>
      <c r="Y16" s="27" t="n">
        <f aca="false">IF(AND(E16&gt;0,B16=10),1,0)</f>
        <v>0</v>
      </c>
      <c r="Z16" s="0" t="str">
        <f aca="false">IF(AND(C15=C16,W15=W16-1),X15,"")</f>
        <v/>
      </c>
      <c r="AA16" s="0" t="str">
        <f aca="false">IF(AND(C15=C16,W15=W16-1),Y15,"")</f>
        <v/>
      </c>
      <c r="AB16" s="0" t="str">
        <f aca="false">IF(W16=1,"",IF(AND(X16=1,Z16&lt;&gt;1),1,0))</f>
        <v/>
      </c>
      <c r="AC16" s="0" t="str">
        <f aca="false">IF(W16=1,"",IF(AND(Y16=1,AA16&lt;&gt;1),1,0))</f>
        <v/>
      </c>
      <c r="AD16" s="33" t="str">
        <f aca="false">IF(AND(E16&gt;0,W16&lt;1,NOT(AND(C17=C16,W17=W16+1))),INDEX(DATAS,W16+1),"")</f>
        <v/>
      </c>
      <c r="AE16" s="33" t="str">
        <f aca="false">IF(AND(Y16=1,W16&lt;1),IF(AND(C17=C16,W17=W16+1),IF(Y17=1,"",INDEX(DATAS,W16+1)),INDEX(DATAS,W16+1)),"")</f>
        <v/>
      </c>
    </row>
    <row r="17" customFormat="false" ht="15" hidden="false" customHeight="false" outlineLevel="0" collapsed="false">
      <c r="A17" s="33" t="n">
        <v>46309</v>
      </c>
      <c r="B17" s="0" t="n">
        <v>3</v>
      </c>
      <c r="C17" s="0" t="n">
        <v>1204</v>
      </c>
      <c r="D17" s="0" t="n">
        <v>46</v>
      </c>
      <c r="E17" s="0" t="n">
        <v>4</v>
      </c>
      <c r="F17" s="27" t="s">
        <v>152</v>
      </c>
      <c r="G17" s="0" t="n">
        <v>55</v>
      </c>
      <c r="H17" s="0" t="n">
        <v>51</v>
      </c>
      <c r="I17" s="27" t="s">
        <v>147</v>
      </c>
      <c r="J17" s="0" t="n">
        <v>46</v>
      </c>
      <c r="M17" s="0" t="n">
        <v>517.38</v>
      </c>
      <c r="N17" s="0" t="n">
        <v>22.36</v>
      </c>
      <c r="O17" s="0" t="n">
        <v>17.25</v>
      </c>
      <c r="P17" s="0" t="n">
        <v>3.86</v>
      </c>
      <c r="Q17" s="0" t="n">
        <v>3.57</v>
      </c>
      <c r="R17" s="0" t="n">
        <v>4139</v>
      </c>
      <c r="S17" s="0" t="n">
        <v>8320</v>
      </c>
      <c r="U17" s="0" t="n">
        <v>2183</v>
      </c>
      <c r="V17" s="0" t="n">
        <v>0</v>
      </c>
      <c r="W17" s="27" t="n">
        <f aca="false">MATCH(A17,DATAS,0)</f>
        <v>1</v>
      </c>
      <c r="X17" s="27" t="n">
        <f aca="false">IF(AND(E17&gt;0,OR(AND(B17&gt;=1,B17&lt;=6),B17=10)),1,0)</f>
        <v>1</v>
      </c>
      <c r="Y17" s="27" t="n">
        <f aca="false">IF(AND(E17&gt;0,B17=10),1,0)</f>
        <v>0</v>
      </c>
      <c r="Z17" s="0" t="str">
        <f aca="false">IF(AND(C16=C17,W16=W17-1),X16,"")</f>
        <v/>
      </c>
      <c r="AA17" s="0" t="str">
        <f aca="false">IF(AND(C16=C17,W16=W17-1),Y16,"")</f>
        <v/>
      </c>
      <c r="AB17" s="0" t="str">
        <f aca="false">IF(W17=1,"",IF(AND(X17=1,Z17&lt;&gt;1),1,0))</f>
        <v/>
      </c>
      <c r="AC17" s="0" t="str">
        <f aca="false">IF(W17=1,"",IF(AND(Y17=1,AA17&lt;&gt;1),1,0))</f>
        <v/>
      </c>
      <c r="AD17" s="33" t="str">
        <f aca="false">IF(AND(E17&gt;0,W17&lt;1,NOT(AND(C18=C17,W18=W17+1))),INDEX(DATAS,W17+1),"")</f>
        <v/>
      </c>
      <c r="AE17" s="33" t="str">
        <f aca="false">IF(AND(Y17=1,W17&lt;1),IF(AND(C18=C17,W18=W17+1),IF(Y18=1,"",INDEX(DATAS,W17+1)),INDEX(DATAS,W17+1)),"")</f>
        <v/>
      </c>
    </row>
    <row r="18" customFormat="false" ht="15" hidden="false" customHeight="false" outlineLevel="0" collapsed="false">
      <c r="A18" s="33" t="n">
        <v>46309</v>
      </c>
      <c r="B18" s="0" t="n">
        <v>5</v>
      </c>
      <c r="C18" s="0" t="n">
        <v>1216</v>
      </c>
      <c r="D18" s="0" t="n">
        <v>175</v>
      </c>
      <c r="E18" s="0" t="n">
        <v>5</v>
      </c>
      <c r="F18" s="27" t="s">
        <v>153</v>
      </c>
      <c r="G18" s="0" t="n">
        <v>38.4</v>
      </c>
      <c r="H18" s="0" t="n">
        <v>34</v>
      </c>
      <c r="I18" s="27" t="s">
        <v>138</v>
      </c>
      <c r="J18" s="0" t="n">
        <v>105</v>
      </c>
      <c r="K18" s="0" t="n">
        <v>71</v>
      </c>
      <c r="L18" s="0" t="n">
        <v>70</v>
      </c>
      <c r="M18" s="0" t="n">
        <v>657.09</v>
      </c>
      <c r="N18" s="0" t="n">
        <v>23.81</v>
      </c>
      <c r="O18" s="0" t="n">
        <v>24</v>
      </c>
      <c r="P18" s="0" t="n">
        <v>3.79</v>
      </c>
      <c r="Q18" s="0" t="n">
        <v>3.77</v>
      </c>
      <c r="R18" s="0" t="n">
        <v>4406</v>
      </c>
      <c r="S18" s="0" t="n">
        <v>8526</v>
      </c>
      <c r="T18" s="0" t="n">
        <v>50.4</v>
      </c>
      <c r="U18" s="0" t="n">
        <v>2184</v>
      </c>
      <c r="V18" s="0" t="n">
        <v>2</v>
      </c>
      <c r="W18" s="27" t="n">
        <f aca="false">MATCH(A18,DATAS,0)</f>
        <v>1</v>
      </c>
      <c r="X18" s="27" t="n">
        <f aca="false">IF(AND(E18&gt;0,OR(AND(B18&gt;=1,B18&lt;=6),B18=10)),1,0)</f>
        <v>1</v>
      </c>
      <c r="Y18" s="27" t="n">
        <f aca="false">IF(AND(E18&gt;0,B18=10),1,0)</f>
        <v>0</v>
      </c>
      <c r="Z18" s="0" t="str">
        <f aca="false">IF(AND(C17=C18,W17=W18-1),X17,"")</f>
        <v/>
      </c>
      <c r="AA18" s="0" t="str">
        <f aca="false">IF(AND(C17=C18,W17=W18-1),Y17,"")</f>
        <v/>
      </c>
      <c r="AB18" s="0" t="str">
        <f aca="false">IF(W18=1,"",IF(AND(X18=1,Z18&lt;&gt;1),1,0))</f>
        <v/>
      </c>
      <c r="AC18" s="0" t="str">
        <f aca="false">IF(W18=1,"",IF(AND(Y18=1,AA18&lt;&gt;1),1,0))</f>
        <v/>
      </c>
      <c r="AD18" s="33" t="str">
        <f aca="false">IF(AND(E18&gt;0,W18&lt;1,NOT(AND(C19=C18,W19=W18+1))),INDEX(DATAS,W18+1),"")</f>
        <v/>
      </c>
      <c r="AE18" s="33" t="str">
        <f aca="false">IF(AND(Y18=1,W18&lt;1),IF(AND(C19=C18,W19=W18+1),IF(Y19=1,"",INDEX(DATAS,W18+1)),INDEX(DATAS,W18+1)),"")</f>
        <v/>
      </c>
    </row>
    <row r="19" customFormat="false" ht="15" hidden="false" customHeight="false" outlineLevel="0" collapsed="false">
      <c r="A19" s="33" t="n">
        <v>46309</v>
      </c>
      <c r="B19" s="0" t="n">
        <v>6</v>
      </c>
      <c r="C19" s="0" t="n">
        <v>1226</v>
      </c>
      <c r="D19" s="0" t="n">
        <v>487</v>
      </c>
      <c r="E19" s="0" t="n">
        <v>3</v>
      </c>
      <c r="F19" s="27" t="s">
        <v>155</v>
      </c>
      <c r="G19" s="0" t="n">
        <v>17.6</v>
      </c>
      <c r="H19" s="0" t="n">
        <v>17</v>
      </c>
      <c r="I19" s="27" t="s">
        <v>151</v>
      </c>
      <c r="J19" s="0" t="n">
        <v>487</v>
      </c>
      <c r="K19" s="0" t="n">
        <v>60</v>
      </c>
      <c r="M19" s="0" t="n">
        <v>209.37</v>
      </c>
      <c r="N19" s="0" t="n">
        <v>33.48</v>
      </c>
      <c r="O19" s="0" t="n">
        <v>13.95</v>
      </c>
      <c r="P19" s="0" t="n">
        <v>6.28</v>
      </c>
      <c r="Q19" s="0" t="n">
        <v>4.47</v>
      </c>
      <c r="R19" s="0" t="n">
        <v>4540</v>
      </c>
      <c r="S19" s="0" t="n">
        <v>8840</v>
      </c>
      <c r="T19" s="0" t="n">
        <v>47.3</v>
      </c>
      <c r="U19" s="0" t="n">
        <v>2180</v>
      </c>
      <c r="V19" s="0" t="n">
        <v>7</v>
      </c>
      <c r="W19" s="27" t="n">
        <f aca="false">MATCH(A19,DATAS,0)</f>
        <v>1</v>
      </c>
      <c r="X19" s="27" t="n">
        <f aca="false">IF(AND(E19&gt;0,OR(AND(B19&gt;=1,B19&lt;=6),B19=10)),1,0)</f>
        <v>1</v>
      </c>
      <c r="Y19" s="27" t="n">
        <f aca="false">IF(AND(E19&gt;0,B19=10),1,0)</f>
        <v>0</v>
      </c>
      <c r="Z19" s="0" t="str">
        <f aca="false">IF(AND(C18=C19,W18=W19-1),X18,"")</f>
        <v/>
      </c>
      <c r="AA19" s="0" t="str">
        <f aca="false">IF(AND(C18=C19,W18=W19-1),Y18,"")</f>
        <v/>
      </c>
      <c r="AB19" s="0" t="str">
        <f aca="false">IF(W19=1,"",IF(AND(X19=1,Z19&lt;&gt;1),1,0))</f>
        <v/>
      </c>
      <c r="AC19" s="0" t="str">
        <f aca="false">IF(W19=1,"",IF(AND(Y19=1,AA19&lt;&gt;1),1,0))</f>
        <v/>
      </c>
      <c r="AD19" s="33" t="str">
        <f aca="false">IF(AND(E19&gt;0,W19&lt;1,NOT(AND(C20=C19,W20=W19+1))),INDEX(DATAS,W19+1),"")</f>
        <v/>
      </c>
      <c r="AE19" s="33" t="str">
        <f aca="false">IF(AND(Y19=1,W19&lt;1),IF(AND(C20=C19,W20=W19+1),IF(Y20=1,"",INDEX(DATAS,W19+1)),INDEX(DATAS,W19+1)),"")</f>
        <v/>
      </c>
    </row>
    <row r="20" customFormat="false" ht="15" hidden="false" customHeight="false" outlineLevel="0" collapsed="false">
      <c r="A20" s="33" t="n">
        <v>46309</v>
      </c>
      <c r="B20" s="0" t="n">
        <v>10</v>
      </c>
      <c r="C20" s="0" t="n">
        <v>1571</v>
      </c>
      <c r="D20" s="0" t="n">
        <v>213</v>
      </c>
      <c r="E20" s="0" t="n">
        <v>2</v>
      </c>
      <c r="F20" s="27" t="s">
        <v>156</v>
      </c>
      <c r="G20" s="0" t="n">
        <v>13.1</v>
      </c>
      <c r="H20" s="0" t="n">
        <v>30</v>
      </c>
      <c r="I20" s="27" t="s">
        <v>138</v>
      </c>
      <c r="J20" s="0" t="n">
        <v>73</v>
      </c>
      <c r="K20" s="0" t="n">
        <v>73</v>
      </c>
      <c r="L20" s="0" t="n">
        <v>140</v>
      </c>
      <c r="P20" s="0" t="n">
        <v>2.01</v>
      </c>
      <c r="Q20" s="0" t="n">
        <v>3.92</v>
      </c>
      <c r="R20" s="0" t="n">
        <v>6013</v>
      </c>
      <c r="S20" s="0" t="n">
        <v>11418</v>
      </c>
      <c r="T20" s="0" t="n">
        <v>57.05</v>
      </c>
      <c r="U20" s="0" t="n">
        <v>1313</v>
      </c>
      <c r="V20" s="0" t="n">
        <v>1</v>
      </c>
      <c r="W20" s="27" t="n">
        <f aca="false">MATCH(A20,DATAS,0)</f>
        <v>1</v>
      </c>
      <c r="X20" s="27" t="n">
        <f aca="false">IF(AND(E20&gt;0,OR(AND(B20&gt;=1,B20&lt;=6),B20=10)),1,0)</f>
        <v>1</v>
      </c>
      <c r="Y20" s="27" t="n">
        <f aca="false">IF(AND(E20&gt;0,B20=10),1,0)</f>
        <v>1</v>
      </c>
      <c r="Z20" s="0" t="str">
        <f aca="false">IF(AND(C19=C20,W19=W20-1),X19,"")</f>
        <v/>
      </c>
      <c r="AA20" s="0" t="str">
        <f aca="false">IF(AND(C19=C20,W19=W20-1),Y19,"")</f>
        <v/>
      </c>
      <c r="AB20" s="0" t="str">
        <f aca="false">IF(W20=1,"",IF(AND(X20=1,Z20&lt;&gt;1),1,0))</f>
        <v/>
      </c>
      <c r="AC20" s="0" t="str">
        <f aca="false">IF(W20=1,"",IF(AND(Y20=1,AA20&lt;&gt;1),1,0))</f>
        <v/>
      </c>
      <c r="AD20" s="33" t="str">
        <f aca="false">IF(AND(E20&gt;0,W20&lt;1,NOT(AND(C21=C20,W21=W20+1))),INDEX(DATAS,W20+1),"")</f>
        <v/>
      </c>
      <c r="AE20" s="33" t="str">
        <f aca="false">IF(AND(Y20=1,W20&lt;1),IF(AND(C21=C20,W21=W20+1),IF(Y21=1,"",INDEX(DATAS,W20+1)),INDEX(DATAS,W20+1)),"")</f>
        <v/>
      </c>
    </row>
    <row r="21" customFormat="false" ht="15" hidden="false" customHeight="false" outlineLevel="0" collapsed="false">
      <c r="A21" s="33" t="n">
        <v>46309</v>
      </c>
      <c r="B21" s="0" t="n">
        <v>6</v>
      </c>
      <c r="C21" s="0" t="n">
        <v>1954</v>
      </c>
      <c r="D21" s="0" t="n">
        <v>600</v>
      </c>
      <c r="E21" s="0" t="n">
        <v>6</v>
      </c>
      <c r="F21" s="27" t="s">
        <v>157</v>
      </c>
      <c r="G21" s="0" t="n">
        <v>19.3</v>
      </c>
      <c r="H21" s="0" t="n">
        <v>19</v>
      </c>
      <c r="I21" s="27" t="s">
        <v>151</v>
      </c>
      <c r="J21" s="0" t="n">
        <v>600</v>
      </c>
      <c r="K21" s="0" t="n">
        <v>62</v>
      </c>
      <c r="P21" s="0" t="n">
        <v>4.5</v>
      </c>
      <c r="Q21" s="0" t="n">
        <v>3.99</v>
      </c>
      <c r="R21" s="0" t="n">
        <v>6173</v>
      </c>
      <c r="S21" s="0" t="n">
        <v>11815</v>
      </c>
      <c r="T21" s="0" t="n">
        <v>72.85</v>
      </c>
      <c r="U21" s="0" t="n">
        <v>3245</v>
      </c>
      <c r="V21" s="0" t="n">
        <v>11</v>
      </c>
      <c r="W21" s="27" t="n">
        <f aca="false">MATCH(A21,DATAS,0)</f>
        <v>1</v>
      </c>
      <c r="X21" s="27" t="n">
        <f aca="false">IF(AND(E21&gt;0,OR(AND(B21&gt;=1,B21&lt;=6),B21=10)),1,0)</f>
        <v>1</v>
      </c>
      <c r="Y21" s="27" t="n">
        <f aca="false">IF(AND(E21&gt;0,B21=10),1,0)</f>
        <v>0</v>
      </c>
      <c r="Z21" s="0" t="str">
        <f aca="false">IF(AND(C20=C21,W20=W21-1),X20,"")</f>
        <v/>
      </c>
      <c r="AA21" s="0" t="str">
        <f aca="false">IF(AND(C20=C21,W20=W21-1),Y20,"")</f>
        <v/>
      </c>
      <c r="AB21" s="0" t="str">
        <f aca="false">IF(W21=1,"",IF(AND(X21=1,Z21&lt;&gt;1),1,0))</f>
        <v/>
      </c>
      <c r="AC21" s="0" t="str">
        <f aca="false">IF(W21=1,"",IF(AND(Y21=1,AA21&lt;&gt;1),1,0))</f>
        <v/>
      </c>
      <c r="AD21" s="33" t="str">
        <f aca="false">IF(AND(E21&gt;0,W21&lt;1,NOT(AND(C22=C21,W22=W21+1))),INDEX(DATAS,W21+1),"")</f>
        <v/>
      </c>
      <c r="AE21" s="33" t="str">
        <f aca="false">IF(AND(Y21=1,W21&lt;1),IF(AND(C22=C21,W22=W21+1),IF(Y22=1,"",INDEX(DATAS,W21+1)),INDEX(DATAS,W21+1)),"")</f>
        <v/>
      </c>
    </row>
    <row r="22" customFormat="false" ht="15" hidden="false" customHeight="false" outlineLevel="0" collapsed="false">
      <c r="A22" s="33" t="n">
        <v>46309</v>
      </c>
      <c r="B22" s="0" t="n">
        <v>2</v>
      </c>
      <c r="C22" s="0" t="n">
        <v>2183</v>
      </c>
      <c r="D22" s="0" t="n">
        <v>64</v>
      </c>
      <c r="E22" s="0" t="n">
        <v>6</v>
      </c>
      <c r="F22" s="27" t="s">
        <v>158</v>
      </c>
      <c r="G22" s="0" t="n">
        <v>55.3</v>
      </c>
      <c r="H22" s="0" t="n">
        <v>51</v>
      </c>
      <c r="I22" s="27" t="s">
        <v>147</v>
      </c>
      <c r="J22" s="0" t="n">
        <v>64</v>
      </c>
      <c r="P22" s="0" t="n">
        <v>3.58</v>
      </c>
      <c r="Q22" s="0" t="n">
        <v>3.26</v>
      </c>
      <c r="R22" s="0" t="n">
        <v>4943</v>
      </c>
      <c r="S22" s="0" t="n">
        <v>9935</v>
      </c>
      <c r="U22" s="0" t="n">
        <v>3010</v>
      </c>
      <c r="V22" s="0" t="n">
        <v>0</v>
      </c>
      <c r="W22" s="27" t="n">
        <f aca="false">MATCH(A22,DATAS,0)</f>
        <v>1</v>
      </c>
      <c r="X22" s="27" t="n">
        <f aca="false">IF(AND(E22&gt;0,OR(AND(B22&gt;=1,B22&lt;=6),B22=10)),1,0)</f>
        <v>1</v>
      </c>
      <c r="Y22" s="27" t="n">
        <f aca="false">IF(AND(E22&gt;0,B22=10),1,0)</f>
        <v>0</v>
      </c>
      <c r="Z22" s="0" t="str">
        <f aca="false">IF(AND(C21=C22,W21=W22-1),X21,"")</f>
        <v/>
      </c>
      <c r="AA22" s="0" t="str">
        <f aca="false">IF(AND(C21=C22,W21=W22-1),Y21,"")</f>
        <v/>
      </c>
      <c r="AB22" s="0" t="str">
        <f aca="false">IF(W22=1,"",IF(AND(X22=1,Z22&lt;&gt;1),1,0))</f>
        <v/>
      </c>
      <c r="AC22" s="0" t="str">
        <f aca="false">IF(W22=1,"",IF(AND(Y22=1,AA22&lt;&gt;1),1,0))</f>
        <v/>
      </c>
      <c r="AD22" s="33" t="str">
        <f aca="false">IF(AND(E22&gt;0,W22&lt;1,NOT(AND(C23=C22,W23=W22+1))),INDEX(DATAS,W22+1),"")</f>
        <v/>
      </c>
      <c r="AE22" s="33" t="str">
        <f aca="false">IF(AND(Y22=1,W22&lt;1),IF(AND(C23=C22,W23=W22+1),IF(Y23=1,"",INDEX(DATAS,W22+1)),INDEX(DATAS,W22+1)),"")</f>
        <v/>
      </c>
    </row>
    <row r="23" customFormat="false" ht="15" hidden="false" customHeight="false" outlineLevel="0" collapsed="false">
      <c r="A23" s="33" t="n">
        <v>46309</v>
      </c>
      <c r="B23" s="0" t="n">
        <v>5</v>
      </c>
      <c r="C23" s="0" t="n">
        <v>2224</v>
      </c>
      <c r="D23" s="0" t="n">
        <v>22</v>
      </c>
      <c r="E23" s="0" t="n">
        <v>7</v>
      </c>
      <c r="F23" s="27" t="s">
        <v>159</v>
      </c>
      <c r="G23" s="0" t="n">
        <v>44.3</v>
      </c>
      <c r="H23" s="0" t="n">
        <v>42</v>
      </c>
      <c r="I23" s="27" t="s">
        <v>147</v>
      </c>
      <c r="J23" s="0" t="n">
        <v>22</v>
      </c>
      <c r="R23" s="0" t="n">
        <v>3169</v>
      </c>
      <c r="S23" s="0" t="n">
        <v>6370</v>
      </c>
      <c r="U23" s="0" t="n">
        <v>2960</v>
      </c>
      <c r="V23" s="0" t="n">
        <v>0</v>
      </c>
      <c r="W23" s="27" t="n">
        <f aca="false">MATCH(A23,DATAS,0)</f>
        <v>1</v>
      </c>
      <c r="X23" s="27" t="n">
        <f aca="false">IF(AND(E23&gt;0,OR(AND(B23&gt;=1,B23&lt;=6),B23=10)),1,0)</f>
        <v>1</v>
      </c>
      <c r="Y23" s="27" t="n">
        <f aca="false">IF(AND(E23&gt;0,B23=10),1,0)</f>
        <v>0</v>
      </c>
      <c r="Z23" s="0" t="str">
        <f aca="false">IF(AND(C22=C23,W22=W23-1),X22,"")</f>
        <v/>
      </c>
      <c r="AA23" s="0" t="str">
        <f aca="false">IF(AND(C22=C23,W22=W23-1),Y22,"")</f>
        <v/>
      </c>
      <c r="AB23" s="0" t="str">
        <f aca="false">IF(W23=1,"",IF(AND(X23=1,Z23&lt;&gt;1),1,0))</f>
        <v/>
      </c>
      <c r="AC23" s="0" t="str">
        <f aca="false">IF(W23=1,"",IF(AND(Y23=1,AA23&lt;&gt;1),1,0))</f>
        <v/>
      </c>
      <c r="AD23" s="33" t="str">
        <f aca="false">IF(AND(E23&gt;0,W23&lt;1,NOT(AND(C24=C23,W24=W23+1))),INDEX(DATAS,W23+1),"")</f>
        <v/>
      </c>
      <c r="AE23" s="33" t="str">
        <f aca="false">IF(AND(Y23=1,W23&lt;1),IF(AND(C24=C23,W24=W23+1),IF(Y24=1,"",INDEX(DATAS,W23+1)),INDEX(DATAS,W23+1)),"")</f>
        <v/>
      </c>
    </row>
    <row r="24" customFormat="false" ht="15" hidden="false" customHeight="false" outlineLevel="0" collapsed="false">
      <c r="A24" s="33" t="n">
        <v>46309</v>
      </c>
      <c r="B24" s="0" t="n">
        <v>7</v>
      </c>
      <c r="C24" s="0" t="n">
        <v>2225</v>
      </c>
      <c r="D24" s="0" t="n">
        <v>233</v>
      </c>
      <c r="E24" s="0" t="n">
        <v>7</v>
      </c>
      <c r="F24" s="27" t="s">
        <v>160</v>
      </c>
      <c r="I24" s="27" t="s">
        <v>143</v>
      </c>
      <c r="J24" s="0" t="n">
        <v>128</v>
      </c>
      <c r="K24" s="0" t="n">
        <v>47</v>
      </c>
      <c r="L24" s="0" t="n">
        <v>119</v>
      </c>
      <c r="M24" s="0" t="n">
        <v>208.66</v>
      </c>
      <c r="N24" s="0" t="n">
        <v>-4.7</v>
      </c>
      <c r="O24" s="0" t="n">
        <v>20.26</v>
      </c>
      <c r="P24" s="0" t="n">
        <v>4.31</v>
      </c>
      <c r="Q24" s="0" t="n">
        <v>4.65</v>
      </c>
      <c r="R24" s="0" t="n">
        <v>2306</v>
      </c>
      <c r="S24" s="0" t="n">
        <v>4883</v>
      </c>
      <c r="T24" s="0" t="n">
        <v>26.75</v>
      </c>
      <c r="U24" s="0" t="n">
        <v>2959</v>
      </c>
      <c r="V24" s="0" t="n">
        <v>2</v>
      </c>
      <c r="W24" s="27" t="n">
        <f aca="false">MATCH(A24,DATAS,0)</f>
        <v>1</v>
      </c>
      <c r="X24" s="27" t="n">
        <f aca="false">IF(AND(E24&gt;0,OR(AND(B24&gt;=1,B24&lt;=6),B24=10)),1,0)</f>
        <v>0</v>
      </c>
      <c r="Y24" s="27" t="n">
        <f aca="false">IF(AND(E24&gt;0,B24=10),1,0)</f>
        <v>0</v>
      </c>
      <c r="Z24" s="0" t="str">
        <f aca="false">IF(AND(C23=C24,W23=W24-1),X23,"")</f>
        <v/>
      </c>
      <c r="AA24" s="0" t="str">
        <f aca="false">IF(AND(C23=C24,W23=W24-1),Y23,"")</f>
        <v/>
      </c>
      <c r="AB24" s="0" t="str">
        <f aca="false">IF(W24=1,"",IF(AND(X24=1,Z24&lt;&gt;1),1,0))</f>
        <v/>
      </c>
      <c r="AC24" s="0" t="str">
        <f aca="false">IF(W24=1,"",IF(AND(Y24=1,AA24&lt;&gt;1),1,0))</f>
        <v/>
      </c>
      <c r="AD24" s="33" t="str">
        <f aca="false">IF(AND(E24&gt;0,W24&lt;1,NOT(AND(C25=C24,W25=W24+1))),INDEX(DATAS,W24+1),"")</f>
        <v/>
      </c>
      <c r="AE24" s="33" t="str">
        <f aca="false">IF(AND(Y24=1,W24&lt;1),IF(AND(C25=C24,W25=W24+1),IF(Y25=1,"",INDEX(DATAS,W24+1)),INDEX(DATAS,W24+1)),"")</f>
        <v/>
      </c>
    </row>
    <row r="25" customFormat="false" ht="15" hidden="false" customHeight="false" outlineLevel="0" collapsed="false">
      <c r="A25" s="33" t="n">
        <v>46309</v>
      </c>
      <c r="B25" s="0" t="n">
        <v>14</v>
      </c>
      <c r="C25" s="0" t="n">
        <v>2233</v>
      </c>
      <c r="D25" s="0" t="n">
        <v>314</v>
      </c>
      <c r="E25" s="0" t="n">
        <v>6</v>
      </c>
      <c r="F25" s="27" t="s">
        <v>161</v>
      </c>
      <c r="I25" s="27" t="s">
        <v>143</v>
      </c>
      <c r="J25" s="0" t="n">
        <v>175</v>
      </c>
      <c r="K25" s="0" t="n">
        <v>63</v>
      </c>
      <c r="L25" s="0" t="n">
        <v>273</v>
      </c>
      <c r="M25" s="0" t="n">
        <v>770.21</v>
      </c>
      <c r="N25" s="0" t="n">
        <v>6.41</v>
      </c>
      <c r="O25" s="0" t="n">
        <v>23.92</v>
      </c>
      <c r="P25" s="0" t="n">
        <v>4.7</v>
      </c>
      <c r="Q25" s="0" t="n">
        <v>3.5</v>
      </c>
      <c r="R25" s="0" t="n">
        <v>4939</v>
      </c>
      <c r="S25" s="0" t="n">
        <v>8605</v>
      </c>
      <c r="T25" s="0" t="n">
        <v>54.75</v>
      </c>
      <c r="U25" s="0" t="n">
        <v>2952</v>
      </c>
      <c r="V25" s="0" t="n">
        <v>2</v>
      </c>
      <c r="W25" s="27" t="n">
        <f aca="false">MATCH(A25,DATAS,0)</f>
        <v>1</v>
      </c>
      <c r="X25" s="27" t="n">
        <f aca="false">IF(AND(E25&gt;0,OR(AND(B25&gt;=1,B25&lt;=6),B25=10)),1,0)</f>
        <v>0</v>
      </c>
      <c r="Y25" s="27" t="n">
        <f aca="false">IF(AND(E25&gt;0,B25=10),1,0)</f>
        <v>0</v>
      </c>
      <c r="Z25" s="0" t="str">
        <f aca="false">IF(AND(C24=C25,W24=W25-1),X24,"")</f>
        <v/>
      </c>
      <c r="AA25" s="0" t="str">
        <f aca="false">IF(AND(C24=C25,W24=W25-1),Y24,"")</f>
        <v/>
      </c>
      <c r="AB25" s="0" t="str">
        <f aca="false">IF(W25=1,"",IF(AND(X25=1,Z25&lt;&gt;1),1,0))</f>
        <v/>
      </c>
      <c r="AC25" s="0" t="str">
        <f aca="false">IF(W25=1,"",IF(AND(Y25=1,AA25&lt;&gt;1),1,0))</f>
        <v/>
      </c>
      <c r="AD25" s="33" t="str">
        <f aca="false">IF(AND(E25&gt;0,W25&lt;1,NOT(AND(C26=C25,W26=W25+1))),INDEX(DATAS,W25+1),"")</f>
        <v/>
      </c>
      <c r="AE25" s="33" t="str">
        <f aca="false">IF(AND(Y25=1,W25&lt;1),IF(AND(C26=C25,W26=W25+1),IF(Y26=1,"",INDEX(DATAS,W25+1)),INDEX(DATAS,W25+1)),"")</f>
        <v/>
      </c>
    </row>
    <row r="26" customFormat="false" ht="15" hidden="false" customHeight="false" outlineLevel="0" collapsed="false">
      <c r="A26" s="33" t="n">
        <v>46309</v>
      </c>
      <c r="B26" s="0" t="n">
        <v>10</v>
      </c>
      <c r="C26" s="0" t="n">
        <v>2279</v>
      </c>
      <c r="D26" s="0" t="n">
        <v>328</v>
      </c>
      <c r="E26" s="0" t="n">
        <v>5</v>
      </c>
      <c r="F26" s="27" t="s">
        <v>162</v>
      </c>
      <c r="G26" s="0" t="n">
        <v>10.3</v>
      </c>
      <c r="H26" s="0" t="n">
        <v>20</v>
      </c>
      <c r="I26" s="27" t="s">
        <v>138</v>
      </c>
      <c r="J26" s="0" t="n">
        <v>265</v>
      </c>
      <c r="K26" s="0" t="n">
        <v>62</v>
      </c>
      <c r="L26" s="0" t="n">
        <v>63</v>
      </c>
      <c r="P26" s="0" t="n">
        <v>3.38</v>
      </c>
      <c r="Q26" s="0" t="n">
        <v>3.34</v>
      </c>
      <c r="R26" s="0" t="n">
        <v>5792</v>
      </c>
      <c r="S26" s="0" t="n">
        <v>10758</v>
      </c>
      <c r="T26" s="0" t="n">
        <v>61.9</v>
      </c>
      <c r="U26" s="0" t="n">
        <v>2898</v>
      </c>
      <c r="V26" s="0" t="n">
        <v>6</v>
      </c>
      <c r="W26" s="27" t="n">
        <f aca="false">MATCH(A26,DATAS,0)</f>
        <v>1</v>
      </c>
      <c r="X26" s="27" t="n">
        <f aca="false">IF(AND(E26&gt;0,OR(AND(B26&gt;=1,B26&lt;=6),B26=10)),1,0)</f>
        <v>1</v>
      </c>
      <c r="Y26" s="27" t="n">
        <f aca="false">IF(AND(E26&gt;0,B26=10),1,0)</f>
        <v>1</v>
      </c>
      <c r="Z26" s="0" t="str">
        <f aca="false">IF(AND(C25=C26,W25=W26-1),X25,"")</f>
        <v/>
      </c>
      <c r="AA26" s="0" t="str">
        <f aca="false">IF(AND(C25=C26,W25=W26-1),Y25,"")</f>
        <v/>
      </c>
      <c r="AB26" s="0" t="str">
        <f aca="false">IF(W26=1,"",IF(AND(X26=1,Z26&lt;&gt;1),1,0))</f>
        <v/>
      </c>
      <c r="AC26" s="0" t="str">
        <f aca="false">IF(W26=1,"",IF(AND(Y26=1,AA26&lt;&gt;1),1,0))</f>
        <v/>
      </c>
      <c r="AD26" s="33" t="str">
        <f aca="false">IF(AND(E26&gt;0,W26&lt;1,NOT(AND(C27=C26,W27=W26+1))),INDEX(DATAS,W26+1),"")</f>
        <v/>
      </c>
      <c r="AE26" s="33" t="str">
        <f aca="false">IF(AND(Y26=1,W26&lt;1),IF(AND(C27=C26,W27=W26+1),IF(Y27=1,"",INDEX(DATAS,W26+1)),INDEX(DATAS,W26+1)),"")</f>
        <v/>
      </c>
    </row>
    <row r="27" customFormat="false" ht="15" hidden="false" customHeight="false" outlineLevel="0" collapsed="false">
      <c r="A27" s="33" t="n">
        <v>46309</v>
      </c>
      <c r="B27" s="0" t="n">
        <v>6</v>
      </c>
      <c r="C27" s="0" t="n">
        <v>2303</v>
      </c>
      <c r="D27" s="0" t="n">
        <v>379</v>
      </c>
      <c r="E27" s="0" t="n">
        <v>6</v>
      </c>
      <c r="F27" s="27" t="s">
        <v>163</v>
      </c>
      <c r="G27" s="0" t="n">
        <v>25</v>
      </c>
      <c r="H27" s="0" t="n">
        <v>24</v>
      </c>
      <c r="I27" s="27" t="s">
        <v>138</v>
      </c>
      <c r="J27" s="0" t="n">
        <v>330</v>
      </c>
      <c r="K27" s="0" t="n">
        <v>79</v>
      </c>
      <c r="L27" s="0" t="n">
        <v>49</v>
      </c>
      <c r="M27" s="0" t="n">
        <v>579.21</v>
      </c>
      <c r="N27" s="0" t="n">
        <v>30.92</v>
      </c>
      <c r="O27" s="0" t="n">
        <v>9.05</v>
      </c>
      <c r="P27" s="0" t="n">
        <v>3.01</v>
      </c>
      <c r="Q27" s="0" t="n">
        <v>3.53</v>
      </c>
      <c r="R27" s="0" t="n">
        <v>5602</v>
      </c>
      <c r="S27" s="0" t="n">
        <v>10332</v>
      </c>
      <c r="T27" s="0" t="n">
        <v>65.25</v>
      </c>
      <c r="U27" s="0" t="n">
        <v>2883</v>
      </c>
      <c r="V27" s="0" t="n">
        <v>8</v>
      </c>
      <c r="W27" s="27" t="n">
        <f aca="false">MATCH(A27,DATAS,0)</f>
        <v>1</v>
      </c>
      <c r="X27" s="27" t="n">
        <f aca="false">IF(AND(E27&gt;0,OR(AND(B27&gt;=1,B27&lt;=6),B27=10)),1,0)</f>
        <v>1</v>
      </c>
      <c r="Y27" s="27" t="n">
        <f aca="false">IF(AND(E27&gt;0,B27=10),1,0)</f>
        <v>0</v>
      </c>
      <c r="Z27" s="0" t="str">
        <f aca="false">IF(AND(C26=C27,W26=W27-1),X26,"")</f>
        <v/>
      </c>
      <c r="AA27" s="0" t="str">
        <f aca="false">IF(AND(C26=C27,W26=W27-1),Y26,"")</f>
        <v/>
      </c>
      <c r="AB27" s="0" t="str">
        <f aca="false">IF(W27=1,"",IF(AND(X27=1,Z27&lt;&gt;1),1,0))</f>
        <v/>
      </c>
      <c r="AC27" s="0" t="str">
        <f aca="false">IF(W27=1,"",IF(AND(Y27=1,AA27&lt;&gt;1),1,0))</f>
        <v/>
      </c>
      <c r="AD27" s="33" t="str">
        <f aca="false">IF(AND(E27&gt;0,W27&lt;1,NOT(AND(C28=C27,W28=W27+1))),INDEX(DATAS,W27+1),"")</f>
        <v/>
      </c>
      <c r="AE27" s="33" t="str">
        <f aca="false">IF(AND(Y27=1,W27&lt;1),IF(AND(C28=C27,W28=W27+1),IF(Y28=1,"",INDEX(DATAS,W27+1)),INDEX(DATAS,W27+1)),"")</f>
        <v/>
      </c>
    </row>
    <row r="28" customFormat="false" ht="15" hidden="false" customHeight="false" outlineLevel="0" collapsed="false">
      <c r="A28" s="33" t="n">
        <v>46309</v>
      </c>
      <c r="B28" s="0" t="n">
        <v>5</v>
      </c>
      <c r="C28" s="0" t="n">
        <v>2362</v>
      </c>
      <c r="D28" s="0" t="n">
        <v>282</v>
      </c>
      <c r="E28" s="0" t="n">
        <v>6</v>
      </c>
      <c r="F28" s="27" t="s">
        <v>164</v>
      </c>
      <c r="G28" s="0" t="n">
        <v>47.9</v>
      </c>
      <c r="H28" s="0" t="n">
        <v>46</v>
      </c>
      <c r="I28" s="27" t="s">
        <v>138</v>
      </c>
      <c r="J28" s="0" t="n">
        <v>191</v>
      </c>
      <c r="K28" s="0" t="n">
        <v>86</v>
      </c>
      <c r="L28" s="0" t="n">
        <v>91</v>
      </c>
      <c r="M28" s="0" t="n">
        <v>529.34</v>
      </c>
      <c r="N28" s="0" t="n">
        <v>20.94</v>
      </c>
      <c r="O28" s="0" t="n">
        <v>21.13</v>
      </c>
      <c r="P28" s="0" t="n">
        <v>4.63</v>
      </c>
      <c r="Q28" s="0" t="n">
        <v>3.81</v>
      </c>
      <c r="R28" s="0" t="n">
        <v>6194</v>
      </c>
      <c r="S28" s="0" t="n">
        <v>11796</v>
      </c>
      <c r="T28" s="0" t="n">
        <v>63.1</v>
      </c>
      <c r="U28" s="0" t="n">
        <v>2822</v>
      </c>
      <c r="V28" s="0" t="n">
        <v>3</v>
      </c>
      <c r="W28" s="27" t="n">
        <f aca="false">MATCH(A28,DATAS,0)</f>
        <v>1</v>
      </c>
      <c r="X28" s="27" t="n">
        <f aca="false">IF(AND(E28&gt;0,OR(AND(B28&gt;=1,B28&lt;=6),B28=10)),1,0)</f>
        <v>1</v>
      </c>
      <c r="Y28" s="27" t="n">
        <f aca="false">IF(AND(E28&gt;0,B28=10),1,0)</f>
        <v>0</v>
      </c>
      <c r="Z28" s="0" t="str">
        <f aca="false">IF(AND(C27=C28,W27=W28-1),X27,"")</f>
        <v/>
      </c>
      <c r="AA28" s="0" t="str">
        <f aca="false">IF(AND(C27=C28,W27=W28-1),Y27,"")</f>
        <v/>
      </c>
      <c r="AB28" s="0" t="str">
        <f aca="false">IF(W28=1,"",IF(AND(X28=1,Z28&lt;&gt;1),1,0))</f>
        <v/>
      </c>
      <c r="AC28" s="0" t="str">
        <f aca="false">IF(W28=1,"",IF(AND(Y28=1,AA28&lt;&gt;1),1,0))</f>
        <v/>
      </c>
      <c r="AD28" s="33" t="str">
        <f aca="false">IF(AND(E28&gt;0,W28&lt;1,NOT(AND(C29=C28,W29=W28+1))),INDEX(DATAS,W28+1),"")</f>
        <v/>
      </c>
      <c r="AE28" s="33" t="str">
        <f aca="false">IF(AND(Y28=1,W28&lt;1),IF(AND(C29=C28,W29=W28+1),IF(Y29=1,"",INDEX(DATAS,W28+1)),INDEX(DATAS,W28+1)),"")</f>
        <v/>
      </c>
    </row>
    <row r="29" customFormat="false" ht="15" hidden="false" customHeight="false" outlineLevel="0" collapsed="false">
      <c r="A29" s="33" t="n">
        <v>46309</v>
      </c>
      <c r="B29" s="0" t="n">
        <v>13</v>
      </c>
      <c r="C29" s="0" t="n">
        <v>2413</v>
      </c>
      <c r="E29" s="0" t="n">
        <v>0</v>
      </c>
      <c r="F29" s="27" t="s">
        <v>165</v>
      </c>
      <c r="I29" s="27" t="s">
        <v>166</v>
      </c>
      <c r="U29" s="0" t="n">
        <v>220</v>
      </c>
      <c r="V29" s="0" t="n">
        <v>0</v>
      </c>
      <c r="W29" s="27" t="n">
        <f aca="false">MATCH(A29,DATAS,0)</f>
        <v>1</v>
      </c>
      <c r="X29" s="27" t="n">
        <f aca="false">IF(AND(E29&gt;0,OR(AND(B29&gt;=1,B29&lt;=6),B29=10)),1,0)</f>
        <v>0</v>
      </c>
      <c r="Y29" s="27" t="n">
        <f aca="false">IF(AND(E29&gt;0,B29=10),1,0)</f>
        <v>0</v>
      </c>
      <c r="Z29" s="0" t="str">
        <f aca="false">IF(AND(C28=C29,W28=W29-1),X28,"")</f>
        <v/>
      </c>
      <c r="AA29" s="0" t="str">
        <f aca="false">IF(AND(C28=C29,W28=W29-1),Y28,"")</f>
        <v/>
      </c>
      <c r="AB29" s="0" t="str">
        <f aca="false">IF(W29=1,"",IF(AND(X29=1,Z29&lt;&gt;1),1,0))</f>
        <v/>
      </c>
      <c r="AC29" s="0" t="str">
        <f aca="false">IF(W29=1,"",IF(AND(Y29=1,AA29&lt;&gt;1),1,0))</f>
        <v/>
      </c>
      <c r="AD29" s="33" t="str">
        <f aca="false">IF(AND(E29&gt;0,W29&lt;1,NOT(AND(C30=C29,W30=W29+1))),INDEX(DATAS,W29+1),"")</f>
        <v/>
      </c>
      <c r="AE29" s="33" t="str">
        <f aca="false">IF(AND(Y29=1,W29&lt;1),IF(AND(C30=C29,W30=W29+1),IF(Y30=1,"",INDEX(DATAS,W29+1)),INDEX(DATAS,W29+1)),"")</f>
        <v/>
      </c>
    </row>
    <row r="30" customFormat="false" ht="15" hidden="false" customHeight="false" outlineLevel="0" collapsed="false">
      <c r="A30" s="33" t="n">
        <v>46309</v>
      </c>
      <c r="B30" s="0" t="n">
        <v>6</v>
      </c>
      <c r="C30" s="0" t="n">
        <v>2439</v>
      </c>
      <c r="D30" s="0" t="n">
        <v>417</v>
      </c>
      <c r="E30" s="0" t="n">
        <v>5</v>
      </c>
      <c r="F30" s="27" t="s">
        <v>167</v>
      </c>
      <c r="G30" s="0" t="n">
        <v>20.1</v>
      </c>
      <c r="H30" s="0" t="n">
        <v>18</v>
      </c>
      <c r="I30" s="27" t="s">
        <v>168</v>
      </c>
      <c r="J30" s="0" t="n">
        <v>417</v>
      </c>
      <c r="K30" s="0" t="n">
        <v>60</v>
      </c>
      <c r="M30" s="0" t="n">
        <v>-554.63</v>
      </c>
      <c r="N30" s="0" t="n">
        <v>13.57</v>
      </c>
      <c r="O30" s="0" t="n">
        <v>2.45</v>
      </c>
      <c r="P30" s="0" t="n">
        <v>6.94</v>
      </c>
      <c r="Q30" s="0" t="n">
        <v>4.47</v>
      </c>
      <c r="R30" s="0" t="n">
        <v>4777</v>
      </c>
      <c r="S30" s="0" t="n">
        <v>9031</v>
      </c>
      <c r="T30" s="0" t="n">
        <v>52.15</v>
      </c>
      <c r="U30" s="0" t="n">
        <v>2746</v>
      </c>
      <c r="V30" s="0" t="n">
        <v>8</v>
      </c>
      <c r="W30" s="27" t="n">
        <f aca="false">MATCH(A30,DATAS,0)</f>
        <v>1</v>
      </c>
      <c r="X30" s="27" t="n">
        <f aca="false">IF(AND(E30&gt;0,OR(AND(B30&gt;=1,B30&lt;=6),B30=10)),1,0)</f>
        <v>1</v>
      </c>
      <c r="Y30" s="27" t="n">
        <f aca="false">IF(AND(E30&gt;0,B30=10),1,0)</f>
        <v>0</v>
      </c>
      <c r="Z30" s="0" t="str">
        <f aca="false">IF(AND(C29=C30,W29=W30-1),X29,"")</f>
        <v/>
      </c>
      <c r="AA30" s="0" t="str">
        <f aca="false">IF(AND(C29=C30,W29=W30-1),Y29,"")</f>
        <v/>
      </c>
      <c r="AB30" s="0" t="str">
        <f aca="false">IF(W30=1,"",IF(AND(X30=1,Z30&lt;&gt;1),1,0))</f>
        <v/>
      </c>
      <c r="AC30" s="0" t="str">
        <f aca="false">IF(W30=1,"",IF(AND(Y30=1,AA30&lt;&gt;1),1,0))</f>
        <v/>
      </c>
      <c r="AD30" s="33" t="str">
        <f aca="false">IF(AND(E30&gt;0,W30&lt;1,NOT(AND(C31=C30,W31=W30+1))),INDEX(DATAS,W30+1),"")</f>
        <v/>
      </c>
      <c r="AE30" s="33" t="str">
        <f aca="false">IF(AND(Y30=1,W30&lt;1),IF(AND(C31=C30,W31=W30+1),IF(Y31=1,"",INDEX(DATAS,W30+1)),INDEX(DATAS,W30+1)),"")</f>
        <v/>
      </c>
    </row>
    <row r="31" customFormat="false" ht="15" hidden="false" customHeight="false" outlineLevel="0" collapsed="false">
      <c r="A31" s="33" t="n">
        <v>46309</v>
      </c>
      <c r="B31" s="0" t="n">
        <v>6</v>
      </c>
      <c r="C31" s="0" t="n">
        <v>2494</v>
      </c>
      <c r="D31" s="0" t="n">
        <v>429</v>
      </c>
      <c r="E31" s="0" t="n">
        <v>5</v>
      </c>
      <c r="F31" s="27" t="s">
        <v>169</v>
      </c>
      <c r="G31" s="0" t="n">
        <v>21.9</v>
      </c>
      <c r="H31" s="0" t="n">
        <v>22</v>
      </c>
      <c r="I31" s="27" t="s">
        <v>151</v>
      </c>
      <c r="J31" s="0" t="n">
        <v>429</v>
      </c>
      <c r="K31" s="0" t="n">
        <v>65</v>
      </c>
      <c r="M31" s="0" t="n">
        <v>9.94</v>
      </c>
      <c r="N31" s="0" t="n">
        <v>17.72</v>
      </c>
      <c r="O31" s="0" t="n">
        <v>9.62</v>
      </c>
      <c r="P31" s="0" t="n">
        <v>8.43</v>
      </c>
      <c r="Q31" s="0" t="n">
        <v>5.01</v>
      </c>
      <c r="R31" s="0" t="n">
        <v>2891</v>
      </c>
      <c r="S31" s="0" t="n">
        <v>6292</v>
      </c>
      <c r="T31" s="0" t="n">
        <v>29.55</v>
      </c>
      <c r="U31" s="0" t="n">
        <v>2711</v>
      </c>
      <c r="V31" s="0" t="n">
        <v>6</v>
      </c>
      <c r="W31" s="27" t="n">
        <f aca="false">MATCH(A31,DATAS,0)</f>
        <v>1</v>
      </c>
      <c r="X31" s="27" t="n">
        <f aca="false">IF(AND(E31&gt;0,OR(AND(B31&gt;=1,B31&lt;=6),B31=10)),1,0)</f>
        <v>1</v>
      </c>
      <c r="Y31" s="27" t="n">
        <f aca="false">IF(AND(E31&gt;0,B31=10),1,0)</f>
        <v>0</v>
      </c>
      <c r="Z31" s="0" t="str">
        <f aca="false">IF(AND(C30=C31,W30=W31-1),X30,"")</f>
        <v/>
      </c>
      <c r="AA31" s="0" t="str">
        <f aca="false">IF(AND(C30=C31,W30=W31-1),Y30,"")</f>
        <v/>
      </c>
      <c r="AB31" s="0" t="str">
        <f aca="false">IF(W31=1,"",IF(AND(X31=1,Z31&lt;&gt;1),1,0))</f>
        <v/>
      </c>
      <c r="AC31" s="0" t="str">
        <f aca="false">IF(W31=1,"",IF(AND(Y31=1,AA31&lt;&gt;1),1,0))</f>
        <v/>
      </c>
      <c r="AD31" s="33" t="str">
        <f aca="false">IF(AND(E31&gt;0,W31&lt;1,NOT(AND(C32=C31,W32=W31+1))),INDEX(DATAS,W31+1),"")</f>
        <v/>
      </c>
      <c r="AE31" s="33" t="str">
        <f aca="false">IF(AND(Y31=1,W31&lt;1),IF(AND(C32=C31,W32=W31+1),IF(Y32=1,"",INDEX(DATAS,W31+1)),INDEX(DATAS,W31+1)),"")</f>
        <v/>
      </c>
    </row>
    <row r="32" customFormat="false" ht="15" hidden="false" customHeight="false" outlineLevel="0" collapsed="false">
      <c r="A32" s="33" t="n">
        <v>46309</v>
      </c>
      <c r="B32" s="0" t="n">
        <v>7</v>
      </c>
      <c r="C32" s="0" t="n">
        <v>2521</v>
      </c>
      <c r="D32" s="0" t="n">
        <v>313</v>
      </c>
      <c r="E32" s="0" t="n">
        <v>4</v>
      </c>
      <c r="F32" s="27" t="s">
        <v>170</v>
      </c>
      <c r="I32" s="27" t="s">
        <v>143</v>
      </c>
      <c r="J32" s="0" t="n">
        <v>188</v>
      </c>
      <c r="K32" s="0" t="n">
        <v>69</v>
      </c>
      <c r="L32" s="0" t="n">
        <v>224</v>
      </c>
      <c r="M32" s="0" t="n">
        <v>-186.08</v>
      </c>
      <c r="N32" s="0" t="n">
        <v>6.94</v>
      </c>
      <c r="O32" s="0" t="n">
        <v>-5.41</v>
      </c>
      <c r="P32" s="0" t="n">
        <v>5.34</v>
      </c>
      <c r="Q32" s="0" t="n">
        <v>3.84</v>
      </c>
      <c r="R32" s="0" t="n">
        <v>3768</v>
      </c>
      <c r="S32" s="0" t="n">
        <v>7508</v>
      </c>
      <c r="T32" s="0" t="n">
        <v>40.95</v>
      </c>
      <c r="U32" s="0" t="n">
        <v>2695</v>
      </c>
      <c r="V32" s="0" t="n">
        <v>4</v>
      </c>
      <c r="W32" s="27" t="n">
        <f aca="false">MATCH(A32,DATAS,0)</f>
        <v>1</v>
      </c>
      <c r="X32" s="27" t="n">
        <f aca="false">IF(AND(E32&gt;0,OR(AND(B32&gt;=1,B32&lt;=6),B32=10)),1,0)</f>
        <v>0</v>
      </c>
      <c r="Y32" s="27" t="n">
        <f aca="false">IF(AND(E32&gt;0,B32=10),1,0)</f>
        <v>0</v>
      </c>
      <c r="Z32" s="0" t="str">
        <f aca="false">IF(AND(C31=C32,W31=W32-1),X31,"")</f>
        <v/>
      </c>
      <c r="AA32" s="0" t="str">
        <f aca="false">IF(AND(C31=C32,W31=W32-1),Y31,"")</f>
        <v/>
      </c>
      <c r="AB32" s="0" t="str">
        <f aca="false">IF(W32=1,"",IF(AND(X32=1,Z32&lt;&gt;1),1,0))</f>
        <v/>
      </c>
      <c r="AC32" s="0" t="str">
        <f aca="false">IF(W32=1,"",IF(AND(Y32=1,AA32&lt;&gt;1),1,0))</f>
        <v/>
      </c>
      <c r="AD32" s="33" t="str">
        <f aca="false">IF(AND(E32&gt;0,W32&lt;1,NOT(AND(C33=C32,W33=W32+1))),INDEX(DATAS,W32+1),"")</f>
        <v/>
      </c>
      <c r="AE32" s="33" t="str">
        <f aca="false">IF(AND(Y32=1,W32&lt;1),IF(AND(C33=C32,W33=W32+1),IF(Y33=1,"",INDEX(DATAS,W32+1)),INDEX(DATAS,W32+1)),"")</f>
        <v/>
      </c>
    </row>
    <row r="33" customFormat="false" ht="15" hidden="false" customHeight="false" outlineLevel="0" collapsed="false">
      <c r="A33" s="33" t="n">
        <v>46309</v>
      </c>
      <c r="B33" s="0" t="n">
        <v>3</v>
      </c>
      <c r="C33" s="0" t="n">
        <v>2540</v>
      </c>
      <c r="D33" s="0" t="n">
        <v>17</v>
      </c>
      <c r="E33" s="0" t="n">
        <v>6</v>
      </c>
      <c r="F33" s="27" t="s">
        <v>171</v>
      </c>
      <c r="G33" s="0" t="n">
        <v>34</v>
      </c>
      <c r="H33" s="0" t="n">
        <v>36</v>
      </c>
      <c r="I33" s="27" t="s">
        <v>147</v>
      </c>
      <c r="J33" s="0" t="n">
        <v>17</v>
      </c>
      <c r="M33" s="0" t="n">
        <v>904.75</v>
      </c>
      <c r="N33" s="0" t="n">
        <v>40.83</v>
      </c>
      <c r="O33" s="0" t="n">
        <v>24.84</v>
      </c>
      <c r="R33" s="0" t="n">
        <v>3250</v>
      </c>
      <c r="S33" s="0" t="n">
        <v>6533</v>
      </c>
      <c r="U33" s="0" t="n">
        <v>2686</v>
      </c>
      <c r="V33" s="0" t="n">
        <v>0</v>
      </c>
      <c r="W33" s="27" t="n">
        <f aca="false">MATCH(A33,DATAS,0)</f>
        <v>1</v>
      </c>
      <c r="X33" s="27" t="n">
        <f aca="false">IF(AND(E33&gt;0,OR(AND(B33&gt;=1,B33&lt;=6),B33=10)),1,0)</f>
        <v>1</v>
      </c>
      <c r="Y33" s="27" t="n">
        <f aca="false">IF(AND(E33&gt;0,B33=10),1,0)</f>
        <v>0</v>
      </c>
      <c r="Z33" s="0" t="str">
        <f aca="false">IF(AND(C32=C33,W32=W33-1),X32,"")</f>
        <v/>
      </c>
      <c r="AA33" s="0" t="str">
        <f aca="false">IF(AND(C32=C33,W32=W33-1),Y32,"")</f>
        <v/>
      </c>
      <c r="AB33" s="0" t="str">
        <f aca="false">IF(W33=1,"",IF(AND(X33=1,Z33&lt;&gt;1),1,0))</f>
        <v/>
      </c>
      <c r="AC33" s="0" t="str">
        <f aca="false">IF(W33=1,"",IF(AND(Y33=1,AA33&lt;&gt;1),1,0))</f>
        <v/>
      </c>
      <c r="AD33" s="33" t="str">
        <f aca="false">IF(AND(E33&gt;0,W33&lt;1,NOT(AND(C34=C33,W34=W33+1))),INDEX(DATAS,W33+1),"")</f>
        <v/>
      </c>
      <c r="AE33" s="33" t="str">
        <f aca="false">IF(AND(Y33=1,W33&lt;1),IF(AND(C34=C33,W34=W33+1),IF(Y34=1,"",INDEX(DATAS,W33+1)),INDEX(DATAS,W33+1)),"")</f>
        <v/>
      </c>
    </row>
    <row r="34" customFormat="false" ht="15" hidden="false" customHeight="false" outlineLevel="0" collapsed="false">
      <c r="A34" s="33" t="n">
        <v>46309</v>
      </c>
      <c r="B34" s="0" t="n">
        <v>14</v>
      </c>
      <c r="C34" s="0" t="n">
        <v>2548</v>
      </c>
      <c r="D34" s="0" t="n">
        <v>467</v>
      </c>
      <c r="E34" s="0" t="n">
        <v>4</v>
      </c>
      <c r="F34" s="27" t="s">
        <v>172</v>
      </c>
      <c r="I34" s="27" t="s">
        <v>143</v>
      </c>
      <c r="J34" s="0" t="n">
        <v>406</v>
      </c>
      <c r="K34" s="0" t="n">
        <v>64</v>
      </c>
      <c r="L34" s="0" t="n">
        <v>266</v>
      </c>
      <c r="M34" s="0" t="n">
        <v>454.85</v>
      </c>
      <c r="N34" s="0" t="n">
        <v>8</v>
      </c>
      <c r="O34" s="0" t="n">
        <v>12.14</v>
      </c>
      <c r="P34" s="0" t="n">
        <v>5.28</v>
      </c>
      <c r="Q34" s="0" t="n">
        <v>4.17</v>
      </c>
      <c r="R34" s="0" t="n">
        <v>6631</v>
      </c>
      <c r="S34" s="0" t="n">
        <v>12817</v>
      </c>
      <c r="T34" s="0" t="n">
        <v>72.45</v>
      </c>
      <c r="U34" s="0" t="n">
        <v>2677</v>
      </c>
      <c r="V34" s="0" t="n">
        <v>11</v>
      </c>
      <c r="W34" s="27" t="n">
        <f aca="false">MATCH(A34,DATAS,0)</f>
        <v>1</v>
      </c>
      <c r="X34" s="27" t="n">
        <f aca="false">IF(AND(E34&gt;0,OR(AND(B34&gt;=1,B34&lt;=6),B34=10)),1,0)</f>
        <v>0</v>
      </c>
      <c r="Y34" s="27" t="n">
        <f aca="false">IF(AND(E34&gt;0,B34=10),1,0)</f>
        <v>0</v>
      </c>
      <c r="Z34" s="0" t="str">
        <f aca="false">IF(AND(C33=C34,W33=W34-1),X33,"")</f>
        <v/>
      </c>
      <c r="AA34" s="0" t="str">
        <f aca="false">IF(AND(C33=C34,W33=W34-1),Y33,"")</f>
        <v/>
      </c>
      <c r="AB34" s="0" t="str">
        <f aca="false">IF(W34=1,"",IF(AND(X34=1,Z34&lt;&gt;1),1,0))</f>
        <v/>
      </c>
      <c r="AC34" s="0" t="str">
        <f aca="false">IF(W34=1,"",IF(AND(Y34=1,AA34&lt;&gt;1),1,0))</f>
        <v/>
      </c>
      <c r="AD34" s="33" t="str">
        <f aca="false">IF(AND(E34&gt;0,W34&lt;1,NOT(AND(C35=C34,W35=W34+1))),INDEX(DATAS,W34+1),"")</f>
        <v/>
      </c>
      <c r="AE34" s="33" t="str">
        <f aca="false">IF(AND(Y34=1,W34&lt;1),IF(AND(C35=C34,W35=W34+1),IF(Y35=1,"",INDEX(DATAS,W34+1)),INDEX(DATAS,W34+1)),"")</f>
        <v/>
      </c>
    </row>
    <row r="35" customFormat="false" ht="15" hidden="false" customHeight="false" outlineLevel="0" collapsed="false">
      <c r="A35" s="33" t="n">
        <v>46309</v>
      </c>
      <c r="B35" s="0" t="n">
        <v>6</v>
      </c>
      <c r="C35" s="0" t="n">
        <v>2575</v>
      </c>
      <c r="D35" s="0" t="n">
        <v>816</v>
      </c>
      <c r="E35" s="0" t="n">
        <v>4</v>
      </c>
      <c r="F35" s="27" t="s">
        <v>173</v>
      </c>
      <c r="G35" s="0" t="n">
        <v>18.5</v>
      </c>
      <c r="H35" s="0" t="n">
        <v>20</v>
      </c>
      <c r="I35" s="27" t="s">
        <v>151</v>
      </c>
      <c r="J35" s="0" t="n">
        <v>816</v>
      </c>
      <c r="K35" s="0" t="n">
        <v>68</v>
      </c>
      <c r="M35" s="0" t="n">
        <v>685.37</v>
      </c>
      <c r="N35" s="0" t="n">
        <v>33.02</v>
      </c>
      <c r="O35" s="0" t="n">
        <v>22.37</v>
      </c>
      <c r="P35" s="0" t="n">
        <v>5.12</v>
      </c>
      <c r="Q35" s="0" t="n">
        <v>3.81</v>
      </c>
      <c r="R35" s="0" t="n">
        <v>6236</v>
      </c>
      <c r="S35" s="0" t="n">
        <v>13568</v>
      </c>
      <c r="T35" s="0" t="n">
        <v>49.3</v>
      </c>
      <c r="U35" s="0" t="n">
        <v>2650</v>
      </c>
      <c r="V35" s="0" t="n">
        <v>14</v>
      </c>
      <c r="W35" s="27" t="n">
        <f aca="false">MATCH(A35,DATAS,0)</f>
        <v>1</v>
      </c>
      <c r="X35" s="27" t="n">
        <f aca="false">IF(AND(E35&gt;0,OR(AND(B35&gt;=1,B35&lt;=6),B35=10)),1,0)</f>
        <v>1</v>
      </c>
      <c r="Y35" s="27" t="n">
        <f aca="false">IF(AND(E35&gt;0,B35=10),1,0)</f>
        <v>0</v>
      </c>
      <c r="Z35" s="0" t="str">
        <f aca="false">IF(AND(C34=C35,W34=W35-1),X34,"")</f>
        <v/>
      </c>
      <c r="AA35" s="0" t="str">
        <f aca="false">IF(AND(C34=C35,W34=W35-1),Y34,"")</f>
        <v/>
      </c>
      <c r="AB35" s="0" t="str">
        <f aca="false">IF(W35=1,"",IF(AND(X35=1,Z35&lt;&gt;1),1,0))</f>
        <v/>
      </c>
      <c r="AC35" s="0" t="str">
        <f aca="false">IF(W35=1,"",IF(AND(Y35=1,AA35&lt;&gt;1),1,0))</f>
        <v/>
      </c>
      <c r="AD35" s="33" t="str">
        <f aca="false">IF(AND(E35&gt;0,W35&lt;1,NOT(AND(C36=C35,W36=W35+1))),INDEX(DATAS,W35+1),"")</f>
        <v/>
      </c>
      <c r="AE35" s="33" t="str">
        <f aca="false">IF(AND(Y35=1,W35&lt;1),IF(AND(C36=C35,W36=W35+1),IF(Y36=1,"",INDEX(DATAS,W35+1)),INDEX(DATAS,W35+1)),"")</f>
        <v/>
      </c>
    </row>
    <row r="36" customFormat="false" ht="15" hidden="false" customHeight="false" outlineLevel="0" collapsed="false">
      <c r="A36" s="33" t="n">
        <v>46309</v>
      </c>
      <c r="B36" s="0" t="n">
        <v>7</v>
      </c>
      <c r="C36" s="0" t="n">
        <v>2643</v>
      </c>
      <c r="D36" s="0" t="n">
        <v>385</v>
      </c>
      <c r="E36" s="0" t="n">
        <v>4</v>
      </c>
      <c r="F36" s="27" t="s">
        <v>174</v>
      </c>
      <c r="I36" s="27" t="s">
        <v>143</v>
      </c>
      <c r="J36" s="0" t="n">
        <v>360</v>
      </c>
      <c r="K36" s="0" t="n">
        <v>66</v>
      </c>
      <c r="L36" s="0" t="n">
        <v>42</v>
      </c>
      <c r="M36" s="0" t="n">
        <v>1685.65</v>
      </c>
      <c r="N36" s="0" t="n">
        <v>6.07</v>
      </c>
      <c r="O36" s="0" t="n">
        <v>22.69</v>
      </c>
      <c r="P36" s="0" t="n">
        <v>2.61</v>
      </c>
      <c r="Q36" s="0" t="n">
        <v>3.48</v>
      </c>
      <c r="R36" s="0" t="n">
        <v>5978</v>
      </c>
      <c r="S36" s="0" t="n">
        <v>12284</v>
      </c>
      <c r="T36" s="0" t="n">
        <v>68.35</v>
      </c>
      <c r="U36" s="0" t="n">
        <v>2571</v>
      </c>
      <c r="V36" s="0" t="n">
        <v>8</v>
      </c>
      <c r="W36" s="27" t="n">
        <f aca="false">MATCH(A36,DATAS,0)</f>
        <v>1</v>
      </c>
      <c r="X36" s="27" t="n">
        <f aca="false">IF(AND(E36&gt;0,OR(AND(B36&gt;=1,B36&lt;=6),B36=10)),1,0)</f>
        <v>0</v>
      </c>
      <c r="Y36" s="27" t="n">
        <f aca="false">IF(AND(E36&gt;0,B36=10),1,0)</f>
        <v>0</v>
      </c>
      <c r="Z36" s="0" t="str">
        <f aca="false">IF(AND(C35=C36,W35=W36-1),X35,"")</f>
        <v/>
      </c>
      <c r="AA36" s="0" t="str">
        <f aca="false">IF(AND(C35=C36,W35=W36-1),Y35,"")</f>
        <v/>
      </c>
      <c r="AB36" s="0" t="str">
        <f aca="false">IF(W36=1,"",IF(AND(X36=1,Z36&lt;&gt;1),1,0))</f>
        <v/>
      </c>
      <c r="AC36" s="0" t="str">
        <f aca="false">IF(W36=1,"",IF(AND(Y36=1,AA36&lt;&gt;1),1,0))</f>
        <v/>
      </c>
      <c r="AD36" s="33" t="str">
        <f aca="false">IF(AND(E36&gt;0,W36&lt;1,NOT(AND(C37=C36,W37=W36+1))),INDEX(DATAS,W36+1),"")</f>
        <v/>
      </c>
      <c r="AE36" s="33" t="str">
        <f aca="false">IF(AND(Y36=1,W36&lt;1),IF(AND(C37=C36,W37=W36+1),IF(Y37=1,"",INDEX(DATAS,W36+1)),INDEX(DATAS,W36+1)),"")</f>
        <v/>
      </c>
    </row>
    <row r="37" customFormat="false" ht="15" hidden="false" customHeight="false" outlineLevel="0" collapsed="false">
      <c r="A37" s="33" t="n">
        <v>46309</v>
      </c>
      <c r="B37" s="0" t="n">
        <v>5</v>
      </c>
      <c r="C37" s="0" t="n">
        <v>2679</v>
      </c>
      <c r="D37" s="0" t="n">
        <v>178</v>
      </c>
      <c r="E37" s="0" t="n">
        <v>5</v>
      </c>
      <c r="F37" s="27" t="s">
        <v>175</v>
      </c>
      <c r="G37" s="0" t="n">
        <v>38.2</v>
      </c>
      <c r="H37" s="0" t="n">
        <v>37</v>
      </c>
      <c r="I37" s="27" t="s">
        <v>176</v>
      </c>
      <c r="J37" s="0" t="n">
        <v>178</v>
      </c>
      <c r="K37" s="0" t="n">
        <v>94</v>
      </c>
      <c r="M37" s="0" t="n">
        <v>549.41</v>
      </c>
      <c r="N37" s="0" t="n">
        <v>3.75</v>
      </c>
      <c r="O37" s="0" t="n">
        <v>13.5</v>
      </c>
      <c r="P37" s="0" t="n">
        <v>4.61</v>
      </c>
      <c r="Q37" s="0" t="n">
        <v>3.34</v>
      </c>
      <c r="R37" s="0" t="n">
        <v>3892</v>
      </c>
      <c r="S37" s="0" t="n">
        <v>8268</v>
      </c>
      <c r="T37" s="0" t="n">
        <v>43.05</v>
      </c>
      <c r="U37" s="0" t="n">
        <v>2541</v>
      </c>
      <c r="V37" s="0" t="n">
        <v>1</v>
      </c>
      <c r="W37" s="27" t="n">
        <f aca="false">MATCH(A37,DATAS,0)</f>
        <v>1</v>
      </c>
      <c r="X37" s="27" t="n">
        <f aca="false">IF(AND(E37&gt;0,OR(AND(B37&gt;=1,B37&lt;=6),B37=10)),1,0)</f>
        <v>1</v>
      </c>
      <c r="Y37" s="27" t="n">
        <f aca="false">IF(AND(E37&gt;0,B37=10),1,0)</f>
        <v>0</v>
      </c>
      <c r="Z37" s="0" t="str">
        <f aca="false">IF(AND(C36=C37,W36=W37-1),X36,"")</f>
        <v/>
      </c>
      <c r="AA37" s="0" t="str">
        <f aca="false">IF(AND(C36=C37,W36=W37-1),Y36,"")</f>
        <v/>
      </c>
      <c r="AB37" s="0" t="str">
        <f aca="false">IF(W37=1,"",IF(AND(X37=1,Z37&lt;&gt;1),1,0))</f>
        <v/>
      </c>
      <c r="AC37" s="0" t="str">
        <f aca="false">IF(W37=1,"",IF(AND(Y37=1,AA37&lt;&gt;1),1,0))</f>
        <v/>
      </c>
      <c r="AD37" s="33" t="str">
        <f aca="false">IF(AND(E37&gt;0,W37&lt;1,NOT(AND(C38=C37,W38=W37+1))),INDEX(DATAS,W37+1),"")</f>
        <v/>
      </c>
      <c r="AE37" s="33" t="str">
        <f aca="false">IF(AND(Y37=1,W37&lt;1),IF(AND(C38=C37,W38=W37+1),IF(Y38=1,"",INDEX(DATAS,W37+1)),INDEX(DATAS,W37+1)),"")</f>
        <v/>
      </c>
    </row>
    <row r="38" customFormat="false" ht="15" hidden="false" customHeight="false" outlineLevel="0" collapsed="false">
      <c r="A38" s="33" t="n">
        <v>46309</v>
      </c>
      <c r="B38" s="0" t="n">
        <v>10</v>
      </c>
      <c r="C38" s="0" t="n">
        <v>2688</v>
      </c>
      <c r="D38" s="0" t="n">
        <v>177</v>
      </c>
      <c r="E38" s="0" t="n">
        <v>5</v>
      </c>
      <c r="F38" s="27" t="s">
        <v>177</v>
      </c>
      <c r="G38" s="0" t="n">
        <v>23.8</v>
      </c>
      <c r="H38" s="0" t="n">
        <v>32</v>
      </c>
      <c r="I38" s="27" t="s">
        <v>138</v>
      </c>
      <c r="J38" s="0" t="n">
        <v>66</v>
      </c>
      <c r="K38" s="0" t="n">
        <v>73</v>
      </c>
      <c r="L38" s="0" t="n">
        <v>111</v>
      </c>
      <c r="M38" s="0" t="n">
        <v>964.16</v>
      </c>
      <c r="N38" s="0" t="n">
        <v>24.95</v>
      </c>
      <c r="O38" s="0" t="n">
        <v>14.39</v>
      </c>
      <c r="P38" s="0" t="n">
        <v>3.17</v>
      </c>
      <c r="Q38" s="0" t="n">
        <v>3.19</v>
      </c>
      <c r="R38" s="0" t="n">
        <v>4822</v>
      </c>
      <c r="S38" s="0" t="n">
        <v>10195</v>
      </c>
      <c r="T38" s="0" t="n">
        <v>55</v>
      </c>
      <c r="U38" s="0" t="n">
        <v>2536</v>
      </c>
      <c r="V38" s="0" t="n">
        <v>1</v>
      </c>
      <c r="W38" s="27" t="n">
        <f aca="false">MATCH(A38,DATAS,0)</f>
        <v>1</v>
      </c>
      <c r="X38" s="27" t="n">
        <f aca="false">IF(AND(E38&gt;0,OR(AND(B38&gt;=1,B38&lt;=6),B38=10)),1,0)</f>
        <v>1</v>
      </c>
      <c r="Y38" s="27" t="n">
        <f aca="false">IF(AND(E38&gt;0,B38=10),1,0)</f>
        <v>1</v>
      </c>
      <c r="Z38" s="0" t="str">
        <f aca="false">IF(AND(C37=C38,W37=W38-1),X37,"")</f>
        <v/>
      </c>
      <c r="AA38" s="0" t="str">
        <f aca="false">IF(AND(C37=C38,W37=W38-1),Y37,"")</f>
        <v/>
      </c>
      <c r="AB38" s="0" t="str">
        <f aca="false">IF(W38=1,"",IF(AND(X38=1,Z38&lt;&gt;1),1,0))</f>
        <v/>
      </c>
      <c r="AC38" s="0" t="str">
        <f aca="false">IF(W38=1,"",IF(AND(Y38=1,AA38&lt;&gt;1),1,0))</f>
        <v/>
      </c>
      <c r="AD38" s="33" t="str">
        <f aca="false">IF(AND(E38&gt;0,W38&lt;1,NOT(AND(C39=C38,W39=W38+1))),INDEX(DATAS,W38+1),"")</f>
        <v/>
      </c>
      <c r="AE38" s="33" t="str">
        <f aca="false">IF(AND(Y38=1,W38&lt;1),IF(AND(C39=C38,W39=W38+1),IF(Y39=1,"",INDEX(DATAS,W38+1)),INDEX(DATAS,W38+1)),"")</f>
        <v/>
      </c>
    </row>
    <row r="39" customFormat="false" ht="15" hidden="false" customHeight="false" outlineLevel="0" collapsed="false">
      <c r="A39" s="33" t="n">
        <v>46309</v>
      </c>
      <c r="B39" s="0" t="n">
        <v>2</v>
      </c>
      <c r="C39" s="0" t="n">
        <v>2703</v>
      </c>
      <c r="D39" s="0" t="n">
        <v>173</v>
      </c>
      <c r="E39" s="0" t="n">
        <v>5</v>
      </c>
      <c r="F39" s="27" t="s">
        <v>178</v>
      </c>
      <c r="G39" s="0" t="n">
        <v>50</v>
      </c>
      <c r="H39" s="0" t="n">
        <v>48</v>
      </c>
      <c r="I39" s="27" t="s">
        <v>168</v>
      </c>
      <c r="J39" s="0" t="n">
        <v>173</v>
      </c>
      <c r="K39" s="0" t="n">
        <v>68</v>
      </c>
      <c r="M39" s="0" t="n">
        <v>582.03</v>
      </c>
      <c r="N39" s="0" t="n">
        <v>14.25</v>
      </c>
      <c r="O39" s="0" t="n">
        <v>7.47</v>
      </c>
      <c r="P39" s="0" t="n">
        <v>3.96</v>
      </c>
      <c r="Q39" s="0" t="n">
        <v>2.97</v>
      </c>
      <c r="R39" s="0" t="n">
        <v>6066</v>
      </c>
      <c r="S39" s="0" t="n">
        <v>11184</v>
      </c>
      <c r="T39" s="0" t="n">
        <v>64.8</v>
      </c>
      <c r="U39" s="0" t="n">
        <v>2524</v>
      </c>
      <c r="V39" s="0" t="n">
        <v>3</v>
      </c>
      <c r="W39" s="27" t="n">
        <f aca="false">MATCH(A39,DATAS,0)</f>
        <v>1</v>
      </c>
      <c r="X39" s="27" t="n">
        <f aca="false">IF(AND(E39&gt;0,OR(AND(B39&gt;=1,B39&lt;=6),B39=10)),1,0)</f>
        <v>1</v>
      </c>
      <c r="Y39" s="27" t="n">
        <f aca="false">IF(AND(E39&gt;0,B39=10),1,0)</f>
        <v>0</v>
      </c>
      <c r="Z39" s="0" t="str">
        <f aca="false">IF(AND(C38=C39,W38=W39-1),X38,"")</f>
        <v/>
      </c>
      <c r="AA39" s="0" t="str">
        <f aca="false">IF(AND(C38=C39,W38=W39-1),Y38,"")</f>
        <v/>
      </c>
      <c r="AB39" s="0" t="str">
        <f aca="false">IF(W39=1,"",IF(AND(X39=1,Z39&lt;&gt;1),1,0))</f>
        <v/>
      </c>
      <c r="AC39" s="0" t="str">
        <f aca="false">IF(W39=1,"",IF(AND(Y39=1,AA39&lt;&gt;1),1,0))</f>
        <v/>
      </c>
      <c r="AD39" s="33" t="str">
        <f aca="false">IF(AND(E39&gt;0,W39&lt;1,NOT(AND(C40=C39,W40=W39+1))),INDEX(DATAS,W39+1),"")</f>
        <v/>
      </c>
      <c r="AE39" s="33" t="str">
        <f aca="false">IF(AND(Y39=1,W39&lt;1),IF(AND(C40=C39,W40=W39+1),IF(Y40=1,"",INDEX(DATAS,W39+1)),INDEX(DATAS,W39+1)),"")</f>
        <v/>
      </c>
    </row>
    <row r="40" customFormat="false" ht="15" hidden="false" customHeight="false" outlineLevel="0" collapsed="false">
      <c r="A40" s="33" t="n">
        <v>46309</v>
      </c>
      <c r="B40" s="0" t="n">
        <v>2</v>
      </c>
      <c r="C40" s="0" t="n">
        <v>2723</v>
      </c>
      <c r="D40" s="0" t="n">
        <v>60</v>
      </c>
      <c r="E40" s="0" t="n">
        <v>6</v>
      </c>
      <c r="F40" s="27" t="s">
        <v>179</v>
      </c>
      <c r="G40" s="0" t="n">
        <v>65.9</v>
      </c>
      <c r="H40" s="0" t="n">
        <v>67</v>
      </c>
      <c r="I40" s="27" t="s">
        <v>147</v>
      </c>
      <c r="J40" s="0" t="n">
        <v>60</v>
      </c>
      <c r="M40" s="0" t="n">
        <v>-232.48</v>
      </c>
      <c r="N40" s="0" t="n">
        <v>38.69</v>
      </c>
      <c r="O40" s="0" t="n">
        <v>5.62</v>
      </c>
      <c r="P40" s="0" t="n">
        <v>3.3</v>
      </c>
      <c r="Q40" s="0" t="n">
        <v>2.69</v>
      </c>
      <c r="R40" s="0" t="n">
        <v>6124</v>
      </c>
      <c r="S40" s="0" t="n">
        <v>12310</v>
      </c>
      <c r="U40" s="0" t="n">
        <v>2499</v>
      </c>
      <c r="V40" s="0" t="n">
        <v>0</v>
      </c>
      <c r="W40" s="27" t="n">
        <f aca="false">MATCH(A40,DATAS,0)</f>
        <v>1</v>
      </c>
      <c r="X40" s="27" t="n">
        <f aca="false">IF(AND(E40&gt;0,OR(AND(B40&gt;=1,B40&lt;=6),B40=10)),1,0)</f>
        <v>1</v>
      </c>
      <c r="Y40" s="27" t="n">
        <f aca="false">IF(AND(E40&gt;0,B40=10),1,0)</f>
        <v>0</v>
      </c>
      <c r="Z40" s="0" t="str">
        <f aca="false">IF(AND(C39=C40,W39=W40-1),X39,"")</f>
        <v/>
      </c>
      <c r="AA40" s="0" t="str">
        <f aca="false">IF(AND(C39=C40,W39=W40-1),Y39,"")</f>
        <v/>
      </c>
      <c r="AB40" s="0" t="str">
        <f aca="false">IF(W40=1,"",IF(AND(X40=1,Z40&lt;&gt;1),1,0))</f>
        <v/>
      </c>
      <c r="AC40" s="0" t="str">
        <f aca="false">IF(W40=1,"",IF(AND(Y40=1,AA40&lt;&gt;1),1,0))</f>
        <v/>
      </c>
      <c r="AD40" s="33" t="str">
        <f aca="false">IF(AND(E40&gt;0,W40&lt;1,NOT(AND(C41=C40,W41=W40+1))),INDEX(DATAS,W40+1),"")</f>
        <v/>
      </c>
      <c r="AE40" s="33" t="str">
        <f aca="false">IF(AND(Y40=1,W40&lt;1),IF(AND(C41=C40,W41=W40+1),IF(Y41=1,"",INDEX(DATAS,W40+1)),INDEX(DATAS,W40+1)),"")</f>
        <v/>
      </c>
    </row>
    <row r="41" customFormat="false" ht="15" hidden="false" customHeight="false" outlineLevel="0" collapsed="false">
      <c r="A41" s="33" t="n">
        <v>46309</v>
      </c>
      <c r="B41" s="0" t="n">
        <v>5</v>
      </c>
      <c r="C41" s="0" t="n">
        <v>2761</v>
      </c>
      <c r="D41" s="0" t="n">
        <v>291</v>
      </c>
      <c r="E41" s="0" t="n">
        <v>5</v>
      </c>
      <c r="F41" s="27" t="s">
        <v>180</v>
      </c>
      <c r="G41" s="0" t="n">
        <v>37.2</v>
      </c>
      <c r="H41" s="0" t="n">
        <v>34</v>
      </c>
      <c r="I41" s="27" t="s">
        <v>168</v>
      </c>
      <c r="J41" s="0" t="n">
        <v>291</v>
      </c>
      <c r="K41" s="0" t="n">
        <v>60</v>
      </c>
      <c r="M41" s="0" t="n">
        <v>782.21</v>
      </c>
      <c r="N41" s="0" t="n">
        <v>23.88</v>
      </c>
      <c r="O41" s="0" t="n">
        <v>18.86</v>
      </c>
      <c r="P41" s="0" t="n">
        <v>3</v>
      </c>
      <c r="Q41" s="0" t="n">
        <v>3.71</v>
      </c>
      <c r="R41" s="0" t="n">
        <v>5478</v>
      </c>
      <c r="S41" s="0" t="n">
        <v>10627</v>
      </c>
      <c r="T41" s="0" t="n">
        <v>59.15</v>
      </c>
      <c r="U41" s="0" t="n">
        <v>2465</v>
      </c>
      <c r="V41" s="0" t="n">
        <v>7</v>
      </c>
      <c r="W41" s="27" t="n">
        <f aca="false">MATCH(A41,DATAS,0)</f>
        <v>1</v>
      </c>
      <c r="X41" s="27" t="n">
        <f aca="false">IF(AND(E41&gt;0,OR(AND(B41&gt;=1,B41&lt;=6),B41=10)),1,0)</f>
        <v>1</v>
      </c>
      <c r="Y41" s="27" t="n">
        <f aca="false">IF(AND(E41&gt;0,B41=10),1,0)</f>
        <v>0</v>
      </c>
      <c r="Z41" s="0" t="str">
        <f aca="false">IF(AND(C40=C41,W40=W41-1),X40,"")</f>
        <v/>
      </c>
      <c r="AA41" s="0" t="str">
        <f aca="false">IF(AND(C40=C41,W40=W41-1),Y40,"")</f>
        <v/>
      </c>
      <c r="AB41" s="0" t="str">
        <f aca="false">IF(W41=1,"",IF(AND(X41=1,Z41&lt;&gt;1),1,0))</f>
        <v/>
      </c>
      <c r="AC41" s="0" t="str">
        <f aca="false">IF(W41=1,"",IF(AND(Y41=1,AA41&lt;&gt;1),1,0))</f>
        <v/>
      </c>
      <c r="AD41" s="33" t="str">
        <f aca="false">IF(AND(E41&gt;0,W41&lt;1,NOT(AND(C42=C41,W42=W41+1))),INDEX(DATAS,W41+1),"")</f>
        <v/>
      </c>
      <c r="AE41" s="33" t="str">
        <f aca="false">IF(AND(Y41=1,W41&lt;1),IF(AND(C42=C41,W42=W41+1),IF(Y42=1,"",INDEX(DATAS,W41+1)),INDEX(DATAS,W41+1)),"")</f>
        <v/>
      </c>
    </row>
    <row r="42" customFormat="false" ht="15" hidden="false" customHeight="false" outlineLevel="0" collapsed="false">
      <c r="A42" s="33" t="n">
        <v>46309</v>
      </c>
      <c r="B42" s="0" t="n">
        <v>3</v>
      </c>
      <c r="C42" s="0" t="n">
        <v>2763</v>
      </c>
      <c r="D42" s="0" t="n">
        <v>160</v>
      </c>
      <c r="E42" s="0" t="n">
        <v>5</v>
      </c>
      <c r="F42" s="27" t="s">
        <v>181</v>
      </c>
      <c r="G42" s="0" t="n">
        <v>57.7</v>
      </c>
      <c r="H42" s="0" t="n">
        <v>56</v>
      </c>
      <c r="I42" s="27" t="s">
        <v>168</v>
      </c>
      <c r="J42" s="0" t="n">
        <v>160</v>
      </c>
      <c r="K42" s="0" t="n">
        <v>69</v>
      </c>
      <c r="M42" s="0" t="n">
        <v>898.98</v>
      </c>
      <c r="N42" s="0" t="n">
        <v>2.52</v>
      </c>
      <c r="O42" s="0" t="n">
        <v>16.87</v>
      </c>
      <c r="P42" s="0" t="n">
        <v>2.92</v>
      </c>
      <c r="Q42" s="0" t="n">
        <v>3.1</v>
      </c>
      <c r="R42" s="0" t="n">
        <v>5351</v>
      </c>
      <c r="S42" s="0" t="n">
        <v>10981</v>
      </c>
      <c r="T42" s="0" t="n">
        <v>70.1</v>
      </c>
      <c r="U42" s="0" t="n">
        <v>2464</v>
      </c>
      <c r="V42" s="0" t="n">
        <v>3</v>
      </c>
      <c r="W42" s="27" t="n">
        <f aca="false">MATCH(A42,DATAS,0)</f>
        <v>1</v>
      </c>
      <c r="X42" s="27" t="n">
        <f aca="false">IF(AND(E42&gt;0,OR(AND(B42&gt;=1,B42&lt;=6),B42=10)),1,0)</f>
        <v>1</v>
      </c>
      <c r="Y42" s="27" t="n">
        <f aca="false">IF(AND(E42&gt;0,B42=10),1,0)</f>
        <v>0</v>
      </c>
      <c r="Z42" s="0" t="str">
        <f aca="false">IF(AND(C41=C42,W41=W42-1),X41,"")</f>
        <v/>
      </c>
      <c r="AA42" s="0" t="str">
        <f aca="false">IF(AND(C41=C42,W41=W42-1),Y41,"")</f>
        <v/>
      </c>
      <c r="AB42" s="0" t="str">
        <f aca="false">IF(W42=1,"",IF(AND(X42=1,Z42&lt;&gt;1),1,0))</f>
        <v/>
      </c>
      <c r="AC42" s="0" t="str">
        <f aca="false">IF(W42=1,"",IF(AND(Y42=1,AA42&lt;&gt;1),1,0))</f>
        <v/>
      </c>
      <c r="AD42" s="33" t="str">
        <f aca="false">IF(AND(E42&gt;0,W42&lt;1,NOT(AND(C43=C42,W43=W42+1))),INDEX(DATAS,W42+1),"")</f>
        <v/>
      </c>
      <c r="AE42" s="33" t="str">
        <f aca="false">IF(AND(Y42=1,W42&lt;1),IF(AND(C43=C42,W43=W42+1),IF(Y43=1,"",INDEX(DATAS,W42+1)),INDEX(DATAS,W42+1)),"")</f>
        <v/>
      </c>
    </row>
    <row r="43" customFormat="false" ht="15" hidden="false" customHeight="false" outlineLevel="0" collapsed="false">
      <c r="A43" s="33" t="n">
        <v>46309</v>
      </c>
      <c r="B43" s="0" t="n">
        <v>6</v>
      </c>
      <c r="C43" s="0" t="n">
        <v>2765</v>
      </c>
      <c r="D43" s="0" t="n">
        <v>666</v>
      </c>
      <c r="E43" s="0" t="n">
        <v>4</v>
      </c>
      <c r="F43" s="27" t="s">
        <v>182</v>
      </c>
      <c r="G43" s="0" t="n">
        <v>21.6</v>
      </c>
      <c r="H43" s="0" t="n">
        <v>22</v>
      </c>
      <c r="I43" s="27" t="s">
        <v>151</v>
      </c>
      <c r="J43" s="0" t="n">
        <v>666</v>
      </c>
      <c r="K43" s="0" t="n">
        <v>72</v>
      </c>
      <c r="M43" s="0" t="n">
        <v>312.45</v>
      </c>
      <c r="N43" s="0" t="n">
        <v>19.07</v>
      </c>
      <c r="O43" s="0" t="n">
        <v>23.03</v>
      </c>
      <c r="P43" s="0" t="n">
        <v>4.66</v>
      </c>
      <c r="Q43" s="0" t="n">
        <v>3.69</v>
      </c>
      <c r="R43" s="0" t="n">
        <v>6070</v>
      </c>
      <c r="S43" s="0" t="n">
        <v>12080</v>
      </c>
      <c r="T43" s="0" t="n">
        <v>56</v>
      </c>
      <c r="U43" s="0" t="n">
        <v>2463</v>
      </c>
      <c r="V43" s="0" t="n">
        <v>10</v>
      </c>
      <c r="W43" s="27" t="n">
        <f aca="false">MATCH(A43,DATAS,0)</f>
        <v>1</v>
      </c>
      <c r="X43" s="27" t="n">
        <f aca="false">IF(AND(E43&gt;0,OR(AND(B43&gt;=1,B43&lt;=6),B43=10)),1,0)</f>
        <v>1</v>
      </c>
      <c r="Y43" s="27" t="n">
        <f aca="false">IF(AND(E43&gt;0,B43=10),1,0)</f>
        <v>0</v>
      </c>
      <c r="Z43" s="0" t="str">
        <f aca="false">IF(AND(C42=C43,W42=W43-1),X42,"")</f>
        <v/>
      </c>
      <c r="AA43" s="0" t="str">
        <f aca="false">IF(AND(C42=C43,W42=W43-1),Y42,"")</f>
        <v/>
      </c>
      <c r="AB43" s="0" t="str">
        <f aca="false">IF(W43=1,"",IF(AND(X43=1,Z43&lt;&gt;1),1,0))</f>
        <v/>
      </c>
      <c r="AC43" s="0" t="str">
        <f aca="false">IF(W43=1,"",IF(AND(Y43=1,AA43&lt;&gt;1),1,0))</f>
        <v/>
      </c>
      <c r="AD43" s="33" t="str">
        <f aca="false">IF(AND(E43&gt;0,W43&lt;1,NOT(AND(C44=C43,W44=W43+1))),INDEX(DATAS,W43+1),"")</f>
        <v/>
      </c>
      <c r="AE43" s="33" t="str">
        <f aca="false">IF(AND(Y43=1,W43&lt;1),IF(AND(C44=C43,W44=W43+1),IF(Y44=1,"",INDEX(DATAS,W43+1)),INDEX(DATAS,W43+1)),"")</f>
        <v/>
      </c>
    </row>
    <row r="44" customFormat="false" ht="15" hidden="false" customHeight="false" outlineLevel="0" collapsed="false">
      <c r="A44" s="33" t="n">
        <v>46309</v>
      </c>
      <c r="B44" s="0" t="n">
        <v>6</v>
      </c>
      <c r="C44" s="0" t="n">
        <v>2791</v>
      </c>
      <c r="D44" s="0" t="n">
        <v>178</v>
      </c>
      <c r="E44" s="0" t="n">
        <v>4</v>
      </c>
      <c r="F44" s="27" t="s">
        <v>183</v>
      </c>
      <c r="G44" s="0" t="n">
        <v>30.3</v>
      </c>
      <c r="H44" s="0" t="n">
        <v>33</v>
      </c>
      <c r="I44" s="27" t="s">
        <v>168</v>
      </c>
      <c r="J44" s="0" t="n">
        <v>178</v>
      </c>
      <c r="K44" s="0" t="n">
        <v>74</v>
      </c>
      <c r="M44" s="0" t="n">
        <v>500.24</v>
      </c>
      <c r="N44" s="0" t="n">
        <v>29.95</v>
      </c>
      <c r="O44" s="0" t="n">
        <v>19.82</v>
      </c>
      <c r="P44" s="0" t="n">
        <v>3.57</v>
      </c>
      <c r="Q44" s="0" t="n">
        <v>2.86</v>
      </c>
      <c r="R44" s="0" t="n">
        <v>5581</v>
      </c>
      <c r="S44" s="0" t="n">
        <v>11695</v>
      </c>
      <c r="T44" s="0" t="n">
        <v>61.55</v>
      </c>
      <c r="U44" s="0" t="n">
        <v>2443</v>
      </c>
      <c r="V44" s="0" t="n">
        <v>3</v>
      </c>
      <c r="W44" s="27" t="n">
        <f aca="false">MATCH(A44,DATAS,0)</f>
        <v>1</v>
      </c>
      <c r="X44" s="27" t="n">
        <f aca="false">IF(AND(E44&gt;0,OR(AND(B44&gt;=1,B44&lt;=6),B44=10)),1,0)</f>
        <v>1</v>
      </c>
      <c r="Y44" s="27" t="n">
        <f aca="false">IF(AND(E44&gt;0,B44=10),1,0)</f>
        <v>0</v>
      </c>
      <c r="Z44" s="0" t="str">
        <f aca="false">IF(AND(C43=C44,W43=W44-1),X43,"")</f>
        <v/>
      </c>
      <c r="AA44" s="0" t="str">
        <f aca="false">IF(AND(C43=C44,W43=W44-1),Y43,"")</f>
        <v/>
      </c>
      <c r="AB44" s="0" t="str">
        <f aca="false">IF(W44=1,"",IF(AND(X44=1,Z44&lt;&gt;1),1,0))</f>
        <v/>
      </c>
      <c r="AC44" s="0" t="str">
        <f aca="false">IF(W44=1,"",IF(AND(Y44=1,AA44&lt;&gt;1),1,0))</f>
        <v/>
      </c>
      <c r="AD44" s="33" t="str">
        <f aca="false">IF(AND(E44&gt;0,W44&lt;1,NOT(AND(C45=C44,W45=W44+1))),INDEX(DATAS,W44+1),"")</f>
        <v/>
      </c>
      <c r="AE44" s="33" t="str">
        <f aca="false">IF(AND(Y44=1,W44&lt;1),IF(AND(C45=C44,W45=W44+1),IF(Y45=1,"",INDEX(DATAS,W44+1)),INDEX(DATAS,W44+1)),"")</f>
        <v/>
      </c>
    </row>
    <row r="45" customFormat="false" ht="15" hidden="false" customHeight="false" outlineLevel="0" collapsed="false">
      <c r="A45" s="33" t="n">
        <v>46309</v>
      </c>
      <c r="B45" s="0" t="n">
        <v>7</v>
      </c>
      <c r="C45" s="0" t="n">
        <v>2792</v>
      </c>
      <c r="D45" s="0" t="n">
        <v>313</v>
      </c>
      <c r="E45" s="0" t="n">
        <v>4</v>
      </c>
      <c r="F45" s="27" t="s">
        <v>184</v>
      </c>
      <c r="I45" s="27" t="s">
        <v>143</v>
      </c>
      <c r="J45" s="0" t="n">
        <v>251</v>
      </c>
      <c r="K45" s="0" t="n">
        <v>69</v>
      </c>
      <c r="L45" s="0" t="n">
        <v>154</v>
      </c>
      <c r="M45" s="0" t="n">
        <v>444.69</v>
      </c>
      <c r="N45" s="0" t="n">
        <v>5.43</v>
      </c>
      <c r="O45" s="0" t="n">
        <v>18.43</v>
      </c>
      <c r="P45" s="0" t="n">
        <v>4.59</v>
      </c>
      <c r="Q45" s="0" t="n">
        <v>3.71</v>
      </c>
      <c r="R45" s="0" t="n">
        <v>5538</v>
      </c>
      <c r="S45" s="0" t="n">
        <v>10359</v>
      </c>
      <c r="T45" s="0" t="n">
        <v>65</v>
      </c>
      <c r="U45" s="0" t="n">
        <v>2439</v>
      </c>
      <c r="V45" s="0" t="n">
        <v>5</v>
      </c>
      <c r="W45" s="27" t="n">
        <f aca="false">MATCH(A45,DATAS,0)</f>
        <v>1</v>
      </c>
      <c r="X45" s="27" t="n">
        <f aca="false">IF(AND(E45&gt;0,OR(AND(B45&gt;=1,B45&lt;=6),B45=10)),1,0)</f>
        <v>0</v>
      </c>
      <c r="Y45" s="27" t="n">
        <f aca="false">IF(AND(E45&gt;0,B45=10),1,0)</f>
        <v>0</v>
      </c>
      <c r="Z45" s="0" t="str">
        <f aca="false">IF(AND(C44=C45,W44=W45-1),X44,"")</f>
        <v/>
      </c>
      <c r="AA45" s="0" t="str">
        <f aca="false">IF(AND(C44=C45,W44=W45-1),Y44,"")</f>
        <v/>
      </c>
      <c r="AB45" s="0" t="str">
        <f aca="false">IF(W45=1,"",IF(AND(X45=1,Z45&lt;&gt;1),1,0))</f>
        <v/>
      </c>
      <c r="AC45" s="0" t="str">
        <f aca="false">IF(W45=1,"",IF(AND(Y45=1,AA45&lt;&gt;1),1,0))</f>
        <v/>
      </c>
      <c r="AD45" s="33" t="str">
        <f aca="false">IF(AND(E45&gt;0,W45&lt;1,NOT(AND(C46=C45,W46=W45+1))),INDEX(DATAS,W45+1),"")</f>
        <v/>
      </c>
      <c r="AE45" s="33" t="str">
        <f aca="false">IF(AND(Y45=1,W45&lt;1),IF(AND(C46=C45,W46=W45+1),IF(Y46=1,"",INDEX(DATAS,W45+1)),INDEX(DATAS,W45+1)),"")</f>
        <v/>
      </c>
    </row>
    <row r="46" customFormat="false" ht="15" hidden="false" customHeight="false" outlineLevel="0" collapsed="false">
      <c r="A46" s="33" t="n">
        <v>46309</v>
      </c>
      <c r="B46" s="0" t="n">
        <v>6</v>
      </c>
      <c r="C46" s="0" t="n">
        <v>2800</v>
      </c>
      <c r="D46" s="0" t="n">
        <v>565</v>
      </c>
      <c r="E46" s="0" t="n">
        <v>4</v>
      </c>
      <c r="F46" s="27" t="s">
        <v>185</v>
      </c>
      <c r="G46" s="0" t="n">
        <v>25.3</v>
      </c>
      <c r="H46" s="0" t="n">
        <v>24</v>
      </c>
      <c r="I46" s="27" t="s">
        <v>138</v>
      </c>
      <c r="J46" s="0" t="n">
        <v>467</v>
      </c>
      <c r="K46" s="0" t="n">
        <v>62</v>
      </c>
      <c r="L46" s="0" t="n">
        <v>98</v>
      </c>
      <c r="M46" s="0" t="n">
        <v>585.17</v>
      </c>
      <c r="N46" s="0" t="n">
        <v>13.9</v>
      </c>
      <c r="O46" s="0" t="n">
        <v>12.32</v>
      </c>
      <c r="P46" s="0" t="n">
        <v>4.54</v>
      </c>
      <c r="Q46" s="0" t="n">
        <v>3.57</v>
      </c>
      <c r="R46" s="0" t="n">
        <v>6828</v>
      </c>
      <c r="S46" s="0" t="n">
        <v>13188</v>
      </c>
      <c r="T46" s="0" t="n">
        <v>75.45</v>
      </c>
      <c r="U46" s="0" t="n">
        <v>2430</v>
      </c>
      <c r="V46" s="0" t="n">
        <v>10</v>
      </c>
      <c r="W46" s="27" t="n">
        <f aca="false">MATCH(A46,DATAS,0)</f>
        <v>1</v>
      </c>
      <c r="X46" s="27" t="n">
        <f aca="false">IF(AND(E46&gt;0,OR(AND(B46&gt;=1,B46&lt;=6),B46=10)),1,0)</f>
        <v>1</v>
      </c>
      <c r="Y46" s="27" t="n">
        <f aca="false">IF(AND(E46&gt;0,B46=10),1,0)</f>
        <v>0</v>
      </c>
      <c r="Z46" s="0" t="str">
        <f aca="false">IF(AND(C45=C46,W45=W46-1),X45,"")</f>
        <v/>
      </c>
      <c r="AA46" s="0" t="str">
        <f aca="false">IF(AND(C45=C46,W45=W46-1),Y45,"")</f>
        <v/>
      </c>
      <c r="AB46" s="0" t="str">
        <f aca="false">IF(W46=1,"",IF(AND(X46=1,Z46&lt;&gt;1),1,0))</f>
        <v/>
      </c>
      <c r="AC46" s="0" t="str">
        <f aca="false">IF(W46=1,"",IF(AND(Y46=1,AA46&lt;&gt;1),1,0))</f>
        <v/>
      </c>
      <c r="AD46" s="33" t="str">
        <f aca="false">IF(AND(E46&gt;0,W46&lt;1,NOT(AND(C47=C46,W47=W46+1))),INDEX(DATAS,W46+1),"")</f>
        <v/>
      </c>
      <c r="AE46" s="33" t="str">
        <f aca="false">IF(AND(Y46=1,W46&lt;1),IF(AND(C47=C46,W47=W46+1),IF(Y47=1,"",INDEX(DATAS,W46+1)),INDEX(DATAS,W46+1)),"")</f>
        <v/>
      </c>
    </row>
    <row r="47" customFormat="false" ht="15" hidden="false" customHeight="false" outlineLevel="0" collapsed="false">
      <c r="A47" s="33" t="n">
        <v>46309</v>
      </c>
      <c r="B47" s="0" t="n">
        <v>6</v>
      </c>
      <c r="C47" s="0" t="n">
        <v>2802</v>
      </c>
      <c r="D47" s="0" t="n">
        <v>338</v>
      </c>
      <c r="E47" s="0" t="n">
        <v>3</v>
      </c>
      <c r="F47" s="27" t="s">
        <v>186</v>
      </c>
      <c r="G47" s="0" t="n">
        <v>17.1</v>
      </c>
      <c r="H47" s="0" t="n">
        <v>27</v>
      </c>
      <c r="I47" s="27" t="s">
        <v>168</v>
      </c>
      <c r="J47" s="0" t="n">
        <v>338</v>
      </c>
      <c r="K47" s="0" t="n">
        <v>65</v>
      </c>
      <c r="M47" s="0" t="n">
        <v>519.35</v>
      </c>
      <c r="N47" s="0" t="n">
        <v>13.05</v>
      </c>
      <c r="O47" s="0" t="n">
        <v>14.72</v>
      </c>
      <c r="P47" s="0" t="n">
        <v>3.73</v>
      </c>
      <c r="Q47" s="0" t="n">
        <v>3.33</v>
      </c>
      <c r="R47" s="0" t="n">
        <v>5502</v>
      </c>
      <c r="S47" s="0" t="n">
        <v>10906</v>
      </c>
      <c r="T47" s="0" t="n">
        <v>62.85</v>
      </c>
      <c r="U47" s="0" t="n">
        <v>2428</v>
      </c>
      <c r="V47" s="0" t="n">
        <v>6</v>
      </c>
      <c r="W47" s="27" t="n">
        <f aca="false">MATCH(A47,DATAS,0)</f>
        <v>1</v>
      </c>
      <c r="X47" s="27" t="n">
        <f aca="false">IF(AND(E47&gt;0,OR(AND(B47&gt;=1,B47&lt;=6),B47=10)),1,0)</f>
        <v>1</v>
      </c>
      <c r="Y47" s="27" t="n">
        <f aca="false">IF(AND(E47&gt;0,B47=10),1,0)</f>
        <v>0</v>
      </c>
      <c r="Z47" s="0" t="str">
        <f aca="false">IF(AND(C46=C47,W46=W47-1),X46,"")</f>
        <v/>
      </c>
      <c r="AA47" s="0" t="str">
        <f aca="false">IF(AND(C46=C47,W46=W47-1),Y46,"")</f>
        <v/>
      </c>
      <c r="AB47" s="0" t="str">
        <f aca="false">IF(W47=1,"",IF(AND(X47=1,Z47&lt;&gt;1),1,0))</f>
        <v/>
      </c>
      <c r="AC47" s="0" t="str">
        <f aca="false">IF(W47=1,"",IF(AND(Y47=1,AA47&lt;&gt;1),1,0))</f>
        <v/>
      </c>
      <c r="AD47" s="33" t="str">
        <f aca="false">IF(AND(E47&gt;0,W47&lt;1,NOT(AND(C48=C47,W48=W47+1))),INDEX(DATAS,W47+1),"")</f>
        <v/>
      </c>
      <c r="AE47" s="33" t="str">
        <f aca="false">IF(AND(Y47=1,W47&lt;1),IF(AND(C48=C47,W48=W47+1),IF(Y48=1,"",INDEX(DATAS,W47+1)),INDEX(DATAS,W47+1)),"")</f>
        <v/>
      </c>
    </row>
    <row r="48" customFormat="false" ht="15" hidden="false" customHeight="false" outlineLevel="0" collapsed="false">
      <c r="A48" s="33" t="n">
        <v>46309</v>
      </c>
      <c r="B48" s="0" t="n">
        <v>6</v>
      </c>
      <c r="C48" s="0" t="n">
        <v>2822</v>
      </c>
      <c r="D48" s="0" t="n">
        <v>388</v>
      </c>
      <c r="E48" s="0" t="n">
        <v>4</v>
      </c>
      <c r="F48" s="27" t="s">
        <v>187</v>
      </c>
      <c r="G48" s="0" t="n">
        <v>28.5</v>
      </c>
      <c r="H48" s="0" t="n">
        <v>23</v>
      </c>
      <c r="I48" s="27" t="s">
        <v>138</v>
      </c>
      <c r="J48" s="0" t="n">
        <v>213</v>
      </c>
      <c r="K48" s="0" t="n">
        <v>66</v>
      </c>
      <c r="L48" s="0" t="n">
        <v>175</v>
      </c>
      <c r="M48" s="0" t="n">
        <v>-261</v>
      </c>
      <c r="N48" s="0" t="n">
        <v>9.92</v>
      </c>
      <c r="O48" s="0" t="n">
        <v>2.69</v>
      </c>
      <c r="P48" s="0" t="n">
        <v>4.53</v>
      </c>
      <c r="Q48" s="0" t="n">
        <v>3.41</v>
      </c>
      <c r="R48" s="0" t="n">
        <v>5789</v>
      </c>
      <c r="S48" s="0" t="n">
        <v>11064</v>
      </c>
      <c r="T48" s="0" t="n">
        <v>59.85</v>
      </c>
      <c r="U48" s="0" t="n">
        <v>2413</v>
      </c>
      <c r="V48" s="0" t="n">
        <v>5</v>
      </c>
      <c r="W48" s="27" t="n">
        <f aca="false">MATCH(A48,DATAS,0)</f>
        <v>1</v>
      </c>
      <c r="X48" s="27" t="n">
        <f aca="false">IF(AND(E48&gt;0,OR(AND(B48&gt;=1,B48&lt;=6),B48=10)),1,0)</f>
        <v>1</v>
      </c>
      <c r="Y48" s="27" t="n">
        <f aca="false">IF(AND(E48&gt;0,B48=10),1,0)</f>
        <v>0</v>
      </c>
      <c r="Z48" s="0" t="str">
        <f aca="false">IF(AND(C47=C48,W47=W48-1),X47,"")</f>
        <v/>
      </c>
      <c r="AA48" s="0" t="str">
        <f aca="false">IF(AND(C47=C48,W47=W48-1),Y47,"")</f>
        <v/>
      </c>
      <c r="AB48" s="0" t="str">
        <f aca="false">IF(W48=1,"",IF(AND(X48=1,Z48&lt;&gt;1),1,0))</f>
        <v/>
      </c>
      <c r="AC48" s="0" t="str">
        <f aca="false">IF(W48=1,"",IF(AND(Y48=1,AA48&lt;&gt;1),1,0))</f>
        <v/>
      </c>
      <c r="AD48" s="33" t="str">
        <f aca="false">IF(AND(E48&gt;0,W48&lt;1,NOT(AND(C49=C48,W49=W48+1))),INDEX(DATAS,W48+1),"")</f>
        <v/>
      </c>
      <c r="AE48" s="33" t="str">
        <f aca="false">IF(AND(Y48=1,W48&lt;1),IF(AND(C49=C48,W49=W48+1),IF(Y49=1,"",INDEX(DATAS,W48+1)),INDEX(DATAS,W48+1)),"")</f>
        <v/>
      </c>
    </row>
    <row r="49" customFormat="false" ht="15" hidden="false" customHeight="false" outlineLevel="0" collapsed="false">
      <c r="A49" s="33" t="n">
        <v>46309</v>
      </c>
      <c r="B49" s="0" t="n">
        <v>5</v>
      </c>
      <c r="C49" s="0" t="n">
        <v>2856</v>
      </c>
      <c r="D49" s="0" t="n">
        <v>182</v>
      </c>
      <c r="E49" s="0" t="n">
        <v>6</v>
      </c>
      <c r="F49" s="27" t="s">
        <v>188</v>
      </c>
      <c r="G49" s="0" t="n">
        <v>34</v>
      </c>
      <c r="H49" s="0" t="n">
        <v>32</v>
      </c>
      <c r="I49" s="27" t="s">
        <v>168</v>
      </c>
      <c r="J49" s="0" t="n">
        <v>182</v>
      </c>
      <c r="K49" s="0" t="n">
        <v>77</v>
      </c>
      <c r="M49" s="0" t="n">
        <v>921.64</v>
      </c>
      <c r="N49" s="0" t="n">
        <v>22.33</v>
      </c>
      <c r="O49" s="0" t="n">
        <v>27.33</v>
      </c>
      <c r="P49" s="0" t="n">
        <v>3.2</v>
      </c>
      <c r="Q49" s="0" t="n">
        <v>3.32</v>
      </c>
      <c r="R49" s="0" t="n">
        <v>4157</v>
      </c>
      <c r="S49" s="0" t="n">
        <v>7787</v>
      </c>
      <c r="T49" s="0" t="n">
        <v>53.45</v>
      </c>
      <c r="U49" s="0" t="n">
        <v>2388</v>
      </c>
      <c r="V49" s="0" t="n">
        <v>3</v>
      </c>
      <c r="W49" s="27" t="n">
        <f aca="false">MATCH(A49,DATAS,0)</f>
        <v>1</v>
      </c>
      <c r="X49" s="27" t="n">
        <f aca="false">IF(AND(E49&gt;0,OR(AND(B49&gt;=1,B49&lt;=6),B49=10)),1,0)</f>
        <v>1</v>
      </c>
      <c r="Y49" s="27" t="n">
        <f aca="false">IF(AND(E49&gt;0,B49=10),1,0)</f>
        <v>0</v>
      </c>
      <c r="Z49" s="0" t="str">
        <f aca="false">IF(AND(C48=C49,W48=W49-1),X48,"")</f>
        <v/>
      </c>
      <c r="AA49" s="0" t="str">
        <f aca="false">IF(AND(C48=C49,W48=W49-1),Y48,"")</f>
        <v/>
      </c>
      <c r="AB49" s="0" t="str">
        <f aca="false">IF(W49=1,"",IF(AND(X49=1,Z49&lt;&gt;1),1,0))</f>
        <v/>
      </c>
      <c r="AC49" s="0" t="str">
        <f aca="false">IF(W49=1,"",IF(AND(Y49=1,AA49&lt;&gt;1),1,0))</f>
        <v/>
      </c>
      <c r="AD49" s="33" t="str">
        <f aca="false">IF(AND(E49&gt;0,W49&lt;1,NOT(AND(C50=C49,W50=W49+1))),INDEX(DATAS,W49+1),"")</f>
        <v/>
      </c>
      <c r="AE49" s="33" t="str">
        <f aca="false">IF(AND(Y49=1,W49&lt;1),IF(AND(C50=C49,W50=W49+1),IF(Y50=1,"",INDEX(DATAS,W49+1)),INDEX(DATAS,W49+1)),"")</f>
        <v/>
      </c>
    </row>
    <row r="50" customFormat="false" ht="15" hidden="false" customHeight="false" outlineLevel="0" collapsed="false">
      <c r="A50" s="33" t="n">
        <v>46309</v>
      </c>
      <c r="B50" s="0" t="n">
        <v>5</v>
      </c>
      <c r="C50" s="0" t="n">
        <v>2862</v>
      </c>
      <c r="D50" s="0" t="n">
        <v>412</v>
      </c>
      <c r="E50" s="0" t="n">
        <v>4</v>
      </c>
      <c r="F50" s="27" t="s">
        <v>189</v>
      </c>
      <c r="G50" s="0" t="n">
        <v>21.2</v>
      </c>
      <c r="H50" s="0" t="n">
        <v>24</v>
      </c>
      <c r="I50" s="27" t="s">
        <v>138</v>
      </c>
      <c r="J50" s="0" t="n">
        <v>230</v>
      </c>
      <c r="K50" s="0" t="n">
        <v>69</v>
      </c>
      <c r="L50" s="0" t="n">
        <v>182</v>
      </c>
      <c r="M50" s="0" t="n">
        <v>-257.4</v>
      </c>
      <c r="N50" s="0" t="n">
        <v>15.38</v>
      </c>
      <c r="O50" s="0" t="n">
        <v>5.44</v>
      </c>
      <c r="P50" s="0" t="n">
        <v>4.26</v>
      </c>
      <c r="Q50" s="0" t="n">
        <v>3.86</v>
      </c>
      <c r="R50" s="0" t="n">
        <v>5896</v>
      </c>
      <c r="S50" s="0" t="n">
        <v>10701</v>
      </c>
      <c r="T50" s="0" t="n">
        <v>70.4</v>
      </c>
      <c r="U50" s="0" t="n">
        <v>2384</v>
      </c>
      <c r="V50" s="0" t="n">
        <v>5</v>
      </c>
      <c r="W50" s="27" t="n">
        <f aca="false">MATCH(A50,DATAS,0)</f>
        <v>1</v>
      </c>
      <c r="X50" s="27" t="n">
        <f aca="false">IF(AND(E50&gt;0,OR(AND(B50&gt;=1,B50&lt;=6),B50=10)),1,0)</f>
        <v>1</v>
      </c>
      <c r="Y50" s="27" t="n">
        <f aca="false">IF(AND(E50&gt;0,B50=10),1,0)</f>
        <v>0</v>
      </c>
      <c r="Z50" s="0" t="str">
        <f aca="false">IF(AND(C49=C50,W49=W50-1),X49,"")</f>
        <v/>
      </c>
      <c r="AA50" s="0" t="str">
        <f aca="false">IF(AND(C49=C50,W49=W50-1),Y49,"")</f>
        <v/>
      </c>
      <c r="AB50" s="0" t="str">
        <f aca="false">IF(W50=1,"",IF(AND(X50=1,Z50&lt;&gt;1),1,0))</f>
        <v/>
      </c>
      <c r="AC50" s="0" t="str">
        <f aca="false">IF(W50=1,"",IF(AND(Y50=1,AA50&lt;&gt;1),1,0))</f>
        <v/>
      </c>
      <c r="AD50" s="33" t="str">
        <f aca="false">IF(AND(E50&gt;0,W50&lt;1,NOT(AND(C51=C50,W51=W50+1))),INDEX(DATAS,W50+1),"")</f>
        <v/>
      </c>
      <c r="AE50" s="33" t="str">
        <f aca="false">IF(AND(Y50=1,W50&lt;1),IF(AND(C51=C50,W51=W50+1),IF(Y51=1,"",INDEX(DATAS,W50+1)),INDEX(DATAS,W50+1)),"")</f>
        <v/>
      </c>
    </row>
    <row r="51" customFormat="false" ht="15" hidden="false" customHeight="false" outlineLevel="0" collapsed="false">
      <c r="A51" s="33" t="n">
        <v>46309</v>
      </c>
      <c r="B51" s="0" t="n">
        <v>5</v>
      </c>
      <c r="C51" s="0" t="n">
        <v>2863</v>
      </c>
      <c r="D51" s="0" t="n">
        <v>234</v>
      </c>
      <c r="E51" s="0" t="n">
        <v>5</v>
      </c>
      <c r="F51" s="27" t="s">
        <v>189</v>
      </c>
      <c r="G51" s="0" t="n">
        <v>37.9</v>
      </c>
      <c r="H51" s="0" t="n">
        <v>36</v>
      </c>
      <c r="I51" s="27" t="s">
        <v>138</v>
      </c>
      <c r="J51" s="0" t="n">
        <v>66</v>
      </c>
      <c r="K51" s="0" t="n">
        <v>66</v>
      </c>
      <c r="L51" s="0" t="n">
        <v>168</v>
      </c>
      <c r="M51" s="0" t="n">
        <v>692.66</v>
      </c>
      <c r="N51" s="0" t="n">
        <v>24.75</v>
      </c>
      <c r="O51" s="0" t="n">
        <v>23.6</v>
      </c>
      <c r="P51" s="0" t="n">
        <v>3.54</v>
      </c>
      <c r="Q51" s="0" t="n">
        <v>3.5</v>
      </c>
      <c r="R51" s="0" t="n">
        <v>4085</v>
      </c>
      <c r="S51" s="0" t="n">
        <v>8517</v>
      </c>
      <c r="T51" s="0" t="n">
        <v>46.05</v>
      </c>
      <c r="U51" s="0" t="n">
        <v>2384</v>
      </c>
      <c r="V51" s="0" t="n">
        <v>1</v>
      </c>
      <c r="W51" s="27" t="n">
        <f aca="false">MATCH(A51,DATAS,0)</f>
        <v>1</v>
      </c>
      <c r="X51" s="27" t="n">
        <f aca="false">IF(AND(E51&gt;0,OR(AND(B51&gt;=1,B51&lt;=6),B51=10)),1,0)</f>
        <v>1</v>
      </c>
      <c r="Y51" s="27" t="n">
        <f aca="false">IF(AND(E51&gt;0,B51=10),1,0)</f>
        <v>0</v>
      </c>
      <c r="Z51" s="0" t="str">
        <f aca="false">IF(AND(C50=C51,W50=W51-1),X50,"")</f>
        <v/>
      </c>
      <c r="AA51" s="0" t="str">
        <f aca="false">IF(AND(C50=C51,W50=W51-1),Y50,"")</f>
        <v/>
      </c>
      <c r="AB51" s="0" t="str">
        <f aca="false">IF(W51=1,"",IF(AND(X51=1,Z51&lt;&gt;1),1,0))</f>
        <v/>
      </c>
      <c r="AC51" s="0" t="str">
        <f aca="false">IF(W51=1,"",IF(AND(Y51=1,AA51&lt;&gt;1),1,0))</f>
        <v/>
      </c>
      <c r="AD51" s="33" t="str">
        <f aca="false">IF(AND(E51&gt;0,W51&lt;1,NOT(AND(C52=C51,W52=W51+1))),INDEX(DATAS,W51+1),"")</f>
        <v/>
      </c>
      <c r="AE51" s="33" t="str">
        <f aca="false">IF(AND(Y51=1,W51&lt;1),IF(AND(C52=C51,W52=W51+1),IF(Y52=1,"",INDEX(DATAS,W51+1)),INDEX(DATAS,W51+1)),"")</f>
        <v/>
      </c>
    </row>
    <row r="52" customFormat="false" ht="15" hidden="false" customHeight="false" outlineLevel="0" collapsed="false">
      <c r="A52" s="33" t="n">
        <v>46309</v>
      </c>
      <c r="B52" s="0" t="n">
        <v>6</v>
      </c>
      <c r="C52" s="0" t="n">
        <v>2875</v>
      </c>
      <c r="D52" s="0" t="n">
        <v>496</v>
      </c>
      <c r="E52" s="0" t="n">
        <v>4</v>
      </c>
      <c r="F52" s="27" t="s">
        <v>190</v>
      </c>
      <c r="G52" s="0" t="n">
        <v>16</v>
      </c>
      <c r="H52" s="0" t="n">
        <v>11</v>
      </c>
      <c r="I52" s="27" t="s">
        <v>138</v>
      </c>
      <c r="J52" s="0" t="n">
        <v>351</v>
      </c>
      <c r="K52" s="0" t="n">
        <v>62</v>
      </c>
      <c r="L52" s="0" t="n">
        <v>145</v>
      </c>
      <c r="M52" s="0" t="n">
        <v>577.81</v>
      </c>
      <c r="N52" s="0" t="n">
        <v>41.3</v>
      </c>
      <c r="O52" s="0" t="n">
        <v>15.02</v>
      </c>
      <c r="P52" s="0" t="n">
        <v>4.91</v>
      </c>
      <c r="Q52" s="0" t="n">
        <v>3.99</v>
      </c>
      <c r="R52" s="0" t="n">
        <v>6603</v>
      </c>
      <c r="S52" s="0" t="n">
        <v>12720</v>
      </c>
      <c r="T52" s="0" t="n">
        <v>71.95</v>
      </c>
      <c r="U52" s="0" t="n">
        <v>2379</v>
      </c>
      <c r="V52" s="0" t="n">
        <v>7</v>
      </c>
      <c r="W52" s="27" t="n">
        <f aca="false">MATCH(A52,DATAS,0)</f>
        <v>1</v>
      </c>
      <c r="X52" s="27" t="n">
        <f aca="false">IF(AND(E52&gt;0,OR(AND(B52&gt;=1,B52&lt;=6),B52=10)),1,0)</f>
        <v>1</v>
      </c>
      <c r="Y52" s="27" t="n">
        <f aca="false">IF(AND(E52&gt;0,B52=10),1,0)</f>
        <v>0</v>
      </c>
      <c r="Z52" s="0" t="str">
        <f aca="false">IF(AND(C51=C52,W51=W52-1),X51,"")</f>
        <v/>
      </c>
      <c r="AA52" s="0" t="str">
        <f aca="false">IF(AND(C51=C52,W51=W52-1),Y51,"")</f>
        <v/>
      </c>
      <c r="AB52" s="0" t="str">
        <f aca="false">IF(W52=1,"",IF(AND(X52=1,Z52&lt;&gt;1),1,0))</f>
        <v/>
      </c>
      <c r="AC52" s="0" t="str">
        <f aca="false">IF(W52=1,"",IF(AND(Y52=1,AA52&lt;&gt;1),1,0))</f>
        <v/>
      </c>
      <c r="AD52" s="33" t="str">
        <f aca="false">IF(AND(E52&gt;0,W52&lt;1,NOT(AND(C53=C52,W53=W52+1))),INDEX(DATAS,W52+1),"")</f>
        <v/>
      </c>
      <c r="AE52" s="33" t="str">
        <f aca="false">IF(AND(Y52=1,W52&lt;1),IF(AND(C53=C52,W53=W52+1),IF(Y53=1,"",INDEX(DATAS,W52+1)),INDEX(DATAS,W52+1)),"")</f>
        <v/>
      </c>
    </row>
    <row r="53" customFormat="false" ht="15" hidden="false" customHeight="false" outlineLevel="0" collapsed="false">
      <c r="A53" s="33" t="n">
        <v>46309</v>
      </c>
      <c r="B53" s="0" t="n">
        <v>6</v>
      </c>
      <c r="C53" s="0" t="n">
        <v>2887</v>
      </c>
      <c r="D53" s="0" t="n">
        <v>225</v>
      </c>
      <c r="E53" s="0" t="n">
        <v>5</v>
      </c>
      <c r="F53" s="27" t="s">
        <v>191</v>
      </c>
      <c r="G53" s="0" t="n">
        <v>30.1</v>
      </c>
      <c r="H53" s="0" t="n">
        <v>27</v>
      </c>
      <c r="I53" s="27" t="s">
        <v>138</v>
      </c>
      <c r="J53" s="0" t="n">
        <v>127</v>
      </c>
      <c r="K53" s="0" t="n">
        <v>64</v>
      </c>
      <c r="L53" s="0" t="n">
        <v>98</v>
      </c>
      <c r="M53" s="0" t="n">
        <v>354.32</v>
      </c>
      <c r="N53" s="0" t="n">
        <v>12.41</v>
      </c>
      <c r="O53" s="0" t="n">
        <v>12.9</v>
      </c>
      <c r="P53" s="0" t="n">
        <v>3.35</v>
      </c>
      <c r="Q53" s="0" t="n">
        <v>3.47</v>
      </c>
      <c r="R53" s="0" t="n">
        <v>3435</v>
      </c>
      <c r="S53" s="0" t="n">
        <v>8415</v>
      </c>
      <c r="T53" s="0" t="n">
        <v>38.1</v>
      </c>
      <c r="U53" s="0" t="n">
        <v>2370</v>
      </c>
      <c r="V53" s="0" t="n">
        <v>3</v>
      </c>
      <c r="W53" s="27" t="n">
        <f aca="false">MATCH(A53,DATAS,0)</f>
        <v>1</v>
      </c>
      <c r="X53" s="27" t="n">
        <f aca="false">IF(AND(E53&gt;0,OR(AND(B53&gt;=1,B53&lt;=6),B53=10)),1,0)</f>
        <v>1</v>
      </c>
      <c r="Y53" s="27" t="n">
        <f aca="false">IF(AND(E53&gt;0,B53=10),1,0)</f>
        <v>0</v>
      </c>
      <c r="Z53" s="0" t="str">
        <f aca="false">IF(AND(C52=C53,W52=W53-1),X52,"")</f>
        <v/>
      </c>
      <c r="AA53" s="0" t="str">
        <f aca="false">IF(AND(C52=C53,W52=W53-1),Y52,"")</f>
        <v/>
      </c>
      <c r="AB53" s="0" t="str">
        <f aca="false">IF(W53=1,"",IF(AND(X53=1,Z53&lt;&gt;1),1,0))</f>
        <v/>
      </c>
      <c r="AC53" s="0" t="str">
        <f aca="false">IF(W53=1,"",IF(AND(Y53=1,AA53&lt;&gt;1),1,0))</f>
        <v/>
      </c>
      <c r="AD53" s="33" t="str">
        <f aca="false">IF(AND(E53&gt;0,W53&lt;1,NOT(AND(C54=C53,W54=W53+1))),INDEX(DATAS,W53+1),"")</f>
        <v/>
      </c>
      <c r="AE53" s="33" t="str">
        <f aca="false">IF(AND(Y53=1,W53&lt;1),IF(AND(C54=C53,W54=W53+1),IF(Y54=1,"",INDEX(DATAS,W53+1)),INDEX(DATAS,W53+1)),"")</f>
        <v/>
      </c>
    </row>
    <row r="54" customFormat="false" ht="15" hidden="false" customHeight="false" outlineLevel="0" collapsed="false">
      <c r="A54" s="33" t="n">
        <v>46309</v>
      </c>
      <c r="B54" s="0" t="n">
        <v>5</v>
      </c>
      <c r="C54" s="0" t="n">
        <v>2894</v>
      </c>
      <c r="D54" s="0" t="n">
        <v>244</v>
      </c>
      <c r="E54" s="0" t="n">
        <v>4</v>
      </c>
      <c r="F54" s="27" t="s">
        <v>192</v>
      </c>
      <c r="G54" s="0" t="n">
        <v>41.8</v>
      </c>
      <c r="H54" s="0" t="n">
        <v>37</v>
      </c>
      <c r="I54" s="27" t="s">
        <v>168</v>
      </c>
      <c r="J54" s="0" t="n">
        <v>244</v>
      </c>
      <c r="K54" s="0" t="n">
        <v>111</v>
      </c>
      <c r="M54" s="0" t="n">
        <v>1248.55</v>
      </c>
      <c r="N54" s="0" t="n">
        <v>19.64</v>
      </c>
      <c r="O54" s="0" t="n">
        <v>33.47</v>
      </c>
      <c r="P54" s="0" t="n">
        <v>3.93</v>
      </c>
      <c r="Q54" s="0" t="n">
        <v>3.42</v>
      </c>
      <c r="R54" s="0" t="n">
        <v>4106</v>
      </c>
      <c r="S54" s="0" t="n">
        <v>8249</v>
      </c>
      <c r="T54" s="0" t="n">
        <v>43.9</v>
      </c>
      <c r="U54" s="0" t="n">
        <v>2365</v>
      </c>
      <c r="V54" s="0" t="n">
        <v>3</v>
      </c>
      <c r="W54" s="27" t="n">
        <f aca="false">MATCH(A54,DATAS,0)</f>
        <v>1</v>
      </c>
      <c r="X54" s="27" t="n">
        <f aca="false">IF(AND(E54&gt;0,OR(AND(B54&gt;=1,B54&lt;=6),B54=10)),1,0)</f>
        <v>1</v>
      </c>
      <c r="Y54" s="27" t="n">
        <f aca="false">IF(AND(E54&gt;0,B54=10),1,0)</f>
        <v>0</v>
      </c>
      <c r="Z54" s="0" t="str">
        <f aca="false">IF(AND(C53=C54,W53=W54-1),X53,"")</f>
        <v/>
      </c>
      <c r="AA54" s="0" t="str">
        <f aca="false">IF(AND(C53=C54,W53=W54-1),Y53,"")</f>
        <v/>
      </c>
      <c r="AB54" s="0" t="str">
        <f aca="false">IF(W54=1,"",IF(AND(X54=1,Z54&lt;&gt;1),1,0))</f>
        <v/>
      </c>
      <c r="AC54" s="0" t="str">
        <f aca="false">IF(W54=1,"",IF(AND(Y54=1,AA54&lt;&gt;1),1,0))</f>
        <v/>
      </c>
      <c r="AD54" s="33" t="str">
        <f aca="false">IF(AND(E54&gt;0,W54&lt;1,NOT(AND(C55=C54,W55=W54+1))),INDEX(DATAS,W54+1),"")</f>
        <v/>
      </c>
      <c r="AE54" s="33" t="str">
        <f aca="false">IF(AND(Y54=1,W54&lt;1),IF(AND(C55=C54,W55=W54+1),IF(Y55=1,"",INDEX(DATAS,W54+1)),INDEX(DATAS,W54+1)),"")</f>
        <v/>
      </c>
    </row>
    <row r="55" customFormat="false" ht="15" hidden="false" customHeight="false" outlineLevel="0" collapsed="false">
      <c r="A55" s="33" t="n">
        <v>46309</v>
      </c>
      <c r="B55" s="0" t="n">
        <v>6</v>
      </c>
      <c r="C55" s="0" t="n">
        <v>2904</v>
      </c>
      <c r="D55" s="0" t="n">
        <v>203</v>
      </c>
      <c r="E55" s="0" t="n">
        <v>4</v>
      </c>
      <c r="F55" s="27" t="s">
        <v>193</v>
      </c>
      <c r="G55" s="0" t="n">
        <v>17.9</v>
      </c>
      <c r="H55" s="0" t="n">
        <v>18</v>
      </c>
      <c r="I55" s="27" t="s">
        <v>176</v>
      </c>
      <c r="J55" s="0" t="n">
        <v>203</v>
      </c>
      <c r="K55" s="0" t="n">
        <v>92</v>
      </c>
      <c r="M55" s="0" t="n">
        <v>379.48</v>
      </c>
      <c r="N55" s="0" t="n">
        <v>12.53</v>
      </c>
      <c r="O55" s="0" t="n">
        <v>20.18</v>
      </c>
      <c r="P55" s="0" t="n">
        <v>3.82</v>
      </c>
      <c r="Q55" s="0" t="n">
        <v>3.55</v>
      </c>
      <c r="R55" s="0" t="n">
        <v>4110</v>
      </c>
      <c r="S55" s="0" t="n">
        <v>7322</v>
      </c>
      <c r="T55" s="0" t="n">
        <v>47.4</v>
      </c>
      <c r="U55" s="0" t="n">
        <v>2361</v>
      </c>
      <c r="V55" s="0" t="n">
        <v>3</v>
      </c>
      <c r="W55" s="27" t="n">
        <f aca="false">MATCH(A55,DATAS,0)</f>
        <v>1</v>
      </c>
      <c r="X55" s="27" t="n">
        <f aca="false">IF(AND(E55&gt;0,OR(AND(B55&gt;=1,B55&lt;=6),B55=10)),1,0)</f>
        <v>1</v>
      </c>
      <c r="Y55" s="27" t="n">
        <f aca="false">IF(AND(E55&gt;0,B55=10),1,0)</f>
        <v>0</v>
      </c>
      <c r="Z55" s="0" t="str">
        <f aca="false">IF(AND(C54=C55,W54=W55-1),X54,"")</f>
        <v/>
      </c>
      <c r="AA55" s="0" t="str">
        <f aca="false">IF(AND(C54=C55,W54=W55-1),Y54,"")</f>
        <v/>
      </c>
      <c r="AB55" s="0" t="str">
        <f aca="false">IF(W55=1,"",IF(AND(X55=1,Z55&lt;&gt;1),1,0))</f>
        <v/>
      </c>
      <c r="AC55" s="0" t="str">
        <f aca="false">IF(W55=1,"",IF(AND(Y55=1,AA55&lt;&gt;1),1,0))</f>
        <v/>
      </c>
      <c r="AD55" s="33" t="str">
        <f aca="false">IF(AND(E55&gt;0,W55&lt;1,NOT(AND(C56=C55,W56=W55+1))),INDEX(DATAS,W55+1),"")</f>
        <v/>
      </c>
      <c r="AE55" s="33" t="str">
        <f aca="false">IF(AND(Y55=1,W55&lt;1),IF(AND(C56=C55,W56=W55+1),IF(Y56=1,"",INDEX(DATAS,W55+1)),INDEX(DATAS,W55+1)),"")</f>
        <v/>
      </c>
    </row>
    <row r="56" customFormat="false" ht="15" hidden="false" customHeight="false" outlineLevel="0" collapsed="false">
      <c r="A56" s="33" t="n">
        <v>46309</v>
      </c>
      <c r="B56" s="0" t="n">
        <v>5</v>
      </c>
      <c r="C56" s="0" t="n">
        <v>2925</v>
      </c>
      <c r="D56" s="0" t="n">
        <v>232</v>
      </c>
      <c r="E56" s="0" t="n">
        <v>5</v>
      </c>
      <c r="F56" s="27" t="s">
        <v>194</v>
      </c>
      <c r="G56" s="0" t="n">
        <v>36</v>
      </c>
      <c r="H56" s="0" t="n">
        <v>35</v>
      </c>
      <c r="I56" s="27" t="s">
        <v>176</v>
      </c>
      <c r="J56" s="0" t="n">
        <v>232</v>
      </c>
      <c r="K56" s="0" t="n">
        <v>64</v>
      </c>
      <c r="M56" s="0" t="n">
        <v>560.63</v>
      </c>
      <c r="N56" s="0" t="n">
        <v>16.58</v>
      </c>
      <c r="O56" s="0" t="n">
        <v>16.85</v>
      </c>
      <c r="P56" s="0" t="n">
        <v>4.3</v>
      </c>
      <c r="Q56" s="0" t="n">
        <v>3.53</v>
      </c>
      <c r="R56" s="0" t="n">
        <v>4941</v>
      </c>
      <c r="S56" s="0" t="n">
        <v>9932</v>
      </c>
      <c r="T56" s="0" t="n">
        <v>56.7</v>
      </c>
      <c r="U56" s="0" t="n">
        <v>2344</v>
      </c>
      <c r="V56" s="0" t="n">
        <v>4</v>
      </c>
      <c r="W56" s="27" t="n">
        <f aca="false">MATCH(A56,DATAS,0)</f>
        <v>1</v>
      </c>
      <c r="X56" s="27" t="n">
        <f aca="false">IF(AND(E56&gt;0,OR(AND(B56&gt;=1,B56&lt;=6),B56=10)),1,0)</f>
        <v>1</v>
      </c>
      <c r="Y56" s="27" t="n">
        <f aca="false">IF(AND(E56&gt;0,B56=10),1,0)</f>
        <v>0</v>
      </c>
      <c r="Z56" s="0" t="str">
        <f aca="false">IF(AND(C55=C56,W55=W56-1),X55,"")</f>
        <v/>
      </c>
      <c r="AA56" s="0" t="str">
        <f aca="false">IF(AND(C55=C56,W55=W56-1),Y55,"")</f>
        <v/>
      </c>
      <c r="AB56" s="0" t="str">
        <f aca="false">IF(W56=1,"",IF(AND(X56=1,Z56&lt;&gt;1),1,0))</f>
        <v/>
      </c>
      <c r="AC56" s="0" t="str">
        <f aca="false">IF(W56=1,"",IF(AND(Y56=1,AA56&lt;&gt;1),1,0))</f>
        <v/>
      </c>
      <c r="AD56" s="33" t="str">
        <f aca="false">IF(AND(E56&gt;0,W56&lt;1,NOT(AND(C57=C56,W57=W56+1))),INDEX(DATAS,W56+1),"")</f>
        <v/>
      </c>
      <c r="AE56" s="33" t="str">
        <f aca="false">IF(AND(Y56=1,W56&lt;1),IF(AND(C57=C56,W57=W56+1),IF(Y57=1,"",INDEX(DATAS,W56+1)),INDEX(DATAS,W56+1)),"")</f>
        <v/>
      </c>
    </row>
    <row r="57" customFormat="false" ht="15" hidden="false" customHeight="false" outlineLevel="0" collapsed="false">
      <c r="A57" s="33" t="n">
        <v>46309</v>
      </c>
      <c r="B57" s="0" t="n">
        <v>2</v>
      </c>
      <c r="C57" s="0" t="n">
        <v>2927</v>
      </c>
      <c r="D57" s="0" t="n">
        <v>120</v>
      </c>
      <c r="E57" s="0" t="n">
        <v>4</v>
      </c>
      <c r="F57" s="27" t="s">
        <v>195</v>
      </c>
      <c r="G57" s="0" t="n">
        <v>45.6</v>
      </c>
      <c r="H57" s="0" t="n">
        <v>35</v>
      </c>
      <c r="I57" s="27" t="s">
        <v>168</v>
      </c>
      <c r="J57" s="0" t="n">
        <v>120</v>
      </c>
      <c r="K57" s="0" t="n">
        <v>64</v>
      </c>
      <c r="M57" s="0" t="n">
        <v>1287.7</v>
      </c>
      <c r="N57" s="0" t="n">
        <v>20.4</v>
      </c>
      <c r="O57" s="0" t="n">
        <v>26.92</v>
      </c>
      <c r="P57" s="0" t="n">
        <v>3.32</v>
      </c>
      <c r="Q57" s="0" t="n">
        <v>2.66</v>
      </c>
      <c r="R57" s="0" t="n">
        <v>5305</v>
      </c>
      <c r="S57" s="0" t="n">
        <v>10539</v>
      </c>
      <c r="T57" s="0" t="n">
        <v>58.45</v>
      </c>
      <c r="U57" s="0" t="n">
        <v>2341</v>
      </c>
      <c r="V57" s="0" t="n">
        <v>2</v>
      </c>
      <c r="W57" s="27" t="n">
        <f aca="false">MATCH(A57,DATAS,0)</f>
        <v>1</v>
      </c>
      <c r="X57" s="27" t="n">
        <f aca="false">IF(AND(E57&gt;0,OR(AND(B57&gt;=1,B57&lt;=6),B57=10)),1,0)</f>
        <v>1</v>
      </c>
      <c r="Y57" s="27" t="n">
        <f aca="false">IF(AND(E57&gt;0,B57=10),1,0)</f>
        <v>0</v>
      </c>
      <c r="Z57" s="0" t="str">
        <f aca="false">IF(AND(C56=C57,W56=W57-1),X56,"")</f>
        <v/>
      </c>
      <c r="AA57" s="0" t="str">
        <f aca="false">IF(AND(C56=C57,W56=W57-1),Y56,"")</f>
        <v/>
      </c>
      <c r="AB57" s="0" t="str">
        <f aca="false">IF(W57=1,"",IF(AND(X57=1,Z57&lt;&gt;1),1,0))</f>
        <v/>
      </c>
      <c r="AC57" s="0" t="str">
        <f aca="false">IF(W57=1,"",IF(AND(Y57=1,AA57&lt;&gt;1),1,0))</f>
        <v/>
      </c>
      <c r="AD57" s="33" t="str">
        <f aca="false">IF(AND(E57&gt;0,W57&lt;1,NOT(AND(C58=C57,W58=W57+1))),INDEX(DATAS,W57+1),"")</f>
        <v/>
      </c>
      <c r="AE57" s="33" t="str">
        <f aca="false">IF(AND(Y57=1,W57&lt;1),IF(AND(C58=C57,W58=W57+1),IF(Y58=1,"",INDEX(DATAS,W57+1)),INDEX(DATAS,W57+1)),"")</f>
        <v/>
      </c>
    </row>
    <row r="58" customFormat="false" ht="15" hidden="false" customHeight="false" outlineLevel="0" collapsed="false">
      <c r="A58" s="33" t="n">
        <v>46309</v>
      </c>
      <c r="B58" s="0" t="n">
        <v>5</v>
      </c>
      <c r="C58" s="0" t="n">
        <v>2935</v>
      </c>
      <c r="D58" s="0" t="n">
        <v>271</v>
      </c>
      <c r="E58" s="0" t="n">
        <v>5</v>
      </c>
      <c r="F58" s="27" t="s">
        <v>196</v>
      </c>
      <c r="G58" s="0" t="n">
        <v>50.4</v>
      </c>
      <c r="H58" s="0" t="n">
        <v>46</v>
      </c>
      <c r="I58" s="27" t="s">
        <v>138</v>
      </c>
      <c r="J58" s="0" t="n">
        <v>173</v>
      </c>
      <c r="K58" s="0" t="n">
        <v>68</v>
      </c>
      <c r="L58" s="0" t="n">
        <v>98</v>
      </c>
      <c r="M58" s="0" t="n">
        <v>1170.38</v>
      </c>
      <c r="N58" s="0" t="n">
        <v>8.95</v>
      </c>
      <c r="O58" s="0" t="n">
        <v>32.55</v>
      </c>
      <c r="P58" s="0" t="n">
        <v>2.4</v>
      </c>
      <c r="Q58" s="0" t="n">
        <v>3.15</v>
      </c>
      <c r="R58" s="0" t="n">
        <v>6164</v>
      </c>
      <c r="S58" s="0" t="n">
        <v>11235</v>
      </c>
      <c r="T58" s="0" t="n">
        <v>67.15</v>
      </c>
      <c r="U58" s="0" t="n">
        <v>2334</v>
      </c>
      <c r="V58" s="0" t="n">
        <v>3</v>
      </c>
      <c r="W58" s="27" t="n">
        <f aca="false">MATCH(A58,DATAS,0)</f>
        <v>1</v>
      </c>
      <c r="X58" s="27" t="n">
        <f aca="false">IF(AND(E58&gt;0,OR(AND(B58&gt;=1,B58&lt;=6),B58=10)),1,0)</f>
        <v>1</v>
      </c>
      <c r="Y58" s="27" t="n">
        <f aca="false">IF(AND(E58&gt;0,B58=10),1,0)</f>
        <v>0</v>
      </c>
      <c r="Z58" s="0" t="str">
        <f aca="false">IF(AND(C57=C58,W57=W58-1),X57,"")</f>
        <v/>
      </c>
      <c r="AA58" s="0" t="str">
        <f aca="false">IF(AND(C57=C58,W57=W58-1),Y57,"")</f>
        <v/>
      </c>
      <c r="AB58" s="0" t="str">
        <f aca="false">IF(W58=1,"",IF(AND(X58=1,Z58&lt;&gt;1),1,0))</f>
        <v/>
      </c>
      <c r="AC58" s="0" t="str">
        <f aca="false">IF(W58=1,"",IF(AND(Y58=1,AA58&lt;&gt;1),1,0))</f>
        <v/>
      </c>
      <c r="AD58" s="33" t="str">
        <f aca="false">IF(AND(E58&gt;0,W58&lt;1,NOT(AND(C59=C58,W59=W58+1))),INDEX(DATAS,W58+1),"")</f>
        <v/>
      </c>
      <c r="AE58" s="33" t="str">
        <f aca="false">IF(AND(Y58=1,W58&lt;1),IF(AND(C59=C58,W59=W58+1),IF(Y59=1,"",INDEX(DATAS,W58+1)),INDEX(DATAS,W58+1)),"")</f>
        <v/>
      </c>
    </row>
    <row r="59" customFormat="false" ht="15" hidden="false" customHeight="false" outlineLevel="0" collapsed="false">
      <c r="A59" s="33" t="n">
        <v>46309</v>
      </c>
      <c r="B59" s="0" t="n">
        <v>2</v>
      </c>
      <c r="C59" s="0" t="n">
        <v>2938</v>
      </c>
      <c r="D59" s="0" t="n">
        <v>146</v>
      </c>
      <c r="E59" s="0" t="n">
        <v>6</v>
      </c>
      <c r="F59" s="27" t="s">
        <v>197</v>
      </c>
      <c r="G59" s="0" t="n">
        <v>53.6</v>
      </c>
      <c r="H59" s="0" t="n">
        <v>52</v>
      </c>
      <c r="I59" s="27" t="s">
        <v>138</v>
      </c>
      <c r="J59" s="0" t="n">
        <v>104</v>
      </c>
      <c r="K59" s="0" t="n">
        <v>69</v>
      </c>
      <c r="L59" s="0" t="n">
        <v>42</v>
      </c>
      <c r="M59" s="0" t="n">
        <v>1139.88</v>
      </c>
      <c r="N59" s="0" t="n">
        <v>36.35</v>
      </c>
      <c r="O59" s="0" t="n">
        <v>34.4</v>
      </c>
      <c r="P59" s="0" t="n">
        <v>4.35</v>
      </c>
      <c r="Q59" s="0" t="n">
        <v>3.13</v>
      </c>
      <c r="R59" s="0" t="n">
        <v>5786</v>
      </c>
      <c r="S59" s="0" t="n">
        <v>11404</v>
      </c>
      <c r="T59" s="0" t="n">
        <v>65.95</v>
      </c>
      <c r="U59" s="0" t="n">
        <v>2330</v>
      </c>
      <c r="V59" s="0" t="n">
        <v>2</v>
      </c>
      <c r="W59" s="27" t="n">
        <f aca="false">MATCH(A59,DATAS,0)</f>
        <v>1</v>
      </c>
      <c r="X59" s="27" t="n">
        <f aca="false">IF(AND(E59&gt;0,OR(AND(B59&gt;=1,B59&lt;=6),B59=10)),1,0)</f>
        <v>1</v>
      </c>
      <c r="Y59" s="27" t="n">
        <f aca="false">IF(AND(E59&gt;0,B59=10),1,0)</f>
        <v>0</v>
      </c>
      <c r="Z59" s="0" t="str">
        <f aca="false">IF(AND(C58=C59,W58=W59-1),X58,"")</f>
        <v/>
      </c>
      <c r="AA59" s="0" t="str">
        <f aca="false">IF(AND(C58=C59,W58=W59-1),Y58,"")</f>
        <v/>
      </c>
      <c r="AB59" s="0" t="str">
        <f aca="false">IF(W59=1,"",IF(AND(X59=1,Z59&lt;&gt;1),1,0))</f>
        <v/>
      </c>
      <c r="AC59" s="0" t="str">
        <f aca="false">IF(W59=1,"",IF(AND(Y59=1,AA59&lt;&gt;1),1,0))</f>
        <v/>
      </c>
      <c r="AD59" s="33" t="str">
        <f aca="false">IF(AND(E59&gt;0,W59&lt;1,NOT(AND(C60=C59,W60=W59+1))),INDEX(DATAS,W59+1),"")</f>
        <v/>
      </c>
      <c r="AE59" s="33" t="str">
        <f aca="false">IF(AND(Y59=1,W59&lt;1),IF(AND(C60=C59,W60=W59+1),IF(Y60=1,"",INDEX(DATAS,W59+1)),INDEX(DATAS,W59+1)),"")</f>
        <v/>
      </c>
    </row>
    <row r="60" customFormat="false" ht="15" hidden="false" customHeight="false" outlineLevel="0" collapsed="false">
      <c r="A60" s="33" t="n">
        <v>46309</v>
      </c>
      <c r="B60" s="0" t="n">
        <v>3</v>
      </c>
      <c r="C60" s="0" t="n">
        <v>2943</v>
      </c>
      <c r="D60" s="0" t="n">
        <v>74</v>
      </c>
      <c r="E60" s="0" t="n">
        <v>4</v>
      </c>
      <c r="F60" s="27" t="s">
        <v>198</v>
      </c>
      <c r="G60" s="0" t="n">
        <v>67.7</v>
      </c>
      <c r="H60" s="0" t="n">
        <v>66</v>
      </c>
      <c r="I60" s="27" t="s">
        <v>168</v>
      </c>
      <c r="J60" s="0" t="n">
        <v>74</v>
      </c>
      <c r="K60" s="0" t="n">
        <v>67</v>
      </c>
      <c r="M60" s="0" t="n">
        <v>118.18</v>
      </c>
      <c r="N60" s="0" t="n">
        <v>48.19</v>
      </c>
      <c r="O60" s="0" t="n">
        <v>17.77</v>
      </c>
      <c r="P60" s="0" t="n">
        <v>4.35</v>
      </c>
      <c r="Q60" s="0" t="n">
        <v>3.4</v>
      </c>
      <c r="R60" s="0" t="n">
        <v>5152</v>
      </c>
      <c r="S60" s="0" t="n">
        <v>10357</v>
      </c>
      <c r="U60" s="0" t="n">
        <v>2325</v>
      </c>
      <c r="V60" s="0" t="n">
        <v>1</v>
      </c>
      <c r="W60" s="27" t="n">
        <f aca="false">MATCH(A60,DATAS,0)</f>
        <v>1</v>
      </c>
      <c r="X60" s="27" t="n">
        <f aca="false">IF(AND(E60&gt;0,OR(AND(B60&gt;=1,B60&lt;=6),B60=10)),1,0)</f>
        <v>1</v>
      </c>
      <c r="Y60" s="27" t="n">
        <f aca="false">IF(AND(E60&gt;0,B60=10),1,0)</f>
        <v>0</v>
      </c>
      <c r="Z60" s="0" t="str">
        <f aca="false">IF(AND(C59=C60,W59=W60-1),X59,"")</f>
        <v/>
      </c>
      <c r="AA60" s="0" t="str">
        <f aca="false">IF(AND(C59=C60,W59=W60-1),Y59,"")</f>
        <v/>
      </c>
      <c r="AB60" s="0" t="str">
        <f aca="false">IF(W60=1,"",IF(AND(X60=1,Z60&lt;&gt;1),1,0))</f>
        <v/>
      </c>
      <c r="AC60" s="0" t="str">
        <f aca="false">IF(W60=1,"",IF(AND(Y60=1,AA60&lt;&gt;1),1,0))</f>
        <v/>
      </c>
      <c r="AD60" s="33" t="str">
        <f aca="false">IF(AND(E60&gt;0,W60&lt;1,NOT(AND(C61=C60,W61=W60+1))),INDEX(DATAS,W60+1),"")</f>
        <v/>
      </c>
      <c r="AE60" s="33" t="str">
        <f aca="false">IF(AND(Y60=1,W60&lt;1),IF(AND(C61=C60,W61=W60+1),IF(Y61=1,"",INDEX(DATAS,W60+1)),INDEX(DATAS,W60+1)),"")</f>
        <v/>
      </c>
    </row>
    <row r="61" customFormat="false" ht="15" hidden="false" customHeight="false" outlineLevel="0" collapsed="false">
      <c r="A61" s="33" t="n">
        <v>46309</v>
      </c>
      <c r="B61" s="0" t="n">
        <v>14</v>
      </c>
      <c r="C61" s="0" t="n">
        <v>2944</v>
      </c>
      <c r="D61" s="0" t="n">
        <v>208</v>
      </c>
      <c r="E61" s="0" t="n">
        <v>4</v>
      </c>
      <c r="F61" s="27" t="s">
        <v>199</v>
      </c>
      <c r="I61" s="27" t="s">
        <v>143</v>
      </c>
      <c r="J61" s="0" t="n">
        <v>104</v>
      </c>
      <c r="K61" s="0" t="n">
        <v>70</v>
      </c>
      <c r="L61" s="0" t="n">
        <v>259</v>
      </c>
      <c r="M61" s="0" t="n">
        <v>972.29</v>
      </c>
      <c r="N61" s="0" t="n">
        <v>10.82</v>
      </c>
      <c r="O61" s="0" t="n">
        <v>13.93</v>
      </c>
      <c r="P61" s="0" t="n">
        <v>3.8</v>
      </c>
      <c r="Q61" s="0" t="n">
        <v>3.15</v>
      </c>
      <c r="R61" s="0" t="n">
        <v>5482</v>
      </c>
      <c r="S61" s="0" t="n">
        <v>9071</v>
      </c>
      <c r="T61" s="0" t="n">
        <v>61.3</v>
      </c>
      <c r="U61" s="0" t="n">
        <v>2324</v>
      </c>
      <c r="V61" s="0" t="n">
        <v>2</v>
      </c>
      <c r="W61" s="27" t="n">
        <f aca="false">MATCH(A61,DATAS,0)</f>
        <v>1</v>
      </c>
      <c r="X61" s="27" t="n">
        <f aca="false">IF(AND(E61&gt;0,OR(AND(B61&gt;=1,B61&lt;=6),B61=10)),1,0)</f>
        <v>0</v>
      </c>
      <c r="Y61" s="27" t="n">
        <f aca="false">IF(AND(E61&gt;0,B61=10),1,0)</f>
        <v>0</v>
      </c>
      <c r="Z61" s="0" t="str">
        <f aca="false">IF(AND(C60=C61,W60=W61-1),X60,"")</f>
        <v/>
      </c>
      <c r="AA61" s="0" t="str">
        <f aca="false">IF(AND(C60=C61,W60=W61-1),Y60,"")</f>
        <v/>
      </c>
      <c r="AB61" s="0" t="str">
        <f aca="false">IF(W61=1,"",IF(AND(X61=1,Z61&lt;&gt;1),1,0))</f>
        <v/>
      </c>
      <c r="AC61" s="0" t="str">
        <f aca="false">IF(W61=1,"",IF(AND(Y61=1,AA61&lt;&gt;1),1,0))</f>
        <v/>
      </c>
      <c r="AD61" s="33" t="str">
        <f aca="false">IF(AND(E61&gt;0,W61&lt;1,NOT(AND(C62=C61,W62=W61+1))),INDEX(DATAS,W61+1),"")</f>
        <v/>
      </c>
      <c r="AE61" s="33" t="str">
        <f aca="false">IF(AND(Y61=1,W61&lt;1),IF(AND(C62=C61,W62=W61+1),IF(Y62=1,"",INDEX(DATAS,W61+1)),INDEX(DATAS,W61+1)),"")</f>
        <v/>
      </c>
    </row>
    <row r="62" customFormat="false" ht="15" hidden="false" customHeight="false" outlineLevel="0" collapsed="false">
      <c r="A62" s="33" t="n">
        <v>46309</v>
      </c>
      <c r="B62" s="0" t="n">
        <v>14</v>
      </c>
      <c r="C62" s="0" t="n">
        <v>2964</v>
      </c>
      <c r="D62" s="0" t="n">
        <v>282</v>
      </c>
      <c r="E62" s="0" t="n">
        <v>4</v>
      </c>
      <c r="F62" s="27" t="s">
        <v>200</v>
      </c>
      <c r="I62" s="27" t="s">
        <v>143</v>
      </c>
      <c r="J62" s="0" t="n">
        <v>66</v>
      </c>
      <c r="K62" s="0" t="n">
        <v>66</v>
      </c>
      <c r="L62" s="0" t="n">
        <v>273</v>
      </c>
      <c r="M62" s="0" t="n">
        <v>403.89</v>
      </c>
      <c r="N62" s="0" t="n">
        <v>10.03</v>
      </c>
      <c r="O62" s="0" t="n">
        <v>25.25</v>
      </c>
      <c r="P62" s="0" t="n">
        <v>4.77</v>
      </c>
      <c r="Q62" s="0" t="n">
        <v>3.58</v>
      </c>
      <c r="R62" s="0" t="n">
        <v>5236</v>
      </c>
      <c r="S62" s="0" t="n">
        <v>8405</v>
      </c>
      <c r="T62" s="0" t="n">
        <v>54.4</v>
      </c>
      <c r="U62" s="0" t="n">
        <v>2307</v>
      </c>
      <c r="V62" s="0" t="n">
        <v>1</v>
      </c>
      <c r="W62" s="27" t="n">
        <f aca="false">MATCH(A62,DATAS,0)</f>
        <v>1</v>
      </c>
      <c r="X62" s="27" t="n">
        <f aca="false">IF(AND(E62&gt;0,OR(AND(B62&gt;=1,B62&lt;=6),B62=10)),1,0)</f>
        <v>0</v>
      </c>
      <c r="Y62" s="27" t="n">
        <f aca="false">IF(AND(E62&gt;0,B62=10),1,0)</f>
        <v>0</v>
      </c>
      <c r="Z62" s="0" t="str">
        <f aca="false">IF(AND(C61=C62,W61=W62-1),X61,"")</f>
        <v/>
      </c>
      <c r="AA62" s="0" t="str">
        <f aca="false">IF(AND(C61=C62,W61=W62-1),Y61,"")</f>
        <v/>
      </c>
      <c r="AB62" s="0" t="str">
        <f aca="false">IF(W62=1,"",IF(AND(X62=1,Z62&lt;&gt;1),1,0))</f>
        <v/>
      </c>
      <c r="AC62" s="0" t="str">
        <f aca="false">IF(W62=1,"",IF(AND(Y62=1,AA62&lt;&gt;1),1,0))</f>
        <v/>
      </c>
      <c r="AD62" s="33" t="str">
        <f aca="false">IF(AND(E62&gt;0,W62&lt;1,NOT(AND(C63=C62,W63=W62+1))),INDEX(DATAS,W62+1),"")</f>
        <v/>
      </c>
      <c r="AE62" s="33" t="str">
        <f aca="false">IF(AND(Y62=1,W62&lt;1),IF(AND(C63=C62,W63=W62+1),IF(Y63=1,"",INDEX(DATAS,W62+1)),INDEX(DATAS,W62+1)),"")</f>
        <v/>
      </c>
    </row>
    <row r="63" customFormat="false" ht="15" hidden="false" customHeight="false" outlineLevel="0" collapsed="false">
      <c r="A63" s="33" t="n">
        <v>46309</v>
      </c>
      <c r="B63" s="0" t="n">
        <v>6</v>
      </c>
      <c r="C63" s="0" t="n">
        <v>2971</v>
      </c>
      <c r="D63" s="0" t="n">
        <v>173</v>
      </c>
      <c r="E63" s="0" t="n">
        <v>5</v>
      </c>
      <c r="F63" s="27" t="s">
        <v>201</v>
      </c>
      <c r="G63" s="0" t="n">
        <v>28.7</v>
      </c>
      <c r="H63" s="0" t="n">
        <v>28</v>
      </c>
      <c r="I63" s="27" t="s">
        <v>168</v>
      </c>
      <c r="J63" s="0" t="n">
        <v>173</v>
      </c>
      <c r="K63" s="0" t="n">
        <v>68</v>
      </c>
      <c r="M63" s="0" t="n">
        <v>1174.15</v>
      </c>
      <c r="N63" s="0" t="n">
        <v>-13.59</v>
      </c>
      <c r="O63" s="0" t="n">
        <v>16.41</v>
      </c>
      <c r="P63" s="0" t="n">
        <v>3.3</v>
      </c>
      <c r="Q63" s="0" t="n">
        <v>3.1</v>
      </c>
      <c r="R63" s="0" t="n">
        <v>3606</v>
      </c>
      <c r="S63" s="0" t="n">
        <v>6885</v>
      </c>
      <c r="T63" s="0" t="n">
        <v>46.45</v>
      </c>
      <c r="U63" s="0" t="n">
        <v>2297</v>
      </c>
      <c r="V63" s="0" t="n">
        <v>3</v>
      </c>
      <c r="W63" s="27" t="n">
        <f aca="false">MATCH(A63,DATAS,0)</f>
        <v>1</v>
      </c>
      <c r="X63" s="27" t="n">
        <f aca="false">IF(AND(E63&gt;0,OR(AND(B63&gt;=1,B63&lt;=6),B63=10)),1,0)</f>
        <v>1</v>
      </c>
      <c r="Y63" s="27" t="n">
        <f aca="false">IF(AND(E63&gt;0,B63=10),1,0)</f>
        <v>0</v>
      </c>
      <c r="Z63" s="0" t="str">
        <f aca="false">IF(AND(C62=C63,W62=W63-1),X62,"")</f>
        <v/>
      </c>
      <c r="AA63" s="0" t="str">
        <f aca="false">IF(AND(C62=C63,W62=W63-1),Y62,"")</f>
        <v/>
      </c>
      <c r="AB63" s="0" t="str">
        <f aca="false">IF(W63=1,"",IF(AND(X63=1,Z63&lt;&gt;1),1,0))</f>
        <v/>
      </c>
      <c r="AC63" s="0" t="str">
        <f aca="false">IF(W63=1,"",IF(AND(Y63=1,AA63&lt;&gt;1),1,0))</f>
        <v/>
      </c>
      <c r="AD63" s="33" t="str">
        <f aca="false">IF(AND(E63&gt;0,W63&lt;1,NOT(AND(C64=C63,W64=W63+1))),INDEX(DATAS,W63+1),"")</f>
        <v/>
      </c>
      <c r="AE63" s="33" t="str">
        <f aca="false">IF(AND(Y63=1,W63&lt;1),IF(AND(C64=C63,W64=W63+1),IF(Y64=1,"",INDEX(DATAS,W63+1)),INDEX(DATAS,W63+1)),"")</f>
        <v/>
      </c>
    </row>
    <row r="64" customFormat="false" ht="15" hidden="false" customHeight="false" outlineLevel="0" collapsed="false">
      <c r="A64" s="33" t="n">
        <v>46309</v>
      </c>
      <c r="B64" s="0" t="n">
        <v>7</v>
      </c>
      <c r="C64" s="0" t="n">
        <v>2973</v>
      </c>
      <c r="D64" s="0" t="n">
        <v>391</v>
      </c>
      <c r="E64" s="0" t="n">
        <v>4</v>
      </c>
      <c r="F64" s="27" t="s">
        <v>202</v>
      </c>
      <c r="I64" s="27" t="s">
        <v>143</v>
      </c>
      <c r="J64" s="0" t="n">
        <v>224</v>
      </c>
      <c r="K64" s="0" t="n">
        <v>63</v>
      </c>
      <c r="L64" s="0" t="n">
        <v>224</v>
      </c>
      <c r="M64" s="0" t="n">
        <v>-231.73</v>
      </c>
      <c r="N64" s="0" t="n">
        <v>30.52</v>
      </c>
      <c r="O64" s="0" t="n">
        <v>2.04</v>
      </c>
      <c r="P64" s="0" t="n">
        <v>5.7</v>
      </c>
      <c r="Q64" s="0" t="n">
        <v>5.01</v>
      </c>
      <c r="R64" s="0" t="n">
        <v>5453</v>
      </c>
      <c r="S64" s="0" t="n">
        <v>10874</v>
      </c>
      <c r="T64" s="0" t="n">
        <v>58.4</v>
      </c>
      <c r="U64" s="0" t="n">
        <v>2292</v>
      </c>
      <c r="V64" s="0" t="n">
        <v>5</v>
      </c>
      <c r="W64" s="27" t="n">
        <f aca="false">MATCH(A64,DATAS,0)</f>
        <v>1</v>
      </c>
      <c r="X64" s="27" t="n">
        <f aca="false">IF(AND(E64&gt;0,OR(AND(B64&gt;=1,B64&lt;=6),B64=10)),1,0)</f>
        <v>0</v>
      </c>
      <c r="Y64" s="27" t="n">
        <f aca="false">IF(AND(E64&gt;0,B64=10),1,0)</f>
        <v>0</v>
      </c>
      <c r="Z64" s="0" t="str">
        <f aca="false">IF(AND(C63=C64,W63=W64-1),X63,"")</f>
        <v/>
      </c>
      <c r="AA64" s="0" t="str">
        <f aca="false">IF(AND(C63=C64,W63=W64-1),Y63,"")</f>
        <v/>
      </c>
      <c r="AB64" s="0" t="str">
        <f aca="false">IF(W64=1,"",IF(AND(X64=1,Z64&lt;&gt;1),1,0))</f>
        <v/>
      </c>
      <c r="AC64" s="0" t="str">
        <f aca="false">IF(W64=1,"",IF(AND(Y64=1,AA64&lt;&gt;1),1,0))</f>
        <v/>
      </c>
      <c r="AD64" s="33" t="str">
        <f aca="false">IF(AND(E64&gt;0,W64&lt;1,NOT(AND(C65=C64,W65=W64+1))),INDEX(DATAS,W64+1),"")</f>
        <v/>
      </c>
      <c r="AE64" s="33" t="str">
        <f aca="false">IF(AND(Y64=1,W64&lt;1),IF(AND(C65=C64,W65=W64+1),IF(Y65=1,"",INDEX(DATAS,W64+1)),INDEX(DATAS,W64+1)),"")</f>
        <v/>
      </c>
    </row>
    <row r="65" customFormat="false" ht="15" hidden="false" customHeight="false" outlineLevel="0" collapsed="false">
      <c r="A65" s="33" t="n">
        <v>46309</v>
      </c>
      <c r="B65" s="0" t="n">
        <v>6</v>
      </c>
      <c r="C65" s="0" t="n">
        <v>2981</v>
      </c>
      <c r="D65" s="0" t="n">
        <v>513</v>
      </c>
      <c r="E65" s="0" t="n">
        <v>4</v>
      </c>
      <c r="F65" s="27" t="s">
        <v>203</v>
      </c>
      <c r="G65" s="0" t="n">
        <v>17.7</v>
      </c>
      <c r="H65" s="0" t="n">
        <v>19</v>
      </c>
      <c r="I65" s="27" t="s">
        <v>151</v>
      </c>
      <c r="J65" s="0" t="n">
        <v>513</v>
      </c>
      <c r="K65" s="0" t="n">
        <v>58</v>
      </c>
      <c r="M65" s="0" t="n">
        <v>-179.04</v>
      </c>
      <c r="N65" s="0" t="n">
        <v>13.85</v>
      </c>
      <c r="O65" s="0" t="n">
        <v>4.28</v>
      </c>
      <c r="P65" s="0" t="n">
        <v>6.7</v>
      </c>
      <c r="Q65" s="0" t="n">
        <v>4.81</v>
      </c>
      <c r="R65" s="0" t="n">
        <v>4960</v>
      </c>
      <c r="S65" s="0" t="n">
        <v>10525</v>
      </c>
      <c r="T65" s="0" t="n">
        <v>57.15</v>
      </c>
      <c r="U65" s="0" t="n">
        <v>2285</v>
      </c>
      <c r="V65" s="0" t="n">
        <v>6</v>
      </c>
      <c r="W65" s="27" t="n">
        <f aca="false">MATCH(A65,DATAS,0)</f>
        <v>1</v>
      </c>
      <c r="X65" s="27" t="n">
        <f aca="false">IF(AND(E65&gt;0,OR(AND(B65&gt;=1,B65&lt;=6),B65=10)),1,0)</f>
        <v>1</v>
      </c>
      <c r="Y65" s="27" t="n">
        <f aca="false">IF(AND(E65&gt;0,B65=10),1,0)</f>
        <v>0</v>
      </c>
      <c r="Z65" s="0" t="str">
        <f aca="false">IF(AND(C64=C65,W64=W65-1),X64,"")</f>
        <v/>
      </c>
      <c r="AA65" s="0" t="str">
        <f aca="false">IF(AND(C64=C65,W64=W65-1),Y64,"")</f>
        <v/>
      </c>
      <c r="AB65" s="0" t="str">
        <f aca="false">IF(W65=1,"",IF(AND(X65=1,Z65&lt;&gt;1),1,0))</f>
        <v/>
      </c>
      <c r="AC65" s="0" t="str">
        <f aca="false">IF(W65=1,"",IF(AND(Y65=1,AA65&lt;&gt;1),1,0))</f>
        <v/>
      </c>
      <c r="AD65" s="33" t="str">
        <f aca="false">IF(AND(E65&gt;0,W65&lt;1,NOT(AND(C66=C65,W66=W65+1))),INDEX(DATAS,W65+1),"")</f>
        <v/>
      </c>
      <c r="AE65" s="33" t="str">
        <f aca="false">IF(AND(Y65=1,W65&lt;1),IF(AND(C66=C65,W66=W65+1),IF(Y66=1,"",INDEX(DATAS,W65+1)),INDEX(DATAS,W65+1)),"")</f>
        <v/>
      </c>
    </row>
    <row r="66" customFormat="false" ht="15" hidden="false" customHeight="false" outlineLevel="0" collapsed="false">
      <c r="A66" s="33" t="n">
        <v>46309</v>
      </c>
      <c r="B66" s="0" t="n">
        <v>14</v>
      </c>
      <c r="C66" s="0" t="n">
        <v>2987</v>
      </c>
      <c r="D66" s="0" t="n">
        <v>497</v>
      </c>
      <c r="E66" s="0" t="n">
        <v>3</v>
      </c>
      <c r="F66" s="27" t="s">
        <v>204</v>
      </c>
      <c r="I66" s="27" t="s">
        <v>143</v>
      </c>
      <c r="J66" s="0" t="n">
        <v>274</v>
      </c>
      <c r="K66" s="0" t="n">
        <v>64</v>
      </c>
      <c r="L66" s="0" t="n">
        <v>273</v>
      </c>
      <c r="M66" s="0" t="n">
        <v>915.78</v>
      </c>
      <c r="N66" s="0" t="n">
        <v>39.09</v>
      </c>
      <c r="O66" s="0" t="n">
        <v>16.79</v>
      </c>
      <c r="P66" s="0" t="n">
        <v>4.89</v>
      </c>
      <c r="Q66" s="0" t="n">
        <v>3.95</v>
      </c>
      <c r="R66" s="0" t="n">
        <v>5343</v>
      </c>
      <c r="S66" s="0" t="n">
        <v>10708</v>
      </c>
      <c r="T66" s="0" t="n">
        <v>63.1</v>
      </c>
      <c r="U66" s="0" t="n">
        <v>2278</v>
      </c>
      <c r="V66" s="0" t="n">
        <v>5</v>
      </c>
      <c r="W66" s="27" t="n">
        <f aca="false">MATCH(A66,DATAS,0)</f>
        <v>1</v>
      </c>
      <c r="X66" s="27" t="n">
        <f aca="false">IF(AND(E66&gt;0,OR(AND(B66&gt;=1,B66&lt;=6),B66=10)),1,0)</f>
        <v>0</v>
      </c>
      <c r="Y66" s="27" t="n">
        <f aca="false">IF(AND(E66&gt;0,B66=10),1,0)</f>
        <v>0</v>
      </c>
      <c r="Z66" s="0" t="str">
        <f aca="false">IF(AND(C65=C66,W65=W66-1),X65,"")</f>
        <v/>
      </c>
      <c r="AA66" s="0" t="str">
        <f aca="false">IF(AND(C65=C66,W65=W66-1),Y65,"")</f>
        <v/>
      </c>
      <c r="AB66" s="0" t="str">
        <f aca="false">IF(W66=1,"",IF(AND(X66=1,Z66&lt;&gt;1),1,0))</f>
        <v/>
      </c>
      <c r="AC66" s="0" t="str">
        <f aca="false">IF(W66=1,"",IF(AND(Y66=1,AA66&lt;&gt;1),1,0))</f>
        <v/>
      </c>
      <c r="AD66" s="33" t="str">
        <f aca="false">IF(AND(E66&gt;0,W66&lt;1,NOT(AND(C67=C66,W67=W66+1))),INDEX(DATAS,W66+1),"")</f>
        <v/>
      </c>
      <c r="AE66" s="33" t="str">
        <f aca="false">IF(AND(Y66=1,W66&lt;1),IF(AND(C67=C66,W67=W66+1),IF(Y67=1,"",INDEX(DATAS,W66+1)),INDEX(DATAS,W66+1)),"")</f>
        <v/>
      </c>
    </row>
    <row r="67" customFormat="false" ht="15" hidden="false" customHeight="false" outlineLevel="0" collapsed="false">
      <c r="A67" s="33" t="n">
        <v>46309</v>
      </c>
      <c r="B67" s="0" t="n">
        <v>5</v>
      </c>
      <c r="C67" s="0" t="n">
        <v>2988</v>
      </c>
      <c r="D67" s="0" t="n">
        <v>250</v>
      </c>
      <c r="E67" s="0" t="n">
        <v>4</v>
      </c>
      <c r="F67" s="27" t="s">
        <v>205</v>
      </c>
      <c r="G67" s="0" t="n">
        <v>50.9</v>
      </c>
      <c r="H67" s="0" t="n">
        <v>50</v>
      </c>
      <c r="I67" s="27" t="s">
        <v>151</v>
      </c>
      <c r="J67" s="0" t="n">
        <v>250</v>
      </c>
      <c r="K67" s="0" t="n">
        <v>89</v>
      </c>
      <c r="P67" s="0" t="n">
        <v>2.86</v>
      </c>
      <c r="Q67" s="0" t="n">
        <v>2.95</v>
      </c>
      <c r="R67" s="0" t="n">
        <v>5585</v>
      </c>
      <c r="S67" s="0" t="n">
        <v>10898</v>
      </c>
      <c r="T67" s="0" t="n">
        <v>69.35</v>
      </c>
      <c r="U67" s="0" t="n">
        <v>2277</v>
      </c>
      <c r="V67" s="0" t="n">
        <v>3</v>
      </c>
      <c r="W67" s="27" t="n">
        <f aca="false">MATCH(A67,DATAS,0)</f>
        <v>1</v>
      </c>
      <c r="X67" s="27" t="n">
        <f aca="false">IF(AND(E67&gt;0,OR(AND(B67&gt;=1,B67&lt;=6),B67=10)),1,0)</f>
        <v>1</v>
      </c>
      <c r="Y67" s="27" t="n">
        <f aca="false">IF(AND(E67&gt;0,B67=10),1,0)</f>
        <v>0</v>
      </c>
      <c r="Z67" s="0" t="str">
        <f aca="false">IF(AND(C66=C67,W66=W67-1),X66,"")</f>
        <v/>
      </c>
      <c r="AA67" s="0" t="str">
        <f aca="false">IF(AND(C66=C67,W66=W67-1),Y66,"")</f>
        <v/>
      </c>
      <c r="AB67" s="0" t="str">
        <f aca="false">IF(W67=1,"",IF(AND(X67=1,Z67&lt;&gt;1),1,0))</f>
        <v/>
      </c>
      <c r="AC67" s="0" t="str">
        <f aca="false">IF(W67=1,"",IF(AND(Y67=1,AA67&lt;&gt;1),1,0))</f>
        <v/>
      </c>
      <c r="AD67" s="33" t="str">
        <f aca="false">IF(AND(E67&gt;0,W67&lt;1,NOT(AND(C68=C67,W68=W67+1))),INDEX(DATAS,W67+1),"")</f>
        <v/>
      </c>
      <c r="AE67" s="33" t="str">
        <f aca="false">IF(AND(Y67=1,W67&lt;1),IF(AND(C68=C67,W68=W67+1),IF(Y68=1,"",INDEX(DATAS,W67+1)),INDEX(DATAS,W67+1)),"")</f>
        <v/>
      </c>
    </row>
    <row r="68" customFormat="false" ht="15" hidden="false" customHeight="false" outlineLevel="0" collapsed="false">
      <c r="A68" s="33" t="n">
        <v>46309</v>
      </c>
      <c r="B68" s="0" t="n">
        <v>14</v>
      </c>
      <c r="C68" s="0" t="n">
        <v>3009</v>
      </c>
      <c r="D68" s="0" t="n">
        <v>342</v>
      </c>
      <c r="E68" s="0" t="n">
        <v>4</v>
      </c>
      <c r="F68" s="27" t="s">
        <v>206</v>
      </c>
      <c r="I68" s="27" t="s">
        <v>143</v>
      </c>
      <c r="J68" s="0" t="n">
        <v>119</v>
      </c>
      <c r="K68" s="0" t="n">
        <v>63</v>
      </c>
      <c r="L68" s="0" t="n">
        <v>266</v>
      </c>
      <c r="M68" s="0" t="n">
        <v>371.76</v>
      </c>
      <c r="N68" s="0" t="n">
        <v>11.3</v>
      </c>
      <c r="O68" s="0" t="n">
        <v>20.13</v>
      </c>
      <c r="P68" s="0" t="n">
        <v>4.88</v>
      </c>
      <c r="Q68" s="0" t="n">
        <v>3.89</v>
      </c>
      <c r="R68" s="0" t="n">
        <v>5552</v>
      </c>
      <c r="S68" s="0" t="n">
        <v>10622</v>
      </c>
      <c r="T68" s="0" t="n">
        <v>58.75</v>
      </c>
      <c r="U68" s="0" t="n">
        <v>2259</v>
      </c>
      <c r="V68" s="0" t="n">
        <v>3</v>
      </c>
      <c r="W68" s="27" t="n">
        <f aca="false">MATCH(A68,DATAS,0)</f>
        <v>1</v>
      </c>
      <c r="X68" s="27" t="n">
        <f aca="false">IF(AND(E68&gt;0,OR(AND(B68&gt;=1,B68&lt;=6),B68=10)),1,0)</f>
        <v>0</v>
      </c>
      <c r="Y68" s="27" t="n">
        <f aca="false">IF(AND(E68&gt;0,B68=10),1,0)</f>
        <v>0</v>
      </c>
      <c r="Z68" s="0" t="str">
        <f aca="false">IF(AND(C67=C68,W67=W68-1),X67,"")</f>
        <v/>
      </c>
      <c r="AA68" s="0" t="str">
        <f aca="false">IF(AND(C67=C68,W67=W68-1),Y67,"")</f>
        <v/>
      </c>
      <c r="AB68" s="0" t="str">
        <f aca="false">IF(W68=1,"",IF(AND(X68=1,Z68&lt;&gt;1),1,0))</f>
        <v/>
      </c>
      <c r="AC68" s="0" t="str">
        <f aca="false">IF(W68=1,"",IF(AND(Y68=1,AA68&lt;&gt;1),1,0))</f>
        <v/>
      </c>
      <c r="AD68" s="33" t="str">
        <f aca="false">IF(AND(E68&gt;0,W68&lt;1,NOT(AND(C69=C68,W69=W68+1))),INDEX(DATAS,W68+1),"")</f>
        <v/>
      </c>
      <c r="AE68" s="33" t="str">
        <f aca="false">IF(AND(Y68=1,W68&lt;1),IF(AND(C69=C68,W69=W68+1),IF(Y69=1,"",INDEX(DATAS,W68+1)),INDEX(DATAS,W68+1)),"")</f>
        <v/>
      </c>
    </row>
    <row r="69" customFormat="false" ht="15" hidden="false" customHeight="false" outlineLevel="0" collapsed="false">
      <c r="A69" s="33" t="n">
        <v>46309</v>
      </c>
      <c r="B69" s="0" t="n">
        <v>5</v>
      </c>
      <c r="C69" s="0" t="n">
        <v>3025</v>
      </c>
      <c r="D69" s="0" t="n">
        <v>407</v>
      </c>
      <c r="E69" s="0" t="n">
        <v>3</v>
      </c>
      <c r="F69" s="27" t="s">
        <v>207</v>
      </c>
      <c r="G69" s="0" t="n">
        <v>32.1</v>
      </c>
      <c r="H69" s="0" t="n">
        <v>27</v>
      </c>
      <c r="I69" s="27" t="s">
        <v>168</v>
      </c>
      <c r="J69" s="0" t="n">
        <v>407</v>
      </c>
      <c r="K69" s="0" t="n">
        <v>64</v>
      </c>
      <c r="M69" s="0" t="n">
        <v>1069.94</v>
      </c>
      <c r="N69" s="0" t="n">
        <v>7.2</v>
      </c>
      <c r="O69" s="0" t="n">
        <v>19.91</v>
      </c>
      <c r="P69" s="0" t="n">
        <v>3.91</v>
      </c>
      <c r="Q69" s="0" t="n">
        <v>3.45</v>
      </c>
      <c r="R69" s="0" t="n">
        <v>6310</v>
      </c>
      <c r="S69" s="0" t="n">
        <v>9797</v>
      </c>
      <c r="T69" s="0" t="n">
        <v>74.6</v>
      </c>
      <c r="U69" s="0" t="n">
        <v>2245</v>
      </c>
      <c r="V69" s="0" t="n">
        <v>7</v>
      </c>
      <c r="W69" s="27" t="n">
        <f aca="false">MATCH(A69,DATAS,0)</f>
        <v>1</v>
      </c>
      <c r="X69" s="27" t="n">
        <f aca="false">IF(AND(E69&gt;0,OR(AND(B69&gt;=1,B69&lt;=6),B69=10)),1,0)</f>
        <v>1</v>
      </c>
      <c r="Y69" s="27" t="n">
        <f aca="false">IF(AND(E69&gt;0,B69=10),1,0)</f>
        <v>0</v>
      </c>
      <c r="Z69" s="0" t="str">
        <f aca="false">IF(AND(C68=C69,W68=W69-1),X68,"")</f>
        <v/>
      </c>
      <c r="AA69" s="0" t="str">
        <f aca="false">IF(AND(C68=C69,W68=W69-1),Y68,"")</f>
        <v/>
      </c>
      <c r="AB69" s="0" t="str">
        <f aca="false">IF(W69=1,"",IF(AND(X69=1,Z69&lt;&gt;1),1,0))</f>
        <v/>
      </c>
      <c r="AC69" s="0" t="str">
        <f aca="false">IF(W69=1,"",IF(AND(Y69=1,AA69&lt;&gt;1),1,0))</f>
        <v/>
      </c>
      <c r="AD69" s="33" t="str">
        <f aca="false">IF(AND(E69&gt;0,W69&lt;1,NOT(AND(C70=C69,W70=W69+1))),INDEX(DATAS,W69+1),"")</f>
        <v/>
      </c>
      <c r="AE69" s="33" t="str">
        <f aca="false">IF(AND(Y69=1,W69&lt;1),IF(AND(C70=C69,W70=W69+1),IF(Y70=1,"",INDEX(DATAS,W69+1)),INDEX(DATAS,W69+1)),"")</f>
        <v/>
      </c>
    </row>
    <row r="70" customFormat="false" ht="15" hidden="false" customHeight="false" outlineLevel="0" collapsed="false">
      <c r="A70" s="33" t="n">
        <v>46309</v>
      </c>
      <c r="B70" s="0" t="n">
        <v>9</v>
      </c>
      <c r="C70" s="0" t="n">
        <v>3028</v>
      </c>
      <c r="D70" s="0" t="n">
        <v>389</v>
      </c>
      <c r="E70" s="0" t="n">
        <v>3</v>
      </c>
      <c r="F70" s="27" t="s">
        <v>208</v>
      </c>
      <c r="I70" s="27" t="s">
        <v>143</v>
      </c>
      <c r="J70" s="0" t="n">
        <v>166</v>
      </c>
      <c r="K70" s="0" t="n">
        <v>61</v>
      </c>
      <c r="L70" s="0" t="n">
        <v>273</v>
      </c>
      <c r="M70" s="0" t="n">
        <v>636.34</v>
      </c>
      <c r="N70" s="0" t="n">
        <v>9.91</v>
      </c>
      <c r="O70" s="0" t="n">
        <v>15.38</v>
      </c>
      <c r="P70" s="0" t="n">
        <v>4.11</v>
      </c>
      <c r="Q70" s="0" t="n">
        <v>3.56</v>
      </c>
      <c r="R70" s="0" t="n">
        <v>5884</v>
      </c>
      <c r="S70" s="0" t="n">
        <v>12367</v>
      </c>
      <c r="T70" s="0" t="n">
        <v>67.7</v>
      </c>
      <c r="U70" s="0" t="n">
        <v>2244</v>
      </c>
      <c r="V70" s="0" t="n">
        <v>4</v>
      </c>
      <c r="W70" s="27" t="n">
        <f aca="false">MATCH(A70,DATAS,0)</f>
        <v>1</v>
      </c>
      <c r="X70" s="27" t="n">
        <f aca="false">IF(AND(E70&gt;0,OR(AND(B70&gt;=1,B70&lt;=6),B70=10)),1,0)</f>
        <v>0</v>
      </c>
      <c r="Y70" s="27" t="n">
        <f aca="false">IF(AND(E70&gt;0,B70=10),1,0)</f>
        <v>0</v>
      </c>
      <c r="Z70" s="0" t="str">
        <f aca="false">IF(AND(C69=C70,W69=W70-1),X69,"")</f>
        <v/>
      </c>
      <c r="AA70" s="0" t="str">
        <f aca="false">IF(AND(C69=C70,W69=W70-1),Y69,"")</f>
        <v/>
      </c>
      <c r="AB70" s="0" t="str">
        <f aca="false">IF(W70=1,"",IF(AND(X70=1,Z70&lt;&gt;1),1,0))</f>
        <v/>
      </c>
      <c r="AC70" s="0" t="str">
        <f aca="false">IF(W70=1,"",IF(AND(Y70=1,AA70&lt;&gt;1),1,0))</f>
        <v/>
      </c>
      <c r="AD70" s="33" t="str">
        <f aca="false">IF(AND(E70&gt;0,W70&lt;1,NOT(AND(C71=C70,W71=W70+1))),INDEX(DATAS,W70+1),"")</f>
        <v/>
      </c>
      <c r="AE70" s="33" t="str">
        <f aca="false">IF(AND(Y70=1,W70&lt;1),IF(AND(C71=C70,W71=W70+1),IF(Y71=1,"",INDEX(DATAS,W70+1)),INDEX(DATAS,W70+1)),"")</f>
        <v/>
      </c>
    </row>
    <row r="71" customFormat="false" ht="15" hidden="false" customHeight="false" outlineLevel="0" collapsed="false">
      <c r="A71" s="33" t="n">
        <v>46309</v>
      </c>
      <c r="B71" s="0" t="n">
        <v>6</v>
      </c>
      <c r="C71" s="0" t="n">
        <v>3039</v>
      </c>
      <c r="D71" s="0" t="n">
        <v>134</v>
      </c>
      <c r="E71" s="0" t="n">
        <v>4</v>
      </c>
      <c r="F71" s="27" t="s">
        <v>209</v>
      </c>
      <c r="G71" s="0" t="n">
        <v>14.6</v>
      </c>
      <c r="H71" s="0" t="n">
        <v>23</v>
      </c>
      <c r="I71" s="27" t="s">
        <v>151</v>
      </c>
      <c r="J71" s="0" t="n">
        <v>134</v>
      </c>
      <c r="K71" s="0" t="n">
        <v>64</v>
      </c>
      <c r="M71" s="0" t="n">
        <v>1581.34</v>
      </c>
      <c r="N71" s="0" t="n">
        <v>24.37</v>
      </c>
      <c r="O71" s="0" t="n">
        <v>29.28</v>
      </c>
      <c r="P71" s="0" t="n">
        <v>4.07</v>
      </c>
      <c r="Q71" s="0" t="n">
        <v>2.88</v>
      </c>
      <c r="R71" s="0" t="n">
        <v>2999</v>
      </c>
      <c r="S71" s="0" t="n">
        <v>5537</v>
      </c>
      <c r="T71" s="0" t="n">
        <v>31.6</v>
      </c>
      <c r="U71" s="0" t="n">
        <v>2230</v>
      </c>
      <c r="V71" s="0" t="n">
        <v>1</v>
      </c>
      <c r="W71" s="27" t="n">
        <f aca="false">MATCH(A71,DATAS,0)</f>
        <v>1</v>
      </c>
      <c r="X71" s="27" t="n">
        <f aca="false">IF(AND(E71&gt;0,OR(AND(B71&gt;=1,B71&lt;=6),B71=10)),1,0)</f>
        <v>1</v>
      </c>
      <c r="Y71" s="27" t="n">
        <f aca="false">IF(AND(E71&gt;0,B71=10),1,0)</f>
        <v>0</v>
      </c>
      <c r="Z71" s="0" t="str">
        <f aca="false">IF(AND(C70=C71,W70=W71-1),X70,"")</f>
        <v/>
      </c>
      <c r="AA71" s="0" t="str">
        <f aca="false">IF(AND(C70=C71,W70=W71-1),Y70,"")</f>
        <v/>
      </c>
      <c r="AB71" s="0" t="str">
        <f aca="false">IF(W71=1,"",IF(AND(X71=1,Z71&lt;&gt;1),1,0))</f>
        <v/>
      </c>
      <c r="AC71" s="0" t="str">
        <f aca="false">IF(W71=1,"",IF(AND(Y71=1,AA71&lt;&gt;1),1,0))</f>
        <v/>
      </c>
      <c r="AD71" s="33" t="str">
        <f aca="false">IF(AND(E71&gt;0,W71&lt;1,NOT(AND(C72=C71,W72=W71+1))),INDEX(DATAS,W71+1),"")</f>
        <v/>
      </c>
      <c r="AE71" s="33" t="str">
        <f aca="false">IF(AND(Y71=1,W71&lt;1),IF(AND(C72=C71,W72=W71+1),IF(Y72=1,"",INDEX(DATAS,W71+1)),INDEX(DATAS,W71+1)),"")</f>
        <v/>
      </c>
    </row>
    <row r="72" customFormat="false" ht="15" hidden="false" customHeight="false" outlineLevel="0" collapsed="false">
      <c r="A72" s="33" t="n">
        <v>46309</v>
      </c>
      <c r="B72" s="0" t="n">
        <v>6</v>
      </c>
      <c r="C72" s="0" t="n">
        <v>3050</v>
      </c>
      <c r="D72" s="0" t="n">
        <v>117</v>
      </c>
      <c r="E72" s="0" t="n">
        <v>5</v>
      </c>
      <c r="F72" s="27" t="s">
        <v>210</v>
      </c>
      <c r="G72" s="0" t="n">
        <v>29.1</v>
      </c>
      <c r="H72" s="0" t="n">
        <v>31</v>
      </c>
      <c r="I72" s="27" t="s">
        <v>168</v>
      </c>
      <c r="J72" s="0" t="n">
        <v>117</v>
      </c>
      <c r="K72" s="0" t="n">
        <v>89</v>
      </c>
      <c r="M72" s="0" t="n">
        <v>1204.13</v>
      </c>
      <c r="N72" s="0" t="n">
        <v>11.34</v>
      </c>
      <c r="O72" s="0" t="n">
        <v>29.93</v>
      </c>
      <c r="P72" s="0" t="n">
        <v>4.66</v>
      </c>
      <c r="Q72" s="0" t="n">
        <v>3.33</v>
      </c>
      <c r="R72" s="0" t="n">
        <v>3984</v>
      </c>
      <c r="S72" s="0" t="n">
        <v>7878</v>
      </c>
      <c r="T72" s="0" t="n">
        <v>41.6</v>
      </c>
      <c r="U72" s="0" t="n">
        <v>2223</v>
      </c>
      <c r="V72" s="0" t="n">
        <v>1</v>
      </c>
      <c r="W72" s="27" t="n">
        <f aca="false">MATCH(A72,DATAS,0)</f>
        <v>1</v>
      </c>
      <c r="X72" s="27" t="n">
        <f aca="false">IF(AND(E72&gt;0,OR(AND(B72&gt;=1,B72&lt;=6),B72=10)),1,0)</f>
        <v>1</v>
      </c>
      <c r="Y72" s="27" t="n">
        <f aca="false">IF(AND(E72&gt;0,B72=10),1,0)</f>
        <v>0</v>
      </c>
      <c r="Z72" s="0" t="str">
        <f aca="false">IF(AND(C71=C72,W71=W72-1),X71,"")</f>
        <v/>
      </c>
      <c r="AA72" s="0" t="str">
        <f aca="false">IF(AND(C71=C72,W71=W72-1),Y71,"")</f>
        <v/>
      </c>
      <c r="AB72" s="0" t="str">
        <f aca="false">IF(W72=1,"",IF(AND(X72=1,Z72&lt;&gt;1),1,0))</f>
        <v/>
      </c>
      <c r="AC72" s="0" t="str">
        <f aca="false">IF(W72=1,"",IF(AND(Y72=1,AA72&lt;&gt;1),1,0))</f>
        <v/>
      </c>
      <c r="AD72" s="33" t="str">
        <f aca="false">IF(AND(E72&gt;0,W72&lt;1,NOT(AND(C73=C72,W73=W72+1))),INDEX(DATAS,W72+1),"")</f>
        <v/>
      </c>
      <c r="AE72" s="33" t="str">
        <f aca="false">IF(AND(Y72=1,W72&lt;1),IF(AND(C73=C72,W73=W72+1),IF(Y73=1,"",INDEX(DATAS,W72+1)),INDEX(DATAS,W72+1)),"")</f>
        <v/>
      </c>
    </row>
    <row r="73" customFormat="false" ht="15" hidden="false" customHeight="false" outlineLevel="0" collapsed="false">
      <c r="A73" s="33" t="n">
        <v>46309</v>
      </c>
      <c r="B73" s="0" t="n">
        <v>7</v>
      </c>
      <c r="C73" s="0" t="n">
        <v>3053</v>
      </c>
      <c r="D73" s="0" t="n">
        <v>290</v>
      </c>
      <c r="E73" s="0" t="n">
        <v>4</v>
      </c>
      <c r="F73" s="27" t="s">
        <v>211</v>
      </c>
      <c r="I73" s="27" t="s">
        <v>143</v>
      </c>
      <c r="J73" s="0" t="n">
        <v>67</v>
      </c>
      <c r="K73" s="0" t="n">
        <v>67</v>
      </c>
      <c r="L73" s="0" t="n">
        <v>231</v>
      </c>
      <c r="M73" s="0" t="n">
        <v>848.21</v>
      </c>
      <c r="N73" s="0" t="n">
        <v>-3.85</v>
      </c>
      <c r="O73" s="0" t="n">
        <v>15.72</v>
      </c>
      <c r="P73" s="0" t="n">
        <v>3.56</v>
      </c>
      <c r="Q73" s="0" t="n">
        <v>3.12</v>
      </c>
      <c r="R73" s="0" t="n">
        <v>5254</v>
      </c>
      <c r="S73" s="0" t="n">
        <v>10507</v>
      </c>
      <c r="T73" s="0" t="n">
        <v>54.95</v>
      </c>
      <c r="U73" s="0" t="n">
        <v>2219</v>
      </c>
      <c r="V73" s="0" t="n">
        <v>1</v>
      </c>
      <c r="W73" s="27" t="n">
        <f aca="false">MATCH(A73,DATAS,0)</f>
        <v>1</v>
      </c>
      <c r="X73" s="27" t="n">
        <f aca="false">IF(AND(E73&gt;0,OR(AND(B73&gt;=1,B73&lt;=6),B73=10)),1,0)</f>
        <v>0</v>
      </c>
      <c r="Y73" s="27" t="n">
        <f aca="false">IF(AND(E73&gt;0,B73=10),1,0)</f>
        <v>0</v>
      </c>
      <c r="Z73" s="0" t="str">
        <f aca="false">IF(AND(C72=C73,W72=W73-1),X72,"")</f>
        <v/>
      </c>
      <c r="AA73" s="0" t="str">
        <f aca="false">IF(AND(C72=C73,W72=W73-1),Y72,"")</f>
        <v/>
      </c>
      <c r="AB73" s="0" t="str">
        <f aca="false">IF(W73=1,"",IF(AND(X73=1,Z73&lt;&gt;1),1,0))</f>
        <v/>
      </c>
      <c r="AC73" s="0" t="str">
        <f aca="false">IF(W73=1,"",IF(AND(Y73=1,AA73&lt;&gt;1),1,0))</f>
        <v/>
      </c>
      <c r="AD73" s="33" t="str">
        <f aca="false">IF(AND(E73&gt;0,W73&lt;1,NOT(AND(C74=C73,W74=W73+1))),INDEX(DATAS,W73+1),"")</f>
        <v/>
      </c>
      <c r="AE73" s="33" t="str">
        <f aca="false">IF(AND(Y73=1,W73&lt;1),IF(AND(C74=C73,W74=W73+1),IF(Y74=1,"",INDEX(DATAS,W73+1)),INDEX(DATAS,W73+1)),"")</f>
        <v/>
      </c>
    </row>
    <row r="74" customFormat="false" ht="15" hidden="false" customHeight="false" outlineLevel="0" collapsed="false">
      <c r="A74" s="33" t="n">
        <v>46309</v>
      </c>
      <c r="B74" s="0" t="n">
        <v>6</v>
      </c>
      <c r="C74" s="0" t="n">
        <v>3060</v>
      </c>
      <c r="D74" s="0" t="n">
        <v>363</v>
      </c>
      <c r="E74" s="0" t="n">
        <v>4</v>
      </c>
      <c r="F74" s="27" t="s">
        <v>212</v>
      </c>
      <c r="H74" s="0" t="n">
        <v>21</v>
      </c>
      <c r="I74" s="27" t="s">
        <v>138</v>
      </c>
      <c r="J74" s="0" t="n">
        <v>230</v>
      </c>
      <c r="K74" s="0" t="n">
        <v>70</v>
      </c>
      <c r="L74" s="0" t="n">
        <v>133</v>
      </c>
      <c r="M74" s="0" t="n">
        <v>311.62</v>
      </c>
      <c r="N74" s="0" t="n">
        <v>30.1</v>
      </c>
      <c r="O74" s="0" t="n">
        <v>17.86</v>
      </c>
      <c r="P74" s="0" t="n">
        <v>3.92</v>
      </c>
      <c r="Q74" s="0" t="n">
        <v>4.02</v>
      </c>
      <c r="R74" s="0" t="n">
        <v>5889</v>
      </c>
      <c r="S74" s="0" t="n">
        <v>11688</v>
      </c>
      <c r="T74" s="0" t="n">
        <v>64.4</v>
      </c>
      <c r="U74" s="0" t="n">
        <v>2216</v>
      </c>
      <c r="V74" s="0" t="n">
        <v>5</v>
      </c>
      <c r="W74" s="27" t="n">
        <f aca="false">MATCH(A74,DATAS,0)</f>
        <v>1</v>
      </c>
      <c r="X74" s="27" t="n">
        <f aca="false">IF(AND(E74&gt;0,OR(AND(B74&gt;=1,B74&lt;=6),B74=10)),1,0)</f>
        <v>1</v>
      </c>
      <c r="Y74" s="27" t="n">
        <f aca="false">IF(AND(E74&gt;0,B74=10),1,0)</f>
        <v>0</v>
      </c>
      <c r="Z74" s="0" t="str">
        <f aca="false">IF(AND(C73=C74,W73=W74-1),X73,"")</f>
        <v/>
      </c>
      <c r="AA74" s="0" t="str">
        <f aca="false">IF(AND(C73=C74,W73=W74-1),Y73,"")</f>
        <v/>
      </c>
      <c r="AB74" s="0" t="str">
        <f aca="false">IF(W74=1,"",IF(AND(X74=1,Z74&lt;&gt;1),1,0))</f>
        <v/>
      </c>
      <c r="AC74" s="0" t="str">
        <f aca="false">IF(W74=1,"",IF(AND(Y74=1,AA74&lt;&gt;1),1,0))</f>
        <v/>
      </c>
      <c r="AD74" s="33" t="str">
        <f aca="false">IF(AND(E74&gt;0,W74&lt;1,NOT(AND(C75=C74,W75=W74+1))),INDEX(DATAS,W74+1),"")</f>
        <v/>
      </c>
      <c r="AE74" s="33" t="str">
        <f aca="false">IF(AND(Y74=1,W74&lt;1),IF(AND(C75=C74,W75=W74+1),IF(Y75=1,"",INDEX(DATAS,W74+1)),INDEX(DATAS,W74+1)),"")</f>
        <v/>
      </c>
    </row>
    <row r="75" customFormat="false" ht="15" hidden="false" customHeight="false" outlineLevel="0" collapsed="false">
      <c r="A75" s="33" t="n">
        <v>46309</v>
      </c>
      <c r="B75" s="0" t="n">
        <v>7</v>
      </c>
      <c r="C75" s="0" t="n">
        <v>3066</v>
      </c>
      <c r="D75" s="0" t="n">
        <v>347</v>
      </c>
      <c r="E75" s="0" t="n">
        <v>4</v>
      </c>
      <c r="F75" s="27" t="s">
        <v>213</v>
      </c>
      <c r="I75" s="27" t="s">
        <v>143</v>
      </c>
      <c r="J75" s="0" t="n">
        <v>124</v>
      </c>
      <c r="K75" s="0" t="n">
        <v>69</v>
      </c>
      <c r="L75" s="0" t="n">
        <v>245</v>
      </c>
      <c r="M75" s="0" t="n">
        <v>280.83</v>
      </c>
      <c r="N75" s="0" t="n">
        <v>19.84</v>
      </c>
      <c r="O75" s="0" t="n">
        <v>17.52</v>
      </c>
      <c r="P75" s="0" t="n">
        <v>4.54</v>
      </c>
      <c r="Q75" s="0" t="n">
        <v>3.47</v>
      </c>
      <c r="R75" s="0" t="n">
        <v>5683</v>
      </c>
      <c r="S75" s="0" t="n">
        <v>11535</v>
      </c>
      <c r="T75" s="0" t="n">
        <v>61</v>
      </c>
      <c r="U75" s="0" t="n">
        <v>2213</v>
      </c>
      <c r="V75" s="0" t="n">
        <v>3</v>
      </c>
      <c r="W75" s="27" t="n">
        <f aca="false">MATCH(A75,DATAS,0)</f>
        <v>1</v>
      </c>
      <c r="X75" s="27" t="n">
        <f aca="false">IF(AND(E75&gt;0,OR(AND(B75&gt;=1,B75&lt;=6),B75=10)),1,0)</f>
        <v>0</v>
      </c>
      <c r="Y75" s="27" t="n">
        <f aca="false">IF(AND(E75&gt;0,B75=10),1,0)</f>
        <v>0</v>
      </c>
      <c r="Z75" s="0" t="str">
        <f aca="false">IF(AND(C74=C75,W74=W75-1),X74,"")</f>
        <v/>
      </c>
      <c r="AA75" s="0" t="str">
        <f aca="false">IF(AND(C74=C75,W74=W75-1),Y74,"")</f>
        <v/>
      </c>
      <c r="AB75" s="0" t="str">
        <f aca="false">IF(W75=1,"",IF(AND(X75=1,Z75&lt;&gt;1),1,0))</f>
        <v/>
      </c>
      <c r="AC75" s="0" t="str">
        <f aca="false">IF(W75=1,"",IF(AND(Y75=1,AA75&lt;&gt;1),1,0))</f>
        <v/>
      </c>
      <c r="AD75" s="33" t="str">
        <f aca="false">IF(AND(E75&gt;0,W75&lt;1,NOT(AND(C76=C75,W76=W75+1))),INDEX(DATAS,W75+1),"")</f>
        <v/>
      </c>
      <c r="AE75" s="33" t="str">
        <f aca="false">IF(AND(Y75=1,W75&lt;1),IF(AND(C76=C75,W76=W75+1),IF(Y76=1,"",INDEX(DATAS,W75+1)),INDEX(DATAS,W75+1)),"")</f>
        <v/>
      </c>
    </row>
    <row r="76" customFormat="false" ht="15" hidden="false" customHeight="false" outlineLevel="0" collapsed="false">
      <c r="A76" s="33" t="n">
        <v>46309</v>
      </c>
      <c r="B76" s="0" t="n">
        <v>7</v>
      </c>
      <c r="C76" s="0" t="n">
        <v>3070</v>
      </c>
      <c r="D76" s="0" t="n">
        <v>324</v>
      </c>
      <c r="E76" s="0" t="n">
        <v>4</v>
      </c>
      <c r="F76" s="27" t="s">
        <v>214</v>
      </c>
      <c r="I76" s="27" t="s">
        <v>143</v>
      </c>
      <c r="J76" s="0" t="n">
        <v>179</v>
      </c>
      <c r="K76" s="0" t="n">
        <v>73</v>
      </c>
      <c r="L76" s="0" t="n">
        <v>223</v>
      </c>
      <c r="M76" s="0" t="n">
        <v>918.18</v>
      </c>
      <c r="N76" s="0" t="n">
        <v>-7.12</v>
      </c>
      <c r="O76" s="0" t="n">
        <v>18.82</v>
      </c>
      <c r="P76" s="0" t="n">
        <v>3.64</v>
      </c>
      <c r="Q76" s="0" t="n">
        <v>3.71</v>
      </c>
      <c r="R76" s="0" t="n">
        <v>4556</v>
      </c>
      <c r="S76" s="0" t="n">
        <v>8666</v>
      </c>
      <c r="T76" s="0" t="n">
        <v>49.9</v>
      </c>
      <c r="U76" s="0" t="n">
        <v>2211</v>
      </c>
      <c r="V76" s="0" t="n">
        <v>4</v>
      </c>
      <c r="W76" s="27" t="n">
        <f aca="false">MATCH(A76,DATAS,0)</f>
        <v>1</v>
      </c>
      <c r="X76" s="27" t="n">
        <f aca="false">IF(AND(E76&gt;0,OR(AND(B76&gt;=1,B76&lt;=6),B76=10)),1,0)</f>
        <v>0</v>
      </c>
      <c r="Y76" s="27" t="n">
        <f aca="false">IF(AND(E76&gt;0,B76=10),1,0)</f>
        <v>0</v>
      </c>
      <c r="Z76" s="0" t="str">
        <f aca="false">IF(AND(C75=C76,W75=W76-1),X75,"")</f>
        <v/>
      </c>
      <c r="AA76" s="0" t="str">
        <f aca="false">IF(AND(C75=C76,W75=W76-1),Y75,"")</f>
        <v/>
      </c>
      <c r="AB76" s="0" t="str">
        <f aca="false">IF(W76=1,"",IF(AND(X76=1,Z76&lt;&gt;1),1,0))</f>
        <v/>
      </c>
      <c r="AC76" s="0" t="str">
        <f aca="false">IF(W76=1,"",IF(AND(Y76=1,AA76&lt;&gt;1),1,0))</f>
        <v/>
      </c>
      <c r="AD76" s="33" t="str">
        <f aca="false">IF(AND(E76&gt;0,W76&lt;1,NOT(AND(C77=C76,W77=W76+1))),INDEX(DATAS,W76+1),"")</f>
        <v/>
      </c>
      <c r="AE76" s="33" t="str">
        <f aca="false">IF(AND(Y76=1,W76&lt;1),IF(AND(C77=C76,W77=W76+1),IF(Y77=1,"",INDEX(DATAS,W76+1)),INDEX(DATAS,W76+1)),"")</f>
        <v/>
      </c>
    </row>
    <row r="77" customFormat="false" ht="15" hidden="false" customHeight="false" outlineLevel="0" collapsed="false">
      <c r="A77" s="33" t="n">
        <v>46309</v>
      </c>
      <c r="B77" s="0" t="n">
        <v>5</v>
      </c>
      <c r="C77" s="0" t="n">
        <v>3072</v>
      </c>
      <c r="D77" s="0" t="n">
        <v>544</v>
      </c>
      <c r="E77" s="0" t="n">
        <v>3</v>
      </c>
      <c r="F77" s="27" t="s">
        <v>214</v>
      </c>
      <c r="G77" s="0" t="n">
        <v>33.8</v>
      </c>
      <c r="H77" s="0" t="n">
        <v>28</v>
      </c>
      <c r="I77" s="27" t="s">
        <v>168</v>
      </c>
      <c r="J77" s="0" t="n">
        <v>544</v>
      </c>
      <c r="K77" s="0" t="n">
        <v>61</v>
      </c>
      <c r="M77" s="0" t="n">
        <v>383.53</v>
      </c>
      <c r="N77" s="0" t="n">
        <v>36.94</v>
      </c>
      <c r="O77" s="0" t="n">
        <v>31.55</v>
      </c>
      <c r="P77" s="0" t="n">
        <v>4.39</v>
      </c>
      <c r="Q77" s="0" t="n">
        <v>4.01</v>
      </c>
      <c r="R77" s="0" t="n">
        <v>6458</v>
      </c>
      <c r="S77" s="0" t="n">
        <v>11988</v>
      </c>
      <c r="T77" s="0" t="n">
        <v>68.95</v>
      </c>
      <c r="U77" s="0" t="n">
        <v>2211</v>
      </c>
      <c r="V77" s="0" t="n">
        <v>10</v>
      </c>
      <c r="W77" s="27" t="n">
        <f aca="false">MATCH(A77,DATAS,0)</f>
        <v>1</v>
      </c>
      <c r="X77" s="27" t="n">
        <f aca="false">IF(AND(E77&gt;0,OR(AND(B77&gt;=1,B77&lt;=6),B77=10)),1,0)</f>
        <v>1</v>
      </c>
      <c r="Y77" s="27" t="n">
        <f aca="false">IF(AND(E77&gt;0,B77=10),1,0)</f>
        <v>0</v>
      </c>
      <c r="Z77" s="0" t="str">
        <f aca="false">IF(AND(C76=C77,W76=W77-1),X76,"")</f>
        <v/>
      </c>
      <c r="AA77" s="0" t="str">
        <f aca="false">IF(AND(C76=C77,W76=W77-1),Y76,"")</f>
        <v/>
      </c>
      <c r="AB77" s="0" t="str">
        <f aca="false">IF(W77=1,"",IF(AND(X77=1,Z77&lt;&gt;1),1,0))</f>
        <v/>
      </c>
      <c r="AC77" s="0" t="str">
        <f aca="false">IF(W77=1,"",IF(AND(Y77=1,AA77&lt;&gt;1),1,0))</f>
        <v/>
      </c>
      <c r="AD77" s="33" t="str">
        <f aca="false">IF(AND(E77&gt;0,W77&lt;1,NOT(AND(C78=C77,W78=W77+1))),INDEX(DATAS,W77+1),"")</f>
        <v/>
      </c>
      <c r="AE77" s="33" t="str">
        <f aca="false">IF(AND(Y77=1,W77&lt;1),IF(AND(C78=C77,W78=W77+1),IF(Y78=1,"",INDEX(DATAS,W77+1)),INDEX(DATAS,W77+1)),"")</f>
        <v/>
      </c>
    </row>
    <row r="78" customFormat="false" ht="15" hidden="false" customHeight="false" outlineLevel="0" collapsed="false">
      <c r="A78" s="33" t="n">
        <v>46309</v>
      </c>
      <c r="B78" s="0" t="n">
        <v>6</v>
      </c>
      <c r="C78" s="0" t="n">
        <v>3075</v>
      </c>
      <c r="D78" s="0" t="n">
        <v>401</v>
      </c>
      <c r="E78" s="0" t="n">
        <v>4</v>
      </c>
      <c r="F78" s="27" t="s">
        <v>215</v>
      </c>
      <c r="G78" s="0" t="n">
        <v>23.3</v>
      </c>
      <c r="H78" s="0" t="n">
        <v>21</v>
      </c>
      <c r="I78" s="27" t="s">
        <v>168</v>
      </c>
      <c r="J78" s="0" t="n">
        <v>401</v>
      </c>
      <c r="K78" s="0" t="n">
        <v>65</v>
      </c>
      <c r="M78" s="0" t="n">
        <v>-55.5</v>
      </c>
      <c r="N78" s="0" t="n">
        <v>13.75</v>
      </c>
      <c r="O78" s="0" t="n">
        <v>20.06</v>
      </c>
      <c r="P78" s="0" t="n">
        <v>6.32</v>
      </c>
      <c r="Q78" s="0" t="n">
        <v>4.3</v>
      </c>
      <c r="R78" s="0" t="n">
        <v>4281</v>
      </c>
      <c r="S78" s="0" t="n">
        <v>8336</v>
      </c>
      <c r="T78" s="0" t="n">
        <v>41.6</v>
      </c>
      <c r="U78" s="0" t="n">
        <v>2209</v>
      </c>
      <c r="V78" s="0" t="n">
        <v>6</v>
      </c>
      <c r="W78" s="27" t="n">
        <f aca="false">MATCH(A78,DATAS,0)</f>
        <v>1</v>
      </c>
      <c r="X78" s="27" t="n">
        <f aca="false">IF(AND(E78&gt;0,OR(AND(B78&gt;=1,B78&lt;=6),B78=10)),1,0)</f>
        <v>1</v>
      </c>
      <c r="Y78" s="27" t="n">
        <f aca="false">IF(AND(E78&gt;0,B78=10),1,0)</f>
        <v>0</v>
      </c>
      <c r="Z78" s="0" t="str">
        <f aca="false">IF(AND(C77=C78,W77=W78-1),X77,"")</f>
        <v/>
      </c>
      <c r="AA78" s="0" t="str">
        <f aca="false">IF(AND(C77=C78,W77=W78-1),Y77,"")</f>
        <v/>
      </c>
      <c r="AB78" s="0" t="str">
        <f aca="false">IF(W78=1,"",IF(AND(X78=1,Z78&lt;&gt;1),1,0))</f>
        <v/>
      </c>
      <c r="AC78" s="0" t="str">
        <f aca="false">IF(W78=1,"",IF(AND(Y78=1,AA78&lt;&gt;1),1,0))</f>
        <v/>
      </c>
      <c r="AD78" s="33" t="str">
        <f aca="false">IF(AND(E78&gt;0,W78&lt;1,NOT(AND(C79=C78,W79=W78+1))),INDEX(DATAS,W78+1),"")</f>
        <v/>
      </c>
      <c r="AE78" s="33" t="str">
        <f aca="false">IF(AND(Y78=1,W78&lt;1),IF(AND(C79=C78,W79=W78+1),IF(Y79=1,"",INDEX(DATAS,W78+1)),INDEX(DATAS,W78+1)),"")</f>
        <v/>
      </c>
    </row>
    <row r="79" customFormat="false" ht="15" hidden="false" customHeight="false" outlineLevel="0" collapsed="false">
      <c r="A79" s="33" t="n">
        <v>46309</v>
      </c>
      <c r="B79" s="0" t="n">
        <v>7</v>
      </c>
      <c r="C79" s="0" t="n">
        <v>3095</v>
      </c>
      <c r="D79" s="0" t="n">
        <v>373</v>
      </c>
      <c r="E79" s="0" t="n">
        <v>4</v>
      </c>
      <c r="F79" s="27" t="s">
        <v>216</v>
      </c>
      <c r="G79" s="0" t="n">
        <v>2.3</v>
      </c>
      <c r="H79" s="0" t="n">
        <v>6</v>
      </c>
      <c r="I79" s="27" t="s">
        <v>143</v>
      </c>
      <c r="J79" s="0" t="n">
        <v>241</v>
      </c>
      <c r="K79" s="0" t="n">
        <v>66</v>
      </c>
      <c r="L79" s="0" t="n">
        <v>133</v>
      </c>
      <c r="M79" s="0" t="n">
        <v>974.84</v>
      </c>
      <c r="N79" s="0" t="n">
        <v>25.32</v>
      </c>
      <c r="O79" s="0" t="n">
        <v>35.86</v>
      </c>
      <c r="P79" s="0" t="n">
        <v>4.2</v>
      </c>
      <c r="Q79" s="0" t="n">
        <v>4.04</v>
      </c>
      <c r="R79" s="0" t="n">
        <v>5573</v>
      </c>
      <c r="S79" s="0" t="n">
        <v>10190</v>
      </c>
      <c r="T79" s="0" t="n">
        <v>59</v>
      </c>
      <c r="U79" s="0" t="n">
        <v>2201</v>
      </c>
      <c r="V79" s="0" t="n">
        <v>6</v>
      </c>
      <c r="W79" s="27" t="n">
        <f aca="false">MATCH(A79,DATAS,0)</f>
        <v>1</v>
      </c>
      <c r="X79" s="27" t="n">
        <f aca="false">IF(AND(E79&gt;0,OR(AND(B79&gt;=1,B79&lt;=6),B79=10)),1,0)</f>
        <v>0</v>
      </c>
      <c r="Y79" s="27" t="n">
        <f aca="false">IF(AND(E79&gt;0,B79=10),1,0)</f>
        <v>0</v>
      </c>
      <c r="Z79" s="0" t="str">
        <f aca="false">IF(AND(C78=C79,W78=W79-1),X78,"")</f>
        <v/>
      </c>
      <c r="AA79" s="0" t="str">
        <f aca="false">IF(AND(C78=C79,W78=W79-1),Y78,"")</f>
        <v/>
      </c>
      <c r="AB79" s="0" t="str">
        <f aca="false">IF(W79=1,"",IF(AND(X79=1,Z79&lt;&gt;1),1,0))</f>
        <v/>
      </c>
      <c r="AC79" s="0" t="str">
        <f aca="false">IF(W79=1,"",IF(AND(Y79=1,AA79&lt;&gt;1),1,0))</f>
        <v/>
      </c>
      <c r="AD79" s="33" t="str">
        <f aca="false">IF(AND(E79&gt;0,W79&lt;1,NOT(AND(C80=C79,W80=W79+1))),INDEX(DATAS,W79+1),"")</f>
        <v/>
      </c>
      <c r="AE79" s="33" t="str">
        <f aca="false">IF(AND(Y79=1,W79&lt;1),IF(AND(C80=C79,W80=W79+1),IF(Y80=1,"",INDEX(DATAS,W79+1)),INDEX(DATAS,W79+1)),"")</f>
        <v/>
      </c>
    </row>
    <row r="80" customFormat="false" ht="15" hidden="false" customHeight="false" outlineLevel="0" collapsed="false">
      <c r="A80" s="33" t="n">
        <v>46309</v>
      </c>
      <c r="B80" s="0" t="n">
        <v>5</v>
      </c>
      <c r="C80" s="0" t="n">
        <v>3105</v>
      </c>
      <c r="D80" s="0" t="n">
        <v>420</v>
      </c>
      <c r="E80" s="0" t="n">
        <v>4</v>
      </c>
      <c r="F80" s="27" t="s">
        <v>217</v>
      </c>
      <c r="G80" s="0" t="n">
        <v>40.2</v>
      </c>
      <c r="H80" s="0" t="n">
        <v>38</v>
      </c>
      <c r="I80" s="27" t="s">
        <v>138</v>
      </c>
      <c r="J80" s="0" t="n">
        <v>382</v>
      </c>
      <c r="K80" s="0" t="n">
        <v>63</v>
      </c>
      <c r="L80" s="0" t="n">
        <v>38</v>
      </c>
      <c r="M80" s="0" t="n">
        <v>76.7</v>
      </c>
      <c r="N80" s="0" t="n">
        <v>35.33</v>
      </c>
      <c r="O80" s="0" t="n">
        <v>13.14</v>
      </c>
      <c r="P80" s="0" t="n">
        <v>4.46</v>
      </c>
      <c r="Q80" s="0" t="n">
        <v>3.62</v>
      </c>
      <c r="R80" s="0" t="n">
        <v>6909</v>
      </c>
      <c r="S80" s="0" t="n">
        <v>13252</v>
      </c>
      <c r="T80" s="0" t="n">
        <v>74</v>
      </c>
      <c r="U80" s="0" t="n">
        <v>2192</v>
      </c>
      <c r="V80" s="0" t="n">
        <v>11</v>
      </c>
      <c r="W80" s="27" t="n">
        <f aca="false">MATCH(A80,DATAS,0)</f>
        <v>1</v>
      </c>
      <c r="X80" s="27" t="n">
        <f aca="false">IF(AND(E80&gt;0,OR(AND(B80&gt;=1,B80&lt;=6),B80=10)),1,0)</f>
        <v>1</v>
      </c>
      <c r="Y80" s="27" t="n">
        <f aca="false">IF(AND(E80&gt;0,B80=10),1,0)</f>
        <v>0</v>
      </c>
      <c r="Z80" s="0" t="str">
        <f aca="false">IF(AND(C79=C80,W79=W80-1),X79,"")</f>
        <v/>
      </c>
      <c r="AA80" s="0" t="str">
        <f aca="false">IF(AND(C79=C80,W79=W80-1),Y79,"")</f>
        <v/>
      </c>
      <c r="AB80" s="0" t="str">
        <f aca="false">IF(W80=1,"",IF(AND(X80=1,Z80&lt;&gt;1),1,0))</f>
        <v/>
      </c>
      <c r="AC80" s="0" t="str">
        <f aca="false">IF(W80=1,"",IF(AND(Y80=1,AA80&lt;&gt;1),1,0))</f>
        <v/>
      </c>
      <c r="AD80" s="33" t="str">
        <f aca="false">IF(AND(E80&gt;0,W80&lt;1,NOT(AND(C81=C80,W81=W80+1))),INDEX(DATAS,W80+1),"")</f>
        <v/>
      </c>
      <c r="AE80" s="33" t="str">
        <f aca="false">IF(AND(Y80=1,W80&lt;1),IF(AND(C81=C80,W81=W80+1),IF(Y81=1,"",INDEX(DATAS,W80+1)),INDEX(DATAS,W80+1)),"")</f>
        <v/>
      </c>
    </row>
    <row r="81" customFormat="false" ht="15" hidden="false" customHeight="false" outlineLevel="0" collapsed="false">
      <c r="A81" s="33" t="n">
        <v>46309</v>
      </c>
      <c r="B81" s="0" t="n">
        <v>5</v>
      </c>
      <c r="C81" s="0" t="n">
        <v>3110</v>
      </c>
      <c r="D81" s="0" t="n">
        <v>77</v>
      </c>
      <c r="E81" s="0" t="n">
        <v>5</v>
      </c>
      <c r="F81" s="27" t="s">
        <v>218</v>
      </c>
      <c r="G81" s="0" t="n">
        <v>38.9</v>
      </c>
      <c r="H81" s="0" t="n">
        <v>37</v>
      </c>
      <c r="I81" s="27" t="s">
        <v>176</v>
      </c>
      <c r="J81" s="0" t="n">
        <v>77</v>
      </c>
      <c r="M81" s="0" t="n">
        <v>1088.74</v>
      </c>
      <c r="N81" s="0" t="n">
        <v>17.42</v>
      </c>
      <c r="O81" s="0" t="n">
        <v>29</v>
      </c>
      <c r="P81" s="0" t="n">
        <v>3.12</v>
      </c>
      <c r="Q81" s="0" t="n">
        <v>2.81</v>
      </c>
      <c r="R81" s="0" t="n">
        <v>3893</v>
      </c>
      <c r="S81" s="0" t="n">
        <v>7826</v>
      </c>
      <c r="U81" s="0" t="n">
        <v>2190</v>
      </c>
      <c r="V81" s="0" t="n">
        <v>0</v>
      </c>
      <c r="W81" s="27" t="n">
        <f aca="false">MATCH(A81,DATAS,0)</f>
        <v>1</v>
      </c>
      <c r="X81" s="27" t="n">
        <f aca="false">IF(AND(E81&gt;0,OR(AND(B81&gt;=1,B81&lt;=6),B81=10)),1,0)</f>
        <v>1</v>
      </c>
      <c r="Y81" s="27" t="n">
        <f aca="false">IF(AND(E81&gt;0,B81=10),1,0)</f>
        <v>0</v>
      </c>
      <c r="Z81" s="0" t="str">
        <f aca="false">IF(AND(C80=C81,W80=W81-1),X80,"")</f>
        <v/>
      </c>
      <c r="AA81" s="0" t="str">
        <f aca="false">IF(AND(C80=C81,W80=W81-1),Y80,"")</f>
        <v/>
      </c>
      <c r="AB81" s="0" t="str">
        <f aca="false">IF(W81=1,"",IF(AND(X81=1,Z81&lt;&gt;1),1,0))</f>
        <v/>
      </c>
      <c r="AC81" s="0" t="str">
        <f aca="false">IF(W81=1,"",IF(AND(Y81=1,AA81&lt;&gt;1),1,0))</f>
        <v/>
      </c>
      <c r="AD81" s="33" t="str">
        <f aca="false">IF(AND(E81&gt;0,W81&lt;1,NOT(AND(C82=C81,W82=W81+1))),INDEX(DATAS,W81+1),"")</f>
        <v/>
      </c>
      <c r="AE81" s="33" t="str">
        <f aca="false">IF(AND(Y81=1,W81&lt;1),IF(AND(C82=C81,W82=W81+1),IF(Y82=1,"",INDEX(DATAS,W81+1)),INDEX(DATAS,W81+1)),"")</f>
        <v/>
      </c>
    </row>
    <row r="82" customFormat="false" ht="15" hidden="false" customHeight="false" outlineLevel="0" collapsed="false">
      <c r="A82" s="33" t="n">
        <v>46309</v>
      </c>
      <c r="B82" s="0" t="n">
        <v>6</v>
      </c>
      <c r="C82" s="0" t="n">
        <v>3112</v>
      </c>
      <c r="D82" s="0" t="n">
        <v>248</v>
      </c>
      <c r="E82" s="0" t="n">
        <v>4</v>
      </c>
      <c r="F82" s="27" t="s">
        <v>219</v>
      </c>
      <c r="H82" s="0" t="n">
        <v>17</v>
      </c>
      <c r="I82" s="27" t="s">
        <v>151</v>
      </c>
      <c r="J82" s="0" t="n">
        <v>248</v>
      </c>
      <c r="K82" s="0" t="n">
        <v>80</v>
      </c>
      <c r="M82" s="0" t="n">
        <v>908.29</v>
      </c>
      <c r="N82" s="0" t="n">
        <v>13.74</v>
      </c>
      <c r="O82" s="0" t="n">
        <v>24.95</v>
      </c>
      <c r="P82" s="0" t="n">
        <v>4.46</v>
      </c>
      <c r="Q82" s="0" t="n">
        <v>3.54</v>
      </c>
      <c r="R82" s="0" t="n">
        <v>5404</v>
      </c>
      <c r="S82" s="0" t="n">
        <v>10035</v>
      </c>
      <c r="T82" s="0" t="n">
        <v>61.4</v>
      </c>
      <c r="U82" s="0" t="n">
        <v>2188</v>
      </c>
      <c r="V82" s="0" t="n">
        <v>2</v>
      </c>
      <c r="W82" s="27" t="n">
        <f aca="false">MATCH(A82,DATAS,0)</f>
        <v>1</v>
      </c>
      <c r="X82" s="27" t="n">
        <f aca="false">IF(AND(E82&gt;0,OR(AND(B82&gt;=1,B82&lt;=6),B82=10)),1,0)</f>
        <v>1</v>
      </c>
      <c r="Y82" s="27" t="n">
        <f aca="false">IF(AND(E82&gt;0,B82=10),1,0)</f>
        <v>0</v>
      </c>
      <c r="Z82" s="0" t="str">
        <f aca="false">IF(AND(C81=C82,W81=W82-1),X81,"")</f>
        <v/>
      </c>
      <c r="AA82" s="0" t="str">
        <f aca="false">IF(AND(C81=C82,W81=W82-1),Y81,"")</f>
        <v/>
      </c>
      <c r="AB82" s="0" t="str">
        <f aca="false">IF(W82=1,"",IF(AND(X82=1,Z82&lt;&gt;1),1,0))</f>
        <v/>
      </c>
      <c r="AC82" s="0" t="str">
        <f aca="false">IF(W82=1,"",IF(AND(Y82=1,AA82&lt;&gt;1),1,0))</f>
        <v/>
      </c>
      <c r="AD82" s="33" t="str">
        <f aca="false">IF(AND(E82&gt;0,W82&lt;1,NOT(AND(C83=C82,W83=W82+1))),INDEX(DATAS,W82+1),"")</f>
        <v/>
      </c>
      <c r="AE82" s="33" t="str">
        <f aca="false">IF(AND(Y82=1,W82&lt;1),IF(AND(C83=C82,W83=W82+1),IF(Y83=1,"",INDEX(DATAS,W82+1)),INDEX(DATAS,W82+1)),"")</f>
        <v/>
      </c>
    </row>
    <row r="83" customFormat="false" ht="15" hidden="false" customHeight="false" outlineLevel="0" collapsed="false">
      <c r="A83" s="33" t="n">
        <v>46309</v>
      </c>
      <c r="B83" s="0" t="n">
        <v>5</v>
      </c>
      <c r="C83" s="0" t="n">
        <v>3122</v>
      </c>
      <c r="D83" s="0" t="n">
        <v>284</v>
      </c>
      <c r="E83" s="0" t="n">
        <v>4</v>
      </c>
      <c r="F83" s="27" t="s">
        <v>152</v>
      </c>
      <c r="G83" s="0" t="n">
        <v>35</v>
      </c>
      <c r="H83" s="0" t="n">
        <v>38</v>
      </c>
      <c r="I83" s="27" t="s">
        <v>138</v>
      </c>
      <c r="J83" s="0" t="n">
        <v>214</v>
      </c>
      <c r="K83" s="0" t="n">
        <v>67</v>
      </c>
      <c r="L83" s="0" t="n">
        <v>70</v>
      </c>
      <c r="M83" s="0" t="n">
        <v>219.23</v>
      </c>
      <c r="N83" s="0" t="n">
        <v>64.76</v>
      </c>
      <c r="O83" s="0" t="n">
        <v>24.75</v>
      </c>
      <c r="P83" s="0" t="n">
        <v>6.13</v>
      </c>
      <c r="Q83" s="0" t="n">
        <v>4.16</v>
      </c>
      <c r="R83" s="0" t="n">
        <v>5551</v>
      </c>
      <c r="S83" s="0" t="n">
        <v>11277</v>
      </c>
      <c r="T83" s="0" t="n">
        <v>61.9</v>
      </c>
      <c r="U83" s="0" t="n">
        <v>2183</v>
      </c>
      <c r="V83" s="0" t="n">
        <v>5</v>
      </c>
      <c r="W83" s="27" t="n">
        <f aca="false">MATCH(A83,DATAS,0)</f>
        <v>1</v>
      </c>
      <c r="X83" s="27" t="n">
        <f aca="false">IF(AND(E83&gt;0,OR(AND(B83&gt;=1,B83&lt;=6),B83=10)),1,0)</f>
        <v>1</v>
      </c>
      <c r="Y83" s="27" t="n">
        <f aca="false">IF(AND(E83&gt;0,B83=10),1,0)</f>
        <v>0</v>
      </c>
      <c r="Z83" s="0" t="str">
        <f aca="false">IF(AND(C82=C83,W82=W83-1),X82,"")</f>
        <v/>
      </c>
      <c r="AA83" s="0" t="str">
        <f aca="false">IF(AND(C82=C83,W82=W83-1),Y82,"")</f>
        <v/>
      </c>
      <c r="AB83" s="0" t="str">
        <f aca="false">IF(W83=1,"",IF(AND(X83=1,Z83&lt;&gt;1),1,0))</f>
        <v/>
      </c>
      <c r="AC83" s="0" t="str">
        <f aca="false">IF(W83=1,"",IF(AND(Y83=1,AA83&lt;&gt;1),1,0))</f>
        <v/>
      </c>
      <c r="AD83" s="33" t="str">
        <f aca="false">IF(AND(E83&gt;0,W83&lt;1,NOT(AND(C84=C83,W84=W83+1))),INDEX(DATAS,W83+1),"")</f>
        <v/>
      </c>
      <c r="AE83" s="33" t="str">
        <f aca="false">IF(AND(Y83=1,W83&lt;1),IF(AND(C84=C83,W84=W83+1),IF(Y84=1,"",INDEX(DATAS,W83+1)),INDEX(DATAS,W83+1)),"")</f>
        <v/>
      </c>
    </row>
    <row r="84" customFormat="false" ht="15" hidden="false" customHeight="false" outlineLevel="0" collapsed="false">
      <c r="A84" s="33" t="n">
        <v>46309</v>
      </c>
      <c r="B84" s="0" t="n">
        <v>7</v>
      </c>
      <c r="C84" s="0" t="n">
        <v>3123</v>
      </c>
      <c r="D84" s="0" t="n">
        <v>329</v>
      </c>
      <c r="E84" s="0" t="n">
        <v>4</v>
      </c>
      <c r="F84" s="27" t="s">
        <v>220</v>
      </c>
      <c r="I84" s="27" t="s">
        <v>143</v>
      </c>
      <c r="J84" s="0" t="n">
        <v>107</v>
      </c>
      <c r="K84" s="0" t="n">
        <v>71</v>
      </c>
      <c r="L84" s="0" t="n">
        <v>272</v>
      </c>
      <c r="M84" s="0" t="n">
        <v>612.78</v>
      </c>
      <c r="N84" s="0" t="n">
        <v>11.3</v>
      </c>
      <c r="O84" s="0" t="n">
        <v>27.72</v>
      </c>
      <c r="P84" s="0" t="n">
        <v>3.88</v>
      </c>
      <c r="Q84" s="0" t="n">
        <v>3.27</v>
      </c>
      <c r="R84" s="0" t="n">
        <v>4574</v>
      </c>
      <c r="S84" s="0" t="n">
        <v>8073</v>
      </c>
      <c r="T84" s="0" t="n">
        <v>62.7</v>
      </c>
      <c r="U84" s="0" t="n">
        <v>2182</v>
      </c>
      <c r="V84" s="0" t="n">
        <v>3</v>
      </c>
      <c r="W84" s="27" t="n">
        <f aca="false">MATCH(A84,DATAS,0)</f>
        <v>1</v>
      </c>
      <c r="X84" s="27" t="n">
        <f aca="false">IF(AND(E84&gt;0,OR(AND(B84&gt;=1,B84&lt;=6),B84=10)),1,0)</f>
        <v>0</v>
      </c>
      <c r="Y84" s="27" t="n">
        <f aca="false">IF(AND(E84&gt;0,B84=10),1,0)</f>
        <v>0</v>
      </c>
      <c r="Z84" s="0" t="str">
        <f aca="false">IF(AND(C83=C84,W83=W84-1),X83,"")</f>
        <v/>
      </c>
      <c r="AA84" s="0" t="str">
        <f aca="false">IF(AND(C83=C84,W83=W84-1),Y83,"")</f>
        <v/>
      </c>
      <c r="AB84" s="0" t="str">
        <f aca="false">IF(W84=1,"",IF(AND(X84=1,Z84&lt;&gt;1),1,0))</f>
        <v/>
      </c>
      <c r="AC84" s="0" t="str">
        <f aca="false">IF(W84=1,"",IF(AND(Y84=1,AA84&lt;&gt;1),1,0))</f>
        <v/>
      </c>
      <c r="AD84" s="33" t="str">
        <f aca="false">IF(AND(E84&gt;0,W84&lt;1,NOT(AND(C85=C84,W85=W84+1))),INDEX(DATAS,W84+1),"")</f>
        <v/>
      </c>
      <c r="AE84" s="33" t="str">
        <f aca="false">IF(AND(Y84=1,W84&lt;1),IF(AND(C85=C84,W85=W84+1),IF(Y85=1,"",INDEX(DATAS,W84+1)),INDEX(DATAS,W84+1)),"")</f>
        <v/>
      </c>
    </row>
    <row r="85" customFormat="false" ht="15" hidden="false" customHeight="false" outlineLevel="0" collapsed="false">
      <c r="A85" s="33" t="n">
        <v>46309</v>
      </c>
      <c r="B85" s="0" t="n">
        <v>6</v>
      </c>
      <c r="C85" s="0" t="n">
        <v>3149</v>
      </c>
      <c r="D85" s="0" t="n">
        <v>156</v>
      </c>
      <c r="E85" s="0" t="n">
        <v>4</v>
      </c>
      <c r="F85" s="27" t="s">
        <v>221</v>
      </c>
      <c r="G85" s="0" t="n">
        <v>23.9</v>
      </c>
      <c r="H85" s="0" t="n">
        <v>25</v>
      </c>
      <c r="I85" s="27" t="s">
        <v>151</v>
      </c>
      <c r="J85" s="0" t="n">
        <v>156</v>
      </c>
      <c r="K85" s="0" t="n">
        <v>114</v>
      </c>
      <c r="M85" s="0" t="n">
        <v>-62.15</v>
      </c>
      <c r="N85" s="0" t="n">
        <v>9.91</v>
      </c>
      <c r="O85" s="0" t="n">
        <v>-3.32</v>
      </c>
      <c r="P85" s="0" t="n">
        <v>4.34</v>
      </c>
      <c r="Q85" s="0" t="n">
        <v>3.37</v>
      </c>
      <c r="R85" s="0" t="n">
        <v>2534</v>
      </c>
      <c r="S85" s="0" t="n">
        <v>5129</v>
      </c>
      <c r="T85" s="0" t="n">
        <v>25.75</v>
      </c>
      <c r="U85" s="0" t="n">
        <v>2162</v>
      </c>
      <c r="V85" s="0" t="n">
        <v>1</v>
      </c>
      <c r="W85" s="27" t="n">
        <f aca="false">MATCH(A85,DATAS,0)</f>
        <v>1</v>
      </c>
      <c r="X85" s="27" t="n">
        <f aca="false">IF(AND(E85&gt;0,OR(AND(B85&gt;=1,B85&lt;=6),B85=10)),1,0)</f>
        <v>1</v>
      </c>
      <c r="Y85" s="27" t="n">
        <f aca="false">IF(AND(E85&gt;0,B85=10),1,0)</f>
        <v>0</v>
      </c>
      <c r="Z85" s="0" t="str">
        <f aca="false">IF(AND(C84=C85,W84=W85-1),X84,"")</f>
        <v/>
      </c>
      <c r="AA85" s="0" t="str">
        <f aca="false">IF(AND(C84=C85,W84=W85-1),Y84,"")</f>
        <v/>
      </c>
      <c r="AB85" s="0" t="str">
        <f aca="false">IF(W85=1,"",IF(AND(X85=1,Z85&lt;&gt;1),1,0))</f>
        <v/>
      </c>
      <c r="AC85" s="0" t="str">
        <f aca="false">IF(W85=1,"",IF(AND(Y85=1,AA85&lt;&gt;1),1,0))</f>
        <v/>
      </c>
      <c r="AD85" s="33" t="str">
        <f aca="false">IF(AND(E85&gt;0,W85&lt;1,NOT(AND(C86=C85,W86=W85+1))),INDEX(DATAS,W85+1),"")</f>
        <v/>
      </c>
      <c r="AE85" s="33" t="str">
        <f aca="false">IF(AND(Y85=1,W85&lt;1),IF(AND(C86=C85,W86=W85+1),IF(Y86=1,"",INDEX(DATAS,W85+1)),INDEX(DATAS,W85+1)),"")</f>
        <v/>
      </c>
    </row>
    <row r="86" customFormat="false" ht="15" hidden="false" customHeight="false" outlineLevel="0" collapsed="false">
      <c r="A86" s="33" t="n">
        <v>46309</v>
      </c>
      <c r="B86" s="0" t="n">
        <v>7</v>
      </c>
      <c r="C86" s="0" t="n">
        <v>3150</v>
      </c>
      <c r="D86" s="0" t="n">
        <v>614</v>
      </c>
      <c r="E86" s="0" t="n">
        <v>3</v>
      </c>
      <c r="F86" s="27" t="s">
        <v>221</v>
      </c>
      <c r="I86" s="27" t="s">
        <v>143</v>
      </c>
      <c r="J86" s="0" t="n">
        <v>468</v>
      </c>
      <c r="K86" s="0" t="n">
        <v>70</v>
      </c>
      <c r="L86" s="0" t="n">
        <v>231</v>
      </c>
      <c r="M86" s="0" t="n">
        <v>861.58</v>
      </c>
      <c r="N86" s="0" t="n">
        <v>44.57</v>
      </c>
      <c r="O86" s="0" t="n">
        <v>27.26</v>
      </c>
      <c r="P86" s="0" t="n">
        <v>5.94</v>
      </c>
      <c r="Q86" s="0" t="n">
        <v>4.63</v>
      </c>
      <c r="R86" s="0" t="n">
        <v>7395</v>
      </c>
      <c r="S86" s="0" t="n">
        <v>14670</v>
      </c>
      <c r="T86" s="0" t="n">
        <v>76.7</v>
      </c>
      <c r="U86" s="0" t="n">
        <v>2162</v>
      </c>
      <c r="V86" s="0" t="n">
        <v>12</v>
      </c>
      <c r="W86" s="27" t="n">
        <f aca="false">MATCH(A86,DATAS,0)</f>
        <v>1</v>
      </c>
      <c r="X86" s="27" t="n">
        <f aca="false">IF(AND(E86&gt;0,OR(AND(B86&gt;=1,B86&lt;=6),B86=10)),1,0)</f>
        <v>0</v>
      </c>
      <c r="Y86" s="27" t="n">
        <f aca="false">IF(AND(E86&gt;0,B86=10),1,0)</f>
        <v>0</v>
      </c>
      <c r="Z86" s="0" t="str">
        <f aca="false">IF(AND(C85=C86,W85=W86-1),X85,"")</f>
        <v/>
      </c>
      <c r="AA86" s="0" t="str">
        <f aca="false">IF(AND(C85=C86,W85=W86-1),Y85,"")</f>
        <v/>
      </c>
      <c r="AB86" s="0" t="str">
        <f aca="false">IF(W86=1,"",IF(AND(X86=1,Z86&lt;&gt;1),1,0))</f>
        <v/>
      </c>
      <c r="AC86" s="0" t="str">
        <f aca="false">IF(W86=1,"",IF(AND(Y86=1,AA86&lt;&gt;1),1,0))</f>
        <v/>
      </c>
      <c r="AD86" s="33" t="str">
        <f aca="false">IF(AND(E86&gt;0,W86&lt;1,NOT(AND(C87=C86,W87=W86+1))),INDEX(DATAS,W86+1),"")</f>
        <v/>
      </c>
      <c r="AE86" s="33" t="str">
        <f aca="false">IF(AND(Y86=1,W86&lt;1),IF(AND(C87=C86,W87=W86+1),IF(Y87=1,"",INDEX(DATAS,W86+1)),INDEX(DATAS,W86+1)),"")</f>
        <v/>
      </c>
    </row>
    <row r="87" customFormat="false" ht="15" hidden="false" customHeight="false" outlineLevel="0" collapsed="false">
      <c r="A87" s="33" t="n">
        <v>46309</v>
      </c>
      <c r="B87" s="0" t="n">
        <v>5</v>
      </c>
      <c r="C87" s="0" t="n">
        <v>3153</v>
      </c>
      <c r="D87" s="0" t="n">
        <v>223</v>
      </c>
      <c r="E87" s="0" t="n">
        <v>3</v>
      </c>
      <c r="F87" s="27" t="s">
        <v>222</v>
      </c>
      <c r="G87" s="0" t="n">
        <v>37.7</v>
      </c>
      <c r="H87" s="0" t="n">
        <v>35</v>
      </c>
      <c r="I87" s="27" t="s">
        <v>168</v>
      </c>
      <c r="J87" s="0" t="n">
        <v>223</v>
      </c>
      <c r="K87" s="0" t="n">
        <v>69</v>
      </c>
      <c r="M87" s="0" t="n">
        <v>480.59</v>
      </c>
      <c r="N87" s="0" t="n">
        <v>29.73</v>
      </c>
      <c r="O87" s="0" t="n">
        <v>31.99</v>
      </c>
      <c r="P87" s="0" t="n">
        <v>5.62</v>
      </c>
      <c r="Q87" s="0" t="n">
        <v>4.33</v>
      </c>
      <c r="R87" s="0" t="n">
        <v>4161</v>
      </c>
      <c r="S87" s="0" t="n">
        <v>9120</v>
      </c>
      <c r="T87" s="0" t="n">
        <v>48.2</v>
      </c>
      <c r="U87" s="0" t="n">
        <v>2161</v>
      </c>
      <c r="V87" s="0" t="n">
        <v>4</v>
      </c>
      <c r="W87" s="27" t="n">
        <f aca="false">MATCH(A87,DATAS,0)</f>
        <v>1</v>
      </c>
      <c r="X87" s="27" t="n">
        <f aca="false">IF(AND(E87&gt;0,OR(AND(B87&gt;=1,B87&lt;=6),B87=10)),1,0)</f>
        <v>1</v>
      </c>
      <c r="Y87" s="27" t="n">
        <f aca="false">IF(AND(E87&gt;0,B87=10),1,0)</f>
        <v>0</v>
      </c>
      <c r="Z87" s="0" t="str">
        <f aca="false">IF(AND(C86=C87,W86=W87-1),X86,"")</f>
        <v/>
      </c>
      <c r="AA87" s="0" t="str">
        <f aca="false">IF(AND(C86=C87,W86=W87-1),Y86,"")</f>
        <v/>
      </c>
      <c r="AB87" s="0" t="str">
        <f aca="false">IF(W87=1,"",IF(AND(X87=1,Z87&lt;&gt;1),1,0))</f>
        <v/>
      </c>
      <c r="AC87" s="0" t="str">
        <f aca="false">IF(W87=1,"",IF(AND(Y87=1,AA87&lt;&gt;1),1,0))</f>
        <v/>
      </c>
      <c r="AD87" s="33" t="str">
        <f aca="false">IF(AND(E87&gt;0,W87&lt;1,NOT(AND(C88=C87,W88=W87+1))),INDEX(DATAS,W87+1),"")</f>
        <v/>
      </c>
      <c r="AE87" s="33" t="str">
        <f aca="false">IF(AND(Y87=1,W87&lt;1),IF(AND(C88=C87,W88=W87+1),IF(Y88=1,"",INDEX(DATAS,W87+1)),INDEX(DATAS,W87+1)),"")</f>
        <v/>
      </c>
    </row>
    <row r="88" customFormat="false" ht="15" hidden="false" customHeight="false" outlineLevel="0" collapsed="false">
      <c r="A88" s="33" t="n">
        <v>46309</v>
      </c>
      <c r="B88" s="0" t="n">
        <v>6</v>
      </c>
      <c r="C88" s="0" t="n">
        <v>3159</v>
      </c>
      <c r="D88" s="0" t="n">
        <v>503</v>
      </c>
      <c r="E88" s="0" t="n">
        <v>3</v>
      </c>
      <c r="F88" s="27" t="s">
        <v>223</v>
      </c>
      <c r="H88" s="0" t="n">
        <v>19</v>
      </c>
      <c r="I88" s="27" t="s">
        <v>138</v>
      </c>
      <c r="J88" s="0" t="n">
        <v>454</v>
      </c>
      <c r="K88" s="0" t="n">
        <v>62</v>
      </c>
      <c r="L88" s="0" t="n">
        <v>49</v>
      </c>
      <c r="M88" s="0" t="n">
        <v>727.77</v>
      </c>
      <c r="N88" s="0" t="n">
        <v>8.25</v>
      </c>
      <c r="O88" s="0" t="n">
        <v>18.82</v>
      </c>
      <c r="P88" s="0" t="n">
        <v>3.94</v>
      </c>
      <c r="Q88" s="0" t="n">
        <v>3.94</v>
      </c>
      <c r="R88" s="0" t="n">
        <v>6791</v>
      </c>
      <c r="S88" s="0" t="n">
        <v>13465</v>
      </c>
      <c r="T88" s="0" t="n">
        <v>69.75</v>
      </c>
      <c r="U88" s="0" t="n">
        <v>2159</v>
      </c>
      <c r="V88" s="0" t="n">
        <v>8</v>
      </c>
      <c r="W88" s="27" t="n">
        <f aca="false">MATCH(A88,DATAS,0)</f>
        <v>1</v>
      </c>
      <c r="X88" s="27" t="n">
        <f aca="false">IF(AND(E88&gt;0,OR(AND(B88&gt;=1,B88&lt;=6),B88=10)),1,0)</f>
        <v>1</v>
      </c>
      <c r="Y88" s="27" t="n">
        <f aca="false">IF(AND(E88&gt;0,B88=10),1,0)</f>
        <v>0</v>
      </c>
      <c r="Z88" s="0" t="str">
        <f aca="false">IF(AND(C87=C88,W87=W88-1),X87,"")</f>
        <v/>
      </c>
      <c r="AA88" s="0" t="str">
        <f aca="false">IF(AND(C87=C88,W87=W88-1),Y87,"")</f>
        <v/>
      </c>
      <c r="AB88" s="0" t="str">
        <f aca="false">IF(W88=1,"",IF(AND(X88=1,Z88&lt;&gt;1),1,0))</f>
        <v/>
      </c>
      <c r="AC88" s="0" t="str">
        <f aca="false">IF(W88=1,"",IF(AND(Y88=1,AA88&lt;&gt;1),1,0))</f>
        <v/>
      </c>
      <c r="AD88" s="33" t="str">
        <f aca="false">IF(AND(E88&gt;0,W88&lt;1,NOT(AND(C89=C88,W89=W88+1))),INDEX(DATAS,W88+1),"")</f>
        <v/>
      </c>
      <c r="AE88" s="33" t="str">
        <f aca="false">IF(AND(Y88=1,W88&lt;1),IF(AND(C89=C88,W89=W88+1),IF(Y89=1,"",INDEX(DATAS,W88+1)),INDEX(DATAS,W88+1)),"")</f>
        <v/>
      </c>
    </row>
    <row r="89" customFormat="false" ht="15" hidden="false" customHeight="false" outlineLevel="0" collapsed="false">
      <c r="A89" s="33" t="n">
        <v>46309</v>
      </c>
      <c r="B89" s="0" t="n">
        <v>3</v>
      </c>
      <c r="C89" s="0" t="n">
        <v>3163</v>
      </c>
      <c r="D89" s="0" t="n">
        <v>3</v>
      </c>
      <c r="E89" s="0" t="n">
        <v>5</v>
      </c>
      <c r="F89" s="27" t="s">
        <v>224</v>
      </c>
      <c r="G89" s="0" t="n">
        <v>17.3</v>
      </c>
      <c r="H89" s="0" t="n">
        <v>13</v>
      </c>
      <c r="I89" s="27" t="s">
        <v>147</v>
      </c>
      <c r="J89" s="0" t="n">
        <v>3</v>
      </c>
      <c r="M89" s="0" t="n">
        <v>-226.65</v>
      </c>
      <c r="N89" s="0" t="n">
        <v>41.25</v>
      </c>
      <c r="O89" s="0" t="n">
        <v>11.62</v>
      </c>
      <c r="R89" s="0" t="n">
        <v>1120</v>
      </c>
      <c r="S89" s="0" t="n">
        <v>2252</v>
      </c>
      <c r="U89" s="0" t="n">
        <v>2158</v>
      </c>
      <c r="V89" s="0" t="n">
        <v>0</v>
      </c>
      <c r="W89" s="27" t="n">
        <f aca="false">MATCH(A89,DATAS,0)</f>
        <v>1</v>
      </c>
      <c r="X89" s="27" t="n">
        <f aca="false">IF(AND(E89&gt;0,OR(AND(B89&gt;=1,B89&lt;=6),B89=10)),1,0)</f>
        <v>1</v>
      </c>
      <c r="Y89" s="27" t="n">
        <f aca="false">IF(AND(E89&gt;0,B89=10),1,0)</f>
        <v>0</v>
      </c>
      <c r="Z89" s="0" t="str">
        <f aca="false">IF(AND(C88=C89,W88=W89-1),X88,"")</f>
        <v/>
      </c>
      <c r="AA89" s="0" t="str">
        <f aca="false">IF(AND(C88=C89,W88=W89-1),Y88,"")</f>
        <v/>
      </c>
      <c r="AB89" s="0" t="str">
        <f aca="false">IF(W89=1,"",IF(AND(X89=1,Z89&lt;&gt;1),1,0))</f>
        <v/>
      </c>
      <c r="AC89" s="0" t="str">
        <f aca="false">IF(W89=1,"",IF(AND(Y89=1,AA89&lt;&gt;1),1,0))</f>
        <v/>
      </c>
      <c r="AD89" s="33" t="str">
        <f aca="false">IF(AND(E89&gt;0,W89&lt;1,NOT(AND(C90=C89,W90=W89+1))),INDEX(DATAS,W89+1),"")</f>
        <v/>
      </c>
      <c r="AE89" s="33" t="str">
        <f aca="false">IF(AND(Y89=1,W89&lt;1),IF(AND(C90=C89,W90=W89+1),IF(Y90=1,"",INDEX(DATAS,W89+1)),INDEX(DATAS,W89+1)),"")</f>
        <v/>
      </c>
    </row>
    <row r="90" customFormat="false" ht="15" hidden="false" customHeight="false" outlineLevel="0" collapsed="false">
      <c r="A90" s="33" t="n">
        <v>46309</v>
      </c>
      <c r="B90" s="0" t="n">
        <v>3</v>
      </c>
      <c r="C90" s="0" t="n">
        <v>3164</v>
      </c>
      <c r="D90" s="0" t="n">
        <v>213</v>
      </c>
      <c r="E90" s="0" t="n">
        <v>4</v>
      </c>
      <c r="F90" s="27" t="s">
        <v>224</v>
      </c>
      <c r="G90" s="0" t="n">
        <v>48.4</v>
      </c>
      <c r="H90" s="0" t="n">
        <v>50</v>
      </c>
      <c r="I90" s="27" t="s">
        <v>138</v>
      </c>
      <c r="J90" s="0" t="n">
        <v>164</v>
      </c>
      <c r="K90" s="0" t="n">
        <v>66</v>
      </c>
      <c r="L90" s="0" t="n">
        <v>49</v>
      </c>
      <c r="M90" s="0" t="n">
        <v>917.35</v>
      </c>
      <c r="N90" s="0" t="n">
        <v>30.68</v>
      </c>
      <c r="O90" s="0" t="n">
        <v>41.07</v>
      </c>
      <c r="P90" s="0" t="n">
        <v>2.68</v>
      </c>
      <c r="Q90" s="0" t="n">
        <v>4.1</v>
      </c>
      <c r="R90" s="0" t="n">
        <v>6216</v>
      </c>
      <c r="S90" s="0" t="n">
        <v>11138</v>
      </c>
      <c r="T90" s="0" t="n">
        <v>68.65</v>
      </c>
      <c r="U90" s="0" t="n">
        <v>2158</v>
      </c>
      <c r="V90" s="0" t="n">
        <v>3</v>
      </c>
      <c r="W90" s="27" t="n">
        <f aca="false">MATCH(A90,DATAS,0)</f>
        <v>1</v>
      </c>
      <c r="X90" s="27" t="n">
        <f aca="false">IF(AND(E90&gt;0,OR(AND(B90&gt;=1,B90&lt;=6),B90=10)),1,0)</f>
        <v>1</v>
      </c>
      <c r="Y90" s="27" t="n">
        <f aca="false">IF(AND(E90&gt;0,B90=10),1,0)</f>
        <v>0</v>
      </c>
      <c r="Z90" s="0" t="str">
        <f aca="false">IF(AND(C89=C90,W89=W90-1),X89,"")</f>
        <v/>
      </c>
      <c r="AA90" s="0" t="str">
        <f aca="false">IF(AND(C89=C90,W89=W90-1),Y89,"")</f>
        <v/>
      </c>
      <c r="AB90" s="0" t="str">
        <f aca="false">IF(W90=1,"",IF(AND(X90=1,Z90&lt;&gt;1),1,0))</f>
        <v/>
      </c>
      <c r="AC90" s="0" t="str">
        <f aca="false">IF(W90=1,"",IF(AND(Y90=1,AA90&lt;&gt;1),1,0))</f>
        <v/>
      </c>
      <c r="AD90" s="33" t="str">
        <f aca="false">IF(AND(E90&gt;0,W90&lt;1,NOT(AND(C91=C90,W91=W90+1))),INDEX(DATAS,W90+1),"")</f>
        <v/>
      </c>
      <c r="AE90" s="33" t="str">
        <f aca="false">IF(AND(Y90=1,W90&lt;1),IF(AND(C91=C90,W91=W90+1),IF(Y91=1,"",INDEX(DATAS,W90+1)),INDEX(DATAS,W90+1)),"")</f>
        <v/>
      </c>
    </row>
    <row r="91" customFormat="false" ht="15" hidden="false" customHeight="false" outlineLevel="0" collapsed="false">
      <c r="A91" s="33" t="n">
        <v>46309</v>
      </c>
      <c r="B91" s="0" t="n">
        <v>7</v>
      </c>
      <c r="C91" s="0" t="n">
        <v>3174</v>
      </c>
      <c r="D91" s="0" t="n">
        <v>258</v>
      </c>
      <c r="E91" s="0" t="n">
        <v>4</v>
      </c>
      <c r="F91" s="27" t="s">
        <v>225</v>
      </c>
      <c r="I91" s="27" t="s">
        <v>138</v>
      </c>
      <c r="J91" s="0" t="n">
        <v>160</v>
      </c>
      <c r="K91" s="0" t="n">
        <v>76</v>
      </c>
      <c r="L91" s="0" t="n">
        <v>98</v>
      </c>
      <c r="M91" s="0" t="n">
        <v>7.47</v>
      </c>
      <c r="N91" s="0" t="n">
        <v>9.1</v>
      </c>
      <c r="O91" s="0" t="n">
        <v>19.74</v>
      </c>
      <c r="P91" s="0" t="n">
        <v>3.74</v>
      </c>
      <c r="Q91" s="0" t="n">
        <v>3.73</v>
      </c>
      <c r="R91" s="0" t="n">
        <v>4912</v>
      </c>
      <c r="S91" s="0" t="n">
        <v>9878</v>
      </c>
      <c r="T91" s="0" t="n">
        <v>54.95</v>
      </c>
      <c r="U91" s="0" t="n">
        <v>2154</v>
      </c>
      <c r="V91" s="0" t="n">
        <v>3</v>
      </c>
      <c r="W91" s="27" t="n">
        <f aca="false">MATCH(A91,DATAS,0)</f>
        <v>1</v>
      </c>
      <c r="X91" s="27" t="n">
        <f aca="false">IF(AND(E91&gt;0,OR(AND(B91&gt;=1,B91&lt;=6),B91=10)),1,0)</f>
        <v>0</v>
      </c>
      <c r="Y91" s="27" t="n">
        <f aca="false">IF(AND(E91&gt;0,B91=10),1,0)</f>
        <v>0</v>
      </c>
      <c r="Z91" s="0" t="str">
        <f aca="false">IF(AND(C90=C91,W90=W91-1),X90,"")</f>
        <v/>
      </c>
      <c r="AA91" s="0" t="str">
        <f aca="false">IF(AND(C90=C91,W90=W91-1),Y90,"")</f>
        <v/>
      </c>
      <c r="AB91" s="0" t="str">
        <f aca="false">IF(W91=1,"",IF(AND(X91=1,Z91&lt;&gt;1),1,0))</f>
        <v/>
      </c>
      <c r="AC91" s="0" t="str">
        <f aca="false">IF(W91=1,"",IF(AND(Y91=1,AA91&lt;&gt;1),1,0))</f>
        <v/>
      </c>
      <c r="AD91" s="33" t="str">
        <f aca="false">IF(AND(E91&gt;0,W91&lt;1,NOT(AND(C92=C91,W92=W91+1))),INDEX(DATAS,W91+1),"")</f>
        <v/>
      </c>
      <c r="AE91" s="33" t="str">
        <f aca="false">IF(AND(Y91=1,W91&lt;1),IF(AND(C92=C91,W92=W91+1),IF(Y92=1,"",INDEX(DATAS,W91+1)),INDEX(DATAS,W91+1)),"")</f>
        <v/>
      </c>
    </row>
    <row r="92" customFormat="false" ht="15" hidden="false" customHeight="false" outlineLevel="0" collapsed="false">
      <c r="A92" s="33" t="n">
        <v>46309</v>
      </c>
      <c r="B92" s="0" t="n">
        <v>6</v>
      </c>
      <c r="C92" s="0" t="n">
        <v>3177</v>
      </c>
      <c r="D92" s="0" t="n">
        <v>245</v>
      </c>
      <c r="E92" s="0" t="n">
        <v>4</v>
      </c>
      <c r="F92" s="27" t="s">
        <v>226</v>
      </c>
      <c r="G92" s="0" t="n">
        <v>21.5</v>
      </c>
      <c r="H92" s="0" t="n">
        <v>23</v>
      </c>
      <c r="I92" s="27" t="s">
        <v>168</v>
      </c>
      <c r="J92" s="0" t="n">
        <v>245</v>
      </c>
      <c r="K92" s="0" t="n">
        <v>63</v>
      </c>
      <c r="M92" s="0" t="n">
        <v>446.3</v>
      </c>
      <c r="N92" s="0" t="n">
        <v>30.49</v>
      </c>
      <c r="O92" s="0" t="n">
        <v>27.48</v>
      </c>
      <c r="P92" s="0" t="n">
        <v>4.32</v>
      </c>
      <c r="Q92" s="0" t="n">
        <v>3.48</v>
      </c>
      <c r="R92" s="0" t="n">
        <v>4417</v>
      </c>
      <c r="S92" s="0" t="n">
        <v>7471</v>
      </c>
      <c r="T92" s="0" t="n">
        <v>58.55</v>
      </c>
      <c r="U92" s="0" t="n">
        <v>2153</v>
      </c>
      <c r="V92" s="0" t="n">
        <v>4</v>
      </c>
      <c r="W92" s="27" t="n">
        <f aca="false">MATCH(A92,DATAS,0)</f>
        <v>1</v>
      </c>
      <c r="X92" s="27" t="n">
        <f aca="false">IF(AND(E92&gt;0,OR(AND(B92&gt;=1,B92&lt;=6),B92=10)),1,0)</f>
        <v>1</v>
      </c>
      <c r="Y92" s="27" t="n">
        <f aca="false">IF(AND(E92&gt;0,B92=10),1,0)</f>
        <v>0</v>
      </c>
      <c r="Z92" s="0" t="str">
        <f aca="false">IF(AND(C91=C92,W91=W92-1),X91,"")</f>
        <v/>
      </c>
      <c r="AA92" s="0" t="str">
        <f aca="false">IF(AND(C91=C92,W91=W92-1),Y91,"")</f>
        <v/>
      </c>
      <c r="AB92" s="0" t="str">
        <f aca="false">IF(W92=1,"",IF(AND(X92=1,Z92&lt;&gt;1),1,0))</f>
        <v/>
      </c>
      <c r="AC92" s="0" t="str">
        <f aca="false">IF(W92=1,"",IF(AND(Y92=1,AA92&lt;&gt;1),1,0))</f>
        <v/>
      </c>
      <c r="AD92" s="33" t="str">
        <f aca="false">IF(AND(E92&gt;0,W92&lt;1,NOT(AND(C93=C92,W93=W92+1))),INDEX(DATAS,W92+1),"")</f>
        <v/>
      </c>
      <c r="AE92" s="33" t="str">
        <f aca="false">IF(AND(Y92=1,W92&lt;1),IF(AND(C93=C92,W93=W92+1),IF(Y93=1,"",INDEX(DATAS,W92+1)),INDEX(DATAS,W92+1)),"")</f>
        <v/>
      </c>
    </row>
    <row r="93" customFormat="false" ht="15" hidden="false" customHeight="false" outlineLevel="0" collapsed="false">
      <c r="A93" s="33" t="n">
        <v>46309</v>
      </c>
      <c r="B93" s="0" t="n">
        <v>3</v>
      </c>
      <c r="C93" s="0" t="n">
        <v>3186</v>
      </c>
      <c r="D93" s="0" t="n">
        <v>44</v>
      </c>
      <c r="E93" s="0" t="n">
        <v>5</v>
      </c>
      <c r="F93" s="27" t="s">
        <v>227</v>
      </c>
      <c r="G93" s="0" t="n">
        <v>65.3</v>
      </c>
      <c r="H93" s="0" t="n">
        <v>63</v>
      </c>
      <c r="I93" s="27" t="s">
        <v>147</v>
      </c>
      <c r="J93" s="0" t="n">
        <v>44</v>
      </c>
      <c r="M93" s="0" t="n">
        <v>846.92</v>
      </c>
      <c r="N93" s="0" t="n">
        <v>-0.28</v>
      </c>
      <c r="O93" s="0" t="n">
        <v>24.23</v>
      </c>
      <c r="P93" s="0" t="n">
        <v>3.77</v>
      </c>
      <c r="Q93" s="0" t="n">
        <v>3.23</v>
      </c>
      <c r="R93" s="0" t="n">
        <v>4834</v>
      </c>
      <c r="S93" s="0" t="n">
        <v>9718</v>
      </c>
      <c r="U93" s="0" t="n">
        <v>2148</v>
      </c>
      <c r="V93" s="0" t="n">
        <v>0</v>
      </c>
      <c r="W93" s="27" t="n">
        <f aca="false">MATCH(A93,DATAS,0)</f>
        <v>1</v>
      </c>
      <c r="X93" s="27" t="n">
        <f aca="false">IF(AND(E93&gt;0,OR(AND(B93&gt;=1,B93&lt;=6),B93=10)),1,0)</f>
        <v>1</v>
      </c>
      <c r="Y93" s="27" t="n">
        <f aca="false">IF(AND(E93&gt;0,B93=10),1,0)</f>
        <v>0</v>
      </c>
      <c r="Z93" s="0" t="str">
        <f aca="false">IF(AND(C92=C93,W92=W93-1),X92,"")</f>
        <v/>
      </c>
      <c r="AA93" s="0" t="str">
        <f aca="false">IF(AND(C92=C93,W92=W93-1),Y92,"")</f>
        <v/>
      </c>
      <c r="AB93" s="0" t="str">
        <f aca="false">IF(W93=1,"",IF(AND(X93=1,Z93&lt;&gt;1),1,0))</f>
        <v/>
      </c>
      <c r="AC93" s="0" t="str">
        <f aca="false">IF(W93=1,"",IF(AND(Y93=1,AA93&lt;&gt;1),1,0))</f>
        <v/>
      </c>
      <c r="AD93" s="33" t="str">
        <f aca="false">IF(AND(E93&gt;0,W93&lt;1,NOT(AND(C94=C93,W94=W93+1))),INDEX(DATAS,W93+1),"")</f>
        <v/>
      </c>
      <c r="AE93" s="33" t="str">
        <f aca="false">IF(AND(Y93=1,W93&lt;1),IF(AND(C94=C93,W94=W93+1),IF(Y94=1,"",INDEX(DATAS,W93+1)),INDEX(DATAS,W93+1)),"")</f>
        <v/>
      </c>
    </row>
    <row r="94" customFormat="false" ht="15" hidden="false" customHeight="false" outlineLevel="0" collapsed="false">
      <c r="A94" s="33" t="n">
        <v>46309</v>
      </c>
      <c r="B94" s="0" t="n">
        <v>6</v>
      </c>
      <c r="C94" s="0" t="n">
        <v>3188</v>
      </c>
      <c r="D94" s="0" t="n">
        <v>163</v>
      </c>
      <c r="E94" s="0" t="n">
        <v>4</v>
      </c>
      <c r="F94" s="27" t="s">
        <v>228</v>
      </c>
      <c r="G94" s="0" t="n">
        <v>24.1</v>
      </c>
      <c r="H94" s="0" t="n">
        <v>20</v>
      </c>
      <c r="I94" s="27" t="s">
        <v>176</v>
      </c>
      <c r="J94" s="0" t="n">
        <v>163</v>
      </c>
      <c r="K94" s="0" t="n">
        <v>65</v>
      </c>
      <c r="M94" s="0" t="n">
        <v>-141.62</v>
      </c>
      <c r="N94" s="0" t="n">
        <v>48.01</v>
      </c>
      <c r="O94" s="0" t="n">
        <v>22.68</v>
      </c>
      <c r="P94" s="0" t="n">
        <v>6.17</v>
      </c>
      <c r="Q94" s="0" t="n">
        <v>4.35</v>
      </c>
      <c r="R94" s="0" t="n">
        <v>4090</v>
      </c>
      <c r="S94" s="0" t="n">
        <v>6920</v>
      </c>
      <c r="T94" s="0" t="n">
        <v>47.15</v>
      </c>
      <c r="U94" s="0" t="n">
        <v>2147</v>
      </c>
      <c r="V94" s="0" t="n">
        <v>3</v>
      </c>
      <c r="W94" s="27" t="n">
        <f aca="false">MATCH(A94,DATAS,0)</f>
        <v>1</v>
      </c>
      <c r="X94" s="27" t="n">
        <f aca="false">IF(AND(E94&gt;0,OR(AND(B94&gt;=1,B94&lt;=6),B94=10)),1,0)</f>
        <v>1</v>
      </c>
      <c r="Y94" s="27" t="n">
        <f aca="false">IF(AND(E94&gt;0,B94=10),1,0)</f>
        <v>0</v>
      </c>
      <c r="Z94" s="0" t="str">
        <f aca="false">IF(AND(C93=C94,W93=W94-1),X93,"")</f>
        <v/>
      </c>
      <c r="AA94" s="0" t="str">
        <f aca="false">IF(AND(C93=C94,W93=W94-1),Y93,"")</f>
        <v/>
      </c>
      <c r="AB94" s="0" t="str">
        <f aca="false">IF(W94=1,"",IF(AND(X94=1,Z94&lt;&gt;1),1,0))</f>
        <v/>
      </c>
      <c r="AC94" s="0" t="str">
        <f aca="false">IF(W94=1,"",IF(AND(Y94=1,AA94&lt;&gt;1),1,0))</f>
        <v/>
      </c>
      <c r="AD94" s="33" t="str">
        <f aca="false">IF(AND(E94&gt;0,W94&lt;1,NOT(AND(C95=C94,W95=W94+1))),INDEX(DATAS,W94+1),"")</f>
        <v/>
      </c>
      <c r="AE94" s="33" t="str">
        <f aca="false">IF(AND(Y94=1,W94&lt;1),IF(AND(C95=C94,W95=W94+1),IF(Y95=1,"",INDEX(DATAS,W94+1)),INDEX(DATAS,W94+1)),"")</f>
        <v/>
      </c>
    </row>
    <row r="95" customFormat="false" ht="15" hidden="false" customHeight="false" outlineLevel="0" collapsed="false">
      <c r="A95" s="33" t="n">
        <v>46309</v>
      </c>
      <c r="B95" s="0" t="n">
        <v>5</v>
      </c>
      <c r="C95" s="0" t="n">
        <v>3190</v>
      </c>
      <c r="D95" s="0" t="n">
        <v>274</v>
      </c>
      <c r="E95" s="0" t="n">
        <v>4</v>
      </c>
      <c r="F95" s="27" t="s">
        <v>228</v>
      </c>
      <c r="G95" s="0" t="n">
        <v>32.3</v>
      </c>
      <c r="H95" s="0" t="n">
        <v>36</v>
      </c>
      <c r="I95" s="27" t="s">
        <v>138</v>
      </c>
      <c r="J95" s="0" t="n">
        <v>99</v>
      </c>
      <c r="K95" s="0" t="n">
        <v>71</v>
      </c>
      <c r="L95" s="0" t="n">
        <v>175</v>
      </c>
      <c r="M95" s="0" t="n">
        <v>938.78</v>
      </c>
      <c r="N95" s="0" t="n">
        <v>30.68</v>
      </c>
      <c r="O95" s="0" t="n">
        <v>39.87</v>
      </c>
      <c r="P95" s="0" t="n">
        <v>3.31</v>
      </c>
      <c r="Q95" s="0" t="n">
        <v>3.5</v>
      </c>
      <c r="R95" s="0" t="n">
        <v>4679</v>
      </c>
      <c r="S95" s="0" t="n">
        <v>9933</v>
      </c>
      <c r="T95" s="0" t="n">
        <v>48.5</v>
      </c>
      <c r="U95" s="0" t="n">
        <v>2147</v>
      </c>
      <c r="V95" s="0" t="n">
        <v>2</v>
      </c>
      <c r="W95" s="27" t="n">
        <f aca="false">MATCH(A95,DATAS,0)</f>
        <v>1</v>
      </c>
      <c r="X95" s="27" t="n">
        <f aca="false">IF(AND(E95&gt;0,OR(AND(B95&gt;=1,B95&lt;=6),B95=10)),1,0)</f>
        <v>1</v>
      </c>
      <c r="Y95" s="27" t="n">
        <f aca="false">IF(AND(E95&gt;0,B95=10),1,0)</f>
        <v>0</v>
      </c>
      <c r="Z95" s="0" t="str">
        <f aca="false">IF(AND(C94=C95,W94=W95-1),X94,"")</f>
        <v/>
      </c>
      <c r="AA95" s="0" t="str">
        <f aca="false">IF(AND(C94=C95,W94=W95-1),Y94,"")</f>
        <v/>
      </c>
      <c r="AB95" s="0" t="str">
        <f aca="false">IF(W95=1,"",IF(AND(X95=1,Z95&lt;&gt;1),1,0))</f>
        <v/>
      </c>
      <c r="AC95" s="0" t="str">
        <f aca="false">IF(W95=1,"",IF(AND(Y95=1,AA95&lt;&gt;1),1,0))</f>
        <v/>
      </c>
      <c r="AD95" s="33" t="str">
        <f aca="false">IF(AND(E95&gt;0,W95&lt;1,NOT(AND(C96=C95,W96=W95+1))),INDEX(DATAS,W95+1),"")</f>
        <v/>
      </c>
      <c r="AE95" s="33" t="str">
        <f aca="false">IF(AND(Y95=1,W95&lt;1),IF(AND(C96=C95,W96=W95+1),IF(Y96=1,"",INDEX(DATAS,W95+1)),INDEX(DATAS,W95+1)),"")</f>
        <v/>
      </c>
    </row>
    <row r="96" customFormat="false" ht="15" hidden="false" customHeight="false" outlineLevel="0" collapsed="false">
      <c r="A96" s="33" t="n">
        <v>46309</v>
      </c>
      <c r="B96" s="0" t="n">
        <v>5</v>
      </c>
      <c r="C96" s="0" t="n">
        <v>3193</v>
      </c>
      <c r="D96" s="0" t="n">
        <v>292</v>
      </c>
      <c r="E96" s="0" t="n">
        <v>4</v>
      </c>
      <c r="F96" s="27" t="s">
        <v>229</v>
      </c>
      <c r="G96" s="0" t="n">
        <v>43.2</v>
      </c>
      <c r="H96" s="0" t="n">
        <v>42</v>
      </c>
      <c r="I96" s="27" t="s">
        <v>168</v>
      </c>
      <c r="J96" s="0" t="n">
        <v>292</v>
      </c>
      <c r="K96" s="0" t="n">
        <v>68</v>
      </c>
      <c r="M96" s="0" t="n">
        <v>1323.02</v>
      </c>
      <c r="N96" s="0" t="n">
        <v>12.16</v>
      </c>
      <c r="O96" s="0" t="n">
        <v>31.64</v>
      </c>
      <c r="P96" s="0" t="n">
        <v>4.13</v>
      </c>
      <c r="Q96" s="0" t="n">
        <v>3.6</v>
      </c>
      <c r="R96" s="0" t="n">
        <v>6088</v>
      </c>
      <c r="S96" s="0" t="n">
        <v>11056</v>
      </c>
      <c r="T96" s="0" t="n">
        <v>64.7</v>
      </c>
      <c r="U96" s="0" t="n">
        <v>2145</v>
      </c>
      <c r="V96" s="0" t="n">
        <v>7</v>
      </c>
      <c r="W96" s="27" t="n">
        <f aca="false">MATCH(A96,DATAS,0)</f>
        <v>1</v>
      </c>
      <c r="X96" s="27" t="n">
        <f aca="false">IF(AND(E96&gt;0,OR(AND(B96&gt;=1,B96&lt;=6),B96=10)),1,0)</f>
        <v>1</v>
      </c>
      <c r="Y96" s="27" t="n">
        <f aca="false">IF(AND(E96&gt;0,B96=10),1,0)</f>
        <v>0</v>
      </c>
      <c r="Z96" s="0" t="str">
        <f aca="false">IF(AND(C95=C96,W95=W96-1),X95,"")</f>
        <v/>
      </c>
      <c r="AA96" s="0" t="str">
        <f aca="false">IF(AND(C95=C96,W95=W96-1),Y95,"")</f>
        <v/>
      </c>
      <c r="AB96" s="0" t="str">
        <f aca="false">IF(W96=1,"",IF(AND(X96=1,Z96&lt;&gt;1),1,0))</f>
        <v/>
      </c>
      <c r="AC96" s="0" t="str">
        <f aca="false">IF(W96=1,"",IF(AND(Y96=1,AA96&lt;&gt;1),1,0))</f>
        <v/>
      </c>
      <c r="AD96" s="33" t="str">
        <f aca="false">IF(AND(E96&gt;0,W96&lt;1,NOT(AND(C97=C96,W97=W96+1))),INDEX(DATAS,W96+1),"")</f>
        <v/>
      </c>
      <c r="AE96" s="33" t="str">
        <f aca="false">IF(AND(Y96=1,W96&lt;1),IF(AND(C97=C96,W97=W96+1),IF(Y97=1,"",INDEX(DATAS,W96+1)),INDEX(DATAS,W96+1)),"")</f>
        <v/>
      </c>
    </row>
    <row r="97" customFormat="false" ht="15" hidden="false" customHeight="false" outlineLevel="0" collapsed="false">
      <c r="A97" s="33" t="n">
        <v>46309</v>
      </c>
      <c r="B97" s="0" t="n">
        <v>5</v>
      </c>
      <c r="C97" s="0" t="n">
        <v>3199</v>
      </c>
      <c r="D97" s="0" t="n">
        <v>147</v>
      </c>
      <c r="E97" s="0" t="n">
        <v>4</v>
      </c>
      <c r="F97" s="27" t="s">
        <v>230</v>
      </c>
      <c r="G97" s="0" t="n">
        <v>39.8</v>
      </c>
      <c r="H97" s="0" t="n">
        <v>38</v>
      </c>
      <c r="I97" s="27" t="s">
        <v>138</v>
      </c>
      <c r="J97" s="0" t="n">
        <v>63</v>
      </c>
      <c r="K97" s="0" t="n">
        <v>63</v>
      </c>
      <c r="L97" s="0" t="n">
        <v>84</v>
      </c>
      <c r="M97" s="0" t="n">
        <v>244.25</v>
      </c>
      <c r="N97" s="0" t="n">
        <v>56.43</v>
      </c>
      <c r="O97" s="0" t="n">
        <v>11.75</v>
      </c>
      <c r="P97" s="0" t="n">
        <v>4.54</v>
      </c>
      <c r="Q97" s="0" t="n">
        <v>3.1</v>
      </c>
      <c r="R97" s="0" t="n">
        <v>4322</v>
      </c>
      <c r="S97" s="0" t="n">
        <v>8661</v>
      </c>
      <c r="T97" s="0" t="n">
        <v>49.45</v>
      </c>
      <c r="U97" s="0" t="n">
        <v>2142</v>
      </c>
      <c r="V97" s="0" t="n">
        <v>1</v>
      </c>
      <c r="W97" s="27" t="n">
        <f aca="false">MATCH(A97,DATAS,0)</f>
        <v>1</v>
      </c>
      <c r="X97" s="27" t="n">
        <f aca="false">IF(AND(E97&gt;0,OR(AND(B97&gt;=1,B97&lt;=6),B97=10)),1,0)</f>
        <v>1</v>
      </c>
      <c r="Y97" s="27" t="n">
        <f aca="false">IF(AND(E97&gt;0,B97=10),1,0)</f>
        <v>0</v>
      </c>
      <c r="Z97" s="0" t="str">
        <f aca="false">IF(AND(C96=C97,W96=W97-1),X96,"")</f>
        <v/>
      </c>
      <c r="AA97" s="0" t="str">
        <f aca="false">IF(AND(C96=C97,W96=W97-1),Y96,"")</f>
        <v/>
      </c>
      <c r="AB97" s="0" t="str">
        <f aca="false">IF(W97=1,"",IF(AND(X97=1,Z97&lt;&gt;1),1,0))</f>
        <v/>
      </c>
      <c r="AC97" s="0" t="str">
        <f aca="false">IF(W97=1,"",IF(AND(Y97=1,AA97&lt;&gt;1),1,0))</f>
        <v/>
      </c>
      <c r="AD97" s="33" t="str">
        <f aca="false">IF(AND(E97&gt;0,W97&lt;1,NOT(AND(C98=C97,W98=W97+1))),INDEX(DATAS,W97+1),"")</f>
        <v/>
      </c>
      <c r="AE97" s="33" t="str">
        <f aca="false">IF(AND(Y97=1,W97&lt;1),IF(AND(C98=C97,W98=W97+1),IF(Y98=1,"",INDEX(DATAS,W97+1)),INDEX(DATAS,W97+1)),"")</f>
        <v/>
      </c>
    </row>
    <row r="98" customFormat="false" ht="15" hidden="false" customHeight="false" outlineLevel="0" collapsed="false">
      <c r="A98" s="33" t="n">
        <v>46309</v>
      </c>
      <c r="B98" s="0" t="n">
        <v>5</v>
      </c>
      <c r="C98" s="0" t="n">
        <v>3208</v>
      </c>
      <c r="D98" s="0" t="n">
        <v>236</v>
      </c>
      <c r="E98" s="0" t="n">
        <v>4</v>
      </c>
      <c r="F98" s="27" t="s">
        <v>231</v>
      </c>
      <c r="G98" s="0" t="n">
        <v>31.9</v>
      </c>
      <c r="H98" s="0" t="n">
        <v>31</v>
      </c>
      <c r="I98" s="27" t="s">
        <v>176</v>
      </c>
      <c r="J98" s="0" t="n">
        <v>236</v>
      </c>
      <c r="K98" s="0" t="n">
        <v>83</v>
      </c>
      <c r="M98" s="0" t="n">
        <v>53.99</v>
      </c>
      <c r="N98" s="0" t="n">
        <v>56.05</v>
      </c>
      <c r="O98" s="0" t="n">
        <v>13.98</v>
      </c>
      <c r="P98" s="0" t="n">
        <v>4.92</v>
      </c>
      <c r="Q98" s="0" t="n">
        <v>3.85</v>
      </c>
      <c r="R98" s="0" t="n">
        <v>3753</v>
      </c>
      <c r="S98" s="0" t="n">
        <v>7577</v>
      </c>
      <c r="T98" s="0" t="n">
        <v>43.5</v>
      </c>
      <c r="U98" s="0" t="n">
        <v>2133</v>
      </c>
      <c r="V98" s="0" t="n">
        <v>4</v>
      </c>
      <c r="W98" s="27" t="n">
        <f aca="false">MATCH(A98,DATAS,0)</f>
        <v>1</v>
      </c>
      <c r="X98" s="27" t="n">
        <f aca="false">IF(AND(E98&gt;0,OR(AND(B98&gt;=1,B98&lt;=6),B98=10)),1,0)</f>
        <v>1</v>
      </c>
      <c r="Y98" s="27" t="n">
        <f aca="false">IF(AND(E98&gt;0,B98=10),1,0)</f>
        <v>0</v>
      </c>
      <c r="Z98" s="0" t="str">
        <f aca="false">IF(AND(C97=C98,W97=W98-1),X97,"")</f>
        <v/>
      </c>
      <c r="AA98" s="0" t="str">
        <f aca="false">IF(AND(C97=C98,W97=W98-1),Y97,"")</f>
        <v/>
      </c>
      <c r="AB98" s="0" t="str">
        <f aca="false">IF(W98=1,"",IF(AND(X98=1,Z98&lt;&gt;1),1,0))</f>
        <v/>
      </c>
      <c r="AC98" s="0" t="str">
        <f aca="false">IF(W98=1,"",IF(AND(Y98=1,AA98&lt;&gt;1),1,0))</f>
        <v/>
      </c>
      <c r="AD98" s="33" t="str">
        <f aca="false">IF(AND(E98&gt;0,W98&lt;1,NOT(AND(C99=C98,W99=W98+1))),INDEX(DATAS,W98+1),"")</f>
        <v/>
      </c>
      <c r="AE98" s="33" t="str">
        <f aca="false">IF(AND(Y98=1,W98&lt;1),IF(AND(C99=C98,W99=W98+1),IF(Y99=1,"",INDEX(DATAS,W98+1)),INDEX(DATAS,W98+1)),"")</f>
        <v/>
      </c>
    </row>
    <row r="99" customFormat="false" ht="15" hidden="false" customHeight="false" outlineLevel="0" collapsed="false">
      <c r="A99" s="33" t="n">
        <v>46309</v>
      </c>
      <c r="B99" s="0" t="n">
        <v>5</v>
      </c>
      <c r="C99" s="0" t="n">
        <v>3210</v>
      </c>
      <c r="D99" s="0" t="n">
        <v>172</v>
      </c>
      <c r="E99" s="0" t="n">
        <v>4</v>
      </c>
      <c r="F99" s="27" t="s">
        <v>232</v>
      </c>
      <c r="G99" s="0" t="n">
        <v>54.4</v>
      </c>
      <c r="H99" s="0" t="n">
        <v>48</v>
      </c>
      <c r="I99" s="27" t="s">
        <v>168</v>
      </c>
      <c r="J99" s="0" t="n">
        <v>172</v>
      </c>
      <c r="K99" s="0" t="n">
        <v>67</v>
      </c>
      <c r="M99" s="0" t="n">
        <v>768.21</v>
      </c>
      <c r="N99" s="0" t="n">
        <v>4.95</v>
      </c>
      <c r="O99" s="0" t="n">
        <v>12.24</v>
      </c>
      <c r="P99" s="0" t="n">
        <v>2.99</v>
      </c>
      <c r="Q99" s="0" t="n">
        <v>2.76</v>
      </c>
      <c r="R99" s="0" t="n">
        <v>6024</v>
      </c>
      <c r="S99" s="0" t="n">
        <v>11392</v>
      </c>
      <c r="T99" s="0" t="n">
        <v>68.9</v>
      </c>
      <c r="U99" s="0" t="n">
        <v>2134</v>
      </c>
      <c r="V99" s="0" t="n">
        <v>3</v>
      </c>
      <c r="W99" s="27" t="n">
        <f aca="false">MATCH(A99,DATAS,0)</f>
        <v>1</v>
      </c>
      <c r="X99" s="27" t="n">
        <f aca="false">IF(AND(E99&gt;0,OR(AND(B99&gt;=1,B99&lt;=6),B99=10)),1,0)</f>
        <v>1</v>
      </c>
      <c r="Y99" s="27" t="n">
        <f aca="false">IF(AND(E99&gt;0,B99=10),1,0)</f>
        <v>0</v>
      </c>
      <c r="Z99" s="0" t="str">
        <f aca="false">IF(AND(C98=C99,W98=W99-1),X98,"")</f>
        <v/>
      </c>
      <c r="AA99" s="0" t="str">
        <f aca="false">IF(AND(C98=C99,W98=W99-1),Y98,"")</f>
        <v/>
      </c>
      <c r="AB99" s="0" t="str">
        <f aca="false">IF(W99=1,"",IF(AND(X99=1,Z99&lt;&gt;1),1,0))</f>
        <v/>
      </c>
      <c r="AC99" s="0" t="str">
        <f aca="false">IF(W99=1,"",IF(AND(Y99=1,AA99&lt;&gt;1),1,0))</f>
        <v/>
      </c>
      <c r="AD99" s="33" t="str">
        <f aca="false">IF(AND(E99&gt;0,W99&lt;1,NOT(AND(C100=C99,W100=W99+1))),INDEX(DATAS,W99+1),"")</f>
        <v/>
      </c>
      <c r="AE99" s="33" t="str">
        <f aca="false">IF(AND(Y99=1,W99&lt;1),IF(AND(C100=C99,W100=W99+1),IF(Y100=1,"",INDEX(DATAS,W99+1)),INDEX(DATAS,W99+1)),"")</f>
        <v/>
      </c>
    </row>
    <row r="100" customFormat="false" ht="15" hidden="false" customHeight="false" outlineLevel="0" collapsed="false">
      <c r="A100" s="33" t="n">
        <v>46309</v>
      </c>
      <c r="B100" s="0" t="n">
        <v>2</v>
      </c>
      <c r="C100" s="0" t="n">
        <v>3213</v>
      </c>
      <c r="D100" s="0" t="n">
        <v>19</v>
      </c>
      <c r="E100" s="0" t="n">
        <v>5</v>
      </c>
      <c r="F100" s="27" t="s">
        <v>231</v>
      </c>
      <c r="G100" s="0" t="n">
        <v>44.6</v>
      </c>
      <c r="H100" s="0" t="n">
        <v>39</v>
      </c>
      <c r="I100" s="27" t="s">
        <v>147</v>
      </c>
      <c r="J100" s="0" t="n">
        <v>19</v>
      </c>
      <c r="M100" s="0" t="n">
        <v>-48.47</v>
      </c>
      <c r="N100" s="0" t="n">
        <v>41.25</v>
      </c>
      <c r="O100" s="0" t="n">
        <v>24.37</v>
      </c>
      <c r="R100" s="0" t="n">
        <v>3260</v>
      </c>
      <c r="S100" s="0" t="n">
        <v>6554</v>
      </c>
      <c r="U100" s="0" t="n">
        <v>2133</v>
      </c>
      <c r="V100" s="0" t="n">
        <v>0</v>
      </c>
      <c r="W100" s="27" t="n">
        <f aca="false">MATCH(A100,DATAS,0)</f>
        <v>1</v>
      </c>
      <c r="X100" s="27" t="n">
        <f aca="false">IF(AND(E100&gt;0,OR(AND(B100&gt;=1,B100&lt;=6),B100=10)),1,0)</f>
        <v>1</v>
      </c>
      <c r="Y100" s="27" t="n">
        <f aca="false">IF(AND(E100&gt;0,B100=10),1,0)</f>
        <v>0</v>
      </c>
      <c r="Z100" s="0" t="str">
        <f aca="false">IF(AND(C99=C100,W99=W100-1),X99,"")</f>
        <v/>
      </c>
      <c r="AA100" s="0" t="str">
        <f aca="false">IF(AND(C99=C100,W99=W100-1),Y99,"")</f>
        <v/>
      </c>
      <c r="AB100" s="0" t="str">
        <f aca="false">IF(W100=1,"",IF(AND(X100=1,Z100&lt;&gt;1),1,0))</f>
        <v/>
      </c>
      <c r="AC100" s="0" t="str">
        <f aca="false">IF(W100=1,"",IF(AND(Y100=1,AA100&lt;&gt;1),1,0))</f>
        <v/>
      </c>
      <c r="AD100" s="33" t="str">
        <f aca="false">IF(AND(E100&gt;0,W100&lt;1,NOT(AND(C101=C100,W101=W100+1))),INDEX(DATAS,W100+1),"")</f>
        <v/>
      </c>
      <c r="AE100" s="33" t="str">
        <f aca="false">IF(AND(Y100=1,W100&lt;1),IF(AND(C101=C100,W101=W100+1),IF(Y101=1,"",INDEX(DATAS,W100+1)),INDEX(DATAS,W100+1)),"")</f>
        <v/>
      </c>
    </row>
    <row r="101" customFormat="false" ht="15" hidden="false" customHeight="false" outlineLevel="0" collapsed="false">
      <c r="A101" s="33" t="n">
        <v>46309</v>
      </c>
      <c r="B101" s="0" t="n">
        <v>2</v>
      </c>
      <c r="C101" s="0" t="n">
        <v>3218</v>
      </c>
      <c r="D101" s="0" t="n">
        <v>57</v>
      </c>
      <c r="E101" s="0" t="n">
        <v>4</v>
      </c>
      <c r="F101" s="27" t="s">
        <v>233</v>
      </c>
      <c r="G101" s="0" t="n">
        <v>63</v>
      </c>
      <c r="H101" s="0" t="n">
        <v>63</v>
      </c>
      <c r="I101" s="27" t="s">
        <v>147</v>
      </c>
      <c r="J101" s="0" t="n">
        <v>57</v>
      </c>
      <c r="M101" s="0" t="n">
        <v>587.18</v>
      </c>
      <c r="N101" s="0" t="n">
        <v>22.27</v>
      </c>
      <c r="O101" s="0" t="n">
        <v>21.37</v>
      </c>
      <c r="P101" s="0" t="n">
        <v>2.19</v>
      </c>
      <c r="Q101" s="0" t="n">
        <v>2.97</v>
      </c>
      <c r="R101" s="0" t="n">
        <v>6516</v>
      </c>
      <c r="S101" s="0" t="n">
        <v>13097</v>
      </c>
      <c r="U101" s="0" t="n">
        <v>2130</v>
      </c>
      <c r="V101" s="0" t="n">
        <v>0</v>
      </c>
      <c r="W101" s="27" t="n">
        <f aca="false">MATCH(A101,DATAS,0)</f>
        <v>1</v>
      </c>
      <c r="X101" s="27" t="n">
        <f aca="false">IF(AND(E101&gt;0,OR(AND(B101&gt;=1,B101&lt;=6),B101=10)),1,0)</f>
        <v>1</v>
      </c>
      <c r="Y101" s="27" t="n">
        <f aca="false">IF(AND(E101&gt;0,B101=10),1,0)</f>
        <v>0</v>
      </c>
      <c r="Z101" s="0" t="str">
        <f aca="false">IF(AND(C100=C101,W100=W101-1),X100,"")</f>
        <v/>
      </c>
      <c r="AA101" s="0" t="str">
        <f aca="false">IF(AND(C100=C101,W100=W101-1),Y100,"")</f>
        <v/>
      </c>
      <c r="AB101" s="0" t="str">
        <f aca="false">IF(W101=1,"",IF(AND(X101=1,Z101&lt;&gt;1),1,0))</f>
        <v/>
      </c>
      <c r="AC101" s="0" t="str">
        <f aca="false">IF(W101=1,"",IF(AND(Y101=1,AA101&lt;&gt;1),1,0))</f>
        <v/>
      </c>
      <c r="AD101" s="33" t="str">
        <f aca="false">IF(AND(E101&gt;0,W101&lt;1,NOT(AND(C102=C101,W102=W101+1))),INDEX(DATAS,W101+1),"")</f>
        <v/>
      </c>
      <c r="AE101" s="33" t="str">
        <f aca="false">IF(AND(Y101=1,W101&lt;1),IF(AND(C102=C101,W102=W101+1),IF(Y102=1,"",INDEX(DATAS,W101+1)),INDEX(DATAS,W101+1)),"")</f>
        <v/>
      </c>
    </row>
    <row r="102" customFormat="false" ht="15" hidden="false" customHeight="false" outlineLevel="0" collapsed="false">
      <c r="A102" s="33" t="n">
        <v>46309</v>
      </c>
      <c r="B102" s="0" t="n">
        <v>7</v>
      </c>
      <c r="C102" s="0" t="n">
        <v>3223</v>
      </c>
      <c r="D102" s="0" t="n">
        <v>140</v>
      </c>
      <c r="E102" s="0" t="n">
        <v>4</v>
      </c>
      <c r="F102" s="27" t="s">
        <v>234</v>
      </c>
      <c r="I102" s="27" t="s">
        <v>143</v>
      </c>
      <c r="J102" s="0" t="n">
        <v>64</v>
      </c>
      <c r="K102" s="0" t="n">
        <v>64</v>
      </c>
      <c r="L102" s="0" t="n">
        <v>224</v>
      </c>
      <c r="M102" s="0" t="n">
        <v>1163.19</v>
      </c>
      <c r="N102" s="0" t="n">
        <v>22.78</v>
      </c>
      <c r="O102" s="0" t="n">
        <v>32.52</v>
      </c>
      <c r="P102" s="0" t="n">
        <v>2.32</v>
      </c>
      <c r="Q102" s="0" t="n">
        <v>3.39</v>
      </c>
      <c r="R102" s="0" t="n">
        <v>5447</v>
      </c>
      <c r="S102" s="0" t="n">
        <v>10342</v>
      </c>
      <c r="T102" s="0" t="n">
        <v>62.3</v>
      </c>
      <c r="U102" s="0" t="n">
        <v>2128</v>
      </c>
      <c r="V102" s="0" t="n">
        <v>1</v>
      </c>
      <c r="W102" s="27" t="n">
        <f aca="false">MATCH(A102,DATAS,0)</f>
        <v>1</v>
      </c>
      <c r="X102" s="27" t="n">
        <f aca="false">IF(AND(E102&gt;0,OR(AND(B102&gt;=1,B102&lt;=6),B102=10)),1,0)</f>
        <v>0</v>
      </c>
      <c r="Y102" s="27" t="n">
        <f aca="false">IF(AND(E102&gt;0,B102=10),1,0)</f>
        <v>0</v>
      </c>
      <c r="Z102" s="0" t="str">
        <f aca="false">IF(AND(C101=C102,W101=W102-1),X101,"")</f>
        <v/>
      </c>
      <c r="AA102" s="0" t="str">
        <f aca="false">IF(AND(C101=C102,W101=W102-1),Y101,"")</f>
        <v/>
      </c>
      <c r="AB102" s="0" t="str">
        <f aca="false">IF(W102=1,"",IF(AND(X102=1,Z102&lt;&gt;1),1,0))</f>
        <v/>
      </c>
      <c r="AC102" s="0" t="str">
        <f aca="false">IF(W102=1,"",IF(AND(Y102=1,AA102&lt;&gt;1),1,0))</f>
        <v/>
      </c>
      <c r="AD102" s="33" t="str">
        <f aca="false">IF(AND(E102&gt;0,W102&lt;1,NOT(AND(C103=C102,W103=W102+1))),INDEX(DATAS,W102+1),"")</f>
        <v/>
      </c>
      <c r="AE102" s="33" t="str">
        <f aca="false">IF(AND(Y102=1,W102&lt;1),IF(AND(C103=C102,W103=W102+1),IF(Y103=1,"",INDEX(DATAS,W102+1)),INDEX(DATAS,W102+1)),"")</f>
        <v/>
      </c>
    </row>
    <row r="103" customFormat="false" ht="15" hidden="false" customHeight="false" outlineLevel="0" collapsed="false">
      <c r="A103" s="33" t="n">
        <v>46309</v>
      </c>
      <c r="B103" s="0" t="n">
        <v>3</v>
      </c>
      <c r="C103" s="0" t="n">
        <v>3224</v>
      </c>
      <c r="D103" s="0" t="n">
        <v>75</v>
      </c>
      <c r="E103" s="0" t="n">
        <v>4</v>
      </c>
      <c r="F103" s="27" t="s">
        <v>234</v>
      </c>
      <c r="G103" s="0" t="n">
        <v>57.1</v>
      </c>
      <c r="H103" s="0" t="n">
        <v>53</v>
      </c>
      <c r="I103" s="27" t="s">
        <v>176</v>
      </c>
      <c r="J103" s="0" t="n">
        <v>75</v>
      </c>
      <c r="M103" s="0" t="n">
        <v>1397.34</v>
      </c>
      <c r="N103" s="0" t="n">
        <v>35.91</v>
      </c>
      <c r="O103" s="0" t="n">
        <v>38.36</v>
      </c>
      <c r="P103" s="0" t="n">
        <v>2.76</v>
      </c>
      <c r="Q103" s="0" t="n">
        <v>2.96</v>
      </c>
      <c r="R103" s="0" t="n">
        <v>5102</v>
      </c>
      <c r="S103" s="0" t="n">
        <v>10256</v>
      </c>
      <c r="U103" s="0" t="n">
        <v>2128</v>
      </c>
      <c r="V103" s="0" t="n">
        <v>0</v>
      </c>
      <c r="W103" s="27" t="n">
        <f aca="false">MATCH(A103,DATAS,0)</f>
        <v>1</v>
      </c>
      <c r="X103" s="27" t="n">
        <f aca="false">IF(AND(E103&gt;0,OR(AND(B103&gt;=1,B103&lt;=6),B103=10)),1,0)</f>
        <v>1</v>
      </c>
      <c r="Y103" s="27" t="n">
        <f aca="false">IF(AND(E103&gt;0,B103=10),1,0)</f>
        <v>0</v>
      </c>
      <c r="Z103" s="0" t="str">
        <f aca="false">IF(AND(C102=C103,W102=W103-1),X102,"")</f>
        <v/>
      </c>
      <c r="AA103" s="0" t="str">
        <f aca="false">IF(AND(C102=C103,W102=W103-1),Y102,"")</f>
        <v/>
      </c>
      <c r="AB103" s="0" t="str">
        <f aca="false">IF(W103=1,"",IF(AND(X103=1,Z103&lt;&gt;1),1,0))</f>
        <v/>
      </c>
      <c r="AC103" s="0" t="str">
        <f aca="false">IF(W103=1,"",IF(AND(Y103=1,AA103&lt;&gt;1),1,0))</f>
        <v/>
      </c>
      <c r="AD103" s="33" t="str">
        <f aca="false">IF(AND(E103&gt;0,W103&lt;1,NOT(AND(C104=C103,W104=W103+1))),INDEX(DATAS,W103+1),"")</f>
        <v/>
      </c>
      <c r="AE103" s="33" t="str">
        <f aca="false">IF(AND(Y103=1,W103&lt;1),IF(AND(C104=C103,W104=W103+1),IF(Y104=1,"",INDEX(DATAS,W103+1)),INDEX(DATAS,W103+1)),"")</f>
        <v/>
      </c>
    </row>
    <row r="104" customFormat="false" ht="15" hidden="false" customHeight="false" outlineLevel="0" collapsed="false">
      <c r="A104" s="33" t="n">
        <v>46309</v>
      </c>
      <c r="B104" s="0" t="n">
        <v>5</v>
      </c>
      <c r="C104" s="0" t="n">
        <v>3226</v>
      </c>
      <c r="D104" s="0" t="n">
        <v>54</v>
      </c>
      <c r="E104" s="0" t="n">
        <v>5</v>
      </c>
      <c r="F104" s="27" t="s">
        <v>235</v>
      </c>
      <c r="G104" s="0" t="n">
        <v>41.7</v>
      </c>
      <c r="H104" s="0" t="n">
        <v>42</v>
      </c>
      <c r="I104" s="27" t="s">
        <v>147</v>
      </c>
      <c r="J104" s="0" t="n">
        <v>54</v>
      </c>
      <c r="M104" s="0" t="n">
        <v>1156.85</v>
      </c>
      <c r="N104" s="0" t="n">
        <v>11.42</v>
      </c>
      <c r="O104" s="0" t="n">
        <v>27.06</v>
      </c>
      <c r="P104" s="0" t="n">
        <v>3.3</v>
      </c>
      <c r="Q104" s="0" t="n">
        <v>3.56</v>
      </c>
      <c r="R104" s="0" t="n">
        <v>2792</v>
      </c>
      <c r="S104" s="0" t="n">
        <v>5613</v>
      </c>
      <c r="U104" s="0" t="n">
        <v>2126</v>
      </c>
      <c r="V104" s="0" t="n">
        <v>0</v>
      </c>
      <c r="W104" s="27" t="n">
        <f aca="false">MATCH(A104,DATAS,0)</f>
        <v>1</v>
      </c>
      <c r="X104" s="27" t="n">
        <f aca="false">IF(AND(E104&gt;0,OR(AND(B104&gt;=1,B104&lt;=6),B104=10)),1,0)</f>
        <v>1</v>
      </c>
      <c r="Y104" s="27" t="n">
        <f aca="false">IF(AND(E104&gt;0,B104=10),1,0)</f>
        <v>0</v>
      </c>
      <c r="Z104" s="0" t="str">
        <f aca="false">IF(AND(C103=C104,W103=W104-1),X103,"")</f>
        <v/>
      </c>
      <c r="AA104" s="0" t="str">
        <f aca="false">IF(AND(C103=C104,W103=W104-1),Y103,"")</f>
        <v/>
      </c>
      <c r="AB104" s="0" t="str">
        <f aca="false">IF(W104=1,"",IF(AND(X104=1,Z104&lt;&gt;1),1,0))</f>
        <v/>
      </c>
      <c r="AC104" s="0" t="str">
        <f aca="false">IF(W104=1,"",IF(AND(Y104=1,AA104&lt;&gt;1),1,0))</f>
        <v/>
      </c>
      <c r="AD104" s="33" t="str">
        <f aca="false">IF(AND(E104&gt;0,W104&lt;1,NOT(AND(C105=C104,W105=W104+1))),INDEX(DATAS,W104+1),"")</f>
        <v/>
      </c>
      <c r="AE104" s="33" t="str">
        <f aca="false">IF(AND(Y104=1,W104&lt;1),IF(AND(C105=C104,W105=W104+1),IF(Y105=1,"",INDEX(DATAS,W104+1)),INDEX(DATAS,W104+1)),"")</f>
        <v/>
      </c>
    </row>
    <row r="105" customFormat="false" ht="15" hidden="false" customHeight="false" outlineLevel="0" collapsed="false">
      <c r="A105" s="33" t="n">
        <v>46309</v>
      </c>
      <c r="B105" s="0" t="n">
        <v>6</v>
      </c>
      <c r="C105" s="0" t="n">
        <v>3246</v>
      </c>
      <c r="D105" s="0" t="n">
        <v>135</v>
      </c>
      <c r="E105" s="0" t="n">
        <v>4</v>
      </c>
      <c r="F105" s="27" t="s">
        <v>236</v>
      </c>
      <c r="I105" s="27" t="s">
        <v>138</v>
      </c>
      <c r="J105" s="0" t="n">
        <v>65</v>
      </c>
      <c r="K105" s="0" t="n">
        <v>65</v>
      </c>
      <c r="L105" s="0" t="n">
        <v>70</v>
      </c>
      <c r="M105" s="0" t="n">
        <v>748.55</v>
      </c>
      <c r="N105" s="0" t="n">
        <v>16.07</v>
      </c>
      <c r="O105" s="0" t="n">
        <v>16.98</v>
      </c>
      <c r="P105" s="0" t="n">
        <v>3.5</v>
      </c>
      <c r="Q105" s="0" t="n">
        <v>2.82</v>
      </c>
      <c r="R105" s="0" t="n">
        <v>5999</v>
      </c>
      <c r="S105" s="0" t="n">
        <v>12060</v>
      </c>
      <c r="T105" s="0" t="n">
        <v>59.85</v>
      </c>
      <c r="U105" s="0" t="n">
        <v>2111</v>
      </c>
      <c r="V105" s="0" t="n">
        <v>1</v>
      </c>
      <c r="W105" s="27" t="n">
        <f aca="false">MATCH(A105,DATAS,0)</f>
        <v>1</v>
      </c>
      <c r="X105" s="27" t="n">
        <f aca="false">IF(AND(E105&gt;0,OR(AND(B105&gt;=1,B105&lt;=6),B105=10)),1,0)</f>
        <v>1</v>
      </c>
      <c r="Y105" s="27" t="n">
        <f aca="false">IF(AND(E105&gt;0,B105=10),1,0)</f>
        <v>0</v>
      </c>
      <c r="Z105" s="0" t="str">
        <f aca="false">IF(AND(C104=C105,W104=W105-1),X104,"")</f>
        <v/>
      </c>
      <c r="AA105" s="0" t="str">
        <f aca="false">IF(AND(C104=C105,W104=W105-1),Y104,"")</f>
        <v/>
      </c>
      <c r="AB105" s="0" t="str">
        <f aca="false">IF(W105=1,"",IF(AND(X105=1,Z105&lt;&gt;1),1,0))</f>
        <v/>
      </c>
      <c r="AC105" s="0" t="str">
        <f aca="false">IF(W105=1,"",IF(AND(Y105=1,AA105&lt;&gt;1),1,0))</f>
        <v/>
      </c>
      <c r="AD105" s="33" t="str">
        <f aca="false">IF(AND(E105&gt;0,W105&lt;1,NOT(AND(C106=C105,W106=W105+1))),INDEX(DATAS,W105+1),"")</f>
        <v/>
      </c>
      <c r="AE105" s="33" t="str">
        <f aca="false">IF(AND(Y105=1,W105&lt;1),IF(AND(C106=C105,W106=W105+1),IF(Y106=1,"",INDEX(DATAS,W105+1)),INDEX(DATAS,W105+1)),"")</f>
        <v/>
      </c>
    </row>
    <row r="106" customFormat="false" ht="15" hidden="false" customHeight="false" outlineLevel="0" collapsed="false">
      <c r="A106" s="33" t="n">
        <v>46309</v>
      </c>
      <c r="B106" s="0" t="n">
        <v>7</v>
      </c>
      <c r="C106" s="0" t="n">
        <v>3250</v>
      </c>
      <c r="D106" s="0" t="n">
        <v>312</v>
      </c>
      <c r="E106" s="0" t="n">
        <v>4</v>
      </c>
      <c r="F106" s="27" t="s">
        <v>237</v>
      </c>
      <c r="I106" s="27" t="s">
        <v>143</v>
      </c>
      <c r="J106" s="0" t="n">
        <v>146</v>
      </c>
      <c r="K106" s="0" t="n">
        <v>68</v>
      </c>
      <c r="L106" s="0" t="n">
        <v>188</v>
      </c>
      <c r="M106" s="0" t="n">
        <v>838.76</v>
      </c>
      <c r="N106" s="0" t="n">
        <v>13.84</v>
      </c>
      <c r="O106" s="0" t="n">
        <v>37.51</v>
      </c>
      <c r="P106" s="0" t="n">
        <v>4.81</v>
      </c>
      <c r="Q106" s="0" t="n">
        <v>3.93</v>
      </c>
      <c r="R106" s="0" t="n">
        <v>5500</v>
      </c>
      <c r="S106" s="0" t="n">
        <v>11085</v>
      </c>
      <c r="T106" s="0" t="n">
        <v>59.2</v>
      </c>
      <c r="U106" s="0" t="n">
        <v>2110</v>
      </c>
      <c r="V106" s="0" t="n">
        <v>3</v>
      </c>
      <c r="W106" s="27" t="n">
        <f aca="false">MATCH(A106,DATAS,0)</f>
        <v>1</v>
      </c>
      <c r="X106" s="27" t="n">
        <f aca="false">IF(AND(E106&gt;0,OR(AND(B106&gt;=1,B106&lt;=6),B106=10)),1,0)</f>
        <v>0</v>
      </c>
      <c r="Y106" s="27" t="n">
        <f aca="false">IF(AND(E106&gt;0,B106=10),1,0)</f>
        <v>0</v>
      </c>
      <c r="Z106" s="0" t="str">
        <f aca="false">IF(AND(C105=C106,W105=W106-1),X105,"")</f>
        <v/>
      </c>
      <c r="AA106" s="0" t="str">
        <f aca="false">IF(AND(C105=C106,W105=W106-1),Y105,"")</f>
        <v/>
      </c>
      <c r="AB106" s="0" t="str">
        <f aca="false">IF(W106=1,"",IF(AND(X106=1,Z106&lt;&gt;1),1,0))</f>
        <v/>
      </c>
      <c r="AC106" s="0" t="str">
        <f aca="false">IF(W106=1,"",IF(AND(Y106=1,AA106&lt;&gt;1),1,0))</f>
        <v/>
      </c>
      <c r="AD106" s="33" t="str">
        <f aca="false">IF(AND(E106&gt;0,W106&lt;1,NOT(AND(C107=C106,W107=W106+1))),INDEX(DATAS,W106+1),"")</f>
        <v/>
      </c>
      <c r="AE106" s="33" t="str">
        <f aca="false">IF(AND(Y106=1,W106&lt;1),IF(AND(C107=C106,W107=W106+1),IF(Y107=1,"",INDEX(DATAS,W106+1)),INDEX(DATAS,W106+1)),"")</f>
        <v/>
      </c>
    </row>
    <row r="107" customFormat="false" ht="15" hidden="false" customHeight="false" outlineLevel="0" collapsed="false">
      <c r="A107" s="33" t="n">
        <v>46309</v>
      </c>
      <c r="B107" s="0" t="n">
        <v>5</v>
      </c>
      <c r="C107" s="0" t="n">
        <v>3251</v>
      </c>
      <c r="D107" s="0" t="n">
        <v>150</v>
      </c>
      <c r="E107" s="0" t="n">
        <v>4</v>
      </c>
      <c r="F107" s="27" t="s">
        <v>237</v>
      </c>
      <c r="G107" s="0" t="n">
        <v>23.6</v>
      </c>
      <c r="H107" s="0" t="n">
        <v>24</v>
      </c>
      <c r="I107" s="27" t="s">
        <v>176</v>
      </c>
      <c r="J107" s="0" t="n">
        <v>150</v>
      </c>
      <c r="K107" s="0" t="n">
        <v>66</v>
      </c>
      <c r="M107" s="0" t="n">
        <v>675.45</v>
      </c>
      <c r="N107" s="0" t="n">
        <v>12.91</v>
      </c>
      <c r="O107" s="0" t="n">
        <v>34.11</v>
      </c>
      <c r="P107" s="0" t="n">
        <v>4.17</v>
      </c>
      <c r="Q107" s="0" t="n">
        <v>3.86</v>
      </c>
      <c r="R107" s="0" t="n">
        <v>2719</v>
      </c>
      <c r="S107" s="0" t="n">
        <v>5662</v>
      </c>
      <c r="T107" s="0" t="n">
        <v>26.9</v>
      </c>
      <c r="U107" s="0" t="n">
        <v>2110</v>
      </c>
      <c r="V107" s="0" t="n">
        <v>2</v>
      </c>
      <c r="W107" s="27" t="n">
        <f aca="false">MATCH(A107,DATAS,0)</f>
        <v>1</v>
      </c>
      <c r="X107" s="27" t="n">
        <f aca="false">IF(AND(E107&gt;0,OR(AND(B107&gt;=1,B107&lt;=6),B107=10)),1,0)</f>
        <v>1</v>
      </c>
      <c r="Y107" s="27" t="n">
        <f aca="false">IF(AND(E107&gt;0,B107=10),1,0)</f>
        <v>0</v>
      </c>
      <c r="Z107" s="0" t="str">
        <f aca="false">IF(AND(C106=C107,W106=W107-1),X106,"")</f>
        <v/>
      </c>
      <c r="AA107" s="0" t="str">
        <f aca="false">IF(AND(C106=C107,W106=W107-1),Y106,"")</f>
        <v/>
      </c>
      <c r="AB107" s="0" t="str">
        <f aca="false">IF(W107=1,"",IF(AND(X107=1,Z107&lt;&gt;1),1,0))</f>
        <v/>
      </c>
      <c r="AC107" s="0" t="str">
        <f aca="false">IF(W107=1,"",IF(AND(Y107=1,AA107&lt;&gt;1),1,0))</f>
        <v/>
      </c>
      <c r="AD107" s="33" t="str">
        <f aca="false">IF(AND(E107&gt;0,W107&lt;1,NOT(AND(C108=C107,W108=W107+1))),INDEX(DATAS,W107+1),"")</f>
        <v/>
      </c>
      <c r="AE107" s="33" t="str">
        <f aca="false">IF(AND(Y107=1,W107&lt;1),IF(AND(C108=C107,W108=W107+1),IF(Y108=1,"",INDEX(DATAS,W107+1)),INDEX(DATAS,W107+1)),"")</f>
        <v/>
      </c>
    </row>
    <row r="108" customFormat="false" ht="15" hidden="false" customHeight="false" outlineLevel="0" collapsed="false">
      <c r="A108" s="33" t="n">
        <v>46309</v>
      </c>
      <c r="B108" s="0" t="n">
        <v>2</v>
      </c>
      <c r="C108" s="0" t="n">
        <v>3261</v>
      </c>
      <c r="D108" s="0" t="n">
        <v>25</v>
      </c>
      <c r="E108" s="0" t="n">
        <v>4</v>
      </c>
      <c r="F108" s="27" t="s">
        <v>238</v>
      </c>
      <c r="G108" s="0" t="n">
        <v>51.3</v>
      </c>
      <c r="H108" s="0" t="n">
        <v>50</v>
      </c>
      <c r="I108" s="27" t="s">
        <v>147</v>
      </c>
      <c r="J108" s="0" t="n">
        <v>25</v>
      </c>
      <c r="M108" s="0" t="n">
        <v>110.77</v>
      </c>
      <c r="N108" s="0" t="n">
        <v>-7.8</v>
      </c>
      <c r="O108" s="0" t="n">
        <v>-0.49</v>
      </c>
      <c r="R108" s="0" t="n">
        <v>4849</v>
      </c>
      <c r="S108" s="0" t="n">
        <v>9748</v>
      </c>
      <c r="U108" s="0" t="n">
        <v>2103</v>
      </c>
      <c r="V108" s="0" t="n">
        <v>0</v>
      </c>
      <c r="W108" s="27" t="n">
        <f aca="false">MATCH(A108,DATAS,0)</f>
        <v>1</v>
      </c>
      <c r="X108" s="27" t="n">
        <f aca="false">IF(AND(E108&gt;0,OR(AND(B108&gt;=1,B108&lt;=6),B108=10)),1,0)</f>
        <v>1</v>
      </c>
      <c r="Y108" s="27" t="n">
        <f aca="false">IF(AND(E108&gt;0,B108=10),1,0)</f>
        <v>0</v>
      </c>
      <c r="Z108" s="0" t="str">
        <f aca="false">IF(AND(C107=C108,W107=W108-1),X107,"")</f>
        <v/>
      </c>
      <c r="AA108" s="0" t="str">
        <f aca="false">IF(AND(C107=C108,W107=W108-1),Y107,"")</f>
        <v/>
      </c>
      <c r="AB108" s="0" t="str">
        <f aca="false">IF(W108=1,"",IF(AND(X108=1,Z108&lt;&gt;1),1,0))</f>
        <v/>
      </c>
      <c r="AC108" s="0" t="str">
        <f aca="false">IF(W108=1,"",IF(AND(Y108=1,AA108&lt;&gt;1),1,0))</f>
        <v/>
      </c>
      <c r="AD108" s="33" t="str">
        <f aca="false">IF(AND(E108&gt;0,W108&lt;1,NOT(AND(C109=C108,W109=W108+1))),INDEX(DATAS,W108+1),"")</f>
        <v/>
      </c>
      <c r="AE108" s="33" t="str">
        <f aca="false">IF(AND(Y108=1,W108&lt;1),IF(AND(C109=C108,W109=W108+1),IF(Y109=1,"",INDEX(DATAS,W108+1)),INDEX(DATAS,W108+1)),"")</f>
        <v/>
      </c>
    </row>
    <row r="109" customFormat="false" ht="15" hidden="false" customHeight="false" outlineLevel="0" collapsed="false">
      <c r="A109" s="33" t="n">
        <v>46309</v>
      </c>
      <c r="B109" s="0" t="n">
        <v>5</v>
      </c>
      <c r="C109" s="0" t="n">
        <v>3263</v>
      </c>
      <c r="D109" s="0" t="n">
        <v>236</v>
      </c>
      <c r="E109" s="0" t="n">
        <v>3</v>
      </c>
      <c r="F109" s="27" t="s">
        <v>239</v>
      </c>
      <c r="G109" s="0" t="n">
        <v>37.5</v>
      </c>
      <c r="H109" s="0" t="n">
        <v>37</v>
      </c>
      <c r="I109" s="27" t="s">
        <v>151</v>
      </c>
      <c r="J109" s="0" t="n">
        <v>236</v>
      </c>
      <c r="K109" s="0" t="n">
        <v>110</v>
      </c>
      <c r="M109" s="0" t="n">
        <v>684.84</v>
      </c>
      <c r="N109" s="0" t="n">
        <v>15.58</v>
      </c>
      <c r="O109" s="0" t="n">
        <v>24.5</v>
      </c>
      <c r="P109" s="0" t="n">
        <v>4.03</v>
      </c>
      <c r="Q109" s="0" t="n">
        <v>3.72</v>
      </c>
      <c r="R109" s="0" t="n">
        <v>6127</v>
      </c>
      <c r="S109" s="0" t="n">
        <v>10608</v>
      </c>
      <c r="T109" s="0" t="n">
        <v>69.6</v>
      </c>
      <c r="U109" s="0" t="n">
        <v>2102</v>
      </c>
      <c r="V109" s="0" t="n">
        <v>1</v>
      </c>
      <c r="W109" s="27" t="n">
        <f aca="false">MATCH(A109,DATAS,0)</f>
        <v>1</v>
      </c>
      <c r="X109" s="27" t="n">
        <f aca="false">IF(AND(E109&gt;0,OR(AND(B109&gt;=1,B109&lt;=6),B109=10)),1,0)</f>
        <v>1</v>
      </c>
      <c r="Y109" s="27" t="n">
        <f aca="false">IF(AND(E109&gt;0,B109=10),1,0)</f>
        <v>0</v>
      </c>
      <c r="Z109" s="0" t="str">
        <f aca="false">IF(AND(C108=C109,W108=W109-1),X108,"")</f>
        <v/>
      </c>
      <c r="AA109" s="0" t="str">
        <f aca="false">IF(AND(C108=C109,W108=W109-1),Y108,"")</f>
        <v/>
      </c>
      <c r="AB109" s="0" t="str">
        <f aca="false">IF(W109=1,"",IF(AND(X109=1,Z109&lt;&gt;1),1,0))</f>
        <v/>
      </c>
      <c r="AC109" s="0" t="str">
        <f aca="false">IF(W109=1,"",IF(AND(Y109=1,AA109&lt;&gt;1),1,0))</f>
        <v/>
      </c>
      <c r="AD109" s="33" t="str">
        <f aca="false">IF(AND(E109&gt;0,W109&lt;1,NOT(AND(C110=C109,W110=W109+1))),INDEX(DATAS,W109+1),"")</f>
        <v/>
      </c>
      <c r="AE109" s="33" t="str">
        <f aca="false">IF(AND(Y109=1,W109&lt;1),IF(AND(C110=C109,W110=W109+1),IF(Y110=1,"",INDEX(DATAS,W109+1)),INDEX(DATAS,W109+1)),"")</f>
        <v/>
      </c>
    </row>
    <row r="110" customFormat="false" ht="15" hidden="false" customHeight="false" outlineLevel="0" collapsed="false">
      <c r="A110" s="33" t="n">
        <v>46309</v>
      </c>
      <c r="B110" s="0" t="n">
        <v>2</v>
      </c>
      <c r="C110" s="0" t="n">
        <v>3278</v>
      </c>
      <c r="D110" s="0" t="n">
        <v>43</v>
      </c>
      <c r="E110" s="0" t="n">
        <v>4</v>
      </c>
      <c r="F110" s="27" t="s">
        <v>240</v>
      </c>
      <c r="G110" s="0" t="n">
        <v>49.2</v>
      </c>
      <c r="H110" s="0" t="n">
        <v>46</v>
      </c>
      <c r="I110" s="27" t="s">
        <v>147</v>
      </c>
      <c r="J110" s="0" t="n">
        <v>43</v>
      </c>
      <c r="M110" s="0" t="n">
        <v>466.98</v>
      </c>
      <c r="N110" s="0" t="n">
        <v>37.49</v>
      </c>
      <c r="O110" s="0" t="n">
        <v>29.41</v>
      </c>
      <c r="P110" s="0" t="n">
        <v>3.61</v>
      </c>
      <c r="Q110" s="0" t="n">
        <v>2.92</v>
      </c>
      <c r="R110" s="0" t="n">
        <v>4817</v>
      </c>
      <c r="S110" s="0" t="n">
        <v>9684</v>
      </c>
      <c r="U110" s="0" t="n">
        <v>2093</v>
      </c>
      <c r="V110" s="0" t="n">
        <v>0</v>
      </c>
      <c r="W110" s="27" t="n">
        <f aca="false">MATCH(A110,DATAS,0)</f>
        <v>1</v>
      </c>
      <c r="X110" s="27" t="n">
        <f aca="false">IF(AND(E110&gt;0,OR(AND(B110&gt;=1,B110&lt;=6),B110=10)),1,0)</f>
        <v>1</v>
      </c>
      <c r="Y110" s="27" t="n">
        <f aca="false">IF(AND(E110&gt;0,B110=10),1,0)</f>
        <v>0</v>
      </c>
      <c r="Z110" s="0" t="str">
        <f aca="false">IF(AND(C109=C110,W109=W110-1),X109,"")</f>
        <v/>
      </c>
      <c r="AA110" s="0" t="str">
        <f aca="false">IF(AND(C109=C110,W109=W110-1),Y109,"")</f>
        <v/>
      </c>
      <c r="AB110" s="0" t="str">
        <f aca="false">IF(W110=1,"",IF(AND(X110=1,Z110&lt;&gt;1),1,0))</f>
        <v/>
      </c>
      <c r="AC110" s="0" t="str">
        <f aca="false">IF(W110=1,"",IF(AND(Y110=1,AA110&lt;&gt;1),1,0))</f>
        <v/>
      </c>
      <c r="AD110" s="33" t="str">
        <f aca="false">IF(AND(E110&gt;0,W110&lt;1,NOT(AND(C111=C110,W111=W110+1))),INDEX(DATAS,W110+1),"")</f>
        <v/>
      </c>
      <c r="AE110" s="33" t="str">
        <f aca="false">IF(AND(Y110=1,W110&lt;1),IF(AND(C111=C110,W111=W110+1),IF(Y111=1,"",INDEX(DATAS,W110+1)),INDEX(DATAS,W110+1)),"")</f>
        <v/>
      </c>
    </row>
    <row r="111" customFormat="false" ht="15" hidden="false" customHeight="false" outlineLevel="0" collapsed="false">
      <c r="A111" s="33" t="n">
        <v>46309</v>
      </c>
      <c r="B111" s="0" t="n">
        <v>6</v>
      </c>
      <c r="C111" s="0" t="n">
        <v>3282</v>
      </c>
      <c r="D111" s="0" t="n">
        <v>221</v>
      </c>
      <c r="E111" s="0" t="n">
        <v>4</v>
      </c>
      <c r="F111" s="27" t="s">
        <v>241</v>
      </c>
      <c r="G111" s="0" t="n">
        <v>21.1</v>
      </c>
      <c r="H111" s="0" t="n">
        <v>20</v>
      </c>
      <c r="I111" s="27" t="s">
        <v>168</v>
      </c>
      <c r="J111" s="0" t="n">
        <v>221</v>
      </c>
      <c r="K111" s="0" t="n">
        <v>74</v>
      </c>
      <c r="M111" s="0" t="n">
        <v>274.47</v>
      </c>
      <c r="N111" s="0" t="n">
        <v>11.44</v>
      </c>
      <c r="O111" s="0" t="n">
        <v>16.8</v>
      </c>
      <c r="P111" s="0" t="n">
        <v>3.27</v>
      </c>
      <c r="Q111" s="0" t="n">
        <v>3.02</v>
      </c>
      <c r="R111" s="0" t="n">
        <v>5013</v>
      </c>
      <c r="S111" s="0" t="n">
        <v>9529</v>
      </c>
      <c r="T111" s="0" t="n">
        <v>56.05</v>
      </c>
      <c r="U111" s="0" t="n">
        <v>2091</v>
      </c>
      <c r="V111" s="0" t="n">
        <v>4</v>
      </c>
      <c r="W111" s="27" t="n">
        <f aca="false">MATCH(A111,DATAS,0)</f>
        <v>1</v>
      </c>
      <c r="X111" s="27" t="n">
        <f aca="false">IF(AND(E111&gt;0,OR(AND(B111&gt;=1,B111&lt;=6),B111=10)),1,0)</f>
        <v>1</v>
      </c>
      <c r="Y111" s="27" t="n">
        <f aca="false">IF(AND(E111&gt;0,B111=10),1,0)</f>
        <v>0</v>
      </c>
      <c r="Z111" s="0" t="str">
        <f aca="false">IF(AND(C110=C111,W110=W111-1),X110,"")</f>
        <v/>
      </c>
      <c r="AA111" s="0" t="str">
        <f aca="false">IF(AND(C110=C111,W110=W111-1),Y110,"")</f>
        <v/>
      </c>
      <c r="AB111" s="0" t="str">
        <f aca="false">IF(W111=1,"",IF(AND(X111=1,Z111&lt;&gt;1),1,0))</f>
        <v/>
      </c>
      <c r="AC111" s="0" t="str">
        <f aca="false">IF(W111=1,"",IF(AND(Y111=1,AA111&lt;&gt;1),1,0))</f>
        <v/>
      </c>
      <c r="AD111" s="33" t="str">
        <f aca="false">IF(AND(E111&gt;0,W111&lt;1,NOT(AND(C112=C111,W112=W111+1))),INDEX(DATAS,W111+1),"")</f>
        <v/>
      </c>
      <c r="AE111" s="33" t="str">
        <f aca="false">IF(AND(Y111=1,W111&lt;1),IF(AND(C112=C111,W112=W111+1),IF(Y112=1,"",INDEX(DATAS,W111+1)),INDEX(DATAS,W111+1)),"")</f>
        <v/>
      </c>
    </row>
    <row r="112" customFormat="false" ht="15" hidden="false" customHeight="false" outlineLevel="0" collapsed="false">
      <c r="A112" s="33" t="n">
        <v>46309</v>
      </c>
      <c r="B112" s="0" t="n">
        <v>6</v>
      </c>
      <c r="C112" s="0" t="n">
        <v>3288</v>
      </c>
      <c r="D112" s="0" t="n">
        <v>243</v>
      </c>
      <c r="E112" s="0" t="n">
        <v>4</v>
      </c>
      <c r="F112" s="27" t="s">
        <v>242</v>
      </c>
      <c r="G112" s="0" t="n">
        <v>45</v>
      </c>
      <c r="H112" s="0" t="n">
        <v>27</v>
      </c>
      <c r="I112" s="27" t="s">
        <v>176</v>
      </c>
      <c r="J112" s="0" t="n">
        <v>243</v>
      </c>
      <c r="K112" s="0" t="n">
        <v>96</v>
      </c>
      <c r="M112" s="0" t="n">
        <v>1113.22</v>
      </c>
      <c r="N112" s="0" t="n">
        <v>43.88</v>
      </c>
      <c r="O112" s="0" t="n">
        <v>35.83</v>
      </c>
      <c r="P112" s="0" t="n">
        <v>3.23</v>
      </c>
      <c r="Q112" s="0" t="n">
        <v>3.51</v>
      </c>
      <c r="R112" s="0" t="n">
        <v>4759</v>
      </c>
      <c r="S112" s="0" t="n">
        <v>10533</v>
      </c>
      <c r="T112" s="0" t="n">
        <v>52.2</v>
      </c>
      <c r="U112" s="0" t="n">
        <v>2082</v>
      </c>
      <c r="V112" s="0" t="n">
        <v>4</v>
      </c>
      <c r="W112" s="27" t="n">
        <f aca="false">MATCH(A112,DATAS,0)</f>
        <v>1</v>
      </c>
      <c r="X112" s="27" t="n">
        <f aca="false">IF(AND(E112&gt;0,OR(AND(B112&gt;=1,B112&lt;=6),B112=10)),1,0)</f>
        <v>1</v>
      </c>
      <c r="Y112" s="27" t="n">
        <f aca="false">IF(AND(E112&gt;0,B112=10),1,0)</f>
        <v>0</v>
      </c>
      <c r="Z112" s="0" t="str">
        <f aca="false">IF(AND(C111=C112,W111=W112-1),X111,"")</f>
        <v/>
      </c>
      <c r="AA112" s="0" t="str">
        <f aca="false">IF(AND(C111=C112,W111=W112-1),Y111,"")</f>
        <v/>
      </c>
      <c r="AB112" s="0" t="str">
        <f aca="false">IF(W112=1,"",IF(AND(X112=1,Z112&lt;&gt;1),1,0))</f>
        <v/>
      </c>
      <c r="AC112" s="0" t="str">
        <f aca="false">IF(W112=1,"",IF(AND(Y112=1,AA112&lt;&gt;1),1,0))</f>
        <v/>
      </c>
      <c r="AD112" s="33" t="str">
        <f aca="false">IF(AND(E112&gt;0,W112&lt;1,NOT(AND(C113=C112,W113=W112+1))),INDEX(DATAS,W112+1),"")</f>
        <v/>
      </c>
      <c r="AE112" s="33" t="str">
        <f aca="false">IF(AND(Y112=1,W112&lt;1),IF(AND(C113=C112,W113=W112+1),IF(Y113=1,"",INDEX(DATAS,W112+1)),INDEX(DATAS,W112+1)),"")</f>
        <v/>
      </c>
    </row>
    <row r="113" customFormat="false" ht="15" hidden="false" customHeight="false" outlineLevel="0" collapsed="false">
      <c r="A113" s="33" t="n">
        <v>46309</v>
      </c>
      <c r="B113" s="0" t="n">
        <v>3</v>
      </c>
      <c r="C113" s="0" t="n">
        <v>3291</v>
      </c>
      <c r="D113" s="0" t="n">
        <v>81</v>
      </c>
      <c r="E113" s="0" t="n">
        <v>4</v>
      </c>
      <c r="F113" s="27" t="s">
        <v>242</v>
      </c>
      <c r="G113" s="0" t="n">
        <v>48.8</v>
      </c>
      <c r="H113" s="0" t="n">
        <v>48</v>
      </c>
      <c r="I113" s="27" t="s">
        <v>168</v>
      </c>
      <c r="J113" s="0" t="n">
        <v>81</v>
      </c>
      <c r="K113" s="0" t="n">
        <v>74</v>
      </c>
      <c r="M113" s="0" t="n">
        <v>-856.64</v>
      </c>
      <c r="N113" s="0" t="n">
        <v>47.71</v>
      </c>
      <c r="O113" s="0" t="n">
        <v>-7.29</v>
      </c>
      <c r="P113" s="0" t="n">
        <v>5.24</v>
      </c>
      <c r="Q113" s="0" t="n">
        <v>3.72</v>
      </c>
      <c r="R113" s="0" t="n">
        <v>4549</v>
      </c>
      <c r="S113" s="0" t="n">
        <v>9144</v>
      </c>
      <c r="U113" s="0" t="n">
        <v>2082</v>
      </c>
      <c r="V113" s="0" t="n">
        <v>1</v>
      </c>
      <c r="W113" s="27" t="n">
        <f aca="false">MATCH(A113,DATAS,0)</f>
        <v>1</v>
      </c>
      <c r="X113" s="27" t="n">
        <f aca="false">IF(AND(E113&gt;0,OR(AND(B113&gt;=1,B113&lt;=6),B113=10)),1,0)</f>
        <v>1</v>
      </c>
      <c r="Y113" s="27" t="n">
        <f aca="false">IF(AND(E113&gt;0,B113=10),1,0)</f>
        <v>0</v>
      </c>
      <c r="Z113" s="0" t="str">
        <f aca="false">IF(AND(C112=C113,W112=W113-1),X112,"")</f>
        <v/>
      </c>
      <c r="AA113" s="0" t="str">
        <f aca="false">IF(AND(C112=C113,W112=W113-1),Y112,"")</f>
        <v/>
      </c>
      <c r="AB113" s="0" t="str">
        <f aca="false">IF(W113=1,"",IF(AND(X113=1,Z113&lt;&gt;1),1,0))</f>
        <v/>
      </c>
      <c r="AC113" s="0" t="str">
        <f aca="false">IF(W113=1,"",IF(AND(Y113=1,AA113&lt;&gt;1),1,0))</f>
        <v/>
      </c>
      <c r="AD113" s="33" t="str">
        <f aca="false">IF(AND(E113&gt;0,W113&lt;1,NOT(AND(C114=C113,W114=W113+1))),INDEX(DATAS,W113+1),"")</f>
        <v/>
      </c>
      <c r="AE113" s="33" t="str">
        <f aca="false">IF(AND(Y113=1,W113&lt;1),IF(AND(C114=C113,W114=W113+1),IF(Y114=1,"",INDEX(DATAS,W113+1)),INDEX(DATAS,W113+1)),"")</f>
        <v/>
      </c>
    </row>
    <row r="114" customFormat="false" ht="15" hidden="false" customHeight="false" outlineLevel="0" collapsed="false">
      <c r="A114" s="33" t="n">
        <v>46309</v>
      </c>
      <c r="B114" s="0" t="n">
        <v>6</v>
      </c>
      <c r="C114" s="0" t="n">
        <v>3295</v>
      </c>
      <c r="D114" s="0" t="n">
        <v>397</v>
      </c>
      <c r="E114" s="0" t="n">
        <v>4</v>
      </c>
      <c r="F114" s="27" t="s">
        <v>243</v>
      </c>
      <c r="G114" s="0" t="n">
        <v>18.1</v>
      </c>
      <c r="H114" s="0" t="n">
        <v>17</v>
      </c>
      <c r="I114" s="27" t="s">
        <v>138</v>
      </c>
      <c r="J114" s="0" t="n">
        <v>324</v>
      </c>
      <c r="K114" s="0" t="n">
        <v>68</v>
      </c>
      <c r="L114" s="0" t="n">
        <v>73</v>
      </c>
      <c r="M114" s="0" t="n">
        <v>1190.65</v>
      </c>
      <c r="N114" s="0" t="n">
        <v>10.7</v>
      </c>
      <c r="O114" s="0" t="n">
        <v>38.37</v>
      </c>
      <c r="P114" s="0" t="n">
        <v>4.35</v>
      </c>
      <c r="Q114" s="0" t="n">
        <v>3.75</v>
      </c>
      <c r="R114" s="0" t="n">
        <v>5785</v>
      </c>
      <c r="S114" s="0" t="n">
        <v>10122</v>
      </c>
      <c r="T114" s="0" t="n">
        <v>59.25</v>
      </c>
      <c r="U114" s="0" t="n">
        <v>2080</v>
      </c>
      <c r="V114" s="0" t="n">
        <v>6</v>
      </c>
      <c r="W114" s="27" t="n">
        <f aca="false">MATCH(A114,DATAS,0)</f>
        <v>1</v>
      </c>
      <c r="X114" s="27" t="n">
        <f aca="false">IF(AND(E114&gt;0,OR(AND(B114&gt;=1,B114&lt;=6),B114=10)),1,0)</f>
        <v>1</v>
      </c>
      <c r="Y114" s="27" t="n">
        <f aca="false">IF(AND(E114&gt;0,B114=10),1,0)</f>
        <v>0</v>
      </c>
      <c r="Z114" s="0" t="str">
        <f aca="false">IF(AND(C113=C114,W113=W114-1),X113,"")</f>
        <v/>
      </c>
      <c r="AA114" s="0" t="str">
        <f aca="false">IF(AND(C113=C114,W113=W114-1),Y113,"")</f>
        <v/>
      </c>
      <c r="AB114" s="0" t="str">
        <f aca="false">IF(W114=1,"",IF(AND(X114=1,Z114&lt;&gt;1),1,0))</f>
        <v/>
      </c>
      <c r="AC114" s="0" t="str">
        <f aca="false">IF(W114=1,"",IF(AND(Y114=1,AA114&lt;&gt;1),1,0))</f>
        <v/>
      </c>
      <c r="AD114" s="33" t="str">
        <f aca="false">IF(AND(E114&gt;0,W114&lt;1,NOT(AND(C115=C114,W115=W114+1))),INDEX(DATAS,W114+1),"")</f>
        <v/>
      </c>
      <c r="AE114" s="33" t="str">
        <f aca="false">IF(AND(Y114=1,W114&lt;1),IF(AND(C115=C114,W115=W114+1),IF(Y115=1,"",INDEX(DATAS,W114+1)),INDEX(DATAS,W114+1)),"")</f>
        <v/>
      </c>
    </row>
    <row r="115" customFormat="false" ht="15" hidden="false" customHeight="false" outlineLevel="0" collapsed="false">
      <c r="A115" s="33" t="n">
        <v>46309</v>
      </c>
      <c r="B115" s="0" t="n">
        <v>7</v>
      </c>
      <c r="C115" s="0" t="n">
        <v>3297</v>
      </c>
      <c r="D115" s="0" t="n">
        <v>395</v>
      </c>
      <c r="E115" s="0" t="n">
        <v>3</v>
      </c>
      <c r="F115" s="27" t="s">
        <v>244</v>
      </c>
      <c r="I115" s="27" t="s">
        <v>143</v>
      </c>
      <c r="J115" s="0" t="n">
        <v>347</v>
      </c>
      <c r="K115" s="0" t="n">
        <v>60</v>
      </c>
      <c r="L115" s="0" t="n">
        <v>84</v>
      </c>
      <c r="M115" s="0" t="n">
        <v>1016.64</v>
      </c>
      <c r="N115" s="0" t="n">
        <v>27.14</v>
      </c>
      <c r="O115" s="0" t="n">
        <v>33.43</v>
      </c>
      <c r="P115" s="0" t="n">
        <v>3.81</v>
      </c>
      <c r="Q115" s="0" t="n">
        <v>3.62</v>
      </c>
      <c r="R115" s="0" t="n">
        <v>6154</v>
      </c>
      <c r="S115" s="0" t="n">
        <v>12533</v>
      </c>
      <c r="T115" s="0" t="n">
        <v>60.2</v>
      </c>
      <c r="U115" s="0" t="n">
        <v>2079</v>
      </c>
      <c r="V115" s="0" t="n">
        <v>8</v>
      </c>
      <c r="W115" s="27" t="n">
        <f aca="false">MATCH(A115,DATAS,0)</f>
        <v>1</v>
      </c>
      <c r="X115" s="27" t="n">
        <f aca="false">IF(AND(E115&gt;0,OR(AND(B115&gt;=1,B115&lt;=6),B115=10)),1,0)</f>
        <v>0</v>
      </c>
      <c r="Y115" s="27" t="n">
        <f aca="false">IF(AND(E115&gt;0,B115=10),1,0)</f>
        <v>0</v>
      </c>
      <c r="Z115" s="0" t="str">
        <f aca="false">IF(AND(C114=C115,W114=W115-1),X114,"")</f>
        <v/>
      </c>
      <c r="AA115" s="0" t="str">
        <f aca="false">IF(AND(C114=C115,W114=W115-1),Y114,"")</f>
        <v/>
      </c>
      <c r="AB115" s="0" t="str">
        <f aca="false">IF(W115=1,"",IF(AND(X115=1,Z115&lt;&gt;1),1,0))</f>
        <v/>
      </c>
      <c r="AC115" s="0" t="str">
        <f aca="false">IF(W115=1,"",IF(AND(Y115=1,AA115&lt;&gt;1),1,0))</f>
        <v/>
      </c>
      <c r="AD115" s="33" t="str">
        <f aca="false">IF(AND(E115&gt;0,W115&lt;1,NOT(AND(C116=C115,W116=W115+1))),INDEX(DATAS,W115+1),"")</f>
        <v/>
      </c>
      <c r="AE115" s="33" t="str">
        <f aca="false">IF(AND(Y115=1,W115&lt;1),IF(AND(C116=C115,W116=W115+1),IF(Y116=1,"",INDEX(DATAS,W115+1)),INDEX(DATAS,W115+1)),"")</f>
        <v/>
      </c>
    </row>
    <row r="116" customFormat="false" ht="15" hidden="false" customHeight="false" outlineLevel="0" collapsed="false">
      <c r="A116" s="33" t="n">
        <v>46309</v>
      </c>
      <c r="B116" s="0" t="n">
        <v>5</v>
      </c>
      <c r="C116" s="0" t="n">
        <v>3306</v>
      </c>
      <c r="D116" s="0" t="n">
        <v>111</v>
      </c>
      <c r="E116" s="0" t="n">
        <v>4</v>
      </c>
      <c r="F116" s="27" t="s">
        <v>245</v>
      </c>
      <c r="G116" s="0" t="n">
        <v>28.3</v>
      </c>
      <c r="H116" s="0" t="n">
        <v>26</v>
      </c>
      <c r="I116" s="27" t="s">
        <v>168</v>
      </c>
      <c r="J116" s="0" t="n">
        <v>111</v>
      </c>
      <c r="K116" s="0" t="n">
        <v>83</v>
      </c>
      <c r="M116" s="0" t="n">
        <v>966.42</v>
      </c>
      <c r="N116" s="0" t="n">
        <v>3.4</v>
      </c>
      <c r="O116" s="0" t="n">
        <v>25.31</v>
      </c>
      <c r="P116" s="0" t="n">
        <v>3.7</v>
      </c>
      <c r="Q116" s="0" t="n">
        <v>2.98</v>
      </c>
      <c r="R116" s="0" t="n">
        <v>3191</v>
      </c>
      <c r="S116" s="0" t="n">
        <v>6351</v>
      </c>
      <c r="T116" s="0" t="n">
        <v>40.35</v>
      </c>
      <c r="U116" s="0" t="n">
        <v>2072</v>
      </c>
      <c r="V116" s="0" t="n">
        <v>1</v>
      </c>
      <c r="W116" s="27" t="n">
        <f aca="false">MATCH(A116,DATAS,0)</f>
        <v>1</v>
      </c>
      <c r="X116" s="27" t="n">
        <f aca="false">IF(AND(E116&gt;0,OR(AND(B116&gt;=1,B116&lt;=6),B116=10)),1,0)</f>
        <v>1</v>
      </c>
      <c r="Y116" s="27" t="n">
        <f aca="false">IF(AND(E116&gt;0,B116=10),1,0)</f>
        <v>0</v>
      </c>
      <c r="Z116" s="0" t="str">
        <f aca="false">IF(AND(C115=C116,W115=W116-1),X115,"")</f>
        <v/>
      </c>
      <c r="AA116" s="0" t="str">
        <f aca="false">IF(AND(C115=C116,W115=W116-1),Y115,"")</f>
        <v/>
      </c>
      <c r="AB116" s="0" t="str">
        <f aca="false">IF(W116=1,"",IF(AND(X116=1,Z116&lt;&gt;1),1,0))</f>
        <v/>
      </c>
      <c r="AC116" s="0" t="str">
        <f aca="false">IF(W116=1,"",IF(AND(Y116=1,AA116&lt;&gt;1),1,0))</f>
        <v/>
      </c>
      <c r="AD116" s="33" t="str">
        <f aca="false">IF(AND(E116&gt;0,W116&lt;1,NOT(AND(C117=C116,W117=W116+1))),INDEX(DATAS,W116+1),"")</f>
        <v/>
      </c>
      <c r="AE116" s="33" t="str">
        <f aca="false">IF(AND(Y116=1,W116&lt;1),IF(AND(C117=C116,W117=W116+1),IF(Y117=1,"",INDEX(DATAS,W116+1)),INDEX(DATAS,W116+1)),"")</f>
        <v/>
      </c>
    </row>
    <row r="117" customFormat="false" ht="15" hidden="false" customHeight="false" outlineLevel="0" collapsed="false">
      <c r="A117" s="33" t="n">
        <v>46309</v>
      </c>
      <c r="B117" s="0" t="n">
        <v>5</v>
      </c>
      <c r="C117" s="0" t="n">
        <v>3317</v>
      </c>
      <c r="D117" s="0" t="n">
        <v>124</v>
      </c>
      <c r="E117" s="0" t="n">
        <v>4</v>
      </c>
      <c r="F117" s="27" t="s">
        <v>246</v>
      </c>
      <c r="G117" s="0" t="n">
        <v>32.4</v>
      </c>
      <c r="H117" s="0" t="n">
        <v>29</v>
      </c>
      <c r="I117" s="27" t="s">
        <v>168</v>
      </c>
      <c r="J117" s="0" t="n">
        <v>124</v>
      </c>
      <c r="K117" s="0" t="n">
        <v>68</v>
      </c>
      <c r="M117" s="0" t="n">
        <v>558.74</v>
      </c>
      <c r="N117" s="0" t="n">
        <v>9.86</v>
      </c>
      <c r="O117" s="0" t="n">
        <v>12.59</v>
      </c>
      <c r="P117" s="0" t="n">
        <v>3.35</v>
      </c>
      <c r="Q117" s="0" t="n">
        <v>2.93</v>
      </c>
      <c r="R117" s="0" t="n">
        <v>4719</v>
      </c>
      <c r="S117" s="0" t="n">
        <v>9062</v>
      </c>
      <c r="T117" s="0" t="n">
        <v>50.95</v>
      </c>
      <c r="U117" s="0" t="n">
        <v>2066</v>
      </c>
      <c r="V117" s="0" t="n">
        <v>2</v>
      </c>
      <c r="W117" s="27" t="n">
        <f aca="false">MATCH(A117,DATAS,0)</f>
        <v>1</v>
      </c>
      <c r="X117" s="27" t="n">
        <f aca="false">IF(AND(E117&gt;0,OR(AND(B117&gt;=1,B117&lt;=6),B117=10)),1,0)</f>
        <v>1</v>
      </c>
      <c r="Y117" s="27" t="n">
        <f aca="false">IF(AND(E117&gt;0,B117=10),1,0)</f>
        <v>0</v>
      </c>
      <c r="Z117" s="0" t="str">
        <f aca="false">IF(AND(C116=C117,W116=W117-1),X116,"")</f>
        <v/>
      </c>
      <c r="AA117" s="0" t="str">
        <f aca="false">IF(AND(C116=C117,W116=W117-1),Y116,"")</f>
        <v/>
      </c>
      <c r="AB117" s="0" t="str">
        <f aca="false">IF(W117=1,"",IF(AND(X117=1,Z117&lt;&gt;1),1,0))</f>
        <v/>
      </c>
      <c r="AC117" s="0" t="str">
        <f aca="false">IF(W117=1,"",IF(AND(Y117=1,AA117&lt;&gt;1),1,0))</f>
        <v/>
      </c>
      <c r="AD117" s="33" t="str">
        <f aca="false">IF(AND(E117&gt;0,W117&lt;1,NOT(AND(C118=C117,W118=W117+1))),INDEX(DATAS,W117+1),"")</f>
        <v/>
      </c>
      <c r="AE117" s="33" t="str">
        <f aca="false">IF(AND(Y117=1,W117&lt;1),IF(AND(C118=C117,W118=W117+1),IF(Y118=1,"",INDEX(DATAS,W117+1)),INDEX(DATAS,W117+1)),"")</f>
        <v/>
      </c>
    </row>
    <row r="118" customFormat="false" ht="15" hidden="false" customHeight="false" outlineLevel="0" collapsed="false">
      <c r="A118" s="33" t="n">
        <v>46309</v>
      </c>
      <c r="B118" s="0" t="n">
        <v>10</v>
      </c>
      <c r="C118" s="0" t="n">
        <v>3331</v>
      </c>
      <c r="D118" s="0" t="n">
        <v>154</v>
      </c>
      <c r="E118" s="0" t="n">
        <v>4</v>
      </c>
      <c r="F118" s="27" t="s">
        <v>247</v>
      </c>
      <c r="H118" s="0" t="n">
        <v>12</v>
      </c>
      <c r="I118" s="27" t="s">
        <v>168</v>
      </c>
      <c r="J118" s="0" t="n">
        <v>154</v>
      </c>
      <c r="K118" s="0" t="n">
        <v>71</v>
      </c>
      <c r="M118" s="0" t="n">
        <v>-410.96</v>
      </c>
      <c r="N118" s="0" t="n">
        <v>14.39</v>
      </c>
      <c r="O118" s="0" t="n">
        <v>4.3</v>
      </c>
      <c r="P118" s="0" t="n">
        <v>3.84</v>
      </c>
      <c r="Q118" s="0" t="n">
        <v>3.49</v>
      </c>
      <c r="R118" s="0" t="n">
        <v>4374</v>
      </c>
      <c r="S118" s="0" t="n">
        <v>8147</v>
      </c>
      <c r="T118" s="0" t="n">
        <v>48.3</v>
      </c>
      <c r="U118" s="0" t="n">
        <v>2052</v>
      </c>
      <c r="V118" s="0" t="n">
        <v>2</v>
      </c>
      <c r="W118" s="27" t="n">
        <f aca="false">MATCH(A118,DATAS,0)</f>
        <v>1</v>
      </c>
      <c r="X118" s="27" t="n">
        <f aca="false">IF(AND(E118&gt;0,OR(AND(B118&gt;=1,B118&lt;=6),B118=10)),1,0)</f>
        <v>1</v>
      </c>
      <c r="Y118" s="27" t="n">
        <f aca="false">IF(AND(E118&gt;0,B118=10),1,0)</f>
        <v>1</v>
      </c>
      <c r="Z118" s="0" t="str">
        <f aca="false">IF(AND(C117=C118,W117=W118-1),X117,"")</f>
        <v/>
      </c>
      <c r="AA118" s="0" t="str">
        <f aca="false">IF(AND(C117=C118,W117=W118-1),Y117,"")</f>
        <v/>
      </c>
      <c r="AB118" s="0" t="str">
        <f aca="false">IF(W118=1,"",IF(AND(X118=1,Z118&lt;&gt;1),1,0))</f>
        <v/>
      </c>
      <c r="AC118" s="0" t="str">
        <f aca="false">IF(W118=1,"",IF(AND(Y118=1,AA118&lt;&gt;1),1,0))</f>
        <v/>
      </c>
      <c r="AD118" s="33" t="str">
        <f aca="false">IF(AND(E118&gt;0,W118&lt;1,NOT(AND(C119=C118,W119=W118+1))),INDEX(DATAS,W118+1),"")</f>
        <v/>
      </c>
      <c r="AE118" s="33" t="str">
        <f aca="false">IF(AND(Y118=1,W118&lt;1),IF(AND(C119=C118,W119=W118+1),IF(Y119=1,"",INDEX(DATAS,W118+1)),INDEX(DATAS,W118+1)),"")</f>
        <v/>
      </c>
    </row>
    <row r="119" customFormat="false" ht="15" hidden="false" customHeight="false" outlineLevel="0" collapsed="false">
      <c r="A119" s="33" t="n">
        <v>46309</v>
      </c>
      <c r="B119" s="0" t="n">
        <v>7</v>
      </c>
      <c r="C119" s="0" t="n">
        <v>3334</v>
      </c>
      <c r="D119" s="0" t="n">
        <v>132</v>
      </c>
      <c r="E119" s="0" t="n">
        <v>5</v>
      </c>
      <c r="F119" s="27" t="s">
        <v>248</v>
      </c>
      <c r="I119" s="27" t="s">
        <v>143</v>
      </c>
      <c r="J119" s="0" t="n">
        <v>72</v>
      </c>
      <c r="K119" s="0" t="n">
        <v>72</v>
      </c>
      <c r="L119" s="0" t="n">
        <v>77</v>
      </c>
      <c r="M119" s="0" t="n">
        <v>38.75</v>
      </c>
      <c r="N119" s="0" t="n">
        <v>20.1</v>
      </c>
      <c r="O119" s="0" t="n">
        <v>7.3</v>
      </c>
      <c r="P119" s="0" t="n">
        <v>5.66</v>
      </c>
      <c r="Q119" s="0" t="n">
        <v>4.23</v>
      </c>
      <c r="R119" s="0" t="n">
        <v>2108</v>
      </c>
      <c r="S119" s="0" t="n">
        <v>4092</v>
      </c>
      <c r="T119" s="0" t="n">
        <v>18.95</v>
      </c>
      <c r="U119" s="0" t="n">
        <v>2051</v>
      </c>
      <c r="V119" s="0" t="n">
        <v>1</v>
      </c>
      <c r="W119" s="27" t="n">
        <f aca="false">MATCH(A119,DATAS,0)</f>
        <v>1</v>
      </c>
      <c r="X119" s="27" t="n">
        <f aca="false">IF(AND(E119&gt;0,OR(AND(B119&gt;=1,B119&lt;=6),B119=10)),1,0)</f>
        <v>0</v>
      </c>
      <c r="Y119" s="27" t="n">
        <f aca="false">IF(AND(E119&gt;0,B119=10),1,0)</f>
        <v>0</v>
      </c>
      <c r="Z119" s="0" t="str">
        <f aca="false">IF(AND(C118=C119,W118=W119-1),X118,"")</f>
        <v/>
      </c>
      <c r="AA119" s="0" t="str">
        <f aca="false">IF(AND(C118=C119,W118=W119-1),Y118,"")</f>
        <v/>
      </c>
      <c r="AB119" s="0" t="str">
        <f aca="false">IF(W119=1,"",IF(AND(X119=1,Z119&lt;&gt;1),1,0))</f>
        <v/>
      </c>
      <c r="AC119" s="0" t="str">
        <f aca="false">IF(W119=1,"",IF(AND(Y119=1,AA119&lt;&gt;1),1,0))</f>
        <v/>
      </c>
      <c r="AD119" s="33" t="str">
        <f aca="false">IF(AND(E119&gt;0,W119&lt;1,NOT(AND(C120=C119,W120=W119+1))),INDEX(DATAS,W119+1),"")</f>
        <v/>
      </c>
      <c r="AE119" s="33" t="str">
        <f aca="false">IF(AND(Y119=1,W119&lt;1),IF(AND(C120=C119,W120=W119+1),IF(Y120=1,"",INDEX(DATAS,W119+1)),INDEX(DATAS,W119+1)),"")</f>
        <v/>
      </c>
    </row>
    <row r="120" customFormat="false" ht="15" hidden="false" customHeight="false" outlineLevel="0" collapsed="false">
      <c r="A120" s="33" t="n">
        <v>46309</v>
      </c>
      <c r="B120" s="0" t="n">
        <v>14</v>
      </c>
      <c r="C120" s="0" t="n">
        <v>3338</v>
      </c>
      <c r="D120" s="0" t="n">
        <v>677</v>
      </c>
      <c r="E120" s="0" t="n">
        <v>3</v>
      </c>
      <c r="F120" s="27" t="s">
        <v>249</v>
      </c>
      <c r="I120" s="27" t="s">
        <v>143</v>
      </c>
      <c r="J120" s="0" t="n">
        <v>573</v>
      </c>
      <c r="K120" s="0" t="n">
        <v>70</v>
      </c>
      <c r="L120" s="0" t="n">
        <v>259</v>
      </c>
      <c r="M120" s="0" t="n">
        <v>798.32</v>
      </c>
      <c r="N120" s="0" t="n">
        <v>22.03</v>
      </c>
      <c r="O120" s="0" t="n">
        <v>29.53</v>
      </c>
      <c r="P120" s="0" t="n">
        <v>4.63</v>
      </c>
      <c r="Q120" s="0" t="n">
        <v>3.92</v>
      </c>
      <c r="R120" s="0" t="n">
        <v>5395</v>
      </c>
      <c r="S120" s="0" t="n">
        <v>12285</v>
      </c>
      <c r="T120" s="0" t="n">
        <v>37.2</v>
      </c>
      <c r="U120" s="0" t="n">
        <v>2049</v>
      </c>
      <c r="V120" s="0" t="n">
        <v>14</v>
      </c>
      <c r="W120" s="27" t="n">
        <f aca="false">MATCH(A120,DATAS,0)</f>
        <v>1</v>
      </c>
      <c r="X120" s="27" t="n">
        <f aca="false">IF(AND(E120&gt;0,OR(AND(B120&gt;=1,B120&lt;=6),B120=10)),1,0)</f>
        <v>0</v>
      </c>
      <c r="Y120" s="27" t="n">
        <f aca="false">IF(AND(E120&gt;0,B120=10),1,0)</f>
        <v>0</v>
      </c>
      <c r="Z120" s="0" t="str">
        <f aca="false">IF(AND(C119=C120,W119=W120-1),X119,"")</f>
        <v/>
      </c>
      <c r="AA120" s="0" t="str">
        <f aca="false">IF(AND(C119=C120,W119=W120-1),Y119,"")</f>
        <v/>
      </c>
      <c r="AB120" s="0" t="str">
        <f aca="false">IF(W120=1,"",IF(AND(X120=1,Z120&lt;&gt;1),1,0))</f>
        <v/>
      </c>
      <c r="AC120" s="0" t="str">
        <f aca="false">IF(W120=1,"",IF(AND(Y120=1,AA120&lt;&gt;1),1,0))</f>
        <v/>
      </c>
      <c r="AD120" s="33" t="str">
        <f aca="false">IF(AND(E120&gt;0,W120&lt;1,NOT(AND(C121=C120,W121=W120+1))),INDEX(DATAS,W120+1),"")</f>
        <v/>
      </c>
      <c r="AE120" s="33" t="str">
        <f aca="false">IF(AND(Y120=1,W120&lt;1),IF(AND(C121=C120,W121=W120+1),IF(Y121=1,"",INDEX(DATAS,W120+1)),INDEX(DATAS,W120+1)),"")</f>
        <v/>
      </c>
    </row>
    <row r="121" customFormat="false" ht="15" hidden="false" customHeight="false" outlineLevel="0" collapsed="false">
      <c r="A121" s="33" t="n">
        <v>46309</v>
      </c>
      <c r="B121" s="0" t="n">
        <v>3</v>
      </c>
      <c r="C121" s="0" t="n">
        <v>3339</v>
      </c>
      <c r="D121" s="0" t="n">
        <v>174</v>
      </c>
      <c r="E121" s="0" t="n">
        <v>4</v>
      </c>
      <c r="F121" s="27" t="s">
        <v>249</v>
      </c>
      <c r="G121" s="0" t="n">
        <v>51.9</v>
      </c>
      <c r="H121" s="0" t="n">
        <v>48</v>
      </c>
      <c r="I121" s="27" t="s">
        <v>168</v>
      </c>
      <c r="J121" s="0" t="n">
        <v>174</v>
      </c>
      <c r="K121" s="0" t="n">
        <v>69</v>
      </c>
      <c r="M121" s="0" t="n">
        <v>1342.29</v>
      </c>
      <c r="N121" s="0" t="n">
        <v>15.52</v>
      </c>
      <c r="O121" s="0" t="n">
        <v>26.84</v>
      </c>
      <c r="P121" s="0" t="n">
        <v>2.29</v>
      </c>
      <c r="Q121" s="0" t="n">
        <v>3.2</v>
      </c>
      <c r="R121" s="0" t="n">
        <v>7112</v>
      </c>
      <c r="S121" s="0" t="n">
        <v>13606</v>
      </c>
      <c r="T121" s="0" t="n">
        <v>78.85</v>
      </c>
      <c r="U121" s="0" t="n">
        <v>2049</v>
      </c>
      <c r="V121" s="0" t="n">
        <v>3</v>
      </c>
      <c r="W121" s="27" t="n">
        <f aca="false">MATCH(A121,DATAS,0)</f>
        <v>1</v>
      </c>
      <c r="X121" s="27" t="n">
        <f aca="false">IF(AND(E121&gt;0,OR(AND(B121&gt;=1,B121&lt;=6),B121=10)),1,0)</f>
        <v>1</v>
      </c>
      <c r="Y121" s="27" t="n">
        <f aca="false">IF(AND(E121&gt;0,B121=10),1,0)</f>
        <v>0</v>
      </c>
      <c r="Z121" s="0" t="str">
        <f aca="false">IF(AND(C120=C121,W120=W121-1),X120,"")</f>
        <v/>
      </c>
      <c r="AA121" s="0" t="str">
        <f aca="false">IF(AND(C120=C121,W120=W121-1),Y120,"")</f>
        <v/>
      </c>
      <c r="AB121" s="0" t="str">
        <f aca="false">IF(W121=1,"",IF(AND(X121=1,Z121&lt;&gt;1),1,0))</f>
        <v/>
      </c>
      <c r="AC121" s="0" t="str">
        <f aca="false">IF(W121=1,"",IF(AND(Y121=1,AA121&lt;&gt;1),1,0))</f>
        <v/>
      </c>
      <c r="AD121" s="33" t="str">
        <f aca="false">IF(AND(E121&gt;0,W121&lt;1,NOT(AND(C122=C121,W122=W121+1))),INDEX(DATAS,W121+1),"")</f>
        <v/>
      </c>
      <c r="AE121" s="33" t="str">
        <f aca="false">IF(AND(Y121=1,W121&lt;1),IF(AND(C122=C121,W122=W121+1),IF(Y122=1,"",INDEX(DATAS,W121+1)),INDEX(DATAS,W121+1)),"")</f>
        <v/>
      </c>
    </row>
    <row r="122" customFormat="false" ht="15" hidden="false" customHeight="false" outlineLevel="0" collapsed="false">
      <c r="A122" s="33" t="n">
        <v>46309</v>
      </c>
      <c r="B122" s="0" t="n">
        <v>2</v>
      </c>
      <c r="C122" s="0" t="n">
        <v>3349</v>
      </c>
      <c r="D122" s="0" t="n">
        <v>90</v>
      </c>
      <c r="E122" s="0" t="n">
        <v>4</v>
      </c>
      <c r="F122" s="27" t="s">
        <v>250</v>
      </c>
      <c r="G122" s="0" t="n">
        <v>55.5</v>
      </c>
      <c r="H122" s="0" t="n">
        <v>55</v>
      </c>
      <c r="I122" s="27" t="s">
        <v>168</v>
      </c>
      <c r="J122" s="0" t="n">
        <v>90</v>
      </c>
      <c r="K122" s="0" t="n">
        <v>69</v>
      </c>
      <c r="M122" s="0" t="n">
        <v>190.37</v>
      </c>
      <c r="N122" s="0" t="n">
        <v>28.87</v>
      </c>
      <c r="O122" s="0" t="n">
        <v>9</v>
      </c>
      <c r="P122" s="0" t="n">
        <v>2.89</v>
      </c>
      <c r="Q122" s="0" t="n">
        <v>3.3</v>
      </c>
      <c r="R122" s="0" t="n">
        <v>5048</v>
      </c>
      <c r="S122" s="0" t="n">
        <v>10147</v>
      </c>
      <c r="U122" s="0" t="n">
        <v>2039</v>
      </c>
      <c r="V122" s="0" t="n">
        <v>1</v>
      </c>
      <c r="W122" s="27" t="n">
        <f aca="false">MATCH(A122,DATAS,0)</f>
        <v>1</v>
      </c>
      <c r="X122" s="27" t="n">
        <f aca="false">IF(AND(E122&gt;0,OR(AND(B122&gt;=1,B122&lt;=6),B122=10)),1,0)</f>
        <v>1</v>
      </c>
      <c r="Y122" s="27" t="n">
        <f aca="false">IF(AND(E122&gt;0,B122=10),1,0)</f>
        <v>0</v>
      </c>
      <c r="Z122" s="0" t="str">
        <f aca="false">IF(AND(C121=C122,W121=W122-1),X121,"")</f>
        <v/>
      </c>
      <c r="AA122" s="0" t="str">
        <f aca="false">IF(AND(C121=C122,W121=W122-1),Y121,"")</f>
        <v/>
      </c>
      <c r="AB122" s="0" t="str">
        <f aca="false">IF(W122=1,"",IF(AND(X122=1,Z122&lt;&gt;1),1,0))</f>
        <v/>
      </c>
      <c r="AC122" s="0" t="str">
        <f aca="false">IF(W122=1,"",IF(AND(Y122=1,AA122&lt;&gt;1),1,0))</f>
        <v/>
      </c>
      <c r="AD122" s="33" t="str">
        <f aca="false">IF(AND(E122&gt;0,W122&lt;1,NOT(AND(C123=C122,W123=W122+1))),INDEX(DATAS,W122+1),"")</f>
        <v/>
      </c>
      <c r="AE122" s="33" t="str">
        <f aca="false">IF(AND(Y122=1,W122&lt;1),IF(AND(C123=C122,W123=W122+1),IF(Y123=1,"",INDEX(DATAS,W122+1)),INDEX(DATAS,W122+1)),"")</f>
        <v/>
      </c>
    </row>
    <row r="123" customFormat="false" ht="15" hidden="false" customHeight="false" outlineLevel="0" collapsed="false">
      <c r="A123" s="33" t="n">
        <v>46309</v>
      </c>
      <c r="B123" s="0" t="n">
        <v>7</v>
      </c>
      <c r="C123" s="0" t="n">
        <v>3350</v>
      </c>
      <c r="D123" s="0" t="n">
        <v>396</v>
      </c>
      <c r="E123" s="0" t="n">
        <v>3</v>
      </c>
      <c r="F123" s="27" t="s">
        <v>250</v>
      </c>
      <c r="I123" s="27" t="s">
        <v>143</v>
      </c>
      <c r="J123" s="0" t="n">
        <v>278</v>
      </c>
      <c r="K123" s="0" t="n">
        <v>61</v>
      </c>
      <c r="L123" s="0" t="n">
        <v>161</v>
      </c>
      <c r="M123" s="0" t="n">
        <v>205.59</v>
      </c>
      <c r="N123" s="0" t="n">
        <v>32.71</v>
      </c>
      <c r="O123" s="0" t="n">
        <v>10.97</v>
      </c>
      <c r="P123" s="0" t="n">
        <v>4.61</v>
      </c>
      <c r="Q123" s="0" t="n">
        <v>3.5</v>
      </c>
      <c r="R123" s="0" t="n">
        <v>5632</v>
      </c>
      <c r="S123" s="0" t="n">
        <v>9531</v>
      </c>
      <c r="T123" s="0" t="n">
        <v>55.65</v>
      </c>
      <c r="U123" s="0" t="n">
        <v>2039</v>
      </c>
      <c r="V123" s="0" t="n">
        <v>5</v>
      </c>
      <c r="W123" s="27" t="n">
        <f aca="false">MATCH(A123,DATAS,0)</f>
        <v>1</v>
      </c>
      <c r="X123" s="27" t="n">
        <f aca="false">IF(AND(E123&gt;0,OR(AND(B123&gt;=1,B123&lt;=6),B123=10)),1,0)</f>
        <v>0</v>
      </c>
      <c r="Y123" s="27" t="n">
        <f aca="false">IF(AND(E123&gt;0,B123=10),1,0)</f>
        <v>0</v>
      </c>
      <c r="Z123" s="0" t="str">
        <f aca="false">IF(AND(C122=C123,W122=W123-1),X122,"")</f>
        <v/>
      </c>
      <c r="AA123" s="0" t="str">
        <f aca="false">IF(AND(C122=C123,W122=W123-1),Y122,"")</f>
        <v/>
      </c>
      <c r="AB123" s="0" t="str">
        <f aca="false">IF(W123=1,"",IF(AND(X123=1,Z123&lt;&gt;1),1,0))</f>
        <v/>
      </c>
      <c r="AC123" s="0" t="str">
        <f aca="false">IF(W123=1,"",IF(AND(Y123=1,AA123&lt;&gt;1),1,0))</f>
        <v/>
      </c>
      <c r="AD123" s="33" t="str">
        <f aca="false">IF(AND(E123&gt;0,W123&lt;1,NOT(AND(C124=C123,W124=W123+1))),INDEX(DATAS,W123+1),"")</f>
        <v/>
      </c>
      <c r="AE123" s="33" t="str">
        <f aca="false">IF(AND(Y123=1,W123&lt;1),IF(AND(C124=C123,W124=W123+1),IF(Y124=1,"",INDEX(DATAS,W123+1)),INDEX(DATAS,W123+1)),"")</f>
        <v/>
      </c>
    </row>
    <row r="124" customFormat="false" ht="15" hidden="false" customHeight="false" outlineLevel="0" collapsed="false">
      <c r="A124" s="33" t="n">
        <v>46309</v>
      </c>
      <c r="B124" s="0" t="n">
        <v>6</v>
      </c>
      <c r="C124" s="0" t="n">
        <v>3355</v>
      </c>
      <c r="D124" s="0" t="n">
        <v>180</v>
      </c>
      <c r="E124" s="0" t="n">
        <v>4</v>
      </c>
      <c r="F124" s="27" t="s">
        <v>251</v>
      </c>
      <c r="G124" s="0" t="n">
        <v>22</v>
      </c>
      <c r="H124" s="0" t="n">
        <v>24</v>
      </c>
      <c r="I124" s="27" t="s">
        <v>138</v>
      </c>
      <c r="J124" s="0" t="n">
        <v>96</v>
      </c>
      <c r="K124" s="0" t="n">
        <v>68</v>
      </c>
      <c r="L124" s="0" t="n">
        <v>84</v>
      </c>
      <c r="M124" s="0" t="n">
        <v>-66.81</v>
      </c>
      <c r="N124" s="0" t="n">
        <v>60.3</v>
      </c>
      <c r="O124" s="0" t="n">
        <v>12.42</v>
      </c>
      <c r="P124" s="0" t="n">
        <v>6.11</v>
      </c>
      <c r="Q124" s="0" t="n">
        <v>4.37</v>
      </c>
      <c r="R124" s="0" t="n">
        <v>3381</v>
      </c>
      <c r="S124" s="0" t="n">
        <v>6290</v>
      </c>
      <c r="T124" s="0" t="n">
        <v>30.65</v>
      </c>
      <c r="U124" s="0" t="n">
        <v>2037</v>
      </c>
      <c r="V124" s="0" t="n">
        <v>3</v>
      </c>
      <c r="W124" s="27" t="n">
        <f aca="false">MATCH(A124,DATAS,0)</f>
        <v>1</v>
      </c>
      <c r="X124" s="27" t="n">
        <f aca="false">IF(AND(E124&gt;0,OR(AND(B124&gt;=1,B124&lt;=6),B124=10)),1,0)</f>
        <v>1</v>
      </c>
      <c r="Y124" s="27" t="n">
        <f aca="false">IF(AND(E124&gt;0,B124=10),1,0)</f>
        <v>0</v>
      </c>
      <c r="Z124" s="0" t="str">
        <f aca="false">IF(AND(C123=C124,W123=W124-1),X123,"")</f>
        <v/>
      </c>
      <c r="AA124" s="0" t="str">
        <f aca="false">IF(AND(C123=C124,W123=W124-1),Y123,"")</f>
        <v/>
      </c>
      <c r="AB124" s="0" t="str">
        <f aca="false">IF(W124=1,"",IF(AND(X124=1,Z124&lt;&gt;1),1,0))</f>
        <v/>
      </c>
      <c r="AC124" s="0" t="str">
        <f aca="false">IF(W124=1,"",IF(AND(Y124=1,AA124&lt;&gt;1),1,0))</f>
        <v/>
      </c>
      <c r="AD124" s="33" t="str">
        <f aca="false">IF(AND(E124&gt;0,W124&lt;1,NOT(AND(C125=C124,W125=W124+1))),INDEX(DATAS,W124+1),"")</f>
        <v/>
      </c>
      <c r="AE124" s="33" t="str">
        <f aca="false">IF(AND(Y124=1,W124&lt;1),IF(AND(C125=C124,W125=W124+1),IF(Y125=1,"",INDEX(DATAS,W124+1)),INDEX(DATAS,W124+1)),"")</f>
        <v/>
      </c>
    </row>
    <row r="125" customFormat="false" ht="15" hidden="false" customHeight="false" outlineLevel="0" collapsed="false">
      <c r="A125" s="33" t="n">
        <v>46309</v>
      </c>
      <c r="B125" s="0" t="n">
        <v>5</v>
      </c>
      <c r="C125" s="0" t="n">
        <v>3357</v>
      </c>
      <c r="D125" s="0" t="n">
        <v>302</v>
      </c>
      <c r="E125" s="0" t="n">
        <v>4</v>
      </c>
      <c r="F125" s="27" t="s">
        <v>252</v>
      </c>
      <c r="G125" s="0" t="n">
        <v>30.1</v>
      </c>
      <c r="H125" s="0" t="n">
        <v>28</v>
      </c>
      <c r="I125" s="27" t="s">
        <v>168</v>
      </c>
      <c r="J125" s="0" t="n">
        <v>302</v>
      </c>
      <c r="K125" s="0" t="n">
        <v>78</v>
      </c>
      <c r="M125" s="0" t="n">
        <v>-289.93</v>
      </c>
      <c r="N125" s="0" t="n">
        <v>40.34</v>
      </c>
      <c r="O125" s="0" t="n">
        <v>14.14</v>
      </c>
      <c r="P125" s="0" t="n">
        <v>5.4</v>
      </c>
      <c r="Q125" s="0" t="n">
        <v>3.64</v>
      </c>
      <c r="R125" s="0" t="n">
        <v>6288</v>
      </c>
      <c r="S125" s="0" t="n">
        <v>12723</v>
      </c>
      <c r="T125" s="0" t="n">
        <v>71.15</v>
      </c>
      <c r="U125" s="0" t="n">
        <v>2036</v>
      </c>
      <c r="V125" s="0" t="n">
        <v>6</v>
      </c>
      <c r="W125" s="27" t="n">
        <f aca="false">MATCH(A125,DATAS,0)</f>
        <v>1</v>
      </c>
      <c r="X125" s="27" t="n">
        <f aca="false">IF(AND(E125&gt;0,OR(AND(B125&gt;=1,B125&lt;=6),B125=10)),1,0)</f>
        <v>1</v>
      </c>
      <c r="Y125" s="27" t="n">
        <f aca="false">IF(AND(E125&gt;0,B125=10),1,0)</f>
        <v>0</v>
      </c>
      <c r="Z125" s="0" t="str">
        <f aca="false">IF(AND(C124=C125,W124=W125-1),X124,"")</f>
        <v/>
      </c>
      <c r="AA125" s="0" t="str">
        <f aca="false">IF(AND(C124=C125,W124=W125-1),Y124,"")</f>
        <v/>
      </c>
      <c r="AB125" s="0" t="str">
        <f aca="false">IF(W125=1,"",IF(AND(X125=1,Z125&lt;&gt;1),1,0))</f>
        <v/>
      </c>
      <c r="AC125" s="0" t="str">
        <f aca="false">IF(W125=1,"",IF(AND(Y125=1,AA125&lt;&gt;1),1,0))</f>
        <v/>
      </c>
      <c r="AD125" s="33" t="str">
        <f aca="false">IF(AND(E125&gt;0,W125&lt;1,NOT(AND(C126=C125,W126=W125+1))),INDEX(DATAS,W125+1),"")</f>
        <v/>
      </c>
      <c r="AE125" s="33" t="str">
        <f aca="false">IF(AND(Y125=1,W125&lt;1),IF(AND(C126=C125,W126=W125+1),IF(Y126=1,"",INDEX(DATAS,W125+1)),INDEX(DATAS,W125+1)),"")</f>
        <v/>
      </c>
    </row>
    <row r="126" customFormat="false" ht="15" hidden="false" customHeight="false" outlineLevel="0" collapsed="false">
      <c r="A126" s="33" t="n">
        <v>46309</v>
      </c>
      <c r="B126" s="0" t="n">
        <v>3</v>
      </c>
      <c r="C126" s="0" t="n">
        <v>3366</v>
      </c>
      <c r="D126" s="0" t="n">
        <v>8</v>
      </c>
      <c r="E126" s="0" t="n">
        <v>5</v>
      </c>
      <c r="F126" s="27" t="s">
        <v>253</v>
      </c>
      <c r="G126" s="0" t="n">
        <v>34.9</v>
      </c>
      <c r="H126" s="0" t="n">
        <v>24</v>
      </c>
      <c r="I126" s="27" t="s">
        <v>147</v>
      </c>
      <c r="J126" s="0" t="n">
        <v>8</v>
      </c>
      <c r="M126" s="0" t="n">
        <v>1280.61</v>
      </c>
      <c r="N126" s="0" t="n">
        <v>31.03</v>
      </c>
      <c r="O126" s="0" t="n">
        <v>29.57</v>
      </c>
      <c r="R126" s="0" t="n">
        <v>1627</v>
      </c>
      <c r="S126" s="0" t="n">
        <v>3271</v>
      </c>
      <c r="U126" s="0" t="n">
        <v>2032</v>
      </c>
      <c r="V126" s="0" t="n">
        <v>0</v>
      </c>
      <c r="W126" s="27" t="n">
        <f aca="false">MATCH(A126,DATAS,0)</f>
        <v>1</v>
      </c>
      <c r="X126" s="27" t="n">
        <f aca="false">IF(AND(E126&gt;0,OR(AND(B126&gt;=1,B126&lt;=6),B126=10)),1,0)</f>
        <v>1</v>
      </c>
      <c r="Y126" s="27" t="n">
        <f aca="false">IF(AND(E126&gt;0,B126=10),1,0)</f>
        <v>0</v>
      </c>
      <c r="Z126" s="0" t="str">
        <f aca="false">IF(AND(C125=C126,W125=W126-1),X125,"")</f>
        <v/>
      </c>
      <c r="AA126" s="0" t="str">
        <f aca="false">IF(AND(C125=C126,W125=W126-1),Y125,"")</f>
        <v/>
      </c>
      <c r="AB126" s="0" t="str">
        <f aca="false">IF(W126=1,"",IF(AND(X126=1,Z126&lt;&gt;1),1,0))</f>
        <v/>
      </c>
      <c r="AC126" s="0" t="str">
        <f aca="false">IF(W126=1,"",IF(AND(Y126=1,AA126&lt;&gt;1),1,0))</f>
        <v/>
      </c>
      <c r="AD126" s="33" t="str">
        <f aca="false">IF(AND(E126&gt;0,W126&lt;1,NOT(AND(C127=C126,W127=W126+1))),INDEX(DATAS,W126+1),"")</f>
        <v/>
      </c>
      <c r="AE126" s="33" t="str">
        <f aca="false">IF(AND(Y126=1,W126&lt;1),IF(AND(C127=C126,W127=W126+1),IF(Y127=1,"",INDEX(DATAS,W126+1)),INDEX(DATAS,W126+1)),"")</f>
        <v/>
      </c>
    </row>
    <row r="127" customFormat="false" ht="15" hidden="false" customHeight="false" outlineLevel="0" collapsed="false">
      <c r="A127" s="33" t="n">
        <v>46309</v>
      </c>
      <c r="B127" s="0" t="n">
        <v>5</v>
      </c>
      <c r="C127" s="0" t="n">
        <v>3370</v>
      </c>
      <c r="D127" s="0" t="n">
        <v>277</v>
      </c>
      <c r="E127" s="0" t="n">
        <v>4</v>
      </c>
      <c r="F127" s="27" t="s">
        <v>254</v>
      </c>
      <c r="G127" s="0" t="n">
        <v>44.4</v>
      </c>
      <c r="H127" s="0" t="n">
        <v>41</v>
      </c>
      <c r="I127" s="27" t="s">
        <v>138</v>
      </c>
      <c r="J127" s="0" t="n">
        <v>102</v>
      </c>
      <c r="K127" s="0" t="n">
        <v>67</v>
      </c>
      <c r="L127" s="0" t="n">
        <v>175</v>
      </c>
      <c r="M127" s="0" t="n">
        <v>434.53</v>
      </c>
      <c r="N127" s="0" t="n">
        <v>24.38</v>
      </c>
      <c r="O127" s="0" t="n">
        <v>22.76</v>
      </c>
      <c r="P127" s="0" t="n">
        <v>4.98</v>
      </c>
      <c r="Q127" s="0" t="n">
        <v>3.58</v>
      </c>
      <c r="R127" s="0" t="n">
        <v>5025</v>
      </c>
      <c r="S127" s="0" t="n">
        <v>10384</v>
      </c>
      <c r="T127" s="0" t="n">
        <v>58.5</v>
      </c>
      <c r="U127" s="0" t="n">
        <v>2028</v>
      </c>
      <c r="V127" s="0" t="n">
        <v>2</v>
      </c>
      <c r="W127" s="27" t="n">
        <f aca="false">MATCH(A127,DATAS,0)</f>
        <v>1</v>
      </c>
      <c r="X127" s="27" t="n">
        <f aca="false">IF(AND(E127&gt;0,OR(AND(B127&gt;=1,B127&lt;=6),B127=10)),1,0)</f>
        <v>1</v>
      </c>
      <c r="Y127" s="27" t="n">
        <f aca="false">IF(AND(E127&gt;0,B127=10),1,0)</f>
        <v>0</v>
      </c>
      <c r="Z127" s="0" t="str">
        <f aca="false">IF(AND(C126=C127,W126=W127-1),X126,"")</f>
        <v/>
      </c>
      <c r="AA127" s="0" t="str">
        <f aca="false">IF(AND(C126=C127,W126=W127-1),Y126,"")</f>
        <v/>
      </c>
      <c r="AB127" s="0" t="str">
        <f aca="false">IF(W127=1,"",IF(AND(X127=1,Z127&lt;&gt;1),1,0))</f>
        <v/>
      </c>
      <c r="AC127" s="0" t="str">
        <f aca="false">IF(W127=1,"",IF(AND(Y127=1,AA127&lt;&gt;1),1,0))</f>
        <v/>
      </c>
      <c r="AD127" s="33" t="str">
        <f aca="false">IF(AND(E127&gt;0,W127&lt;1,NOT(AND(C128=C127,W128=W127+1))),INDEX(DATAS,W127+1),"")</f>
        <v/>
      </c>
      <c r="AE127" s="33" t="str">
        <f aca="false">IF(AND(Y127=1,W127&lt;1),IF(AND(C128=C127,W128=W127+1),IF(Y128=1,"",INDEX(DATAS,W127+1)),INDEX(DATAS,W127+1)),"")</f>
        <v/>
      </c>
    </row>
    <row r="128" customFormat="false" ht="15" hidden="false" customHeight="false" outlineLevel="0" collapsed="false">
      <c r="A128" s="33" t="n">
        <v>46309</v>
      </c>
      <c r="B128" s="0" t="n">
        <v>14</v>
      </c>
      <c r="C128" s="0" t="n">
        <v>3376</v>
      </c>
      <c r="D128" s="0" t="n">
        <v>363</v>
      </c>
      <c r="E128" s="0" t="n">
        <v>4</v>
      </c>
      <c r="F128" s="27" t="s">
        <v>255</v>
      </c>
      <c r="I128" s="27" t="s">
        <v>143</v>
      </c>
      <c r="J128" s="0" t="n">
        <v>140</v>
      </c>
      <c r="K128" s="0" t="n">
        <v>63</v>
      </c>
      <c r="L128" s="0" t="n">
        <v>259</v>
      </c>
      <c r="M128" s="0" t="n">
        <v>1158.26</v>
      </c>
      <c r="N128" s="0" t="n">
        <v>9.2</v>
      </c>
      <c r="O128" s="0" t="n">
        <v>23.68</v>
      </c>
      <c r="P128" s="0" t="n">
        <v>3.06</v>
      </c>
      <c r="Q128" s="0" t="n">
        <v>3.27</v>
      </c>
      <c r="R128" s="0" t="n">
        <v>6626</v>
      </c>
      <c r="S128" s="0" t="n">
        <v>13187</v>
      </c>
      <c r="T128" s="0" t="n">
        <v>71.05</v>
      </c>
      <c r="U128" s="0" t="n">
        <v>2023</v>
      </c>
      <c r="V128" s="0" t="n">
        <v>3</v>
      </c>
      <c r="W128" s="27" t="n">
        <f aca="false">MATCH(A128,DATAS,0)</f>
        <v>1</v>
      </c>
      <c r="X128" s="27" t="n">
        <f aca="false">IF(AND(E128&gt;0,OR(AND(B128&gt;=1,B128&lt;=6),B128=10)),1,0)</f>
        <v>0</v>
      </c>
      <c r="Y128" s="27" t="n">
        <f aca="false">IF(AND(E128&gt;0,B128=10),1,0)</f>
        <v>0</v>
      </c>
      <c r="Z128" s="0" t="str">
        <f aca="false">IF(AND(C127=C128,W127=W128-1),X127,"")</f>
        <v/>
      </c>
      <c r="AA128" s="0" t="str">
        <f aca="false">IF(AND(C127=C128,W127=W128-1),Y127,"")</f>
        <v/>
      </c>
      <c r="AB128" s="0" t="str">
        <f aca="false">IF(W128=1,"",IF(AND(X128=1,Z128&lt;&gt;1),1,0))</f>
        <v/>
      </c>
      <c r="AC128" s="0" t="str">
        <f aca="false">IF(W128=1,"",IF(AND(Y128=1,AA128&lt;&gt;1),1,0))</f>
        <v/>
      </c>
      <c r="AD128" s="33" t="str">
        <f aca="false">IF(AND(E128&gt;0,W128&lt;1,NOT(AND(C129=C128,W129=W128+1))),INDEX(DATAS,W128+1),"")</f>
        <v/>
      </c>
      <c r="AE128" s="33" t="str">
        <f aca="false">IF(AND(Y128=1,W128&lt;1),IF(AND(C129=C128,W129=W128+1),IF(Y129=1,"",INDEX(DATAS,W128+1)),INDEX(DATAS,W128+1)),"")</f>
        <v/>
      </c>
    </row>
    <row r="129" customFormat="false" ht="15" hidden="false" customHeight="false" outlineLevel="0" collapsed="false">
      <c r="A129" s="33" t="n">
        <v>46309</v>
      </c>
      <c r="B129" s="0" t="n">
        <v>5</v>
      </c>
      <c r="C129" s="0" t="n">
        <v>3380</v>
      </c>
      <c r="D129" s="0" t="n">
        <v>157</v>
      </c>
      <c r="E129" s="0" t="n">
        <v>5</v>
      </c>
      <c r="F129" s="27" t="s">
        <v>256</v>
      </c>
      <c r="G129" s="0" t="n">
        <v>37.2</v>
      </c>
      <c r="H129" s="0" t="n">
        <v>37</v>
      </c>
      <c r="I129" s="27" t="s">
        <v>168</v>
      </c>
      <c r="J129" s="0" t="n">
        <v>157</v>
      </c>
      <c r="K129" s="0" t="n">
        <v>74</v>
      </c>
      <c r="M129" s="0" t="n">
        <v>432.7</v>
      </c>
      <c r="N129" s="0" t="n">
        <v>20.11</v>
      </c>
      <c r="O129" s="0" t="n">
        <v>19.2</v>
      </c>
      <c r="P129" s="0" t="n">
        <v>4.1</v>
      </c>
      <c r="Q129" s="0" t="n">
        <v>3.38</v>
      </c>
      <c r="R129" s="0" t="n">
        <v>4572</v>
      </c>
      <c r="S129" s="0" t="n">
        <v>8782</v>
      </c>
      <c r="T129" s="0" t="n">
        <v>48.4</v>
      </c>
      <c r="U129" s="0" t="n">
        <v>2021</v>
      </c>
      <c r="V129" s="0" t="n">
        <v>4</v>
      </c>
      <c r="W129" s="27" t="n">
        <f aca="false">MATCH(A129,DATAS,0)</f>
        <v>1</v>
      </c>
      <c r="X129" s="27" t="n">
        <f aca="false">IF(AND(E129&gt;0,OR(AND(B129&gt;=1,B129&lt;=6),B129=10)),1,0)</f>
        <v>1</v>
      </c>
      <c r="Y129" s="27" t="n">
        <f aca="false">IF(AND(E129&gt;0,B129=10),1,0)</f>
        <v>0</v>
      </c>
      <c r="Z129" s="0" t="str">
        <f aca="false">IF(AND(C128=C129,W128=W129-1),X128,"")</f>
        <v/>
      </c>
      <c r="AA129" s="0" t="str">
        <f aca="false">IF(AND(C128=C129,W128=W129-1),Y128,"")</f>
        <v/>
      </c>
      <c r="AB129" s="0" t="str">
        <f aca="false">IF(W129=1,"",IF(AND(X129=1,Z129&lt;&gt;1),1,0))</f>
        <v/>
      </c>
      <c r="AC129" s="0" t="str">
        <f aca="false">IF(W129=1,"",IF(AND(Y129=1,AA129&lt;&gt;1),1,0))</f>
        <v/>
      </c>
      <c r="AD129" s="33" t="str">
        <f aca="false">IF(AND(E129&gt;0,W129&lt;1,NOT(AND(C130=C129,W130=W129+1))),INDEX(DATAS,W129+1),"")</f>
        <v/>
      </c>
      <c r="AE129" s="33" t="str">
        <f aca="false">IF(AND(Y129=1,W129&lt;1),IF(AND(C130=C129,W130=W129+1),IF(Y130=1,"",INDEX(DATAS,W129+1)),INDEX(DATAS,W129+1)),"")</f>
        <v/>
      </c>
    </row>
    <row r="130" customFormat="false" ht="15" hidden="false" customHeight="false" outlineLevel="0" collapsed="false">
      <c r="A130" s="33" t="n">
        <v>46309</v>
      </c>
      <c r="B130" s="0" t="n">
        <v>14</v>
      </c>
      <c r="C130" s="0" t="n">
        <v>3386</v>
      </c>
      <c r="D130" s="0" t="n">
        <v>488</v>
      </c>
      <c r="E130" s="0" t="n">
        <v>3</v>
      </c>
      <c r="F130" s="27" t="s">
        <v>257</v>
      </c>
      <c r="I130" s="27" t="s">
        <v>143</v>
      </c>
      <c r="J130" s="0" t="n">
        <v>279</v>
      </c>
      <c r="K130" s="0" t="n">
        <v>62</v>
      </c>
      <c r="L130" s="0" t="n">
        <v>259</v>
      </c>
      <c r="M130" s="0" t="n">
        <v>465.99</v>
      </c>
      <c r="N130" s="0" t="n">
        <v>25.38</v>
      </c>
      <c r="O130" s="0" t="n">
        <v>23.23</v>
      </c>
      <c r="P130" s="0" t="n">
        <v>4.09</v>
      </c>
      <c r="Q130" s="0" t="n">
        <v>4.05</v>
      </c>
      <c r="R130" s="0" t="n">
        <v>6074</v>
      </c>
      <c r="S130" s="0" t="n">
        <v>11143</v>
      </c>
      <c r="T130" s="0" t="n">
        <v>62.45</v>
      </c>
      <c r="U130" s="0" t="n">
        <v>2019</v>
      </c>
      <c r="V130" s="0" t="n">
        <v>8</v>
      </c>
      <c r="W130" s="27" t="n">
        <f aca="false">MATCH(A130,DATAS,0)</f>
        <v>1</v>
      </c>
      <c r="X130" s="27" t="n">
        <f aca="false">IF(AND(E130&gt;0,OR(AND(B130&gt;=1,B130&lt;=6),B130=10)),1,0)</f>
        <v>0</v>
      </c>
      <c r="Y130" s="27" t="n">
        <f aca="false">IF(AND(E130&gt;0,B130=10),1,0)</f>
        <v>0</v>
      </c>
      <c r="Z130" s="0" t="str">
        <f aca="false">IF(AND(C129=C130,W129=W130-1),X129,"")</f>
        <v/>
      </c>
      <c r="AA130" s="0" t="str">
        <f aca="false">IF(AND(C129=C130,W129=W130-1),Y129,"")</f>
        <v/>
      </c>
      <c r="AB130" s="0" t="str">
        <f aca="false">IF(W130=1,"",IF(AND(X130=1,Z130&lt;&gt;1),1,0))</f>
        <v/>
      </c>
      <c r="AC130" s="0" t="str">
        <f aca="false">IF(W130=1,"",IF(AND(Y130=1,AA130&lt;&gt;1),1,0))</f>
        <v/>
      </c>
      <c r="AD130" s="33" t="str">
        <f aca="false">IF(AND(E130&gt;0,W130&lt;1,NOT(AND(C131=C130,W131=W130+1))),INDEX(DATAS,W130+1),"")</f>
        <v/>
      </c>
      <c r="AE130" s="33" t="str">
        <f aca="false">IF(AND(Y130=1,W130&lt;1),IF(AND(C131=C130,W131=W130+1),IF(Y131=1,"",INDEX(DATAS,W130+1)),INDEX(DATAS,W130+1)),"")</f>
        <v/>
      </c>
    </row>
    <row r="131" customFormat="false" ht="15" hidden="false" customHeight="false" outlineLevel="0" collapsed="false">
      <c r="A131" s="33" t="n">
        <v>46309</v>
      </c>
      <c r="B131" s="0" t="n">
        <v>3</v>
      </c>
      <c r="C131" s="0" t="n">
        <v>3390</v>
      </c>
      <c r="D131" s="0" t="n">
        <v>6</v>
      </c>
      <c r="E131" s="0" t="n">
        <v>4</v>
      </c>
      <c r="F131" s="27" t="s">
        <v>258</v>
      </c>
      <c r="H131" s="0" t="n">
        <v>10</v>
      </c>
      <c r="I131" s="27" t="s">
        <v>147</v>
      </c>
      <c r="J131" s="0" t="n">
        <v>6</v>
      </c>
      <c r="M131" s="0" t="n">
        <v>845.41</v>
      </c>
      <c r="N131" s="0" t="n">
        <v>30.4</v>
      </c>
      <c r="O131" s="0" t="n">
        <v>33.92</v>
      </c>
      <c r="R131" s="0" t="n">
        <v>875</v>
      </c>
      <c r="S131" s="0" t="n">
        <v>1760</v>
      </c>
      <c r="U131" s="0" t="n">
        <v>2015</v>
      </c>
      <c r="V131" s="0" t="n">
        <v>0</v>
      </c>
      <c r="W131" s="27" t="n">
        <f aca="false">MATCH(A131,DATAS,0)</f>
        <v>1</v>
      </c>
      <c r="X131" s="27" t="n">
        <f aca="false">IF(AND(E131&gt;0,OR(AND(B131&gt;=1,B131&lt;=6),B131=10)),1,0)</f>
        <v>1</v>
      </c>
      <c r="Y131" s="27" t="n">
        <f aca="false">IF(AND(E131&gt;0,B131=10),1,0)</f>
        <v>0</v>
      </c>
      <c r="Z131" s="0" t="str">
        <f aca="false">IF(AND(C130=C131,W130=W131-1),X130,"")</f>
        <v/>
      </c>
      <c r="AA131" s="0" t="str">
        <f aca="false">IF(AND(C130=C131,W130=W131-1),Y130,"")</f>
        <v/>
      </c>
      <c r="AB131" s="0" t="str">
        <f aca="false">IF(W131=1,"",IF(AND(X131=1,Z131&lt;&gt;1),1,0))</f>
        <v/>
      </c>
      <c r="AC131" s="0" t="str">
        <f aca="false">IF(W131=1,"",IF(AND(Y131=1,AA131&lt;&gt;1),1,0))</f>
        <v/>
      </c>
      <c r="AD131" s="33" t="str">
        <f aca="false">IF(AND(E131&gt;0,W131&lt;1,NOT(AND(C132=C131,W132=W131+1))),INDEX(DATAS,W131+1),"")</f>
        <v/>
      </c>
      <c r="AE131" s="33" t="str">
        <f aca="false">IF(AND(Y131=1,W131&lt;1),IF(AND(C132=C131,W132=W131+1),IF(Y132=1,"",INDEX(DATAS,W131+1)),INDEX(DATAS,W131+1)),"")</f>
        <v/>
      </c>
    </row>
    <row r="132" customFormat="false" ht="15" hidden="false" customHeight="false" outlineLevel="0" collapsed="false">
      <c r="A132" s="33" t="n">
        <v>46309</v>
      </c>
      <c r="B132" s="0" t="n">
        <v>2</v>
      </c>
      <c r="C132" s="0" t="n">
        <v>3392</v>
      </c>
      <c r="D132" s="0" t="n">
        <v>42</v>
      </c>
      <c r="E132" s="0" t="n">
        <v>4</v>
      </c>
      <c r="F132" s="27" t="s">
        <v>259</v>
      </c>
      <c r="G132" s="0" t="n">
        <v>74.4</v>
      </c>
      <c r="H132" s="0" t="n">
        <v>71</v>
      </c>
      <c r="I132" s="27" t="s">
        <v>147</v>
      </c>
      <c r="J132" s="0" t="n">
        <v>42</v>
      </c>
      <c r="M132" s="0" t="n">
        <v>1126.69</v>
      </c>
      <c r="N132" s="0" t="n">
        <v>17.07</v>
      </c>
      <c r="O132" s="0" t="n">
        <v>25.1</v>
      </c>
      <c r="P132" s="0" t="n">
        <v>4.5</v>
      </c>
      <c r="Q132" s="0" t="n">
        <v>3.04</v>
      </c>
      <c r="R132" s="0" t="n">
        <v>5723</v>
      </c>
      <c r="S132" s="0" t="n">
        <v>11505</v>
      </c>
      <c r="U132" s="0" t="n">
        <v>2014</v>
      </c>
      <c r="V132" s="0" t="n">
        <v>0</v>
      </c>
      <c r="W132" s="27" t="n">
        <f aca="false">MATCH(A132,DATAS,0)</f>
        <v>1</v>
      </c>
      <c r="X132" s="27" t="n">
        <f aca="false">IF(AND(E132&gt;0,OR(AND(B132&gt;=1,B132&lt;=6),B132=10)),1,0)</f>
        <v>1</v>
      </c>
      <c r="Y132" s="27" t="n">
        <f aca="false">IF(AND(E132&gt;0,B132=10),1,0)</f>
        <v>0</v>
      </c>
      <c r="Z132" s="0" t="str">
        <f aca="false">IF(AND(C131=C132,W131=W132-1),X131,"")</f>
        <v/>
      </c>
      <c r="AA132" s="0" t="str">
        <f aca="false">IF(AND(C131=C132,W131=W132-1),Y131,"")</f>
        <v/>
      </c>
      <c r="AB132" s="0" t="str">
        <f aca="false">IF(W132=1,"",IF(AND(X132=1,Z132&lt;&gt;1),1,0))</f>
        <v/>
      </c>
      <c r="AC132" s="0" t="str">
        <f aca="false">IF(W132=1,"",IF(AND(Y132=1,AA132&lt;&gt;1),1,0))</f>
        <v/>
      </c>
      <c r="AD132" s="33" t="str">
        <f aca="false">IF(AND(E132&gt;0,W132&lt;1,NOT(AND(C133=C132,W133=W132+1))),INDEX(DATAS,W132+1),"")</f>
        <v/>
      </c>
      <c r="AE132" s="33" t="str">
        <f aca="false">IF(AND(Y132=1,W132&lt;1),IF(AND(C133=C132,W133=W132+1),IF(Y133=1,"",INDEX(DATAS,W132+1)),INDEX(DATAS,W132+1)),"")</f>
        <v/>
      </c>
    </row>
    <row r="133" customFormat="false" ht="15" hidden="false" customHeight="false" outlineLevel="0" collapsed="false">
      <c r="A133" s="33" t="n">
        <v>46309</v>
      </c>
      <c r="B133" s="0" t="n">
        <v>3</v>
      </c>
      <c r="C133" s="0" t="n">
        <v>3393</v>
      </c>
      <c r="D133" s="0" t="n">
        <v>100</v>
      </c>
      <c r="E133" s="0" t="n">
        <v>4</v>
      </c>
      <c r="F133" s="27" t="s">
        <v>260</v>
      </c>
      <c r="G133" s="0" t="n">
        <v>73.3</v>
      </c>
      <c r="H133" s="0" t="n">
        <v>77</v>
      </c>
      <c r="I133" s="27" t="s">
        <v>176</v>
      </c>
      <c r="J133" s="0" t="n">
        <v>100</v>
      </c>
      <c r="K133" s="0" t="n">
        <v>65</v>
      </c>
      <c r="M133" s="0" t="n">
        <v>940.48</v>
      </c>
      <c r="N133" s="0" t="n">
        <v>2.47</v>
      </c>
      <c r="O133" s="0" t="n">
        <v>24.31</v>
      </c>
      <c r="P133" s="0" t="n">
        <v>2.56</v>
      </c>
      <c r="Q133" s="0" t="n">
        <v>2.94</v>
      </c>
      <c r="R133" s="0" t="n">
        <v>7160</v>
      </c>
      <c r="S133" s="0" t="n">
        <v>14393</v>
      </c>
      <c r="T133" s="0" t="n">
        <v>78.55</v>
      </c>
      <c r="U133" s="0" t="n">
        <v>2013</v>
      </c>
      <c r="V133" s="0" t="n">
        <v>1</v>
      </c>
      <c r="W133" s="27" t="n">
        <f aca="false">MATCH(A133,DATAS,0)</f>
        <v>1</v>
      </c>
      <c r="X133" s="27" t="n">
        <f aca="false">IF(AND(E133&gt;0,OR(AND(B133&gt;=1,B133&lt;=6),B133=10)),1,0)</f>
        <v>1</v>
      </c>
      <c r="Y133" s="27" t="n">
        <f aca="false">IF(AND(E133&gt;0,B133=10),1,0)</f>
        <v>0</v>
      </c>
      <c r="Z133" s="0" t="str">
        <f aca="false">IF(AND(C132=C133,W132=W133-1),X132,"")</f>
        <v/>
      </c>
      <c r="AA133" s="0" t="str">
        <f aca="false">IF(AND(C132=C133,W132=W133-1),Y132,"")</f>
        <v/>
      </c>
      <c r="AB133" s="0" t="str">
        <f aca="false">IF(W133=1,"",IF(AND(X133=1,Z133&lt;&gt;1),1,0))</f>
        <v/>
      </c>
      <c r="AC133" s="0" t="str">
        <f aca="false">IF(W133=1,"",IF(AND(Y133=1,AA133&lt;&gt;1),1,0))</f>
        <v/>
      </c>
      <c r="AD133" s="33" t="str">
        <f aca="false">IF(AND(E133&gt;0,W133&lt;1,NOT(AND(C134=C133,W134=W133+1))),INDEX(DATAS,W133+1),"")</f>
        <v/>
      </c>
      <c r="AE133" s="33" t="str">
        <f aca="false">IF(AND(Y133=1,W133&lt;1),IF(AND(C134=C133,W134=W133+1),IF(Y134=1,"",INDEX(DATAS,W133+1)),INDEX(DATAS,W133+1)),"")</f>
        <v/>
      </c>
    </row>
    <row r="134" customFormat="false" ht="15" hidden="false" customHeight="false" outlineLevel="0" collapsed="false">
      <c r="A134" s="33" t="n">
        <v>46309</v>
      </c>
      <c r="B134" s="0" t="n">
        <v>5</v>
      </c>
      <c r="C134" s="0" t="n">
        <v>3394</v>
      </c>
      <c r="D134" s="0" t="n">
        <v>314</v>
      </c>
      <c r="E134" s="0" t="n">
        <v>4</v>
      </c>
      <c r="F134" s="27" t="s">
        <v>261</v>
      </c>
      <c r="G134" s="0" t="n">
        <v>44.4</v>
      </c>
      <c r="H134" s="0" t="n">
        <v>45</v>
      </c>
      <c r="I134" s="27" t="s">
        <v>138</v>
      </c>
      <c r="J134" s="0" t="n">
        <v>104</v>
      </c>
      <c r="K134" s="0" t="n">
        <v>69</v>
      </c>
      <c r="L134" s="0" t="n">
        <v>210</v>
      </c>
      <c r="M134" s="0" t="n">
        <v>321.84</v>
      </c>
      <c r="N134" s="0" t="n">
        <v>41.08</v>
      </c>
      <c r="O134" s="0" t="n">
        <v>23.07</v>
      </c>
      <c r="P134" s="0" t="n">
        <v>3.23</v>
      </c>
      <c r="Q134" s="0" t="n">
        <v>3.91</v>
      </c>
      <c r="R134" s="0" t="n">
        <v>6195</v>
      </c>
      <c r="S134" s="0" t="n">
        <v>12370</v>
      </c>
      <c r="T134" s="0" t="n">
        <v>70.05</v>
      </c>
      <c r="U134" s="0" t="n">
        <v>2012</v>
      </c>
      <c r="V134" s="0" t="n">
        <v>2</v>
      </c>
      <c r="W134" s="27" t="n">
        <f aca="false">MATCH(A134,DATAS,0)</f>
        <v>1</v>
      </c>
      <c r="X134" s="27" t="n">
        <f aca="false">IF(AND(E134&gt;0,OR(AND(B134&gt;=1,B134&lt;=6),B134=10)),1,0)</f>
        <v>1</v>
      </c>
      <c r="Y134" s="27" t="n">
        <f aca="false">IF(AND(E134&gt;0,B134=10),1,0)</f>
        <v>0</v>
      </c>
      <c r="Z134" s="0" t="str">
        <f aca="false">IF(AND(C133=C134,W133=W134-1),X133,"")</f>
        <v/>
      </c>
      <c r="AA134" s="0" t="str">
        <f aca="false">IF(AND(C133=C134,W133=W134-1),Y133,"")</f>
        <v/>
      </c>
      <c r="AB134" s="0" t="str">
        <f aca="false">IF(W134=1,"",IF(AND(X134=1,Z134&lt;&gt;1),1,0))</f>
        <v/>
      </c>
      <c r="AC134" s="0" t="str">
        <f aca="false">IF(W134=1,"",IF(AND(Y134=1,AA134&lt;&gt;1),1,0))</f>
        <v/>
      </c>
      <c r="AD134" s="33" t="str">
        <f aca="false">IF(AND(E134&gt;0,W134&lt;1,NOT(AND(C135=C134,W135=W134+1))),INDEX(DATAS,W134+1),"")</f>
        <v/>
      </c>
      <c r="AE134" s="33" t="str">
        <f aca="false">IF(AND(Y134=1,W134&lt;1),IF(AND(C135=C134,W135=W134+1),IF(Y135=1,"",INDEX(DATAS,W134+1)),INDEX(DATAS,W134+1)),"")</f>
        <v/>
      </c>
    </row>
    <row r="135" customFormat="false" ht="15" hidden="false" customHeight="false" outlineLevel="0" collapsed="false">
      <c r="A135" s="33" t="n">
        <v>46309</v>
      </c>
      <c r="B135" s="0" t="n">
        <v>3</v>
      </c>
      <c r="C135" s="0" t="n">
        <v>3397</v>
      </c>
      <c r="D135" s="0" t="n">
        <v>9</v>
      </c>
      <c r="E135" s="0" t="n">
        <v>4</v>
      </c>
      <c r="F135" s="27" t="s">
        <v>262</v>
      </c>
      <c r="G135" s="0" t="n">
        <v>53</v>
      </c>
      <c r="H135" s="0" t="n">
        <v>45</v>
      </c>
      <c r="I135" s="27" t="s">
        <v>147</v>
      </c>
      <c r="J135" s="0" t="n">
        <v>9</v>
      </c>
      <c r="M135" s="0" t="n">
        <v>607.48</v>
      </c>
      <c r="N135" s="0" t="n">
        <v>34.9</v>
      </c>
      <c r="O135" s="0" t="n">
        <v>29.04</v>
      </c>
      <c r="R135" s="0" t="n">
        <v>3727</v>
      </c>
      <c r="S135" s="0" t="n">
        <v>7493</v>
      </c>
      <c r="U135" s="0" t="n">
        <v>2011</v>
      </c>
      <c r="V135" s="0" t="n">
        <v>0</v>
      </c>
      <c r="W135" s="27" t="n">
        <f aca="false">MATCH(A135,DATAS,0)</f>
        <v>1</v>
      </c>
      <c r="X135" s="27" t="n">
        <f aca="false">IF(AND(E135&gt;0,OR(AND(B135&gt;=1,B135&lt;=6),B135=10)),1,0)</f>
        <v>1</v>
      </c>
      <c r="Y135" s="27" t="n">
        <f aca="false">IF(AND(E135&gt;0,B135=10),1,0)</f>
        <v>0</v>
      </c>
      <c r="Z135" s="0" t="str">
        <f aca="false">IF(AND(C134=C135,W134=W135-1),X134,"")</f>
        <v/>
      </c>
      <c r="AA135" s="0" t="str">
        <f aca="false">IF(AND(C134=C135,W134=W135-1),Y134,"")</f>
        <v/>
      </c>
      <c r="AB135" s="0" t="str">
        <f aca="false">IF(W135=1,"",IF(AND(X135=1,Z135&lt;&gt;1),1,0))</f>
        <v/>
      </c>
      <c r="AC135" s="0" t="str">
        <f aca="false">IF(W135=1,"",IF(AND(Y135=1,AA135&lt;&gt;1),1,0))</f>
        <v/>
      </c>
      <c r="AD135" s="33" t="str">
        <f aca="false">IF(AND(E135&gt;0,W135&lt;1,NOT(AND(C136=C135,W136=W135+1))),INDEX(DATAS,W135+1),"")</f>
        <v/>
      </c>
      <c r="AE135" s="33" t="str">
        <f aca="false">IF(AND(Y135=1,W135&lt;1),IF(AND(C136=C135,W136=W135+1),IF(Y136=1,"",INDEX(DATAS,W135+1)),INDEX(DATAS,W135+1)),"")</f>
        <v/>
      </c>
    </row>
    <row r="136" customFormat="false" ht="15" hidden="false" customHeight="false" outlineLevel="0" collapsed="false">
      <c r="A136" s="33" t="n">
        <v>46309</v>
      </c>
      <c r="B136" s="0" t="n">
        <v>7</v>
      </c>
      <c r="C136" s="0" t="n">
        <v>3401</v>
      </c>
      <c r="D136" s="0" t="n">
        <v>440</v>
      </c>
      <c r="E136" s="0" t="n">
        <v>3</v>
      </c>
      <c r="F136" s="27" t="s">
        <v>263</v>
      </c>
      <c r="I136" s="27" t="s">
        <v>143</v>
      </c>
      <c r="J136" s="0" t="n">
        <v>217</v>
      </c>
      <c r="K136" s="0" t="n">
        <v>63</v>
      </c>
      <c r="L136" s="0" t="n">
        <v>245</v>
      </c>
      <c r="M136" s="0" t="n">
        <v>805.39</v>
      </c>
      <c r="N136" s="0" t="n">
        <v>30.62</v>
      </c>
      <c r="O136" s="0" t="n">
        <v>29.61</v>
      </c>
      <c r="P136" s="0" t="n">
        <v>3.42</v>
      </c>
      <c r="Q136" s="0" t="n">
        <v>3.9</v>
      </c>
      <c r="R136" s="0" t="n">
        <v>5775</v>
      </c>
      <c r="S136" s="0" t="n">
        <v>11664</v>
      </c>
      <c r="T136" s="0" t="n">
        <v>58.55</v>
      </c>
      <c r="U136" s="0" t="n">
        <v>2009</v>
      </c>
      <c r="V136" s="0" t="n">
        <v>5</v>
      </c>
      <c r="W136" s="27" t="n">
        <f aca="false">MATCH(A136,DATAS,0)</f>
        <v>1</v>
      </c>
      <c r="X136" s="27" t="n">
        <f aca="false">IF(AND(E136&gt;0,OR(AND(B136&gt;=1,B136&lt;=6),B136=10)),1,0)</f>
        <v>0</v>
      </c>
      <c r="Y136" s="27" t="n">
        <f aca="false">IF(AND(E136&gt;0,B136=10),1,0)</f>
        <v>0</v>
      </c>
      <c r="Z136" s="0" t="str">
        <f aca="false">IF(AND(C135=C136,W135=W136-1),X135,"")</f>
        <v/>
      </c>
      <c r="AA136" s="0" t="str">
        <f aca="false">IF(AND(C135=C136,W135=W136-1),Y135,"")</f>
        <v/>
      </c>
      <c r="AB136" s="0" t="str">
        <f aca="false">IF(W136=1,"",IF(AND(X136=1,Z136&lt;&gt;1),1,0))</f>
        <v/>
      </c>
      <c r="AC136" s="0" t="str">
        <f aca="false">IF(W136=1,"",IF(AND(Y136=1,AA136&lt;&gt;1),1,0))</f>
        <v/>
      </c>
      <c r="AD136" s="33" t="str">
        <f aca="false">IF(AND(E136&gt;0,W136&lt;1,NOT(AND(C137=C136,W137=W136+1))),INDEX(DATAS,W136+1),"")</f>
        <v/>
      </c>
      <c r="AE136" s="33" t="str">
        <f aca="false">IF(AND(Y136=1,W136&lt;1),IF(AND(C137=C136,W137=W136+1),IF(Y137=1,"",INDEX(DATAS,W136+1)),INDEX(DATAS,W136+1)),"")</f>
        <v/>
      </c>
    </row>
    <row r="137" customFormat="false" ht="15" hidden="false" customHeight="false" outlineLevel="0" collapsed="false">
      <c r="A137" s="33" t="n">
        <v>46309</v>
      </c>
      <c r="B137" s="0" t="n">
        <v>3</v>
      </c>
      <c r="C137" s="0" t="n">
        <v>3413</v>
      </c>
      <c r="D137" s="0" t="n">
        <v>80</v>
      </c>
      <c r="E137" s="0" t="n">
        <v>4</v>
      </c>
      <c r="F137" s="27" t="s">
        <v>264</v>
      </c>
      <c r="G137" s="0" t="n">
        <v>64</v>
      </c>
      <c r="H137" s="0" t="n">
        <v>62</v>
      </c>
      <c r="I137" s="27" t="s">
        <v>168</v>
      </c>
      <c r="J137" s="0" t="n">
        <v>80</v>
      </c>
      <c r="K137" s="0" t="n">
        <v>80</v>
      </c>
      <c r="M137" s="0" t="n">
        <v>267.81</v>
      </c>
      <c r="N137" s="0" t="n">
        <v>44.5</v>
      </c>
      <c r="O137" s="0" t="n">
        <v>19.79</v>
      </c>
      <c r="P137" s="0" t="n">
        <v>4.45</v>
      </c>
      <c r="Q137" s="0" t="n">
        <v>3.37</v>
      </c>
      <c r="R137" s="0" t="n">
        <v>5244</v>
      </c>
      <c r="S137" s="0" t="n">
        <v>10541</v>
      </c>
      <c r="U137" s="0" t="n">
        <v>2001</v>
      </c>
      <c r="V137" s="0" t="n">
        <v>1</v>
      </c>
      <c r="W137" s="27" t="n">
        <f aca="false">MATCH(A137,DATAS,0)</f>
        <v>1</v>
      </c>
      <c r="X137" s="27" t="n">
        <f aca="false">IF(AND(E137&gt;0,OR(AND(B137&gt;=1,B137&lt;=6),B137=10)),1,0)</f>
        <v>1</v>
      </c>
      <c r="Y137" s="27" t="n">
        <f aca="false">IF(AND(E137&gt;0,B137=10),1,0)</f>
        <v>0</v>
      </c>
      <c r="Z137" s="0" t="str">
        <f aca="false">IF(AND(C136=C137,W136=W137-1),X136,"")</f>
        <v/>
      </c>
      <c r="AA137" s="0" t="str">
        <f aca="false">IF(AND(C136=C137,W136=W137-1),Y136,"")</f>
        <v/>
      </c>
      <c r="AB137" s="0" t="str">
        <f aca="false">IF(W137=1,"",IF(AND(X137=1,Z137&lt;&gt;1),1,0))</f>
        <v/>
      </c>
      <c r="AC137" s="0" t="str">
        <f aca="false">IF(W137=1,"",IF(AND(Y137=1,AA137&lt;&gt;1),1,0))</f>
        <v/>
      </c>
      <c r="AD137" s="33" t="str">
        <f aca="false">IF(AND(E137&gt;0,W137&lt;1,NOT(AND(C138=C137,W138=W137+1))),INDEX(DATAS,W137+1),"")</f>
        <v/>
      </c>
      <c r="AE137" s="33" t="str">
        <f aca="false">IF(AND(Y137=1,W137&lt;1),IF(AND(C138=C137,W138=W137+1),IF(Y138=1,"",INDEX(DATAS,W137+1)),INDEX(DATAS,W137+1)),"")</f>
        <v/>
      </c>
    </row>
    <row r="138" customFormat="false" ht="15" hidden="false" customHeight="false" outlineLevel="0" collapsed="false">
      <c r="A138" s="33" t="n">
        <v>46309</v>
      </c>
      <c r="B138" s="0" t="n">
        <v>5</v>
      </c>
      <c r="C138" s="0" t="n">
        <v>3417</v>
      </c>
      <c r="D138" s="0" t="n">
        <v>419</v>
      </c>
      <c r="E138" s="0" t="n">
        <v>4</v>
      </c>
      <c r="F138" s="27" t="s">
        <v>265</v>
      </c>
      <c r="G138" s="0" t="n">
        <v>32.8</v>
      </c>
      <c r="H138" s="0" t="n">
        <v>33</v>
      </c>
      <c r="I138" s="27" t="s">
        <v>138</v>
      </c>
      <c r="J138" s="0" t="n">
        <v>272</v>
      </c>
      <c r="K138" s="0" t="n">
        <v>69</v>
      </c>
      <c r="L138" s="0" t="n">
        <v>147</v>
      </c>
      <c r="M138" s="0" t="n">
        <v>616.74</v>
      </c>
      <c r="N138" s="0" t="n">
        <v>26.68</v>
      </c>
      <c r="O138" s="0" t="n">
        <v>18.04</v>
      </c>
      <c r="P138" s="0" t="n">
        <v>4.59</v>
      </c>
      <c r="Q138" s="0" t="n">
        <v>3.81</v>
      </c>
      <c r="R138" s="0" t="n">
        <v>4178</v>
      </c>
      <c r="S138" s="0" t="n">
        <v>8981</v>
      </c>
      <c r="T138" s="0" t="n">
        <v>48.6</v>
      </c>
      <c r="U138" s="0" t="n">
        <v>1998</v>
      </c>
      <c r="V138" s="0" t="n">
        <v>4</v>
      </c>
      <c r="W138" s="27" t="n">
        <f aca="false">MATCH(A138,DATAS,0)</f>
        <v>1</v>
      </c>
      <c r="X138" s="27" t="n">
        <f aca="false">IF(AND(E138&gt;0,OR(AND(B138&gt;=1,B138&lt;=6),B138=10)),1,0)</f>
        <v>1</v>
      </c>
      <c r="Y138" s="27" t="n">
        <f aca="false">IF(AND(E138&gt;0,B138=10),1,0)</f>
        <v>0</v>
      </c>
      <c r="Z138" s="0" t="str">
        <f aca="false">IF(AND(C137=C138,W137=W138-1),X137,"")</f>
        <v/>
      </c>
      <c r="AA138" s="0" t="str">
        <f aca="false">IF(AND(C137=C138,W137=W138-1),Y137,"")</f>
        <v/>
      </c>
      <c r="AB138" s="0" t="str">
        <f aca="false">IF(W138=1,"",IF(AND(X138=1,Z138&lt;&gt;1),1,0))</f>
        <v/>
      </c>
      <c r="AC138" s="0" t="str">
        <f aca="false">IF(W138=1,"",IF(AND(Y138=1,AA138&lt;&gt;1),1,0))</f>
        <v/>
      </c>
      <c r="AD138" s="33" t="str">
        <f aca="false">IF(AND(E138&gt;0,W138&lt;1,NOT(AND(C139=C138,W139=W138+1))),INDEX(DATAS,W138+1),"")</f>
        <v/>
      </c>
      <c r="AE138" s="33" t="str">
        <f aca="false">IF(AND(Y138=1,W138&lt;1),IF(AND(C139=C138,W139=W138+1),IF(Y139=1,"",INDEX(DATAS,W138+1)),INDEX(DATAS,W138+1)),"")</f>
        <v/>
      </c>
    </row>
    <row r="139" customFormat="false" ht="15" hidden="false" customHeight="false" outlineLevel="0" collapsed="false">
      <c r="A139" s="33" t="n">
        <v>46309</v>
      </c>
      <c r="B139" s="0" t="n">
        <v>5</v>
      </c>
      <c r="C139" s="0" t="n">
        <v>3421</v>
      </c>
      <c r="D139" s="0" t="n">
        <v>219</v>
      </c>
      <c r="E139" s="0" t="n">
        <v>4</v>
      </c>
      <c r="F139" s="27" t="s">
        <v>266</v>
      </c>
      <c r="G139" s="0" t="n">
        <v>38.3</v>
      </c>
      <c r="H139" s="0" t="n">
        <v>36</v>
      </c>
      <c r="I139" s="27" t="s">
        <v>138</v>
      </c>
      <c r="J139" s="0" t="n">
        <v>163</v>
      </c>
      <c r="K139" s="0" t="n">
        <v>65</v>
      </c>
      <c r="L139" s="0" t="n">
        <v>56</v>
      </c>
      <c r="M139" s="0" t="n">
        <v>350.78</v>
      </c>
      <c r="N139" s="0" t="n">
        <v>15.42</v>
      </c>
      <c r="O139" s="0" t="n">
        <v>23.27</v>
      </c>
      <c r="P139" s="0" t="n">
        <v>4.21</v>
      </c>
      <c r="Q139" s="0" t="n">
        <v>3.58</v>
      </c>
      <c r="R139" s="0" t="n">
        <v>4634</v>
      </c>
      <c r="S139" s="0" t="n">
        <v>9310</v>
      </c>
      <c r="T139" s="0" t="n">
        <v>49.1</v>
      </c>
      <c r="U139" s="0" t="n">
        <v>1997</v>
      </c>
      <c r="V139" s="0" t="n">
        <v>3</v>
      </c>
      <c r="W139" s="27" t="n">
        <f aca="false">MATCH(A139,DATAS,0)</f>
        <v>1</v>
      </c>
      <c r="X139" s="27" t="n">
        <f aca="false">IF(AND(E139&gt;0,OR(AND(B139&gt;=1,B139&lt;=6),B139=10)),1,0)</f>
        <v>1</v>
      </c>
      <c r="Y139" s="27" t="n">
        <f aca="false">IF(AND(E139&gt;0,B139=10),1,0)</f>
        <v>0</v>
      </c>
      <c r="Z139" s="0" t="str">
        <f aca="false">IF(AND(C138=C139,W138=W139-1),X138,"")</f>
        <v/>
      </c>
      <c r="AA139" s="0" t="str">
        <f aca="false">IF(AND(C138=C139,W138=W139-1),Y138,"")</f>
        <v/>
      </c>
      <c r="AB139" s="0" t="str">
        <f aca="false">IF(W139=1,"",IF(AND(X139=1,Z139&lt;&gt;1),1,0))</f>
        <v/>
      </c>
      <c r="AC139" s="0" t="str">
        <f aca="false">IF(W139=1,"",IF(AND(Y139=1,AA139&lt;&gt;1),1,0))</f>
        <v/>
      </c>
      <c r="AD139" s="33" t="str">
        <f aca="false">IF(AND(E139&gt;0,W139&lt;1,NOT(AND(C140=C139,W140=W139+1))),INDEX(DATAS,W139+1),"")</f>
        <v/>
      </c>
      <c r="AE139" s="33" t="str">
        <f aca="false">IF(AND(Y139=1,W139&lt;1),IF(AND(C140=C139,W140=W139+1),IF(Y140=1,"",INDEX(DATAS,W139+1)),INDEX(DATAS,W139+1)),"")</f>
        <v/>
      </c>
    </row>
    <row r="140" customFormat="false" ht="15" hidden="false" customHeight="false" outlineLevel="0" collapsed="false">
      <c r="A140" s="33" t="n">
        <v>46309</v>
      </c>
      <c r="B140" s="0" t="n">
        <v>3</v>
      </c>
      <c r="C140" s="0" t="n">
        <v>3422</v>
      </c>
      <c r="D140" s="0" t="n">
        <v>22</v>
      </c>
      <c r="E140" s="0" t="n">
        <v>4</v>
      </c>
      <c r="F140" s="27" t="s">
        <v>266</v>
      </c>
      <c r="G140" s="0" t="n">
        <v>61.3</v>
      </c>
      <c r="H140" s="0" t="n">
        <v>57</v>
      </c>
      <c r="I140" s="27" t="s">
        <v>147</v>
      </c>
      <c r="J140" s="0" t="n">
        <v>22</v>
      </c>
      <c r="M140" s="0" t="n">
        <v>291.97</v>
      </c>
      <c r="N140" s="0" t="n">
        <v>32.68</v>
      </c>
      <c r="O140" s="0" t="n">
        <v>13.41</v>
      </c>
      <c r="R140" s="0" t="n">
        <v>4104</v>
      </c>
      <c r="S140" s="0" t="n">
        <v>8250</v>
      </c>
      <c r="U140" s="0" t="n">
        <v>1997</v>
      </c>
      <c r="V140" s="0" t="n">
        <v>0</v>
      </c>
      <c r="W140" s="27" t="n">
        <f aca="false">MATCH(A140,DATAS,0)</f>
        <v>1</v>
      </c>
      <c r="X140" s="27" t="n">
        <f aca="false">IF(AND(E140&gt;0,OR(AND(B140&gt;=1,B140&lt;=6),B140=10)),1,0)</f>
        <v>1</v>
      </c>
      <c r="Y140" s="27" t="n">
        <f aca="false">IF(AND(E140&gt;0,B140=10),1,0)</f>
        <v>0</v>
      </c>
      <c r="Z140" s="0" t="str">
        <f aca="false">IF(AND(C139=C140,W139=W140-1),X139,"")</f>
        <v/>
      </c>
      <c r="AA140" s="0" t="str">
        <f aca="false">IF(AND(C139=C140,W139=W140-1),Y139,"")</f>
        <v/>
      </c>
      <c r="AB140" s="0" t="str">
        <f aca="false">IF(W140=1,"",IF(AND(X140=1,Z140&lt;&gt;1),1,0))</f>
        <v/>
      </c>
      <c r="AC140" s="0" t="str">
        <f aca="false">IF(W140=1,"",IF(AND(Y140=1,AA140&lt;&gt;1),1,0))</f>
        <v/>
      </c>
      <c r="AD140" s="33" t="str">
        <f aca="false">IF(AND(E140&gt;0,W140&lt;1,NOT(AND(C141=C140,W141=W140+1))),INDEX(DATAS,W140+1),"")</f>
        <v/>
      </c>
      <c r="AE140" s="33" t="str">
        <f aca="false">IF(AND(Y140=1,W140&lt;1),IF(AND(C141=C140,W141=W140+1),IF(Y141=1,"",INDEX(DATAS,W140+1)),INDEX(DATAS,W140+1)),"")</f>
        <v/>
      </c>
    </row>
    <row r="141" customFormat="false" ht="15" hidden="false" customHeight="false" outlineLevel="0" collapsed="false">
      <c r="A141" s="33" t="n">
        <v>46309</v>
      </c>
      <c r="B141" s="0" t="n">
        <v>6</v>
      </c>
      <c r="C141" s="0" t="n">
        <v>3424</v>
      </c>
      <c r="D141" s="0" t="n">
        <v>85</v>
      </c>
      <c r="E141" s="0" t="n">
        <v>4</v>
      </c>
      <c r="F141" s="27" t="s">
        <v>267</v>
      </c>
      <c r="G141" s="0" t="n">
        <v>28.3</v>
      </c>
      <c r="H141" s="0" t="n">
        <v>28</v>
      </c>
      <c r="I141" s="27" t="s">
        <v>168</v>
      </c>
      <c r="J141" s="0" t="n">
        <v>85</v>
      </c>
      <c r="K141" s="0" t="n">
        <v>64</v>
      </c>
      <c r="P141" s="0" t="n">
        <v>4.54</v>
      </c>
      <c r="Q141" s="0" t="n">
        <v>4.02</v>
      </c>
      <c r="R141" s="0" t="n">
        <v>2767</v>
      </c>
      <c r="S141" s="0" t="n">
        <v>5563</v>
      </c>
      <c r="U141" s="0" t="n">
        <v>1995</v>
      </c>
      <c r="V141" s="0" t="n">
        <v>1</v>
      </c>
      <c r="W141" s="27" t="n">
        <f aca="false">MATCH(A141,DATAS,0)</f>
        <v>1</v>
      </c>
      <c r="X141" s="27" t="n">
        <f aca="false">IF(AND(E141&gt;0,OR(AND(B141&gt;=1,B141&lt;=6),B141=10)),1,0)</f>
        <v>1</v>
      </c>
      <c r="Y141" s="27" t="n">
        <f aca="false">IF(AND(E141&gt;0,B141=10),1,0)</f>
        <v>0</v>
      </c>
      <c r="Z141" s="0" t="str">
        <f aca="false">IF(AND(C140=C141,W140=W141-1),X140,"")</f>
        <v/>
      </c>
      <c r="AA141" s="0" t="str">
        <f aca="false">IF(AND(C140=C141,W140=W141-1),Y140,"")</f>
        <v/>
      </c>
      <c r="AB141" s="0" t="str">
        <f aca="false">IF(W141=1,"",IF(AND(X141=1,Z141&lt;&gt;1),1,0))</f>
        <v/>
      </c>
      <c r="AC141" s="0" t="str">
        <f aca="false">IF(W141=1,"",IF(AND(Y141=1,AA141&lt;&gt;1),1,0))</f>
        <v/>
      </c>
      <c r="AD141" s="33" t="str">
        <f aca="false">IF(AND(E141&gt;0,W141&lt;1,NOT(AND(C142=C141,W142=W141+1))),INDEX(DATAS,W141+1),"")</f>
        <v/>
      </c>
      <c r="AE141" s="33" t="str">
        <f aca="false">IF(AND(Y141=1,W141&lt;1),IF(AND(C142=C141,W142=W141+1),IF(Y142=1,"",INDEX(DATAS,W141+1)),INDEX(DATAS,W141+1)),"")</f>
        <v/>
      </c>
    </row>
    <row r="142" customFormat="false" ht="15" hidden="false" customHeight="false" outlineLevel="0" collapsed="false">
      <c r="A142" s="33" t="n">
        <v>46309</v>
      </c>
      <c r="B142" s="0" t="n">
        <v>5</v>
      </c>
      <c r="C142" s="0" t="n">
        <v>3427</v>
      </c>
      <c r="D142" s="0" t="n">
        <v>329</v>
      </c>
      <c r="E142" s="0" t="n">
        <v>4</v>
      </c>
      <c r="F142" s="27" t="s">
        <v>268</v>
      </c>
      <c r="G142" s="0" t="n">
        <v>33</v>
      </c>
      <c r="H142" s="0" t="n">
        <v>31</v>
      </c>
      <c r="I142" s="27" t="s">
        <v>138</v>
      </c>
      <c r="J142" s="0" t="n">
        <v>252</v>
      </c>
      <c r="K142" s="0" t="n">
        <v>70</v>
      </c>
      <c r="L142" s="0" t="n">
        <v>77</v>
      </c>
      <c r="M142" s="0" t="n">
        <v>133.17</v>
      </c>
      <c r="N142" s="0" t="n">
        <v>11.32</v>
      </c>
      <c r="O142" s="0" t="n">
        <v>10.14</v>
      </c>
      <c r="P142" s="0" t="n">
        <v>3.52</v>
      </c>
      <c r="Q142" s="0" t="n">
        <v>3.96</v>
      </c>
      <c r="R142" s="0" t="n">
        <v>5491</v>
      </c>
      <c r="S142" s="0" t="n">
        <v>10309</v>
      </c>
      <c r="T142" s="0" t="n">
        <v>52.75</v>
      </c>
      <c r="U142" s="0" t="n">
        <v>1993</v>
      </c>
      <c r="V142" s="0" t="n">
        <v>6</v>
      </c>
      <c r="W142" s="27" t="n">
        <f aca="false">MATCH(A142,DATAS,0)</f>
        <v>1</v>
      </c>
      <c r="X142" s="27" t="n">
        <f aca="false">IF(AND(E142&gt;0,OR(AND(B142&gt;=1,B142&lt;=6),B142=10)),1,0)</f>
        <v>1</v>
      </c>
      <c r="Y142" s="27" t="n">
        <f aca="false">IF(AND(E142&gt;0,B142=10),1,0)</f>
        <v>0</v>
      </c>
      <c r="Z142" s="0" t="str">
        <f aca="false">IF(AND(C141=C142,W141=W142-1),X141,"")</f>
        <v/>
      </c>
      <c r="AA142" s="0" t="str">
        <f aca="false">IF(AND(C141=C142,W141=W142-1),Y141,"")</f>
        <v/>
      </c>
      <c r="AB142" s="0" t="str">
        <f aca="false">IF(W142=1,"",IF(AND(X142=1,Z142&lt;&gt;1),1,0))</f>
        <v/>
      </c>
      <c r="AC142" s="0" t="str">
        <f aca="false">IF(W142=1,"",IF(AND(Y142=1,AA142&lt;&gt;1),1,0))</f>
        <v/>
      </c>
      <c r="AD142" s="33" t="str">
        <f aca="false">IF(AND(E142&gt;0,W142&lt;1,NOT(AND(C143=C142,W143=W142+1))),INDEX(DATAS,W142+1),"")</f>
        <v/>
      </c>
      <c r="AE142" s="33" t="str">
        <f aca="false">IF(AND(Y142=1,W142&lt;1),IF(AND(C143=C142,W143=W142+1),IF(Y143=1,"",INDEX(DATAS,W142+1)),INDEX(DATAS,W142+1)),"")</f>
        <v/>
      </c>
    </row>
    <row r="143" customFormat="false" ht="15" hidden="false" customHeight="false" outlineLevel="0" collapsed="false">
      <c r="A143" s="33" t="n">
        <v>46309</v>
      </c>
      <c r="B143" s="0" t="n">
        <v>7</v>
      </c>
      <c r="C143" s="0" t="n">
        <v>3428</v>
      </c>
      <c r="D143" s="0" t="n">
        <v>341</v>
      </c>
      <c r="E143" s="0" t="n">
        <v>3</v>
      </c>
      <c r="F143" s="27" t="s">
        <v>269</v>
      </c>
      <c r="I143" s="27" t="s">
        <v>143</v>
      </c>
      <c r="J143" s="0" t="n">
        <v>125</v>
      </c>
      <c r="K143" s="0" t="n">
        <v>70</v>
      </c>
      <c r="L143" s="0" t="n">
        <v>231</v>
      </c>
      <c r="M143" s="0" t="n">
        <v>94.04</v>
      </c>
      <c r="N143" s="0" t="n">
        <v>27.03</v>
      </c>
      <c r="O143" s="0" t="n">
        <v>21.76</v>
      </c>
      <c r="P143" s="0" t="n">
        <v>4.05</v>
      </c>
      <c r="Q143" s="0" t="n">
        <v>3.87</v>
      </c>
      <c r="R143" s="0" t="n">
        <v>5183</v>
      </c>
      <c r="S143" s="0" t="n">
        <v>9141</v>
      </c>
      <c r="T143" s="0" t="n">
        <v>55.65</v>
      </c>
      <c r="U143" s="0" t="n">
        <v>1992</v>
      </c>
      <c r="V143" s="0" t="n">
        <v>3</v>
      </c>
      <c r="W143" s="27" t="n">
        <f aca="false">MATCH(A143,DATAS,0)</f>
        <v>1</v>
      </c>
      <c r="X143" s="27" t="n">
        <f aca="false">IF(AND(E143&gt;0,OR(AND(B143&gt;=1,B143&lt;=6),B143=10)),1,0)</f>
        <v>0</v>
      </c>
      <c r="Y143" s="27" t="n">
        <f aca="false">IF(AND(E143&gt;0,B143=10),1,0)</f>
        <v>0</v>
      </c>
      <c r="Z143" s="0" t="str">
        <f aca="false">IF(AND(C142=C143,W142=W143-1),X142,"")</f>
        <v/>
      </c>
      <c r="AA143" s="0" t="str">
        <f aca="false">IF(AND(C142=C143,W142=W143-1),Y142,"")</f>
        <v/>
      </c>
      <c r="AB143" s="0" t="str">
        <f aca="false">IF(W143=1,"",IF(AND(X143=1,Z143&lt;&gt;1),1,0))</f>
        <v/>
      </c>
      <c r="AC143" s="0" t="str">
        <f aca="false">IF(W143=1,"",IF(AND(Y143=1,AA143&lt;&gt;1),1,0))</f>
        <v/>
      </c>
      <c r="AD143" s="33" t="str">
        <f aca="false">IF(AND(E143&gt;0,W143&lt;1,NOT(AND(C144=C143,W144=W143+1))),INDEX(DATAS,W143+1),"")</f>
        <v/>
      </c>
      <c r="AE143" s="33" t="str">
        <f aca="false">IF(AND(Y143=1,W143&lt;1),IF(AND(C144=C143,W144=W143+1),IF(Y144=1,"",INDEX(DATAS,W143+1)),INDEX(DATAS,W143+1)),"")</f>
        <v/>
      </c>
    </row>
    <row r="144" customFormat="false" ht="15" hidden="false" customHeight="false" outlineLevel="0" collapsed="false">
      <c r="A144" s="33" t="n">
        <v>46309</v>
      </c>
      <c r="B144" s="0" t="n">
        <v>6</v>
      </c>
      <c r="C144" s="0" t="n">
        <v>3432</v>
      </c>
      <c r="D144" s="0" t="n">
        <v>549</v>
      </c>
      <c r="E144" s="0" t="n">
        <v>2</v>
      </c>
      <c r="F144" s="27" t="s">
        <v>270</v>
      </c>
      <c r="G144" s="0" t="n">
        <v>16.7</v>
      </c>
      <c r="H144" s="0" t="n">
        <v>16</v>
      </c>
      <c r="I144" s="27" t="s">
        <v>151</v>
      </c>
      <c r="J144" s="0" t="n">
        <v>549</v>
      </c>
      <c r="K144" s="0" t="n">
        <v>60</v>
      </c>
      <c r="M144" s="0" t="n">
        <v>893.99</v>
      </c>
      <c r="N144" s="0" t="n">
        <v>19.84</v>
      </c>
      <c r="O144" s="0" t="n">
        <v>21.46</v>
      </c>
      <c r="P144" s="0" t="n">
        <v>2.84</v>
      </c>
      <c r="Q144" s="0" t="n">
        <v>3.53</v>
      </c>
      <c r="R144" s="0" t="n">
        <v>4892</v>
      </c>
      <c r="S144" s="0" t="n">
        <v>10371</v>
      </c>
      <c r="T144" s="0" t="n">
        <v>56.15</v>
      </c>
      <c r="U144" s="0" t="n">
        <v>1991</v>
      </c>
      <c r="V144" s="0" t="n">
        <v>3</v>
      </c>
      <c r="W144" s="27" t="n">
        <f aca="false">MATCH(A144,DATAS,0)</f>
        <v>1</v>
      </c>
      <c r="X144" s="27" t="n">
        <f aca="false">IF(AND(E144&gt;0,OR(AND(B144&gt;=1,B144&lt;=6),B144=10)),1,0)</f>
        <v>1</v>
      </c>
      <c r="Y144" s="27" t="n">
        <f aca="false">IF(AND(E144&gt;0,B144=10),1,0)</f>
        <v>0</v>
      </c>
      <c r="Z144" s="0" t="str">
        <f aca="false">IF(AND(C143=C144,W143=W144-1),X143,"")</f>
        <v/>
      </c>
      <c r="AA144" s="0" t="str">
        <f aca="false">IF(AND(C143=C144,W143=W144-1),Y143,"")</f>
        <v/>
      </c>
      <c r="AB144" s="0" t="str">
        <f aca="false">IF(W144=1,"",IF(AND(X144=1,Z144&lt;&gt;1),1,0))</f>
        <v/>
      </c>
      <c r="AC144" s="0" t="str">
        <f aca="false">IF(W144=1,"",IF(AND(Y144=1,AA144&lt;&gt;1),1,0))</f>
        <v/>
      </c>
      <c r="AD144" s="33" t="str">
        <f aca="false">IF(AND(E144&gt;0,W144&lt;1,NOT(AND(C145=C144,W145=W144+1))),INDEX(DATAS,W144+1),"")</f>
        <v/>
      </c>
      <c r="AE144" s="33" t="str">
        <f aca="false">IF(AND(Y144=1,W144&lt;1),IF(AND(C145=C144,W145=W144+1),IF(Y145=1,"",INDEX(DATAS,W144+1)),INDEX(DATAS,W144+1)),"")</f>
        <v/>
      </c>
    </row>
    <row r="145" customFormat="false" ht="15" hidden="false" customHeight="false" outlineLevel="0" collapsed="false">
      <c r="A145" s="33" t="n">
        <v>46309</v>
      </c>
      <c r="B145" s="0" t="n">
        <v>5</v>
      </c>
      <c r="C145" s="0" t="n">
        <v>3437</v>
      </c>
      <c r="D145" s="0" t="n">
        <v>390</v>
      </c>
      <c r="E145" s="0" t="n">
        <v>3</v>
      </c>
      <c r="F145" s="27" t="s">
        <v>271</v>
      </c>
      <c r="G145" s="0" t="n">
        <v>44.5</v>
      </c>
      <c r="H145" s="0" t="n">
        <v>41</v>
      </c>
      <c r="I145" s="27" t="s">
        <v>138</v>
      </c>
      <c r="J145" s="0" t="n">
        <v>341</v>
      </c>
      <c r="K145" s="0" t="n">
        <v>68</v>
      </c>
      <c r="L145" s="0" t="n">
        <v>49</v>
      </c>
      <c r="M145" s="0" t="n">
        <v>473.48</v>
      </c>
      <c r="N145" s="0" t="n">
        <v>35.86</v>
      </c>
      <c r="O145" s="0" t="n">
        <v>25.35</v>
      </c>
      <c r="P145" s="0" t="n">
        <v>4.62</v>
      </c>
      <c r="Q145" s="0" t="n">
        <v>4.16</v>
      </c>
      <c r="R145" s="0" t="n">
        <v>4946</v>
      </c>
      <c r="S145" s="0" t="n">
        <v>9789</v>
      </c>
      <c r="T145" s="0" t="n">
        <v>56</v>
      </c>
      <c r="U145" s="0" t="n">
        <v>1983</v>
      </c>
      <c r="V145" s="0" t="n">
        <v>7</v>
      </c>
      <c r="W145" s="27" t="n">
        <f aca="false">MATCH(A145,DATAS,0)</f>
        <v>1</v>
      </c>
      <c r="X145" s="27" t="n">
        <f aca="false">IF(AND(E145&gt;0,OR(AND(B145&gt;=1,B145&lt;=6),B145=10)),1,0)</f>
        <v>1</v>
      </c>
      <c r="Y145" s="27" t="n">
        <f aca="false">IF(AND(E145&gt;0,B145=10),1,0)</f>
        <v>0</v>
      </c>
      <c r="Z145" s="0" t="str">
        <f aca="false">IF(AND(C144=C145,W144=W145-1),X144,"")</f>
        <v/>
      </c>
      <c r="AA145" s="0" t="str">
        <f aca="false">IF(AND(C144=C145,W144=W145-1),Y144,"")</f>
        <v/>
      </c>
      <c r="AB145" s="0" t="str">
        <f aca="false">IF(W145=1,"",IF(AND(X145=1,Z145&lt;&gt;1),1,0))</f>
        <v/>
      </c>
      <c r="AC145" s="0" t="str">
        <f aca="false">IF(W145=1,"",IF(AND(Y145=1,AA145&lt;&gt;1),1,0))</f>
        <v/>
      </c>
      <c r="AD145" s="33" t="str">
        <f aca="false">IF(AND(E145&gt;0,W145&lt;1,NOT(AND(C146=C145,W146=W145+1))),INDEX(DATAS,W145+1),"")</f>
        <v/>
      </c>
      <c r="AE145" s="33" t="str">
        <f aca="false">IF(AND(Y145=1,W145&lt;1),IF(AND(C146=C145,W146=W145+1),IF(Y146=1,"",INDEX(DATAS,W145+1)),INDEX(DATAS,W145+1)),"")</f>
        <v/>
      </c>
    </row>
    <row r="146" customFormat="false" ht="15" hidden="false" customHeight="false" outlineLevel="0" collapsed="false">
      <c r="A146" s="33" t="n">
        <v>46309</v>
      </c>
      <c r="B146" s="0" t="n">
        <v>2</v>
      </c>
      <c r="C146" s="0" t="n">
        <v>3439</v>
      </c>
      <c r="D146" s="0" t="n">
        <v>104</v>
      </c>
      <c r="E146" s="0" t="n">
        <v>4</v>
      </c>
      <c r="F146" s="27" t="s">
        <v>272</v>
      </c>
      <c r="G146" s="0" t="n">
        <v>48.2</v>
      </c>
      <c r="H146" s="0" t="n">
        <v>49</v>
      </c>
      <c r="I146" s="27" t="s">
        <v>168</v>
      </c>
      <c r="J146" s="0" t="n">
        <v>104</v>
      </c>
      <c r="K146" s="0" t="n">
        <v>83</v>
      </c>
      <c r="M146" s="0" t="n">
        <v>882.59</v>
      </c>
      <c r="N146" s="0" t="n">
        <v>44.37</v>
      </c>
      <c r="O146" s="0" t="n">
        <v>34.72</v>
      </c>
      <c r="P146" s="0" t="n">
        <v>3.9</v>
      </c>
      <c r="Q146" s="0" t="n">
        <v>3.09</v>
      </c>
      <c r="R146" s="0" t="n">
        <v>4103</v>
      </c>
      <c r="S146" s="0" t="n">
        <v>8314</v>
      </c>
      <c r="T146" s="0" t="n">
        <v>47.55</v>
      </c>
      <c r="U146" s="0" t="n">
        <v>1981</v>
      </c>
      <c r="V146" s="0" t="n">
        <v>1</v>
      </c>
      <c r="W146" s="27" t="n">
        <f aca="false">MATCH(A146,DATAS,0)</f>
        <v>1</v>
      </c>
      <c r="X146" s="27" t="n">
        <f aca="false">IF(AND(E146&gt;0,OR(AND(B146&gt;=1,B146&lt;=6),B146=10)),1,0)</f>
        <v>1</v>
      </c>
      <c r="Y146" s="27" t="n">
        <f aca="false">IF(AND(E146&gt;0,B146=10),1,0)</f>
        <v>0</v>
      </c>
      <c r="Z146" s="0" t="str">
        <f aca="false">IF(AND(C145=C146,W145=W146-1),X145,"")</f>
        <v/>
      </c>
      <c r="AA146" s="0" t="str">
        <f aca="false">IF(AND(C145=C146,W145=W146-1),Y145,"")</f>
        <v/>
      </c>
      <c r="AB146" s="0" t="str">
        <f aca="false">IF(W146=1,"",IF(AND(X146=1,Z146&lt;&gt;1),1,0))</f>
        <v/>
      </c>
      <c r="AC146" s="0" t="str">
        <f aca="false">IF(W146=1,"",IF(AND(Y146=1,AA146&lt;&gt;1),1,0))</f>
        <v/>
      </c>
      <c r="AD146" s="33" t="str">
        <f aca="false">IF(AND(E146&gt;0,W146&lt;1,NOT(AND(C147=C146,W147=W146+1))),INDEX(DATAS,W146+1),"")</f>
        <v/>
      </c>
      <c r="AE146" s="33" t="str">
        <f aca="false">IF(AND(Y146=1,W146&lt;1),IF(AND(C147=C146,W147=W146+1),IF(Y147=1,"",INDEX(DATAS,W146+1)),INDEX(DATAS,W146+1)),"")</f>
        <v/>
      </c>
    </row>
    <row r="147" customFormat="false" ht="15" hidden="false" customHeight="false" outlineLevel="0" collapsed="false">
      <c r="A147" s="33" t="n">
        <v>46309</v>
      </c>
      <c r="B147" s="0" t="n">
        <v>3</v>
      </c>
      <c r="C147" s="0" t="n">
        <v>3443</v>
      </c>
      <c r="D147" s="0" t="n">
        <v>13</v>
      </c>
      <c r="E147" s="0" t="n">
        <v>4</v>
      </c>
      <c r="F147" s="27" t="s">
        <v>273</v>
      </c>
      <c r="G147" s="0" t="n">
        <v>34.6</v>
      </c>
      <c r="H147" s="0" t="n">
        <v>24</v>
      </c>
      <c r="I147" s="27" t="s">
        <v>147</v>
      </c>
      <c r="J147" s="0" t="n">
        <v>13</v>
      </c>
      <c r="M147" s="0" t="n">
        <v>-4.46</v>
      </c>
      <c r="N147" s="0" t="n">
        <v>25.54</v>
      </c>
      <c r="O147" s="0" t="n">
        <v>8.45</v>
      </c>
      <c r="R147" s="0" t="n">
        <v>2923</v>
      </c>
      <c r="S147" s="0" t="n">
        <v>5875</v>
      </c>
      <c r="U147" s="0" t="n">
        <v>1977</v>
      </c>
      <c r="V147" s="0" t="n">
        <v>0</v>
      </c>
      <c r="W147" s="27" t="n">
        <f aca="false">MATCH(A147,DATAS,0)</f>
        <v>1</v>
      </c>
      <c r="X147" s="27" t="n">
        <f aca="false">IF(AND(E147&gt;0,OR(AND(B147&gt;=1,B147&lt;=6),B147=10)),1,0)</f>
        <v>1</v>
      </c>
      <c r="Y147" s="27" t="n">
        <f aca="false">IF(AND(E147&gt;0,B147=10),1,0)</f>
        <v>0</v>
      </c>
      <c r="Z147" s="0" t="str">
        <f aca="false">IF(AND(C146=C147,W146=W147-1),X146,"")</f>
        <v/>
      </c>
      <c r="AA147" s="0" t="str">
        <f aca="false">IF(AND(C146=C147,W146=W147-1),Y146,"")</f>
        <v/>
      </c>
      <c r="AB147" s="0" t="str">
        <f aca="false">IF(W147=1,"",IF(AND(X147=1,Z147&lt;&gt;1),1,0))</f>
        <v/>
      </c>
      <c r="AC147" s="0" t="str">
        <f aca="false">IF(W147=1,"",IF(AND(Y147=1,AA147&lt;&gt;1),1,0))</f>
        <v/>
      </c>
      <c r="AD147" s="33" t="str">
        <f aca="false">IF(AND(E147&gt;0,W147&lt;1,NOT(AND(C148=C147,W148=W147+1))),INDEX(DATAS,W147+1),"")</f>
        <v/>
      </c>
      <c r="AE147" s="33" t="str">
        <f aca="false">IF(AND(Y147=1,W147&lt;1),IF(AND(C148=C147,W148=W147+1),IF(Y148=1,"",INDEX(DATAS,W147+1)),INDEX(DATAS,W147+1)),"")</f>
        <v/>
      </c>
    </row>
    <row r="148" customFormat="false" ht="15" hidden="false" customHeight="false" outlineLevel="0" collapsed="false">
      <c r="A148" s="33" t="n">
        <v>46309</v>
      </c>
      <c r="B148" s="0" t="n">
        <v>6</v>
      </c>
      <c r="C148" s="0" t="n">
        <v>3445</v>
      </c>
      <c r="D148" s="0" t="n">
        <v>106</v>
      </c>
      <c r="E148" s="0" t="n">
        <v>4</v>
      </c>
      <c r="F148" s="27" t="s">
        <v>274</v>
      </c>
      <c r="H148" s="0" t="n">
        <v>14</v>
      </c>
      <c r="I148" s="27" t="s">
        <v>176</v>
      </c>
      <c r="J148" s="0" t="n">
        <v>106</v>
      </c>
      <c r="K148" s="0" t="n">
        <v>64</v>
      </c>
      <c r="M148" s="0" t="n">
        <v>653.44</v>
      </c>
      <c r="N148" s="0" t="n">
        <v>41.44</v>
      </c>
      <c r="O148" s="0" t="n">
        <v>26.57</v>
      </c>
      <c r="P148" s="0" t="n">
        <v>4.86</v>
      </c>
      <c r="Q148" s="0" t="n">
        <v>3.69</v>
      </c>
      <c r="R148" s="0" t="n">
        <v>2579</v>
      </c>
      <c r="S148" s="0" t="n">
        <v>5061</v>
      </c>
      <c r="T148" s="0" t="n">
        <v>33.2</v>
      </c>
      <c r="U148" s="0" t="n">
        <v>1975</v>
      </c>
      <c r="V148" s="0" t="n">
        <v>1</v>
      </c>
      <c r="W148" s="27" t="n">
        <f aca="false">MATCH(A148,DATAS,0)</f>
        <v>1</v>
      </c>
      <c r="X148" s="27" t="n">
        <f aca="false">IF(AND(E148&gt;0,OR(AND(B148&gt;=1,B148&lt;=6),B148=10)),1,0)</f>
        <v>1</v>
      </c>
      <c r="Y148" s="27" t="n">
        <f aca="false">IF(AND(E148&gt;0,B148=10),1,0)</f>
        <v>0</v>
      </c>
      <c r="Z148" s="0" t="str">
        <f aca="false">IF(AND(C147=C148,W147=W148-1),X147,"")</f>
        <v/>
      </c>
      <c r="AA148" s="0" t="str">
        <f aca="false">IF(AND(C147=C148,W147=W148-1),Y147,"")</f>
        <v/>
      </c>
      <c r="AB148" s="0" t="str">
        <f aca="false">IF(W148=1,"",IF(AND(X148=1,Z148&lt;&gt;1),1,0))</f>
        <v/>
      </c>
      <c r="AC148" s="0" t="str">
        <f aca="false">IF(W148=1,"",IF(AND(Y148=1,AA148&lt;&gt;1),1,0))</f>
        <v/>
      </c>
      <c r="AD148" s="33" t="str">
        <f aca="false">IF(AND(E148&gt;0,W148&lt;1,NOT(AND(C149=C148,W149=W148+1))),INDEX(DATAS,W148+1),"")</f>
        <v/>
      </c>
      <c r="AE148" s="33" t="str">
        <f aca="false">IF(AND(Y148=1,W148&lt;1),IF(AND(C149=C148,W149=W148+1),IF(Y149=1,"",INDEX(DATAS,W148+1)),INDEX(DATAS,W148+1)),"")</f>
        <v/>
      </c>
    </row>
    <row r="149" customFormat="false" ht="15" hidden="false" customHeight="false" outlineLevel="0" collapsed="false">
      <c r="A149" s="33" t="n">
        <v>46309</v>
      </c>
      <c r="B149" s="0" t="n">
        <v>2</v>
      </c>
      <c r="C149" s="0" t="n">
        <v>3456</v>
      </c>
      <c r="D149" s="0" t="n">
        <v>117</v>
      </c>
      <c r="E149" s="0" t="n">
        <v>5</v>
      </c>
      <c r="F149" s="27" t="s">
        <v>275</v>
      </c>
      <c r="G149" s="0" t="n">
        <v>64.5</v>
      </c>
      <c r="H149" s="0" t="n">
        <v>65</v>
      </c>
      <c r="I149" s="27" t="s">
        <v>168</v>
      </c>
      <c r="J149" s="0" t="n">
        <v>117</v>
      </c>
      <c r="K149" s="0" t="n">
        <v>68</v>
      </c>
      <c r="M149" s="0" t="n">
        <v>-32.23</v>
      </c>
      <c r="N149" s="0" t="n">
        <v>15.2</v>
      </c>
      <c r="O149" s="0" t="n">
        <v>12.97</v>
      </c>
      <c r="P149" s="0" t="n">
        <v>3.91</v>
      </c>
      <c r="Q149" s="0" t="n">
        <v>3.12</v>
      </c>
      <c r="R149" s="0" t="n">
        <v>5955</v>
      </c>
      <c r="S149" s="0" t="n">
        <v>12207</v>
      </c>
      <c r="U149" s="0" t="n">
        <v>1966</v>
      </c>
      <c r="V149" s="0" t="n">
        <v>2</v>
      </c>
      <c r="W149" s="27" t="n">
        <f aca="false">MATCH(A149,DATAS,0)</f>
        <v>1</v>
      </c>
      <c r="X149" s="27" t="n">
        <f aca="false">IF(AND(E149&gt;0,OR(AND(B149&gt;=1,B149&lt;=6),B149=10)),1,0)</f>
        <v>1</v>
      </c>
      <c r="Y149" s="27" t="n">
        <f aca="false">IF(AND(E149&gt;0,B149=10),1,0)</f>
        <v>0</v>
      </c>
      <c r="Z149" s="0" t="str">
        <f aca="false">IF(AND(C148=C149,W148=W149-1),X148,"")</f>
        <v/>
      </c>
      <c r="AA149" s="0" t="str">
        <f aca="false">IF(AND(C148=C149,W148=W149-1),Y148,"")</f>
        <v/>
      </c>
      <c r="AB149" s="0" t="str">
        <f aca="false">IF(W149=1,"",IF(AND(X149=1,Z149&lt;&gt;1),1,0))</f>
        <v/>
      </c>
      <c r="AC149" s="0" t="str">
        <f aca="false">IF(W149=1,"",IF(AND(Y149=1,AA149&lt;&gt;1),1,0))</f>
        <v/>
      </c>
      <c r="AD149" s="33" t="str">
        <f aca="false">IF(AND(E149&gt;0,W149&lt;1,NOT(AND(C150=C149,W150=W149+1))),INDEX(DATAS,W149+1),"")</f>
        <v/>
      </c>
      <c r="AE149" s="33" t="str">
        <f aca="false">IF(AND(Y149=1,W149&lt;1),IF(AND(C150=C149,W150=W149+1),IF(Y150=1,"",INDEX(DATAS,W149+1)),INDEX(DATAS,W149+1)),"")</f>
        <v/>
      </c>
    </row>
    <row r="150" customFormat="false" ht="15" hidden="false" customHeight="false" outlineLevel="0" collapsed="false">
      <c r="A150" s="33" t="n">
        <v>46309</v>
      </c>
      <c r="B150" s="0" t="n">
        <v>2</v>
      </c>
      <c r="C150" s="0" t="n">
        <v>3458</v>
      </c>
      <c r="D150" s="0" t="n">
        <v>30</v>
      </c>
      <c r="E150" s="0" t="n">
        <v>5</v>
      </c>
      <c r="F150" s="27" t="s">
        <v>276</v>
      </c>
      <c r="G150" s="0" t="n">
        <v>59.3</v>
      </c>
      <c r="H150" s="0" t="n">
        <v>58</v>
      </c>
      <c r="I150" s="27" t="s">
        <v>147</v>
      </c>
      <c r="J150" s="0" t="n">
        <v>30</v>
      </c>
      <c r="M150" s="0" t="n">
        <v>323.94</v>
      </c>
      <c r="N150" s="0" t="n">
        <v>38.73</v>
      </c>
      <c r="O150" s="0" t="n">
        <v>21.42</v>
      </c>
      <c r="P150" s="0" t="n">
        <v>7.95</v>
      </c>
      <c r="Q150" s="0" t="n">
        <v>5.42</v>
      </c>
      <c r="R150" s="0" t="n">
        <v>4207</v>
      </c>
      <c r="S150" s="0" t="n">
        <v>8458</v>
      </c>
      <c r="U150" s="0" t="n">
        <v>1965</v>
      </c>
      <c r="V150" s="0" t="n">
        <v>0</v>
      </c>
      <c r="W150" s="27" t="n">
        <f aca="false">MATCH(A150,DATAS,0)</f>
        <v>1</v>
      </c>
      <c r="X150" s="27" t="n">
        <f aca="false">IF(AND(E150&gt;0,OR(AND(B150&gt;=1,B150&lt;=6),B150=10)),1,0)</f>
        <v>1</v>
      </c>
      <c r="Y150" s="27" t="n">
        <f aca="false">IF(AND(E150&gt;0,B150=10),1,0)</f>
        <v>0</v>
      </c>
      <c r="Z150" s="0" t="str">
        <f aca="false">IF(AND(C149=C150,W149=W150-1),X149,"")</f>
        <v/>
      </c>
      <c r="AA150" s="0" t="str">
        <f aca="false">IF(AND(C149=C150,W149=W150-1),Y149,"")</f>
        <v/>
      </c>
      <c r="AB150" s="0" t="str">
        <f aca="false">IF(W150=1,"",IF(AND(X150=1,Z150&lt;&gt;1),1,0))</f>
        <v/>
      </c>
      <c r="AC150" s="0" t="str">
        <f aca="false">IF(W150=1,"",IF(AND(Y150=1,AA150&lt;&gt;1),1,0))</f>
        <v/>
      </c>
      <c r="AD150" s="33" t="str">
        <f aca="false">IF(AND(E150&gt;0,W150&lt;1,NOT(AND(C151=C150,W151=W150+1))),INDEX(DATAS,W150+1),"")</f>
        <v/>
      </c>
      <c r="AE150" s="33" t="str">
        <f aca="false">IF(AND(Y150=1,W150&lt;1),IF(AND(C151=C150,W151=W150+1),IF(Y151=1,"",INDEX(DATAS,W150+1)),INDEX(DATAS,W150+1)),"")</f>
        <v/>
      </c>
    </row>
    <row r="151" customFormat="false" ht="15" hidden="false" customHeight="false" outlineLevel="0" collapsed="false">
      <c r="A151" s="33" t="n">
        <v>46309</v>
      </c>
      <c r="B151" s="0" t="n">
        <v>6</v>
      </c>
      <c r="C151" s="0" t="n">
        <v>3459</v>
      </c>
      <c r="D151" s="0" t="n">
        <v>209</v>
      </c>
      <c r="E151" s="0" t="n">
        <v>4</v>
      </c>
      <c r="F151" s="27" t="s">
        <v>277</v>
      </c>
      <c r="G151" s="0" t="n">
        <v>30.2</v>
      </c>
      <c r="H151" s="0" t="n">
        <v>27</v>
      </c>
      <c r="I151" s="27" t="s">
        <v>138</v>
      </c>
      <c r="J151" s="0" t="n">
        <v>62</v>
      </c>
      <c r="K151" s="0" t="n">
        <v>62</v>
      </c>
      <c r="L151" s="0" t="n">
        <v>147</v>
      </c>
      <c r="M151" s="0" t="n">
        <v>532.05</v>
      </c>
      <c r="N151" s="0" t="n">
        <v>47.33</v>
      </c>
      <c r="O151" s="0" t="n">
        <v>25.67</v>
      </c>
      <c r="P151" s="0" t="n">
        <v>4.9</v>
      </c>
      <c r="Q151" s="0" t="n">
        <v>3.25</v>
      </c>
      <c r="R151" s="0" t="n">
        <v>6648</v>
      </c>
      <c r="S151" s="0" t="n">
        <v>11489</v>
      </c>
      <c r="T151" s="0" t="n">
        <v>73.4</v>
      </c>
      <c r="U151" s="0" t="n">
        <v>1964</v>
      </c>
      <c r="V151" s="0" t="n">
        <v>1</v>
      </c>
      <c r="W151" s="27" t="n">
        <f aca="false">MATCH(A151,DATAS,0)</f>
        <v>1</v>
      </c>
      <c r="X151" s="27" t="n">
        <f aca="false">IF(AND(E151&gt;0,OR(AND(B151&gt;=1,B151&lt;=6),B151=10)),1,0)</f>
        <v>1</v>
      </c>
      <c r="Y151" s="27" t="n">
        <f aca="false">IF(AND(E151&gt;0,B151=10),1,0)</f>
        <v>0</v>
      </c>
      <c r="Z151" s="0" t="str">
        <f aca="false">IF(AND(C150=C151,W150=W151-1),X150,"")</f>
        <v/>
      </c>
      <c r="AA151" s="0" t="str">
        <f aca="false">IF(AND(C150=C151,W150=W151-1),Y150,"")</f>
        <v/>
      </c>
      <c r="AB151" s="0" t="str">
        <f aca="false">IF(W151=1,"",IF(AND(X151=1,Z151&lt;&gt;1),1,0))</f>
        <v/>
      </c>
      <c r="AC151" s="0" t="str">
        <f aca="false">IF(W151=1,"",IF(AND(Y151=1,AA151&lt;&gt;1),1,0))</f>
        <v/>
      </c>
      <c r="AD151" s="33" t="str">
        <f aca="false">IF(AND(E151&gt;0,W151&lt;1,NOT(AND(C152=C151,W152=W151+1))),INDEX(DATAS,W151+1),"")</f>
        <v/>
      </c>
      <c r="AE151" s="33" t="str">
        <f aca="false">IF(AND(Y151=1,W151&lt;1),IF(AND(C152=C151,W152=W151+1),IF(Y152=1,"",INDEX(DATAS,W151+1)),INDEX(DATAS,W151+1)),"")</f>
        <v/>
      </c>
    </row>
    <row r="152" customFormat="false" ht="15" hidden="false" customHeight="false" outlineLevel="0" collapsed="false">
      <c r="A152" s="33" t="n">
        <v>46309</v>
      </c>
      <c r="B152" s="0" t="n">
        <v>2</v>
      </c>
      <c r="C152" s="0" t="n">
        <v>3469</v>
      </c>
      <c r="D152" s="0" t="n">
        <v>151</v>
      </c>
      <c r="E152" s="0" t="n">
        <v>5</v>
      </c>
      <c r="F152" s="27" t="s">
        <v>278</v>
      </c>
      <c r="G152" s="0" t="n">
        <v>62</v>
      </c>
      <c r="H152" s="0" t="n">
        <v>64</v>
      </c>
      <c r="I152" s="27" t="s">
        <v>176</v>
      </c>
      <c r="J152" s="0" t="n">
        <v>151</v>
      </c>
      <c r="K152" s="0" t="n">
        <v>81</v>
      </c>
      <c r="M152" s="0" t="n">
        <v>867.89</v>
      </c>
      <c r="N152" s="0" t="n">
        <v>36.97</v>
      </c>
      <c r="O152" s="0" t="n">
        <v>25.59</v>
      </c>
      <c r="P152" s="0" t="n">
        <v>2.8</v>
      </c>
      <c r="Q152" s="0" t="n">
        <v>3.39</v>
      </c>
      <c r="R152" s="0" t="n">
        <v>5939</v>
      </c>
      <c r="S152" s="0" t="n">
        <v>12378</v>
      </c>
      <c r="T152" s="0" t="n">
        <v>59.4</v>
      </c>
      <c r="U152" s="0" t="n">
        <v>1952</v>
      </c>
      <c r="V152" s="0" t="n">
        <v>2</v>
      </c>
      <c r="W152" s="27" t="n">
        <f aca="false">MATCH(A152,DATAS,0)</f>
        <v>1</v>
      </c>
      <c r="X152" s="27" t="n">
        <f aca="false">IF(AND(E152&gt;0,OR(AND(B152&gt;=1,B152&lt;=6),B152=10)),1,0)</f>
        <v>1</v>
      </c>
      <c r="Y152" s="27" t="n">
        <f aca="false">IF(AND(E152&gt;0,B152=10),1,0)</f>
        <v>0</v>
      </c>
      <c r="Z152" s="0" t="str">
        <f aca="false">IF(AND(C151=C152,W151=W152-1),X151,"")</f>
        <v/>
      </c>
      <c r="AA152" s="0" t="str">
        <f aca="false">IF(AND(C151=C152,W151=W152-1),Y151,"")</f>
        <v/>
      </c>
      <c r="AB152" s="0" t="str">
        <f aca="false">IF(W152=1,"",IF(AND(X152=1,Z152&lt;&gt;1),1,0))</f>
        <v/>
      </c>
      <c r="AC152" s="0" t="str">
        <f aca="false">IF(W152=1,"",IF(AND(Y152=1,AA152&lt;&gt;1),1,0))</f>
        <v/>
      </c>
      <c r="AD152" s="33" t="str">
        <f aca="false">IF(AND(E152&gt;0,W152&lt;1,NOT(AND(C153=C152,W153=W152+1))),INDEX(DATAS,W152+1),"")</f>
        <v/>
      </c>
      <c r="AE152" s="33" t="str">
        <f aca="false">IF(AND(Y152=1,W152&lt;1),IF(AND(C153=C152,W153=W152+1),IF(Y153=1,"",INDEX(DATAS,W152+1)),INDEX(DATAS,W152+1)),"")</f>
        <v/>
      </c>
    </row>
    <row r="153" customFormat="false" ht="15" hidden="false" customHeight="false" outlineLevel="0" collapsed="false">
      <c r="A153" s="33" t="n">
        <v>46309</v>
      </c>
      <c r="B153" s="0" t="n">
        <v>5</v>
      </c>
      <c r="C153" s="0" t="n">
        <v>3472</v>
      </c>
      <c r="D153" s="0" t="n">
        <v>143</v>
      </c>
      <c r="E153" s="0" t="n">
        <v>4</v>
      </c>
      <c r="F153" s="27" t="s">
        <v>279</v>
      </c>
      <c r="G153" s="0" t="n">
        <v>20.9</v>
      </c>
      <c r="H153" s="0" t="n">
        <v>25</v>
      </c>
      <c r="I153" s="27" t="s">
        <v>151</v>
      </c>
      <c r="J153" s="0" t="n">
        <v>143</v>
      </c>
      <c r="K153" s="0" t="n">
        <v>66</v>
      </c>
      <c r="M153" s="0" t="n">
        <v>418.6</v>
      </c>
      <c r="N153" s="0" t="n">
        <v>46.6</v>
      </c>
      <c r="O153" s="0" t="n">
        <v>25.89</v>
      </c>
      <c r="P153" s="0" t="n">
        <v>3.45</v>
      </c>
      <c r="Q153" s="0" t="n">
        <v>4.01</v>
      </c>
      <c r="R153" s="0" t="n">
        <v>3929</v>
      </c>
      <c r="S153" s="0" t="n">
        <v>7207</v>
      </c>
      <c r="T153" s="0" t="n">
        <v>39.1</v>
      </c>
      <c r="U153" s="0" t="n">
        <v>1950</v>
      </c>
      <c r="V153" s="0" t="n">
        <v>2</v>
      </c>
      <c r="W153" s="27" t="n">
        <f aca="false">MATCH(A153,DATAS,0)</f>
        <v>1</v>
      </c>
      <c r="X153" s="27" t="n">
        <f aca="false">IF(AND(E153&gt;0,OR(AND(B153&gt;=1,B153&lt;=6),B153=10)),1,0)</f>
        <v>1</v>
      </c>
      <c r="Y153" s="27" t="n">
        <f aca="false">IF(AND(E153&gt;0,B153=10),1,0)</f>
        <v>0</v>
      </c>
      <c r="Z153" s="0" t="str">
        <f aca="false">IF(AND(C152=C153,W152=W153-1),X152,"")</f>
        <v/>
      </c>
      <c r="AA153" s="0" t="str">
        <f aca="false">IF(AND(C152=C153,W152=W153-1),Y152,"")</f>
        <v/>
      </c>
      <c r="AB153" s="0" t="str">
        <f aca="false">IF(W153=1,"",IF(AND(X153=1,Z153&lt;&gt;1),1,0))</f>
        <v/>
      </c>
      <c r="AC153" s="0" t="str">
        <f aca="false">IF(W153=1,"",IF(AND(Y153=1,AA153&lt;&gt;1),1,0))</f>
        <v/>
      </c>
      <c r="AD153" s="33" t="str">
        <f aca="false">IF(AND(E153&gt;0,W153&lt;1,NOT(AND(C154=C153,W154=W153+1))),INDEX(DATAS,W153+1),"")</f>
        <v/>
      </c>
      <c r="AE153" s="33" t="str">
        <f aca="false">IF(AND(Y153=1,W153&lt;1),IF(AND(C154=C153,W154=W153+1),IF(Y154=1,"",INDEX(DATAS,W153+1)),INDEX(DATAS,W153+1)),"")</f>
        <v/>
      </c>
    </row>
    <row r="154" customFormat="false" ht="15" hidden="false" customHeight="false" outlineLevel="0" collapsed="false">
      <c r="A154" s="33" t="n">
        <v>46309</v>
      </c>
      <c r="B154" s="0" t="n">
        <v>6</v>
      </c>
      <c r="C154" s="0" t="n">
        <v>3478</v>
      </c>
      <c r="D154" s="0" t="n">
        <v>442</v>
      </c>
      <c r="E154" s="0" t="n">
        <v>3</v>
      </c>
      <c r="F154" s="27" t="s">
        <v>280</v>
      </c>
      <c r="G154" s="0" t="n">
        <v>17.8</v>
      </c>
      <c r="H154" s="0" t="n">
        <v>16</v>
      </c>
      <c r="I154" s="27" t="s">
        <v>138</v>
      </c>
      <c r="J154" s="0" t="n">
        <v>326</v>
      </c>
      <c r="K154" s="0" t="n">
        <v>78</v>
      </c>
      <c r="L154" s="0" t="n">
        <v>116</v>
      </c>
      <c r="M154" s="0" t="n">
        <v>223.71</v>
      </c>
      <c r="N154" s="0" t="n">
        <v>30.93</v>
      </c>
      <c r="O154" s="0" t="n">
        <v>14.36</v>
      </c>
      <c r="P154" s="0" t="n">
        <v>4.55</v>
      </c>
      <c r="Q154" s="0" t="n">
        <v>3.92</v>
      </c>
      <c r="R154" s="0" t="n">
        <v>6063</v>
      </c>
      <c r="S154" s="0" t="n">
        <v>11524</v>
      </c>
      <c r="T154" s="0" t="n">
        <v>64</v>
      </c>
      <c r="U154" s="0" t="n">
        <v>1947</v>
      </c>
      <c r="V154" s="0" t="n">
        <v>7</v>
      </c>
      <c r="W154" s="27" t="n">
        <f aca="false">MATCH(A154,DATAS,0)</f>
        <v>1</v>
      </c>
      <c r="X154" s="27" t="n">
        <f aca="false">IF(AND(E154&gt;0,OR(AND(B154&gt;=1,B154&lt;=6),B154=10)),1,0)</f>
        <v>1</v>
      </c>
      <c r="Y154" s="27" t="n">
        <f aca="false">IF(AND(E154&gt;0,B154=10),1,0)</f>
        <v>0</v>
      </c>
      <c r="Z154" s="0" t="str">
        <f aca="false">IF(AND(C153=C154,W153=W154-1),X153,"")</f>
        <v/>
      </c>
      <c r="AA154" s="0" t="str">
        <f aca="false">IF(AND(C153=C154,W153=W154-1),Y153,"")</f>
        <v/>
      </c>
      <c r="AB154" s="0" t="str">
        <f aca="false">IF(W154=1,"",IF(AND(X154=1,Z154&lt;&gt;1),1,0))</f>
        <v/>
      </c>
      <c r="AC154" s="0" t="str">
        <f aca="false">IF(W154=1,"",IF(AND(Y154=1,AA154&lt;&gt;1),1,0))</f>
        <v/>
      </c>
      <c r="AD154" s="33" t="str">
        <f aca="false">IF(AND(E154&gt;0,W154&lt;1,NOT(AND(C155=C154,W155=W154+1))),INDEX(DATAS,W154+1),"")</f>
        <v/>
      </c>
      <c r="AE154" s="33" t="str">
        <f aca="false">IF(AND(Y154=1,W154&lt;1),IF(AND(C155=C154,W155=W154+1),IF(Y155=1,"",INDEX(DATAS,W154+1)),INDEX(DATAS,W154+1)),"")</f>
        <v/>
      </c>
    </row>
    <row r="155" customFormat="false" ht="15" hidden="false" customHeight="false" outlineLevel="0" collapsed="false">
      <c r="A155" s="33" t="n">
        <v>46309</v>
      </c>
      <c r="B155" s="0" t="n">
        <v>5</v>
      </c>
      <c r="C155" s="0" t="n">
        <v>3481</v>
      </c>
      <c r="D155" s="0" t="n">
        <v>94</v>
      </c>
      <c r="E155" s="0" t="n">
        <v>4</v>
      </c>
      <c r="F155" s="27" t="s">
        <v>281</v>
      </c>
      <c r="G155" s="0" t="n">
        <v>46.3</v>
      </c>
      <c r="H155" s="0" t="n">
        <v>46</v>
      </c>
      <c r="I155" s="27" t="s">
        <v>168</v>
      </c>
      <c r="J155" s="0" t="n">
        <v>94</v>
      </c>
      <c r="K155" s="0" t="n">
        <v>66</v>
      </c>
      <c r="M155" s="0" t="n">
        <v>290.55</v>
      </c>
      <c r="N155" s="0" t="n">
        <v>60.06</v>
      </c>
      <c r="O155" s="0" t="n">
        <v>28.81</v>
      </c>
      <c r="P155" s="0" t="n">
        <v>5.35</v>
      </c>
      <c r="Q155" s="0" t="n">
        <v>3.49</v>
      </c>
      <c r="R155" s="0" t="n">
        <v>4116</v>
      </c>
      <c r="S155" s="0" t="n">
        <v>8275</v>
      </c>
      <c r="T155" s="0" t="n">
        <v>45.9</v>
      </c>
      <c r="U155" s="0" t="n">
        <v>1945</v>
      </c>
      <c r="V155" s="0" t="n">
        <v>1</v>
      </c>
      <c r="W155" s="27" t="n">
        <f aca="false">MATCH(A155,DATAS,0)</f>
        <v>1</v>
      </c>
      <c r="X155" s="27" t="n">
        <f aca="false">IF(AND(E155&gt;0,OR(AND(B155&gt;=1,B155&lt;=6),B155=10)),1,0)</f>
        <v>1</v>
      </c>
      <c r="Y155" s="27" t="n">
        <f aca="false">IF(AND(E155&gt;0,B155=10),1,0)</f>
        <v>0</v>
      </c>
      <c r="Z155" s="0" t="str">
        <f aca="false">IF(AND(C154=C155,W154=W155-1),X154,"")</f>
        <v/>
      </c>
      <c r="AA155" s="0" t="str">
        <f aca="false">IF(AND(C154=C155,W154=W155-1),Y154,"")</f>
        <v/>
      </c>
      <c r="AB155" s="0" t="str">
        <f aca="false">IF(W155=1,"",IF(AND(X155=1,Z155&lt;&gt;1),1,0))</f>
        <v/>
      </c>
      <c r="AC155" s="0" t="str">
        <f aca="false">IF(W155=1,"",IF(AND(Y155=1,AA155&lt;&gt;1),1,0))</f>
        <v/>
      </c>
      <c r="AD155" s="33" t="str">
        <f aca="false">IF(AND(E155&gt;0,W155&lt;1,NOT(AND(C156=C155,W156=W155+1))),INDEX(DATAS,W155+1),"")</f>
        <v/>
      </c>
      <c r="AE155" s="33" t="str">
        <f aca="false">IF(AND(Y155=1,W155&lt;1),IF(AND(C156=C155,W156=W155+1),IF(Y156=1,"",INDEX(DATAS,W155+1)),INDEX(DATAS,W155+1)),"")</f>
        <v/>
      </c>
    </row>
    <row r="156" customFormat="false" ht="15" hidden="false" customHeight="false" outlineLevel="0" collapsed="false">
      <c r="A156" s="33" t="n">
        <v>46309</v>
      </c>
      <c r="B156" s="0" t="n">
        <v>7</v>
      </c>
      <c r="C156" s="0" t="n">
        <v>3483</v>
      </c>
      <c r="D156" s="0" t="n">
        <v>329</v>
      </c>
      <c r="E156" s="0" t="n">
        <v>3</v>
      </c>
      <c r="F156" s="27" t="s">
        <v>282</v>
      </c>
      <c r="I156" s="27" t="s">
        <v>143</v>
      </c>
      <c r="J156" s="0" t="n">
        <v>373</v>
      </c>
      <c r="K156" s="0" t="n">
        <v>57</v>
      </c>
      <c r="L156" s="0" t="n">
        <v>146</v>
      </c>
      <c r="M156" s="0" t="n">
        <v>243.42</v>
      </c>
      <c r="N156" s="0" t="n">
        <v>16.25</v>
      </c>
      <c r="O156" s="0" t="n">
        <v>18.85</v>
      </c>
      <c r="P156" s="0" t="n">
        <v>5.52</v>
      </c>
      <c r="Q156" s="0" t="n">
        <v>4.02</v>
      </c>
      <c r="R156" s="0" t="n">
        <v>4534</v>
      </c>
      <c r="S156" s="0" t="n">
        <v>9710</v>
      </c>
      <c r="T156" s="0" t="n">
        <v>51.9</v>
      </c>
      <c r="U156" s="0" t="n">
        <v>1944</v>
      </c>
      <c r="V156" s="0" t="n">
        <v>7</v>
      </c>
      <c r="W156" s="27" t="n">
        <f aca="false">MATCH(A156,DATAS,0)</f>
        <v>1</v>
      </c>
      <c r="X156" s="27" t="n">
        <f aca="false">IF(AND(E156&gt;0,OR(AND(B156&gt;=1,B156&lt;=6),B156=10)),1,0)</f>
        <v>0</v>
      </c>
      <c r="Y156" s="27" t="n">
        <f aca="false">IF(AND(E156&gt;0,B156=10),1,0)</f>
        <v>0</v>
      </c>
      <c r="Z156" s="0" t="str">
        <f aca="false">IF(AND(C155=C156,W155=W156-1),X155,"")</f>
        <v/>
      </c>
      <c r="AA156" s="0" t="str">
        <f aca="false">IF(AND(C155=C156,W155=W156-1),Y155,"")</f>
        <v/>
      </c>
      <c r="AB156" s="0" t="str">
        <f aca="false">IF(W156=1,"",IF(AND(X156=1,Z156&lt;&gt;1),1,0))</f>
        <v/>
      </c>
      <c r="AC156" s="0" t="str">
        <f aca="false">IF(W156=1,"",IF(AND(Y156=1,AA156&lt;&gt;1),1,0))</f>
        <v/>
      </c>
      <c r="AD156" s="33" t="str">
        <f aca="false">IF(AND(E156&gt;0,W156&lt;1,NOT(AND(C157=C156,W157=W156+1))),INDEX(DATAS,W156+1),"")</f>
        <v/>
      </c>
      <c r="AE156" s="33" t="str">
        <f aca="false">IF(AND(Y156=1,W156&lt;1),IF(AND(C157=C156,W157=W156+1),IF(Y157=1,"",INDEX(DATAS,W156+1)),INDEX(DATAS,W156+1)),"")</f>
        <v/>
      </c>
    </row>
    <row r="157" customFormat="false" ht="15" hidden="false" customHeight="false" outlineLevel="0" collapsed="false">
      <c r="A157" s="33" t="n">
        <v>46309</v>
      </c>
      <c r="B157" s="0" t="n">
        <v>5</v>
      </c>
      <c r="C157" s="0" t="n">
        <v>3486</v>
      </c>
      <c r="D157" s="0" t="n">
        <v>541</v>
      </c>
      <c r="E157" s="0" t="n">
        <v>3</v>
      </c>
      <c r="F157" s="27" t="s">
        <v>283</v>
      </c>
      <c r="G157" s="0" t="n">
        <v>26.6</v>
      </c>
      <c r="H157" s="0" t="n">
        <v>26</v>
      </c>
      <c r="I157" s="27" t="s">
        <v>168</v>
      </c>
      <c r="J157" s="0" t="n">
        <v>541</v>
      </c>
      <c r="K157" s="0" t="n">
        <v>65</v>
      </c>
      <c r="M157" s="0" t="n">
        <v>851.06</v>
      </c>
      <c r="N157" s="0" t="n">
        <v>29.89</v>
      </c>
      <c r="O157" s="0" t="n">
        <v>19.52</v>
      </c>
      <c r="P157" s="0" t="n">
        <v>4.19</v>
      </c>
      <c r="Q157" s="0" t="n">
        <v>3.65</v>
      </c>
      <c r="R157" s="0" t="n">
        <v>5656</v>
      </c>
      <c r="S157" s="0" t="n">
        <v>11989</v>
      </c>
      <c r="T157" s="0" t="n">
        <v>68.65</v>
      </c>
      <c r="U157" s="0" t="n">
        <v>1943</v>
      </c>
      <c r="V157" s="0" t="n">
        <v>8</v>
      </c>
      <c r="W157" s="27" t="n">
        <f aca="false">MATCH(A157,DATAS,0)</f>
        <v>1</v>
      </c>
      <c r="X157" s="27" t="n">
        <f aca="false">IF(AND(E157&gt;0,OR(AND(B157&gt;=1,B157&lt;=6),B157=10)),1,0)</f>
        <v>1</v>
      </c>
      <c r="Y157" s="27" t="n">
        <f aca="false">IF(AND(E157&gt;0,B157=10),1,0)</f>
        <v>0</v>
      </c>
      <c r="Z157" s="0" t="str">
        <f aca="false">IF(AND(C156=C157,W156=W157-1),X156,"")</f>
        <v/>
      </c>
      <c r="AA157" s="0" t="str">
        <f aca="false">IF(AND(C156=C157,W156=W157-1),Y156,"")</f>
        <v/>
      </c>
      <c r="AB157" s="0" t="str">
        <f aca="false">IF(W157=1,"",IF(AND(X157=1,Z157&lt;&gt;1),1,0))</f>
        <v/>
      </c>
      <c r="AC157" s="0" t="str">
        <f aca="false">IF(W157=1,"",IF(AND(Y157=1,AA157&lt;&gt;1),1,0))</f>
        <v/>
      </c>
      <c r="AD157" s="33" t="str">
        <f aca="false">IF(AND(E157&gt;0,W157&lt;1,NOT(AND(C158=C157,W158=W157+1))),INDEX(DATAS,W157+1),"")</f>
        <v/>
      </c>
      <c r="AE157" s="33" t="str">
        <f aca="false">IF(AND(Y157=1,W157&lt;1),IF(AND(C158=C157,W158=W157+1),IF(Y158=1,"",INDEX(DATAS,W157+1)),INDEX(DATAS,W157+1)),"")</f>
        <v/>
      </c>
    </row>
    <row r="158" customFormat="false" ht="15" hidden="false" customHeight="false" outlineLevel="0" collapsed="false">
      <c r="A158" s="33" t="n">
        <v>46309</v>
      </c>
      <c r="B158" s="0" t="n">
        <v>3</v>
      </c>
      <c r="C158" s="0" t="n">
        <v>3491</v>
      </c>
      <c r="D158" s="0" t="n">
        <v>102</v>
      </c>
      <c r="E158" s="0" t="n">
        <v>5</v>
      </c>
      <c r="F158" s="27" t="s">
        <v>284</v>
      </c>
      <c r="G158" s="0" t="n">
        <v>53.7</v>
      </c>
      <c r="H158" s="0" t="n">
        <v>51</v>
      </c>
      <c r="I158" s="27" t="s">
        <v>176</v>
      </c>
      <c r="J158" s="0" t="n">
        <v>102</v>
      </c>
      <c r="K158" s="0" t="n">
        <v>67</v>
      </c>
      <c r="M158" s="0" t="n">
        <v>305.32</v>
      </c>
      <c r="N158" s="0" t="n">
        <v>17.16</v>
      </c>
      <c r="O158" s="0" t="n">
        <v>15.43</v>
      </c>
      <c r="P158" s="0" t="n">
        <v>3</v>
      </c>
      <c r="Q158" s="0" t="n">
        <v>2.96</v>
      </c>
      <c r="R158" s="0" t="n">
        <v>5603</v>
      </c>
      <c r="S158" s="0" t="n">
        <v>11241</v>
      </c>
      <c r="T158" s="0" t="n">
        <v>61.45</v>
      </c>
      <c r="U158" s="0" t="n">
        <v>1941</v>
      </c>
      <c r="V158" s="0" t="n">
        <v>1</v>
      </c>
      <c r="W158" s="27" t="n">
        <f aca="false">MATCH(A158,DATAS,0)</f>
        <v>1</v>
      </c>
      <c r="X158" s="27" t="n">
        <f aca="false">IF(AND(E158&gt;0,OR(AND(B158&gt;=1,B158&lt;=6),B158=10)),1,0)</f>
        <v>1</v>
      </c>
      <c r="Y158" s="27" t="n">
        <f aca="false">IF(AND(E158&gt;0,B158=10),1,0)</f>
        <v>0</v>
      </c>
      <c r="Z158" s="0" t="str">
        <f aca="false">IF(AND(C157=C158,W157=W158-1),X157,"")</f>
        <v/>
      </c>
      <c r="AA158" s="0" t="str">
        <f aca="false">IF(AND(C157=C158,W157=W158-1),Y157,"")</f>
        <v/>
      </c>
      <c r="AB158" s="0" t="str">
        <f aca="false">IF(W158=1,"",IF(AND(X158=1,Z158&lt;&gt;1),1,0))</f>
        <v/>
      </c>
      <c r="AC158" s="0" t="str">
        <f aca="false">IF(W158=1,"",IF(AND(Y158=1,AA158&lt;&gt;1),1,0))</f>
        <v/>
      </c>
      <c r="AD158" s="33" t="str">
        <f aca="false">IF(AND(E158&gt;0,W158&lt;1,NOT(AND(C159=C158,W159=W158+1))),INDEX(DATAS,W158+1),"")</f>
        <v/>
      </c>
      <c r="AE158" s="33" t="str">
        <f aca="false">IF(AND(Y158=1,W158&lt;1),IF(AND(C159=C158,W159=W158+1),IF(Y159=1,"",INDEX(DATAS,W158+1)),INDEX(DATAS,W158+1)),"")</f>
        <v/>
      </c>
    </row>
    <row r="159" customFormat="false" ht="15" hidden="false" customHeight="false" outlineLevel="0" collapsed="false">
      <c r="A159" s="33" t="n">
        <v>46309</v>
      </c>
      <c r="B159" s="0" t="n">
        <v>5</v>
      </c>
      <c r="C159" s="0" t="n">
        <v>3493</v>
      </c>
      <c r="D159" s="0" t="n">
        <v>117</v>
      </c>
      <c r="E159" s="0" t="n">
        <v>4</v>
      </c>
      <c r="F159" s="27" t="s">
        <v>285</v>
      </c>
      <c r="I159" s="27" t="s">
        <v>168</v>
      </c>
      <c r="J159" s="0" t="n">
        <v>117</v>
      </c>
      <c r="K159" s="0" t="n">
        <v>75</v>
      </c>
      <c r="M159" s="0" t="n">
        <v>527.84</v>
      </c>
      <c r="N159" s="0" t="n">
        <v>6.16</v>
      </c>
      <c r="O159" s="0" t="n">
        <v>11.22</v>
      </c>
      <c r="P159" s="0" t="n">
        <v>2.82</v>
      </c>
      <c r="Q159" s="0" t="n">
        <v>2.94</v>
      </c>
      <c r="R159" s="0" t="n">
        <v>4471</v>
      </c>
      <c r="S159" s="0" t="n">
        <v>8967</v>
      </c>
      <c r="T159" s="0" t="n">
        <v>52.45</v>
      </c>
      <c r="U159" s="0" t="n">
        <v>1939</v>
      </c>
      <c r="V159" s="0" t="n">
        <v>3</v>
      </c>
      <c r="W159" s="27" t="n">
        <f aca="false">MATCH(A159,DATAS,0)</f>
        <v>1</v>
      </c>
      <c r="X159" s="27" t="n">
        <f aca="false">IF(AND(E159&gt;0,OR(AND(B159&gt;=1,B159&lt;=6),B159=10)),1,0)</f>
        <v>1</v>
      </c>
      <c r="Y159" s="27" t="n">
        <f aca="false">IF(AND(E159&gt;0,B159=10),1,0)</f>
        <v>0</v>
      </c>
      <c r="Z159" s="0" t="str">
        <f aca="false">IF(AND(C158=C159,W158=W159-1),X158,"")</f>
        <v/>
      </c>
      <c r="AA159" s="0" t="str">
        <f aca="false">IF(AND(C158=C159,W158=W159-1),Y158,"")</f>
        <v/>
      </c>
      <c r="AB159" s="0" t="str">
        <f aca="false">IF(W159=1,"",IF(AND(X159=1,Z159&lt;&gt;1),1,0))</f>
        <v/>
      </c>
      <c r="AC159" s="0" t="str">
        <f aca="false">IF(W159=1,"",IF(AND(Y159=1,AA159&lt;&gt;1),1,0))</f>
        <v/>
      </c>
      <c r="AD159" s="33" t="str">
        <f aca="false">IF(AND(E159&gt;0,W159&lt;1,NOT(AND(C160=C159,W160=W159+1))),INDEX(DATAS,W159+1),"")</f>
        <v/>
      </c>
      <c r="AE159" s="33" t="str">
        <f aca="false">IF(AND(Y159=1,W159&lt;1),IF(AND(C160=C159,W160=W159+1),IF(Y160=1,"",INDEX(DATAS,W159+1)),INDEX(DATAS,W159+1)),"")</f>
        <v/>
      </c>
    </row>
    <row r="160" customFormat="false" ht="15" hidden="false" customHeight="false" outlineLevel="0" collapsed="false">
      <c r="A160" s="33" t="n">
        <v>46309</v>
      </c>
      <c r="B160" s="0" t="n">
        <v>2</v>
      </c>
      <c r="C160" s="0" t="n">
        <v>3501</v>
      </c>
      <c r="D160" s="0" t="n">
        <v>159</v>
      </c>
      <c r="E160" s="0" t="n">
        <v>4</v>
      </c>
      <c r="F160" s="27" t="s">
        <v>286</v>
      </c>
      <c r="G160" s="0" t="n">
        <v>56</v>
      </c>
      <c r="H160" s="0" t="n">
        <v>57</v>
      </c>
      <c r="I160" s="27" t="s">
        <v>168</v>
      </c>
      <c r="J160" s="0" t="n">
        <v>159</v>
      </c>
      <c r="K160" s="0" t="n">
        <v>68</v>
      </c>
      <c r="M160" s="0" t="n">
        <v>368.22</v>
      </c>
      <c r="N160" s="0" t="n">
        <v>27.34</v>
      </c>
      <c r="O160" s="0" t="n">
        <v>18.8</v>
      </c>
      <c r="P160" s="0" t="n">
        <v>2.93</v>
      </c>
      <c r="Q160" s="0" t="n">
        <v>3.58</v>
      </c>
      <c r="R160" s="0" t="n">
        <v>5749</v>
      </c>
      <c r="S160" s="0" t="n">
        <v>11788</v>
      </c>
      <c r="T160" s="0" t="n">
        <v>66.95</v>
      </c>
      <c r="U160" s="0" t="n">
        <v>1931</v>
      </c>
      <c r="V160" s="0" t="n">
        <v>3</v>
      </c>
      <c r="W160" s="27" t="n">
        <f aca="false">MATCH(A160,DATAS,0)</f>
        <v>1</v>
      </c>
      <c r="X160" s="27" t="n">
        <f aca="false">IF(AND(E160&gt;0,OR(AND(B160&gt;=1,B160&lt;=6),B160=10)),1,0)</f>
        <v>1</v>
      </c>
      <c r="Y160" s="27" t="n">
        <f aca="false">IF(AND(E160&gt;0,B160=10),1,0)</f>
        <v>0</v>
      </c>
      <c r="Z160" s="0" t="str">
        <f aca="false">IF(AND(C159=C160,W159=W160-1),X159,"")</f>
        <v/>
      </c>
      <c r="AA160" s="0" t="str">
        <f aca="false">IF(AND(C159=C160,W159=W160-1),Y159,"")</f>
        <v/>
      </c>
      <c r="AB160" s="0" t="str">
        <f aca="false">IF(W160=1,"",IF(AND(X160=1,Z160&lt;&gt;1),1,0))</f>
        <v/>
      </c>
      <c r="AC160" s="0" t="str">
        <f aca="false">IF(W160=1,"",IF(AND(Y160=1,AA160&lt;&gt;1),1,0))</f>
        <v/>
      </c>
      <c r="AD160" s="33" t="str">
        <f aca="false">IF(AND(E160&gt;0,W160&lt;1,NOT(AND(C161=C160,W161=W160+1))),INDEX(DATAS,W160+1),"")</f>
        <v/>
      </c>
      <c r="AE160" s="33" t="str">
        <f aca="false">IF(AND(Y160=1,W160&lt;1),IF(AND(C161=C160,W161=W160+1),IF(Y161=1,"",INDEX(DATAS,W160+1)),INDEX(DATAS,W160+1)),"")</f>
        <v/>
      </c>
    </row>
    <row r="161" customFormat="false" ht="15" hidden="false" customHeight="false" outlineLevel="0" collapsed="false">
      <c r="A161" s="33" t="n">
        <v>46309</v>
      </c>
      <c r="B161" s="0" t="n">
        <v>5</v>
      </c>
      <c r="C161" s="0" t="n">
        <v>3504</v>
      </c>
      <c r="D161" s="0" t="n">
        <v>119</v>
      </c>
      <c r="E161" s="0" t="n">
        <v>3</v>
      </c>
      <c r="F161" s="27" t="s">
        <v>287</v>
      </c>
      <c r="G161" s="0" t="n">
        <v>28.9</v>
      </c>
      <c r="H161" s="0" t="n">
        <v>33</v>
      </c>
      <c r="I161" s="27" t="s">
        <v>176</v>
      </c>
      <c r="J161" s="0" t="n">
        <v>119</v>
      </c>
      <c r="K161" s="0" t="n">
        <v>63</v>
      </c>
      <c r="M161" s="0" t="n">
        <v>708.59</v>
      </c>
      <c r="N161" s="0" t="n">
        <v>56.71</v>
      </c>
      <c r="O161" s="0" t="n">
        <v>31.54</v>
      </c>
      <c r="P161" s="0" t="n">
        <v>5.24</v>
      </c>
      <c r="Q161" s="0" t="n">
        <v>3.96</v>
      </c>
      <c r="R161" s="0" t="n">
        <v>4175</v>
      </c>
      <c r="S161" s="0" t="n">
        <v>8145</v>
      </c>
      <c r="T161" s="0" t="n">
        <v>41.9</v>
      </c>
      <c r="U161" s="0" t="n">
        <v>1930</v>
      </c>
      <c r="V161" s="0" t="n">
        <v>2</v>
      </c>
      <c r="W161" s="27" t="n">
        <f aca="false">MATCH(A161,DATAS,0)</f>
        <v>1</v>
      </c>
      <c r="X161" s="27" t="n">
        <f aca="false">IF(AND(E161&gt;0,OR(AND(B161&gt;=1,B161&lt;=6),B161=10)),1,0)</f>
        <v>1</v>
      </c>
      <c r="Y161" s="27" t="n">
        <f aca="false">IF(AND(E161&gt;0,B161=10),1,0)</f>
        <v>0</v>
      </c>
      <c r="Z161" s="0" t="str">
        <f aca="false">IF(AND(C160=C161,W160=W161-1),X160,"")</f>
        <v/>
      </c>
      <c r="AA161" s="0" t="str">
        <f aca="false">IF(AND(C160=C161,W160=W161-1),Y160,"")</f>
        <v/>
      </c>
      <c r="AB161" s="0" t="str">
        <f aca="false">IF(W161=1,"",IF(AND(X161=1,Z161&lt;&gt;1),1,0))</f>
        <v/>
      </c>
      <c r="AC161" s="0" t="str">
        <f aca="false">IF(W161=1,"",IF(AND(Y161=1,AA161&lt;&gt;1),1,0))</f>
        <v/>
      </c>
      <c r="AD161" s="33" t="str">
        <f aca="false">IF(AND(E161&gt;0,W161&lt;1,NOT(AND(C162=C161,W162=W161+1))),INDEX(DATAS,W161+1),"")</f>
        <v/>
      </c>
      <c r="AE161" s="33" t="str">
        <f aca="false">IF(AND(Y161=1,W161&lt;1),IF(AND(C162=C161,W162=W161+1),IF(Y162=1,"",INDEX(DATAS,W161+1)),INDEX(DATAS,W161+1)),"")</f>
        <v/>
      </c>
    </row>
    <row r="162" customFormat="false" ht="15" hidden="false" customHeight="false" outlineLevel="0" collapsed="false">
      <c r="A162" s="33" t="n">
        <v>46309</v>
      </c>
      <c r="B162" s="0" t="n">
        <v>10</v>
      </c>
      <c r="C162" s="0" t="n">
        <v>3506</v>
      </c>
      <c r="D162" s="0" t="n">
        <v>268</v>
      </c>
      <c r="E162" s="0" t="n">
        <v>2</v>
      </c>
      <c r="F162" s="27" t="s">
        <v>288</v>
      </c>
      <c r="H162" s="0" t="n">
        <v>15</v>
      </c>
      <c r="I162" s="27" t="s">
        <v>151</v>
      </c>
      <c r="J162" s="0" t="n">
        <v>268</v>
      </c>
      <c r="K162" s="0" t="n">
        <v>72</v>
      </c>
      <c r="M162" s="0" t="n">
        <v>1333.7</v>
      </c>
      <c r="N162" s="0" t="n">
        <v>21.81</v>
      </c>
      <c r="O162" s="0" t="n">
        <v>38.31</v>
      </c>
      <c r="P162" s="0" t="n">
        <v>4.83</v>
      </c>
      <c r="Q162" s="0" t="n">
        <v>3.61</v>
      </c>
      <c r="R162" s="0" t="n">
        <v>5646</v>
      </c>
      <c r="S162" s="0" t="n">
        <v>12072</v>
      </c>
      <c r="T162" s="0" t="n">
        <v>63.1</v>
      </c>
      <c r="U162" s="0" t="n">
        <v>1928</v>
      </c>
      <c r="V162" s="0" t="n">
        <v>4</v>
      </c>
      <c r="W162" s="27" t="n">
        <f aca="false">MATCH(A162,DATAS,0)</f>
        <v>1</v>
      </c>
      <c r="X162" s="27" t="n">
        <f aca="false">IF(AND(E162&gt;0,OR(AND(B162&gt;=1,B162&lt;=6),B162=10)),1,0)</f>
        <v>1</v>
      </c>
      <c r="Y162" s="27" t="n">
        <f aca="false">IF(AND(E162&gt;0,B162=10),1,0)</f>
        <v>1</v>
      </c>
      <c r="Z162" s="0" t="str">
        <f aca="false">IF(AND(C161=C162,W161=W162-1),X161,"")</f>
        <v/>
      </c>
      <c r="AA162" s="0" t="str">
        <f aca="false">IF(AND(C161=C162,W161=W162-1),Y161,"")</f>
        <v/>
      </c>
      <c r="AB162" s="0" t="str">
        <f aca="false">IF(W162=1,"",IF(AND(X162=1,Z162&lt;&gt;1),1,0))</f>
        <v/>
      </c>
      <c r="AC162" s="0" t="str">
        <f aca="false">IF(W162=1,"",IF(AND(Y162=1,AA162&lt;&gt;1),1,0))</f>
        <v/>
      </c>
      <c r="AD162" s="33" t="str">
        <f aca="false">IF(AND(E162&gt;0,W162&lt;1,NOT(AND(C163=C162,W163=W162+1))),INDEX(DATAS,W162+1),"")</f>
        <v/>
      </c>
      <c r="AE162" s="33" t="str">
        <f aca="false">IF(AND(Y162=1,W162&lt;1),IF(AND(C163=C162,W163=W162+1),IF(Y163=1,"",INDEX(DATAS,W162+1)),INDEX(DATAS,W162+1)),"")</f>
        <v/>
      </c>
    </row>
    <row r="163" customFormat="false" ht="15" hidden="false" customHeight="false" outlineLevel="0" collapsed="false">
      <c r="A163" s="33" t="n">
        <v>46309</v>
      </c>
      <c r="B163" s="0" t="n">
        <v>3</v>
      </c>
      <c r="C163" s="0" t="n">
        <v>3507</v>
      </c>
      <c r="D163" s="0" t="n">
        <v>85</v>
      </c>
      <c r="E163" s="0" t="n">
        <v>4</v>
      </c>
      <c r="F163" s="27" t="s">
        <v>289</v>
      </c>
      <c r="G163" s="0" t="n">
        <v>60.5</v>
      </c>
      <c r="H163" s="0" t="n">
        <v>57</v>
      </c>
      <c r="I163" s="27" t="s">
        <v>168</v>
      </c>
      <c r="J163" s="0" t="n">
        <v>85</v>
      </c>
      <c r="K163" s="0" t="n">
        <v>64</v>
      </c>
      <c r="M163" s="0" t="n">
        <v>366.15</v>
      </c>
      <c r="N163" s="0" t="n">
        <v>31.19</v>
      </c>
      <c r="O163" s="0" t="n">
        <v>22.3</v>
      </c>
      <c r="P163" s="0" t="n">
        <v>3.31</v>
      </c>
      <c r="Q163" s="0" t="n">
        <v>3.1</v>
      </c>
      <c r="R163" s="0" t="n">
        <v>5302</v>
      </c>
      <c r="S163" s="0" t="n">
        <v>10658</v>
      </c>
      <c r="U163" s="0" t="n">
        <v>1926</v>
      </c>
      <c r="V163" s="0" t="n">
        <v>1</v>
      </c>
      <c r="W163" s="27" t="n">
        <f aca="false">MATCH(A163,DATAS,0)</f>
        <v>1</v>
      </c>
      <c r="X163" s="27" t="n">
        <f aca="false">IF(AND(E163&gt;0,OR(AND(B163&gt;=1,B163&lt;=6),B163=10)),1,0)</f>
        <v>1</v>
      </c>
      <c r="Y163" s="27" t="n">
        <f aca="false">IF(AND(E163&gt;0,B163=10),1,0)</f>
        <v>0</v>
      </c>
      <c r="Z163" s="0" t="str">
        <f aca="false">IF(AND(C162=C163,W162=W163-1),X162,"")</f>
        <v/>
      </c>
      <c r="AA163" s="0" t="str">
        <f aca="false">IF(AND(C162=C163,W162=W163-1),Y162,"")</f>
        <v/>
      </c>
      <c r="AB163" s="0" t="str">
        <f aca="false">IF(W163=1,"",IF(AND(X163=1,Z163&lt;&gt;1),1,0))</f>
        <v/>
      </c>
      <c r="AC163" s="0" t="str">
        <f aca="false">IF(W163=1,"",IF(AND(Y163=1,AA163&lt;&gt;1),1,0))</f>
        <v/>
      </c>
      <c r="AD163" s="33" t="str">
        <f aca="false">IF(AND(E163&gt;0,W163&lt;1,NOT(AND(C164=C163,W164=W163+1))),INDEX(DATAS,W163+1),"")</f>
        <v/>
      </c>
      <c r="AE163" s="33" t="str">
        <f aca="false">IF(AND(Y163=1,W163&lt;1),IF(AND(C164=C163,W164=W163+1),IF(Y164=1,"",INDEX(DATAS,W163+1)),INDEX(DATAS,W163+1)),"")</f>
        <v/>
      </c>
    </row>
    <row r="164" customFormat="false" ht="15" hidden="false" customHeight="false" outlineLevel="0" collapsed="false">
      <c r="A164" s="33" t="n">
        <v>46309</v>
      </c>
      <c r="B164" s="0" t="n">
        <v>6</v>
      </c>
      <c r="C164" s="0" t="n">
        <v>3509</v>
      </c>
      <c r="D164" s="0" t="n">
        <v>222</v>
      </c>
      <c r="E164" s="0" t="n">
        <v>4</v>
      </c>
      <c r="F164" s="27" t="s">
        <v>289</v>
      </c>
      <c r="G164" s="0" t="n">
        <v>18.2</v>
      </c>
      <c r="H164" s="0" t="n">
        <v>21</v>
      </c>
      <c r="I164" s="27" t="s">
        <v>168</v>
      </c>
      <c r="J164" s="0" t="n">
        <v>222</v>
      </c>
      <c r="K164" s="0" t="n">
        <v>68</v>
      </c>
      <c r="M164" s="0" t="n">
        <v>393.86</v>
      </c>
      <c r="N164" s="0" t="n">
        <v>46.5</v>
      </c>
      <c r="O164" s="0" t="n">
        <v>32.22</v>
      </c>
      <c r="P164" s="0" t="n">
        <v>4.37</v>
      </c>
      <c r="Q164" s="0" t="n">
        <v>4.08</v>
      </c>
      <c r="R164" s="0" t="n">
        <v>4004</v>
      </c>
      <c r="S164" s="0" t="n">
        <v>7167</v>
      </c>
      <c r="T164" s="0" t="n">
        <v>44.2</v>
      </c>
      <c r="U164" s="0" t="n">
        <v>1926</v>
      </c>
      <c r="V164" s="0" t="n">
        <v>4</v>
      </c>
      <c r="W164" s="27" t="n">
        <f aca="false">MATCH(A164,DATAS,0)</f>
        <v>1</v>
      </c>
      <c r="X164" s="27" t="n">
        <f aca="false">IF(AND(E164&gt;0,OR(AND(B164&gt;=1,B164&lt;=6),B164=10)),1,0)</f>
        <v>1</v>
      </c>
      <c r="Y164" s="27" t="n">
        <f aca="false">IF(AND(E164&gt;0,B164=10),1,0)</f>
        <v>0</v>
      </c>
      <c r="Z164" s="0" t="str">
        <f aca="false">IF(AND(C163=C164,W163=W164-1),X163,"")</f>
        <v/>
      </c>
      <c r="AA164" s="0" t="str">
        <f aca="false">IF(AND(C163=C164,W163=W164-1),Y163,"")</f>
        <v/>
      </c>
      <c r="AB164" s="0" t="str">
        <f aca="false">IF(W164=1,"",IF(AND(X164=1,Z164&lt;&gt;1),1,0))</f>
        <v/>
      </c>
      <c r="AC164" s="0" t="str">
        <f aca="false">IF(W164=1,"",IF(AND(Y164=1,AA164&lt;&gt;1),1,0))</f>
        <v/>
      </c>
      <c r="AD164" s="33" t="str">
        <f aca="false">IF(AND(E164&gt;0,W164&lt;1,NOT(AND(C165=C164,W165=W164+1))),INDEX(DATAS,W164+1),"")</f>
        <v/>
      </c>
      <c r="AE164" s="33" t="str">
        <f aca="false">IF(AND(Y164=1,W164&lt;1),IF(AND(C165=C164,W165=W164+1),IF(Y165=1,"",INDEX(DATAS,W164+1)),INDEX(DATAS,W164+1)),"")</f>
        <v/>
      </c>
    </row>
    <row r="165" customFormat="false" ht="15" hidden="false" customHeight="false" outlineLevel="0" collapsed="false">
      <c r="A165" s="33" t="n">
        <v>46309</v>
      </c>
      <c r="B165" s="0" t="n">
        <v>5</v>
      </c>
      <c r="C165" s="0" t="n">
        <v>3510</v>
      </c>
      <c r="D165" s="0" t="n">
        <v>56</v>
      </c>
      <c r="E165" s="0" t="n">
        <v>4</v>
      </c>
      <c r="F165" s="27" t="s">
        <v>289</v>
      </c>
      <c r="G165" s="0" t="n">
        <v>46.6</v>
      </c>
      <c r="H165" s="0" t="n">
        <v>43</v>
      </c>
      <c r="I165" s="27" t="s">
        <v>147</v>
      </c>
      <c r="J165" s="0" t="n">
        <v>56</v>
      </c>
      <c r="M165" s="0" t="n">
        <v>264.05</v>
      </c>
      <c r="N165" s="0" t="n">
        <v>23.33</v>
      </c>
      <c r="O165" s="0" t="n">
        <v>18.94</v>
      </c>
      <c r="P165" s="0" t="n">
        <v>4.04</v>
      </c>
      <c r="Q165" s="0" t="n">
        <v>3.55</v>
      </c>
      <c r="R165" s="0" t="n">
        <v>3133</v>
      </c>
      <c r="S165" s="0" t="n">
        <v>6297</v>
      </c>
      <c r="U165" s="0" t="n">
        <v>1926</v>
      </c>
      <c r="V165" s="0" t="n">
        <v>0</v>
      </c>
      <c r="W165" s="27" t="n">
        <f aca="false">MATCH(A165,DATAS,0)</f>
        <v>1</v>
      </c>
      <c r="X165" s="27" t="n">
        <f aca="false">IF(AND(E165&gt;0,OR(AND(B165&gt;=1,B165&lt;=6),B165=10)),1,0)</f>
        <v>1</v>
      </c>
      <c r="Y165" s="27" t="n">
        <f aca="false">IF(AND(E165&gt;0,B165=10),1,0)</f>
        <v>0</v>
      </c>
      <c r="Z165" s="0" t="str">
        <f aca="false">IF(AND(C164=C165,W164=W165-1),X164,"")</f>
        <v/>
      </c>
      <c r="AA165" s="0" t="str">
        <f aca="false">IF(AND(C164=C165,W164=W165-1),Y164,"")</f>
        <v/>
      </c>
      <c r="AB165" s="0" t="str">
        <f aca="false">IF(W165=1,"",IF(AND(X165=1,Z165&lt;&gt;1),1,0))</f>
        <v/>
      </c>
      <c r="AC165" s="0" t="str">
        <f aca="false">IF(W165=1,"",IF(AND(Y165=1,AA165&lt;&gt;1),1,0))</f>
        <v/>
      </c>
      <c r="AD165" s="33" t="str">
        <f aca="false">IF(AND(E165&gt;0,W165&lt;1,NOT(AND(C166=C165,W166=W165+1))),INDEX(DATAS,W165+1),"")</f>
        <v/>
      </c>
      <c r="AE165" s="33" t="str">
        <f aca="false">IF(AND(Y165=1,W165&lt;1),IF(AND(C166=C165,W166=W165+1),IF(Y166=1,"",INDEX(DATAS,W165+1)),INDEX(DATAS,W165+1)),"")</f>
        <v/>
      </c>
    </row>
    <row r="166" customFormat="false" ht="15" hidden="false" customHeight="false" outlineLevel="0" collapsed="false">
      <c r="A166" s="33" t="n">
        <v>46309</v>
      </c>
      <c r="B166" s="0" t="n">
        <v>2</v>
      </c>
      <c r="C166" s="0" t="n">
        <v>3511</v>
      </c>
      <c r="D166" s="0" t="n">
        <v>97</v>
      </c>
      <c r="E166" s="0" t="n">
        <v>4</v>
      </c>
      <c r="F166" s="27" t="s">
        <v>290</v>
      </c>
      <c r="G166" s="0" t="n">
        <v>60.5</v>
      </c>
      <c r="H166" s="0" t="n">
        <v>62</v>
      </c>
      <c r="I166" s="27" t="s">
        <v>176</v>
      </c>
      <c r="J166" s="0" t="n">
        <v>97</v>
      </c>
      <c r="K166" s="0" t="n">
        <v>62</v>
      </c>
      <c r="M166" s="0" t="n">
        <v>95.23</v>
      </c>
      <c r="N166" s="0" t="n">
        <v>38.64</v>
      </c>
      <c r="O166" s="0" t="n">
        <v>10.43</v>
      </c>
      <c r="P166" s="0" t="n">
        <v>3.07</v>
      </c>
      <c r="Q166" s="0" t="n">
        <v>3.07</v>
      </c>
      <c r="R166" s="0" t="n">
        <v>6250</v>
      </c>
      <c r="S166" s="0" t="n">
        <v>12563</v>
      </c>
      <c r="U166" s="0" t="n">
        <v>1925</v>
      </c>
      <c r="V166" s="0" t="n">
        <v>1</v>
      </c>
      <c r="W166" s="27" t="n">
        <f aca="false">MATCH(A166,DATAS,0)</f>
        <v>1</v>
      </c>
      <c r="X166" s="27" t="n">
        <f aca="false">IF(AND(E166&gt;0,OR(AND(B166&gt;=1,B166&lt;=6),B166=10)),1,0)</f>
        <v>1</v>
      </c>
      <c r="Y166" s="27" t="n">
        <f aca="false">IF(AND(E166&gt;0,B166=10),1,0)</f>
        <v>0</v>
      </c>
      <c r="Z166" s="0" t="str">
        <f aca="false">IF(AND(C165=C166,W165=W166-1),X165,"")</f>
        <v/>
      </c>
      <c r="AA166" s="0" t="str">
        <f aca="false">IF(AND(C165=C166,W165=W166-1),Y165,"")</f>
        <v/>
      </c>
      <c r="AB166" s="0" t="str">
        <f aca="false">IF(W166=1,"",IF(AND(X166=1,Z166&lt;&gt;1),1,0))</f>
        <v/>
      </c>
      <c r="AC166" s="0" t="str">
        <f aca="false">IF(W166=1,"",IF(AND(Y166=1,AA166&lt;&gt;1),1,0))</f>
        <v/>
      </c>
      <c r="AD166" s="33" t="str">
        <f aca="false">IF(AND(E166&gt;0,W166&lt;1,NOT(AND(C167=C166,W167=W166+1))),INDEX(DATAS,W166+1),"")</f>
        <v/>
      </c>
      <c r="AE166" s="33" t="str">
        <f aca="false">IF(AND(Y166=1,W166&lt;1),IF(AND(C167=C166,W167=W166+1),IF(Y167=1,"",INDEX(DATAS,W166+1)),INDEX(DATAS,W166+1)),"")</f>
        <v/>
      </c>
    </row>
    <row r="167" customFormat="false" ht="15" hidden="false" customHeight="false" outlineLevel="0" collapsed="false">
      <c r="A167" s="33" t="n">
        <v>46309</v>
      </c>
      <c r="B167" s="0" t="n">
        <v>5</v>
      </c>
      <c r="C167" s="0" t="n">
        <v>3513</v>
      </c>
      <c r="D167" s="0" t="n">
        <v>315</v>
      </c>
      <c r="E167" s="0" t="n">
        <v>3</v>
      </c>
      <c r="F167" s="27" t="s">
        <v>291</v>
      </c>
      <c r="G167" s="0" t="n">
        <v>46.5</v>
      </c>
      <c r="H167" s="0" t="n">
        <v>46</v>
      </c>
      <c r="I167" s="27" t="s">
        <v>138</v>
      </c>
      <c r="J167" s="0" t="n">
        <v>98</v>
      </c>
      <c r="K167" s="0" t="n">
        <v>63</v>
      </c>
      <c r="L167" s="0" t="n">
        <v>217</v>
      </c>
      <c r="M167" s="0" t="n">
        <v>599.38</v>
      </c>
      <c r="N167" s="0" t="n">
        <v>31.82</v>
      </c>
      <c r="O167" s="0" t="n">
        <v>29.97</v>
      </c>
      <c r="P167" s="0" t="n">
        <v>4.03</v>
      </c>
      <c r="Q167" s="0" t="n">
        <v>3.63</v>
      </c>
      <c r="R167" s="0" t="n">
        <v>5530</v>
      </c>
      <c r="S167" s="0" t="n">
        <v>10993</v>
      </c>
      <c r="T167" s="0" t="n">
        <v>58.7</v>
      </c>
      <c r="U167" s="0" t="n">
        <v>1921</v>
      </c>
      <c r="V167" s="0" t="n">
        <v>2</v>
      </c>
      <c r="W167" s="27" t="n">
        <f aca="false">MATCH(A167,DATAS,0)</f>
        <v>1</v>
      </c>
      <c r="X167" s="27" t="n">
        <f aca="false">IF(AND(E167&gt;0,OR(AND(B167&gt;=1,B167&lt;=6),B167=10)),1,0)</f>
        <v>1</v>
      </c>
      <c r="Y167" s="27" t="n">
        <f aca="false">IF(AND(E167&gt;0,B167=10),1,0)</f>
        <v>0</v>
      </c>
      <c r="Z167" s="0" t="str">
        <f aca="false">IF(AND(C166=C167,W166=W167-1),X166,"")</f>
        <v/>
      </c>
      <c r="AA167" s="0" t="str">
        <f aca="false">IF(AND(C166=C167,W166=W167-1),Y166,"")</f>
        <v/>
      </c>
      <c r="AB167" s="0" t="str">
        <f aca="false">IF(W167=1,"",IF(AND(X167=1,Z167&lt;&gt;1),1,0))</f>
        <v/>
      </c>
      <c r="AC167" s="0" t="str">
        <f aca="false">IF(W167=1,"",IF(AND(Y167=1,AA167&lt;&gt;1),1,0))</f>
        <v/>
      </c>
      <c r="AD167" s="33" t="str">
        <f aca="false">IF(AND(E167&gt;0,W167&lt;1,NOT(AND(C168=C167,W168=W167+1))),INDEX(DATAS,W167+1),"")</f>
        <v/>
      </c>
      <c r="AE167" s="33" t="str">
        <f aca="false">IF(AND(Y167=1,W167&lt;1),IF(AND(C168=C167,W168=W167+1),IF(Y168=1,"",INDEX(DATAS,W167+1)),INDEX(DATAS,W167+1)),"")</f>
        <v/>
      </c>
    </row>
    <row r="168" customFormat="false" ht="15" hidden="false" customHeight="false" outlineLevel="0" collapsed="false">
      <c r="A168" s="33" t="n">
        <v>46309</v>
      </c>
      <c r="B168" s="0" t="n">
        <v>2</v>
      </c>
      <c r="C168" s="0" t="n">
        <v>3520</v>
      </c>
      <c r="D168" s="0" t="n">
        <v>167</v>
      </c>
      <c r="E168" s="0" t="n">
        <v>3</v>
      </c>
      <c r="F168" s="27" t="s">
        <v>292</v>
      </c>
      <c r="G168" s="0" t="n">
        <v>53.4</v>
      </c>
      <c r="H168" s="0" t="n">
        <v>51</v>
      </c>
      <c r="I168" s="27" t="s">
        <v>168</v>
      </c>
      <c r="J168" s="0" t="n">
        <v>167</v>
      </c>
      <c r="K168" s="0" t="n">
        <v>83</v>
      </c>
      <c r="M168" s="0" t="n">
        <v>681.44</v>
      </c>
      <c r="N168" s="0" t="n">
        <v>54.67</v>
      </c>
      <c r="O168" s="0" t="n">
        <v>27.26</v>
      </c>
      <c r="P168" s="0" t="n">
        <v>2.8</v>
      </c>
      <c r="Q168" s="0" t="n">
        <v>3.14</v>
      </c>
      <c r="R168" s="0" t="n">
        <v>5032</v>
      </c>
      <c r="S168" s="0" t="n">
        <v>10212</v>
      </c>
      <c r="T168" s="0" t="n">
        <v>54.75</v>
      </c>
      <c r="U168" s="0" t="n">
        <v>1919</v>
      </c>
      <c r="V168" s="0" t="n">
        <v>4</v>
      </c>
      <c r="W168" s="27" t="n">
        <f aca="false">MATCH(A168,DATAS,0)</f>
        <v>1</v>
      </c>
      <c r="X168" s="27" t="n">
        <f aca="false">IF(AND(E168&gt;0,OR(AND(B168&gt;=1,B168&lt;=6),B168=10)),1,0)</f>
        <v>1</v>
      </c>
      <c r="Y168" s="27" t="n">
        <f aca="false">IF(AND(E168&gt;0,B168=10),1,0)</f>
        <v>0</v>
      </c>
      <c r="Z168" s="0" t="str">
        <f aca="false">IF(AND(C167=C168,W167=W168-1),X167,"")</f>
        <v/>
      </c>
      <c r="AA168" s="0" t="str">
        <f aca="false">IF(AND(C167=C168,W167=W168-1),Y167,"")</f>
        <v/>
      </c>
      <c r="AB168" s="0" t="str">
        <f aca="false">IF(W168=1,"",IF(AND(X168=1,Z168&lt;&gt;1),1,0))</f>
        <v/>
      </c>
      <c r="AC168" s="0" t="str">
        <f aca="false">IF(W168=1,"",IF(AND(Y168=1,AA168&lt;&gt;1),1,0))</f>
        <v/>
      </c>
      <c r="AD168" s="33" t="str">
        <f aca="false">IF(AND(E168&gt;0,W168&lt;1,NOT(AND(C169=C168,W169=W168+1))),INDEX(DATAS,W168+1),"")</f>
        <v/>
      </c>
      <c r="AE168" s="33" t="str">
        <f aca="false">IF(AND(Y168=1,W168&lt;1),IF(AND(C169=C168,W169=W168+1),IF(Y169=1,"",INDEX(DATAS,W168+1)),INDEX(DATAS,W168+1)),"")</f>
        <v/>
      </c>
    </row>
    <row r="169" customFormat="false" ht="15" hidden="false" customHeight="false" outlineLevel="0" collapsed="false">
      <c r="A169" s="33" t="n">
        <v>46309</v>
      </c>
      <c r="B169" s="0" t="n">
        <v>7</v>
      </c>
      <c r="C169" s="0" t="n">
        <v>3526</v>
      </c>
      <c r="D169" s="0" t="n">
        <v>389</v>
      </c>
      <c r="E169" s="0" t="n">
        <v>3</v>
      </c>
      <c r="F169" s="27" t="s">
        <v>293</v>
      </c>
      <c r="I169" s="27" t="s">
        <v>143</v>
      </c>
      <c r="J169" s="0" t="n">
        <v>278</v>
      </c>
      <c r="K169" s="0" t="n">
        <v>61</v>
      </c>
      <c r="L169" s="0" t="n">
        <v>210</v>
      </c>
      <c r="M169" s="0" t="n">
        <v>643.4</v>
      </c>
      <c r="N169" s="0" t="n">
        <v>53.45</v>
      </c>
      <c r="O169" s="0" t="n">
        <v>33.4</v>
      </c>
      <c r="P169" s="0" t="n">
        <v>6.36</v>
      </c>
      <c r="Q169" s="0" t="n">
        <v>4.73</v>
      </c>
      <c r="R169" s="0" t="n">
        <v>6215</v>
      </c>
      <c r="S169" s="0" t="n">
        <v>12110</v>
      </c>
      <c r="T169" s="0" t="n">
        <v>66.9</v>
      </c>
      <c r="U169" s="0" t="n">
        <v>1915</v>
      </c>
      <c r="V169" s="0" t="n">
        <v>8</v>
      </c>
      <c r="W169" s="27" t="n">
        <f aca="false">MATCH(A169,DATAS,0)</f>
        <v>1</v>
      </c>
      <c r="X169" s="27" t="n">
        <f aca="false">IF(AND(E169&gt;0,OR(AND(B169&gt;=1,B169&lt;=6),B169=10)),1,0)</f>
        <v>0</v>
      </c>
      <c r="Y169" s="27" t="n">
        <f aca="false">IF(AND(E169&gt;0,B169=10),1,0)</f>
        <v>0</v>
      </c>
      <c r="Z169" s="0" t="str">
        <f aca="false">IF(AND(C168=C169,W168=W169-1),X168,"")</f>
        <v/>
      </c>
      <c r="AA169" s="0" t="str">
        <f aca="false">IF(AND(C168=C169,W168=W169-1),Y168,"")</f>
        <v/>
      </c>
      <c r="AB169" s="0" t="str">
        <f aca="false">IF(W169=1,"",IF(AND(X169=1,Z169&lt;&gt;1),1,0))</f>
        <v/>
      </c>
      <c r="AC169" s="0" t="str">
        <f aca="false">IF(W169=1,"",IF(AND(Y169=1,AA169&lt;&gt;1),1,0))</f>
        <v/>
      </c>
      <c r="AD169" s="33" t="str">
        <f aca="false">IF(AND(E169&gt;0,W169&lt;1,NOT(AND(C170=C169,W170=W169+1))),INDEX(DATAS,W169+1),"")</f>
        <v/>
      </c>
      <c r="AE169" s="33" t="str">
        <f aca="false">IF(AND(Y169=1,W169&lt;1),IF(AND(C170=C169,W170=W169+1),IF(Y170=1,"",INDEX(DATAS,W169+1)),INDEX(DATAS,W169+1)),"")</f>
        <v/>
      </c>
    </row>
    <row r="170" customFormat="false" ht="15" hidden="false" customHeight="false" outlineLevel="0" collapsed="false">
      <c r="A170" s="33" t="n">
        <v>46309</v>
      </c>
      <c r="B170" s="0" t="n">
        <v>5</v>
      </c>
      <c r="C170" s="0" t="n">
        <v>3528</v>
      </c>
      <c r="D170" s="0" t="n">
        <v>192</v>
      </c>
      <c r="E170" s="0" t="n">
        <v>3</v>
      </c>
      <c r="F170" s="27" t="s">
        <v>294</v>
      </c>
      <c r="G170" s="0" t="n">
        <v>38.4</v>
      </c>
      <c r="H170" s="0" t="n">
        <v>37</v>
      </c>
      <c r="I170" s="27" t="s">
        <v>138</v>
      </c>
      <c r="J170" s="0" t="n">
        <v>108</v>
      </c>
      <c r="K170" s="0" t="n">
        <v>66</v>
      </c>
      <c r="L170" s="0" t="n">
        <v>84</v>
      </c>
      <c r="P170" s="0" t="n">
        <v>3.95</v>
      </c>
      <c r="Q170" s="0" t="n">
        <v>4.32</v>
      </c>
      <c r="R170" s="0" t="n">
        <v>3463</v>
      </c>
      <c r="S170" s="0" t="n">
        <v>7285</v>
      </c>
      <c r="T170" s="0" t="n">
        <v>38.25</v>
      </c>
      <c r="U170" s="0" t="n">
        <v>1914</v>
      </c>
      <c r="V170" s="0" t="n">
        <v>2</v>
      </c>
      <c r="W170" s="27" t="n">
        <f aca="false">MATCH(A170,DATAS,0)</f>
        <v>1</v>
      </c>
      <c r="X170" s="27" t="n">
        <f aca="false">IF(AND(E170&gt;0,OR(AND(B170&gt;=1,B170&lt;=6),B170=10)),1,0)</f>
        <v>1</v>
      </c>
      <c r="Y170" s="27" t="n">
        <f aca="false">IF(AND(E170&gt;0,B170=10),1,0)</f>
        <v>0</v>
      </c>
      <c r="Z170" s="0" t="str">
        <f aca="false">IF(AND(C169=C170,W169=W170-1),X169,"")</f>
        <v/>
      </c>
      <c r="AA170" s="0" t="str">
        <f aca="false">IF(AND(C169=C170,W169=W170-1),Y169,"")</f>
        <v/>
      </c>
      <c r="AB170" s="0" t="str">
        <f aca="false">IF(W170=1,"",IF(AND(X170=1,Z170&lt;&gt;1),1,0))</f>
        <v/>
      </c>
      <c r="AC170" s="0" t="str">
        <f aca="false">IF(W170=1,"",IF(AND(Y170=1,AA170&lt;&gt;1),1,0))</f>
        <v/>
      </c>
      <c r="AD170" s="33" t="str">
        <f aca="false">IF(AND(E170&gt;0,W170&lt;1,NOT(AND(C171=C170,W171=W170+1))),INDEX(DATAS,W170+1),"")</f>
        <v/>
      </c>
      <c r="AE170" s="33" t="str">
        <f aca="false">IF(AND(Y170=1,W170&lt;1),IF(AND(C171=C170,W171=W170+1),IF(Y171=1,"",INDEX(DATAS,W170+1)),INDEX(DATAS,W170+1)),"")</f>
        <v/>
      </c>
    </row>
    <row r="171" customFormat="false" ht="15" hidden="false" customHeight="false" outlineLevel="0" collapsed="false">
      <c r="A171" s="33" t="n">
        <v>46309</v>
      </c>
      <c r="B171" s="0" t="n">
        <v>7</v>
      </c>
      <c r="C171" s="0" t="n">
        <v>3543</v>
      </c>
      <c r="D171" s="0" t="n">
        <v>475</v>
      </c>
      <c r="E171" s="0" t="n">
        <v>3</v>
      </c>
      <c r="F171" s="27" t="s">
        <v>295</v>
      </c>
      <c r="G171" s="0" t="n">
        <v>7</v>
      </c>
      <c r="H171" s="0" t="n">
        <v>10</v>
      </c>
      <c r="I171" s="27" t="s">
        <v>143</v>
      </c>
      <c r="J171" s="0" t="n">
        <v>301</v>
      </c>
      <c r="K171" s="0" t="n">
        <v>63</v>
      </c>
      <c r="L171" s="0" t="n">
        <v>175</v>
      </c>
      <c r="M171" s="0" t="n">
        <v>160.8</v>
      </c>
      <c r="N171" s="0" t="n">
        <v>46.01</v>
      </c>
      <c r="O171" s="0" t="n">
        <v>20.49</v>
      </c>
      <c r="P171" s="0" t="n">
        <v>6.94</v>
      </c>
      <c r="Q171" s="0" t="n">
        <v>5.07</v>
      </c>
      <c r="R171" s="0" t="n">
        <v>5919</v>
      </c>
      <c r="S171" s="0" t="n">
        <v>11693</v>
      </c>
      <c r="T171" s="0" t="n">
        <v>63.55</v>
      </c>
      <c r="U171" s="0" t="n">
        <v>1904</v>
      </c>
      <c r="V171" s="0" t="n">
        <v>7</v>
      </c>
      <c r="W171" s="27" t="n">
        <f aca="false">MATCH(A171,DATAS,0)</f>
        <v>1</v>
      </c>
      <c r="X171" s="27" t="n">
        <f aca="false">IF(AND(E171&gt;0,OR(AND(B171&gt;=1,B171&lt;=6),B171=10)),1,0)</f>
        <v>0</v>
      </c>
      <c r="Y171" s="27" t="n">
        <f aca="false">IF(AND(E171&gt;0,B171=10),1,0)</f>
        <v>0</v>
      </c>
      <c r="Z171" s="0" t="str">
        <f aca="false">IF(AND(C170=C171,W170=W171-1),X170,"")</f>
        <v/>
      </c>
      <c r="AA171" s="0" t="str">
        <f aca="false">IF(AND(C170=C171,W170=W171-1),Y170,"")</f>
        <v/>
      </c>
      <c r="AB171" s="0" t="str">
        <f aca="false">IF(W171=1,"",IF(AND(X171=1,Z171&lt;&gt;1),1,0))</f>
        <v/>
      </c>
      <c r="AC171" s="0" t="str">
        <f aca="false">IF(W171=1,"",IF(AND(Y171=1,AA171&lt;&gt;1),1,0))</f>
        <v/>
      </c>
      <c r="AD171" s="33" t="str">
        <f aca="false">IF(AND(E171&gt;0,W171&lt;1,NOT(AND(C172=C171,W172=W171+1))),INDEX(DATAS,W171+1),"")</f>
        <v/>
      </c>
      <c r="AE171" s="33" t="str">
        <f aca="false">IF(AND(Y171=1,W171&lt;1),IF(AND(C172=C171,W172=W171+1),IF(Y172=1,"",INDEX(DATAS,W171+1)),INDEX(DATAS,W171+1)),"")</f>
        <v/>
      </c>
    </row>
    <row r="172" customFormat="false" ht="15" hidden="false" customHeight="false" outlineLevel="0" collapsed="false">
      <c r="A172" s="33" t="n">
        <v>46309</v>
      </c>
      <c r="B172" s="0" t="n">
        <v>5</v>
      </c>
      <c r="C172" s="0" t="n">
        <v>3547</v>
      </c>
      <c r="D172" s="0" t="n">
        <v>152</v>
      </c>
      <c r="E172" s="0" t="n">
        <v>3</v>
      </c>
      <c r="F172" s="27" t="s">
        <v>296</v>
      </c>
      <c r="G172" s="0" t="n">
        <v>31.6</v>
      </c>
      <c r="H172" s="0" t="n">
        <v>29</v>
      </c>
      <c r="I172" s="27" t="s">
        <v>168</v>
      </c>
      <c r="J172" s="0" t="n">
        <v>152</v>
      </c>
      <c r="K172" s="0" t="n">
        <v>68</v>
      </c>
      <c r="M172" s="0" t="n">
        <v>-547.39</v>
      </c>
      <c r="N172" s="0" t="n">
        <v>-1.65</v>
      </c>
      <c r="O172" s="0" t="n">
        <v>-0.64</v>
      </c>
      <c r="P172" s="0" t="n">
        <v>3.53</v>
      </c>
      <c r="Q172" s="0" t="n">
        <v>3.53</v>
      </c>
      <c r="R172" s="0" t="n">
        <v>4010</v>
      </c>
      <c r="S172" s="0" t="n">
        <v>8139</v>
      </c>
      <c r="T172" s="0" t="n">
        <v>40.95</v>
      </c>
      <c r="U172" s="0" t="n">
        <v>1900</v>
      </c>
      <c r="V172" s="0" t="n">
        <v>3</v>
      </c>
      <c r="W172" s="27" t="n">
        <f aca="false">MATCH(A172,DATAS,0)</f>
        <v>1</v>
      </c>
      <c r="X172" s="27" t="n">
        <f aca="false">IF(AND(E172&gt;0,OR(AND(B172&gt;=1,B172&lt;=6),B172=10)),1,0)</f>
        <v>1</v>
      </c>
      <c r="Y172" s="27" t="n">
        <f aca="false">IF(AND(E172&gt;0,B172=10),1,0)</f>
        <v>0</v>
      </c>
      <c r="Z172" s="0" t="str">
        <f aca="false">IF(AND(C171=C172,W171=W172-1),X171,"")</f>
        <v/>
      </c>
      <c r="AA172" s="0" t="str">
        <f aca="false">IF(AND(C171=C172,W171=W172-1),Y171,"")</f>
        <v/>
      </c>
      <c r="AB172" s="0" t="str">
        <f aca="false">IF(W172=1,"",IF(AND(X172=1,Z172&lt;&gt;1),1,0))</f>
        <v/>
      </c>
      <c r="AC172" s="0" t="str">
        <f aca="false">IF(W172=1,"",IF(AND(Y172=1,AA172&lt;&gt;1),1,0))</f>
        <v/>
      </c>
      <c r="AD172" s="33" t="str">
        <f aca="false">IF(AND(E172&gt;0,W172&lt;1,NOT(AND(C173=C172,W173=W172+1))),INDEX(DATAS,W172+1),"")</f>
        <v/>
      </c>
      <c r="AE172" s="33" t="str">
        <f aca="false">IF(AND(Y172=1,W172&lt;1),IF(AND(C173=C172,W173=W172+1),IF(Y173=1,"",INDEX(DATAS,W172+1)),INDEX(DATAS,W172+1)),"")</f>
        <v/>
      </c>
    </row>
    <row r="173" customFormat="false" ht="15" hidden="false" customHeight="false" outlineLevel="0" collapsed="false">
      <c r="A173" s="33" t="n">
        <v>46309</v>
      </c>
      <c r="B173" s="0" t="n">
        <v>2</v>
      </c>
      <c r="C173" s="0" t="n">
        <v>3549</v>
      </c>
      <c r="D173" s="0" t="n">
        <v>297</v>
      </c>
      <c r="E173" s="0" t="n">
        <v>3</v>
      </c>
      <c r="F173" s="27" t="s">
        <v>297</v>
      </c>
      <c r="G173" s="0" t="n">
        <v>51.4</v>
      </c>
      <c r="H173" s="0" t="n">
        <v>50</v>
      </c>
      <c r="I173" s="27" t="s">
        <v>168</v>
      </c>
      <c r="J173" s="0" t="n">
        <v>297</v>
      </c>
      <c r="K173" s="0" t="n">
        <v>66</v>
      </c>
      <c r="M173" s="0" t="n">
        <v>138.9</v>
      </c>
      <c r="N173" s="0" t="n">
        <v>51.78</v>
      </c>
      <c r="O173" s="0" t="n">
        <v>14.31</v>
      </c>
      <c r="P173" s="0" t="n">
        <v>4.22</v>
      </c>
      <c r="Q173" s="0" t="n">
        <v>3.58</v>
      </c>
      <c r="R173" s="0" t="n">
        <v>5893</v>
      </c>
      <c r="S173" s="0" t="n">
        <v>12398</v>
      </c>
      <c r="T173" s="0" t="n">
        <v>62.95</v>
      </c>
      <c r="U173" s="0" t="n">
        <v>1899</v>
      </c>
      <c r="V173" s="0" t="n">
        <v>5</v>
      </c>
      <c r="W173" s="27" t="n">
        <f aca="false">MATCH(A173,DATAS,0)</f>
        <v>1</v>
      </c>
      <c r="X173" s="27" t="n">
        <f aca="false">IF(AND(E173&gt;0,OR(AND(B173&gt;=1,B173&lt;=6),B173=10)),1,0)</f>
        <v>1</v>
      </c>
      <c r="Y173" s="27" t="n">
        <f aca="false">IF(AND(E173&gt;0,B173=10),1,0)</f>
        <v>0</v>
      </c>
      <c r="Z173" s="0" t="str">
        <f aca="false">IF(AND(C172=C173,W172=W173-1),X172,"")</f>
        <v/>
      </c>
      <c r="AA173" s="0" t="str">
        <f aca="false">IF(AND(C172=C173,W172=W173-1),Y172,"")</f>
        <v/>
      </c>
      <c r="AB173" s="0" t="str">
        <f aca="false">IF(W173=1,"",IF(AND(X173=1,Z173&lt;&gt;1),1,0))</f>
        <v/>
      </c>
      <c r="AC173" s="0" t="str">
        <f aca="false">IF(W173=1,"",IF(AND(Y173=1,AA173&lt;&gt;1),1,0))</f>
        <v/>
      </c>
      <c r="AD173" s="33" t="str">
        <f aca="false">IF(AND(E173&gt;0,W173&lt;1,NOT(AND(C174=C173,W174=W173+1))),INDEX(DATAS,W173+1),"")</f>
        <v/>
      </c>
      <c r="AE173" s="33" t="str">
        <f aca="false">IF(AND(Y173=1,W173&lt;1),IF(AND(C174=C173,W174=W173+1),IF(Y174=1,"",INDEX(DATAS,W173+1)),INDEX(DATAS,W173+1)),"")</f>
        <v/>
      </c>
    </row>
    <row r="174" customFormat="false" ht="15" hidden="false" customHeight="false" outlineLevel="0" collapsed="false">
      <c r="A174" s="33" t="n">
        <v>46309</v>
      </c>
      <c r="B174" s="0" t="n">
        <v>3</v>
      </c>
      <c r="C174" s="0" t="n">
        <v>3551</v>
      </c>
      <c r="D174" s="0" t="n">
        <v>158</v>
      </c>
      <c r="E174" s="0" t="n">
        <v>3</v>
      </c>
      <c r="F174" s="27" t="s">
        <v>297</v>
      </c>
      <c r="G174" s="0" t="n">
        <v>56.4</v>
      </c>
      <c r="H174" s="0" t="n">
        <v>55</v>
      </c>
      <c r="I174" s="27" t="s">
        <v>168</v>
      </c>
      <c r="J174" s="0" t="n">
        <v>158</v>
      </c>
      <c r="K174" s="0" t="n">
        <v>47</v>
      </c>
      <c r="M174" s="0" t="n">
        <v>638.22</v>
      </c>
      <c r="N174" s="0" t="n">
        <v>46.68</v>
      </c>
      <c r="O174" s="0" t="n">
        <v>26.24</v>
      </c>
      <c r="P174" s="0" t="n">
        <v>3.24</v>
      </c>
      <c r="Q174" s="0" t="n">
        <v>3.11</v>
      </c>
      <c r="R174" s="0" t="n">
        <v>4561</v>
      </c>
      <c r="S174" s="0" t="n">
        <v>9802</v>
      </c>
      <c r="T174" s="0" t="n">
        <v>54.35</v>
      </c>
      <c r="U174" s="0" t="n">
        <v>1899</v>
      </c>
      <c r="V174" s="0" t="n">
        <v>4</v>
      </c>
      <c r="W174" s="27" t="n">
        <f aca="false">MATCH(A174,DATAS,0)</f>
        <v>1</v>
      </c>
      <c r="X174" s="27" t="n">
        <f aca="false">IF(AND(E174&gt;0,OR(AND(B174&gt;=1,B174&lt;=6),B174=10)),1,0)</f>
        <v>1</v>
      </c>
      <c r="Y174" s="27" t="n">
        <f aca="false">IF(AND(E174&gt;0,B174=10),1,0)</f>
        <v>0</v>
      </c>
      <c r="Z174" s="0" t="str">
        <f aca="false">IF(AND(C173=C174,W173=W174-1),X173,"")</f>
        <v/>
      </c>
      <c r="AA174" s="0" t="str">
        <f aca="false">IF(AND(C173=C174,W173=W174-1),Y173,"")</f>
        <v/>
      </c>
      <c r="AB174" s="0" t="str">
        <f aca="false">IF(W174=1,"",IF(AND(X174=1,Z174&lt;&gt;1),1,0))</f>
        <v/>
      </c>
      <c r="AC174" s="0" t="str">
        <f aca="false">IF(W174=1,"",IF(AND(Y174=1,AA174&lt;&gt;1),1,0))</f>
        <v/>
      </c>
      <c r="AD174" s="33" t="str">
        <f aca="false">IF(AND(E174&gt;0,W174&lt;1,NOT(AND(C175=C174,W175=W174+1))),INDEX(DATAS,W174+1),"")</f>
        <v/>
      </c>
      <c r="AE174" s="33" t="str">
        <f aca="false">IF(AND(Y174=1,W174&lt;1),IF(AND(C175=C174,W175=W174+1),IF(Y175=1,"",INDEX(DATAS,W174+1)),INDEX(DATAS,W174+1)),"")</f>
        <v/>
      </c>
    </row>
    <row r="175" customFormat="false" ht="15" hidden="false" customHeight="false" outlineLevel="0" collapsed="false">
      <c r="A175" s="33" t="n">
        <v>46309</v>
      </c>
      <c r="B175" s="0" t="n">
        <v>5</v>
      </c>
      <c r="C175" s="0" t="n">
        <v>3553</v>
      </c>
      <c r="D175" s="0" t="n">
        <v>188</v>
      </c>
      <c r="E175" s="0" t="n">
        <v>4</v>
      </c>
      <c r="F175" s="27" t="s">
        <v>297</v>
      </c>
      <c r="G175" s="0" t="n">
        <v>44.6</v>
      </c>
      <c r="H175" s="0" t="n">
        <v>39</v>
      </c>
      <c r="I175" s="27" t="s">
        <v>138</v>
      </c>
      <c r="J175" s="0" t="n">
        <v>104</v>
      </c>
      <c r="K175" s="0" t="n">
        <v>62</v>
      </c>
      <c r="L175" s="0" t="n">
        <v>84</v>
      </c>
      <c r="M175" s="0" t="n">
        <v>157.79</v>
      </c>
      <c r="N175" s="0" t="n">
        <v>45.15</v>
      </c>
      <c r="O175" s="0" t="n">
        <v>25.16</v>
      </c>
      <c r="P175" s="0" t="n">
        <v>4.89</v>
      </c>
      <c r="Q175" s="0" t="n">
        <v>3.72</v>
      </c>
      <c r="R175" s="0" t="n">
        <v>3434</v>
      </c>
      <c r="S175" s="0" t="n">
        <v>7790</v>
      </c>
      <c r="T175" s="0" t="n">
        <v>40.8</v>
      </c>
      <c r="U175" s="0" t="n">
        <v>1899</v>
      </c>
      <c r="V175" s="0" t="n">
        <v>2</v>
      </c>
      <c r="W175" s="27" t="n">
        <f aca="false">MATCH(A175,DATAS,0)</f>
        <v>1</v>
      </c>
      <c r="X175" s="27" t="n">
        <f aca="false">IF(AND(E175&gt;0,OR(AND(B175&gt;=1,B175&lt;=6),B175=10)),1,0)</f>
        <v>1</v>
      </c>
      <c r="Y175" s="27" t="n">
        <f aca="false">IF(AND(E175&gt;0,B175=10),1,0)</f>
        <v>0</v>
      </c>
      <c r="Z175" s="0" t="str">
        <f aca="false">IF(AND(C174=C175,W174=W175-1),X174,"")</f>
        <v/>
      </c>
      <c r="AA175" s="0" t="str">
        <f aca="false">IF(AND(C174=C175,W174=W175-1),Y174,"")</f>
        <v/>
      </c>
      <c r="AB175" s="0" t="str">
        <f aca="false">IF(W175=1,"",IF(AND(X175=1,Z175&lt;&gt;1),1,0))</f>
        <v/>
      </c>
      <c r="AC175" s="0" t="str">
        <f aca="false">IF(W175=1,"",IF(AND(Y175=1,AA175&lt;&gt;1),1,0))</f>
        <v/>
      </c>
      <c r="AD175" s="33" t="str">
        <f aca="false">IF(AND(E175&gt;0,W175&lt;1,NOT(AND(C176=C175,W176=W175+1))),INDEX(DATAS,W175+1),"")</f>
        <v/>
      </c>
      <c r="AE175" s="33" t="str">
        <f aca="false">IF(AND(Y175=1,W175&lt;1),IF(AND(C176=C175,W176=W175+1),IF(Y176=1,"",INDEX(DATAS,W175+1)),INDEX(DATAS,W175+1)),"")</f>
        <v/>
      </c>
    </row>
    <row r="176" customFormat="false" ht="15" hidden="false" customHeight="false" outlineLevel="0" collapsed="false">
      <c r="A176" s="33" t="n">
        <v>46309</v>
      </c>
      <c r="B176" s="0" t="n">
        <v>6</v>
      </c>
      <c r="C176" s="0" t="n">
        <v>3554</v>
      </c>
      <c r="D176" s="0" t="n">
        <v>351</v>
      </c>
      <c r="E176" s="0" t="n">
        <v>3</v>
      </c>
      <c r="F176" s="27" t="s">
        <v>297</v>
      </c>
      <c r="G176" s="0" t="n">
        <v>29.5</v>
      </c>
      <c r="H176" s="0" t="n">
        <v>28</v>
      </c>
      <c r="I176" s="27" t="s">
        <v>151</v>
      </c>
      <c r="J176" s="0" t="n">
        <v>351</v>
      </c>
      <c r="K176" s="0" t="n">
        <v>65</v>
      </c>
      <c r="M176" s="0" t="n">
        <v>1168.16</v>
      </c>
      <c r="N176" s="0" t="n">
        <v>74.28</v>
      </c>
      <c r="O176" s="0" t="n">
        <v>37.62</v>
      </c>
      <c r="P176" s="0" t="n">
        <v>5.27</v>
      </c>
      <c r="Q176" s="0" t="n">
        <v>3.94</v>
      </c>
      <c r="R176" s="0" t="n">
        <v>5187</v>
      </c>
      <c r="S176" s="0" t="n">
        <v>8133</v>
      </c>
      <c r="T176" s="0" t="n">
        <v>65.9</v>
      </c>
      <c r="U176" s="0" t="n">
        <v>1899</v>
      </c>
      <c r="V176" s="0" t="n">
        <v>3</v>
      </c>
      <c r="W176" s="27" t="n">
        <f aca="false">MATCH(A176,DATAS,0)</f>
        <v>1</v>
      </c>
      <c r="X176" s="27" t="n">
        <f aca="false">IF(AND(E176&gt;0,OR(AND(B176&gt;=1,B176&lt;=6),B176=10)),1,0)</f>
        <v>1</v>
      </c>
      <c r="Y176" s="27" t="n">
        <f aca="false">IF(AND(E176&gt;0,B176=10),1,0)</f>
        <v>0</v>
      </c>
      <c r="Z176" s="0" t="str">
        <f aca="false">IF(AND(C175=C176,W175=W176-1),X175,"")</f>
        <v/>
      </c>
      <c r="AA176" s="0" t="str">
        <f aca="false">IF(AND(C175=C176,W175=W176-1),Y175,"")</f>
        <v/>
      </c>
      <c r="AB176" s="0" t="str">
        <f aca="false">IF(W176=1,"",IF(AND(X176=1,Z176&lt;&gt;1),1,0))</f>
        <v/>
      </c>
      <c r="AC176" s="0" t="str">
        <f aca="false">IF(W176=1,"",IF(AND(Y176=1,AA176&lt;&gt;1),1,0))</f>
        <v/>
      </c>
      <c r="AD176" s="33" t="str">
        <f aca="false">IF(AND(E176&gt;0,W176&lt;1,NOT(AND(C177=C176,W177=W176+1))),INDEX(DATAS,W176+1),"")</f>
        <v/>
      </c>
      <c r="AE176" s="33" t="str">
        <f aca="false">IF(AND(Y176=1,W176&lt;1),IF(AND(C177=C176,W177=W176+1),IF(Y177=1,"",INDEX(DATAS,W176+1)),INDEX(DATAS,W176+1)),"")</f>
        <v/>
      </c>
    </row>
    <row r="177" customFormat="false" ht="15" hidden="false" customHeight="false" outlineLevel="0" collapsed="false">
      <c r="A177" s="33" t="n">
        <v>46309</v>
      </c>
      <c r="B177" s="0" t="n">
        <v>5</v>
      </c>
      <c r="C177" s="0" t="n">
        <v>3558</v>
      </c>
      <c r="D177" s="0" t="n">
        <v>49</v>
      </c>
      <c r="E177" s="0" t="n">
        <v>4</v>
      </c>
      <c r="F177" s="27" t="s">
        <v>298</v>
      </c>
      <c r="G177" s="0" t="n">
        <v>41.1</v>
      </c>
      <c r="H177" s="0" t="n">
        <v>46</v>
      </c>
      <c r="I177" s="27" t="s">
        <v>147</v>
      </c>
      <c r="J177" s="0" t="n">
        <v>49</v>
      </c>
      <c r="M177" s="0" t="n">
        <v>126.28</v>
      </c>
      <c r="N177" s="0" t="n">
        <v>9.29</v>
      </c>
      <c r="O177" s="0" t="n">
        <v>9.21</v>
      </c>
      <c r="P177" s="0" t="n">
        <v>4.87</v>
      </c>
      <c r="Q177" s="0" t="n">
        <v>3.68</v>
      </c>
      <c r="R177" s="0" t="n">
        <v>3515</v>
      </c>
      <c r="S177" s="0" t="n">
        <v>7066</v>
      </c>
      <c r="U177" s="0" t="n">
        <v>1896</v>
      </c>
      <c r="V177" s="0" t="n">
        <v>0</v>
      </c>
      <c r="W177" s="27" t="n">
        <f aca="false">MATCH(A177,DATAS,0)</f>
        <v>1</v>
      </c>
      <c r="X177" s="27" t="n">
        <f aca="false">IF(AND(E177&gt;0,OR(AND(B177&gt;=1,B177&lt;=6),B177=10)),1,0)</f>
        <v>1</v>
      </c>
      <c r="Y177" s="27" t="n">
        <f aca="false">IF(AND(E177&gt;0,B177=10),1,0)</f>
        <v>0</v>
      </c>
      <c r="Z177" s="0" t="str">
        <f aca="false">IF(AND(C176=C177,W176=W177-1),X176,"")</f>
        <v/>
      </c>
      <c r="AA177" s="0" t="str">
        <f aca="false">IF(AND(C176=C177,W176=W177-1),Y176,"")</f>
        <v/>
      </c>
      <c r="AB177" s="0" t="str">
        <f aca="false">IF(W177=1,"",IF(AND(X177=1,Z177&lt;&gt;1),1,0))</f>
        <v/>
      </c>
      <c r="AC177" s="0" t="str">
        <f aca="false">IF(W177=1,"",IF(AND(Y177=1,AA177&lt;&gt;1),1,0))</f>
        <v/>
      </c>
      <c r="AD177" s="33" t="str">
        <f aca="false">IF(AND(E177&gt;0,W177&lt;1,NOT(AND(C178=C177,W178=W177+1))),INDEX(DATAS,W177+1),"")</f>
        <v/>
      </c>
      <c r="AE177" s="33" t="str">
        <f aca="false">IF(AND(Y177=1,W177&lt;1),IF(AND(C178=C177,W178=W177+1),IF(Y178=1,"",INDEX(DATAS,W177+1)),INDEX(DATAS,W177+1)),"")</f>
        <v/>
      </c>
    </row>
    <row r="178" customFormat="false" ht="15" hidden="false" customHeight="false" outlineLevel="0" collapsed="false">
      <c r="A178" s="33" t="n">
        <v>46309</v>
      </c>
      <c r="B178" s="0" t="n">
        <v>6</v>
      </c>
      <c r="C178" s="0" t="n">
        <v>3567</v>
      </c>
      <c r="D178" s="0" t="n">
        <v>159</v>
      </c>
      <c r="E178" s="0" t="n">
        <v>4</v>
      </c>
      <c r="F178" s="27" t="s">
        <v>299</v>
      </c>
      <c r="G178" s="0" t="n">
        <v>33.1</v>
      </c>
      <c r="H178" s="0" t="n">
        <v>32</v>
      </c>
      <c r="I178" s="27" t="s">
        <v>168</v>
      </c>
      <c r="J178" s="0" t="n">
        <v>159</v>
      </c>
      <c r="K178" s="0" t="n">
        <v>68</v>
      </c>
      <c r="M178" s="0" t="n">
        <v>333.81</v>
      </c>
      <c r="N178" s="0" t="n">
        <v>35.07</v>
      </c>
      <c r="O178" s="0" t="n">
        <v>20.03</v>
      </c>
      <c r="P178" s="0" t="n">
        <v>4.38</v>
      </c>
      <c r="Q178" s="0" t="n">
        <v>3.31</v>
      </c>
      <c r="R178" s="0" t="n">
        <v>5015</v>
      </c>
      <c r="S178" s="0" t="n">
        <v>9492</v>
      </c>
      <c r="T178" s="0" t="n">
        <v>58.05</v>
      </c>
      <c r="U178" s="0" t="n">
        <v>1892</v>
      </c>
      <c r="V178" s="0" t="n">
        <v>3</v>
      </c>
      <c r="W178" s="27" t="n">
        <f aca="false">MATCH(A178,DATAS,0)</f>
        <v>1</v>
      </c>
      <c r="X178" s="27" t="n">
        <f aca="false">IF(AND(E178&gt;0,OR(AND(B178&gt;=1,B178&lt;=6),B178=10)),1,0)</f>
        <v>1</v>
      </c>
      <c r="Y178" s="27" t="n">
        <f aca="false">IF(AND(E178&gt;0,B178=10),1,0)</f>
        <v>0</v>
      </c>
      <c r="Z178" s="0" t="str">
        <f aca="false">IF(AND(C177=C178,W177=W178-1),X177,"")</f>
        <v/>
      </c>
      <c r="AA178" s="0" t="str">
        <f aca="false">IF(AND(C177=C178,W177=W178-1),Y177,"")</f>
        <v/>
      </c>
      <c r="AB178" s="0" t="str">
        <f aca="false">IF(W178=1,"",IF(AND(X178=1,Z178&lt;&gt;1),1,0))</f>
        <v/>
      </c>
      <c r="AC178" s="0" t="str">
        <f aca="false">IF(W178=1,"",IF(AND(Y178=1,AA178&lt;&gt;1),1,0))</f>
        <v/>
      </c>
      <c r="AD178" s="33" t="str">
        <f aca="false">IF(AND(E178&gt;0,W178&lt;1,NOT(AND(C179=C178,W179=W178+1))),INDEX(DATAS,W178+1),"")</f>
        <v/>
      </c>
      <c r="AE178" s="33" t="str">
        <f aca="false">IF(AND(Y178=1,W178&lt;1),IF(AND(C179=C178,W179=W178+1),IF(Y179=1,"",INDEX(DATAS,W178+1)),INDEX(DATAS,W178+1)),"")</f>
        <v/>
      </c>
    </row>
    <row r="179" customFormat="false" ht="15" hidden="false" customHeight="false" outlineLevel="0" collapsed="false">
      <c r="A179" s="33" t="n">
        <v>46309</v>
      </c>
      <c r="B179" s="0" t="n">
        <v>2</v>
      </c>
      <c r="C179" s="0" t="n">
        <v>3569</v>
      </c>
      <c r="D179" s="0" t="n">
        <v>11</v>
      </c>
      <c r="E179" s="0" t="n">
        <v>3</v>
      </c>
      <c r="F179" s="27" t="s">
        <v>300</v>
      </c>
      <c r="G179" s="0" t="n">
        <v>43.7</v>
      </c>
      <c r="H179" s="0" t="n">
        <v>37</v>
      </c>
      <c r="I179" s="27" t="s">
        <v>147</v>
      </c>
      <c r="J179" s="0" t="n">
        <v>11</v>
      </c>
      <c r="M179" s="0" t="n">
        <v>-44.33</v>
      </c>
      <c r="N179" s="0" t="n">
        <v>33.79</v>
      </c>
      <c r="O179" s="0" t="n">
        <v>7.14</v>
      </c>
      <c r="R179" s="0" t="n">
        <v>2661</v>
      </c>
      <c r="S179" s="0" t="n">
        <v>5350</v>
      </c>
      <c r="U179" s="0" t="n">
        <v>1890</v>
      </c>
      <c r="V179" s="0" t="n">
        <v>0</v>
      </c>
      <c r="W179" s="27" t="n">
        <f aca="false">MATCH(A179,DATAS,0)</f>
        <v>1</v>
      </c>
      <c r="X179" s="27" t="n">
        <f aca="false">IF(AND(E179&gt;0,OR(AND(B179&gt;=1,B179&lt;=6),B179=10)),1,0)</f>
        <v>1</v>
      </c>
      <c r="Y179" s="27" t="n">
        <f aca="false">IF(AND(E179&gt;0,B179=10),1,0)</f>
        <v>0</v>
      </c>
      <c r="Z179" s="0" t="str">
        <f aca="false">IF(AND(C178=C179,W178=W179-1),X178,"")</f>
        <v/>
      </c>
      <c r="AA179" s="0" t="str">
        <f aca="false">IF(AND(C178=C179,W178=W179-1),Y178,"")</f>
        <v/>
      </c>
      <c r="AB179" s="0" t="str">
        <f aca="false">IF(W179=1,"",IF(AND(X179=1,Z179&lt;&gt;1),1,0))</f>
        <v/>
      </c>
      <c r="AC179" s="0" t="str">
        <f aca="false">IF(W179=1,"",IF(AND(Y179=1,AA179&lt;&gt;1),1,0))</f>
        <v/>
      </c>
      <c r="AD179" s="33" t="str">
        <f aca="false">IF(AND(E179&gt;0,W179&lt;1,NOT(AND(C180=C179,W180=W179+1))),INDEX(DATAS,W179+1),"")</f>
        <v/>
      </c>
      <c r="AE179" s="33" t="str">
        <f aca="false">IF(AND(Y179=1,W179&lt;1),IF(AND(C180=C179,W180=W179+1),IF(Y180=1,"",INDEX(DATAS,W179+1)),INDEX(DATAS,W179+1)),"")</f>
        <v/>
      </c>
    </row>
    <row r="180" customFormat="false" ht="15" hidden="false" customHeight="false" outlineLevel="0" collapsed="false">
      <c r="A180" s="33" t="n">
        <v>46309</v>
      </c>
      <c r="B180" s="0" t="n">
        <v>5</v>
      </c>
      <c r="C180" s="0" t="n">
        <v>3572</v>
      </c>
      <c r="D180" s="0" t="n">
        <v>271</v>
      </c>
      <c r="E180" s="0" t="n">
        <v>3</v>
      </c>
      <c r="F180" s="27" t="s">
        <v>301</v>
      </c>
      <c r="G180" s="0" t="n">
        <v>51.4</v>
      </c>
      <c r="H180" s="0" t="n">
        <v>42</v>
      </c>
      <c r="I180" s="27" t="s">
        <v>138</v>
      </c>
      <c r="J180" s="0" t="n">
        <v>138</v>
      </c>
      <c r="K180" s="0" t="n">
        <v>75</v>
      </c>
      <c r="L180" s="0" t="n">
        <v>133</v>
      </c>
      <c r="M180" s="0" t="n">
        <v>505.86</v>
      </c>
      <c r="N180" s="0" t="n">
        <v>50.31</v>
      </c>
      <c r="O180" s="0" t="n">
        <v>29.61</v>
      </c>
      <c r="P180" s="0" t="n">
        <v>2.94</v>
      </c>
      <c r="Q180" s="0" t="n">
        <v>3.55</v>
      </c>
      <c r="R180" s="0" t="n">
        <v>5120</v>
      </c>
      <c r="S180" s="0" t="n">
        <v>11441</v>
      </c>
      <c r="T180" s="0" t="n">
        <v>56.7</v>
      </c>
      <c r="U180" s="0" t="n">
        <v>1889</v>
      </c>
      <c r="V180" s="0" t="n">
        <v>3</v>
      </c>
      <c r="W180" s="27" t="n">
        <f aca="false">MATCH(A180,DATAS,0)</f>
        <v>1</v>
      </c>
      <c r="X180" s="27" t="n">
        <f aca="false">IF(AND(E180&gt;0,OR(AND(B180&gt;=1,B180&lt;=6),B180=10)),1,0)</f>
        <v>1</v>
      </c>
      <c r="Y180" s="27" t="n">
        <f aca="false">IF(AND(E180&gt;0,B180=10),1,0)</f>
        <v>0</v>
      </c>
      <c r="Z180" s="0" t="str">
        <f aca="false">IF(AND(C179=C180,W179=W180-1),X179,"")</f>
        <v/>
      </c>
      <c r="AA180" s="0" t="str">
        <f aca="false">IF(AND(C179=C180,W179=W180-1),Y179,"")</f>
        <v/>
      </c>
      <c r="AB180" s="0" t="str">
        <f aca="false">IF(W180=1,"",IF(AND(X180=1,Z180&lt;&gt;1),1,0))</f>
        <v/>
      </c>
      <c r="AC180" s="0" t="str">
        <f aca="false">IF(W180=1,"",IF(AND(Y180=1,AA180&lt;&gt;1),1,0))</f>
        <v/>
      </c>
      <c r="AD180" s="33" t="str">
        <f aca="false">IF(AND(E180&gt;0,W180&lt;1,NOT(AND(C181=C180,W181=W180+1))),INDEX(DATAS,W180+1),"")</f>
        <v/>
      </c>
      <c r="AE180" s="33" t="str">
        <f aca="false">IF(AND(Y180=1,W180&lt;1),IF(AND(C181=C180,W181=W180+1),IF(Y181=1,"",INDEX(DATAS,W180+1)),INDEX(DATAS,W180+1)),"")</f>
        <v/>
      </c>
    </row>
    <row r="181" customFormat="false" ht="15" hidden="false" customHeight="false" outlineLevel="0" collapsed="false">
      <c r="A181" s="33" t="n">
        <v>46309</v>
      </c>
      <c r="B181" s="0" t="n">
        <v>2</v>
      </c>
      <c r="C181" s="0" t="n">
        <v>3573</v>
      </c>
      <c r="D181" s="0" t="n">
        <v>211</v>
      </c>
      <c r="E181" s="0" t="n">
        <v>3</v>
      </c>
      <c r="F181" s="27" t="s">
        <v>302</v>
      </c>
      <c r="G181" s="0" t="n">
        <v>47.3</v>
      </c>
      <c r="H181" s="0" t="n">
        <v>53</v>
      </c>
      <c r="I181" s="27" t="s">
        <v>138</v>
      </c>
      <c r="J181" s="0" t="n">
        <v>64</v>
      </c>
      <c r="K181" s="0" t="n">
        <v>64</v>
      </c>
      <c r="L181" s="0" t="n">
        <v>147</v>
      </c>
      <c r="M181" s="0" t="n">
        <v>745.61</v>
      </c>
      <c r="N181" s="0" t="n">
        <v>38.08</v>
      </c>
      <c r="O181" s="0" t="n">
        <v>28.29</v>
      </c>
      <c r="P181" s="0" t="n">
        <v>2.89</v>
      </c>
      <c r="Q181" s="0" t="n">
        <v>3.44</v>
      </c>
      <c r="R181" s="0" t="n">
        <v>6331</v>
      </c>
      <c r="S181" s="0" t="n">
        <v>11908</v>
      </c>
      <c r="T181" s="0" t="n">
        <v>67.65</v>
      </c>
      <c r="U181" s="0" t="n">
        <v>1887</v>
      </c>
      <c r="V181" s="0" t="n">
        <v>1</v>
      </c>
      <c r="W181" s="27" t="n">
        <f aca="false">MATCH(A181,DATAS,0)</f>
        <v>1</v>
      </c>
      <c r="X181" s="27" t="n">
        <f aca="false">IF(AND(E181&gt;0,OR(AND(B181&gt;=1,B181&lt;=6),B181=10)),1,0)</f>
        <v>1</v>
      </c>
      <c r="Y181" s="27" t="n">
        <f aca="false">IF(AND(E181&gt;0,B181=10),1,0)</f>
        <v>0</v>
      </c>
      <c r="Z181" s="0" t="str">
        <f aca="false">IF(AND(C180=C181,W180=W181-1),X180,"")</f>
        <v/>
      </c>
      <c r="AA181" s="0" t="str">
        <f aca="false">IF(AND(C180=C181,W180=W181-1),Y180,"")</f>
        <v/>
      </c>
      <c r="AB181" s="0" t="str">
        <f aca="false">IF(W181=1,"",IF(AND(X181=1,Z181&lt;&gt;1),1,0))</f>
        <v/>
      </c>
      <c r="AC181" s="0" t="str">
        <f aca="false">IF(W181=1,"",IF(AND(Y181=1,AA181&lt;&gt;1),1,0))</f>
        <v/>
      </c>
      <c r="AD181" s="33" t="str">
        <f aca="false">IF(AND(E181&gt;0,W181&lt;1,NOT(AND(C182=C181,W182=W181+1))),INDEX(DATAS,W181+1),"")</f>
        <v/>
      </c>
      <c r="AE181" s="33" t="str">
        <f aca="false">IF(AND(Y181=1,W181&lt;1),IF(AND(C182=C181,W182=W181+1),IF(Y182=1,"",INDEX(DATAS,W181+1)),INDEX(DATAS,W181+1)),"")</f>
        <v/>
      </c>
    </row>
    <row r="182" customFormat="false" ht="15" hidden="false" customHeight="false" outlineLevel="0" collapsed="false">
      <c r="A182" s="33" t="n">
        <v>46309</v>
      </c>
      <c r="B182" s="0" t="n">
        <v>7</v>
      </c>
      <c r="C182" s="0" t="n">
        <v>3574</v>
      </c>
      <c r="D182" s="0" t="n">
        <v>471</v>
      </c>
      <c r="E182" s="0" t="n">
        <v>3</v>
      </c>
      <c r="F182" s="27" t="s">
        <v>303</v>
      </c>
      <c r="I182" s="27" t="s">
        <v>143</v>
      </c>
      <c r="J182" s="0" t="n">
        <v>255</v>
      </c>
      <c r="K182" s="0" t="n">
        <v>59</v>
      </c>
      <c r="L182" s="0" t="n">
        <v>245</v>
      </c>
      <c r="M182" s="0" t="n">
        <v>475.83</v>
      </c>
      <c r="N182" s="0" t="n">
        <v>50.24</v>
      </c>
      <c r="O182" s="0" t="n">
        <v>29.46</v>
      </c>
      <c r="P182" s="0" t="n">
        <v>6.09</v>
      </c>
      <c r="Q182" s="0" t="n">
        <v>4.34</v>
      </c>
      <c r="R182" s="0" t="n">
        <v>2825</v>
      </c>
      <c r="S182" s="0" t="n">
        <v>5577</v>
      </c>
      <c r="T182" s="0" t="n">
        <v>28.65</v>
      </c>
      <c r="U182" s="0" t="n">
        <v>1885</v>
      </c>
      <c r="V182" s="0" t="n">
        <v>6</v>
      </c>
      <c r="W182" s="27" t="n">
        <f aca="false">MATCH(A182,DATAS,0)</f>
        <v>1</v>
      </c>
      <c r="X182" s="27" t="n">
        <f aca="false">IF(AND(E182&gt;0,OR(AND(B182&gt;=1,B182&lt;=6),B182=10)),1,0)</f>
        <v>0</v>
      </c>
      <c r="Y182" s="27" t="n">
        <f aca="false">IF(AND(E182&gt;0,B182=10),1,0)</f>
        <v>0</v>
      </c>
      <c r="Z182" s="0" t="str">
        <f aca="false">IF(AND(C181=C182,W181=W182-1),X181,"")</f>
        <v/>
      </c>
      <c r="AA182" s="0" t="str">
        <f aca="false">IF(AND(C181=C182,W181=W182-1),Y181,"")</f>
        <v/>
      </c>
      <c r="AB182" s="0" t="str">
        <f aca="false">IF(W182=1,"",IF(AND(X182=1,Z182&lt;&gt;1),1,0))</f>
        <v/>
      </c>
      <c r="AC182" s="0" t="str">
        <f aca="false">IF(W182=1,"",IF(AND(Y182=1,AA182&lt;&gt;1),1,0))</f>
        <v/>
      </c>
      <c r="AD182" s="33" t="str">
        <f aca="false">IF(AND(E182&gt;0,W182&lt;1,NOT(AND(C183=C182,W183=W182+1))),INDEX(DATAS,W182+1),"")</f>
        <v/>
      </c>
      <c r="AE182" s="33" t="str">
        <f aca="false">IF(AND(Y182=1,W182&lt;1),IF(AND(C183=C182,W183=W182+1),IF(Y183=1,"",INDEX(DATAS,W182+1)),INDEX(DATAS,W182+1)),"")</f>
        <v/>
      </c>
    </row>
    <row r="183" customFormat="false" ht="15" hidden="false" customHeight="false" outlineLevel="0" collapsed="false">
      <c r="A183" s="33" t="n">
        <v>46309</v>
      </c>
      <c r="B183" s="0" t="n">
        <v>3</v>
      </c>
      <c r="C183" s="0" t="n">
        <v>3575</v>
      </c>
      <c r="D183" s="0" t="n">
        <v>46</v>
      </c>
      <c r="E183" s="0" t="n">
        <v>4</v>
      </c>
      <c r="F183" s="27" t="s">
        <v>304</v>
      </c>
      <c r="G183" s="0" t="n">
        <v>79.2</v>
      </c>
      <c r="H183" s="0" t="n">
        <v>78</v>
      </c>
      <c r="I183" s="27" t="s">
        <v>147</v>
      </c>
      <c r="J183" s="0" t="n">
        <v>46</v>
      </c>
      <c r="M183" s="0" t="n">
        <v>848.38</v>
      </c>
      <c r="N183" s="0" t="n">
        <v>43.68</v>
      </c>
      <c r="O183" s="0" t="n">
        <v>30.36</v>
      </c>
      <c r="P183" s="0" t="n">
        <v>2.73</v>
      </c>
      <c r="Q183" s="0" t="n">
        <v>3.28</v>
      </c>
      <c r="R183" s="0" t="n">
        <v>6361</v>
      </c>
      <c r="S183" s="0" t="n">
        <v>12786</v>
      </c>
      <c r="U183" s="0" t="n">
        <v>1884</v>
      </c>
      <c r="V183" s="0" t="n">
        <v>0</v>
      </c>
      <c r="W183" s="27" t="n">
        <f aca="false">MATCH(A183,DATAS,0)</f>
        <v>1</v>
      </c>
      <c r="X183" s="27" t="n">
        <f aca="false">IF(AND(E183&gt;0,OR(AND(B183&gt;=1,B183&lt;=6),B183=10)),1,0)</f>
        <v>1</v>
      </c>
      <c r="Y183" s="27" t="n">
        <f aca="false">IF(AND(E183&gt;0,B183=10),1,0)</f>
        <v>0</v>
      </c>
      <c r="Z183" s="0" t="str">
        <f aca="false">IF(AND(C182=C183,W182=W183-1),X182,"")</f>
        <v/>
      </c>
      <c r="AA183" s="0" t="str">
        <f aca="false">IF(AND(C182=C183,W182=W183-1),Y182,"")</f>
        <v/>
      </c>
      <c r="AB183" s="0" t="str">
        <f aca="false">IF(W183=1,"",IF(AND(X183=1,Z183&lt;&gt;1),1,0))</f>
        <v/>
      </c>
      <c r="AC183" s="0" t="str">
        <f aca="false">IF(W183=1,"",IF(AND(Y183=1,AA183&lt;&gt;1),1,0))</f>
        <v/>
      </c>
      <c r="AD183" s="33" t="str">
        <f aca="false">IF(AND(E183&gt;0,W183&lt;1,NOT(AND(C184=C183,W184=W183+1))),INDEX(DATAS,W183+1),"")</f>
        <v/>
      </c>
      <c r="AE183" s="33" t="str">
        <f aca="false">IF(AND(Y183=1,W183&lt;1),IF(AND(C184=C183,W184=W183+1),IF(Y184=1,"",INDEX(DATAS,W183+1)),INDEX(DATAS,W183+1)),"")</f>
        <v/>
      </c>
    </row>
    <row r="184" customFormat="false" ht="15" hidden="false" customHeight="false" outlineLevel="0" collapsed="false">
      <c r="A184" s="33" t="n">
        <v>46309</v>
      </c>
      <c r="B184" s="0" t="n">
        <v>2</v>
      </c>
      <c r="C184" s="0" t="n">
        <v>3576</v>
      </c>
      <c r="D184" s="0" t="n">
        <v>32</v>
      </c>
      <c r="E184" s="0" t="n">
        <v>5</v>
      </c>
      <c r="F184" s="27" t="s">
        <v>304</v>
      </c>
      <c r="G184" s="0" t="n">
        <v>64.4</v>
      </c>
      <c r="H184" s="0" t="n">
        <v>65</v>
      </c>
      <c r="I184" s="27" t="s">
        <v>147</v>
      </c>
      <c r="J184" s="0" t="n">
        <v>32</v>
      </c>
      <c r="M184" s="0" t="n">
        <v>467.18</v>
      </c>
      <c r="N184" s="0" t="n">
        <v>38.41</v>
      </c>
      <c r="O184" s="0" t="n">
        <v>19.84</v>
      </c>
      <c r="P184" s="0" t="n">
        <v>5.41</v>
      </c>
      <c r="Q184" s="0" t="n">
        <v>4</v>
      </c>
      <c r="R184" s="0" t="n">
        <v>5345</v>
      </c>
      <c r="S184" s="0" t="n">
        <v>10744</v>
      </c>
      <c r="U184" s="0" t="n">
        <v>1884</v>
      </c>
      <c r="V184" s="0" t="n">
        <v>0</v>
      </c>
      <c r="W184" s="27" t="n">
        <f aca="false">MATCH(A184,DATAS,0)</f>
        <v>1</v>
      </c>
      <c r="X184" s="27" t="n">
        <f aca="false">IF(AND(E184&gt;0,OR(AND(B184&gt;=1,B184&lt;=6),B184=10)),1,0)</f>
        <v>1</v>
      </c>
      <c r="Y184" s="27" t="n">
        <f aca="false">IF(AND(E184&gt;0,B184=10),1,0)</f>
        <v>0</v>
      </c>
      <c r="Z184" s="0" t="str">
        <f aca="false">IF(AND(C183=C184,W183=W184-1),X183,"")</f>
        <v/>
      </c>
      <c r="AA184" s="0" t="str">
        <f aca="false">IF(AND(C183=C184,W183=W184-1),Y183,"")</f>
        <v/>
      </c>
      <c r="AB184" s="0" t="str">
        <f aca="false">IF(W184=1,"",IF(AND(X184=1,Z184&lt;&gt;1),1,0))</f>
        <v/>
      </c>
      <c r="AC184" s="0" t="str">
        <f aca="false">IF(W184=1,"",IF(AND(Y184=1,AA184&lt;&gt;1),1,0))</f>
        <v/>
      </c>
      <c r="AD184" s="33" t="str">
        <f aca="false">IF(AND(E184&gt;0,W184&lt;1,NOT(AND(C185=C184,W185=W184+1))),INDEX(DATAS,W184+1),"")</f>
        <v/>
      </c>
      <c r="AE184" s="33" t="str">
        <f aca="false">IF(AND(Y184=1,W184&lt;1),IF(AND(C185=C184,W185=W184+1),IF(Y185=1,"",INDEX(DATAS,W184+1)),INDEX(DATAS,W184+1)),"")</f>
        <v/>
      </c>
    </row>
    <row r="185" customFormat="false" ht="15" hidden="false" customHeight="false" outlineLevel="0" collapsed="false">
      <c r="A185" s="33" t="n">
        <v>46309</v>
      </c>
      <c r="B185" s="0" t="n">
        <v>7</v>
      </c>
      <c r="C185" s="0" t="n">
        <v>3577</v>
      </c>
      <c r="D185" s="0" t="n">
        <v>322</v>
      </c>
      <c r="E185" s="0" t="n">
        <v>3</v>
      </c>
      <c r="F185" s="27" t="s">
        <v>305</v>
      </c>
      <c r="I185" s="27" t="s">
        <v>143</v>
      </c>
      <c r="J185" s="0" t="n">
        <v>134</v>
      </c>
      <c r="K185" s="0" t="n">
        <v>64</v>
      </c>
      <c r="L185" s="0" t="n">
        <v>245</v>
      </c>
      <c r="M185" s="0" t="n">
        <v>367.35</v>
      </c>
      <c r="N185" s="0" t="n">
        <v>46.97</v>
      </c>
      <c r="O185" s="0" t="n">
        <v>24.4</v>
      </c>
      <c r="P185" s="0" t="n">
        <v>6.31</v>
      </c>
      <c r="Q185" s="0" t="n">
        <v>4.48</v>
      </c>
      <c r="R185" s="0" t="n">
        <v>5907</v>
      </c>
      <c r="S185" s="0" t="n">
        <v>10839</v>
      </c>
      <c r="T185" s="0" t="n">
        <v>60.95</v>
      </c>
      <c r="U185" s="0" t="n">
        <v>1883</v>
      </c>
      <c r="V185" s="0" t="n">
        <v>3</v>
      </c>
      <c r="W185" s="27" t="n">
        <f aca="false">MATCH(A185,DATAS,0)</f>
        <v>1</v>
      </c>
      <c r="X185" s="27" t="n">
        <f aca="false">IF(AND(E185&gt;0,OR(AND(B185&gt;=1,B185&lt;=6),B185=10)),1,0)</f>
        <v>0</v>
      </c>
      <c r="Y185" s="27" t="n">
        <f aca="false">IF(AND(E185&gt;0,B185=10),1,0)</f>
        <v>0</v>
      </c>
      <c r="Z185" s="0" t="str">
        <f aca="false">IF(AND(C184=C185,W184=W185-1),X184,"")</f>
        <v/>
      </c>
      <c r="AA185" s="0" t="str">
        <f aca="false">IF(AND(C184=C185,W184=W185-1),Y184,"")</f>
        <v/>
      </c>
      <c r="AB185" s="0" t="str">
        <f aca="false">IF(W185=1,"",IF(AND(X185=1,Z185&lt;&gt;1),1,0))</f>
        <v/>
      </c>
      <c r="AC185" s="0" t="str">
        <f aca="false">IF(W185=1,"",IF(AND(Y185=1,AA185&lt;&gt;1),1,0))</f>
        <v/>
      </c>
      <c r="AD185" s="33" t="str">
        <f aca="false">IF(AND(E185&gt;0,W185&lt;1,NOT(AND(C186=C185,W186=W185+1))),INDEX(DATAS,W185+1),"")</f>
        <v/>
      </c>
      <c r="AE185" s="33" t="str">
        <f aca="false">IF(AND(Y185=1,W185&lt;1),IF(AND(C186=C185,W186=W185+1),IF(Y186=1,"",INDEX(DATAS,W185+1)),INDEX(DATAS,W185+1)),"")</f>
        <v/>
      </c>
    </row>
    <row r="186" customFormat="false" ht="15" hidden="false" customHeight="false" outlineLevel="0" collapsed="false">
      <c r="A186" s="33" t="n">
        <v>46309</v>
      </c>
      <c r="B186" s="0" t="n">
        <v>7</v>
      </c>
      <c r="C186" s="0" t="n">
        <v>3579</v>
      </c>
      <c r="D186" s="0" t="n">
        <v>238</v>
      </c>
      <c r="E186" s="0" t="n">
        <v>3</v>
      </c>
      <c r="F186" s="27" t="s">
        <v>306</v>
      </c>
      <c r="I186" s="27" t="s">
        <v>143</v>
      </c>
      <c r="J186" s="0" t="n">
        <v>64</v>
      </c>
      <c r="K186" s="0" t="n">
        <v>64</v>
      </c>
      <c r="L186" s="0" t="n">
        <v>196</v>
      </c>
      <c r="M186" s="0" t="n">
        <v>1053.4</v>
      </c>
      <c r="N186" s="0" t="n">
        <v>34.65</v>
      </c>
      <c r="O186" s="0" t="n">
        <v>33.36</v>
      </c>
      <c r="P186" s="0" t="n">
        <v>5.11</v>
      </c>
      <c r="Q186" s="0" t="n">
        <v>3.68</v>
      </c>
      <c r="R186" s="0" t="n">
        <v>5489</v>
      </c>
      <c r="S186" s="0" t="n">
        <v>10332</v>
      </c>
      <c r="T186" s="0" t="n">
        <v>61.8</v>
      </c>
      <c r="U186" s="0" t="n">
        <v>1881</v>
      </c>
      <c r="V186" s="0" t="n">
        <v>1</v>
      </c>
      <c r="W186" s="27" t="n">
        <f aca="false">MATCH(A186,DATAS,0)</f>
        <v>1</v>
      </c>
      <c r="X186" s="27" t="n">
        <f aca="false">IF(AND(E186&gt;0,OR(AND(B186&gt;=1,B186&lt;=6),B186=10)),1,0)</f>
        <v>0</v>
      </c>
      <c r="Y186" s="27" t="n">
        <f aca="false">IF(AND(E186&gt;0,B186=10),1,0)</f>
        <v>0</v>
      </c>
      <c r="Z186" s="0" t="str">
        <f aca="false">IF(AND(C185=C186,W185=W186-1),X185,"")</f>
        <v/>
      </c>
      <c r="AA186" s="0" t="str">
        <f aca="false">IF(AND(C185=C186,W185=W186-1),Y185,"")</f>
        <v/>
      </c>
      <c r="AB186" s="0" t="str">
        <f aca="false">IF(W186=1,"",IF(AND(X186=1,Z186&lt;&gt;1),1,0))</f>
        <v/>
      </c>
      <c r="AC186" s="0" t="str">
        <f aca="false">IF(W186=1,"",IF(AND(Y186=1,AA186&lt;&gt;1),1,0))</f>
        <v/>
      </c>
      <c r="AD186" s="33" t="str">
        <f aca="false">IF(AND(E186&gt;0,W186&lt;1,NOT(AND(C187=C186,W187=W186+1))),INDEX(DATAS,W186+1),"")</f>
        <v/>
      </c>
      <c r="AE186" s="33" t="str">
        <f aca="false">IF(AND(Y186=1,W186&lt;1),IF(AND(C187=C186,W187=W186+1),IF(Y187=1,"",INDEX(DATAS,W186+1)),INDEX(DATAS,W186+1)),"")</f>
        <v/>
      </c>
    </row>
    <row r="187" customFormat="false" ht="15" hidden="false" customHeight="false" outlineLevel="0" collapsed="false">
      <c r="A187" s="33" t="n">
        <v>46309</v>
      </c>
      <c r="B187" s="0" t="n">
        <v>6</v>
      </c>
      <c r="C187" s="0" t="n">
        <v>3583</v>
      </c>
      <c r="D187" s="0" t="n">
        <v>199</v>
      </c>
      <c r="E187" s="0" t="n">
        <v>3</v>
      </c>
      <c r="F187" s="27" t="s">
        <v>307</v>
      </c>
      <c r="G187" s="0" t="n">
        <v>30.7</v>
      </c>
      <c r="H187" s="0" t="n">
        <v>30</v>
      </c>
      <c r="I187" s="27" t="s">
        <v>151</v>
      </c>
      <c r="J187" s="0" t="n">
        <v>199</v>
      </c>
      <c r="M187" s="0" t="n">
        <v>296.15</v>
      </c>
      <c r="N187" s="0" t="n">
        <v>28.63</v>
      </c>
      <c r="O187" s="0" t="n">
        <v>18.54</v>
      </c>
      <c r="P187" s="0" t="n">
        <v>5.39</v>
      </c>
      <c r="Q187" s="0" t="n">
        <v>3.79</v>
      </c>
      <c r="R187" s="0" t="n">
        <v>3669</v>
      </c>
      <c r="S187" s="0" t="n">
        <v>6766</v>
      </c>
      <c r="T187" s="0" t="n">
        <v>40.9</v>
      </c>
      <c r="U187" s="0" t="n">
        <v>1880</v>
      </c>
      <c r="V187" s="0" t="n">
        <v>0</v>
      </c>
      <c r="W187" s="27" t="n">
        <f aca="false">MATCH(A187,DATAS,0)</f>
        <v>1</v>
      </c>
      <c r="X187" s="27" t="n">
        <f aca="false">IF(AND(E187&gt;0,OR(AND(B187&gt;=1,B187&lt;=6),B187=10)),1,0)</f>
        <v>1</v>
      </c>
      <c r="Y187" s="27" t="n">
        <f aca="false">IF(AND(E187&gt;0,B187=10),1,0)</f>
        <v>0</v>
      </c>
      <c r="Z187" s="0" t="str">
        <f aca="false">IF(AND(C186=C187,W186=W187-1),X186,"")</f>
        <v/>
      </c>
      <c r="AA187" s="0" t="str">
        <f aca="false">IF(AND(C186=C187,W186=W187-1),Y186,"")</f>
        <v/>
      </c>
      <c r="AB187" s="0" t="str">
        <f aca="false">IF(W187=1,"",IF(AND(X187=1,Z187&lt;&gt;1),1,0))</f>
        <v/>
      </c>
      <c r="AC187" s="0" t="str">
        <f aca="false">IF(W187=1,"",IF(AND(Y187=1,AA187&lt;&gt;1),1,0))</f>
        <v/>
      </c>
      <c r="AD187" s="33" t="str">
        <f aca="false">IF(AND(E187&gt;0,W187&lt;1,NOT(AND(C188=C187,W188=W187+1))),INDEX(DATAS,W187+1),"")</f>
        <v/>
      </c>
      <c r="AE187" s="33" t="str">
        <f aca="false">IF(AND(Y187=1,W187&lt;1),IF(AND(C188=C187,W188=W187+1),IF(Y188=1,"",INDEX(DATAS,W187+1)),INDEX(DATAS,W187+1)),"")</f>
        <v/>
      </c>
    </row>
    <row r="188" customFormat="false" ht="15" hidden="false" customHeight="false" outlineLevel="0" collapsed="false">
      <c r="A188" s="33" t="n">
        <v>46309</v>
      </c>
      <c r="B188" s="0" t="n">
        <v>7</v>
      </c>
      <c r="C188" s="0" t="n">
        <v>3590</v>
      </c>
      <c r="D188" s="0" t="n">
        <v>444</v>
      </c>
      <c r="E188" s="0" t="n">
        <v>3</v>
      </c>
      <c r="F188" s="27" t="s">
        <v>308</v>
      </c>
      <c r="I188" s="27" t="s">
        <v>143</v>
      </c>
      <c r="J188" s="0" t="n">
        <v>263</v>
      </c>
      <c r="K188" s="0" t="n">
        <v>60</v>
      </c>
      <c r="L188" s="0" t="n">
        <v>189</v>
      </c>
      <c r="M188" s="0" t="n">
        <v>336.16</v>
      </c>
      <c r="N188" s="0" t="n">
        <v>42.45</v>
      </c>
      <c r="O188" s="0" t="n">
        <v>31.53</v>
      </c>
      <c r="P188" s="0" t="n">
        <v>5.18</v>
      </c>
      <c r="Q188" s="0" t="n">
        <v>4.25</v>
      </c>
      <c r="R188" s="0" t="n">
        <v>6544</v>
      </c>
      <c r="S188" s="0" t="n">
        <v>12715</v>
      </c>
      <c r="T188" s="0" t="n">
        <v>68.5</v>
      </c>
      <c r="U188" s="0" t="n">
        <v>1877</v>
      </c>
      <c r="V188" s="0" t="n">
        <v>6</v>
      </c>
      <c r="W188" s="27" t="n">
        <f aca="false">MATCH(A188,DATAS,0)</f>
        <v>1</v>
      </c>
      <c r="X188" s="27" t="n">
        <f aca="false">IF(AND(E188&gt;0,OR(AND(B188&gt;=1,B188&lt;=6),B188=10)),1,0)</f>
        <v>0</v>
      </c>
      <c r="Y188" s="27" t="n">
        <f aca="false">IF(AND(E188&gt;0,B188=10),1,0)</f>
        <v>0</v>
      </c>
      <c r="Z188" s="0" t="str">
        <f aca="false">IF(AND(C187=C188,W187=W188-1),X187,"")</f>
        <v/>
      </c>
      <c r="AA188" s="0" t="str">
        <f aca="false">IF(AND(C187=C188,W187=W188-1),Y187,"")</f>
        <v/>
      </c>
      <c r="AB188" s="0" t="str">
        <f aca="false">IF(W188=1,"",IF(AND(X188=1,Z188&lt;&gt;1),1,0))</f>
        <v/>
      </c>
      <c r="AC188" s="0" t="str">
        <f aca="false">IF(W188=1,"",IF(AND(Y188=1,AA188&lt;&gt;1),1,0))</f>
        <v/>
      </c>
      <c r="AD188" s="33" t="str">
        <f aca="false">IF(AND(E188&gt;0,W188&lt;1,NOT(AND(C189=C188,W189=W188+1))),INDEX(DATAS,W188+1),"")</f>
        <v/>
      </c>
      <c r="AE188" s="33" t="str">
        <f aca="false">IF(AND(Y188=1,W188&lt;1),IF(AND(C189=C188,W189=W188+1),IF(Y189=1,"",INDEX(DATAS,W188+1)),INDEX(DATAS,W188+1)),"")</f>
        <v/>
      </c>
    </row>
    <row r="189" customFormat="false" ht="15" hidden="false" customHeight="false" outlineLevel="0" collapsed="false">
      <c r="A189" s="33" t="n">
        <v>46309</v>
      </c>
      <c r="B189" s="0" t="n">
        <v>6</v>
      </c>
      <c r="C189" s="0" t="n">
        <v>3591</v>
      </c>
      <c r="D189" s="0" t="n">
        <v>186</v>
      </c>
      <c r="E189" s="0" t="n">
        <v>4</v>
      </c>
      <c r="F189" s="27" t="s">
        <v>309</v>
      </c>
      <c r="G189" s="0" t="n">
        <v>24.5</v>
      </c>
      <c r="H189" s="0" t="n">
        <v>25</v>
      </c>
      <c r="I189" s="27" t="s">
        <v>138</v>
      </c>
      <c r="J189" s="0" t="n">
        <v>116</v>
      </c>
      <c r="K189" s="0" t="n">
        <v>67</v>
      </c>
      <c r="L189" s="0" t="n">
        <v>70</v>
      </c>
      <c r="M189" s="0" t="n">
        <v>382.67</v>
      </c>
      <c r="N189" s="0" t="n">
        <v>46.27</v>
      </c>
      <c r="O189" s="0" t="n">
        <v>30.83</v>
      </c>
      <c r="P189" s="0" t="n">
        <v>6.19</v>
      </c>
      <c r="Q189" s="0" t="n">
        <v>3.69</v>
      </c>
      <c r="R189" s="0" t="n">
        <v>3152</v>
      </c>
      <c r="S189" s="0" t="n">
        <v>6001</v>
      </c>
      <c r="T189" s="0" t="n">
        <v>35.2</v>
      </c>
      <c r="U189" s="0" t="n">
        <v>1876</v>
      </c>
      <c r="V189" s="0" t="n">
        <v>2</v>
      </c>
      <c r="W189" s="27" t="n">
        <f aca="false">MATCH(A189,DATAS,0)</f>
        <v>1</v>
      </c>
      <c r="X189" s="27" t="n">
        <f aca="false">IF(AND(E189&gt;0,OR(AND(B189&gt;=1,B189&lt;=6),B189=10)),1,0)</f>
        <v>1</v>
      </c>
      <c r="Y189" s="27" t="n">
        <f aca="false">IF(AND(E189&gt;0,B189=10),1,0)</f>
        <v>0</v>
      </c>
      <c r="Z189" s="0" t="str">
        <f aca="false">IF(AND(C188=C189,W188=W189-1),X188,"")</f>
        <v/>
      </c>
      <c r="AA189" s="0" t="str">
        <f aca="false">IF(AND(C188=C189,W188=W189-1),Y188,"")</f>
        <v/>
      </c>
      <c r="AB189" s="0" t="str">
        <f aca="false">IF(W189=1,"",IF(AND(X189=1,Z189&lt;&gt;1),1,0))</f>
        <v/>
      </c>
      <c r="AC189" s="0" t="str">
        <f aca="false">IF(W189=1,"",IF(AND(Y189=1,AA189&lt;&gt;1),1,0))</f>
        <v/>
      </c>
      <c r="AD189" s="33" t="str">
        <f aca="false">IF(AND(E189&gt;0,W189&lt;1,NOT(AND(C190=C189,W190=W189+1))),INDEX(DATAS,W189+1),"")</f>
        <v/>
      </c>
      <c r="AE189" s="33" t="str">
        <f aca="false">IF(AND(Y189=1,W189&lt;1),IF(AND(C190=C189,W190=W189+1),IF(Y190=1,"",INDEX(DATAS,W189+1)),INDEX(DATAS,W189+1)),"")</f>
        <v/>
      </c>
    </row>
    <row r="190" customFormat="false" ht="15" hidden="false" customHeight="false" outlineLevel="0" collapsed="false">
      <c r="A190" s="33" t="n">
        <v>46309</v>
      </c>
      <c r="B190" s="0" t="n">
        <v>5</v>
      </c>
      <c r="C190" s="0" t="n">
        <v>3594</v>
      </c>
      <c r="D190" s="0" t="n">
        <v>407</v>
      </c>
      <c r="E190" s="0" t="n">
        <v>3</v>
      </c>
      <c r="F190" s="27" t="s">
        <v>310</v>
      </c>
      <c r="G190" s="0" t="n">
        <v>27.6</v>
      </c>
      <c r="H190" s="0" t="n">
        <v>28</v>
      </c>
      <c r="I190" s="27" t="s">
        <v>138</v>
      </c>
      <c r="J190" s="0" t="n">
        <v>197</v>
      </c>
      <c r="K190" s="0" t="n">
        <v>64</v>
      </c>
      <c r="L190" s="0" t="n">
        <v>210</v>
      </c>
      <c r="M190" s="0" t="n">
        <v>379.21</v>
      </c>
      <c r="N190" s="0" t="n">
        <v>21.1</v>
      </c>
      <c r="O190" s="0" t="n">
        <v>27.39</v>
      </c>
      <c r="P190" s="0" t="n">
        <v>3.81</v>
      </c>
      <c r="Q190" s="0" t="n">
        <v>3.85</v>
      </c>
      <c r="R190" s="0" t="n">
        <v>6853</v>
      </c>
      <c r="S190" s="0" t="n">
        <v>12120</v>
      </c>
      <c r="T190" s="0" t="n">
        <v>74.65</v>
      </c>
      <c r="U190" s="0" t="n">
        <v>1875</v>
      </c>
      <c r="V190" s="0" t="n">
        <v>5</v>
      </c>
      <c r="W190" s="27" t="n">
        <f aca="false">MATCH(A190,DATAS,0)</f>
        <v>1</v>
      </c>
      <c r="X190" s="27" t="n">
        <f aca="false">IF(AND(E190&gt;0,OR(AND(B190&gt;=1,B190&lt;=6),B190=10)),1,0)</f>
        <v>1</v>
      </c>
      <c r="Y190" s="27" t="n">
        <f aca="false">IF(AND(E190&gt;0,B190=10),1,0)</f>
        <v>0</v>
      </c>
      <c r="Z190" s="0" t="str">
        <f aca="false">IF(AND(C189=C190,W189=W190-1),X189,"")</f>
        <v/>
      </c>
      <c r="AA190" s="0" t="str">
        <f aca="false">IF(AND(C189=C190,W189=W190-1),Y189,"")</f>
        <v/>
      </c>
      <c r="AB190" s="0" t="str">
        <f aca="false">IF(W190=1,"",IF(AND(X190=1,Z190&lt;&gt;1),1,0))</f>
        <v/>
      </c>
      <c r="AC190" s="0" t="str">
        <f aca="false">IF(W190=1,"",IF(AND(Y190=1,AA190&lt;&gt;1),1,0))</f>
        <v/>
      </c>
      <c r="AD190" s="33" t="str">
        <f aca="false">IF(AND(E190&gt;0,W190&lt;1,NOT(AND(C191=C190,W191=W190+1))),INDEX(DATAS,W190+1),"")</f>
        <v/>
      </c>
      <c r="AE190" s="33" t="str">
        <f aca="false">IF(AND(Y190=1,W190&lt;1),IF(AND(C191=C190,W191=W190+1),IF(Y191=1,"",INDEX(DATAS,W190+1)),INDEX(DATAS,W190+1)),"")</f>
        <v/>
      </c>
    </row>
    <row r="191" customFormat="false" ht="15" hidden="false" customHeight="false" outlineLevel="0" collapsed="false">
      <c r="A191" s="33" t="n">
        <v>46309</v>
      </c>
      <c r="B191" s="0" t="n">
        <v>5</v>
      </c>
      <c r="C191" s="0" t="n">
        <v>3597</v>
      </c>
      <c r="D191" s="0" t="n">
        <v>318</v>
      </c>
      <c r="E191" s="0" t="n">
        <v>3</v>
      </c>
      <c r="F191" s="27" t="s">
        <v>311</v>
      </c>
      <c r="G191" s="0" t="n">
        <v>24.6</v>
      </c>
      <c r="H191" s="0" t="n">
        <v>27</v>
      </c>
      <c r="I191" s="27" t="s">
        <v>138</v>
      </c>
      <c r="J191" s="0" t="n">
        <v>122</v>
      </c>
      <c r="K191" s="0" t="n">
        <v>66</v>
      </c>
      <c r="L191" s="0" t="n">
        <v>196</v>
      </c>
      <c r="M191" s="0" t="n">
        <v>305.65</v>
      </c>
      <c r="N191" s="0" t="n">
        <v>50.47</v>
      </c>
      <c r="O191" s="0" t="n">
        <v>19.79</v>
      </c>
      <c r="P191" s="0" t="n">
        <v>4.24</v>
      </c>
      <c r="Q191" s="0" t="n">
        <v>3.89</v>
      </c>
      <c r="R191" s="0" t="n">
        <v>6349</v>
      </c>
      <c r="S191" s="0" t="n">
        <v>10864</v>
      </c>
      <c r="T191" s="0" t="n">
        <v>72.55</v>
      </c>
      <c r="U191" s="0" t="n">
        <v>1873</v>
      </c>
      <c r="V191" s="0" t="n">
        <v>3</v>
      </c>
      <c r="W191" s="27" t="n">
        <f aca="false">MATCH(A191,DATAS,0)</f>
        <v>1</v>
      </c>
      <c r="X191" s="27" t="n">
        <f aca="false">IF(AND(E191&gt;0,OR(AND(B191&gt;=1,B191&lt;=6),B191=10)),1,0)</f>
        <v>1</v>
      </c>
      <c r="Y191" s="27" t="n">
        <f aca="false">IF(AND(E191&gt;0,B191=10),1,0)</f>
        <v>0</v>
      </c>
      <c r="Z191" s="0" t="str">
        <f aca="false">IF(AND(C190=C191,W190=W191-1),X190,"")</f>
        <v/>
      </c>
      <c r="AA191" s="0" t="str">
        <f aca="false">IF(AND(C190=C191,W190=W191-1),Y190,"")</f>
        <v/>
      </c>
      <c r="AB191" s="0" t="str">
        <f aca="false">IF(W191=1,"",IF(AND(X191=1,Z191&lt;&gt;1),1,0))</f>
        <v/>
      </c>
      <c r="AC191" s="0" t="str">
        <f aca="false">IF(W191=1,"",IF(AND(Y191=1,AA191&lt;&gt;1),1,0))</f>
        <v/>
      </c>
      <c r="AD191" s="33" t="str">
        <f aca="false">IF(AND(E191&gt;0,W191&lt;1,NOT(AND(C192=C191,W192=W191+1))),INDEX(DATAS,W191+1),"")</f>
        <v/>
      </c>
      <c r="AE191" s="33" t="str">
        <f aca="false">IF(AND(Y191=1,W191&lt;1),IF(AND(C192=C191,W192=W191+1),IF(Y192=1,"",INDEX(DATAS,W191+1)),INDEX(DATAS,W191+1)),"")</f>
        <v/>
      </c>
    </row>
    <row r="192" customFormat="false" ht="15" hidden="false" customHeight="false" outlineLevel="0" collapsed="false">
      <c r="A192" s="33" t="n">
        <v>46309</v>
      </c>
      <c r="B192" s="0" t="n">
        <v>5</v>
      </c>
      <c r="C192" s="0" t="n">
        <v>3599</v>
      </c>
      <c r="D192" s="0" t="n">
        <v>117</v>
      </c>
      <c r="E192" s="0" t="n">
        <v>4</v>
      </c>
      <c r="F192" s="27" t="s">
        <v>311</v>
      </c>
      <c r="G192" s="0" t="n">
        <v>38.4</v>
      </c>
      <c r="H192" s="0" t="n">
        <v>40</v>
      </c>
      <c r="I192" s="27" t="s">
        <v>138</v>
      </c>
      <c r="J192" s="0" t="n">
        <v>82</v>
      </c>
      <c r="K192" s="0" t="n">
        <v>82</v>
      </c>
      <c r="L192" s="0" t="n">
        <v>35</v>
      </c>
      <c r="M192" s="0" t="n">
        <v>103.99</v>
      </c>
      <c r="N192" s="0" t="n">
        <v>30.95</v>
      </c>
      <c r="O192" s="0" t="n">
        <v>23.93</v>
      </c>
      <c r="P192" s="0" t="n">
        <v>4.3</v>
      </c>
      <c r="Q192" s="0" t="n">
        <v>3.78</v>
      </c>
      <c r="R192" s="0" t="n">
        <v>4533</v>
      </c>
      <c r="S192" s="0" t="n">
        <v>9051</v>
      </c>
      <c r="T192" s="0" t="n">
        <v>48.75</v>
      </c>
      <c r="U192" s="0" t="n">
        <v>1873</v>
      </c>
      <c r="V192" s="0" t="n">
        <v>1</v>
      </c>
      <c r="W192" s="27" t="n">
        <f aca="false">MATCH(A192,DATAS,0)</f>
        <v>1</v>
      </c>
      <c r="X192" s="27" t="n">
        <f aca="false">IF(AND(E192&gt;0,OR(AND(B192&gt;=1,B192&lt;=6),B192=10)),1,0)</f>
        <v>1</v>
      </c>
      <c r="Y192" s="27" t="n">
        <f aca="false">IF(AND(E192&gt;0,B192=10),1,0)</f>
        <v>0</v>
      </c>
      <c r="Z192" s="0" t="str">
        <f aca="false">IF(AND(C191=C192,W191=W192-1),X191,"")</f>
        <v/>
      </c>
      <c r="AA192" s="0" t="str">
        <f aca="false">IF(AND(C191=C192,W191=W192-1),Y191,"")</f>
        <v/>
      </c>
      <c r="AB192" s="0" t="str">
        <f aca="false">IF(W192=1,"",IF(AND(X192=1,Z192&lt;&gt;1),1,0))</f>
        <v/>
      </c>
      <c r="AC192" s="0" t="str">
        <f aca="false">IF(W192=1,"",IF(AND(Y192=1,AA192&lt;&gt;1),1,0))</f>
        <v/>
      </c>
      <c r="AD192" s="33" t="str">
        <f aca="false">IF(AND(E192&gt;0,W192&lt;1,NOT(AND(C193=C192,W193=W192+1))),INDEX(DATAS,W192+1),"")</f>
        <v/>
      </c>
      <c r="AE192" s="33" t="str">
        <f aca="false">IF(AND(Y192=1,W192&lt;1),IF(AND(C193=C192,W193=W192+1),IF(Y193=1,"",INDEX(DATAS,W192+1)),INDEX(DATAS,W192+1)),"")</f>
        <v/>
      </c>
    </row>
    <row r="193" customFormat="false" ht="15" hidden="false" customHeight="false" outlineLevel="0" collapsed="false">
      <c r="A193" s="33" t="n">
        <v>46309</v>
      </c>
      <c r="B193" s="0" t="n">
        <v>5</v>
      </c>
      <c r="C193" s="0" t="n">
        <v>3604</v>
      </c>
      <c r="D193" s="0" t="n">
        <v>234</v>
      </c>
      <c r="E193" s="0" t="n">
        <v>3</v>
      </c>
      <c r="F193" s="27" t="s">
        <v>312</v>
      </c>
      <c r="G193" s="0" t="n">
        <v>36.1</v>
      </c>
      <c r="H193" s="0" t="n">
        <v>35</v>
      </c>
      <c r="I193" s="27" t="s">
        <v>151</v>
      </c>
      <c r="J193" s="0" t="n">
        <v>234</v>
      </c>
      <c r="M193" s="0" t="n">
        <v>178.08</v>
      </c>
      <c r="N193" s="0" t="n">
        <v>34.09</v>
      </c>
      <c r="O193" s="0" t="n">
        <v>19.54</v>
      </c>
      <c r="P193" s="0" t="n">
        <v>4.51</v>
      </c>
      <c r="Q193" s="0" t="n">
        <v>3.36</v>
      </c>
      <c r="R193" s="0" t="n">
        <v>4292</v>
      </c>
      <c r="S193" s="0" t="n">
        <v>9560</v>
      </c>
      <c r="T193" s="0" t="n">
        <v>51.85</v>
      </c>
      <c r="U193" s="0" t="n">
        <v>1872</v>
      </c>
      <c r="V193" s="0" t="n">
        <v>0</v>
      </c>
      <c r="W193" s="27" t="n">
        <f aca="false">MATCH(A193,DATAS,0)</f>
        <v>1</v>
      </c>
      <c r="X193" s="27" t="n">
        <f aca="false">IF(AND(E193&gt;0,OR(AND(B193&gt;=1,B193&lt;=6),B193=10)),1,0)</f>
        <v>1</v>
      </c>
      <c r="Y193" s="27" t="n">
        <f aca="false">IF(AND(E193&gt;0,B193=10),1,0)</f>
        <v>0</v>
      </c>
      <c r="Z193" s="0" t="str">
        <f aca="false">IF(AND(C192=C193,W192=W193-1),X192,"")</f>
        <v/>
      </c>
      <c r="AA193" s="0" t="str">
        <f aca="false">IF(AND(C192=C193,W192=W193-1),Y192,"")</f>
        <v/>
      </c>
      <c r="AB193" s="0" t="str">
        <f aca="false">IF(W193=1,"",IF(AND(X193=1,Z193&lt;&gt;1),1,0))</f>
        <v/>
      </c>
      <c r="AC193" s="0" t="str">
        <f aca="false">IF(W193=1,"",IF(AND(Y193=1,AA193&lt;&gt;1),1,0))</f>
        <v/>
      </c>
      <c r="AD193" s="33" t="str">
        <f aca="false">IF(AND(E193&gt;0,W193&lt;1,NOT(AND(C194=C193,W194=W193+1))),INDEX(DATAS,W193+1),"")</f>
        <v/>
      </c>
      <c r="AE193" s="33" t="str">
        <f aca="false">IF(AND(Y193=1,W193&lt;1),IF(AND(C194=C193,W194=W193+1),IF(Y194=1,"",INDEX(DATAS,W193+1)),INDEX(DATAS,W193+1)),"")</f>
        <v/>
      </c>
    </row>
    <row r="194" customFormat="false" ht="15" hidden="false" customHeight="false" outlineLevel="0" collapsed="false">
      <c r="A194" s="33" t="n">
        <v>46309</v>
      </c>
      <c r="B194" s="0" t="n">
        <v>6</v>
      </c>
      <c r="C194" s="0" t="n">
        <v>3608</v>
      </c>
      <c r="D194" s="0" t="n">
        <v>182</v>
      </c>
      <c r="E194" s="0" t="n">
        <v>3</v>
      </c>
      <c r="F194" s="27" t="s">
        <v>313</v>
      </c>
      <c r="G194" s="0" t="n">
        <v>22</v>
      </c>
      <c r="H194" s="0" t="n">
        <v>21</v>
      </c>
      <c r="I194" s="27" t="s">
        <v>176</v>
      </c>
      <c r="J194" s="0" t="n">
        <v>182</v>
      </c>
      <c r="K194" s="0" t="n">
        <v>84</v>
      </c>
      <c r="M194" s="0" t="n">
        <v>-72.99</v>
      </c>
      <c r="N194" s="0" t="n">
        <v>18.31</v>
      </c>
      <c r="O194" s="0" t="n">
        <v>1.35</v>
      </c>
      <c r="P194" s="0" t="n">
        <v>4.78</v>
      </c>
      <c r="Q194" s="0" t="n">
        <v>3.86</v>
      </c>
      <c r="R194" s="0" t="n">
        <v>4357</v>
      </c>
      <c r="S194" s="0" t="n">
        <v>8343</v>
      </c>
      <c r="T194" s="0" t="n">
        <v>48.9</v>
      </c>
      <c r="U194" s="0" t="n">
        <v>1870</v>
      </c>
      <c r="V194" s="0" t="n">
        <v>3</v>
      </c>
      <c r="W194" s="27" t="n">
        <f aca="false">MATCH(A194,DATAS,0)</f>
        <v>1</v>
      </c>
      <c r="X194" s="27" t="n">
        <f aca="false">IF(AND(E194&gt;0,OR(AND(B194&gt;=1,B194&lt;=6),B194=10)),1,0)</f>
        <v>1</v>
      </c>
      <c r="Y194" s="27" t="n">
        <f aca="false">IF(AND(E194&gt;0,B194=10),1,0)</f>
        <v>0</v>
      </c>
      <c r="Z194" s="0" t="str">
        <f aca="false">IF(AND(C193=C194,W193=W194-1),X193,"")</f>
        <v/>
      </c>
      <c r="AA194" s="0" t="str">
        <f aca="false">IF(AND(C193=C194,W193=W194-1),Y193,"")</f>
        <v/>
      </c>
      <c r="AB194" s="0" t="str">
        <f aca="false">IF(W194=1,"",IF(AND(X194=1,Z194&lt;&gt;1),1,0))</f>
        <v/>
      </c>
      <c r="AC194" s="0" t="str">
        <f aca="false">IF(W194=1,"",IF(AND(Y194=1,AA194&lt;&gt;1),1,0))</f>
        <v/>
      </c>
      <c r="AD194" s="33" t="str">
        <f aca="false">IF(AND(E194&gt;0,W194&lt;1,NOT(AND(C195=C194,W195=W194+1))),INDEX(DATAS,W194+1),"")</f>
        <v/>
      </c>
      <c r="AE194" s="33" t="str">
        <f aca="false">IF(AND(Y194=1,W194&lt;1),IF(AND(C195=C194,W195=W194+1),IF(Y195=1,"",INDEX(DATAS,W194+1)),INDEX(DATAS,W194+1)),"")</f>
        <v/>
      </c>
    </row>
    <row r="195" customFormat="false" ht="15" hidden="false" customHeight="false" outlineLevel="0" collapsed="false">
      <c r="A195" s="33" t="n">
        <v>46309</v>
      </c>
      <c r="B195" s="0" t="n">
        <v>3</v>
      </c>
      <c r="C195" s="0" t="n">
        <v>3613</v>
      </c>
      <c r="D195" s="0" t="n">
        <v>245</v>
      </c>
      <c r="E195" s="0" t="n">
        <v>3</v>
      </c>
      <c r="F195" s="27" t="s">
        <v>314</v>
      </c>
      <c r="G195" s="0" t="n">
        <v>48.8</v>
      </c>
      <c r="H195" s="0" t="n">
        <v>49</v>
      </c>
      <c r="I195" s="27" t="s">
        <v>138</v>
      </c>
      <c r="J195" s="0" t="n">
        <v>133</v>
      </c>
      <c r="K195" s="0" t="n">
        <v>91</v>
      </c>
      <c r="L195" s="0" t="n">
        <v>112</v>
      </c>
      <c r="M195" s="0" t="n">
        <v>1083.16</v>
      </c>
      <c r="N195" s="0" t="n">
        <v>51.73</v>
      </c>
      <c r="O195" s="0" t="n">
        <v>42.53</v>
      </c>
      <c r="P195" s="0" t="n">
        <v>2.87</v>
      </c>
      <c r="Q195" s="0" t="n">
        <v>3.57</v>
      </c>
      <c r="R195" s="0" t="n">
        <v>6704</v>
      </c>
      <c r="S195" s="0" t="n">
        <v>12801</v>
      </c>
      <c r="T195" s="0" t="n">
        <v>75</v>
      </c>
      <c r="U195" s="0" t="n">
        <v>1868</v>
      </c>
      <c r="V195" s="0" t="n">
        <v>2</v>
      </c>
      <c r="W195" s="27" t="n">
        <f aca="false">MATCH(A195,DATAS,0)</f>
        <v>1</v>
      </c>
      <c r="X195" s="27" t="n">
        <f aca="false">IF(AND(E195&gt;0,OR(AND(B195&gt;=1,B195&lt;=6),B195=10)),1,0)</f>
        <v>1</v>
      </c>
      <c r="Y195" s="27" t="n">
        <f aca="false">IF(AND(E195&gt;0,B195=10),1,0)</f>
        <v>0</v>
      </c>
      <c r="Z195" s="0" t="str">
        <f aca="false">IF(AND(C194=C195,W194=W195-1),X194,"")</f>
        <v/>
      </c>
      <c r="AA195" s="0" t="str">
        <f aca="false">IF(AND(C194=C195,W194=W195-1),Y194,"")</f>
        <v/>
      </c>
      <c r="AB195" s="0" t="str">
        <f aca="false">IF(W195=1,"",IF(AND(X195=1,Z195&lt;&gt;1),1,0))</f>
        <v/>
      </c>
      <c r="AC195" s="0" t="str">
        <f aca="false">IF(W195=1,"",IF(AND(Y195=1,AA195&lt;&gt;1),1,0))</f>
        <v/>
      </c>
      <c r="AD195" s="33" t="str">
        <f aca="false">IF(AND(E195&gt;0,W195&lt;1,NOT(AND(C196=C195,W196=W195+1))),INDEX(DATAS,W195+1),"")</f>
        <v/>
      </c>
      <c r="AE195" s="33" t="str">
        <f aca="false">IF(AND(Y195=1,W195&lt;1),IF(AND(C196=C195,W196=W195+1),IF(Y196=1,"",INDEX(DATAS,W195+1)),INDEX(DATAS,W195+1)),"")</f>
        <v/>
      </c>
    </row>
    <row r="196" customFormat="false" ht="15" hidden="false" customHeight="false" outlineLevel="0" collapsed="false">
      <c r="A196" s="33" t="n">
        <v>46309</v>
      </c>
      <c r="B196" s="0" t="n">
        <v>3</v>
      </c>
      <c r="C196" s="0" t="n">
        <v>3624</v>
      </c>
      <c r="D196" s="0" t="n">
        <v>557</v>
      </c>
      <c r="E196" s="0" t="n">
        <v>2</v>
      </c>
      <c r="F196" s="27" t="s">
        <v>315</v>
      </c>
      <c r="I196" s="27" t="s">
        <v>143</v>
      </c>
      <c r="J196" s="0" t="n">
        <v>467</v>
      </c>
      <c r="K196" s="0" t="n">
        <v>69</v>
      </c>
      <c r="L196" s="0" t="n">
        <v>252</v>
      </c>
      <c r="M196" s="0" t="n">
        <v>762.36</v>
      </c>
      <c r="N196" s="0" t="n">
        <v>83.83</v>
      </c>
      <c r="O196" s="0" t="n">
        <v>40.39</v>
      </c>
      <c r="P196" s="0" t="n">
        <v>3.72</v>
      </c>
      <c r="Q196" s="0" t="n">
        <v>4.07</v>
      </c>
      <c r="R196" s="0" t="n">
        <v>8061</v>
      </c>
      <c r="S196" s="0" t="n">
        <v>13741</v>
      </c>
      <c r="T196" s="0" t="n">
        <v>86.75</v>
      </c>
      <c r="U196" s="0" t="n">
        <v>1859</v>
      </c>
      <c r="V196" s="0" t="n">
        <v>9</v>
      </c>
      <c r="W196" s="27" t="n">
        <f aca="false">MATCH(A196,DATAS,0)</f>
        <v>1</v>
      </c>
      <c r="X196" s="27" t="n">
        <f aca="false">IF(AND(E196&gt;0,OR(AND(B196&gt;=1,B196&lt;=6),B196=10)),1,0)</f>
        <v>1</v>
      </c>
      <c r="Y196" s="27" t="n">
        <f aca="false">IF(AND(E196&gt;0,B196=10),1,0)</f>
        <v>0</v>
      </c>
      <c r="Z196" s="0" t="str">
        <f aca="false">IF(AND(C195=C196,W195=W196-1),X195,"")</f>
        <v/>
      </c>
      <c r="AA196" s="0" t="str">
        <f aca="false">IF(AND(C195=C196,W195=W196-1),Y195,"")</f>
        <v/>
      </c>
      <c r="AB196" s="0" t="str">
        <f aca="false">IF(W196=1,"",IF(AND(X196=1,Z196&lt;&gt;1),1,0))</f>
        <v/>
      </c>
      <c r="AC196" s="0" t="str">
        <f aca="false">IF(W196=1,"",IF(AND(Y196=1,AA196&lt;&gt;1),1,0))</f>
        <v/>
      </c>
      <c r="AD196" s="33" t="str">
        <f aca="false">IF(AND(E196&gt;0,W196&lt;1,NOT(AND(C197=C196,W197=W196+1))),INDEX(DATAS,W196+1),"")</f>
        <v/>
      </c>
      <c r="AE196" s="33" t="str">
        <f aca="false">IF(AND(Y196=1,W196&lt;1),IF(AND(C197=C196,W197=W196+1),IF(Y197=1,"",INDEX(DATAS,W196+1)),INDEX(DATAS,W196+1)),"")</f>
        <v/>
      </c>
    </row>
    <row r="197" customFormat="false" ht="15" hidden="false" customHeight="false" outlineLevel="0" collapsed="false">
      <c r="A197" s="33" t="n">
        <v>46309</v>
      </c>
      <c r="B197" s="0" t="n">
        <v>7</v>
      </c>
      <c r="C197" s="0" t="n">
        <v>3626</v>
      </c>
      <c r="D197" s="0" t="n">
        <v>354</v>
      </c>
      <c r="E197" s="0" t="n">
        <v>3</v>
      </c>
      <c r="F197" s="27" t="s">
        <v>315</v>
      </c>
      <c r="I197" s="27" t="s">
        <v>143</v>
      </c>
      <c r="J197" s="0" t="n">
        <v>180</v>
      </c>
      <c r="K197" s="0" t="n">
        <v>68</v>
      </c>
      <c r="L197" s="0" t="n">
        <v>231</v>
      </c>
      <c r="M197" s="0" t="n">
        <v>887.53</v>
      </c>
      <c r="N197" s="0" t="n">
        <v>47.57</v>
      </c>
      <c r="O197" s="0" t="n">
        <v>29.72</v>
      </c>
      <c r="P197" s="0" t="n">
        <v>3.42</v>
      </c>
      <c r="Q197" s="0" t="n">
        <v>3.93</v>
      </c>
      <c r="R197" s="0" t="n">
        <v>5744</v>
      </c>
      <c r="S197" s="0" t="n">
        <v>11336</v>
      </c>
      <c r="T197" s="0" t="n">
        <v>63.85</v>
      </c>
      <c r="U197" s="0" t="n">
        <v>1859</v>
      </c>
      <c r="V197" s="0" t="n">
        <v>3</v>
      </c>
      <c r="W197" s="27" t="n">
        <f aca="false">MATCH(A197,DATAS,0)</f>
        <v>1</v>
      </c>
      <c r="X197" s="27" t="n">
        <f aca="false">IF(AND(E197&gt;0,OR(AND(B197&gt;=1,B197&lt;=6),B197=10)),1,0)</f>
        <v>0</v>
      </c>
      <c r="Y197" s="27" t="n">
        <f aca="false">IF(AND(E197&gt;0,B197=10),1,0)</f>
        <v>0</v>
      </c>
      <c r="Z197" s="0" t="str">
        <f aca="false">IF(AND(C196=C197,W196=W197-1),X196,"")</f>
        <v/>
      </c>
      <c r="AA197" s="0" t="str">
        <f aca="false">IF(AND(C196=C197,W196=W197-1),Y196,"")</f>
        <v/>
      </c>
      <c r="AB197" s="0" t="str">
        <f aca="false">IF(W197=1,"",IF(AND(X197=1,Z197&lt;&gt;1),1,0))</f>
        <v/>
      </c>
      <c r="AC197" s="0" t="str">
        <f aca="false">IF(W197=1,"",IF(AND(Y197=1,AA197&lt;&gt;1),1,0))</f>
        <v/>
      </c>
      <c r="AD197" s="33" t="str">
        <f aca="false">IF(AND(E197&gt;0,W197&lt;1,NOT(AND(C198=C197,W198=W197+1))),INDEX(DATAS,W197+1),"")</f>
        <v/>
      </c>
      <c r="AE197" s="33" t="str">
        <f aca="false">IF(AND(Y197=1,W197&lt;1),IF(AND(C198=C197,W198=W197+1),IF(Y198=1,"",INDEX(DATAS,W197+1)),INDEX(DATAS,W197+1)),"")</f>
        <v/>
      </c>
    </row>
    <row r="198" customFormat="false" ht="15" hidden="false" customHeight="false" outlineLevel="0" collapsed="false">
      <c r="A198" s="33" t="n">
        <v>46309</v>
      </c>
      <c r="B198" s="0" t="n">
        <v>10</v>
      </c>
      <c r="C198" s="0" t="n">
        <v>3627</v>
      </c>
      <c r="D198" s="0" t="n">
        <v>75</v>
      </c>
      <c r="E198" s="0" t="n">
        <v>4</v>
      </c>
      <c r="F198" s="27" t="s">
        <v>315</v>
      </c>
      <c r="G198" s="0" t="n">
        <v>28.1</v>
      </c>
      <c r="H198" s="0" t="n">
        <v>36</v>
      </c>
      <c r="I198" s="27" t="s">
        <v>176</v>
      </c>
      <c r="J198" s="0" t="n">
        <v>75</v>
      </c>
      <c r="M198" s="0" t="n">
        <v>359.93</v>
      </c>
      <c r="N198" s="0" t="n">
        <v>29.88</v>
      </c>
      <c r="O198" s="0" t="n">
        <v>25.57</v>
      </c>
      <c r="P198" s="0" t="n">
        <v>4.74</v>
      </c>
      <c r="Q198" s="0" t="n">
        <v>2.72</v>
      </c>
      <c r="R198" s="0" t="n">
        <v>4662</v>
      </c>
      <c r="S198" s="0" t="n">
        <v>9371</v>
      </c>
      <c r="U198" s="0" t="n">
        <v>1859</v>
      </c>
      <c r="V198" s="0" t="n">
        <v>0</v>
      </c>
      <c r="W198" s="27" t="n">
        <f aca="false">MATCH(A198,DATAS,0)</f>
        <v>1</v>
      </c>
      <c r="X198" s="27" t="n">
        <f aca="false">IF(AND(E198&gt;0,OR(AND(B198&gt;=1,B198&lt;=6),B198=10)),1,0)</f>
        <v>1</v>
      </c>
      <c r="Y198" s="27" t="n">
        <f aca="false">IF(AND(E198&gt;0,B198=10),1,0)</f>
        <v>1</v>
      </c>
      <c r="Z198" s="0" t="str">
        <f aca="false">IF(AND(C197=C198,W197=W198-1),X197,"")</f>
        <v/>
      </c>
      <c r="AA198" s="0" t="str">
        <f aca="false">IF(AND(C197=C198,W197=W198-1),Y197,"")</f>
        <v/>
      </c>
      <c r="AB198" s="0" t="str">
        <f aca="false">IF(W198=1,"",IF(AND(X198=1,Z198&lt;&gt;1),1,0))</f>
        <v/>
      </c>
      <c r="AC198" s="0" t="str">
        <f aca="false">IF(W198=1,"",IF(AND(Y198=1,AA198&lt;&gt;1),1,0))</f>
        <v/>
      </c>
      <c r="AD198" s="33" t="str">
        <f aca="false">IF(AND(E198&gt;0,W198&lt;1,NOT(AND(C199=C198,W199=W198+1))),INDEX(DATAS,W198+1),"")</f>
        <v/>
      </c>
      <c r="AE198" s="33" t="str">
        <f aca="false">IF(AND(Y198=1,W198&lt;1),IF(AND(C199=C198,W199=W198+1),IF(Y199=1,"",INDEX(DATAS,W198+1)),INDEX(DATAS,W198+1)),"")</f>
        <v/>
      </c>
    </row>
    <row r="199" customFormat="false" ht="15" hidden="false" customHeight="false" outlineLevel="0" collapsed="false">
      <c r="A199" s="33" t="n">
        <v>46309</v>
      </c>
      <c r="B199" s="0" t="n">
        <v>6</v>
      </c>
      <c r="C199" s="0" t="n">
        <v>3630</v>
      </c>
      <c r="D199" s="0" t="n">
        <v>437</v>
      </c>
      <c r="E199" s="0" t="n">
        <v>3</v>
      </c>
      <c r="F199" s="27" t="s">
        <v>316</v>
      </c>
      <c r="G199" s="0" t="n">
        <v>25</v>
      </c>
      <c r="H199" s="0" t="n">
        <v>23</v>
      </c>
      <c r="I199" s="27" t="s">
        <v>138</v>
      </c>
      <c r="J199" s="0" t="n">
        <v>348</v>
      </c>
      <c r="K199" s="0" t="n">
        <v>59</v>
      </c>
      <c r="L199" s="0" t="n">
        <v>89</v>
      </c>
      <c r="M199" s="0" t="n">
        <v>-248.11</v>
      </c>
      <c r="N199" s="0" t="n">
        <v>8.23</v>
      </c>
      <c r="O199" s="0" t="n">
        <v>4.54</v>
      </c>
      <c r="P199" s="0" t="n">
        <v>6.1</v>
      </c>
      <c r="Q199" s="0" t="n">
        <v>5</v>
      </c>
      <c r="R199" s="0" t="n">
        <v>5966</v>
      </c>
      <c r="S199" s="0" t="n">
        <v>11007</v>
      </c>
      <c r="T199" s="0" t="n">
        <v>68.4</v>
      </c>
      <c r="U199" s="0" t="n">
        <v>1858</v>
      </c>
      <c r="V199" s="0" t="n">
        <v>9</v>
      </c>
      <c r="W199" s="27" t="n">
        <f aca="false">MATCH(A199,DATAS,0)</f>
        <v>1</v>
      </c>
      <c r="X199" s="27" t="n">
        <f aca="false">IF(AND(E199&gt;0,OR(AND(B199&gt;=1,B199&lt;=6),B199=10)),1,0)</f>
        <v>1</v>
      </c>
      <c r="Y199" s="27" t="n">
        <f aca="false">IF(AND(E199&gt;0,B199=10),1,0)</f>
        <v>0</v>
      </c>
      <c r="Z199" s="0" t="str">
        <f aca="false">IF(AND(C198=C199,W198=W199-1),X198,"")</f>
        <v/>
      </c>
      <c r="AA199" s="0" t="str">
        <f aca="false">IF(AND(C198=C199,W198=W199-1),Y198,"")</f>
        <v/>
      </c>
      <c r="AB199" s="0" t="str">
        <f aca="false">IF(W199=1,"",IF(AND(X199=1,Z199&lt;&gt;1),1,0))</f>
        <v/>
      </c>
      <c r="AC199" s="0" t="str">
        <f aca="false">IF(W199=1,"",IF(AND(Y199=1,AA199&lt;&gt;1),1,0))</f>
        <v/>
      </c>
      <c r="AD199" s="33" t="str">
        <f aca="false">IF(AND(E199&gt;0,W199&lt;1,NOT(AND(C200=C199,W200=W199+1))),INDEX(DATAS,W199+1),"")</f>
        <v/>
      </c>
      <c r="AE199" s="33" t="str">
        <f aca="false">IF(AND(Y199=1,W199&lt;1),IF(AND(C200=C199,W200=W199+1),IF(Y200=1,"",INDEX(DATAS,W199+1)),INDEX(DATAS,W199+1)),"")</f>
        <v/>
      </c>
    </row>
    <row r="200" customFormat="false" ht="15" hidden="false" customHeight="false" outlineLevel="0" collapsed="false">
      <c r="A200" s="33" t="n">
        <v>46309</v>
      </c>
      <c r="B200" s="0" t="n">
        <v>5</v>
      </c>
      <c r="C200" s="0" t="n">
        <v>3631</v>
      </c>
      <c r="D200" s="0" t="n">
        <v>399</v>
      </c>
      <c r="E200" s="0" t="n">
        <v>3</v>
      </c>
      <c r="F200" s="27" t="s">
        <v>317</v>
      </c>
      <c r="G200" s="0" t="n">
        <v>36.6</v>
      </c>
      <c r="H200" s="0" t="n">
        <v>38</v>
      </c>
      <c r="I200" s="27" t="s">
        <v>138</v>
      </c>
      <c r="J200" s="0" t="n">
        <v>211</v>
      </c>
      <c r="K200" s="0" t="n">
        <v>63</v>
      </c>
      <c r="L200" s="0" t="n">
        <v>188</v>
      </c>
      <c r="M200" s="0" t="n">
        <v>655.9</v>
      </c>
      <c r="N200" s="0" t="n">
        <v>36.55</v>
      </c>
      <c r="O200" s="0" t="n">
        <v>23.12</v>
      </c>
      <c r="P200" s="0" t="n">
        <v>0</v>
      </c>
      <c r="Q200" s="0" t="n">
        <v>0</v>
      </c>
      <c r="R200" s="0" t="n">
        <v>6121</v>
      </c>
      <c r="S200" s="0" t="n">
        <v>12726</v>
      </c>
      <c r="T200" s="0" t="n">
        <v>70.8</v>
      </c>
      <c r="U200" s="0" t="n">
        <v>1857</v>
      </c>
      <c r="V200" s="0" t="n">
        <v>5</v>
      </c>
      <c r="W200" s="27" t="n">
        <f aca="false">MATCH(A200,DATAS,0)</f>
        <v>1</v>
      </c>
      <c r="X200" s="27" t="n">
        <f aca="false">IF(AND(E200&gt;0,OR(AND(B200&gt;=1,B200&lt;=6),B200=10)),1,0)</f>
        <v>1</v>
      </c>
      <c r="Y200" s="27" t="n">
        <f aca="false">IF(AND(E200&gt;0,B200=10),1,0)</f>
        <v>0</v>
      </c>
      <c r="Z200" s="0" t="str">
        <f aca="false">IF(AND(C199=C200,W199=W200-1),X199,"")</f>
        <v/>
      </c>
      <c r="AA200" s="0" t="str">
        <f aca="false">IF(AND(C199=C200,W199=W200-1),Y199,"")</f>
        <v/>
      </c>
      <c r="AB200" s="0" t="str">
        <f aca="false">IF(W200=1,"",IF(AND(X200=1,Z200&lt;&gt;1),1,0))</f>
        <v/>
      </c>
      <c r="AC200" s="0" t="str">
        <f aca="false">IF(W200=1,"",IF(AND(Y200=1,AA200&lt;&gt;1),1,0))</f>
        <v/>
      </c>
      <c r="AD200" s="33" t="str">
        <f aca="false">IF(AND(E200&gt;0,W200&lt;1,NOT(AND(C201=C200,W201=W200+1))),INDEX(DATAS,W200+1),"")</f>
        <v/>
      </c>
      <c r="AE200" s="33" t="str">
        <f aca="false">IF(AND(Y200=1,W200&lt;1),IF(AND(C201=C200,W201=W200+1),IF(Y201=1,"",INDEX(DATAS,W200+1)),INDEX(DATAS,W200+1)),"")</f>
        <v/>
      </c>
    </row>
    <row r="201" customFormat="false" ht="15" hidden="false" customHeight="false" outlineLevel="0" collapsed="false">
      <c r="A201" s="33" t="n">
        <v>46309</v>
      </c>
      <c r="B201" s="0" t="n">
        <v>5</v>
      </c>
      <c r="C201" s="0" t="n">
        <v>3632</v>
      </c>
      <c r="D201" s="0" t="n">
        <v>164</v>
      </c>
      <c r="E201" s="0" t="n">
        <v>3</v>
      </c>
      <c r="F201" s="27" t="s">
        <v>317</v>
      </c>
      <c r="G201" s="0" t="n">
        <v>38.7</v>
      </c>
      <c r="H201" s="0" t="n">
        <v>42</v>
      </c>
      <c r="I201" s="27" t="s">
        <v>168</v>
      </c>
      <c r="J201" s="0" t="n">
        <v>164</v>
      </c>
      <c r="K201" s="0" t="n">
        <v>66</v>
      </c>
      <c r="M201" s="0" t="n">
        <v>519.75</v>
      </c>
      <c r="N201" s="0" t="n">
        <v>26.83</v>
      </c>
      <c r="O201" s="0" t="n">
        <v>20.01</v>
      </c>
      <c r="P201" s="0" t="n">
        <v>4.25</v>
      </c>
      <c r="Q201" s="0" t="n">
        <v>3.62</v>
      </c>
      <c r="R201" s="0" t="n">
        <v>5059</v>
      </c>
      <c r="S201" s="0" t="n">
        <v>9491</v>
      </c>
      <c r="T201" s="0" t="n">
        <v>60</v>
      </c>
      <c r="U201" s="0" t="n">
        <v>1857</v>
      </c>
      <c r="V201" s="0" t="n">
        <v>3</v>
      </c>
      <c r="W201" s="27" t="n">
        <f aca="false">MATCH(A201,DATAS,0)</f>
        <v>1</v>
      </c>
      <c r="X201" s="27" t="n">
        <f aca="false">IF(AND(E201&gt;0,OR(AND(B201&gt;=1,B201&lt;=6),B201=10)),1,0)</f>
        <v>1</v>
      </c>
      <c r="Y201" s="27" t="n">
        <f aca="false">IF(AND(E201&gt;0,B201=10),1,0)</f>
        <v>0</v>
      </c>
      <c r="Z201" s="0" t="str">
        <f aca="false">IF(AND(C200=C201,W200=W201-1),X200,"")</f>
        <v/>
      </c>
      <c r="AA201" s="0" t="str">
        <f aca="false">IF(AND(C200=C201,W200=W201-1),Y200,"")</f>
        <v/>
      </c>
      <c r="AB201" s="0" t="str">
        <f aca="false">IF(W201=1,"",IF(AND(X201=1,Z201&lt;&gt;1),1,0))</f>
        <v/>
      </c>
      <c r="AC201" s="0" t="str">
        <f aca="false">IF(W201=1,"",IF(AND(Y201=1,AA201&lt;&gt;1),1,0))</f>
        <v/>
      </c>
      <c r="AD201" s="33" t="str">
        <f aca="false">IF(AND(E201&gt;0,W201&lt;1,NOT(AND(C202=C201,W202=W201+1))),INDEX(DATAS,W201+1),"")</f>
        <v/>
      </c>
      <c r="AE201" s="33" t="str">
        <f aca="false">IF(AND(Y201=1,W201&lt;1),IF(AND(C202=C201,W202=W201+1),IF(Y202=1,"",INDEX(DATAS,W201+1)),INDEX(DATAS,W201+1)),"")</f>
        <v/>
      </c>
    </row>
    <row r="202" customFormat="false" ht="15" hidden="false" customHeight="false" outlineLevel="0" collapsed="false">
      <c r="A202" s="33" t="n">
        <v>46309</v>
      </c>
      <c r="B202" s="0" t="n">
        <v>6</v>
      </c>
      <c r="C202" s="0" t="n">
        <v>3637</v>
      </c>
      <c r="D202" s="0" t="n">
        <v>327</v>
      </c>
      <c r="E202" s="0" t="n">
        <v>3</v>
      </c>
      <c r="F202" s="27" t="s">
        <v>318</v>
      </c>
      <c r="G202" s="0" t="n">
        <v>18.3</v>
      </c>
      <c r="H202" s="0" t="n">
        <v>19</v>
      </c>
      <c r="I202" s="27" t="s">
        <v>138</v>
      </c>
      <c r="J202" s="0" t="n">
        <v>124</v>
      </c>
      <c r="K202" s="0" t="n">
        <v>65</v>
      </c>
      <c r="L202" s="0" t="n">
        <v>203</v>
      </c>
      <c r="M202" s="0" t="n">
        <v>312.21</v>
      </c>
      <c r="N202" s="0" t="n">
        <v>27.85</v>
      </c>
      <c r="O202" s="0" t="n">
        <v>17.25</v>
      </c>
      <c r="P202" s="0" t="n">
        <v>4.82</v>
      </c>
      <c r="Q202" s="0" t="n">
        <v>3.63</v>
      </c>
      <c r="R202" s="0" t="n">
        <v>5788</v>
      </c>
      <c r="S202" s="0" t="n">
        <v>11044</v>
      </c>
      <c r="T202" s="0" t="n">
        <v>61.4</v>
      </c>
      <c r="U202" s="0" t="n">
        <v>1856</v>
      </c>
      <c r="V202" s="0" t="n">
        <v>2</v>
      </c>
      <c r="W202" s="27" t="n">
        <f aca="false">MATCH(A202,DATAS,0)</f>
        <v>1</v>
      </c>
      <c r="X202" s="27" t="n">
        <f aca="false">IF(AND(E202&gt;0,OR(AND(B202&gt;=1,B202&lt;=6),B202=10)),1,0)</f>
        <v>1</v>
      </c>
      <c r="Y202" s="27" t="n">
        <f aca="false">IF(AND(E202&gt;0,B202=10),1,0)</f>
        <v>0</v>
      </c>
      <c r="Z202" s="0" t="str">
        <f aca="false">IF(AND(C201=C202,W201=W202-1),X201,"")</f>
        <v/>
      </c>
      <c r="AA202" s="0" t="str">
        <f aca="false">IF(AND(C201=C202,W201=W202-1),Y201,"")</f>
        <v/>
      </c>
      <c r="AB202" s="0" t="str">
        <f aca="false">IF(W202=1,"",IF(AND(X202=1,Z202&lt;&gt;1),1,0))</f>
        <v/>
      </c>
      <c r="AC202" s="0" t="str">
        <f aca="false">IF(W202=1,"",IF(AND(Y202=1,AA202&lt;&gt;1),1,0))</f>
        <v/>
      </c>
      <c r="AD202" s="33" t="str">
        <f aca="false">IF(AND(E202&gt;0,W202&lt;1,NOT(AND(C203=C202,W203=W202+1))),INDEX(DATAS,W202+1),"")</f>
        <v/>
      </c>
      <c r="AE202" s="33" t="str">
        <f aca="false">IF(AND(Y202=1,W202&lt;1),IF(AND(C203=C202,W203=W202+1),IF(Y203=1,"",INDEX(DATAS,W202+1)),INDEX(DATAS,W202+1)),"")</f>
        <v/>
      </c>
    </row>
    <row r="203" customFormat="false" ht="15" hidden="false" customHeight="false" outlineLevel="0" collapsed="false">
      <c r="A203" s="33" t="n">
        <v>46309</v>
      </c>
      <c r="B203" s="0" t="n">
        <v>2</v>
      </c>
      <c r="C203" s="0" t="n">
        <v>3646</v>
      </c>
      <c r="D203" s="0" t="n">
        <v>143</v>
      </c>
      <c r="E203" s="0" t="n">
        <v>3</v>
      </c>
      <c r="F203" s="27" t="s">
        <v>319</v>
      </c>
      <c r="G203" s="0" t="n">
        <v>60.6</v>
      </c>
      <c r="H203" s="0" t="n">
        <v>58</v>
      </c>
      <c r="I203" s="27" t="s">
        <v>168</v>
      </c>
      <c r="J203" s="0" t="n">
        <v>143</v>
      </c>
      <c r="K203" s="0" t="n">
        <v>66</v>
      </c>
      <c r="M203" s="0" t="n">
        <v>669.28</v>
      </c>
      <c r="N203" s="0" t="n">
        <v>50.04</v>
      </c>
      <c r="O203" s="0" t="n">
        <v>20.29</v>
      </c>
      <c r="P203" s="0" t="n">
        <v>3.75</v>
      </c>
      <c r="Q203" s="0" t="n">
        <v>3.14</v>
      </c>
      <c r="R203" s="0" t="n">
        <v>5868</v>
      </c>
      <c r="S203" s="0" t="n">
        <v>12152</v>
      </c>
      <c r="T203" s="0" t="n">
        <v>69.05</v>
      </c>
      <c r="U203" s="0" t="n">
        <v>1850</v>
      </c>
      <c r="V203" s="0" t="n">
        <v>3</v>
      </c>
      <c r="W203" s="27" t="n">
        <f aca="false">MATCH(A203,DATAS,0)</f>
        <v>1</v>
      </c>
      <c r="X203" s="27" t="n">
        <f aca="false">IF(AND(E203&gt;0,OR(AND(B203&gt;=1,B203&lt;=6),B203=10)),1,0)</f>
        <v>1</v>
      </c>
      <c r="Y203" s="27" t="n">
        <f aca="false">IF(AND(E203&gt;0,B203=10),1,0)</f>
        <v>0</v>
      </c>
      <c r="Z203" s="0" t="str">
        <f aca="false">IF(AND(C202=C203,W202=W203-1),X202,"")</f>
        <v/>
      </c>
      <c r="AA203" s="0" t="str">
        <f aca="false">IF(AND(C202=C203,W202=W203-1),Y202,"")</f>
        <v/>
      </c>
      <c r="AB203" s="0" t="str">
        <f aca="false">IF(W203=1,"",IF(AND(X203=1,Z203&lt;&gt;1),1,0))</f>
        <v/>
      </c>
      <c r="AC203" s="0" t="str">
        <f aca="false">IF(W203=1,"",IF(AND(Y203=1,AA203&lt;&gt;1),1,0))</f>
        <v/>
      </c>
      <c r="AD203" s="33" t="str">
        <f aca="false">IF(AND(E203&gt;0,W203&lt;1,NOT(AND(C204=C203,W204=W203+1))),INDEX(DATAS,W203+1),"")</f>
        <v/>
      </c>
      <c r="AE203" s="33" t="str">
        <f aca="false">IF(AND(Y203=1,W203&lt;1),IF(AND(C204=C203,W204=W203+1),IF(Y204=1,"",INDEX(DATAS,W203+1)),INDEX(DATAS,W203+1)),"")</f>
        <v/>
      </c>
    </row>
    <row r="204" customFormat="false" ht="15" hidden="false" customHeight="false" outlineLevel="0" collapsed="false">
      <c r="A204" s="33" t="n">
        <v>46309</v>
      </c>
      <c r="B204" s="0" t="n">
        <v>2</v>
      </c>
      <c r="C204" s="0" t="n">
        <v>3651</v>
      </c>
      <c r="D204" s="0" t="n">
        <v>410</v>
      </c>
      <c r="E204" s="0" t="n">
        <v>3</v>
      </c>
      <c r="F204" s="27" t="s">
        <v>320</v>
      </c>
      <c r="G204" s="0" t="n">
        <v>46.4</v>
      </c>
      <c r="H204" s="0" t="n">
        <v>46</v>
      </c>
      <c r="I204" s="27" t="s">
        <v>138</v>
      </c>
      <c r="J204" s="0" t="n">
        <v>235</v>
      </c>
      <c r="K204" s="0" t="n">
        <v>67</v>
      </c>
      <c r="L204" s="0" t="n">
        <v>175</v>
      </c>
      <c r="M204" s="0" t="n">
        <v>436.42</v>
      </c>
      <c r="N204" s="0" t="n">
        <v>41.54</v>
      </c>
      <c r="O204" s="0" t="n">
        <v>20.52</v>
      </c>
      <c r="P204" s="0" t="n">
        <v>4.24</v>
      </c>
      <c r="Q204" s="0" t="n">
        <v>3.98</v>
      </c>
      <c r="R204" s="0" t="n">
        <v>6305</v>
      </c>
      <c r="S204" s="0" t="n">
        <v>12787</v>
      </c>
      <c r="T204" s="0" t="n">
        <v>65.6</v>
      </c>
      <c r="U204" s="0" t="n">
        <v>1847</v>
      </c>
      <c r="V204" s="0" t="n">
        <v>5</v>
      </c>
      <c r="W204" s="27" t="n">
        <f aca="false">MATCH(A204,DATAS,0)</f>
        <v>1</v>
      </c>
      <c r="X204" s="27" t="n">
        <f aca="false">IF(AND(E204&gt;0,OR(AND(B204&gt;=1,B204&lt;=6),B204=10)),1,0)</f>
        <v>1</v>
      </c>
      <c r="Y204" s="27" t="n">
        <f aca="false">IF(AND(E204&gt;0,B204=10),1,0)</f>
        <v>0</v>
      </c>
      <c r="Z204" s="0" t="str">
        <f aca="false">IF(AND(C203=C204,W203=W204-1),X203,"")</f>
        <v/>
      </c>
      <c r="AA204" s="0" t="str">
        <f aca="false">IF(AND(C203=C204,W203=W204-1),Y203,"")</f>
        <v/>
      </c>
      <c r="AB204" s="0" t="str">
        <f aca="false">IF(W204=1,"",IF(AND(X204=1,Z204&lt;&gt;1),1,0))</f>
        <v/>
      </c>
      <c r="AC204" s="0" t="str">
        <f aca="false">IF(W204=1,"",IF(AND(Y204=1,AA204&lt;&gt;1),1,0))</f>
        <v/>
      </c>
      <c r="AD204" s="33" t="str">
        <f aca="false">IF(AND(E204&gt;0,W204&lt;1,NOT(AND(C205=C204,W205=W204+1))),INDEX(DATAS,W204+1),"")</f>
        <v/>
      </c>
      <c r="AE204" s="33" t="str">
        <f aca="false">IF(AND(Y204=1,W204&lt;1),IF(AND(C205=C204,W205=W204+1),IF(Y205=1,"",INDEX(DATAS,W204+1)),INDEX(DATAS,W204+1)),"")</f>
        <v/>
      </c>
    </row>
    <row r="205" customFormat="false" ht="15" hidden="false" customHeight="false" outlineLevel="0" collapsed="false">
      <c r="A205" s="33" t="n">
        <v>46309</v>
      </c>
      <c r="B205" s="0" t="n">
        <v>3</v>
      </c>
      <c r="C205" s="0" t="n">
        <v>3658</v>
      </c>
      <c r="D205" s="0" t="n">
        <v>296</v>
      </c>
      <c r="E205" s="0" t="n">
        <v>3</v>
      </c>
      <c r="F205" s="27" t="s">
        <v>321</v>
      </c>
      <c r="G205" s="0" t="n">
        <v>55.1</v>
      </c>
      <c r="H205" s="0" t="n">
        <v>52</v>
      </c>
      <c r="I205" s="27" t="s">
        <v>168</v>
      </c>
      <c r="J205" s="0" t="n">
        <v>296</v>
      </c>
      <c r="K205" s="0" t="n">
        <v>72</v>
      </c>
      <c r="M205" s="0" t="n">
        <v>627.96</v>
      </c>
      <c r="N205" s="0" t="n">
        <v>47.94</v>
      </c>
      <c r="O205" s="0" t="n">
        <v>36.29</v>
      </c>
      <c r="P205" s="0" t="n">
        <v>2.83</v>
      </c>
      <c r="Q205" s="0" t="n">
        <v>3.33</v>
      </c>
      <c r="R205" s="0" t="n">
        <v>4542</v>
      </c>
      <c r="S205" s="0" t="n">
        <v>10365</v>
      </c>
      <c r="T205" s="0" t="n">
        <v>47.8</v>
      </c>
      <c r="U205" s="0" t="n">
        <v>1841</v>
      </c>
      <c r="V205" s="0" t="n">
        <v>6</v>
      </c>
      <c r="W205" s="27" t="n">
        <f aca="false">MATCH(A205,DATAS,0)</f>
        <v>1</v>
      </c>
      <c r="X205" s="27" t="n">
        <f aca="false">IF(AND(E205&gt;0,OR(AND(B205&gt;=1,B205&lt;=6),B205=10)),1,0)</f>
        <v>1</v>
      </c>
      <c r="Y205" s="27" t="n">
        <f aca="false">IF(AND(E205&gt;0,B205=10),1,0)</f>
        <v>0</v>
      </c>
      <c r="Z205" s="0" t="str">
        <f aca="false">IF(AND(C204=C205,W204=W205-1),X204,"")</f>
        <v/>
      </c>
      <c r="AA205" s="0" t="str">
        <f aca="false">IF(AND(C204=C205,W204=W205-1),Y204,"")</f>
        <v/>
      </c>
      <c r="AB205" s="0" t="str">
        <f aca="false">IF(W205=1,"",IF(AND(X205=1,Z205&lt;&gt;1),1,0))</f>
        <v/>
      </c>
      <c r="AC205" s="0" t="str">
        <f aca="false">IF(W205=1,"",IF(AND(Y205=1,AA205&lt;&gt;1),1,0))</f>
        <v/>
      </c>
      <c r="AD205" s="33" t="str">
        <f aca="false">IF(AND(E205&gt;0,W205&lt;1,NOT(AND(C206=C205,W206=W205+1))),INDEX(DATAS,W205+1),"")</f>
        <v/>
      </c>
      <c r="AE205" s="33" t="str">
        <f aca="false">IF(AND(Y205=1,W205&lt;1),IF(AND(C206=C205,W206=W205+1),IF(Y206=1,"",INDEX(DATAS,W205+1)),INDEX(DATAS,W205+1)),"")</f>
        <v/>
      </c>
    </row>
    <row r="206" customFormat="false" ht="15" hidden="false" customHeight="false" outlineLevel="0" collapsed="false">
      <c r="A206" s="33" t="n">
        <v>46309</v>
      </c>
      <c r="B206" s="0" t="n">
        <v>6</v>
      </c>
      <c r="C206" s="0" t="n">
        <v>3660</v>
      </c>
      <c r="D206" s="0" t="n">
        <v>343</v>
      </c>
      <c r="E206" s="0" t="n">
        <v>3</v>
      </c>
      <c r="F206" s="27" t="s">
        <v>321</v>
      </c>
      <c r="G206" s="0" t="n">
        <v>23.6</v>
      </c>
      <c r="H206" s="0" t="n">
        <v>23</v>
      </c>
      <c r="I206" s="27" t="s">
        <v>151</v>
      </c>
      <c r="J206" s="0" t="n">
        <v>343</v>
      </c>
      <c r="K206" s="0" t="n">
        <v>64</v>
      </c>
      <c r="M206" s="0" t="n">
        <v>649.33</v>
      </c>
      <c r="N206" s="0" t="n">
        <v>53.73</v>
      </c>
      <c r="O206" s="0" t="n">
        <v>25.22</v>
      </c>
      <c r="P206" s="0" t="n">
        <v>5.46</v>
      </c>
      <c r="Q206" s="0" t="n">
        <v>4.16</v>
      </c>
      <c r="R206" s="0" t="n">
        <v>5088</v>
      </c>
      <c r="S206" s="0" t="n">
        <v>8551</v>
      </c>
      <c r="T206" s="0" t="n">
        <v>56.4</v>
      </c>
      <c r="U206" s="0" t="n">
        <v>1841</v>
      </c>
      <c r="V206" s="0" t="n">
        <v>4</v>
      </c>
      <c r="W206" s="27" t="n">
        <f aca="false">MATCH(A206,DATAS,0)</f>
        <v>1</v>
      </c>
      <c r="X206" s="27" t="n">
        <f aca="false">IF(AND(E206&gt;0,OR(AND(B206&gt;=1,B206&lt;=6),B206=10)),1,0)</f>
        <v>1</v>
      </c>
      <c r="Y206" s="27" t="n">
        <f aca="false">IF(AND(E206&gt;0,B206=10),1,0)</f>
        <v>0</v>
      </c>
      <c r="Z206" s="0" t="str">
        <f aca="false">IF(AND(C205=C206,W205=W206-1),X205,"")</f>
        <v/>
      </c>
      <c r="AA206" s="0" t="str">
        <f aca="false">IF(AND(C205=C206,W205=W206-1),Y205,"")</f>
        <v/>
      </c>
      <c r="AB206" s="0" t="str">
        <f aca="false">IF(W206=1,"",IF(AND(X206=1,Z206&lt;&gt;1),1,0))</f>
        <v/>
      </c>
      <c r="AC206" s="0" t="str">
        <f aca="false">IF(W206=1,"",IF(AND(Y206=1,AA206&lt;&gt;1),1,0))</f>
        <v/>
      </c>
      <c r="AD206" s="33" t="str">
        <f aca="false">IF(AND(E206&gt;0,W206&lt;1,NOT(AND(C207=C206,W207=W206+1))),INDEX(DATAS,W206+1),"")</f>
        <v/>
      </c>
      <c r="AE206" s="33" t="str">
        <f aca="false">IF(AND(Y206=1,W206&lt;1),IF(AND(C207=C206,W207=W206+1),IF(Y207=1,"",INDEX(DATAS,W206+1)),INDEX(DATAS,W206+1)),"")</f>
        <v/>
      </c>
    </row>
    <row r="207" customFormat="false" ht="15" hidden="false" customHeight="false" outlineLevel="0" collapsed="false">
      <c r="A207" s="33" t="n">
        <v>46309</v>
      </c>
      <c r="B207" s="0" t="n">
        <v>5</v>
      </c>
      <c r="C207" s="0" t="n">
        <v>3663</v>
      </c>
      <c r="D207" s="0" t="n">
        <v>445</v>
      </c>
      <c r="E207" s="0" t="n">
        <v>3</v>
      </c>
      <c r="F207" s="27" t="s">
        <v>322</v>
      </c>
      <c r="G207" s="0" t="n">
        <v>26.2</v>
      </c>
      <c r="H207" s="0" t="n">
        <v>26</v>
      </c>
      <c r="I207" s="27" t="s">
        <v>151</v>
      </c>
      <c r="J207" s="0" t="n">
        <v>445</v>
      </c>
      <c r="K207" s="0" t="n">
        <v>60</v>
      </c>
      <c r="M207" s="0" t="n">
        <v>441.38</v>
      </c>
      <c r="N207" s="0" t="n">
        <v>48.58</v>
      </c>
      <c r="O207" s="0" t="n">
        <v>31.95</v>
      </c>
      <c r="P207" s="0" t="n">
        <v>5.26</v>
      </c>
      <c r="Q207" s="0" t="n">
        <v>3.83</v>
      </c>
      <c r="R207" s="0" t="n">
        <v>5005</v>
      </c>
      <c r="S207" s="0" t="n">
        <v>10524</v>
      </c>
      <c r="T207" s="0" t="n">
        <v>51.7</v>
      </c>
      <c r="U207" s="0" t="n">
        <v>1836</v>
      </c>
      <c r="V207" s="0" t="n">
        <v>4</v>
      </c>
      <c r="W207" s="27" t="n">
        <f aca="false">MATCH(A207,DATAS,0)</f>
        <v>1</v>
      </c>
      <c r="X207" s="27" t="n">
        <f aca="false">IF(AND(E207&gt;0,OR(AND(B207&gt;=1,B207&lt;=6),B207=10)),1,0)</f>
        <v>1</v>
      </c>
      <c r="Y207" s="27" t="n">
        <f aca="false">IF(AND(E207&gt;0,B207=10),1,0)</f>
        <v>0</v>
      </c>
      <c r="Z207" s="0" t="str">
        <f aca="false">IF(AND(C206=C207,W206=W207-1),X206,"")</f>
        <v/>
      </c>
      <c r="AA207" s="0" t="str">
        <f aca="false">IF(AND(C206=C207,W206=W207-1),Y206,"")</f>
        <v/>
      </c>
      <c r="AB207" s="0" t="str">
        <f aca="false">IF(W207=1,"",IF(AND(X207=1,Z207&lt;&gt;1),1,0))</f>
        <v/>
      </c>
      <c r="AC207" s="0" t="str">
        <f aca="false">IF(W207=1,"",IF(AND(Y207=1,AA207&lt;&gt;1),1,0))</f>
        <v/>
      </c>
      <c r="AD207" s="33" t="str">
        <f aca="false">IF(AND(E207&gt;0,W207&lt;1,NOT(AND(C208=C207,W208=W207+1))),INDEX(DATAS,W207+1),"")</f>
        <v/>
      </c>
      <c r="AE207" s="33" t="str">
        <f aca="false">IF(AND(Y207=1,W207&lt;1),IF(AND(C208=C207,W208=W207+1),IF(Y208=1,"",INDEX(DATAS,W207+1)),INDEX(DATAS,W207+1)),"")</f>
        <v/>
      </c>
    </row>
    <row r="208" customFormat="false" ht="15" hidden="false" customHeight="false" outlineLevel="0" collapsed="false">
      <c r="A208" s="33" t="n">
        <v>46309</v>
      </c>
      <c r="B208" s="0" t="n">
        <v>5</v>
      </c>
      <c r="C208" s="0" t="n">
        <v>3664</v>
      </c>
      <c r="D208" s="0" t="n">
        <v>465</v>
      </c>
      <c r="E208" s="0" t="n">
        <v>3</v>
      </c>
      <c r="F208" s="27" t="s">
        <v>323</v>
      </c>
      <c r="G208" s="0" t="n">
        <v>45.3</v>
      </c>
      <c r="H208" s="0" t="n">
        <v>42</v>
      </c>
      <c r="I208" s="27" t="s">
        <v>138</v>
      </c>
      <c r="J208" s="0" t="n">
        <v>367</v>
      </c>
      <c r="K208" s="0" t="n">
        <v>59</v>
      </c>
      <c r="L208" s="0" t="n">
        <v>98</v>
      </c>
      <c r="M208" s="0" t="n">
        <v>855.47</v>
      </c>
      <c r="N208" s="0" t="n">
        <v>27.7</v>
      </c>
      <c r="O208" s="0" t="n">
        <v>34.54</v>
      </c>
      <c r="P208" s="0" t="n">
        <v>3.9</v>
      </c>
      <c r="Q208" s="0" t="n">
        <v>4.13</v>
      </c>
      <c r="R208" s="0" t="n">
        <v>6706</v>
      </c>
      <c r="S208" s="0" t="n">
        <v>13043</v>
      </c>
      <c r="T208" s="0" t="n">
        <v>75.65</v>
      </c>
      <c r="U208" s="0" t="n">
        <v>1835</v>
      </c>
      <c r="V208" s="0" t="n">
        <v>11</v>
      </c>
      <c r="W208" s="27" t="n">
        <f aca="false">MATCH(A208,DATAS,0)</f>
        <v>1</v>
      </c>
      <c r="X208" s="27" t="n">
        <f aca="false">IF(AND(E208&gt;0,OR(AND(B208&gt;=1,B208&lt;=6),B208=10)),1,0)</f>
        <v>1</v>
      </c>
      <c r="Y208" s="27" t="n">
        <f aca="false">IF(AND(E208&gt;0,B208=10),1,0)</f>
        <v>0</v>
      </c>
      <c r="Z208" s="0" t="str">
        <f aca="false">IF(AND(C207=C208,W207=W208-1),X207,"")</f>
        <v/>
      </c>
      <c r="AA208" s="0" t="str">
        <f aca="false">IF(AND(C207=C208,W207=W208-1),Y207,"")</f>
        <v/>
      </c>
      <c r="AB208" s="0" t="str">
        <f aca="false">IF(W208=1,"",IF(AND(X208=1,Z208&lt;&gt;1),1,0))</f>
        <v/>
      </c>
      <c r="AC208" s="0" t="str">
        <f aca="false">IF(W208=1,"",IF(AND(Y208=1,AA208&lt;&gt;1),1,0))</f>
        <v/>
      </c>
      <c r="AD208" s="33" t="str">
        <f aca="false">IF(AND(E208&gt;0,W208&lt;1,NOT(AND(C209=C208,W209=W208+1))),INDEX(DATAS,W208+1),"")</f>
        <v/>
      </c>
      <c r="AE208" s="33" t="str">
        <f aca="false">IF(AND(Y208=1,W208&lt;1),IF(AND(C209=C208,W209=W208+1),IF(Y209=1,"",INDEX(DATAS,W208+1)),INDEX(DATAS,W208+1)),"")</f>
        <v/>
      </c>
    </row>
    <row r="209" customFormat="false" ht="15" hidden="false" customHeight="false" outlineLevel="0" collapsed="false">
      <c r="A209" s="33" t="n">
        <v>46309</v>
      </c>
      <c r="B209" s="0" t="n">
        <v>5</v>
      </c>
      <c r="C209" s="0" t="n">
        <v>3665</v>
      </c>
      <c r="D209" s="0" t="n">
        <v>419</v>
      </c>
      <c r="E209" s="0" t="n">
        <v>3</v>
      </c>
      <c r="F209" s="27" t="s">
        <v>324</v>
      </c>
      <c r="G209" s="0" t="n">
        <v>29</v>
      </c>
      <c r="H209" s="0" t="n">
        <v>28</v>
      </c>
      <c r="I209" s="27" t="s">
        <v>138</v>
      </c>
      <c r="J209" s="0" t="n">
        <v>216</v>
      </c>
      <c r="K209" s="0" t="n">
        <v>69</v>
      </c>
      <c r="L209" s="0" t="n">
        <v>203</v>
      </c>
      <c r="M209" s="0" t="n">
        <v>846.8</v>
      </c>
      <c r="N209" s="0" t="n">
        <v>25.06</v>
      </c>
      <c r="O209" s="0" t="n">
        <v>30.77</v>
      </c>
      <c r="P209" s="0" t="n">
        <v>3.37</v>
      </c>
      <c r="Q209" s="0" t="n">
        <v>3.81</v>
      </c>
      <c r="R209" s="0" t="n">
        <v>5171</v>
      </c>
      <c r="S209" s="0" t="n">
        <v>9568</v>
      </c>
      <c r="T209" s="0" t="n">
        <v>55.35</v>
      </c>
      <c r="U209" s="0" t="n">
        <v>1834</v>
      </c>
      <c r="V209" s="0" t="n">
        <v>6</v>
      </c>
      <c r="W209" s="27" t="n">
        <f aca="false">MATCH(A209,DATAS,0)</f>
        <v>1</v>
      </c>
      <c r="X209" s="27" t="n">
        <f aca="false">IF(AND(E209&gt;0,OR(AND(B209&gt;=1,B209&lt;=6),B209=10)),1,0)</f>
        <v>1</v>
      </c>
      <c r="Y209" s="27" t="n">
        <f aca="false">IF(AND(E209&gt;0,B209=10),1,0)</f>
        <v>0</v>
      </c>
      <c r="Z209" s="0" t="str">
        <f aca="false">IF(AND(C208=C209,W208=W209-1),X208,"")</f>
        <v/>
      </c>
      <c r="AA209" s="0" t="str">
        <f aca="false">IF(AND(C208=C209,W208=W209-1),Y208,"")</f>
        <v/>
      </c>
      <c r="AB209" s="0" t="str">
        <f aca="false">IF(W209=1,"",IF(AND(X209=1,Z209&lt;&gt;1),1,0))</f>
        <v/>
      </c>
      <c r="AC209" s="0" t="str">
        <f aca="false">IF(W209=1,"",IF(AND(Y209=1,AA209&lt;&gt;1),1,0))</f>
        <v/>
      </c>
      <c r="AD209" s="33" t="str">
        <f aca="false">IF(AND(E209&gt;0,W209&lt;1,NOT(AND(C210=C209,W210=W209+1))),INDEX(DATAS,W209+1),"")</f>
        <v/>
      </c>
      <c r="AE209" s="33" t="str">
        <f aca="false">IF(AND(Y209=1,W209&lt;1),IF(AND(C210=C209,W210=W209+1),IF(Y210=1,"",INDEX(DATAS,W209+1)),INDEX(DATAS,W209+1)),"")</f>
        <v/>
      </c>
    </row>
    <row r="210" customFormat="false" ht="15" hidden="false" customHeight="false" outlineLevel="0" collapsed="false">
      <c r="A210" s="33" t="n">
        <v>46309</v>
      </c>
      <c r="B210" s="0" t="n">
        <v>5</v>
      </c>
      <c r="C210" s="0" t="n">
        <v>3666</v>
      </c>
      <c r="D210" s="0" t="n">
        <v>228</v>
      </c>
      <c r="E210" s="0" t="n">
        <v>3</v>
      </c>
      <c r="F210" s="27" t="s">
        <v>325</v>
      </c>
      <c r="G210" s="0" t="n">
        <v>42.1</v>
      </c>
      <c r="H210" s="0" t="n">
        <v>43</v>
      </c>
      <c r="I210" s="27" t="s">
        <v>176</v>
      </c>
      <c r="J210" s="0" t="n">
        <v>228</v>
      </c>
      <c r="K210" s="0" t="n">
        <v>74</v>
      </c>
      <c r="M210" s="0" t="n">
        <v>188.54</v>
      </c>
      <c r="N210" s="0" t="n">
        <v>0.77</v>
      </c>
      <c r="O210" s="0" t="n">
        <v>7.82</v>
      </c>
      <c r="P210" s="0" t="n">
        <v>4.28</v>
      </c>
      <c r="Q210" s="0" t="n">
        <v>3.34</v>
      </c>
      <c r="R210" s="0" t="n">
        <v>4873</v>
      </c>
      <c r="S210" s="0" t="n">
        <v>9978</v>
      </c>
      <c r="T210" s="0" t="n">
        <v>53.9</v>
      </c>
      <c r="U210" s="0" t="n">
        <v>1833</v>
      </c>
      <c r="V210" s="0" t="n">
        <v>4</v>
      </c>
      <c r="W210" s="27" t="n">
        <f aca="false">MATCH(A210,DATAS,0)</f>
        <v>1</v>
      </c>
      <c r="X210" s="27" t="n">
        <f aca="false">IF(AND(E210&gt;0,OR(AND(B210&gt;=1,B210&lt;=6),B210=10)),1,0)</f>
        <v>1</v>
      </c>
      <c r="Y210" s="27" t="n">
        <f aca="false">IF(AND(E210&gt;0,B210=10),1,0)</f>
        <v>0</v>
      </c>
      <c r="Z210" s="0" t="str">
        <f aca="false">IF(AND(C209=C210,W209=W210-1),X209,"")</f>
        <v/>
      </c>
      <c r="AA210" s="0" t="str">
        <f aca="false">IF(AND(C209=C210,W209=W210-1),Y209,"")</f>
        <v/>
      </c>
      <c r="AB210" s="0" t="str">
        <f aca="false">IF(W210=1,"",IF(AND(X210=1,Z210&lt;&gt;1),1,0))</f>
        <v/>
      </c>
      <c r="AC210" s="0" t="str">
        <f aca="false">IF(W210=1,"",IF(AND(Y210=1,AA210&lt;&gt;1),1,0))</f>
        <v/>
      </c>
      <c r="AD210" s="33" t="str">
        <f aca="false">IF(AND(E210&gt;0,W210&lt;1,NOT(AND(C211=C210,W211=W210+1))),INDEX(DATAS,W210+1),"")</f>
        <v/>
      </c>
      <c r="AE210" s="33" t="str">
        <f aca="false">IF(AND(Y210=1,W210&lt;1),IF(AND(C211=C210,W211=W210+1),IF(Y211=1,"",INDEX(DATAS,W210+1)),INDEX(DATAS,W210+1)),"")</f>
        <v/>
      </c>
    </row>
    <row r="211" customFormat="false" ht="15" hidden="false" customHeight="false" outlineLevel="0" collapsed="false">
      <c r="A211" s="33" t="n">
        <v>46309</v>
      </c>
      <c r="B211" s="0" t="n">
        <v>5</v>
      </c>
      <c r="C211" s="0" t="n">
        <v>3667</v>
      </c>
      <c r="D211" s="0" t="n">
        <v>195</v>
      </c>
      <c r="E211" s="0" t="n">
        <v>3</v>
      </c>
      <c r="F211" s="27" t="s">
        <v>325</v>
      </c>
      <c r="G211" s="0" t="n">
        <v>39.3</v>
      </c>
      <c r="H211" s="0" t="n">
        <v>36</v>
      </c>
      <c r="I211" s="27" t="s">
        <v>138</v>
      </c>
      <c r="J211" s="0" t="n">
        <v>62</v>
      </c>
      <c r="K211" s="0" t="n">
        <v>62</v>
      </c>
      <c r="L211" s="0" t="n">
        <v>133</v>
      </c>
      <c r="M211" s="0" t="n">
        <v>664.45</v>
      </c>
      <c r="N211" s="0" t="n">
        <v>27.79</v>
      </c>
      <c r="O211" s="0" t="n">
        <v>20.39</v>
      </c>
      <c r="P211" s="0" t="n">
        <v>5.43</v>
      </c>
      <c r="Q211" s="0" t="n">
        <v>3.75</v>
      </c>
      <c r="R211" s="0" t="n">
        <v>4216</v>
      </c>
      <c r="S211" s="0" t="n">
        <v>8603</v>
      </c>
      <c r="T211" s="0" t="n">
        <v>49.45</v>
      </c>
      <c r="U211" s="0" t="n">
        <v>1833</v>
      </c>
      <c r="V211" s="0" t="n">
        <v>1</v>
      </c>
      <c r="W211" s="27" t="n">
        <f aca="false">MATCH(A211,DATAS,0)</f>
        <v>1</v>
      </c>
      <c r="X211" s="27" t="n">
        <f aca="false">IF(AND(E211&gt;0,OR(AND(B211&gt;=1,B211&lt;=6),B211=10)),1,0)</f>
        <v>1</v>
      </c>
      <c r="Y211" s="27" t="n">
        <f aca="false">IF(AND(E211&gt;0,B211=10),1,0)</f>
        <v>0</v>
      </c>
      <c r="Z211" s="0" t="str">
        <f aca="false">IF(AND(C210=C211,W210=W211-1),X210,"")</f>
        <v/>
      </c>
      <c r="AA211" s="0" t="str">
        <f aca="false">IF(AND(C210=C211,W210=W211-1),Y210,"")</f>
        <v/>
      </c>
      <c r="AB211" s="0" t="str">
        <f aca="false">IF(W211=1,"",IF(AND(X211=1,Z211&lt;&gt;1),1,0))</f>
        <v/>
      </c>
      <c r="AC211" s="0" t="str">
        <f aca="false">IF(W211=1,"",IF(AND(Y211=1,AA211&lt;&gt;1),1,0))</f>
        <v/>
      </c>
      <c r="AD211" s="33" t="str">
        <f aca="false">IF(AND(E211&gt;0,W211&lt;1,NOT(AND(C212=C211,W212=W211+1))),INDEX(DATAS,W211+1),"")</f>
        <v/>
      </c>
      <c r="AE211" s="33" t="str">
        <f aca="false">IF(AND(Y211=1,W211&lt;1),IF(AND(C212=C211,W212=W211+1),IF(Y212=1,"",INDEX(DATAS,W211+1)),INDEX(DATAS,W211+1)),"")</f>
        <v/>
      </c>
    </row>
    <row r="212" customFormat="false" ht="15" hidden="false" customHeight="false" outlineLevel="0" collapsed="false">
      <c r="A212" s="33" t="n">
        <v>46309</v>
      </c>
      <c r="B212" s="0" t="n">
        <v>3</v>
      </c>
      <c r="C212" s="0" t="n">
        <v>3668</v>
      </c>
      <c r="D212" s="0" t="n">
        <v>75</v>
      </c>
      <c r="E212" s="0" t="n">
        <v>3</v>
      </c>
      <c r="F212" s="27" t="s">
        <v>326</v>
      </c>
      <c r="G212" s="0" t="n">
        <v>61.4</v>
      </c>
      <c r="H212" s="0" t="n">
        <v>60</v>
      </c>
      <c r="I212" s="27" t="s">
        <v>168</v>
      </c>
      <c r="J212" s="0" t="n">
        <v>75</v>
      </c>
      <c r="K212" s="0" t="n">
        <v>68</v>
      </c>
      <c r="M212" s="0" t="n">
        <v>150.46</v>
      </c>
      <c r="N212" s="0" t="n">
        <v>49.79</v>
      </c>
      <c r="O212" s="0" t="n">
        <v>18.97</v>
      </c>
      <c r="P212" s="0" t="n">
        <v>1.96</v>
      </c>
      <c r="Q212" s="0" t="n">
        <v>2.91</v>
      </c>
      <c r="R212" s="0" t="n">
        <v>6220</v>
      </c>
      <c r="S212" s="0" t="n">
        <v>12504</v>
      </c>
      <c r="U212" s="0" t="n">
        <v>1832</v>
      </c>
      <c r="V212" s="0" t="n">
        <v>1</v>
      </c>
      <c r="W212" s="27" t="n">
        <f aca="false">MATCH(A212,DATAS,0)</f>
        <v>1</v>
      </c>
      <c r="X212" s="27" t="n">
        <f aca="false">IF(AND(E212&gt;0,OR(AND(B212&gt;=1,B212&lt;=6),B212=10)),1,0)</f>
        <v>1</v>
      </c>
      <c r="Y212" s="27" t="n">
        <f aca="false">IF(AND(E212&gt;0,B212=10),1,0)</f>
        <v>0</v>
      </c>
      <c r="Z212" s="0" t="str">
        <f aca="false">IF(AND(C211=C212,W211=W212-1),X211,"")</f>
        <v/>
      </c>
      <c r="AA212" s="0" t="str">
        <f aca="false">IF(AND(C211=C212,W211=W212-1),Y211,"")</f>
        <v/>
      </c>
      <c r="AB212" s="0" t="str">
        <f aca="false">IF(W212=1,"",IF(AND(X212=1,Z212&lt;&gt;1),1,0))</f>
        <v/>
      </c>
      <c r="AC212" s="0" t="str">
        <f aca="false">IF(W212=1,"",IF(AND(Y212=1,AA212&lt;&gt;1),1,0))</f>
        <v/>
      </c>
      <c r="AD212" s="33" t="str">
        <f aca="false">IF(AND(E212&gt;0,W212&lt;1,NOT(AND(C213=C212,W213=W212+1))),INDEX(DATAS,W212+1),"")</f>
        <v/>
      </c>
      <c r="AE212" s="33" t="str">
        <f aca="false">IF(AND(Y212=1,W212&lt;1),IF(AND(C213=C212,W213=W212+1),IF(Y213=1,"",INDEX(DATAS,W212+1)),INDEX(DATAS,W212+1)),"")</f>
        <v/>
      </c>
    </row>
    <row r="213" customFormat="false" ht="15" hidden="false" customHeight="false" outlineLevel="0" collapsed="false">
      <c r="A213" s="33" t="n">
        <v>46309</v>
      </c>
      <c r="B213" s="0" t="n">
        <v>2</v>
      </c>
      <c r="C213" s="0" t="n">
        <v>3670</v>
      </c>
      <c r="D213" s="0" t="n">
        <v>113</v>
      </c>
      <c r="E213" s="0" t="n">
        <v>3</v>
      </c>
      <c r="F213" s="27" t="s">
        <v>326</v>
      </c>
      <c r="G213" s="0" t="n">
        <v>57.1</v>
      </c>
      <c r="H213" s="0" t="n">
        <v>58</v>
      </c>
      <c r="I213" s="27" t="s">
        <v>176</v>
      </c>
      <c r="J213" s="0" t="n">
        <v>113</v>
      </c>
      <c r="K213" s="0" t="n">
        <v>71</v>
      </c>
      <c r="M213" s="0" t="n">
        <v>165.6</v>
      </c>
      <c r="N213" s="0" t="n">
        <v>32.87</v>
      </c>
      <c r="O213" s="0" t="n">
        <v>9.91</v>
      </c>
      <c r="P213" s="0" t="n">
        <v>4.52</v>
      </c>
      <c r="Q213" s="0" t="n">
        <v>3.04</v>
      </c>
      <c r="R213" s="0" t="n">
        <v>5628</v>
      </c>
      <c r="S213" s="0" t="n">
        <v>11378</v>
      </c>
      <c r="T213" s="0" t="n">
        <v>63.05</v>
      </c>
      <c r="U213" s="0" t="n">
        <v>1832</v>
      </c>
      <c r="V213" s="0" t="n">
        <v>1</v>
      </c>
      <c r="W213" s="27" t="n">
        <f aca="false">MATCH(A213,DATAS,0)</f>
        <v>1</v>
      </c>
      <c r="X213" s="27" t="n">
        <f aca="false">IF(AND(E213&gt;0,OR(AND(B213&gt;=1,B213&lt;=6),B213=10)),1,0)</f>
        <v>1</v>
      </c>
      <c r="Y213" s="27" t="n">
        <f aca="false">IF(AND(E213&gt;0,B213=10),1,0)</f>
        <v>0</v>
      </c>
      <c r="Z213" s="0" t="str">
        <f aca="false">IF(AND(C212=C213,W212=W213-1),X212,"")</f>
        <v/>
      </c>
      <c r="AA213" s="0" t="str">
        <f aca="false">IF(AND(C212=C213,W212=W213-1),Y212,"")</f>
        <v/>
      </c>
      <c r="AB213" s="0" t="str">
        <f aca="false">IF(W213=1,"",IF(AND(X213=1,Z213&lt;&gt;1),1,0))</f>
        <v/>
      </c>
      <c r="AC213" s="0" t="str">
        <f aca="false">IF(W213=1,"",IF(AND(Y213=1,AA213&lt;&gt;1),1,0))</f>
        <v/>
      </c>
      <c r="AD213" s="33" t="str">
        <f aca="false">IF(AND(E213&gt;0,W213&lt;1,NOT(AND(C214=C213,W214=W213+1))),INDEX(DATAS,W213+1),"")</f>
        <v/>
      </c>
      <c r="AE213" s="33" t="str">
        <f aca="false">IF(AND(Y213=1,W213&lt;1),IF(AND(C214=C213,W214=W213+1),IF(Y214=1,"",INDEX(DATAS,W213+1)),INDEX(DATAS,W213+1)),"")</f>
        <v/>
      </c>
    </row>
    <row r="214" customFormat="false" ht="15" hidden="false" customHeight="false" outlineLevel="0" collapsed="false">
      <c r="A214" s="33" t="n">
        <v>46309</v>
      </c>
      <c r="B214" s="0" t="n">
        <v>5</v>
      </c>
      <c r="C214" s="0" t="n">
        <v>3671</v>
      </c>
      <c r="D214" s="0" t="n">
        <v>126</v>
      </c>
      <c r="E214" s="0" t="n">
        <v>4</v>
      </c>
      <c r="F214" s="27" t="s">
        <v>326</v>
      </c>
      <c r="G214" s="0" t="n">
        <v>45.7</v>
      </c>
      <c r="H214" s="0" t="n">
        <v>45</v>
      </c>
      <c r="I214" s="27" t="s">
        <v>168</v>
      </c>
      <c r="J214" s="0" t="n">
        <v>126</v>
      </c>
      <c r="K214" s="0" t="n">
        <v>72</v>
      </c>
      <c r="M214" s="0" t="n">
        <v>313.39</v>
      </c>
      <c r="N214" s="0" t="n">
        <v>36.02</v>
      </c>
      <c r="O214" s="0" t="n">
        <v>30.07</v>
      </c>
      <c r="P214" s="0" t="n">
        <v>2.38</v>
      </c>
      <c r="Q214" s="0" t="n">
        <v>3.49</v>
      </c>
      <c r="R214" s="0" t="n">
        <v>4588</v>
      </c>
      <c r="S214" s="0" t="n">
        <v>9094</v>
      </c>
      <c r="T214" s="0" t="n">
        <v>51.65</v>
      </c>
      <c r="U214" s="0" t="n">
        <v>1832</v>
      </c>
      <c r="V214" s="0" t="n">
        <v>3</v>
      </c>
      <c r="W214" s="27" t="n">
        <f aca="false">MATCH(A214,DATAS,0)</f>
        <v>1</v>
      </c>
      <c r="X214" s="27" t="n">
        <f aca="false">IF(AND(E214&gt;0,OR(AND(B214&gt;=1,B214&lt;=6),B214=10)),1,0)</f>
        <v>1</v>
      </c>
      <c r="Y214" s="27" t="n">
        <f aca="false">IF(AND(E214&gt;0,B214=10),1,0)</f>
        <v>0</v>
      </c>
      <c r="Z214" s="0" t="str">
        <f aca="false">IF(AND(C213=C214,W213=W214-1),X213,"")</f>
        <v/>
      </c>
      <c r="AA214" s="0" t="str">
        <f aca="false">IF(AND(C213=C214,W213=W214-1),Y213,"")</f>
        <v/>
      </c>
      <c r="AB214" s="0" t="str">
        <f aca="false">IF(W214=1,"",IF(AND(X214=1,Z214&lt;&gt;1),1,0))</f>
        <v/>
      </c>
      <c r="AC214" s="0" t="str">
        <f aca="false">IF(W214=1,"",IF(AND(Y214=1,AA214&lt;&gt;1),1,0))</f>
        <v/>
      </c>
      <c r="AD214" s="33" t="str">
        <f aca="false">IF(AND(E214&gt;0,W214&lt;1,NOT(AND(C215=C214,W215=W214+1))),INDEX(DATAS,W214+1),"")</f>
        <v/>
      </c>
      <c r="AE214" s="33" t="str">
        <f aca="false">IF(AND(Y214=1,W214&lt;1),IF(AND(C215=C214,W215=W214+1),IF(Y215=1,"",INDEX(DATAS,W214+1)),INDEX(DATAS,W214+1)),"")</f>
        <v/>
      </c>
    </row>
    <row r="215" customFormat="false" ht="15" hidden="false" customHeight="false" outlineLevel="0" collapsed="false">
      <c r="A215" s="33" t="n">
        <v>46309</v>
      </c>
      <c r="B215" s="0" t="n">
        <v>5</v>
      </c>
      <c r="C215" s="0" t="n">
        <v>3672</v>
      </c>
      <c r="D215" s="0" t="n">
        <v>201</v>
      </c>
      <c r="E215" s="0" t="n">
        <v>3</v>
      </c>
      <c r="F215" s="27" t="s">
        <v>327</v>
      </c>
      <c r="G215" s="0" t="n">
        <v>44.5</v>
      </c>
      <c r="H215" s="0" t="n">
        <v>44</v>
      </c>
      <c r="I215" s="27" t="s">
        <v>138</v>
      </c>
      <c r="J215" s="0" t="n">
        <v>103</v>
      </c>
      <c r="K215" s="0" t="n">
        <v>68</v>
      </c>
      <c r="L215" s="0" t="n">
        <v>98</v>
      </c>
      <c r="M215" s="0" t="n">
        <v>416.11</v>
      </c>
      <c r="N215" s="0" t="n">
        <v>33.16</v>
      </c>
      <c r="O215" s="0" t="n">
        <v>20.48</v>
      </c>
      <c r="P215" s="0" t="n">
        <v>3.9</v>
      </c>
      <c r="Q215" s="0" t="n">
        <v>3.23</v>
      </c>
      <c r="R215" s="0" t="n">
        <v>5816</v>
      </c>
      <c r="S215" s="0" t="n">
        <v>11328</v>
      </c>
      <c r="T215" s="0" t="n">
        <v>58.1</v>
      </c>
      <c r="U215" s="0" t="n">
        <v>1829</v>
      </c>
      <c r="V215" s="0" t="n">
        <v>2</v>
      </c>
      <c r="W215" s="27" t="n">
        <f aca="false">MATCH(A215,DATAS,0)</f>
        <v>1</v>
      </c>
      <c r="X215" s="27" t="n">
        <f aca="false">IF(AND(E215&gt;0,OR(AND(B215&gt;=1,B215&lt;=6),B215=10)),1,0)</f>
        <v>1</v>
      </c>
      <c r="Y215" s="27" t="n">
        <f aca="false">IF(AND(E215&gt;0,B215=10),1,0)</f>
        <v>0</v>
      </c>
      <c r="Z215" s="0" t="str">
        <f aca="false">IF(AND(C214=C215,W214=W215-1),X214,"")</f>
        <v/>
      </c>
      <c r="AA215" s="0" t="str">
        <f aca="false">IF(AND(C214=C215,W214=W215-1),Y214,"")</f>
        <v/>
      </c>
      <c r="AB215" s="0" t="str">
        <f aca="false">IF(W215=1,"",IF(AND(X215=1,Z215&lt;&gt;1),1,0))</f>
        <v/>
      </c>
      <c r="AC215" s="0" t="str">
        <f aca="false">IF(W215=1,"",IF(AND(Y215=1,AA215&lt;&gt;1),1,0))</f>
        <v/>
      </c>
      <c r="AD215" s="33" t="str">
        <f aca="false">IF(AND(E215&gt;0,W215&lt;1,NOT(AND(C216=C215,W216=W215+1))),INDEX(DATAS,W215+1),"")</f>
        <v/>
      </c>
      <c r="AE215" s="33" t="str">
        <f aca="false">IF(AND(Y215=1,W215&lt;1),IF(AND(C216=C215,W216=W215+1),IF(Y216=1,"",INDEX(DATAS,W215+1)),INDEX(DATAS,W215+1)),"")</f>
        <v/>
      </c>
    </row>
    <row r="216" customFormat="false" ht="15" hidden="false" customHeight="false" outlineLevel="0" collapsed="false">
      <c r="A216" s="33" t="n">
        <v>46309</v>
      </c>
      <c r="B216" s="0" t="n">
        <v>3</v>
      </c>
      <c r="C216" s="0" t="n">
        <v>3674</v>
      </c>
      <c r="D216" s="0" t="n">
        <v>360</v>
      </c>
      <c r="E216" s="0" t="n">
        <v>3</v>
      </c>
      <c r="F216" s="27" t="s">
        <v>328</v>
      </c>
      <c r="G216" s="0" t="n">
        <v>49.3</v>
      </c>
      <c r="H216" s="0" t="n">
        <v>54</v>
      </c>
      <c r="I216" s="27" t="s">
        <v>138</v>
      </c>
      <c r="J216" s="0" t="n">
        <v>276</v>
      </c>
      <c r="K216" s="0" t="n">
        <v>67</v>
      </c>
      <c r="L216" s="0" t="n">
        <v>84</v>
      </c>
      <c r="M216" s="0" t="n">
        <v>878.8</v>
      </c>
      <c r="N216" s="0" t="n">
        <v>27.14</v>
      </c>
      <c r="O216" s="0" t="n">
        <v>36.75</v>
      </c>
      <c r="P216" s="0" t="n">
        <v>3.44</v>
      </c>
      <c r="Q216" s="0" t="n">
        <v>3.5</v>
      </c>
      <c r="R216" s="0" t="n">
        <v>7095</v>
      </c>
      <c r="S216" s="0" t="n">
        <v>13732</v>
      </c>
      <c r="T216" s="0" t="n">
        <v>80.95</v>
      </c>
      <c r="U216" s="0" t="n">
        <v>1826</v>
      </c>
      <c r="V216" s="0" t="n">
        <v>9</v>
      </c>
      <c r="W216" s="27" t="n">
        <f aca="false">MATCH(A216,DATAS,0)</f>
        <v>1</v>
      </c>
      <c r="X216" s="27" t="n">
        <f aca="false">IF(AND(E216&gt;0,OR(AND(B216&gt;=1,B216&lt;=6),B216=10)),1,0)</f>
        <v>1</v>
      </c>
      <c r="Y216" s="27" t="n">
        <f aca="false">IF(AND(E216&gt;0,B216=10),1,0)</f>
        <v>0</v>
      </c>
      <c r="Z216" s="0" t="str">
        <f aca="false">IF(AND(C215=C216,W215=W216-1),X215,"")</f>
        <v/>
      </c>
      <c r="AA216" s="0" t="str">
        <f aca="false">IF(AND(C215=C216,W215=W216-1),Y215,"")</f>
        <v/>
      </c>
      <c r="AB216" s="0" t="str">
        <f aca="false">IF(W216=1,"",IF(AND(X216=1,Z216&lt;&gt;1),1,0))</f>
        <v/>
      </c>
      <c r="AC216" s="0" t="str">
        <f aca="false">IF(W216=1,"",IF(AND(Y216=1,AA216&lt;&gt;1),1,0))</f>
        <v/>
      </c>
      <c r="AD216" s="33" t="str">
        <f aca="false">IF(AND(E216&gt;0,W216&lt;1,NOT(AND(C217=C216,W217=W216+1))),INDEX(DATAS,W216+1),"")</f>
        <v/>
      </c>
      <c r="AE216" s="33" t="str">
        <f aca="false">IF(AND(Y216=1,W216&lt;1),IF(AND(C217=C216,W217=W216+1),IF(Y217=1,"",INDEX(DATAS,W216+1)),INDEX(DATAS,W216+1)),"")</f>
        <v/>
      </c>
    </row>
    <row r="217" customFormat="false" ht="15" hidden="false" customHeight="false" outlineLevel="0" collapsed="false">
      <c r="A217" s="33" t="n">
        <v>46309</v>
      </c>
      <c r="B217" s="0" t="n">
        <v>2</v>
      </c>
      <c r="C217" s="0" t="n">
        <v>3675</v>
      </c>
      <c r="D217" s="0" t="n">
        <v>117</v>
      </c>
      <c r="E217" s="0" t="n">
        <v>3</v>
      </c>
      <c r="F217" s="27" t="s">
        <v>329</v>
      </c>
      <c r="G217" s="0" t="n">
        <v>45</v>
      </c>
      <c r="H217" s="0" t="n">
        <v>46</v>
      </c>
      <c r="I217" s="27" t="s">
        <v>168</v>
      </c>
      <c r="J217" s="0" t="n">
        <v>117</v>
      </c>
      <c r="K217" s="0" t="n">
        <v>68</v>
      </c>
      <c r="M217" s="0" t="n">
        <v>945.21</v>
      </c>
      <c r="N217" s="0" t="n">
        <v>21.05</v>
      </c>
      <c r="O217" s="0" t="n">
        <v>20.9</v>
      </c>
      <c r="P217" s="0" t="n">
        <v>4.99</v>
      </c>
      <c r="Q217" s="0" t="n">
        <v>3.5</v>
      </c>
      <c r="R217" s="0" t="n">
        <v>4383</v>
      </c>
      <c r="S217" s="0" t="n">
        <v>8896</v>
      </c>
      <c r="T217" s="0" t="n">
        <v>46.95</v>
      </c>
      <c r="U217" s="0" t="n">
        <v>1825</v>
      </c>
      <c r="V217" s="0" t="n">
        <v>2</v>
      </c>
      <c r="W217" s="27" t="n">
        <f aca="false">MATCH(A217,DATAS,0)</f>
        <v>1</v>
      </c>
      <c r="X217" s="27" t="n">
        <f aca="false">IF(AND(E217&gt;0,OR(AND(B217&gt;=1,B217&lt;=6),B217=10)),1,0)</f>
        <v>1</v>
      </c>
      <c r="Y217" s="27" t="n">
        <f aca="false">IF(AND(E217&gt;0,B217=10),1,0)</f>
        <v>0</v>
      </c>
      <c r="Z217" s="0" t="str">
        <f aca="false">IF(AND(C216=C217,W216=W217-1),X216,"")</f>
        <v/>
      </c>
      <c r="AA217" s="0" t="str">
        <f aca="false">IF(AND(C216=C217,W216=W217-1),Y216,"")</f>
        <v/>
      </c>
      <c r="AB217" s="0" t="str">
        <f aca="false">IF(W217=1,"",IF(AND(X217=1,Z217&lt;&gt;1),1,0))</f>
        <v/>
      </c>
      <c r="AC217" s="0" t="str">
        <f aca="false">IF(W217=1,"",IF(AND(Y217=1,AA217&lt;&gt;1),1,0))</f>
        <v/>
      </c>
      <c r="AD217" s="33" t="str">
        <f aca="false">IF(AND(E217&gt;0,W217&lt;1,NOT(AND(C218=C217,W218=W217+1))),INDEX(DATAS,W217+1),"")</f>
        <v/>
      </c>
      <c r="AE217" s="33" t="str">
        <f aca="false">IF(AND(Y217=1,W217&lt;1),IF(AND(C218=C217,W218=W217+1),IF(Y218=1,"",INDEX(DATAS,W217+1)),INDEX(DATAS,W217+1)),"")</f>
        <v/>
      </c>
    </row>
    <row r="218" customFormat="false" ht="15" hidden="false" customHeight="false" outlineLevel="0" collapsed="false">
      <c r="A218" s="33" t="n">
        <v>46309</v>
      </c>
      <c r="B218" s="0" t="n">
        <v>5</v>
      </c>
      <c r="C218" s="0" t="n">
        <v>3676</v>
      </c>
      <c r="D218" s="0" t="n">
        <v>100</v>
      </c>
      <c r="E218" s="0" t="n">
        <v>4</v>
      </c>
      <c r="F218" s="27" t="s">
        <v>329</v>
      </c>
      <c r="G218" s="0" t="n">
        <v>45.5</v>
      </c>
      <c r="H218" s="0" t="n">
        <v>44</v>
      </c>
      <c r="I218" s="27" t="s">
        <v>168</v>
      </c>
      <c r="J218" s="0" t="n">
        <v>100</v>
      </c>
      <c r="K218" s="0" t="n">
        <v>65</v>
      </c>
      <c r="M218" s="0" t="n">
        <v>633.67</v>
      </c>
      <c r="N218" s="0" t="n">
        <v>22.73</v>
      </c>
      <c r="O218" s="0" t="n">
        <v>16.42</v>
      </c>
      <c r="P218" s="0" t="n">
        <v>3.97</v>
      </c>
      <c r="Q218" s="0" t="n">
        <v>3.05</v>
      </c>
      <c r="R218" s="0" t="n">
        <v>3583</v>
      </c>
      <c r="S218" s="0" t="n">
        <v>7203</v>
      </c>
      <c r="T218" s="0" t="n">
        <v>40.75</v>
      </c>
      <c r="U218" s="0" t="n">
        <v>1825</v>
      </c>
      <c r="V218" s="0" t="n">
        <v>3</v>
      </c>
      <c r="W218" s="27" t="n">
        <f aca="false">MATCH(A218,DATAS,0)</f>
        <v>1</v>
      </c>
      <c r="X218" s="27" t="n">
        <f aca="false">IF(AND(E218&gt;0,OR(AND(B218&gt;=1,B218&lt;=6),B218=10)),1,0)</f>
        <v>1</v>
      </c>
      <c r="Y218" s="27" t="n">
        <f aca="false">IF(AND(E218&gt;0,B218=10),1,0)</f>
        <v>0</v>
      </c>
      <c r="Z218" s="0" t="str">
        <f aca="false">IF(AND(C217=C218,W217=W218-1),X217,"")</f>
        <v/>
      </c>
      <c r="AA218" s="0" t="str">
        <f aca="false">IF(AND(C217=C218,W217=W218-1),Y217,"")</f>
        <v/>
      </c>
      <c r="AB218" s="0" t="str">
        <f aca="false">IF(W218=1,"",IF(AND(X218=1,Z218&lt;&gt;1),1,0))</f>
        <v/>
      </c>
      <c r="AC218" s="0" t="str">
        <f aca="false">IF(W218=1,"",IF(AND(Y218=1,AA218&lt;&gt;1),1,0))</f>
        <v/>
      </c>
      <c r="AD218" s="33" t="str">
        <f aca="false">IF(AND(E218&gt;0,W218&lt;1,NOT(AND(C219=C218,W219=W218+1))),INDEX(DATAS,W218+1),"")</f>
        <v/>
      </c>
      <c r="AE218" s="33" t="str">
        <f aca="false">IF(AND(Y218=1,W218&lt;1),IF(AND(C219=C218,W219=W218+1),IF(Y219=1,"",INDEX(DATAS,W218+1)),INDEX(DATAS,W218+1)),"")</f>
        <v/>
      </c>
    </row>
    <row r="219" customFormat="false" ht="15" hidden="false" customHeight="false" outlineLevel="0" collapsed="false">
      <c r="A219" s="33" t="n">
        <v>46309</v>
      </c>
      <c r="B219" s="0" t="n">
        <v>5</v>
      </c>
      <c r="C219" s="0" t="n">
        <v>3677</v>
      </c>
      <c r="D219" s="0" t="n">
        <v>202</v>
      </c>
      <c r="E219" s="0" t="n">
        <v>3</v>
      </c>
      <c r="F219" s="27" t="s">
        <v>330</v>
      </c>
      <c r="G219" s="0" t="n">
        <v>34</v>
      </c>
      <c r="H219" s="0" t="n">
        <v>32</v>
      </c>
      <c r="I219" s="27" t="s">
        <v>138</v>
      </c>
      <c r="J219" s="0" t="n">
        <v>104</v>
      </c>
      <c r="K219" s="0" t="n">
        <v>69</v>
      </c>
      <c r="L219" s="0" t="n">
        <v>98</v>
      </c>
      <c r="M219" s="0" t="n">
        <v>-106.35</v>
      </c>
      <c r="N219" s="0" t="n">
        <v>22.74</v>
      </c>
      <c r="O219" s="0" t="n">
        <v>10.5</v>
      </c>
      <c r="P219" s="0" t="n">
        <v>4.37</v>
      </c>
      <c r="Q219" s="0" t="n">
        <v>3.86</v>
      </c>
      <c r="R219" s="0" t="n">
        <v>3669</v>
      </c>
      <c r="S219" s="0" t="n">
        <v>7300</v>
      </c>
      <c r="T219" s="0" t="n">
        <v>40.5</v>
      </c>
      <c r="U219" s="0" t="n">
        <v>1823</v>
      </c>
      <c r="V219" s="0" t="n">
        <v>2</v>
      </c>
      <c r="W219" s="27" t="n">
        <f aca="false">MATCH(A219,DATAS,0)</f>
        <v>1</v>
      </c>
      <c r="X219" s="27" t="n">
        <f aca="false">IF(AND(E219&gt;0,OR(AND(B219&gt;=1,B219&lt;=6),B219=10)),1,0)</f>
        <v>1</v>
      </c>
      <c r="Y219" s="27" t="n">
        <f aca="false">IF(AND(E219&gt;0,B219=10),1,0)</f>
        <v>0</v>
      </c>
      <c r="Z219" s="0" t="str">
        <f aca="false">IF(AND(C218=C219,W218=W219-1),X218,"")</f>
        <v/>
      </c>
      <c r="AA219" s="0" t="str">
        <f aca="false">IF(AND(C218=C219,W218=W219-1),Y218,"")</f>
        <v/>
      </c>
      <c r="AB219" s="0" t="str">
        <f aca="false">IF(W219=1,"",IF(AND(X219=1,Z219&lt;&gt;1),1,0))</f>
        <v/>
      </c>
      <c r="AC219" s="0" t="str">
        <f aca="false">IF(W219=1,"",IF(AND(Y219=1,AA219&lt;&gt;1),1,0))</f>
        <v/>
      </c>
      <c r="AD219" s="33" t="str">
        <f aca="false">IF(AND(E219&gt;0,W219&lt;1,NOT(AND(C220=C219,W220=W219+1))),INDEX(DATAS,W219+1),"")</f>
        <v/>
      </c>
      <c r="AE219" s="33" t="str">
        <f aca="false">IF(AND(Y219=1,W219&lt;1),IF(AND(C220=C219,W220=W219+1),IF(Y220=1,"",INDEX(DATAS,W219+1)),INDEX(DATAS,W219+1)),"")</f>
        <v/>
      </c>
    </row>
    <row r="220" customFormat="false" ht="15" hidden="false" customHeight="false" outlineLevel="0" collapsed="false">
      <c r="A220" s="33" t="n">
        <v>46309</v>
      </c>
      <c r="B220" s="0" t="n">
        <v>6</v>
      </c>
      <c r="C220" s="0" t="n">
        <v>3685</v>
      </c>
      <c r="D220" s="0" t="n">
        <v>229</v>
      </c>
      <c r="E220" s="0" t="n">
        <v>3</v>
      </c>
      <c r="F220" s="27" t="s">
        <v>331</v>
      </c>
      <c r="G220" s="0" t="n">
        <v>23.6</v>
      </c>
      <c r="H220" s="0" t="n">
        <v>20</v>
      </c>
      <c r="I220" s="27" t="s">
        <v>138</v>
      </c>
      <c r="J220" s="0" t="n">
        <v>138</v>
      </c>
      <c r="K220" s="0" t="n">
        <v>96</v>
      </c>
      <c r="L220" s="0" t="n">
        <v>91</v>
      </c>
      <c r="M220" s="0" t="n">
        <v>767.8</v>
      </c>
      <c r="N220" s="0" t="n">
        <v>50.14</v>
      </c>
      <c r="O220" s="0" t="n">
        <v>34.32</v>
      </c>
      <c r="P220" s="0" t="n">
        <v>5.11</v>
      </c>
      <c r="Q220" s="0" t="n">
        <v>3.76</v>
      </c>
      <c r="R220" s="0" t="n">
        <v>2574</v>
      </c>
      <c r="S220" s="0" t="n">
        <v>5097</v>
      </c>
      <c r="T220" s="0" t="n">
        <v>26.35</v>
      </c>
      <c r="U220" s="0" t="n">
        <v>1818</v>
      </c>
      <c r="V220" s="0" t="n">
        <v>2</v>
      </c>
      <c r="W220" s="27" t="n">
        <f aca="false">MATCH(A220,DATAS,0)</f>
        <v>1</v>
      </c>
      <c r="X220" s="27" t="n">
        <f aca="false">IF(AND(E220&gt;0,OR(AND(B220&gt;=1,B220&lt;=6),B220=10)),1,0)</f>
        <v>1</v>
      </c>
      <c r="Y220" s="27" t="n">
        <f aca="false">IF(AND(E220&gt;0,B220=10),1,0)</f>
        <v>0</v>
      </c>
      <c r="Z220" s="0" t="str">
        <f aca="false">IF(AND(C219=C220,W219=W220-1),X219,"")</f>
        <v/>
      </c>
      <c r="AA220" s="0" t="str">
        <f aca="false">IF(AND(C219=C220,W219=W220-1),Y219,"")</f>
        <v/>
      </c>
      <c r="AB220" s="0" t="str">
        <f aca="false">IF(W220=1,"",IF(AND(X220=1,Z220&lt;&gt;1),1,0))</f>
        <v/>
      </c>
      <c r="AC220" s="0" t="str">
        <f aca="false">IF(W220=1,"",IF(AND(Y220=1,AA220&lt;&gt;1),1,0))</f>
        <v/>
      </c>
      <c r="AD220" s="33" t="str">
        <f aca="false">IF(AND(E220&gt;0,W220&lt;1,NOT(AND(C221=C220,W221=W220+1))),INDEX(DATAS,W220+1),"")</f>
        <v/>
      </c>
      <c r="AE220" s="33" t="str">
        <f aca="false">IF(AND(Y220=1,W220&lt;1),IF(AND(C221=C220,W221=W220+1),IF(Y221=1,"",INDEX(DATAS,W220+1)),INDEX(DATAS,W220+1)),"")</f>
        <v/>
      </c>
    </row>
    <row r="221" customFormat="false" ht="15" hidden="false" customHeight="false" outlineLevel="0" collapsed="false">
      <c r="A221" s="33" t="n">
        <v>46309</v>
      </c>
      <c r="B221" s="0" t="n">
        <v>5</v>
      </c>
      <c r="C221" s="0" t="n">
        <v>3688</v>
      </c>
      <c r="D221" s="0" t="n">
        <v>203</v>
      </c>
      <c r="E221" s="0" t="n">
        <v>3</v>
      </c>
      <c r="F221" s="27" t="s">
        <v>331</v>
      </c>
      <c r="G221" s="0" t="n">
        <v>35.5</v>
      </c>
      <c r="H221" s="0" t="n">
        <v>31</v>
      </c>
      <c r="I221" s="27" t="s">
        <v>176</v>
      </c>
      <c r="J221" s="0" t="n">
        <v>203</v>
      </c>
      <c r="K221" s="0" t="n">
        <v>70</v>
      </c>
      <c r="M221" s="0" t="n">
        <v>-43.09</v>
      </c>
      <c r="N221" s="0" t="n">
        <v>19.56</v>
      </c>
      <c r="O221" s="0" t="n">
        <v>8.8</v>
      </c>
      <c r="P221" s="0" t="n">
        <v>5.96</v>
      </c>
      <c r="Q221" s="0" t="n">
        <v>3.85</v>
      </c>
      <c r="R221" s="0" t="n">
        <v>4993</v>
      </c>
      <c r="S221" s="0" t="n">
        <v>9257</v>
      </c>
      <c r="T221" s="0" t="n">
        <v>59.35</v>
      </c>
      <c r="U221" s="0" t="n">
        <v>1818</v>
      </c>
      <c r="V221" s="0" t="n">
        <v>3</v>
      </c>
      <c r="W221" s="27" t="n">
        <f aca="false">MATCH(A221,DATAS,0)</f>
        <v>1</v>
      </c>
      <c r="X221" s="27" t="n">
        <f aca="false">IF(AND(E221&gt;0,OR(AND(B221&gt;=1,B221&lt;=6),B221=10)),1,0)</f>
        <v>1</v>
      </c>
      <c r="Y221" s="27" t="n">
        <f aca="false">IF(AND(E221&gt;0,B221=10),1,0)</f>
        <v>0</v>
      </c>
      <c r="Z221" s="0" t="str">
        <f aca="false">IF(AND(C220=C221,W220=W221-1),X220,"")</f>
        <v/>
      </c>
      <c r="AA221" s="0" t="str">
        <f aca="false">IF(AND(C220=C221,W220=W221-1),Y220,"")</f>
        <v/>
      </c>
      <c r="AB221" s="0" t="str">
        <f aca="false">IF(W221=1,"",IF(AND(X221=1,Z221&lt;&gt;1),1,0))</f>
        <v/>
      </c>
      <c r="AC221" s="0" t="str">
        <f aca="false">IF(W221=1,"",IF(AND(Y221=1,AA221&lt;&gt;1),1,0))</f>
        <v/>
      </c>
      <c r="AD221" s="33" t="str">
        <f aca="false">IF(AND(E221&gt;0,W221&lt;1,NOT(AND(C222=C221,W222=W221+1))),INDEX(DATAS,W221+1),"")</f>
        <v/>
      </c>
      <c r="AE221" s="33" t="str">
        <f aca="false">IF(AND(Y221=1,W221&lt;1),IF(AND(C222=C221,W222=W221+1),IF(Y222=1,"",INDEX(DATAS,W221+1)),INDEX(DATAS,W221+1)),"")</f>
        <v/>
      </c>
    </row>
    <row r="222" customFormat="false" ht="15" hidden="false" customHeight="false" outlineLevel="0" collapsed="false">
      <c r="A222" s="33" t="n">
        <v>46309</v>
      </c>
      <c r="B222" s="0" t="n">
        <v>5</v>
      </c>
      <c r="C222" s="0" t="n">
        <v>3691</v>
      </c>
      <c r="D222" s="0" t="n">
        <v>145</v>
      </c>
      <c r="E222" s="0" t="n">
        <v>4</v>
      </c>
      <c r="F222" s="27" t="s">
        <v>332</v>
      </c>
      <c r="G222" s="0" t="n">
        <v>27.3</v>
      </c>
      <c r="H222" s="0" t="n">
        <v>28</v>
      </c>
      <c r="I222" s="27" t="s">
        <v>168</v>
      </c>
      <c r="J222" s="0" t="n">
        <v>145</v>
      </c>
      <c r="K222" s="0" t="n">
        <v>68</v>
      </c>
      <c r="M222" s="0" t="n">
        <v>324.23</v>
      </c>
      <c r="N222" s="0" t="n">
        <v>58.57</v>
      </c>
      <c r="O222" s="0" t="n">
        <v>18.24</v>
      </c>
      <c r="P222" s="0" t="n">
        <v>4.58</v>
      </c>
      <c r="Q222" s="0" t="n">
        <v>3.83</v>
      </c>
      <c r="R222" s="0" t="n">
        <v>2835</v>
      </c>
      <c r="S222" s="0" t="n">
        <v>5825</v>
      </c>
      <c r="T222" s="0" t="n">
        <v>31.35</v>
      </c>
      <c r="U222" s="0" t="n">
        <v>1815</v>
      </c>
      <c r="V222" s="0" t="n">
        <v>2</v>
      </c>
      <c r="W222" s="27" t="n">
        <f aca="false">MATCH(A222,DATAS,0)</f>
        <v>1</v>
      </c>
      <c r="X222" s="27" t="n">
        <f aca="false">IF(AND(E222&gt;0,OR(AND(B222&gt;=1,B222&lt;=6),B222=10)),1,0)</f>
        <v>1</v>
      </c>
      <c r="Y222" s="27" t="n">
        <f aca="false">IF(AND(E222&gt;0,B222=10),1,0)</f>
        <v>0</v>
      </c>
      <c r="Z222" s="0" t="str">
        <f aca="false">IF(AND(C221=C222,W221=W222-1),X221,"")</f>
        <v/>
      </c>
      <c r="AA222" s="0" t="str">
        <f aca="false">IF(AND(C221=C222,W221=W222-1),Y221,"")</f>
        <v/>
      </c>
      <c r="AB222" s="0" t="str">
        <f aca="false">IF(W222=1,"",IF(AND(X222=1,Z222&lt;&gt;1),1,0))</f>
        <v/>
      </c>
      <c r="AC222" s="0" t="str">
        <f aca="false">IF(W222=1,"",IF(AND(Y222=1,AA222&lt;&gt;1),1,0))</f>
        <v/>
      </c>
      <c r="AD222" s="33" t="str">
        <f aca="false">IF(AND(E222&gt;0,W222&lt;1,NOT(AND(C223=C222,W223=W222+1))),INDEX(DATAS,W222+1),"")</f>
        <v/>
      </c>
      <c r="AE222" s="33" t="str">
        <f aca="false">IF(AND(Y222=1,W222&lt;1),IF(AND(C223=C222,W223=W222+1),IF(Y223=1,"",INDEX(DATAS,W222+1)),INDEX(DATAS,W222+1)),"")</f>
        <v/>
      </c>
    </row>
    <row r="223" customFormat="false" ht="15" hidden="false" customHeight="false" outlineLevel="0" collapsed="false">
      <c r="A223" s="33" t="n">
        <v>46309</v>
      </c>
      <c r="B223" s="0" t="n">
        <v>9</v>
      </c>
      <c r="C223" s="0" t="n">
        <v>3693</v>
      </c>
      <c r="D223" s="0" t="n">
        <v>286</v>
      </c>
      <c r="E223" s="0" t="n">
        <v>3</v>
      </c>
      <c r="F223" s="27" t="s">
        <v>333</v>
      </c>
      <c r="I223" s="27" t="s">
        <v>143</v>
      </c>
      <c r="J223" s="0" t="n">
        <v>63</v>
      </c>
      <c r="K223" s="0" t="n">
        <v>63</v>
      </c>
      <c r="L223" s="0" t="n">
        <v>266</v>
      </c>
      <c r="M223" s="0" t="n">
        <v>865.38</v>
      </c>
      <c r="N223" s="0" t="n">
        <v>54.27</v>
      </c>
      <c r="O223" s="0" t="n">
        <v>36.74</v>
      </c>
      <c r="P223" s="0" t="n">
        <v>4.98</v>
      </c>
      <c r="Q223" s="0" t="n">
        <v>3.39</v>
      </c>
      <c r="R223" s="0" t="n">
        <v>5712</v>
      </c>
      <c r="S223" s="0" t="n">
        <v>11761</v>
      </c>
      <c r="T223" s="0" t="n">
        <v>59.45</v>
      </c>
      <c r="U223" s="0" t="n">
        <v>1813</v>
      </c>
      <c r="V223" s="0" t="n">
        <v>1</v>
      </c>
      <c r="W223" s="27" t="n">
        <f aca="false">MATCH(A223,DATAS,0)</f>
        <v>1</v>
      </c>
      <c r="X223" s="27" t="n">
        <f aca="false">IF(AND(E223&gt;0,OR(AND(B223&gt;=1,B223&lt;=6),B223=10)),1,0)</f>
        <v>0</v>
      </c>
      <c r="Y223" s="27" t="n">
        <f aca="false">IF(AND(E223&gt;0,B223=10),1,0)</f>
        <v>0</v>
      </c>
      <c r="Z223" s="0" t="str">
        <f aca="false">IF(AND(C222=C223,W222=W223-1),X222,"")</f>
        <v/>
      </c>
      <c r="AA223" s="0" t="str">
        <f aca="false">IF(AND(C222=C223,W222=W223-1),Y222,"")</f>
        <v/>
      </c>
      <c r="AB223" s="0" t="str">
        <f aca="false">IF(W223=1,"",IF(AND(X223=1,Z223&lt;&gt;1),1,0))</f>
        <v/>
      </c>
      <c r="AC223" s="0" t="str">
        <f aca="false">IF(W223=1,"",IF(AND(Y223=1,AA223&lt;&gt;1),1,0))</f>
        <v/>
      </c>
      <c r="AD223" s="33" t="str">
        <f aca="false">IF(AND(E223&gt;0,W223&lt;1,NOT(AND(C224=C223,W224=W223+1))),INDEX(DATAS,W223+1),"")</f>
        <v/>
      </c>
      <c r="AE223" s="33" t="str">
        <f aca="false">IF(AND(Y223=1,W223&lt;1),IF(AND(C224=C223,W224=W223+1),IF(Y224=1,"",INDEX(DATAS,W223+1)),INDEX(DATAS,W223+1)),"")</f>
        <v/>
      </c>
    </row>
    <row r="224" customFormat="false" ht="15" hidden="false" customHeight="false" outlineLevel="0" collapsed="false">
      <c r="A224" s="33" t="n">
        <v>46309</v>
      </c>
      <c r="B224" s="0" t="n">
        <v>5</v>
      </c>
      <c r="C224" s="0" t="n">
        <v>3696</v>
      </c>
      <c r="D224" s="0" t="n">
        <v>207</v>
      </c>
      <c r="E224" s="0" t="n">
        <v>3</v>
      </c>
      <c r="F224" s="27" t="s">
        <v>334</v>
      </c>
      <c r="G224" s="0" t="n">
        <v>32.2</v>
      </c>
      <c r="H224" s="0" t="n">
        <v>31</v>
      </c>
      <c r="I224" s="27" t="s">
        <v>138</v>
      </c>
      <c r="J224" s="0" t="n">
        <v>91</v>
      </c>
      <c r="K224" s="0" t="n">
        <v>74</v>
      </c>
      <c r="L224" s="0" t="n">
        <v>116</v>
      </c>
      <c r="M224" s="0" t="n">
        <v>143.38</v>
      </c>
      <c r="N224" s="0" t="n">
        <v>5.7</v>
      </c>
      <c r="O224" s="0" t="n">
        <v>3.47</v>
      </c>
      <c r="P224" s="0" t="n">
        <v>4.24</v>
      </c>
      <c r="Q224" s="0" t="n">
        <v>3.66</v>
      </c>
      <c r="R224" s="0" t="n">
        <v>3193</v>
      </c>
      <c r="S224" s="0" t="n">
        <v>7050</v>
      </c>
      <c r="T224" s="0" t="n">
        <v>41.3</v>
      </c>
      <c r="U224" s="0" t="n">
        <v>1811</v>
      </c>
      <c r="V224" s="0" t="n">
        <v>2</v>
      </c>
      <c r="W224" s="27" t="n">
        <f aca="false">MATCH(A224,DATAS,0)</f>
        <v>1</v>
      </c>
      <c r="X224" s="27" t="n">
        <f aca="false">IF(AND(E224&gt;0,OR(AND(B224&gt;=1,B224&lt;=6),B224=10)),1,0)</f>
        <v>1</v>
      </c>
      <c r="Y224" s="27" t="n">
        <f aca="false">IF(AND(E224&gt;0,B224=10),1,0)</f>
        <v>0</v>
      </c>
      <c r="Z224" s="0" t="str">
        <f aca="false">IF(AND(C223=C224,W223=W224-1),X223,"")</f>
        <v/>
      </c>
      <c r="AA224" s="0" t="str">
        <f aca="false">IF(AND(C223=C224,W223=W224-1),Y223,"")</f>
        <v/>
      </c>
      <c r="AB224" s="0" t="str">
        <f aca="false">IF(W224=1,"",IF(AND(X224=1,Z224&lt;&gt;1),1,0))</f>
        <v/>
      </c>
      <c r="AC224" s="0" t="str">
        <f aca="false">IF(W224=1,"",IF(AND(Y224=1,AA224&lt;&gt;1),1,0))</f>
        <v/>
      </c>
      <c r="AD224" s="33" t="str">
        <f aca="false">IF(AND(E224&gt;0,W224&lt;1,NOT(AND(C225=C224,W225=W224+1))),INDEX(DATAS,W224+1),"")</f>
        <v/>
      </c>
      <c r="AE224" s="33" t="str">
        <f aca="false">IF(AND(Y224=1,W224&lt;1),IF(AND(C225=C224,W225=W224+1),IF(Y225=1,"",INDEX(DATAS,W224+1)),INDEX(DATAS,W224+1)),"")</f>
        <v/>
      </c>
    </row>
    <row r="225" customFormat="false" ht="15" hidden="false" customHeight="false" outlineLevel="0" collapsed="false">
      <c r="A225" s="33" t="n">
        <v>46309</v>
      </c>
      <c r="B225" s="0" t="n">
        <v>5</v>
      </c>
      <c r="C225" s="0" t="n">
        <v>3697</v>
      </c>
      <c r="D225" s="0" t="n">
        <v>318</v>
      </c>
      <c r="E225" s="0" t="n">
        <v>3</v>
      </c>
      <c r="F225" s="27" t="s">
        <v>334</v>
      </c>
      <c r="G225" s="0" t="n">
        <v>46.3</v>
      </c>
      <c r="H225" s="0" t="n">
        <v>49</v>
      </c>
      <c r="I225" s="27" t="s">
        <v>138</v>
      </c>
      <c r="J225" s="0" t="n">
        <v>220</v>
      </c>
      <c r="K225" s="0" t="n">
        <v>66</v>
      </c>
      <c r="L225" s="0" t="n">
        <v>98</v>
      </c>
      <c r="M225" s="0" t="n">
        <v>540.29</v>
      </c>
      <c r="N225" s="0" t="n">
        <v>50.89</v>
      </c>
      <c r="O225" s="0" t="n">
        <v>22.38</v>
      </c>
      <c r="P225" s="0" t="n">
        <v>4.7</v>
      </c>
      <c r="Q225" s="0" t="n">
        <v>3.99</v>
      </c>
      <c r="R225" s="0" t="n">
        <v>6085</v>
      </c>
      <c r="S225" s="0" t="n">
        <v>12268</v>
      </c>
      <c r="T225" s="0" t="n">
        <v>59.65</v>
      </c>
      <c r="U225" s="0" t="n">
        <v>1811</v>
      </c>
      <c r="V225" s="0" t="n">
        <v>6</v>
      </c>
      <c r="W225" s="27" t="n">
        <f aca="false">MATCH(A225,DATAS,0)</f>
        <v>1</v>
      </c>
      <c r="X225" s="27" t="n">
        <f aca="false">IF(AND(E225&gt;0,OR(AND(B225&gt;=1,B225&lt;=6),B225=10)),1,0)</f>
        <v>1</v>
      </c>
      <c r="Y225" s="27" t="n">
        <f aca="false">IF(AND(E225&gt;0,B225=10),1,0)</f>
        <v>0</v>
      </c>
      <c r="Z225" s="0" t="str">
        <f aca="false">IF(AND(C224=C225,W224=W225-1),X224,"")</f>
        <v/>
      </c>
      <c r="AA225" s="0" t="str">
        <f aca="false">IF(AND(C224=C225,W224=W225-1),Y224,"")</f>
        <v/>
      </c>
      <c r="AB225" s="0" t="str">
        <f aca="false">IF(W225=1,"",IF(AND(X225=1,Z225&lt;&gt;1),1,0))</f>
        <v/>
      </c>
      <c r="AC225" s="0" t="str">
        <f aca="false">IF(W225=1,"",IF(AND(Y225=1,AA225&lt;&gt;1),1,0))</f>
        <v/>
      </c>
      <c r="AD225" s="33" t="str">
        <f aca="false">IF(AND(E225&gt;0,W225&lt;1,NOT(AND(C226=C225,W226=W225+1))),INDEX(DATAS,W225+1),"")</f>
        <v/>
      </c>
      <c r="AE225" s="33" t="str">
        <f aca="false">IF(AND(Y225=1,W225&lt;1),IF(AND(C226=C225,W226=W225+1),IF(Y226=1,"",INDEX(DATAS,W225+1)),INDEX(DATAS,W225+1)),"")</f>
        <v/>
      </c>
    </row>
    <row r="226" customFormat="false" ht="15" hidden="false" customHeight="false" outlineLevel="0" collapsed="false">
      <c r="A226" s="33" t="n">
        <v>46309</v>
      </c>
      <c r="B226" s="0" t="n">
        <v>2</v>
      </c>
      <c r="C226" s="0" t="n">
        <v>3698</v>
      </c>
      <c r="D226" s="0" t="n">
        <v>127</v>
      </c>
      <c r="E226" s="0" t="n">
        <v>3</v>
      </c>
      <c r="F226" s="27" t="s">
        <v>335</v>
      </c>
      <c r="G226" s="0" t="n">
        <v>57.5</v>
      </c>
      <c r="H226" s="0" t="n">
        <v>59</v>
      </c>
      <c r="I226" s="27" t="s">
        <v>168</v>
      </c>
      <c r="J226" s="0" t="n">
        <v>127</v>
      </c>
      <c r="K226" s="0" t="n">
        <v>64</v>
      </c>
      <c r="M226" s="0" t="n">
        <v>550.15</v>
      </c>
      <c r="N226" s="0" t="n">
        <v>11.86</v>
      </c>
      <c r="O226" s="0" t="n">
        <v>20.13</v>
      </c>
      <c r="P226" s="0" t="n">
        <v>3.58</v>
      </c>
      <c r="Q226" s="0" t="n">
        <v>3.27</v>
      </c>
      <c r="R226" s="0" t="n">
        <v>5707</v>
      </c>
      <c r="S226" s="0" t="n">
        <v>11691</v>
      </c>
      <c r="T226" s="0" t="n">
        <v>63</v>
      </c>
      <c r="U226" s="0" t="n">
        <v>1809</v>
      </c>
      <c r="V226" s="0" t="n">
        <v>3</v>
      </c>
      <c r="W226" s="27" t="n">
        <f aca="false">MATCH(A226,DATAS,0)</f>
        <v>1</v>
      </c>
      <c r="X226" s="27" t="n">
        <f aca="false">IF(AND(E226&gt;0,OR(AND(B226&gt;=1,B226&lt;=6),B226=10)),1,0)</f>
        <v>1</v>
      </c>
      <c r="Y226" s="27" t="n">
        <f aca="false">IF(AND(E226&gt;0,B226=10),1,0)</f>
        <v>0</v>
      </c>
      <c r="Z226" s="0" t="str">
        <f aca="false">IF(AND(C225=C226,W225=W226-1),X225,"")</f>
        <v/>
      </c>
      <c r="AA226" s="0" t="str">
        <f aca="false">IF(AND(C225=C226,W225=W226-1),Y225,"")</f>
        <v/>
      </c>
      <c r="AB226" s="0" t="str">
        <f aca="false">IF(W226=1,"",IF(AND(X226=1,Z226&lt;&gt;1),1,0))</f>
        <v/>
      </c>
      <c r="AC226" s="0" t="str">
        <f aca="false">IF(W226=1,"",IF(AND(Y226=1,AA226&lt;&gt;1),1,0))</f>
        <v/>
      </c>
      <c r="AD226" s="33" t="str">
        <f aca="false">IF(AND(E226&gt;0,W226&lt;1,NOT(AND(C227=C226,W227=W226+1))),INDEX(DATAS,W226+1),"")</f>
        <v/>
      </c>
      <c r="AE226" s="33" t="str">
        <f aca="false">IF(AND(Y226=1,W226&lt;1),IF(AND(C227=C226,W227=W226+1),IF(Y227=1,"",INDEX(DATAS,W226+1)),INDEX(DATAS,W226+1)),"")</f>
        <v/>
      </c>
    </row>
    <row r="227" customFormat="false" ht="15" hidden="false" customHeight="false" outlineLevel="0" collapsed="false">
      <c r="A227" s="33" t="n">
        <v>46309</v>
      </c>
      <c r="B227" s="0" t="n">
        <v>7</v>
      </c>
      <c r="C227" s="0" t="n">
        <v>3700</v>
      </c>
      <c r="D227" s="0" t="n">
        <v>210</v>
      </c>
      <c r="E227" s="0" t="n">
        <v>3</v>
      </c>
      <c r="F227" s="27" t="s">
        <v>335</v>
      </c>
      <c r="G227" s="0" t="n">
        <v>5.3</v>
      </c>
      <c r="H227" s="0" t="n">
        <v>15</v>
      </c>
      <c r="I227" s="27" t="s">
        <v>143</v>
      </c>
      <c r="J227" s="0" t="n">
        <v>64</v>
      </c>
      <c r="K227" s="0" t="n">
        <v>64</v>
      </c>
      <c r="L227" s="0" t="n">
        <v>147</v>
      </c>
      <c r="M227" s="0" t="n">
        <v>269.01</v>
      </c>
      <c r="N227" s="0" t="n">
        <v>58.24</v>
      </c>
      <c r="O227" s="0" t="n">
        <v>28.33</v>
      </c>
      <c r="P227" s="0" t="n">
        <v>5.19</v>
      </c>
      <c r="Q227" s="0" t="n">
        <v>3.26</v>
      </c>
      <c r="R227" s="0" t="n">
        <v>2998</v>
      </c>
      <c r="S227" s="0" t="n">
        <v>6679</v>
      </c>
      <c r="T227" s="0" t="n">
        <v>36.6</v>
      </c>
      <c r="U227" s="0" t="n">
        <v>1809</v>
      </c>
      <c r="V227" s="0" t="n">
        <v>1</v>
      </c>
      <c r="W227" s="27" t="n">
        <f aca="false">MATCH(A227,DATAS,0)</f>
        <v>1</v>
      </c>
      <c r="X227" s="27" t="n">
        <f aca="false">IF(AND(E227&gt;0,OR(AND(B227&gt;=1,B227&lt;=6),B227=10)),1,0)</f>
        <v>0</v>
      </c>
      <c r="Y227" s="27" t="n">
        <f aca="false">IF(AND(E227&gt;0,B227=10),1,0)</f>
        <v>0</v>
      </c>
      <c r="Z227" s="0" t="str">
        <f aca="false">IF(AND(C226=C227,W226=W227-1),X226,"")</f>
        <v/>
      </c>
      <c r="AA227" s="0" t="str">
        <f aca="false">IF(AND(C226=C227,W226=W227-1),Y226,"")</f>
        <v/>
      </c>
      <c r="AB227" s="0" t="str">
        <f aca="false">IF(W227=1,"",IF(AND(X227=1,Z227&lt;&gt;1),1,0))</f>
        <v/>
      </c>
      <c r="AC227" s="0" t="str">
        <f aca="false">IF(W227=1,"",IF(AND(Y227=1,AA227&lt;&gt;1),1,0))</f>
        <v/>
      </c>
      <c r="AD227" s="33" t="str">
        <f aca="false">IF(AND(E227&gt;0,W227&lt;1,NOT(AND(C228=C227,W228=W227+1))),INDEX(DATAS,W227+1),"")</f>
        <v/>
      </c>
      <c r="AE227" s="33" t="str">
        <f aca="false">IF(AND(Y227=1,W227&lt;1),IF(AND(C228=C227,W228=W227+1),IF(Y228=1,"",INDEX(DATAS,W227+1)),INDEX(DATAS,W227+1)),"")</f>
        <v/>
      </c>
    </row>
    <row r="228" customFormat="false" ht="15" hidden="false" customHeight="false" outlineLevel="0" collapsed="false">
      <c r="A228" s="33" t="n">
        <v>46309</v>
      </c>
      <c r="B228" s="0" t="n">
        <v>6</v>
      </c>
      <c r="C228" s="0" t="n">
        <v>3701</v>
      </c>
      <c r="D228" s="0" t="n">
        <v>312</v>
      </c>
      <c r="E228" s="0" t="n">
        <v>3</v>
      </c>
      <c r="F228" s="27" t="s">
        <v>336</v>
      </c>
      <c r="H228" s="0" t="n">
        <v>18</v>
      </c>
      <c r="I228" s="27" t="s">
        <v>138</v>
      </c>
      <c r="J228" s="0" t="n">
        <v>221</v>
      </c>
      <c r="K228" s="0" t="n">
        <v>68</v>
      </c>
      <c r="L228" s="0" t="n">
        <v>91</v>
      </c>
      <c r="M228" s="0" t="n">
        <v>492.14</v>
      </c>
      <c r="N228" s="0" t="n">
        <v>50.94</v>
      </c>
      <c r="O228" s="0" t="n">
        <v>25.38</v>
      </c>
      <c r="P228" s="0" t="n">
        <v>5</v>
      </c>
      <c r="Q228" s="0" t="n">
        <v>4.26</v>
      </c>
      <c r="R228" s="0" t="n">
        <v>5426</v>
      </c>
      <c r="S228" s="0" t="n">
        <v>10417</v>
      </c>
      <c r="T228" s="0" t="n">
        <v>57.7</v>
      </c>
      <c r="U228" s="0" t="n">
        <v>1808</v>
      </c>
      <c r="V228" s="0" t="n">
        <v>2</v>
      </c>
      <c r="W228" s="27" t="n">
        <f aca="false">MATCH(A228,DATAS,0)</f>
        <v>1</v>
      </c>
      <c r="X228" s="27" t="n">
        <f aca="false">IF(AND(E228&gt;0,OR(AND(B228&gt;=1,B228&lt;=6),B228=10)),1,0)</f>
        <v>1</v>
      </c>
      <c r="Y228" s="27" t="n">
        <f aca="false">IF(AND(E228&gt;0,B228=10),1,0)</f>
        <v>0</v>
      </c>
      <c r="Z228" s="0" t="str">
        <f aca="false">IF(AND(C227=C228,W227=W228-1),X227,"")</f>
        <v/>
      </c>
      <c r="AA228" s="0" t="str">
        <f aca="false">IF(AND(C227=C228,W227=W228-1),Y227,"")</f>
        <v/>
      </c>
      <c r="AB228" s="0" t="str">
        <f aca="false">IF(W228=1,"",IF(AND(X228=1,Z228&lt;&gt;1),1,0))</f>
        <v/>
      </c>
      <c r="AC228" s="0" t="str">
        <f aca="false">IF(W228=1,"",IF(AND(Y228=1,AA228&lt;&gt;1),1,0))</f>
        <v/>
      </c>
      <c r="AD228" s="33" t="str">
        <f aca="false">IF(AND(E228&gt;0,W228&lt;1,NOT(AND(C229=C228,W229=W228+1))),INDEX(DATAS,W228+1),"")</f>
        <v/>
      </c>
      <c r="AE228" s="33" t="str">
        <f aca="false">IF(AND(Y228=1,W228&lt;1),IF(AND(C229=C228,W229=W228+1),IF(Y229=1,"",INDEX(DATAS,W228+1)),INDEX(DATAS,W228+1)),"")</f>
        <v/>
      </c>
    </row>
    <row r="229" customFormat="false" ht="15" hidden="false" customHeight="false" outlineLevel="0" collapsed="false">
      <c r="A229" s="33" t="n">
        <v>46309</v>
      </c>
      <c r="B229" s="0" t="n">
        <v>2</v>
      </c>
      <c r="C229" s="0" t="n">
        <v>3703</v>
      </c>
      <c r="D229" s="0" t="n">
        <v>130</v>
      </c>
      <c r="E229" s="0" t="n">
        <v>4</v>
      </c>
      <c r="F229" s="27" t="s">
        <v>337</v>
      </c>
      <c r="G229" s="0" t="n">
        <v>45.8</v>
      </c>
      <c r="H229" s="0" t="n">
        <v>60</v>
      </c>
      <c r="I229" s="27" t="s">
        <v>168</v>
      </c>
      <c r="J229" s="0" t="n">
        <v>130</v>
      </c>
      <c r="K229" s="0" t="n">
        <v>67</v>
      </c>
      <c r="M229" s="0" t="n">
        <v>355.39</v>
      </c>
      <c r="N229" s="0" t="n">
        <v>40.13</v>
      </c>
      <c r="O229" s="0" t="n">
        <v>16.68</v>
      </c>
      <c r="P229" s="0" t="n">
        <v>3.61</v>
      </c>
      <c r="Q229" s="0" t="n">
        <v>2.88</v>
      </c>
      <c r="R229" s="0" t="n">
        <v>5572</v>
      </c>
      <c r="S229" s="0" t="n">
        <v>11610</v>
      </c>
      <c r="T229" s="0" t="n">
        <v>61.25</v>
      </c>
      <c r="U229" s="0" t="n">
        <v>1807</v>
      </c>
      <c r="V229" s="0" t="n">
        <v>3</v>
      </c>
      <c r="W229" s="27" t="n">
        <f aca="false">MATCH(A229,DATAS,0)</f>
        <v>1</v>
      </c>
      <c r="X229" s="27" t="n">
        <f aca="false">IF(AND(E229&gt;0,OR(AND(B229&gt;=1,B229&lt;=6),B229=10)),1,0)</f>
        <v>1</v>
      </c>
      <c r="Y229" s="27" t="n">
        <f aca="false">IF(AND(E229&gt;0,B229=10),1,0)</f>
        <v>0</v>
      </c>
      <c r="Z229" s="0" t="str">
        <f aca="false">IF(AND(C228=C229,W228=W229-1),X228,"")</f>
        <v/>
      </c>
      <c r="AA229" s="0" t="str">
        <f aca="false">IF(AND(C228=C229,W228=W229-1),Y228,"")</f>
        <v/>
      </c>
      <c r="AB229" s="0" t="str">
        <f aca="false">IF(W229=1,"",IF(AND(X229=1,Z229&lt;&gt;1),1,0))</f>
        <v/>
      </c>
      <c r="AC229" s="0" t="str">
        <f aca="false">IF(W229=1,"",IF(AND(Y229=1,AA229&lt;&gt;1),1,0))</f>
        <v/>
      </c>
      <c r="AD229" s="33" t="str">
        <f aca="false">IF(AND(E229&gt;0,W229&lt;1,NOT(AND(C230=C229,W230=W229+1))),INDEX(DATAS,W229+1),"")</f>
        <v/>
      </c>
      <c r="AE229" s="33" t="str">
        <f aca="false">IF(AND(Y229=1,W229&lt;1),IF(AND(C230=C229,W230=W229+1),IF(Y230=1,"",INDEX(DATAS,W229+1)),INDEX(DATAS,W229+1)),"")</f>
        <v/>
      </c>
    </row>
    <row r="230" customFormat="false" ht="15" hidden="false" customHeight="false" outlineLevel="0" collapsed="false">
      <c r="A230" s="33" t="n">
        <v>46309</v>
      </c>
      <c r="B230" s="0" t="n">
        <v>5</v>
      </c>
      <c r="C230" s="0" t="n">
        <v>3710</v>
      </c>
      <c r="D230" s="0" t="n">
        <v>83</v>
      </c>
      <c r="E230" s="0" t="n">
        <v>4</v>
      </c>
      <c r="F230" s="27" t="s">
        <v>338</v>
      </c>
      <c r="G230" s="0" t="n">
        <v>41.2</v>
      </c>
      <c r="H230" s="0" t="n">
        <v>38</v>
      </c>
      <c r="I230" s="27" t="s">
        <v>168</v>
      </c>
      <c r="J230" s="0" t="n">
        <v>83</v>
      </c>
      <c r="K230" s="0" t="n">
        <v>66</v>
      </c>
      <c r="M230" s="0" t="n">
        <v>141.56</v>
      </c>
      <c r="N230" s="0" t="n">
        <v>25.66</v>
      </c>
      <c r="O230" s="0" t="n">
        <v>13.99</v>
      </c>
      <c r="P230" s="0" t="n">
        <v>3.5</v>
      </c>
      <c r="Q230" s="0" t="n">
        <v>3.36</v>
      </c>
      <c r="R230" s="0" t="n">
        <v>4006</v>
      </c>
      <c r="S230" s="0" t="n">
        <v>8052</v>
      </c>
      <c r="U230" s="0" t="n">
        <v>1805</v>
      </c>
      <c r="V230" s="0" t="n">
        <v>1</v>
      </c>
      <c r="W230" s="27" t="n">
        <f aca="false">MATCH(A230,DATAS,0)</f>
        <v>1</v>
      </c>
      <c r="X230" s="27" t="n">
        <f aca="false">IF(AND(E230&gt;0,OR(AND(B230&gt;=1,B230&lt;=6),B230=10)),1,0)</f>
        <v>1</v>
      </c>
      <c r="Y230" s="27" t="n">
        <f aca="false">IF(AND(E230&gt;0,B230=10),1,0)</f>
        <v>0</v>
      </c>
      <c r="Z230" s="0" t="str">
        <f aca="false">IF(AND(C229=C230,W229=W230-1),X229,"")</f>
        <v/>
      </c>
      <c r="AA230" s="0" t="str">
        <f aca="false">IF(AND(C229=C230,W229=W230-1),Y229,"")</f>
        <v/>
      </c>
      <c r="AB230" s="0" t="str">
        <f aca="false">IF(W230=1,"",IF(AND(X230=1,Z230&lt;&gt;1),1,0))</f>
        <v/>
      </c>
      <c r="AC230" s="0" t="str">
        <f aca="false">IF(W230=1,"",IF(AND(Y230=1,AA230&lt;&gt;1),1,0))</f>
        <v/>
      </c>
      <c r="AD230" s="33" t="str">
        <f aca="false">IF(AND(E230&gt;0,W230&lt;1,NOT(AND(C231=C230,W231=W230+1))),INDEX(DATAS,W230+1),"")</f>
        <v/>
      </c>
      <c r="AE230" s="33" t="str">
        <f aca="false">IF(AND(Y230=1,W230&lt;1),IF(AND(C231=C230,W231=W230+1),IF(Y231=1,"",INDEX(DATAS,W230+1)),INDEX(DATAS,W230+1)),"")</f>
        <v/>
      </c>
    </row>
    <row r="231" customFormat="false" ht="15" hidden="false" customHeight="false" outlineLevel="0" collapsed="false">
      <c r="A231" s="33" t="n">
        <v>46309</v>
      </c>
      <c r="B231" s="0" t="n">
        <v>10</v>
      </c>
      <c r="C231" s="0" t="n">
        <v>3711</v>
      </c>
      <c r="D231" s="0" t="n">
        <v>364</v>
      </c>
      <c r="E231" s="0" t="n">
        <v>3</v>
      </c>
      <c r="F231" s="27" t="s">
        <v>338</v>
      </c>
      <c r="G231" s="0" t="n">
        <v>28.7</v>
      </c>
      <c r="H231" s="0" t="n">
        <v>30</v>
      </c>
      <c r="I231" s="27" t="s">
        <v>138</v>
      </c>
      <c r="J231" s="0" t="n">
        <v>147</v>
      </c>
      <c r="K231" s="0" t="n">
        <v>71</v>
      </c>
      <c r="L231" s="0" t="n">
        <v>217</v>
      </c>
      <c r="M231" s="0" t="n">
        <v>851.1</v>
      </c>
      <c r="N231" s="0" t="n">
        <v>35.57</v>
      </c>
      <c r="O231" s="0" t="n">
        <v>30.14</v>
      </c>
      <c r="P231" s="0" t="n">
        <v>4.91</v>
      </c>
      <c r="Q231" s="0" t="n">
        <v>3.68</v>
      </c>
      <c r="R231" s="0" t="n">
        <v>6099</v>
      </c>
      <c r="S231" s="0" t="n">
        <v>11836</v>
      </c>
      <c r="T231" s="0" t="n">
        <v>70.4</v>
      </c>
      <c r="U231" s="0" t="n">
        <v>1805</v>
      </c>
      <c r="V231" s="0" t="n">
        <v>2</v>
      </c>
      <c r="W231" s="27" t="n">
        <f aca="false">MATCH(A231,DATAS,0)</f>
        <v>1</v>
      </c>
      <c r="X231" s="27" t="n">
        <f aca="false">IF(AND(E231&gt;0,OR(AND(B231&gt;=1,B231&lt;=6),B231=10)),1,0)</f>
        <v>1</v>
      </c>
      <c r="Y231" s="27" t="n">
        <f aca="false">IF(AND(E231&gt;0,B231=10),1,0)</f>
        <v>1</v>
      </c>
      <c r="Z231" s="0" t="str">
        <f aca="false">IF(AND(C230=C231,W230=W231-1),X230,"")</f>
        <v/>
      </c>
      <c r="AA231" s="0" t="str">
        <f aca="false">IF(AND(C230=C231,W230=W231-1),Y230,"")</f>
        <v/>
      </c>
      <c r="AB231" s="0" t="str">
        <f aca="false">IF(W231=1,"",IF(AND(X231=1,Z231&lt;&gt;1),1,0))</f>
        <v/>
      </c>
      <c r="AC231" s="0" t="str">
        <f aca="false">IF(W231=1,"",IF(AND(Y231=1,AA231&lt;&gt;1),1,0))</f>
        <v/>
      </c>
      <c r="AD231" s="33" t="str">
        <f aca="false">IF(AND(E231&gt;0,W231&lt;1,NOT(AND(C232=C231,W232=W231+1))),INDEX(DATAS,W231+1),"")</f>
        <v/>
      </c>
      <c r="AE231" s="33" t="str">
        <f aca="false">IF(AND(Y231=1,W231&lt;1),IF(AND(C232=C231,W232=W231+1),IF(Y232=1,"",INDEX(DATAS,W231+1)),INDEX(DATAS,W231+1)),"")</f>
        <v/>
      </c>
    </row>
    <row r="232" customFormat="false" ht="15" hidden="false" customHeight="false" outlineLevel="0" collapsed="false">
      <c r="A232" s="33" t="n">
        <v>46309</v>
      </c>
      <c r="B232" s="0" t="n">
        <v>7</v>
      </c>
      <c r="C232" s="0" t="n">
        <v>3712</v>
      </c>
      <c r="D232" s="0" t="n">
        <v>641</v>
      </c>
      <c r="E232" s="0" t="n">
        <v>2</v>
      </c>
      <c r="F232" s="27" t="s">
        <v>339</v>
      </c>
      <c r="I232" s="27" t="s">
        <v>340</v>
      </c>
      <c r="J232" s="0" t="n">
        <v>641</v>
      </c>
      <c r="K232" s="0" t="n">
        <v>69</v>
      </c>
      <c r="M232" s="0" t="n">
        <v>789.2</v>
      </c>
      <c r="N232" s="0" t="n">
        <v>31.01</v>
      </c>
      <c r="O232" s="0" t="n">
        <v>22.74</v>
      </c>
      <c r="P232" s="0" t="n">
        <v>6.06</v>
      </c>
      <c r="Q232" s="0" t="n">
        <v>4.6</v>
      </c>
      <c r="R232" s="0" t="n">
        <v>7058</v>
      </c>
      <c r="S232" s="0" t="n">
        <v>13489</v>
      </c>
      <c r="T232" s="0" t="n">
        <v>72.65</v>
      </c>
      <c r="U232" s="0" t="n">
        <v>1804</v>
      </c>
      <c r="V232" s="0" t="n">
        <v>12</v>
      </c>
      <c r="W232" s="27" t="n">
        <f aca="false">MATCH(A232,DATAS,0)</f>
        <v>1</v>
      </c>
      <c r="X232" s="27" t="n">
        <f aca="false">IF(AND(E232&gt;0,OR(AND(B232&gt;=1,B232&lt;=6),B232=10)),1,0)</f>
        <v>0</v>
      </c>
      <c r="Y232" s="27" t="n">
        <f aca="false">IF(AND(E232&gt;0,B232=10),1,0)</f>
        <v>0</v>
      </c>
      <c r="Z232" s="0" t="str">
        <f aca="false">IF(AND(C231=C232,W231=W232-1),X231,"")</f>
        <v/>
      </c>
      <c r="AA232" s="0" t="str">
        <f aca="false">IF(AND(C231=C232,W231=W232-1),Y231,"")</f>
        <v/>
      </c>
      <c r="AB232" s="0" t="str">
        <f aca="false">IF(W232=1,"",IF(AND(X232=1,Z232&lt;&gt;1),1,0))</f>
        <v/>
      </c>
      <c r="AC232" s="0" t="str">
        <f aca="false">IF(W232=1,"",IF(AND(Y232=1,AA232&lt;&gt;1),1,0))</f>
        <v/>
      </c>
      <c r="AD232" s="33" t="str">
        <f aca="false">IF(AND(E232&gt;0,W232&lt;1,NOT(AND(C233=C232,W233=W232+1))),INDEX(DATAS,W232+1),"")</f>
        <v/>
      </c>
      <c r="AE232" s="33" t="str">
        <f aca="false">IF(AND(Y232=1,W232&lt;1),IF(AND(C233=C232,W233=W232+1),IF(Y233=1,"",INDEX(DATAS,W232+1)),INDEX(DATAS,W232+1)),"")</f>
        <v/>
      </c>
    </row>
    <row r="233" customFormat="false" ht="15" hidden="false" customHeight="false" outlineLevel="0" collapsed="false">
      <c r="A233" s="33" t="n">
        <v>46309</v>
      </c>
      <c r="B233" s="0" t="n">
        <v>3</v>
      </c>
      <c r="C233" s="0" t="n">
        <v>3717</v>
      </c>
      <c r="D233" s="0" t="n">
        <v>161</v>
      </c>
      <c r="E233" s="0" t="n">
        <v>3</v>
      </c>
      <c r="F233" s="27" t="s">
        <v>341</v>
      </c>
      <c r="G233" s="0" t="n">
        <v>56.1</v>
      </c>
      <c r="H233" s="0" t="n">
        <v>54</v>
      </c>
      <c r="I233" s="27" t="s">
        <v>176</v>
      </c>
      <c r="J233" s="0" t="n">
        <v>161</v>
      </c>
      <c r="K233" s="0" t="n">
        <v>63</v>
      </c>
      <c r="M233" s="0" t="n">
        <v>745.9</v>
      </c>
      <c r="N233" s="0" t="n">
        <v>32.34</v>
      </c>
      <c r="O233" s="0" t="n">
        <v>29.46</v>
      </c>
      <c r="P233" s="0" t="n">
        <v>3.93</v>
      </c>
      <c r="Q233" s="0" t="n">
        <v>3.22</v>
      </c>
      <c r="R233" s="0" t="n">
        <v>6190</v>
      </c>
      <c r="S233" s="0" t="n">
        <v>12080</v>
      </c>
      <c r="T233" s="0" t="n">
        <v>68.9</v>
      </c>
      <c r="U233" s="0" t="n">
        <v>1799</v>
      </c>
      <c r="V233" s="0" t="n">
        <v>2</v>
      </c>
      <c r="W233" s="27" t="n">
        <f aca="false">MATCH(A233,DATAS,0)</f>
        <v>1</v>
      </c>
      <c r="X233" s="27" t="n">
        <f aca="false">IF(AND(E233&gt;0,OR(AND(B233&gt;=1,B233&lt;=6),B233=10)),1,0)</f>
        <v>1</v>
      </c>
      <c r="Y233" s="27" t="n">
        <f aca="false">IF(AND(E233&gt;0,B233=10),1,0)</f>
        <v>0</v>
      </c>
      <c r="Z233" s="0" t="str">
        <f aca="false">IF(AND(C232=C233,W232=W233-1),X232,"")</f>
        <v/>
      </c>
      <c r="AA233" s="0" t="str">
        <f aca="false">IF(AND(C232=C233,W232=W233-1),Y232,"")</f>
        <v/>
      </c>
      <c r="AB233" s="0" t="str">
        <f aca="false">IF(W233=1,"",IF(AND(X233=1,Z233&lt;&gt;1),1,0))</f>
        <v/>
      </c>
      <c r="AC233" s="0" t="str">
        <f aca="false">IF(W233=1,"",IF(AND(Y233=1,AA233&lt;&gt;1),1,0))</f>
        <v/>
      </c>
      <c r="AD233" s="33" t="str">
        <f aca="false">IF(AND(E233&gt;0,W233&lt;1,NOT(AND(C234=C233,W234=W233+1))),INDEX(DATAS,W233+1),"")</f>
        <v/>
      </c>
      <c r="AE233" s="33" t="str">
        <f aca="false">IF(AND(Y233=1,W233&lt;1),IF(AND(C234=C233,W234=W233+1),IF(Y234=1,"",INDEX(DATAS,W233+1)),INDEX(DATAS,W233+1)),"")</f>
        <v/>
      </c>
    </row>
    <row r="234" customFormat="false" ht="15" hidden="false" customHeight="false" outlineLevel="0" collapsed="false">
      <c r="A234" s="33" t="n">
        <v>46309</v>
      </c>
      <c r="B234" s="0" t="n">
        <v>5</v>
      </c>
      <c r="C234" s="0" t="n">
        <v>3718</v>
      </c>
      <c r="D234" s="0" t="n">
        <v>132</v>
      </c>
      <c r="E234" s="0" t="n">
        <v>3</v>
      </c>
      <c r="F234" s="27" t="s">
        <v>342</v>
      </c>
      <c r="G234" s="0" t="n">
        <v>43.3</v>
      </c>
      <c r="H234" s="0" t="n">
        <v>43</v>
      </c>
      <c r="I234" s="27" t="s">
        <v>168</v>
      </c>
      <c r="J234" s="0" t="n">
        <v>132</v>
      </c>
      <c r="K234" s="0" t="n">
        <v>69</v>
      </c>
      <c r="M234" s="0" t="n">
        <v>274.08</v>
      </c>
      <c r="N234" s="0" t="n">
        <v>34.01</v>
      </c>
      <c r="O234" s="0" t="n">
        <v>23.43</v>
      </c>
      <c r="P234" s="0" t="n">
        <v>3.4</v>
      </c>
      <c r="Q234" s="0" t="n">
        <v>3.63</v>
      </c>
      <c r="R234" s="0" t="n">
        <v>4638</v>
      </c>
      <c r="S234" s="0" t="n">
        <v>9325</v>
      </c>
      <c r="T234" s="0" t="n">
        <v>54</v>
      </c>
      <c r="U234" s="0" t="n">
        <v>1797</v>
      </c>
      <c r="V234" s="0" t="n">
        <v>2</v>
      </c>
      <c r="W234" s="27" t="n">
        <f aca="false">MATCH(A234,DATAS,0)</f>
        <v>1</v>
      </c>
      <c r="X234" s="27" t="n">
        <f aca="false">IF(AND(E234&gt;0,OR(AND(B234&gt;=1,B234&lt;=6),B234=10)),1,0)</f>
        <v>1</v>
      </c>
      <c r="Y234" s="27" t="n">
        <f aca="false">IF(AND(E234&gt;0,B234=10),1,0)</f>
        <v>0</v>
      </c>
      <c r="Z234" s="0" t="str">
        <f aca="false">IF(AND(C233=C234,W233=W234-1),X233,"")</f>
        <v/>
      </c>
      <c r="AA234" s="0" t="str">
        <f aca="false">IF(AND(C233=C234,W233=W234-1),Y233,"")</f>
        <v/>
      </c>
      <c r="AB234" s="0" t="str">
        <f aca="false">IF(W234=1,"",IF(AND(X234=1,Z234&lt;&gt;1),1,0))</f>
        <v/>
      </c>
      <c r="AC234" s="0" t="str">
        <f aca="false">IF(W234=1,"",IF(AND(Y234=1,AA234&lt;&gt;1),1,0))</f>
        <v/>
      </c>
      <c r="AD234" s="33" t="str">
        <f aca="false">IF(AND(E234&gt;0,W234&lt;1,NOT(AND(C235=C234,W235=W234+1))),INDEX(DATAS,W234+1),"")</f>
        <v/>
      </c>
      <c r="AE234" s="33" t="str">
        <f aca="false">IF(AND(Y234=1,W234&lt;1),IF(AND(C235=C234,W235=W234+1),IF(Y235=1,"",INDEX(DATAS,W234+1)),INDEX(DATAS,W234+1)),"")</f>
        <v/>
      </c>
    </row>
    <row r="235" customFormat="false" ht="15" hidden="false" customHeight="false" outlineLevel="0" collapsed="false">
      <c r="A235" s="33" t="n">
        <v>46309</v>
      </c>
      <c r="B235" s="0" t="n">
        <v>10</v>
      </c>
      <c r="C235" s="0" t="n">
        <v>3721</v>
      </c>
      <c r="D235" s="0" t="n">
        <v>118</v>
      </c>
      <c r="E235" s="0" t="n">
        <v>4</v>
      </c>
      <c r="F235" s="27" t="s">
        <v>343</v>
      </c>
      <c r="G235" s="0" t="n">
        <v>21.4</v>
      </c>
      <c r="H235" s="0" t="n">
        <v>33</v>
      </c>
      <c r="I235" s="27" t="s">
        <v>168</v>
      </c>
      <c r="J235" s="0" t="n">
        <v>118</v>
      </c>
      <c r="K235" s="0" t="n">
        <v>70</v>
      </c>
      <c r="M235" s="0" t="n">
        <v>377.02</v>
      </c>
      <c r="N235" s="0" t="n">
        <v>15.76</v>
      </c>
      <c r="O235" s="0" t="n">
        <v>22.3</v>
      </c>
      <c r="P235" s="0" t="n">
        <v>0</v>
      </c>
      <c r="Q235" s="0" t="n">
        <v>0</v>
      </c>
      <c r="R235" s="0" t="n">
        <v>5877</v>
      </c>
      <c r="S235" s="0" t="n">
        <v>11584</v>
      </c>
      <c r="T235" s="0" t="n">
        <v>63.45</v>
      </c>
      <c r="U235" s="0" t="n">
        <v>1796</v>
      </c>
      <c r="V235" s="0" t="n">
        <v>2</v>
      </c>
      <c r="W235" s="27" t="n">
        <f aca="false">MATCH(A235,DATAS,0)</f>
        <v>1</v>
      </c>
      <c r="X235" s="27" t="n">
        <f aca="false">IF(AND(E235&gt;0,OR(AND(B235&gt;=1,B235&lt;=6),B235=10)),1,0)</f>
        <v>1</v>
      </c>
      <c r="Y235" s="27" t="n">
        <f aca="false">IF(AND(E235&gt;0,B235=10),1,0)</f>
        <v>1</v>
      </c>
      <c r="Z235" s="0" t="str">
        <f aca="false">IF(AND(C234=C235,W234=W235-1),X234,"")</f>
        <v/>
      </c>
      <c r="AA235" s="0" t="str">
        <f aca="false">IF(AND(C234=C235,W234=W235-1),Y234,"")</f>
        <v/>
      </c>
      <c r="AB235" s="0" t="str">
        <f aca="false">IF(W235=1,"",IF(AND(X235=1,Z235&lt;&gt;1),1,0))</f>
        <v/>
      </c>
      <c r="AC235" s="0" t="str">
        <f aca="false">IF(W235=1,"",IF(AND(Y235=1,AA235&lt;&gt;1),1,0))</f>
        <v/>
      </c>
      <c r="AD235" s="33" t="str">
        <f aca="false">IF(AND(E235&gt;0,W235&lt;1,NOT(AND(C236=C235,W236=W235+1))),INDEX(DATAS,W235+1),"")</f>
        <v/>
      </c>
      <c r="AE235" s="33" t="str">
        <f aca="false">IF(AND(Y235=1,W235&lt;1),IF(AND(C236=C235,W236=W235+1),IF(Y236=1,"",INDEX(DATAS,W235+1)),INDEX(DATAS,W235+1)),"")</f>
        <v/>
      </c>
    </row>
    <row r="236" customFormat="false" ht="15" hidden="false" customHeight="false" outlineLevel="0" collapsed="false">
      <c r="A236" s="33" t="n">
        <v>46309</v>
      </c>
      <c r="B236" s="0" t="n">
        <v>3</v>
      </c>
      <c r="C236" s="0" t="n">
        <v>3722</v>
      </c>
      <c r="D236" s="0" t="n">
        <v>34</v>
      </c>
      <c r="E236" s="0" t="n">
        <v>3</v>
      </c>
      <c r="F236" s="27" t="s">
        <v>343</v>
      </c>
      <c r="G236" s="0" t="n">
        <v>62.2</v>
      </c>
      <c r="H236" s="0" t="n">
        <v>61</v>
      </c>
      <c r="I236" s="27" t="s">
        <v>147</v>
      </c>
      <c r="J236" s="0" t="n">
        <v>34</v>
      </c>
      <c r="M236" s="0" t="n">
        <v>794.8</v>
      </c>
      <c r="N236" s="0" t="n">
        <v>22.98</v>
      </c>
      <c r="O236" s="0" t="n">
        <v>24.63</v>
      </c>
      <c r="P236" s="0" t="n">
        <v>4.82</v>
      </c>
      <c r="Q236" s="0" t="n">
        <v>3.92</v>
      </c>
      <c r="R236" s="0" t="n">
        <v>5009</v>
      </c>
      <c r="S236" s="0" t="n">
        <v>10069</v>
      </c>
      <c r="U236" s="0" t="n">
        <v>1796</v>
      </c>
      <c r="V236" s="0" t="n">
        <v>0</v>
      </c>
      <c r="W236" s="27" t="n">
        <f aca="false">MATCH(A236,DATAS,0)</f>
        <v>1</v>
      </c>
      <c r="X236" s="27" t="n">
        <f aca="false">IF(AND(E236&gt;0,OR(AND(B236&gt;=1,B236&lt;=6),B236=10)),1,0)</f>
        <v>1</v>
      </c>
      <c r="Y236" s="27" t="n">
        <f aca="false">IF(AND(E236&gt;0,B236=10),1,0)</f>
        <v>0</v>
      </c>
      <c r="Z236" s="0" t="str">
        <f aca="false">IF(AND(C235=C236,W235=W236-1),X235,"")</f>
        <v/>
      </c>
      <c r="AA236" s="0" t="str">
        <f aca="false">IF(AND(C235=C236,W235=W236-1),Y235,"")</f>
        <v/>
      </c>
      <c r="AB236" s="0" t="str">
        <f aca="false">IF(W236=1,"",IF(AND(X236=1,Z236&lt;&gt;1),1,0))</f>
        <v/>
      </c>
      <c r="AC236" s="0" t="str">
        <f aca="false">IF(W236=1,"",IF(AND(Y236=1,AA236&lt;&gt;1),1,0))</f>
        <v/>
      </c>
      <c r="AD236" s="33" t="str">
        <f aca="false">IF(AND(E236&gt;0,W236&lt;1,NOT(AND(C237=C236,W237=W236+1))),INDEX(DATAS,W236+1),"")</f>
        <v/>
      </c>
      <c r="AE236" s="33" t="str">
        <f aca="false">IF(AND(Y236=1,W236&lt;1),IF(AND(C237=C236,W237=W236+1),IF(Y237=1,"",INDEX(DATAS,W236+1)),INDEX(DATAS,W236+1)),"")</f>
        <v/>
      </c>
    </row>
    <row r="237" customFormat="false" ht="15" hidden="false" customHeight="false" outlineLevel="0" collapsed="false">
      <c r="A237" s="33" t="n">
        <v>46309</v>
      </c>
      <c r="B237" s="0" t="n">
        <v>6</v>
      </c>
      <c r="C237" s="0" t="n">
        <v>3723</v>
      </c>
      <c r="D237" s="0" t="n">
        <v>259</v>
      </c>
      <c r="E237" s="0" t="n">
        <v>3</v>
      </c>
      <c r="F237" s="27" t="s">
        <v>343</v>
      </c>
      <c r="G237" s="0" t="n">
        <v>30.5</v>
      </c>
      <c r="H237" s="0" t="n">
        <v>27</v>
      </c>
      <c r="I237" s="27" t="s">
        <v>168</v>
      </c>
      <c r="J237" s="0" t="n">
        <v>259</v>
      </c>
      <c r="K237" s="0" t="n">
        <v>74</v>
      </c>
      <c r="M237" s="0" t="n">
        <v>533.27</v>
      </c>
      <c r="N237" s="0" t="n">
        <v>18.57</v>
      </c>
      <c r="O237" s="0" t="n">
        <v>23.08</v>
      </c>
      <c r="P237" s="0" t="n">
        <v>4.51</v>
      </c>
      <c r="Q237" s="0" t="n">
        <v>3.89</v>
      </c>
      <c r="R237" s="0" t="n">
        <v>3842</v>
      </c>
      <c r="S237" s="0" t="n">
        <v>7582</v>
      </c>
      <c r="T237" s="0" t="n">
        <v>41</v>
      </c>
      <c r="U237" s="0" t="n">
        <v>1796</v>
      </c>
      <c r="V237" s="0" t="n">
        <v>5</v>
      </c>
      <c r="W237" s="27" t="n">
        <f aca="false">MATCH(A237,DATAS,0)</f>
        <v>1</v>
      </c>
      <c r="X237" s="27" t="n">
        <f aca="false">IF(AND(E237&gt;0,OR(AND(B237&gt;=1,B237&lt;=6),B237=10)),1,0)</f>
        <v>1</v>
      </c>
      <c r="Y237" s="27" t="n">
        <f aca="false">IF(AND(E237&gt;0,B237=10),1,0)</f>
        <v>0</v>
      </c>
      <c r="Z237" s="0" t="str">
        <f aca="false">IF(AND(C236=C237,W236=W237-1),X236,"")</f>
        <v/>
      </c>
      <c r="AA237" s="0" t="str">
        <f aca="false">IF(AND(C236=C237,W236=W237-1),Y236,"")</f>
        <v/>
      </c>
      <c r="AB237" s="0" t="str">
        <f aca="false">IF(W237=1,"",IF(AND(X237=1,Z237&lt;&gt;1),1,0))</f>
        <v/>
      </c>
      <c r="AC237" s="0" t="str">
        <f aca="false">IF(W237=1,"",IF(AND(Y237=1,AA237&lt;&gt;1),1,0))</f>
        <v/>
      </c>
      <c r="AD237" s="33" t="str">
        <f aca="false">IF(AND(E237&gt;0,W237&lt;1,NOT(AND(C238=C237,W238=W237+1))),INDEX(DATAS,W237+1),"")</f>
        <v/>
      </c>
      <c r="AE237" s="33" t="str">
        <f aca="false">IF(AND(Y237=1,W237&lt;1),IF(AND(C238=C237,W238=W237+1),IF(Y238=1,"",INDEX(DATAS,W237+1)),INDEX(DATAS,W237+1)),"")</f>
        <v/>
      </c>
    </row>
    <row r="238" customFormat="false" ht="15" hidden="false" customHeight="false" outlineLevel="0" collapsed="false">
      <c r="A238" s="33" t="n">
        <v>46309</v>
      </c>
      <c r="B238" s="0" t="n">
        <v>14</v>
      </c>
      <c r="C238" s="0" t="n">
        <v>3728</v>
      </c>
      <c r="D238" s="0" t="n">
        <v>326</v>
      </c>
      <c r="E238" s="0" t="n">
        <v>3</v>
      </c>
      <c r="F238" s="27" t="s">
        <v>344</v>
      </c>
      <c r="I238" s="27" t="s">
        <v>143</v>
      </c>
      <c r="J238" s="0" t="n">
        <v>103</v>
      </c>
      <c r="K238" s="0" t="n">
        <v>69</v>
      </c>
      <c r="L238" s="0" t="n">
        <v>266</v>
      </c>
      <c r="M238" s="0" t="n">
        <v>560.54</v>
      </c>
      <c r="N238" s="0" t="n">
        <v>46.39</v>
      </c>
      <c r="O238" s="0" t="n">
        <v>31.19</v>
      </c>
      <c r="P238" s="0" t="n">
        <v>4.34</v>
      </c>
      <c r="Q238" s="0" t="n">
        <v>3.66</v>
      </c>
      <c r="R238" s="0" t="n">
        <v>4808</v>
      </c>
      <c r="S238" s="0" t="n">
        <v>10092</v>
      </c>
      <c r="T238" s="0" t="n">
        <v>51.85</v>
      </c>
      <c r="U238" s="0" t="n">
        <v>1794</v>
      </c>
      <c r="V238" s="0" t="n">
        <v>2</v>
      </c>
      <c r="W238" s="27" t="n">
        <f aca="false">MATCH(A238,DATAS,0)</f>
        <v>1</v>
      </c>
      <c r="X238" s="27" t="n">
        <f aca="false">IF(AND(E238&gt;0,OR(AND(B238&gt;=1,B238&lt;=6),B238=10)),1,0)</f>
        <v>0</v>
      </c>
      <c r="Y238" s="27" t="n">
        <f aca="false">IF(AND(E238&gt;0,B238=10),1,0)</f>
        <v>0</v>
      </c>
      <c r="Z238" s="0" t="str">
        <f aca="false">IF(AND(C237=C238,W237=W238-1),X237,"")</f>
        <v/>
      </c>
      <c r="AA238" s="0" t="str">
        <f aca="false">IF(AND(C237=C238,W237=W238-1),Y237,"")</f>
        <v/>
      </c>
      <c r="AB238" s="0" t="str">
        <f aca="false">IF(W238=1,"",IF(AND(X238=1,Z238&lt;&gt;1),1,0))</f>
        <v/>
      </c>
      <c r="AC238" s="0" t="str">
        <f aca="false">IF(W238=1,"",IF(AND(Y238=1,AA238&lt;&gt;1),1,0))</f>
        <v/>
      </c>
      <c r="AD238" s="33" t="str">
        <f aca="false">IF(AND(E238&gt;0,W238&lt;1,NOT(AND(C239=C238,W239=W238+1))),INDEX(DATAS,W238+1),"")</f>
        <v/>
      </c>
      <c r="AE238" s="33" t="str">
        <f aca="false">IF(AND(Y238=1,W238&lt;1),IF(AND(C239=C238,W239=W238+1),IF(Y239=1,"",INDEX(DATAS,W238+1)),INDEX(DATAS,W238+1)),"")</f>
        <v/>
      </c>
    </row>
    <row r="239" customFormat="false" ht="15" hidden="false" customHeight="false" outlineLevel="0" collapsed="false">
      <c r="A239" s="33" t="n">
        <v>46309</v>
      </c>
      <c r="B239" s="0" t="n">
        <v>6</v>
      </c>
      <c r="C239" s="0" t="n">
        <v>3736</v>
      </c>
      <c r="D239" s="0" t="n">
        <v>152</v>
      </c>
      <c r="E239" s="0" t="n">
        <v>4</v>
      </c>
      <c r="F239" s="27" t="s">
        <v>345</v>
      </c>
      <c r="G239" s="0" t="n">
        <v>31.7</v>
      </c>
      <c r="H239" s="0" t="n">
        <v>30</v>
      </c>
      <c r="I239" s="27" t="s">
        <v>176</v>
      </c>
      <c r="J239" s="0" t="n">
        <v>152</v>
      </c>
      <c r="K239" s="0" t="n">
        <v>68</v>
      </c>
      <c r="M239" s="0" t="n">
        <v>-51.28</v>
      </c>
      <c r="N239" s="0" t="n">
        <v>44.77</v>
      </c>
      <c r="O239" s="0" t="n">
        <v>14.87</v>
      </c>
      <c r="P239" s="0" t="n">
        <v>4.72</v>
      </c>
      <c r="Q239" s="0" t="n">
        <v>3.54</v>
      </c>
      <c r="R239" s="0" t="n">
        <v>3379</v>
      </c>
      <c r="S239" s="0" t="n">
        <v>6459</v>
      </c>
      <c r="T239" s="0" t="n">
        <v>39</v>
      </c>
      <c r="U239" s="0" t="n">
        <v>1784</v>
      </c>
      <c r="V239" s="0" t="n">
        <v>2</v>
      </c>
      <c r="W239" s="27" t="n">
        <f aca="false">MATCH(A239,DATAS,0)</f>
        <v>1</v>
      </c>
      <c r="X239" s="27" t="n">
        <f aca="false">IF(AND(E239&gt;0,OR(AND(B239&gt;=1,B239&lt;=6),B239=10)),1,0)</f>
        <v>1</v>
      </c>
      <c r="Y239" s="27" t="n">
        <f aca="false">IF(AND(E239&gt;0,B239=10),1,0)</f>
        <v>0</v>
      </c>
      <c r="Z239" s="0" t="str">
        <f aca="false">IF(AND(C238=C239,W238=W239-1),X238,"")</f>
        <v/>
      </c>
      <c r="AA239" s="0" t="str">
        <f aca="false">IF(AND(C238=C239,W238=W239-1),Y238,"")</f>
        <v/>
      </c>
      <c r="AB239" s="0" t="str">
        <f aca="false">IF(W239=1,"",IF(AND(X239=1,Z239&lt;&gt;1),1,0))</f>
        <v/>
      </c>
      <c r="AC239" s="0" t="str">
        <f aca="false">IF(W239=1,"",IF(AND(Y239=1,AA239&lt;&gt;1),1,0))</f>
        <v/>
      </c>
      <c r="AD239" s="33" t="str">
        <f aca="false">IF(AND(E239&gt;0,W239&lt;1,NOT(AND(C240=C239,W240=W239+1))),INDEX(DATAS,W239+1),"")</f>
        <v/>
      </c>
      <c r="AE239" s="33" t="str">
        <f aca="false">IF(AND(Y239=1,W239&lt;1),IF(AND(C240=C239,W240=W239+1),IF(Y240=1,"",INDEX(DATAS,W239+1)),INDEX(DATAS,W239+1)),"")</f>
        <v/>
      </c>
    </row>
    <row r="240" customFormat="false" ht="15" hidden="false" customHeight="false" outlineLevel="0" collapsed="false">
      <c r="A240" s="33" t="n">
        <v>46309</v>
      </c>
      <c r="B240" s="0" t="n">
        <v>2</v>
      </c>
      <c r="C240" s="0" t="n">
        <v>3737</v>
      </c>
      <c r="D240" s="0" t="n">
        <v>101</v>
      </c>
      <c r="E240" s="0" t="n">
        <v>4</v>
      </c>
      <c r="F240" s="27" t="s">
        <v>345</v>
      </c>
      <c r="G240" s="0" t="n">
        <v>71.2</v>
      </c>
      <c r="H240" s="0" t="n">
        <v>67</v>
      </c>
      <c r="I240" s="27" t="s">
        <v>168</v>
      </c>
      <c r="J240" s="0" t="n">
        <v>101</v>
      </c>
      <c r="K240" s="0" t="n">
        <v>66</v>
      </c>
      <c r="M240" s="0" t="n">
        <v>172.09</v>
      </c>
      <c r="N240" s="0" t="n">
        <v>44.07</v>
      </c>
      <c r="O240" s="0" t="n">
        <v>26.29</v>
      </c>
      <c r="P240" s="0" t="n">
        <v>3.49</v>
      </c>
      <c r="Q240" s="0" t="n">
        <v>3.09</v>
      </c>
      <c r="R240" s="0" t="n">
        <v>6174</v>
      </c>
      <c r="S240" s="0" t="n">
        <v>12419</v>
      </c>
      <c r="T240" s="0" t="n">
        <v>65.8</v>
      </c>
      <c r="U240" s="0" t="n">
        <v>1784</v>
      </c>
      <c r="V240" s="0" t="n">
        <v>2</v>
      </c>
      <c r="W240" s="27" t="n">
        <f aca="false">MATCH(A240,DATAS,0)</f>
        <v>1</v>
      </c>
      <c r="X240" s="27" t="n">
        <f aca="false">IF(AND(E240&gt;0,OR(AND(B240&gt;=1,B240&lt;=6),B240=10)),1,0)</f>
        <v>1</v>
      </c>
      <c r="Y240" s="27" t="n">
        <f aca="false">IF(AND(E240&gt;0,B240=10),1,0)</f>
        <v>0</v>
      </c>
      <c r="Z240" s="0" t="str">
        <f aca="false">IF(AND(C239=C240,W239=W240-1),X239,"")</f>
        <v/>
      </c>
      <c r="AA240" s="0" t="str">
        <f aca="false">IF(AND(C239=C240,W239=W240-1),Y239,"")</f>
        <v/>
      </c>
      <c r="AB240" s="0" t="str">
        <f aca="false">IF(W240=1,"",IF(AND(X240=1,Z240&lt;&gt;1),1,0))</f>
        <v/>
      </c>
      <c r="AC240" s="0" t="str">
        <f aca="false">IF(W240=1,"",IF(AND(Y240=1,AA240&lt;&gt;1),1,0))</f>
        <v/>
      </c>
      <c r="AD240" s="33" t="str">
        <f aca="false">IF(AND(E240&gt;0,W240&lt;1,NOT(AND(C241=C240,W241=W240+1))),INDEX(DATAS,W240+1),"")</f>
        <v/>
      </c>
      <c r="AE240" s="33" t="str">
        <f aca="false">IF(AND(Y240=1,W240&lt;1),IF(AND(C241=C240,W241=W240+1),IF(Y241=1,"",INDEX(DATAS,W240+1)),INDEX(DATAS,W240+1)),"")</f>
        <v/>
      </c>
    </row>
    <row r="241" customFormat="false" ht="15" hidden="false" customHeight="false" outlineLevel="0" collapsed="false">
      <c r="A241" s="33" t="n">
        <v>46309</v>
      </c>
      <c r="B241" s="0" t="n">
        <v>6</v>
      </c>
      <c r="C241" s="0" t="n">
        <v>3739</v>
      </c>
      <c r="D241" s="0" t="n">
        <v>266</v>
      </c>
      <c r="E241" s="0" t="n">
        <v>2</v>
      </c>
      <c r="F241" s="27" t="s">
        <v>346</v>
      </c>
      <c r="H241" s="0" t="n">
        <v>16</v>
      </c>
      <c r="I241" s="27" t="s">
        <v>138</v>
      </c>
      <c r="J241" s="0" t="n">
        <v>133</v>
      </c>
      <c r="K241" s="0" t="n">
        <v>70</v>
      </c>
      <c r="L241" s="0" t="n">
        <v>133</v>
      </c>
      <c r="M241" s="0" t="n">
        <v>664.1</v>
      </c>
      <c r="N241" s="0" t="n">
        <v>36.77</v>
      </c>
      <c r="O241" s="0" t="n">
        <v>30.74</v>
      </c>
      <c r="P241" s="0" t="n">
        <v>4.08</v>
      </c>
      <c r="Q241" s="0" t="n">
        <v>3.94</v>
      </c>
      <c r="R241" s="0" t="n">
        <v>5204</v>
      </c>
      <c r="S241" s="0" t="n">
        <v>10115</v>
      </c>
      <c r="T241" s="0" t="n">
        <v>58.75</v>
      </c>
      <c r="U241" s="0" t="n">
        <v>1783</v>
      </c>
      <c r="V241" s="0" t="n">
        <v>3</v>
      </c>
      <c r="W241" s="27" t="n">
        <f aca="false">MATCH(A241,DATAS,0)</f>
        <v>1</v>
      </c>
      <c r="X241" s="27" t="n">
        <f aca="false">IF(AND(E241&gt;0,OR(AND(B241&gt;=1,B241&lt;=6),B241=10)),1,0)</f>
        <v>1</v>
      </c>
      <c r="Y241" s="27" t="n">
        <f aca="false">IF(AND(E241&gt;0,B241=10),1,0)</f>
        <v>0</v>
      </c>
      <c r="Z241" s="0" t="str">
        <f aca="false">IF(AND(C240=C241,W240=W241-1),X240,"")</f>
        <v/>
      </c>
      <c r="AA241" s="0" t="str">
        <f aca="false">IF(AND(C240=C241,W240=W241-1),Y240,"")</f>
        <v/>
      </c>
      <c r="AB241" s="0" t="str">
        <f aca="false">IF(W241=1,"",IF(AND(X241=1,Z241&lt;&gt;1),1,0))</f>
        <v/>
      </c>
      <c r="AC241" s="0" t="str">
        <f aca="false">IF(W241=1,"",IF(AND(Y241=1,AA241&lt;&gt;1),1,0))</f>
        <v/>
      </c>
      <c r="AD241" s="33" t="str">
        <f aca="false">IF(AND(E241&gt;0,W241&lt;1,NOT(AND(C242=C241,W242=W241+1))),INDEX(DATAS,W241+1),"")</f>
        <v/>
      </c>
      <c r="AE241" s="33" t="str">
        <f aca="false">IF(AND(Y241=1,W241&lt;1),IF(AND(C242=C241,W242=W241+1),IF(Y242=1,"",INDEX(DATAS,W241+1)),INDEX(DATAS,W241+1)),"")</f>
        <v/>
      </c>
    </row>
    <row r="242" customFormat="false" ht="15" hidden="false" customHeight="false" outlineLevel="0" collapsed="false">
      <c r="A242" s="33" t="n">
        <v>46309</v>
      </c>
      <c r="B242" s="0" t="n">
        <v>6</v>
      </c>
      <c r="C242" s="0" t="n">
        <v>3740</v>
      </c>
      <c r="D242" s="0" t="n">
        <v>281</v>
      </c>
      <c r="E242" s="0" t="n">
        <v>3</v>
      </c>
      <c r="F242" s="27" t="s">
        <v>347</v>
      </c>
      <c r="G242" s="0" t="n">
        <v>27.7</v>
      </c>
      <c r="H242" s="0" t="n">
        <v>28</v>
      </c>
      <c r="I242" s="27" t="s">
        <v>138</v>
      </c>
      <c r="J242" s="0" t="n">
        <v>134</v>
      </c>
      <c r="K242" s="0" t="n">
        <v>71</v>
      </c>
      <c r="L242" s="0" t="n">
        <v>147</v>
      </c>
      <c r="M242" s="0" t="n">
        <v>709.64</v>
      </c>
      <c r="N242" s="0" t="n">
        <v>66.91</v>
      </c>
      <c r="O242" s="0" t="n">
        <v>29.65</v>
      </c>
      <c r="P242" s="0" t="n">
        <v>5.59</v>
      </c>
      <c r="Q242" s="0" t="n">
        <v>3.44</v>
      </c>
      <c r="R242" s="0" t="n">
        <v>6111</v>
      </c>
      <c r="S242" s="0" t="n">
        <v>11767</v>
      </c>
      <c r="T242" s="0" t="n">
        <v>63.75</v>
      </c>
      <c r="U242" s="0" t="n">
        <v>1781</v>
      </c>
      <c r="V242" s="0" t="n">
        <v>3</v>
      </c>
      <c r="W242" s="27" t="n">
        <f aca="false">MATCH(A242,DATAS,0)</f>
        <v>1</v>
      </c>
      <c r="X242" s="27" t="n">
        <f aca="false">IF(AND(E242&gt;0,OR(AND(B242&gt;=1,B242&lt;=6),B242=10)),1,0)</f>
        <v>1</v>
      </c>
      <c r="Y242" s="27" t="n">
        <f aca="false">IF(AND(E242&gt;0,B242=10),1,0)</f>
        <v>0</v>
      </c>
      <c r="Z242" s="0" t="str">
        <f aca="false">IF(AND(C241=C242,W241=W242-1),X241,"")</f>
        <v/>
      </c>
      <c r="AA242" s="0" t="str">
        <f aca="false">IF(AND(C241=C242,W241=W242-1),Y241,"")</f>
        <v/>
      </c>
      <c r="AB242" s="0" t="str">
        <f aca="false">IF(W242=1,"",IF(AND(X242=1,Z242&lt;&gt;1),1,0))</f>
        <v/>
      </c>
      <c r="AC242" s="0" t="str">
        <f aca="false">IF(W242=1,"",IF(AND(Y242=1,AA242&lt;&gt;1),1,0))</f>
        <v/>
      </c>
      <c r="AD242" s="33" t="str">
        <f aca="false">IF(AND(E242&gt;0,W242&lt;1,NOT(AND(C243=C242,W243=W242+1))),INDEX(DATAS,W242+1),"")</f>
        <v/>
      </c>
      <c r="AE242" s="33" t="str">
        <f aca="false">IF(AND(Y242=1,W242&lt;1),IF(AND(C243=C242,W243=W242+1),IF(Y243=1,"",INDEX(DATAS,W242+1)),INDEX(DATAS,W242+1)),"")</f>
        <v/>
      </c>
    </row>
    <row r="243" customFormat="false" ht="15" hidden="false" customHeight="false" outlineLevel="0" collapsed="false">
      <c r="A243" s="33" t="n">
        <v>46309</v>
      </c>
      <c r="B243" s="0" t="n">
        <v>7</v>
      </c>
      <c r="C243" s="0" t="n">
        <v>3742</v>
      </c>
      <c r="D243" s="0" t="n">
        <v>504</v>
      </c>
      <c r="E243" s="0" t="n">
        <v>2</v>
      </c>
      <c r="F243" s="27" t="s">
        <v>348</v>
      </c>
      <c r="I243" s="27" t="s">
        <v>143</v>
      </c>
      <c r="J243" s="0" t="n">
        <v>337</v>
      </c>
      <c r="K243" s="0" t="n">
        <v>65</v>
      </c>
      <c r="L243" s="0" t="n">
        <v>238</v>
      </c>
      <c r="M243" s="0" t="n">
        <v>1533.47</v>
      </c>
      <c r="N243" s="0" t="n">
        <v>58.52</v>
      </c>
      <c r="O243" s="0" t="n">
        <v>33.88</v>
      </c>
      <c r="P243" s="0" t="n">
        <v>4.25</v>
      </c>
      <c r="Q243" s="0" t="n">
        <v>3.7</v>
      </c>
      <c r="R243" s="0" t="n">
        <v>4243</v>
      </c>
      <c r="S243" s="0" t="n">
        <v>8414</v>
      </c>
      <c r="T243" s="0" t="n">
        <v>41.8</v>
      </c>
      <c r="U243" s="0" t="n">
        <v>1779</v>
      </c>
      <c r="V243" s="0" t="n">
        <v>4</v>
      </c>
      <c r="W243" s="27" t="n">
        <f aca="false">MATCH(A243,DATAS,0)</f>
        <v>1</v>
      </c>
      <c r="X243" s="27" t="n">
        <f aca="false">IF(AND(E243&gt;0,OR(AND(B243&gt;=1,B243&lt;=6),B243=10)),1,0)</f>
        <v>0</v>
      </c>
      <c r="Y243" s="27" t="n">
        <f aca="false">IF(AND(E243&gt;0,B243=10),1,0)</f>
        <v>0</v>
      </c>
      <c r="Z243" s="0" t="str">
        <f aca="false">IF(AND(C242=C243,W242=W243-1),X242,"")</f>
        <v/>
      </c>
      <c r="AA243" s="0" t="str">
        <f aca="false">IF(AND(C242=C243,W242=W243-1),Y242,"")</f>
        <v/>
      </c>
      <c r="AB243" s="0" t="str">
        <f aca="false">IF(W243=1,"",IF(AND(X243=1,Z243&lt;&gt;1),1,0))</f>
        <v/>
      </c>
      <c r="AC243" s="0" t="str">
        <f aca="false">IF(W243=1,"",IF(AND(Y243=1,AA243&lt;&gt;1),1,0))</f>
        <v/>
      </c>
      <c r="AD243" s="33" t="str">
        <f aca="false">IF(AND(E243&gt;0,W243&lt;1,NOT(AND(C244=C243,W244=W243+1))),INDEX(DATAS,W243+1),"")</f>
        <v/>
      </c>
      <c r="AE243" s="33" t="str">
        <f aca="false">IF(AND(Y243=1,W243&lt;1),IF(AND(C244=C243,W244=W243+1),IF(Y244=1,"",INDEX(DATAS,W243+1)),INDEX(DATAS,W243+1)),"")</f>
        <v/>
      </c>
    </row>
    <row r="244" customFormat="false" ht="15" hidden="false" customHeight="false" outlineLevel="0" collapsed="false">
      <c r="A244" s="33" t="n">
        <v>46309</v>
      </c>
      <c r="B244" s="0" t="n">
        <v>3</v>
      </c>
      <c r="C244" s="0" t="n">
        <v>3743</v>
      </c>
      <c r="D244" s="0" t="n">
        <v>213</v>
      </c>
      <c r="E244" s="0" t="n">
        <v>3</v>
      </c>
      <c r="F244" s="27" t="s">
        <v>348</v>
      </c>
      <c r="G244" s="0" t="n">
        <v>62.2</v>
      </c>
      <c r="H244" s="0" t="n">
        <v>61</v>
      </c>
      <c r="I244" s="27" t="s">
        <v>176</v>
      </c>
      <c r="J244" s="0" t="n">
        <v>213</v>
      </c>
      <c r="K244" s="0" t="n">
        <v>62</v>
      </c>
      <c r="M244" s="0" t="n">
        <v>729.1</v>
      </c>
      <c r="N244" s="0" t="n">
        <v>37.32</v>
      </c>
      <c r="O244" s="0" t="n">
        <v>35.64</v>
      </c>
      <c r="P244" s="0" t="n">
        <v>2.94</v>
      </c>
      <c r="Q244" s="0" t="n">
        <v>3.54</v>
      </c>
      <c r="R244" s="0" t="n">
        <v>5831</v>
      </c>
      <c r="S244" s="0" t="n">
        <v>11646</v>
      </c>
      <c r="T244" s="0" t="n">
        <v>68.6</v>
      </c>
      <c r="U244" s="0" t="n">
        <v>1779</v>
      </c>
      <c r="V244" s="0" t="n">
        <v>2</v>
      </c>
      <c r="W244" s="27" t="n">
        <f aca="false">MATCH(A244,DATAS,0)</f>
        <v>1</v>
      </c>
      <c r="X244" s="27" t="n">
        <f aca="false">IF(AND(E244&gt;0,OR(AND(B244&gt;=1,B244&lt;=6),B244=10)),1,0)</f>
        <v>1</v>
      </c>
      <c r="Y244" s="27" t="n">
        <f aca="false">IF(AND(E244&gt;0,B244=10),1,0)</f>
        <v>0</v>
      </c>
      <c r="Z244" s="0" t="str">
        <f aca="false">IF(AND(C243=C244,W243=W244-1),X243,"")</f>
        <v/>
      </c>
      <c r="AA244" s="0" t="str">
        <f aca="false">IF(AND(C243=C244,W243=W244-1),Y243,"")</f>
        <v/>
      </c>
      <c r="AB244" s="0" t="str">
        <f aca="false">IF(W244=1,"",IF(AND(X244=1,Z244&lt;&gt;1),1,0))</f>
        <v/>
      </c>
      <c r="AC244" s="0" t="str">
        <f aca="false">IF(W244=1,"",IF(AND(Y244=1,AA244&lt;&gt;1),1,0))</f>
        <v/>
      </c>
      <c r="AD244" s="33" t="str">
        <f aca="false">IF(AND(E244&gt;0,W244&lt;1,NOT(AND(C245=C244,W245=W244+1))),INDEX(DATAS,W244+1),"")</f>
        <v/>
      </c>
      <c r="AE244" s="33" t="str">
        <f aca="false">IF(AND(Y244=1,W244&lt;1),IF(AND(C245=C244,W245=W244+1),IF(Y245=1,"",INDEX(DATAS,W244+1)),INDEX(DATAS,W244+1)),"")</f>
        <v/>
      </c>
    </row>
    <row r="245" customFormat="false" ht="15" hidden="false" customHeight="false" outlineLevel="0" collapsed="false">
      <c r="A245" s="33" t="n">
        <v>46309</v>
      </c>
      <c r="B245" s="0" t="n">
        <v>7</v>
      </c>
      <c r="C245" s="0" t="n">
        <v>3746</v>
      </c>
      <c r="D245" s="0" t="n">
        <v>191</v>
      </c>
      <c r="E245" s="0" t="n">
        <v>3</v>
      </c>
      <c r="F245" s="27" t="s">
        <v>349</v>
      </c>
      <c r="I245" s="27" t="s">
        <v>143</v>
      </c>
      <c r="J245" s="0" t="n">
        <v>115</v>
      </c>
      <c r="K245" s="0" t="n">
        <v>115</v>
      </c>
      <c r="L245" s="0" t="n">
        <v>224</v>
      </c>
      <c r="M245" s="0" t="n">
        <v>1012.24</v>
      </c>
      <c r="N245" s="0" t="n">
        <v>70.35</v>
      </c>
      <c r="O245" s="0" t="n">
        <v>42.61</v>
      </c>
      <c r="P245" s="0" t="n">
        <v>4.15</v>
      </c>
      <c r="Q245" s="0" t="n">
        <v>3.63</v>
      </c>
      <c r="R245" s="0" t="n">
        <v>2912</v>
      </c>
      <c r="S245" s="0" t="n">
        <v>4610</v>
      </c>
      <c r="T245" s="0" t="n">
        <v>40.4</v>
      </c>
      <c r="U245" s="0" t="n">
        <v>1777</v>
      </c>
      <c r="V245" s="0" t="n">
        <v>1</v>
      </c>
      <c r="W245" s="27" t="n">
        <f aca="false">MATCH(A245,DATAS,0)</f>
        <v>1</v>
      </c>
      <c r="X245" s="27" t="n">
        <f aca="false">IF(AND(E245&gt;0,OR(AND(B245&gt;=1,B245&lt;=6),B245=10)),1,0)</f>
        <v>0</v>
      </c>
      <c r="Y245" s="27" t="n">
        <f aca="false">IF(AND(E245&gt;0,B245=10),1,0)</f>
        <v>0</v>
      </c>
      <c r="Z245" s="0" t="str">
        <f aca="false">IF(AND(C244=C245,W244=W245-1),X244,"")</f>
        <v/>
      </c>
      <c r="AA245" s="0" t="str">
        <f aca="false">IF(AND(C244=C245,W244=W245-1),Y244,"")</f>
        <v/>
      </c>
      <c r="AB245" s="0" t="str">
        <f aca="false">IF(W245=1,"",IF(AND(X245=1,Z245&lt;&gt;1),1,0))</f>
        <v/>
      </c>
      <c r="AC245" s="0" t="str">
        <f aca="false">IF(W245=1,"",IF(AND(Y245=1,AA245&lt;&gt;1),1,0))</f>
        <v/>
      </c>
      <c r="AD245" s="33" t="str">
        <f aca="false">IF(AND(E245&gt;0,W245&lt;1,NOT(AND(C246=C245,W246=W245+1))),INDEX(DATAS,W245+1),"")</f>
        <v/>
      </c>
      <c r="AE245" s="33" t="str">
        <f aca="false">IF(AND(Y245=1,W245&lt;1),IF(AND(C246=C245,W246=W245+1),IF(Y246=1,"",INDEX(DATAS,W245+1)),INDEX(DATAS,W245+1)),"")</f>
        <v/>
      </c>
    </row>
    <row r="246" customFormat="false" ht="15" hidden="false" customHeight="false" outlineLevel="0" collapsed="false">
      <c r="A246" s="33" t="n">
        <v>46309</v>
      </c>
      <c r="B246" s="0" t="n">
        <v>3</v>
      </c>
      <c r="C246" s="0" t="n">
        <v>3747</v>
      </c>
      <c r="D246" s="0" t="n">
        <v>186</v>
      </c>
      <c r="E246" s="0" t="n">
        <v>3</v>
      </c>
      <c r="F246" s="27" t="s">
        <v>349</v>
      </c>
      <c r="G246" s="0" t="n">
        <v>63.3</v>
      </c>
      <c r="H246" s="0" t="n">
        <v>61</v>
      </c>
      <c r="I246" s="27" t="s">
        <v>138</v>
      </c>
      <c r="J246" s="0" t="n">
        <v>102</v>
      </c>
      <c r="K246" s="0" t="n">
        <v>67</v>
      </c>
      <c r="L246" s="0" t="n">
        <v>84</v>
      </c>
      <c r="M246" s="0" t="n">
        <v>-645.34</v>
      </c>
      <c r="N246" s="0" t="n">
        <v>16.08</v>
      </c>
      <c r="O246" s="0" t="n">
        <v>-5.04</v>
      </c>
      <c r="P246" s="0" t="n">
        <v>3.71</v>
      </c>
      <c r="Q246" s="0" t="n">
        <v>3.22</v>
      </c>
      <c r="R246" s="0" t="n">
        <v>6287</v>
      </c>
      <c r="S246" s="0" t="n">
        <v>12524</v>
      </c>
      <c r="T246" s="0" t="n">
        <v>63.15</v>
      </c>
      <c r="U246" s="0" t="n">
        <v>1777</v>
      </c>
      <c r="V246" s="0" t="n">
        <v>2</v>
      </c>
      <c r="W246" s="27" t="n">
        <f aca="false">MATCH(A246,DATAS,0)</f>
        <v>1</v>
      </c>
      <c r="X246" s="27" t="n">
        <f aca="false">IF(AND(E246&gt;0,OR(AND(B246&gt;=1,B246&lt;=6),B246=10)),1,0)</f>
        <v>1</v>
      </c>
      <c r="Y246" s="27" t="n">
        <f aca="false">IF(AND(E246&gt;0,B246=10),1,0)</f>
        <v>0</v>
      </c>
      <c r="Z246" s="0" t="str">
        <f aca="false">IF(AND(C245=C246,W245=W246-1),X245,"")</f>
        <v/>
      </c>
      <c r="AA246" s="0" t="str">
        <f aca="false">IF(AND(C245=C246,W245=W246-1),Y245,"")</f>
        <v/>
      </c>
      <c r="AB246" s="0" t="str">
        <f aca="false">IF(W246=1,"",IF(AND(X246=1,Z246&lt;&gt;1),1,0))</f>
        <v/>
      </c>
      <c r="AC246" s="0" t="str">
        <f aca="false">IF(W246=1,"",IF(AND(Y246=1,AA246&lt;&gt;1),1,0))</f>
        <v/>
      </c>
      <c r="AD246" s="33" t="str">
        <f aca="false">IF(AND(E246&gt;0,W246&lt;1,NOT(AND(C247=C246,W247=W246+1))),INDEX(DATAS,W246+1),"")</f>
        <v/>
      </c>
      <c r="AE246" s="33" t="str">
        <f aca="false">IF(AND(Y246=1,W246&lt;1),IF(AND(C247=C246,W247=W246+1),IF(Y247=1,"",INDEX(DATAS,W246+1)),INDEX(DATAS,W246+1)),"")</f>
        <v/>
      </c>
    </row>
    <row r="247" customFormat="false" ht="15" hidden="false" customHeight="false" outlineLevel="0" collapsed="false">
      <c r="A247" s="33" t="n">
        <v>46309</v>
      </c>
      <c r="B247" s="0" t="n">
        <v>5</v>
      </c>
      <c r="C247" s="0" t="n">
        <v>3754</v>
      </c>
      <c r="D247" s="0" t="n">
        <v>320</v>
      </c>
      <c r="E247" s="0" t="n">
        <v>3</v>
      </c>
      <c r="F247" s="27" t="s">
        <v>350</v>
      </c>
      <c r="G247" s="0" t="n">
        <v>35.6</v>
      </c>
      <c r="H247" s="0" t="n">
        <v>42</v>
      </c>
      <c r="I247" s="27" t="s">
        <v>168</v>
      </c>
      <c r="J247" s="0" t="n">
        <v>320</v>
      </c>
      <c r="K247" s="0" t="n">
        <v>68</v>
      </c>
      <c r="M247" s="0" t="n">
        <v>1012.8</v>
      </c>
      <c r="N247" s="0" t="n">
        <v>65.22</v>
      </c>
      <c r="O247" s="0" t="n">
        <v>41.46</v>
      </c>
      <c r="P247" s="0" t="n">
        <v>5.72</v>
      </c>
      <c r="Q247" s="0" t="n">
        <v>4.6</v>
      </c>
      <c r="R247" s="0" t="n">
        <v>6382</v>
      </c>
      <c r="S247" s="0" t="n">
        <v>12606</v>
      </c>
      <c r="T247" s="0" t="n">
        <v>72.35</v>
      </c>
      <c r="U247" s="0" t="n">
        <v>1773</v>
      </c>
      <c r="V247" s="0" t="n">
        <v>8</v>
      </c>
      <c r="W247" s="27" t="n">
        <f aca="false">MATCH(A247,DATAS,0)</f>
        <v>1</v>
      </c>
      <c r="X247" s="27" t="n">
        <f aca="false">IF(AND(E247&gt;0,OR(AND(B247&gt;=1,B247&lt;=6),B247=10)),1,0)</f>
        <v>1</v>
      </c>
      <c r="Y247" s="27" t="n">
        <f aca="false">IF(AND(E247&gt;0,B247=10),1,0)</f>
        <v>0</v>
      </c>
      <c r="Z247" s="0" t="str">
        <f aca="false">IF(AND(C246=C247,W246=W247-1),X246,"")</f>
        <v/>
      </c>
      <c r="AA247" s="0" t="str">
        <f aca="false">IF(AND(C246=C247,W246=W247-1),Y246,"")</f>
        <v/>
      </c>
      <c r="AB247" s="0" t="str">
        <f aca="false">IF(W247=1,"",IF(AND(X247=1,Z247&lt;&gt;1),1,0))</f>
        <v/>
      </c>
      <c r="AC247" s="0" t="str">
        <f aca="false">IF(W247=1,"",IF(AND(Y247=1,AA247&lt;&gt;1),1,0))</f>
        <v/>
      </c>
      <c r="AD247" s="33" t="str">
        <f aca="false">IF(AND(E247&gt;0,W247&lt;1,NOT(AND(C248=C247,W248=W247+1))),INDEX(DATAS,W247+1),"")</f>
        <v/>
      </c>
      <c r="AE247" s="33" t="str">
        <f aca="false">IF(AND(Y247=1,W247&lt;1),IF(AND(C248=C247,W248=W247+1),IF(Y248=1,"",INDEX(DATAS,W247+1)),INDEX(DATAS,W247+1)),"")</f>
        <v/>
      </c>
    </row>
    <row r="248" customFormat="false" ht="15" hidden="false" customHeight="false" outlineLevel="0" collapsed="false">
      <c r="A248" s="33" t="n">
        <v>46309</v>
      </c>
      <c r="B248" s="0" t="n">
        <v>5</v>
      </c>
      <c r="C248" s="0" t="n">
        <v>3759</v>
      </c>
      <c r="D248" s="0" t="n">
        <v>251</v>
      </c>
      <c r="E248" s="0" t="n">
        <v>3</v>
      </c>
      <c r="F248" s="27" t="s">
        <v>351</v>
      </c>
      <c r="G248" s="0" t="n">
        <v>21.1</v>
      </c>
      <c r="H248" s="0" t="n">
        <v>24</v>
      </c>
      <c r="I248" s="27" t="s">
        <v>168</v>
      </c>
      <c r="J248" s="0" t="n">
        <v>251</v>
      </c>
      <c r="K248" s="0" t="n">
        <v>83</v>
      </c>
      <c r="M248" s="0" t="n">
        <v>916.25</v>
      </c>
      <c r="N248" s="0" t="n">
        <v>28.14</v>
      </c>
      <c r="O248" s="0" t="n">
        <v>31.34</v>
      </c>
      <c r="P248" s="0" t="n">
        <v>4.07</v>
      </c>
      <c r="Q248" s="0" t="n">
        <v>3.76</v>
      </c>
      <c r="R248" s="0" t="n">
        <v>3666</v>
      </c>
      <c r="S248" s="0" t="n">
        <v>6700</v>
      </c>
      <c r="T248" s="0" t="n">
        <v>40.45</v>
      </c>
      <c r="U248" s="0" t="n">
        <v>1769</v>
      </c>
      <c r="V248" s="0" t="n">
        <v>4</v>
      </c>
      <c r="W248" s="27" t="n">
        <f aca="false">MATCH(A248,DATAS,0)</f>
        <v>1</v>
      </c>
      <c r="X248" s="27" t="n">
        <f aca="false">IF(AND(E248&gt;0,OR(AND(B248&gt;=1,B248&lt;=6),B248=10)),1,0)</f>
        <v>1</v>
      </c>
      <c r="Y248" s="27" t="n">
        <f aca="false">IF(AND(E248&gt;0,B248=10),1,0)</f>
        <v>0</v>
      </c>
      <c r="Z248" s="0" t="str">
        <f aca="false">IF(AND(C247=C248,W247=W248-1),X247,"")</f>
        <v/>
      </c>
      <c r="AA248" s="0" t="str">
        <f aca="false">IF(AND(C247=C248,W247=W248-1),Y247,"")</f>
        <v/>
      </c>
      <c r="AB248" s="0" t="str">
        <f aca="false">IF(W248=1,"",IF(AND(X248=1,Z248&lt;&gt;1),1,0))</f>
        <v/>
      </c>
      <c r="AC248" s="0" t="str">
        <f aca="false">IF(W248=1,"",IF(AND(Y248=1,AA248&lt;&gt;1),1,0))</f>
        <v/>
      </c>
      <c r="AD248" s="33" t="str">
        <f aca="false">IF(AND(E248&gt;0,W248&lt;1,NOT(AND(C249=C248,W249=W248+1))),INDEX(DATAS,W248+1),"")</f>
        <v/>
      </c>
      <c r="AE248" s="33" t="str">
        <f aca="false">IF(AND(Y248=1,W248&lt;1),IF(AND(C249=C248,W249=W248+1),IF(Y249=1,"",INDEX(DATAS,W248+1)),INDEX(DATAS,W248+1)),"")</f>
        <v/>
      </c>
    </row>
    <row r="249" customFormat="false" ht="15" hidden="false" customHeight="false" outlineLevel="0" collapsed="false">
      <c r="A249" s="33" t="n">
        <v>46309</v>
      </c>
      <c r="B249" s="0" t="n">
        <v>7</v>
      </c>
      <c r="C249" s="0" t="n">
        <v>3763</v>
      </c>
      <c r="D249" s="0" t="n">
        <v>339</v>
      </c>
      <c r="E249" s="0" t="n">
        <v>3</v>
      </c>
      <c r="F249" s="27" t="s">
        <v>351</v>
      </c>
      <c r="I249" s="27" t="s">
        <v>143</v>
      </c>
      <c r="J249" s="0" t="n">
        <v>117</v>
      </c>
      <c r="K249" s="0" t="n">
        <v>68</v>
      </c>
      <c r="L249" s="0" t="n">
        <v>237</v>
      </c>
      <c r="M249" s="0" t="n">
        <v>827.06</v>
      </c>
      <c r="N249" s="0" t="n">
        <v>48.67</v>
      </c>
      <c r="O249" s="0" t="n">
        <v>21.96</v>
      </c>
      <c r="P249" s="0" t="n">
        <v>4.37</v>
      </c>
      <c r="Q249" s="0" t="n">
        <v>3.62</v>
      </c>
      <c r="R249" s="0" t="n">
        <v>4439</v>
      </c>
      <c r="S249" s="0" t="n">
        <v>8751</v>
      </c>
      <c r="T249" s="0" t="n">
        <v>45.85</v>
      </c>
      <c r="U249" s="0" t="n">
        <v>1769</v>
      </c>
      <c r="V249" s="0" t="n">
        <v>3</v>
      </c>
      <c r="W249" s="27" t="n">
        <f aca="false">MATCH(A249,DATAS,0)</f>
        <v>1</v>
      </c>
      <c r="X249" s="27" t="n">
        <f aca="false">IF(AND(E249&gt;0,OR(AND(B249&gt;=1,B249&lt;=6),B249=10)),1,0)</f>
        <v>0</v>
      </c>
      <c r="Y249" s="27" t="n">
        <f aca="false">IF(AND(E249&gt;0,B249=10),1,0)</f>
        <v>0</v>
      </c>
      <c r="Z249" s="0" t="str">
        <f aca="false">IF(AND(C248=C249,W248=W249-1),X248,"")</f>
        <v/>
      </c>
      <c r="AA249" s="0" t="str">
        <f aca="false">IF(AND(C248=C249,W248=W249-1),Y248,"")</f>
        <v/>
      </c>
      <c r="AB249" s="0" t="str">
        <f aca="false">IF(W249=1,"",IF(AND(X249=1,Z249&lt;&gt;1),1,0))</f>
        <v/>
      </c>
      <c r="AC249" s="0" t="str">
        <f aca="false">IF(W249=1,"",IF(AND(Y249=1,AA249&lt;&gt;1),1,0))</f>
        <v/>
      </c>
      <c r="AD249" s="33" t="str">
        <f aca="false">IF(AND(E249&gt;0,W249&lt;1,NOT(AND(C250=C249,W250=W249+1))),INDEX(DATAS,W249+1),"")</f>
        <v/>
      </c>
      <c r="AE249" s="33" t="str">
        <f aca="false">IF(AND(Y249=1,W249&lt;1),IF(AND(C250=C249,W250=W249+1),IF(Y250=1,"",INDEX(DATAS,W249+1)),INDEX(DATAS,W249+1)),"")</f>
        <v/>
      </c>
    </row>
    <row r="250" customFormat="false" ht="15" hidden="false" customHeight="false" outlineLevel="0" collapsed="false">
      <c r="A250" s="33" t="n">
        <v>46309</v>
      </c>
      <c r="B250" s="0" t="n">
        <v>3</v>
      </c>
      <c r="C250" s="0" t="n">
        <v>3764</v>
      </c>
      <c r="D250" s="0" t="n">
        <v>24</v>
      </c>
      <c r="E250" s="0" t="n">
        <v>4</v>
      </c>
      <c r="F250" s="27" t="s">
        <v>352</v>
      </c>
      <c r="G250" s="0" t="n">
        <v>43.8</v>
      </c>
      <c r="H250" s="0" t="n">
        <v>42</v>
      </c>
      <c r="I250" s="27" t="s">
        <v>147</v>
      </c>
      <c r="J250" s="0" t="n">
        <v>24</v>
      </c>
      <c r="M250" s="0" t="n">
        <v>606.03</v>
      </c>
      <c r="N250" s="0" t="n">
        <v>17.71</v>
      </c>
      <c r="O250" s="0" t="n">
        <v>14.2</v>
      </c>
      <c r="R250" s="0" t="n">
        <v>3375</v>
      </c>
      <c r="S250" s="0" t="n">
        <v>6785</v>
      </c>
      <c r="U250" s="0" t="n">
        <v>1766</v>
      </c>
      <c r="V250" s="0" t="n">
        <v>0</v>
      </c>
      <c r="W250" s="27" t="n">
        <f aca="false">MATCH(A250,DATAS,0)</f>
        <v>1</v>
      </c>
      <c r="X250" s="27" t="n">
        <f aca="false">IF(AND(E250&gt;0,OR(AND(B250&gt;=1,B250&lt;=6),B250=10)),1,0)</f>
        <v>1</v>
      </c>
      <c r="Y250" s="27" t="n">
        <f aca="false">IF(AND(E250&gt;0,B250=10),1,0)</f>
        <v>0</v>
      </c>
      <c r="Z250" s="0" t="str">
        <f aca="false">IF(AND(C249=C250,W249=W250-1),X249,"")</f>
        <v/>
      </c>
      <c r="AA250" s="0" t="str">
        <f aca="false">IF(AND(C249=C250,W249=W250-1),Y249,"")</f>
        <v/>
      </c>
      <c r="AB250" s="0" t="str">
        <f aca="false">IF(W250=1,"",IF(AND(X250=1,Z250&lt;&gt;1),1,0))</f>
        <v/>
      </c>
      <c r="AC250" s="0" t="str">
        <f aca="false">IF(W250=1,"",IF(AND(Y250=1,AA250&lt;&gt;1),1,0))</f>
        <v/>
      </c>
      <c r="AD250" s="33" t="str">
        <f aca="false">IF(AND(E250&gt;0,W250&lt;1,NOT(AND(C251=C250,W251=W250+1))),INDEX(DATAS,W250+1),"")</f>
        <v/>
      </c>
      <c r="AE250" s="33" t="str">
        <f aca="false">IF(AND(Y250=1,W250&lt;1),IF(AND(C251=C250,W251=W250+1),IF(Y251=1,"",INDEX(DATAS,W250+1)),INDEX(DATAS,W250+1)),"")</f>
        <v/>
      </c>
    </row>
    <row r="251" customFormat="false" ht="15" hidden="false" customHeight="false" outlineLevel="0" collapsed="false">
      <c r="A251" s="33" t="n">
        <v>46309</v>
      </c>
      <c r="B251" s="0" t="n">
        <v>2</v>
      </c>
      <c r="C251" s="0" t="n">
        <v>3765</v>
      </c>
      <c r="D251" s="0" t="n">
        <v>292</v>
      </c>
      <c r="E251" s="0" t="n">
        <v>3</v>
      </c>
      <c r="F251" s="27" t="s">
        <v>352</v>
      </c>
      <c r="G251" s="0" t="n">
        <v>48.4</v>
      </c>
      <c r="H251" s="0" t="n">
        <v>46</v>
      </c>
      <c r="I251" s="27" t="s">
        <v>138</v>
      </c>
      <c r="J251" s="0" t="n">
        <v>110</v>
      </c>
      <c r="K251" s="0" t="n">
        <v>61</v>
      </c>
      <c r="L251" s="0" t="n">
        <v>182</v>
      </c>
      <c r="M251" s="0" t="n">
        <v>329.41</v>
      </c>
      <c r="N251" s="0" t="n">
        <v>30.37</v>
      </c>
      <c r="O251" s="0" t="n">
        <v>26.03</v>
      </c>
      <c r="P251" s="0" t="n">
        <v>3.24</v>
      </c>
      <c r="Q251" s="0" t="n">
        <v>3.86</v>
      </c>
      <c r="R251" s="0" t="n">
        <v>6512</v>
      </c>
      <c r="S251" s="0" t="n">
        <v>12822</v>
      </c>
      <c r="T251" s="0" t="n">
        <v>71.4</v>
      </c>
      <c r="U251" s="0" t="n">
        <v>1766</v>
      </c>
      <c r="V251" s="0" t="n">
        <v>3</v>
      </c>
      <c r="W251" s="27" t="n">
        <f aca="false">MATCH(A251,DATAS,0)</f>
        <v>1</v>
      </c>
      <c r="X251" s="27" t="n">
        <f aca="false">IF(AND(E251&gt;0,OR(AND(B251&gt;=1,B251&lt;=6),B251=10)),1,0)</f>
        <v>1</v>
      </c>
      <c r="Y251" s="27" t="n">
        <f aca="false">IF(AND(E251&gt;0,B251=10),1,0)</f>
        <v>0</v>
      </c>
      <c r="Z251" s="0" t="str">
        <f aca="false">IF(AND(C250=C251,W250=W251-1),X250,"")</f>
        <v/>
      </c>
      <c r="AA251" s="0" t="str">
        <f aca="false">IF(AND(C250=C251,W250=W251-1),Y250,"")</f>
        <v/>
      </c>
      <c r="AB251" s="0" t="str">
        <f aca="false">IF(W251=1,"",IF(AND(X251=1,Z251&lt;&gt;1),1,0))</f>
        <v/>
      </c>
      <c r="AC251" s="0" t="str">
        <f aca="false">IF(W251=1,"",IF(AND(Y251=1,AA251&lt;&gt;1),1,0))</f>
        <v/>
      </c>
      <c r="AD251" s="33" t="str">
        <f aca="false">IF(AND(E251&gt;0,W251&lt;1,NOT(AND(C252=C251,W252=W251+1))),INDEX(DATAS,W251+1),"")</f>
        <v/>
      </c>
      <c r="AE251" s="33" t="str">
        <f aca="false">IF(AND(Y251=1,W251&lt;1),IF(AND(C252=C251,W252=W251+1),IF(Y252=1,"",INDEX(DATAS,W251+1)),INDEX(DATAS,W251+1)),"")</f>
        <v/>
      </c>
    </row>
    <row r="252" customFormat="false" ht="15" hidden="false" customHeight="false" outlineLevel="0" collapsed="false">
      <c r="A252" s="33" t="n">
        <v>46309</v>
      </c>
      <c r="B252" s="0" t="n">
        <v>6</v>
      </c>
      <c r="C252" s="0" t="n">
        <v>3767</v>
      </c>
      <c r="D252" s="0" t="n">
        <v>329</v>
      </c>
      <c r="E252" s="0" t="n">
        <v>3</v>
      </c>
      <c r="F252" s="27" t="s">
        <v>353</v>
      </c>
      <c r="G252" s="0" t="n">
        <v>20.4</v>
      </c>
      <c r="H252" s="0" t="n">
        <v>20</v>
      </c>
      <c r="I252" s="27" t="s">
        <v>138</v>
      </c>
      <c r="J252" s="0" t="n">
        <v>252</v>
      </c>
      <c r="K252" s="0" t="n">
        <v>70</v>
      </c>
      <c r="L252" s="0" t="n">
        <v>77</v>
      </c>
      <c r="M252" s="0" t="n">
        <v>49.13</v>
      </c>
      <c r="N252" s="0" t="n">
        <v>21.21</v>
      </c>
      <c r="O252" s="0" t="n">
        <v>16.68</v>
      </c>
      <c r="P252" s="0" t="n">
        <v>5.5</v>
      </c>
      <c r="Q252" s="0" t="n">
        <v>3.4</v>
      </c>
      <c r="R252" s="0" t="n">
        <v>5490</v>
      </c>
      <c r="S252" s="0" t="n">
        <v>10637</v>
      </c>
      <c r="T252" s="0" t="n">
        <v>58.5</v>
      </c>
      <c r="U252" s="0" t="n">
        <v>1759</v>
      </c>
      <c r="V252" s="0" t="n">
        <v>6</v>
      </c>
      <c r="W252" s="27" t="n">
        <f aca="false">MATCH(A252,DATAS,0)</f>
        <v>1</v>
      </c>
      <c r="X252" s="27" t="n">
        <f aca="false">IF(AND(E252&gt;0,OR(AND(B252&gt;=1,B252&lt;=6),B252=10)),1,0)</f>
        <v>1</v>
      </c>
      <c r="Y252" s="27" t="n">
        <f aca="false">IF(AND(E252&gt;0,B252=10),1,0)</f>
        <v>0</v>
      </c>
      <c r="Z252" s="0" t="str">
        <f aca="false">IF(AND(C251=C252,W251=W252-1),X251,"")</f>
        <v/>
      </c>
      <c r="AA252" s="0" t="str">
        <f aca="false">IF(AND(C251=C252,W251=W252-1),Y251,"")</f>
        <v/>
      </c>
      <c r="AB252" s="0" t="str">
        <f aca="false">IF(W252=1,"",IF(AND(X252=1,Z252&lt;&gt;1),1,0))</f>
        <v/>
      </c>
      <c r="AC252" s="0" t="str">
        <f aca="false">IF(W252=1,"",IF(AND(Y252=1,AA252&lt;&gt;1),1,0))</f>
        <v/>
      </c>
      <c r="AD252" s="33" t="str">
        <f aca="false">IF(AND(E252&gt;0,W252&lt;1,NOT(AND(C253=C252,W253=W252+1))),INDEX(DATAS,W252+1),"")</f>
        <v/>
      </c>
      <c r="AE252" s="33" t="str">
        <f aca="false">IF(AND(Y252=1,W252&lt;1),IF(AND(C253=C252,W253=W252+1),IF(Y253=1,"",INDEX(DATAS,W252+1)),INDEX(DATAS,W252+1)),"")</f>
        <v/>
      </c>
    </row>
    <row r="253" customFormat="false" ht="15" hidden="false" customHeight="false" outlineLevel="0" collapsed="false">
      <c r="A253" s="33" t="n">
        <v>46309</v>
      </c>
      <c r="B253" s="0" t="n">
        <v>6</v>
      </c>
      <c r="C253" s="0" t="n">
        <v>3775</v>
      </c>
      <c r="D253" s="0" t="n">
        <v>404</v>
      </c>
      <c r="E253" s="0" t="n">
        <v>2</v>
      </c>
      <c r="F253" s="27" t="s">
        <v>354</v>
      </c>
      <c r="H253" s="0" t="n">
        <v>22</v>
      </c>
      <c r="I253" s="27" t="s">
        <v>138</v>
      </c>
      <c r="J253" s="0" t="n">
        <v>257</v>
      </c>
      <c r="K253" s="0" t="n">
        <v>68</v>
      </c>
      <c r="L253" s="0" t="n">
        <v>147</v>
      </c>
      <c r="M253" s="0" t="n">
        <v>421.22</v>
      </c>
      <c r="N253" s="0" t="n">
        <v>64.16</v>
      </c>
      <c r="O253" s="0" t="n">
        <v>23.48</v>
      </c>
      <c r="P253" s="0" t="n">
        <v>5.8</v>
      </c>
      <c r="Q253" s="0" t="n">
        <v>4.43</v>
      </c>
      <c r="R253" s="0" t="n">
        <v>3784</v>
      </c>
      <c r="S253" s="0" t="n">
        <v>7758</v>
      </c>
      <c r="T253" s="0" t="n">
        <v>40.75</v>
      </c>
      <c r="U253" s="0" t="n">
        <v>1751</v>
      </c>
      <c r="V253" s="0" t="n">
        <v>3</v>
      </c>
      <c r="W253" s="27" t="n">
        <f aca="false">MATCH(A253,DATAS,0)</f>
        <v>1</v>
      </c>
      <c r="X253" s="27" t="n">
        <f aca="false">IF(AND(E253&gt;0,OR(AND(B253&gt;=1,B253&lt;=6),B253=10)),1,0)</f>
        <v>1</v>
      </c>
      <c r="Y253" s="27" t="n">
        <f aca="false">IF(AND(E253&gt;0,B253=10),1,0)</f>
        <v>0</v>
      </c>
      <c r="Z253" s="0" t="str">
        <f aca="false">IF(AND(C252=C253,W252=W253-1),X252,"")</f>
        <v/>
      </c>
      <c r="AA253" s="0" t="str">
        <f aca="false">IF(AND(C252=C253,W252=W253-1),Y252,"")</f>
        <v/>
      </c>
      <c r="AB253" s="0" t="str">
        <f aca="false">IF(W253=1,"",IF(AND(X253=1,Z253&lt;&gt;1),1,0))</f>
        <v/>
      </c>
      <c r="AC253" s="0" t="str">
        <f aca="false">IF(W253=1,"",IF(AND(Y253=1,AA253&lt;&gt;1),1,0))</f>
        <v/>
      </c>
      <c r="AD253" s="33" t="str">
        <f aca="false">IF(AND(E253&gt;0,W253&lt;1,NOT(AND(C254=C253,W254=W253+1))),INDEX(DATAS,W253+1),"")</f>
        <v/>
      </c>
      <c r="AE253" s="33" t="str">
        <f aca="false">IF(AND(Y253=1,W253&lt;1),IF(AND(C254=C253,W254=W253+1),IF(Y254=1,"",INDEX(DATAS,W253+1)),INDEX(DATAS,W253+1)),"")</f>
        <v/>
      </c>
    </row>
    <row r="254" customFormat="false" ht="15" hidden="false" customHeight="false" outlineLevel="0" collapsed="false">
      <c r="A254" s="33" t="n">
        <v>46309</v>
      </c>
      <c r="B254" s="0" t="n">
        <v>7</v>
      </c>
      <c r="C254" s="0" t="n">
        <v>3780</v>
      </c>
      <c r="D254" s="0" t="n">
        <v>300</v>
      </c>
      <c r="E254" s="0" t="n">
        <v>3</v>
      </c>
      <c r="F254" s="27" t="s">
        <v>355</v>
      </c>
      <c r="G254" s="0" t="n">
        <v>9.3</v>
      </c>
      <c r="H254" s="0" t="n">
        <v>8</v>
      </c>
      <c r="I254" s="27" t="s">
        <v>138</v>
      </c>
      <c r="J254" s="0" t="n">
        <v>223</v>
      </c>
      <c r="K254" s="0" t="n">
        <v>76</v>
      </c>
      <c r="L254" s="0" t="n">
        <v>77</v>
      </c>
      <c r="M254" s="0" t="n">
        <v>709.3</v>
      </c>
      <c r="N254" s="0" t="n">
        <v>33.47</v>
      </c>
      <c r="O254" s="0" t="n">
        <v>24.23</v>
      </c>
      <c r="P254" s="0" t="n">
        <v>5.48</v>
      </c>
      <c r="Q254" s="0" t="n">
        <v>4.29</v>
      </c>
      <c r="R254" s="0" t="n">
        <v>4971</v>
      </c>
      <c r="S254" s="0" t="n">
        <v>10112</v>
      </c>
      <c r="T254" s="0" t="n">
        <v>52.85</v>
      </c>
      <c r="U254" s="0" t="n">
        <v>1750</v>
      </c>
      <c r="V254" s="0" t="n">
        <v>5</v>
      </c>
      <c r="W254" s="27" t="n">
        <f aca="false">MATCH(A254,DATAS,0)</f>
        <v>1</v>
      </c>
      <c r="X254" s="27" t="n">
        <f aca="false">IF(AND(E254&gt;0,OR(AND(B254&gt;=1,B254&lt;=6),B254=10)),1,0)</f>
        <v>0</v>
      </c>
      <c r="Y254" s="27" t="n">
        <f aca="false">IF(AND(E254&gt;0,B254=10),1,0)</f>
        <v>0</v>
      </c>
      <c r="Z254" s="0" t="str">
        <f aca="false">IF(AND(C253=C254,W253=W254-1),X253,"")</f>
        <v/>
      </c>
      <c r="AA254" s="0" t="str">
        <f aca="false">IF(AND(C253=C254,W253=W254-1),Y253,"")</f>
        <v/>
      </c>
      <c r="AB254" s="0" t="str">
        <f aca="false">IF(W254=1,"",IF(AND(X254=1,Z254&lt;&gt;1),1,0))</f>
        <v/>
      </c>
      <c r="AC254" s="0" t="str">
        <f aca="false">IF(W254=1,"",IF(AND(Y254=1,AA254&lt;&gt;1),1,0))</f>
        <v/>
      </c>
      <c r="AD254" s="33" t="str">
        <f aca="false">IF(AND(E254&gt;0,W254&lt;1,NOT(AND(C255=C254,W255=W254+1))),INDEX(DATAS,W254+1),"")</f>
        <v/>
      </c>
      <c r="AE254" s="33" t="str">
        <f aca="false">IF(AND(Y254=1,W254&lt;1),IF(AND(C255=C254,W255=W254+1),IF(Y255=1,"",INDEX(DATAS,W254+1)),INDEX(DATAS,W254+1)),"")</f>
        <v/>
      </c>
    </row>
    <row r="255" customFormat="false" ht="15" hidden="false" customHeight="false" outlineLevel="0" collapsed="false">
      <c r="A255" s="33" t="n">
        <v>46309</v>
      </c>
      <c r="B255" s="0" t="n">
        <v>5</v>
      </c>
      <c r="C255" s="0" t="n">
        <v>3781</v>
      </c>
      <c r="D255" s="0" t="n">
        <v>125</v>
      </c>
      <c r="E255" s="0" t="n">
        <v>3</v>
      </c>
      <c r="F255" s="27" t="s">
        <v>356</v>
      </c>
      <c r="G255" s="0" t="n">
        <v>44.8</v>
      </c>
      <c r="H255" s="0" t="n">
        <v>44</v>
      </c>
      <c r="I255" s="27" t="s">
        <v>176</v>
      </c>
      <c r="J255" s="0" t="n">
        <v>125</v>
      </c>
      <c r="K255" s="0" t="n">
        <v>69</v>
      </c>
      <c r="M255" s="0" t="n">
        <v>289.94</v>
      </c>
      <c r="N255" s="0" t="n">
        <v>32.29</v>
      </c>
      <c r="O255" s="0" t="n">
        <v>7.43</v>
      </c>
      <c r="P255" s="0" t="n">
        <v>5.19</v>
      </c>
      <c r="Q255" s="0" t="n">
        <v>2.94</v>
      </c>
      <c r="R255" s="0" t="n">
        <v>4882</v>
      </c>
      <c r="S255" s="0" t="n">
        <v>9597</v>
      </c>
      <c r="T255" s="0" t="n">
        <v>52.3</v>
      </c>
      <c r="U255" s="0" t="n">
        <v>1749</v>
      </c>
      <c r="V255" s="0" t="n">
        <v>1</v>
      </c>
      <c r="W255" s="27" t="n">
        <f aca="false">MATCH(A255,DATAS,0)</f>
        <v>1</v>
      </c>
      <c r="X255" s="27" t="n">
        <f aca="false">IF(AND(E255&gt;0,OR(AND(B255&gt;=1,B255&lt;=6),B255=10)),1,0)</f>
        <v>1</v>
      </c>
      <c r="Y255" s="27" t="n">
        <f aca="false">IF(AND(E255&gt;0,B255=10),1,0)</f>
        <v>0</v>
      </c>
      <c r="Z255" s="0" t="str">
        <f aca="false">IF(AND(C254=C255,W254=W255-1),X254,"")</f>
        <v/>
      </c>
      <c r="AA255" s="0" t="str">
        <f aca="false">IF(AND(C254=C255,W254=W255-1),Y254,"")</f>
        <v/>
      </c>
      <c r="AB255" s="0" t="str">
        <f aca="false">IF(W255=1,"",IF(AND(X255=1,Z255&lt;&gt;1),1,0))</f>
        <v/>
      </c>
      <c r="AC255" s="0" t="str">
        <f aca="false">IF(W255=1,"",IF(AND(Y255=1,AA255&lt;&gt;1),1,0))</f>
        <v/>
      </c>
      <c r="AD255" s="33" t="str">
        <f aca="false">IF(AND(E255&gt;0,W255&lt;1,NOT(AND(C256=C255,W256=W255+1))),INDEX(DATAS,W255+1),"")</f>
        <v/>
      </c>
      <c r="AE255" s="33" t="str">
        <f aca="false">IF(AND(Y255=1,W255&lt;1),IF(AND(C256=C255,W256=W255+1),IF(Y256=1,"",INDEX(DATAS,W255+1)),INDEX(DATAS,W255+1)),"")</f>
        <v/>
      </c>
    </row>
    <row r="256" customFormat="false" ht="15" hidden="false" customHeight="false" outlineLevel="0" collapsed="false">
      <c r="A256" s="33" t="n">
        <v>46309</v>
      </c>
      <c r="B256" s="0" t="n">
        <v>5</v>
      </c>
      <c r="C256" s="0" t="n">
        <v>3782</v>
      </c>
      <c r="D256" s="0" t="n">
        <v>388</v>
      </c>
      <c r="E256" s="0" t="n">
        <v>3</v>
      </c>
      <c r="F256" s="27" t="s">
        <v>357</v>
      </c>
      <c r="G256" s="0" t="n">
        <v>28.1</v>
      </c>
      <c r="H256" s="0" t="n">
        <v>26</v>
      </c>
      <c r="I256" s="27" t="s">
        <v>138</v>
      </c>
      <c r="J256" s="0" t="n">
        <v>318</v>
      </c>
      <c r="K256" s="0" t="n">
        <v>66</v>
      </c>
      <c r="L256" s="0" t="n">
        <v>70</v>
      </c>
      <c r="M256" s="0" t="n">
        <v>751.23</v>
      </c>
      <c r="N256" s="0" t="n">
        <v>34.42</v>
      </c>
      <c r="O256" s="0" t="n">
        <v>31.92</v>
      </c>
      <c r="P256" s="0" t="n">
        <v>3.98</v>
      </c>
      <c r="Q256" s="0" t="n">
        <v>3.65</v>
      </c>
      <c r="R256" s="0" t="n">
        <v>6128</v>
      </c>
      <c r="S256" s="0" t="n">
        <v>10626</v>
      </c>
      <c r="T256" s="0" t="n">
        <v>69.75</v>
      </c>
      <c r="U256" s="0" t="n">
        <v>1747</v>
      </c>
      <c r="V256" s="0" t="n">
        <v>6</v>
      </c>
      <c r="W256" s="27" t="n">
        <f aca="false">MATCH(A256,DATAS,0)</f>
        <v>1</v>
      </c>
      <c r="X256" s="27" t="n">
        <f aca="false">IF(AND(E256&gt;0,OR(AND(B256&gt;=1,B256&lt;=6),B256=10)),1,0)</f>
        <v>1</v>
      </c>
      <c r="Y256" s="27" t="n">
        <f aca="false">IF(AND(E256&gt;0,B256=10),1,0)</f>
        <v>0</v>
      </c>
      <c r="Z256" s="0" t="str">
        <f aca="false">IF(AND(C255=C256,W255=W256-1),X255,"")</f>
        <v/>
      </c>
      <c r="AA256" s="0" t="str">
        <f aca="false">IF(AND(C255=C256,W255=W256-1),Y255,"")</f>
        <v/>
      </c>
      <c r="AB256" s="0" t="str">
        <f aca="false">IF(W256=1,"",IF(AND(X256=1,Z256&lt;&gt;1),1,0))</f>
        <v/>
      </c>
      <c r="AC256" s="0" t="str">
        <f aca="false">IF(W256=1,"",IF(AND(Y256=1,AA256&lt;&gt;1),1,0))</f>
        <v/>
      </c>
      <c r="AD256" s="33" t="str">
        <f aca="false">IF(AND(E256&gt;0,W256&lt;1,NOT(AND(C257=C256,W257=W256+1))),INDEX(DATAS,W256+1),"")</f>
        <v/>
      </c>
      <c r="AE256" s="33" t="str">
        <f aca="false">IF(AND(Y256=1,W256&lt;1),IF(AND(C257=C256,W257=W256+1),IF(Y257=1,"",INDEX(DATAS,W256+1)),INDEX(DATAS,W256+1)),"")</f>
        <v/>
      </c>
    </row>
    <row r="257" customFormat="false" ht="15" hidden="false" customHeight="false" outlineLevel="0" collapsed="false">
      <c r="A257" s="33" t="n">
        <v>46309</v>
      </c>
      <c r="B257" s="0" t="n">
        <v>5</v>
      </c>
      <c r="C257" s="0" t="n">
        <v>3783</v>
      </c>
      <c r="D257" s="0" t="n">
        <v>204</v>
      </c>
      <c r="E257" s="0" t="n">
        <v>3</v>
      </c>
      <c r="F257" s="27" t="s">
        <v>358</v>
      </c>
      <c r="G257" s="0" t="n">
        <v>31.6</v>
      </c>
      <c r="H257" s="0" t="n">
        <v>37</v>
      </c>
      <c r="I257" s="27" t="s">
        <v>138</v>
      </c>
      <c r="J257" s="0" t="n">
        <v>127</v>
      </c>
      <c r="K257" s="0" t="n">
        <v>71</v>
      </c>
      <c r="L257" s="0" t="n">
        <v>77</v>
      </c>
      <c r="M257" s="0" t="n">
        <v>-79.45</v>
      </c>
      <c r="N257" s="0" t="n">
        <v>44.22</v>
      </c>
      <c r="O257" s="0" t="n">
        <v>9.35</v>
      </c>
      <c r="P257" s="0" t="n">
        <v>5.2</v>
      </c>
      <c r="Q257" s="0" t="n">
        <v>3.97</v>
      </c>
      <c r="R257" s="0" t="n">
        <v>4683</v>
      </c>
      <c r="S257" s="0" t="n">
        <v>9093</v>
      </c>
      <c r="T257" s="0" t="n">
        <v>53.4</v>
      </c>
      <c r="U257" s="0" t="n">
        <v>1746</v>
      </c>
      <c r="V257" s="0" t="n">
        <v>3</v>
      </c>
      <c r="W257" s="27" t="n">
        <f aca="false">MATCH(A257,DATAS,0)</f>
        <v>1</v>
      </c>
      <c r="X257" s="27" t="n">
        <f aca="false">IF(AND(E257&gt;0,OR(AND(B257&gt;=1,B257&lt;=6),B257=10)),1,0)</f>
        <v>1</v>
      </c>
      <c r="Y257" s="27" t="n">
        <f aca="false">IF(AND(E257&gt;0,B257=10),1,0)</f>
        <v>0</v>
      </c>
      <c r="Z257" s="0" t="str">
        <f aca="false">IF(AND(C256=C257,W256=W257-1),X256,"")</f>
        <v/>
      </c>
      <c r="AA257" s="0" t="str">
        <f aca="false">IF(AND(C256=C257,W256=W257-1),Y256,"")</f>
        <v/>
      </c>
      <c r="AB257" s="0" t="str">
        <f aca="false">IF(W257=1,"",IF(AND(X257=1,Z257&lt;&gt;1),1,0))</f>
        <v/>
      </c>
      <c r="AC257" s="0" t="str">
        <f aca="false">IF(W257=1,"",IF(AND(Y257=1,AA257&lt;&gt;1),1,0))</f>
        <v/>
      </c>
      <c r="AD257" s="33" t="str">
        <f aca="false">IF(AND(E257&gt;0,W257&lt;1,NOT(AND(C258=C257,W258=W257+1))),INDEX(DATAS,W257+1),"")</f>
        <v/>
      </c>
      <c r="AE257" s="33" t="str">
        <f aca="false">IF(AND(Y257=1,W257&lt;1),IF(AND(C258=C257,W258=W257+1),IF(Y258=1,"",INDEX(DATAS,W257+1)),INDEX(DATAS,W257+1)),"")</f>
        <v/>
      </c>
    </row>
    <row r="258" customFormat="false" ht="15" hidden="false" customHeight="false" outlineLevel="0" collapsed="false">
      <c r="A258" s="33" t="n">
        <v>46309</v>
      </c>
      <c r="B258" s="0" t="n">
        <v>7</v>
      </c>
      <c r="C258" s="0" t="n">
        <v>3784</v>
      </c>
      <c r="D258" s="0" t="n">
        <v>346</v>
      </c>
      <c r="E258" s="0" t="n">
        <v>3</v>
      </c>
      <c r="F258" s="27" t="s">
        <v>359</v>
      </c>
      <c r="G258" s="0" t="n">
        <v>5.2</v>
      </c>
      <c r="H258" s="0" t="n">
        <v>16</v>
      </c>
      <c r="I258" s="27" t="s">
        <v>143</v>
      </c>
      <c r="J258" s="0" t="n">
        <v>123</v>
      </c>
      <c r="K258" s="0" t="n">
        <v>68</v>
      </c>
      <c r="L258" s="0" t="n">
        <v>224</v>
      </c>
      <c r="M258" s="0" t="n">
        <v>361.74</v>
      </c>
      <c r="N258" s="0" t="n">
        <v>23.24</v>
      </c>
      <c r="O258" s="0" t="n">
        <v>25.12</v>
      </c>
      <c r="P258" s="0" t="n">
        <v>3.68</v>
      </c>
      <c r="Q258" s="0" t="n">
        <v>3.29</v>
      </c>
      <c r="R258" s="0" t="n">
        <v>4667</v>
      </c>
      <c r="S258" s="0" t="n">
        <v>9821</v>
      </c>
      <c r="T258" s="0" t="n">
        <v>51.1</v>
      </c>
      <c r="U258" s="0" t="n">
        <v>1745</v>
      </c>
      <c r="V258" s="0" t="n">
        <v>3</v>
      </c>
      <c r="W258" s="27" t="n">
        <f aca="false">MATCH(A258,DATAS,0)</f>
        <v>1</v>
      </c>
      <c r="X258" s="27" t="n">
        <f aca="false">IF(AND(E258&gt;0,OR(AND(B258&gt;=1,B258&lt;=6),B258=10)),1,0)</f>
        <v>0</v>
      </c>
      <c r="Y258" s="27" t="n">
        <f aca="false">IF(AND(E258&gt;0,B258=10),1,0)</f>
        <v>0</v>
      </c>
      <c r="Z258" s="0" t="str">
        <f aca="false">IF(AND(C257=C258,W257=W258-1),X257,"")</f>
        <v/>
      </c>
      <c r="AA258" s="0" t="str">
        <f aca="false">IF(AND(C257=C258,W257=W258-1),Y257,"")</f>
        <v/>
      </c>
      <c r="AB258" s="0" t="str">
        <f aca="false">IF(W258=1,"",IF(AND(X258=1,Z258&lt;&gt;1),1,0))</f>
        <v/>
      </c>
      <c r="AC258" s="0" t="str">
        <f aca="false">IF(W258=1,"",IF(AND(Y258=1,AA258&lt;&gt;1),1,0))</f>
        <v/>
      </c>
      <c r="AD258" s="33" t="str">
        <f aca="false">IF(AND(E258&gt;0,W258&lt;1,NOT(AND(C259=C258,W259=W258+1))),INDEX(DATAS,W258+1),"")</f>
        <v/>
      </c>
      <c r="AE258" s="33" t="str">
        <f aca="false">IF(AND(Y258=1,W258&lt;1),IF(AND(C259=C258,W259=W258+1),IF(Y259=1,"",INDEX(DATAS,W258+1)),INDEX(DATAS,W258+1)),"")</f>
        <v/>
      </c>
    </row>
    <row r="259" customFormat="false" ht="15" hidden="false" customHeight="false" outlineLevel="0" collapsed="false">
      <c r="A259" s="33" t="n">
        <v>46309</v>
      </c>
      <c r="B259" s="0" t="n">
        <v>3</v>
      </c>
      <c r="C259" s="0" t="n">
        <v>3785</v>
      </c>
      <c r="D259" s="0" t="n">
        <v>87</v>
      </c>
      <c r="E259" s="0" t="n">
        <v>3</v>
      </c>
      <c r="F259" s="27" t="s">
        <v>360</v>
      </c>
      <c r="G259" s="0" t="n">
        <v>53</v>
      </c>
      <c r="H259" s="0" t="n">
        <v>54</v>
      </c>
      <c r="I259" s="27" t="s">
        <v>168</v>
      </c>
      <c r="J259" s="0" t="n">
        <v>87</v>
      </c>
      <c r="K259" s="0" t="n">
        <v>66</v>
      </c>
      <c r="M259" s="0" t="n">
        <v>602.76</v>
      </c>
      <c r="N259" s="0" t="n">
        <v>52.14</v>
      </c>
      <c r="O259" s="0" t="n">
        <v>30.4</v>
      </c>
      <c r="P259" s="0" t="n">
        <v>4.91</v>
      </c>
      <c r="Q259" s="0" t="n">
        <v>2.98</v>
      </c>
      <c r="R259" s="0" t="n">
        <v>5692</v>
      </c>
      <c r="S259" s="0" t="n">
        <v>11442</v>
      </c>
      <c r="U259" s="0" t="n">
        <v>1744</v>
      </c>
      <c r="V259" s="0" t="n">
        <v>1</v>
      </c>
      <c r="W259" s="27" t="n">
        <f aca="false">MATCH(A259,DATAS,0)</f>
        <v>1</v>
      </c>
      <c r="X259" s="27" t="n">
        <f aca="false">IF(AND(E259&gt;0,OR(AND(B259&gt;=1,B259&lt;=6),B259=10)),1,0)</f>
        <v>1</v>
      </c>
      <c r="Y259" s="27" t="n">
        <f aca="false">IF(AND(E259&gt;0,B259=10),1,0)</f>
        <v>0</v>
      </c>
      <c r="Z259" s="0" t="str">
        <f aca="false">IF(AND(C258=C259,W258=W259-1),X258,"")</f>
        <v/>
      </c>
      <c r="AA259" s="0" t="str">
        <f aca="false">IF(AND(C258=C259,W258=W259-1),Y258,"")</f>
        <v/>
      </c>
      <c r="AB259" s="0" t="str">
        <f aca="false">IF(W259=1,"",IF(AND(X259=1,Z259&lt;&gt;1),1,0))</f>
        <v/>
      </c>
      <c r="AC259" s="0" t="str">
        <f aca="false">IF(W259=1,"",IF(AND(Y259=1,AA259&lt;&gt;1),1,0))</f>
        <v/>
      </c>
      <c r="AD259" s="33" t="str">
        <f aca="false">IF(AND(E259&gt;0,W259&lt;1,NOT(AND(C260=C259,W260=W259+1))),INDEX(DATAS,W259+1),"")</f>
        <v/>
      </c>
      <c r="AE259" s="33" t="str">
        <f aca="false">IF(AND(Y259=1,W259&lt;1),IF(AND(C260=C259,W260=W259+1),IF(Y260=1,"",INDEX(DATAS,W259+1)),INDEX(DATAS,W259+1)),"")</f>
        <v/>
      </c>
    </row>
    <row r="260" customFormat="false" ht="15" hidden="false" customHeight="false" outlineLevel="0" collapsed="false">
      <c r="A260" s="33" t="n">
        <v>46309</v>
      </c>
      <c r="B260" s="0" t="n">
        <v>6</v>
      </c>
      <c r="C260" s="0" t="n">
        <v>3786</v>
      </c>
      <c r="D260" s="0" t="n">
        <v>315</v>
      </c>
      <c r="E260" s="0" t="n">
        <v>3</v>
      </c>
      <c r="F260" s="27" t="s">
        <v>361</v>
      </c>
      <c r="G260" s="0" t="n">
        <v>30.1</v>
      </c>
      <c r="H260" s="0" t="n">
        <v>30</v>
      </c>
      <c r="I260" s="27" t="s">
        <v>138</v>
      </c>
      <c r="J260" s="0" t="n">
        <v>273</v>
      </c>
      <c r="K260" s="0" t="n">
        <v>63</v>
      </c>
      <c r="L260" s="0" t="n">
        <v>42</v>
      </c>
      <c r="M260" s="0" t="n">
        <v>768.64</v>
      </c>
      <c r="N260" s="0" t="n">
        <v>33.91</v>
      </c>
      <c r="O260" s="0" t="n">
        <v>28.87</v>
      </c>
      <c r="P260" s="0" t="n">
        <v>5.46</v>
      </c>
      <c r="Q260" s="0" t="n">
        <v>3.65</v>
      </c>
      <c r="R260" s="0" t="n">
        <v>6225</v>
      </c>
      <c r="S260" s="0" t="n">
        <v>11997</v>
      </c>
      <c r="T260" s="0" t="n">
        <v>63</v>
      </c>
      <c r="U260" s="0" t="n">
        <v>1743</v>
      </c>
      <c r="V260" s="0" t="n">
        <v>5</v>
      </c>
      <c r="W260" s="27" t="n">
        <f aca="false">MATCH(A260,DATAS,0)</f>
        <v>1</v>
      </c>
      <c r="X260" s="27" t="n">
        <f aca="false">IF(AND(E260&gt;0,OR(AND(B260&gt;=1,B260&lt;=6),B260=10)),1,0)</f>
        <v>1</v>
      </c>
      <c r="Y260" s="27" t="n">
        <f aca="false">IF(AND(E260&gt;0,B260=10),1,0)</f>
        <v>0</v>
      </c>
      <c r="Z260" s="0" t="str">
        <f aca="false">IF(AND(C259=C260,W259=W260-1),X259,"")</f>
        <v/>
      </c>
      <c r="AA260" s="0" t="str">
        <f aca="false">IF(AND(C259=C260,W259=W260-1),Y259,"")</f>
        <v/>
      </c>
      <c r="AB260" s="0" t="str">
        <f aca="false">IF(W260=1,"",IF(AND(X260=1,Z260&lt;&gt;1),1,0))</f>
        <v/>
      </c>
      <c r="AC260" s="0" t="str">
        <f aca="false">IF(W260=1,"",IF(AND(Y260=1,AA260&lt;&gt;1),1,0))</f>
        <v/>
      </c>
      <c r="AD260" s="33" t="str">
        <f aca="false">IF(AND(E260&gt;0,W260&lt;1,NOT(AND(C261=C260,W261=W260+1))),INDEX(DATAS,W260+1),"")</f>
        <v/>
      </c>
      <c r="AE260" s="33" t="str">
        <f aca="false">IF(AND(Y260=1,W260&lt;1),IF(AND(C261=C260,W261=W260+1),IF(Y261=1,"",INDEX(DATAS,W260+1)),INDEX(DATAS,W260+1)),"")</f>
        <v/>
      </c>
    </row>
    <row r="261" customFormat="false" ht="15" hidden="false" customHeight="false" outlineLevel="0" collapsed="false">
      <c r="A261" s="33" t="n">
        <v>46309</v>
      </c>
      <c r="B261" s="0" t="n">
        <v>5</v>
      </c>
      <c r="C261" s="0" t="n">
        <v>3789</v>
      </c>
      <c r="D261" s="0" t="n">
        <v>198</v>
      </c>
      <c r="E261" s="0" t="n">
        <v>3</v>
      </c>
      <c r="F261" s="27" t="s">
        <v>361</v>
      </c>
      <c r="G261" s="0" t="n">
        <v>46.6</v>
      </c>
      <c r="H261" s="0" t="n">
        <v>41</v>
      </c>
      <c r="I261" s="27" t="s">
        <v>176</v>
      </c>
      <c r="J261" s="0" t="n">
        <v>198</v>
      </c>
      <c r="K261" s="0" t="n">
        <v>65</v>
      </c>
      <c r="M261" s="0" t="n">
        <v>155.58</v>
      </c>
      <c r="N261" s="0" t="n">
        <v>63.6</v>
      </c>
      <c r="O261" s="0" t="n">
        <v>17.69</v>
      </c>
      <c r="P261" s="0" t="n">
        <v>5.06</v>
      </c>
      <c r="Q261" s="0" t="n">
        <v>3.66</v>
      </c>
      <c r="R261" s="0" t="n">
        <v>4370</v>
      </c>
      <c r="S261" s="0" t="n">
        <v>8567</v>
      </c>
      <c r="T261" s="0" t="n">
        <v>51</v>
      </c>
      <c r="U261" s="0" t="n">
        <v>1743</v>
      </c>
      <c r="V261" s="0" t="n">
        <v>2</v>
      </c>
      <c r="W261" s="27" t="n">
        <f aca="false">MATCH(A261,DATAS,0)</f>
        <v>1</v>
      </c>
      <c r="X261" s="27" t="n">
        <f aca="false">IF(AND(E261&gt;0,OR(AND(B261&gt;=1,B261&lt;=6),B261=10)),1,0)</f>
        <v>1</v>
      </c>
      <c r="Y261" s="27" t="n">
        <f aca="false">IF(AND(E261&gt;0,B261=10),1,0)</f>
        <v>0</v>
      </c>
      <c r="Z261" s="0" t="str">
        <f aca="false">IF(AND(C260=C261,W260=W261-1),X260,"")</f>
        <v/>
      </c>
      <c r="AA261" s="0" t="str">
        <f aca="false">IF(AND(C260=C261,W260=W261-1),Y260,"")</f>
        <v/>
      </c>
      <c r="AB261" s="0" t="str">
        <f aca="false">IF(W261=1,"",IF(AND(X261=1,Z261&lt;&gt;1),1,0))</f>
        <v/>
      </c>
      <c r="AC261" s="0" t="str">
        <f aca="false">IF(W261=1,"",IF(AND(Y261=1,AA261&lt;&gt;1),1,0))</f>
        <v/>
      </c>
      <c r="AD261" s="33" t="str">
        <f aca="false">IF(AND(E261&gt;0,W261&lt;1,NOT(AND(C262=C261,W262=W261+1))),INDEX(DATAS,W261+1),"")</f>
        <v/>
      </c>
      <c r="AE261" s="33" t="str">
        <f aca="false">IF(AND(Y261=1,W261&lt;1),IF(AND(C262=C261,W262=W261+1),IF(Y262=1,"",INDEX(DATAS,W261+1)),INDEX(DATAS,W261+1)),"")</f>
        <v/>
      </c>
    </row>
    <row r="262" customFormat="false" ht="15" hidden="false" customHeight="false" outlineLevel="0" collapsed="false">
      <c r="A262" s="33" t="n">
        <v>46309</v>
      </c>
      <c r="B262" s="0" t="n">
        <v>2</v>
      </c>
      <c r="C262" s="0" t="n">
        <v>3792</v>
      </c>
      <c r="D262" s="0" t="n">
        <v>278</v>
      </c>
      <c r="E262" s="0" t="n">
        <v>3</v>
      </c>
      <c r="F262" s="27" t="s">
        <v>362</v>
      </c>
      <c r="G262" s="0" t="n">
        <v>57.5</v>
      </c>
      <c r="H262" s="0" t="n">
        <v>54</v>
      </c>
      <c r="I262" s="27" t="s">
        <v>138</v>
      </c>
      <c r="J262" s="0" t="n">
        <v>138</v>
      </c>
      <c r="K262" s="0" t="n">
        <v>68</v>
      </c>
      <c r="L262" s="0" t="n">
        <v>140</v>
      </c>
      <c r="M262" s="0" t="n">
        <v>452.69</v>
      </c>
      <c r="N262" s="0" t="n">
        <v>54.42</v>
      </c>
      <c r="O262" s="0" t="n">
        <v>16.97</v>
      </c>
      <c r="P262" s="0" t="n">
        <v>3.81</v>
      </c>
      <c r="Q262" s="0" t="n">
        <v>3.37</v>
      </c>
      <c r="R262" s="0" t="n">
        <v>5436</v>
      </c>
      <c r="S262" s="0" t="n">
        <v>11364</v>
      </c>
      <c r="T262" s="0" t="n">
        <v>63.4</v>
      </c>
      <c r="U262" s="0" t="n">
        <v>1741</v>
      </c>
      <c r="V262" s="0" t="n">
        <v>3</v>
      </c>
      <c r="W262" s="27" t="n">
        <f aca="false">MATCH(A262,DATAS,0)</f>
        <v>1</v>
      </c>
      <c r="X262" s="27" t="n">
        <f aca="false">IF(AND(E262&gt;0,OR(AND(B262&gt;=1,B262&lt;=6),B262=10)),1,0)</f>
        <v>1</v>
      </c>
      <c r="Y262" s="27" t="n">
        <f aca="false">IF(AND(E262&gt;0,B262=10),1,0)</f>
        <v>0</v>
      </c>
      <c r="Z262" s="0" t="str">
        <f aca="false">IF(AND(C261=C262,W261=W262-1),X261,"")</f>
        <v/>
      </c>
      <c r="AA262" s="0" t="str">
        <f aca="false">IF(AND(C261=C262,W261=W262-1),Y261,"")</f>
        <v/>
      </c>
      <c r="AB262" s="0" t="str">
        <f aca="false">IF(W262=1,"",IF(AND(X262=1,Z262&lt;&gt;1),1,0))</f>
        <v/>
      </c>
      <c r="AC262" s="0" t="str">
        <f aca="false">IF(W262=1,"",IF(AND(Y262=1,AA262&lt;&gt;1),1,0))</f>
        <v/>
      </c>
      <c r="AD262" s="33" t="str">
        <f aca="false">IF(AND(E262&gt;0,W262&lt;1,NOT(AND(C263=C262,W263=W262+1))),INDEX(DATAS,W262+1),"")</f>
        <v/>
      </c>
      <c r="AE262" s="33" t="str">
        <f aca="false">IF(AND(Y262=1,W262&lt;1),IF(AND(C263=C262,W263=W262+1),IF(Y263=1,"",INDEX(DATAS,W262+1)),INDEX(DATAS,W262+1)),"")</f>
        <v/>
      </c>
    </row>
    <row r="263" customFormat="false" ht="15" hidden="false" customHeight="false" outlineLevel="0" collapsed="false">
      <c r="A263" s="33" t="n">
        <v>46309</v>
      </c>
      <c r="B263" s="0" t="n">
        <v>6</v>
      </c>
      <c r="C263" s="0" t="n">
        <v>3796</v>
      </c>
      <c r="D263" s="0" t="n">
        <v>739</v>
      </c>
      <c r="E263" s="0" t="n">
        <v>2</v>
      </c>
      <c r="F263" s="27" t="s">
        <v>363</v>
      </c>
      <c r="G263" s="0" t="n">
        <v>25.2</v>
      </c>
      <c r="H263" s="0" t="n">
        <v>23</v>
      </c>
      <c r="I263" s="27" t="s">
        <v>151</v>
      </c>
      <c r="J263" s="0" t="n">
        <v>739</v>
      </c>
      <c r="K263" s="0" t="n">
        <v>68</v>
      </c>
      <c r="M263" s="0" t="n">
        <v>494.53</v>
      </c>
      <c r="N263" s="0" t="n">
        <v>64.78</v>
      </c>
      <c r="O263" s="0" t="n">
        <v>16.4</v>
      </c>
      <c r="P263" s="0" t="n">
        <v>4.66</v>
      </c>
      <c r="Q263" s="0" t="n">
        <v>3.81</v>
      </c>
      <c r="R263" s="0" t="n">
        <v>5470</v>
      </c>
      <c r="S263" s="0" t="n">
        <v>11733</v>
      </c>
      <c r="T263" s="0" t="n">
        <v>46.85</v>
      </c>
      <c r="U263" s="0" t="n">
        <v>1738</v>
      </c>
      <c r="V263" s="0" t="n">
        <v>15</v>
      </c>
      <c r="W263" s="27" t="n">
        <f aca="false">MATCH(A263,DATAS,0)</f>
        <v>1</v>
      </c>
      <c r="X263" s="27" t="n">
        <f aca="false">IF(AND(E263&gt;0,OR(AND(B263&gt;=1,B263&lt;=6),B263=10)),1,0)</f>
        <v>1</v>
      </c>
      <c r="Y263" s="27" t="n">
        <f aca="false">IF(AND(E263&gt;0,B263=10),1,0)</f>
        <v>0</v>
      </c>
      <c r="Z263" s="0" t="str">
        <f aca="false">IF(AND(C262=C263,W262=W263-1),X262,"")</f>
        <v/>
      </c>
      <c r="AA263" s="0" t="str">
        <f aca="false">IF(AND(C262=C263,W262=W263-1),Y262,"")</f>
        <v/>
      </c>
      <c r="AB263" s="0" t="str">
        <f aca="false">IF(W263=1,"",IF(AND(X263=1,Z263&lt;&gt;1),1,0))</f>
        <v/>
      </c>
      <c r="AC263" s="0" t="str">
        <f aca="false">IF(W263=1,"",IF(AND(Y263=1,AA263&lt;&gt;1),1,0))</f>
        <v/>
      </c>
      <c r="AD263" s="33" t="str">
        <f aca="false">IF(AND(E263&gt;0,W263&lt;1,NOT(AND(C264=C263,W264=W263+1))),INDEX(DATAS,W263+1),"")</f>
        <v/>
      </c>
      <c r="AE263" s="33" t="str">
        <f aca="false">IF(AND(Y263=1,W263&lt;1),IF(AND(C264=C263,W264=W263+1),IF(Y264=1,"",INDEX(DATAS,W263+1)),INDEX(DATAS,W263+1)),"")</f>
        <v/>
      </c>
    </row>
    <row r="264" customFormat="false" ht="15" hidden="false" customHeight="false" outlineLevel="0" collapsed="false">
      <c r="A264" s="33" t="n">
        <v>46309</v>
      </c>
      <c r="B264" s="0" t="n">
        <v>5</v>
      </c>
      <c r="C264" s="0" t="n">
        <v>3802</v>
      </c>
      <c r="D264" s="0" t="n">
        <v>146</v>
      </c>
      <c r="E264" s="0" t="n">
        <v>3</v>
      </c>
      <c r="F264" s="27" t="s">
        <v>364</v>
      </c>
      <c r="G264" s="0" t="n">
        <v>47.6</v>
      </c>
      <c r="H264" s="0" t="n">
        <v>46</v>
      </c>
      <c r="I264" s="27" t="s">
        <v>176</v>
      </c>
      <c r="J264" s="0" t="n">
        <v>146</v>
      </c>
      <c r="K264" s="0" t="n">
        <v>104</v>
      </c>
      <c r="M264" s="0" t="n">
        <v>465.33</v>
      </c>
      <c r="N264" s="0" t="n">
        <v>66.6</v>
      </c>
      <c r="O264" s="0" t="n">
        <v>23.42</v>
      </c>
      <c r="P264" s="0" t="n">
        <v>4.42</v>
      </c>
      <c r="Q264" s="0" t="n">
        <v>2.93</v>
      </c>
      <c r="R264" s="0" t="n">
        <v>5020</v>
      </c>
      <c r="S264" s="0" t="n">
        <v>10176</v>
      </c>
      <c r="T264" s="0" t="n">
        <v>57.2</v>
      </c>
      <c r="U264" s="0" t="n">
        <v>1730</v>
      </c>
      <c r="V264" s="0" t="n">
        <v>1</v>
      </c>
      <c r="W264" s="27" t="n">
        <f aca="false">MATCH(A264,DATAS,0)</f>
        <v>1</v>
      </c>
      <c r="X264" s="27" t="n">
        <f aca="false">IF(AND(E264&gt;0,OR(AND(B264&gt;=1,B264&lt;=6),B264=10)),1,0)</f>
        <v>1</v>
      </c>
      <c r="Y264" s="27" t="n">
        <f aca="false">IF(AND(E264&gt;0,B264=10),1,0)</f>
        <v>0</v>
      </c>
      <c r="Z264" s="0" t="str">
        <f aca="false">IF(AND(C263=C264,W263=W264-1),X263,"")</f>
        <v/>
      </c>
      <c r="AA264" s="0" t="str">
        <f aca="false">IF(AND(C263=C264,W263=W264-1),Y263,"")</f>
        <v/>
      </c>
      <c r="AB264" s="0" t="str">
        <f aca="false">IF(W264=1,"",IF(AND(X264=1,Z264&lt;&gt;1),1,0))</f>
        <v/>
      </c>
      <c r="AC264" s="0" t="str">
        <f aca="false">IF(W264=1,"",IF(AND(Y264=1,AA264&lt;&gt;1),1,0))</f>
        <v/>
      </c>
      <c r="AD264" s="33" t="str">
        <f aca="false">IF(AND(E264&gt;0,W264&lt;1,NOT(AND(C265=C264,W265=W264+1))),INDEX(DATAS,W264+1),"")</f>
        <v/>
      </c>
      <c r="AE264" s="33" t="str">
        <f aca="false">IF(AND(Y264=1,W264&lt;1),IF(AND(C265=C264,W265=W264+1),IF(Y265=1,"",INDEX(DATAS,W264+1)),INDEX(DATAS,W264+1)),"")</f>
        <v/>
      </c>
    </row>
    <row r="265" customFormat="false" ht="15" hidden="false" customHeight="false" outlineLevel="0" collapsed="false">
      <c r="A265" s="33" t="n">
        <v>46309</v>
      </c>
      <c r="B265" s="0" t="n">
        <v>5</v>
      </c>
      <c r="C265" s="0" t="n">
        <v>3803</v>
      </c>
      <c r="D265" s="0" t="n">
        <v>176</v>
      </c>
      <c r="E265" s="0" t="n">
        <v>3</v>
      </c>
      <c r="F265" s="27" t="s">
        <v>365</v>
      </c>
      <c r="G265" s="0" t="n">
        <v>35.5</v>
      </c>
      <c r="H265" s="0" t="n">
        <v>40</v>
      </c>
      <c r="I265" s="27" t="s">
        <v>138</v>
      </c>
      <c r="J265" s="0" t="n">
        <v>92</v>
      </c>
      <c r="K265" s="0" t="n">
        <v>92</v>
      </c>
      <c r="L265" s="0" t="n">
        <v>84</v>
      </c>
      <c r="M265" s="0" t="n">
        <v>820.88</v>
      </c>
      <c r="N265" s="0" t="n">
        <v>33.74</v>
      </c>
      <c r="O265" s="0" t="n">
        <v>29.85</v>
      </c>
      <c r="P265" s="0" t="n">
        <v>3.82</v>
      </c>
      <c r="Q265" s="0" t="n">
        <v>3.85</v>
      </c>
      <c r="R265" s="0" t="n">
        <v>4874</v>
      </c>
      <c r="S265" s="0" t="n">
        <v>8641</v>
      </c>
      <c r="T265" s="0" t="n">
        <v>69.6</v>
      </c>
      <c r="U265" s="0" t="n">
        <v>1729</v>
      </c>
      <c r="V265" s="0" t="n">
        <v>1</v>
      </c>
      <c r="W265" s="27" t="n">
        <f aca="false">MATCH(A265,DATAS,0)</f>
        <v>1</v>
      </c>
      <c r="X265" s="27" t="n">
        <f aca="false">IF(AND(E265&gt;0,OR(AND(B265&gt;=1,B265&lt;=6),B265=10)),1,0)</f>
        <v>1</v>
      </c>
      <c r="Y265" s="27" t="n">
        <f aca="false">IF(AND(E265&gt;0,B265=10),1,0)</f>
        <v>0</v>
      </c>
      <c r="Z265" s="0" t="str">
        <f aca="false">IF(AND(C264=C265,W264=W265-1),X264,"")</f>
        <v/>
      </c>
      <c r="AA265" s="0" t="str">
        <f aca="false">IF(AND(C264=C265,W264=W265-1),Y264,"")</f>
        <v/>
      </c>
      <c r="AB265" s="0" t="str">
        <f aca="false">IF(W265=1,"",IF(AND(X265=1,Z265&lt;&gt;1),1,0))</f>
        <v/>
      </c>
      <c r="AC265" s="0" t="str">
        <f aca="false">IF(W265=1,"",IF(AND(Y265=1,AA265&lt;&gt;1),1,0))</f>
        <v/>
      </c>
      <c r="AD265" s="33" t="str">
        <f aca="false">IF(AND(E265&gt;0,W265&lt;1,NOT(AND(C266=C265,W266=W265+1))),INDEX(DATAS,W265+1),"")</f>
        <v/>
      </c>
      <c r="AE265" s="33" t="str">
        <f aca="false">IF(AND(Y265=1,W265&lt;1),IF(AND(C266=C265,W266=W265+1),IF(Y266=1,"",INDEX(DATAS,W265+1)),INDEX(DATAS,W265+1)),"")</f>
        <v/>
      </c>
    </row>
    <row r="266" customFormat="false" ht="15" hidden="false" customHeight="false" outlineLevel="0" collapsed="false">
      <c r="A266" s="33" t="n">
        <v>46309</v>
      </c>
      <c r="B266" s="0" t="n">
        <v>3</v>
      </c>
      <c r="C266" s="0" t="n">
        <v>3805</v>
      </c>
      <c r="D266" s="0" t="n">
        <v>125</v>
      </c>
      <c r="E266" s="0" t="n">
        <v>3</v>
      </c>
      <c r="F266" s="27" t="s">
        <v>366</v>
      </c>
      <c r="G266" s="0" t="n">
        <v>60.7</v>
      </c>
      <c r="H266" s="0" t="n">
        <v>60</v>
      </c>
      <c r="I266" s="27" t="s">
        <v>168</v>
      </c>
      <c r="J266" s="0" t="n">
        <v>125</v>
      </c>
      <c r="K266" s="0" t="n">
        <v>69</v>
      </c>
      <c r="M266" s="0" t="n">
        <v>572.2</v>
      </c>
      <c r="N266" s="0" t="n">
        <v>68.33</v>
      </c>
      <c r="O266" s="0" t="n">
        <v>31.03</v>
      </c>
      <c r="P266" s="0" t="n">
        <v>4.83</v>
      </c>
      <c r="Q266" s="0" t="n">
        <v>3.06</v>
      </c>
      <c r="R266" s="0" t="n">
        <v>5937</v>
      </c>
      <c r="S266" s="0" t="n">
        <v>11860</v>
      </c>
      <c r="T266" s="0" t="n">
        <v>67.2</v>
      </c>
      <c r="U266" s="0" t="n">
        <v>1727</v>
      </c>
      <c r="V266" s="0" t="n">
        <v>2</v>
      </c>
      <c r="W266" s="27" t="n">
        <f aca="false">MATCH(A266,DATAS,0)</f>
        <v>1</v>
      </c>
      <c r="X266" s="27" t="n">
        <f aca="false">IF(AND(E266&gt;0,OR(AND(B266&gt;=1,B266&lt;=6),B266=10)),1,0)</f>
        <v>1</v>
      </c>
      <c r="Y266" s="27" t="n">
        <f aca="false">IF(AND(E266&gt;0,B266=10),1,0)</f>
        <v>0</v>
      </c>
      <c r="Z266" s="0" t="str">
        <f aca="false">IF(AND(C265=C266,W265=W266-1),X265,"")</f>
        <v/>
      </c>
      <c r="AA266" s="0" t="str">
        <f aca="false">IF(AND(C265=C266,W265=W266-1),Y265,"")</f>
        <v/>
      </c>
      <c r="AB266" s="0" t="str">
        <f aca="false">IF(W266=1,"",IF(AND(X266=1,Z266&lt;&gt;1),1,0))</f>
        <v/>
      </c>
      <c r="AC266" s="0" t="str">
        <f aca="false">IF(W266=1,"",IF(AND(Y266=1,AA266&lt;&gt;1),1,0))</f>
        <v/>
      </c>
      <c r="AD266" s="33" t="str">
        <f aca="false">IF(AND(E266&gt;0,W266&lt;1,NOT(AND(C267=C266,W267=W266+1))),INDEX(DATAS,W266+1),"")</f>
        <v/>
      </c>
      <c r="AE266" s="33" t="str">
        <f aca="false">IF(AND(Y266=1,W266&lt;1),IF(AND(C267=C266,W267=W266+1),IF(Y267=1,"",INDEX(DATAS,W266+1)),INDEX(DATAS,W266+1)),"")</f>
        <v/>
      </c>
    </row>
    <row r="267" customFormat="false" ht="15" hidden="false" customHeight="false" outlineLevel="0" collapsed="false">
      <c r="A267" s="33" t="n">
        <v>46309</v>
      </c>
      <c r="B267" s="0" t="n">
        <v>5</v>
      </c>
      <c r="C267" s="0" t="n">
        <v>3806</v>
      </c>
      <c r="D267" s="0" t="n">
        <v>281</v>
      </c>
      <c r="E267" s="0" t="n">
        <v>3</v>
      </c>
      <c r="F267" s="27" t="s">
        <v>367</v>
      </c>
      <c r="G267" s="0" t="n">
        <v>36.9</v>
      </c>
      <c r="H267" s="0" t="n">
        <v>36</v>
      </c>
      <c r="I267" s="27" t="s">
        <v>138</v>
      </c>
      <c r="J267" s="0" t="n">
        <v>215</v>
      </c>
      <c r="K267" s="0" t="n">
        <v>215</v>
      </c>
      <c r="L267" s="0" t="n">
        <v>66</v>
      </c>
      <c r="M267" s="0" t="n">
        <v>689.54</v>
      </c>
      <c r="N267" s="0" t="n">
        <v>49.56</v>
      </c>
      <c r="O267" s="0" t="n">
        <v>26.24</v>
      </c>
      <c r="P267" s="0" t="n">
        <v>4.67</v>
      </c>
      <c r="Q267" s="0" t="n">
        <v>3.4</v>
      </c>
      <c r="R267" s="0" t="n">
        <v>4359</v>
      </c>
      <c r="S267" s="0" t="n">
        <v>8939</v>
      </c>
      <c r="T267" s="0" t="n">
        <v>51.5</v>
      </c>
      <c r="U267" s="0" t="n">
        <v>1726</v>
      </c>
      <c r="V267" s="0" t="n">
        <v>1</v>
      </c>
      <c r="W267" s="27" t="n">
        <f aca="false">MATCH(A267,DATAS,0)</f>
        <v>1</v>
      </c>
      <c r="X267" s="27" t="n">
        <f aca="false">IF(AND(E267&gt;0,OR(AND(B267&gt;=1,B267&lt;=6),B267=10)),1,0)</f>
        <v>1</v>
      </c>
      <c r="Y267" s="27" t="n">
        <f aca="false">IF(AND(E267&gt;0,B267=10),1,0)</f>
        <v>0</v>
      </c>
      <c r="Z267" s="0" t="str">
        <f aca="false">IF(AND(C266=C267,W266=W267-1),X266,"")</f>
        <v/>
      </c>
      <c r="AA267" s="0" t="str">
        <f aca="false">IF(AND(C266=C267,W266=W267-1),Y266,"")</f>
        <v/>
      </c>
      <c r="AB267" s="0" t="str">
        <f aca="false">IF(W267=1,"",IF(AND(X267=1,Z267&lt;&gt;1),1,0))</f>
        <v/>
      </c>
      <c r="AC267" s="0" t="str">
        <f aca="false">IF(W267=1,"",IF(AND(Y267=1,AA267&lt;&gt;1),1,0))</f>
        <v/>
      </c>
      <c r="AD267" s="33" t="str">
        <f aca="false">IF(AND(E267&gt;0,W267&lt;1,NOT(AND(C268=C267,W268=W267+1))),INDEX(DATAS,W267+1),"")</f>
        <v/>
      </c>
      <c r="AE267" s="33" t="str">
        <f aca="false">IF(AND(Y267=1,W267&lt;1),IF(AND(C268=C267,W268=W267+1),IF(Y268=1,"",INDEX(DATAS,W267+1)),INDEX(DATAS,W267+1)),"")</f>
        <v/>
      </c>
    </row>
    <row r="268" customFormat="false" ht="15" hidden="false" customHeight="false" outlineLevel="0" collapsed="false">
      <c r="A268" s="33" t="n">
        <v>46309</v>
      </c>
      <c r="B268" s="0" t="n">
        <v>3</v>
      </c>
      <c r="C268" s="0" t="n">
        <v>3812</v>
      </c>
      <c r="D268" s="0" t="n">
        <v>137</v>
      </c>
      <c r="E268" s="0" t="n">
        <v>3</v>
      </c>
      <c r="F268" s="27" t="s">
        <v>368</v>
      </c>
      <c r="G268" s="0" t="n">
        <v>61.4</v>
      </c>
      <c r="H268" s="0" t="n">
        <v>62</v>
      </c>
      <c r="I268" s="27" t="s">
        <v>138</v>
      </c>
      <c r="J268" s="0" t="n">
        <v>67</v>
      </c>
      <c r="K268" s="0" t="n">
        <v>67</v>
      </c>
      <c r="L268" s="0" t="n">
        <v>70</v>
      </c>
      <c r="M268" s="0" t="n">
        <v>641.16</v>
      </c>
      <c r="N268" s="0" t="n">
        <v>46.36</v>
      </c>
      <c r="O268" s="0" t="n">
        <v>21.15</v>
      </c>
      <c r="P268" s="0" t="n">
        <v>4.62</v>
      </c>
      <c r="Q268" s="0" t="n">
        <v>2.99</v>
      </c>
      <c r="R268" s="0" t="n">
        <v>6035</v>
      </c>
      <c r="S268" s="0" t="n">
        <v>12501</v>
      </c>
      <c r="T268" s="0" t="n">
        <v>66.05</v>
      </c>
      <c r="U268" s="0" t="n">
        <v>1721</v>
      </c>
      <c r="V268" s="0" t="n">
        <v>1</v>
      </c>
      <c r="W268" s="27" t="n">
        <f aca="false">MATCH(A268,DATAS,0)</f>
        <v>1</v>
      </c>
      <c r="X268" s="27" t="n">
        <f aca="false">IF(AND(E268&gt;0,OR(AND(B268&gt;=1,B268&lt;=6),B268=10)),1,0)</f>
        <v>1</v>
      </c>
      <c r="Y268" s="27" t="n">
        <f aca="false">IF(AND(E268&gt;0,B268=10),1,0)</f>
        <v>0</v>
      </c>
      <c r="Z268" s="0" t="str">
        <f aca="false">IF(AND(C267=C268,W267=W268-1),X267,"")</f>
        <v/>
      </c>
      <c r="AA268" s="0" t="str">
        <f aca="false">IF(AND(C267=C268,W267=W268-1),Y267,"")</f>
        <v/>
      </c>
      <c r="AB268" s="0" t="str">
        <f aca="false">IF(W268=1,"",IF(AND(X268=1,Z268&lt;&gt;1),1,0))</f>
        <v/>
      </c>
      <c r="AC268" s="0" t="str">
        <f aca="false">IF(W268=1,"",IF(AND(Y268=1,AA268&lt;&gt;1),1,0))</f>
        <v/>
      </c>
      <c r="AD268" s="33" t="str">
        <f aca="false">IF(AND(E268&gt;0,W268&lt;1,NOT(AND(C269=C268,W269=W268+1))),INDEX(DATAS,W268+1),"")</f>
        <v/>
      </c>
      <c r="AE268" s="33" t="str">
        <f aca="false">IF(AND(Y268=1,W268&lt;1),IF(AND(C269=C268,W269=W268+1),IF(Y269=1,"",INDEX(DATAS,W268+1)),INDEX(DATAS,W268+1)),"")</f>
        <v/>
      </c>
    </row>
    <row r="269" customFormat="false" ht="15" hidden="false" customHeight="false" outlineLevel="0" collapsed="false">
      <c r="A269" s="33" t="n">
        <v>46309</v>
      </c>
      <c r="B269" s="0" t="n">
        <v>6</v>
      </c>
      <c r="C269" s="0" t="n">
        <v>3816</v>
      </c>
      <c r="D269" s="0" t="n">
        <v>576</v>
      </c>
      <c r="E269" s="0" t="n">
        <v>2</v>
      </c>
      <c r="F269" s="27" t="s">
        <v>369</v>
      </c>
      <c r="G269" s="0" t="n">
        <v>28</v>
      </c>
      <c r="H269" s="0" t="n">
        <v>26</v>
      </c>
      <c r="I269" s="27" t="s">
        <v>151</v>
      </c>
      <c r="J269" s="0" t="n">
        <v>576</v>
      </c>
      <c r="K269" s="0" t="n">
        <v>59</v>
      </c>
      <c r="M269" s="0" t="n">
        <v>298.05</v>
      </c>
      <c r="N269" s="0" t="n">
        <v>33.63</v>
      </c>
      <c r="O269" s="0" t="n">
        <v>10.03</v>
      </c>
      <c r="P269" s="0" t="n">
        <v>4.04</v>
      </c>
      <c r="Q269" s="0" t="n">
        <v>3.46</v>
      </c>
      <c r="R269" s="0" t="n">
        <v>4261</v>
      </c>
      <c r="S269" s="0" t="n">
        <v>8477</v>
      </c>
      <c r="T269" s="0" t="n">
        <v>50.1</v>
      </c>
      <c r="U269" s="0" t="n">
        <v>1715</v>
      </c>
      <c r="V269" s="0" t="n">
        <v>7</v>
      </c>
      <c r="W269" s="27" t="n">
        <f aca="false">MATCH(A269,DATAS,0)</f>
        <v>1</v>
      </c>
      <c r="X269" s="27" t="n">
        <f aca="false">IF(AND(E269&gt;0,OR(AND(B269&gt;=1,B269&lt;=6),B269=10)),1,0)</f>
        <v>1</v>
      </c>
      <c r="Y269" s="27" t="n">
        <f aca="false">IF(AND(E269&gt;0,B269=10),1,0)</f>
        <v>0</v>
      </c>
      <c r="Z269" s="0" t="str">
        <f aca="false">IF(AND(C268=C269,W268=W269-1),X268,"")</f>
        <v/>
      </c>
      <c r="AA269" s="0" t="str">
        <f aca="false">IF(AND(C268=C269,W268=W269-1),Y268,"")</f>
        <v/>
      </c>
      <c r="AB269" s="0" t="str">
        <f aca="false">IF(W269=1,"",IF(AND(X269=1,Z269&lt;&gt;1),1,0))</f>
        <v/>
      </c>
      <c r="AC269" s="0" t="str">
        <f aca="false">IF(W269=1,"",IF(AND(Y269=1,AA269&lt;&gt;1),1,0))</f>
        <v/>
      </c>
      <c r="AD269" s="33" t="str">
        <f aca="false">IF(AND(E269&gt;0,W269&lt;1,NOT(AND(C270=C269,W270=W269+1))),INDEX(DATAS,W269+1),"")</f>
        <v/>
      </c>
      <c r="AE269" s="33" t="str">
        <f aca="false">IF(AND(Y269=1,W269&lt;1),IF(AND(C270=C269,W270=W269+1),IF(Y270=1,"",INDEX(DATAS,W269+1)),INDEX(DATAS,W269+1)),"")</f>
        <v/>
      </c>
    </row>
    <row r="270" customFormat="false" ht="15" hidden="false" customHeight="false" outlineLevel="0" collapsed="false">
      <c r="A270" s="33" t="n">
        <v>46309</v>
      </c>
      <c r="B270" s="0" t="n">
        <v>5</v>
      </c>
      <c r="C270" s="0" t="n">
        <v>3818</v>
      </c>
      <c r="D270" s="0" t="n">
        <v>278</v>
      </c>
      <c r="E270" s="0" t="n">
        <v>3</v>
      </c>
      <c r="F270" s="27" t="s">
        <v>370</v>
      </c>
      <c r="G270" s="0" t="n">
        <v>32.1</v>
      </c>
      <c r="H270" s="0" t="n">
        <v>41</v>
      </c>
      <c r="I270" s="27" t="s">
        <v>176</v>
      </c>
      <c r="J270" s="0" t="n">
        <v>278</v>
      </c>
      <c r="K270" s="0" t="n">
        <v>68</v>
      </c>
      <c r="M270" s="0" t="n">
        <v>329.27</v>
      </c>
      <c r="N270" s="0" t="n">
        <v>40.12</v>
      </c>
      <c r="O270" s="0" t="n">
        <v>11.73</v>
      </c>
      <c r="P270" s="0" t="n">
        <v>4.64</v>
      </c>
      <c r="Q270" s="0" t="n">
        <v>3.83</v>
      </c>
      <c r="R270" s="0" t="n">
        <v>3623</v>
      </c>
      <c r="S270" s="0" t="n">
        <v>8734</v>
      </c>
      <c r="T270" s="0" t="n">
        <v>46.2</v>
      </c>
      <c r="U270" s="0" t="n">
        <v>1713</v>
      </c>
      <c r="V270" s="0" t="n">
        <v>5</v>
      </c>
      <c r="W270" s="27" t="n">
        <f aca="false">MATCH(A270,DATAS,0)</f>
        <v>1</v>
      </c>
      <c r="X270" s="27" t="n">
        <f aca="false">IF(AND(E270&gt;0,OR(AND(B270&gt;=1,B270&lt;=6),B270=10)),1,0)</f>
        <v>1</v>
      </c>
      <c r="Y270" s="27" t="n">
        <f aca="false">IF(AND(E270&gt;0,B270=10),1,0)</f>
        <v>0</v>
      </c>
      <c r="Z270" s="0" t="str">
        <f aca="false">IF(AND(C269=C270,W269=W270-1),X269,"")</f>
        <v/>
      </c>
      <c r="AA270" s="0" t="str">
        <f aca="false">IF(AND(C269=C270,W269=W270-1),Y269,"")</f>
        <v/>
      </c>
      <c r="AB270" s="0" t="str">
        <f aca="false">IF(W270=1,"",IF(AND(X270=1,Z270&lt;&gt;1),1,0))</f>
        <v/>
      </c>
      <c r="AC270" s="0" t="str">
        <f aca="false">IF(W270=1,"",IF(AND(Y270=1,AA270&lt;&gt;1),1,0))</f>
        <v/>
      </c>
      <c r="AD270" s="33" t="str">
        <f aca="false">IF(AND(E270&gt;0,W270&lt;1,NOT(AND(C271=C270,W271=W270+1))),INDEX(DATAS,W270+1),"")</f>
        <v/>
      </c>
      <c r="AE270" s="33" t="str">
        <f aca="false">IF(AND(Y270=1,W270&lt;1),IF(AND(C271=C270,W271=W270+1),IF(Y271=1,"",INDEX(DATAS,W270+1)),INDEX(DATAS,W270+1)),"")</f>
        <v/>
      </c>
    </row>
    <row r="271" customFormat="false" ht="15" hidden="false" customHeight="false" outlineLevel="0" collapsed="false">
      <c r="A271" s="33" t="n">
        <v>46309</v>
      </c>
      <c r="B271" s="0" t="n">
        <v>5</v>
      </c>
      <c r="C271" s="0" t="n">
        <v>3821</v>
      </c>
      <c r="D271" s="0" t="n">
        <v>231</v>
      </c>
      <c r="E271" s="0" t="n">
        <v>3</v>
      </c>
      <c r="F271" s="27" t="s">
        <v>371</v>
      </c>
      <c r="G271" s="0" t="n">
        <v>43</v>
      </c>
      <c r="H271" s="0" t="n">
        <v>42</v>
      </c>
      <c r="I271" s="27" t="s">
        <v>168</v>
      </c>
      <c r="J271" s="0" t="n">
        <v>231</v>
      </c>
      <c r="K271" s="0" t="n">
        <v>63</v>
      </c>
      <c r="M271" s="0" t="n">
        <v>1051.77</v>
      </c>
      <c r="N271" s="0" t="n">
        <v>24.92</v>
      </c>
      <c r="O271" s="0" t="n">
        <v>34.39</v>
      </c>
      <c r="P271" s="0" t="n">
        <v>4.52</v>
      </c>
      <c r="Q271" s="0" t="n">
        <v>3.61</v>
      </c>
      <c r="R271" s="0" t="n">
        <v>3461</v>
      </c>
      <c r="S271" s="0" t="n">
        <v>8200</v>
      </c>
      <c r="T271" s="0" t="n">
        <v>33.85</v>
      </c>
      <c r="U271" s="0" t="n">
        <v>1711</v>
      </c>
      <c r="V271" s="0" t="n">
        <v>4</v>
      </c>
      <c r="W271" s="27" t="n">
        <f aca="false">MATCH(A271,DATAS,0)</f>
        <v>1</v>
      </c>
      <c r="X271" s="27" t="n">
        <f aca="false">IF(AND(E271&gt;0,OR(AND(B271&gt;=1,B271&lt;=6),B271=10)),1,0)</f>
        <v>1</v>
      </c>
      <c r="Y271" s="27" t="n">
        <f aca="false">IF(AND(E271&gt;0,B271=10),1,0)</f>
        <v>0</v>
      </c>
      <c r="Z271" s="0" t="str">
        <f aca="false">IF(AND(C270=C271,W270=W271-1),X270,"")</f>
        <v/>
      </c>
      <c r="AA271" s="0" t="str">
        <f aca="false">IF(AND(C270=C271,W270=W271-1),Y270,"")</f>
        <v/>
      </c>
      <c r="AB271" s="0" t="str">
        <f aca="false">IF(W271=1,"",IF(AND(X271=1,Z271&lt;&gt;1),1,0))</f>
        <v/>
      </c>
      <c r="AC271" s="0" t="str">
        <f aca="false">IF(W271=1,"",IF(AND(Y271=1,AA271&lt;&gt;1),1,0))</f>
        <v/>
      </c>
      <c r="AD271" s="33" t="str">
        <f aca="false">IF(AND(E271&gt;0,W271&lt;1,NOT(AND(C272=C271,W272=W271+1))),INDEX(DATAS,W271+1),"")</f>
        <v/>
      </c>
      <c r="AE271" s="33" t="str">
        <f aca="false">IF(AND(Y271=1,W271&lt;1),IF(AND(C272=C271,W272=W271+1),IF(Y272=1,"",INDEX(DATAS,W271+1)),INDEX(DATAS,W271+1)),"")</f>
        <v/>
      </c>
    </row>
    <row r="272" customFormat="false" ht="15" hidden="false" customHeight="false" outlineLevel="0" collapsed="false">
      <c r="A272" s="33" t="n">
        <v>46309</v>
      </c>
      <c r="B272" s="0" t="n">
        <v>2</v>
      </c>
      <c r="C272" s="0" t="n">
        <v>3822</v>
      </c>
      <c r="D272" s="0" t="n">
        <v>79</v>
      </c>
      <c r="E272" s="0" t="n">
        <v>3</v>
      </c>
      <c r="F272" s="27" t="s">
        <v>372</v>
      </c>
      <c r="G272" s="0" t="n">
        <v>38.8</v>
      </c>
      <c r="H272" s="0" t="n">
        <v>46</v>
      </c>
      <c r="I272" s="27" t="s">
        <v>168</v>
      </c>
      <c r="J272" s="0" t="n">
        <v>79</v>
      </c>
      <c r="K272" s="0" t="n">
        <v>65</v>
      </c>
      <c r="M272" s="0" t="n">
        <v>67.66</v>
      </c>
      <c r="N272" s="0" t="n">
        <v>56.39</v>
      </c>
      <c r="O272" s="0" t="n">
        <v>20.23</v>
      </c>
      <c r="P272" s="0" t="n">
        <v>4.84</v>
      </c>
      <c r="Q272" s="0" t="n">
        <v>3.23</v>
      </c>
      <c r="R272" s="0" t="n">
        <v>3292</v>
      </c>
      <c r="S272" s="0" t="n">
        <v>6618</v>
      </c>
      <c r="U272" s="0" t="n">
        <v>1710</v>
      </c>
      <c r="V272" s="0" t="n">
        <v>1</v>
      </c>
      <c r="W272" s="27" t="n">
        <f aca="false">MATCH(A272,DATAS,0)</f>
        <v>1</v>
      </c>
      <c r="X272" s="27" t="n">
        <f aca="false">IF(AND(E272&gt;0,OR(AND(B272&gt;=1,B272&lt;=6),B272=10)),1,0)</f>
        <v>1</v>
      </c>
      <c r="Y272" s="27" t="n">
        <f aca="false">IF(AND(E272&gt;0,B272=10),1,0)</f>
        <v>0</v>
      </c>
      <c r="Z272" s="0" t="str">
        <f aca="false">IF(AND(C271=C272,W271=W272-1),X271,"")</f>
        <v/>
      </c>
      <c r="AA272" s="0" t="str">
        <f aca="false">IF(AND(C271=C272,W271=W272-1),Y271,"")</f>
        <v/>
      </c>
      <c r="AB272" s="0" t="str">
        <f aca="false">IF(W272=1,"",IF(AND(X272=1,Z272&lt;&gt;1),1,0))</f>
        <v/>
      </c>
      <c r="AC272" s="0" t="str">
        <f aca="false">IF(W272=1,"",IF(AND(Y272=1,AA272&lt;&gt;1),1,0))</f>
        <v/>
      </c>
      <c r="AD272" s="33" t="str">
        <f aca="false">IF(AND(E272&gt;0,W272&lt;1,NOT(AND(C273=C272,W273=W272+1))),INDEX(DATAS,W272+1),"")</f>
        <v/>
      </c>
      <c r="AE272" s="33" t="str">
        <f aca="false">IF(AND(Y272=1,W272&lt;1),IF(AND(C273=C272,W273=W272+1),IF(Y273=1,"",INDEX(DATAS,W272+1)),INDEX(DATAS,W272+1)),"")</f>
        <v/>
      </c>
    </row>
    <row r="273" customFormat="false" ht="15" hidden="false" customHeight="false" outlineLevel="0" collapsed="false">
      <c r="A273" s="33" t="n">
        <v>46309</v>
      </c>
      <c r="B273" s="0" t="n">
        <v>5</v>
      </c>
      <c r="C273" s="0" t="n">
        <v>3823</v>
      </c>
      <c r="D273" s="0" t="n">
        <v>216</v>
      </c>
      <c r="E273" s="0" t="n">
        <v>3</v>
      </c>
      <c r="F273" s="27" t="s">
        <v>372</v>
      </c>
      <c r="G273" s="0" t="n">
        <v>50.9</v>
      </c>
      <c r="H273" s="0" t="n">
        <v>46</v>
      </c>
      <c r="I273" s="27" t="s">
        <v>168</v>
      </c>
      <c r="J273" s="0" t="n">
        <v>216</v>
      </c>
      <c r="K273" s="0" t="n">
        <v>62</v>
      </c>
      <c r="M273" s="0" t="n">
        <v>462.72</v>
      </c>
      <c r="N273" s="0" t="n">
        <v>17.25</v>
      </c>
      <c r="O273" s="0" t="n">
        <v>20.96</v>
      </c>
      <c r="P273" s="0" t="n">
        <v>3.82</v>
      </c>
      <c r="Q273" s="0" t="n">
        <v>3.64</v>
      </c>
      <c r="R273" s="0" t="n">
        <v>4954</v>
      </c>
      <c r="S273" s="0" t="n">
        <v>8852</v>
      </c>
      <c r="T273" s="0" t="n">
        <v>48</v>
      </c>
      <c r="U273" s="0" t="n">
        <v>1710</v>
      </c>
      <c r="V273" s="0" t="n">
        <v>4</v>
      </c>
      <c r="W273" s="27" t="n">
        <f aca="false">MATCH(A273,DATAS,0)</f>
        <v>1</v>
      </c>
      <c r="X273" s="27" t="n">
        <f aca="false">IF(AND(E273&gt;0,OR(AND(B273&gt;=1,B273&lt;=6),B273=10)),1,0)</f>
        <v>1</v>
      </c>
      <c r="Y273" s="27" t="n">
        <f aca="false">IF(AND(E273&gt;0,B273=10),1,0)</f>
        <v>0</v>
      </c>
      <c r="Z273" s="0" t="str">
        <f aca="false">IF(AND(C272=C273,W272=W273-1),X272,"")</f>
        <v/>
      </c>
      <c r="AA273" s="0" t="str">
        <f aca="false">IF(AND(C272=C273,W272=W273-1),Y272,"")</f>
        <v/>
      </c>
      <c r="AB273" s="0" t="str">
        <f aca="false">IF(W273=1,"",IF(AND(X273=1,Z273&lt;&gt;1),1,0))</f>
        <v/>
      </c>
      <c r="AC273" s="0" t="str">
        <f aca="false">IF(W273=1,"",IF(AND(Y273=1,AA273&lt;&gt;1),1,0))</f>
        <v/>
      </c>
      <c r="AD273" s="33" t="str">
        <f aca="false">IF(AND(E273&gt;0,W273&lt;1,NOT(AND(C274=C273,W274=W273+1))),INDEX(DATAS,W273+1),"")</f>
        <v/>
      </c>
      <c r="AE273" s="33" t="str">
        <f aca="false">IF(AND(Y273=1,W273&lt;1),IF(AND(C274=C273,W274=W273+1),IF(Y274=1,"",INDEX(DATAS,W273+1)),INDEX(DATAS,W273+1)),"")</f>
        <v/>
      </c>
    </row>
    <row r="274" customFormat="false" ht="15" hidden="false" customHeight="false" outlineLevel="0" collapsed="false">
      <c r="A274" s="33" t="n">
        <v>46309</v>
      </c>
      <c r="B274" s="0" t="n">
        <v>10</v>
      </c>
      <c r="C274" s="0" t="n">
        <v>3825</v>
      </c>
      <c r="D274" s="0" t="n">
        <v>226</v>
      </c>
      <c r="E274" s="0" t="n">
        <v>3</v>
      </c>
      <c r="F274" s="27" t="s">
        <v>372</v>
      </c>
      <c r="H274" s="0" t="n">
        <v>14</v>
      </c>
      <c r="I274" s="27" t="s">
        <v>176</v>
      </c>
      <c r="J274" s="0" t="n">
        <v>226</v>
      </c>
      <c r="K274" s="0" t="n">
        <v>72</v>
      </c>
      <c r="M274" s="0" t="n">
        <v>125.1</v>
      </c>
      <c r="N274" s="0" t="n">
        <v>40.96</v>
      </c>
      <c r="O274" s="0" t="n">
        <v>19.72</v>
      </c>
      <c r="P274" s="0" t="n">
        <v>4.04</v>
      </c>
      <c r="Q274" s="0" t="n">
        <v>3.61</v>
      </c>
      <c r="R274" s="0" t="n">
        <v>4983</v>
      </c>
      <c r="S274" s="0" t="n">
        <v>10428</v>
      </c>
      <c r="T274" s="0" t="n">
        <v>59.4</v>
      </c>
      <c r="U274" s="0" t="n">
        <v>1710</v>
      </c>
      <c r="V274" s="0" t="n">
        <v>2</v>
      </c>
      <c r="W274" s="27" t="n">
        <f aca="false">MATCH(A274,DATAS,0)</f>
        <v>1</v>
      </c>
      <c r="X274" s="27" t="n">
        <f aca="false">IF(AND(E274&gt;0,OR(AND(B274&gt;=1,B274&lt;=6),B274=10)),1,0)</f>
        <v>1</v>
      </c>
      <c r="Y274" s="27" t="n">
        <f aca="false">IF(AND(E274&gt;0,B274=10),1,0)</f>
        <v>1</v>
      </c>
      <c r="Z274" s="0" t="str">
        <f aca="false">IF(AND(C273=C274,W273=W274-1),X273,"")</f>
        <v/>
      </c>
      <c r="AA274" s="0" t="str">
        <f aca="false">IF(AND(C273=C274,W273=W274-1),Y273,"")</f>
        <v/>
      </c>
      <c r="AB274" s="0" t="str">
        <f aca="false">IF(W274=1,"",IF(AND(X274=1,Z274&lt;&gt;1),1,0))</f>
        <v/>
      </c>
      <c r="AC274" s="0" t="str">
        <f aca="false">IF(W274=1,"",IF(AND(Y274=1,AA274&lt;&gt;1),1,0))</f>
        <v/>
      </c>
      <c r="AD274" s="33" t="str">
        <f aca="false">IF(AND(E274&gt;0,W274&lt;1,NOT(AND(C275=C274,W275=W274+1))),INDEX(DATAS,W274+1),"")</f>
        <v/>
      </c>
      <c r="AE274" s="33" t="str">
        <f aca="false">IF(AND(Y274=1,W274&lt;1),IF(AND(C275=C274,W275=W274+1),IF(Y275=1,"",INDEX(DATAS,W274+1)),INDEX(DATAS,W274+1)),"")</f>
        <v/>
      </c>
    </row>
    <row r="275" customFormat="false" ht="15" hidden="false" customHeight="false" outlineLevel="0" collapsed="false">
      <c r="A275" s="33" t="n">
        <v>46309</v>
      </c>
      <c r="B275" s="0" t="n">
        <v>6</v>
      </c>
      <c r="C275" s="0" t="n">
        <v>3826</v>
      </c>
      <c r="D275" s="0" t="n">
        <v>232</v>
      </c>
      <c r="E275" s="0" t="n">
        <v>3</v>
      </c>
      <c r="F275" s="27" t="s">
        <v>373</v>
      </c>
      <c r="G275" s="0" t="n">
        <v>26.3</v>
      </c>
      <c r="H275" s="0" t="n">
        <v>22</v>
      </c>
      <c r="I275" s="27" t="s">
        <v>138</v>
      </c>
      <c r="J275" s="0" t="n">
        <v>148</v>
      </c>
      <c r="K275" s="0" t="n">
        <v>64</v>
      </c>
      <c r="L275" s="0" t="n">
        <v>84</v>
      </c>
      <c r="M275" s="0" t="n">
        <v>817.64</v>
      </c>
      <c r="N275" s="0" t="n">
        <v>45.59</v>
      </c>
      <c r="O275" s="0" t="n">
        <v>35.55</v>
      </c>
      <c r="P275" s="0" t="n">
        <v>3.88</v>
      </c>
      <c r="Q275" s="0" t="n">
        <v>3.56</v>
      </c>
      <c r="R275" s="0" t="n">
        <v>5205</v>
      </c>
      <c r="S275" s="0" t="n">
        <v>9518</v>
      </c>
      <c r="T275" s="0" t="n">
        <v>61.05</v>
      </c>
      <c r="U275" s="0" t="n">
        <v>1708</v>
      </c>
      <c r="V275" s="0" t="n">
        <v>4</v>
      </c>
      <c r="W275" s="27" t="n">
        <f aca="false">MATCH(A275,DATAS,0)</f>
        <v>1</v>
      </c>
      <c r="X275" s="27" t="n">
        <f aca="false">IF(AND(E275&gt;0,OR(AND(B275&gt;=1,B275&lt;=6),B275=10)),1,0)</f>
        <v>1</v>
      </c>
      <c r="Y275" s="27" t="n">
        <f aca="false">IF(AND(E275&gt;0,B275=10),1,0)</f>
        <v>0</v>
      </c>
      <c r="Z275" s="0" t="str">
        <f aca="false">IF(AND(C274=C275,W274=W275-1),X274,"")</f>
        <v/>
      </c>
      <c r="AA275" s="0" t="str">
        <f aca="false">IF(AND(C274=C275,W274=W275-1),Y274,"")</f>
        <v/>
      </c>
      <c r="AB275" s="0" t="str">
        <f aca="false">IF(W275=1,"",IF(AND(X275=1,Z275&lt;&gt;1),1,0))</f>
        <v/>
      </c>
      <c r="AC275" s="0" t="str">
        <f aca="false">IF(W275=1,"",IF(AND(Y275=1,AA275&lt;&gt;1),1,0))</f>
        <v/>
      </c>
      <c r="AD275" s="33" t="str">
        <f aca="false">IF(AND(E275&gt;0,W275&lt;1,NOT(AND(C276=C275,W276=W275+1))),INDEX(DATAS,W275+1),"")</f>
        <v/>
      </c>
      <c r="AE275" s="33" t="str">
        <f aca="false">IF(AND(Y275=1,W275&lt;1),IF(AND(C276=C275,W276=W275+1),IF(Y276=1,"",INDEX(DATAS,W275+1)),INDEX(DATAS,W275+1)),"")</f>
        <v/>
      </c>
    </row>
    <row r="276" customFormat="false" ht="15" hidden="false" customHeight="false" outlineLevel="0" collapsed="false">
      <c r="A276" s="33" t="n">
        <v>46309</v>
      </c>
      <c r="B276" s="0" t="n">
        <v>10</v>
      </c>
      <c r="C276" s="0" t="n">
        <v>3832</v>
      </c>
      <c r="D276" s="0" t="n">
        <v>131</v>
      </c>
      <c r="E276" s="0" t="n">
        <v>3</v>
      </c>
      <c r="F276" s="27" t="s">
        <v>374</v>
      </c>
      <c r="G276" s="0" t="n">
        <v>26.5</v>
      </c>
      <c r="H276" s="0" t="n">
        <v>25</v>
      </c>
      <c r="I276" s="27" t="s">
        <v>168</v>
      </c>
      <c r="J276" s="0" t="n">
        <v>131</v>
      </c>
      <c r="K276" s="0" t="n">
        <v>68</v>
      </c>
      <c r="M276" s="0" t="n">
        <v>663.06</v>
      </c>
      <c r="N276" s="0" t="n">
        <v>61.85</v>
      </c>
      <c r="O276" s="0" t="n">
        <v>24.79</v>
      </c>
      <c r="P276" s="0" t="n">
        <v>5.28</v>
      </c>
      <c r="Q276" s="0" t="n">
        <v>3.08</v>
      </c>
      <c r="R276" s="0" t="n">
        <v>6024</v>
      </c>
      <c r="S276" s="0" t="n">
        <v>11319</v>
      </c>
      <c r="T276" s="0" t="n">
        <v>62</v>
      </c>
      <c r="U276" s="0" t="n">
        <v>1704</v>
      </c>
      <c r="V276" s="0" t="n">
        <v>2</v>
      </c>
      <c r="W276" s="27" t="n">
        <f aca="false">MATCH(A276,DATAS,0)</f>
        <v>1</v>
      </c>
      <c r="X276" s="27" t="n">
        <f aca="false">IF(AND(E276&gt;0,OR(AND(B276&gt;=1,B276&lt;=6),B276=10)),1,0)</f>
        <v>1</v>
      </c>
      <c r="Y276" s="27" t="n">
        <f aca="false">IF(AND(E276&gt;0,B276=10),1,0)</f>
        <v>1</v>
      </c>
      <c r="Z276" s="0" t="str">
        <f aca="false">IF(AND(C275=C276,W275=W276-1),X275,"")</f>
        <v/>
      </c>
      <c r="AA276" s="0" t="str">
        <f aca="false">IF(AND(C275=C276,W275=W276-1),Y275,"")</f>
        <v/>
      </c>
      <c r="AB276" s="0" t="str">
        <f aca="false">IF(W276=1,"",IF(AND(X276=1,Z276&lt;&gt;1),1,0))</f>
        <v/>
      </c>
      <c r="AC276" s="0" t="str">
        <f aca="false">IF(W276=1,"",IF(AND(Y276=1,AA276&lt;&gt;1),1,0))</f>
        <v/>
      </c>
      <c r="AD276" s="33" t="str">
        <f aca="false">IF(AND(E276&gt;0,W276&lt;1,NOT(AND(C277=C276,W277=W276+1))),INDEX(DATAS,W276+1),"")</f>
        <v/>
      </c>
      <c r="AE276" s="33" t="str">
        <f aca="false">IF(AND(Y276=1,W276&lt;1),IF(AND(C277=C276,W277=W276+1),IF(Y277=1,"",INDEX(DATAS,W276+1)),INDEX(DATAS,W276+1)),"")</f>
        <v/>
      </c>
    </row>
    <row r="277" customFormat="false" ht="15" hidden="false" customHeight="false" outlineLevel="0" collapsed="false">
      <c r="A277" s="33" t="n">
        <v>46309</v>
      </c>
      <c r="B277" s="0" t="n">
        <v>5</v>
      </c>
      <c r="C277" s="0" t="n">
        <v>3833</v>
      </c>
      <c r="D277" s="0" t="n">
        <v>185</v>
      </c>
      <c r="E277" s="0" t="n">
        <v>3</v>
      </c>
      <c r="F277" s="27" t="s">
        <v>374</v>
      </c>
      <c r="G277" s="0" t="n">
        <v>19.8</v>
      </c>
      <c r="H277" s="0" t="n">
        <v>23</v>
      </c>
      <c r="I277" s="27" t="s">
        <v>176</v>
      </c>
      <c r="J277" s="0" t="n">
        <v>185</v>
      </c>
      <c r="K277" s="0" t="n">
        <v>66</v>
      </c>
      <c r="M277" s="0" t="n">
        <v>746.26</v>
      </c>
      <c r="N277" s="0" t="n">
        <v>49.47</v>
      </c>
      <c r="O277" s="0" t="n">
        <v>27.55</v>
      </c>
      <c r="P277" s="0" t="n">
        <v>0</v>
      </c>
      <c r="Q277" s="0" t="n">
        <v>0</v>
      </c>
      <c r="R277" s="0" t="n">
        <v>4946</v>
      </c>
      <c r="S277" s="0" t="n">
        <v>9847</v>
      </c>
      <c r="T277" s="0" t="n">
        <v>48.55</v>
      </c>
      <c r="U277" s="0" t="n">
        <v>1704</v>
      </c>
      <c r="V277" s="0" t="n">
        <v>3</v>
      </c>
      <c r="W277" s="27" t="n">
        <f aca="false">MATCH(A277,DATAS,0)</f>
        <v>1</v>
      </c>
      <c r="X277" s="27" t="n">
        <f aca="false">IF(AND(E277&gt;0,OR(AND(B277&gt;=1,B277&lt;=6),B277=10)),1,0)</f>
        <v>1</v>
      </c>
      <c r="Y277" s="27" t="n">
        <f aca="false">IF(AND(E277&gt;0,B277=10),1,0)</f>
        <v>0</v>
      </c>
      <c r="Z277" s="0" t="str">
        <f aca="false">IF(AND(C276=C277,W276=W277-1),X276,"")</f>
        <v/>
      </c>
      <c r="AA277" s="0" t="str">
        <f aca="false">IF(AND(C276=C277,W276=W277-1),Y276,"")</f>
        <v/>
      </c>
      <c r="AB277" s="0" t="str">
        <f aca="false">IF(W277=1,"",IF(AND(X277=1,Z277&lt;&gt;1),1,0))</f>
        <v/>
      </c>
      <c r="AC277" s="0" t="str">
        <f aca="false">IF(W277=1,"",IF(AND(Y277=1,AA277&lt;&gt;1),1,0))</f>
        <v/>
      </c>
      <c r="AD277" s="33" t="str">
        <f aca="false">IF(AND(E277&gt;0,W277&lt;1,NOT(AND(C278=C277,W278=W277+1))),INDEX(DATAS,W277+1),"")</f>
        <v/>
      </c>
      <c r="AE277" s="33" t="str">
        <f aca="false">IF(AND(Y277=1,W277&lt;1),IF(AND(C278=C277,W278=W277+1),IF(Y278=1,"",INDEX(DATAS,W277+1)),INDEX(DATAS,W277+1)),"")</f>
        <v/>
      </c>
    </row>
    <row r="278" customFormat="false" ht="15" hidden="false" customHeight="false" outlineLevel="0" collapsed="false">
      <c r="A278" s="33" t="n">
        <v>46309</v>
      </c>
      <c r="B278" s="0" t="n">
        <v>5</v>
      </c>
      <c r="C278" s="0" t="n">
        <v>3834</v>
      </c>
      <c r="D278" s="0" t="n">
        <v>343</v>
      </c>
      <c r="E278" s="0" t="n">
        <v>3</v>
      </c>
      <c r="F278" s="27" t="s">
        <v>145</v>
      </c>
      <c r="G278" s="0" t="n">
        <v>30.8</v>
      </c>
      <c r="H278" s="0" t="n">
        <v>31</v>
      </c>
      <c r="I278" s="27" t="s">
        <v>138</v>
      </c>
      <c r="J278" s="0" t="n">
        <v>133</v>
      </c>
      <c r="K278" s="0" t="n">
        <v>84</v>
      </c>
      <c r="L278" s="0" t="n">
        <v>210</v>
      </c>
      <c r="M278" s="0" t="n">
        <v>525.55</v>
      </c>
      <c r="N278" s="0" t="n">
        <v>46.03</v>
      </c>
      <c r="O278" s="0" t="n">
        <v>26.38</v>
      </c>
      <c r="P278" s="0" t="n">
        <v>4.97</v>
      </c>
      <c r="Q278" s="0" t="n">
        <v>4.01</v>
      </c>
      <c r="R278" s="0" t="n">
        <v>4706</v>
      </c>
      <c r="S278" s="0" t="n">
        <v>9863</v>
      </c>
      <c r="T278" s="0" t="n">
        <v>47.3</v>
      </c>
      <c r="U278" s="0" t="n">
        <v>1703</v>
      </c>
      <c r="V278" s="0" t="n">
        <v>2</v>
      </c>
      <c r="W278" s="27" t="n">
        <f aca="false">MATCH(A278,DATAS,0)</f>
        <v>1</v>
      </c>
      <c r="X278" s="27" t="n">
        <f aca="false">IF(AND(E278&gt;0,OR(AND(B278&gt;=1,B278&lt;=6),B278=10)),1,0)</f>
        <v>1</v>
      </c>
      <c r="Y278" s="27" t="n">
        <f aca="false">IF(AND(E278&gt;0,B278=10),1,0)</f>
        <v>0</v>
      </c>
      <c r="Z278" s="0" t="str">
        <f aca="false">IF(AND(C277=C278,W277=W278-1),X277,"")</f>
        <v/>
      </c>
      <c r="AA278" s="0" t="str">
        <f aca="false">IF(AND(C277=C278,W277=W278-1),Y277,"")</f>
        <v/>
      </c>
      <c r="AB278" s="0" t="str">
        <f aca="false">IF(W278=1,"",IF(AND(X278=1,Z278&lt;&gt;1),1,0))</f>
        <v/>
      </c>
      <c r="AC278" s="0" t="str">
        <f aca="false">IF(W278=1,"",IF(AND(Y278=1,AA278&lt;&gt;1),1,0))</f>
        <v/>
      </c>
      <c r="AD278" s="33" t="str">
        <f aca="false">IF(AND(E278&gt;0,W278&lt;1,NOT(AND(C279=C278,W279=W278+1))),INDEX(DATAS,W278+1),"")</f>
        <v/>
      </c>
      <c r="AE278" s="33" t="str">
        <f aca="false">IF(AND(Y278=1,W278&lt;1),IF(AND(C279=C278,W279=W278+1),IF(Y279=1,"",INDEX(DATAS,W278+1)),INDEX(DATAS,W278+1)),"")</f>
        <v/>
      </c>
    </row>
    <row r="279" customFormat="false" ht="15" hidden="false" customHeight="false" outlineLevel="0" collapsed="false">
      <c r="A279" s="33" t="n">
        <v>46309</v>
      </c>
      <c r="B279" s="0" t="n">
        <v>5</v>
      </c>
      <c r="C279" s="0" t="n">
        <v>3837</v>
      </c>
      <c r="D279" s="0" t="n">
        <v>292</v>
      </c>
      <c r="E279" s="0" t="n">
        <v>3</v>
      </c>
      <c r="F279" s="27" t="s">
        <v>375</v>
      </c>
      <c r="G279" s="0" t="n">
        <v>31.3</v>
      </c>
      <c r="H279" s="0" t="n">
        <v>30</v>
      </c>
      <c r="I279" s="27" t="s">
        <v>138</v>
      </c>
      <c r="J279" s="0" t="n">
        <v>131</v>
      </c>
      <c r="K279" s="0" t="n">
        <v>89</v>
      </c>
      <c r="L279" s="0" t="n">
        <v>161</v>
      </c>
      <c r="M279" s="0" t="n">
        <v>595.44</v>
      </c>
      <c r="N279" s="0" t="n">
        <v>58.13</v>
      </c>
      <c r="O279" s="0" t="n">
        <v>32.72</v>
      </c>
      <c r="P279" s="0" t="n">
        <v>5.56</v>
      </c>
      <c r="Q279" s="0" t="n">
        <v>4.4</v>
      </c>
      <c r="R279" s="0" t="n">
        <v>3935</v>
      </c>
      <c r="S279" s="0" t="n">
        <v>7929</v>
      </c>
      <c r="T279" s="0" t="n">
        <v>48.4</v>
      </c>
      <c r="U279" s="0" t="n">
        <v>1700</v>
      </c>
      <c r="V279" s="0" t="n">
        <v>2</v>
      </c>
      <c r="W279" s="27" t="n">
        <f aca="false">MATCH(A279,DATAS,0)</f>
        <v>1</v>
      </c>
      <c r="X279" s="27" t="n">
        <f aca="false">IF(AND(E279&gt;0,OR(AND(B279&gt;=1,B279&lt;=6),B279=10)),1,0)</f>
        <v>1</v>
      </c>
      <c r="Y279" s="27" t="n">
        <f aca="false">IF(AND(E279&gt;0,B279=10),1,0)</f>
        <v>0</v>
      </c>
      <c r="Z279" s="0" t="str">
        <f aca="false">IF(AND(C278=C279,W278=W279-1),X278,"")</f>
        <v/>
      </c>
      <c r="AA279" s="0" t="str">
        <f aca="false">IF(AND(C278=C279,W278=W279-1),Y278,"")</f>
        <v/>
      </c>
      <c r="AB279" s="0" t="str">
        <f aca="false">IF(W279=1,"",IF(AND(X279=1,Z279&lt;&gt;1),1,0))</f>
        <v/>
      </c>
      <c r="AC279" s="0" t="str">
        <f aca="false">IF(W279=1,"",IF(AND(Y279=1,AA279&lt;&gt;1),1,0))</f>
        <v/>
      </c>
      <c r="AD279" s="33" t="str">
        <f aca="false">IF(AND(E279&gt;0,W279&lt;1,NOT(AND(C280=C279,W280=W279+1))),INDEX(DATAS,W279+1),"")</f>
        <v/>
      </c>
      <c r="AE279" s="33" t="str">
        <f aca="false">IF(AND(Y279=1,W279&lt;1),IF(AND(C280=C279,W280=W279+1),IF(Y280=1,"",INDEX(DATAS,W279+1)),INDEX(DATAS,W279+1)),"")</f>
        <v/>
      </c>
    </row>
    <row r="280" customFormat="false" ht="15" hidden="false" customHeight="false" outlineLevel="0" collapsed="false">
      <c r="A280" s="33" t="n">
        <v>46309</v>
      </c>
      <c r="B280" s="0" t="n">
        <v>3</v>
      </c>
      <c r="C280" s="0" t="n">
        <v>3838</v>
      </c>
      <c r="D280" s="0" t="n">
        <v>7</v>
      </c>
      <c r="E280" s="0" t="n">
        <v>4</v>
      </c>
      <c r="F280" s="27" t="s">
        <v>375</v>
      </c>
      <c r="I280" s="27" t="s">
        <v>147</v>
      </c>
      <c r="J280" s="0" t="n">
        <v>7</v>
      </c>
      <c r="M280" s="0" t="n">
        <v>511.24</v>
      </c>
      <c r="N280" s="0" t="n">
        <v>48</v>
      </c>
      <c r="O280" s="0" t="n">
        <v>19.31</v>
      </c>
      <c r="U280" s="0" t="n">
        <v>1700</v>
      </c>
      <c r="V280" s="0" t="n">
        <v>0</v>
      </c>
      <c r="W280" s="27" t="n">
        <f aca="false">MATCH(A280,DATAS,0)</f>
        <v>1</v>
      </c>
      <c r="X280" s="27" t="n">
        <f aca="false">IF(AND(E280&gt;0,OR(AND(B280&gt;=1,B280&lt;=6),B280=10)),1,0)</f>
        <v>1</v>
      </c>
      <c r="Y280" s="27" t="n">
        <f aca="false">IF(AND(E280&gt;0,B280=10),1,0)</f>
        <v>0</v>
      </c>
      <c r="Z280" s="0" t="str">
        <f aca="false">IF(AND(C279=C280,W279=W280-1),X279,"")</f>
        <v/>
      </c>
      <c r="AA280" s="0" t="str">
        <f aca="false">IF(AND(C279=C280,W279=W280-1),Y279,"")</f>
        <v/>
      </c>
      <c r="AB280" s="0" t="str">
        <f aca="false">IF(W280=1,"",IF(AND(X280=1,Z280&lt;&gt;1),1,0))</f>
        <v/>
      </c>
      <c r="AC280" s="0" t="str">
        <f aca="false">IF(W280=1,"",IF(AND(Y280=1,AA280&lt;&gt;1),1,0))</f>
        <v/>
      </c>
      <c r="AD280" s="33" t="str">
        <f aca="false">IF(AND(E280&gt;0,W280&lt;1,NOT(AND(C281=C280,W281=W280+1))),INDEX(DATAS,W280+1),"")</f>
        <v/>
      </c>
      <c r="AE280" s="33" t="str">
        <f aca="false">IF(AND(Y280=1,W280&lt;1),IF(AND(C281=C280,W281=W280+1),IF(Y281=1,"",INDEX(DATAS,W280+1)),INDEX(DATAS,W280+1)),"")</f>
        <v/>
      </c>
    </row>
    <row r="281" customFormat="false" ht="15" hidden="false" customHeight="false" outlineLevel="0" collapsed="false">
      <c r="A281" s="33" t="n">
        <v>46309</v>
      </c>
      <c r="B281" s="0" t="n">
        <v>6</v>
      </c>
      <c r="C281" s="0" t="n">
        <v>3841</v>
      </c>
      <c r="D281" s="0" t="n">
        <v>266</v>
      </c>
      <c r="E281" s="0" t="n">
        <v>3</v>
      </c>
      <c r="F281" s="27" t="s">
        <v>376</v>
      </c>
      <c r="G281" s="0" t="n">
        <v>24.2</v>
      </c>
      <c r="H281" s="0" t="n">
        <v>18</v>
      </c>
      <c r="I281" s="27" t="s">
        <v>138</v>
      </c>
      <c r="J281" s="0" t="n">
        <v>168</v>
      </c>
      <c r="K281" s="0" t="n">
        <v>63</v>
      </c>
      <c r="L281" s="0" t="n">
        <v>98</v>
      </c>
      <c r="M281" s="0" t="n">
        <v>661.92</v>
      </c>
      <c r="N281" s="0" t="n">
        <v>47.87</v>
      </c>
      <c r="O281" s="0" t="n">
        <v>20.98</v>
      </c>
      <c r="P281" s="0" t="n">
        <v>3.96</v>
      </c>
      <c r="Q281" s="0" t="n">
        <v>3.86</v>
      </c>
      <c r="R281" s="0" t="n">
        <v>6222</v>
      </c>
      <c r="S281" s="0" t="n">
        <v>10854</v>
      </c>
      <c r="T281" s="0" t="n">
        <v>64.3</v>
      </c>
      <c r="U281" s="0" t="n">
        <v>1699</v>
      </c>
      <c r="V281" s="0" t="n">
        <v>3</v>
      </c>
      <c r="W281" s="27" t="n">
        <f aca="false">MATCH(A281,DATAS,0)</f>
        <v>1</v>
      </c>
      <c r="X281" s="27" t="n">
        <f aca="false">IF(AND(E281&gt;0,OR(AND(B281&gt;=1,B281&lt;=6),B281=10)),1,0)</f>
        <v>1</v>
      </c>
      <c r="Y281" s="27" t="n">
        <f aca="false">IF(AND(E281&gt;0,B281=10),1,0)</f>
        <v>0</v>
      </c>
      <c r="Z281" s="0" t="str">
        <f aca="false">IF(AND(C280=C281,W280=W281-1),X280,"")</f>
        <v/>
      </c>
      <c r="AA281" s="0" t="str">
        <f aca="false">IF(AND(C280=C281,W280=W281-1),Y280,"")</f>
        <v/>
      </c>
      <c r="AB281" s="0" t="str">
        <f aca="false">IF(W281=1,"",IF(AND(X281=1,Z281&lt;&gt;1),1,0))</f>
        <v/>
      </c>
      <c r="AC281" s="0" t="str">
        <f aca="false">IF(W281=1,"",IF(AND(Y281=1,AA281&lt;&gt;1),1,0))</f>
        <v/>
      </c>
      <c r="AD281" s="33" t="str">
        <f aca="false">IF(AND(E281&gt;0,W281&lt;1,NOT(AND(C282=C281,W282=W281+1))),INDEX(DATAS,W281+1),"")</f>
        <v/>
      </c>
      <c r="AE281" s="33" t="str">
        <f aca="false">IF(AND(Y281=1,W281&lt;1),IF(AND(C282=C281,W282=W281+1),IF(Y282=1,"",INDEX(DATAS,W281+1)),INDEX(DATAS,W281+1)),"")</f>
        <v/>
      </c>
    </row>
    <row r="282" customFormat="false" ht="15" hidden="false" customHeight="false" outlineLevel="0" collapsed="false">
      <c r="A282" s="33" t="n">
        <v>46309</v>
      </c>
      <c r="B282" s="0" t="n">
        <v>5</v>
      </c>
      <c r="C282" s="0" t="n">
        <v>3843</v>
      </c>
      <c r="D282" s="0" t="n">
        <v>40</v>
      </c>
      <c r="E282" s="0" t="n">
        <v>3</v>
      </c>
      <c r="F282" s="27" t="s">
        <v>377</v>
      </c>
      <c r="G282" s="0" t="n">
        <v>46.4</v>
      </c>
      <c r="H282" s="0" t="n">
        <v>38</v>
      </c>
      <c r="I282" s="27" t="s">
        <v>147</v>
      </c>
      <c r="J282" s="0" t="n">
        <v>40</v>
      </c>
      <c r="M282" s="0" t="n">
        <v>937.11</v>
      </c>
      <c r="N282" s="0" t="n">
        <v>42.52</v>
      </c>
      <c r="O282" s="0" t="n">
        <v>28.5</v>
      </c>
      <c r="P282" s="0" t="n">
        <v>3.48</v>
      </c>
      <c r="Q282" s="0" t="n">
        <v>4.17</v>
      </c>
      <c r="R282" s="0" t="n">
        <v>3283</v>
      </c>
      <c r="S282" s="0" t="n">
        <v>6600</v>
      </c>
      <c r="U282" s="0" t="n">
        <v>1698</v>
      </c>
      <c r="V282" s="0" t="n">
        <v>0</v>
      </c>
      <c r="W282" s="27" t="n">
        <f aca="false">MATCH(A282,DATAS,0)</f>
        <v>1</v>
      </c>
      <c r="X282" s="27" t="n">
        <f aca="false">IF(AND(E282&gt;0,OR(AND(B282&gt;=1,B282&lt;=6),B282=10)),1,0)</f>
        <v>1</v>
      </c>
      <c r="Y282" s="27" t="n">
        <f aca="false">IF(AND(E282&gt;0,B282=10),1,0)</f>
        <v>0</v>
      </c>
      <c r="Z282" s="0" t="str">
        <f aca="false">IF(AND(C281=C282,W281=W282-1),X281,"")</f>
        <v/>
      </c>
      <c r="AA282" s="0" t="str">
        <f aca="false">IF(AND(C281=C282,W281=W282-1),Y281,"")</f>
        <v/>
      </c>
      <c r="AB282" s="0" t="str">
        <f aca="false">IF(W282=1,"",IF(AND(X282=1,Z282&lt;&gt;1),1,0))</f>
        <v/>
      </c>
      <c r="AC282" s="0" t="str">
        <f aca="false">IF(W282=1,"",IF(AND(Y282=1,AA282&lt;&gt;1),1,0))</f>
        <v/>
      </c>
      <c r="AD282" s="33" t="str">
        <f aca="false">IF(AND(E282&gt;0,W282&lt;1,NOT(AND(C283=C282,W283=W282+1))),INDEX(DATAS,W282+1),"")</f>
        <v/>
      </c>
      <c r="AE282" s="33" t="str">
        <f aca="false">IF(AND(Y282=1,W282&lt;1),IF(AND(C283=C282,W283=W282+1),IF(Y283=1,"",INDEX(DATAS,W282+1)),INDEX(DATAS,W282+1)),"")</f>
        <v/>
      </c>
    </row>
    <row r="283" customFormat="false" ht="15" hidden="false" customHeight="false" outlineLevel="0" collapsed="false">
      <c r="A283" s="33" t="n">
        <v>46309</v>
      </c>
      <c r="B283" s="0" t="n">
        <v>5</v>
      </c>
      <c r="C283" s="0" t="n">
        <v>3845</v>
      </c>
      <c r="D283" s="0" t="n">
        <v>191</v>
      </c>
      <c r="E283" s="0" t="n">
        <v>2</v>
      </c>
      <c r="F283" s="27" t="s">
        <v>377</v>
      </c>
      <c r="G283" s="0" t="n">
        <v>38.8</v>
      </c>
      <c r="H283" s="0" t="n">
        <v>38</v>
      </c>
      <c r="I283" s="27" t="s">
        <v>176</v>
      </c>
      <c r="J283" s="0" t="n">
        <v>191</v>
      </c>
      <c r="K283" s="0" t="n">
        <v>72</v>
      </c>
      <c r="M283" s="0" t="n">
        <v>910.8</v>
      </c>
      <c r="N283" s="0" t="n">
        <v>69.61</v>
      </c>
      <c r="O283" s="0" t="n">
        <v>28.15</v>
      </c>
      <c r="P283" s="0" t="n">
        <v>3.85</v>
      </c>
      <c r="Q283" s="0" t="n">
        <v>3.19</v>
      </c>
      <c r="R283" s="0" t="n">
        <v>6346</v>
      </c>
      <c r="S283" s="0" t="n">
        <v>12082</v>
      </c>
      <c r="T283" s="0" t="n">
        <v>64.2</v>
      </c>
      <c r="U283" s="0" t="n">
        <v>1698</v>
      </c>
      <c r="V283" s="0" t="n">
        <v>3</v>
      </c>
      <c r="W283" s="27" t="n">
        <f aca="false">MATCH(A283,DATAS,0)</f>
        <v>1</v>
      </c>
      <c r="X283" s="27" t="n">
        <f aca="false">IF(AND(E283&gt;0,OR(AND(B283&gt;=1,B283&lt;=6),B283=10)),1,0)</f>
        <v>1</v>
      </c>
      <c r="Y283" s="27" t="n">
        <f aca="false">IF(AND(E283&gt;0,B283=10),1,0)</f>
        <v>0</v>
      </c>
      <c r="Z283" s="0" t="str">
        <f aca="false">IF(AND(C282=C283,W282=W283-1),X282,"")</f>
        <v/>
      </c>
      <c r="AA283" s="0" t="str">
        <f aca="false">IF(AND(C282=C283,W282=W283-1),Y282,"")</f>
        <v/>
      </c>
      <c r="AB283" s="0" t="str">
        <f aca="false">IF(W283=1,"",IF(AND(X283=1,Z283&lt;&gt;1),1,0))</f>
        <v/>
      </c>
      <c r="AC283" s="0" t="str">
        <f aca="false">IF(W283=1,"",IF(AND(Y283=1,AA283&lt;&gt;1),1,0))</f>
        <v/>
      </c>
      <c r="AD283" s="33" t="str">
        <f aca="false">IF(AND(E283&gt;0,W283&lt;1,NOT(AND(C284=C283,W284=W283+1))),INDEX(DATAS,W283+1),"")</f>
        <v/>
      </c>
      <c r="AE283" s="33" t="str">
        <f aca="false">IF(AND(Y283=1,W283&lt;1),IF(AND(C284=C283,W284=W283+1),IF(Y284=1,"",INDEX(DATAS,W283+1)),INDEX(DATAS,W283+1)),"")</f>
        <v/>
      </c>
    </row>
    <row r="284" customFormat="false" ht="15" hidden="false" customHeight="false" outlineLevel="0" collapsed="false">
      <c r="A284" s="33" t="n">
        <v>46309</v>
      </c>
      <c r="B284" s="0" t="n">
        <v>5</v>
      </c>
      <c r="C284" s="0" t="n">
        <v>3848</v>
      </c>
      <c r="D284" s="0" t="n">
        <v>296</v>
      </c>
      <c r="E284" s="0" t="n">
        <v>2</v>
      </c>
      <c r="F284" s="27" t="s">
        <v>378</v>
      </c>
      <c r="G284" s="0" t="n">
        <v>30.8</v>
      </c>
      <c r="H284" s="0" t="n">
        <v>26</v>
      </c>
      <c r="I284" s="27" t="s">
        <v>138</v>
      </c>
      <c r="J284" s="0" t="n">
        <v>114</v>
      </c>
      <c r="K284" s="0" t="n">
        <v>79</v>
      </c>
      <c r="L284" s="0" t="n">
        <v>182</v>
      </c>
      <c r="M284" s="0" t="n">
        <v>1105.92</v>
      </c>
      <c r="N284" s="0" t="n">
        <v>48.09</v>
      </c>
      <c r="O284" s="0" t="n">
        <v>38.24</v>
      </c>
      <c r="P284" s="0" t="n">
        <v>2.09</v>
      </c>
      <c r="Q284" s="0" t="n">
        <v>3.21</v>
      </c>
      <c r="R284" s="0" t="n">
        <v>6255</v>
      </c>
      <c r="S284" s="0" t="n">
        <v>12124</v>
      </c>
      <c r="T284" s="0" t="n">
        <v>68.6</v>
      </c>
      <c r="U284" s="0" t="n">
        <v>1696</v>
      </c>
      <c r="V284" s="0" t="n">
        <v>2</v>
      </c>
      <c r="W284" s="27" t="n">
        <f aca="false">MATCH(A284,DATAS,0)</f>
        <v>1</v>
      </c>
      <c r="X284" s="27" t="n">
        <f aca="false">IF(AND(E284&gt;0,OR(AND(B284&gt;=1,B284&lt;=6),B284=10)),1,0)</f>
        <v>1</v>
      </c>
      <c r="Y284" s="27" t="n">
        <f aca="false">IF(AND(E284&gt;0,B284=10),1,0)</f>
        <v>0</v>
      </c>
      <c r="Z284" s="0" t="str">
        <f aca="false">IF(AND(C283=C284,W283=W284-1),X283,"")</f>
        <v/>
      </c>
      <c r="AA284" s="0" t="str">
        <f aca="false">IF(AND(C283=C284,W283=W284-1),Y283,"")</f>
        <v/>
      </c>
      <c r="AB284" s="0" t="str">
        <f aca="false">IF(W284=1,"",IF(AND(X284=1,Z284&lt;&gt;1),1,0))</f>
        <v/>
      </c>
      <c r="AC284" s="0" t="str">
        <f aca="false">IF(W284=1,"",IF(AND(Y284=1,AA284&lt;&gt;1),1,0))</f>
        <v/>
      </c>
      <c r="AD284" s="33" t="str">
        <f aca="false">IF(AND(E284&gt;0,W284&lt;1,NOT(AND(C285=C284,W285=W284+1))),INDEX(DATAS,W284+1),"")</f>
        <v/>
      </c>
      <c r="AE284" s="33" t="str">
        <f aca="false">IF(AND(Y284=1,W284&lt;1),IF(AND(C285=C284,W285=W284+1),IF(Y285=1,"",INDEX(DATAS,W284+1)),INDEX(DATAS,W284+1)),"")</f>
        <v/>
      </c>
    </row>
    <row r="285" customFormat="false" ht="15" hidden="false" customHeight="false" outlineLevel="0" collapsed="false">
      <c r="A285" s="33" t="n">
        <v>46309</v>
      </c>
      <c r="B285" s="0" t="n">
        <v>5</v>
      </c>
      <c r="C285" s="0" t="n">
        <v>3850</v>
      </c>
      <c r="D285" s="0" t="n">
        <v>231</v>
      </c>
      <c r="E285" s="0" t="n">
        <v>3</v>
      </c>
      <c r="F285" s="27" t="s">
        <v>379</v>
      </c>
      <c r="G285" s="0" t="n">
        <v>29</v>
      </c>
      <c r="H285" s="0" t="n">
        <v>29</v>
      </c>
      <c r="I285" s="27" t="s">
        <v>138</v>
      </c>
      <c r="J285" s="0" t="n">
        <v>63</v>
      </c>
      <c r="K285" s="0" t="n">
        <v>63</v>
      </c>
      <c r="L285" s="0" t="n">
        <v>168</v>
      </c>
      <c r="M285" s="0" t="n">
        <v>218.08</v>
      </c>
      <c r="N285" s="0" t="n">
        <v>24.9</v>
      </c>
      <c r="O285" s="0" t="n">
        <v>12.72</v>
      </c>
      <c r="P285" s="0" t="n">
        <v>4.42</v>
      </c>
      <c r="Q285" s="0" t="n">
        <v>3.66</v>
      </c>
      <c r="R285" s="0" t="n">
        <v>5208</v>
      </c>
      <c r="S285" s="0" t="n">
        <v>10850</v>
      </c>
      <c r="T285" s="0" t="n">
        <v>62.55</v>
      </c>
      <c r="U285" s="0" t="n">
        <v>1695</v>
      </c>
      <c r="V285" s="0" t="n">
        <v>1</v>
      </c>
      <c r="W285" s="27" t="n">
        <f aca="false">MATCH(A285,DATAS,0)</f>
        <v>1</v>
      </c>
      <c r="X285" s="27" t="n">
        <f aca="false">IF(AND(E285&gt;0,OR(AND(B285&gt;=1,B285&lt;=6),B285=10)),1,0)</f>
        <v>1</v>
      </c>
      <c r="Y285" s="27" t="n">
        <f aca="false">IF(AND(E285&gt;0,B285=10),1,0)</f>
        <v>0</v>
      </c>
      <c r="Z285" s="0" t="str">
        <f aca="false">IF(AND(C284=C285,W284=W285-1),X284,"")</f>
        <v/>
      </c>
      <c r="AA285" s="0" t="str">
        <f aca="false">IF(AND(C284=C285,W284=W285-1),Y284,"")</f>
        <v/>
      </c>
      <c r="AB285" s="0" t="str">
        <f aca="false">IF(W285=1,"",IF(AND(X285=1,Z285&lt;&gt;1),1,0))</f>
        <v/>
      </c>
      <c r="AC285" s="0" t="str">
        <f aca="false">IF(W285=1,"",IF(AND(Y285=1,AA285&lt;&gt;1),1,0))</f>
        <v/>
      </c>
      <c r="AD285" s="33" t="str">
        <f aca="false">IF(AND(E285&gt;0,W285&lt;1,NOT(AND(C286=C285,W286=W285+1))),INDEX(DATAS,W285+1),"")</f>
        <v/>
      </c>
      <c r="AE285" s="33" t="str">
        <f aca="false">IF(AND(Y285=1,W285&lt;1),IF(AND(C286=C285,W286=W285+1),IF(Y286=1,"",INDEX(DATAS,W285+1)),INDEX(DATAS,W285+1)),"")</f>
        <v/>
      </c>
    </row>
    <row r="286" customFormat="false" ht="15" hidden="false" customHeight="false" outlineLevel="0" collapsed="false">
      <c r="A286" s="33" t="n">
        <v>46309</v>
      </c>
      <c r="B286" s="0" t="n">
        <v>10</v>
      </c>
      <c r="C286" s="0" t="n">
        <v>3851</v>
      </c>
      <c r="D286" s="0" t="n">
        <v>211</v>
      </c>
      <c r="E286" s="0" t="n">
        <v>3</v>
      </c>
      <c r="F286" s="27" t="s">
        <v>380</v>
      </c>
      <c r="H286" s="0" t="n">
        <v>18</v>
      </c>
      <c r="I286" s="27" t="s">
        <v>151</v>
      </c>
      <c r="J286" s="0" t="n">
        <v>211</v>
      </c>
      <c r="K286" s="0" t="n">
        <v>78</v>
      </c>
      <c r="M286" s="0" t="n">
        <v>233.01</v>
      </c>
      <c r="N286" s="0" t="n">
        <v>49.07</v>
      </c>
      <c r="O286" s="0" t="n">
        <v>11.9</v>
      </c>
      <c r="P286" s="0" t="n">
        <v>5.73</v>
      </c>
      <c r="Q286" s="0" t="n">
        <v>3.44</v>
      </c>
      <c r="R286" s="0" t="n">
        <v>3725</v>
      </c>
      <c r="S286" s="0" t="n">
        <v>7274</v>
      </c>
      <c r="T286" s="0" t="n">
        <v>42.9</v>
      </c>
      <c r="U286" s="0" t="n">
        <v>1694</v>
      </c>
      <c r="V286" s="0" t="n">
        <v>2</v>
      </c>
      <c r="W286" s="27" t="n">
        <f aca="false">MATCH(A286,DATAS,0)</f>
        <v>1</v>
      </c>
      <c r="X286" s="27" t="n">
        <f aca="false">IF(AND(E286&gt;0,OR(AND(B286&gt;=1,B286&lt;=6),B286=10)),1,0)</f>
        <v>1</v>
      </c>
      <c r="Y286" s="27" t="n">
        <f aca="false">IF(AND(E286&gt;0,B286=10),1,0)</f>
        <v>1</v>
      </c>
      <c r="Z286" s="0" t="str">
        <f aca="false">IF(AND(C285=C286,W285=W286-1),X285,"")</f>
        <v/>
      </c>
      <c r="AA286" s="0" t="str">
        <f aca="false">IF(AND(C285=C286,W285=W286-1),Y285,"")</f>
        <v/>
      </c>
      <c r="AB286" s="0" t="str">
        <f aca="false">IF(W286=1,"",IF(AND(X286=1,Z286&lt;&gt;1),1,0))</f>
        <v/>
      </c>
      <c r="AC286" s="0" t="str">
        <f aca="false">IF(W286=1,"",IF(AND(Y286=1,AA286&lt;&gt;1),1,0))</f>
        <v/>
      </c>
      <c r="AD286" s="33" t="str">
        <f aca="false">IF(AND(E286&gt;0,W286&lt;1,NOT(AND(C287=C286,W287=W286+1))),INDEX(DATAS,W286+1),"")</f>
        <v/>
      </c>
      <c r="AE286" s="33" t="str">
        <f aca="false">IF(AND(Y286=1,W286&lt;1),IF(AND(C287=C286,W287=W286+1),IF(Y287=1,"",INDEX(DATAS,W286+1)),INDEX(DATAS,W286+1)),"")</f>
        <v/>
      </c>
    </row>
    <row r="287" customFormat="false" ht="15" hidden="false" customHeight="false" outlineLevel="0" collapsed="false">
      <c r="A287" s="33" t="n">
        <v>46309</v>
      </c>
      <c r="B287" s="0" t="n">
        <v>6</v>
      </c>
      <c r="C287" s="0" t="n">
        <v>3852</v>
      </c>
      <c r="D287" s="0" t="n">
        <v>324</v>
      </c>
      <c r="E287" s="0" t="n">
        <v>3</v>
      </c>
      <c r="F287" s="27" t="s">
        <v>381</v>
      </c>
      <c r="G287" s="0" t="n">
        <v>31.5</v>
      </c>
      <c r="H287" s="0" t="n">
        <v>26</v>
      </c>
      <c r="I287" s="27" t="s">
        <v>138</v>
      </c>
      <c r="J287" s="0" t="n">
        <v>226</v>
      </c>
      <c r="K287" s="0" t="n">
        <v>65</v>
      </c>
      <c r="L287" s="0" t="n">
        <v>98</v>
      </c>
      <c r="M287" s="0" t="n">
        <v>116.23</v>
      </c>
      <c r="N287" s="0" t="n">
        <v>44.82</v>
      </c>
      <c r="O287" s="0" t="n">
        <v>14.61</v>
      </c>
      <c r="P287" s="0" t="n">
        <v>4.33</v>
      </c>
      <c r="Q287" s="0" t="n">
        <v>3.96</v>
      </c>
      <c r="R287" s="0" t="n">
        <v>6098</v>
      </c>
      <c r="S287" s="0" t="n">
        <v>11632</v>
      </c>
      <c r="T287" s="0" t="n">
        <v>67.6</v>
      </c>
      <c r="U287" s="0" t="n">
        <v>1693</v>
      </c>
      <c r="V287" s="0" t="n">
        <v>5</v>
      </c>
      <c r="W287" s="27" t="n">
        <f aca="false">MATCH(A287,DATAS,0)</f>
        <v>1</v>
      </c>
      <c r="X287" s="27" t="n">
        <f aca="false">IF(AND(E287&gt;0,OR(AND(B287&gt;=1,B287&lt;=6),B287=10)),1,0)</f>
        <v>1</v>
      </c>
      <c r="Y287" s="27" t="n">
        <f aca="false">IF(AND(E287&gt;0,B287=10),1,0)</f>
        <v>0</v>
      </c>
      <c r="Z287" s="0" t="str">
        <f aca="false">IF(AND(C286=C287,W286=W287-1),X286,"")</f>
        <v/>
      </c>
      <c r="AA287" s="0" t="str">
        <f aca="false">IF(AND(C286=C287,W286=W287-1),Y286,"")</f>
        <v/>
      </c>
      <c r="AB287" s="0" t="str">
        <f aca="false">IF(W287=1,"",IF(AND(X287=1,Z287&lt;&gt;1),1,0))</f>
        <v/>
      </c>
      <c r="AC287" s="0" t="str">
        <f aca="false">IF(W287=1,"",IF(AND(Y287=1,AA287&lt;&gt;1),1,0))</f>
        <v/>
      </c>
      <c r="AD287" s="33" t="str">
        <f aca="false">IF(AND(E287&gt;0,W287&lt;1,NOT(AND(C288=C287,W288=W287+1))),INDEX(DATAS,W287+1),"")</f>
        <v/>
      </c>
      <c r="AE287" s="33" t="str">
        <f aca="false">IF(AND(Y287=1,W287&lt;1),IF(AND(C288=C287,W288=W287+1),IF(Y288=1,"",INDEX(DATAS,W287+1)),INDEX(DATAS,W287+1)),"")</f>
        <v/>
      </c>
    </row>
    <row r="288" customFormat="false" ht="15" hidden="false" customHeight="false" outlineLevel="0" collapsed="false">
      <c r="A288" s="33" t="n">
        <v>46309</v>
      </c>
      <c r="B288" s="0" t="n">
        <v>3</v>
      </c>
      <c r="C288" s="0" t="n">
        <v>3853</v>
      </c>
      <c r="D288" s="0" t="n">
        <v>179</v>
      </c>
      <c r="E288" s="0" t="n">
        <v>3</v>
      </c>
      <c r="F288" s="27" t="s">
        <v>381</v>
      </c>
      <c r="G288" s="0" t="n">
        <v>53.3</v>
      </c>
      <c r="H288" s="0" t="n">
        <v>52</v>
      </c>
      <c r="I288" s="27" t="s">
        <v>138</v>
      </c>
      <c r="J288" s="0" t="n">
        <v>102</v>
      </c>
      <c r="K288" s="0" t="n">
        <v>67</v>
      </c>
      <c r="L288" s="0" t="n">
        <v>77</v>
      </c>
      <c r="M288" s="0" t="n">
        <v>1624.24</v>
      </c>
      <c r="N288" s="0" t="n">
        <v>23.7</v>
      </c>
      <c r="O288" s="0" t="n">
        <v>44.1</v>
      </c>
      <c r="P288" s="0" t="n">
        <v>3.47</v>
      </c>
      <c r="Q288" s="0" t="n">
        <v>3.56</v>
      </c>
      <c r="R288" s="0" t="n">
        <v>5268</v>
      </c>
      <c r="S288" s="0" t="n">
        <v>10539</v>
      </c>
      <c r="T288" s="0" t="n">
        <v>55.8</v>
      </c>
      <c r="U288" s="0" t="n">
        <v>1693</v>
      </c>
      <c r="V288" s="0" t="n">
        <v>2</v>
      </c>
      <c r="W288" s="27" t="n">
        <f aca="false">MATCH(A288,DATAS,0)</f>
        <v>1</v>
      </c>
      <c r="X288" s="27" t="n">
        <f aca="false">IF(AND(E288&gt;0,OR(AND(B288&gt;=1,B288&lt;=6),B288=10)),1,0)</f>
        <v>1</v>
      </c>
      <c r="Y288" s="27" t="n">
        <f aca="false">IF(AND(E288&gt;0,B288=10),1,0)</f>
        <v>0</v>
      </c>
      <c r="Z288" s="0" t="str">
        <f aca="false">IF(AND(C287=C288,W287=W288-1),X287,"")</f>
        <v/>
      </c>
      <c r="AA288" s="0" t="str">
        <f aca="false">IF(AND(C287=C288,W287=W288-1),Y287,"")</f>
        <v/>
      </c>
      <c r="AB288" s="0" t="str">
        <f aca="false">IF(W288=1,"",IF(AND(X288=1,Z288&lt;&gt;1),1,0))</f>
        <v/>
      </c>
      <c r="AC288" s="0" t="str">
        <f aca="false">IF(W288=1,"",IF(AND(Y288=1,AA288&lt;&gt;1),1,0))</f>
        <v/>
      </c>
      <c r="AD288" s="33" t="str">
        <f aca="false">IF(AND(E288&gt;0,W288&lt;1,NOT(AND(C289=C288,W289=W288+1))),INDEX(DATAS,W288+1),"")</f>
        <v/>
      </c>
      <c r="AE288" s="33" t="str">
        <f aca="false">IF(AND(Y288=1,W288&lt;1),IF(AND(C289=C288,W289=W288+1),IF(Y289=1,"",INDEX(DATAS,W288+1)),INDEX(DATAS,W288+1)),"")</f>
        <v/>
      </c>
    </row>
    <row r="289" customFormat="false" ht="15" hidden="false" customHeight="false" outlineLevel="0" collapsed="false">
      <c r="A289" s="33" t="n">
        <v>46309</v>
      </c>
      <c r="B289" s="0" t="n">
        <v>5</v>
      </c>
      <c r="C289" s="0" t="n">
        <v>3855</v>
      </c>
      <c r="D289" s="0" t="n">
        <v>248</v>
      </c>
      <c r="E289" s="0" t="n">
        <v>3</v>
      </c>
      <c r="F289" s="27" t="s">
        <v>382</v>
      </c>
      <c r="G289" s="0" t="n">
        <v>31.1</v>
      </c>
      <c r="H289" s="0" t="n">
        <v>30</v>
      </c>
      <c r="I289" s="27" t="s">
        <v>138</v>
      </c>
      <c r="J289" s="0" t="n">
        <v>66</v>
      </c>
      <c r="K289" s="0" t="n">
        <v>66</v>
      </c>
      <c r="L289" s="0" t="n">
        <v>182</v>
      </c>
      <c r="M289" s="0" t="n">
        <v>919.77</v>
      </c>
      <c r="N289" s="0" t="n">
        <v>44.99</v>
      </c>
      <c r="O289" s="0" t="n">
        <v>34.07</v>
      </c>
      <c r="P289" s="0" t="n">
        <v>4.08</v>
      </c>
      <c r="Q289" s="0" t="n">
        <v>3.91</v>
      </c>
      <c r="R289" s="0" t="n">
        <v>5854</v>
      </c>
      <c r="S289" s="0" t="n">
        <v>11826</v>
      </c>
      <c r="T289" s="0" t="n">
        <v>64.6</v>
      </c>
      <c r="U289" s="0" t="n">
        <v>1690</v>
      </c>
      <c r="V289" s="0" t="n">
        <v>1</v>
      </c>
      <c r="W289" s="27" t="n">
        <f aca="false">MATCH(A289,DATAS,0)</f>
        <v>1</v>
      </c>
      <c r="X289" s="27" t="n">
        <f aca="false">IF(AND(E289&gt;0,OR(AND(B289&gt;=1,B289&lt;=6),B289=10)),1,0)</f>
        <v>1</v>
      </c>
      <c r="Y289" s="27" t="n">
        <f aca="false">IF(AND(E289&gt;0,B289=10),1,0)</f>
        <v>0</v>
      </c>
      <c r="Z289" s="0" t="str">
        <f aca="false">IF(AND(C288=C289,W288=W289-1),X288,"")</f>
        <v/>
      </c>
      <c r="AA289" s="0" t="str">
        <f aca="false">IF(AND(C288=C289,W288=W289-1),Y288,"")</f>
        <v/>
      </c>
      <c r="AB289" s="0" t="str">
        <f aca="false">IF(W289=1,"",IF(AND(X289=1,Z289&lt;&gt;1),1,0))</f>
        <v/>
      </c>
      <c r="AC289" s="0" t="str">
        <f aca="false">IF(W289=1,"",IF(AND(Y289=1,AA289&lt;&gt;1),1,0))</f>
        <v/>
      </c>
      <c r="AD289" s="33" t="str">
        <f aca="false">IF(AND(E289&gt;0,W289&lt;1,NOT(AND(C290=C289,W290=W289+1))),INDEX(DATAS,W289+1),"")</f>
        <v/>
      </c>
      <c r="AE289" s="33" t="str">
        <f aca="false">IF(AND(Y289=1,W289&lt;1),IF(AND(C290=C289,W290=W289+1),IF(Y290=1,"",INDEX(DATAS,W289+1)),INDEX(DATAS,W289+1)),"")</f>
        <v/>
      </c>
    </row>
    <row r="290" customFormat="false" ht="15" hidden="false" customHeight="false" outlineLevel="0" collapsed="false">
      <c r="A290" s="33" t="n">
        <v>46309</v>
      </c>
      <c r="B290" s="0" t="n">
        <v>3</v>
      </c>
      <c r="C290" s="0" t="n">
        <v>3856</v>
      </c>
      <c r="D290" s="0" t="n">
        <v>234</v>
      </c>
      <c r="E290" s="0" t="n">
        <v>3</v>
      </c>
      <c r="F290" s="27" t="s">
        <v>382</v>
      </c>
      <c r="G290" s="0" t="n">
        <v>60.3</v>
      </c>
      <c r="H290" s="0" t="n">
        <v>58</v>
      </c>
      <c r="I290" s="27" t="s">
        <v>168</v>
      </c>
      <c r="J290" s="0" t="n">
        <v>234</v>
      </c>
      <c r="K290" s="0" t="n">
        <v>66</v>
      </c>
      <c r="M290" s="0" t="n">
        <v>744.8</v>
      </c>
      <c r="N290" s="0" t="n">
        <v>60.89</v>
      </c>
      <c r="O290" s="0" t="n">
        <v>27.78</v>
      </c>
      <c r="P290" s="0" t="n">
        <v>3.19</v>
      </c>
      <c r="Q290" s="0" t="n">
        <v>3.16</v>
      </c>
      <c r="R290" s="0" t="n">
        <v>5982</v>
      </c>
      <c r="S290" s="0" t="n">
        <v>12606</v>
      </c>
      <c r="T290" s="0" t="n">
        <v>72.15</v>
      </c>
      <c r="U290" s="0" t="n">
        <v>1690</v>
      </c>
      <c r="V290" s="0" t="n">
        <v>5</v>
      </c>
      <c r="W290" s="27" t="n">
        <f aca="false">MATCH(A290,DATAS,0)</f>
        <v>1</v>
      </c>
      <c r="X290" s="27" t="n">
        <f aca="false">IF(AND(E290&gt;0,OR(AND(B290&gt;=1,B290&lt;=6),B290=10)),1,0)</f>
        <v>1</v>
      </c>
      <c r="Y290" s="27" t="n">
        <f aca="false">IF(AND(E290&gt;0,B290=10),1,0)</f>
        <v>0</v>
      </c>
      <c r="Z290" s="0" t="str">
        <f aca="false">IF(AND(C289=C290,W289=W290-1),X289,"")</f>
        <v/>
      </c>
      <c r="AA290" s="0" t="str">
        <f aca="false">IF(AND(C289=C290,W289=W290-1),Y289,"")</f>
        <v/>
      </c>
      <c r="AB290" s="0" t="str">
        <f aca="false">IF(W290=1,"",IF(AND(X290=1,Z290&lt;&gt;1),1,0))</f>
        <v/>
      </c>
      <c r="AC290" s="0" t="str">
        <f aca="false">IF(W290=1,"",IF(AND(Y290=1,AA290&lt;&gt;1),1,0))</f>
        <v/>
      </c>
      <c r="AD290" s="33" t="str">
        <f aca="false">IF(AND(E290&gt;0,W290&lt;1,NOT(AND(C291=C290,W291=W290+1))),INDEX(DATAS,W290+1),"")</f>
        <v/>
      </c>
      <c r="AE290" s="33" t="str">
        <f aca="false">IF(AND(Y290=1,W290&lt;1),IF(AND(C291=C290,W291=W290+1),IF(Y291=1,"",INDEX(DATAS,W290+1)),INDEX(DATAS,W290+1)),"")</f>
        <v/>
      </c>
    </row>
    <row r="291" customFormat="false" ht="15" hidden="false" customHeight="false" outlineLevel="0" collapsed="false">
      <c r="A291" s="33" t="n">
        <v>46309</v>
      </c>
      <c r="B291" s="0" t="n">
        <v>2</v>
      </c>
      <c r="C291" s="0" t="n">
        <v>3858</v>
      </c>
      <c r="D291" s="0" t="n">
        <v>125</v>
      </c>
      <c r="E291" s="0" t="n">
        <v>3</v>
      </c>
      <c r="F291" s="27" t="s">
        <v>383</v>
      </c>
      <c r="G291" s="0" t="n">
        <v>50.3</v>
      </c>
      <c r="H291" s="0" t="n">
        <v>52</v>
      </c>
      <c r="I291" s="27" t="s">
        <v>138</v>
      </c>
      <c r="J291" s="0" t="n">
        <v>69</v>
      </c>
      <c r="K291" s="0" t="n">
        <v>69</v>
      </c>
      <c r="L291" s="0" t="n">
        <v>56</v>
      </c>
      <c r="M291" s="0" t="n">
        <v>738.43</v>
      </c>
      <c r="N291" s="0" t="n">
        <v>61.92</v>
      </c>
      <c r="O291" s="0" t="n">
        <v>30.02</v>
      </c>
      <c r="P291" s="0" t="n">
        <v>3.46</v>
      </c>
      <c r="Q291" s="0" t="n">
        <v>3.89</v>
      </c>
      <c r="R291" s="0" t="n">
        <v>5721</v>
      </c>
      <c r="S291" s="0" t="n">
        <v>11157</v>
      </c>
      <c r="T291" s="0" t="n">
        <v>59.4</v>
      </c>
      <c r="U291" s="0" t="n">
        <v>1689</v>
      </c>
      <c r="V291" s="0" t="n">
        <v>1</v>
      </c>
      <c r="W291" s="27" t="n">
        <f aca="false">MATCH(A291,DATAS,0)</f>
        <v>1</v>
      </c>
      <c r="X291" s="27" t="n">
        <f aca="false">IF(AND(E291&gt;0,OR(AND(B291&gt;=1,B291&lt;=6),B291=10)),1,0)</f>
        <v>1</v>
      </c>
      <c r="Y291" s="27" t="n">
        <f aca="false">IF(AND(E291&gt;0,B291=10),1,0)</f>
        <v>0</v>
      </c>
      <c r="Z291" s="0" t="str">
        <f aca="false">IF(AND(C290=C291,W290=W291-1),X290,"")</f>
        <v/>
      </c>
      <c r="AA291" s="0" t="str">
        <f aca="false">IF(AND(C290=C291,W290=W291-1),Y290,"")</f>
        <v/>
      </c>
      <c r="AB291" s="0" t="str">
        <f aca="false">IF(W291=1,"",IF(AND(X291=1,Z291&lt;&gt;1),1,0))</f>
        <v/>
      </c>
      <c r="AC291" s="0" t="str">
        <f aca="false">IF(W291=1,"",IF(AND(Y291=1,AA291&lt;&gt;1),1,0))</f>
        <v/>
      </c>
      <c r="AD291" s="33" t="str">
        <f aca="false">IF(AND(E291&gt;0,W291&lt;1,NOT(AND(C292=C291,W292=W291+1))),INDEX(DATAS,W291+1),"")</f>
        <v/>
      </c>
      <c r="AE291" s="33" t="str">
        <f aca="false">IF(AND(Y291=1,W291&lt;1),IF(AND(C292=C291,W292=W291+1),IF(Y292=1,"",INDEX(DATAS,W291+1)),INDEX(DATAS,W291+1)),"")</f>
        <v/>
      </c>
    </row>
    <row r="292" customFormat="false" ht="15" hidden="false" customHeight="false" outlineLevel="0" collapsed="false">
      <c r="A292" s="33" t="n">
        <v>46309</v>
      </c>
      <c r="B292" s="0" t="n">
        <v>14</v>
      </c>
      <c r="C292" s="0" t="n">
        <v>3860</v>
      </c>
      <c r="D292" s="0" t="n">
        <v>463</v>
      </c>
      <c r="E292" s="0" t="n">
        <v>2</v>
      </c>
      <c r="F292" s="27" t="s">
        <v>384</v>
      </c>
      <c r="I292" s="27" t="s">
        <v>143</v>
      </c>
      <c r="J292" s="0" t="n">
        <v>240</v>
      </c>
      <c r="K292" s="0" t="n">
        <v>58</v>
      </c>
      <c r="L292" s="0" t="n">
        <v>259</v>
      </c>
      <c r="M292" s="0" t="n">
        <v>1274</v>
      </c>
      <c r="N292" s="0" t="n">
        <v>59.7</v>
      </c>
      <c r="O292" s="0" t="n">
        <v>45.46</v>
      </c>
      <c r="P292" s="0" t="n">
        <v>5.9</v>
      </c>
      <c r="Q292" s="0" t="n">
        <v>4.21</v>
      </c>
      <c r="R292" s="0" t="n">
        <v>6526</v>
      </c>
      <c r="S292" s="0" t="n">
        <v>13132</v>
      </c>
      <c r="T292" s="0" t="n">
        <v>67.65</v>
      </c>
      <c r="U292" s="0" t="n">
        <v>1688</v>
      </c>
      <c r="V292" s="0" t="n">
        <v>6</v>
      </c>
      <c r="W292" s="27" t="n">
        <f aca="false">MATCH(A292,DATAS,0)</f>
        <v>1</v>
      </c>
      <c r="X292" s="27" t="n">
        <f aca="false">IF(AND(E292&gt;0,OR(AND(B292&gt;=1,B292&lt;=6),B292=10)),1,0)</f>
        <v>0</v>
      </c>
      <c r="Y292" s="27" t="n">
        <f aca="false">IF(AND(E292&gt;0,B292=10),1,0)</f>
        <v>0</v>
      </c>
      <c r="Z292" s="0" t="str">
        <f aca="false">IF(AND(C291=C292,W291=W292-1),X291,"")</f>
        <v/>
      </c>
      <c r="AA292" s="0" t="str">
        <f aca="false">IF(AND(C291=C292,W291=W292-1),Y291,"")</f>
        <v/>
      </c>
      <c r="AB292" s="0" t="str">
        <f aca="false">IF(W292=1,"",IF(AND(X292=1,Z292&lt;&gt;1),1,0))</f>
        <v/>
      </c>
      <c r="AC292" s="0" t="str">
        <f aca="false">IF(W292=1,"",IF(AND(Y292=1,AA292&lt;&gt;1),1,0))</f>
        <v/>
      </c>
      <c r="AD292" s="33" t="str">
        <f aca="false">IF(AND(E292&gt;0,W292&lt;1,NOT(AND(C293=C292,W293=W292+1))),INDEX(DATAS,W292+1),"")</f>
        <v/>
      </c>
      <c r="AE292" s="33" t="str">
        <f aca="false">IF(AND(Y292=1,W292&lt;1),IF(AND(C293=C292,W293=W292+1),IF(Y293=1,"",INDEX(DATAS,W292+1)),INDEX(DATAS,W292+1)),"")</f>
        <v/>
      </c>
    </row>
    <row r="293" customFormat="false" ht="15" hidden="false" customHeight="false" outlineLevel="0" collapsed="false">
      <c r="A293" s="33" t="n">
        <v>46309</v>
      </c>
      <c r="B293" s="0" t="n">
        <v>5</v>
      </c>
      <c r="C293" s="0" t="n">
        <v>3864</v>
      </c>
      <c r="D293" s="0" t="n">
        <v>320</v>
      </c>
      <c r="E293" s="0" t="n">
        <v>3</v>
      </c>
      <c r="F293" s="27" t="s">
        <v>385</v>
      </c>
      <c r="G293" s="0" t="n">
        <v>42.2</v>
      </c>
      <c r="H293" s="0" t="n">
        <v>42</v>
      </c>
      <c r="I293" s="27" t="s">
        <v>138</v>
      </c>
      <c r="J293" s="0" t="n">
        <v>201</v>
      </c>
      <c r="K293" s="0" t="n">
        <v>68</v>
      </c>
      <c r="L293" s="0" t="n">
        <v>119</v>
      </c>
      <c r="M293" s="0" t="n">
        <v>545.48</v>
      </c>
      <c r="N293" s="0" t="n">
        <v>42.73</v>
      </c>
      <c r="O293" s="0" t="n">
        <v>22</v>
      </c>
      <c r="P293" s="0" t="n">
        <v>4.62</v>
      </c>
      <c r="Q293" s="0" t="n">
        <v>3.72</v>
      </c>
      <c r="R293" s="0" t="n">
        <v>5583</v>
      </c>
      <c r="S293" s="0" t="n">
        <v>11130</v>
      </c>
      <c r="T293" s="0" t="n">
        <v>60.8</v>
      </c>
      <c r="U293" s="0" t="n">
        <v>1687</v>
      </c>
      <c r="V293" s="0" t="n">
        <v>4</v>
      </c>
      <c r="W293" s="27" t="n">
        <f aca="false">MATCH(A293,DATAS,0)</f>
        <v>1</v>
      </c>
      <c r="X293" s="27" t="n">
        <f aca="false">IF(AND(E293&gt;0,OR(AND(B293&gt;=1,B293&lt;=6),B293=10)),1,0)</f>
        <v>1</v>
      </c>
      <c r="Y293" s="27" t="n">
        <f aca="false">IF(AND(E293&gt;0,B293=10),1,0)</f>
        <v>0</v>
      </c>
      <c r="Z293" s="0" t="str">
        <f aca="false">IF(AND(C292=C293,W292=W293-1),X292,"")</f>
        <v/>
      </c>
      <c r="AA293" s="0" t="str">
        <f aca="false">IF(AND(C292=C293,W292=W293-1),Y292,"")</f>
        <v/>
      </c>
      <c r="AB293" s="0" t="str">
        <f aca="false">IF(W293=1,"",IF(AND(X293=1,Z293&lt;&gt;1),1,0))</f>
        <v/>
      </c>
      <c r="AC293" s="0" t="str">
        <f aca="false">IF(W293=1,"",IF(AND(Y293=1,AA293&lt;&gt;1),1,0))</f>
        <v/>
      </c>
      <c r="AD293" s="33" t="str">
        <f aca="false">IF(AND(E293&gt;0,W293&lt;1,NOT(AND(C294=C293,W294=W293+1))),INDEX(DATAS,W293+1),"")</f>
        <v/>
      </c>
      <c r="AE293" s="33" t="str">
        <f aca="false">IF(AND(Y293=1,W293&lt;1),IF(AND(C294=C293,W294=W293+1),IF(Y294=1,"",INDEX(DATAS,W293+1)),INDEX(DATAS,W293+1)),"")</f>
        <v/>
      </c>
    </row>
    <row r="294" customFormat="false" ht="15" hidden="false" customHeight="false" outlineLevel="0" collapsed="false">
      <c r="A294" s="33" t="n">
        <v>46309</v>
      </c>
      <c r="B294" s="0" t="n">
        <v>5</v>
      </c>
      <c r="C294" s="0" t="n">
        <v>3870</v>
      </c>
      <c r="D294" s="0" t="n">
        <v>327</v>
      </c>
      <c r="E294" s="0" t="n">
        <v>3</v>
      </c>
      <c r="F294" s="27" t="s">
        <v>386</v>
      </c>
      <c r="G294" s="0" t="n">
        <v>28.3</v>
      </c>
      <c r="H294" s="0" t="n">
        <v>27</v>
      </c>
      <c r="I294" s="27" t="s">
        <v>138</v>
      </c>
      <c r="J294" s="0" t="n">
        <v>205</v>
      </c>
      <c r="K294" s="0" t="n">
        <v>68</v>
      </c>
      <c r="L294" s="0" t="n">
        <v>122</v>
      </c>
      <c r="M294" s="0" t="n">
        <v>223.45</v>
      </c>
      <c r="N294" s="0" t="n">
        <v>59.03</v>
      </c>
      <c r="O294" s="0" t="n">
        <v>20.19</v>
      </c>
      <c r="P294" s="0" t="n">
        <v>6.13</v>
      </c>
      <c r="Q294" s="0" t="n">
        <v>4.25</v>
      </c>
      <c r="R294" s="0" t="n">
        <v>4934</v>
      </c>
      <c r="S294" s="0" t="n">
        <v>8646</v>
      </c>
      <c r="T294" s="0" t="n">
        <v>48.4</v>
      </c>
      <c r="U294" s="0" t="n">
        <v>1683</v>
      </c>
      <c r="V294" s="0" t="n">
        <v>4</v>
      </c>
      <c r="W294" s="27" t="n">
        <f aca="false">MATCH(A294,DATAS,0)</f>
        <v>1</v>
      </c>
      <c r="X294" s="27" t="n">
        <f aca="false">IF(AND(E294&gt;0,OR(AND(B294&gt;=1,B294&lt;=6),B294=10)),1,0)</f>
        <v>1</v>
      </c>
      <c r="Y294" s="27" t="n">
        <f aca="false">IF(AND(E294&gt;0,B294=10),1,0)</f>
        <v>0</v>
      </c>
      <c r="Z294" s="0" t="str">
        <f aca="false">IF(AND(C293=C294,W293=W294-1),X293,"")</f>
        <v/>
      </c>
      <c r="AA294" s="0" t="str">
        <f aca="false">IF(AND(C293=C294,W293=W294-1),Y293,"")</f>
        <v/>
      </c>
      <c r="AB294" s="0" t="str">
        <f aca="false">IF(W294=1,"",IF(AND(X294=1,Z294&lt;&gt;1),1,0))</f>
        <v/>
      </c>
      <c r="AC294" s="0" t="str">
        <f aca="false">IF(W294=1,"",IF(AND(Y294=1,AA294&lt;&gt;1),1,0))</f>
        <v/>
      </c>
      <c r="AD294" s="33" t="str">
        <f aca="false">IF(AND(E294&gt;0,W294&lt;1,NOT(AND(C295=C294,W295=W294+1))),INDEX(DATAS,W294+1),"")</f>
        <v/>
      </c>
      <c r="AE294" s="33" t="str">
        <f aca="false">IF(AND(Y294=1,W294&lt;1),IF(AND(C295=C294,W295=W294+1),IF(Y295=1,"",INDEX(DATAS,W294+1)),INDEX(DATAS,W294+1)),"")</f>
        <v/>
      </c>
    </row>
    <row r="295" customFormat="false" ht="15" hidden="false" customHeight="false" outlineLevel="0" collapsed="false">
      <c r="A295" s="33" t="n">
        <v>46309</v>
      </c>
      <c r="B295" s="0" t="n">
        <v>2</v>
      </c>
      <c r="C295" s="0" t="n">
        <v>3878</v>
      </c>
      <c r="D295" s="0" t="n">
        <v>242</v>
      </c>
      <c r="E295" s="0" t="n">
        <v>3</v>
      </c>
      <c r="F295" s="27" t="s">
        <v>387</v>
      </c>
      <c r="G295" s="0" t="n">
        <v>53.7</v>
      </c>
      <c r="H295" s="0" t="n">
        <v>52</v>
      </c>
      <c r="I295" s="27" t="s">
        <v>138</v>
      </c>
      <c r="J295" s="0" t="n">
        <v>67</v>
      </c>
      <c r="K295" s="0" t="n">
        <v>67</v>
      </c>
      <c r="L295" s="0" t="n">
        <v>175</v>
      </c>
      <c r="M295" s="0" t="n">
        <v>505.11</v>
      </c>
      <c r="N295" s="0" t="n">
        <v>27.51</v>
      </c>
      <c r="O295" s="0" t="n">
        <v>21.07</v>
      </c>
      <c r="P295" s="0" t="n">
        <v>3.17</v>
      </c>
      <c r="Q295" s="0" t="n">
        <v>3.39</v>
      </c>
      <c r="R295" s="0" t="n">
        <v>5400</v>
      </c>
      <c r="S295" s="0" t="n">
        <v>11511</v>
      </c>
      <c r="T295" s="0" t="n">
        <v>60.8</v>
      </c>
      <c r="U295" s="0" t="n">
        <v>1679</v>
      </c>
      <c r="V295" s="0" t="n">
        <v>1</v>
      </c>
      <c r="W295" s="27" t="n">
        <f aca="false">MATCH(A295,DATAS,0)</f>
        <v>1</v>
      </c>
      <c r="X295" s="27" t="n">
        <f aca="false">IF(AND(E295&gt;0,OR(AND(B295&gt;=1,B295&lt;=6),B295=10)),1,0)</f>
        <v>1</v>
      </c>
      <c r="Y295" s="27" t="n">
        <f aca="false">IF(AND(E295&gt;0,B295=10),1,0)</f>
        <v>0</v>
      </c>
      <c r="Z295" s="0" t="str">
        <f aca="false">IF(AND(C294=C295,W294=W295-1),X294,"")</f>
        <v/>
      </c>
      <c r="AA295" s="0" t="str">
        <f aca="false">IF(AND(C294=C295,W294=W295-1),Y294,"")</f>
        <v/>
      </c>
      <c r="AB295" s="0" t="str">
        <f aca="false">IF(W295=1,"",IF(AND(X295=1,Z295&lt;&gt;1),1,0))</f>
        <v/>
      </c>
      <c r="AC295" s="0" t="str">
        <f aca="false">IF(W295=1,"",IF(AND(Y295=1,AA295&lt;&gt;1),1,0))</f>
        <v/>
      </c>
      <c r="AD295" s="33" t="str">
        <f aca="false">IF(AND(E295&gt;0,W295&lt;1,NOT(AND(C296=C295,W296=W295+1))),INDEX(DATAS,W295+1),"")</f>
        <v/>
      </c>
      <c r="AE295" s="33" t="str">
        <f aca="false">IF(AND(Y295=1,W295&lt;1),IF(AND(C296=C295,W296=W295+1),IF(Y296=1,"",INDEX(DATAS,W295+1)),INDEX(DATAS,W295+1)),"")</f>
        <v/>
      </c>
    </row>
    <row r="296" customFormat="false" ht="15" hidden="false" customHeight="false" outlineLevel="0" collapsed="false">
      <c r="A296" s="33" t="n">
        <v>46309</v>
      </c>
      <c r="B296" s="0" t="n">
        <v>3</v>
      </c>
      <c r="C296" s="0" t="n">
        <v>3879</v>
      </c>
      <c r="D296" s="0" t="n">
        <v>122</v>
      </c>
      <c r="E296" s="0" t="n">
        <v>3</v>
      </c>
      <c r="F296" s="27" t="s">
        <v>387</v>
      </c>
      <c r="G296" s="0" t="n">
        <v>59.6</v>
      </c>
      <c r="H296" s="0" t="n">
        <v>60</v>
      </c>
      <c r="I296" s="27" t="s">
        <v>168</v>
      </c>
      <c r="J296" s="0" t="n">
        <v>122</v>
      </c>
      <c r="K296" s="0" t="n">
        <v>80</v>
      </c>
      <c r="M296" s="0" t="n">
        <v>830.4</v>
      </c>
      <c r="N296" s="0" t="n">
        <v>26.92</v>
      </c>
      <c r="O296" s="0" t="n">
        <v>30.33</v>
      </c>
      <c r="P296" s="0" t="n">
        <v>2.99</v>
      </c>
      <c r="Q296" s="0" t="n">
        <v>3.25</v>
      </c>
      <c r="R296" s="0" t="n">
        <v>6469</v>
      </c>
      <c r="S296" s="0" t="n">
        <v>12935</v>
      </c>
      <c r="T296" s="0" t="n">
        <v>71.45</v>
      </c>
      <c r="U296" s="0" t="n">
        <v>1679</v>
      </c>
      <c r="V296" s="0" t="n">
        <v>2</v>
      </c>
      <c r="W296" s="27" t="n">
        <f aca="false">MATCH(A296,DATAS,0)</f>
        <v>1</v>
      </c>
      <c r="X296" s="27" t="n">
        <f aca="false">IF(AND(E296&gt;0,OR(AND(B296&gt;=1,B296&lt;=6),B296=10)),1,0)</f>
        <v>1</v>
      </c>
      <c r="Y296" s="27" t="n">
        <f aca="false">IF(AND(E296&gt;0,B296=10),1,0)</f>
        <v>0</v>
      </c>
      <c r="Z296" s="0" t="str">
        <f aca="false">IF(AND(C295=C296,W295=W296-1),X295,"")</f>
        <v/>
      </c>
      <c r="AA296" s="0" t="str">
        <f aca="false">IF(AND(C295=C296,W295=W296-1),Y295,"")</f>
        <v/>
      </c>
      <c r="AB296" s="0" t="str">
        <f aca="false">IF(W296=1,"",IF(AND(X296=1,Z296&lt;&gt;1),1,0))</f>
        <v/>
      </c>
      <c r="AC296" s="0" t="str">
        <f aca="false">IF(W296=1,"",IF(AND(Y296=1,AA296&lt;&gt;1),1,0))</f>
        <v/>
      </c>
      <c r="AD296" s="33" t="str">
        <f aca="false">IF(AND(E296&gt;0,W296&lt;1,NOT(AND(C297=C296,W297=W296+1))),INDEX(DATAS,W296+1),"")</f>
        <v/>
      </c>
      <c r="AE296" s="33" t="str">
        <f aca="false">IF(AND(Y296=1,W296&lt;1),IF(AND(C297=C296,W297=W296+1),IF(Y297=1,"",INDEX(DATAS,W296+1)),INDEX(DATAS,W296+1)),"")</f>
        <v/>
      </c>
    </row>
    <row r="297" customFormat="false" ht="15" hidden="false" customHeight="false" outlineLevel="0" collapsed="false">
      <c r="A297" s="33" t="n">
        <v>46309</v>
      </c>
      <c r="B297" s="0" t="n">
        <v>5</v>
      </c>
      <c r="C297" s="0" t="n">
        <v>3882</v>
      </c>
      <c r="D297" s="0" t="n">
        <v>220</v>
      </c>
      <c r="E297" s="0" t="n">
        <v>3</v>
      </c>
      <c r="F297" s="27" t="s">
        <v>388</v>
      </c>
      <c r="G297" s="0" t="n">
        <v>38.2</v>
      </c>
      <c r="H297" s="0" t="n">
        <v>32</v>
      </c>
      <c r="I297" s="27" t="s">
        <v>138</v>
      </c>
      <c r="J297" s="0" t="n">
        <v>66</v>
      </c>
      <c r="K297" s="0" t="n">
        <v>66</v>
      </c>
      <c r="L297" s="0" t="n">
        <v>154</v>
      </c>
      <c r="M297" s="0" t="n">
        <v>320.98</v>
      </c>
      <c r="N297" s="0" t="n">
        <v>40.52</v>
      </c>
      <c r="O297" s="0" t="n">
        <v>18.38</v>
      </c>
      <c r="P297" s="0" t="n">
        <v>4.9</v>
      </c>
      <c r="Q297" s="0" t="n">
        <v>3.65</v>
      </c>
      <c r="R297" s="0" t="n">
        <v>5325</v>
      </c>
      <c r="S297" s="0" t="n">
        <v>9959</v>
      </c>
      <c r="T297" s="0" t="n">
        <v>57.45</v>
      </c>
      <c r="U297" s="0" t="n">
        <v>1677</v>
      </c>
      <c r="V297" s="0" t="n">
        <v>1</v>
      </c>
      <c r="W297" s="27" t="n">
        <f aca="false">MATCH(A297,DATAS,0)</f>
        <v>1</v>
      </c>
      <c r="X297" s="27" t="n">
        <f aca="false">IF(AND(E297&gt;0,OR(AND(B297&gt;=1,B297&lt;=6),B297=10)),1,0)</f>
        <v>1</v>
      </c>
      <c r="Y297" s="27" t="n">
        <f aca="false">IF(AND(E297&gt;0,B297=10),1,0)</f>
        <v>0</v>
      </c>
      <c r="Z297" s="0" t="str">
        <f aca="false">IF(AND(C296=C297,W296=W297-1),X296,"")</f>
        <v/>
      </c>
      <c r="AA297" s="0" t="str">
        <f aca="false">IF(AND(C296=C297,W296=W297-1),Y296,"")</f>
        <v/>
      </c>
      <c r="AB297" s="0" t="str">
        <f aca="false">IF(W297=1,"",IF(AND(X297=1,Z297&lt;&gt;1),1,0))</f>
        <v/>
      </c>
      <c r="AC297" s="0" t="str">
        <f aca="false">IF(W297=1,"",IF(AND(Y297=1,AA297&lt;&gt;1),1,0))</f>
        <v/>
      </c>
      <c r="AD297" s="33" t="str">
        <f aca="false">IF(AND(E297&gt;0,W297&lt;1,NOT(AND(C298=C297,W298=W297+1))),INDEX(DATAS,W297+1),"")</f>
        <v/>
      </c>
      <c r="AE297" s="33" t="str">
        <f aca="false">IF(AND(Y297=1,W297&lt;1),IF(AND(C298=C297,W298=W297+1),IF(Y298=1,"",INDEX(DATAS,W297+1)),INDEX(DATAS,W297+1)),"")</f>
        <v/>
      </c>
    </row>
    <row r="298" customFormat="false" ht="15" hidden="false" customHeight="false" outlineLevel="0" collapsed="false">
      <c r="A298" s="33" t="n">
        <v>46309</v>
      </c>
      <c r="B298" s="0" t="n">
        <v>5</v>
      </c>
      <c r="C298" s="0" t="n">
        <v>3883</v>
      </c>
      <c r="D298" s="0" t="n">
        <v>246</v>
      </c>
      <c r="E298" s="0" t="n">
        <v>3</v>
      </c>
      <c r="F298" s="27" t="s">
        <v>388</v>
      </c>
      <c r="G298" s="0" t="n">
        <v>34.7</v>
      </c>
      <c r="H298" s="0" t="n">
        <v>35</v>
      </c>
      <c r="I298" s="27" t="s">
        <v>138</v>
      </c>
      <c r="J298" s="0" t="n">
        <v>64</v>
      </c>
      <c r="K298" s="0" t="n">
        <v>64</v>
      </c>
      <c r="L298" s="0" t="n">
        <v>182</v>
      </c>
      <c r="M298" s="0" t="n">
        <v>16.91</v>
      </c>
      <c r="N298" s="0" t="n">
        <v>37.16</v>
      </c>
      <c r="O298" s="0" t="n">
        <v>17.55</v>
      </c>
      <c r="P298" s="0" t="n">
        <v>6.17</v>
      </c>
      <c r="Q298" s="0" t="n">
        <v>3.91</v>
      </c>
      <c r="R298" s="0" t="n">
        <v>3867</v>
      </c>
      <c r="S298" s="0" t="n">
        <v>8788</v>
      </c>
      <c r="T298" s="0" t="n">
        <v>45.85</v>
      </c>
      <c r="U298" s="0" t="n">
        <v>1677</v>
      </c>
      <c r="V298" s="0" t="n">
        <v>1</v>
      </c>
      <c r="W298" s="27" t="n">
        <f aca="false">MATCH(A298,DATAS,0)</f>
        <v>1</v>
      </c>
      <c r="X298" s="27" t="n">
        <f aca="false">IF(AND(E298&gt;0,OR(AND(B298&gt;=1,B298&lt;=6),B298=10)),1,0)</f>
        <v>1</v>
      </c>
      <c r="Y298" s="27" t="n">
        <f aca="false">IF(AND(E298&gt;0,B298=10),1,0)</f>
        <v>0</v>
      </c>
      <c r="Z298" s="0" t="str">
        <f aca="false">IF(AND(C297=C298,W297=W298-1),X297,"")</f>
        <v/>
      </c>
      <c r="AA298" s="0" t="str">
        <f aca="false">IF(AND(C297=C298,W297=W298-1),Y297,"")</f>
        <v/>
      </c>
      <c r="AB298" s="0" t="str">
        <f aca="false">IF(W298=1,"",IF(AND(X298=1,Z298&lt;&gt;1),1,0))</f>
        <v/>
      </c>
      <c r="AC298" s="0" t="str">
        <f aca="false">IF(W298=1,"",IF(AND(Y298=1,AA298&lt;&gt;1),1,0))</f>
        <v/>
      </c>
      <c r="AD298" s="33" t="str">
        <f aca="false">IF(AND(E298&gt;0,W298&lt;1,NOT(AND(C299=C298,W299=W298+1))),INDEX(DATAS,W298+1),"")</f>
        <v/>
      </c>
      <c r="AE298" s="33" t="str">
        <f aca="false">IF(AND(Y298=1,W298&lt;1),IF(AND(C299=C298,W299=W298+1),IF(Y299=1,"",INDEX(DATAS,W298+1)),INDEX(DATAS,W298+1)),"")</f>
        <v/>
      </c>
    </row>
    <row r="299" customFormat="false" ht="15" hidden="false" customHeight="false" outlineLevel="0" collapsed="false">
      <c r="A299" s="33" t="n">
        <v>46309</v>
      </c>
      <c r="B299" s="0" t="n">
        <v>3</v>
      </c>
      <c r="C299" s="0" t="n">
        <v>3885</v>
      </c>
      <c r="D299" s="0" t="n">
        <v>141</v>
      </c>
      <c r="E299" s="0" t="n">
        <v>3</v>
      </c>
      <c r="F299" s="27" t="s">
        <v>388</v>
      </c>
      <c r="G299" s="0" t="n">
        <v>58.4</v>
      </c>
      <c r="H299" s="0" t="n">
        <v>55</v>
      </c>
      <c r="I299" s="27" t="s">
        <v>168</v>
      </c>
      <c r="J299" s="0" t="n">
        <v>141</v>
      </c>
      <c r="K299" s="0" t="n">
        <v>64</v>
      </c>
      <c r="M299" s="0" t="n">
        <v>638.2</v>
      </c>
      <c r="N299" s="0" t="n">
        <v>31.54</v>
      </c>
      <c r="O299" s="0" t="n">
        <v>23.05</v>
      </c>
      <c r="P299" s="0" t="n">
        <v>4.28</v>
      </c>
      <c r="Q299" s="0" t="n">
        <v>3.19</v>
      </c>
      <c r="R299" s="0" t="n">
        <v>6249</v>
      </c>
      <c r="S299" s="0" t="n">
        <v>12346</v>
      </c>
      <c r="T299" s="0" t="n">
        <v>65.35</v>
      </c>
      <c r="U299" s="0" t="n">
        <v>1677</v>
      </c>
      <c r="V299" s="0" t="n">
        <v>3</v>
      </c>
      <c r="W299" s="27" t="n">
        <f aca="false">MATCH(A299,DATAS,0)</f>
        <v>1</v>
      </c>
      <c r="X299" s="27" t="n">
        <f aca="false">IF(AND(E299&gt;0,OR(AND(B299&gt;=1,B299&lt;=6),B299=10)),1,0)</f>
        <v>1</v>
      </c>
      <c r="Y299" s="27" t="n">
        <f aca="false">IF(AND(E299&gt;0,B299=10),1,0)</f>
        <v>0</v>
      </c>
      <c r="Z299" s="0" t="str">
        <f aca="false">IF(AND(C298=C299,W298=W299-1),X298,"")</f>
        <v/>
      </c>
      <c r="AA299" s="0" t="str">
        <f aca="false">IF(AND(C298=C299,W298=W299-1),Y298,"")</f>
        <v/>
      </c>
      <c r="AB299" s="0" t="str">
        <f aca="false">IF(W299=1,"",IF(AND(X299=1,Z299&lt;&gt;1),1,0))</f>
        <v/>
      </c>
      <c r="AC299" s="0" t="str">
        <f aca="false">IF(W299=1,"",IF(AND(Y299=1,AA299&lt;&gt;1),1,0))</f>
        <v/>
      </c>
      <c r="AD299" s="33" t="str">
        <f aca="false">IF(AND(E299&gt;0,W299&lt;1,NOT(AND(C300=C299,W300=W299+1))),INDEX(DATAS,W299+1),"")</f>
        <v/>
      </c>
      <c r="AE299" s="33" t="str">
        <f aca="false">IF(AND(Y299=1,W299&lt;1),IF(AND(C300=C299,W300=W299+1),IF(Y300=1,"",INDEX(DATAS,W299+1)),INDEX(DATAS,W299+1)),"")</f>
        <v/>
      </c>
    </row>
    <row r="300" customFormat="false" ht="15" hidden="false" customHeight="false" outlineLevel="0" collapsed="false">
      <c r="A300" s="33" t="n">
        <v>46309</v>
      </c>
      <c r="B300" s="0" t="n">
        <v>5</v>
      </c>
      <c r="C300" s="0" t="n">
        <v>3887</v>
      </c>
      <c r="D300" s="0" t="n">
        <v>251</v>
      </c>
      <c r="E300" s="0" t="n">
        <v>3</v>
      </c>
      <c r="F300" s="27" t="s">
        <v>389</v>
      </c>
      <c r="G300" s="0" t="n">
        <v>40.9</v>
      </c>
      <c r="H300" s="0" t="n">
        <v>44</v>
      </c>
      <c r="I300" s="27" t="s">
        <v>138</v>
      </c>
      <c r="J300" s="0" t="n">
        <v>69</v>
      </c>
      <c r="K300" s="0" t="n">
        <v>69</v>
      </c>
      <c r="L300" s="0" t="n">
        <v>182</v>
      </c>
      <c r="M300" s="0" t="n">
        <v>643.62</v>
      </c>
      <c r="N300" s="0" t="n">
        <v>49.97</v>
      </c>
      <c r="O300" s="0" t="n">
        <v>32.19</v>
      </c>
      <c r="P300" s="0" t="n">
        <v>3.15</v>
      </c>
      <c r="Q300" s="0" t="n">
        <v>3.72</v>
      </c>
      <c r="R300" s="0" t="n">
        <v>6493</v>
      </c>
      <c r="S300" s="0" t="n">
        <v>11347</v>
      </c>
      <c r="T300" s="0" t="n">
        <v>71.9</v>
      </c>
      <c r="U300" s="0" t="n">
        <v>1676</v>
      </c>
      <c r="V300" s="0" t="n">
        <v>1</v>
      </c>
      <c r="W300" s="27" t="n">
        <f aca="false">MATCH(A300,DATAS,0)</f>
        <v>1</v>
      </c>
      <c r="X300" s="27" t="n">
        <f aca="false">IF(AND(E300&gt;0,OR(AND(B300&gt;=1,B300&lt;=6),B300=10)),1,0)</f>
        <v>1</v>
      </c>
      <c r="Y300" s="27" t="n">
        <f aca="false">IF(AND(E300&gt;0,B300=10),1,0)</f>
        <v>0</v>
      </c>
      <c r="Z300" s="0" t="str">
        <f aca="false">IF(AND(C299=C300,W299=W300-1),X299,"")</f>
        <v/>
      </c>
      <c r="AA300" s="0" t="str">
        <f aca="false">IF(AND(C299=C300,W299=W300-1),Y299,"")</f>
        <v/>
      </c>
      <c r="AB300" s="0" t="str">
        <f aca="false">IF(W300=1,"",IF(AND(X300=1,Z300&lt;&gt;1),1,0))</f>
        <v/>
      </c>
      <c r="AC300" s="0" t="str">
        <f aca="false">IF(W300=1,"",IF(AND(Y300=1,AA300&lt;&gt;1),1,0))</f>
        <v/>
      </c>
      <c r="AD300" s="33" t="str">
        <f aca="false">IF(AND(E300&gt;0,W300&lt;1,NOT(AND(C301=C300,W301=W300+1))),INDEX(DATAS,W300+1),"")</f>
        <v/>
      </c>
      <c r="AE300" s="33" t="str">
        <f aca="false">IF(AND(Y300=1,W300&lt;1),IF(AND(C301=C300,W301=W300+1),IF(Y301=1,"",INDEX(DATAS,W300+1)),INDEX(DATAS,W300+1)),"")</f>
        <v/>
      </c>
    </row>
    <row r="301" customFormat="false" ht="15" hidden="false" customHeight="false" outlineLevel="0" collapsed="false">
      <c r="A301" s="33" t="n">
        <v>46309</v>
      </c>
      <c r="B301" s="0" t="n">
        <v>2</v>
      </c>
      <c r="C301" s="0" t="n">
        <v>3891</v>
      </c>
      <c r="D301" s="0" t="n">
        <v>131</v>
      </c>
      <c r="E301" s="0" t="n">
        <v>3</v>
      </c>
      <c r="F301" s="27" t="s">
        <v>390</v>
      </c>
      <c r="G301" s="0" t="n">
        <v>55.4</v>
      </c>
      <c r="H301" s="0" t="n">
        <v>56</v>
      </c>
      <c r="I301" s="27" t="s">
        <v>138</v>
      </c>
      <c r="J301" s="0" t="n">
        <v>68</v>
      </c>
      <c r="K301" s="0" t="n">
        <v>68</v>
      </c>
      <c r="L301" s="0" t="n">
        <v>63</v>
      </c>
      <c r="M301" s="0" t="n">
        <v>491.29</v>
      </c>
      <c r="N301" s="0" t="n">
        <v>45.61</v>
      </c>
      <c r="O301" s="0" t="n">
        <v>21.62</v>
      </c>
      <c r="P301" s="0" t="n">
        <v>3.25</v>
      </c>
      <c r="Q301" s="0" t="n">
        <v>3.24</v>
      </c>
      <c r="R301" s="0" t="n">
        <v>5240</v>
      </c>
      <c r="S301" s="0" t="n">
        <v>10695</v>
      </c>
      <c r="T301" s="0" t="n">
        <v>57.65</v>
      </c>
      <c r="U301" s="0" t="n">
        <v>1674</v>
      </c>
      <c r="V301" s="0" t="n">
        <v>1</v>
      </c>
      <c r="W301" s="27" t="n">
        <f aca="false">MATCH(A301,DATAS,0)</f>
        <v>1</v>
      </c>
      <c r="X301" s="27" t="n">
        <f aca="false">IF(AND(E301&gt;0,OR(AND(B301&gt;=1,B301&lt;=6),B301=10)),1,0)</f>
        <v>1</v>
      </c>
      <c r="Y301" s="27" t="n">
        <f aca="false">IF(AND(E301&gt;0,B301=10),1,0)</f>
        <v>0</v>
      </c>
      <c r="Z301" s="0" t="str">
        <f aca="false">IF(AND(C300=C301,W300=W301-1),X300,"")</f>
        <v/>
      </c>
      <c r="AA301" s="0" t="str">
        <f aca="false">IF(AND(C300=C301,W300=W301-1),Y300,"")</f>
        <v/>
      </c>
      <c r="AB301" s="0" t="str">
        <f aca="false">IF(W301=1,"",IF(AND(X301=1,Z301&lt;&gt;1),1,0))</f>
        <v/>
      </c>
      <c r="AC301" s="0" t="str">
        <f aca="false">IF(W301=1,"",IF(AND(Y301=1,AA301&lt;&gt;1),1,0))</f>
        <v/>
      </c>
      <c r="AD301" s="33" t="str">
        <f aca="false">IF(AND(E301&gt;0,W301&lt;1,NOT(AND(C302=C301,W302=W301+1))),INDEX(DATAS,W301+1),"")</f>
        <v/>
      </c>
      <c r="AE301" s="33" t="str">
        <f aca="false">IF(AND(Y301=1,W301&lt;1),IF(AND(C302=C301,W302=W301+1),IF(Y302=1,"",INDEX(DATAS,W301+1)),INDEX(DATAS,W301+1)),"")</f>
        <v/>
      </c>
    </row>
    <row r="302" customFormat="false" ht="15" hidden="false" customHeight="false" outlineLevel="0" collapsed="false">
      <c r="A302" s="33" t="n">
        <v>46309</v>
      </c>
      <c r="B302" s="0" t="n">
        <v>3</v>
      </c>
      <c r="C302" s="0" t="n">
        <v>3893</v>
      </c>
      <c r="D302" s="0" t="n">
        <v>203</v>
      </c>
      <c r="E302" s="0" t="n">
        <v>3</v>
      </c>
      <c r="F302" s="27" t="s">
        <v>390</v>
      </c>
      <c r="G302" s="0" t="n">
        <v>50.8</v>
      </c>
      <c r="H302" s="0" t="n">
        <v>48</v>
      </c>
      <c r="I302" s="27" t="s">
        <v>138</v>
      </c>
      <c r="J302" s="0" t="n">
        <v>70</v>
      </c>
      <c r="K302" s="0" t="n">
        <v>70</v>
      </c>
      <c r="L302" s="0" t="n">
        <v>133</v>
      </c>
      <c r="M302" s="0" t="n">
        <v>935.47</v>
      </c>
      <c r="N302" s="0" t="n">
        <v>35.98</v>
      </c>
      <c r="O302" s="0" t="n">
        <v>34.13</v>
      </c>
      <c r="P302" s="0" t="n">
        <v>3.36</v>
      </c>
      <c r="Q302" s="0" t="n">
        <v>3.51</v>
      </c>
      <c r="R302" s="0" t="n">
        <v>6153</v>
      </c>
      <c r="S302" s="0" t="n">
        <v>12716</v>
      </c>
      <c r="T302" s="0" t="n">
        <v>69.7</v>
      </c>
      <c r="U302" s="0" t="n">
        <v>1674</v>
      </c>
      <c r="V302" s="0" t="n">
        <v>1</v>
      </c>
      <c r="W302" s="27" t="n">
        <f aca="false">MATCH(A302,DATAS,0)</f>
        <v>1</v>
      </c>
      <c r="X302" s="27" t="n">
        <f aca="false">IF(AND(E302&gt;0,OR(AND(B302&gt;=1,B302&lt;=6),B302=10)),1,0)</f>
        <v>1</v>
      </c>
      <c r="Y302" s="27" t="n">
        <f aca="false">IF(AND(E302&gt;0,B302=10),1,0)</f>
        <v>0</v>
      </c>
      <c r="Z302" s="0" t="str">
        <f aca="false">IF(AND(C301=C302,W301=W302-1),X301,"")</f>
        <v/>
      </c>
      <c r="AA302" s="0" t="str">
        <f aca="false">IF(AND(C301=C302,W301=W302-1),Y301,"")</f>
        <v/>
      </c>
      <c r="AB302" s="0" t="str">
        <f aca="false">IF(W302=1,"",IF(AND(X302=1,Z302&lt;&gt;1),1,0))</f>
        <v/>
      </c>
      <c r="AC302" s="0" t="str">
        <f aca="false">IF(W302=1,"",IF(AND(Y302=1,AA302&lt;&gt;1),1,0))</f>
        <v/>
      </c>
      <c r="AD302" s="33" t="str">
        <f aca="false">IF(AND(E302&gt;0,W302&lt;1,NOT(AND(C303=C302,W303=W302+1))),INDEX(DATAS,W302+1),"")</f>
        <v/>
      </c>
      <c r="AE302" s="33" t="str">
        <f aca="false">IF(AND(Y302=1,W302&lt;1),IF(AND(C303=C302,W303=W302+1),IF(Y303=1,"",INDEX(DATAS,W302+1)),INDEX(DATAS,W302+1)),"")</f>
        <v/>
      </c>
    </row>
    <row r="303" customFormat="false" ht="15" hidden="false" customHeight="false" outlineLevel="0" collapsed="false">
      <c r="A303" s="33" t="n">
        <v>46309</v>
      </c>
      <c r="B303" s="0" t="n">
        <v>5</v>
      </c>
      <c r="C303" s="0" t="n">
        <v>3894</v>
      </c>
      <c r="D303" s="0" t="n">
        <v>205</v>
      </c>
      <c r="E303" s="0" t="n">
        <v>3</v>
      </c>
      <c r="F303" s="27" t="s">
        <v>390</v>
      </c>
      <c r="G303" s="0" t="n">
        <v>43.8</v>
      </c>
      <c r="H303" s="0" t="n">
        <v>38</v>
      </c>
      <c r="I303" s="27" t="s">
        <v>138</v>
      </c>
      <c r="J303" s="0" t="n">
        <v>170</v>
      </c>
      <c r="K303" s="0" t="n">
        <v>72</v>
      </c>
      <c r="L303" s="0" t="n">
        <v>35</v>
      </c>
      <c r="M303" s="0" t="n">
        <v>1170.45</v>
      </c>
      <c r="N303" s="0" t="n">
        <v>38.05</v>
      </c>
      <c r="O303" s="0" t="n">
        <v>41.12</v>
      </c>
      <c r="P303" s="0" t="n">
        <v>4.03</v>
      </c>
      <c r="Q303" s="0" t="n">
        <v>3.56</v>
      </c>
      <c r="R303" s="0" t="n">
        <v>4357</v>
      </c>
      <c r="S303" s="0" t="n">
        <v>8956</v>
      </c>
      <c r="T303" s="0" t="n">
        <v>51.35</v>
      </c>
      <c r="U303" s="0" t="n">
        <v>1674</v>
      </c>
      <c r="V303" s="0" t="n">
        <v>4</v>
      </c>
      <c r="W303" s="27" t="n">
        <f aca="false">MATCH(A303,DATAS,0)</f>
        <v>1</v>
      </c>
      <c r="X303" s="27" t="n">
        <f aca="false">IF(AND(E303&gt;0,OR(AND(B303&gt;=1,B303&lt;=6),B303=10)),1,0)</f>
        <v>1</v>
      </c>
      <c r="Y303" s="27" t="n">
        <f aca="false">IF(AND(E303&gt;0,B303=10),1,0)</f>
        <v>0</v>
      </c>
      <c r="Z303" s="0" t="str">
        <f aca="false">IF(AND(C302=C303,W302=W303-1),X302,"")</f>
        <v/>
      </c>
      <c r="AA303" s="0" t="str">
        <f aca="false">IF(AND(C302=C303,W302=W303-1),Y302,"")</f>
        <v/>
      </c>
      <c r="AB303" s="0" t="str">
        <f aca="false">IF(W303=1,"",IF(AND(X303=1,Z303&lt;&gt;1),1,0))</f>
        <v/>
      </c>
      <c r="AC303" s="0" t="str">
        <f aca="false">IF(W303=1,"",IF(AND(Y303=1,AA303&lt;&gt;1),1,0))</f>
        <v/>
      </c>
      <c r="AD303" s="33" t="str">
        <f aca="false">IF(AND(E303&gt;0,W303&lt;1,NOT(AND(C304=C303,W304=W303+1))),INDEX(DATAS,W303+1),"")</f>
        <v/>
      </c>
      <c r="AE303" s="33" t="str">
        <f aca="false">IF(AND(Y303=1,W303&lt;1),IF(AND(C304=C303,W304=W303+1),IF(Y304=1,"",INDEX(DATAS,W303+1)),INDEX(DATAS,W303+1)),"")</f>
        <v/>
      </c>
    </row>
    <row r="304" customFormat="false" ht="15" hidden="false" customHeight="false" outlineLevel="0" collapsed="false">
      <c r="A304" s="33" t="n">
        <v>46309</v>
      </c>
      <c r="B304" s="0" t="n">
        <v>5</v>
      </c>
      <c r="C304" s="0" t="n">
        <v>3896</v>
      </c>
      <c r="D304" s="0" t="n">
        <v>330</v>
      </c>
      <c r="E304" s="0" t="n">
        <v>3</v>
      </c>
      <c r="F304" s="27" t="s">
        <v>391</v>
      </c>
      <c r="G304" s="0" t="n">
        <v>39.6</v>
      </c>
      <c r="H304" s="0" t="n">
        <v>35</v>
      </c>
      <c r="I304" s="27" t="s">
        <v>138</v>
      </c>
      <c r="J304" s="0" t="n">
        <v>155</v>
      </c>
      <c r="K304" s="0" t="n">
        <v>64</v>
      </c>
      <c r="L304" s="0" t="n">
        <v>175</v>
      </c>
      <c r="M304" s="0" t="n">
        <v>431.88</v>
      </c>
      <c r="N304" s="0" t="n">
        <v>36.89</v>
      </c>
      <c r="O304" s="0" t="n">
        <v>27.67</v>
      </c>
      <c r="P304" s="0" t="n">
        <v>3.73</v>
      </c>
      <c r="Q304" s="0" t="n">
        <v>3.99</v>
      </c>
      <c r="R304" s="0" t="n">
        <v>6574</v>
      </c>
      <c r="S304" s="0" t="n">
        <v>12921</v>
      </c>
      <c r="T304" s="0" t="n">
        <v>75.9</v>
      </c>
      <c r="U304" s="0" t="n">
        <v>1671</v>
      </c>
      <c r="V304" s="0" t="n">
        <v>3</v>
      </c>
      <c r="W304" s="27" t="n">
        <f aca="false">MATCH(A304,DATAS,0)</f>
        <v>1</v>
      </c>
      <c r="X304" s="27" t="n">
        <f aca="false">IF(AND(E304&gt;0,OR(AND(B304&gt;=1,B304&lt;=6),B304=10)),1,0)</f>
        <v>1</v>
      </c>
      <c r="Y304" s="27" t="n">
        <f aca="false">IF(AND(E304&gt;0,B304=10),1,0)</f>
        <v>0</v>
      </c>
      <c r="Z304" s="0" t="str">
        <f aca="false">IF(AND(C303=C304,W303=W304-1),X303,"")</f>
        <v/>
      </c>
      <c r="AA304" s="0" t="str">
        <f aca="false">IF(AND(C303=C304,W303=W304-1),Y303,"")</f>
        <v/>
      </c>
      <c r="AB304" s="0" t="str">
        <f aca="false">IF(W304=1,"",IF(AND(X304=1,Z304&lt;&gt;1),1,0))</f>
        <v/>
      </c>
      <c r="AC304" s="0" t="str">
        <f aca="false">IF(W304=1,"",IF(AND(Y304=1,AA304&lt;&gt;1),1,0))</f>
        <v/>
      </c>
      <c r="AD304" s="33" t="str">
        <f aca="false">IF(AND(E304&gt;0,W304&lt;1,NOT(AND(C305=C304,W305=W304+1))),INDEX(DATAS,W304+1),"")</f>
        <v/>
      </c>
      <c r="AE304" s="33" t="str">
        <f aca="false">IF(AND(Y304=1,W304&lt;1),IF(AND(C305=C304,W305=W304+1),IF(Y305=1,"",INDEX(DATAS,W304+1)),INDEX(DATAS,W304+1)),"")</f>
        <v/>
      </c>
    </row>
    <row r="305" customFormat="false" ht="15" hidden="false" customHeight="false" outlineLevel="0" collapsed="false">
      <c r="A305" s="33" t="n">
        <v>46309</v>
      </c>
      <c r="B305" s="0" t="n">
        <v>2</v>
      </c>
      <c r="C305" s="0" t="n">
        <v>3897</v>
      </c>
      <c r="D305" s="0" t="n">
        <v>174</v>
      </c>
      <c r="E305" s="0" t="n">
        <v>3</v>
      </c>
      <c r="F305" s="27" t="s">
        <v>391</v>
      </c>
      <c r="G305" s="0" t="n">
        <v>52</v>
      </c>
      <c r="H305" s="0" t="n">
        <v>53</v>
      </c>
      <c r="I305" s="27" t="s">
        <v>138</v>
      </c>
      <c r="J305" s="0" t="n">
        <v>139</v>
      </c>
      <c r="K305" s="0" t="n">
        <v>69</v>
      </c>
      <c r="L305" s="0" t="n">
        <v>35</v>
      </c>
      <c r="M305" s="0" t="n">
        <v>334.77</v>
      </c>
      <c r="N305" s="0" t="n">
        <v>55.7</v>
      </c>
      <c r="O305" s="0" t="n">
        <v>20.93</v>
      </c>
      <c r="P305" s="0" t="n">
        <v>2.71</v>
      </c>
      <c r="Q305" s="0" t="n">
        <v>3.2</v>
      </c>
      <c r="R305" s="0" t="n">
        <v>5943</v>
      </c>
      <c r="S305" s="0" t="n">
        <v>11968</v>
      </c>
      <c r="T305" s="0" t="n">
        <v>66.9</v>
      </c>
      <c r="U305" s="0" t="n">
        <v>1671</v>
      </c>
      <c r="V305" s="0" t="n">
        <v>2</v>
      </c>
      <c r="W305" s="27" t="n">
        <f aca="false">MATCH(A305,DATAS,0)</f>
        <v>1</v>
      </c>
      <c r="X305" s="27" t="n">
        <f aca="false">IF(AND(E305&gt;0,OR(AND(B305&gt;=1,B305&lt;=6),B305=10)),1,0)</f>
        <v>1</v>
      </c>
      <c r="Y305" s="27" t="n">
        <f aca="false">IF(AND(E305&gt;0,B305=10),1,0)</f>
        <v>0</v>
      </c>
      <c r="Z305" s="0" t="str">
        <f aca="false">IF(AND(C304=C305,W304=W305-1),X304,"")</f>
        <v/>
      </c>
      <c r="AA305" s="0" t="str">
        <f aca="false">IF(AND(C304=C305,W304=W305-1),Y304,"")</f>
        <v/>
      </c>
      <c r="AB305" s="0" t="str">
        <f aca="false">IF(W305=1,"",IF(AND(X305=1,Z305&lt;&gt;1),1,0))</f>
        <v/>
      </c>
      <c r="AC305" s="0" t="str">
        <f aca="false">IF(W305=1,"",IF(AND(Y305=1,AA305&lt;&gt;1),1,0))</f>
        <v/>
      </c>
      <c r="AD305" s="33" t="str">
        <f aca="false">IF(AND(E305&gt;0,W305&lt;1,NOT(AND(C306=C305,W306=W305+1))),INDEX(DATAS,W305+1),"")</f>
        <v/>
      </c>
      <c r="AE305" s="33" t="str">
        <f aca="false">IF(AND(Y305=1,W305&lt;1),IF(AND(C306=C305,W306=W305+1),IF(Y306=1,"",INDEX(DATAS,W305+1)),INDEX(DATAS,W305+1)),"")</f>
        <v/>
      </c>
    </row>
    <row r="306" customFormat="false" ht="15" hidden="false" customHeight="false" outlineLevel="0" collapsed="false">
      <c r="A306" s="33" t="n">
        <v>46309</v>
      </c>
      <c r="B306" s="0" t="n">
        <v>3</v>
      </c>
      <c r="C306" s="0" t="n">
        <v>3899</v>
      </c>
      <c r="D306" s="0" t="n">
        <v>233</v>
      </c>
      <c r="E306" s="0" t="n">
        <v>3</v>
      </c>
      <c r="F306" s="27" t="s">
        <v>391</v>
      </c>
      <c r="G306" s="0" t="n">
        <v>46.6</v>
      </c>
      <c r="H306" s="0" t="n">
        <v>56</v>
      </c>
      <c r="I306" s="27" t="s">
        <v>138</v>
      </c>
      <c r="J306" s="0" t="n">
        <v>88</v>
      </c>
      <c r="K306" s="0" t="n">
        <v>65</v>
      </c>
      <c r="L306" s="0" t="n">
        <v>145</v>
      </c>
      <c r="M306" s="0" t="n">
        <v>525.15</v>
      </c>
      <c r="N306" s="0" t="n">
        <v>42.17</v>
      </c>
      <c r="O306" s="0" t="n">
        <v>14.7</v>
      </c>
      <c r="P306" s="0" t="n">
        <v>3.76</v>
      </c>
      <c r="Q306" s="0" t="n">
        <v>3.03</v>
      </c>
      <c r="R306" s="0" t="n">
        <v>4219</v>
      </c>
      <c r="S306" s="0" t="n">
        <v>10161</v>
      </c>
      <c r="T306" s="0" t="n">
        <v>53.3</v>
      </c>
      <c r="U306" s="0" t="n">
        <v>1671</v>
      </c>
      <c r="V306" s="0" t="n">
        <v>2</v>
      </c>
      <c r="W306" s="27" t="n">
        <f aca="false">MATCH(A306,DATAS,0)</f>
        <v>1</v>
      </c>
      <c r="X306" s="27" t="n">
        <f aca="false">IF(AND(E306&gt;0,OR(AND(B306&gt;=1,B306&lt;=6),B306=10)),1,0)</f>
        <v>1</v>
      </c>
      <c r="Y306" s="27" t="n">
        <f aca="false">IF(AND(E306&gt;0,B306=10),1,0)</f>
        <v>0</v>
      </c>
      <c r="Z306" s="0" t="str">
        <f aca="false">IF(AND(C305=C306,W305=W306-1),X305,"")</f>
        <v/>
      </c>
      <c r="AA306" s="0" t="str">
        <f aca="false">IF(AND(C305=C306,W305=W306-1),Y305,"")</f>
        <v/>
      </c>
      <c r="AB306" s="0" t="str">
        <f aca="false">IF(W306=1,"",IF(AND(X306=1,Z306&lt;&gt;1),1,0))</f>
        <v/>
      </c>
      <c r="AC306" s="0" t="str">
        <f aca="false">IF(W306=1,"",IF(AND(Y306=1,AA306&lt;&gt;1),1,0))</f>
        <v/>
      </c>
      <c r="AD306" s="33" t="str">
        <f aca="false">IF(AND(E306&gt;0,W306&lt;1,NOT(AND(C307=C306,W307=W306+1))),INDEX(DATAS,W306+1),"")</f>
        <v/>
      </c>
      <c r="AE306" s="33" t="str">
        <f aca="false">IF(AND(Y306=1,W306&lt;1),IF(AND(C307=C306,W307=W306+1),IF(Y307=1,"",INDEX(DATAS,W306+1)),INDEX(DATAS,W306+1)),"")</f>
        <v/>
      </c>
    </row>
    <row r="307" customFormat="false" ht="15" hidden="false" customHeight="false" outlineLevel="0" collapsed="false">
      <c r="A307" s="33" t="n">
        <v>46309</v>
      </c>
      <c r="B307" s="0" t="n">
        <v>3</v>
      </c>
      <c r="C307" s="0" t="n">
        <v>3901</v>
      </c>
      <c r="D307" s="0" t="n">
        <v>44</v>
      </c>
      <c r="E307" s="0" t="n">
        <v>3</v>
      </c>
      <c r="F307" s="27" t="s">
        <v>392</v>
      </c>
      <c r="G307" s="0" t="n">
        <v>80.7</v>
      </c>
      <c r="H307" s="0" t="n">
        <v>77</v>
      </c>
      <c r="I307" s="27" t="s">
        <v>147</v>
      </c>
      <c r="J307" s="0" t="n">
        <v>44</v>
      </c>
      <c r="M307" s="0" t="n">
        <v>519.64</v>
      </c>
      <c r="N307" s="0" t="n">
        <v>71.43</v>
      </c>
      <c r="O307" s="0" t="n">
        <v>41.3</v>
      </c>
      <c r="P307" s="0" t="n">
        <v>3.21</v>
      </c>
      <c r="Q307" s="0" t="n">
        <v>3.26</v>
      </c>
      <c r="R307" s="0" t="n">
        <v>6776</v>
      </c>
      <c r="S307" s="0" t="n">
        <v>13620</v>
      </c>
      <c r="U307" s="0" t="n">
        <v>1669</v>
      </c>
      <c r="V307" s="0" t="n">
        <v>0</v>
      </c>
      <c r="W307" s="27" t="n">
        <f aca="false">MATCH(A307,DATAS,0)</f>
        <v>1</v>
      </c>
      <c r="X307" s="27" t="n">
        <f aca="false">IF(AND(E307&gt;0,OR(AND(B307&gt;=1,B307&lt;=6),B307=10)),1,0)</f>
        <v>1</v>
      </c>
      <c r="Y307" s="27" t="n">
        <f aca="false">IF(AND(E307&gt;0,B307=10),1,0)</f>
        <v>0</v>
      </c>
      <c r="Z307" s="0" t="str">
        <f aca="false">IF(AND(C306=C307,W306=W307-1),X306,"")</f>
        <v/>
      </c>
      <c r="AA307" s="0" t="str">
        <f aca="false">IF(AND(C306=C307,W306=W307-1),Y306,"")</f>
        <v/>
      </c>
      <c r="AB307" s="0" t="str">
        <f aca="false">IF(W307=1,"",IF(AND(X307=1,Z307&lt;&gt;1),1,0))</f>
        <v/>
      </c>
      <c r="AC307" s="0" t="str">
        <f aca="false">IF(W307=1,"",IF(AND(Y307=1,AA307&lt;&gt;1),1,0))</f>
        <v/>
      </c>
      <c r="AD307" s="33" t="str">
        <f aca="false">IF(AND(E307&gt;0,W307&lt;1,NOT(AND(C308=C307,W308=W307+1))),INDEX(DATAS,W307+1),"")</f>
        <v/>
      </c>
      <c r="AE307" s="33" t="str">
        <f aca="false">IF(AND(Y307=1,W307&lt;1),IF(AND(C308=C307,W308=W307+1),IF(Y308=1,"",INDEX(DATAS,W307+1)),INDEX(DATAS,W307+1)),"")</f>
        <v/>
      </c>
    </row>
    <row r="308" customFormat="false" ht="15" hidden="false" customHeight="false" outlineLevel="0" collapsed="false">
      <c r="A308" s="33" t="n">
        <v>46309</v>
      </c>
      <c r="B308" s="0" t="n">
        <v>5</v>
      </c>
      <c r="C308" s="0" t="n">
        <v>3904</v>
      </c>
      <c r="D308" s="0" t="n">
        <v>234</v>
      </c>
      <c r="E308" s="0" t="n">
        <v>3</v>
      </c>
      <c r="F308" s="27" t="s">
        <v>393</v>
      </c>
      <c r="G308" s="0" t="n">
        <v>33.6</v>
      </c>
      <c r="H308" s="0" t="n">
        <v>36</v>
      </c>
      <c r="I308" s="27" t="s">
        <v>176</v>
      </c>
      <c r="J308" s="0" t="n">
        <v>234</v>
      </c>
      <c r="K308" s="0" t="n">
        <v>66</v>
      </c>
      <c r="M308" s="0" t="n">
        <v>717.04</v>
      </c>
      <c r="N308" s="0" t="n">
        <v>47.1</v>
      </c>
      <c r="O308" s="0" t="n">
        <v>36.6</v>
      </c>
      <c r="P308" s="0" t="n">
        <v>2.91</v>
      </c>
      <c r="Q308" s="0" t="n">
        <v>3.5</v>
      </c>
      <c r="R308" s="0" t="n">
        <v>5446</v>
      </c>
      <c r="S308" s="0" t="n">
        <v>10799</v>
      </c>
      <c r="T308" s="0" t="n">
        <v>68</v>
      </c>
      <c r="U308" s="0" t="n">
        <v>1668</v>
      </c>
      <c r="V308" s="0" t="n">
        <v>2</v>
      </c>
      <c r="W308" s="27" t="n">
        <f aca="false">MATCH(A308,DATAS,0)</f>
        <v>1</v>
      </c>
      <c r="X308" s="27" t="n">
        <f aca="false">IF(AND(E308&gt;0,OR(AND(B308&gt;=1,B308&lt;=6),B308=10)),1,0)</f>
        <v>1</v>
      </c>
      <c r="Y308" s="27" t="n">
        <f aca="false">IF(AND(E308&gt;0,B308=10),1,0)</f>
        <v>0</v>
      </c>
      <c r="Z308" s="0" t="str">
        <f aca="false">IF(AND(C307=C308,W307=W308-1),X307,"")</f>
        <v/>
      </c>
      <c r="AA308" s="0" t="str">
        <f aca="false">IF(AND(C307=C308,W307=W308-1),Y307,"")</f>
        <v/>
      </c>
      <c r="AB308" s="0" t="str">
        <f aca="false">IF(W308=1,"",IF(AND(X308=1,Z308&lt;&gt;1),1,0))</f>
        <v/>
      </c>
      <c r="AC308" s="0" t="str">
        <f aca="false">IF(W308=1,"",IF(AND(Y308=1,AA308&lt;&gt;1),1,0))</f>
        <v/>
      </c>
      <c r="AD308" s="33" t="str">
        <f aca="false">IF(AND(E308&gt;0,W308&lt;1,NOT(AND(C309=C308,W309=W308+1))),INDEX(DATAS,W308+1),"")</f>
        <v/>
      </c>
      <c r="AE308" s="33" t="str">
        <f aca="false">IF(AND(Y308=1,W308&lt;1),IF(AND(C309=C308,W309=W308+1),IF(Y309=1,"",INDEX(DATAS,W308+1)),INDEX(DATAS,W308+1)),"")</f>
        <v/>
      </c>
    </row>
    <row r="309" customFormat="false" ht="15" hidden="false" customHeight="false" outlineLevel="0" collapsed="false">
      <c r="A309" s="33" t="n">
        <v>46309</v>
      </c>
      <c r="B309" s="0" t="n">
        <v>5</v>
      </c>
      <c r="C309" s="0" t="n">
        <v>3905</v>
      </c>
      <c r="D309" s="0" t="n">
        <v>285</v>
      </c>
      <c r="E309" s="0" t="n">
        <v>3</v>
      </c>
      <c r="F309" s="27" t="s">
        <v>394</v>
      </c>
      <c r="G309" s="0" t="n">
        <v>36.9</v>
      </c>
      <c r="H309" s="0" t="n">
        <v>35</v>
      </c>
      <c r="I309" s="27" t="s">
        <v>138</v>
      </c>
      <c r="J309" s="0" t="n">
        <v>250</v>
      </c>
      <c r="K309" s="0" t="n">
        <v>89</v>
      </c>
      <c r="L309" s="0" t="n">
        <v>35</v>
      </c>
      <c r="M309" s="0" t="n">
        <v>195.4</v>
      </c>
      <c r="N309" s="0" t="n">
        <v>31.07</v>
      </c>
      <c r="O309" s="0" t="n">
        <v>16.69</v>
      </c>
      <c r="P309" s="0" t="n">
        <v>2.73</v>
      </c>
      <c r="Q309" s="0" t="n">
        <v>3.51</v>
      </c>
      <c r="R309" s="0" t="n">
        <v>5888</v>
      </c>
      <c r="S309" s="0" t="n">
        <v>12369</v>
      </c>
      <c r="T309" s="0" t="n">
        <v>66.1</v>
      </c>
      <c r="U309" s="0" t="n">
        <v>1667</v>
      </c>
      <c r="V309" s="0" t="n">
        <v>3</v>
      </c>
      <c r="W309" s="27" t="n">
        <f aca="false">MATCH(A309,DATAS,0)</f>
        <v>1</v>
      </c>
      <c r="X309" s="27" t="n">
        <f aca="false">IF(AND(E309&gt;0,OR(AND(B309&gt;=1,B309&lt;=6),B309=10)),1,0)</f>
        <v>1</v>
      </c>
      <c r="Y309" s="27" t="n">
        <f aca="false">IF(AND(E309&gt;0,B309=10),1,0)</f>
        <v>0</v>
      </c>
      <c r="Z309" s="0" t="str">
        <f aca="false">IF(AND(C308=C309,W308=W309-1),X308,"")</f>
        <v/>
      </c>
      <c r="AA309" s="0" t="str">
        <f aca="false">IF(AND(C308=C309,W308=W309-1),Y308,"")</f>
        <v/>
      </c>
      <c r="AB309" s="0" t="str">
        <f aca="false">IF(W309=1,"",IF(AND(X309=1,Z309&lt;&gt;1),1,0))</f>
        <v/>
      </c>
      <c r="AC309" s="0" t="str">
        <f aca="false">IF(W309=1,"",IF(AND(Y309=1,AA309&lt;&gt;1),1,0))</f>
        <v/>
      </c>
      <c r="AD309" s="33" t="str">
        <f aca="false">IF(AND(E309&gt;0,W309&lt;1,NOT(AND(C310=C309,W310=W309+1))),INDEX(DATAS,W309+1),"")</f>
        <v/>
      </c>
      <c r="AE309" s="33" t="str">
        <f aca="false">IF(AND(Y309=1,W309&lt;1),IF(AND(C310=C309,W310=W309+1),IF(Y310=1,"",INDEX(DATAS,W309+1)),INDEX(DATAS,W309+1)),"")</f>
        <v/>
      </c>
    </row>
    <row r="310" customFormat="false" ht="15" hidden="false" customHeight="false" outlineLevel="0" collapsed="false">
      <c r="A310" s="33" t="n">
        <v>46309</v>
      </c>
      <c r="B310" s="0" t="n">
        <v>5</v>
      </c>
      <c r="C310" s="0" t="n">
        <v>3906</v>
      </c>
      <c r="D310" s="0" t="n">
        <v>251</v>
      </c>
      <c r="E310" s="0" t="n">
        <v>3</v>
      </c>
      <c r="F310" s="27" t="s">
        <v>394</v>
      </c>
      <c r="G310" s="0" t="n">
        <v>37.5</v>
      </c>
      <c r="H310" s="0" t="n">
        <v>38</v>
      </c>
      <c r="I310" s="27" t="s">
        <v>138</v>
      </c>
      <c r="J310" s="0" t="n">
        <v>69</v>
      </c>
      <c r="K310" s="0" t="n">
        <v>69</v>
      </c>
      <c r="L310" s="0" t="n">
        <v>182</v>
      </c>
      <c r="M310" s="0" t="n">
        <v>105.79</v>
      </c>
      <c r="N310" s="0" t="n">
        <v>70.65</v>
      </c>
      <c r="O310" s="0" t="n">
        <v>14.93</v>
      </c>
      <c r="P310" s="0" t="n">
        <v>4.62</v>
      </c>
      <c r="Q310" s="0" t="n">
        <v>3.53</v>
      </c>
      <c r="R310" s="0" t="n">
        <v>5749</v>
      </c>
      <c r="S310" s="0" t="n">
        <v>11883</v>
      </c>
      <c r="T310" s="0" t="n">
        <v>64.3</v>
      </c>
      <c r="U310" s="0" t="n">
        <v>1667</v>
      </c>
      <c r="V310" s="0" t="n">
        <v>1</v>
      </c>
      <c r="W310" s="27" t="n">
        <f aca="false">MATCH(A310,DATAS,0)</f>
        <v>1</v>
      </c>
      <c r="X310" s="27" t="n">
        <f aca="false">IF(AND(E310&gt;0,OR(AND(B310&gt;=1,B310&lt;=6),B310=10)),1,0)</f>
        <v>1</v>
      </c>
      <c r="Y310" s="27" t="n">
        <f aca="false">IF(AND(E310&gt;0,B310=10),1,0)</f>
        <v>0</v>
      </c>
      <c r="Z310" s="0" t="str">
        <f aca="false">IF(AND(C309=C310,W309=W310-1),X309,"")</f>
        <v/>
      </c>
      <c r="AA310" s="0" t="str">
        <f aca="false">IF(AND(C309=C310,W309=W310-1),Y309,"")</f>
        <v/>
      </c>
      <c r="AB310" s="0" t="str">
        <f aca="false">IF(W310=1,"",IF(AND(X310=1,Z310&lt;&gt;1),1,0))</f>
        <v/>
      </c>
      <c r="AC310" s="0" t="str">
        <f aca="false">IF(W310=1,"",IF(AND(Y310=1,AA310&lt;&gt;1),1,0))</f>
        <v/>
      </c>
      <c r="AD310" s="33" t="str">
        <f aca="false">IF(AND(E310&gt;0,W310&lt;1,NOT(AND(C311=C310,W311=W310+1))),INDEX(DATAS,W310+1),"")</f>
        <v/>
      </c>
      <c r="AE310" s="33" t="str">
        <f aca="false">IF(AND(Y310=1,W310&lt;1),IF(AND(C311=C310,W311=W310+1),IF(Y311=1,"",INDEX(DATAS,W310+1)),INDEX(DATAS,W310+1)),"")</f>
        <v/>
      </c>
    </row>
    <row r="311" customFormat="false" ht="15" hidden="false" customHeight="false" outlineLevel="0" collapsed="false">
      <c r="A311" s="33" t="n">
        <v>46309</v>
      </c>
      <c r="B311" s="0" t="n">
        <v>5</v>
      </c>
      <c r="C311" s="0" t="n">
        <v>3907</v>
      </c>
      <c r="D311" s="0" t="n">
        <v>255</v>
      </c>
      <c r="E311" s="0" t="n">
        <v>2</v>
      </c>
      <c r="F311" s="27" t="s">
        <v>395</v>
      </c>
      <c r="G311" s="0" t="n">
        <v>28</v>
      </c>
      <c r="H311" s="0" t="n">
        <v>27</v>
      </c>
      <c r="I311" s="27" t="s">
        <v>138</v>
      </c>
      <c r="J311" s="0" t="n">
        <v>70</v>
      </c>
      <c r="K311" s="0" t="n">
        <v>70</v>
      </c>
      <c r="L311" s="0" t="n">
        <v>185</v>
      </c>
      <c r="M311" s="0" t="n">
        <v>554.34</v>
      </c>
      <c r="N311" s="0" t="n">
        <v>59.18</v>
      </c>
      <c r="O311" s="0" t="n">
        <v>21.31</v>
      </c>
      <c r="P311" s="0" t="n">
        <v>4.65</v>
      </c>
      <c r="Q311" s="0" t="n">
        <v>3.82</v>
      </c>
      <c r="R311" s="0" t="n">
        <v>3279</v>
      </c>
      <c r="S311" s="0" t="n">
        <v>7314</v>
      </c>
      <c r="T311" s="0" t="n">
        <v>37.55</v>
      </c>
      <c r="U311" s="0" t="n">
        <v>1666</v>
      </c>
      <c r="V311" s="0" t="n">
        <v>1</v>
      </c>
      <c r="W311" s="27" t="n">
        <f aca="false">MATCH(A311,DATAS,0)</f>
        <v>1</v>
      </c>
      <c r="X311" s="27" t="n">
        <f aca="false">IF(AND(E311&gt;0,OR(AND(B311&gt;=1,B311&lt;=6),B311=10)),1,0)</f>
        <v>1</v>
      </c>
      <c r="Y311" s="27" t="n">
        <f aca="false">IF(AND(E311&gt;0,B311=10),1,0)</f>
        <v>0</v>
      </c>
      <c r="Z311" s="0" t="str">
        <f aca="false">IF(AND(C310=C311,W310=W311-1),X310,"")</f>
        <v/>
      </c>
      <c r="AA311" s="0" t="str">
        <f aca="false">IF(AND(C310=C311,W310=W311-1),Y310,"")</f>
        <v/>
      </c>
      <c r="AB311" s="0" t="str">
        <f aca="false">IF(W311=1,"",IF(AND(X311=1,Z311&lt;&gt;1),1,0))</f>
        <v/>
      </c>
      <c r="AC311" s="0" t="str">
        <f aca="false">IF(W311=1,"",IF(AND(Y311=1,AA311&lt;&gt;1),1,0))</f>
        <v/>
      </c>
      <c r="AD311" s="33" t="str">
        <f aca="false">IF(AND(E311&gt;0,W311&lt;1,NOT(AND(C312=C311,W312=W311+1))),INDEX(DATAS,W311+1),"")</f>
        <v/>
      </c>
      <c r="AE311" s="33" t="str">
        <f aca="false">IF(AND(Y311=1,W311&lt;1),IF(AND(C312=C311,W312=W311+1),IF(Y312=1,"",INDEX(DATAS,W311+1)),INDEX(DATAS,W311+1)),"")</f>
        <v/>
      </c>
    </row>
    <row r="312" customFormat="false" ht="15" hidden="false" customHeight="false" outlineLevel="0" collapsed="false">
      <c r="A312" s="33" t="n">
        <v>46309</v>
      </c>
      <c r="B312" s="0" t="n">
        <v>7</v>
      </c>
      <c r="C312" s="0" t="n">
        <v>3908</v>
      </c>
      <c r="D312" s="0" t="n">
        <v>527</v>
      </c>
      <c r="E312" s="0" t="n">
        <v>2</v>
      </c>
      <c r="F312" s="27" t="s">
        <v>395</v>
      </c>
      <c r="I312" s="27" t="s">
        <v>138</v>
      </c>
      <c r="J312" s="0" t="n">
        <v>373</v>
      </c>
      <c r="K312" s="0" t="n">
        <v>58</v>
      </c>
      <c r="L312" s="0" t="n">
        <v>154</v>
      </c>
      <c r="M312" s="0" t="n">
        <v>760.2</v>
      </c>
      <c r="N312" s="0" t="n">
        <v>53.47</v>
      </c>
      <c r="O312" s="0" t="n">
        <v>31.31</v>
      </c>
      <c r="P312" s="0" t="n">
        <v>5.24</v>
      </c>
      <c r="Q312" s="0" t="n">
        <v>3.96</v>
      </c>
      <c r="R312" s="0" t="n">
        <v>6161</v>
      </c>
      <c r="S312" s="0" t="n">
        <v>12654</v>
      </c>
      <c r="T312" s="0" t="n">
        <v>65.2</v>
      </c>
      <c r="U312" s="0" t="n">
        <v>1666</v>
      </c>
      <c r="V312" s="0" t="n">
        <v>4</v>
      </c>
      <c r="W312" s="27" t="n">
        <f aca="false">MATCH(A312,DATAS,0)</f>
        <v>1</v>
      </c>
      <c r="X312" s="27" t="n">
        <f aca="false">IF(AND(E312&gt;0,OR(AND(B312&gt;=1,B312&lt;=6),B312=10)),1,0)</f>
        <v>0</v>
      </c>
      <c r="Y312" s="27" t="n">
        <f aca="false">IF(AND(E312&gt;0,B312=10),1,0)</f>
        <v>0</v>
      </c>
      <c r="Z312" s="0" t="str">
        <f aca="false">IF(AND(C311=C312,W311=W312-1),X311,"")</f>
        <v/>
      </c>
      <c r="AA312" s="0" t="str">
        <f aca="false">IF(AND(C311=C312,W311=W312-1),Y311,"")</f>
        <v/>
      </c>
      <c r="AB312" s="0" t="str">
        <f aca="false">IF(W312=1,"",IF(AND(X312=1,Z312&lt;&gt;1),1,0))</f>
        <v/>
      </c>
      <c r="AC312" s="0" t="str">
        <f aca="false">IF(W312=1,"",IF(AND(Y312=1,AA312&lt;&gt;1),1,0))</f>
        <v/>
      </c>
      <c r="AD312" s="33" t="str">
        <f aca="false">IF(AND(E312&gt;0,W312&lt;1,NOT(AND(C313=C312,W313=W312+1))),INDEX(DATAS,W312+1),"")</f>
        <v/>
      </c>
      <c r="AE312" s="33" t="str">
        <f aca="false">IF(AND(Y312=1,W312&lt;1),IF(AND(C313=C312,W313=W312+1),IF(Y313=1,"",INDEX(DATAS,W312+1)),INDEX(DATAS,W312+1)),"")</f>
        <v/>
      </c>
    </row>
    <row r="313" customFormat="false" ht="15" hidden="false" customHeight="false" outlineLevel="0" collapsed="false">
      <c r="A313" s="33" t="n">
        <v>46309</v>
      </c>
      <c r="B313" s="0" t="n">
        <v>2</v>
      </c>
      <c r="C313" s="0" t="n">
        <v>3910</v>
      </c>
      <c r="D313" s="0" t="n">
        <v>120</v>
      </c>
      <c r="E313" s="0" t="n">
        <v>3</v>
      </c>
      <c r="F313" s="27" t="s">
        <v>396</v>
      </c>
      <c r="G313" s="0" t="n">
        <v>50.8</v>
      </c>
      <c r="H313" s="0" t="n">
        <v>58</v>
      </c>
      <c r="I313" s="27" t="s">
        <v>138</v>
      </c>
      <c r="J313" s="0" t="n">
        <v>64</v>
      </c>
      <c r="K313" s="0" t="n">
        <v>64</v>
      </c>
      <c r="L313" s="0" t="n">
        <v>56</v>
      </c>
      <c r="M313" s="0" t="n">
        <v>323.28</v>
      </c>
      <c r="N313" s="0" t="n">
        <v>42.58</v>
      </c>
      <c r="O313" s="0" t="n">
        <v>23.7</v>
      </c>
      <c r="P313" s="0" t="n">
        <v>1.99</v>
      </c>
      <c r="Q313" s="0" t="n">
        <v>3.17</v>
      </c>
      <c r="R313" s="0" t="n">
        <v>6583</v>
      </c>
      <c r="S313" s="0" t="n">
        <v>13100</v>
      </c>
      <c r="T313" s="0" t="n">
        <v>71.1</v>
      </c>
      <c r="U313" s="0" t="n">
        <v>1665</v>
      </c>
      <c r="V313" s="0" t="n">
        <v>1</v>
      </c>
      <c r="W313" s="27" t="n">
        <f aca="false">MATCH(A313,DATAS,0)</f>
        <v>1</v>
      </c>
      <c r="X313" s="27" t="n">
        <f aca="false">IF(AND(E313&gt;0,OR(AND(B313&gt;=1,B313&lt;=6),B313=10)),1,0)</f>
        <v>1</v>
      </c>
      <c r="Y313" s="27" t="n">
        <f aca="false">IF(AND(E313&gt;0,B313=10),1,0)</f>
        <v>0</v>
      </c>
      <c r="Z313" s="0" t="str">
        <f aca="false">IF(AND(C312=C313,W312=W313-1),X312,"")</f>
        <v/>
      </c>
      <c r="AA313" s="0" t="str">
        <f aca="false">IF(AND(C312=C313,W312=W313-1),Y312,"")</f>
        <v/>
      </c>
      <c r="AB313" s="0" t="str">
        <f aca="false">IF(W313=1,"",IF(AND(X313=1,Z313&lt;&gt;1),1,0))</f>
        <v/>
      </c>
      <c r="AC313" s="0" t="str">
        <f aca="false">IF(W313=1,"",IF(AND(Y313=1,AA313&lt;&gt;1),1,0))</f>
        <v/>
      </c>
      <c r="AD313" s="33" t="str">
        <f aca="false">IF(AND(E313&gt;0,W313&lt;1,NOT(AND(C314=C313,W314=W313+1))),INDEX(DATAS,W313+1),"")</f>
        <v/>
      </c>
      <c r="AE313" s="33" t="str">
        <f aca="false">IF(AND(Y313=1,W313&lt;1),IF(AND(C314=C313,W314=W313+1),IF(Y314=1,"",INDEX(DATAS,W313+1)),INDEX(DATAS,W313+1)),"")</f>
        <v/>
      </c>
    </row>
    <row r="314" customFormat="false" ht="15" hidden="false" customHeight="false" outlineLevel="0" collapsed="false">
      <c r="A314" s="33" t="n">
        <v>46309</v>
      </c>
      <c r="B314" s="0" t="n">
        <v>2</v>
      </c>
      <c r="C314" s="0" t="n">
        <v>3911</v>
      </c>
      <c r="D314" s="0" t="n">
        <v>212</v>
      </c>
      <c r="E314" s="0" t="n">
        <v>3</v>
      </c>
      <c r="F314" s="27" t="s">
        <v>396</v>
      </c>
      <c r="G314" s="0" t="n">
        <v>55</v>
      </c>
      <c r="H314" s="0" t="n">
        <v>61</v>
      </c>
      <c r="I314" s="27" t="s">
        <v>168</v>
      </c>
      <c r="J314" s="0" t="n">
        <v>212</v>
      </c>
      <c r="K314" s="0" t="n">
        <v>65</v>
      </c>
      <c r="M314" s="0" t="n">
        <v>705.33</v>
      </c>
      <c r="N314" s="0" t="n">
        <v>20.76</v>
      </c>
      <c r="O314" s="0" t="n">
        <v>19.48</v>
      </c>
      <c r="P314" s="0" t="n">
        <v>3.12</v>
      </c>
      <c r="Q314" s="0" t="n">
        <v>2.91</v>
      </c>
      <c r="R314" s="0" t="n">
        <v>6402</v>
      </c>
      <c r="S314" s="0" t="n">
        <v>13397</v>
      </c>
      <c r="T314" s="0" t="n">
        <v>73.7</v>
      </c>
      <c r="U314" s="0" t="n">
        <v>1665</v>
      </c>
      <c r="V314" s="0" t="n">
        <v>5</v>
      </c>
      <c r="W314" s="27" t="n">
        <f aca="false">MATCH(A314,DATAS,0)</f>
        <v>1</v>
      </c>
      <c r="X314" s="27" t="n">
        <f aca="false">IF(AND(E314&gt;0,OR(AND(B314&gt;=1,B314&lt;=6),B314=10)),1,0)</f>
        <v>1</v>
      </c>
      <c r="Y314" s="27" t="n">
        <f aca="false">IF(AND(E314&gt;0,B314=10),1,0)</f>
        <v>0</v>
      </c>
      <c r="Z314" s="0" t="str">
        <f aca="false">IF(AND(C313=C314,W313=W314-1),X313,"")</f>
        <v/>
      </c>
      <c r="AA314" s="0" t="str">
        <f aca="false">IF(AND(C313=C314,W313=W314-1),Y313,"")</f>
        <v/>
      </c>
      <c r="AB314" s="0" t="str">
        <f aca="false">IF(W314=1,"",IF(AND(X314=1,Z314&lt;&gt;1),1,0))</f>
        <v/>
      </c>
      <c r="AC314" s="0" t="str">
        <f aca="false">IF(W314=1,"",IF(AND(Y314=1,AA314&lt;&gt;1),1,0))</f>
        <v/>
      </c>
      <c r="AD314" s="33" t="str">
        <f aca="false">IF(AND(E314&gt;0,W314&lt;1,NOT(AND(C315=C314,W315=W314+1))),INDEX(DATAS,W314+1),"")</f>
        <v/>
      </c>
      <c r="AE314" s="33" t="str">
        <f aca="false">IF(AND(Y314=1,W314&lt;1),IF(AND(C315=C314,W315=W314+1),IF(Y315=1,"",INDEX(DATAS,W314+1)),INDEX(DATAS,W314+1)),"")</f>
        <v/>
      </c>
    </row>
    <row r="315" customFormat="false" ht="15" hidden="false" customHeight="false" outlineLevel="0" collapsed="false">
      <c r="A315" s="33" t="n">
        <v>46309</v>
      </c>
      <c r="B315" s="0" t="n">
        <v>5</v>
      </c>
      <c r="C315" s="0" t="n">
        <v>3913</v>
      </c>
      <c r="D315" s="0" t="n">
        <v>85</v>
      </c>
      <c r="E315" s="0" t="n">
        <v>3</v>
      </c>
      <c r="F315" s="27" t="s">
        <v>397</v>
      </c>
      <c r="G315" s="0" t="n">
        <v>32.3</v>
      </c>
      <c r="H315" s="0" t="n">
        <v>34</v>
      </c>
      <c r="I315" s="27" t="s">
        <v>151</v>
      </c>
      <c r="J315" s="0" t="n">
        <v>85</v>
      </c>
      <c r="M315" s="0" t="n">
        <v>240.17</v>
      </c>
      <c r="N315" s="0" t="n">
        <v>47.38</v>
      </c>
      <c r="O315" s="0" t="n">
        <v>13.04</v>
      </c>
      <c r="P315" s="0" t="n">
        <v>0</v>
      </c>
      <c r="Q315" s="0" t="n">
        <v>0</v>
      </c>
      <c r="R315" s="0" t="n">
        <v>3259</v>
      </c>
      <c r="S315" s="0" t="n">
        <v>6551</v>
      </c>
      <c r="U315" s="0" t="n">
        <v>1664</v>
      </c>
      <c r="V315" s="0" t="n">
        <v>0</v>
      </c>
      <c r="W315" s="27" t="n">
        <f aca="false">MATCH(A315,DATAS,0)</f>
        <v>1</v>
      </c>
      <c r="X315" s="27" t="n">
        <f aca="false">IF(AND(E315&gt;0,OR(AND(B315&gt;=1,B315&lt;=6),B315=10)),1,0)</f>
        <v>1</v>
      </c>
      <c r="Y315" s="27" t="n">
        <f aca="false">IF(AND(E315&gt;0,B315=10),1,0)</f>
        <v>0</v>
      </c>
      <c r="Z315" s="0" t="str">
        <f aca="false">IF(AND(C314=C315,W314=W315-1),X314,"")</f>
        <v/>
      </c>
      <c r="AA315" s="0" t="str">
        <f aca="false">IF(AND(C314=C315,W314=W315-1),Y314,"")</f>
        <v/>
      </c>
      <c r="AB315" s="0" t="str">
        <f aca="false">IF(W315=1,"",IF(AND(X315=1,Z315&lt;&gt;1),1,0))</f>
        <v/>
      </c>
      <c r="AC315" s="0" t="str">
        <f aca="false">IF(W315=1,"",IF(AND(Y315=1,AA315&lt;&gt;1),1,0))</f>
        <v/>
      </c>
      <c r="AD315" s="33" t="str">
        <f aca="false">IF(AND(E315&gt;0,W315&lt;1,NOT(AND(C316=C315,W316=W315+1))),INDEX(DATAS,W315+1),"")</f>
        <v/>
      </c>
      <c r="AE315" s="33" t="str">
        <f aca="false">IF(AND(Y315=1,W315&lt;1),IF(AND(C316=C315,W316=W315+1),IF(Y316=1,"",INDEX(DATAS,W315+1)),INDEX(DATAS,W315+1)),"")</f>
        <v/>
      </c>
    </row>
    <row r="316" customFormat="false" ht="15" hidden="false" customHeight="false" outlineLevel="0" collapsed="false">
      <c r="A316" s="33" t="n">
        <v>46309</v>
      </c>
      <c r="B316" s="0" t="n">
        <v>3</v>
      </c>
      <c r="C316" s="0" t="n">
        <v>3915</v>
      </c>
      <c r="D316" s="0" t="n">
        <v>179</v>
      </c>
      <c r="E316" s="0" t="n">
        <v>3</v>
      </c>
      <c r="F316" s="27" t="s">
        <v>397</v>
      </c>
      <c r="G316" s="0" t="n">
        <v>54.6</v>
      </c>
      <c r="H316" s="0" t="n">
        <v>55</v>
      </c>
      <c r="I316" s="27" t="s">
        <v>138</v>
      </c>
      <c r="J316" s="0" t="n">
        <v>67</v>
      </c>
      <c r="K316" s="0" t="n">
        <v>67</v>
      </c>
      <c r="L316" s="0" t="n">
        <v>112</v>
      </c>
      <c r="M316" s="0" t="n">
        <v>694.18</v>
      </c>
      <c r="N316" s="0" t="n">
        <v>38.79</v>
      </c>
      <c r="O316" s="0" t="n">
        <v>36.94</v>
      </c>
      <c r="P316" s="0" t="n">
        <v>0</v>
      </c>
      <c r="Q316" s="0" t="n">
        <v>0</v>
      </c>
      <c r="R316" s="0" t="n">
        <v>5356</v>
      </c>
      <c r="S316" s="0" t="n">
        <v>11164</v>
      </c>
      <c r="T316" s="0" t="n">
        <v>58.95</v>
      </c>
      <c r="U316" s="0" t="n">
        <v>1664</v>
      </c>
      <c r="V316" s="0" t="n">
        <v>1</v>
      </c>
      <c r="W316" s="27" t="n">
        <f aca="false">MATCH(A316,DATAS,0)</f>
        <v>1</v>
      </c>
      <c r="X316" s="27" t="n">
        <f aca="false">IF(AND(E316&gt;0,OR(AND(B316&gt;=1,B316&lt;=6),B316=10)),1,0)</f>
        <v>1</v>
      </c>
      <c r="Y316" s="27" t="n">
        <f aca="false">IF(AND(E316&gt;0,B316=10),1,0)</f>
        <v>0</v>
      </c>
      <c r="Z316" s="0" t="str">
        <f aca="false">IF(AND(C315=C316,W315=W316-1),X315,"")</f>
        <v/>
      </c>
      <c r="AA316" s="0" t="str">
        <f aca="false">IF(AND(C315=C316,W315=W316-1),Y315,"")</f>
        <v/>
      </c>
      <c r="AB316" s="0" t="str">
        <f aca="false">IF(W316=1,"",IF(AND(X316=1,Z316&lt;&gt;1),1,0))</f>
        <v/>
      </c>
      <c r="AC316" s="0" t="str">
        <f aca="false">IF(W316=1,"",IF(AND(Y316=1,AA316&lt;&gt;1),1,0))</f>
        <v/>
      </c>
      <c r="AD316" s="33" t="str">
        <f aca="false">IF(AND(E316&gt;0,W316&lt;1,NOT(AND(C317=C316,W317=W316+1))),INDEX(DATAS,W316+1),"")</f>
        <v/>
      </c>
      <c r="AE316" s="33" t="str">
        <f aca="false">IF(AND(Y316=1,W316&lt;1),IF(AND(C317=C316,W317=W316+1),IF(Y317=1,"",INDEX(DATAS,W316+1)),INDEX(DATAS,W316+1)),"")</f>
        <v/>
      </c>
    </row>
    <row r="317" customFormat="false" ht="15" hidden="false" customHeight="false" outlineLevel="0" collapsed="false">
      <c r="A317" s="33" t="n">
        <v>46309</v>
      </c>
      <c r="B317" s="0" t="n">
        <v>5</v>
      </c>
      <c r="C317" s="0" t="n">
        <v>3919</v>
      </c>
      <c r="D317" s="0" t="n">
        <v>234</v>
      </c>
      <c r="E317" s="0" t="n">
        <v>3</v>
      </c>
      <c r="F317" s="27" t="s">
        <v>398</v>
      </c>
      <c r="G317" s="0" t="n">
        <v>47.3</v>
      </c>
      <c r="H317" s="0" t="n">
        <v>45</v>
      </c>
      <c r="I317" s="27" t="s">
        <v>138</v>
      </c>
      <c r="J317" s="0" t="n">
        <v>66</v>
      </c>
      <c r="K317" s="0" t="n">
        <v>66</v>
      </c>
      <c r="L317" s="0" t="n">
        <v>168</v>
      </c>
      <c r="M317" s="0" t="n">
        <v>360.09</v>
      </c>
      <c r="N317" s="0" t="n">
        <v>65.27</v>
      </c>
      <c r="O317" s="0" t="n">
        <v>22.73</v>
      </c>
      <c r="P317" s="0" t="n">
        <v>4.92</v>
      </c>
      <c r="Q317" s="0" t="n">
        <v>3.87</v>
      </c>
      <c r="R317" s="0" t="n">
        <v>5103</v>
      </c>
      <c r="S317" s="0" t="n">
        <v>10141</v>
      </c>
      <c r="T317" s="0" t="n">
        <v>54.45</v>
      </c>
      <c r="U317" s="0" t="n">
        <v>1663</v>
      </c>
      <c r="V317" s="0" t="n">
        <v>1</v>
      </c>
      <c r="W317" s="27" t="n">
        <f aca="false">MATCH(A317,DATAS,0)</f>
        <v>1</v>
      </c>
      <c r="X317" s="27" t="n">
        <f aca="false">IF(AND(E317&gt;0,OR(AND(B317&gt;=1,B317&lt;=6),B317=10)),1,0)</f>
        <v>1</v>
      </c>
      <c r="Y317" s="27" t="n">
        <f aca="false">IF(AND(E317&gt;0,B317=10),1,0)</f>
        <v>0</v>
      </c>
      <c r="Z317" s="0" t="str">
        <f aca="false">IF(AND(C316=C317,W316=W317-1),X316,"")</f>
        <v/>
      </c>
      <c r="AA317" s="0" t="str">
        <f aca="false">IF(AND(C316=C317,W316=W317-1),Y316,"")</f>
        <v/>
      </c>
      <c r="AB317" s="0" t="str">
        <f aca="false">IF(W317=1,"",IF(AND(X317=1,Z317&lt;&gt;1),1,0))</f>
        <v/>
      </c>
      <c r="AC317" s="0" t="str">
        <f aca="false">IF(W317=1,"",IF(AND(Y317=1,AA317&lt;&gt;1),1,0))</f>
        <v/>
      </c>
      <c r="AD317" s="33" t="str">
        <f aca="false">IF(AND(E317&gt;0,W317&lt;1,NOT(AND(C318=C317,W318=W317+1))),INDEX(DATAS,W317+1),"")</f>
        <v/>
      </c>
      <c r="AE317" s="33" t="str">
        <f aca="false">IF(AND(Y317=1,W317&lt;1),IF(AND(C318=C317,W318=W317+1),IF(Y318=1,"",INDEX(DATAS,W317+1)),INDEX(DATAS,W317+1)),"")</f>
        <v/>
      </c>
    </row>
    <row r="318" customFormat="false" ht="15" hidden="false" customHeight="false" outlineLevel="0" collapsed="false">
      <c r="A318" s="33" t="n">
        <v>46309</v>
      </c>
      <c r="B318" s="0" t="n">
        <v>6</v>
      </c>
      <c r="C318" s="0" t="n">
        <v>3922</v>
      </c>
      <c r="D318" s="0" t="n">
        <v>260</v>
      </c>
      <c r="E318" s="0" t="n">
        <v>3</v>
      </c>
      <c r="F318" s="27" t="s">
        <v>399</v>
      </c>
      <c r="G318" s="0" t="n">
        <v>22.1</v>
      </c>
      <c r="H318" s="0" t="n">
        <v>20</v>
      </c>
      <c r="I318" s="27" t="s">
        <v>151</v>
      </c>
      <c r="J318" s="0" t="n">
        <v>260</v>
      </c>
      <c r="K318" s="0" t="n">
        <v>85</v>
      </c>
      <c r="M318" s="0" t="n">
        <v>623.23</v>
      </c>
      <c r="N318" s="0" t="n">
        <v>86.45</v>
      </c>
      <c r="O318" s="0" t="n">
        <v>31.61</v>
      </c>
      <c r="P318" s="0" t="n">
        <v>6.29</v>
      </c>
      <c r="Q318" s="0" t="n">
        <v>4.29</v>
      </c>
      <c r="R318" s="0" t="n">
        <v>4063</v>
      </c>
      <c r="S318" s="0" t="n">
        <v>8438</v>
      </c>
      <c r="T318" s="0" t="n">
        <v>45.25</v>
      </c>
      <c r="U318" s="0" t="n">
        <v>1660</v>
      </c>
      <c r="V318" s="0" t="n">
        <v>3</v>
      </c>
      <c r="W318" s="27" t="n">
        <f aca="false">MATCH(A318,DATAS,0)</f>
        <v>1</v>
      </c>
      <c r="X318" s="27" t="n">
        <f aca="false">IF(AND(E318&gt;0,OR(AND(B318&gt;=1,B318&lt;=6),B318=10)),1,0)</f>
        <v>1</v>
      </c>
      <c r="Y318" s="27" t="n">
        <f aca="false">IF(AND(E318&gt;0,B318=10),1,0)</f>
        <v>0</v>
      </c>
      <c r="Z318" s="0" t="str">
        <f aca="false">IF(AND(C317=C318,W317=W318-1),X317,"")</f>
        <v/>
      </c>
      <c r="AA318" s="0" t="str">
        <f aca="false">IF(AND(C317=C318,W317=W318-1),Y317,"")</f>
        <v/>
      </c>
      <c r="AB318" s="0" t="str">
        <f aca="false">IF(W318=1,"",IF(AND(X318=1,Z318&lt;&gt;1),1,0))</f>
        <v/>
      </c>
      <c r="AC318" s="0" t="str">
        <f aca="false">IF(W318=1,"",IF(AND(Y318=1,AA318&lt;&gt;1),1,0))</f>
        <v/>
      </c>
      <c r="AD318" s="33" t="str">
        <f aca="false">IF(AND(E318&gt;0,W318&lt;1,NOT(AND(C319=C318,W319=W318+1))),INDEX(DATAS,W318+1),"")</f>
        <v/>
      </c>
      <c r="AE318" s="33" t="str">
        <f aca="false">IF(AND(Y318=1,W318&lt;1),IF(AND(C319=C318,W319=W318+1),IF(Y319=1,"",INDEX(DATAS,W318+1)),INDEX(DATAS,W318+1)),"")</f>
        <v/>
      </c>
    </row>
    <row r="319" customFormat="false" ht="15" hidden="false" customHeight="false" outlineLevel="0" collapsed="false">
      <c r="A319" s="33" t="n">
        <v>46309</v>
      </c>
      <c r="B319" s="0" t="n">
        <v>7</v>
      </c>
      <c r="C319" s="0" t="n">
        <v>3923</v>
      </c>
      <c r="D319" s="0" t="n">
        <v>289</v>
      </c>
      <c r="E319" s="0" t="n">
        <v>3</v>
      </c>
      <c r="F319" s="27" t="s">
        <v>399</v>
      </c>
      <c r="I319" s="27" t="s">
        <v>143</v>
      </c>
      <c r="J319" s="0" t="n">
        <v>165</v>
      </c>
      <c r="K319" s="0" t="n">
        <v>66</v>
      </c>
      <c r="L319" s="0" t="n">
        <v>216</v>
      </c>
      <c r="M319" s="0" t="n">
        <v>409.99</v>
      </c>
      <c r="N319" s="0" t="n">
        <v>78.58</v>
      </c>
      <c r="O319" s="0" t="n">
        <v>36.8</v>
      </c>
      <c r="P319" s="0" t="n">
        <v>0</v>
      </c>
      <c r="Q319" s="0" t="n">
        <v>0</v>
      </c>
      <c r="R319" s="0" t="n">
        <v>4131</v>
      </c>
      <c r="S319" s="0" t="n">
        <v>6899</v>
      </c>
      <c r="T319" s="0" t="n">
        <v>46.75</v>
      </c>
      <c r="U319" s="0" t="n">
        <v>1660</v>
      </c>
      <c r="V319" s="0" t="n">
        <v>4</v>
      </c>
      <c r="W319" s="27" t="n">
        <f aca="false">MATCH(A319,DATAS,0)</f>
        <v>1</v>
      </c>
      <c r="X319" s="27" t="n">
        <f aca="false">IF(AND(E319&gt;0,OR(AND(B319&gt;=1,B319&lt;=6),B319=10)),1,0)</f>
        <v>0</v>
      </c>
      <c r="Y319" s="27" t="n">
        <f aca="false">IF(AND(E319&gt;0,B319=10),1,0)</f>
        <v>0</v>
      </c>
      <c r="Z319" s="0" t="str">
        <f aca="false">IF(AND(C318=C319,W318=W319-1),X318,"")</f>
        <v/>
      </c>
      <c r="AA319" s="0" t="str">
        <f aca="false">IF(AND(C318=C319,W318=W319-1),Y318,"")</f>
        <v/>
      </c>
      <c r="AB319" s="0" t="str">
        <f aca="false">IF(W319=1,"",IF(AND(X319=1,Z319&lt;&gt;1),1,0))</f>
        <v/>
      </c>
      <c r="AC319" s="0" t="str">
        <f aca="false">IF(W319=1,"",IF(AND(Y319=1,AA319&lt;&gt;1),1,0))</f>
        <v/>
      </c>
      <c r="AD319" s="33" t="str">
        <f aca="false">IF(AND(E319&gt;0,W319&lt;1,NOT(AND(C320=C319,W320=W319+1))),INDEX(DATAS,W319+1),"")</f>
        <v/>
      </c>
      <c r="AE319" s="33" t="str">
        <f aca="false">IF(AND(Y319=1,W319&lt;1),IF(AND(C320=C319,W320=W319+1),IF(Y320=1,"",INDEX(DATAS,W319+1)),INDEX(DATAS,W319+1)),"")</f>
        <v/>
      </c>
    </row>
    <row r="320" customFormat="false" ht="15" hidden="false" customHeight="false" outlineLevel="0" collapsed="false">
      <c r="A320" s="33" t="n">
        <v>46309</v>
      </c>
      <c r="B320" s="0" t="n">
        <v>5</v>
      </c>
      <c r="C320" s="0" t="n">
        <v>3924</v>
      </c>
      <c r="D320" s="0" t="n">
        <v>232</v>
      </c>
      <c r="E320" s="0" t="n">
        <v>3</v>
      </c>
      <c r="F320" s="27" t="s">
        <v>400</v>
      </c>
      <c r="G320" s="0" t="n">
        <v>45.7</v>
      </c>
      <c r="H320" s="0" t="n">
        <v>44</v>
      </c>
      <c r="I320" s="27" t="s">
        <v>138</v>
      </c>
      <c r="J320" s="0" t="n">
        <v>100</v>
      </c>
      <c r="K320" s="0" t="n">
        <v>71</v>
      </c>
      <c r="L320" s="0" t="n">
        <v>132</v>
      </c>
      <c r="M320" s="0" t="n">
        <v>869.75</v>
      </c>
      <c r="N320" s="0" t="n">
        <v>38.12</v>
      </c>
      <c r="O320" s="0" t="n">
        <v>33.63</v>
      </c>
      <c r="P320" s="0" t="n">
        <v>3.19</v>
      </c>
      <c r="Q320" s="0" t="n">
        <v>3.77</v>
      </c>
      <c r="R320" s="0" t="n">
        <v>4958</v>
      </c>
      <c r="S320" s="0" t="n">
        <v>10177</v>
      </c>
      <c r="T320" s="0" t="n">
        <v>64.1</v>
      </c>
      <c r="U320" s="0" t="n">
        <v>1658</v>
      </c>
      <c r="V320" s="0" t="n">
        <v>2</v>
      </c>
      <c r="W320" s="27" t="n">
        <f aca="false">MATCH(A320,DATAS,0)</f>
        <v>1</v>
      </c>
      <c r="X320" s="27" t="n">
        <f aca="false">IF(AND(E320&gt;0,OR(AND(B320&gt;=1,B320&lt;=6),B320=10)),1,0)</f>
        <v>1</v>
      </c>
      <c r="Y320" s="27" t="n">
        <f aca="false">IF(AND(E320&gt;0,B320=10),1,0)</f>
        <v>0</v>
      </c>
      <c r="Z320" s="0" t="str">
        <f aca="false">IF(AND(C319=C320,W319=W320-1),X319,"")</f>
        <v/>
      </c>
      <c r="AA320" s="0" t="str">
        <f aca="false">IF(AND(C319=C320,W319=W320-1),Y319,"")</f>
        <v/>
      </c>
      <c r="AB320" s="0" t="str">
        <f aca="false">IF(W320=1,"",IF(AND(X320=1,Z320&lt;&gt;1),1,0))</f>
        <v/>
      </c>
      <c r="AC320" s="0" t="str">
        <f aca="false">IF(W320=1,"",IF(AND(Y320=1,AA320&lt;&gt;1),1,0))</f>
        <v/>
      </c>
      <c r="AD320" s="33" t="str">
        <f aca="false">IF(AND(E320&gt;0,W320&lt;1,NOT(AND(C321=C320,W321=W320+1))),INDEX(DATAS,W320+1),"")</f>
        <v/>
      </c>
      <c r="AE320" s="33" t="str">
        <f aca="false">IF(AND(Y320=1,W320&lt;1),IF(AND(C321=C320,W321=W320+1),IF(Y321=1,"",INDEX(DATAS,W320+1)),INDEX(DATAS,W320+1)),"")</f>
        <v/>
      </c>
    </row>
    <row r="321" customFormat="false" ht="15" hidden="false" customHeight="false" outlineLevel="0" collapsed="false">
      <c r="A321" s="33" t="n">
        <v>46309</v>
      </c>
      <c r="B321" s="0" t="n">
        <v>3</v>
      </c>
      <c r="C321" s="0" t="n">
        <v>3928</v>
      </c>
      <c r="D321" s="0" t="n">
        <v>266</v>
      </c>
      <c r="E321" s="0" t="n">
        <v>3</v>
      </c>
      <c r="F321" s="27" t="s">
        <v>400</v>
      </c>
      <c r="G321" s="0" t="n">
        <v>54.5</v>
      </c>
      <c r="H321" s="0" t="n">
        <v>55</v>
      </c>
      <c r="I321" s="27" t="s">
        <v>138</v>
      </c>
      <c r="J321" s="0" t="n">
        <v>140</v>
      </c>
      <c r="K321" s="0" t="n">
        <v>63</v>
      </c>
      <c r="L321" s="0" t="n">
        <v>126</v>
      </c>
      <c r="M321" s="0" t="n">
        <v>873.45</v>
      </c>
      <c r="N321" s="0" t="n">
        <v>60.55</v>
      </c>
      <c r="O321" s="0" t="n">
        <v>24.33</v>
      </c>
      <c r="P321" s="0" t="n">
        <v>3.6</v>
      </c>
      <c r="Q321" s="0" t="n">
        <v>3.23</v>
      </c>
      <c r="R321" s="0" t="n">
        <v>5885</v>
      </c>
      <c r="S321" s="0" t="n">
        <v>12607</v>
      </c>
      <c r="T321" s="0" t="n">
        <v>64.2</v>
      </c>
      <c r="U321" s="0" t="n">
        <v>1658</v>
      </c>
      <c r="V321" s="0" t="n">
        <v>4</v>
      </c>
      <c r="W321" s="27" t="n">
        <f aca="false">MATCH(A321,DATAS,0)</f>
        <v>1</v>
      </c>
      <c r="X321" s="27" t="n">
        <f aca="false">IF(AND(E321&gt;0,OR(AND(B321&gt;=1,B321&lt;=6),B321=10)),1,0)</f>
        <v>1</v>
      </c>
      <c r="Y321" s="27" t="n">
        <f aca="false">IF(AND(E321&gt;0,B321=10),1,0)</f>
        <v>0</v>
      </c>
      <c r="Z321" s="0" t="str">
        <f aca="false">IF(AND(C320=C321,W320=W321-1),X320,"")</f>
        <v/>
      </c>
      <c r="AA321" s="0" t="str">
        <f aca="false">IF(AND(C320=C321,W320=W321-1),Y320,"")</f>
        <v/>
      </c>
      <c r="AB321" s="0" t="str">
        <f aca="false">IF(W321=1,"",IF(AND(X321=1,Z321&lt;&gt;1),1,0))</f>
        <v/>
      </c>
      <c r="AC321" s="0" t="str">
        <f aca="false">IF(W321=1,"",IF(AND(Y321=1,AA321&lt;&gt;1),1,0))</f>
        <v/>
      </c>
      <c r="AD321" s="33" t="str">
        <f aca="false">IF(AND(E321&gt;0,W321&lt;1,NOT(AND(C322=C321,W322=W321+1))),INDEX(DATAS,W321+1),"")</f>
        <v/>
      </c>
      <c r="AE321" s="33" t="str">
        <f aca="false">IF(AND(Y321=1,W321&lt;1),IF(AND(C322=C321,W322=W321+1),IF(Y322=1,"",INDEX(DATAS,W321+1)),INDEX(DATAS,W321+1)),"")</f>
        <v/>
      </c>
    </row>
    <row r="322" customFormat="false" ht="15" hidden="false" customHeight="false" outlineLevel="0" collapsed="false">
      <c r="A322" s="33" t="n">
        <v>46309</v>
      </c>
      <c r="B322" s="0" t="n">
        <v>10</v>
      </c>
      <c r="C322" s="0" t="n">
        <v>3929</v>
      </c>
      <c r="D322" s="0" t="n">
        <v>243</v>
      </c>
      <c r="E322" s="0" t="n">
        <v>3</v>
      </c>
      <c r="F322" s="27" t="s">
        <v>400</v>
      </c>
      <c r="G322" s="0" t="n">
        <v>9.8</v>
      </c>
      <c r="H322" s="0" t="n">
        <v>7</v>
      </c>
      <c r="I322" s="27" t="s">
        <v>138</v>
      </c>
      <c r="J322" s="0" t="n">
        <v>103</v>
      </c>
      <c r="K322" s="0" t="n">
        <v>68</v>
      </c>
      <c r="L322" s="0" t="n">
        <v>140</v>
      </c>
      <c r="M322" s="0" t="n">
        <v>175.67</v>
      </c>
      <c r="N322" s="0" t="n">
        <v>55.94</v>
      </c>
      <c r="O322" s="0" t="n">
        <v>26.66</v>
      </c>
      <c r="P322" s="0" t="n">
        <v>5.94</v>
      </c>
      <c r="Q322" s="0" t="n">
        <v>4.02</v>
      </c>
      <c r="R322" s="0" t="n">
        <v>5598</v>
      </c>
      <c r="S322" s="0" t="n">
        <v>10562</v>
      </c>
      <c r="T322" s="0" t="n">
        <v>63.5</v>
      </c>
      <c r="U322" s="0" t="n">
        <v>1658</v>
      </c>
      <c r="V322" s="0" t="n">
        <v>2</v>
      </c>
      <c r="W322" s="27" t="n">
        <f aca="false">MATCH(A322,DATAS,0)</f>
        <v>1</v>
      </c>
      <c r="X322" s="27" t="n">
        <f aca="false">IF(AND(E322&gt;0,OR(AND(B322&gt;=1,B322&lt;=6),B322=10)),1,0)</f>
        <v>1</v>
      </c>
      <c r="Y322" s="27" t="n">
        <f aca="false">IF(AND(E322&gt;0,B322=10),1,0)</f>
        <v>1</v>
      </c>
      <c r="Z322" s="0" t="str">
        <f aca="false">IF(AND(C321=C322,W321=W322-1),X321,"")</f>
        <v/>
      </c>
      <c r="AA322" s="0" t="str">
        <f aca="false">IF(AND(C321=C322,W321=W322-1),Y321,"")</f>
        <v/>
      </c>
      <c r="AB322" s="0" t="str">
        <f aca="false">IF(W322=1,"",IF(AND(X322=1,Z322&lt;&gt;1),1,0))</f>
        <v/>
      </c>
      <c r="AC322" s="0" t="str">
        <f aca="false">IF(W322=1,"",IF(AND(Y322=1,AA322&lt;&gt;1),1,0))</f>
        <v/>
      </c>
      <c r="AD322" s="33" t="str">
        <f aca="false">IF(AND(E322&gt;0,W322&lt;1,NOT(AND(C323=C322,W323=W322+1))),INDEX(DATAS,W322+1),"")</f>
        <v/>
      </c>
      <c r="AE322" s="33" t="str">
        <f aca="false">IF(AND(Y322=1,W322&lt;1),IF(AND(C323=C322,W323=W322+1),IF(Y323=1,"",INDEX(DATAS,W322+1)),INDEX(DATAS,W322+1)),"")</f>
        <v/>
      </c>
    </row>
    <row r="323" customFormat="false" ht="15" hidden="false" customHeight="false" outlineLevel="0" collapsed="false">
      <c r="A323" s="33" t="n">
        <v>46309</v>
      </c>
      <c r="B323" s="0" t="n">
        <v>5</v>
      </c>
      <c r="C323" s="0" t="n">
        <v>3933</v>
      </c>
      <c r="D323" s="0" t="n">
        <v>277</v>
      </c>
      <c r="E323" s="0" t="n">
        <v>3</v>
      </c>
      <c r="F323" s="27" t="s">
        <v>401</v>
      </c>
      <c r="G323" s="0" t="n">
        <v>31.7</v>
      </c>
      <c r="H323" s="0" t="n">
        <v>34</v>
      </c>
      <c r="I323" s="27" t="s">
        <v>138</v>
      </c>
      <c r="J323" s="0" t="n">
        <v>67</v>
      </c>
      <c r="K323" s="0" t="n">
        <v>67</v>
      </c>
      <c r="L323" s="0" t="n">
        <v>210</v>
      </c>
      <c r="M323" s="0" t="n">
        <v>638</v>
      </c>
      <c r="N323" s="0" t="n">
        <v>56.16</v>
      </c>
      <c r="O323" s="0" t="n">
        <v>28.6</v>
      </c>
      <c r="P323" s="0" t="n">
        <v>4.26</v>
      </c>
      <c r="Q323" s="0" t="n">
        <v>3.71</v>
      </c>
      <c r="R323" s="0" t="n">
        <v>5427</v>
      </c>
      <c r="S323" s="0" t="n">
        <v>11584</v>
      </c>
      <c r="T323" s="0" t="n">
        <v>55.9</v>
      </c>
      <c r="U323" s="0" t="n">
        <v>1655</v>
      </c>
      <c r="V323" s="0" t="n">
        <v>1</v>
      </c>
      <c r="W323" s="27" t="n">
        <f aca="false">MATCH(A323,DATAS,0)</f>
        <v>1</v>
      </c>
      <c r="X323" s="27" t="n">
        <f aca="false">IF(AND(E323&gt;0,OR(AND(B323&gt;=1,B323&lt;=6),B323=10)),1,0)</f>
        <v>1</v>
      </c>
      <c r="Y323" s="27" t="n">
        <f aca="false">IF(AND(E323&gt;0,B323=10),1,0)</f>
        <v>0</v>
      </c>
      <c r="Z323" s="0" t="str">
        <f aca="false">IF(AND(C322=C323,W322=W323-1),X322,"")</f>
        <v/>
      </c>
      <c r="AA323" s="0" t="str">
        <f aca="false">IF(AND(C322=C323,W322=W323-1),Y322,"")</f>
        <v/>
      </c>
      <c r="AB323" s="0" t="str">
        <f aca="false">IF(W323=1,"",IF(AND(X323=1,Z323&lt;&gt;1),1,0))</f>
        <v/>
      </c>
      <c r="AC323" s="0" t="str">
        <f aca="false">IF(W323=1,"",IF(AND(Y323=1,AA323&lt;&gt;1),1,0))</f>
        <v/>
      </c>
      <c r="AD323" s="33" t="str">
        <f aca="false">IF(AND(E323&gt;0,W323&lt;1,NOT(AND(C324=C323,W324=W323+1))),INDEX(DATAS,W323+1),"")</f>
        <v/>
      </c>
      <c r="AE323" s="33" t="str">
        <f aca="false">IF(AND(Y323=1,W323&lt;1),IF(AND(C324=C323,W324=W323+1),IF(Y324=1,"",INDEX(DATAS,W323+1)),INDEX(DATAS,W323+1)),"")</f>
        <v/>
      </c>
    </row>
    <row r="324" customFormat="false" ht="15" hidden="false" customHeight="false" outlineLevel="0" collapsed="false">
      <c r="A324" s="33" t="n">
        <v>46309</v>
      </c>
      <c r="B324" s="0" t="n">
        <v>3</v>
      </c>
      <c r="C324" s="0" t="n">
        <v>3935</v>
      </c>
      <c r="D324" s="0" t="n">
        <v>183</v>
      </c>
      <c r="E324" s="0" t="n">
        <v>3</v>
      </c>
      <c r="F324" s="27" t="s">
        <v>402</v>
      </c>
      <c r="G324" s="0" t="n">
        <v>58.2</v>
      </c>
      <c r="H324" s="0" t="n">
        <v>59</v>
      </c>
      <c r="I324" s="27" t="s">
        <v>138</v>
      </c>
      <c r="J324" s="0" t="n">
        <v>64</v>
      </c>
      <c r="K324" s="0" t="n">
        <v>64</v>
      </c>
      <c r="L324" s="0" t="n">
        <v>119</v>
      </c>
      <c r="M324" s="0" t="n">
        <v>1097.7</v>
      </c>
      <c r="N324" s="0" t="n">
        <v>40.45</v>
      </c>
      <c r="O324" s="0" t="n">
        <v>37.43</v>
      </c>
      <c r="P324" s="0" t="n">
        <v>3.27</v>
      </c>
      <c r="Q324" s="0" t="n">
        <v>3.68</v>
      </c>
      <c r="R324" s="0" t="n">
        <v>7379</v>
      </c>
      <c r="S324" s="0" t="n">
        <v>14101</v>
      </c>
      <c r="T324" s="0" t="n">
        <v>78.25</v>
      </c>
      <c r="U324" s="0" t="n">
        <v>1654</v>
      </c>
      <c r="V324" s="0" t="n">
        <v>1</v>
      </c>
      <c r="W324" s="27" t="n">
        <f aca="false">MATCH(A324,DATAS,0)</f>
        <v>1</v>
      </c>
      <c r="X324" s="27" t="n">
        <f aca="false">IF(AND(E324&gt;0,OR(AND(B324&gt;=1,B324&lt;=6),B324=10)),1,0)</f>
        <v>1</v>
      </c>
      <c r="Y324" s="27" t="n">
        <f aca="false">IF(AND(E324&gt;0,B324=10),1,0)</f>
        <v>0</v>
      </c>
      <c r="Z324" s="0" t="str">
        <f aca="false">IF(AND(C323=C324,W323=W324-1),X323,"")</f>
        <v/>
      </c>
      <c r="AA324" s="0" t="str">
        <f aca="false">IF(AND(C323=C324,W323=W324-1),Y323,"")</f>
        <v/>
      </c>
      <c r="AB324" s="0" t="str">
        <f aca="false">IF(W324=1,"",IF(AND(X324=1,Z324&lt;&gt;1),1,0))</f>
        <v/>
      </c>
      <c r="AC324" s="0" t="str">
        <f aca="false">IF(W324=1,"",IF(AND(Y324=1,AA324&lt;&gt;1),1,0))</f>
        <v/>
      </c>
      <c r="AD324" s="33" t="str">
        <f aca="false">IF(AND(E324&gt;0,W324&lt;1,NOT(AND(C325=C324,W325=W324+1))),INDEX(DATAS,W324+1),"")</f>
        <v/>
      </c>
      <c r="AE324" s="33" t="str">
        <f aca="false">IF(AND(Y324=1,W324&lt;1),IF(AND(C325=C324,W325=W324+1),IF(Y325=1,"",INDEX(DATAS,W324+1)),INDEX(DATAS,W324+1)),"")</f>
        <v/>
      </c>
    </row>
    <row r="325" customFormat="false" ht="15" hidden="false" customHeight="false" outlineLevel="0" collapsed="false">
      <c r="A325" s="33" t="n">
        <v>46309</v>
      </c>
      <c r="B325" s="0" t="n">
        <v>5</v>
      </c>
      <c r="C325" s="0" t="n">
        <v>3938</v>
      </c>
      <c r="D325" s="0" t="n">
        <v>229</v>
      </c>
      <c r="E325" s="0" t="n">
        <v>2</v>
      </c>
      <c r="F325" s="27" t="s">
        <v>403</v>
      </c>
      <c r="G325" s="0" t="n">
        <v>50.4</v>
      </c>
      <c r="H325" s="0" t="n">
        <v>47</v>
      </c>
      <c r="I325" s="27" t="s">
        <v>138</v>
      </c>
      <c r="J325" s="0" t="n">
        <v>82</v>
      </c>
      <c r="K325" s="0" t="n">
        <v>82</v>
      </c>
      <c r="L325" s="0" t="n">
        <v>147</v>
      </c>
      <c r="M325" s="0" t="n">
        <v>478.05</v>
      </c>
      <c r="N325" s="0" t="n">
        <v>67.77</v>
      </c>
      <c r="O325" s="0" t="n">
        <v>29.13</v>
      </c>
      <c r="P325" s="0" t="n">
        <v>4.16</v>
      </c>
      <c r="Q325" s="0" t="n">
        <v>3.55</v>
      </c>
      <c r="R325" s="0" t="n">
        <v>6265</v>
      </c>
      <c r="S325" s="0" t="n">
        <v>12099</v>
      </c>
      <c r="T325" s="0" t="n">
        <v>72.95</v>
      </c>
      <c r="U325" s="0" t="n">
        <v>1653</v>
      </c>
      <c r="V325" s="0" t="n">
        <v>1</v>
      </c>
      <c r="W325" s="27" t="n">
        <f aca="false">MATCH(A325,DATAS,0)</f>
        <v>1</v>
      </c>
      <c r="X325" s="27" t="n">
        <f aca="false">IF(AND(E325&gt;0,OR(AND(B325&gt;=1,B325&lt;=6),B325=10)),1,0)</f>
        <v>1</v>
      </c>
      <c r="Y325" s="27" t="n">
        <f aca="false">IF(AND(E325&gt;0,B325=10),1,0)</f>
        <v>0</v>
      </c>
      <c r="Z325" s="0" t="str">
        <f aca="false">IF(AND(C324=C325,W324=W325-1),X324,"")</f>
        <v/>
      </c>
      <c r="AA325" s="0" t="str">
        <f aca="false">IF(AND(C324=C325,W324=W325-1),Y324,"")</f>
        <v/>
      </c>
      <c r="AB325" s="0" t="str">
        <f aca="false">IF(W325=1,"",IF(AND(X325=1,Z325&lt;&gt;1),1,0))</f>
        <v/>
      </c>
      <c r="AC325" s="0" t="str">
        <f aca="false">IF(W325=1,"",IF(AND(Y325=1,AA325&lt;&gt;1),1,0))</f>
        <v/>
      </c>
      <c r="AD325" s="33" t="str">
        <f aca="false">IF(AND(E325&gt;0,W325&lt;1,NOT(AND(C326=C325,W326=W325+1))),INDEX(DATAS,W325+1),"")</f>
        <v/>
      </c>
      <c r="AE325" s="33" t="str">
        <f aca="false">IF(AND(Y325=1,W325&lt;1),IF(AND(C326=C325,W326=W325+1),IF(Y326=1,"",INDEX(DATAS,W325+1)),INDEX(DATAS,W325+1)),"")</f>
        <v/>
      </c>
    </row>
    <row r="326" customFormat="false" ht="15" hidden="false" customHeight="false" outlineLevel="0" collapsed="false">
      <c r="A326" s="33" t="n">
        <v>46309</v>
      </c>
      <c r="B326" s="0" t="n">
        <v>3</v>
      </c>
      <c r="C326" s="0" t="n">
        <v>3941</v>
      </c>
      <c r="D326" s="0" t="n">
        <v>244</v>
      </c>
      <c r="E326" s="0" t="n">
        <v>3</v>
      </c>
      <c r="F326" s="27" t="s">
        <v>403</v>
      </c>
      <c r="G326" s="0" t="n">
        <v>68.4</v>
      </c>
      <c r="H326" s="0" t="n">
        <v>65</v>
      </c>
      <c r="I326" s="27" t="s">
        <v>138</v>
      </c>
      <c r="J326" s="0" t="n">
        <v>153</v>
      </c>
      <c r="K326" s="0" t="n">
        <v>125</v>
      </c>
      <c r="L326" s="0" t="n">
        <v>91</v>
      </c>
      <c r="M326" s="0" t="n">
        <v>1057.98</v>
      </c>
      <c r="N326" s="0" t="n">
        <v>51.99</v>
      </c>
      <c r="O326" s="0" t="n">
        <v>35.01</v>
      </c>
      <c r="P326" s="0" t="n">
        <v>3.22</v>
      </c>
      <c r="Q326" s="0" t="n">
        <v>3.06</v>
      </c>
      <c r="R326" s="0" t="n">
        <v>4222</v>
      </c>
      <c r="S326" s="0" t="n">
        <v>10532</v>
      </c>
      <c r="T326" s="0" t="n">
        <v>30.95</v>
      </c>
      <c r="U326" s="0" t="n">
        <v>1653</v>
      </c>
      <c r="V326" s="0" t="n">
        <v>2</v>
      </c>
      <c r="W326" s="27" t="n">
        <f aca="false">MATCH(A326,DATAS,0)</f>
        <v>1</v>
      </c>
      <c r="X326" s="27" t="n">
        <f aca="false">IF(AND(E326&gt;0,OR(AND(B326&gt;=1,B326&lt;=6),B326=10)),1,0)</f>
        <v>1</v>
      </c>
      <c r="Y326" s="27" t="n">
        <f aca="false">IF(AND(E326&gt;0,B326=10),1,0)</f>
        <v>0</v>
      </c>
      <c r="Z326" s="0" t="str">
        <f aca="false">IF(AND(C325=C326,W325=W326-1),X325,"")</f>
        <v/>
      </c>
      <c r="AA326" s="0" t="str">
        <f aca="false">IF(AND(C325=C326,W325=W326-1),Y325,"")</f>
        <v/>
      </c>
      <c r="AB326" s="0" t="str">
        <f aca="false">IF(W326=1,"",IF(AND(X326=1,Z326&lt;&gt;1),1,0))</f>
        <v/>
      </c>
      <c r="AC326" s="0" t="str">
        <f aca="false">IF(W326=1,"",IF(AND(Y326=1,AA326&lt;&gt;1),1,0))</f>
        <v/>
      </c>
      <c r="AD326" s="33" t="str">
        <f aca="false">IF(AND(E326&gt;0,W326&lt;1,NOT(AND(C327=C326,W327=W326+1))),INDEX(DATAS,W326+1),"")</f>
        <v/>
      </c>
      <c r="AE326" s="33" t="str">
        <f aca="false">IF(AND(Y326=1,W326&lt;1),IF(AND(C327=C326,W327=W326+1),IF(Y327=1,"",INDEX(DATAS,W326+1)),INDEX(DATAS,W326+1)),"")</f>
        <v/>
      </c>
    </row>
    <row r="327" customFormat="false" ht="15" hidden="false" customHeight="false" outlineLevel="0" collapsed="false">
      <c r="A327" s="33" t="n">
        <v>46309</v>
      </c>
      <c r="B327" s="0" t="n">
        <v>3</v>
      </c>
      <c r="C327" s="0" t="n">
        <v>3944</v>
      </c>
      <c r="D327" s="0" t="n">
        <v>346</v>
      </c>
      <c r="E327" s="0" t="n">
        <v>2</v>
      </c>
      <c r="F327" s="27" t="s">
        <v>404</v>
      </c>
      <c r="G327" s="0" t="n">
        <v>43.2</v>
      </c>
      <c r="H327" s="0" t="n">
        <v>46</v>
      </c>
      <c r="I327" s="27" t="s">
        <v>176</v>
      </c>
      <c r="J327" s="0" t="n">
        <v>346</v>
      </c>
      <c r="K327" s="0" t="n">
        <v>67</v>
      </c>
      <c r="M327" s="0" t="n">
        <v>1511.66</v>
      </c>
      <c r="N327" s="0" t="n">
        <v>61.54</v>
      </c>
      <c r="O327" s="0" t="n">
        <v>43.44</v>
      </c>
      <c r="P327" s="0" t="n">
        <v>3.63</v>
      </c>
      <c r="Q327" s="0" t="n">
        <v>3.57</v>
      </c>
      <c r="R327" s="0" t="n">
        <v>6571</v>
      </c>
      <c r="S327" s="0" t="n">
        <v>12841</v>
      </c>
      <c r="T327" s="0" t="n">
        <v>63.4</v>
      </c>
      <c r="U327" s="0" t="n">
        <v>1651</v>
      </c>
      <c r="V327" s="0" t="n">
        <v>6</v>
      </c>
      <c r="W327" s="27" t="n">
        <f aca="false">MATCH(A327,DATAS,0)</f>
        <v>1</v>
      </c>
      <c r="X327" s="27" t="n">
        <f aca="false">IF(AND(E327&gt;0,OR(AND(B327&gt;=1,B327&lt;=6),B327=10)),1,0)</f>
        <v>1</v>
      </c>
      <c r="Y327" s="27" t="n">
        <f aca="false">IF(AND(E327&gt;0,B327=10),1,0)</f>
        <v>0</v>
      </c>
      <c r="Z327" s="0" t="str">
        <f aca="false">IF(AND(C326=C327,W326=W327-1),X326,"")</f>
        <v/>
      </c>
      <c r="AA327" s="0" t="str">
        <f aca="false">IF(AND(C326=C327,W326=W327-1),Y326,"")</f>
        <v/>
      </c>
      <c r="AB327" s="0" t="str">
        <f aca="false">IF(W327=1,"",IF(AND(X327=1,Z327&lt;&gt;1),1,0))</f>
        <v/>
      </c>
      <c r="AC327" s="0" t="str">
        <f aca="false">IF(W327=1,"",IF(AND(Y327=1,AA327&lt;&gt;1),1,0))</f>
        <v/>
      </c>
      <c r="AD327" s="33" t="str">
        <f aca="false">IF(AND(E327&gt;0,W327&lt;1,NOT(AND(C328=C327,W328=W327+1))),INDEX(DATAS,W327+1),"")</f>
        <v/>
      </c>
      <c r="AE327" s="33" t="str">
        <f aca="false">IF(AND(Y327=1,W327&lt;1),IF(AND(C328=C327,W328=W327+1),IF(Y328=1,"",INDEX(DATAS,W327+1)),INDEX(DATAS,W327+1)),"")</f>
        <v/>
      </c>
    </row>
    <row r="328" customFormat="false" ht="15" hidden="false" customHeight="false" outlineLevel="0" collapsed="false">
      <c r="A328" s="33" t="n">
        <v>46309</v>
      </c>
      <c r="B328" s="0" t="n">
        <v>5</v>
      </c>
      <c r="C328" s="0" t="n">
        <v>3947</v>
      </c>
      <c r="D328" s="0" t="n">
        <v>240</v>
      </c>
      <c r="E328" s="0" t="n">
        <v>3</v>
      </c>
      <c r="F328" s="27" t="s">
        <v>405</v>
      </c>
      <c r="G328" s="0" t="n">
        <v>34.6</v>
      </c>
      <c r="H328" s="0" t="n">
        <v>34</v>
      </c>
      <c r="I328" s="27" t="s">
        <v>138</v>
      </c>
      <c r="J328" s="0" t="n">
        <v>65</v>
      </c>
      <c r="K328" s="0" t="n">
        <v>65</v>
      </c>
      <c r="L328" s="0" t="n">
        <v>175</v>
      </c>
      <c r="M328" s="0" t="n">
        <v>390.82</v>
      </c>
      <c r="N328" s="0" t="n">
        <v>65.68</v>
      </c>
      <c r="O328" s="0" t="n">
        <v>33.59</v>
      </c>
      <c r="P328" s="0" t="n">
        <v>6.16</v>
      </c>
      <c r="Q328" s="0" t="n">
        <v>4.01</v>
      </c>
      <c r="R328" s="0" t="n">
        <v>3098</v>
      </c>
      <c r="S328" s="0" t="n">
        <v>7324</v>
      </c>
      <c r="T328" s="0" t="n">
        <v>31.55</v>
      </c>
      <c r="U328" s="0" t="n">
        <v>1650</v>
      </c>
      <c r="V328" s="0" t="n">
        <v>1</v>
      </c>
      <c r="W328" s="27" t="n">
        <f aca="false">MATCH(A328,DATAS,0)</f>
        <v>1</v>
      </c>
      <c r="X328" s="27" t="n">
        <f aca="false">IF(AND(E328&gt;0,OR(AND(B328&gt;=1,B328&lt;=6),B328=10)),1,0)</f>
        <v>1</v>
      </c>
      <c r="Y328" s="27" t="n">
        <f aca="false">IF(AND(E328&gt;0,B328=10),1,0)</f>
        <v>0</v>
      </c>
      <c r="Z328" s="0" t="str">
        <f aca="false">IF(AND(C327=C328,W327=W328-1),X327,"")</f>
        <v/>
      </c>
      <c r="AA328" s="0" t="str">
        <f aca="false">IF(AND(C327=C328,W327=W328-1),Y327,"")</f>
        <v/>
      </c>
      <c r="AB328" s="0" t="str">
        <f aca="false">IF(W328=1,"",IF(AND(X328=1,Z328&lt;&gt;1),1,0))</f>
        <v/>
      </c>
      <c r="AC328" s="0" t="str">
        <f aca="false">IF(W328=1,"",IF(AND(Y328=1,AA328&lt;&gt;1),1,0))</f>
        <v/>
      </c>
      <c r="AD328" s="33" t="str">
        <f aca="false">IF(AND(E328&gt;0,W328&lt;1,NOT(AND(C329=C328,W329=W328+1))),INDEX(DATAS,W328+1),"")</f>
        <v/>
      </c>
      <c r="AE328" s="33" t="str">
        <f aca="false">IF(AND(Y328=1,W328&lt;1),IF(AND(C329=C328,W329=W328+1),IF(Y329=1,"",INDEX(DATAS,W328+1)),INDEX(DATAS,W328+1)),"")</f>
        <v/>
      </c>
    </row>
    <row r="329" customFormat="false" ht="15" hidden="false" customHeight="false" outlineLevel="0" collapsed="false">
      <c r="A329" s="33" t="n">
        <v>46309</v>
      </c>
      <c r="B329" s="0" t="n">
        <v>3</v>
      </c>
      <c r="C329" s="0" t="n">
        <v>3948</v>
      </c>
      <c r="D329" s="0" t="n">
        <v>31</v>
      </c>
      <c r="E329" s="0" t="n">
        <v>3</v>
      </c>
      <c r="F329" s="27" t="s">
        <v>406</v>
      </c>
      <c r="G329" s="0" t="n">
        <v>72.3</v>
      </c>
      <c r="H329" s="0" t="n">
        <v>69</v>
      </c>
      <c r="I329" s="27" t="s">
        <v>147</v>
      </c>
      <c r="J329" s="0" t="n">
        <v>31</v>
      </c>
      <c r="M329" s="0" t="n">
        <v>688.22</v>
      </c>
      <c r="N329" s="0" t="n">
        <v>70.85</v>
      </c>
      <c r="O329" s="0" t="n">
        <v>40.02</v>
      </c>
      <c r="P329" s="0" t="n">
        <v>5.69</v>
      </c>
      <c r="Q329" s="0" t="n">
        <v>4.14</v>
      </c>
      <c r="R329" s="0" t="n">
        <v>5191</v>
      </c>
      <c r="S329" s="0" t="n">
        <v>10436</v>
      </c>
      <c r="U329" s="0" t="n">
        <v>1649</v>
      </c>
      <c r="V329" s="0" t="n">
        <v>0</v>
      </c>
      <c r="W329" s="27" t="n">
        <f aca="false">MATCH(A329,DATAS,0)</f>
        <v>1</v>
      </c>
      <c r="X329" s="27" t="n">
        <f aca="false">IF(AND(E329&gt;0,OR(AND(B329&gt;=1,B329&lt;=6),B329=10)),1,0)</f>
        <v>1</v>
      </c>
      <c r="Y329" s="27" t="n">
        <f aca="false">IF(AND(E329&gt;0,B329=10),1,0)</f>
        <v>0</v>
      </c>
      <c r="Z329" s="0" t="str">
        <f aca="false">IF(AND(C328=C329,W328=W329-1),X328,"")</f>
        <v/>
      </c>
      <c r="AA329" s="0" t="str">
        <f aca="false">IF(AND(C328=C329,W328=W329-1),Y328,"")</f>
        <v/>
      </c>
      <c r="AB329" s="0" t="str">
        <f aca="false">IF(W329=1,"",IF(AND(X329=1,Z329&lt;&gt;1),1,0))</f>
        <v/>
      </c>
      <c r="AC329" s="0" t="str">
        <f aca="false">IF(W329=1,"",IF(AND(Y329=1,AA329&lt;&gt;1),1,0))</f>
        <v/>
      </c>
      <c r="AD329" s="33" t="str">
        <f aca="false">IF(AND(E329&gt;0,W329&lt;1,NOT(AND(C330=C329,W330=W329+1))),INDEX(DATAS,W329+1),"")</f>
        <v/>
      </c>
      <c r="AE329" s="33" t="str">
        <f aca="false">IF(AND(Y329=1,W329&lt;1),IF(AND(C330=C329,W330=W329+1),IF(Y330=1,"",INDEX(DATAS,W329+1)),INDEX(DATAS,W329+1)),"")</f>
        <v/>
      </c>
    </row>
    <row r="330" customFormat="false" ht="15" hidden="false" customHeight="false" outlineLevel="0" collapsed="false">
      <c r="A330" s="33" t="n">
        <v>46309</v>
      </c>
      <c r="B330" s="0" t="n">
        <v>5</v>
      </c>
      <c r="C330" s="0" t="n">
        <v>3950</v>
      </c>
      <c r="D330" s="0" t="n">
        <v>247</v>
      </c>
      <c r="E330" s="0" t="n">
        <v>3</v>
      </c>
      <c r="F330" s="27" t="s">
        <v>406</v>
      </c>
      <c r="G330" s="0" t="n">
        <v>38.9</v>
      </c>
      <c r="H330" s="0" t="n">
        <v>38</v>
      </c>
      <c r="I330" s="27" t="s">
        <v>138</v>
      </c>
      <c r="J330" s="0" t="n">
        <v>107</v>
      </c>
      <c r="K330" s="0" t="n">
        <v>65</v>
      </c>
      <c r="L330" s="0" t="n">
        <v>140</v>
      </c>
      <c r="M330" s="0" t="n">
        <v>954.53</v>
      </c>
      <c r="N330" s="0" t="n">
        <v>58.14</v>
      </c>
      <c r="O330" s="0" t="n">
        <v>39.72</v>
      </c>
      <c r="P330" s="0" t="n">
        <v>4.33</v>
      </c>
      <c r="Q330" s="0" t="n">
        <v>3.5</v>
      </c>
      <c r="R330" s="0" t="n">
        <v>3527</v>
      </c>
      <c r="S330" s="0" t="n">
        <v>7088</v>
      </c>
      <c r="T330" s="0" t="n">
        <v>54.65</v>
      </c>
      <c r="U330" s="0" t="n">
        <v>1649</v>
      </c>
      <c r="V330" s="0" t="n">
        <v>2</v>
      </c>
      <c r="W330" s="27" t="n">
        <f aca="false">MATCH(A330,DATAS,0)</f>
        <v>1</v>
      </c>
      <c r="X330" s="27" t="n">
        <f aca="false">IF(AND(E330&gt;0,OR(AND(B330&gt;=1,B330&lt;=6),B330=10)),1,0)</f>
        <v>1</v>
      </c>
      <c r="Y330" s="27" t="n">
        <f aca="false">IF(AND(E330&gt;0,B330=10),1,0)</f>
        <v>0</v>
      </c>
      <c r="Z330" s="0" t="str">
        <f aca="false">IF(AND(C329=C330,W329=W330-1),X329,"")</f>
        <v/>
      </c>
      <c r="AA330" s="0" t="str">
        <f aca="false">IF(AND(C329=C330,W329=W330-1),Y329,"")</f>
        <v/>
      </c>
      <c r="AB330" s="0" t="str">
        <f aca="false">IF(W330=1,"",IF(AND(X330=1,Z330&lt;&gt;1),1,0))</f>
        <v/>
      </c>
      <c r="AC330" s="0" t="str">
        <f aca="false">IF(W330=1,"",IF(AND(Y330=1,AA330&lt;&gt;1),1,0))</f>
        <v/>
      </c>
      <c r="AD330" s="33" t="str">
        <f aca="false">IF(AND(E330&gt;0,W330&lt;1,NOT(AND(C331=C330,W331=W330+1))),INDEX(DATAS,W330+1),"")</f>
        <v/>
      </c>
      <c r="AE330" s="33" t="str">
        <f aca="false">IF(AND(Y330=1,W330&lt;1),IF(AND(C331=C330,W331=W330+1),IF(Y331=1,"",INDEX(DATAS,W330+1)),INDEX(DATAS,W330+1)),"")</f>
        <v/>
      </c>
    </row>
    <row r="331" customFormat="false" ht="15" hidden="false" customHeight="false" outlineLevel="0" collapsed="false">
      <c r="A331" s="33" t="n">
        <v>46309</v>
      </c>
      <c r="B331" s="0" t="n">
        <v>2</v>
      </c>
      <c r="C331" s="0" t="n">
        <v>3951</v>
      </c>
      <c r="D331" s="0" t="n">
        <v>269</v>
      </c>
      <c r="E331" s="0" t="n">
        <v>3</v>
      </c>
      <c r="F331" s="27" t="s">
        <v>407</v>
      </c>
      <c r="G331" s="0" t="n">
        <v>60.6</v>
      </c>
      <c r="H331" s="0" t="n">
        <v>59</v>
      </c>
      <c r="I331" s="27" t="s">
        <v>138</v>
      </c>
      <c r="J331" s="0" t="n">
        <v>171</v>
      </c>
      <c r="K331" s="0" t="n">
        <v>73</v>
      </c>
      <c r="L331" s="0" t="n">
        <v>98</v>
      </c>
      <c r="M331" s="0" t="n">
        <v>1336.19</v>
      </c>
      <c r="N331" s="0" t="n">
        <v>67.04</v>
      </c>
      <c r="O331" s="0" t="n">
        <v>37.87</v>
      </c>
      <c r="P331" s="0" t="n">
        <v>3.31</v>
      </c>
      <c r="Q331" s="0" t="n">
        <v>3.06</v>
      </c>
      <c r="R331" s="0" t="n">
        <v>5487</v>
      </c>
      <c r="S331" s="0" t="n">
        <v>12304</v>
      </c>
      <c r="T331" s="0" t="n">
        <v>60.2</v>
      </c>
      <c r="U331" s="0" t="n">
        <v>1648</v>
      </c>
      <c r="V331" s="0" t="n">
        <v>3</v>
      </c>
      <c r="W331" s="27" t="n">
        <f aca="false">MATCH(A331,DATAS,0)</f>
        <v>1</v>
      </c>
      <c r="X331" s="27" t="n">
        <f aca="false">IF(AND(E331&gt;0,OR(AND(B331&gt;=1,B331&lt;=6),B331=10)),1,0)</f>
        <v>1</v>
      </c>
      <c r="Y331" s="27" t="n">
        <f aca="false">IF(AND(E331&gt;0,B331=10),1,0)</f>
        <v>0</v>
      </c>
      <c r="Z331" s="0" t="str">
        <f aca="false">IF(AND(C330=C331,W330=W331-1),X330,"")</f>
        <v/>
      </c>
      <c r="AA331" s="0" t="str">
        <f aca="false">IF(AND(C330=C331,W330=W331-1),Y330,"")</f>
        <v/>
      </c>
      <c r="AB331" s="0" t="str">
        <f aca="false">IF(W331=1,"",IF(AND(X331=1,Z331&lt;&gt;1),1,0))</f>
        <v/>
      </c>
      <c r="AC331" s="0" t="str">
        <f aca="false">IF(W331=1,"",IF(AND(Y331=1,AA331&lt;&gt;1),1,0))</f>
        <v/>
      </c>
      <c r="AD331" s="33" t="str">
        <f aca="false">IF(AND(E331&gt;0,W331&lt;1,NOT(AND(C332=C331,W332=W331+1))),INDEX(DATAS,W331+1),"")</f>
        <v/>
      </c>
      <c r="AE331" s="33" t="str">
        <f aca="false">IF(AND(Y331=1,W331&lt;1),IF(AND(C332=C331,W332=W331+1),IF(Y332=1,"",INDEX(DATAS,W331+1)),INDEX(DATAS,W331+1)),"")</f>
        <v/>
      </c>
    </row>
    <row r="332" customFormat="false" ht="15" hidden="false" customHeight="false" outlineLevel="0" collapsed="false">
      <c r="A332" s="33" t="n">
        <v>46309</v>
      </c>
      <c r="B332" s="0" t="n">
        <v>7</v>
      </c>
      <c r="C332" s="0" t="n">
        <v>3952</v>
      </c>
      <c r="D332" s="0" t="n">
        <v>278</v>
      </c>
      <c r="E332" s="0" t="n">
        <v>3</v>
      </c>
      <c r="F332" s="27" t="s">
        <v>407</v>
      </c>
      <c r="G332" s="0" t="n">
        <v>5.2</v>
      </c>
      <c r="H332" s="0" t="n">
        <v>12</v>
      </c>
      <c r="I332" s="27" t="s">
        <v>143</v>
      </c>
      <c r="J332" s="0" t="n">
        <v>69</v>
      </c>
      <c r="K332" s="0" t="n">
        <v>69</v>
      </c>
      <c r="L332" s="0" t="n">
        <v>210</v>
      </c>
      <c r="M332" s="0" t="n">
        <v>949.79</v>
      </c>
      <c r="N332" s="0" t="n">
        <v>52.24</v>
      </c>
      <c r="O332" s="0" t="n">
        <v>33.94</v>
      </c>
      <c r="P332" s="0" t="n">
        <v>4.76</v>
      </c>
      <c r="Q332" s="0" t="n">
        <v>3.52</v>
      </c>
      <c r="R332" s="0" t="n">
        <v>2300</v>
      </c>
      <c r="S332" s="0" t="n">
        <v>5651</v>
      </c>
      <c r="T332" s="0" t="n">
        <v>23.75</v>
      </c>
      <c r="U332" s="0" t="n">
        <v>1648</v>
      </c>
      <c r="V332" s="0" t="n">
        <v>1</v>
      </c>
      <c r="W332" s="27" t="n">
        <f aca="false">MATCH(A332,DATAS,0)</f>
        <v>1</v>
      </c>
      <c r="X332" s="27" t="n">
        <f aca="false">IF(AND(E332&gt;0,OR(AND(B332&gt;=1,B332&lt;=6),B332=10)),1,0)</f>
        <v>0</v>
      </c>
      <c r="Y332" s="27" t="n">
        <f aca="false">IF(AND(E332&gt;0,B332=10),1,0)</f>
        <v>0</v>
      </c>
      <c r="Z332" s="0" t="str">
        <f aca="false">IF(AND(C331=C332,W331=W332-1),X331,"")</f>
        <v/>
      </c>
      <c r="AA332" s="0" t="str">
        <f aca="false">IF(AND(C331=C332,W331=W332-1),Y331,"")</f>
        <v/>
      </c>
      <c r="AB332" s="0" t="str">
        <f aca="false">IF(W332=1,"",IF(AND(X332=1,Z332&lt;&gt;1),1,0))</f>
        <v/>
      </c>
      <c r="AC332" s="0" t="str">
        <f aca="false">IF(W332=1,"",IF(AND(Y332=1,AA332&lt;&gt;1),1,0))</f>
        <v/>
      </c>
      <c r="AD332" s="33" t="str">
        <f aca="false">IF(AND(E332&gt;0,W332&lt;1,NOT(AND(C333=C332,W333=W332+1))),INDEX(DATAS,W332+1),"")</f>
        <v/>
      </c>
      <c r="AE332" s="33" t="str">
        <f aca="false">IF(AND(Y332=1,W332&lt;1),IF(AND(C333=C332,W333=W332+1),IF(Y333=1,"",INDEX(DATAS,W332+1)),INDEX(DATAS,W332+1)),"")</f>
        <v/>
      </c>
    </row>
    <row r="333" customFormat="false" ht="15" hidden="false" customHeight="false" outlineLevel="0" collapsed="false">
      <c r="A333" s="33" t="n">
        <v>46309</v>
      </c>
      <c r="B333" s="0" t="n">
        <v>5</v>
      </c>
      <c r="C333" s="0" t="n">
        <v>3955</v>
      </c>
      <c r="D333" s="0" t="n">
        <v>252</v>
      </c>
      <c r="E333" s="0" t="n">
        <v>3</v>
      </c>
      <c r="F333" s="27" t="s">
        <v>408</v>
      </c>
      <c r="H333" s="0" t="n">
        <v>5</v>
      </c>
      <c r="I333" s="27" t="s">
        <v>138</v>
      </c>
      <c r="J333" s="0" t="n">
        <v>63</v>
      </c>
      <c r="K333" s="0" t="n">
        <v>63</v>
      </c>
      <c r="L333" s="0" t="n">
        <v>189</v>
      </c>
      <c r="M333" s="0" t="n">
        <v>339.73</v>
      </c>
      <c r="N333" s="0" t="n">
        <v>50.66</v>
      </c>
      <c r="O333" s="0" t="n">
        <v>23.48</v>
      </c>
      <c r="P333" s="0" t="n">
        <v>4.59</v>
      </c>
      <c r="Q333" s="0" t="n">
        <v>3.89</v>
      </c>
      <c r="R333" s="0" t="n">
        <v>4320</v>
      </c>
      <c r="S333" s="0" t="n">
        <v>9241</v>
      </c>
      <c r="T333" s="0" t="n">
        <v>48.8</v>
      </c>
      <c r="U333" s="0" t="n">
        <v>1647</v>
      </c>
      <c r="V333" s="0" t="n">
        <v>1</v>
      </c>
      <c r="W333" s="27" t="n">
        <f aca="false">MATCH(A333,DATAS,0)</f>
        <v>1</v>
      </c>
      <c r="X333" s="27" t="n">
        <f aca="false">IF(AND(E333&gt;0,OR(AND(B333&gt;=1,B333&lt;=6),B333=10)),1,0)</f>
        <v>1</v>
      </c>
      <c r="Y333" s="27" t="n">
        <f aca="false">IF(AND(E333&gt;0,B333=10),1,0)</f>
        <v>0</v>
      </c>
      <c r="Z333" s="0" t="str">
        <f aca="false">IF(AND(C332=C333,W332=W333-1),X332,"")</f>
        <v/>
      </c>
      <c r="AA333" s="0" t="str">
        <f aca="false">IF(AND(C332=C333,W332=W333-1),Y332,"")</f>
        <v/>
      </c>
      <c r="AB333" s="0" t="str">
        <f aca="false">IF(W333=1,"",IF(AND(X333=1,Z333&lt;&gt;1),1,0))</f>
        <v/>
      </c>
      <c r="AC333" s="0" t="str">
        <f aca="false">IF(W333=1,"",IF(AND(Y333=1,AA333&lt;&gt;1),1,0))</f>
        <v/>
      </c>
      <c r="AD333" s="33" t="str">
        <f aca="false">IF(AND(E333&gt;0,W333&lt;1,NOT(AND(C334=C333,W334=W333+1))),INDEX(DATAS,W333+1),"")</f>
        <v/>
      </c>
      <c r="AE333" s="33" t="str">
        <f aca="false">IF(AND(Y333=1,W333&lt;1),IF(AND(C334=C333,W334=W333+1),IF(Y334=1,"",INDEX(DATAS,W333+1)),INDEX(DATAS,W333+1)),"")</f>
        <v/>
      </c>
    </row>
    <row r="334" customFormat="false" ht="15" hidden="false" customHeight="false" outlineLevel="0" collapsed="false">
      <c r="A334" s="33" t="n">
        <v>46309</v>
      </c>
      <c r="B334" s="0" t="n">
        <v>5</v>
      </c>
      <c r="C334" s="0" t="n">
        <v>3957</v>
      </c>
      <c r="D334" s="0" t="n">
        <v>231</v>
      </c>
      <c r="E334" s="0" t="n">
        <v>3</v>
      </c>
      <c r="F334" s="27" t="s">
        <v>408</v>
      </c>
      <c r="G334" s="0" t="n">
        <v>37.3</v>
      </c>
      <c r="H334" s="0" t="n">
        <v>41</v>
      </c>
      <c r="I334" s="27" t="s">
        <v>168</v>
      </c>
      <c r="J334" s="0" t="n">
        <v>231</v>
      </c>
      <c r="K334" s="0" t="n">
        <v>67</v>
      </c>
      <c r="M334" s="0" t="n">
        <v>392.02</v>
      </c>
      <c r="N334" s="0" t="n">
        <v>32.06</v>
      </c>
      <c r="O334" s="0" t="n">
        <v>22.25</v>
      </c>
      <c r="P334" s="0" t="n">
        <v>3.23</v>
      </c>
      <c r="Q334" s="0" t="n">
        <v>3.83</v>
      </c>
      <c r="R334" s="0" t="n">
        <v>5520</v>
      </c>
      <c r="S334" s="0" t="n">
        <v>10033</v>
      </c>
      <c r="T334" s="0" t="n">
        <v>62.2</v>
      </c>
      <c r="U334" s="0" t="n">
        <v>1647</v>
      </c>
      <c r="V334" s="0" t="n">
        <v>5</v>
      </c>
      <c r="W334" s="27" t="n">
        <f aca="false">MATCH(A334,DATAS,0)</f>
        <v>1</v>
      </c>
      <c r="X334" s="27" t="n">
        <f aca="false">IF(AND(E334&gt;0,OR(AND(B334&gt;=1,B334&lt;=6),B334=10)),1,0)</f>
        <v>1</v>
      </c>
      <c r="Y334" s="27" t="n">
        <f aca="false">IF(AND(E334&gt;0,B334=10),1,0)</f>
        <v>0</v>
      </c>
      <c r="Z334" s="0" t="str">
        <f aca="false">IF(AND(C333=C334,W333=W334-1),X333,"")</f>
        <v/>
      </c>
      <c r="AA334" s="0" t="str">
        <f aca="false">IF(AND(C333=C334,W333=W334-1),Y333,"")</f>
        <v/>
      </c>
      <c r="AB334" s="0" t="str">
        <f aca="false">IF(W334=1,"",IF(AND(X334=1,Z334&lt;&gt;1),1,0))</f>
        <v/>
      </c>
      <c r="AC334" s="0" t="str">
        <f aca="false">IF(W334=1,"",IF(AND(Y334=1,AA334&lt;&gt;1),1,0))</f>
        <v/>
      </c>
      <c r="AD334" s="33" t="str">
        <f aca="false">IF(AND(E334&gt;0,W334&lt;1,NOT(AND(C335=C334,W335=W334+1))),INDEX(DATAS,W334+1),"")</f>
        <v/>
      </c>
      <c r="AE334" s="33" t="str">
        <f aca="false">IF(AND(Y334=1,W334&lt;1),IF(AND(C335=C334,W335=W334+1),IF(Y335=1,"",INDEX(DATAS,W334+1)),INDEX(DATAS,W334+1)),"")</f>
        <v/>
      </c>
    </row>
    <row r="335" customFormat="false" ht="15" hidden="false" customHeight="false" outlineLevel="0" collapsed="false">
      <c r="A335" s="33" t="n">
        <v>46309</v>
      </c>
      <c r="B335" s="0" t="n">
        <v>3</v>
      </c>
      <c r="C335" s="0" t="n">
        <v>3958</v>
      </c>
      <c r="D335" s="0" t="n">
        <v>6</v>
      </c>
      <c r="E335" s="0" t="n">
        <v>3</v>
      </c>
      <c r="F335" s="27" t="s">
        <v>408</v>
      </c>
      <c r="G335" s="0" t="n">
        <v>36.3</v>
      </c>
      <c r="H335" s="0" t="n">
        <v>25</v>
      </c>
      <c r="I335" s="27" t="s">
        <v>147</v>
      </c>
      <c r="J335" s="0" t="n">
        <v>6</v>
      </c>
      <c r="M335" s="0" t="n">
        <v>1113.11</v>
      </c>
      <c r="N335" s="0" t="n">
        <v>42.5</v>
      </c>
      <c r="O335" s="0" t="n">
        <v>33.01</v>
      </c>
      <c r="R335" s="0" t="n">
        <v>1997</v>
      </c>
      <c r="S335" s="0" t="n">
        <v>4015</v>
      </c>
      <c r="U335" s="0" t="n">
        <v>1647</v>
      </c>
      <c r="V335" s="0" t="n">
        <v>0</v>
      </c>
      <c r="W335" s="27" t="n">
        <f aca="false">MATCH(A335,DATAS,0)</f>
        <v>1</v>
      </c>
      <c r="X335" s="27" t="n">
        <f aca="false">IF(AND(E335&gt;0,OR(AND(B335&gt;=1,B335&lt;=6),B335=10)),1,0)</f>
        <v>1</v>
      </c>
      <c r="Y335" s="27" t="n">
        <f aca="false">IF(AND(E335&gt;0,B335=10),1,0)</f>
        <v>0</v>
      </c>
      <c r="Z335" s="0" t="str">
        <f aca="false">IF(AND(C334=C335,W334=W335-1),X334,"")</f>
        <v/>
      </c>
      <c r="AA335" s="0" t="str">
        <f aca="false">IF(AND(C334=C335,W334=W335-1),Y334,"")</f>
        <v/>
      </c>
      <c r="AB335" s="0" t="str">
        <f aca="false">IF(W335=1,"",IF(AND(X335=1,Z335&lt;&gt;1),1,0))</f>
        <v/>
      </c>
      <c r="AC335" s="0" t="str">
        <f aca="false">IF(W335=1,"",IF(AND(Y335=1,AA335&lt;&gt;1),1,0))</f>
        <v/>
      </c>
      <c r="AD335" s="33" t="str">
        <f aca="false">IF(AND(E335&gt;0,W335&lt;1,NOT(AND(C336=C335,W336=W335+1))),INDEX(DATAS,W335+1),"")</f>
        <v/>
      </c>
      <c r="AE335" s="33" t="str">
        <f aca="false">IF(AND(Y335=1,W335&lt;1),IF(AND(C336=C335,W336=W335+1),IF(Y336=1,"",INDEX(DATAS,W335+1)),INDEX(DATAS,W335+1)),"")</f>
        <v/>
      </c>
    </row>
    <row r="336" customFormat="false" ht="15" hidden="false" customHeight="false" outlineLevel="0" collapsed="false">
      <c r="A336" s="33" t="n">
        <v>46309</v>
      </c>
      <c r="B336" s="0" t="n">
        <v>7</v>
      </c>
      <c r="C336" s="0" t="n">
        <v>3960</v>
      </c>
      <c r="D336" s="0" t="n">
        <v>59</v>
      </c>
      <c r="E336" s="0" t="n">
        <v>3</v>
      </c>
      <c r="F336" s="27" t="s">
        <v>409</v>
      </c>
      <c r="I336" s="27" t="s">
        <v>143</v>
      </c>
      <c r="J336" s="0" t="n">
        <v>95</v>
      </c>
      <c r="K336" s="0" t="n">
        <v>74</v>
      </c>
      <c r="L336" s="0" t="n">
        <v>98</v>
      </c>
      <c r="M336" s="0" t="n">
        <v>312.08</v>
      </c>
      <c r="N336" s="0" t="n">
        <v>67.62</v>
      </c>
      <c r="O336" s="0" t="n">
        <v>21.53</v>
      </c>
      <c r="P336" s="0" t="n">
        <v>4.4</v>
      </c>
      <c r="Q336" s="0" t="n">
        <v>3.56</v>
      </c>
      <c r="R336" s="0" t="n">
        <v>851</v>
      </c>
      <c r="S336" s="0" t="n">
        <v>1710</v>
      </c>
      <c r="U336" s="0" t="n">
        <v>1646</v>
      </c>
      <c r="V336" s="0" t="n">
        <v>2</v>
      </c>
      <c r="W336" s="27" t="n">
        <f aca="false">MATCH(A336,DATAS,0)</f>
        <v>1</v>
      </c>
      <c r="X336" s="27" t="n">
        <f aca="false">IF(AND(E336&gt;0,OR(AND(B336&gt;=1,B336&lt;=6),B336=10)),1,0)</f>
        <v>0</v>
      </c>
      <c r="Y336" s="27" t="n">
        <f aca="false">IF(AND(E336&gt;0,B336=10),1,0)</f>
        <v>0</v>
      </c>
      <c r="Z336" s="0" t="str">
        <f aca="false">IF(AND(C335=C336,W335=W336-1),X335,"")</f>
        <v/>
      </c>
      <c r="AA336" s="0" t="str">
        <f aca="false">IF(AND(C335=C336,W335=W336-1),Y335,"")</f>
        <v/>
      </c>
      <c r="AB336" s="0" t="str">
        <f aca="false">IF(W336=1,"",IF(AND(X336=1,Z336&lt;&gt;1),1,0))</f>
        <v/>
      </c>
      <c r="AC336" s="0" t="str">
        <f aca="false">IF(W336=1,"",IF(AND(Y336=1,AA336&lt;&gt;1),1,0))</f>
        <v/>
      </c>
      <c r="AD336" s="33" t="str">
        <f aca="false">IF(AND(E336&gt;0,W336&lt;1,NOT(AND(C337=C336,W337=W336+1))),INDEX(DATAS,W336+1),"")</f>
        <v/>
      </c>
      <c r="AE336" s="33" t="str">
        <f aca="false">IF(AND(Y336=1,W336&lt;1),IF(AND(C337=C336,W337=W336+1),IF(Y337=1,"",INDEX(DATAS,W336+1)),INDEX(DATAS,W336+1)),"")</f>
        <v/>
      </c>
    </row>
    <row r="337" customFormat="false" ht="15" hidden="false" customHeight="false" outlineLevel="0" collapsed="false">
      <c r="A337" s="33" t="n">
        <v>46309</v>
      </c>
      <c r="B337" s="0" t="n">
        <v>2</v>
      </c>
      <c r="C337" s="0" t="n">
        <v>3961</v>
      </c>
      <c r="D337" s="0" t="n">
        <v>183</v>
      </c>
      <c r="E337" s="0" t="n">
        <v>3</v>
      </c>
      <c r="F337" s="27" t="s">
        <v>410</v>
      </c>
      <c r="G337" s="0" t="n">
        <v>53</v>
      </c>
      <c r="H337" s="0" t="n">
        <v>51</v>
      </c>
      <c r="I337" s="27" t="s">
        <v>138</v>
      </c>
      <c r="J337" s="0" t="n">
        <v>65</v>
      </c>
      <c r="K337" s="0" t="n">
        <v>72</v>
      </c>
      <c r="L337" s="0" t="n">
        <v>118</v>
      </c>
      <c r="M337" s="0" t="n">
        <v>798.84</v>
      </c>
      <c r="N337" s="0" t="n">
        <v>61.76</v>
      </c>
      <c r="O337" s="0" t="n">
        <v>25.93</v>
      </c>
      <c r="P337" s="0" t="n">
        <v>4.31</v>
      </c>
      <c r="Q337" s="0" t="n">
        <v>3.25</v>
      </c>
      <c r="R337" s="0" t="n">
        <v>4237</v>
      </c>
      <c r="S337" s="0" t="n">
        <v>9771</v>
      </c>
      <c r="T337" s="0" t="n">
        <v>46.2</v>
      </c>
      <c r="U337" s="0" t="n">
        <v>1644</v>
      </c>
      <c r="V337" s="0" t="n">
        <v>1</v>
      </c>
      <c r="W337" s="27" t="n">
        <f aca="false">MATCH(A337,DATAS,0)</f>
        <v>1</v>
      </c>
      <c r="X337" s="27" t="n">
        <f aca="false">IF(AND(E337&gt;0,OR(AND(B337&gt;=1,B337&lt;=6),B337=10)),1,0)</f>
        <v>1</v>
      </c>
      <c r="Y337" s="27" t="n">
        <f aca="false">IF(AND(E337&gt;0,B337=10),1,0)</f>
        <v>0</v>
      </c>
      <c r="Z337" s="0" t="str">
        <f aca="false">IF(AND(C336=C337,W336=W337-1),X336,"")</f>
        <v/>
      </c>
      <c r="AA337" s="0" t="str">
        <f aca="false">IF(AND(C336=C337,W336=W337-1),Y336,"")</f>
        <v/>
      </c>
      <c r="AB337" s="0" t="str">
        <f aca="false">IF(W337=1,"",IF(AND(X337=1,Z337&lt;&gt;1),1,0))</f>
        <v/>
      </c>
      <c r="AC337" s="0" t="str">
        <f aca="false">IF(W337=1,"",IF(AND(Y337=1,AA337&lt;&gt;1),1,0))</f>
        <v/>
      </c>
      <c r="AD337" s="33" t="str">
        <f aca="false">IF(AND(E337&gt;0,W337&lt;1,NOT(AND(C338=C337,W338=W337+1))),INDEX(DATAS,W337+1),"")</f>
        <v/>
      </c>
      <c r="AE337" s="33" t="str">
        <f aca="false">IF(AND(Y337=1,W337&lt;1),IF(AND(C338=C337,W338=W337+1),IF(Y338=1,"",INDEX(DATAS,W337+1)),INDEX(DATAS,W337+1)),"")</f>
        <v/>
      </c>
    </row>
    <row r="338" customFormat="false" ht="15" hidden="false" customHeight="false" outlineLevel="0" collapsed="false">
      <c r="A338" s="33" t="n">
        <v>46309</v>
      </c>
      <c r="B338" s="0" t="n">
        <v>10</v>
      </c>
      <c r="C338" s="0" t="n">
        <v>3967</v>
      </c>
      <c r="D338" s="0" t="n">
        <v>285</v>
      </c>
      <c r="E338" s="0" t="n">
        <v>3</v>
      </c>
      <c r="F338" s="27" t="s">
        <v>411</v>
      </c>
      <c r="G338" s="0" t="n">
        <v>17.6</v>
      </c>
      <c r="H338" s="0" t="n">
        <v>15</v>
      </c>
      <c r="I338" s="27" t="s">
        <v>138</v>
      </c>
      <c r="J338" s="0" t="n">
        <v>111</v>
      </c>
      <c r="K338" s="0" t="n">
        <v>67</v>
      </c>
      <c r="L338" s="0" t="n">
        <v>174</v>
      </c>
      <c r="M338" s="0" t="n">
        <v>206.89</v>
      </c>
      <c r="N338" s="0" t="n">
        <v>72.22</v>
      </c>
      <c r="O338" s="0" t="n">
        <v>18.03</v>
      </c>
      <c r="P338" s="0" t="n">
        <v>5.28</v>
      </c>
      <c r="Q338" s="0" t="n">
        <v>3.83</v>
      </c>
      <c r="R338" s="0" t="n">
        <v>2219</v>
      </c>
      <c r="S338" s="0" t="n">
        <v>5091</v>
      </c>
      <c r="T338" s="0" t="n">
        <v>23.7</v>
      </c>
      <c r="U338" s="0" t="n">
        <v>1643</v>
      </c>
      <c r="V338" s="0" t="n">
        <v>3</v>
      </c>
      <c r="W338" s="27" t="n">
        <f aca="false">MATCH(A338,DATAS,0)</f>
        <v>1</v>
      </c>
      <c r="X338" s="27" t="n">
        <f aca="false">IF(AND(E338&gt;0,OR(AND(B338&gt;=1,B338&lt;=6),B338=10)),1,0)</f>
        <v>1</v>
      </c>
      <c r="Y338" s="27" t="n">
        <f aca="false">IF(AND(E338&gt;0,B338=10),1,0)</f>
        <v>1</v>
      </c>
      <c r="Z338" s="0" t="str">
        <f aca="false">IF(AND(C337=C338,W337=W338-1),X337,"")</f>
        <v/>
      </c>
      <c r="AA338" s="0" t="str">
        <f aca="false">IF(AND(C337=C338,W337=W338-1),Y337,"")</f>
        <v/>
      </c>
      <c r="AB338" s="0" t="str">
        <f aca="false">IF(W338=1,"",IF(AND(X338=1,Z338&lt;&gt;1),1,0))</f>
        <v/>
      </c>
      <c r="AC338" s="0" t="str">
        <f aca="false">IF(W338=1,"",IF(AND(Y338=1,AA338&lt;&gt;1),1,0))</f>
        <v/>
      </c>
      <c r="AD338" s="33" t="str">
        <f aca="false">IF(AND(E338&gt;0,W338&lt;1,NOT(AND(C339=C338,W339=W338+1))),INDEX(DATAS,W338+1),"")</f>
        <v/>
      </c>
      <c r="AE338" s="33" t="str">
        <f aca="false">IF(AND(Y338=1,W338&lt;1),IF(AND(C339=C338,W339=W338+1),IF(Y339=1,"",INDEX(DATAS,W338+1)),INDEX(DATAS,W338+1)),"")</f>
        <v/>
      </c>
    </row>
    <row r="339" customFormat="false" ht="15" hidden="false" customHeight="false" outlineLevel="0" collapsed="false">
      <c r="A339" s="33" t="n">
        <v>46309</v>
      </c>
      <c r="B339" s="0" t="n">
        <v>5</v>
      </c>
      <c r="C339" s="0" t="n">
        <v>3970</v>
      </c>
      <c r="D339" s="0" t="n">
        <v>135</v>
      </c>
      <c r="E339" s="0" t="n">
        <v>3</v>
      </c>
      <c r="F339" s="27" t="s">
        <v>412</v>
      </c>
      <c r="G339" s="0" t="n">
        <v>42.1</v>
      </c>
      <c r="H339" s="0" t="n">
        <v>37</v>
      </c>
      <c r="I339" s="27" t="s">
        <v>138</v>
      </c>
      <c r="J339" s="0" t="n">
        <v>65</v>
      </c>
      <c r="K339" s="0" t="n">
        <v>65</v>
      </c>
      <c r="L339" s="0" t="n">
        <v>70</v>
      </c>
      <c r="M339" s="0" t="n">
        <v>1065.05</v>
      </c>
      <c r="N339" s="0" t="n">
        <v>62.38</v>
      </c>
      <c r="O339" s="0" t="n">
        <v>39.88</v>
      </c>
      <c r="P339" s="0" t="n">
        <v>5.25</v>
      </c>
      <c r="Q339" s="0" t="n">
        <v>4.04</v>
      </c>
      <c r="R339" s="0" t="n">
        <v>4347</v>
      </c>
      <c r="S339" s="0" t="n">
        <v>8450</v>
      </c>
      <c r="T339" s="0" t="n">
        <v>41.7</v>
      </c>
      <c r="U339" s="0" t="n">
        <v>1641</v>
      </c>
      <c r="V339" s="0" t="n">
        <v>1</v>
      </c>
      <c r="W339" s="27" t="n">
        <f aca="false">MATCH(A339,DATAS,0)</f>
        <v>1</v>
      </c>
      <c r="X339" s="27" t="n">
        <f aca="false">IF(AND(E339&gt;0,OR(AND(B339&gt;=1,B339&lt;=6),B339=10)),1,0)</f>
        <v>1</v>
      </c>
      <c r="Y339" s="27" t="n">
        <f aca="false">IF(AND(E339&gt;0,B339=10),1,0)</f>
        <v>0</v>
      </c>
      <c r="Z339" s="0" t="str">
        <f aca="false">IF(AND(C338=C339,W338=W339-1),X338,"")</f>
        <v/>
      </c>
      <c r="AA339" s="0" t="str">
        <f aca="false">IF(AND(C338=C339,W338=W339-1),Y338,"")</f>
        <v/>
      </c>
      <c r="AB339" s="0" t="str">
        <f aca="false">IF(W339=1,"",IF(AND(X339=1,Z339&lt;&gt;1),1,0))</f>
        <v/>
      </c>
      <c r="AC339" s="0" t="str">
        <f aca="false">IF(W339=1,"",IF(AND(Y339=1,AA339&lt;&gt;1),1,0))</f>
        <v/>
      </c>
      <c r="AD339" s="33" t="str">
        <f aca="false">IF(AND(E339&gt;0,W339&lt;1,NOT(AND(C340=C339,W340=W339+1))),INDEX(DATAS,W339+1),"")</f>
        <v/>
      </c>
      <c r="AE339" s="33" t="str">
        <f aca="false">IF(AND(Y339=1,W339&lt;1),IF(AND(C340=C339,W340=W339+1),IF(Y340=1,"",INDEX(DATAS,W339+1)),INDEX(DATAS,W339+1)),"")</f>
        <v/>
      </c>
    </row>
    <row r="340" customFormat="false" ht="15" hidden="false" customHeight="false" outlineLevel="0" collapsed="false">
      <c r="A340" s="33" t="n">
        <v>46309</v>
      </c>
      <c r="B340" s="0" t="n">
        <v>3</v>
      </c>
      <c r="C340" s="0" t="n">
        <v>3974</v>
      </c>
      <c r="D340" s="0" t="n">
        <v>219</v>
      </c>
      <c r="E340" s="0" t="n">
        <v>3</v>
      </c>
      <c r="F340" s="27" t="s">
        <v>413</v>
      </c>
      <c r="I340" s="27" t="s">
        <v>138</v>
      </c>
      <c r="J340" s="0" t="n">
        <v>135</v>
      </c>
      <c r="K340" s="0" t="n">
        <v>65</v>
      </c>
      <c r="L340" s="0" t="n">
        <v>84</v>
      </c>
      <c r="M340" s="0" t="n">
        <v>690.94</v>
      </c>
      <c r="N340" s="0" t="n">
        <v>43.19</v>
      </c>
      <c r="O340" s="0" t="n">
        <v>30.11</v>
      </c>
      <c r="P340" s="0" t="n">
        <v>4.09</v>
      </c>
      <c r="Q340" s="0" t="n">
        <v>3.63</v>
      </c>
      <c r="R340" s="0" t="n">
        <v>4623</v>
      </c>
      <c r="S340" s="0" t="n">
        <v>10038</v>
      </c>
      <c r="T340" s="0" t="n">
        <v>53.9</v>
      </c>
      <c r="U340" s="0" t="n">
        <v>1638</v>
      </c>
      <c r="V340" s="0" t="n">
        <v>3</v>
      </c>
      <c r="W340" s="27" t="n">
        <f aca="false">MATCH(A340,DATAS,0)</f>
        <v>1</v>
      </c>
      <c r="X340" s="27" t="n">
        <f aca="false">IF(AND(E340&gt;0,OR(AND(B340&gt;=1,B340&lt;=6),B340=10)),1,0)</f>
        <v>1</v>
      </c>
      <c r="Y340" s="27" t="n">
        <f aca="false">IF(AND(E340&gt;0,B340=10),1,0)</f>
        <v>0</v>
      </c>
      <c r="Z340" s="0" t="str">
        <f aca="false">IF(AND(C339=C340,W339=W340-1),X339,"")</f>
        <v/>
      </c>
      <c r="AA340" s="0" t="str">
        <f aca="false">IF(AND(C339=C340,W339=W340-1),Y339,"")</f>
        <v/>
      </c>
      <c r="AB340" s="0" t="str">
        <f aca="false">IF(W340=1,"",IF(AND(X340=1,Z340&lt;&gt;1),1,0))</f>
        <v/>
      </c>
      <c r="AC340" s="0" t="str">
        <f aca="false">IF(W340=1,"",IF(AND(Y340=1,AA340&lt;&gt;1),1,0))</f>
        <v/>
      </c>
      <c r="AD340" s="33" t="str">
        <f aca="false">IF(AND(E340&gt;0,W340&lt;1,NOT(AND(C341=C340,W341=W340+1))),INDEX(DATAS,W340+1),"")</f>
        <v/>
      </c>
      <c r="AE340" s="33" t="str">
        <f aca="false">IF(AND(Y340=1,W340&lt;1),IF(AND(C341=C340,W341=W340+1),IF(Y341=1,"",INDEX(DATAS,W340+1)),INDEX(DATAS,W340+1)),"")</f>
        <v/>
      </c>
    </row>
    <row r="341" customFormat="false" ht="15" hidden="false" customHeight="false" outlineLevel="0" collapsed="false">
      <c r="A341" s="33" t="n">
        <v>46309</v>
      </c>
      <c r="B341" s="0" t="n">
        <v>5</v>
      </c>
      <c r="C341" s="0" t="n">
        <v>3979</v>
      </c>
      <c r="D341" s="0" t="n">
        <v>281</v>
      </c>
      <c r="E341" s="0" t="n">
        <v>3</v>
      </c>
      <c r="F341" s="27" t="s">
        <v>414</v>
      </c>
      <c r="G341" s="0" t="n">
        <v>31.1</v>
      </c>
      <c r="H341" s="0" t="n">
        <v>32</v>
      </c>
      <c r="I341" s="27" t="s">
        <v>138</v>
      </c>
      <c r="J341" s="0" t="n">
        <v>99</v>
      </c>
      <c r="K341" s="0" t="n">
        <v>71</v>
      </c>
      <c r="L341" s="0" t="n">
        <v>182</v>
      </c>
      <c r="M341" s="0" t="n">
        <v>480.34</v>
      </c>
      <c r="N341" s="0" t="n">
        <v>53.41</v>
      </c>
      <c r="O341" s="0" t="n">
        <v>19.38</v>
      </c>
      <c r="P341" s="0" t="n">
        <v>2.98</v>
      </c>
      <c r="Q341" s="0" t="n">
        <v>3.5</v>
      </c>
      <c r="R341" s="0" t="n">
        <v>4905</v>
      </c>
      <c r="S341" s="0" t="n">
        <v>10306</v>
      </c>
      <c r="T341" s="0" t="n">
        <v>50</v>
      </c>
      <c r="U341" s="0" t="n">
        <v>1634</v>
      </c>
      <c r="V341" s="0" t="n">
        <v>2</v>
      </c>
      <c r="W341" s="27" t="n">
        <f aca="false">MATCH(A341,DATAS,0)</f>
        <v>1</v>
      </c>
      <c r="X341" s="27" t="n">
        <f aca="false">IF(AND(E341&gt;0,OR(AND(B341&gt;=1,B341&lt;=6),B341=10)),1,0)</f>
        <v>1</v>
      </c>
      <c r="Y341" s="27" t="n">
        <f aca="false">IF(AND(E341&gt;0,B341=10),1,0)</f>
        <v>0</v>
      </c>
      <c r="Z341" s="0" t="str">
        <f aca="false">IF(AND(C340=C341,W340=W341-1),X340,"")</f>
        <v/>
      </c>
      <c r="AA341" s="0" t="str">
        <f aca="false">IF(AND(C340=C341,W340=W341-1),Y340,"")</f>
        <v/>
      </c>
      <c r="AB341" s="0" t="str">
        <f aca="false">IF(W341=1,"",IF(AND(X341=1,Z341&lt;&gt;1),1,0))</f>
        <v/>
      </c>
      <c r="AC341" s="0" t="str">
        <f aca="false">IF(W341=1,"",IF(AND(Y341=1,AA341&lt;&gt;1),1,0))</f>
        <v/>
      </c>
      <c r="AD341" s="33" t="str">
        <f aca="false">IF(AND(E341&gt;0,W341&lt;1,NOT(AND(C342=C341,W342=W341+1))),INDEX(DATAS,W341+1),"")</f>
        <v/>
      </c>
      <c r="AE341" s="33" t="str">
        <f aca="false">IF(AND(Y341=1,W341&lt;1),IF(AND(C342=C341,W342=W341+1),IF(Y342=1,"",INDEX(DATAS,W341+1)),INDEX(DATAS,W341+1)),"")</f>
        <v/>
      </c>
    </row>
    <row r="342" customFormat="false" ht="15" hidden="false" customHeight="false" outlineLevel="0" collapsed="false">
      <c r="A342" s="33" t="n">
        <v>46309</v>
      </c>
      <c r="B342" s="0" t="n">
        <v>3</v>
      </c>
      <c r="C342" s="0" t="n">
        <v>3983</v>
      </c>
      <c r="D342" s="0" t="n">
        <v>52</v>
      </c>
      <c r="E342" s="0" t="n">
        <v>3</v>
      </c>
      <c r="F342" s="27" t="s">
        <v>415</v>
      </c>
      <c r="G342" s="0" t="n">
        <v>75.9</v>
      </c>
      <c r="H342" s="0" t="n">
        <v>77</v>
      </c>
      <c r="I342" s="27" t="s">
        <v>147</v>
      </c>
      <c r="J342" s="0" t="n">
        <v>52</v>
      </c>
      <c r="M342" s="0" t="n">
        <v>1358.08</v>
      </c>
      <c r="N342" s="0" t="n">
        <v>33.85</v>
      </c>
      <c r="O342" s="0" t="n">
        <v>36.83</v>
      </c>
      <c r="P342" s="0" t="n">
        <v>3.29</v>
      </c>
      <c r="Q342" s="0" t="n">
        <v>3.11</v>
      </c>
      <c r="R342" s="0" t="n">
        <v>6381</v>
      </c>
      <c r="S342" s="0" t="n">
        <v>12826</v>
      </c>
      <c r="U342" s="0" t="n">
        <v>1630</v>
      </c>
      <c r="V342" s="0" t="n">
        <v>0</v>
      </c>
      <c r="W342" s="27" t="n">
        <f aca="false">MATCH(A342,DATAS,0)</f>
        <v>1</v>
      </c>
      <c r="X342" s="27" t="n">
        <f aca="false">IF(AND(E342&gt;0,OR(AND(B342&gt;=1,B342&lt;=6),B342=10)),1,0)</f>
        <v>1</v>
      </c>
      <c r="Y342" s="27" t="n">
        <f aca="false">IF(AND(E342&gt;0,B342=10),1,0)</f>
        <v>0</v>
      </c>
      <c r="Z342" s="0" t="str">
        <f aca="false">IF(AND(C341=C342,W341=W342-1),X341,"")</f>
        <v/>
      </c>
      <c r="AA342" s="0" t="str">
        <f aca="false">IF(AND(C341=C342,W341=W342-1),Y341,"")</f>
        <v/>
      </c>
      <c r="AB342" s="0" t="str">
        <f aca="false">IF(W342=1,"",IF(AND(X342=1,Z342&lt;&gt;1),1,0))</f>
        <v/>
      </c>
      <c r="AC342" s="0" t="str">
        <f aca="false">IF(W342=1,"",IF(AND(Y342=1,AA342&lt;&gt;1),1,0))</f>
        <v/>
      </c>
      <c r="AD342" s="33" t="str">
        <f aca="false">IF(AND(E342&gt;0,W342&lt;1,NOT(AND(C343=C342,W343=W342+1))),INDEX(DATAS,W342+1),"")</f>
        <v/>
      </c>
      <c r="AE342" s="33" t="str">
        <f aca="false">IF(AND(Y342=1,W342&lt;1),IF(AND(C343=C342,W343=W342+1),IF(Y343=1,"",INDEX(DATAS,W342+1)),INDEX(DATAS,W342+1)),"")</f>
        <v/>
      </c>
    </row>
    <row r="343" customFormat="false" ht="15" hidden="false" customHeight="false" outlineLevel="0" collapsed="false">
      <c r="A343" s="33" t="n">
        <v>46309</v>
      </c>
      <c r="B343" s="0" t="n">
        <v>7</v>
      </c>
      <c r="C343" s="0" t="n">
        <v>3985</v>
      </c>
      <c r="D343" s="0" t="n">
        <v>395</v>
      </c>
      <c r="E343" s="0" t="n">
        <v>2</v>
      </c>
      <c r="F343" s="27" t="s">
        <v>415</v>
      </c>
      <c r="I343" s="27" t="s">
        <v>143</v>
      </c>
      <c r="J343" s="0" t="n">
        <v>179</v>
      </c>
      <c r="K343" s="0" t="n">
        <v>81</v>
      </c>
      <c r="L343" s="0" t="n">
        <v>245</v>
      </c>
      <c r="M343" s="0" t="n">
        <v>663.11</v>
      </c>
      <c r="N343" s="0" t="n">
        <v>58.98</v>
      </c>
      <c r="O343" s="0" t="n">
        <v>21.91</v>
      </c>
      <c r="P343" s="0" t="n">
        <v>5.89</v>
      </c>
      <c r="Q343" s="0" t="n">
        <v>4.2</v>
      </c>
      <c r="R343" s="0" t="n">
        <v>4061</v>
      </c>
      <c r="S343" s="0" t="n">
        <v>8234</v>
      </c>
      <c r="T343" s="0" t="n">
        <v>46.6</v>
      </c>
      <c r="U343" s="0" t="n">
        <v>1630</v>
      </c>
      <c r="V343" s="0" t="n">
        <v>4</v>
      </c>
      <c r="W343" s="27" t="n">
        <f aca="false">MATCH(A343,DATAS,0)</f>
        <v>1</v>
      </c>
      <c r="X343" s="27" t="n">
        <f aca="false">IF(AND(E343&gt;0,OR(AND(B343&gt;=1,B343&lt;=6),B343=10)),1,0)</f>
        <v>0</v>
      </c>
      <c r="Y343" s="27" t="n">
        <f aca="false">IF(AND(E343&gt;0,B343=10),1,0)</f>
        <v>0</v>
      </c>
      <c r="Z343" s="0" t="str">
        <f aca="false">IF(AND(C342=C343,W342=W343-1),X342,"")</f>
        <v/>
      </c>
      <c r="AA343" s="0" t="str">
        <f aca="false">IF(AND(C342=C343,W342=W343-1),Y342,"")</f>
        <v/>
      </c>
      <c r="AB343" s="0" t="str">
        <f aca="false">IF(W343=1,"",IF(AND(X343=1,Z343&lt;&gt;1),1,0))</f>
        <v/>
      </c>
      <c r="AC343" s="0" t="str">
        <f aca="false">IF(W343=1,"",IF(AND(Y343=1,AA343&lt;&gt;1),1,0))</f>
        <v/>
      </c>
      <c r="AD343" s="33" t="str">
        <f aca="false">IF(AND(E343&gt;0,W343&lt;1,NOT(AND(C344=C343,W344=W343+1))),INDEX(DATAS,W343+1),"")</f>
        <v/>
      </c>
      <c r="AE343" s="33" t="str">
        <f aca="false">IF(AND(Y343=1,W343&lt;1),IF(AND(C344=C343,W344=W343+1),IF(Y344=1,"",INDEX(DATAS,W343+1)),INDEX(DATAS,W343+1)),"")</f>
        <v/>
      </c>
    </row>
    <row r="344" customFormat="false" ht="15" hidden="false" customHeight="false" outlineLevel="0" collapsed="false">
      <c r="A344" s="33" t="n">
        <v>46309</v>
      </c>
      <c r="B344" s="0" t="n">
        <v>3</v>
      </c>
      <c r="C344" s="0" t="n">
        <v>3986</v>
      </c>
      <c r="D344" s="0" t="n">
        <v>100</v>
      </c>
      <c r="E344" s="0" t="n">
        <v>3</v>
      </c>
      <c r="F344" s="27" t="s">
        <v>416</v>
      </c>
      <c r="G344" s="0" t="n">
        <v>69.4</v>
      </c>
      <c r="H344" s="0" t="n">
        <v>67</v>
      </c>
      <c r="I344" s="27" t="s">
        <v>138</v>
      </c>
      <c r="J344" s="0" t="n">
        <v>65</v>
      </c>
      <c r="K344" s="0" t="n">
        <v>65</v>
      </c>
      <c r="L344" s="0" t="n">
        <v>35</v>
      </c>
      <c r="M344" s="0" t="n">
        <v>520.46</v>
      </c>
      <c r="N344" s="0" t="n">
        <v>65.09</v>
      </c>
      <c r="O344" s="0" t="n">
        <v>32.11</v>
      </c>
      <c r="P344" s="0" t="n">
        <v>3.19</v>
      </c>
      <c r="Q344" s="0" t="n">
        <v>3.25</v>
      </c>
      <c r="R344" s="0" t="n">
        <v>5621</v>
      </c>
      <c r="S344" s="0" t="n">
        <v>11298</v>
      </c>
      <c r="T344" s="0" t="n">
        <v>62.75</v>
      </c>
      <c r="U344" s="0" t="n">
        <v>1627</v>
      </c>
      <c r="V344" s="0" t="n">
        <v>1</v>
      </c>
      <c r="W344" s="27" t="n">
        <f aca="false">MATCH(A344,DATAS,0)</f>
        <v>1</v>
      </c>
      <c r="X344" s="27" t="n">
        <f aca="false">IF(AND(E344&gt;0,OR(AND(B344&gt;=1,B344&lt;=6),B344=10)),1,0)</f>
        <v>1</v>
      </c>
      <c r="Y344" s="27" t="n">
        <f aca="false">IF(AND(E344&gt;0,B344=10),1,0)</f>
        <v>0</v>
      </c>
      <c r="Z344" s="0" t="str">
        <f aca="false">IF(AND(C343=C344,W343=W344-1),X343,"")</f>
        <v/>
      </c>
      <c r="AA344" s="0" t="str">
        <f aca="false">IF(AND(C343=C344,W343=W344-1),Y343,"")</f>
        <v/>
      </c>
      <c r="AB344" s="0" t="str">
        <f aca="false">IF(W344=1,"",IF(AND(X344=1,Z344&lt;&gt;1),1,0))</f>
        <v/>
      </c>
      <c r="AC344" s="0" t="str">
        <f aca="false">IF(W344=1,"",IF(AND(Y344=1,AA344&lt;&gt;1),1,0))</f>
        <v/>
      </c>
      <c r="AD344" s="33" t="str">
        <f aca="false">IF(AND(E344&gt;0,W344&lt;1,NOT(AND(C345=C344,W345=W344+1))),INDEX(DATAS,W344+1),"")</f>
        <v/>
      </c>
      <c r="AE344" s="33" t="str">
        <f aca="false">IF(AND(Y344=1,W344&lt;1),IF(AND(C345=C344,W345=W344+1),IF(Y345=1,"",INDEX(DATAS,W344+1)),INDEX(DATAS,W344+1)),"")</f>
        <v/>
      </c>
    </row>
    <row r="345" customFormat="false" ht="15" hidden="false" customHeight="false" outlineLevel="0" collapsed="false">
      <c r="A345" s="33" t="n">
        <v>46309</v>
      </c>
      <c r="B345" s="0" t="n">
        <v>5</v>
      </c>
      <c r="C345" s="0" t="n">
        <v>3990</v>
      </c>
      <c r="D345" s="0" t="n">
        <v>432</v>
      </c>
      <c r="E345" s="0" t="n">
        <v>2</v>
      </c>
      <c r="F345" s="27" t="s">
        <v>417</v>
      </c>
      <c r="G345" s="0" t="n">
        <v>29.9</v>
      </c>
      <c r="H345" s="0" t="n">
        <v>32</v>
      </c>
      <c r="I345" s="27" t="s">
        <v>176</v>
      </c>
      <c r="J345" s="0" t="n">
        <v>432</v>
      </c>
      <c r="K345" s="0" t="n">
        <v>61</v>
      </c>
      <c r="M345" s="0" t="n">
        <v>646.56</v>
      </c>
      <c r="N345" s="0" t="n">
        <v>51.39</v>
      </c>
      <c r="O345" s="0" t="n">
        <v>37.29</v>
      </c>
      <c r="P345" s="0" t="n">
        <v>5.21</v>
      </c>
      <c r="Q345" s="0" t="n">
        <v>3.71</v>
      </c>
      <c r="R345" s="0" t="n">
        <v>4448</v>
      </c>
      <c r="S345" s="0" t="n">
        <v>9796</v>
      </c>
      <c r="T345" s="0" t="n">
        <v>45</v>
      </c>
      <c r="U345" s="0" t="n">
        <v>1622</v>
      </c>
      <c r="V345" s="0" t="n">
        <v>11</v>
      </c>
      <c r="W345" s="27" t="n">
        <f aca="false">MATCH(A345,DATAS,0)</f>
        <v>1</v>
      </c>
      <c r="X345" s="27" t="n">
        <f aca="false">IF(AND(E345&gt;0,OR(AND(B345&gt;=1,B345&lt;=6),B345=10)),1,0)</f>
        <v>1</v>
      </c>
      <c r="Y345" s="27" t="n">
        <f aca="false">IF(AND(E345&gt;0,B345=10),1,0)</f>
        <v>0</v>
      </c>
      <c r="Z345" s="0" t="str">
        <f aca="false">IF(AND(C344=C345,W344=W345-1),X344,"")</f>
        <v/>
      </c>
      <c r="AA345" s="0" t="str">
        <f aca="false">IF(AND(C344=C345,W344=W345-1),Y344,"")</f>
        <v/>
      </c>
      <c r="AB345" s="0" t="str">
        <f aca="false">IF(W345=1,"",IF(AND(X345=1,Z345&lt;&gt;1),1,0))</f>
        <v/>
      </c>
      <c r="AC345" s="0" t="str">
        <f aca="false">IF(W345=1,"",IF(AND(Y345=1,AA345&lt;&gt;1),1,0))</f>
        <v/>
      </c>
      <c r="AD345" s="33" t="str">
        <f aca="false">IF(AND(E345&gt;0,W345&lt;1,NOT(AND(C346=C345,W346=W345+1))),INDEX(DATAS,W345+1),"")</f>
        <v/>
      </c>
      <c r="AE345" s="33" t="str">
        <f aca="false">IF(AND(Y345=1,W345&lt;1),IF(AND(C346=C345,W346=W345+1),IF(Y346=1,"",INDEX(DATAS,W345+1)),INDEX(DATAS,W345+1)),"")</f>
        <v/>
      </c>
    </row>
    <row r="346" customFormat="false" ht="15" hidden="false" customHeight="false" outlineLevel="0" collapsed="false">
      <c r="A346" s="33" t="n">
        <v>46309</v>
      </c>
      <c r="B346" s="0" t="n">
        <v>2</v>
      </c>
      <c r="C346" s="0" t="n">
        <v>3992</v>
      </c>
      <c r="D346" s="0" t="n">
        <v>226</v>
      </c>
      <c r="E346" s="0" t="n">
        <v>2</v>
      </c>
      <c r="F346" s="27" t="s">
        <v>418</v>
      </c>
      <c r="G346" s="0" t="n">
        <v>52.2</v>
      </c>
      <c r="H346" s="0" t="n">
        <v>54</v>
      </c>
      <c r="I346" s="27" t="s">
        <v>138</v>
      </c>
      <c r="J346" s="0" t="n">
        <v>142</v>
      </c>
      <c r="K346" s="0" t="n">
        <v>100</v>
      </c>
      <c r="L346" s="0" t="n">
        <v>84</v>
      </c>
      <c r="M346" s="0" t="n">
        <v>1352.68</v>
      </c>
      <c r="N346" s="0" t="n">
        <v>32.37</v>
      </c>
      <c r="O346" s="0" t="n">
        <v>38.3</v>
      </c>
      <c r="P346" s="0" t="n">
        <v>3.03</v>
      </c>
      <c r="Q346" s="0" t="n">
        <v>3.12</v>
      </c>
      <c r="R346" s="0" t="n">
        <v>6205</v>
      </c>
      <c r="S346" s="0" t="n">
        <v>12915</v>
      </c>
      <c r="T346" s="0" t="n">
        <v>64.95</v>
      </c>
      <c r="U346" s="0" t="n">
        <v>1618</v>
      </c>
      <c r="V346" s="0" t="n">
        <v>2</v>
      </c>
      <c r="W346" s="27" t="n">
        <f aca="false">MATCH(A346,DATAS,0)</f>
        <v>1</v>
      </c>
      <c r="X346" s="27" t="n">
        <f aca="false">IF(AND(E346&gt;0,OR(AND(B346&gt;=1,B346&lt;=6),B346=10)),1,0)</f>
        <v>1</v>
      </c>
      <c r="Y346" s="27" t="n">
        <f aca="false">IF(AND(E346&gt;0,B346=10),1,0)</f>
        <v>0</v>
      </c>
      <c r="Z346" s="0" t="str">
        <f aca="false">IF(AND(C345=C346,W345=W346-1),X345,"")</f>
        <v/>
      </c>
      <c r="AA346" s="0" t="str">
        <f aca="false">IF(AND(C345=C346,W345=W346-1),Y345,"")</f>
        <v/>
      </c>
      <c r="AB346" s="0" t="str">
        <f aca="false">IF(W346=1,"",IF(AND(X346=1,Z346&lt;&gt;1),1,0))</f>
        <v/>
      </c>
      <c r="AC346" s="0" t="str">
        <f aca="false">IF(W346=1,"",IF(AND(Y346=1,AA346&lt;&gt;1),1,0))</f>
        <v/>
      </c>
      <c r="AD346" s="33" t="str">
        <f aca="false">IF(AND(E346&gt;0,W346&lt;1,NOT(AND(C347=C346,W347=W346+1))),INDEX(DATAS,W346+1),"")</f>
        <v/>
      </c>
      <c r="AE346" s="33" t="str">
        <f aca="false">IF(AND(Y346=1,W346&lt;1),IF(AND(C347=C346,W347=W346+1),IF(Y347=1,"",INDEX(DATAS,W346+1)),INDEX(DATAS,W346+1)),"")</f>
        <v/>
      </c>
    </row>
    <row r="347" customFormat="false" ht="15" hidden="false" customHeight="false" outlineLevel="0" collapsed="false">
      <c r="A347" s="33" t="n">
        <v>46309</v>
      </c>
      <c r="B347" s="0" t="n">
        <v>5</v>
      </c>
      <c r="C347" s="0" t="n">
        <v>3994</v>
      </c>
      <c r="D347" s="0" t="n">
        <v>458</v>
      </c>
      <c r="E347" s="0" t="n">
        <v>2</v>
      </c>
      <c r="F347" s="27" t="s">
        <v>419</v>
      </c>
      <c r="G347" s="0" t="n">
        <v>26.5</v>
      </c>
      <c r="H347" s="0" t="n">
        <v>32</v>
      </c>
      <c r="I347" s="27" t="s">
        <v>176</v>
      </c>
      <c r="J347" s="0" t="n">
        <v>458</v>
      </c>
      <c r="K347" s="0" t="n">
        <v>59</v>
      </c>
      <c r="M347" s="0" t="n">
        <v>449</v>
      </c>
      <c r="N347" s="0" t="n">
        <v>49.28</v>
      </c>
      <c r="O347" s="0" t="n">
        <v>17.86</v>
      </c>
      <c r="P347" s="0" t="n">
        <v>5.31</v>
      </c>
      <c r="Q347" s="0" t="n">
        <v>3.85</v>
      </c>
      <c r="R347" s="0" t="n">
        <v>4701</v>
      </c>
      <c r="S347" s="0" t="n">
        <v>9600</v>
      </c>
      <c r="T347" s="0" t="n">
        <v>52.35</v>
      </c>
      <c r="U347" s="0" t="n">
        <v>1617</v>
      </c>
      <c r="V347" s="0" t="n">
        <v>9</v>
      </c>
      <c r="W347" s="27" t="n">
        <f aca="false">MATCH(A347,DATAS,0)</f>
        <v>1</v>
      </c>
      <c r="X347" s="27" t="n">
        <f aca="false">IF(AND(E347&gt;0,OR(AND(B347&gt;=1,B347&lt;=6),B347=10)),1,0)</f>
        <v>1</v>
      </c>
      <c r="Y347" s="27" t="n">
        <f aca="false">IF(AND(E347&gt;0,B347=10),1,0)</f>
        <v>0</v>
      </c>
      <c r="Z347" s="0" t="str">
        <f aca="false">IF(AND(C346=C347,W346=W347-1),X346,"")</f>
        <v/>
      </c>
      <c r="AA347" s="0" t="str">
        <f aca="false">IF(AND(C346=C347,W346=W347-1),Y346,"")</f>
        <v/>
      </c>
      <c r="AB347" s="0" t="str">
        <f aca="false">IF(W347=1,"",IF(AND(X347=1,Z347&lt;&gt;1),1,0))</f>
        <v/>
      </c>
      <c r="AC347" s="0" t="str">
        <f aca="false">IF(W347=1,"",IF(AND(Y347=1,AA347&lt;&gt;1),1,0))</f>
        <v/>
      </c>
      <c r="AD347" s="33" t="str">
        <f aca="false">IF(AND(E347&gt;0,W347&lt;1,NOT(AND(C348=C347,W348=W347+1))),INDEX(DATAS,W347+1),"")</f>
        <v/>
      </c>
      <c r="AE347" s="33" t="str">
        <f aca="false">IF(AND(Y347=1,W347&lt;1),IF(AND(C348=C347,W348=W347+1),IF(Y348=1,"",INDEX(DATAS,W347+1)),INDEX(DATAS,W347+1)),"")</f>
        <v/>
      </c>
    </row>
    <row r="348" customFormat="false" ht="15" hidden="false" customHeight="false" outlineLevel="0" collapsed="false">
      <c r="A348" s="33" t="n">
        <v>46309</v>
      </c>
      <c r="B348" s="0" t="n">
        <v>2</v>
      </c>
      <c r="C348" s="0" t="n">
        <v>3996</v>
      </c>
      <c r="D348" s="0" t="n">
        <v>182</v>
      </c>
      <c r="E348" s="0" t="n">
        <v>3</v>
      </c>
      <c r="F348" s="27" t="s">
        <v>420</v>
      </c>
      <c r="G348" s="0" t="n">
        <v>63.2</v>
      </c>
      <c r="H348" s="0" t="n">
        <v>63</v>
      </c>
      <c r="I348" s="27" t="s">
        <v>168</v>
      </c>
      <c r="J348" s="0" t="n">
        <v>182</v>
      </c>
      <c r="K348" s="0" t="n">
        <v>71</v>
      </c>
      <c r="M348" s="0" t="n">
        <v>1350.36</v>
      </c>
      <c r="N348" s="0" t="n">
        <v>39.97</v>
      </c>
      <c r="O348" s="0" t="n">
        <v>34.78</v>
      </c>
      <c r="P348" s="0" t="n">
        <v>3.12</v>
      </c>
      <c r="Q348" s="0" t="n">
        <v>3.4</v>
      </c>
      <c r="R348" s="0" t="n">
        <v>6495</v>
      </c>
      <c r="S348" s="0" t="n">
        <v>13176</v>
      </c>
      <c r="T348" s="0" t="n">
        <v>68.1</v>
      </c>
      <c r="U348" s="0" t="n">
        <v>1615</v>
      </c>
      <c r="V348" s="0" t="n">
        <v>5</v>
      </c>
      <c r="W348" s="27" t="n">
        <f aca="false">MATCH(A348,DATAS,0)</f>
        <v>1</v>
      </c>
      <c r="X348" s="27" t="n">
        <f aca="false">IF(AND(E348&gt;0,OR(AND(B348&gt;=1,B348&lt;=6),B348=10)),1,0)</f>
        <v>1</v>
      </c>
      <c r="Y348" s="27" t="n">
        <f aca="false">IF(AND(E348&gt;0,B348=10),1,0)</f>
        <v>0</v>
      </c>
      <c r="Z348" s="0" t="str">
        <f aca="false">IF(AND(C347=C348,W347=W348-1),X347,"")</f>
        <v/>
      </c>
      <c r="AA348" s="0" t="str">
        <f aca="false">IF(AND(C347=C348,W347=W348-1),Y347,"")</f>
        <v/>
      </c>
      <c r="AB348" s="0" t="str">
        <f aca="false">IF(W348=1,"",IF(AND(X348=1,Z348&lt;&gt;1),1,0))</f>
        <v/>
      </c>
      <c r="AC348" s="0" t="str">
        <f aca="false">IF(W348=1,"",IF(AND(Y348=1,AA348&lt;&gt;1),1,0))</f>
        <v/>
      </c>
      <c r="AD348" s="33" t="str">
        <f aca="false">IF(AND(E348&gt;0,W348&lt;1,NOT(AND(C349=C348,W349=W348+1))),INDEX(DATAS,W348+1),"")</f>
        <v/>
      </c>
      <c r="AE348" s="33" t="str">
        <f aca="false">IF(AND(Y348=1,W348&lt;1),IF(AND(C349=C348,W349=W348+1),IF(Y349=1,"",INDEX(DATAS,W348+1)),INDEX(DATAS,W348+1)),"")</f>
        <v/>
      </c>
    </row>
    <row r="349" customFormat="false" ht="15" hidden="false" customHeight="false" outlineLevel="0" collapsed="false">
      <c r="A349" s="33" t="n">
        <v>46309</v>
      </c>
      <c r="B349" s="0" t="n">
        <v>2</v>
      </c>
      <c r="C349" s="0" t="n">
        <v>3997</v>
      </c>
      <c r="D349" s="0" t="n">
        <v>103</v>
      </c>
      <c r="E349" s="0" t="n">
        <v>3</v>
      </c>
      <c r="F349" s="27" t="s">
        <v>420</v>
      </c>
      <c r="G349" s="0" t="n">
        <v>53.2</v>
      </c>
      <c r="H349" s="0" t="n">
        <v>51</v>
      </c>
      <c r="I349" s="27" t="s">
        <v>138</v>
      </c>
      <c r="J349" s="0" t="n">
        <v>68</v>
      </c>
      <c r="K349" s="0" t="n">
        <v>68</v>
      </c>
      <c r="L349" s="0" t="n">
        <v>35</v>
      </c>
      <c r="M349" s="0" t="n">
        <v>781.83</v>
      </c>
      <c r="N349" s="0" t="n">
        <v>50.15</v>
      </c>
      <c r="O349" s="0" t="n">
        <v>31.73</v>
      </c>
      <c r="P349" s="0" t="n">
        <v>5.82</v>
      </c>
      <c r="Q349" s="0" t="n">
        <v>3.5</v>
      </c>
      <c r="R349" s="0" t="n">
        <v>4450</v>
      </c>
      <c r="S349" s="0" t="n">
        <v>8983</v>
      </c>
      <c r="T349" s="0" t="n">
        <v>52</v>
      </c>
      <c r="U349" s="0" t="n">
        <v>1615</v>
      </c>
      <c r="V349" s="0" t="n">
        <v>1</v>
      </c>
      <c r="W349" s="27" t="n">
        <f aca="false">MATCH(A349,DATAS,0)</f>
        <v>1</v>
      </c>
      <c r="X349" s="27" t="n">
        <f aca="false">IF(AND(E349&gt;0,OR(AND(B349&gt;=1,B349&lt;=6),B349=10)),1,0)</f>
        <v>1</v>
      </c>
      <c r="Y349" s="27" t="n">
        <f aca="false">IF(AND(E349&gt;0,B349=10),1,0)</f>
        <v>0</v>
      </c>
      <c r="Z349" s="0" t="str">
        <f aca="false">IF(AND(C348=C349,W348=W349-1),X348,"")</f>
        <v/>
      </c>
      <c r="AA349" s="0" t="str">
        <f aca="false">IF(AND(C348=C349,W348=W349-1),Y348,"")</f>
        <v/>
      </c>
      <c r="AB349" s="0" t="str">
        <f aca="false">IF(W349=1,"",IF(AND(X349=1,Z349&lt;&gt;1),1,0))</f>
        <v/>
      </c>
      <c r="AC349" s="0" t="str">
        <f aca="false">IF(W349=1,"",IF(AND(Y349=1,AA349&lt;&gt;1),1,0))</f>
        <v/>
      </c>
      <c r="AD349" s="33" t="str">
        <f aca="false">IF(AND(E349&gt;0,W349&lt;1,NOT(AND(C350=C349,W350=W349+1))),INDEX(DATAS,W349+1),"")</f>
        <v/>
      </c>
      <c r="AE349" s="33" t="str">
        <f aca="false">IF(AND(Y349=1,W349&lt;1),IF(AND(C350=C349,W350=W349+1),IF(Y350=1,"",INDEX(DATAS,W349+1)),INDEX(DATAS,W349+1)),"")</f>
        <v/>
      </c>
    </row>
    <row r="350" customFormat="false" ht="15" hidden="false" customHeight="false" outlineLevel="0" collapsed="false">
      <c r="A350" s="33" t="n">
        <v>46309</v>
      </c>
      <c r="B350" s="0" t="n">
        <v>3</v>
      </c>
      <c r="C350" s="0" t="n">
        <v>3998</v>
      </c>
      <c r="D350" s="0" t="n">
        <v>157</v>
      </c>
      <c r="E350" s="0" t="n">
        <v>3</v>
      </c>
      <c r="F350" s="27" t="s">
        <v>420</v>
      </c>
      <c r="G350" s="0" t="n">
        <v>63.1</v>
      </c>
      <c r="H350" s="0" t="n">
        <v>62</v>
      </c>
      <c r="I350" s="27" t="s">
        <v>138</v>
      </c>
      <c r="J350" s="0" t="n">
        <v>67</v>
      </c>
      <c r="K350" s="0" t="n">
        <v>74</v>
      </c>
      <c r="L350" s="0" t="n">
        <v>90</v>
      </c>
      <c r="M350" s="0" t="n">
        <v>764.8</v>
      </c>
      <c r="N350" s="0" t="n">
        <v>20.04</v>
      </c>
      <c r="O350" s="0" t="n">
        <v>17.71</v>
      </c>
      <c r="P350" s="0" t="n">
        <v>1.86</v>
      </c>
      <c r="Q350" s="0" t="n">
        <v>3.1</v>
      </c>
      <c r="R350" s="0" t="n">
        <v>6086</v>
      </c>
      <c r="S350" s="0" t="n">
        <v>12595</v>
      </c>
      <c r="T350" s="0" t="n">
        <v>68.05</v>
      </c>
      <c r="U350" s="0" t="n">
        <v>1615</v>
      </c>
      <c r="V350" s="0" t="n">
        <v>1</v>
      </c>
      <c r="W350" s="27" t="n">
        <f aca="false">MATCH(A350,DATAS,0)</f>
        <v>1</v>
      </c>
      <c r="X350" s="27" t="n">
        <f aca="false">IF(AND(E350&gt;0,OR(AND(B350&gt;=1,B350&lt;=6),B350=10)),1,0)</f>
        <v>1</v>
      </c>
      <c r="Y350" s="27" t="n">
        <f aca="false">IF(AND(E350&gt;0,B350=10),1,0)</f>
        <v>0</v>
      </c>
      <c r="Z350" s="0" t="str">
        <f aca="false">IF(AND(C349=C350,W349=W350-1),X349,"")</f>
        <v/>
      </c>
      <c r="AA350" s="0" t="str">
        <f aca="false">IF(AND(C349=C350,W349=W350-1),Y349,"")</f>
        <v/>
      </c>
      <c r="AB350" s="0" t="str">
        <f aca="false">IF(W350=1,"",IF(AND(X350=1,Z350&lt;&gt;1),1,0))</f>
        <v/>
      </c>
      <c r="AC350" s="0" t="str">
        <f aca="false">IF(W350=1,"",IF(AND(Y350=1,AA350&lt;&gt;1),1,0))</f>
        <v/>
      </c>
      <c r="AD350" s="33" t="str">
        <f aca="false">IF(AND(E350&gt;0,W350&lt;1,NOT(AND(C351=C350,W351=W350+1))),INDEX(DATAS,W350+1),"")</f>
        <v/>
      </c>
      <c r="AE350" s="33" t="str">
        <f aca="false">IF(AND(Y350=1,W350&lt;1),IF(AND(C351=C350,W351=W350+1),IF(Y351=1,"",INDEX(DATAS,W350+1)),INDEX(DATAS,W350+1)),"")</f>
        <v/>
      </c>
    </row>
    <row r="351" customFormat="false" ht="15" hidden="false" customHeight="false" outlineLevel="0" collapsed="false">
      <c r="A351" s="33" t="n">
        <v>46309</v>
      </c>
      <c r="B351" s="0" t="n">
        <v>6</v>
      </c>
      <c r="C351" s="0" t="n">
        <v>3999</v>
      </c>
      <c r="D351" s="0" t="n">
        <v>245</v>
      </c>
      <c r="E351" s="0" t="n">
        <v>3</v>
      </c>
      <c r="F351" s="27" t="s">
        <v>420</v>
      </c>
      <c r="G351" s="0" t="n">
        <v>18.2</v>
      </c>
      <c r="H351" s="0" t="n">
        <v>21</v>
      </c>
      <c r="I351" s="27" t="s">
        <v>138</v>
      </c>
      <c r="J351" s="0" t="n">
        <v>63</v>
      </c>
      <c r="K351" s="0" t="n">
        <v>63</v>
      </c>
      <c r="L351" s="0" t="n">
        <v>182</v>
      </c>
      <c r="M351" s="0" t="n">
        <v>123.23</v>
      </c>
      <c r="N351" s="0" t="n">
        <v>31.23</v>
      </c>
      <c r="O351" s="0" t="n">
        <v>29.62</v>
      </c>
      <c r="P351" s="0" t="n">
        <v>3.87</v>
      </c>
      <c r="Q351" s="0" t="n">
        <v>3.85</v>
      </c>
      <c r="R351" s="0" t="n">
        <v>4834</v>
      </c>
      <c r="S351" s="0" t="n">
        <v>10841</v>
      </c>
      <c r="T351" s="0" t="n">
        <v>50.8</v>
      </c>
      <c r="U351" s="0" t="n">
        <v>1615</v>
      </c>
      <c r="V351" s="0" t="n">
        <v>1</v>
      </c>
      <c r="W351" s="27" t="n">
        <f aca="false">MATCH(A351,DATAS,0)</f>
        <v>1</v>
      </c>
      <c r="X351" s="27" t="n">
        <f aca="false">IF(AND(E351&gt;0,OR(AND(B351&gt;=1,B351&lt;=6),B351=10)),1,0)</f>
        <v>1</v>
      </c>
      <c r="Y351" s="27" t="n">
        <f aca="false">IF(AND(E351&gt;0,B351=10),1,0)</f>
        <v>0</v>
      </c>
      <c r="Z351" s="0" t="str">
        <f aca="false">IF(AND(C350=C351,W350=W351-1),X350,"")</f>
        <v/>
      </c>
      <c r="AA351" s="0" t="str">
        <f aca="false">IF(AND(C350=C351,W350=W351-1),Y350,"")</f>
        <v/>
      </c>
      <c r="AB351" s="0" t="str">
        <f aca="false">IF(W351=1,"",IF(AND(X351=1,Z351&lt;&gt;1),1,0))</f>
        <v/>
      </c>
      <c r="AC351" s="0" t="str">
        <f aca="false">IF(W351=1,"",IF(AND(Y351=1,AA351&lt;&gt;1),1,0))</f>
        <v/>
      </c>
      <c r="AD351" s="33" t="str">
        <f aca="false">IF(AND(E351&gt;0,W351&lt;1,NOT(AND(C352=C351,W352=W351+1))),INDEX(DATAS,W351+1),"")</f>
        <v/>
      </c>
      <c r="AE351" s="33" t="str">
        <f aca="false">IF(AND(Y351=1,W351&lt;1),IF(AND(C352=C351,W352=W351+1),IF(Y352=1,"",INDEX(DATAS,W351+1)),INDEX(DATAS,W351+1)),"")</f>
        <v/>
      </c>
    </row>
    <row r="352" customFormat="false" ht="15" hidden="false" customHeight="false" outlineLevel="0" collapsed="false">
      <c r="A352" s="33" t="n">
        <v>46309</v>
      </c>
      <c r="B352" s="0" t="n">
        <v>2</v>
      </c>
      <c r="C352" s="0" t="n">
        <v>4002</v>
      </c>
      <c r="D352" s="0" t="n">
        <v>230</v>
      </c>
      <c r="E352" s="0" t="n">
        <v>3</v>
      </c>
      <c r="F352" s="27" t="s">
        <v>421</v>
      </c>
      <c r="G352" s="0" t="n">
        <v>59.3</v>
      </c>
      <c r="H352" s="0" t="n">
        <v>54</v>
      </c>
      <c r="I352" s="27" t="s">
        <v>138</v>
      </c>
      <c r="J352" s="0" t="n">
        <v>104</v>
      </c>
      <c r="K352" s="0" t="n">
        <v>69</v>
      </c>
      <c r="L352" s="0" t="n">
        <v>126</v>
      </c>
      <c r="M352" s="0" t="n">
        <v>824</v>
      </c>
      <c r="N352" s="0" t="n">
        <v>58.91</v>
      </c>
      <c r="O352" s="0" t="n">
        <v>26.61</v>
      </c>
      <c r="P352" s="0" t="n">
        <v>3.27</v>
      </c>
      <c r="Q352" s="0" t="n">
        <v>3.35</v>
      </c>
      <c r="R352" s="0" t="n">
        <v>6914</v>
      </c>
      <c r="S352" s="0" t="n">
        <v>12985</v>
      </c>
      <c r="T352" s="0" t="n">
        <v>80.05</v>
      </c>
      <c r="U352" s="0" t="n">
        <v>1613</v>
      </c>
      <c r="V352" s="0" t="n">
        <v>2</v>
      </c>
      <c r="W352" s="27" t="n">
        <f aca="false">MATCH(A352,DATAS,0)</f>
        <v>1</v>
      </c>
      <c r="X352" s="27" t="n">
        <f aca="false">IF(AND(E352&gt;0,OR(AND(B352&gt;=1,B352&lt;=6),B352=10)),1,0)</f>
        <v>1</v>
      </c>
      <c r="Y352" s="27" t="n">
        <f aca="false">IF(AND(E352&gt;0,B352=10),1,0)</f>
        <v>0</v>
      </c>
      <c r="Z352" s="0" t="str">
        <f aca="false">IF(AND(C351=C352,W351=W352-1),X351,"")</f>
        <v/>
      </c>
      <c r="AA352" s="0" t="str">
        <f aca="false">IF(AND(C351=C352,W351=W352-1),Y351,"")</f>
        <v/>
      </c>
      <c r="AB352" s="0" t="str">
        <f aca="false">IF(W352=1,"",IF(AND(X352=1,Z352&lt;&gt;1),1,0))</f>
        <v/>
      </c>
      <c r="AC352" s="0" t="str">
        <f aca="false">IF(W352=1,"",IF(AND(Y352=1,AA352&lt;&gt;1),1,0))</f>
        <v/>
      </c>
      <c r="AD352" s="33" t="str">
        <f aca="false">IF(AND(E352&gt;0,W352&lt;1,NOT(AND(C353=C352,W353=W352+1))),INDEX(DATAS,W352+1),"")</f>
        <v/>
      </c>
      <c r="AE352" s="33" t="str">
        <f aca="false">IF(AND(Y352=1,W352&lt;1),IF(AND(C353=C352,W353=W352+1),IF(Y353=1,"",INDEX(DATAS,W352+1)),INDEX(DATAS,W352+1)),"")</f>
        <v/>
      </c>
    </row>
    <row r="353" customFormat="false" ht="15" hidden="false" customHeight="false" outlineLevel="0" collapsed="false">
      <c r="A353" s="33" t="n">
        <v>46309</v>
      </c>
      <c r="B353" s="0" t="n">
        <v>2</v>
      </c>
      <c r="C353" s="0" t="n">
        <v>4004</v>
      </c>
      <c r="D353" s="0" t="n">
        <v>59</v>
      </c>
      <c r="E353" s="0" t="n">
        <v>3</v>
      </c>
      <c r="F353" s="27" t="s">
        <v>422</v>
      </c>
      <c r="G353" s="0" t="n">
        <v>67.8</v>
      </c>
      <c r="H353" s="0" t="n">
        <v>67</v>
      </c>
      <c r="I353" s="27" t="s">
        <v>147</v>
      </c>
      <c r="J353" s="0" t="n">
        <v>59</v>
      </c>
      <c r="M353" s="0" t="n">
        <v>244.9</v>
      </c>
      <c r="N353" s="0" t="n">
        <v>8.05</v>
      </c>
      <c r="O353" s="0" t="n">
        <v>9.97</v>
      </c>
      <c r="P353" s="0" t="n">
        <v>3.6</v>
      </c>
      <c r="Q353" s="0" t="n">
        <v>3.16</v>
      </c>
      <c r="R353" s="0" t="n">
        <v>5789</v>
      </c>
      <c r="S353" s="0" t="n">
        <v>11637</v>
      </c>
      <c r="U353" s="0" t="n">
        <v>1612</v>
      </c>
      <c r="V353" s="0" t="n">
        <v>0</v>
      </c>
      <c r="W353" s="27" t="n">
        <f aca="false">MATCH(A353,DATAS,0)</f>
        <v>1</v>
      </c>
      <c r="X353" s="27" t="n">
        <f aca="false">IF(AND(E353&gt;0,OR(AND(B353&gt;=1,B353&lt;=6),B353=10)),1,0)</f>
        <v>1</v>
      </c>
      <c r="Y353" s="27" t="n">
        <f aca="false">IF(AND(E353&gt;0,B353=10),1,0)</f>
        <v>0</v>
      </c>
      <c r="Z353" s="0" t="str">
        <f aca="false">IF(AND(C352=C353,W352=W353-1),X352,"")</f>
        <v/>
      </c>
      <c r="AA353" s="0" t="str">
        <f aca="false">IF(AND(C352=C353,W352=W353-1),Y352,"")</f>
        <v/>
      </c>
      <c r="AB353" s="0" t="str">
        <f aca="false">IF(W353=1,"",IF(AND(X353=1,Z353&lt;&gt;1),1,0))</f>
        <v/>
      </c>
      <c r="AC353" s="0" t="str">
        <f aca="false">IF(W353=1,"",IF(AND(Y353=1,AA353&lt;&gt;1),1,0))</f>
        <v/>
      </c>
      <c r="AD353" s="33" t="str">
        <f aca="false">IF(AND(E353&gt;0,W353&lt;1,NOT(AND(C354=C353,W354=W353+1))),INDEX(DATAS,W353+1),"")</f>
        <v/>
      </c>
      <c r="AE353" s="33" t="str">
        <f aca="false">IF(AND(Y353=1,W353&lt;1),IF(AND(C354=C353,W354=W353+1),IF(Y354=1,"",INDEX(DATAS,W353+1)),INDEX(DATAS,W353+1)),"")</f>
        <v/>
      </c>
    </row>
    <row r="354" customFormat="false" ht="15" hidden="false" customHeight="false" outlineLevel="0" collapsed="false">
      <c r="A354" s="33" t="n">
        <v>46309</v>
      </c>
      <c r="B354" s="0" t="n">
        <v>7</v>
      </c>
      <c r="C354" s="0" t="n">
        <v>4006</v>
      </c>
      <c r="D354" s="0" t="n">
        <v>358</v>
      </c>
      <c r="E354" s="0" t="n">
        <v>2</v>
      </c>
      <c r="F354" s="27" t="s">
        <v>423</v>
      </c>
      <c r="I354" s="27" t="s">
        <v>143</v>
      </c>
      <c r="J354" s="0" t="n">
        <v>213</v>
      </c>
      <c r="K354" s="0" t="n">
        <v>66</v>
      </c>
      <c r="L354" s="0" t="n">
        <v>161</v>
      </c>
      <c r="M354" s="0" t="n">
        <v>950.26</v>
      </c>
      <c r="N354" s="0" t="n">
        <v>57.08</v>
      </c>
      <c r="O354" s="0" t="n">
        <v>36.97</v>
      </c>
      <c r="P354" s="0" t="n">
        <v>4.94</v>
      </c>
      <c r="Q354" s="0" t="n">
        <v>4.13</v>
      </c>
      <c r="R354" s="0" t="n">
        <v>6486</v>
      </c>
      <c r="S354" s="0" t="n">
        <v>12941</v>
      </c>
      <c r="T354" s="0" t="n">
        <v>69.4</v>
      </c>
      <c r="U354" s="0" t="n">
        <v>1611</v>
      </c>
      <c r="V354" s="0" t="n">
        <v>4</v>
      </c>
      <c r="W354" s="27" t="n">
        <f aca="false">MATCH(A354,DATAS,0)</f>
        <v>1</v>
      </c>
      <c r="X354" s="27" t="n">
        <f aca="false">IF(AND(E354&gt;0,OR(AND(B354&gt;=1,B354&lt;=6),B354=10)),1,0)</f>
        <v>0</v>
      </c>
      <c r="Y354" s="27" t="n">
        <f aca="false">IF(AND(E354&gt;0,B354=10),1,0)</f>
        <v>0</v>
      </c>
      <c r="Z354" s="0" t="str">
        <f aca="false">IF(AND(C353=C354,W353=W354-1),X353,"")</f>
        <v/>
      </c>
      <c r="AA354" s="0" t="str">
        <f aca="false">IF(AND(C353=C354,W353=W354-1),Y353,"")</f>
        <v/>
      </c>
      <c r="AB354" s="0" t="str">
        <f aca="false">IF(W354=1,"",IF(AND(X354=1,Z354&lt;&gt;1),1,0))</f>
        <v/>
      </c>
      <c r="AC354" s="0" t="str">
        <f aca="false">IF(W354=1,"",IF(AND(Y354=1,AA354&lt;&gt;1),1,0))</f>
        <v/>
      </c>
      <c r="AD354" s="33" t="str">
        <f aca="false">IF(AND(E354&gt;0,W354&lt;1,NOT(AND(C355=C354,W355=W354+1))),INDEX(DATAS,W354+1),"")</f>
        <v/>
      </c>
      <c r="AE354" s="33" t="str">
        <f aca="false">IF(AND(Y354=1,W354&lt;1),IF(AND(C355=C354,W355=W354+1),IF(Y355=1,"",INDEX(DATAS,W354+1)),INDEX(DATAS,W354+1)),"")</f>
        <v/>
      </c>
    </row>
    <row r="355" customFormat="false" ht="15" hidden="false" customHeight="false" outlineLevel="0" collapsed="false">
      <c r="A355" s="33" t="n">
        <v>46309</v>
      </c>
      <c r="B355" s="0" t="n">
        <v>5</v>
      </c>
      <c r="C355" s="0" t="n">
        <v>4008</v>
      </c>
      <c r="D355" s="0" t="n">
        <v>595</v>
      </c>
      <c r="E355" s="0" t="n">
        <v>2</v>
      </c>
      <c r="F355" s="27" t="s">
        <v>424</v>
      </c>
      <c r="G355" s="0" t="n">
        <v>32.3</v>
      </c>
      <c r="H355" s="0" t="n">
        <v>31</v>
      </c>
      <c r="I355" s="27" t="s">
        <v>138</v>
      </c>
      <c r="J355" s="0" t="n">
        <v>385</v>
      </c>
      <c r="K355" s="0" t="n">
        <v>64</v>
      </c>
      <c r="L355" s="0" t="n">
        <v>210</v>
      </c>
      <c r="M355" s="0" t="n">
        <v>779.89</v>
      </c>
      <c r="N355" s="0" t="n">
        <v>29.85</v>
      </c>
      <c r="O355" s="0" t="n">
        <v>18.09</v>
      </c>
      <c r="P355" s="0" t="n">
        <v>4.42</v>
      </c>
      <c r="Q355" s="0" t="n">
        <v>3.48</v>
      </c>
      <c r="R355" s="0" t="n">
        <v>5648</v>
      </c>
      <c r="S355" s="0" t="n">
        <v>11927</v>
      </c>
      <c r="T355" s="0" t="n">
        <v>49.55</v>
      </c>
      <c r="U355" s="0" t="n">
        <v>1609</v>
      </c>
      <c r="V355" s="0" t="n">
        <v>4</v>
      </c>
      <c r="W355" s="27" t="n">
        <f aca="false">MATCH(A355,DATAS,0)</f>
        <v>1</v>
      </c>
      <c r="X355" s="27" t="n">
        <f aca="false">IF(AND(E355&gt;0,OR(AND(B355&gt;=1,B355&lt;=6),B355=10)),1,0)</f>
        <v>1</v>
      </c>
      <c r="Y355" s="27" t="n">
        <f aca="false">IF(AND(E355&gt;0,B355=10),1,0)</f>
        <v>0</v>
      </c>
      <c r="Z355" s="0" t="str">
        <f aca="false">IF(AND(C354=C355,W354=W355-1),X354,"")</f>
        <v/>
      </c>
      <c r="AA355" s="0" t="str">
        <f aca="false">IF(AND(C354=C355,W354=W355-1),Y354,"")</f>
        <v/>
      </c>
      <c r="AB355" s="0" t="str">
        <f aca="false">IF(W355=1,"",IF(AND(X355=1,Z355&lt;&gt;1),1,0))</f>
        <v/>
      </c>
      <c r="AC355" s="0" t="str">
        <f aca="false">IF(W355=1,"",IF(AND(Y355=1,AA355&lt;&gt;1),1,0))</f>
        <v/>
      </c>
      <c r="AD355" s="33" t="str">
        <f aca="false">IF(AND(E355&gt;0,W355&lt;1,NOT(AND(C356=C355,W356=W355+1))),INDEX(DATAS,W355+1),"")</f>
        <v/>
      </c>
      <c r="AE355" s="33" t="str">
        <f aca="false">IF(AND(Y355=1,W355&lt;1),IF(AND(C356=C355,W356=W355+1),IF(Y356=1,"",INDEX(DATAS,W355+1)),INDEX(DATAS,W355+1)),"")</f>
        <v/>
      </c>
    </row>
    <row r="356" customFormat="false" ht="15" hidden="false" customHeight="false" outlineLevel="0" collapsed="false">
      <c r="A356" s="33" t="n">
        <v>46309</v>
      </c>
      <c r="B356" s="0" t="n">
        <v>2</v>
      </c>
      <c r="C356" s="0" t="n">
        <v>4009</v>
      </c>
      <c r="D356" s="0" t="n">
        <v>167</v>
      </c>
      <c r="E356" s="0" t="n">
        <v>3</v>
      </c>
      <c r="F356" s="27" t="s">
        <v>424</v>
      </c>
      <c r="G356" s="0" t="n">
        <v>55.9</v>
      </c>
      <c r="H356" s="0" t="n">
        <v>60</v>
      </c>
      <c r="I356" s="27" t="s">
        <v>138</v>
      </c>
      <c r="J356" s="0" t="n">
        <v>69</v>
      </c>
      <c r="K356" s="0" t="n">
        <v>69</v>
      </c>
      <c r="L356" s="0" t="n">
        <v>98</v>
      </c>
      <c r="M356" s="0" t="n">
        <v>890.83</v>
      </c>
      <c r="N356" s="0" t="n">
        <v>34.55</v>
      </c>
      <c r="O356" s="0" t="n">
        <v>28.59</v>
      </c>
      <c r="P356" s="0" t="n">
        <v>2.63</v>
      </c>
      <c r="Q356" s="0" t="n">
        <v>3.2</v>
      </c>
      <c r="R356" s="0" t="n">
        <v>6217</v>
      </c>
      <c r="S356" s="0" t="n">
        <v>12414</v>
      </c>
      <c r="T356" s="0" t="n">
        <v>68.05</v>
      </c>
      <c r="U356" s="0" t="n">
        <v>1609</v>
      </c>
      <c r="V356" s="0" t="n">
        <v>1</v>
      </c>
      <c r="W356" s="27" t="n">
        <f aca="false">MATCH(A356,DATAS,0)</f>
        <v>1</v>
      </c>
      <c r="X356" s="27" t="n">
        <f aca="false">IF(AND(E356&gt;0,OR(AND(B356&gt;=1,B356&lt;=6),B356=10)),1,0)</f>
        <v>1</v>
      </c>
      <c r="Y356" s="27" t="n">
        <f aca="false">IF(AND(E356&gt;0,B356=10),1,0)</f>
        <v>0</v>
      </c>
      <c r="Z356" s="0" t="str">
        <f aca="false">IF(AND(C355=C356,W355=W356-1),X355,"")</f>
        <v/>
      </c>
      <c r="AA356" s="0" t="str">
        <f aca="false">IF(AND(C355=C356,W355=W356-1),Y355,"")</f>
        <v/>
      </c>
      <c r="AB356" s="0" t="str">
        <f aca="false">IF(W356=1,"",IF(AND(X356=1,Z356&lt;&gt;1),1,0))</f>
        <v/>
      </c>
      <c r="AC356" s="0" t="str">
        <f aca="false">IF(W356=1,"",IF(AND(Y356=1,AA356&lt;&gt;1),1,0))</f>
        <v/>
      </c>
      <c r="AD356" s="33" t="str">
        <f aca="false">IF(AND(E356&gt;0,W356&lt;1,NOT(AND(C357=C356,W357=W356+1))),INDEX(DATAS,W356+1),"")</f>
        <v/>
      </c>
      <c r="AE356" s="33" t="str">
        <f aca="false">IF(AND(Y356=1,W356&lt;1),IF(AND(C357=C356,W357=W356+1),IF(Y357=1,"",INDEX(DATAS,W356+1)),INDEX(DATAS,W356+1)),"")</f>
        <v/>
      </c>
    </row>
    <row r="357" customFormat="false" ht="15" hidden="false" customHeight="false" outlineLevel="0" collapsed="false">
      <c r="A357" s="33" t="n">
        <v>46309</v>
      </c>
      <c r="B357" s="0" t="n">
        <v>5</v>
      </c>
      <c r="C357" s="0" t="n">
        <v>4014</v>
      </c>
      <c r="D357" s="0" t="n">
        <v>207</v>
      </c>
      <c r="E357" s="0" t="n">
        <v>3</v>
      </c>
      <c r="F357" s="27" t="s">
        <v>425</v>
      </c>
      <c r="G357" s="0" t="n">
        <v>43.4</v>
      </c>
      <c r="H357" s="0" t="n">
        <v>43</v>
      </c>
      <c r="I357" s="27" t="s">
        <v>138</v>
      </c>
      <c r="J357" s="0" t="n">
        <v>67</v>
      </c>
      <c r="K357" s="0" t="n">
        <v>67</v>
      </c>
      <c r="L357" s="0" t="n">
        <v>140</v>
      </c>
      <c r="M357" s="0" t="n">
        <v>571.08</v>
      </c>
      <c r="N357" s="0" t="n">
        <v>45.88</v>
      </c>
      <c r="O357" s="0" t="n">
        <v>23.09</v>
      </c>
      <c r="P357" s="0" t="n">
        <v>0</v>
      </c>
      <c r="Q357" s="0" t="n">
        <v>0</v>
      </c>
      <c r="R357" s="0" t="n">
        <v>5319</v>
      </c>
      <c r="S357" s="0" t="n">
        <v>10761</v>
      </c>
      <c r="T357" s="0" t="n">
        <v>59.45</v>
      </c>
      <c r="U357" s="0" t="n">
        <v>1605</v>
      </c>
      <c r="V357" s="0" t="n">
        <v>1</v>
      </c>
      <c r="W357" s="27" t="n">
        <f aca="false">MATCH(A357,DATAS,0)</f>
        <v>1</v>
      </c>
      <c r="X357" s="27" t="n">
        <f aca="false">IF(AND(E357&gt;0,OR(AND(B357&gt;=1,B357&lt;=6),B357=10)),1,0)</f>
        <v>1</v>
      </c>
      <c r="Y357" s="27" t="n">
        <f aca="false">IF(AND(E357&gt;0,B357=10),1,0)</f>
        <v>0</v>
      </c>
      <c r="Z357" s="0" t="str">
        <f aca="false">IF(AND(C356=C357,W356=W357-1),X356,"")</f>
        <v/>
      </c>
      <c r="AA357" s="0" t="str">
        <f aca="false">IF(AND(C356=C357,W356=W357-1),Y356,"")</f>
        <v/>
      </c>
      <c r="AB357" s="0" t="str">
        <f aca="false">IF(W357=1,"",IF(AND(X357=1,Z357&lt;&gt;1),1,0))</f>
        <v/>
      </c>
      <c r="AC357" s="0" t="str">
        <f aca="false">IF(W357=1,"",IF(AND(Y357=1,AA357&lt;&gt;1),1,0))</f>
        <v/>
      </c>
      <c r="AD357" s="33" t="str">
        <f aca="false">IF(AND(E357&gt;0,W357&lt;1,NOT(AND(C358=C357,W358=W357+1))),INDEX(DATAS,W357+1),"")</f>
        <v/>
      </c>
      <c r="AE357" s="33" t="str">
        <f aca="false">IF(AND(Y357=1,W357&lt;1),IF(AND(C358=C357,W358=W357+1),IF(Y358=1,"",INDEX(DATAS,W357+1)),INDEX(DATAS,W357+1)),"")</f>
        <v/>
      </c>
    </row>
    <row r="358" customFormat="false" ht="15" hidden="false" customHeight="false" outlineLevel="0" collapsed="false">
      <c r="A358" s="33" t="n">
        <v>46309</v>
      </c>
      <c r="B358" s="0" t="n">
        <v>3</v>
      </c>
      <c r="C358" s="0" t="n">
        <v>4015</v>
      </c>
      <c r="D358" s="0" t="n">
        <v>126</v>
      </c>
      <c r="E358" s="0" t="n">
        <v>3</v>
      </c>
      <c r="F358" s="27" t="s">
        <v>425</v>
      </c>
      <c r="G358" s="0" t="n">
        <v>70.9</v>
      </c>
      <c r="H358" s="0" t="n">
        <v>69</v>
      </c>
      <c r="I358" s="27" t="s">
        <v>138</v>
      </c>
      <c r="J358" s="0" t="n">
        <v>91</v>
      </c>
      <c r="K358" s="0" t="n">
        <v>63</v>
      </c>
      <c r="L358" s="0" t="n">
        <v>35</v>
      </c>
      <c r="M358" s="0" t="n">
        <v>626.13</v>
      </c>
      <c r="N358" s="0" t="n">
        <v>41.57</v>
      </c>
      <c r="O358" s="0" t="n">
        <v>32.46</v>
      </c>
      <c r="P358" s="0" t="n">
        <v>3.96</v>
      </c>
      <c r="Q358" s="0" t="n">
        <v>3.02</v>
      </c>
      <c r="R358" s="0" t="n">
        <v>6688</v>
      </c>
      <c r="S358" s="0" t="n">
        <v>13701</v>
      </c>
      <c r="T358" s="0" t="n">
        <v>68.8</v>
      </c>
      <c r="U358" s="0" t="n">
        <v>1605</v>
      </c>
      <c r="V358" s="0" t="n">
        <v>3</v>
      </c>
      <c r="W358" s="27" t="n">
        <f aca="false">MATCH(A358,DATAS,0)</f>
        <v>1</v>
      </c>
      <c r="X358" s="27" t="n">
        <f aca="false">IF(AND(E358&gt;0,OR(AND(B358&gt;=1,B358&lt;=6),B358=10)),1,0)</f>
        <v>1</v>
      </c>
      <c r="Y358" s="27" t="n">
        <f aca="false">IF(AND(E358&gt;0,B358=10),1,0)</f>
        <v>0</v>
      </c>
      <c r="Z358" s="0" t="str">
        <f aca="false">IF(AND(C357=C358,W357=W358-1),X357,"")</f>
        <v/>
      </c>
      <c r="AA358" s="0" t="str">
        <f aca="false">IF(AND(C357=C358,W357=W358-1),Y357,"")</f>
        <v/>
      </c>
      <c r="AB358" s="0" t="str">
        <f aca="false">IF(W358=1,"",IF(AND(X358=1,Z358&lt;&gt;1),1,0))</f>
        <v/>
      </c>
      <c r="AC358" s="0" t="str">
        <f aca="false">IF(W358=1,"",IF(AND(Y358=1,AA358&lt;&gt;1),1,0))</f>
        <v/>
      </c>
      <c r="AD358" s="33" t="str">
        <f aca="false">IF(AND(E358&gt;0,W358&lt;1,NOT(AND(C359=C358,W359=W358+1))),INDEX(DATAS,W358+1),"")</f>
        <v/>
      </c>
      <c r="AE358" s="33" t="str">
        <f aca="false">IF(AND(Y358=1,W358&lt;1),IF(AND(C359=C358,W359=W358+1),IF(Y359=1,"",INDEX(DATAS,W358+1)),INDEX(DATAS,W358+1)),"")</f>
        <v/>
      </c>
    </row>
    <row r="359" customFormat="false" ht="15" hidden="false" customHeight="false" outlineLevel="0" collapsed="false">
      <c r="A359" s="33" t="n">
        <v>46309</v>
      </c>
      <c r="B359" s="0" t="n">
        <v>2</v>
      </c>
      <c r="C359" s="0" t="n">
        <v>4016</v>
      </c>
      <c r="D359" s="0" t="n">
        <v>174</v>
      </c>
      <c r="E359" s="0" t="n">
        <v>2</v>
      </c>
      <c r="F359" s="27" t="s">
        <v>425</v>
      </c>
      <c r="G359" s="0" t="n">
        <v>58.6</v>
      </c>
      <c r="H359" s="0" t="n">
        <v>61</v>
      </c>
      <c r="I359" s="27" t="s">
        <v>176</v>
      </c>
      <c r="J359" s="0" t="n">
        <v>174</v>
      </c>
      <c r="K359" s="0" t="n">
        <v>62</v>
      </c>
      <c r="M359" s="0" t="n">
        <v>795.87</v>
      </c>
      <c r="N359" s="0" t="n">
        <v>39.25</v>
      </c>
      <c r="O359" s="0" t="n">
        <v>28.26</v>
      </c>
      <c r="P359" s="0" t="n">
        <v>3.17</v>
      </c>
      <c r="Q359" s="0" t="n">
        <v>3.18</v>
      </c>
      <c r="R359" s="0" t="n">
        <v>6802</v>
      </c>
      <c r="S359" s="0" t="n">
        <v>13527</v>
      </c>
      <c r="T359" s="0" t="n">
        <v>75</v>
      </c>
      <c r="U359" s="0" t="n">
        <v>1605</v>
      </c>
      <c r="V359" s="0" t="n">
        <v>3</v>
      </c>
      <c r="W359" s="27" t="n">
        <f aca="false">MATCH(A359,DATAS,0)</f>
        <v>1</v>
      </c>
      <c r="X359" s="27" t="n">
        <f aca="false">IF(AND(E359&gt;0,OR(AND(B359&gt;=1,B359&lt;=6),B359=10)),1,0)</f>
        <v>1</v>
      </c>
      <c r="Y359" s="27" t="n">
        <f aca="false">IF(AND(E359&gt;0,B359=10),1,0)</f>
        <v>0</v>
      </c>
      <c r="Z359" s="0" t="str">
        <f aca="false">IF(AND(C358=C359,W358=W359-1),X358,"")</f>
        <v/>
      </c>
      <c r="AA359" s="0" t="str">
        <f aca="false">IF(AND(C358=C359,W358=W359-1),Y358,"")</f>
        <v/>
      </c>
      <c r="AB359" s="0" t="str">
        <f aca="false">IF(W359=1,"",IF(AND(X359=1,Z359&lt;&gt;1),1,0))</f>
        <v/>
      </c>
      <c r="AC359" s="0" t="str">
        <f aca="false">IF(W359=1,"",IF(AND(Y359=1,AA359&lt;&gt;1),1,0))</f>
        <v/>
      </c>
      <c r="AD359" s="33" t="str">
        <f aca="false">IF(AND(E359&gt;0,W359&lt;1,NOT(AND(C360=C359,W360=W359+1))),INDEX(DATAS,W359+1),"")</f>
        <v/>
      </c>
      <c r="AE359" s="33" t="str">
        <f aca="false">IF(AND(Y359=1,W359&lt;1),IF(AND(C360=C359,W360=W359+1),IF(Y360=1,"",INDEX(DATAS,W359+1)),INDEX(DATAS,W359+1)),"")</f>
        <v/>
      </c>
    </row>
    <row r="360" customFormat="false" ht="15" hidden="false" customHeight="false" outlineLevel="0" collapsed="false">
      <c r="A360" s="33" t="n">
        <v>46309</v>
      </c>
      <c r="B360" s="0" t="n">
        <v>5</v>
      </c>
      <c r="C360" s="0" t="n">
        <v>4017</v>
      </c>
      <c r="D360" s="0" t="n">
        <v>500</v>
      </c>
      <c r="E360" s="0" t="n">
        <v>2</v>
      </c>
      <c r="F360" s="27" t="s">
        <v>425</v>
      </c>
      <c r="G360" s="0" t="n">
        <v>44.2</v>
      </c>
      <c r="H360" s="0" t="n">
        <v>40</v>
      </c>
      <c r="I360" s="27" t="s">
        <v>138</v>
      </c>
      <c r="J360" s="0" t="n">
        <v>297</v>
      </c>
      <c r="K360" s="0" t="n">
        <v>59</v>
      </c>
      <c r="L360" s="0" t="n">
        <v>203</v>
      </c>
      <c r="M360" s="0" t="n">
        <v>844.12</v>
      </c>
      <c r="N360" s="0" t="n">
        <v>32.02</v>
      </c>
      <c r="O360" s="0" t="n">
        <v>37.47</v>
      </c>
      <c r="P360" s="0" t="n">
        <v>3.61</v>
      </c>
      <c r="Q360" s="0" t="n">
        <v>3.47</v>
      </c>
      <c r="R360" s="0" t="n">
        <v>5987</v>
      </c>
      <c r="S360" s="0" t="n">
        <v>11680</v>
      </c>
      <c r="T360" s="0" t="n">
        <v>64.1</v>
      </c>
      <c r="U360" s="0" t="n">
        <v>1605</v>
      </c>
      <c r="V360" s="0" t="n">
        <v>7</v>
      </c>
      <c r="W360" s="27" t="n">
        <f aca="false">MATCH(A360,DATAS,0)</f>
        <v>1</v>
      </c>
      <c r="X360" s="27" t="n">
        <f aca="false">IF(AND(E360&gt;0,OR(AND(B360&gt;=1,B360&lt;=6),B360=10)),1,0)</f>
        <v>1</v>
      </c>
      <c r="Y360" s="27" t="n">
        <f aca="false">IF(AND(E360&gt;0,B360=10),1,0)</f>
        <v>0</v>
      </c>
      <c r="Z360" s="0" t="str">
        <f aca="false">IF(AND(C359=C360,W359=W360-1),X359,"")</f>
        <v/>
      </c>
      <c r="AA360" s="0" t="str">
        <f aca="false">IF(AND(C359=C360,W359=W360-1),Y359,"")</f>
        <v/>
      </c>
      <c r="AB360" s="0" t="str">
        <f aca="false">IF(W360=1,"",IF(AND(X360=1,Z360&lt;&gt;1),1,0))</f>
        <v/>
      </c>
      <c r="AC360" s="0" t="str">
        <f aca="false">IF(W360=1,"",IF(AND(Y360=1,AA360&lt;&gt;1),1,0))</f>
        <v/>
      </c>
      <c r="AD360" s="33" t="str">
        <f aca="false">IF(AND(E360&gt;0,W360&lt;1,NOT(AND(C361=C360,W361=W360+1))),INDEX(DATAS,W360+1),"")</f>
        <v/>
      </c>
      <c r="AE360" s="33" t="str">
        <f aca="false">IF(AND(Y360=1,W360&lt;1),IF(AND(C361=C360,W361=W360+1),IF(Y361=1,"",INDEX(DATAS,W360+1)),INDEX(DATAS,W360+1)),"")</f>
        <v/>
      </c>
    </row>
    <row r="361" customFormat="false" ht="15" hidden="false" customHeight="false" outlineLevel="0" collapsed="false">
      <c r="A361" s="33" t="n">
        <v>46309</v>
      </c>
      <c r="B361" s="0" t="n">
        <v>6</v>
      </c>
      <c r="C361" s="0" t="n">
        <v>4018</v>
      </c>
      <c r="D361" s="0" t="n">
        <v>132</v>
      </c>
      <c r="E361" s="0" t="n">
        <v>3</v>
      </c>
      <c r="F361" s="27" t="s">
        <v>426</v>
      </c>
      <c r="G361" s="0" t="n">
        <v>24.6</v>
      </c>
      <c r="H361" s="0" t="n">
        <v>22</v>
      </c>
      <c r="I361" s="27" t="s">
        <v>138</v>
      </c>
      <c r="J361" s="0" t="n">
        <v>63</v>
      </c>
      <c r="K361" s="0" t="n">
        <v>63</v>
      </c>
      <c r="L361" s="0" t="n">
        <v>69</v>
      </c>
      <c r="M361" s="0" t="n">
        <v>561.52</v>
      </c>
      <c r="N361" s="0" t="n">
        <v>34.82</v>
      </c>
      <c r="O361" s="0" t="n">
        <v>34.18</v>
      </c>
      <c r="P361" s="0" t="n">
        <v>7.26</v>
      </c>
      <c r="Q361" s="0" t="n">
        <v>4.1</v>
      </c>
      <c r="R361" s="0" t="n">
        <v>4846</v>
      </c>
      <c r="S361" s="0" t="n">
        <v>8402</v>
      </c>
      <c r="T361" s="0" t="n">
        <v>58.7</v>
      </c>
      <c r="U361" s="0" t="n">
        <v>1604</v>
      </c>
      <c r="V361" s="0" t="n">
        <v>1</v>
      </c>
      <c r="W361" s="27" t="n">
        <f aca="false">MATCH(A361,DATAS,0)</f>
        <v>1</v>
      </c>
      <c r="X361" s="27" t="n">
        <f aca="false">IF(AND(E361&gt;0,OR(AND(B361&gt;=1,B361&lt;=6),B361=10)),1,0)</f>
        <v>1</v>
      </c>
      <c r="Y361" s="27" t="n">
        <f aca="false">IF(AND(E361&gt;0,B361=10),1,0)</f>
        <v>0</v>
      </c>
      <c r="Z361" s="0" t="str">
        <f aca="false">IF(AND(C360=C361,W360=W361-1),X360,"")</f>
        <v/>
      </c>
      <c r="AA361" s="0" t="str">
        <f aca="false">IF(AND(C360=C361,W360=W361-1),Y360,"")</f>
        <v/>
      </c>
      <c r="AB361" s="0" t="str">
        <f aca="false">IF(W361=1,"",IF(AND(X361=1,Z361&lt;&gt;1),1,0))</f>
        <v/>
      </c>
      <c r="AC361" s="0" t="str">
        <f aca="false">IF(W361=1,"",IF(AND(Y361=1,AA361&lt;&gt;1),1,0))</f>
        <v/>
      </c>
      <c r="AD361" s="33" t="str">
        <f aca="false">IF(AND(E361&gt;0,W361&lt;1,NOT(AND(C362=C361,W362=W361+1))),INDEX(DATAS,W361+1),"")</f>
        <v/>
      </c>
      <c r="AE361" s="33" t="str">
        <f aca="false">IF(AND(Y361=1,W361&lt;1),IF(AND(C362=C361,W362=W361+1),IF(Y362=1,"",INDEX(DATAS,W361+1)),INDEX(DATAS,W361+1)),"")</f>
        <v/>
      </c>
    </row>
    <row r="362" customFormat="false" ht="15" hidden="false" customHeight="false" outlineLevel="0" collapsed="false">
      <c r="A362" s="33" t="n">
        <v>46309</v>
      </c>
      <c r="B362" s="0" t="n">
        <v>5</v>
      </c>
      <c r="C362" s="0" t="n">
        <v>4019</v>
      </c>
      <c r="D362" s="0" t="n">
        <v>232</v>
      </c>
      <c r="E362" s="0" t="n">
        <v>3</v>
      </c>
      <c r="F362" s="27" t="s">
        <v>427</v>
      </c>
      <c r="G362" s="0" t="n">
        <v>33.2</v>
      </c>
      <c r="H362" s="0" t="n">
        <v>31</v>
      </c>
      <c r="I362" s="27" t="s">
        <v>138</v>
      </c>
      <c r="J362" s="0" t="n">
        <v>162</v>
      </c>
      <c r="K362" s="0" t="n">
        <v>64</v>
      </c>
      <c r="L362" s="0" t="n">
        <v>70</v>
      </c>
      <c r="M362" s="0" t="n">
        <v>931.6</v>
      </c>
      <c r="N362" s="0" t="n">
        <v>80.39</v>
      </c>
      <c r="O362" s="0" t="n">
        <v>48.39</v>
      </c>
      <c r="P362" s="0" t="n">
        <v>4.86</v>
      </c>
      <c r="Q362" s="0" t="n">
        <v>4.46</v>
      </c>
      <c r="R362" s="0" t="n">
        <v>3833</v>
      </c>
      <c r="S362" s="0" t="n">
        <v>7722</v>
      </c>
      <c r="T362" s="0" t="n">
        <v>42.85</v>
      </c>
      <c r="U362" s="0" t="n">
        <v>1603</v>
      </c>
      <c r="V362" s="0" t="n">
        <v>3</v>
      </c>
      <c r="W362" s="27" t="n">
        <f aca="false">MATCH(A362,DATAS,0)</f>
        <v>1</v>
      </c>
      <c r="X362" s="27" t="n">
        <f aca="false">IF(AND(E362&gt;0,OR(AND(B362&gt;=1,B362&lt;=6),B362=10)),1,0)</f>
        <v>1</v>
      </c>
      <c r="Y362" s="27" t="n">
        <f aca="false">IF(AND(E362&gt;0,B362=10),1,0)</f>
        <v>0</v>
      </c>
      <c r="Z362" s="0" t="str">
        <f aca="false">IF(AND(C361=C362,W361=W362-1),X361,"")</f>
        <v/>
      </c>
      <c r="AA362" s="0" t="str">
        <f aca="false">IF(AND(C361=C362,W361=W362-1),Y361,"")</f>
        <v/>
      </c>
      <c r="AB362" s="0" t="str">
        <f aca="false">IF(W362=1,"",IF(AND(X362=1,Z362&lt;&gt;1),1,0))</f>
        <v/>
      </c>
      <c r="AC362" s="0" t="str">
        <f aca="false">IF(W362=1,"",IF(AND(Y362=1,AA362&lt;&gt;1),1,0))</f>
        <v/>
      </c>
      <c r="AD362" s="33" t="str">
        <f aca="false">IF(AND(E362&gt;0,W362&lt;1,NOT(AND(C363=C362,W363=W362+1))),INDEX(DATAS,W362+1),"")</f>
        <v/>
      </c>
      <c r="AE362" s="33" t="str">
        <f aca="false">IF(AND(Y362=1,W362&lt;1),IF(AND(C363=C362,W363=W362+1),IF(Y363=1,"",INDEX(DATAS,W362+1)),INDEX(DATAS,W362+1)),"")</f>
        <v/>
      </c>
    </row>
    <row r="363" customFormat="false" ht="15" hidden="false" customHeight="false" outlineLevel="0" collapsed="false">
      <c r="A363" s="33" t="n">
        <v>46309</v>
      </c>
      <c r="B363" s="0" t="n">
        <v>6</v>
      </c>
      <c r="C363" s="0" t="n">
        <v>4026</v>
      </c>
      <c r="D363" s="0" t="n">
        <v>207</v>
      </c>
      <c r="E363" s="0" t="n">
        <v>3</v>
      </c>
      <c r="F363" s="27" t="s">
        <v>428</v>
      </c>
      <c r="G363" s="0" t="n">
        <v>32</v>
      </c>
      <c r="H363" s="0" t="n">
        <v>29</v>
      </c>
      <c r="I363" s="27" t="s">
        <v>138</v>
      </c>
      <c r="J363" s="0" t="n">
        <v>67</v>
      </c>
      <c r="K363" s="0" t="n">
        <v>74</v>
      </c>
      <c r="L363" s="0" t="n">
        <v>140</v>
      </c>
      <c r="M363" s="0" t="n">
        <v>436.67</v>
      </c>
      <c r="N363" s="0" t="n">
        <v>33.02</v>
      </c>
      <c r="O363" s="0" t="n">
        <v>23.51</v>
      </c>
      <c r="P363" s="0" t="n">
        <v>3.74</v>
      </c>
      <c r="Q363" s="0" t="n">
        <v>3.55</v>
      </c>
      <c r="R363" s="0" t="n">
        <v>2052</v>
      </c>
      <c r="S363" s="0" t="n">
        <v>4717</v>
      </c>
      <c r="T363" s="0" t="n">
        <v>22.35</v>
      </c>
      <c r="U363" s="0" t="n">
        <v>1598</v>
      </c>
      <c r="V363" s="0" t="n">
        <v>1</v>
      </c>
      <c r="W363" s="27" t="n">
        <f aca="false">MATCH(A363,DATAS,0)</f>
        <v>1</v>
      </c>
      <c r="X363" s="27" t="n">
        <f aca="false">IF(AND(E363&gt;0,OR(AND(B363&gt;=1,B363&lt;=6),B363=10)),1,0)</f>
        <v>1</v>
      </c>
      <c r="Y363" s="27" t="n">
        <f aca="false">IF(AND(E363&gt;0,B363=10),1,0)</f>
        <v>0</v>
      </c>
      <c r="Z363" s="0" t="str">
        <f aca="false">IF(AND(C362=C363,W362=W363-1),X362,"")</f>
        <v/>
      </c>
      <c r="AA363" s="0" t="str">
        <f aca="false">IF(AND(C362=C363,W362=W363-1),Y362,"")</f>
        <v/>
      </c>
      <c r="AB363" s="0" t="str">
        <f aca="false">IF(W363=1,"",IF(AND(X363=1,Z363&lt;&gt;1),1,0))</f>
        <v/>
      </c>
      <c r="AC363" s="0" t="str">
        <f aca="false">IF(W363=1,"",IF(AND(Y363=1,AA363&lt;&gt;1),1,0))</f>
        <v/>
      </c>
      <c r="AD363" s="33" t="str">
        <f aca="false">IF(AND(E363&gt;0,W363&lt;1,NOT(AND(C364=C363,W364=W363+1))),INDEX(DATAS,W363+1),"")</f>
        <v/>
      </c>
      <c r="AE363" s="33" t="str">
        <f aca="false">IF(AND(Y363=1,W363&lt;1),IF(AND(C364=C363,W364=W363+1),IF(Y364=1,"",INDEX(DATAS,W363+1)),INDEX(DATAS,W363+1)),"")</f>
        <v/>
      </c>
    </row>
    <row r="364" customFormat="false" ht="15" hidden="false" customHeight="false" outlineLevel="0" collapsed="false">
      <c r="A364" s="33" t="n">
        <v>46309</v>
      </c>
      <c r="B364" s="0" t="n">
        <v>6</v>
      </c>
      <c r="C364" s="0" t="n">
        <v>4028</v>
      </c>
      <c r="D364" s="0" t="n">
        <v>176</v>
      </c>
      <c r="E364" s="0" t="n">
        <v>3</v>
      </c>
      <c r="F364" s="27" t="s">
        <v>429</v>
      </c>
      <c r="G364" s="0" t="n">
        <v>33.7</v>
      </c>
      <c r="H364" s="0" t="n">
        <v>31</v>
      </c>
      <c r="I364" s="27" t="s">
        <v>168</v>
      </c>
      <c r="J364" s="0" t="n">
        <v>176</v>
      </c>
      <c r="K364" s="0" t="n">
        <v>64</v>
      </c>
      <c r="M364" s="0" t="n">
        <v>345.42</v>
      </c>
      <c r="N364" s="0" t="n">
        <v>52.96</v>
      </c>
      <c r="O364" s="0" t="n">
        <v>20.66</v>
      </c>
      <c r="P364" s="0" t="n">
        <v>4.67</v>
      </c>
      <c r="Q364" s="0" t="n">
        <v>3.72</v>
      </c>
      <c r="R364" s="0" t="n">
        <v>6774</v>
      </c>
      <c r="S364" s="0" t="n">
        <v>12138</v>
      </c>
      <c r="T364" s="0" t="n">
        <v>77.4</v>
      </c>
      <c r="U364" s="0" t="n">
        <v>1596</v>
      </c>
      <c r="V364" s="0" t="n">
        <v>3</v>
      </c>
      <c r="W364" s="27" t="n">
        <f aca="false">MATCH(A364,DATAS,0)</f>
        <v>1</v>
      </c>
      <c r="X364" s="27" t="n">
        <f aca="false">IF(AND(E364&gt;0,OR(AND(B364&gt;=1,B364&lt;=6),B364=10)),1,0)</f>
        <v>1</v>
      </c>
      <c r="Y364" s="27" t="n">
        <f aca="false">IF(AND(E364&gt;0,B364=10),1,0)</f>
        <v>0</v>
      </c>
      <c r="Z364" s="0" t="str">
        <f aca="false">IF(AND(C363=C364,W363=W364-1),X363,"")</f>
        <v/>
      </c>
      <c r="AA364" s="0" t="str">
        <f aca="false">IF(AND(C363=C364,W363=W364-1),Y363,"")</f>
        <v/>
      </c>
      <c r="AB364" s="0" t="str">
        <f aca="false">IF(W364=1,"",IF(AND(X364=1,Z364&lt;&gt;1),1,0))</f>
        <v/>
      </c>
      <c r="AC364" s="0" t="str">
        <f aca="false">IF(W364=1,"",IF(AND(Y364=1,AA364&lt;&gt;1),1,0))</f>
        <v/>
      </c>
      <c r="AD364" s="33" t="str">
        <f aca="false">IF(AND(E364&gt;0,W364&lt;1,NOT(AND(C365=C364,W365=W364+1))),INDEX(DATAS,W364+1),"")</f>
        <v/>
      </c>
      <c r="AE364" s="33" t="str">
        <f aca="false">IF(AND(Y364=1,W364&lt;1),IF(AND(C365=C364,W365=W364+1),IF(Y365=1,"",INDEX(DATAS,W364+1)),INDEX(DATAS,W364+1)),"")</f>
        <v/>
      </c>
    </row>
    <row r="365" customFormat="false" ht="15" hidden="false" customHeight="false" outlineLevel="0" collapsed="false">
      <c r="A365" s="33" t="n">
        <v>46309</v>
      </c>
      <c r="B365" s="0" t="n">
        <v>3</v>
      </c>
      <c r="C365" s="0" t="n">
        <v>4031</v>
      </c>
      <c r="D365" s="0" t="n">
        <v>161</v>
      </c>
      <c r="E365" s="0" t="n">
        <v>3</v>
      </c>
      <c r="F365" s="27" t="s">
        <v>430</v>
      </c>
      <c r="G365" s="0" t="n">
        <v>48.1</v>
      </c>
      <c r="H365" s="0" t="n">
        <v>55</v>
      </c>
      <c r="I365" s="27" t="s">
        <v>168</v>
      </c>
      <c r="J365" s="0" t="n">
        <v>161</v>
      </c>
      <c r="K365" s="0" t="n">
        <v>63</v>
      </c>
      <c r="M365" s="0" t="n">
        <v>-16.31</v>
      </c>
      <c r="N365" s="0" t="n">
        <v>30.73</v>
      </c>
      <c r="O365" s="0" t="n">
        <v>13.08</v>
      </c>
      <c r="P365" s="0" t="n">
        <v>5.75</v>
      </c>
      <c r="Q365" s="0" t="n">
        <v>3.53</v>
      </c>
      <c r="R365" s="0" t="n">
        <v>4955</v>
      </c>
      <c r="S365" s="0" t="n">
        <v>10508</v>
      </c>
      <c r="T365" s="0" t="n">
        <v>51.9</v>
      </c>
      <c r="U365" s="0" t="n">
        <v>1595</v>
      </c>
      <c r="V365" s="0" t="n">
        <v>3</v>
      </c>
      <c r="W365" s="27" t="n">
        <f aca="false">MATCH(A365,DATAS,0)</f>
        <v>1</v>
      </c>
      <c r="X365" s="27" t="n">
        <f aca="false">IF(AND(E365&gt;0,OR(AND(B365&gt;=1,B365&lt;=6),B365=10)),1,0)</f>
        <v>1</v>
      </c>
      <c r="Y365" s="27" t="n">
        <f aca="false">IF(AND(E365&gt;0,B365=10),1,0)</f>
        <v>0</v>
      </c>
      <c r="Z365" s="0" t="str">
        <f aca="false">IF(AND(C364=C365,W364=W365-1),X364,"")</f>
        <v/>
      </c>
      <c r="AA365" s="0" t="str">
        <f aca="false">IF(AND(C364=C365,W364=W365-1),Y364,"")</f>
        <v/>
      </c>
      <c r="AB365" s="0" t="str">
        <f aca="false">IF(W365=1,"",IF(AND(X365=1,Z365&lt;&gt;1),1,0))</f>
        <v/>
      </c>
      <c r="AC365" s="0" t="str">
        <f aca="false">IF(W365=1,"",IF(AND(Y365=1,AA365&lt;&gt;1),1,0))</f>
        <v/>
      </c>
      <c r="AD365" s="33" t="str">
        <f aca="false">IF(AND(E365&gt;0,W365&lt;1,NOT(AND(C366=C365,W366=W365+1))),INDEX(DATAS,W365+1),"")</f>
        <v/>
      </c>
      <c r="AE365" s="33" t="str">
        <f aca="false">IF(AND(Y365=1,W365&lt;1),IF(AND(C366=C365,W366=W365+1),IF(Y366=1,"",INDEX(DATAS,W365+1)),INDEX(DATAS,W365+1)),"")</f>
        <v/>
      </c>
    </row>
    <row r="366" customFormat="false" ht="15" hidden="false" customHeight="false" outlineLevel="0" collapsed="false">
      <c r="A366" s="33" t="n">
        <v>46309</v>
      </c>
      <c r="B366" s="0" t="n">
        <v>5</v>
      </c>
      <c r="C366" s="0" t="n">
        <v>4032</v>
      </c>
      <c r="D366" s="0" t="n">
        <v>446</v>
      </c>
      <c r="E366" s="0" t="n">
        <v>2</v>
      </c>
      <c r="F366" s="27" t="s">
        <v>430</v>
      </c>
      <c r="G366" s="0" t="n">
        <v>33.1</v>
      </c>
      <c r="H366" s="0" t="n">
        <v>33</v>
      </c>
      <c r="I366" s="27" t="s">
        <v>138</v>
      </c>
      <c r="J366" s="0" t="n">
        <v>328</v>
      </c>
      <c r="K366" s="0" t="n">
        <v>61</v>
      </c>
      <c r="L366" s="0" t="n">
        <v>118</v>
      </c>
      <c r="M366" s="0" t="n">
        <v>1084.4</v>
      </c>
      <c r="N366" s="0" t="n">
        <v>31.67</v>
      </c>
      <c r="O366" s="0" t="n">
        <v>33.98</v>
      </c>
      <c r="P366" s="0" t="n">
        <v>3.63</v>
      </c>
      <c r="Q366" s="0" t="n">
        <v>3.51</v>
      </c>
      <c r="R366" s="0" t="n">
        <v>5734</v>
      </c>
      <c r="S366" s="0" t="n">
        <v>11925</v>
      </c>
      <c r="T366" s="0" t="n">
        <v>65</v>
      </c>
      <c r="U366" s="0" t="n">
        <v>1595</v>
      </c>
      <c r="V366" s="0" t="n">
        <v>4</v>
      </c>
      <c r="W366" s="27" t="n">
        <f aca="false">MATCH(A366,DATAS,0)</f>
        <v>1</v>
      </c>
      <c r="X366" s="27" t="n">
        <f aca="false">IF(AND(E366&gt;0,OR(AND(B366&gt;=1,B366&lt;=6),B366=10)),1,0)</f>
        <v>1</v>
      </c>
      <c r="Y366" s="27" t="n">
        <f aca="false">IF(AND(E366&gt;0,B366=10),1,0)</f>
        <v>0</v>
      </c>
      <c r="Z366" s="0" t="str">
        <f aca="false">IF(AND(C365=C366,W365=W366-1),X365,"")</f>
        <v/>
      </c>
      <c r="AA366" s="0" t="str">
        <f aca="false">IF(AND(C365=C366,W365=W366-1),Y365,"")</f>
        <v/>
      </c>
      <c r="AB366" s="0" t="str">
        <f aca="false">IF(W366=1,"",IF(AND(X366=1,Z366&lt;&gt;1),1,0))</f>
        <v/>
      </c>
      <c r="AC366" s="0" t="str">
        <f aca="false">IF(W366=1,"",IF(AND(Y366=1,AA366&lt;&gt;1),1,0))</f>
        <v/>
      </c>
      <c r="AD366" s="33" t="str">
        <f aca="false">IF(AND(E366&gt;0,W366&lt;1,NOT(AND(C367=C366,W367=W366+1))),INDEX(DATAS,W366+1),"")</f>
        <v/>
      </c>
      <c r="AE366" s="33" t="str">
        <f aca="false">IF(AND(Y366=1,W366&lt;1),IF(AND(C367=C366,W367=W366+1),IF(Y367=1,"",INDEX(DATAS,W366+1)),INDEX(DATAS,W366+1)),"")</f>
        <v/>
      </c>
    </row>
    <row r="367" customFormat="false" ht="15" hidden="false" customHeight="false" outlineLevel="0" collapsed="false">
      <c r="A367" s="33" t="n">
        <v>46309</v>
      </c>
      <c r="B367" s="0" t="n">
        <v>2</v>
      </c>
      <c r="C367" s="0" t="n">
        <v>4033</v>
      </c>
      <c r="D367" s="0" t="n">
        <v>110</v>
      </c>
      <c r="E367" s="0" t="n">
        <v>3</v>
      </c>
      <c r="F367" s="27" t="s">
        <v>430</v>
      </c>
      <c r="G367" s="0" t="n">
        <v>53.9</v>
      </c>
      <c r="H367" s="0" t="n">
        <v>49</v>
      </c>
      <c r="I367" s="27" t="s">
        <v>168</v>
      </c>
      <c r="J367" s="0" t="n">
        <v>110</v>
      </c>
      <c r="K367" s="0" t="n">
        <v>68</v>
      </c>
      <c r="M367" s="0" t="n">
        <v>331.54</v>
      </c>
      <c r="N367" s="0" t="n">
        <v>49.6</v>
      </c>
      <c r="O367" s="0" t="n">
        <v>25.61</v>
      </c>
      <c r="P367" s="0" t="n">
        <v>2.77</v>
      </c>
      <c r="Q367" s="0" t="n">
        <v>3.59</v>
      </c>
      <c r="R367" s="0" t="n">
        <v>4690</v>
      </c>
      <c r="S367" s="0" t="n">
        <v>9489</v>
      </c>
      <c r="T367" s="0" t="n">
        <v>51.55</v>
      </c>
      <c r="U367" s="0" t="n">
        <v>1595</v>
      </c>
      <c r="V367" s="0" t="n">
        <v>2</v>
      </c>
      <c r="W367" s="27" t="n">
        <f aca="false">MATCH(A367,DATAS,0)</f>
        <v>1</v>
      </c>
      <c r="X367" s="27" t="n">
        <f aca="false">IF(AND(E367&gt;0,OR(AND(B367&gt;=1,B367&lt;=6),B367=10)),1,0)</f>
        <v>1</v>
      </c>
      <c r="Y367" s="27" t="n">
        <f aca="false">IF(AND(E367&gt;0,B367=10),1,0)</f>
        <v>0</v>
      </c>
      <c r="Z367" s="0" t="str">
        <f aca="false">IF(AND(C366=C367,W366=W367-1),X366,"")</f>
        <v/>
      </c>
      <c r="AA367" s="0" t="str">
        <f aca="false">IF(AND(C366=C367,W366=W367-1),Y366,"")</f>
        <v/>
      </c>
      <c r="AB367" s="0" t="str">
        <f aca="false">IF(W367=1,"",IF(AND(X367=1,Z367&lt;&gt;1),1,0))</f>
        <v/>
      </c>
      <c r="AC367" s="0" t="str">
        <f aca="false">IF(W367=1,"",IF(AND(Y367=1,AA367&lt;&gt;1),1,0))</f>
        <v/>
      </c>
      <c r="AD367" s="33" t="str">
        <f aca="false">IF(AND(E367&gt;0,W367&lt;1,NOT(AND(C368=C367,W368=W367+1))),INDEX(DATAS,W367+1),"")</f>
        <v/>
      </c>
      <c r="AE367" s="33" t="str">
        <f aca="false">IF(AND(Y367=1,W367&lt;1),IF(AND(C368=C367,W368=W367+1),IF(Y368=1,"",INDEX(DATAS,W367+1)),INDEX(DATAS,W367+1)),"")</f>
        <v/>
      </c>
    </row>
    <row r="368" customFormat="false" ht="15" hidden="false" customHeight="false" outlineLevel="0" collapsed="false">
      <c r="A368" s="33" t="n">
        <v>46309</v>
      </c>
      <c r="B368" s="0" t="n">
        <v>7</v>
      </c>
      <c r="C368" s="0" t="n">
        <v>4038</v>
      </c>
      <c r="D368" s="0" t="n">
        <v>461</v>
      </c>
      <c r="E368" s="0" t="n">
        <v>2</v>
      </c>
      <c r="F368" s="27" t="s">
        <v>431</v>
      </c>
      <c r="I368" s="27" t="s">
        <v>143</v>
      </c>
      <c r="J368" s="0" t="n">
        <v>258</v>
      </c>
      <c r="K368" s="0" t="n">
        <v>220</v>
      </c>
      <c r="L368" s="0" t="n">
        <v>217</v>
      </c>
      <c r="M368" s="0" t="n">
        <v>807.18</v>
      </c>
      <c r="N368" s="0" t="n">
        <v>67.15</v>
      </c>
      <c r="O368" s="0" t="n">
        <v>39.35</v>
      </c>
      <c r="P368" s="0" t="n">
        <v>6.85</v>
      </c>
      <c r="Q368" s="0" t="n">
        <v>4.44</v>
      </c>
      <c r="R368" s="0" t="n">
        <v>4116</v>
      </c>
      <c r="S368" s="0" t="n">
        <v>7839</v>
      </c>
      <c r="T368" s="0" t="n">
        <v>48.35</v>
      </c>
      <c r="U368" s="0" t="n">
        <v>1589</v>
      </c>
      <c r="V368" s="0" t="n">
        <v>2</v>
      </c>
      <c r="W368" s="27" t="n">
        <f aca="false">MATCH(A368,DATAS,0)</f>
        <v>1</v>
      </c>
      <c r="X368" s="27" t="n">
        <f aca="false">IF(AND(E368&gt;0,OR(AND(B368&gt;=1,B368&lt;=6),B368=10)),1,0)</f>
        <v>0</v>
      </c>
      <c r="Y368" s="27" t="n">
        <f aca="false">IF(AND(E368&gt;0,B368=10),1,0)</f>
        <v>0</v>
      </c>
      <c r="Z368" s="0" t="str">
        <f aca="false">IF(AND(C367=C368,W367=W368-1),X367,"")</f>
        <v/>
      </c>
      <c r="AA368" s="0" t="str">
        <f aca="false">IF(AND(C367=C368,W367=W368-1),Y367,"")</f>
        <v/>
      </c>
      <c r="AB368" s="0" t="str">
        <f aca="false">IF(W368=1,"",IF(AND(X368=1,Z368&lt;&gt;1),1,0))</f>
        <v/>
      </c>
      <c r="AC368" s="0" t="str">
        <f aca="false">IF(W368=1,"",IF(AND(Y368=1,AA368&lt;&gt;1),1,0))</f>
        <v/>
      </c>
      <c r="AD368" s="33" t="str">
        <f aca="false">IF(AND(E368&gt;0,W368&lt;1,NOT(AND(C369=C368,W369=W368+1))),INDEX(DATAS,W368+1),"")</f>
        <v/>
      </c>
      <c r="AE368" s="33" t="str">
        <f aca="false">IF(AND(Y368=1,W368&lt;1),IF(AND(C369=C368,W369=W368+1),IF(Y369=1,"",INDEX(DATAS,W368+1)),INDEX(DATAS,W368+1)),"")</f>
        <v/>
      </c>
    </row>
    <row r="369" customFormat="false" ht="15" hidden="false" customHeight="false" outlineLevel="0" collapsed="false">
      <c r="A369" s="33" t="n">
        <v>46309</v>
      </c>
      <c r="B369" s="0" t="n">
        <v>7</v>
      </c>
      <c r="C369" s="0" t="n">
        <v>4041</v>
      </c>
      <c r="D369" s="0" t="n">
        <v>292</v>
      </c>
      <c r="E369" s="0" t="n">
        <v>2</v>
      </c>
      <c r="F369" s="27" t="s">
        <v>432</v>
      </c>
      <c r="I369" s="27" t="s">
        <v>143</v>
      </c>
      <c r="J369" s="0" t="n">
        <v>69</v>
      </c>
      <c r="K369" s="0" t="n">
        <v>69</v>
      </c>
      <c r="L369" s="0" t="n">
        <v>231</v>
      </c>
      <c r="M369" s="0" t="n">
        <v>841.24</v>
      </c>
      <c r="N369" s="0" t="n">
        <v>91.11</v>
      </c>
      <c r="O369" s="0" t="n">
        <v>39.19</v>
      </c>
      <c r="P369" s="0" t="n">
        <v>3.72</v>
      </c>
      <c r="Q369" s="0" t="n">
        <v>3.69</v>
      </c>
      <c r="R369" s="0" t="n">
        <v>5797</v>
      </c>
      <c r="S369" s="0" t="n">
        <v>11235</v>
      </c>
      <c r="T369" s="0" t="n">
        <v>64.9</v>
      </c>
      <c r="U369" s="0" t="n">
        <v>1583</v>
      </c>
      <c r="V369" s="0" t="n">
        <v>1</v>
      </c>
      <c r="W369" s="27" t="n">
        <f aca="false">MATCH(A369,DATAS,0)</f>
        <v>1</v>
      </c>
      <c r="X369" s="27" t="n">
        <f aca="false">IF(AND(E369&gt;0,OR(AND(B369&gt;=1,B369&lt;=6),B369=10)),1,0)</f>
        <v>0</v>
      </c>
      <c r="Y369" s="27" t="n">
        <f aca="false">IF(AND(E369&gt;0,B369=10),1,0)</f>
        <v>0</v>
      </c>
      <c r="Z369" s="0" t="str">
        <f aca="false">IF(AND(C368=C369,W368=W369-1),X368,"")</f>
        <v/>
      </c>
      <c r="AA369" s="0" t="str">
        <f aca="false">IF(AND(C368=C369,W368=W369-1),Y368,"")</f>
        <v/>
      </c>
      <c r="AB369" s="0" t="str">
        <f aca="false">IF(W369=1,"",IF(AND(X369=1,Z369&lt;&gt;1),1,0))</f>
        <v/>
      </c>
      <c r="AC369" s="0" t="str">
        <f aca="false">IF(W369=1,"",IF(AND(Y369=1,AA369&lt;&gt;1),1,0))</f>
        <v/>
      </c>
      <c r="AD369" s="33" t="str">
        <f aca="false">IF(AND(E369&gt;0,W369&lt;1,NOT(AND(C370=C369,W370=W369+1))),INDEX(DATAS,W369+1),"")</f>
        <v/>
      </c>
      <c r="AE369" s="33" t="str">
        <f aca="false">IF(AND(Y369=1,W369&lt;1),IF(AND(C370=C369,W370=W369+1),IF(Y370=1,"",INDEX(DATAS,W369+1)),INDEX(DATAS,W369+1)),"")</f>
        <v/>
      </c>
    </row>
    <row r="370" customFormat="false" ht="15" hidden="false" customHeight="false" outlineLevel="0" collapsed="false">
      <c r="A370" s="33" t="n">
        <v>46309</v>
      </c>
      <c r="B370" s="0" t="n">
        <v>5</v>
      </c>
      <c r="C370" s="0" t="n">
        <v>4042</v>
      </c>
      <c r="D370" s="0" t="n">
        <v>587</v>
      </c>
      <c r="E370" s="0" t="n">
        <v>2</v>
      </c>
      <c r="F370" s="27" t="s">
        <v>433</v>
      </c>
      <c r="G370" s="0" t="n">
        <v>37.6</v>
      </c>
      <c r="H370" s="0" t="n">
        <v>36</v>
      </c>
      <c r="I370" s="27" t="s">
        <v>138</v>
      </c>
      <c r="J370" s="0" t="n">
        <v>552</v>
      </c>
      <c r="K370" s="0" t="n">
        <v>63</v>
      </c>
      <c r="L370" s="0" t="n">
        <v>35</v>
      </c>
      <c r="M370" s="0" t="n">
        <v>599.14</v>
      </c>
      <c r="N370" s="0" t="n">
        <v>66.3</v>
      </c>
      <c r="O370" s="0" t="n">
        <v>36.2</v>
      </c>
      <c r="P370" s="0" t="n">
        <v>3.68</v>
      </c>
      <c r="Q370" s="0" t="n">
        <v>4.01</v>
      </c>
      <c r="R370" s="0" t="n">
        <v>5821</v>
      </c>
      <c r="S370" s="0" t="n">
        <v>11047</v>
      </c>
      <c r="T370" s="0" t="n">
        <v>64.55</v>
      </c>
      <c r="U370" s="0" t="n">
        <v>1581</v>
      </c>
      <c r="V370" s="0" t="n">
        <v>14</v>
      </c>
      <c r="W370" s="27" t="n">
        <f aca="false">MATCH(A370,DATAS,0)</f>
        <v>1</v>
      </c>
      <c r="X370" s="27" t="n">
        <f aca="false">IF(AND(E370&gt;0,OR(AND(B370&gt;=1,B370&lt;=6),B370=10)),1,0)</f>
        <v>1</v>
      </c>
      <c r="Y370" s="27" t="n">
        <f aca="false">IF(AND(E370&gt;0,B370=10),1,0)</f>
        <v>0</v>
      </c>
      <c r="Z370" s="0" t="str">
        <f aca="false">IF(AND(C369=C370,W369=W370-1),X369,"")</f>
        <v/>
      </c>
      <c r="AA370" s="0" t="str">
        <f aca="false">IF(AND(C369=C370,W369=W370-1),Y369,"")</f>
        <v/>
      </c>
      <c r="AB370" s="0" t="str">
        <f aca="false">IF(W370=1,"",IF(AND(X370=1,Z370&lt;&gt;1),1,0))</f>
        <v/>
      </c>
      <c r="AC370" s="0" t="str">
        <f aca="false">IF(W370=1,"",IF(AND(Y370=1,AA370&lt;&gt;1),1,0))</f>
        <v/>
      </c>
      <c r="AD370" s="33" t="str">
        <f aca="false">IF(AND(E370&gt;0,W370&lt;1,NOT(AND(C371=C370,W371=W370+1))),INDEX(DATAS,W370+1),"")</f>
        <v/>
      </c>
      <c r="AE370" s="33" t="str">
        <f aca="false">IF(AND(Y370=1,W370&lt;1),IF(AND(C371=C370,W371=W370+1),IF(Y371=1,"",INDEX(DATAS,W370+1)),INDEX(DATAS,W370+1)),"")</f>
        <v/>
      </c>
    </row>
    <row r="371" customFormat="false" ht="15" hidden="false" customHeight="false" outlineLevel="0" collapsed="false">
      <c r="A371" s="33" t="n">
        <v>46309</v>
      </c>
      <c r="B371" s="0" t="n">
        <v>6</v>
      </c>
      <c r="C371" s="0" t="n">
        <v>4043</v>
      </c>
      <c r="D371" s="0" t="n">
        <v>468</v>
      </c>
      <c r="E371" s="0" t="n">
        <v>2</v>
      </c>
      <c r="F371" s="27" t="s">
        <v>433</v>
      </c>
      <c r="G371" s="0" t="n">
        <v>25</v>
      </c>
      <c r="H371" s="0" t="n">
        <v>24</v>
      </c>
      <c r="I371" s="27" t="s">
        <v>138</v>
      </c>
      <c r="J371" s="0" t="n">
        <v>363</v>
      </c>
      <c r="K371" s="0" t="n">
        <v>62</v>
      </c>
      <c r="L371" s="0" t="n">
        <v>105</v>
      </c>
      <c r="M371" s="0" t="n">
        <v>-34.51</v>
      </c>
      <c r="N371" s="0" t="n">
        <v>68.26</v>
      </c>
      <c r="O371" s="0" t="n">
        <v>19.81</v>
      </c>
      <c r="P371" s="0" t="n">
        <v>5.67</v>
      </c>
      <c r="Q371" s="0" t="n">
        <v>4.28</v>
      </c>
      <c r="R371" s="0" t="n">
        <v>5863</v>
      </c>
      <c r="S371" s="0" t="n">
        <v>10899</v>
      </c>
      <c r="T371" s="0" t="n">
        <v>65.1</v>
      </c>
      <c r="U371" s="0" t="n">
        <v>1581</v>
      </c>
      <c r="V371" s="0" t="n">
        <v>11</v>
      </c>
      <c r="W371" s="27" t="n">
        <f aca="false">MATCH(A371,DATAS,0)</f>
        <v>1</v>
      </c>
      <c r="X371" s="27" t="n">
        <f aca="false">IF(AND(E371&gt;0,OR(AND(B371&gt;=1,B371&lt;=6),B371=10)),1,0)</f>
        <v>1</v>
      </c>
      <c r="Y371" s="27" t="n">
        <f aca="false">IF(AND(E371&gt;0,B371=10),1,0)</f>
        <v>0</v>
      </c>
      <c r="Z371" s="0" t="str">
        <f aca="false">IF(AND(C370=C371,W370=W371-1),X370,"")</f>
        <v/>
      </c>
      <c r="AA371" s="0" t="str">
        <f aca="false">IF(AND(C370=C371,W370=W371-1),Y370,"")</f>
        <v/>
      </c>
      <c r="AB371" s="0" t="str">
        <f aca="false">IF(W371=1,"",IF(AND(X371=1,Z371&lt;&gt;1),1,0))</f>
        <v/>
      </c>
      <c r="AC371" s="0" t="str">
        <f aca="false">IF(W371=1,"",IF(AND(Y371=1,AA371&lt;&gt;1),1,0))</f>
        <v/>
      </c>
      <c r="AD371" s="33" t="str">
        <f aca="false">IF(AND(E371&gt;0,W371&lt;1,NOT(AND(C372=C371,W372=W371+1))),INDEX(DATAS,W371+1),"")</f>
        <v/>
      </c>
      <c r="AE371" s="33" t="str">
        <f aca="false">IF(AND(Y371=1,W371&lt;1),IF(AND(C372=C371,W372=W371+1),IF(Y372=1,"",INDEX(DATAS,W371+1)),INDEX(DATAS,W371+1)),"")</f>
        <v/>
      </c>
    </row>
    <row r="372" customFormat="false" ht="15" hidden="false" customHeight="false" outlineLevel="0" collapsed="false">
      <c r="A372" s="33" t="n">
        <v>46309</v>
      </c>
      <c r="B372" s="0" t="n">
        <v>5</v>
      </c>
      <c r="C372" s="0" t="n">
        <v>4044</v>
      </c>
      <c r="D372" s="0" t="n">
        <v>252</v>
      </c>
      <c r="E372" s="0" t="n">
        <v>3</v>
      </c>
      <c r="F372" s="27" t="s">
        <v>434</v>
      </c>
      <c r="G372" s="0" t="n">
        <v>39.4</v>
      </c>
      <c r="H372" s="0" t="n">
        <v>38</v>
      </c>
      <c r="I372" s="27" t="s">
        <v>138</v>
      </c>
      <c r="J372" s="0" t="n">
        <v>63</v>
      </c>
      <c r="K372" s="0" t="n">
        <v>63</v>
      </c>
      <c r="L372" s="0" t="n">
        <v>189</v>
      </c>
      <c r="M372" s="0" t="n">
        <v>781.29</v>
      </c>
      <c r="N372" s="0" t="n">
        <v>39.87</v>
      </c>
      <c r="O372" s="0" t="n">
        <v>25.89</v>
      </c>
      <c r="P372" s="0" t="n">
        <v>5.66</v>
      </c>
      <c r="Q372" s="0" t="n">
        <v>3.46</v>
      </c>
      <c r="R372" s="0" t="n">
        <v>5488</v>
      </c>
      <c r="S372" s="0" t="n">
        <v>11437</v>
      </c>
      <c r="T372" s="0" t="n">
        <v>61.95</v>
      </c>
      <c r="U372" s="0" t="n">
        <v>1582</v>
      </c>
      <c r="V372" s="0" t="n">
        <v>1</v>
      </c>
      <c r="W372" s="27" t="n">
        <f aca="false">MATCH(A372,DATAS,0)</f>
        <v>1</v>
      </c>
      <c r="X372" s="27" t="n">
        <f aca="false">IF(AND(E372&gt;0,OR(AND(B372&gt;=1,B372&lt;=6),B372=10)),1,0)</f>
        <v>1</v>
      </c>
      <c r="Y372" s="27" t="n">
        <f aca="false">IF(AND(E372&gt;0,B372=10),1,0)</f>
        <v>0</v>
      </c>
      <c r="Z372" s="0" t="str">
        <f aca="false">IF(AND(C371=C372,W371=W372-1),X371,"")</f>
        <v/>
      </c>
      <c r="AA372" s="0" t="str">
        <f aca="false">IF(AND(C371=C372,W371=W372-1),Y371,"")</f>
        <v/>
      </c>
      <c r="AB372" s="0" t="str">
        <f aca="false">IF(W372=1,"",IF(AND(X372=1,Z372&lt;&gt;1),1,0))</f>
        <v/>
      </c>
      <c r="AC372" s="0" t="str">
        <f aca="false">IF(W372=1,"",IF(AND(Y372=1,AA372&lt;&gt;1),1,0))</f>
        <v/>
      </c>
      <c r="AD372" s="33" t="str">
        <f aca="false">IF(AND(E372&gt;0,W372&lt;1,NOT(AND(C373=C372,W373=W372+1))),INDEX(DATAS,W372+1),"")</f>
        <v/>
      </c>
      <c r="AE372" s="33" t="str">
        <f aca="false">IF(AND(Y372=1,W372&lt;1),IF(AND(C373=C372,W373=W372+1),IF(Y373=1,"",INDEX(DATAS,W372+1)),INDEX(DATAS,W372+1)),"")</f>
        <v/>
      </c>
    </row>
    <row r="373" customFormat="false" ht="15" hidden="false" customHeight="false" outlineLevel="0" collapsed="false">
      <c r="A373" s="33" t="n">
        <v>46309</v>
      </c>
      <c r="B373" s="0" t="n">
        <v>5</v>
      </c>
      <c r="C373" s="0" t="n">
        <v>4045</v>
      </c>
      <c r="D373" s="0" t="n">
        <v>337</v>
      </c>
      <c r="E373" s="0" t="n">
        <v>2</v>
      </c>
      <c r="F373" s="27" t="s">
        <v>434</v>
      </c>
      <c r="G373" s="0" t="n">
        <v>35.3</v>
      </c>
      <c r="H373" s="0" t="n">
        <v>34</v>
      </c>
      <c r="I373" s="27" t="s">
        <v>138</v>
      </c>
      <c r="J373" s="0" t="n">
        <v>180</v>
      </c>
      <c r="K373" s="0" t="n">
        <v>64</v>
      </c>
      <c r="L373" s="0" t="n">
        <v>157</v>
      </c>
      <c r="M373" s="0" t="n">
        <v>463.55</v>
      </c>
      <c r="N373" s="0" t="n">
        <v>-2.13</v>
      </c>
      <c r="O373" s="0" t="n">
        <v>19.63</v>
      </c>
      <c r="P373" s="0" t="n">
        <v>4.6</v>
      </c>
      <c r="Q373" s="0" t="n">
        <v>4.07</v>
      </c>
      <c r="R373" s="0" t="n">
        <v>6264</v>
      </c>
      <c r="S373" s="0" t="n">
        <v>11643</v>
      </c>
      <c r="T373" s="0" t="n">
        <v>65.35</v>
      </c>
      <c r="U373" s="0" t="n">
        <v>1582</v>
      </c>
      <c r="V373" s="0" t="n">
        <v>4</v>
      </c>
      <c r="W373" s="27" t="n">
        <f aca="false">MATCH(A373,DATAS,0)</f>
        <v>1</v>
      </c>
      <c r="X373" s="27" t="n">
        <f aca="false">IF(AND(E373&gt;0,OR(AND(B373&gt;=1,B373&lt;=6),B373=10)),1,0)</f>
        <v>1</v>
      </c>
      <c r="Y373" s="27" t="n">
        <f aca="false">IF(AND(E373&gt;0,B373=10),1,0)</f>
        <v>0</v>
      </c>
      <c r="Z373" s="0" t="str">
        <f aca="false">IF(AND(C372=C373,W372=W373-1),X372,"")</f>
        <v/>
      </c>
      <c r="AA373" s="0" t="str">
        <f aca="false">IF(AND(C372=C373,W372=W373-1),Y372,"")</f>
        <v/>
      </c>
      <c r="AB373" s="0" t="str">
        <f aca="false">IF(W373=1,"",IF(AND(X373=1,Z373&lt;&gt;1),1,0))</f>
        <v/>
      </c>
      <c r="AC373" s="0" t="str">
        <f aca="false">IF(W373=1,"",IF(AND(Y373=1,AA373&lt;&gt;1),1,0))</f>
        <v/>
      </c>
      <c r="AD373" s="33" t="str">
        <f aca="false">IF(AND(E373&gt;0,W373&lt;1,NOT(AND(C374=C373,W374=W373+1))),INDEX(DATAS,W373+1),"")</f>
        <v/>
      </c>
      <c r="AE373" s="33" t="str">
        <f aca="false">IF(AND(Y373=1,W373&lt;1),IF(AND(C374=C373,W374=W373+1),IF(Y374=1,"",INDEX(DATAS,W373+1)),INDEX(DATAS,W373+1)),"")</f>
        <v/>
      </c>
    </row>
    <row r="374" customFormat="false" ht="15" hidden="false" customHeight="false" outlineLevel="0" collapsed="false">
      <c r="A374" s="33" t="n">
        <v>46309</v>
      </c>
      <c r="B374" s="0" t="n">
        <v>3</v>
      </c>
      <c r="C374" s="0" t="n">
        <v>4047</v>
      </c>
      <c r="D374" s="0" t="n">
        <v>108</v>
      </c>
      <c r="E374" s="0" t="n">
        <v>3</v>
      </c>
      <c r="F374" s="27" t="s">
        <v>435</v>
      </c>
      <c r="G374" s="0" t="n">
        <v>48.5</v>
      </c>
      <c r="H374" s="0" t="n">
        <v>59</v>
      </c>
      <c r="I374" s="27" t="s">
        <v>138</v>
      </c>
      <c r="J374" s="0" t="n">
        <v>66</v>
      </c>
      <c r="K374" s="0" t="n">
        <v>66</v>
      </c>
      <c r="L374" s="0" t="n">
        <v>42</v>
      </c>
      <c r="M374" s="0" t="n">
        <v>776.75</v>
      </c>
      <c r="N374" s="0" t="n">
        <v>74.84</v>
      </c>
      <c r="O374" s="0" t="n">
        <v>28.9</v>
      </c>
      <c r="P374" s="0" t="n">
        <v>4.24</v>
      </c>
      <c r="Q374" s="0" t="n">
        <v>3.36</v>
      </c>
      <c r="R374" s="0" t="n">
        <v>4646</v>
      </c>
      <c r="S374" s="0" t="n">
        <v>9553</v>
      </c>
      <c r="T374" s="0" t="n">
        <v>50.45</v>
      </c>
      <c r="U374" s="0" t="n">
        <v>1578</v>
      </c>
      <c r="V374" s="0" t="n">
        <v>1</v>
      </c>
      <c r="W374" s="27" t="n">
        <f aca="false">MATCH(A374,DATAS,0)</f>
        <v>1</v>
      </c>
      <c r="X374" s="27" t="n">
        <f aca="false">IF(AND(E374&gt;0,OR(AND(B374&gt;=1,B374&lt;=6),B374=10)),1,0)</f>
        <v>1</v>
      </c>
      <c r="Y374" s="27" t="n">
        <f aca="false">IF(AND(E374&gt;0,B374=10),1,0)</f>
        <v>0</v>
      </c>
      <c r="Z374" s="0" t="str">
        <f aca="false">IF(AND(C373=C374,W373=W374-1),X373,"")</f>
        <v/>
      </c>
      <c r="AA374" s="0" t="str">
        <f aca="false">IF(AND(C373=C374,W373=W374-1),Y373,"")</f>
        <v/>
      </c>
      <c r="AB374" s="0" t="str">
        <f aca="false">IF(W374=1,"",IF(AND(X374=1,Z374&lt;&gt;1),1,0))</f>
        <v/>
      </c>
      <c r="AC374" s="0" t="str">
        <f aca="false">IF(W374=1,"",IF(AND(Y374=1,AA374&lt;&gt;1),1,0))</f>
        <v/>
      </c>
      <c r="AD374" s="33" t="str">
        <f aca="false">IF(AND(E374&gt;0,W374&lt;1,NOT(AND(C375=C374,W375=W374+1))),INDEX(DATAS,W374+1),"")</f>
        <v/>
      </c>
      <c r="AE374" s="33" t="str">
        <f aca="false">IF(AND(Y374=1,W374&lt;1),IF(AND(C375=C374,W375=W374+1),IF(Y375=1,"",INDEX(DATAS,W374+1)),INDEX(DATAS,W374+1)),"")</f>
        <v/>
      </c>
    </row>
    <row r="375" customFormat="false" ht="15" hidden="false" customHeight="false" outlineLevel="0" collapsed="false">
      <c r="A375" s="33" t="n">
        <v>46309</v>
      </c>
      <c r="B375" s="0" t="n">
        <v>2</v>
      </c>
      <c r="C375" s="0" t="n">
        <v>4050</v>
      </c>
      <c r="D375" s="0" t="n">
        <v>66</v>
      </c>
      <c r="E375" s="0" t="n">
        <v>3</v>
      </c>
      <c r="F375" s="27" t="s">
        <v>435</v>
      </c>
      <c r="G375" s="0" t="n">
        <v>46</v>
      </c>
      <c r="H375" s="0" t="n">
        <v>63</v>
      </c>
      <c r="I375" s="27" t="s">
        <v>168</v>
      </c>
      <c r="J375" s="0" t="n">
        <v>66</v>
      </c>
      <c r="K375" s="0" t="n">
        <v>66</v>
      </c>
      <c r="M375" s="0" t="n">
        <v>722.55</v>
      </c>
      <c r="N375" s="0" t="n">
        <v>60.26</v>
      </c>
      <c r="O375" s="0" t="n">
        <v>32.56</v>
      </c>
      <c r="P375" s="0" t="n">
        <v>4.15</v>
      </c>
      <c r="Q375" s="0" t="n">
        <v>3.07</v>
      </c>
      <c r="R375" s="0" t="n">
        <v>5710</v>
      </c>
      <c r="S375" s="0" t="n">
        <v>11477</v>
      </c>
      <c r="U375" s="0" t="n">
        <v>1578</v>
      </c>
      <c r="V375" s="0" t="n">
        <v>1</v>
      </c>
      <c r="W375" s="27" t="n">
        <f aca="false">MATCH(A375,DATAS,0)</f>
        <v>1</v>
      </c>
      <c r="X375" s="27" t="n">
        <f aca="false">IF(AND(E375&gt;0,OR(AND(B375&gt;=1,B375&lt;=6),B375=10)),1,0)</f>
        <v>1</v>
      </c>
      <c r="Y375" s="27" t="n">
        <f aca="false">IF(AND(E375&gt;0,B375=10),1,0)</f>
        <v>0</v>
      </c>
      <c r="Z375" s="0" t="str">
        <f aca="false">IF(AND(C374=C375,W374=W375-1),X374,"")</f>
        <v/>
      </c>
      <c r="AA375" s="0" t="str">
        <f aca="false">IF(AND(C374=C375,W374=W375-1),Y374,"")</f>
        <v/>
      </c>
      <c r="AB375" s="0" t="str">
        <f aca="false">IF(W375=1,"",IF(AND(X375=1,Z375&lt;&gt;1),1,0))</f>
        <v/>
      </c>
      <c r="AC375" s="0" t="str">
        <f aca="false">IF(W375=1,"",IF(AND(Y375=1,AA375&lt;&gt;1),1,0))</f>
        <v/>
      </c>
      <c r="AD375" s="33" t="str">
        <f aca="false">IF(AND(E375&gt;0,W375&lt;1,NOT(AND(C376=C375,W376=W375+1))),INDEX(DATAS,W375+1),"")</f>
        <v/>
      </c>
      <c r="AE375" s="33" t="str">
        <f aca="false">IF(AND(Y375=1,W375&lt;1),IF(AND(C376=C375,W376=W375+1),IF(Y376=1,"",INDEX(DATAS,W375+1)),INDEX(DATAS,W375+1)),"")</f>
        <v/>
      </c>
    </row>
    <row r="376" customFormat="false" ht="15" hidden="false" customHeight="false" outlineLevel="0" collapsed="false">
      <c r="A376" s="33" t="n">
        <v>46309</v>
      </c>
      <c r="B376" s="0" t="n">
        <v>7</v>
      </c>
      <c r="C376" s="0" t="n">
        <v>4051</v>
      </c>
      <c r="D376" s="0" t="n">
        <v>426</v>
      </c>
      <c r="E376" s="0" t="n">
        <v>2</v>
      </c>
      <c r="F376" s="27" t="s">
        <v>435</v>
      </c>
      <c r="I376" s="27" t="s">
        <v>340</v>
      </c>
      <c r="J376" s="0" t="n">
        <v>426</v>
      </c>
      <c r="K376" s="0" t="n">
        <v>63</v>
      </c>
      <c r="M376" s="0" t="n">
        <v>940.65</v>
      </c>
      <c r="N376" s="0" t="n">
        <v>62.89</v>
      </c>
      <c r="O376" s="0" t="n">
        <v>30.8</v>
      </c>
      <c r="P376" s="0" t="n">
        <v>5.41</v>
      </c>
      <c r="Q376" s="0" t="n">
        <v>4</v>
      </c>
      <c r="R376" s="0" t="n">
        <v>5961</v>
      </c>
      <c r="S376" s="0" t="n">
        <v>11866</v>
      </c>
      <c r="T376" s="0" t="n">
        <v>64.25</v>
      </c>
      <c r="U376" s="0" t="n">
        <v>1578</v>
      </c>
      <c r="V376" s="0" t="n">
        <v>8</v>
      </c>
      <c r="W376" s="27" t="n">
        <f aca="false">MATCH(A376,DATAS,0)</f>
        <v>1</v>
      </c>
      <c r="X376" s="27" t="n">
        <f aca="false">IF(AND(E376&gt;0,OR(AND(B376&gt;=1,B376&lt;=6),B376=10)),1,0)</f>
        <v>0</v>
      </c>
      <c r="Y376" s="27" t="n">
        <f aca="false">IF(AND(E376&gt;0,B376=10),1,0)</f>
        <v>0</v>
      </c>
      <c r="Z376" s="0" t="str">
        <f aca="false">IF(AND(C375=C376,W375=W376-1),X375,"")</f>
        <v/>
      </c>
      <c r="AA376" s="0" t="str">
        <f aca="false">IF(AND(C375=C376,W375=W376-1),Y375,"")</f>
        <v/>
      </c>
      <c r="AB376" s="0" t="str">
        <f aca="false">IF(W376=1,"",IF(AND(X376=1,Z376&lt;&gt;1),1,0))</f>
        <v/>
      </c>
      <c r="AC376" s="0" t="str">
        <f aca="false">IF(W376=1,"",IF(AND(Y376=1,AA376&lt;&gt;1),1,0))</f>
        <v/>
      </c>
      <c r="AD376" s="33" t="str">
        <f aca="false">IF(AND(E376&gt;0,W376&lt;1,NOT(AND(C377=C376,W377=W376+1))),INDEX(DATAS,W376+1),"")</f>
        <v/>
      </c>
      <c r="AE376" s="33" t="str">
        <f aca="false">IF(AND(Y376=1,W376&lt;1),IF(AND(C377=C376,W377=W376+1),IF(Y377=1,"",INDEX(DATAS,W376+1)),INDEX(DATAS,W376+1)),"")</f>
        <v/>
      </c>
    </row>
    <row r="377" customFormat="false" ht="15" hidden="false" customHeight="false" outlineLevel="0" collapsed="false">
      <c r="A377" s="33" t="n">
        <v>46309</v>
      </c>
      <c r="B377" s="0" t="n">
        <v>5</v>
      </c>
      <c r="C377" s="0" t="n">
        <v>4052</v>
      </c>
      <c r="D377" s="0" t="n">
        <v>177</v>
      </c>
      <c r="E377" s="0" t="n">
        <v>3</v>
      </c>
      <c r="F377" s="27" t="s">
        <v>436</v>
      </c>
      <c r="G377" s="0" t="n">
        <v>39.7</v>
      </c>
      <c r="H377" s="0" t="n">
        <v>41</v>
      </c>
      <c r="I377" s="27" t="s">
        <v>138</v>
      </c>
      <c r="J377" s="0" t="n">
        <v>65</v>
      </c>
      <c r="K377" s="0" t="n">
        <v>65</v>
      </c>
      <c r="L377" s="0" t="n">
        <v>112</v>
      </c>
      <c r="M377" s="0" t="n">
        <v>830.34</v>
      </c>
      <c r="N377" s="0" t="n">
        <v>71.09</v>
      </c>
      <c r="O377" s="0" t="n">
        <v>35.02</v>
      </c>
      <c r="P377" s="0" t="n">
        <v>3.33</v>
      </c>
      <c r="Q377" s="0" t="n">
        <v>3.27</v>
      </c>
      <c r="R377" s="0" t="n">
        <v>5489</v>
      </c>
      <c r="S377" s="0" t="n">
        <v>10917</v>
      </c>
      <c r="T377" s="0" t="n">
        <v>61</v>
      </c>
      <c r="U377" s="0" t="n">
        <v>1575</v>
      </c>
      <c r="V377" s="0" t="n">
        <v>1</v>
      </c>
      <c r="W377" s="27" t="n">
        <f aca="false">MATCH(A377,DATAS,0)</f>
        <v>1</v>
      </c>
      <c r="X377" s="27" t="n">
        <f aca="false">IF(AND(E377&gt;0,OR(AND(B377&gt;=1,B377&lt;=6),B377=10)),1,0)</f>
        <v>1</v>
      </c>
      <c r="Y377" s="27" t="n">
        <f aca="false">IF(AND(E377&gt;0,B377=10),1,0)</f>
        <v>0</v>
      </c>
      <c r="Z377" s="0" t="str">
        <f aca="false">IF(AND(C376=C377,W376=W377-1),X376,"")</f>
        <v/>
      </c>
      <c r="AA377" s="0" t="str">
        <f aca="false">IF(AND(C376=C377,W376=W377-1),Y376,"")</f>
        <v/>
      </c>
      <c r="AB377" s="0" t="str">
        <f aca="false">IF(W377=1,"",IF(AND(X377=1,Z377&lt;&gt;1),1,0))</f>
        <v/>
      </c>
      <c r="AC377" s="0" t="str">
        <f aca="false">IF(W377=1,"",IF(AND(Y377=1,AA377&lt;&gt;1),1,0))</f>
        <v/>
      </c>
      <c r="AD377" s="33" t="str">
        <f aca="false">IF(AND(E377&gt;0,W377&lt;1,NOT(AND(C378=C377,W378=W377+1))),INDEX(DATAS,W377+1),"")</f>
        <v/>
      </c>
      <c r="AE377" s="33" t="str">
        <f aca="false">IF(AND(Y377=1,W377&lt;1),IF(AND(C378=C377,W378=W377+1),IF(Y378=1,"",INDEX(DATAS,W377+1)),INDEX(DATAS,W377+1)),"")</f>
        <v/>
      </c>
    </row>
    <row r="378" customFormat="false" ht="15" hidden="false" customHeight="false" outlineLevel="0" collapsed="false">
      <c r="A378" s="33" t="n">
        <v>46309</v>
      </c>
      <c r="B378" s="0" t="n">
        <v>3</v>
      </c>
      <c r="C378" s="0" t="n">
        <v>4054</v>
      </c>
      <c r="D378" s="0" t="n">
        <v>137</v>
      </c>
      <c r="E378" s="0" t="n">
        <v>2</v>
      </c>
      <c r="F378" s="27" t="s">
        <v>437</v>
      </c>
      <c r="G378" s="0" t="n">
        <v>68.7</v>
      </c>
      <c r="H378" s="0" t="n">
        <v>66</v>
      </c>
      <c r="I378" s="27" t="s">
        <v>168</v>
      </c>
      <c r="J378" s="0" t="n">
        <v>137</v>
      </c>
      <c r="K378" s="0" t="n">
        <v>67</v>
      </c>
      <c r="M378" s="0" t="n">
        <v>1031.2</v>
      </c>
      <c r="N378" s="0" t="n">
        <v>60.53</v>
      </c>
      <c r="O378" s="0" t="n">
        <v>36.15</v>
      </c>
      <c r="P378" s="0" t="n">
        <v>3</v>
      </c>
      <c r="Q378" s="0" t="n">
        <v>3.15</v>
      </c>
      <c r="R378" s="0" t="n">
        <v>5959</v>
      </c>
      <c r="S378" s="0" t="n">
        <v>12373</v>
      </c>
      <c r="T378" s="0" t="n">
        <v>64.8</v>
      </c>
      <c r="U378" s="0" t="n">
        <v>1573</v>
      </c>
      <c r="V378" s="0" t="n">
        <v>2</v>
      </c>
      <c r="W378" s="27" t="n">
        <f aca="false">MATCH(A378,DATAS,0)</f>
        <v>1</v>
      </c>
      <c r="X378" s="27" t="n">
        <f aca="false">IF(AND(E378&gt;0,OR(AND(B378&gt;=1,B378&lt;=6),B378=10)),1,0)</f>
        <v>1</v>
      </c>
      <c r="Y378" s="27" t="n">
        <f aca="false">IF(AND(E378&gt;0,B378=10),1,0)</f>
        <v>0</v>
      </c>
      <c r="Z378" s="0" t="str">
        <f aca="false">IF(AND(C377=C378,W377=W378-1),X377,"")</f>
        <v/>
      </c>
      <c r="AA378" s="0" t="str">
        <f aca="false">IF(AND(C377=C378,W377=W378-1),Y377,"")</f>
        <v/>
      </c>
      <c r="AB378" s="0" t="str">
        <f aca="false">IF(W378=1,"",IF(AND(X378=1,Z378&lt;&gt;1),1,0))</f>
        <v/>
      </c>
      <c r="AC378" s="0" t="str">
        <f aca="false">IF(W378=1,"",IF(AND(Y378=1,AA378&lt;&gt;1),1,0))</f>
        <v/>
      </c>
      <c r="AD378" s="33" t="str">
        <f aca="false">IF(AND(E378&gt;0,W378&lt;1,NOT(AND(C379=C378,W379=W378+1))),INDEX(DATAS,W378+1),"")</f>
        <v/>
      </c>
      <c r="AE378" s="33" t="str">
        <f aca="false">IF(AND(Y378=1,W378&lt;1),IF(AND(C379=C378,W379=W378+1),IF(Y379=1,"",INDEX(DATAS,W378+1)),INDEX(DATAS,W378+1)),"")</f>
        <v/>
      </c>
    </row>
    <row r="379" customFormat="false" ht="15" hidden="false" customHeight="false" outlineLevel="0" collapsed="false">
      <c r="A379" s="33" t="n">
        <v>46309</v>
      </c>
      <c r="B379" s="0" t="n">
        <v>9</v>
      </c>
      <c r="C379" s="0" t="n">
        <v>4055</v>
      </c>
      <c r="D379" s="0" t="n">
        <v>325</v>
      </c>
      <c r="E379" s="0" t="n">
        <v>3</v>
      </c>
      <c r="F379" s="27" t="s">
        <v>438</v>
      </c>
      <c r="I379" s="27" t="s">
        <v>143</v>
      </c>
      <c r="J379" s="0" t="n">
        <v>102</v>
      </c>
      <c r="K379" s="0" t="n">
        <v>67</v>
      </c>
      <c r="L379" s="0" t="n">
        <v>273</v>
      </c>
      <c r="M379" s="0" t="n">
        <v>568.16</v>
      </c>
      <c r="N379" s="0" t="n">
        <v>24.72</v>
      </c>
      <c r="O379" s="0" t="n">
        <v>25.38</v>
      </c>
      <c r="P379" s="0" t="n">
        <v>4.22</v>
      </c>
      <c r="Q379" s="0" t="n">
        <v>3.57</v>
      </c>
      <c r="R379" s="0" t="n">
        <v>5335</v>
      </c>
      <c r="S379" s="0" t="n">
        <v>10716</v>
      </c>
      <c r="T379" s="0" t="n">
        <v>58</v>
      </c>
      <c r="U379" s="0" t="n">
        <v>1572</v>
      </c>
      <c r="V379" s="0" t="n">
        <v>2</v>
      </c>
      <c r="W379" s="27" t="n">
        <f aca="false">MATCH(A379,DATAS,0)</f>
        <v>1</v>
      </c>
      <c r="X379" s="27" t="n">
        <f aca="false">IF(AND(E379&gt;0,OR(AND(B379&gt;=1,B379&lt;=6),B379=10)),1,0)</f>
        <v>0</v>
      </c>
      <c r="Y379" s="27" t="n">
        <f aca="false">IF(AND(E379&gt;0,B379=10),1,0)</f>
        <v>0</v>
      </c>
      <c r="Z379" s="0" t="str">
        <f aca="false">IF(AND(C378=C379,W378=W379-1),X378,"")</f>
        <v/>
      </c>
      <c r="AA379" s="0" t="str">
        <f aca="false">IF(AND(C378=C379,W378=W379-1),Y378,"")</f>
        <v/>
      </c>
      <c r="AB379" s="0" t="str">
        <f aca="false">IF(W379=1,"",IF(AND(X379=1,Z379&lt;&gt;1),1,0))</f>
        <v/>
      </c>
      <c r="AC379" s="0" t="str">
        <f aca="false">IF(W379=1,"",IF(AND(Y379=1,AA379&lt;&gt;1),1,0))</f>
        <v/>
      </c>
      <c r="AD379" s="33" t="str">
        <f aca="false">IF(AND(E379&gt;0,W379&lt;1,NOT(AND(C380=C379,W380=W379+1))),INDEX(DATAS,W379+1),"")</f>
        <v/>
      </c>
      <c r="AE379" s="33" t="str">
        <f aca="false">IF(AND(Y379=1,W379&lt;1),IF(AND(C380=C379,W380=W379+1),IF(Y380=1,"",INDEX(DATAS,W379+1)),INDEX(DATAS,W379+1)),"")</f>
        <v/>
      </c>
    </row>
    <row r="380" customFormat="false" ht="15" hidden="false" customHeight="false" outlineLevel="0" collapsed="false">
      <c r="A380" s="33" t="n">
        <v>46309</v>
      </c>
      <c r="B380" s="0" t="n">
        <v>5</v>
      </c>
      <c r="C380" s="0" t="n">
        <v>4060</v>
      </c>
      <c r="D380" s="0" t="n">
        <v>214</v>
      </c>
      <c r="E380" s="0" t="n">
        <v>2</v>
      </c>
      <c r="F380" s="27" t="s">
        <v>439</v>
      </c>
      <c r="G380" s="0" t="n">
        <v>45.9</v>
      </c>
      <c r="H380" s="0" t="n">
        <v>45</v>
      </c>
      <c r="I380" s="27" t="s">
        <v>138</v>
      </c>
      <c r="J380" s="0" t="n">
        <v>109</v>
      </c>
      <c r="K380" s="0" t="n">
        <v>67</v>
      </c>
      <c r="L380" s="0" t="n">
        <v>105</v>
      </c>
      <c r="M380" s="0" t="n">
        <v>718.78</v>
      </c>
      <c r="N380" s="0" t="n">
        <v>41.86</v>
      </c>
      <c r="O380" s="0" t="n">
        <v>22.13</v>
      </c>
      <c r="P380" s="0" t="n">
        <v>4.43</v>
      </c>
      <c r="Q380" s="0" t="n">
        <v>3.69</v>
      </c>
      <c r="R380" s="0" t="n">
        <v>5095</v>
      </c>
      <c r="S380" s="0" t="n">
        <v>10180</v>
      </c>
      <c r="T380" s="0" t="n">
        <v>56.35</v>
      </c>
      <c r="U380" s="0" t="n">
        <v>1570</v>
      </c>
      <c r="V380" s="0" t="n">
        <v>2</v>
      </c>
      <c r="W380" s="27" t="n">
        <f aca="false">MATCH(A380,DATAS,0)</f>
        <v>1</v>
      </c>
      <c r="X380" s="27" t="n">
        <f aca="false">IF(AND(E380&gt;0,OR(AND(B380&gt;=1,B380&lt;=6),B380=10)),1,0)</f>
        <v>1</v>
      </c>
      <c r="Y380" s="27" t="n">
        <f aca="false">IF(AND(E380&gt;0,B380=10),1,0)</f>
        <v>0</v>
      </c>
      <c r="Z380" s="0" t="str">
        <f aca="false">IF(AND(C379=C380,W379=W380-1),X379,"")</f>
        <v/>
      </c>
      <c r="AA380" s="0" t="str">
        <f aca="false">IF(AND(C379=C380,W379=W380-1),Y379,"")</f>
        <v/>
      </c>
      <c r="AB380" s="0" t="str">
        <f aca="false">IF(W380=1,"",IF(AND(X380=1,Z380&lt;&gt;1),1,0))</f>
        <v/>
      </c>
      <c r="AC380" s="0" t="str">
        <f aca="false">IF(W380=1,"",IF(AND(Y380=1,AA380&lt;&gt;1),1,0))</f>
        <v/>
      </c>
      <c r="AD380" s="33" t="str">
        <f aca="false">IF(AND(E380&gt;0,W380&lt;1,NOT(AND(C381=C380,W381=W380+1))),INDEX(DATAS,W380+1),"")</f>
        <v/>
      </c>
      <c r="AE380" s="33" t="str">
        <f aca="false">IF(AND(Y380=1,W380&lt;1),IF(AND(C381=C380,W381=W380+1),IF(Y381=1,"",INDEX(DATAS,W380+1)),INDEX(DATAS,W380+1)),"")</f>
        <v/>
      </c>
    </row>
    <row r="381" customFormat="false" ht="15" hidden="false" customHeight="false" outlineLevel="0" collapsed="false">
      <c r="A381" s="33" t="n">
        <v>46309</v>
      </c>
      <c r="B381" s="0" t="n">
        <v>2</v>
      </c>
      <c r="C381" s="0" t="n">
        <v>4061</v>
      </c>
      <c r="D381" s="0" t="n">
        <v>75</v>
      </c>
      <c r="E381" s="0" t="n">
        <v>3</v>
      </c>
      <c r="F381" s="27" t="s">
        <v>440</v>
      </c>
      <c r="G381" s="0" t="n">
        <v>59.5</v>
      </c>
      <c r="H381" s="0" t="n">
        <v>47</v>
      </c>
      <c r="I381" s="27" t="s">
        <v>168</v>
      </c>
      <c r="J381" s="0" t="n">
        <v>75</v>
      </c>
      <c r="K381" s="0" t="n">
        <v>68</v>
      </c>
      <c r="M381" s="0" t="n">
        <v>735.25</v>
      </c>
      <c r="N381" s="0" t="n">
        <v>53.6</v>
      </c>
      <c r="O381" s="0" t="n">
        <v>22.14</v>
      </c>
      <c r="P381" s="0" t="n">
        <v>3.12</v>
      </c>
      <c r="Q381" s="0" t="n">
        <v>2.89</v>
      </c>
      <c r="R381" s="0" t="n">
        <v>5029</v>
      </c>
      <c r="S381" s="0" t="n">
        <v>10108</v>
      </c>
      <c r="U381" s="0" t="n">
        <v>1569</v>
      </c>
      <c r="V381" s="0" t="n">
        <v>1</v>
      </c>
      <c r="W381" s="27" t="n">
        <f aca="false">MATCH(A381,DATAS,0)</f>
        <v>1</v>
      </c>
      <c r="X381" s="27" t="n">
        <f aca="false">IF(AND(E381&gt;0,OR(AND(B381&gt;=1,B381&lt;=6),B381=10)),1,0)</f>
        <v>1</v>
      </c>
      <c r="Y381" s="27" t="n">
        <f aca="false">IF(AND(E381&gt;0,B381=10),1,0)</f>
        <v>0</v>
      </c>
      <c r="Z381" s="0" t="str">
        <f aca="false">IF(AND(C380=C381,W380=W381-1),X380,"")</f>
        <v/>
      </c>
      <c r="AA381" s="0" t="str">
        <f aca="false">IF(AND(C380=C381,W380=W381-1),Y380,"")</f>
        <v/>
      </c>
      <c r="AB381" s="0" t="str">
        <f aca="false">IF(W381=1,"",IF(AND(X381=1,Z381&lt;&gt;1),1,0))</f>
        <v/>
      </c>
      <c r="AC381" s="0" t="str">
        <f aca="false">IF(W381=1,"",IF(AND(Y381=1,AA381&lt;&gt;1),1,0))</f>
        <v/>
      </c>
      <c r="AD381" s="33" t="str">
        <f aca="false">IF(AND(E381&gt;0,W381&lt;1,NOT(AND(C382=C381,W382=W381+1))),INDEX(DATAS,W381+1),"")</f>
        <v/>
      </c>
      <c r="AE381" s="33" t="str">
        <f aca="false">IF(AND(Y381=1,W381&lt;1),IF(AND(C382=C381,W382=W381+1),IF(Y382=1,"",INDEX(DATAS,W381+1)),INDEX(DATAS,W381+1)),"")</f>
        <v/>
      </c>
    </row>
    <row r="382" customFormat="false" ht="15" hidden="false" customHeight="false" outlineLevel="0" collapsed="false">
      <c r="A382" s="33" t="n">
        <v>46309</v>
      </c>
      <c r="B382" s="0" t="n">
        <v>5</v>
      </c>
      <c r="C382" s="0" t="n">
        <v>4063</v>
      </c>
      <c r="D382" s="0" t="n">
        <v>56</v>
      </c>
      <c r="E382" s="0" t="n">
        <v>3</v>
      </c>
      <c r="F382" s="27" t="s">
        <v>441</v>
      </c>
      <c r="G382" s="0" t="n">
        <v>46.7</v>
      </c>
      <c r="H382" s="0" t="n">
        <v>44</v>
      </c>
      <c r="I382" s="27" t="s">
        <v>147</v>
      </c>
      <c r="J382" s="0" t="n">
        <v>56</v>
      </c>
      <c r="M382" s="0" t="n">
        <v>532.82</v>
      </c>
      <c r="N382" s="0" t="n">
        <v>23.04</v>
      </c>
      <c r="O382" s="0" t="n">
        <v>23.62</v>
      </c>
      <c r="P382" s="0" t="n">
        <v>2.61</v>
      </c>
      <c r="Q382" s="0" t="n">
        <v>3.13</v>
      </c>
      <c r="R382" s="0" t="n">
        <v>3676</v>
      </c>
      <c r="S382" s="0" t="n">
        <v>7390</v>
      </c>
      <c r="U382" s="0" t="n">
        <v>1568</v>
      </c>
      <c r="V382" s="0" t="n">
        <v>0</v>
      </c>
      <c r="W382" s="27" t="n">
        <f aca="false">MATCH(A382,DATAS,0)</f>
        <v>1</v>
      </c>
      <c r="X382" s="27" t="n">
        <f aca="false">IF(AND(E382&gt;0,OR(AND(B382&gt;=1,B382&lt;=6),B382=10)),1,0)</f>
        <v>1</v>
      </c>
      <c r="Y382" s="27" t="n">
        <f aca="false">IF(AND(E382&gt;0,B382=10),1,0)</f>
        <v>0</v>
      </c>
      <c r="Z382" s="0" t="str">
        <f aca="false">IF(AND(C381=C382,W381=W382-1),X381,"")</f>
        <v/>
      </c>
      <c r="AA382" s="0" t="str">
        <f aca="false">IF(AND(C381=C382,W381=W382-1),Y381,"")</f>
        <v/>
      </c>
      <c r="AB382" s="0" t="str">
        <f aca="false">IF(W382=1,"",IF(AND(X382=1,Z382&lt;&gt;1),1,0))</f>
        <v/>
      </c>
      <c r="AC382" s="0" t="str">
        <f aca="false">IF(W382=1,"",IF(AND(Y382=1,AA382&lt;&gt;1),1,0))</f>
        <v/>
      </c>
      <c r="AD382" s="33" t="str">
        <f aca="false">IF(AND(E382&gt;0,W382&lt;1,NOT(AND(C383=C382,W383=W382+1))),INDEX(DATAS,W382+1),"")</f>
        <v/>
      </c>
      <c r="AE382" s="33" t="str">
        <f aca="false">IF(AND(Y382=1,W382&lt;1),IF(AND(C383=C382,W383=W382+1),IF(Y383=1,"",INDEX(DATAS,W382+1)),INDEX(DATAS,W382+1)),"")</f>
        <v/>
      </c>
    </row>
    <row r="383" customFormat="false" ht="15" hidden="false" customHeight="false" outlineLevel="0" collapsed="false">
      <c r="A383" s="33" t="n">
        <v>46309</v>
      </c>
      <c r="B383" s="0" t="n">
        <v>10</v>
      </c>
      <c r="C383" s="0" t="n">
        <v>4064</v>
      </c>
      <c r="D383" s="0" t="n">
        <v>244</v>
      </c>
      <c r="E383" s="0" t="n">
        <v>3</v>
      </c>
      <c r="F383" s="27" t="s">
        <v>442</v>
      </c>
      <c r="H383" s="0" t="n">
        <v>26</v>
      </c>
      <c r="I383" s="27" t="s">
        <v>138</v>
      </c>
      <c r="J383" s="0" t="n">
        <v>104</v>
      </c>
      <c r="K383" s="0" t="n">
        <v>69</v>
      </c>
      <c r="L383" s="0" t="n">
        <v>140</v>
      </c>
      <c r="M383" s="0" t="n">
        <v>593.5</v>
      </c>
      <c r="N383" s="0" t="n">
        <v>43.1</v>
      </c>
      <c r="O383" s="0" t="n">
        <v>23.29</v>
      </c>
      <c r="P383" s="0" t="n">
        <v>4.36</v>
      </c>
      <c r="Q383" s="0" t="n">
        <v>3.76</v>
      </c>
      <c r="R383" s="0" t="n">
        <v>5014</v>
      </c>
      <c r="S383" s="0" t="n">
        <v>10953</v>
      </c>
      <c r="T383" s="0" t="n">
        <v>54.65</v>
      </c>
      <c r="U383" s="0" t="n">
        <v>1567</v>
      </c>
      <c r="V383" s="0" t="n">
        <v>2</v>
      </c>
      <c r="W383" s="27" t="n">
        <f aca="false">MATCH(A383,DATAS,0)</f>
        <v>1</v>
      </c>
      <c r="X383" s="27" t="n">
        <f aca="false">IF(AND(E383&gt;0,OR(AND(B383&gt;=1,B383&lt;=6),B383=10)),1,0)</f>
        <v>1</v>
      </c>
      <c r="Y383" s="27" t="n">
        <f aca="false">IF(AND(E383&gt;0,B383=10),1,0)</f>
        <v>1</v>
      </c>
      <c r="Z383" s="0" t="str">
        <f aca="false">IF(AND(C382=C383,W382=W383-1),X382,"")</f>
        <v/>
      </c>
      <c r="AA383" s="0" t="str">
        <f aca="false">IF(AND(C382=C383,W382=W383-1),Y382,"")</f>
        <v/>
      </c>
      <c r="AB383" s="0" t="str">
        <f aca="false">IF(W383=1,"",IF(AND(X383=1,Z383&lt;&gt;1),1,0))</f>
        <v/>
      </c>
      <c r="AC383" s="0" t="str">
        <f aca="false">IF(W383=1,"",IF(AND(Y383=1,AA383&lt;&gt;1),1,0))</f>
        <v/>
      </c>
      <c r="AD383" s="33" t="str">
        <f aca="false">IF(AND(E383&gt;0,W383&lt;1,NOT(AND(C384=C383,W384=W383+1))),INDEX(DATAS,W383+1),"")</f>
        <v/>
      </c>
      <c r="AE383" s="33" t="str">
        <f aca="false">IF(AND(Y383=1,W383&lt;1),IF(AND(C384=C383,W384=W383+1),IF(Y384=1,"",INDEX(DATAS,W383+1)),INDEX(DATAS,W383+1)),"")</f>
        <v/>
      </c>
    </row>
    <row r="384" customFormat="false" ht="15" hidden="false" customHeight="false" outlineLevel="0" collapsed="false">
      <c r="A384" s="33" t="n">
        <v>46309</v>
      </c>
      <c r="B384" s="0" t="n">
        <v>6</v>
      </c>
      <c r="C384" s="0" t="n">
        <v>4065</v>
      </c>
      <c r="D384" s="0" t="n">
        <v>897</v>
      </c>
      <c r="E384" s="0" t="n">
        <v>1</v>
      </c>
      <c r="F384" s="27" t="s">
        <v>442</v>
      </c>
      <c r="G384" s="0" t="n">
        <v>28.6</v>
      </c>
      <c r="H384" s="0" t="n">
        <v>28</v>
      </c>
      <c r="I384" s="27" t="s">
        <v>151</v>
      </c>
      <c r="J384" s="0" t="n">
        <v>897</v>
      </c>
      <c r="K384" s="0" t="n">
        <v>65</v>
      </c>
      <c r="M384" s="0" t="n">
        <v>407.55</v>
      </c>
      <c r="N384" s="0" t="n">
        <v>67.65</v>
      </c>
      <c r="O384" s="0" t="n">
        <v>31.01</v>
      </c>
      <c r="P384" s="0" t="n">
        <v>6.25</v>
      </c>
      <c r="Q384" s="0" t="n">
        <v>4.48</v>
      </c>
      <c r="R384" s="0" t="n">
        <v>4103</v>
      </c>
      <c r="S384" s="0" t="n">
        <v>9233</v>
      </c>
      <c r="T384" s="0" t="n">
        <v>43.95</v>
      </c>
      <c r="U384" s="0" t="n">
        <v>1567</v>
      </c>
      <c r="V384" s="0" t="n">
        <v>16</v>
      </c>
      <c r="W384" s="27" t="n">
        <f aca="false">MATCH(A384,DATAS,0)</f>
        <v>1</v>
      </c>
      <c r="X384" s="27" t="n">
        <f aca="false">IF(AND(E384&gt;0,OR(AND(B384&gt;=1,B384&lt;=6),B384=10)),1,0)</f>
        <v>1</v>
      </c>
      <c r="Y384" s="27" t="n">
        <f aca="false">IF(AND(E384&gt;0,B384=10),1,0)</f>
        <v>0</v>
      </c>
      <c r="Z384" s="0" t="str">
        <f aca="false">IF(AND(C383=C384,W383=W384-1),X383,"")</f>
        <v/>
      </c>
      <c r="AA384" s="0" t="str">
        <f aca="false">IF(AND(C383=C384,W383=W384-1),Y383,"")</f>
        <v/>
      </c>
      <c r="AB384" s="0" t="str">
        <f aca="false">IF(W384=1,"",IF(AND(X384=1,Z384&lt;&gt;1),1,0))</f>
        <v/>
      </c>
      <c r="AC384" s="0" t="str">
        <f aca="false">IF(W384=1,"",IF(AND(Y384=1,AA384&lt;&gt;1),1,0))</f>
        <v/>
      </c>
      <c r="AD384" s="33" t="str">
        <f aca="false">IF(AND(E384&gt;0,W384&lt;1,NOT(AND(C385=C384,W385=W384+1))),INDEX(DATAS,W384+1),"")</f>
        <v/>
      </c>
      <c r="AE384" s="33" t="str">
        <f aca="false">IF(AND(Y384=1,W384&lt;1),IF(AND(C385=C384,W385=W384+1),IF(Y385=1,"",INDEX(DATAS,W384+1)),INDEX(DATAS,W384+1)),"")</f>
        <v/>
      </c>
    </row>
    <row r="385" customFormat="false" ht="15" hidden="false" customHeight="false" outlineLevel="0" collapsed="false">
      <c r="A385" s="33" t="n">
        <v>46309</v>
      </c>
      <c r="B385" s="0" t="n">
        <v>5</v>
      </c>
      <c r="C385" s="0" t="n">
        <v>4067</v>
      </c>
      <c r="D385" s="0" t="n">
        <v>280</v>
      </c>
      <c r="E385" s="0" t="n">
        <v>2</v>
      </c>
      <c r="F385" s="27" t="s">
        <v>443</v>
      </c>
      <c r="G385" s="0" t="n">
        <v>39.8</v>
      </c>
      <c r="H385" s="0" t="n">
        <v>37</v>
      </c>
      <c r="I385" s="27" t="s">
        <v>151</v>
      </c>
      <c r="J385" s="0" t="n">
        <v>280</v>
      </c>
      <c r="K385" s="0" t="n">
        <v>70</v>
      </c>
      <c r="M385" s="0" t="n">
        <v>1191.55</v>
      </c>
      <c r="N385" s="0" t="n">
        <v>68.58</v>
      </c>
      <c r="O385" s="0" t="n">
        <v>36.08</v>
      </c>
      <c r="P385" s="0" t="n">
        <v>4.76</v>
      </c>
      <c r="Q385" s="0" t="n">
        <v>3.88</v>
      </c>
      <c r="R385" s="0" t="n">
        <v>4622</v>
      </c>
      <c r="S385" s="0" t="n">
        <v>9130</v>
      </c>
      <c r="T385" s="0" t="n">
        <v>48.9</v>
      </c>
      <c r="U385" s="0" t="n">
        <v>1565</v>
      </c>
      <c r="V385" s="0" t="n">
        <v>2</v>
      </c>
      <c r="W385" s="27" t="n">
        <f aca="false">MATCH(A385,DATAS,0)</f>
        <v>1</v>
      </c>
      <c r="X385" s="27" t="n">
        <f aca="false">IF(AND(E385&gt;0,OR(AND(B385&gt;=1,B385&lt;=6),B385=10)),1,0)</f>
        <v>1</v>
      </c>
      <c r="Y385" s="27" t="n">
        <f aca="false">IF(AND(E385&gt;0,B385=10),1,0)</f>
        <v>0</v>
      </c>
      <c r="Z385" s="0" t="str">
        <f aca="false">IF(AND(C384=C385,W384=W385-1),X384,"")</f>
        <v/>
      </c>
      <c r="AA385" s="0" t="str">
        <f aca="false">IF(AND(C384=C385,W384=W385-1),Y384,"")</f>
        <v/>
      </c>
      <c r="AB385" s="0" t="str">
        <f aca="false">IF(W385=1,"",IF(AND(X385=1,Z385&lt;&gt;1),1,0))</f>
        <v/>
      </c>
      <c r="AC385" s="0" t="str">
        <f aca="false">IF(W385=1,"",IF(AND(Y385=1,AA385&lt;&gt;1),1,0))</f>
        <v/>
      </c>
      <c r="AD385" s="33" t="str">
        <f aca="false">IF(AND(E385&gt;0,W385&lt;1,NOT(AND(C386=C385,W386=W385+1))),INDEX(DATAS,W385+1),"")</f>
        <v/>
      </c>
      <c r="AE385" s="33" t="str">
        <f aca="false">IF(AND(Y385=1,W385&lt;1),IF(AND(C386=C385,W386=W385+1),IF(Y386=1,"",INDEX(DATAS,W385+1)),INDEX(DATAS,W385+1)),"")</f>
        <v/>
      </c>
    </row>
    <row r="386" customFormat="false" ht="15" hidden="false" customHeight="false" outlineLevel="0" collapsed="false">
      <c r="A386" s="33" t="n">
        <v>46309</v>
      </c>
      <c r="B386" s="0" t="n">
        <v>2</v>
      </c>
      <c r="C386" s="0" t="n">
        <v>4071</v>
      </c>
      <c r="D386" s="0" t="n">
        <v>137</v>
      </c>
      <c r="E386" s="0" t="n">
        <v>3</v>
      </c>
      <c r="F386" s="27" t="s">
        <v>444</v>
      </c>
      <c r="G386" s="0" t="n">
        <v>51.7</v>
      </c>
      <c r="H386" s="0" t="n">
        <v>48</v>
      </c>
      <c r="I386" s="27" t="s">
        <v>138</v>
      </c>
      <c r="J386" s="0" t="n">
        <v>67</v>
      </c>
      <c r="K386" s="0" t="n">
        <v>67</v>
      </c>
      <c r="L386" s="0" t="n">
        <v>70</v>
      </c>
      <c r="M386" s="0" t="n">
        <v>651.59</v>
      </c>
      <c r="N386" s="0" t="n">
        <v>28.34</v>
      </c>
      <c r="O386" s="0" t="n">
        <v>23.7</v>
      </c>
      <c r="P386" s="0" t="n">
        <v>3.54</v>
      </c>
      <c r="Q386" s="0" t="n">
        <v>3.16</v>
      </c>
      <c r="R386" s="0" t="n">
        <v>5855</v>
      </c>
      <c r="S386" s="0" t="n">
        <v>11697</v>
      </c>
      <c r="T386" s="0" t="n">
        <v>61.1</v>
      </c>
      <c r="U386" s="0" t="n">
        <v>1563</v>
      </c>
      <c r="V386" s="0" t="n">
        <v>1</v>
      </c>
      <c r="W386" s="27" t="n">
        <f aca="false">MATCH(A386,DATAS,0)</f>
        <v>1</v>
      </c>
      <c r="X386" s="27" t="n">
        <f aca="false">IF(AND(E386&gt;0,OR(AND(B386&gt;=1,B386&lt;=6),B386=10)),1,0)</f>
        <v>1</v>
      </c>
      <c r="Y386" s="27" t="n">
        <f aca="false">IF(AND(E386&gt;0,B386=10),1,0)</f>
        <v>0</v>
      </c>
      <c r="Z386" s="0" t="str">
        <f aca="false">IF(AND(C385=C386,W385=W386-1),X385,"")</f>
        <v/>
      </c>
      <c r="AA386" s="0" t="str">
        <f aca="false">IF(AND(C385=C386,W385=W386-1),Y385,"")</f>
        <v/>
      </c>
      <c r="AB386" s="0" t="str">
        <f aca="false">IF(W386=1,"",IF(AND(X386=1,Z386&lt;&gt;1),1,0))</f>
        <v/>
      </c>
      <c r="AC386" s="0" t="str">
        <f aca="false">IF(W386=1,"",IF(AND(Y386=1,AA386&lt;&gt;1),1,0))</f>
        <v/>
      </c>
      <c r="AD386" s="33" t="str">
        <f aca="false">IF(AND(E386&gt;0,W386&lt;1,NOT(AND(C387=C386,W387=W386+1))),INDEX(DATAS,W386+1),"")</f>
        <v/>
      </c>
      <c r="AE386" s="33" t="str">
        <f aca="false">IF(AND(Y386=1,W386&lt;1),IF(AND(C387=C386,W387=W386+1),IF(Y387=1,"",INDEX(DATAS,W386+1)),INDEX(DATAS,W386+1)),"")</f>
        <v/>
      </c>
    </row>
    <row r="387" customFormat="false" ht="15" hidden="false" customHeight="false" outlineLevel="0" collapsed="false">
      <c r="A387" s="33" t="n">
        <v>46309</v>
      </c>
      <c r="B387" s="0" t="n">
        <v>6</v>
      </c>
      <c r="C387" s="0" t="n">
        <v>4074</v>
      </c>
      <c r="D387" s="0" t="n">
        <v>182</v>
      </c>
      <c r="E387" s="0" t="n">
        <v>3</v>
      </c>
      <c r="F387" s="27" t="s">
        <v>445</v>
      </c>
      <c r="G387" s="0" t="n">
        <v>19.7</v>
      </c>
      <c r="H387" s="0" t="n">
        <v>22</v>
      </c>
      <c r="I387" s="27" t="s">
        <v>176</v>
      </c>
      <c r="J387" s="0" t="n">
        <v>182</v>
      </c>
      <c r="K387" s="0" t="n">
        <v>63</v>
      </c>
      <c r="M387" s="0" t="n">
        <v>269.95</v>
      </c>
      <c r="N387" s="0" t="n">
        <v>-1.06</v>
      </c>
      <c r="O387" s="0" t="n">
        <v>17.89</v>
      </c>
      <c r="P387" s="0" t="n">
        <v>2.67</v>
      </c>
      <c r="Q387" s="0" t="n">
        <v>3.66</v>
      </c>
      <c r="R387" s="0" t="n">
        <v>3933</v>
      </c>
      <c r="S387" s="0" t="n">
        <v>7611</v>
      </c>
      <c r="T387" s="0" t="n">
        <v>42.3</v>
      </c>
      <c r="U387" s="0" t="n">
        <v>1562</v>
      </c>
      <c r="V387" s="0" t="n">
        <v>3</v>
      </c>
      <c r="W387" s="27" t="n">
        <f aca="false">MATCH(A387,DATAS,0)</f>
        <v>1</v>
      </c>
      <c r="X387" s="27" t="n">
        <f aca="false">IF(AND(E387&gt;0,OR(AND(B387&gt;=1,B387&lt;=6),B387=10)),1,0)</f>
        <v>1</v>
      </c>
      <c r="Y387" s="27" t="n">
        <f aca="false">IF(AND(E387&gt;0,B387=10),1,0)</f>
        <v>0</v>
      </c>
      <c r="Z387" s="0" t="str">
        <f aca="false">IF(AND(C386=C387,W386=W387-1),X386,"")</f>
        <v/>
      </c>
      <c r="AA387" s="0" t="str">
        <f aca="false">IF(AND(C386=C387,W386=W387-1),Y386,"")</f>
        <v/>
      </c>
      <c r="AB387" s="0" t="str">
        <f aca="false">IF(W387=1,"",IF(AND(X387=1,Z387&lt;&gt;1),1,0))</f>
        <v/>
      </c>
      <c r="AC387" s="0" t="str">
        <f aca="false">IF(W387=1,"",IF(AND(Y387=1,AA387&lt;&gt;1),1,0))</f>
        <v/>
      </c>
      <c r="AD387" s="33" t="str">
        <f aca="false">IF(AND(E387&gt;0,W387&lt;1,NOT(AND(C388=C387,W388=W387+1))),INDEX(DATAS,W387+1),"")</f>
        <v/>
      </c>
      <c r="AE387" s="33" t="str">
        <f aca="false">IF(AND(Y387=1,W387&lt;1),IF(AND(C388=C387,W388=W387+1),IF(Y388=1,"",INDEX(DATAS,W387+1)),INDEX(DATAS,W387+1)),"")</f>
        <v/>
      </c>
    </row>
    <row r="388" customFormat="false" ht="15" hidden="false" customHeight="false" outlineLevel="0" collapsed="false">
      <c r="A388" s="33" t="n">
        <v>46309</v>
      </c>
      <c r="B388" s="0" t="n">
        <v>10</v>
      </c>
      <c r="C388" s="0" t="n">
        <v>4075</v>
      </c>
      <c r="D388" s="0" t="n">
        <v>10</v>
      </c>
      <c r="E388" s="0" t="n">
        <v>3</v>
      </c>
      <c r="F388" s="27" t="s">
        <v>445</v>
      </c>
      <c r="G388" s="0" t="n">
        <v>33.8</v>
      </c>
      <c r="H388" s="0" t="n">
        <v>22</v>
      </c>
      <c r="I388" s="27" t="s">
        <v>147</v>
      </c>
      <c r="J388" s="0" t="n">
        <v>10</v>
      </c>
      <c r="M388" s="0" t="n">
        <v>804.73</v>
      </c>
      <c r="N388" s="0" t="n">
        <v>42.67</v>
      </c>
      <c r="O388" s="0" t="n">
        <v>27.35</v>
      </c>
      <c r="R388" s="0" t="n">
        <v>1889</v>
      </c>
      <c r="S388" s="0" t="n">
        <v>3797</v>
      </c>
      <c r="U388" s="0" t="n">
        <v>1562</v>
      </c>
      <c r="V388" s="0" t="n">
        <v>0</v>
      </c>
      <c r="W388" s="27" t="n">
        <f aca="false">MATCH(A388,DATAS,0)</f>
        <v>1</v>
      </c>
      <c r="X388" s="27" t="n">
        <f aca="false">IF(AND(E388&gt;0,OR(AND(B388&gt;=1,B388&lt;=6),B388=10)),1,0)</f>
        <v>1</v>
      </c>
      <c r="Y388" s="27" t="n">
        <f aca="false">IF(AND(E388&gt;0,B388=10),1,0)</f>
        <v>1</v>
      </c>
      <c r="Z388" s="0" t="str">
        <f aca="false">IF(AND(C387=C388,W387=W388-1),X387,"")</f>
        <v/>
      </c>
      <c r="AA388" s="0" t="str">
        <f aca="false">IF(AND(C387=C388,W387=W388-1),Y387,"")</f>
        <v/>
      </c>
      <c r="AB388" s="0" t="str">
        <f aca="false">IF(W388=1,"",IF(AND(X388=1,Z388&lt;&gt;1),1,0))</f>
        <v/>
      </c>
      <c r="AC388" s="0" t="str">
        <f aca="false">IF(W388=1,"",IF(AND(Y388=1,AA388&lt;&gt;1),1,0))</f>
        <v/>
      </c>
      <c r="AD388" s="33" t="str">
        <f aca="false">IF(AND(E388&gt;0,W388&lt;1,NOT(AND(C389=C388,W389=W388+1))),INDEX(DATAS,W388+1),"")</f>
        <v/>
      </c>
      <c r="AE388" s="33" t="str">
        <f aca="false">IF(AND(Y388=1,W388&lt;1),IF(AND(C389=C388,W389=W388+1),IF(Y389=1,"",INDEX(DATAS,W388+1)),INDEX(DATAS,W388+1)),"")</f>
        <v/>
      </c>
    </row>
    <row r="389" customFormat="false" ht="15" hidden="false" customHeight="false" outlineLevel="0" collapsed="false">
      <c r="A389" s="33" t="n">
        <v>46309</v>
      </c>
      <c r="B389" s="0" t="n">
        <v>3</v>
      </c>
      <c r="C389" s="0" t="n">
        <v>4078</v>
      </c>
      <c r="D389" s="0" t="n">
        <v>154</v>
      </c>
      <c r="E389" s="0" t="n">
        <v>3</v>
      </c>
      <c r="F389" s="27" t="s">
        <v>446</v>
      </c>
      <c r="G389" s="0" t="n">
        <v>59.1</v>
      </c>
      <c r="H389" s="0" t="n">
        <v>59</v>
      </c>
      <c r="I389" s="27" t="s">
        <v>176</v>
      </c>
      <c r="J389" s="0" t="n">
        <v>154</v>
      </c>
      <c r="K389" s="0" t="n">
        <v>63</v>
      </c>
      <c r="M389" s="0" t="n">
        <v>420.55</v>
      </c>
      <c r="N389" s="0" t="n">
        <v>47.43</v>
      </c>
      <c r="O389" s="0" t="n">
        <v>28.37</v>
      </c>
      <c r="P389" s="0" t="n">
        <v>2.1</v>
      </c>
      <c r="Q389" s="0" t="n">
        <v>3.16</v>
      </c>
      <c r="R389" s="0" t="n">
        <v>5766</v>
      </c>
      <c r="S389" s="0" t="n">
        <v>11935</v>
      </c>
      <c r="T389" s="0" t="n">
        <v>62.7</v>
      </c>
      <c r="U389" s="0" t="n">
        <v>1561</v>
      </c>
      <c r="V389" s="0" t="n">
        <v>3</v>
      </c>
      <c r="W389" s="27" t="n">
        <f aca="false">MATCH(A389,DATAS,0)</f>
        <v>1</v>
      </c>
      <c r="X389" s="27" t="n">
        <f aca="false">IF(AND(E389&gt;0,OR(AND(B389&gt;=1,B389&lt;=6),B389=10)),1,0)</f>
        <v>1</v>
      </c>
      <c r="Y389" s="27" t="n">
        <f aca="false">IF(AND(E389&gt;0,B389=10),1,0)</f>
        <v>0</v>
      </c>
      <c r="Z389" s="0" t="str">
        <f aca="false">IF(AND(C388=C389,W388=W389-1),X388,"")</f>
        <v/>
      </c>
      <c r="AA389" s="0" t="str">
        <f aca="false">IF(AND(C388=C389,W388=W389-1),Y388,"")</f>
        <v/>
      </c>
      <c r="AB389" s="0" t="str">
        <f aca="false">IF(W389=1,"",IF(AND(X389=1,Z389&lt;&gt;1),1,0))</f>
        <v/>
      </c>
      <c r="AC389" s="0" t="str">
        <f aca="false">IF(W389=1,"",IF(AND(Y389=1,AA389&lt;&gt;1),1,0))</f>
        <v/>
      </c>
      <c r="AD389" s="33" t="str">
        <f aca="false">IF(AND(E389&gt;0,W389&lt;1,NOT(AND(C390=C389,W390=W389+1))),INDEX(DATAS,W389+1),"")</f>
        <v/>
      </c>
      <c r="AE389" s="33" t="str">
        <f aca="false">IF(AND(Y389=1,W389&lt;1),IF(AND(C390=C389,W390=W389+1),IF(Y390=1,"",INDEX(DATAS,W389+1)),INDEX(DATAS,W389+1)),"")</f>
        <v/>
      </c>
    </row>
    <row r="390" customFormat="false" ht="15" hidden="false" customHeight="false" outlineLevel="0" collapsed="false">
      <c r="A390" s="33" t="n">
        <v>46309</v>
      </c>
      <c r="B390" s="0" t="n">
        <v>14</v>
      </c>
      <c r="C390" s="0" t="n">
        <v>4083</v>
      </c>
      <c r="D390" s="0" t="n">
        <v>387</v>
      </c>
      <c r="E390" s="0" t="n">
        <v>2</v>
      </c>
      <c r="F390" s="27" t="s">
        <v>447</v>
      </c>
      <c r="I390" s="27" t="s">
        <v>143</v>
      </c>
      <c r="J390" s="0" t="n">
        <v>164</v>
      </c>
      <c r="K390" s="0" t="n">
        <v>59</v>
      </c>
      <c r="L390" s="0" t="n">
        <v>259</v>
      </c>
      <c r="M390" s="0" t="n">
        <v>1046.21</v>
      </c>
      <c r="N390" s="0" t="n">
        <v>44.08</v>
      </c>
      <c r="O390" s="0" t="n">
        <v>41.55</v>
      </c>
      <c r="P390" s="0" t="n">
        <v>3.22</v>
      </c>
      <c r="Q390" s="0" t="n">
        <v>3.48</v>
      </c>
      <c r="R390" s="0" t="n">
        <v>6190</v>
      </c>
      <c r="S390" s="0" t="n">
        <v>12116</v>
      </c>
      <c r="T390" s="0" t="n">
        <v>68.5</v>
      </c>
      <c r="U390" s="0" t="n">
        <v>1557</v>
      </c>
      <c r="V390" s="0" t="n">
        <v>4</v>
      </c>
      <c r="W390" s="27" t="n">
        <f aca="false">MATCH(A390,DATAS,0)</f>
        <v>1</v>
      </c>
      <c r="X390" s="27" t="n">
        <f aca="false">IF(AND(E390&gt;0,OR(AND(B390&gt;=1,B390&lt;=6),B390=10)),1,0)</f>
        <v>0</v>
      </c>
      <c r="Y390" s="27" t="n">
        <f aca="false">IF(AND(E390&gt;0,B390=10),1,0)</f>
        <v>0</v>
      </c>
      <c r="Z390" s="0" t="str">
        <f aca="false">IF(AND(C389=C390,W389=W390-1),X389,"")</f>
        <v/>
      </c>
      <c r="AA390" s="0" t="str">
        <f aca="false">IF(AND(C389=C390,W389=W390-1),Y389,"")</f>
        <v/>
      </c>
      <c r="AB390" s="0" t="str">
        <f aca="false">IF(W390=1,"",IF(AND(X390=1,Z390&lt;&gt;1),1,0))</f>
        <v/>
      </c>
      <c r="AC390" s="0" t="str">
        <f aca="false">IF(W390=1,"",IF(AND(Y390=1,AA390&lt;&gt;1),1,0))</f>
        <v/>
      </c>
      <c r="AD390" s="33" t="str">
        <f aca="false">IF(AND(E390&gt;0,W390&lt;1,NOT(AND(C391=C390,W391=W390+1))),INDEX(DATAS,W390+1),"")</f>
        <v/>
      </c>
      <c r="AE390" s="33" t="str">
        <f aca="false">IF(AND(Y390=1,W390&lt;1),IF(AND(C391=C390,W391=W390+1),IF(Y391=1,"",INDEX(DATAS,W390+1)),INDEX(DATAS,W390+1)),"")</f>
        <v/>
      </c>
    </row>
    <row r="391" customFormat="false" ht="15" hidden="false" customHeight="false" outlineLevel="0" collapsed="false">
      <c r="A391" s="33" t="n">
        <v>46309</v>
      </c>
      <c r="B391" s="0" t="n">
        <v>3</v>
      </c>
      <c r="C391" s="0" t="n">
        <v>4085</v>
      </c>
      <c r="D391" s="0" t="n">
        <v>46</v>
      </c>
      <c r="E391" s="0" t="n">
        <v>3</v>
      </c>
      <c r="F391" s="27" t="s">
        <v>447</v>
      </c>
      <c r="G391" s="0" t="n">
        <v>62.2</v>
      </c>
      <c r="H391" s="0" t="n">
        <v>58</v>
      </c>
      <c r="I391" s="27" t="s">
        <v>147</v>
      </c>
      <c r="J391" s="0" t="n">
        <v>46</v>
      </c>
      <c r="M391" s="0" t="n">
        <v>225.7</v>
      </c>
      <c r="N391" s="0" t="n">
        <v>43.09</v>
      </c>
      <c r="O391" s="0" t="n">
        <v>28.59</v>
      </c>
      <c r="P391" s="0" t="n">
        <v>5.8</v>
      </c>
      <c r="Q391" s="0" t="n">
        <v>3.72</v>
      </c>
      <c r="R391" s="0" t="n">
        <v>4622</v>
      </c>
      <c r="S391" s="0" t="n">
        <v>9291</v>
      </c>
      <c r="U391" s="0" t="n">
        <v>1557</v>
      </c>
      <c r="V391" s="0" t="n">
        <v>0</v>
      </c>
      <c r="W391" s="27" t="n">
        <f aca="false">MATCH(A391,DATAS,0)</f>
        <v>1</v>
      </c>
      <c r="X391" s="27" t="n">
        <f aca="false">IF(AND(E391&gt;0,OR(AND(B391&gt;=1,B391&lt;=6),B391=10)),1,0)</f>
        <v>1</v>
      </c>
      <c r="Y391" s="27" t="n">
        <f aca="false">IF(AND(E391&gt;0,B391=10),1,0)</f>
        <v>0</v>
      </c>
      <c r="Z391" s="0" t="str">
        <f aca="false">IF(AND(C390=C391,W390=W391-1),X390,"")</f>
        <v/>
      </c>
      <c r="AA391" s="0" t="str">
        <f aca="false">IF(AND(C390=C391,W390=W391-1),Y390,"")</f>
        <v/>
      </c>
      <c r="AB391" s="0" t="str">
        <f aca="false">IF(W391=1,"",IF(AND(X391=1,Z391&lt;&gt;1),1,0))</f>
        <v/>
      </c>
      <c r="AC391" s="0" t="str">
        <f aca="false">IF(W391=1,"",IF(AND(Y391=1,AA391&lt;&gt;1),1,0))</f>
        <v/>
      </c>
      <c r="AD391" s="33" t="str">
        <f aca="false">IF(AND(E391&gt;0,W391&lt;1,NOT(AND(C392=C391,W392=W391+1))),INDEX(DATAS,W391+1),"")</f>
        <v/>
      </c>
      <c r="AE391" s="33" t="str">
        <f aca="false">IF(AND(Y391=1,W391&lt;1),IF(AND(C392=C391,W392=W391+1),IF(Y392=1,"",INDEX(DATAS,W391+1)),INDEX(DATAS,W391+1)),"")</f>
        <v/>
      </c>
    </row>
    <row r="392" customFormat="false" ht="15" hidden="false" customHeight="false" outlineLevel="0" collapsed="false">
      <c r="A392" s="33" t="n">
        <v>46309</v>
      </c>
      <c r="B392" s="0" t="n">
        <v>2</v>
      </c>
      <c r="C392" s="0" t="n">
        <v>4086</v>
      </c>
      <c r="D392" s="0" t="n">
        <v>126</v>
      </c>
      <c r="E392" s="0" t="n">
        <v>3</v>
      </c>
      <c r="F392" s="27" t="s">
        <v>447</v>
      </c>
      <c r="G392" s="0" t="n">
        <v>64.1</v>
      </c>
      <c r="H392" s="0" t="n">
        <v>64</v>
      </c>
      <c r="I392" s="27" t="s">
        <v>138</v>
      </c>
      <c r="J392" s="0" t="n">
        <v>91</v>
      </c>
      <c r="K392" s="0" t="n">
        <v>70</v>
      </c>
      <c r="L392" s="0" t="n">
        <v>35</v>
      </c>
      <c r="M392" s="0" t="n">
        <v>675.79</v>
      </c>
      <c r="N392" s="0" t="n">
        <v>52.5</v>
      </c>
      <c r="O392" s="0" t="n">
        <v>30.28</v>
      </c>
      <c r="P392" s="0" t="n">
        <v>3.92</v>
      </c>
      <c r="Q392" s="0" t="n">
        <v>3.33</v>
      </c>
      <c r="R392" s="0" t="n">
        <v>5903</v>
      </c>
      <c r="S392" s="0" t="n">
        <v>12143</v>
      </c>
      <c r="T392" s="0" t="n">
        <v>62.7</v>
      </c>
      <c r="U392" s="0" t="n">
        <v>1557</v>
      </c>
      <c r="V392" s="0" t="n">
        <v>2</v>
      </c>
      <c r="W392" s="27" t="n">
        <f aca="false">MATCH(A392,DATAS,0)</f>
        <v>1</v>
      </c>
      <c r="X392" s="27" t="n">
        <f aca="false">IF(AND(E392&gt;0,OR(AND(B392&gt;=1,B392&lt;=6),B392=10)),1,0)</f>
        <v>1</v>
      </c>
      <c r="Y392" s="27" t="n">
        <f aca="false">IF(AND(E392&gt;0,B392=10),1,0)</f>
        <v>0</v>
      </c>
      <c r="Z392" s="0" t="str">
        <f aca="false">IF(AND(C391=C392,W391=W392-1),X391,"")</f>
        <v/>
      </c>
      <c r="AA392" s="0" t="str">
        <f aca="false">IF(AND(C391=C392,W391=W392-1),Y391,"")</f>
        <v/>
      </c>
      <c r="AB392" s="0" t="str">
        <f aca="false">IF(W392=1,"",IF(AND(X392=1,Z392&lt;&gt;1),1,0))</f>
        <v/>
      </c>
      <c r="AC392" s="0" t="str">
        <f aca="false">IF(W392=1,"",IF(AND(Y392=1,AA392&lt;&gt;1),1,0))</f>
        <v/>
      </c>
      <c r="AD392" s="33" t="str">
        <f aca="false">IF(AND(E392&gt;0,W392&lt;1,NOT(AND(C393=C392,W393=W392+1))),INDEX(DATAS,W392+1),"")</f>
        <v/>
      </c>
      <c r="AE392" s="33" t="str">
        <f aca="false">IF(AND(Y392=1,W392&lt;1),IF(AND(C393=C392,W393=W392+1),IF(Y393=1,"",INDEX(DATAS,W392+1)),INDEX(DATAS,W392+1)),"")</f>
        <v/>
      </c>
    </row>
    <row r="393" customFormat="false" ht="15" hidden="false" customHeight="false" outlineLevel="0" collapsed="false">
      <c r="A393" s="33" t="n">
        <v>46309</v>
      </c>
      <c r="B393" s="0" t="n">
        <v>3</v>
      </c>
      <c r="C393" s="0" t="n">
        <v>4090</v>
      </c>
      <c r="D393" s="0" t="n">
        <v>48</v>
      </c>
      <c r="E393" s="0" t="n">
        <v>3</v>
      </c>
      <c r="F393" s="27" t="s">
        <v>448</v>
      </c>
      <c r="G393" s="0" t="n">
        <v>58.5</v>
      </c>
      <c r="H393" s="0" t="n">
        <v>58</v>
      </c>
      <c r="I393" s="27" t="s">
        <v>147</v>
      </c>
      <c r="J393" s="0" t="n">
        <v>48</v>
      </c>
      <c r="M393" s="0" t="n">
        <v>561.78</v>
      </c>
      <c r="N393" s="0" t="n">
        <v>49.53</v>
      </c>
      <c r="O393" s="0" t="n">
        <v>37.1</v>
      </c>
      <c r="P393" s="0" t="n">
        <v>3.29</v>
      </c>
      <c r="Q393" s="0" t="n">
        <v>3.59</v>
      </c>
      <c r="R393" s="0" t="n">
        <v>4900</v>
      </c>
      <c r="S393" s="0" t="n">
        <v>9851</v>
      </c>
      <c r="U393" s="0" t="n">
        <v>1555</v>
      </c>
      <c r="V393" s="0" t="n">
        <v>0</v>
      </c>
      <c r="W393" s="27" t="n">
        <f aca="false">MATCH(A393,DATAS,0)</f>
        <v>1</v>
      </c>
      <c r="X393" s="27" t="n">
        <f aca="false">IF(AND(E393&gt;0,OR(AND(B393&gt;=1,B393&lt;=6),B393=10)),1,0)</f>
        <v>1</v>
      </c>
      <c r="Y393" s="27" t="n">
        <f aca="false">IF(AND(E393&gt;0,B393=10),1,0)</f>
        <v>0</v>
      </c>
      <c r="Z393" s="0" t="str">
        <f aca="false">IF(AND(C392=C393,W392=W393-1),X392,"")</f>
        <v/>
      </c>
      <c r="AA393" s="0" t="str">
        <f aca="false">IF(AND(C392=C393,W392=W393-1),Y392,"")</f>
        <v/>
      </c>
      <c r="AB393" s="0" t="str">
        <f aca="false">IF(W393=1,"",IF(AND(X393=1,Z393&lt;&gt;1),1,0))</f>
        <v/>
      </c>
      <c r="AC393" s="0" t="str">
        <f aca="false">IF(W393=1,"",IF(AND(Y393=1,AA393&lt;&gt;1),1,0))</f>
        <v/>
      </c>
      <c r="AD393" s="33" t="str">
        <f aca="false">IF(AND(E393&gt;0,W393&lt;1,NOT(AND(C394=C393,W394=W393+1))),INDEX(DATAS,W393+1),"")</f>
        <v/>
      </c>
      <c r="AE393" s="33" t="str">
        <f aca="false">IF(AND(Y393=1,W393&lt;1),IF(AND(C394=C393,W394=W393+1),IF(Y394=1,"",INDEX(DATAS,W393+1)),INDEX(DATAS,W393+1)),"")</f>
        <v/>
      </c>
    </row>
    <row r="394" customFormat="false" ht="15" hidden="false" customHeight="false" outlineLevel="0" collapsed="false">
      <c r="A394" s="33" t="n">
        <v>46309</v>
      </c>
      <c r="B394" s="0" t="n">
        <v>3</v>
      </c>
      <c r="C394" s="0" t="n">
        <v>4091</v>
      </c>
      <c r="D394" s="0" t="n">
        <v>121</v>
      </c>
      <c r="E394" s="0" t="n">
        <v>3</v>
      </c>
      <c r="F394" s="27" t="s">
        <v>449</v>
      </c>
      <c r="G394" s="0" t="n">
        <v>57.7</v>
      </c>
      <c r="H394" s="0" t="n">
        <v>57</v>
      </c>
      <c r="I394" s="27" t="s">
        <v>168</v>
      </c>
      <c r="J394" s="0" t="n">
        <v>121</v>
      </c>
      <c r="K394" s="0" t="n">
        <v>65</v>
      </c>
      <c r="M394" s="0" t="n">
        <v>431.97</v>
      </c>
      <c r="N394" s="0" t="n">
        <v>27.71</v>
      </c>
      <c r="O394" s="0" t="n">
        <v>14.54</v>
      </c>
      <c r="P394" s="0" t="n">
        <v>3.1</v>
      </c>
      <c r="Q394" s="0" t="n">
        <v>3.03</v>
      </c>
      <c r="R394" s="0" t="n">
        <v>5420</v>
      </c>
      <c r="S394" s="0" t="n">
        <v>10967</v>
      </c>
      <c r="T394" s="0" t="n">
        <v>58.55</v>
      </c>
      <c r="U394" s="0" t="n">
        <v>1554</v>
      </c>
      <c r="V394" s="0" t="n">
        <v>2</v>
      </c>
      <c r="W394" s="27" t="n">
        <f aca="false">MATCH(A394,DATAS,0)</f>
        <v>1</v>
      </c>
      <c r="X394" s="27" t="n">
        <f aca="false">IF(AND(E394&gt;0,OR(AND(B394&gt;=1,B394&lt;=6),B394=10)),1,0)</f>
        <v>1</v>
      </c>
      <c r="Y394" s="27" t="n">
        <f aca="false">IF(AND(E394&gt;0,B394=10),1,0)</f>
        <v>0</v>
      </c>
      <c r="Z394" s="0" t="str">
        <f aca="false">IF(AND(C393=C394,W393=W394-1),X393,"")</f>
        <v/>
      </c>
      <c r="AA394" s="0" t="str">
        <f aca="false">IF(AND(C393=C394,W393=W394-1),Y393,"")</f>
        <v/>
      </c>
      <c r="AB394" s="0" t="str">
        <f aca="false">IF(W394=1,"",IF(AND(X394=1,Z394&lt;&gt;1),1,0))</f>
        <v/>
      </c>
      <c r="AC394" s="0" t="str">
        <f aca="false">IF(W394=1,"",IF(AND(Y394=1,AA394&lt;&gt;1),1,0))</f>
        <v/>
      </c>
      <c r="AD394" s="33" t="str">
        <f aca="false">IF(AND(E394&gt;0,W394&lt;1,NOT(AND(C395=C394,W395=W394+1))),INDEX(DATAS,W394+1),"")</f>
        <v/>
      </c>
      <c r="AE394" s="33" t="str">
        <f aca="false">IF(AND(Y394=1,W394&lt;1),IF(AND(C395=C394,W395=W394+1),IF(Y395=1,"",INDEX(DATAS,W394+1)),INDEX(DATAS,W394+1)),"")</f>
        <v/>
      </c>
    </row>
    <row r="395" customFormat="false" ht="15" hidden="false" customHeight="false" outlineLevel="0" collapsed="false">
      <c r="A395" s="33" t="n">
        <v>46309</v>
      </c>
      <c r="B395" s="0" t="n">
        <v>5</v>
      </c>
      <c r="C395" s="0" t="n">
        <v>4093</v>
      </c>
      <c r="D395" s="0" t="n">
        <v>248</v>
      </c>
      <c r="E395" s="0" t="n">
        <v>2</v>
      </c>
      <c r="F395" s="27" t="s">
        <v>450</v>
      </c>
      <c r="G395" s="0" t="n">
        <v>41.6</v>
      </c>
      <c r="H395" s="0" t="n">
        <v>41</v>
      </c>
      <c r="I395" s="27" t="s">
        <v>168</v>
      </c>
      <c r="J395" s="0" t="n">
        <v>248</v>
      </c>
      <c r="K395" s="0" t="n">
        <v>66</v>
      </c>
      <c r="M395" s="0" t="n">
        <v>364.01</v>
      </c>
      <c r="N395" s="0" t="n">
        <v>60.17</v>
      </c>
      <c r="O395" s="0" t="n">
        <v>21.9</v>
      </c>
      <c r="P395" s="0" t="n">
        <v>3.37</v>
      </c>
      <c r="Q395" s="0" t="n">
        <v>3.42</v>
      </c>
      <c r="R395" s="0" t="n">
        <v>5276</v>
      </c>
      <c r="S395" s="0" t="n">
        <v>9552</v>
      </c>
      <c r="T395" s="0" t="n">
        <v>56.4</v>
      </c>
      <c r="U395" s="0" t="n">
        <v>1552</v>
      </c>
      <c r="V395" s="0" t="n">
        <v>5</v>
      </c>
      <c r="W395" s="27" t="n">
        <f aca="false">MATCH(A395,DATAS,0)</f>
        <v>1</v>
      </c>
      <c r="X395" s="27" t="n">
        <f aca="false">IF(AND(E395&gt;0,OR(AND(B395&gt;=1,B395&lt;=6),B395=10)),1,0)</f>
        <v>1</v>
      </c>
      <c r="Y395" s="27" t="n">
        <f aca="false">IF(AND(E395&gt;0,B395=10),1,0)</f>
        <v>0</v>
      </c>
      <c r="Z395" s="0" t="str">
        <f aca="false">IF(AND(C394=C395,W394=W395-1),X394,"")</f>
        <v/>
      </c>
      <c r="AA395" s="0" t="str">
        <f aca="false">IF(AND(C394=C395,W394=W395-1),Y394,"")</f>
        <v/>
      </c>
      <c r="AB395" s="0" t="str">
        <f aca="false">IF(W395=1,"",IF(AND(X395=1,Z395&lt;&gt;1),1,0))</f>
        <v/>
      </c>
      <c r="AC395" s="0" t="str">
        <f aca="false">IF(W395=1,"",IF(AND(Y395=1,AA395&lt;&gt;1),1,0))</f>
        <v/>
      </c>
      <c r="AD395" s="33" t="str">
        <f aca="false">IF(AND(E395&gt;0,W395&lt;1,NOT(AND(C396=C395,W396=W395+1))),INDEX(DATAS,W395+1),"")</f>
        <v/>
      </c>
      <c r="AE395" s="33" t="str">
        <f aca="false">IF(AND(Y395=1,W395&lt;1),IF(AND(C396=C395,W396=W395+1),IF(Y396=1,"",INDEX(DATAS,W395+1)),INDEX(DATAS,W395+1)),"")</f>
        <v/>
      </c>
    </row>
    <row r="396" customFormat="false" ht="15" hidden="false" customHeight="false" outlineLevel="0" collapsed="false">
      <c r="A396" s="33" t="n">
        <v>46309</v>
      </c>
      <c r="B396" s="0" t="n">
        <v>6</v>
      </c>
      <c r="C396" s="0" t="n">
        <v>4095</v>
      </c>
      <c r="D396" s="0" t="n">
        <v>898</v>
      </c>
      <c r="E396" s="0" t="n">
        <v>1</v>
      </c>
      <c r="F396" s="27" t="s">
        <v>451</v>
      </c>
      <c r="G396" s="0" t="n">
        <v>7.6</v>
      </c>
      <c r="H396" s="0" t="n">
        <v>13</v>
      </c>
      <c r="I396" s="27" t="s">
        <v>138</v>
      </c>
      <c r="J396" s="0" t="n">
        <v>863</v>
      </c>
      <c r="K396" s="0" t="n">
        <v>115</v>
      </c>
      <c r="L396" s="0" t="n">
        <v>35</v>
      </c>
      <c r="M396" s="0" t="n">
        <v>930.84</v>
      </c>
      <c r="N396" s="0" t="n">
        <v>70.71</v>
      </c>
      <c r="O396" s="0" t="n">
        <v>40.33</v>
      </c>
      <c r="P396" s="0" t="n">
        <v>6.24</v>
      </c>
      <c r="Q396" s="0" t="n">
        <v>4.92</v>
      </c>
      <c r="R396" s="0" t="n">
        <v>3552</v>
      </c>
      <c r="S396" s="0" t="n">
        <v>7780</v>
      </c>
      <c r="T396" s="0" t="n">
        <v>40.65</v>
      </c>
      <c r="U396" s="0" t="n">
        <v>1551</v>
      </c>
      <c r="V396" s="0" t="n">
        <v>11</v>
      </c>
      <c r="W396" s="27" t="n">
        <f aca="false">MATCH(A396,DATAS,0)</f>
        <v>1</v>
      </c>
      <c r="X396" s="27" t="n">
        <f aca="false">IF(AND(E396&gt;0,OR(AND(B396&gt;=1,B396&lt;=6),B396=10)),1,0)</f>
        <v>1</v>
      </c>
      <c r="Y396" s="27" t="n">
        <f aca="false">IF(AND(E396&gt;0,B396=10),1,0)</f>
        <v>0</v>
      </c>
      <c r="Z396" s="0" t="str">
        <f aca="false">IF(AND(C395=C396,W395=W396-1),X395,"")</f>
        <v/>
      </c>
      <c r="AA396" s="0" t="str">
        <f aca="false">IF(AND(C395=C396,W395=W396-1),Y395,"")</f>
        <v/>
      </c>
      <c r="AB396" s="0" t="str">
        <f aca="false">IF(W396=1,"",IF(AND(X396=1,Z396&lt;&gt;1),1,0))</f>
        <v/>
      </c>
      <c r="AC396" s="0" t="str">
        <f aca="false">IF(W396=1,"",IF(AND(Y396=1,AA396&lt;&gt;1),1,0))</f>
        <v/>
      </c>
      <c r="AD396" s="33" t="str">
        <f aca="false">IF(AND(E396&gt;0,W396&lt;1,NOT(AND(C397=C396,W397=W396+1))),INDEX(DATAS,W396+1),"")</f>
        <v/>
      </c>
      <c r="AE396" s="33" t="str">
        <f aca="false">IF(AND(Y396=1,W396&lt;1),IF(AND(C397=C396,W397=W396+1),IF(Y397=1,"",INDEX(DATAS,W396+1)),INDEX(DATAS,W396+1)),"")</f>
        <v/>
      </c>
    </row>
    <row r="397" customFormat="false" ht="15" hidden="false" customHeight="false" outlineLevel="0" collapsed="false">
      <c r="A397" s="33" t="n">
        <v>46309</v>
      </c>
      <c r="B397" s="0" t="n">
        <v>2</v>
      </c>
      <c r="C397" s="0" t="n">
        <v>4096</v>
      </c>
      <c r="D397" s="0" t="n">
        <v>131</v>
      </c>
      <c r="E397" s="0" t="n">
        <v>3</v>
      </c>
      <c r="F397" s="27" t="s">
        <v>452</v>
      </c>
      <c r="G397" s="0" t="n">
        <v>59.6</v>
      </c>
      <c r="H397" s="0" t="n">
        <v>58</v>
      </c>
      <c r="I397" s="27" t="s">
        <v>168</v>
      </c>
      <c r="J397" s="0" t="n">
        <v>131</v>
      </c>
      <c r="K397" s="0" t="n">
        <v>68</v>
      </c>
      <c r="M397" s="0" t="n">
        <v>764.78</v>
      </c>
      <c r="N397" s="0" t="n">
        <v>53.31</v>
      </c>
      <c r="O397" s="0" t="n">
        <v>28.52</v>
      </c>
      <c r="P397" s="0" t="n">
        <v>2.52</v>
      </c>
      <c r="Q397" s="0" t="n">
        <v>3.44</v>
      </c>
      <c r="R397" s="0" t="n">
        <v>5656</v>
      </c>
      <c r="S397" s="0" t="n">
        <v>11355</v>
      </c>
      <c r="T397" s="0" t="n">
        <v>64.45</v>
      </c>
      <c r="U397" s="0" t="n">
        <v>1550</v>
      </c>
      <c r="V397" s="0" t="n">
        <v>3</v>
      </c>
      <c r="W397" s="27" t="n">
        <f aca="false">MATCH(A397,DATAS,0)</f>
        <v>1</v>
      </c>
      <c r="X397" s="27" t="n">
        <f aca="false">IF(AND(E397&gt;0,OR(AND(B397&gt;=1,B397&lt;=6),B397=10)),1,0)</f>
        <v>1</v>
      </c>
      <c r="Y397" s="27" t="n">
        <f aca="false">IF(AND(E397&gt;0,B397=10),1,0)</f>
        <v>0</v>
      </c>
      <c r="Z397" s="0" t="str">
        <f aca="false">IF(AND(C396=C397,W396=W397-1),X396,"")</f>
        <v/>
      </c>
      <c r="AA397" s="0" t="str">
        <f aca="false">IF(AND(C396=C397,W396=W397-1),Y396,"")</f>
        <v/>
      </c>
      <c r="AB397" s="0" t="str">
        <f aca="false">IF(W397=1,"",IF(AND(X397=1,Z397&lt;&gt;1),1,0))</f>
        <v/>
      </c>
      <c r="AC397" s="0" t="str">
        <f aca="false">IF(W397=1,"",IF(AND(Y397=1,AA397&lt;&gt;1),1,0))</f>
        <v/>
      </c>
      <c r="AD397" s="33" t="str">
        <f aca="false">IF(AND(E397&gt;0,W397&lt;1,NOT(AND(C398=C397,W398=W397+1))),INDEX(DATAS,W397+1),"")</f>
        <v/>
      </c>
      <c r="AE397" s="33" t="str">
        <f aca="false">IF(AND(Y397=1,W397&lt;1),IF(AND(C398=C397,W398=W397+1),IF(Y398=1,"",INDEX(DATAS,W397+1)),INDEX(DATAS,W397+1)),"")</f>
        <v/>
      </c>
    </row>
    <row r="398" customFormat="false" ht="15" hidden="false" customHeight="false" outlineLevel="0" collapsed="false">
      <c r="A398" s="33" t="n">
        <v>46309</v>
      </c>
      <c r="B398" s="0" t="n">
        <v>3</v>
      </c>
      <c r="C398" s="0" t="n">
        <v>4098</v>
      </c>
      <c r="D398" s="0" t="n">
        <v>134</v>
      </c>
      <c r="E398" s="0" t="n">
        <v>3</v>
      </c>
      <c r="F398" s="27" t="s">
        <v>453</v>
      </c>
      <c r="G398" s="0" t="n">
        <v>59.9</v>
      </c>
      <c r="H398" s="0" t="n">
        <v>64</v>
      </c>
      <c r="I398" s="27" t="s">
        <v>168</v>
      </c>
      <c r="J398" s="0" t="n">
        <v>134</v>
      </c>
      <c r="K398" s="0" t="n">
        <v>64</v>
      </c>
      <c r="M398" s="0" t="n">
        <v>498.96</v>
      </c>
      <c r="N398" s="0" t="n">
        <v>34.23</v>
      </c>
      <c r="O398" s="0" t="n">
        <v>20.72</v>
      </c>
      <c r="P398" s="0" t="n">
        <v>3.28</v>
      </c>
      <c r="Q398" s="0" t="n">
        <v>3.14</v>
      </c>
      <c r="R398" s="0" t="n">
        <v>5538</v>
      </c>
      <c r="S398" s="0" t="n">
        <v>11647</v>
      </c>
      <c r="T398" s="0" t="n">
        <v>61.5</v>
      </c>
      <c r="U398" s="0" t="n">
        <v>1549</v>
      </c>
      <c r="V398" s="0" t="n">
        <v>3</v>
      </c>
      <c r="W398" s="27" t="n">
        <f aca="false">MATCH(A398,DATAS,0)</f>
        <v>1</v>
      </c>
      <c r="X398" s="27" t="n">
        <f aca="false">IF(AND(E398&gt;0,OR(AND(B398&gt;=1,B398&lt;=6),B398=10)),1,0)</f>
        <v>1</v>
      </c>
      <c r="Y398" s="27" t="n">
        <f aca="false">IF(AND(E398&gt;0,B398=10),1,0)</f>
        <v>0</v>
      </c>
      <c r="Z398" s="0" t="str">
        <f aca="false">IF(AND(C397=C398,W397=W398-1),X397,"")</f>
        <v/>
      </c>
      <c r="AA398" s="0" t="str">
        <f aca="false">IF(AND(C397=C398,W397=W398-1),Y397,"")</f>
        <v/>
      </c>
      <c r="AB398" s="0" t="str">
        <f aca="false">IF(W398=1,"",IF(AND(X398=1,Z398&lt;&gt;1),1,0))</f>
        <v/>
      </c>
      <c r="AC398" s="0" t="str">
        <f aca="false">IF(W398=1,"",IF(AND(Y398=1,AA398&lt;&gt;1),1,0))</f>
        <v/>
      </c>
      <c r="AD398" s="33" t="str">
        <f aca="false">IF(AND(E398&gt;0,W398&lt;1,NOT(AND(C399=C398,W399=W398+1))),INDEX(DATAS,W398+1),"")</f>
        <v/>
      </c>
      <c r="AE398" s="33" t="str">
        <f aca="false">IF(AND(Y398=1,W398&lt;1),IF(AND(C399=C398,W399=W398+1),IF(Y399=1,"",INDEX(DATAS,W398+1)),INDEX(DATAS,W398+1)),"")</f>
        <v/>
      </c>
    </row>
    <row r="399" customFormat="false" ht="15" hidden="false" customHeight="false" outlineLevel="0" collapsed="false">
      <c r="A399" s="33" t="n">
        <v>46309</v>
      </c>
      <c r="B399" s="0" t="n">
        <v>6</v>
      </c>
      <c r="C399" s="0" t="n">
        <v>4099</v>
      </c>
      <c r="D399" s="0" t="n">
        <v>204</v>
      </c>
      <c r="E399" s="0" t="n">
        <v>3</v>
      </c>
      <c r="F399" s="27" t="s">
        <v>454</v>
      </c>
      <c r="G399" s="0" t="n">
        <v>29</v>
      </c>
      <c r="H399" s="0" t="n">
        <v>25</v>
      </c>
      <c r="I399" s="27" t="s">
        <v>176</v>
      </c>
      <c r="J399" s="0" t="n">
        <v>204</v>
      </c>
      <c r="K399" s="0" t="n">
        <v>71</v>
      </c>
      <c r="M399" s="0" t="n">
        <v>1145.34</v>
      </c>
      <c r="N399" s="0" t="n">
        <v>43.83</v>
      </c>
      <c r="O399" s="0" t="n">
        <v>33.05</v>
      </c>
      <c r="P399" s="0" t="n">
        <v>5.2</v>
      </c>
      <c r="Q399" s="0" t="n">
        <v>3.65</v>
      </c>
      <c r="R399" s="0" t="n">
        <v>2691</v>
      </c>
      <c r="S399" s="0" t="n">
        <v>5560</v>
      </c>
      <c r="T399" s="0" t="n">
        <v>30.9</v>
      </c>
      <c r="U399" s="0" t="n">
        <v>1548</v>
      </c>
      <c r="V399" s="0" t="n">
        <v>6</v>
      </c>
      <c r="W399" s="27" t="n">
        <f aca="false">MATCH(A399,DATAS,0)</f>
        <v>1</v>
      </c>
      <c r="X399" s="27" t="n">
        <f aca="false">IF(AND(E399&gt;0,OR(AND(B399&gt;=1,B399&lt;=6),B399=10)),1,0)</f>
        <v>1</v>
      </c>
      <c r="Y399" s="27" t="n">
        <f aca="false">IF(AND(E399&gt;0,B399=10),1,0)</f>
        <v>0</v>
      </c>
      <c r="Z399" s="0" t="str">
        <f aca="false">IF(AND(C398=C399,W398=W399-1),X398,"")</f>
        <v/>
      </c>
      <c r="AA399" s="0" t="str">
        <f aca="false">IF(AND(C398=C399,W398=W399-1),Y398,"")</f>
        <v/>
      </c>
      <c r="AB399" s="0" t="str">
        <f aca="false">IF(W399=1,"",IF(AND(X399=1,Z399&lt;&gt;1),1,0))</f>
        <v/>
      </c>
      <c r="AC399" s="0" t="str">
        <f aca="false">IF(W399=1,"",IF(AND(Y399=1,AA399&lt;&gt;1),1,0))</f>
        <v/>
      </c>
      <c r="AD399" s="33" t="str">
        <f aca="false">IF(AND(E399&gt;0,W399&lt;1,NOT(AND(C400=C399,W400=W399+1))),INDEX(DATAS,W399+1),"")</f>
        <v/>
      </c>
      <c r="AE399" s="33" t="str">
        <f aca="false">IF(AND(Y399=1,W399&lt;1),IF(AND(C400=C399,W400=W399+1),IF(Y400=1,"",INDEX(DATAS,W399+1)),INDEX(DATAS,W399+1)),"")</f>
        <v/>
      </c>
    </row>
    <row r="400" customFormat="false" ht="15" hidden="false" customHeight="false" outlineLevel="0" collapsed="false">
      <c r="A400" s="33" t="n">
        <v>46309</v>
      </c>
      <c r="B400" s="0" t="n">
        <v>5</v>
      </c>
      <c r="C400" s="0" t="n">
        <v>4100</v>
      </c>
      <c r="D400" s="0" t="n">
        <v>144</v>
      </c>
      <c r="E400" s="0" t="n">
        <v>3</v>
      </c>
      <c r="F400" s="27" t="s">
        <v>454</v>
      </c>
      <c r="G400" s="0" t="n">
        <v>45</v>
      </c>
      <c r="H400" s="0" t="n">
        <v>47</v>
      </c>
      <c r="I400" s="27" t="s">
        <v>168</v>
      </c>
      <c r="J400" s="0" t="n">
        <v>144</v>
      </c>
      <c r="K400" s="0" t="n">
        <v>67</v>
      </c>
      <c r="M400" s="0" t="n">
        <v>825.37</v>
      </c>
      <c r="N400" s="0" t="n">
        <v>60.82</v>
      </c>
      <c r="O400" s="0" t="n">
        <v>40.06</v>
      </c>
      <c r="P400" s="0" t="n">
        <v>2.82</v>
      </c>
      <c r="Q400" s="0" t="n">
        <v>3.41</v>
      </c>
      <c r="R400" s="0" t="n">
        <v>5779</v>
      </c>
      <c r="S400" s="0" t="n">
        <v>10949</v>
      </c>
      <c r="T400" s="0" t="n">
        <v>63.5</v>
      </c>
      <c r="U400" s="0" t="n">
        <v>1548</v>
      </c>
      <c r="V400" s="0" t="n">
        <v>3</v>
      </c>
      <c r="W400" s="27" t="n">
        <f aca="false">MATCH(A400,DATAS,0)</f>
        <v>1</v>
      </c>
      <c r="X400" s="27" t="n">
        <f aca="false">IF(AND(E400&gt;0,OR(AND(B400&gt;=1,B400&lt;=6),B400=10)),1,0)</f>
        <v>1</v>
      </c>
      <c r="Y400" s="27" t="n">
        <f aca="false">IF(AND(E400&gt;0,B400=10),1,0)</f>
        <v>0</v>
      </c>
      <c r="Z400" s="0" t="str">
        <f aca="false">IF(AND(C399=C400,W399=W400-1),X399,"")</f>
        <v/>
      </c>
      <c r="AA400" s="0" t="str">
        <f aca="false">IF(AND(C399=C400,W399=W400-1),Y399,"")</f>
        <v/>
      </c>
      <c r="AB400" s="0" t="str">
        <f aca="false">IF(W400=1,"",IF(AND(X400=1,Z400&lt;&gt;1),1,0))</f>
        <v/>
      </c>
      <c r="AC400" s="0" t="str">
        <f aca="false">IF(W400=1,"",IF(AND(Y400=1,AA400&lt;&gt;1),1,0))</f>
        <v/>
      </c>
      <c r="AD400" s="33" t="str">
        <f aca="false">IF(AND(E400&gt;0,W400&lt;1,NOT(AND(C401=C400,W401=W400+1))),INDEX(DATAS,W400+1),"")</f>
        <v/>
      </c>
      <c r="AE400" s="33" t="str">
        <f aca="false">IF(AND(Y400=1,W400&lt;1),IF(AND(C401=C400,W401=W400+1),IF(Y401=1,"",INDEX(DATAS,W400+1)),INDEX(DATAS,W400+1)),"")</f>
        <v/>
      </c>
    </row>
    <row r="401" customFormat="false" ht="15" hidden="false" customHeight="false" outlineLevel="0" collapsed="false">
      <c r="A401" s="33" t="n">
        <v>46309</v>
      </c>
      <c r="B401" s="0" t="n">
        <v>7</v>
      </c>
      <c r="C401" s="0" t="n">
        <v>4101</v>
      </c>
      <c r="D401" s="0" t="n">
        <v>223</v>
      </c>
      <c r="E401" s="0" t="n">
        <v>3</v>
      </c>
      <c r="F401" s="27" t="s">
        <v>454</v>
      </c>
      <c r="I401" s="27" t="s">
        <v>143</v>
      </c>
      <c r="J401" s="0" t="n">
        <v>63</v>
      </c>
      <c r="K401" s="0" t="n">
        <v>63</v>
      </c>
      <c r="L401" s="0" t="n">
        <v>175</v>
      </c>
      <c r="M401" s="0" t="n">
        <v>691.47</v>
      </c>
      <c r="N401" s="0" t="n">
        <v>52.76</v>
      </c>
      <c r="O401" s="0" t="n">
        <v>19.97</v>
      </c>
      <c r="P401" s="0" t="n">
        <v>4.79</v>
      </c>
      <c r="Q401" s="0" t="n">
        <v>3.64</v>
      </c>
      <c r="R401" s="0" t="n">
        <v>4052</v>
      </c>
      <c r="S401" s="0" t="n">
        <v>7329</v>
      </c>
      <c r="T401" s="0" t="n">
        <v>45.75</v>
      </c>
      <c r="U401" s="0" t="n">
        <v>1548</v>
      </c>
      <c r="V401" s="0" t="n">
        <v>1</v>
      </c>
      <c r="W401" s="27" t="n">
        <f aca="false">MATCH(A401,DATAS,0)</f>
        <v>1</v>
      </c>
      <c r="X401" s="27" t="n">
        <f aca="false">IF(AND(E401&gt;0,OR(AND(B401&gt;=1,B401&lt;=6),B401=10)),1,0)</f>
        <v>0</v>
      </c>
      <c r="Y401" s="27" t="n">
        <f aca="false">IF(AND(E401&gt;0,B401=10),1,0)</f>
        <v>0</v>
      </c>
      <c r="Z401" s="0" t="str">
        <f aca="false">IF(AND(C400=C401,W400=W401-1),X400,"")</f>
        <v/>
      </c>
      <c r="AA401" s="0" t="str">
        <f aca="false">IF(AND(C400=C401,W400=W401-1),Y400,"")</f>
        <v/>
      </c>
      <c r="AB401" s="0" t="str">
        <f aca="false">IF(W401=1,"",IF(AND(X401=1,Z401&lt;&gt;1),1,0))</f>
        <v/>
      </c>
      <c r="AC401" s="0" t="str">
        <f aca="false">IF(W401=1,"",IF(AND(Y401=1,AA401&lt;&gt;1),1,0))</f>
        <v/>
      </c>
      <c r="AD401" s="33" t="str">
        <f aca="false">IF(AND(E401&gt;0,W401&lt;1,NOT(AND(C402=C401,W402=W401+1))),INDEX(DATAS,W401+1),"")</f>
        <v/>
      </c>
      <c r="AE401" s="33" t="str">
        <f aca="false">IF(AND(Y401=1,W401&lt;1),IF(AND(C402=C401,W402=W401+1),IF(Y402=1,"",INDEX(DATAS,W401+1)),INDEX(DATAS,W401+1)),"")</f>
        <v/>
      </c>
    </row>
    <row r="402" customFormat="false" ht="15" hidden="false" customHeight="false" outlineLevel="0" collapsed="false">
      <c r="A402" s="33" t="n">
        <v>46309</v>
      </c>
      <c r="B402" s="0" t="n">
        <v>7</v>
      </c>
      <c r="C402" s="0" t="n">
        <v>4102</v>
      </c>
      <c r="D402" s="0" t="n">
        <v>177</v>
      </c>
      <c r="E402" s="0" t="n">
        <v>3</v>
      </c>
      <c r="F402" s="27" t="s">
        <v>454</v>
      </c>
      <c r="I402" s="27" t="s">
        <v>143</v>
      </c>
      <c r="J402" s="0" t="n">
        <v>66</v>
      </c>
      <c r="K402" s="0" t="n">
        <v>66</v>
      </c>
      <c r="L402" s="0" t="n">
        <v>133</v>
      </c>
      <c r="M402" s="0" t="n">
        <v>21.37</v>
      </c>
      <c r="N402" s="0" t="n">
        <v>21.23</v>
      </c>
      <c r="O402" s="0" t="n">
        <v>9.74</v>
      </c>
      <c r="P402" s="0" t="n">
        <v>4.3</v>
      </c>
      <c r="Q402" s="0" t="n">
        <v>2.83</v>
      </c>
      <c r="R402" s="0" t="n">
        <v>2396</v>
      </c>
      <c r="S402" s="0" t="n">
        <v>4590</v>
      </c>
      <c r="T402" s="0" t="n">
        <v>25.85</v>
      </c>
      <c r="U402" s="0" t="n">
        <v>1548</v>
      </c>
      <c r="V402" s="0" t="n">
        <v>1</v>
      </c>
      <c r="W402" s="27" t="n">
        <f aca="false">MATCH(A402,DATAS,0)</f>
        <v>1</v>
      </c>
      <c r="X402" s="27" t="n">
        <f aca="false">IF(AND(E402&gt;0,OR(AND(B402&gt;=1,B402&lt;=6),B402=10)),1,0)</f>
        <v>0</v>
      </c>
      <c r="Y402" s="27" t="n">
        <f aca="false">IF(AND(E402&gt;0,B402=10),1,0)</f>
        <v>0</v>
      </c>
      <c r="Z402" s="0" t="str">
        <f aca="false">IF(AND(C401=C402,W401=W402-1),X401,"")</f>
        <v/>
      </c>
      <c r="AA402" s="0" t="str">
        <f aca="false">IF(AND(C401=C402,W401=W402-1),Y401,"")</f>
        <v/>
      </c>
      <c r="AB402" s="0" t="str">
        <f aca="false">IF(W402=1,"",IF(AND(X402=1,Z402&lt;&gt;1),1,0))</f>
        <v/>
      </c>
      <c r="AC402" s="0" t="str">
        <f aca="false">IF(W402=1,"",IF(AND(Y402=1,AA402&lt;&gt;1),1,0))</f>
        <v/>
      </c>
      <c r="AD402" s="33" t="str">
        <f aca="false">IF(AND(E402&gt;0,W402&lt;1,NOT(AND(C403=C402,W403=W402+1))),INDEX(DATAS,W402+1),"")</f>
        <v/>
      </c>
      <c r="AE402" s="33" t="str">
        <f aca="false">IF(AND(Y402=1,W402&lt;1),IF(AND(C403=C402,W403=W402+1),IF(Y403=1,"",INDEX(DATAS,W402+1)),INDEX(DATAS,W402+1)),"")</f>
        <v/>
      </c>
    </row>
    <row r="403" customFormat="false" ht="15" hidden="false" customHeight="false" outlineLevel="0" collapsed="false">
      <c r="A403" s="33" t="n">
        <v>46309</v>
      </c>
      <c r="B403" s="0" t="n">
        <v>5</v>
      </c>
      <c r="C403" s="0" t="n">
        <v>4104</v>
      </c>
      <c r="D403" s="0" t="n">
        <v>100</v>
      </c>
      <c r="E403" s="0" t="n">
        <v>3</v>
      </c>
      <c r="F403" s="27" t="s">
        <v>455</v>
      </c>
      <c r="G403" s="0" t="n">
        <v>26.9</v>
      </c>
      <c r="H403" s="0" t="n">
        <v>36</v>
      </c>
      <c r="I403" s="27" t="s">
        <v>176</v>
      </c>
      <c r="J403" s="0" t="n">
        <v>100</v>
      </c>
      <c r="K403" s="0" t="n">
        <v>65</v>
      </c>
      <c r="M403" s="0" t="n">
        <v>394.13</v>
      </c>
      <c r="N403" s="0" t="n">
        <v>48.31</v>
      </c>
      <c r="O403" s="0" t="n">
        <v>24.16</v>
      </c>
      <c r="P403" s="0" t="n">
        <v>4.85</v>
      </c>
      <c r="Q403" s="0" t="n">
        <v>3.19</v>
      </c>
      <c r="R403" s="0" t="n">
        <v>3687</v>
      </c>
      <c r="S403" s="0" t="n">
        <v>7411</v>
      </c>
      <c r="T403" s="0" t="n">
        <v>43.05</v>
      </c>
      <c r="U403" s="0" t="n">
        <v>1547</v>
      </c>
      <c r="V403" s="0" t="n">
        <v>1</v>
      </c>
      <c r="W403" s="27" t="n">
        <f aca="false">MATCH(A403,DATAS,0)</f>
        <v>1</v>
      </c>
      <c r="X403" s="27" t="n">
        <f aca="false">IF(AND(E403&gt;0,OR(AND(B403&gt;=1,B403&lt;=6),B403=10)),1,0)</f>
        <v>1</v>
      </c>
      <c r="Y403" s="27" t="n">
        <f aca="false">IF(AND(E403&gt;0,B403=10),1,0)</f>
        <v>0</v>
      </c>
      <c r="Z403" s="0" t="str">
        <f aca="false">IF(AND(C402=C403,W402=W403-1),X402,"")</f>
        <v/>
      </c>
      <c r="AA403" s="0" t="str">
        <f aca="false">IF(AND(C402=C403,W402=W403-1),Y402,"")</f>
        <v/>
      </c>
      <c r="AB403" s="0" t="str">
        <f aca="false">IF(W403=1,"",IF(AND(X403=1,Z403&lt;&gt;1),1,0))</f>
        <v/>
      </c>
      <c r="AC403" s="0" t="str">
        <f aca="false">IF(W403=1,"",IF(AND(Y403=1,AA403&lt;&gt;1),1,0))</f>
        <v/>
      </c>
      <c r="AD403" s="33" t="str">
        <f aca="false">IF(AND(E403&gt;0,W403&lt;1,NOT(AND(C404=C403,W404=W403+1))),INDEX(DATAS,W403+1),"")</f>
        <v/>
      </c>
      <c r="AE403" s="33" t="str">
        <f aca="false">IF(AND(Y403=1,W403&lt;1),IF(AND(C404=C403,W404=W403+1),IF(Y404=1,"",INDEX(DATAS,W403+1)),INDEX(DATAS,W403+1)),"")</f>
        <v/>
      </c>
    </row>
    <row r="404" customFormat="false" ht="15" hidden="false" customHeight="false" outlineLevel="0" collapsed="false">
      <c r="A404" s="33" t="n">
        <v>46309</v>
      </c>
      <c r="B404" s="0" t="n">
        <v>3</v>
      </c>
      <c r="C404" s="0" t="n">
        <v>4105</v>
      </c>
      <c r="D404" s="0" t="n">
        <v>8</v>
      </c>
      <c r="E404" s="0" t="n">
        <v>3</v>
      </c>
      <c r="F404" s="27" t="s">
        <v>456</v>
      </c>
      <c r="G404" s="0" t="n">
        <v>49</v>
      </c>
      <c r="H404" s="0" t="n">
        <v>42</v>
      </c>
      <c r="I404" s="27" t="s">
        <v>147</v>
      </c>
      <c r="J404" s="0" t="n">
        <v>8</v>
      </c>
      <c r="M404" s="0" t="n">
        <v>590.04</v>
      </c>
      <c r="N404" s="0" t="n">
        <v>70.31</v>
      </c>
      <c r="O404" s="0" t="n">
        <v>29.71</v>
      </c>
      <c r="R404" s="0" t="n">
        <v>3647</v>
      </c>
      <c r="S404" s="0" t="n">
        <v>7332</v>
      </c>
      <c r="U404" s="0" t="n">
        <v>1546</v>
      </c>
      <c r="V404" s="0" t="n">
        <v>0</v>
      </c>
      <c r="W404" s="27" t="n">
        <f aca="false">MATCH(A404,DATAS,0)</f>
        <v>1</v>
      </c>
      <c r="X404" s="27" t="n">
        <f aca="false">IF(AND(E404&gt;0,OR(AND(B404&gt;=1,B404&lt;=6),B404=10)),1,0)</f>
        <v>1</v>
      </c>
      <c r="Y404" s="27" t="n">
        <f aca="false">IF(AND(E404&gt;0,B404=10),1,0)</f>
        <v>0</v>
      </c>
      <c r="Z404" s="0" t="str">
        <f aca="false">IF(AND(C403=C404,W403=W404-1),X403,"")</f>
        <v/>
      </c>
      <c r="AA404" s="0" t="str">
        <f aca="false">IF(AND(C403=C404,W403=W404-1),Y403,"")</f>
        <v/>
      </c>
      <c r="AB404" s="0" t="str">
        <f aca="false">IF(W404=1,"",IF(AND(X404=1,Z404&lt;&gt;1),1,0))</f>
        <v/>
      </c>
      <c r="AC404" s="0" t="str">
        <f aca="false">IF(W404=1,"",IF(AND(Y404=1,AA404&lt;&gt;1),1,0))</f>
        <v/>
      </c>
      <c r="AD404" s="33" t="str">
        <f aca="false">IF(AND(E404&gt;0,W404&lt;1,NOT(AND(C405=C404,W405=W404+1))),INDEX(DATAS,W404+1),"")</f>
        <v/>
      </c>
      <c r="AE404" s="33" t="str">
        <f aca="false">IF(AND(Y404=1,W404&lt;1),IF(AND(C405=C404,W405=W404+1),IF(Y405=1,"",INDEX(DATAS,W404+1)),INDEX(DATAS,W404+1)),"")</f>
        <v/>
      </c>
    </row>
    <row r="405" customFormat="false" ht="15" hidden="false" customHeight="false" outlineLevel="0" collapsed="false">
      <c r="A405" s="33" t="n">
        <v>46309</v>
      </c>
      <c r="B405" s="0" t="n">
        <v>5</v>
      </c>
      <c r="C405" s="0" t="n">
        <v>4107</v>
      </c>
      <c r="D405" s="0" t="n">
        <v>465</v>
      </c>
      <c r="E405" s="0" t="n">
        <v>2</v>
      </c>
      <c r="F405" s="27" t="s">
        <v>457</v>
      </c>
      <c r="G405" s="0" t="n">
        <v>37.6</v>
      </c>
      <c r="H405" s="0" t="n">
        <v>32</v>
      </c>
      <c r="I405" s="27" t="s">
        <v>138</v>
      </c>
      <c r="J405" s="0" t="n">
        <v>381</v>
      </c>
      <c r="K405" s="0" t="n">
        <v>59</v>
      </c>
      <c r="L405" s="0" t="n">
        <v>84</v>
      </c>
      <c r="M405" s="0" t="n">
        <v>1029.7</v>
      </c>
      <c r="N405" s="0" t="n">
        <v>52.22</v>
      </c>
      <c r="O405" s="0" t="n">
        <v>33.65</v>
      </c>
      <c r="P405" s="0" t="n">
        <v>5.15</v>
      </c>
      <c r="Q405" s="0" t="n">
        <v>4.2</v>
      </c>
      <c r="R405" s="0" t="n">
        <v>6461</v>
      </c>
      <c r="S405" s="0" t="n">
        <v>12721</v>
      </c>
      <c r="T405" s="0" t="n">
        <v>70.45</v>
      </c>
      <c r="U405" s="0" t="n">
        <v>1545</v>
      </c>
      <c r="V405" s="0" t="n">
        <v>13</v>
      </c>
      <c r="W405" s="27" t="n">
        <f aca="false">MATCH(A405,DATAS,0)</f>
        <v>1</v>
      </c>
      <c r="X405" s="27" t="n">
        <f aca="false">IF(AND(E405&gt;0,OR(AND(B405&gt;=1,B405&lt;=6),B405=10)),1,0)</f>
        <v>1</v>
      </c>
      <c r="Y405" s="27" t="n">
        <f aca="false">IF(AND(E405&gt;0,B405=10),1,0)</f>
        <v>0</v>
      </c>
      <c r="Z405" s="0" t="str">
        <f aca="false">IF(AND(C404=C405,W404=W405-1),X404,"")</f>
        <v/>
      </c>
      <c r="AA405" s="0" t="str">
        <f aca="false">IF(AND(C404=C405,W404=W405-1),Y404,"")</f>
        <v/>
      </c>
      <c r="AB405" s="0" t="str">
        <f aca="false">IF(W405=1,"",IF(AND(X405=1,Z405&lt;&gt;1),1,0))</f>
        <v/>
      </c>
      <c r="AC405" s="0" t="str">
        <f aca="false">IF(W405=1,"",IF(AND(Y405=1,AA405&lt;&gt;1),1,0))</f>
        <v/>
      </c>
      <c r="AD405" s="33" t="str">
        <f aca="false">IF(AND(E405&gt;0,W405&lt;1,NOT(AND(C406=C405,W406=W405+1))),INDEX(DATAS,W405+1),"")</f>
        <v/>
      </c>
      <c r="AE405" s="33" t="str">
        <f aca="false">IF(AND(Y405=1,W405&lt;1),IF(AND(C406=C405,W406=W405+1),IF(Y406=1,"",INDEX(DATAS,W405+1)),INDEX(DATAS,W405+1)),"")</f>
        <v/>
      </c>
    </row>
    <row r="406" customFormat="false" ht="15" hidden="false" customHeight="false" outlineLevel="0" collapsed="false">
      <c r="A406" s="33" t="n">
        <v>46309</v>
      </c>
      <c r="B406" s="0" t="n">
        <v>5</v>
      </c>
      <c r="C406" s="0" t="n">
        <v>4108</v>
      </c>
      <c r="D406" s="0" t="n">
        <v>124</v>
      </c>
      <c r="E406" s="0" t="n">
        <v>3</v>
      </c>
      <c r="F406" s="27" t="s">
        <v>458</v>
      </c>
      <c r="G406" s="0" t="n">
        <v>50.6</v>
      </c>
      <c r="H406" s="0" t="n">
        <v>45</v>
      </c>
      <c r="I406" s="27" t="s">
        <v>138</v>
      </c>
      <c r="J406" s="0" t="n">
        <v>69</v>
      </c>
      <c r="K406" s="0" t="n">
        <v>69</v>
      </c>
      <c r="L406" s="0" t="n">
        <v>55</v>
      </c>
      <c r="M406" s="0" t="n">
        <v>-253.91</v>
      </c>
      <c r="N406" s="0" t="n">
        <v>40.16</v>
      </c>
      <c r="O406" s="0" t="n">
        <v>20.84</v>
      </c>
      <c r="P406" s="0" t="n">
        <v>3.34</v>
      </c>
      <c r="Q406" s="0" t="n">
        <v>3.87</v>
      </c>
      <c r="R406" s="0" t="n">
        <v>4899</v>
      </c>
      <c r="S406" s="0" t="n">
        <v>9774</v>
      </c>
      <c r="T406" s="0" t="n">
        <v>49.6</v>
      </c>
      <c r="U406" s="0" t="n">
        <v>1542</v>
      </c>
      <c r="V406" s="0" t="n">
        <v>1</v>
      </c>
      <c r="W406" s="27" t="n">
        <f aca="false">MATCH(A406,DATAS,0)</f>
        <v>1</v>
      </c>
      <c r="X406" s="27" t="n">
        <f aca="false">IF(AND(E406&gt;0,OR(AND(B406&gt;=1,B406&lt;=6),B406=10)),1,0)</f>
        <v>1</v>
      </c>
      <c r="Y406" s="27" t="n">
        <f aca="false">IF(AND(E406&gt;0,B406=10),1,0)</f>
        <v>0</v>
      </c>
      <c r="Z406" s="0" t="str">
        <f aca="false">IF(AND(C405=C406,W405=W406-1),X405,"")</f>
        <v/>
      </c>
      <c r="AA406" s="0" t="str">
        <f aca="false">IF(AND(C405=C406,W405=W406-1),Y405,"")</f>
        <v/>
      </c>
      <c r="AB406" s="0" t="str">
        <f aca="false">IF(W406=1,"",IF(AND(X406=1,Z406&lt;&gt;1),1,0))</f>
        <v/>
      </c>
      <c r="AC406" s="0" t="str">
        <f aca="false">IF(W406=1,"",IF(AND(Y406=1,AA406&lt;&gt;1),1,0))</f>
        <v/>
      </c>
      <c r="AD406" s="33" t="str">
        <f aca="false">IF(AND(E406&gt;0,W406&lt;1,NOT(AND(C407=C406,W407=W406+1))),INDEX(DATAS,W406+1),"")</f>
        <v/>
      </c>
      <c r="AE406" s="33" t="str">
        <f aca="false">IF(AND(Y406=1,W406&lt;1),IF(AND(C407=C406,W407=W406+1),IF(Y407=1,"",INDEX(DATAS,W406+1)),INDEX(DATAS,W406+1)),"")</f>
        <v/>
      </c>
    </row>
    <row r="407" customFormat="false" ht="15" hidden="false" customHeight="false" outlineLevel="0" collapsed="false">
      <c r="A407" s="33" t="n">
        <v>46309</v>
      </c>
      <c r="B407" s="0" t="n">
        <v>2</v>
      </c>
      <c r="C407" s="0" t="n">
        <v>4111</v>
      </c>
      <c r="D407" s="0" t="n">
        <v>98</v>
      </c>
      <c r="E407" s="0" t="n">
        <v>3</v>
      </c>
      <c r="F407" s="27" t="s">
        <v>459</v>
      </c>
      <c r="G407" s="0" t="n">
        <v>50.8</v>
      </c>
      <c r="H407" s="0" t="n">
        <v>53</v>
      </c>
      <c r="I407" s="27" t="s">
        <v>138</v>
      </c>
      <c r="J407" s="0" t="n">
        <v>63</v>
      </c>
      <c r="K407" s="0" t="n">
        <v>63</v>
      </c>
      <c r="L407" s="0" t="n">
        <v>35</v>
      </c>
      <c r="M407" s="0" t="n">
        <v>599.98</v>
      </c>
      <c r="N407" s="0" t="n">
        <v>55.22</v>
      </c>
      <c r="O407" s="0" t="n">
        <v>29.62</v>
      </c>
      <c r="P407" s="0" t="n">
        <v>3.71</v>
      </c>
      <c r="Q407" s="0" t="n">
        <v>3.03</v>
      </c>
      <c r="R407" s="0" t="n">
        <v>5067</v>
      </c>
      <c r="S407" s="0" t="n">
        <v>10186</v>
      </c>
      <c r="T407" s="0" t="n">
        <v>59</v>
      </c>
      <c r="U407" s="0" t="n">
        <v>1541</v>
      </c>
      <c r="V407" s="0" t="n">
        <v>1</v>
      </c>
      <c r="W407" s="27" t="n">
        <f aca="false">MATCH(A407,DATAS,0)</f>
        <v>1</v>
      </c>
      <c r="X407" s="27" t="n">
        <f aca="false">IF(AND(E407&gt;0,OR(AND(B407&gt;=1,B407&lt;=6),B407=10)),1,0)</f>
        <v>1</v>
      </c>
      <c r="Y407" s="27" t="n">
        <f aca="false">IF(AND(E407&gt;0,B407=10),1,0)</f>
        <v>0</v>
      </c>
      <c r="Z407" s="0" t="str">
        <f aca="false">IF(AND(C406=C407,W406=W407-1),X406,"")</f>
        <v/>
      </c>
      <c r="AA407" s="0" t="str">
        <f aca="false">IF(AND(C406=C407,W406=W407-1),Y406,"")</f>
        <v/>
      </c>
      <c r="AB407" s="0" t="str">
        <f aca="false">IF(W407=1,"",IF(AND(X407=1,Z407&lt;&gt;1),1,0))</f>
        <v/>
      </c>
      <c r="AC407" s="0" t="str">
        <f aca="false">IF(W407=1,"",IF(AND(Y407=1,AA407&lt;&gt;1),1,0))</f>
        <v/>
      </c>
      <c r="AD407" s="33" t="str">
        <f aca="false">IF(AND(E407&gt;0,W407&lt;1,NOT(AND(C408=C407,W408=W407+1))),INDEX(DATAS,W407+1),"")</f>
        <v/>
      </c>
      <c r="AE407" s="33" t="str">
        <f aca="false">IF(AND(Y407=1,W407&lt;1),IF(AND(C408=C407,W408=W407+1),IF(Y408=1,"",INDEX(DATAS,W407+1)),INDEX(DATAS,W407+1)),"")</f>
        <v/>
      </c>
    </row>
    <row r="408" customFormat="false" ht="15" hidden="false" customHeight="false" outlineLevel="0" collapsed="false">
      <c r="A408" s="33" t="n">
        <v>46309</v>
      </c>
      <c r="B408" s="0" t="n">
        <v>5</v>
      </c>
      <c r="C408" s="0" t="n">
        <v>4113</v>
      </c>
      <c r="D408" s="0" t="n">
        <v>162</v>
      </c>
      <c r="E408" s="0" t="n">
        <v>2</v>
      </c>
      <c r="F408" s="27" t="s">
        <v>460</v>
      </c>
      <c r="G408" s="0" t="n">
        <v>21.4</v>
      </c>
      <c r="H408" s="0" t="n">
        <v>26</v>
      </c>
      <c r="I408" s="27" t="s">
        <v>168</v>
      </c>
      <c r="J408" s="0" t="n">
        <v>162</v>
      </c>
      <c r="K408" s="0" t="n">
        <v>71</v>
      </c>
      <c r="M408" s="0" t="n">
        <v>425</v>
      </c>
      <c r="N408" s="0" t="n">
        <v>55.2</v>
      </c>
      <c r="O408" s="0" t="n">
        <v>20.44</v>
      </c>
      <c r="P408" s="0" t="n">
        <v>4.31</v>
      </c>
      <c r="Q408" s="0" t="n">
        <v>3.5</v>
      </c>
      <c r="R408" s="0" t="n">
        <v>4521</v>
      </c>
      <c r="S408" s="0" t="n">
        <v>8438</v>
      </c>
      <c r="T408" s="0" t="n">
        <v>49</v>
      </c>
      <c r="U408" s="0" t="n">
        <v>1540</v>
      </c>
      <c r="V408" s="0" t="n">
        <v>2</v>
      </c>
      <c r="W408" s="27" t="n">
        <f aca="false">MATCH(A408,DATAS,0)</f>
        <v>1</v>
      </c>
      <c r="X408" s="27" t="n">
        <f aca="false">IF(AND(E408&gt;0,OR(AND(B408&gt;=1,B408&lt;=6),B408=10)),1,0)</f>
        <v>1</v>
      </c>
      <c r="Y408" s="27" t="n">
        <f aca="false">IF(AND(E408&gt;0,B408=10),1,0)</f>
        <v>0</v>
      </c>
      <c r="Z408" s="0" t="str">
        <f aca="false">IF(AND(C407=C408,W407=W408-1),X407,"")</f>
        <v/>
      </c>
      <c r="AA408" s="0" t="str">
        <f aca="false">IF(AND(C407=C408,W407=W408-1),Y407,"")</f>
        <v/>
      </c>
      <c r="AB408" s="0" t="str">
        <f aca="false">IF(W408=1,"",IF(AND(X408=1,Z408&lt;&gt;1),1,0))</f>
        <v/>
      </c>
      <c r="AC408" s="0" t="str">
        <f aca="false">IF(W408=1,"",IF(AND(Y408=1,AA408&lt;&gt;1),1,0))</f>
        <v/>
      </c>
      <c r="AD408" s="33" t="str">
        <f aca="false">IF(AND(E408&gt;0,W408&lt;1,NOT(AND(C409=C408,W409=W408+1))),INDEX(DATAS,W408+1),"")</f>
        <v/>
      </c>
      <c r="AE408" s="33" t="str">
        <f aca="false">IF(AND(Y408=1,W408&lt;1),IF(AND(C409=C408,W409=W408+1),IF(Y409=1,"",INDEX(DATAS,W408+1)),INDEX(DATAS,W408+1)),"")</f>
        <v/>
      </c>
    </row>
    <row r="409" customFormat="false" ht="15" hidden="false" customHeight="false" outlineLevel="0" collapsed="false">
      <c r="A409" s="33" t="n">
        <v>46309</v>
      </c>
      <c r="B409" s="0" t="n">
        <v>2</v>
      </c>
      <c r="C409" s="0" t="n">
        <v>4114</v>
      </c>
      <c r="D409" s="0" t="n">
        <v>152</v>
      </c>
      <c r="E409" s="0" t="n">
        <v>3</v>
      </c>
      <c r="F409" s="27" t="s">
        <v>461</v>
      </c>
      <c r="G409" s="0" t="n">
        <v>62.7</v>
      </c>
      <c r="H409" s="0" t="n">
        <v>62</v>
      </c>
      <c r="I409" s="27" t="s">
        <v>138</v>
      </c>
      <c r="J409" s="0" t="n">
        <v>82</v>
      </c>
      <c r="K409" s="0" t="n">
        <v>82</v>
      </c>
      <c r="L409" s="0" t="n">
        <v>70</v>
      </c>
      <c r="M409" s="0" t="n">
        <v>924.46</v>
      </c>
      <c r="N409" s="0" t="n">
        <v>57.42</v>
      </c>
      <c r="O409" s="0" t="n">
        <v>37.98</v>
      </c>
      <c r="P409" s="0" t="n">
        <v>3.24</v>
      </c>
      <c r="Q409" s="0" t="n">
        <v>3.21</v>
      </c>
      <c r="R409" s="0" t="n">
        <v>6168</v>
      </c>
      <c r="S409" s="0" t="n">
        <v>12652</v>
      </c>
      <c r="T409" s="0" t="n">
        <v>66.8</v>
      </c>
      <c r="U409" s="0" t="n">
        <v>1539</v>
      </c>
      <c r="V409" s="0" t="n">
        <v>1</v>
      </c>
      <c r="W409" s="27" t="n">
        <f aca="false">MATCH(A409,DATAS,0)</f>
        <v>1</v>
      </c>
      <c r="X409" s="27" t="n">
        <f aca="false">IF(AND(E409&gt;0,OR(AND(B409&gt;=1,B409&lt;=6),B409=10)),1,0)</f>
        <v>1</v>
      </c>
      <c r="Y409" s="27" t="n">
        <f aca="false">IF(AND(E409&gt;0,B409=10),1,0)</f>
        <v>0</v>
      </c>
      <c r="Z409" s="0" t="str">
        <f aca="false">IF(AND(C408=C409,W408=W409-1),X408,"")</f>
        <v/>
      </c>
      <c r="AA409" s="0" t="str">
        <f aca="false">IF(AND(C408=C409,W408=W409-1),Y408,"")</f>
        <v/>
      </c>
      <c r="AB409" s="0" t="str">
        <f aca="false">IF(W409=1,"",IF(AND(X409=1,Z409&lt;&gt;1),1,0))</f>
        <v/>
      </c>
      <c r="AC409" s="0" t="str">
        <f aca="false">IF(W409=1,"",IF(AND(Y409=1,AA409&lt;&gt;1),1,0))</f>
        <v/>
      </c>
      <c r="AD409" s="33" t="str">
        <f aca="false">IF(AND(E409&gt;0,W409&lt;1,NOT(AND(C410=C409,W410=W409+1))),INDEX(DATAS,W409+1),"")</f>
        <v/>
      </c>
      <c r="AE409" s="33" t="str">
        <f aca="false">IF(AND(Y409=1,W409&lt;1),IF(AND(C410=C409,W410=W409+1),IF(Y410=1,"",INDEX(DATAS,W409+1)),INDEX(DATAS,W409+1)),"")</f>
        <v/>
      </c>
    </row>
    <row r="410" customFormat="false" ht="15" hidden="false" customHeight="false" outlineLevel="0" collapsed="false">
      <c r="A410" s="33" t="n">
        <v>46309</v>
      </c>
      <c r="B410" s="0" t="n">
        <v>6</v>
      </c>
      <c r="C410" s="0" t="n">
        <v>4115</v>
      </c>
      <c r="D410" s="0" t="n">
        <v>502</v>
      </c>
      <c r="E410" s="0" t="n">
        <v>2</v>
      </c>
      <c r="F410" s="27" t="s">
        <v>462</v>
      </c>
      <c r="I410" s="27" t="s">
        <v>151</v>
      </c>
      <c r="J410" s="0" t="n">
        <v>502</v>
      </c>
      <c r="K410" s="0" t="n">
        <v>61</v>
      </c>
      <c r="M410" s="0" t="n">
        <v>1234.69</v>
      </c>
      <c r="N410" s="0" t="n">
        <v>33.15</v>
      </c>
      <c r="O410" s="0" t="n">
        <v>34.98</v>
      </c>
      <c r="P410" s="0" t="n">
        <v>4.21</v>
      </c>
      <c r="Q410" s="0" t="n">
        <v>3.62</v>
      </c>
      <c r="R410" s="0" t="n">
        <v>5436</v>
      </c>
      <c r="S410" s="0" t="n">
        <v>10144</v>
      </c>
      <c r="T410" s="0" t="n">
        <v>56.45</v>
      </c>
      <c r="U410" s="0" t="n">
        <v>1538</v>
      </c>
      <c r="V410" s="0" t="n">
        <v>6</v>
      </c>
      <c r="W410" s="27" t="n">
        <f aca="false">MATCH(A410,DATAS,0)</f>
        <v>1</v>
      </c>
      <c r="X410" s="27" t="n">
        <f aca="false">IF(AND(E410&gt;0,OR(AND(B410&gt;=1,B410&lt;=6),B410=10)),1,0)</f>
        <v>1</v>
      </c>
      <c r="Y410" s="27" t="n">
        <f aca="false">IF(AND(E410&gt;0,B410=10),1,0)</f>
        <v>0</v>
      </c>
      <c r="Z410" s="0" t="str">
        <f aca="false">IF(AND(C409=C410,W409=W410-1),X409,"")</f>
        <v/>
      </c>
      <c r="AA410" s="0" t="str">
        <f aca="false">IF(AND(C409=C410,W409=W410-1),Y409,"")</f>
        <v/>
      </c>
      <c r="AB410" s="0" t="str">
        <f aca="false">IF(W410=1,"",IF(AND(X410=1,Z410&lt;&gt;1),1,0))</f>
        <v/>
      </c>
      <c r="AC410" s="0" t="str">
        <f aca="false">IF(W410=1,"",IF(AND(Y410=1,AA410&lt;&gt;1),1,0))</f>
        <v/>
      </c>
      <c r="AD410" s="33" t="str">
        <f aca="false">IF(AND(E410&gt;0,W410&lt;1,NOT(AND(C411=C410,W411=W410+1))),INDEX(DATAS,W410+1),"")</f>
        <v/>
      </c>
      <c r="AE410" s="33" t="str">
        <f aca="false">IF(AND(Y410=1,W410&lt;1),IF(AND(C411=C410,W411=W410+1),IF(Y411=1,"",INDEX(DATAS,W410+1)),INDEX(DATAS,W410+1)),"")</f>
        <v/>
      </c>
    </row>
    <row r="411" customFormat="false" ht="15" hidden="false" customHeight="false" outlineLevel="0" collapsed="false">
      <c r="A411" s="33" t="n">
        <v>46309</v>
      </c>
      <c r="B411" s="0" t="n">
        <v>3</v>
      </c>
      <c r="C411" s="0" t="n">
        <v>4116</v>
      </c>
      <c r="D411" s="0" t="n">
        <v>68</v>
      </c>
      <c r="E411" s="0" t="n">
        <v>3</v>
      </c>
      <c r="F411" s="27" t="s">
        <v>463</v>
      </c>
      <c r="G411" s="0" t="n">
        <v>48.9</v>
      </c>
      <c r="H411" s="0" t="n">
        <v>60</v>
      </c>
      <c r="I411" s="27" t="s">
        <v>176</v>
      </c>
      <c r="J411" s="0" t="n">
        <v>68</v>
      </c>
      <c r="M411" s="0" t="n">
        <v>-232.54</v>
      </c>
      <c r="N411" s="0" t="n">
        <v>40.18</v>
      </c>
      <c r="O411" s="0" t="n">
        <v>3.16</v>
      </c>
      <c r="P411" s="0" t="n">
        <v>3.71</v>
      </c>
      <c r="Q411" s="0" t="n">
        <v>3.18</v>
      </c>
      <c r="R411" s="0" t="n">
        <v>5942</v>
      </c>
      <c r="S411" s="0" t="n">
        <v>11945</v>
      </c>
      <c r="U411" s="0" t="n">
        <v>1537</v>
      </c>
      <c r="V411" s="0" t="n">
        <v>0</v>
      </c>
      <c r="W411" s="27" t="n">
        <f aca="false">MATCH(A411,DATAS,0)</f>
        <v>1</v>
      </c>
      <c r="X411" s="27" t="n">
        <f aca="false">IF(AND(E411&gt;0,OR(AND(B411&gt;=1,B411&lt;=6),B411=10)),1,0)</f>
        <v>1</v>
      </c>
      <c r="Y411" s="27" t="n">
        <f aca="false">IF(AND(E411&gt;0,B411=10),1,0)</f>
        <v>0</v>
      </c>
      <c r="Z411" s="0" t="str">
        <f aca="false">IF(AND(C410=C411,W410=W411-1),X410,"")</f>
        <v/>
      </c>
      <c r="AA411" s="0" t="str">
        <f aca="false">IF(AND(C410=C411,W410=W411-1),Y410,"")</f>
        <v/>
      </c>
      <c r="AB411" s="0" t="str">
        <f aca="false">IF(W411=1,"",IF(AND(X411=1,Z411&lt;&gt;1),1,0))</f>
        <v/>
      </c>
      <c r="AC411" s="0" t="str">
        <f aca="false">IF(W411=1,"",IF(AND(Y411=1,AA411&lt;&gt;1),1,0))</f>
        <v/>
      </c>
      <c r="AD411" s="33" t="str">
        <f aca="false">IF(AND(E411&gt;0,W411&lt;1,NOT(AND(C412=C411,W412=W411+1))),INDEX(DATAS,W411+1),"")</f>
        <v/>
      </c>
      <c r="AE411" s="33" t="str">
        <f aca="false">IF(AND(Y411=1,W411&lt;1),IF(AND(C412=C411,W412=W411+1),IF(Y412=1,"",INDEX(DATAS,W411+1)),INDEX(DATAS,W411+1)),"")</f>
        <v/>
      </c>
    </row>
    <row r="412" customFormat="false" ht="15" hidden="false" customHeight="false" outlineLevel="0" collapsed="false">
      <c r="A412" s="33" t="n">
        <v>46309</v>
      </c>
      <c r="B412" s="0" t="n">
        <v>3</v>
      </c>
      <c r="C412" s="0" t="n">
        <v>4117</v>
      </c>
      <c r="D412" s="0" t="n">
        <v>148</v>
      </c>
      <c r="E412" s="0" t="n">
        <v>3</v>
      </c>
      <c r="F412" s="27" t="s">
        <v>463</v>
      </c>
      <c r="G412" s="0" t="n">
        <v>50</v>
      </c>
      <c r="H412" s="0" t="n">
        <v>49</v>
      </c>
      <c r="I412" s="27" t="s">
        <v>176</v>
      </c>
      <c r="J412" s="0" t="n">
        <v>148</v>
      </c>
      <c r="K412" s="0" t="n">
        <v>78</v>
      </c>
      <c r="M412" s="0" t="n">
        <v>1125.92</v>
      </c>
      <c r="N412" s="0" t="n">
        <v>30.98</v>
      </c>
      <c r="O412" s="0" t="n">
        <v>36.97</v>
      </c>
      <c r="P412" s="0" t="n">
        <v>3.57</v>
      </c>
      <c r="Q412" s="0" t="n">
        <v>2.98</v>
      </c>
      <c r="R412" s="0" t="n">
        <v>5007</v>
      </c>
      <c r="S412" s="0" t="n">
        <v>10384</v>
      </c>
      <c r="T412" s="0" t="n">
        <v>57.35</v>
      </c>
      <c r="U412" s="0" t="n">
        <v>1537</v>
      </c>
      <c r="V412" s="0" t="n">
        <v>2</v>
      </c>
      <c r="W412" s="27" t="n">
        <f aca="false">MATCH(A412,DATAS,0)</f>
        <v>1</v>
      </c>
      <c r="X412" s="27" t="n">
        <f aca="false">IF(AND(E412&gt;0,OR(AND(B412&gt;=1,B412&lt;=6),B412=10)),1,0)</f>
        <v>1</v>
      </c>
      <c r="Y412" s="27" t="n">
        <f aca="false">IF(AND(E412&gt;0,B412=10),1,0)</f>
        <v>0</v>
      </c>
      <c r="Z412" s="0" t="str">
        <f aca="false">IF(AND(C411=C412,W411=W412-1),X411,"")</f>
        <v/>
      </c>
      <c r="AA412" s="0" t="str">
        <f aca="false">IF(AND(C411=C412,W411=W412-1),Y411,"")</f>
        <v/>
      </c>
      <c r="AB412" s="0" t="str">
        <f aca="false">IF(W412=1,"",IF(AND(X412=1,Z412&lt;&gt;1),1,0))</f>
        <v/>
      </c>
      <c r="AC412" s="0" t="str">
        <f aca="false">IF(W412=1,"",IF(AND(Y412=1,AA412&lt;&gt;1),1,0))</f>
        <v/>
      </c>
      <c r="AD412" s="33" t="str">
        <f aca="false">IF(AND(E412&gt;0,W412&lt;1,NOT(AND(C413=C412,W413=W412+1))),INDEX(DATAS,W412+1),"")</f>
        <v/>
      </c>
      <c r="AE412" s="33" t="str">
        <f aca="false">IF(AND(Y412=1,W412&lt;1),IF(AND(C413=C412,W413=W412+1),IF(Y413=1,"",INDEX(DATAS,W412+1)),INDEX(DATAS,W412+1)),"")</f>
        <v/>
      </c>
    </row>
    <row r="413" customFormat="false" ht="15" hidden="false" customHeight="false" outlineLevel="0" collapsed="false">
      <c r="A413" s="33" t="n">
        <v>46309</v>
      </c>
      <c r="B413" s="0" t="n">
        <v>2</v>
      </c>
      <c r="C413" s="0" t="n">
        <v>4118</v>
      </c>
      <c r="D413" s="0" t="n">
        <v>42</v>
      </c>
      <c r="E413" s="0" t="n">
        <v>3</v>
      </c>
      <c r="F413" s="27" t="s">
        <v>463</v>
      </c>
      <c r="G413" s="0" t="n">
        <v>62.9</v>
      </c>
      <c r="H413" s="0" t="n">
        <v>65</v>
      </c>
      <c r="I413" s="27" t="s">
        <v>147</v>
      </c>
      <c r="J413" s="0" t="n">
        <v>42</v>
      </c>
      <c r="M413" s="0" t="n">
        <v>223.51</v>
      </c>
      <c r="N413" s="0" t="n">
        <v>47.9</v>
      </c>
      <c r="O413" s="0" t="n">
        <v>22.46</v>
      </c>
      <c r="P413" s="0" t="n">
        <v>3.77</v>
      </c>
      <c r="Q413" s="0" t="n">
        <v>3.27</v>
      </c>
      <c r="R413" s="0" t="n">
        <v>5747</v>
      </c>
      <c r="S413" s="0" t="n">
        <v>11553</v>
      </c>
      <c r="U413" s="0" t="n">
        <v>1537</v>
      </c>
      <c r="V413" s="0" t="n">
        <v>0</v>
      </c>
      <c r="W413" s="27" t="n">
        <f aca="false">MATCH(A413,DATAS,0)</f>
        <v>1</v>
      </c>
      <c r="X413" s="27" t="n">
        <f aca="false">IF(AND(E413&gt;0,OR(AND(B413&gt;=1,B413&lt;=6),B413=10)),1,0)</f>
        <v>1</v>
      </c>
      <c r="Y413" s="27" t="n">
        <f aca="false">IF(AND(E413&gt;0,B413=10),1,0)</f>
        <v>0</v>
      </c>
      <c r="Z413" s="0" t="str">
        <f aca="false">IF(AND(C412=C413,W412=W413-1),X412,"")</f>
        <v/>
      </c>
      <c r="AA413" s="0" t="str">
        <f aca="false">IF(AND(C412=C413,W412=W413-1),Y412,"")</f>
        <v/>
      </c>
      <c r="AB413" s="0" t="str">
        <f aca="false">IF(W413=1,"",IF(AND(X413=1,Z413&lt;&gt;1),1,0))</f>
        <v/>
      </c>
      <c r="AC413" s="0" t="str">
        <f aca="false">IF(W413=1,"",IF(AND(Y413=1,AA413&lt;&gt;1),1,0))</f>
        <v/>
      </c>
      <c r="AD413" s="33" t="str">
        <f aca="false">IF(AND(E413&gt;0,W413&lt;1,NOT(AND(C414=C413,W414=W413+1))),INDEX(DATAS,W413+1),"")</f>
        <v/>
      </c>
      <c r="AE413" s="33" t="str">
        <f aca="false">IF(AND(Y413=1,W413&lt;1),IF(AND(C414=C413,W414=W413+1),IF(Y414=1,"",INDEX(DATAS,W413+1)),INDEX(DATAS,W413+1)),"")</f>
        <v/>
      </c>
    </row>
    <row r="414" customFormat="false" ht="15" hidden="false" customHeight="false" outlineLevel="0" collapsed="false">
      <c r="A414" s="33" t="n">
        <v>46309</v>
      </c>
      <c r="B414" s="0" t="n">
        <v>6</v>
      </c>
      <c r="C414" s="0" t="n">
        <v>4120</v>
      </c>
      <c r="D414" s="0" t="n">
        <v>379</v>
      </c>
      <c r="E414" s="0" t="n">
        <v>2</v>
      </c>
      <c r="F414" s="27" t="s">
        <v>463</v>
      </c>
      <c r="G414" s="0" t="n">
        <v>5.1</v>
      </c>
      <c r="H414" s="0" t="n">
        <v>10</v>
      </c>
      <c r="I414" s="27" t="s">
        <v>138</v>
      </c>
      <c r="J414" s="0" t="n">
        <v>226</v>
      </c>
      <c r="K414" s="0" t="n">
        <v>64</v>
      </c>
      <c r="L414" s="0" t="n">
        <v>153</v>
      </c>
      <c r="M414" s="0" t="n">
        <v>1117.19</v>
      </c>
      <c r="N414" s="0" t="n">
        <v>53.86</v>
      </c>
      <c r="O414" s="0" t="n">
        <v>35.8</v>
      </c>
      <c r="P414" s="0" t="n">
        <v>4.36</v>
      </c>
      <c r="Q414" s="0" t="n">
        <v>3.72</v>
      </c>
      <c r="R414" s="0" t="n">
        <v>6944</v>
      </c>
      <c r="S414" s="0" t="n">
        <v>12946</v>
      </c>
      <c r="T414" s="0" t="n">
        <v>73.55</v>
      </c>
      <c r="U414" s="0" t="n">
        <v>1537</v>
      </c>
      <c r="V414" s="0" t="n">
        <v>6</v>
      </c>
      <c r="W414" s="27" t="n">
        <f aca="false">MATCH(A414,DATAS,0)</f>
        <v>1</v>
      </c>
      <c r="X414" s="27" t="n">
        <f aca="false">IF(AND(E414&gt;0,OR(AND(B414&gt;=1,B414&lt;=6),B414=10)),1,0)</f>
        <v>1</v>
      </c>
      <c r="Y414" s="27" t="n">
        <f aca="false">IF(AND(E414&gt;0,B414=10),1,0)</f>
        <v>0</v>
      </c>
      <c r="Z414" s="0" t="str">
        <f aca="false">IF(AND(C413=C414,W413=W414-1),X413,"")</f>
        <v/>
      </c>
      <c r="AA414" s="0" t="str">
        <f aca="false">IF(AND(C413=C414,W413=W414-1),Y413,"")</f>
        <v/>
      </c>
      <c r="AB414" s="0" t="str">
        <f aca="false">IF(W414=1,"",IF(AND(X414=1,Z414&lt;&gt;1),1,0))</f>
        <v/>
      </c>
      <c r="AC414" s="0" t="str">
        <f aca="false">IF(W414=1,"",IF(AND(Y414=1,AA414&lt;&gt;1),1,0))</f>
        <v/>
      </c>
      <c r="AD414" s="33" t="str">
        <f aca="false">IF(AND(E414&gt;0,W414&lt;1,NOT(AND(C415=C414,W415=W414+1))),INDEX(DATAS,W414+1),"")</f>
        <v/>
      </c>
      <c r="AE414" s="33" t="str">
        <f aca="false">IF(AND(Y414=1,W414&lt;1),IF(AND(C415=C414,W415=W414+1),IF(Y415=1,"",INDEX(DATAS,W414+1)),INDEX(DATAS,W414+1)),"")</f>
        <v/>
      </c>
    </row>
    <row r="415" customFormat="false" ht="15" hidden="false" customHeight="false" outlineLevel="0" collapsed="false">
      <c r="A415" s="33" t="n">
        <v>46309</v>
      </c>
      <c r="B415" s="0" t="n">
        <v>2</v>
      </c>
      <c r="C415" s="0" t="n">
        <v>4123</v>
      </c>
      <c r="D415" s="0" t="n">
        <v>177</v>
      </c>
      <c r="E415" s="0" t="n">
        <v>3</v>
      </c>
      <c r="F415" s="27" t="s">
        <v>464</v>
      </c>
      <c r="G415" s="0" t="n">
        <v>55.6</v>
      </c>
      <c r="H415" s="0" t="n">
        <v>51</v>
      </c>
      <c r="I415" s="27" t="s">
        <v>138</v>
      </c>
      <c r="J415" s="0" t="n">
        <v>66</v>
      </c>
      <c r="K415" s="0" t="n">
        <v>73</v>
      </c>
      <c r="L415" s="0" t="n">
        <v>111</v>
      </c>
      <c r="M415" s="0" t="n">
        <v>585.09</v>
      </c>
      <c r="N415" s="0" t="n">
        <v>26.53</v>
      </c>
      <c r="O415" s="0" t="n">
        <v>20.12</v>
      </c>
      <c r="P415" s="0" t="n">
        <v>2.84</v>
      </c>
      <c r="Q415" s="0" t="n">
        <v>3.22</v>
      </c>
      <c r="R415" s="0" t="n">
        <v>5727</v>
      </c>
      <c r="S415" s="0" t="n">
        <v>11385</v>
      </c>
      <c r="T415" s="0" t="n">
        <v>61.3</v>
      </c>
      <c r="U415" s="0" t="n">
        <v>1534</v>
      </c>
      <c r="V415" s="0" t="n">
        <v>1</v>
      </c>
      <c r="W415" s="27" t="n">
        <f aca="false">MATCH(A415,DATAS,0)</f>
        <v>1</v>
      </c>
      <c r="X415" s="27" t="n">
        <f aca="false">IF(AND(E415&gt;0,OR(AND(B415&gt;=1,B415&lt;=6),B415=10)),1,0)</f>
        <v>1</v>
      </c>
      <c r="Y415" s="27" t="n">
        <f aca="false">IF(AND(E415&gt;0,B415=10),1,0)</f>
        <v>0</v>
      </c>
      <c r="Z415" s="0" t="str">
        <f aca="false">IF(AND(C414=C415,W414=W415-1),X414,"")</f>
        <v/>
      </c>
      <c r="AA415" s="0" t="str">
        <f aca="false">IF(AND(C414=C415,W414=W415-1),Y414,"")</f>
        <v/>
      </c>
      <c r="AB415" s="0" t="str">
        <f aca="false">IF(W415=1,"",IF(AND(X415=1,Z415&lt;&gt;1),1,0))</f>
        <v/>
      </c>
      <c r="AC415" s="0" t="str">
        <f aca="false">IF(W415=1,"",IF(AND(Y415=1,AA415&lt;&gt;1),1,0))</f>
        <v/>
      </c>
      <c r="AD415" s="33" t="str">
        <f aca="false">IF(AND(E415&gt;0,W415&lt;1,NOT(AND(C416=C415,W416=W415+1))),INDEX(DATAS,W415+1),"")</f>
        <v/>
      </c>
      <c r="AE415" s="33" t="str">
        <f aca="false">IF(AND(Y415=1,W415&lt;1),IF(AND(C416=C415,W416=W415+1),IF(Y416=1,"",INDEX(DATAS,W415+1)),INDEX(DATAS,W415+1)),"")</f>
        <v/>
      </c>
    </row>
    <row r="416" customFormat="false" ht="15" hidden="false" customHeight="false" outlineLevel="0" collapsed="false">
      <c r="A416" s="33" t="n">
        <v>46309</v>
      </c>
      <c r="B416" s="0" t="n">
        <v>2</v>
      </c>
      <c r="C416" s="0" t="n">
        <v>4124</v>
      </c>
      <c r="D416" s="0" t="n">
        <v>161</v>
      </c>
      <c r="E416" s="0" t="n">
        <v>2</v>
      </c>
      <c r="F416" s="27" t="s">
        <v>464</v>
      </c>
      <c r="G416" s="0" t="n">
        <v>55.1</v>
      </c>
      <c r="H416" s="0" t="n">
        <v>52</v>
      </c>
      <c r="I416" s="27" t="s">
        <v>168</v>
      </c>
      <c r="J416" s="0" t="n">
        <v>161</v>
      </c>
      <c r="K416" s="0" t="n">
        <v>66</v>
      </c>
      <c r="M416" s="0" t="n">
        <v>363.31</v>
      </c>
      <c r="N416" s="0" t="n">
        <v>51.67</v>
      </c>
      <c r="O416" s="0" t="n">
        <v>25.99</v>
      </c>
      <c r="P416" s="0" t="n">
        <v>2.46</v>
      </c>
      <c r="Q416" s="0" t="n">
        <v>3.42</v>
      </c>
      <c r="R416" s="0" t="n">
        <v>4982</v>
      </c>
      <c r="S416" s="0" t="n">
        <v>10222</v>
      </c>
      <c r="T416" s="0" t="n">
        <v>61.05</v>
      </c>
      <c r="U416" s="0" t="n">
        <v>1534</v>
      </c>
      <c r="V416" s="0" t="n">
        <v>3</v>
      </c>
      <c r="W416" s="27" t="n">
        <f aca="false">MATCH(A416,DATAS,0)</f>
        <v>1</v>
      </c>
      <c r="X416" s="27" t="n">
        <f aca="false">IF(AND(E416&gt;0,OR(AND(B416&gt;=1,B416&lt;=6),B416=10)),1,0)</f>
        <v>1</v>
      </c>
      <c r="Y416" s="27" t="n">
        <f aca="false">IF(AND(E416&gt;0,B416=10),1,0)</f>
        <v>0</v>
      </c>
      <c r="Z416" s="0" t="str">
        <f aca="false">IF(AND(C415=C416,W415=W416-1),X415,"")</f>
        <v/>
      </c>
      <c r="AA416" s="0" t="str">
        <f aca="false">IF(AND(C415=C416,W415=W416-1),Y415,"")</f>
        <v/>
      </c>
      <c r="AB416" s="0" t="str">
        <f aca="false">IF(W416=1,"",IF(AND(X416=1,Z416&lt;&gt;1),1,0))</f>
        <v/>
      </c>
      <c r="AC416" s="0" t="str">
        <f aca="false">IF(W416=1,"",IF(AND(Y416=1,AA416&lt;&gt;1),1,0))</f>
        <v/>
      </c>
      <c r="AD416" s="33" t="str">
        <f aca="false">IF(AND(E416&gt;0,W416&lt;1,NOT(AND(C417=C416,W417=W416+1))),INDEX(DATAS,W416+1),"")</f>
        <v/>
      </c>
      <c r="AE416" s="33" t="str">
        <f aca="false">IF(AND(Y416=1,W416&lt;1),IF(AND(C417=C416,W417=W416+1),IF(Y417=1,"",INDEX(DATAS,W416+1)),INDEX(DATAS,W416+1)),"")</f>
        <v/>
      </c>
    </row>
    <row r="417" customFormat="false" ht="15" hidden="false" customHeight="false" outlineLevel="0" collapsed="false">
      <c r="A417" s="33" t="n">
        <v>46309</v>
      </c>
      <c r="B417" s="0" t="n">
        <v>3</v>
      </c>
      <c r="C417" s="0" t="n">
        <v>4125</v>
      </c>
      <c r="D417" s="0" t="n">
        <v>346</v>
      </c>
      <c r="E417" s="0" t="n">
        <v>2</v>
      </c>
      <c r="F417" s="27" t="s">
        <v>465</v>
      </c>
      <c r="G417" s="0" t="n">
        <v>45.5</v>
      </c>
      <c r="H417" s="0" t="n">
        <v>45</v>
      </c>
      <c r="I417" s="27" t="s">
        <v>176</v>
      </c>
      <c r="J417" s="0" t="n">
        <v>346</v>
      </c>
      <c r="K417" s="0" t="n">
        <v>73</v>
      </c>
      <c r="M417" s="0" t="n">
        <v>678.22</v>
      </c>
      <c r="N417" s="0" t="n">
        <v>38.23</v>
      </c>
      <c r="O417" s="0" t="n">
        <v>27.18</v>
      </c>
      <c r="P417" s="0" t="n">
        <v>2.56</v>
      </c>
      <c r="Q417" s="0" t="n">
        <v>3.47</v>
      </c>
      <c r="R417" s="0" t="n">
        <v>5693</v>
      </c>
      <c r="S417" s="0" t="n">
        <v>11137</v>
      </c>
      <c r="T417" s="0" t="n">
        <v>59.25</v>
      </c>
      <c r="U417" s="0" t="n">
        <v>1533</v>
      </c>
      <c r="V417" s="0" t="n">
        <v>6</v>
      </c>
      <c r="W417" s="27" t="n">
        <f aca="false">MATCH(A417,DATAS,0)</f>
        <v>1</v>
      </c>
      <c r="X417" s="27" t="n">
        <f aca="false">IF(AND(E417&gt;0,OR(AND(B417&gt;=1,B417&lt;=6),B417=10)),1,0)</f>
        <v>1</v>
      </c>
      <c r="Y417" s="27" t="n">
        <f aca="false">IF(AND(E417&gt;0,B417=10),1,0)</f>
        <v>0</v>
      </c>
      <c r="Z417" s="0" t="str">
        <f aca="false">IF(AND(C416=C417,W416=W417-1),X416,"")</f>
        <v/>
      </c>
      <c r="AA417" s="0" t="str">
        <f aca="false">IF(AND(C416=C417,W416=W417-1),Y416,"")</f>
        <v/>
      </c>
      <c r="AB417" s="0" t="str">
        <f aca="false">IF(W417=1,"",IF(AND(X417=1,Z417&lt;&gt;1),1,0))</f>
        <v/>
      </c>
      <c r="AC417" s="0" t="str">
        <f aca="false">IF(W417=1,"",IF(AND(Y417=1,AA417&lt;&gt;1),1,0))</f>
        <v/>
      </c>
      <c r="AD417" s="33" t="str">
        <f aca="false">IF(AND(E417&gt;0,W417&lt;1,NOT(AND(C418=C417,W418=W417+1))),INDEX(DATAS,W417+1),"")</f>
        <v/>
      </c>
      <c r="AE417" s="33" t="str">
        <f aca="false">IF(AND(Y417=1,W417&lt;1),IF(AND(C418=C417,W418=W417+1),IF(Y418=1,"",INDEX(DATAS,W417+1)),INDEX(DATAS,W417+1)),"")</f>
        <v/>
      </c>
    </row>
    <row r="418" customFormat="false" ht="15" hidden="false" customHeight="false" outlineLevel="0" collapsed="false">
      <c r="A418" s="33" t="n">
        <v>46309</v>
      </c>
      <c r="B418" s="0" t="n">
        <v>2</v>
      </c>
      <c r="C418" s="0" t="n">
        <v>4130</v>
      </c>
      <c r="D418" s="0" t="n">
        <v>100</v>
      </c>
      <c r="E418" s="0" t="n">
        <v>3</v>
      </c>
      <c r="F418" s="27" t="s">
        <v>466</v>
      </c>
      <c r="G418" s="0" t="n">
        <v>68.8</v>
      </c>
      <c r="H418" s="0" t="n">
        <v>65</v>
      </c>
      <c r="I418" s="27" t="s">
        <v>138</v>
      </c>
      <c r="J418" s="0" t="n">
        <v>65</v>
      </c>
      <c r="K418" s="0" t="n">
        <v>65</v>
      </c>
      <c r="L418" s="0" t="n">
        <v>35</v>
      </c>
      <c r="M418" s="0" t="n">
        <v>912.27</v>
      </c>
      <c r="N418" s="0" t="n">
        <v>47.06</v>
      </c>
      <c r="O418" s="0" t="n">
        <v>29.7</v>
      </c>
      <c r="P418" s="0" t="n">
        <v>2.38</v>
      </c>
      <c r="Q418" s="0" t="n">
        <v>3.14</v>
      </c>
      <c r="R418" s="0" t="n">
        <v>6301</v>
      </c>
      <c r="S418" s="0" t="n">
        <v>12666</v>
      </c>
      <c r="T418" s="0" t="n">
        <v>72.55</v>
      </c>
      <c r="U418" s="0" t="n">
        <v>1531</v>
      </c>
      <c r="V418" s="0" t="n">
        <v>1</v>
      </c>
      <c r="W418" s="27" t="n">
        <f aca="false">MATCH(A418,DATAS,0)</f>
        <v>1</v>
      </c>
      <c r="X418" s="27" t="n">
        <f aca="false">IF(AND(E418&gt;0,OR(AND(B418&gt;=1,B418&lt;=6),B418=10)),1,0)</f>
        <v>1</v>
      </c>
      <c r="Y418" s="27" t="n">
        <f aca="false">IF(AND(E418&gt;0,B418=10),1,0)</f>
        <v>0</v>
      </c>
      <c r="Z418" s="0" t="str">
        <f aca="false">IF(AND(C417=C418,W417=W418-1),X417,"")</f>
        <v/>
      </c>
      <c r="AA418" s="0" t="str">
        <f aca="false">IF(AND(C417=C418,W417=W418-1),Y417,"")</f>
        <v/>
      </c>
      <c r="AB418" s="0" t="str">
        <f aca="false">IF(W418=1,"",IF(AND(X418=1,Z418&lt;&gt;1),1,0))</f>
        <v/>
      </c>
      <c r="AC418" s="0" t="str">
        <f aca="false">IF(W418=1,"",IF(AND(Y418=1,AA418&lt;&gt;1),1,0))</f>
        <v/>
      </c>
      <c r="AD418" s="33" t="str">
        <f aca="false">IF(AND(E418&gt;0,W418&lt;1,NOT(AND(C419=C418,W419=W418+1))),INDEX(DATAS,W418+1),"")</f>
        <v/>
      </c>
      <c r="AE418" s="33" t="str">
        <f aca="false">IF(AND(Y418=1,W418&lt;1),IF(AND(C419=C418,W419=W418+1),IF(Y419=1,"",INDEX(DATAS,W418+1)),INDEX(DATAS,W418+1)),"")</f>
        <v/>
      </c>
    </row>
    <row r="419" customFormat="false" ht="15" hidden="false" customHeight="false" outlineLevel="0" collapsed="false">
      <c r="A419" s="33" t="n">
        <v>46309</v>
      </c>
      <c r="B419" s="0" t="n">
        <v>2</v>
      </c>
      <c r="C419" s="0" t="n">
        <v>4132</v>
      </c>
      <c r="D419" s="0" t="n">
        <v>154</v>
      </c>
      <c r="E419" s="0" t="n">
        <v>3</v>
      </c>
      <c r="F419" s="27" t="s">
        <v>466</v>
      </c>
      <c r="G419" s="0" t="n">
        <v>74</v>
      </c>
      <c r="H419" s="0" t="n">
        <v>73</v>
      </c>
      <c r="I419" s="27" t="s">
        <v>138</v>
      </c>
      <c r="J419" s="0" t="n">
        <v>64</v>
      </c>
      <c r="K419" s="0" t="n">
        <v>71</v>
      </c>
      <c r="L419" s="0" t="n">
        <v>90</v>
      </c>
      <c r="M419" s="0" t="n">
        <v>918.02</v>
      </c>
      <c r="N419" s="0" t="n">
        <v>51.68</v>
      </c>
      <c r="O419" s="0" t="n">
        <v>30.3</v>
      </c>
      <c r="P419" s="0" t="n">
        <v>2.57</v>
      </c>
      <c r="Q419" s="0" t="n">
        <v>3.34</v>
      </c>
      <c r="R419" s="0" t="n">
        <v>6766</v>
      </c>
      <c r="S419" s="0" t="n">
        <v>14330</v>
      </c>
      <c r="T419" s="0" t="n">
        <v>75.8</v>
      </c>
      <c r="U419" s="0" t="n">
        <v>1531</v>
      </c>
      <c r="V419" s="0" t="n">
        <v>1</v>
      </c>
      <c r="W419" s="27" t="n">
        <f aca="false">MATCH(A419,DATAS,0)</f>
        <v>1</v>
      </c>
      <c r="X419" s="27" t="n">
        <f aca="false">IF(AND(E419&gt;0,OR(AND(B419&gt;=1,B419&lt;=6),B419=10)),1,0)</f>
        <v>1</v>
      </c>
      <c r="Y419" s="27" t="n">
        <f aca="false">IF(AND(E419&gt;0,B419=10),1,0)</f>
        <v>0</v>
      </c>
      <c r="Z419" s="0" t="str">
        <f aca="false">IF(AND(C418=C419,W418=W419-1),X418,"")</f>
        <v/>
      </c>
      <c r="AA419" s="0" t="str">
        <f aca="false">IF(AND(C418=C419,W418=W419-1),Y418,"")</f>
        <v/>
      </c>
      <c r="AB419" s="0" t="str">
        <f aca="false">IF(W419=1,"",IF(AND(X419=1,Z419&lt;&gt;1),1,0))</f>
        <v/>
      </c>
      <c r="AC419" s="0" t="str">
        <f aca="false">IF(W419=1,"",IF(AND(Y419=1,AA419&lt;&gt;1),1,0))</f>
        <v/>
      </c>
      <c r="AD419" s="33" t="str">
        <f aca="false">IF(AND(E419&gt;0,W419&lt;1,NOT(AND(C420=C419,W420=W419+1))),INDEX(DATAS,W419+1),"")</f>
        <v/>
      </c>
      <c r="AE419" s="33" t="str">
        <f aca="false">IF(AND(Y419=1,W419&lt;1),IF(AND(C420=C419,W420=W419+1),IF(Y420=1,"",INDEX(DATAS,W419+1)),INDEX(DATAS,W419+1)),"")</f>
        <v/>
      </c>
    </row>
    <row r="420" customFormat="false" ht="15" hidden="false" customHeight="false" outlineLevel="0" collapsed="false">
      <c r="A420" s="33" t="n">
        <v>46309</v>
      </c>
      <c r="B420" s="0" t="n">
        <v>5</v>
      </c>
      <c r="C420" s="0" t="n">
        <v>4133</v>
      </c>
      <c r="D420" s="0" t="n">
        <v>537</v>
      </c>
      <c r="E420" s="0" t="n">
        <v>2</v>
      </c>
      <c r="F420" s="27" t="s">
        <v>466</v>
      </c>
      <c r="G420" s="0" t="n">
        <v>40.1</v>
      </c>
      <c r="H420" s="0" t="n">
        <v>39</v>
      </c>
      <c r="I420" s="27" t="s">
        <v>138</v>
      </c>
      <c r="J420" s="0" t="n">
        <v>426</v>
      </c>
      <c r="K420" s="0" t="n">
        <v>61</v>
      </c>
      <c r="L420" s="0" t="n">
        <v>111</v>
      </c>
      <c r="M420" s="0" t="n">
        <v>915.55</v>
      </c>
      <c r="N420" s="0" t="n">
        <v>59.02</v>
      </c>
      <c r="O420" s="0" t="n">
        <v>41.88</v>
      </c>
      <c r="P420" s="0" t="n">
        <v>4.03</v>
      </c>
      <c r="Q420" s="0" t="n">
        <v>3.63</v>
      </c>
      <c r="R420" s="0" t="n">
        <v>7118</v>
      </c>
      <c r="S420" s="0" t="n">
        <v>13445</v>
      </c>
      <c r="T420" s="0" t="n">
        <v>81.15</v>
      </c>
      <c r="U420" s="0" t="n">
        <v>1531</v>
      </c>
      <c r="V420" s="0" t="n">
        <v>6</v>
      </c>
      <c r="W420" s="27" t="n">
        <f aca="false">MATCH(A420,DATAS,0)</f>
        <v>1</v>
      </c>
      <c r="X420" s="27" t="n">
        <f aca="false">IF(AND(E420&gt;0,OR(AND(B420&gt;=1,B420&lt;=6),B420=10)),1,0)</f>
        <v>1</v>
      </c>
      <c r="Y420" s="27" t="n">
        <f aca="false">IF(AND(E420&gt;0,B420=10),1,0)</f>
        <v>0</v>
      </c>
      <c r="Z420" s="0" t="str">
        <f aca="false">IF(AND(C419=C420,W419=W420-1),X419,"")</f>
        <v/>
      </c>
      <c r="AA420" s="0" t="str">
        <f aca="false">IF(AND(C419=C420,W419=W420-1),Y419,"")</f>
        <v/>
      </c>
      <c r="AB420" s="0" t="str">
        <f aca="false">IF(W420=1,"",IF(AND(X420=1,Z420&lt;&gt;1),1,0))</f>
        <v/>
      </c>
      <c r="AC420" s="0" t="str">
        <f aca="false">IF(W420=1,"",IF(AND(Y420=1,AA420&lt;&gt;1),1,0))</f>
        <v/>
      </c>
      <c r="AD420" s="33" t="str">
        <f aca="false">IF(AND(E420&gt;0,W420&lt;1,NOT(AND(C421=C420,W421=W420+1))),INDEX(DATAS,W420+1),"")</f>
        <v/>
      </c>
      <c r="AE420" s="33" t="str">
        <f aca="false">IF(AND(Y420=1,W420&lt;1),IF(AND(C421=C420,W421=W420+1),IF(Y421=1,"",INDEX(DATAS,W420+1)),INDEX(DATAS,W420+1)),"")</f>
        <v/>
      </c>
    </row>
    <row r="421" customFormat="false" ht="15" hidden="false" customHeight="false" outlineLevel="0" collapsed="false">
      <c r="A421" s="33" t="n">
        <v>46309</v>
      </c>
      <c r="B421" s="0" t="n">
        <v>10</v>
      </c>
      <c r="C421" s="0" t="n">
        <v>4136</v>
      </c>
      <c r="D421" s="0" t="n">
        <v>13</v>
      </c>
      <c r="E421" s="0" t="n">
        <v>3</v>
      </c>
      <c r="F421" s="27" t="s">
        <v>467</v>
      </c>
      <c r="G421" s="0" t="n">
        <v>41.4</v>
      </c>
      <c r="H421" s="0" t="n">
        <v>31</v>
      </c>
      <c r="I421" s="27" t="s">
        <v>147</v>
      </c>
      <c r="J421" s="0" t="n">
        <v>13</v>
      </c>
      <c r="M421" s="0" t="n">
        <v>640.36</v>
      </c>
      <c r="N421" s="0" t="n">
        <v>67.96</v>
      </c>
      <c r="O421" s="0" t="n">
        <v>21.84</v>
      </c>
      <c r="R421" s="0" t="n">
        <v>2914</v>
      </c>
      <c r="S421" s="0" t="n">
        <v>5857</v>
      </c>
      <c r="U421" s="0" t="n">
        <v>1529</v>
      </c>
      <c r="V421" s="0" t="n">
        <v>0</v>
      </c>
      <c r="W421" s="27" t="n">
        <f aca="false">MATCH(A421,DATAS,0)</f>
        <v>1</v>
      </c>
      <c r="X421" s="27" t="n">
        <f aca="false">IF(AND(E421&gt;0,OR(AND(B421&gt;=1,B421&lt;=6),B421=10)),1,0)</f>
        <v>1</v>
      </c>
      <c r="Y421" s="27" t="n">
        <f aca="false">IF(AND(E421&gt;0,B421=10),1,0)</f>
        <v>1</v>
      </c>
      <c r="Z421" s="0" t="str">
        <f aca="false">IF(AND(C420=C421,W420=W421-1),X420,"")</f>
        <v/>
      </c>
      <c r="AA421" s="0" t="str">
        <f aca="false">IF(AND(C420=C421,W420=W421-1),Y420,"")</f>
        <v/>
      </c>
      <c r="AB421" s="0" t="str">
        <f aca="false">IF(W421=1,"",IF(AND(X421=1,Z421&lt;&gt;1),1,0))</f>
        <v/>
      </c>
      <c r="AC421" s="0" t="str">
        <f aca="false">IF(W421=1,"",IF(AND(Y421=1,AA421&lt;&gt;1),1,0))</f>
        <v/>
      </c>
      <c r="AD421" s="33" t="str">
        <f aca="false">IF(AND(E421&gt;0,W421&lt;1,NOT(AND(C422=C421,W422=W421+1))),INDEX(DATAS,W421+1),"")</f>
        <v/>
      </c>
      <c r="AE421" s="33" t="str">
        <f aca="false">IF(AND(Y421=1,W421&lt;1),IF(AND(C422=C421,W422=W421+1),IF(Y422=1,"",INDEX(DATAS,W421+1)),INDEX(DATAS,W421+1)),"")</f>
        <v/>
      </c>
    </row>
    <row r="422" customFormat="false" ht="15" hidden="false" customHeight="false" outlineLevel="0" collapsed="false">
      <c r="A422" s="33" t="n">
        <v>46309</v>
      </c>
      <c r="B422" s="0" t="n">
        <v>2</v>
      </c>
      <c r="C422" s="0" t="n">
        <v>4140</v>
      </c>
      <c r="D422" s="0" t="n">
        <v>182</v>
      </c>
      <c r="E422" s="0" t="n">
        <v>3</v>
      </c>
      <c r="F422" s="27" t="s">
        <v>468</v>
      </c>
      <c r="G422" s="0" t="n">
        <v>38</v>
      </c>
      <c r="H422" s="0" t="n">
        <v>46</v>
      </c>
      <c r="I422" s="27" t="s">
        <v>168</v>
      </c>
      <c r="J422" s="0" t="n">
        <v>182</v>
      </c>
      <c r="K422" s="0" t="n">
        <v>98</v>
      </c>
      <c r="M422" s="0" t="n">
        <v>965.11</v>
      </c>
      <c r="N422" s="0" t="n">
        <v>12.15</v>
      </c>
      <c r="O422" s="0" t="n">
        <v>30.54</v>
      </c>
      <c r="P422" s="0" t="n">
        <v>2.49</v>
      </c>
      <c r="Q422" s="0" t="n">
        <v>3.56</v>
      </c>
      <c r="R422" s="0" t="n">
        <v>4915</v>
      </c>
      <c r="S422" s="0" t="n">
        <v>10080</v>
      </c>
      <c r="T422" s="0" t="n">
        <v>54.75</v>
      </c>
      <c r="U422" s="0" t="n">
        <v>1526</v>
      </c>
      <c r="V422" s="0" t="n">
        <v>3</v>
      </c>
      <c r="W422" s="27" t="n">
        <f aca="false">MATCH(A422,DATAS,0)</f>
        <v>1</v>
      </c>
      <c r="X422" s="27" t="n">
        <f aca="false">IF(AND(E422&gt;0,OR(AND(B422&gt;=1,B422&lt;=6),B422=10)),1,0)</f>
        <v>1</v>
      </c>
      <c r="Y422" s="27" t="n">
        <f aca="false">IF(AND(E422&gt;0,B422=10),1,0)</f>
        <v>0</v>
      </c>
      <c r="Z422" s="0" t="str">
        <f aca="false">IF(AND(C421=C422,W421=W422-1),X421,"")</f>
        <v/>
      </c>
      <c r="AA422" s="0" t="str">
        <f aca="false">IF(AND(C421=C422,W421=W422-1),Y421,"")</f>
        <v/>
      </c>
      <c r="AB422" s="0" t="str">
        <f aca="false">IF(W422=1,"",IF(AND(X422=1,Z422&lt;&gt;1),1,0))</f>
        <v/>
      </c>
      <c r="AC422" s="0" t="str">
        <f aca="false">IF(W422=1,"",IF(AND(Y422=1,AA422&lt;&gt;1),1,0))</f>
        <v/>
      </c>
      <c r="AD422" s="33" t="str">
        <f aca="false">IF(AND(E422&gt;0,W422&lt;1,NOT(AND(C423=C422,W423=W422+1))),INDEX(DATAS,W422+1),"")</f>
        <v/>
      </c>
      <c r="AE422" s="33" t="str">
        <f aca="false">IF(AND(Y422=1,W422&lt;1),IF(AND(C423=C422,W423=W422+1),IF(Y423=1,"",INDEX(DATAS,W422+1)),INDEX(DATAS,W422+1)),"")</f>
        <v/>
      </c>
    </row>
    <row r="423" customFormat="false" ht="15" hidden="false" customHeight="false" outlineLevel="0" collapsed="false">
      <c r="A423" s="33" t="n">
        <v>46309</v>
      </c>
      <c r="B423" s="0" t="n">
        <v>3</v>
      </c>
      <c r="C423" s="0" t="n">
        <v>4141</v>
      </c>
      <c r="D423" s="0" t="n">
        <v>12</v>
      </c>
      <c r="E423" s="0" t="n">
        <v>3</v>
      </c>
      <c r="F423" s="27" t="s">
        <v>468</v>
      </c>
      <c r="G423" s="0" t="n">
        <v>62.7</v>
      </c>
      <c r="H423" s="0" t="n">
        <v>55</v>
      </c>
      <c r="I423" s="27" t="s">
        <v>147</v>
      </c>
      <c r="J423" s="0" t="n">
        <v>12</v>
      </c>
      <c r="M423" s="0" t="n">
        <v>454.67</v>
      </c>
      <c r="N423" s="0" t="n">
        <v>54.08</v>
      </c>
      <c r="O423" s="0" t="n">
        <v>26.05</v>
      </c>
      <c r="R423" s="0" t="n">
        <v>4233</v>
      </c>
      <c r="S423" s="0" t="n">
        <v>8509</v>
      </c>
      <c r="U423" s="0" t="n">
        <v>1526</v>
      </c>
      <c r="V423" s="0" t="n">
        <v>0</v>
      </c>
      <c r="W423" s="27" t="n">
        <f aca="false">MATCH(A423,DATAS,0)</f>
        <v>1</v>
      </c>
      <c r="X423" s="27" t="n">
        <f aca="false">IF(AND(E423&gt;0,OR(AND(B423&gt;=1,B423&lt;=6),B423=10)),1,0)</f>
        <v>1</v>
      </c>
      <c r="Y423" s="27" t="n">
        <f aca="false">IF(AND(E423&gt;0,B423=10),1,0)</f>
        <v>0</v>
      </c>
      <c r="Z423" s="0" t="str">
        <f aca="false">IF(AND(C422=C423,W422=W423-1),X422,"")</f>
        <v/>
      </c>
      <c r="AA423" s="0" t="str">
        <f aca="false">IF(AND(C422=C423,W422=W423-1),Y422,"")</f>
        <v/>
      </c>
      <c r="AB423" s="0" t="str">
        <f aca="false">IF(W423=1,"",IF(AND(X423=1,Z423&lt;&gt;1),1,0))</f>
        <v/>
      </c>
      <c r="AC423" s="0" t="str">
        <f aca="false">IF(W423=1,"",IF(AND(Y423=1,AA423&lt;&gt;1),1,0))</f>
        <v/>
      </c>
      <c r="AD423" s="33" t="str">
        <f aca="false">IF(AND(E423&gt;0,W423&lt;1,NOT(AND(C424=C423,W424=W423+1))),INDEX(DATAS,W423+1),"")</f>
        <v/>
      </c>
      <c r="AE423" s="33" t="str">
        <f aca="false">IF(AND(Y423=1,W423&lt;1),IF(AND(C424=C423,W424=W423+1),IF(Y424=1,"",INDEX(DATAS,W423+1)),INDEX(DATAS,W423+1)),"")</f>
        <v/>
      </c>
    </row>
    <row r="424" customFormat="false" ht="15" hidden="false" customHeight="false" outlineLevel="0" collapsed="false">
      <c r="A424" s="33" t="n">
        <v>46309</v>
      </c>
      <c r="B424" s="0" t="n">
        <v>2</v>
      </c>
      <c r="C424" s="0" t="n">
        <v>4142</v>
      </c>
      <c r="D424" s="0" t="n">
        <v>100</v>
      </c>
      <c r="E424" s="0" t="n">
        <v>3</v>
      </c>
      <c r="F424" s="27" t="s">
        <v>468</v>
      </c>
      <c r="G424" s="0" t="n">
        <v>46.6</v>
      </c>
      <c r="H424" s="0" t="n">
        <v>47</v>
      </c>
      <c r="I424" s="27" t="s">
        <v>176</v>
      </c>
      <c r="J424" s="0" t="n">
        <v>100</v>
      </c>
      <c r="K424" s="0" t="n">
        <v>65</v>
      </c>
      <c r="M424" s="0" t="n">
        <v>1458.44</v>
      </c>
      <c r="N424" s="0" t="n">
        <v>85</v>
      </c>
      <c r="O424" s="0" t="n">
        <v>51.33</v>
      </c>
      <c r="P424" s="0" t="n">
        <v>3.47</v>
      </c>
      <c r="Q424" s="0" t="n">
        <v>2.89</v>
      </c>
      <c r="R424" s="0" t="n">
        <v>5271</v>
      </c>
      <c r="S424" s="0" t="n">
        <v>10595</v>
      </c>
      <c r="T424" s="0" t="n">
        <v>58.6</v>
      </c>
      <c r="U424" s="0" t="n">
        <v>1526</v>
      </c>
      <c r="V424" s="0" t="n">
        <v>1</v>
      </c>
      <c r="W424" s="27" t="n">
        <f aca="false">MATCH(A424,DATAS,0)</f>
        <v>1</v>
      </c>
      <c r="X424" s="27" t="n">
        <f aca="false">IF(AND(E424&gt;0,OR(AND(B424&gt;=1,B424&lt;=6),B424=10)),1,0)</f>
        <v>1</v>
      </c>
      <c r="Y424" s="27" t="n">
        <f aca="false">IF(AND(E424&gt;0,B424=10),1,0)</f>
        <v>0</v>
      </c>
      <c r="Z424" s="0" t="str">
        <f aca="false">IF(AND(C423=C424,W423=W424-1),X423,"")</f>
        <v/>
      </c>
      <c r="AA424" s="0" t="str">
        <f aca="false">IF(AND(C423=C424,W423=W424-1),Y423,"")</f>
        <v/>
      </c>
      <c r="AB424" s="0" t="str">
        <f aca="false">IF(W424=1,"",IF(AND(X424=1,Z424&lt;&gt;1),1,0))</f>
        <v/>
      </c>
      <c r="AC424" s="0" t="str">
        <f aca="false">IF(W424=1,"",IF(AND(Y424=1,AA424&lt;&gt;1),1,0))</f>
        <v/>
      </c>
      <c r="AD424" s="33" t="str">
        <f aca="false">IF(AND(E424&gt;0,W424&lt;1,NOT(AND(C425=C424,W425=W424+1))),INDEX(DATAS,W424+1),"")</f>
        <v/>
      </c>
      <c r="AE424" s="33" t="str">
        <f aca="false">IF(AND(Y424=1,W424&lt;1),IF(AND(C425=C424,W425=W424+1),IF(Y425=1,"",INDEX(DATAS,W424+1)),INDEX(DATAS,W424+1)),"")</f>
        <v/>
      </c>
    </row>
    <row r="425" customFormat="false" ht="15" hidden="false" customHeight="false" outlineLevel="0" collapsed="false">
      <c r="A425" s="33" t="n">
        <v>46309</v>
      </c>
      <c r="B425" s="0" t="n">
        <v>5</v>
      </c>
      <c r="C425" s="0" t="n">
        <v>4145</v>
      </c>
      <c r="D425" s="0" t="n">
        <v>419</v>
      </c>
      <c r="E425" s="0" t="n">
        <v>2</v>
      </c>
      <c r="F425" s="27" t="s">
        <v>469</v>
      </c>
      <c r="G425" s="0" t="n">
        <v>35.2</v>
      </c>
      <c r="H425" s="0" t="n">
        <v>30</v>
      </c>
      <c r="I425" s="27" t="s">
        <v>168</v>
      </c>
      <c r="J425" s="0" t="n">
        <v>419</v>
      </c>
      <c r="K425" s="0" t="n">
        <v>69</v>
      </c>
      <c r="M425" s="0" t="n">
        <v>601.44</v>
      </c>
      <c r="N425" s="0" t="n">
        <v>63.47</v>
      </c>
      <c r="O425" s="0" t="n">
        <v>43.2</v>
      </c>
      <c r="P425" s="0" t="n">
        <v>4.74</v>
      </c>
      <c r="Q425" s="0" t="n">
        <v>4.31</v>
      </c>
      <c r="R425" s="0" t="n">
        <v>5544</v>
      </c>
      <c r="S425" s="0" t="n">
        <v>10642</v>
      </c>
      <c r="T425" s="0" t="n">
        <v>59.65</v>
      </c>
      <c r="U425" s="0" t="n">
        <v>1525</v>
      </c>
      <c r="V425" s="0" t="n">
        <v>8</v>
      </c>
      <c r="W425" s="27" t="n">
        <f aca="false">MATCH(A425,DATAS,0)</f>
        <v>1</v>
      </c>
      <c r="X425" s="27" t="n">
        <f aca="false">IF(AND(E425&gt;0,OR(AND(B425&gt;=1,B425&lt;=6),B425=10)),1,0)</f>
        <v>1</v>
      </c>
      <c r="Y425" s="27" t="n">
        <f aca="false">IF(AND(E425&gt;0,B425=10),1,0)</f>
        <v>0</v>
      </c>
      <c r="Z425" s="0" t="str">
        <f aca="false">IF(AND(C424=C425,W424=W425-1),X424,"")</f>
        <v/>
      </c>
      <c r="AA425" s="0" t="str">
        <f aca="false">IF(AND(C424=C425,W424=W425-1),Y424,"")</f>
        <v/>
      </c>
      <c r="AB425" s="0" t="str">
        <f aca="false">IF(W425=1,"",IF(AND(X425=1,Z425&lt;&gt;1),1,0))</f>
        <v/>
      </c>
      <c r="AC425" s="0" t="str">
        <f aca="false">IF(W425=1,"",IF(AND(Y425=1,AA425&lt;&gt;1),1,0))</f>
        <v/>
      </c>
      <c r="AD425" s="33" t="str">
        <f aca="false">IF(AND(E425&gt;0,W425&lt;1,NOT(AND(C426=C425,W426=W425+1))),INDEX(DATAS,W425+1),"")</f>
        <v/>
      </c>
      <c r="AE425" s="33" t="str">
        <f aca="false">IF(AND(Y425=1,W425&lt;1),IF(AND(C426=C425,W426=W425+1),IF(Y426=1,"",INDEX(DATAS,W425+1)),INDEX(DATAS,W425+1)),"")</f>
        <v/>
      </c>
    </row>
    <row r="426" customFormat="false" ht="15" hidden="false" customHeight="false" outlineLevel="0" collapsed="false">
      <c r="A426" s="33" t="n">
        <v>46309</v>
      </c>
      <c r="B426" s="0" t="n">
        <v>14</v>
      </c>
      <c r="C426" s="0" t="n">
        <v>4148</v>
      </c>
      <c r="D426" s="0" t="n">
        <v>328</v>
      </c>
      <c r="E426" s="0" t="n">
        <v>2</v>
      </c>
      <c r="F426" s="27" t="s">
        <v>469</v>
      </c>
      <c r="I426" s="27" t="s">
        <v>143</v>
      </c>
      <c r="J426" s="0" t="n">
        <v>224</v>
      </c>
      <c r="K426" s="0" t="n">
        <v>63</v>
      </c>
      <c r="L426" s="0" t="n">
        <v>273</v>
      </c>
      <c r="M426" s="0" t="n">
        <v>736.67</v>
      </c>
      <c r="N426" s="0" t="n">
        <v>52.58</v>
      </c>
      <c r="O426" s="0" t="n">
        <v>29.1</v>
      </c>
      <c r="P426" s="0" t="n">
        <v>4.37</v>
      </c>
      <c r="Q426" s="0" t="n">
        <v>3.72</v>
      </c>
      <c r="R426" s="0" t="n">
        <v>5776</v>
      </c>
      <c r="S426" s="0" t="n">
        <v>10162</v>
      </c>
      <c r="T426" s="0" t="n">
        <v>53.15</v>
      </c>
      <c r="U426" s="0" t="n">
        <v>1525</v>
      </c>
      <c r="V426" s="0" t="n">
        <v>6</v>
      </c>
      <c r="W426" s="27" t="n">
        <f aca="false">MATCH(A426,DATAS,0)</f>
        <v>1</v>
      </c>
      <c r="X426" s="27" t="n">
        <f aca="false">IF(AND(E426&gt;0,OR(AND(B426&gt;=1,B426&lt;=6),B426=10)),1,0)</f>
        <v>0</v>
      </c>
      <c r="Y426" s="27" t="n">
        <f aca="false">IF(AND(E426&gt;0,B426=10),1,0)</f>
        <v>0</v>
      </c>
      <c r="Z426" s="0" t="str">
        <f aca="false">IF(AND(C425=C426,W425=W426-1),X425,"")</f>
        <v/>
      </c>
      <c r="AA426" s="0" t="str">
        <f aca="false">IF(AND(C425=C426,W425=W426-1),Y425,"")</f>
        <v/>
      </c>
      <c r="AB426" s="0" t="str">
        <f aca="false">IF(W426=1,"",IF(AND(X426=1,Z426&lt;&gt;1),1,0))</f>
        <v/>
      </c>
      <c r="AC426" s="0" t="str">
        <f aca="false">IF(W426=1,"",IF(AND(Y426=1,AA426&lt;&gt;1),1,0))</f>
        <v/>
      </c>
      <c r="AD426" s="33" t="str">
        <f aca="false">IF(AND(E426&gt;0,W426&lt;1,NOT(AND(C427=C426,W427=W426+1))),INDEX(DATAS,W426+1),"")</f>
        <v/>
      </c>
      <c r="AE426" s="33" t="str">
        <f aca="false">IF(AND(Y426=1,W426&lt;1),IF(AND(C427=C426,W427=W426+1),IF(Y427=1,"",INDEX(DATAS,W426+1)),INDEX(DATAS,W426+1)),"")</f>
        <v/>
      </c>
    </row>
    <row r="427" customFormat="false" ht="15" hidden="false" customHeight="false" outlineLevel="0" collapsed="false">
      <c r="A427" s="33" t="n">
        <v>46309</v>
      </c>
      <c r="B427" s="0" t="n">
        <v>5</v>
      </c>
      <c r="C427" s="0" t="n">
        <v>4154</v>
      </c>
      <c r="D427" s="0" t="n">
        <v>120</v>
      </c>
      <c r="E427" s="0" t="n">
        <v>3</v>
      </c>
      <c r="F427" s="27" t="s">
        <v>469</v>
      </c>
      <c r="G427" s="0" t="n">
        <v>37.2</v>
      </c>
      <c r="H427" s="0" t="n">
        <v>38</v>
      </c>
      <c r="I427" s="27" t="s">
        <v>176</v>
      </c>
      <c r="J427" s="0" t="n">
        <v>120</v>
      </c>
      <c r="K427" s="0" t="n">
        <v>78</v>
      </c>
      <c r="M427" s="0" t="n">
        <v>958.19</v>
      </c>
      <c r="N427" s="0" t="n">
        <v>39.33</v>
      </c>
      <c r="O427" s="0" t="n">
        <v>26.71</v>
      </c>
      <c r="P427" s="0" t="n">
        <v>2.86</v>
      </c>
      <c r="Q427" s="0" t="n">
        <v>3.35</v>
      </c>
      <c r="R427" s="0" t="n">
        <v>5282</v>
      </c>
      <c r="S427" s="0" t="n">
        <v>10462</v>
      </c>
      <c r="T427" s="0" t="n">
        <v>57.65</v>
      </c>
      <c r="U427" s="0" t="n">
        <v>1525</v>
      </c>
      <c r="V427" s="0" t="n">
        <v>1</v>
      </c>
      <c r="W427" s="27" t="n">
        <f aca="false">MATCH(A427,DATAS,0)</f>
        <v>1</v>
      </c>
      <c r="X427" s="27" t="n">
        <f aca="false">IF(AND(E427&gt;0,OR(AND(B427&gt;=1,B427&lt;=6),B427=10)),1,0)</f>
        <v>1</v>
      </c>
      <c r="Y427" s="27" t="n">
        <f aca="false">IF(AND(E427&gt;0,B427=10),1,0)</f>
        <v>0</v>
      </c>
      <c r="Z427" s="0" t="str">
        <f aca="false">IF(AND(C426=C427,W426=W427-1),X426,"")</f>
        <v/>
      </c>
      <c r="AA427" s="0" t="str">
        <f aca="false">IF(AND(C426=C427,W426=W427-1),Y426,"")</f>
        <v/>
      </c>
      <c r="AB427" s="0" t="str">
        <f aca="false">IF(W427=1,"",IF(AND(X427=1,Z427&lt;&gt;1),1,0))</f>
        <v/>
      </c>
      <c r="AC427" s="0" t="str">
        <f aca="false">IF(W427=1,"",IF(AND(Y427=1,AA427&lt;&gt;1),1,0))</f>
        <v/>
      </c>
      <c r="AD427" s="33" t="str">
        <f aca="false">IF(AND(E427&gt;0,W427&lt;1,NOT(AND(C428=C427,W428=W427+1))),INDEX(DATAS,W427+1),"")</f>
        <v/>
      </c>
      <c r="AE427" s="33" t="str">
        <f aca="false">IF(AND(Y427=1,W427&lt;1),IF(AND(C428=C427,W428=W427+1),IF(Y428=1,"",INDEX(DATAS,W427+1)),INDEX(DATAS,W427+1)),"")</f>
        <v/>
      </c>
    </row>
    <row r="428" customFormat="false" ht="15" hidden="false" customHeight="false" outlineLevel="0" collapsed="false">
      <c r="A428" s="33" t="n">
        <v>46309</v>
      </c>
      <c r="B428" s="0" t="n">
        <v>7</v>
      </c>
      <c r="C428" s="0" t="n">
        <v>4155</v>
      </c>
      <c r="D428" s="0" t="n">
        <v>488</v>
      </c>
      <c r="E428" s="0" t="n">
        <v>2</v>
      </c>
      <c r="F428" s="27" t="s">
        <v>470</v>
      </c>
      <c r="I428" s="27" t="s">
        <v>143</v>
      </c>
      <c r="J428" s="0" t="n">
        <v>433</v>
      </c>
      <c r="K428" s="0" t="n">
        <v>62</v>
      </c>
      <c r="L428" s="0" t="n">
        <v>84</v>
      </c>
      <c r="M428" s="0" t="n">
        <v>151.16</v>
      </c>
      <c r="N428" s="0" t="n">
        <v>53.06</v>
      </c>
      <c r="O428" s="0" t="n">
        <v>16.26</v>
      </c>
      <c r="P428" s="0" t="n">
        <v>6.46</v>
      </c>
      <c r="Q428" s="0" t="n">
        <v>4.41</v>
      </c>
      <c r="R428" s="0" t="n">
        <v>6029</v>
      </c>
      <c r="S428" s="0" t="n">
        <v>10989</v>
      </c>
      <c r="T428" s="0" t="n">
        <v>63.1</v>
      </c>
      <c r="U428" s="0" t="n">
        <v>1523</v>
      </c>
      <c r="V428" s="0" t="n">
        <v>10</v>
      </c>
      <c r="W428" s="27" t="n">
        <f aca="false">MATCH(A428,DATAS,0)</f>
        <v>1</v>
      </c>
      <c r="X428" s="27" t="n">
        <f aca="false">IF(AND(E428&gt;0,OR(AND(B428&gt;=1,B428&lt;=6),B428=10)),1,0)</f>
        <v>0</v>
      </c>
      <c r="Y428" s="27" t="n">
        <f aca="false">IF(AND(E428&gt;0,B428=10),1,0)</f>
        <v>0</v>
      </c>
      <c r="Z428" s="0" t="str">
        <f aca="false">IF(AND(C427=C428,W427=W428-1),X427,"")</f>
        <v/>
      </c>
      <c r="AA428" s="0" t="str">
        <f aca="false">IF(AND(C427=C428,W427=W428-1),Y427,"")</f>
        <v/>
      </c>
      <c r="AB428" s="0" t="str">
        <f aca="false">IF(W428=1,"",IF(AND(X428=1,Z428&lt;&gt;1),1,0))</f>
        <v/>
      </c>
      <c r="AC428" s="0" t="str">
        <f aca="false">IF(W428=1,"",IF(AND(Y428=1,AA428&lt;&gt;1),1,0))</f>
        <v/>
      </c>
      <c r="AD428" s="33" t="str">
        <f aca="false">IF(AND(E428&gt;0,W428&lt;1,NOT(AND(C429=C428,W429=W428+1))),INDEX(DATAS,W428+1),"")</f>
        <v/>
      </c>
      <c r="AE428" s="33" t="str">
        <f aca="false">IF(AND(Y428=1,W428&lt;1),IF(AND(C429=C428,W429=W428+1),IF(Y429=1,"",INDEX(DATAS,W428+1)),INDEX(DATAS,W428+1)),"")</f>
        <v/>
      </c>
    </row>
    <row r="429" customFormat="false" ht="15" hidden="false" customHeight="false" outlineLevel="0" collapsed="false">
      <c r="A429" s="33" t="n">
        <v>46309</v>
      </c>
      <c r="B429" s="0" t="n">
        <v>3</v>
      </c>
      <c r="C429" s="0" t="n">
        <v>4156</v>
      </c>
      <c r="D429" s="0" t="n">
        <v>164</v>
      </c>
      <c r="E429" s="0" t="n">
        <v>3</v>
      </c>
      <c r="F429" s="27" t="s">
        <v>470</v>
      </c>
      <c r="G429" s="0" t="n">
        <v>58.1</v>
      </c>
      <c r="H429" s="0" t="n">
        <v>58</v>
      </c>
      <c r="I429" s="27" t="s">
        <v>138</v>
      </c>
      <c r="J429" s="0" t="n">
        <v>66</v>
      </c>
      <c r="K429" s="0" t="n">
        <v>66</v>
      </c>
      <c r="L429" s="0" t="n">
        <v>98</v>
      </c>
      <c r="M429" s="0" t="n">
        <v>595.29</v>
      </c>
      <c r="N429" s="0" t="n">
        <v>62.02</v>
      </c>
      <c r="O429" s="0" t="n">
        <v>26.07</v>
      </c>
      <c r="P429" s="0" t="n">
        <v>3.3</v>
      </c>
      <c r="Q429" s="0" t="n">
        <v>3.59</v>
      </c>
      <c r="R429" s="0" t="n">
        <v>6048</v>
      </c>
      <c r="S429" s="0" t="n">
        <v>12101</v>
      </c>
      <c r="T429" s="0" t="n">
        <v>64.15</v>
      </c>
      <c r="U429" s="0" t="n">
        <v>1523</v>
      </c>
      <c r="V429" s="0" t="n">
        <v>1</v>
      </c>
      <c r="W429" s="27" t="n">
        <f aca="false">MATCH(A429,DATAS,0)</f>
        <v>1</v>
      </c>
      <c r="X429" s="27" t="n">
        <f aca="false">IF(AND(E429&gt;0,OR(AND(B429&gt;=1,B429&lt;=6),B429=10)),1,0)</f>
        <v>1</v>
      </c>
      <c r="Y429" s="27" t="n">
        <f aca="false">IF(AND(E429&gt;0,B429=10),1,0)</f>
        <v>0</v>
      </c>
      <c r="Z429" s="0" t="str">
        <f aca="false">IF(AND(C428=C429,W428=W429-1),X428,"")</f>
        <v/>
      </c>
      <c r="AA429" s="0" t="str">
        <f aca="false">IF(AND(C428=C429,W428=W429-1),Y428,"")</f>
        <v/>
      </c>
      <c r="AB429" s="0" t="str">
        <f aca="false">IF(W429=1,"",IF(AND(X429=1,Z429&lt;&gt;1),1,0))</f>
        <v/>
      </c>
      <c r="AC429" s="0" t="str">
        <f aca="false">IF(W429=1,"",IF(AND(Y429=1,AA429&lt;&gt;1),1,0))</f>
        <v/>
      </c>
      <c r="AD429" s="33" t="str">
        <f aca="false">IF(AND(E429&gt;0,W429&lt;1,NOT(AND(C430=C429,W430=W429+1))),INDEX(DATAS,W429+1),"")</f>
        <v/>
      </c>
      <c r="AE429" s="33" t="str">
        <f aca="false">IF(AND(Y429=1,W429&lt;1),IF(AND(C430=C429,W430=W429+1),IF(Y430=1,"",INDEX(DATAS,W429+1)),INDEX(DATAS,W429+1)),"")</f>
        <v/>
      </c>
    </row>
    <row r="430" customFormat="false" ht="15" hidden="false" customHeight="false" outlineLevel="0" collapsed="false">
      <c r="A430" s="33" t="n">
        <v>46309</v>
      </c>
      <c r="B430" s="0" t="n">
        <v>2</v>
      </c>
      <c r="C430" s="0" t="n">
        <v>4158</v>
      </c>
      <c r="D430" s="0" t="n">
        <v>132</v>
      </c>
      <c r="E430" s="0" t="n">
        <v>2</v>
      </c>
      <c r="F430" s="27" t="s">
        <v>470</v>
      </c>
      <c r="G430" s="0" t="n">
        <v>71</v>
      </c>
      <c r="H430" s="0" t="n">
        <v>73</v>
      </c>
      <c r="I430" s="27" t="s">
        <v>168</v>
      </c>
      <c r="J430" s="0" t="n">
        <v>132</v>
      </c>
      <c r="K430" s="0" t="n">
        <v>69</v>
      </c>
      <c r="M430" s="0" t="n">
        <v>582.45</v>
      </c>
      <c r="N430" s="0" t="n">
        <v>83.78</v>
      </c>
      <c r="O430" s="0" t="n">
        <v>30.91</v>
      </c>
      <c r="P430" s="0" t="n">
        <v>3.33</v>
      </c>
      <c r="Q430" s="0" t="n">
        <v>3.06</v>
      </c>
      <c r="R430" s="0" t="n">
        <v>7251</v>
      </c>
      <c r="S430" s="0" t="n">
        <v>14790</v>
      </c>
      <c r="T430" s="0" t="n">
        <v>76.5</v>
      </c>
      <c r="U430" s="0" t="n">
        <v>1523</v>
      </c>
      <c r="V430" s="0" t="n">
        <v>2</v>
      </c>
      <c r="W430" s="27" t="n">
        <f aca="false">MATCH(A430,DATAS,0)</f>
        <v>1</v>
      </c>
      <c r="X430" s="27" t="n">
        <f aca="false">IF(AND(E430&gt;0,OR(AND(B430&gt;=1,B430&lt;=6),B430=10)),1,0)</f>
        <v>1</v>
      </c>
      <c r="Y430" s="27" t="n">
        <f aca="false">IF(AND(E430&gt;0,B430=10),1,0)</f>
        <v>0</v>
      </c>
      <c r="Z430" s="0" t="str">
        <f aca="false">IF(AND(C429=C430,W429=W430-1),X429,"")</f>
        <v/>
      </c>
      <c r="AA430" s="0" t="str">
        <f aca="false">IF(AND(C429=C430,W429=W430-1),Y429,"")</f>
        <v/>
      </c>
      <c r="AB430" s="0" t="str">
        <f aca="false">IF(W430=1,"",IF(AND(X430=1,Z430&lt;&gt;1),1,0))</f>
        <v/>
      </c>
      <c r="AC430" s="0" t="str">
        <f aca="false">IF(W430=1,"",IF(AND(Y430=1,AA430&lt;&gt;1),1,0))</f>
        <v/>
      </c>
      <c r="AD430" s="33" t="str">
        <f aca="false">IF(AND(E430&gt;0,W430&lt;1,NOT(AND(C431=C430,W431=W430+1))),INDEX(DATAS,W430+1),"")</f>
        <v/>
      </c>
      <c r="AE430" s="33" t="str">
        <f aca="false">IF(AND(Y430=1,W430&lt;1),IF(AND(C431=C430,W431=W430+1),IF(Y431=1,"",INDEX(DATAS,W430+1)),INDEX(DATAS,W430+1)),"")</f>
        <v/>
      </c>
    </row>
    <row r="431" customFormat="false" ht="15" hidden="false" customHeight="false" outlineLevel="0" collapsed="false">
      <c r="A431" s="33" t="n">
        <v>46309</v>
      </c>
      <c r="B431" s="0" t="n">
        <v>6</v>
      </c>
      <c r="C431" s="0" t="n">
        <v>4159</v>
      </c>
      <c r="D431" s="0" t="n">
        <v>361</v>
      </c>
      <c r="E431" s="0" t="n">
        <v>2</v>
      </c>
      <c r="F431" s="27" t="s">
        <v>470</v>
      </c>
      <c r="G431" s="0" t="n">
        <v>26.2</v>
      </c>
      <c r="H431" s="0" t="n">
        <v>21</v>
      </c>
      <c r="I431" s="27" t="s">
        <v>138</v>
      </c>
      <c r="J431" s="0" t="n">
        <v>312</v>
      </c>
      <c r="K431" s="0" t="n">
        <v>68</v>
      </c>
      <c r="L431" s="0" t="n">
        <v>49</v>
      </c>
      <c r="M431" s="0" t="n">
        <v>307.64</v>
      </c>
      <c r="N431" s="0" t="n">
        <v>32.87</v>
      </c>
      <c r="O431" s="0" t="n">
        <v>23.75</v>
      </c>
      <c r="P431" s="0" t="n">
        <v>4.96</v>
      </c>
      <c r="Q431" s="0" t="n">
        <v>4.12</v>
      </c>
      <c r="R431" s="0" t="n">
        <v>3485</v>
      </c>
      <c r="S431" s="0" t="n">
        <v>8401</v>
      </c>
      <c r="T431" s="0" t="n">
        <v>41.75</v>
      </c>
      <c r="U431" s="0" t="n">
        <v>1523</v>
      </c>
      <c r="V431" s="0" t="n">
        <v>6</v>
      </c>
      <c r="W431" s="27" t="n">
        <f aca="false">MATCH(A431,DATAS,0)</f>
        <v>1</v>
      </c>
      <c r="X431" s="27" t="n">
        <f aca="false">IF(AND(E431&gt;0,OR(AND(B431&gt;=1,B431&lt;=6),B431=10)),1,0)</f>
        <v>1</v>
      </c>
      <c r="Y431" s="27" t="n">
        <f aca="false">IF(AND(E431&gt;0,B431=10),1,0)</f>
        <v>0</v>
      </c>
      <c r="Z431" s="0" t="str">
        <f aca="false">IF(AND(C430=C431,W430=W431-1),X430,"")</f>
        <v/>
      </c>
      <c r="AA431" s="0" t="str">
        <f aca="false">IF(AND(C430=C431,W430=W431-1),Y430,"")</f>
        <v/>
      </c>
      <c r="AB431" s="0" t="str">
        <f aca="false">IF(W431=1,"",IF(AND(X431=1,Z431&lt;&gt;1),1,0))</f>
        <v/>
      </c>
      <c r="AC431" s="0" t="str">
        <f aca="false">IF(W431=1,"",IF(AND(Y431=1,AA431&lt;&gt;1),1,0))</f>
        <v/>
      </c>
      <c r="AD431" s="33" t="str">
        <f aca="false">IF(AND(E431&gt;0,W431&lt;1,NOT(AND(C432=C431,W432=W431+1))),INDEX(DATAS,W431+1),"")</f>
        <v/>
      </c>
      <c r="AE431" s="33" t="str">
        <f aca="false">IF(AND(Y431=1,W431&lt;1),IF(AND(C432=C431,W432=W431+1),IF(Y432=1,"",INDEX(DATAS,W431+1)),INDEX(DATAS,W431+1)),"")</f>
        <v/>
      </c>
    </row>
    <row r="432" customFormat="false" ht="15" hidden="false" customHeight="false" outlineLevel="0" collapsed="false">
      <c r="A432" s="33" t="n">
        <v>46309</v>
      </c>
      <c r="B432" s="0" t="n">
        <v>5</v>
      </c>
      <c r="C432" s="0" t="n">
        <v>4160</v>
      </c>
      <c r="D432" s="0" t="n">
        <v>62</v>
      </c>
      <c r="E432" s="0" t="n">
        <v>3</v>
      </c>
      <c r="F432" s="27" t="s">
        <v>471</v>
      </c>
      <c r="G432" s="0" t="n">
        <v>35.9</v>
      </c>
      <c r="H432" s="0" t="n">
        <v>35</v>
      </c>
      <c r="I432" s="27" t="s">
        <v>147</v>
      </c>
      <c r="J432" s="0" t="n">
        <v>62</v>
      </c>
      <c r="M432" s="0" t="n">
        <v>7.31</v>
      </c>
      <c r="N432" s="0" t="n">
        <v>89.34</v>
      </c>
      <c r="O432" s="0" t="n">
        <v>35.22</v>
      </c>
      <c r="P432" s="0" t="n">
        <v>6.07</v>
      </c>
      <c r="Q432" s="0" t="n">
        <v>3.48</v>
      </c>
      <c r="R432" s="0" t="n">
        <v>3078</v>
      </c>
      <c r="S432" s="0" t="n">
        <v>6188</v>
      </c>
      <c r="U432" s="0" t="n">
        <v>1521</v>
      </c>
      <c r="V432" s="0" t="n">
        <v>0</v>
      </c>
      <c r="W432" s="27" t="n">
        <f aca="false">MATCH(A432,DATAS,0)</f>
        <v>1</v>
      </c>
      <c r="X432" s="27" t="n">
        <f aca="false">IF(AND(E432&gt;0,OR(AND(B432&gt;=1,B432&lt;=6),B432=10)),1,0)</f>
        <v>1</v>
      </c>
      <c r="Y432" s="27" t="n">
        <f aca="false">IF(AND(E432&gt;0,B432=10),1,0)</f>
        <v>0</v>
      </c>
      <c r="Z432" s="0" t="str">
        <f aca="false">IF(AND(C431=C432,W431=W432-1),X431,"")</f>
        <v/>
      </c>
      <c r="AA432" s="0" t="str">
        <f aca="false">IF(AND(C431=C432,W431=W432-1),Y431,"")</f>
        <v/>
      </c>
      <c r="AB432" s="0" t="str">
        <f aca="false">IF(W432=1,"",IF(AND(X432=1,Z432&lt;&gt;1),1,0))</f>
        <v/>
      </c>
      <c r="AC432" s="0" t="str">
        <f aca="false">IF(W432=1,"",IF(AND(Y432=1,AA432&lt;&gt;1),1,0))</f>
        <v/>
      </c>
      <c r="AD432" s="33" t="str">
        <f aca="false">IF(AND(E432&gt;0,W432&lt;1,NOT(AND(C433=C432,W433=W432+1))),INDEX(DATAS,W432+1),"")</f>
        <v/>
      </c>
      <c r="AE432" s="33" t="str">
        <f aca="false">IF(AND(Y432=1,W432&lt;1),IF(AND(C433=C432,W433=W432+1),IF(Y433=1,"",INDEX(DATAS,W432+1)),INDEX(DATAS,W432+1)),"")</f>
        <v/>
      </c>
    </row>
    <row r="433" customFormat="false" ht="15" hidden="false" customHeight="false" outlineLevel="0" collapsed="false">
      <c r="A433" s="33" t="n">
        <v>46309</v>
      </c>
      <c r="B433" s="0" t="n">
        <v>7</v>
      </c>
      <c r="C433" s="0" t="n">
        <v>4163</v>
      </c>
      <c r="D433" s="0" t="n">
        <v>412</v>
      </c>
      <c r="E433" s="0" t="n">
        <v>2</v>
      </c>
      <c r="F433" s="27" t="s">
        <v>472</v>
      </c>
      <c r="I433" s="27" t="s">
        <v>143</v>
      </c>
      <c r="J433" s="0" t="n">
        <v>258</v>
      </c>
      <c r="K433" s="0" t="n">
        <v>63</v>
      </c>
      <c r="L433" s="0" t="n">
        <v>169</v>
      </c>
      <c r="M433" s="0" t="n">
        <v>733.72</v>
      </c>
      <c r="N433" s="0" t="n">
        <v>29.98</v>
      </c>
      <c r="O433" s="0" t="n">
        <v>24.29</v>
      </c>
      <c r="P433" s="0" t="n">
        <v>4.81</v>
      </c>
      <c r="Q433" s="0" t="n">
        <v>4.09</v>
      </c>
      <c r="R433" s="0" t="n">
        <v>5929</v>
      </c>
      <c r="S433" s="0" t="n">
        <v>9939</v>
      </c>
      <c r="T433" s="0" t="n">
        <v>62.35</v>
      </c>
      <c r="U433" s="0" t="n">
        <v>1520</v>
      </c>
      <c r="V433" s="0" t="n">
        <v>5</v>
      </c>
      <c r="W433" s="27" t="n">
        <f aca="false">MATCH(A433,DATAS,0)</f>
        <v>1</v>
      </c>
      <c r="X433" s="27" t="n">
        <f aca="false">IF(AND(E433&gt;0,OR(AND(B433&gt;=1,B433&lt;=6),B433=10)),1,0)</f>
        <v>0</v>
      </c>
      <c r="Y433" s="27" t="n">
        <f aca="false">IF(AND(E433&gt;0,B433=10),1,0)</f>
        <v>0</v>
      </c>
      <c r="Z433" s="0" t="str">
        <f aca="false">IF(AND(C432=C433,W432=W433-1),X432,"")</f>
        <v/>
      </c>
      <c r="AA433" s="0" t="str">
        <f aca="false">IF(AND(C432=C433,W432=W433-1),Y432,"")</f>
        <v/>
      </c>
      <c r="AB433" s="0" t="str">
        <f aca="false">IF(W433=1,"",IF(AND(X433=1,Z433&lt;&gt;1),1,0))</f>
        <v/>
      </c>
      <c r="AC433" s="0" t="str">
        <f aca="false">IF(W433=1,"",IF(AND(Y433=1,AA433&lt;&gt;1),1,0))</f>
        <v/>
      </c>
      <c r="AD433" s="33" t="str">
        <f aca="false">IF(AND(E433&gt;0,W433&lt;1,NOT(AND(C434=C433,W434=W433+1))),INDEX(DATAS,W433+1),"")</f>
        <v/>
      </c>
      <c r="AE433" s="33" t="str">
        <f aca="false">IF(AND(Y433=1,W433&lt;1),IF(AND(C434=C433,W434=W433+1),IF(Y434=1,"",INDEX(DATAS,W433+1)),INDEX(DATAS,W433+1)),"")</f>
        <v/>
      </c>
    </row>
    <row r="434" customFormat="false" ht="15" hidden="false" customHeight="false" outlineLevel="0" collapsed="false">
      <c r="A434" s="33" t="n">
        <v>46309</v>
      </c>
      <c r="B434" s="0" t="n">
        <v>5</v>
      </c>
      <c r="C434" s="0" t="n">
        <v>4164</v>
      </c>
      <c r="D434" s="0" t="n">
        <v>530</v>
      </c>
      <c r="E434" s="0" t="n">
        <v>2</v>
      </c>
      <c r="F434" s="27" t="s">
        <v>472</v>
      </c>
      <c r="G434" s="0" t="n">
        <v>22.7</v>
      </c>
      <c r="H434" s="0" t="n">
        <v>22</v>
      </c>
      <c r="I434" s="27" t="s">
        <v>138</v>
      </c>
      <c r="J434" s="0" t="n">
        <v>397</v>
      </c>
      <c r="K434" s="0" t="n">
        <v>61</v>
      </c>
      <c r="L434" s="0" t="n">
        <v>133</v>
      </c>
      <c r="M434" s="0" t="n">
        <v>444.52</v>
      </c>
      <c r="N434" s="0" t="n">
        <v>47.28</v>
      </c>
      <c r="O434" s="0" t="n">
        <v>22.19</v>
      </c>
      <c r="P434" s="0" t="n">
        <v>6.14</v>
      </c>
      <c r="Q434" s="0" t="n">
        <v>4.21</v>
      </c>
      <c r="R434" s="0" t="n">
        <v>5699</v>
      </c>
      <c r="S434" s="0" t="n">
        <v>11448</v>
      </c>
      <c r="T434" s="0" t="n">
        <v>65.8</v>
      </c>
      <c r="U434" s="0" t="n">
        <v>1520</v>
      </c>
      <c r="V434" s="0" t="n">
        <v>8</v>
      </c>
      <c r="W434" s="27" t="n">
        <f aca="false">MATCH(A434,DATAS,0)</f>
        <v>1</v>
      </c>
      <c r="X434" s="27" t="n">
        <f aca="false">IF(AND(E434&gt;0,OR(AND(B434&gt;=1,B434&lt;=6),B434=10)),1,0)</f>
        <v>1</v>
      </c>
      <c r="Y434" s="27" t="n">
        <f aca="false">IF(AND(E434&gt;0,B434=10),1,0)</f>
        <v>0</v>
      </c>
      <c r="Z434" s="0" t="str">
        <f aca="false">IF(AND(C433=C434,W433=W434-1),X433,"")</f>
        <v/>
      </c>
      <c r="AA434" s="0" t="str">
        <f aca="false">IF(AND(C433=C434,W433=W434-1),Y433,"")</f>
        <v/>
      </c>
      <c r="AB434" s="0" t="str">
        <f aca="false">IF(W434=1,"",IF(AND(X434=1,Z434&lt;&gt;1),1,0))</f>
        <v/>
      </c>
      <c r="AC434" s="0" t="str">
        <f aca="false">IF(W434=1,"",IF(AND(Y434=1,AA434&lt;&gt;1),1,0))</f>
        <v/>
      </c>
      <c r="AD434" s="33" t="str">
        <f aca="false">IF(AND(E434&gt;0,W434&lt;1,NOT(AND(C435=C434,W435=W434+1))),INDEX(DATAS,W434+1),"")</f>
        <v/>
      </c>
      <c r="AE434" s="33" t="str">
        <f aca="false">IF(AND(Y434=1,W434&lt;1),IF(AND(C435=C434,W435=W434+1),IF(Y435=1,"",INDEX(DATAS,W434+1)),INDEX(DATAS,W434+1)),"")</f>
        <v/>
      </c>
    </row>
    <row r="435" customFormat="false" ht="15" hidden="false" customHeight="false" outlineLevel="0" collapsed="false">
      <c r="A435" s="33" t="n">
        <v>46309</v>
      </c>
      <c r="B435" s="0" t="n">
        <v>5</v>
      </c>
      <c r="C435" s="0" t="n">
        <v>4166</v>
      </c>
      <c r="D435" s="0" t="n">
        <v>100</v>
      </c>
      <c r="E435" s="0" t="n">
        <v>3</v>
      </c>
      <c r="F435" s="27" t="s">
        <v>472</v>
      </c>
      <c r="G435" s="0" t="n">
        <v>55.2</v>
      </c>
      <c r="H435" s="0" t="n">
        <v>44</v>
      </c>
      <c r="I435" s="27" t="s">
        <v>138</v>
      </c>
      <c r="J435" s="0" t="n">
        <v>65</v>
      </c>
      <c r="K435" s="0" t="n">
        <v>65</v>
      </c>
      <c r="L435" s="0" t="n">
        <v>35</v>
      </c>
      <c r="M435" s="0" t="n">
        <v>788.12</v>
      </c>
      <c r="N435" s="0" t="n">
        <v>27.07</v>
      </c>
      <c r="O435" s="0" t="n">
        <v>25.87</v>
      </c>
      <c r="P435" s="0" t="n">
        <v>3.07</v>
      </c>
      <c r="Q435" s="0" t="n">
        <v>3.47</v>
      </c>
      <c r="R435" s="0" t="n">
        <v>3710</v>
      </c>
      <c r="S435" s="0" t="n">
        <v>7458</v>
      </c>
      <c r="T435" s="0" t="n">
        <v>41.7</v>
      </c>
      <c r="U435" s="0" t="n">
        <v>1520</v>
      </c>
      <c r="V435" s="0" t="n">
        <v>1</v>
      </c>
      <c r="W435" s="27" t="n">
        <f aca="false">MATCH(A435,DATAS,0)</f>
        <v>1</v>
      </c>
      <c r="X435" s="27" t="n">
        <f aca="false">IF(AND(E435&gt;0,OR(AND(B435&gt;=1,B435&lt;=6),B435=10)),1,0)</f>
        <v>1</v>
      </c>
      <c r="Y435" s="27" t="n">
        <f aca="false">IF(AND(E435&gt;0,B435=10),1,0)</f>
        <v>0</v>
      </c>
      <c r="Z435" s="0" t="str">
        <f aca="false">IF(AND(C434=C435,W434=W435-1),X434,"")</f>
        <v/>
      </c>
      <c r="AA435" s="0" t="str">
        <f aca="false">IF(AND(C434=C435,W434=W435-1),Y434,"")</f>
        <v/>
      </c>
      <c r="AB435" s="0" t="str">
        <f aca="false">IF(W435=1,"",IF(AND(X435=1,Z435&lt;&gt;1),1,0))</f>
        <v/>
      </c>
      <c r="AC435" s="0" t="str">
        <f aca="false">IF(W435=1,"",IF(AND(Y435=1,AA435&lt;&gt;1),1,0))</f>
        <v/>
      </c>
      <c r="AD435" s="33" t="str">
        <f aca="false">IF(AND(E435&gt;0,W435&lt;1,NOT(AND(C436=C435,W436=W435+1))),INDEX(DATAS,W435+1),"")</f>
        <v/>
      </c>
      <c r="AE435" s="33" t="str">
        <f aca="false">IF(AND(Y435=1,W435&lt;1),IF(AND(C436=C435,W436=W435+1),IF(Y436=1,"",INDEX(DATAS,W435+1)),INDEX(DATAS,W435+1)),"")</f>
        <v/>
      </c>
    </row>
    <row r="436" customFormat="false" ht="15" hidden="false" customHeight="false" outlineLevel="0" collapsed="false">
      <c r="A436" s="33" t="n">
        <v>46309</v>
      </c>
      <c r="B436" s="0" t="n">
        <v>2</v>
      </c>
      <c r="C436" s="0" t="n">
        <v>4169</v>
      </c>
      <c r="D436" s="0" t="n">
        <v>26</v>
      </c>
      <c r="E436" s="0" t="n">
        <v>3</v>
      </c>
      <c r="F436" s="27" t="s">
        <v>472</v>
      </c>
      <c r="G436" s="0" t="n">
        <v>37.8</v>
      </c>
      <c r="H436" s="0" t="n">
        <v>38</v>
      </c>
      <c r="I436" s="27" t="s">
        <v>147</v>
      </c>
      <c r="J436" s="0" t="n">
        <v>26</v>
      </c>
      <c r="M436" s="0" t="n">
        <v>456.57</v>
      </c>
      <c r="N436" s="0" t="n">
        <v>44.99</v>
      </c>
      <c r="O436" s="0" t="n">
        <v>27.26</v>
      </c>
      <c r="R436" s="0" t="n">
        <v>2820</v>
      </c>
      <c r="S436" s="0" t="n">
        <v>5669</v>
      </c>
      <c r="U436" s="0" t="n">
        <v>1520</v>
      </c>
      <c r="V436" s="0" t="n">
        <v>0</v>
      </c>
      <c r="W436" s="27" t="n">
        <f aca="false">MATCH(A436,DATAS,0)</f>
        <v>1</v>
      </c>
      <c r="X436" s="27" t="n">
        <f aca="false">IF(AND(E436&gt;0,OR(AND(B436&gt;=1,B436&lt;=6),B436=10)),1,0)</f>
        <v>1</v>
      </c>
      <c r="Y436" s="27" t="n">
        <f aca="false">IF(AND(E436&gt;0,B436=10),1,0)</f>
        <v>0</v>
      </c>
      <c r="Z436" s="0" t="str">
        <f aca="false">IF(AND(C435=C436,W435=W436-1),X435,"")</f>
        <v/>
      </c>
      <c r="AA436" s="0" t="str">
        <f aca="false">IF(AND(C435=C436,W435=W436-1),Y435,"")</f>
        <v/>
      </c>
      <c r="AB436" s="0" t="str">
        <f aca="false">IF(W436=1,"",IF(AND(X436=1,Z436&lt;&gt;1),1,0))</f>
        <v/>
      </c>
      <c r="AC436" s="0" t="str">
        <f aca="false">IF(W436=1,"",IF(AND(Y436=1,AA436&lt;&gt;1),1,0))</f>
        <v/>
      </c>
      <c r="AD436" s="33" t="str">
        <f aca="false">IF(AND(E436&gt;0,W436&lt;1,NOT(AND(C437=C436,W437=W436+1))),INDEX(DATAS,W436+1),"")</f>
        <v/>
      </c>
      <c r="AE436" s="33" t="str">
        <f aca="false">IF(AND(Y436=1,W436&lt;1),IF(AND(C437=C436,W437=W436+1),IF(Y437=1,"",INDEX(DATAS,W436+1)),INDEX(DATAS,W436+1)),"")</f>
        <v/>
      </c>
    </row>
    <row r="437" customFormat="false" ht="15" hidden="false" customHeight="false" outlineLevel="0" collapsed="false">
      <c r="A437" s="33" t="n">
        <v>46309</v>
      </c>
      <c r="B437" s="0" t="n">
        <v>6</v>
      </c>
      <c r="C437" s="0" t="n">
        <v>4173</v>
      </c>
      <c r="D437" s="0" t="n">
        <v>161</v>
      </c>
      <c r="E437" s="0" t="n">
        <v>3</v>
      </c>
      <c r="F437" s="27" t="s">
        <v>473</v>
      </c>
      <c r="G437" s="0" t="n">
        <v>24.5</v>
      </c>
      <c r="H437" s="0" t="n">
        <v>22</v>
      </c>
      <c r="I437" s="27" t="s">
        <v>138</v>
      </c>
      <c r="J437" s="0" t="n">
        <v>85</v>
      </c>
      <c r="K437" s="0" t="n">
        <v>63</v>
      </c>
      <c r="L437" s="0" t="n">
        <v>76</v>
      </c>
      <c r="M437" s="0" t="n">
        <v>711.02</v>
      </c>
      <c r="N437" s="0" t="n">
        <v>27.43</v>
      </c>
      <c r="O437" s="0" t="n">
        <v>24.75</v>
      </c>
      <c r="P437" s="0" t="n">
        <v>3.39</v>
      </c>
      <c r="Q437" s="0" t="n">
        <v>3.52</v>
      </c>
      <c r="R437" s="0" t="n">
        <v>3582</v>
      </c>
      <c r="S437" s="0" t="n">
        <v>7402</v>
      </c>
      <c r="T437" s="0" t="n">
        <v>37.3</v>
      </c>
      <c r="U437" s="0" t="n">
        <v>1518</v>
      </c>
      <c r="V437" s="0" t="n">
        <v>2</v>
      </c>
      <c r="W437" s="27" t="n">
        <f aca="false">MATCH(A437,DATAS,0)</f>
        <v>1</v>
      </c>
      <c r="X437" s="27" t="n">
        <f aca="false">IF(AND(E437&gt;0,OR(AND(B437&gt;=1,B437&lt;=6),B437=10)),1,0)</f>
        <v>1</v>
      </c>
      <c r="Y437" s="27" t="n">
        <f aca="false">IF(AND(E437&gt;0,B437=10),1,0)</f>
        <v>0</v>
      </c>
      <c r="Z437" s="0" t="str">
        <f aca="false">IF(AND(C436=C437,W436=W437-1),X436,"")</f>
        <v/>
      </c>
      <c r="AA437" s="0" t="str">
        <f aca="false">IF(AND(C436=C437,W436=W437-1),Y436,"")</f>
        <v/>
      </c>
      <c r="AB437" s="0" t="str">
        <f aca="false">IF(W437=1,"",IF(AND(X437=1,Z437&lt;&gt;1),1,0))</f>
        <v/>
      </c>
      <c r="AC437" s="0" t="str">
        <f aca="false">IF(W437=1,"",IF(AND(Y437=1,AA437&lt;&gt;1),1,0))</f>
        <v/>
      </c>
      <c r="AD437" s="33" t="str">
        <f aca="false">IF(AND(E437&gt;0,W437&lt;1,NOT(AND(C438=C437,W438=W437+1))),INDEX(DATAS,W437+1),"")</f>
        <v/>
      </c>
      <c r="AE437" s="33" t="str">
        <f aca="false">IF(AND(Y437=1,W437&lt;1),IF(AND(C438=C437,W438=W437+1),IF(Y438=1,"",INDEX(DATAS,W437+1)),INDEX(DATAS,W437+1)),"")</f>
        <v/>
      </c>
    </row>
    <row r="438" customFormat="false" ht="15" hidden="false" customHeight="false" outlineLevel="0" collapsed="false">
      <c r="A438" s="33" t="n">
        <v>46309</v>
      </c>
      <c r="B438" s="0" t="n">
        <v>10</v>
      </c>
      <c r="C438" s="0" t="n">
        <v>4175</v>
      </c>
      <c r="D438" s="0" t="n">
        <v>118</v>
      </c>
      <c r="E438" s="0" t="n">
        <v>3</v>
      </c>
      <c r="F438" s="27" t="s">
        <v>473</v>
      </c>
      <c r="G438" s="0" t="n">
        <v>24.1</v>
      </c>
      <c r="H438" s="0" t="n">
        <v>24</v>
      </c>
      <c r="I438" s="27" t="s">
        <v>176</v>
      </c>
      <c r="J438" s="0" t="n">
        <v>118</v>
      </c>
      <c r="K438" s="0" t="n">
        <v>69</v>
      </c>
      <c r="M438" s="0" t="n">
        <v>1162.1</v>
      </c>
      <c r="N438" s="0" t="n">
        <v>38.11</v>
      </c>
      <c r="O438" s="0" t="n">
        <v>33.37</v>
      </c>
      <c r="P438" s="0" t="n">
        <v>2.44</v>
      </c>
      <c r="Q438" s="0" t="n">
        <v>2.94</v>
      </c>
      <c r="R438" s="0" t="n">
        <v>5236</v>
      </c>
      <c r="S438" s="0" t="n">
        <v>10306</v>
      </c>
      <c r="T438" s="0" t="n">
        <v>57.15</v>
      </c>
      <c r="U438" s="0" t="n">
        <v>1518</v>
      </c>
      <c r="V438" s="0" t="n">
        <v>1</v>
      </c>
      <c r="W438" s="27" t="n">
        <f aca="false">MATCH(A438,DATAS,0)</f>
        <v>1</v>
      </c>
      <c r="X438" s="27" t="n">
        <f aca="false">IF(AND(E438&gt;0,OR(AND(B438&gt;=1,B438&lt;=6),B438=10)),1,0)</f>
        <v>1</v>
      </c>
      <c r="Y438" s="27" t="n">
        <f aca="false">IF(AND(E438&gt;0,B438=10),1,0)</f>
        <v>1</v>
      </c>
      <c r="Z438" s="0" t="str">
        <f aca="false">IF(AND(C437=C438,W437=W438-1),X437,"")</f>
        <v/>
      </c>
      <c r="AA438" s="0" t="str">
        <f aca="false">IF(AND(C437=C438,W437=W438-1),Y437,"")</f>
        <v/>
      </c>
      <c r="AB438" s="0" t="str">
        <f aca="false">IF(W438=1,"",IF(AND(X438=1,Z438&lt;&gt;1),1,0))</f>
        <v/>
      </c>
      <c r="AC438" s="0" t="str">
        <f aca="false">IF(W438=1,"",IF(AND(Y438=1,AA438&lt;&gt;1),1,0))</f>
        <v/>
      </c>
      <c r="AD438" s="33" t="str">
        <f aca="false">IF(AND(E438&gt;0,W438&lt;1,NOT(AND(C439=C438,W439=W438+1))),INDEX(DATAS,W438+1),"")</f>
        <v/>
      </c>
      <c r="AE438" s="33" t="str">
        <f aca="false">IF(AND(Y438=1,W438&lt;1),IF(AND(C439=C438,W439=W438+1),IF(Y439=1,"",INDEX(DATAS,W438+1)),INDEX(DATAS,W438+1)),"")</f>
        <v/>
      </c>
    </row>
    <row r="439" customFormat="false" ht="15" hidden="false" customHeight="false" outlineLevel="0" collapsed="false">
      <c r="A439" s="33" t="n">
        <v>46309</v>
      </c>
      <c r="B439" s="0" t="n">
        <v>7</v>
      </c>
      <c r="C439" s="0" t="n">
        <v>4176</v>
      </c>
      <c r="D439" s="0" t="n">
        <v>422</v>
      </c>
      <c r="E439" s="0" t="n">
        <v>2</v>
      </c>
      <c r="F439" s="27" t="s">
        <v>474</v>
      </c>
      <c r="I439" s="27" t="s">
        <v>143</v>
      </c>
      <c r="J439" s="0" t="n">
        <v>199</v>
      </c>
      <c r="K439" s="0" t="n">
        <v>59</v>
      </c>
      <c r="L439" s="0" t="n">
        <v>245</v>
      </c>
      <c r="M439" s="0" t="n">
        <v>831.98</v>
      </c>
      <c r="N439" s="0" t="n">
        <v>27.39</v>
      </c>
      <c r="O439" s="0" t="n">
        <v>29.94</v>
      </c>
      <c r="P439" s="0" t="n">
        <v>4.4</v>
      </c>
      <c r="Q439" s="0" t="n">
        <v>3.91</v>
      </c>
      <c r="R439" s="0" t="n">
        <v>6187</v>
      </c>
      <c r="S439" s="0" t="n">
        <v>12575</v>
      </c>
      <c r="T439" s="0" t="n">
        <v>71.15</v>
      </c>
      <c r="U439" s="0" t="n">
        <v>1517</v>
      </c>
      <c r="V439" s="0" t="n">
        <v>5</v>
      </c>
      <c r="W439" s="27" t="n">
        <f aca="false">MATCH(A439,DATAS,0)</f>
        <v>1</v>
      </c>
      <c r="X439" s="27" t="n">
        <f aca="false">IF(AND(E439&gt;0,OR(AND(B439&gt;=1,B439&lt;=6),B439=10)),1,0)</f>
        <v>0</v>
      </c>
      <c r="Y439" s="27" t="n">
        <f aca="false">IF(AND(E439&gt;0,B439=10),1,0)</f>
        <v>0</v>
      </c>
      <c r="Z439" s="0" t="str">
        <f aca="false">IF(AND(C438=C439,W438=W439-1),X438,"")</f>
        <v/>
      </c>
      <c r="AA439" s="0" t="str">
        <f aca="false">IF(AND(C438=C439,W438=W439-1),Y438,"")</f>
        <v/>
      </c>
      <c r="AB439" s="0" t="str">
        <f aca="false">IF(W439=1,"",IF(AND(X439=1,Z439&lt;&gt;1),1,0))</f>
        <v/>
      </c>
      <c r="AC439" s="0" t="str">
        <f aca="false">IF(W439=1,"",IF(AND(Y439=1,AA439&lt;&gt;1),1,0))</f>
        <v/>
      </c>
      <c r="AD439" s="33" t="str">
        <f aca="false">IF(AND(E439&gt;0,W439&lt;1,NOT(AND(C440=C439,W440=W439+1))),INDEX(DATAS,W439+1),"")</f>
        <v/>
      </c>
      <c r="AE439" s="33" t="str">
        <f aca="false">IF(AND(Y439=1,W439&lt;1),IF(AND(C440=C439,W440=W439+1),IF(Y440=1,"",INDEX(DATAS,W439+1)),INDEX(DATAS,W439+1)),"")</f>
        <v/>
      </c>
    </row>
    <row r="440" customFormat="false" ht="15" hidden="false" customHeight="false" outlineLevel="0" collapsed="false">
      <c r="A440" s="33" t="n">
        <v>46309</v>
      </c>
      <c r="B440" s="0" t="n">
        <v>7</v>
      </c>
      <c r="C440" s="0" t="n">
        <v>4177</v>
      </c>
      <c r="D440" s="0" t="n">
        <v>378</v>
      </c>
      <c r="E440" s="0" t="n">
        <v>2</v>
      </c>
      <c r="F440" s="27" t="s">
        <v>474</v>
      </c>
      <c r="I440" s="27" t="s">
        <v>143</v>
      </c>
      <c r="J440" s="0" t="n">
        <v>352</v>
      </c>
      <c r="K440" s="0" t="n">
        <v>64</v>
      </c>
      <c r="L440" s="0" t="n">
        <v>90</v>
      </c>
      <c r="M440" s="0" t="n">
        <v>211.52</v>
      </c>
      <c r="N440" s="0" t="n">
        <v>52.45</v>
      </c>
      <c r="O440" s="0" t="n">
        <v>29.81</v>
      </c>
      <c r="P440" s="0" t="n">
        <v>9.8</v>
      </c>
      <c r="Q440" s="0" t="n">
        <v>5.73</v>
      </c>
      <c r="R440" s="0" t="n">
        <v>4995</v>
      </c>
      <c r="S440" s="0" t="n">
        <v>9370</v>
      </c>
      <c r="T440" s="0" t="n">
        <v>52.55</v>
      </c>
      <c r="U440" s="0" t="n">
        <v>1517</v>
      </c>
      <c r="V440" s="0" t="n">
        <v>8</v>
      </c>
      <c r="W440" s="27" t="n">
        <f aca="false">MATCH(A440,DATAS,0)</f>
        <v>1</v>
      </c>
      <c r="X440" s="27" t="n">
        <f aca="false">IF(AND(E440&gt;0,OR(AND(B440&gt;=1,B440&lt;=6),B440=10)),1,0)</f>
        <v>0</v>
      </c>
      <c r="Y440" s="27" t="n">
        <f aca="false">IF(AND(E440&gt;0,B440=10),1,0)</f>
        <v>0</v>
      </c>
      <c r="Z440" s="0" t="str">
        <f aca="false">IF(AND(C439=C440,W439=W440-1),X439,"")</f>
        <v/>
      </c>
      <c r="AA440" s="0" t="str">
        <f aca="false">IF(AND(C439=C440,W439=W440-1),Y439,"")</f>
        <v/>
      </c>
      <c r="AB440" s="0" t="str">
        <f aca="false">IF(W440=1,"",IF(AND(X440=1,Z440&lt;&gt;1),1,0))</f>
        <v/>
      </c>
      <c r="AC440" s="0" t="str">
        <f aca="false">IF(W440=1,"",IF(AND(Y440=1,AA440&lt;&gt;1),1,0))</f>
        <v/>
      </c>
      <c r="AD440" s="33" t="str">
        <f aca="false">IF(AND(E440&gt;0,W440&lt;1,NOT(AND(C441=C440,W441=W440+1))),INDEX(DATAS,W440+1),"")</f>
        <v/>
      </c>
      <c r="AE440" s="33" t="str">
        <f aca="false">IF(AND(Y440=1,W440&lt;1),IF(AND(C441=C440,W441=W440+1),IF(Y441=1,"",INDEX(DATAS,W440+1)),INDEX(DATAS,W440+1)),"")</f>
        <v/>
      </c>
    </row>
    <row r="441" customFormat="false" ht="15" hidden="false" customHeight="false" outlineLevel="0" collapsed="false">
      <c r="A441" s="33" t="n">
        <v>46309</v>
      </c>
      <c r="B441" s="0" t="n">
        <v>2</v>
      </c>
      <c r="C441" s="0" t="n">
        <v>4178</v>
      </c>
      <c r="D441" s="0" t="n">
        <v>205</v>
      </c>
      <c r="E441" s="0" t="n">
        <v>2</v>
      </c>
      <c r="F441" s="27" t="s">
        <v>475</v>
      </c>
      <c r="G441" s="0" t="n">
        <v>56.2</v>
      </c>
      <c r="H441" s="0" t="n">
        <v>52</v>
      </c>
      <c r="I441" s="27" t="s">
        <v>138</v>
      </c>
      <c r="J441" s="0" t="n">
        <v>65</v>
      </c>
      <c r="K441" s="0" t="n">
        <v>65</v>
      </c>
      <c r="L441" s="0" t="n">
        <v>140</v>
      </c>
      <c r="M441" s="0" t="n">
        <v>754.47</v>
      </c>
      <c r="N441" s="0" t="n">
        <v>26.51</v>
      </c>
      <c r="O441" s="0" t="n">
        <v>19.95</v>
      </c>
      <c r="P441" s="0" t="n">
        <v>2.74</v>
      </c>
      <c r="Q441" s="0" t="n">
        <v>3.2</v>
      </c>
      <c r="R441" s="0" t="n">
        <v>6449</v>
      </c>
      <c r="S441" s="0" t="n">
        <v>12909</v>
      </c>
      <c r="T441" s="0" t="n">
        <v>69.7</v>
      </c>
      <c r="U441" s="0" t="n">
        <v>1514</v>
      </c>
      <c r="V441" s="0" t="n">
        <v>1</v>
      </c>
      <c r="W441" s="27" t="n">
        <f aca="false">MATCH(A441,DATAS,0)</f>
        <v>1</v>
      </c>
      <c r="X441" s="27" t="n">
        <f aca="false">IF(AND(E441&gt;0,OR(AND(B441&gt;=1,B441&lt;=6),B441=10)),1,0)</f>
        <v>1</v>
      </c>
      <c r="Y441" s="27" t="n">
        <f aca="false">IF(AND(E441&gt;0,B441=10),1,0)</f>
        <v>0</v>
      </c>
      <c r="Z441" s="0" t="str">
        <f aca="false">IF(AND(C440=C441,W440=W441-1),X440,"")</f>
        <v/>
      </c>
      <c r="AA441" s="0" t="str">
        <f aca="false">IF(AND(C440=C441,W440=W441-1),Y440,"")</f>
        <v/>
      </c>
      <c r="AB441" s="0" t="str">
        <f aca="false">IF(W441=1,"",IF(AND(X441=1,Z441&lt;&gt;1),1,0))</f>
        <v/>
      </c>
      <c r="AC441" s="0" t="str">
        <f aca="false">IF(W441=1,"",IF(AND(Y441=1,AA441&lt;&gt;1),1,0))</f>
        <v/>
      </c>
      <c r="AD441" s="33" t="str">
        <f aca="false">IF(AND(E441&gt;0,W441&lt;1,NOT(AND(C442=C441,W442=W441+1))),INDEX(DATAS,W441+1),"")</f>
        <v/>
      </c>
      <c r="AE441" s="33" t="str">
        <f aca="false">IF(AND(Y441=1,W441&lt;1),IF(AND(C442=C441,W442=W441+1),IF(Y442=1,"",INDEX(DATAS,W441+1)),INDEX(DATAS,W441+1)),"")</f>
        <v/>
      </c>
    </row>
    <row r="442" customFormat="false" ht="15" hidden="false" customHeight="false" outlineLevel="0" collapsed="false">
      <c r="A442" s="33" t="n">
        <v>46309</v>
      </c>
      <c r="B442" s="0" t="n">
        <v>3</v>
      </c>
      <c r="C442" s="0" t="n">
        <v>4179</v>
      </c>
      <c r="D442" s="0" t="n">
        <v>152</v>
      </c>
      <c r="E442" s="0" t="n">
        <v>3</v>
      </c>
      <c r="F442" s="27" t="s">
        <v>476</v>
      </c>
      <c r="G442" s="0" t="n">
        <v>48</v>
      </c>
      <c r="H442" s="0" t="n">
        <v>49</v>
      </c>
      <c r="I442" s="27" t="s">
        <v>176</v>
      </c>
      <c r="J442" s="0" t="n">
        <v>152</v>
      </c>
      <c r="K442" s="0" t="n">
        <v>82</v>
      </c>
      <c r="M442" s="0" t="n">
        <v>479.96</v>
      </c>
      <c r="N442" s="0" t="n">
        <v>46.19</v>
      </c>
      <c r="O442" s="0" t="n">
        <v>26.81</v>
      </c>
      <c r="P442" s="0" t="n">
        <v>2.68</v>
      </c>
      <c r="Q442" s="0" t="n">
        <v>3.6</v>
      </c>
      <c r="R442" s="0" t="n">
        <v>5509</v>
      </c>
      <c r="S442" s="0" t="n">
        <v>11073</v>
      </c>
      <c r="T442" s="0" t="n">
        <v>59.55</v>
      </c>
      <c r="U442" s="0" t="n">
        <v>1512</v>
      </c>
      <c r="V442" s="0" t="n">
        <v>2</v>
      </c>
      <c r="W442" s="27" t="n">
        <f aca="false">MATCH(A442,DATAS,0)</f>
        <v>1</v>
      </c>
      <c r="X442" s="27" t="n">
        <f aca="false">IF(AND(E442&gt;0,OR(AND(B442&gt;=1,B442&lt;=6),B442=10)),1,0)</f>
        <v>1</v>
      </c>
      <c r="Y442" s="27" t="n">
        <f aca="false">IF(AND(E442&gt;0,B442=10),1,0)</f>
        <v>0</v>
      </c>
      <c r="Z442" s="0" t="str">
        <f aca="false">IF(AND(C441=C442,W441=W442-1),X441,"")</f>
        <v/>
      </c>
      <c r="AA442" s="0" t="str">
        <f aca="false">IF(AND(C441=C442,W441=W442-1),Y441,"")</f>
        <v/>
      </c>
      <c r="AB442" s="0" t="str">
        <f aca="false">IF(W442=1,"",IF(AND(X442=1,Z442&lt;&gt;1),1,0))</f>
        <v/>
      </c>
      <c r="AC442" s="0" t="str">
        <f aca="false">IF(W442=1,"",IF(AND(Y442=1,AA442&lt;&gt;1),1,0))</f>
        <v/>
      </c>
      <c r="AD442" s="33" t="str">
        <f aca="false">IF(AND(E442&gt;0,W442&lt;1,NOT(AND(C443=C442,W443=W442+1))),INDEX(DATAS,W442+1),"")</f>
        <v/>
      </c>
      <c r="AE442" s="33" t="str">
        <f aca="false">IF(AND(Y442=1,W442&lt;1),IF(AND(C443=C442,W443=W442+1),IF(Y443=1,"",INDEX(DATAS,W442+1)),INDEX(DATAS,W442+1)),"")</f>
        <v/>
      </c>
    </row>
    <row r="443" customFormat="false" ht="15" hidden="false" customHeight="false" outlineLevel="0" collapsed="false">
      <c r="A443" s="33" t="n">
        <v>46309</v>
      </c>
      <c r="B443" s="0" t="n">
        <v>3</v>
      </c>
      <c r="C443" s="0" t="n">
        <v>4180</v>
      </c>
      <c r="D443" s="0" t="n">
        <v>6</v>
      </c>
      <c r="E443" s="0" t="n">
        <v>3</v>
      </c>
      <c r="F443" s="27" t="s">
        <v>476</v>
      </c>
      <c r="G443" s="0" t="n">
        <v>30.5</v>
      </c>
      <c r="H443" s="0" t="n">
        <v>24</v>
      </c>
      <c r="I443" s="27" t="s">
        <v>147</v>
      </c>
      <c r="J443" s="0" t="n">
        <v>6</v>
      </c>
      <c r="M443" s="0" t="n">
        <v>238.1</v>
      </c>
      <c r="N443" s="0" t="n">
        <v>22.74</v>
      </c>
      <c r="O443" s="0" t="n">
        <v>18.01</v>
      </c>
      <c r="R443" s="0" t="n">
        <v>1999</v>
      </c>
      <c r="S443" s="0" t="n">
        <v>4019</v>
      </c>
      <c r="U443" s="0" t="n">
        <v>1512</v>
      </c>
      <c r="V443" s="0" t="n">
        <v>0</v>
      </c>
      <c r="W443" s="27" t="n">
        <f aca="false">MATCH(A443,DATAS,0)</f>
        <v>1</v>
      </c>
      <c r="X443" s="27" t="n">
        <f aca="false">IF(AND(E443&gt;0,OR(AND(B443&gt;=1,B443&lt;=6),B443=10)),1,0)</f>
        <v>1</v>
      </c>
      <c r="Y443" s="27" t="n">
        <f aca="false">IF(AND(E443&gt;0,B443=10),1,0)</f>
        <v>0</v>
      </c>
      <c r="Z443" s="0" t="str">
        <f aca="false">IF(AND(C442=C443,W442=W443-1),X442,"")</f>
        <v/>
      </c>
      <c r="AA443" s="0" t="str">
        <f aca="false">IF(AND(C442=C443,W442=W443-1),Y442,"")</f>
        <v/>
      </c>
      <c r="AB443" s="0" t="str">
        <f aca="false">IF(W443=1,"",IF(AND(X443=1,Z443&lt;&gt;1),1,0))</f>
        <v/>
      </c>
      <c r="AC443" s="0" t="str">
        <f aca="false">IF(W443=1,"",IF(AND(Y443=1,AA443&lt;&gt;1),1,0))</f>
        <v/>
      </c>
      <c r="AD443" s="33" t="str">
        <f aca="false">IF(AND(E443&gt;0,W443&lt;1,NOT(AND(C444=C443,W444=W443+1))),INDEX(DATAS,W443+1),"")</f>
        <v/>
      </c>
      <c r="AE443" s="33" t="str">
        <f aca="false">IF(AND(Y443=1,W443&lt;1),IF(AND(C444=C443,W444=W443+1),IF(Y444=1,"",INDEX(DATAS,W443+1)),INDEX(DATAS,W443+1)),"")</f>
        <v/>
      </c>
    </row>
    <row r="444" customFormat="false" ht="15" hidden="false" customHeight="false" outlineLevel="0" collapsed="false">
      <c r="A444" s="33" t="n">
        <v>46309</v>
      </c>
      <c r="B444" s="0" t="n">
        <v>7</v>
      </c>
      <c r="C444" s="0" t="n">
        <v>4181</v>
      </c>
      <c r="D444" s="0" t="n">
        <v>22</v>
      </c>
      <c r="E444" s="0" t="n">
        <v>3</v>
      </c>
      <c r="F444" s="27" t="s">
        <v>476</v>
      </c>
      <c r="I444" s="27" t="s">
        <v>477</v>
      </c>
      <c r="J444" s="0" t="n">
        <v>22</v>
      </c>
      <c r="K444" s="0" t="n">
        <v>39</v>
      </c>
      <c r="M444" s="0" t="n">
        <v>82.3</v>
      </c>
      <c r="N444" s="0" t="n">
        <v>62.58</v>
      </c>
      <c r="O444" s="0" t="n">
        <v>21.79</v>
      </c>
      <c r="P444" s="0" t="n">
        <v>0</v>
      </c>
      <c r="Q444" s="0" t="n">
        <v>0</v>
      </c>
      <c r="R444" s="0" t="n">
        <v>1647</v>
      </c>
      <c r="S444" s="0" t="n">
        <v>3311</v>
      </c>
      <c r="U444" s="0" t="n">
        <v>1512</v>
      </c>
      <c r="V444" s="0" t="n">
        <v>1</v>
      </c>
      <c r="W444" s="27" t="n">
        <f aca="false">MATCH(A444,DATAS,0)</f>
        <v>1</v>
      </c>
      <c r="X444" s="27" t="n">
        <f aca="false">IF(AND(E444&gt;0,OR(AND(B444&gt;=1,B444&lt;=6),B444=10)),1,0)</f>
        <v>0</v>
      </c>
      <c r="Y444" s="27" t="n">
        <f aca="false">IF(AND(E444&gt;0,B444=10),1,0)</f>
        <v>0</v>
      </c>
      <c r="Z444" s="0" t="str">
        <f aca="false">IF(AND(C443=C444,W443=W444-1),X443,"")</f>
        <v/>
      </c>
      <c r="AA444" s="0" t="str">
        <f aca="false">IF(AND(C443=C444,W443=W444-1),Y443,"")</f>
        <v/>
      </c>
      <c r="AB444" s="0" t="str">
        <f aca="false">IF(W444=1,"",IF(AND(X444=1,Z444&lt;&gt;1),1,0))</f>
        <v/>
      </c>
      <c r="AC444" s="0" t="str">
        <f aca="false">IF(W444=1,"",IF(AND(Y444=1,AA444&lt;&gt;1),1,0))</f>
        <v/>
      </c>
      <c r="AD444" s="33" t="str">
        <f aca="false">IF(AND(E444&gt;0,W444&lt;1,NOT(AND(C445=C444,W445=W444+1))),INDEX(DATAS,W444+1),"")</f>
        <v/>
      </c>
      <c r="AE444" s="33" t="str">
        <f aca="false">IF(AND(Y444=1,W444&lt;1),IF(AND(C445=C444,W445=W444+1),IF(Y445=1,"",INDEX(DATAS,W444+1)),INDEX(DATAS,W444+1)),"")</f>
        <v/>
      </c>
    </row>
    <row r="445" customFormat="false" ht="15" hidden="false" customHeight="false" outlineLevel="0" collapsed="false">
      <c r="A445" s="33" t="n">
        <v>46309</v>
      </c>
      <c r="B445" s="0" t="n">
        <v>6</v>
      </c>
      <c r="C445" s="0" t="n">
        <v>4183</v>
      </c>
      <c r="D445" s="0" t="n">
        <v>409</v>
      </c>
      <c r="E445" s="0" t="n">
        <v>2</v>
      </c>
      <c r="F445" s="27" t="s">
        <v>478</v>
      </c>
      <c r="G445" s="0" t="n">
        <v>27.8</v>
      </c>
      <c r="H445" s="0" t="n">
        <v>24</v>
      </c>
      <c r="I445" s="27" t="s">
        <v>138</v>
      </c>
      <c r="J445" s="0" t="n">
        <v>238</v>
      </c>
      <c r="K445" s="0" t="n">
        <v>66</v>
      </c>
      <c r="L445" s="0" t="n">
        <v>171</v>
      </c>
      <c r="M445" s="0" t="n">
        <v>1020.66</v>
      </c>
      <c r="N445" s="0" t="n">
        <v>79.64</v>
      </c>
      <c r="O445" s="0" t="n">
        <v>39.01</v>
      </c>
      <c r="P445" s="0" t="n">
        <v>5.62</v>
      </c>
      <c r="Q445" s="0" t="n">
        <v>4.71</v>
      </c>
      <c r="R445" s="0" t="n">
        <v>6308</v>
      </c>
      <c r="S445" s="0" t="n">
        <v>12878</v>
      </c>
      <c r="T445" s="0" t="n">
        <v>67.9</v>
      </c>
      <c r="U445" s="0" t="n">
        <v>1511</v>
      </c>
      <c r="V445" s="0" t="n">
        <v>7</v>
      </c>
      <c r="W445" s="27" t="n">
        <f aca="false">MATCH(A445,DATAS,0)</f>
        <v>1</v>
      </c>
      <c r="X445" s="27" t="n">
        <f aca="false">IF(AND(E445&gt;0,OR(AND(B445&gt;=1,B445&lt;=6),B445=10)),1,0)</f>
        <v>1</v>
      </c>
      <c r="Y445" s="27" t="n">
        <f aca="false">IF(AND(E445&gt;0,B445=10),1,0)</f>
        <v>0</v>
      </c>
      <c r="Z445" s="0" t="str">
        <f aca="false">IF(AND(C444=C445,W444=W445-1),X444,"")</f>
        <v/>
      </c>
      <c r="AA445" s="0" t="str">
        <f aca="false">IF(AND(C444=C445,W444=W445-1),Y444,"")</f>
        <v/>
      </c>
      <c r="AB445" s="0" t="str">
        <f aca="false">IF(W445=1,"",IF(AND(X445=1,Z445&lt;&gt;1),1,0))</f>
        <v/>
      </c>
      <c r="AC445" s="0" t="str">
        <f aca="false">IF(W445=1,"",IF(AND(Y445=1,AA445&lt;&gt;1),1,0))</f>
        <v/>
      </c>
      <c r="AD445" s="33" t="str">
        <f aca="false">IF(AND(E445&gt;0,W445&lt;1,NOT(AND(C446=C445,W446=W445+1))),INDEX(DATAS,W445+1),"")</f>
        <v/>
      </c>
      <c r="AE445" s="33" t="str">
        <f aca="false">IF(AND(Y445=1,W445&lt;1),IF(AND(C446=C445,W446=W445+1),IF(Y446=1,"",INDEX(DATAS,W445+1)),INDEX(DATAS,W445+1)),"")</f>
        <v/>
      </c>
    </row>
    <row r="446" customFormat="false" ht="15" hidden="false" customHeight="false" outlineLevel="0" collapsed="false">
      <c r="A446" s="33" t="n">
        <v>46309</v>
      </c>
      <c r="B446" s="0" t="n">
        <v>10</v>
      </c>
      <c r="C446" s="0" t="n">
        <v>4184</v>
      </c>
      <c r="D446" s="0" t="n">
        <v>104</v>
      </c>
      <c r="E446" s="0" t="n">
        <v>3</v>
      </c>
      <c r="F446" s="27" t="s">
        <v>479</v>
      </c>
      <c r="G446" s="0" t="n">
        <v>32</v>
      </c>
      <c r="H446" s="0" t="n">
        <v>41</v>
      </c>
      <c r="I446" s="27" t="s">
        <v>138</v>
      </c>
      <c r="J446" s="0" t="n">
        <v>69</v>
      </c>
      <c r="K446" s="0" t="n">
        <v>69</v>
      </c>
      <c r="L446" s="0" t="n">
        <v>35</v>
      </c>
      <c r="M446" s="0" t="n">
        <v>394.46</v>
      </c>
      <c r="N446" s="0" t="n">
        <v>68.89</v>
      </c>
      <c r="O446" s="0" t="n">
        <v>27.03</v>
      </c>
      <c r="P446" s="0" t="n">
        <v>2.81</v>
      </c>
      <c r="Q446" s="0" t="n">
        <v>3.39</v>
      </c>
      <c r="R446" s="0" t="n">
        <v>5051</v>
      </c>
      <c r="S446" s="0" t="n">
        <v>10127</v>
      </c>
      <c r="T446" s="0" t="n">
        <v>57.5</v>
      </c>
      <c r="U446" s="0" t="n">
        <v>1510</v>
      </c>
      <c r="V446" s="0" t="n">
        <v>1</v>
      </c>
      <c r="W446" s="27" t="n">
        <f aca="false">MATCH(A446,DATAS,0)</f>
        <v>1</v>
      </c>
      <c r="X446" s="27" t="n">
        <f aca="false">IF(AND(E446&gt;0,OR(AND(B446&gt;=1,B446&lt;=6),B446=10)),1,0)</f>
        <v>1</v>
      </c>
      <c r="Y446" s="27" t="n">
        <f aca="false">IF(AND(E446&gt;0,B446=10),1,0)</f>
        <v>1</v>
      </c>
      <c r="Z446" s="0" t="str">
        <f aca="false">IF(AND(C445=C446,W445=W446-1),X445,"")</f>
        <v/>
      </c>
      <c r="AA446" s="0" t="str">
        <f aca="false">IF(AND(C445=C446,W445=W446-1),Y445,"")</f>
        <v/>
      </c>
      <c r="AB446" s="0" t="str">
        <f aca="false">IF(W446=1,"",IF(AND(X446=1,Z446&lt;&gt;1),1,0))</f>
        <v/>
      </c>
      <c r="AC446" s="0" t="str">
        <f aca="false">IF(W446=1,"",IF(AND(Y446=1,AA446&lt;&gt;1),1,0))</f>
        <v/>
      </c>
      <c r="AD446" s="33" t="str">
        <f aca="false">IF(AND(E446&gt;0,W446&lt;1,NOT(AND(C447=C446,W447=W446+1))),INDEX(DATAS,W446+1),"")</f>
        <v/>
      </c>
      <c r="AE446" s="33" t="str">
        <f aca="false">IF(AND(Y446=1,W446&lt;1),IF(AND(C447=C446,W447=W446+1),IF(Y447=1,"",INDEX(DATAS,W446+1)),INDEX(DATAS,W446+1)),"")</f>
        <v/>
      </c>
    </row>
    <row r="447" customFormat="false" ht="15" hidden="false" customHeight="false" outlineLevel="0" collapsed="false">
      <c r="A447" s="33" t="n">
        <v>46309</v>
      </c>
      <c r="B447" s="0" t="n">
        <v>3</v>
      </c>
      <c r="C447" s="0" t="n">
        <v>4185</v>
      </c>
      <c r="D447" s="0" t="n">
        <v>155</v>
      </c>
      <c r="E447" s="0" t="n">
        <v>3</v>
      </c>
      <c r="F447" s="27" t="s">
        <v>480</v>
      </c>
      <c r="G447" s="0" t="n">
        <v>74.1</v>
      </c>
      <c r="H447" s="0" t="n">
        <v>72</v>
      </c>
      <c r="I447" s="27" t="s">
        <v>138</v>
      </c>
      <c r="J447" s="0" t="n">
        <v>64</v>
      </c>
      <c r="K447" s="0" t="n">
        <v>64</v>
      </c>
      <c r="L447" s="0" t="n">
        <v>91</v>
      </c>
      <c r="M447" s="0" t="n">
        <v>1077.82</v>
      </c>
      <c r="N447" s="0" t="n">
        <v>41.48</v>
      </c>
      <c r="O447" s="0" t="n">
        <v>30.44</v>
      </c>
      <c r="P447" s="0" t="n">
        <v>2.61</v>
      </c>
      <c r="Q447" s="0" t="n">
        <v>2.97</v>
      </c>
      <c r="R447" s="0" t="n">
        <v>6121</v>
      </c>
      <c r="S447" s="0" t="n">
        <v>13227</v>
      </c>
      <c r="T447" s="0" t="n">
        <v>73.3</v>
      </c>
      <c r="U447" s="0" t="n">
        <v>1509</v>
      </c>
      <c r="V447" s="0" t="n">
        <v>1</v>
      </c>
      <c r="W447" s="27" t="n">
        <f aca="false">MATCH(A447,DATAS,0)</f>
        <v>1</v>
      </c>
      <c r="X447" s="27" t="n">
        <f aca="false">IF(AND(E447&gt;0,OR(AND(B447&gt;=1,B447&lt;=6),B447=10)),1,0)</f>
        <v>1</v>
      </c>
      <c r="Y447" s="27" t="n">
        <f aca="false">IF(AND(E447&gt;0,B447=10),1,0)</f>
        <v>0</v>
      </c>
      <c r="Z447" s="0" t="str">
        <f aca="false">IF(AND(C446=C447,W446=W447-1),X446,"")</f>
        <v/>
      </c>
      <c r="AA447" s="0" t="str">
        <f aca="false">IF(AND(C446=C447,W446=W447-1),Y446,"")</f>
        <v/>
      </c>
      <c r="AB447" s="0" t="str">
        <f aca="false">IF(W447=1,"",IF(AND(X447=1,Z447&lt;&gt;1),1,0))</f>
        <v/>
      </c>
      <c r="AC447" s="0" t="str">
        <f aca="false">IF(W447=1,"",IF(AND(Y447=1,AA447&lt;&gt;1),1,0))</f>
        <v/>
      </c>
      <c r="AD447" s="33" t="str">
        <f aca="false">IF(AND(E447&gt;0,W447&lt;1,NOT(AND(C448=C447,W448=W447+1))),INDEX(DATAS,W447+1),"")</f>
        <v/>
      </c>
      <c r="AE447" s="33" t="str">
        <f aca="false">IF(AND(Y447=1,W447&lt;1),IF(AND(C448=C447,W448=W447+1),IF(Y448=1,"",INDEX(DATAS,W447+1)),INDEX(DATAS,W447+1)),"")</f>
        <v/>
      </c>
    </row>
    <row r="448" customFormat="false" ht="15" hidden="false" customHeight="false" outlineLevel="0" collapsed="false">
      <c r="A448" s="33" t="n">
        <v>46309</v>
      </c>
      <c r="B448" s="0" t="n">
        <v>5</v>
      </c>
      <c r="C448" s="0" t="n">
        <v>4186</v>
      </c>
      <c r="D448" s="0" t="n">
        <v>328</v>
      </c>
      <c r="E448" s="0" t="n">
        <v>2</v>
      </c>
      <c r="F448" s="27" t="s">
        <v>481</v>
      </c>
      <c r="G448" s="0" t="n">
        <v>13.7</v>
      </c>
      <c r="H448" s="0" t="n">
        <v>14</v>
      </c>
      <c r="I448" s="27" t="s">
        <v>138</v>
      </c>
      <c r="J448" s="0" t="n">
        <v>118</v>
      </c>
      <c r="K448" s="0" t="n">
        <v>69</v>
      </c>
      <c r="L448" s="0" t="n">
        <v>210</v>
      </c>
      <c r="M448" s="0" t="n">
        <v>294.76</v>
      </c>
      <c r="N448" s="0" t="n">
        <v>72.15</v>
      </c>
      <c r="O448" s="0" t="n">
        <v>29.04</v>
      </c>
      <c r="P448" s="0" t="n">
        <v>5.71</v>
      </c>
      <c r="Q448" s="0" t="n">
        <v>4.45</v>
      </c>
      <c r="R448" s="0" t="n">
        <v>4510</v>
      </c>
      <c r="S448" s="0" t="n">
        <v>9694</v>
      </c>
      <c r="T448" s="0" t="n">
        <v>48.75</v>
      </c>
      <c r="U448" s="0" t="n">
        <v>1508</v>
      </c>
      <c r="V448" s="0" t="n">
        <v>3</v>
      </c>
      <c r="W448" s="27" t="n">
        <f aca="false">MATCH(A448,DATAS,0)</f>
        <v>1</v>
      </c>
      <c r="X448" s="27" t="n">
        <f aca="false">IF(AND(E448&gt;0,OR(AND(B448&gt;=1,B448&lt;=6),B448=10)),1,0)</f>
        <v>1</v>
      </c>
      <c r="Y448" s="27" t="n">
        <f aca="false">IF(AND(E448&gt;0,B448=10),1,0)</f>
        <v>0</v>
      </c>
      <c r="Z448" s="0" t="str">
        <f aca="false">IF(AND(C447=C448,W447=W448-1),X447,"")</f>
        <v/>
      </c>
      <c r="AA448" s="0" t="str">
        <f aca="false">IF(AND(C447=C448,W447=W448-1),Y447,"")</f>
        <v/>
      </c>
      <c r="AB448" s="0" t="str">
        <f aca="false">IF(W448=1,"",IF(AND(X448=1,Z448&lt;&gt;1),1,0))</f>
        <v/>
      </c>
      <c r="AC448" s="0" t="str">
        <f aca="false">IF(W448=1,"",IF(AND(Y448=1,AA448&lt;&gt;1),1,0))</f>
        <v/>
      </c>
      <c r="AD448" s="33" t="str">
        <f aca="false">IF(AND(E448&gt;0,W448&lt;1,NOT(AND(C449=C448,W449=W448+1))),INDEX(DATAS,W448+1),"")</f>
        <v/>
      </c>
      <c r="AE448" s="33" t="str">
        <f aca="false">IF(AND(Y448=1,W448&lt;1),IF(AND(C449=C448,W449=W448+1),IF(Y449=1,"",INDEX(DATAS,W448+1)),INDEX(DATAS,W448+1)),"")</f>
        <v/>
      </c>
    </row>
    <row r="449" customFormat="false" ht="15" hidden="false" customHeight="false" outlineLevel="0" collapsed="false">
      <c r="A449" s="33" t="n">
        <v>46309</v>
      </c>
      <c r="B449" s="0" t="n">
        <v>3</v>
      </c>
      <c r="C449" s="0" t="n">
        <v>4187</v>
      </c>
      <c r="D449" s="0" t="n">
        <v>29</v>
      </c>
      <c r="E449" s="0" t="n">
        <v>3</v>
      </c>
      <c r="F449" s="27" t="s">
        <v>481</v>
      </c>
      <c r="G449" s="0" t="n">
        <v>67.4</v>
      </c>
      <c r="H449" s="0" t="n">
        <v>63</v>
      </c>
      <c r="I449" s="27" t="s">
        <v>147</v>
      </c>
      <c r="J449" s="0" t="n">
        <v>29</v>
      </c>
      <c r="M449" s="0" t="n">
        <v>648.97</v>
      </c>
      <c r="N449" s="0" t="n">
        <v>25.42</v>
      </c>
      <c r="O449" s="0" t="n">
        <v>26.13</v>
      </c>
      <c r="P449" s="0" t="n">
        <v>5.73</v>
      </c>
      <c r="Q449" s="0" t="n">
        <v>4.97</v>
      </c>
      <c r="R449" s="0" t="n">
        <v>4987</v>
      </c>
      <c r="S449" s="0" t="n">
        <v>10024</v>
      </c>
      <c r="U449" s="0" t="n">
        <v>1508</v>
      </c>
      <c r="V449" s="0" t="n">
        <v>0</v>
      </c>
      <c r="W449" s="27" t="n">
        <f aca="false">MATCH(A449,DATAS,0)</f>
        <v>1</v>
      </c>
      <c r="X449" s="27" t="n">
        <f aca="false">IF(AND(E449&gt;0,OR(AND(B449&gt;=1,B449&lt;=6),B449=10)),1,0)</f>
        <v>1</v>
      </c>
      <c r="Y449" s="27" t="n">
        <f aca="false">IF(AND(E449&gt;0,B449=10),1,0)</f>
        <v>0</v>
      </c>
      <c r="Z449" s="0" t="str">
        <f aca="false">IF(AND(C448=C449,W448=W449-1),X448,"")</f>
        <v/>
      </c>
      <c r="AA449" s="0" t="str">
        <f aca="false">IF(AND(C448=C449,W448=W449-1),Y448,"")</f>
        <v/>
      </c>
      <c r="AB449" s="0" t="str">
        <f aca="false">IF(W449=1,"",IF(AND(X449=1,Z449&lt;&gt;1),1,0))</f>
        <v/>
      </c>
      <c r="AC449" s="0" t="str">
        <f aca="false">IF(W449=1,"",IF(AND(Y449=1,AA449&lt;&gt;1),1,0))</f>
        <v/>
      </c>
      <c r="AD449" s="33" t="str">
        <f aca="false">IF(AND(E449&gt;0,W449&lt;1,NOT(AND(C450=C449,W450=W449+1))),INDEX(DATAS,W449+1),"")</f>
        <v/>
      </c>
      <c r="AE449" s="33" t="str">
        <f aca="false">IF(AND(Y449=1,W449&lt;1),IF(AND(C450=C449,W450=W449+1),IF(Y450=1,"",INDEX(DATAS,W449+1)),INDEX(DATAS,W449+1)),"")</f>
        <v/>
      </c>
    </row>
    <row r="450" customFormat="false" ht="15" hidden="false" customHeight="false" outlineLevel="0" collapsed="false">
      <c r="A450" s="33" t="n">
        <v>46309</v>
      </c>
      <c r="B450" s="0" t="n">
        <v>6</v>
      </c>
      <c r="C450" s="0" t="n">
        <v>4188</v>
      </c>
      <c r="D450" s="0" t="n">
        <v>61</v>
      </c>
      <c r="E450" s="0" t="n">
        <v>3</v>
      </c>
      <c r="F450" s="27" t="s">
        <v>481</v>
      </c>
      <c r="G450" s="0" t="n">
        <v>27.5</v>
      </c>
      <c r="H450" s="0" t="n">
        <v>28</v>
      </c>
      <c r="I450" s="27" t="s">
        <v>147</v>
      </c>
      <c r="J450" s="0" t="n">
        <v>61</v>
      </c>
      <c r="M450" s="0" t="n">
        <v>1071.11</v>
      </c>
      <c r="N450" s="0" t="n">
        <v>72.88</v>
      </c>
      <c r="O450" s="0" t="n">
        <v>44.77</v>
      </c>
      <c r="P450" s="0" t="n">
        <v>0</v>
      </c>
      <c r="Q450" s="0" t="n">
        <v>0</v>
      </c>
      <c r="R450" s="0" t="n">
        <v>2468</v>
      </c>
      <c r="S450" s="0" t="n">
        <v>4962</v>
      </c>
      <c r="U450" s="0" t="n">
        <v>1508</v>
      </c>
      <c r="V450" s="0" t="n">
        <v>0</v>
      </c>
      <c r="W450" s="27" t="n">
        <f aca="false">MATCH(A450,DATAS,0)</f>
        <v>1</v>
      </c>
      <c r="X450" s="27" t="n">
        <f aca="false">IF(AND(E450&gt;0,OR(AND(B450&gt;=1,B450&lt;=6),B450=10)),1,0)</f>
        <v>1</v>
      </c>
      <c r="Y450" s="27" t="n">
        <f aca="false">IF(AND(E450&gt;0,B450=10),1,0)</f>
        <v>0</v>
      </c>
      <c r="Z450" s="0" t="str">
        <f aca="false">IF(AND(C449=C450,W449=W450-1),X449,"")</f>
        <v/>
      </c>
      <c r="AA450" s="0" t="str">
        <f aca="false">IF(AND(C449=C450,W449=W450-1),Y449,"")</f>
        <v/>
      </c>
      <c r="AB450" s="0" t="str">
        <f aca="false">IF(W450=1,"",IF(AND(X450=1,Z450&lt;&gt;1),1,0))</f>
        <v/>
      </c>
      <c r="AC450" s="0" t="str">
        <f aca="false">IF(W450=1,"",IF(AND(Y450=1,AA450&lt;&gt;1),1,0))</f>
        <v/>
      </c>
      <c r="AD450" s="33" t="str">
        <f aca="false">IF(AND(E450&gt;0,W450&lt;1,NOT(AND(C451=C450,W451=W450+1))),INDEX(DATAS,W450+1),"")</f>
        <v/>
      </c>
      <c r="AE450" s="33" t="str">
        <f aca="false">IF(AND(Y450=1,W450&lt;1),IF(AND(C451=C450,W451=W450+1),IF(Y451=1,"",INDEX(DATAS,W450+1)),INDEX(DATAS,W450+1)),"")</f>
        <v/>
      </c>
    </row>
    <row r="451" customFormat="false" ht="15" hidden="false" customHeight="false" outlineLevel="0" collapsed="false">
      <c r="A451" s="33" t="n">
        <v>46309</v>
      </c>
      <c r="B451" s="0" t="n">
        <v>2</v>
      </c>
      <c r="C451" s="0" t="n">
        <v>4189</v>
      </c>
      <c r="D451" s="0" t="n">
        <v>40</v>
      </c>
      <c r="E451" s="0" t="n">
        <v>3</v>
      </c>
      <c r="F451" s="27" t="s">
        <v>481</v>
      </c>
      <c r="G451" s="0" t="n">
        <v>54.4</v>
      </c>
      <c r="H451" s="0" t="n">
        <v>57</v>
      </c>
      <c r="I451" s="27" t="s">
        <v>147</v>
      </c>
      <c r="J451" s="0" t="n">
        <v>40</v>
      </c>
      <c r="M451" s="0" t="n">
        <v>241.46</v>
      </c>
      <c r="N451" s="0" t="n">
        <v>30.14</v>
      </c>
      <c r="O451" s="0" t="n">
        <v>18.06</v>
      </c>
      <c r="P451" s="0" t="n">
        <v>3.92</v>
      </c>
      <c r="Q451" s="0" t="n">
        <v>3.85</v>
      </c>
      <c r="R451" s="0" t="n">
        <v>4814</v>
      </c>
      <c r="S451" s="0" t="n">
        <v>9678</v>
      </c>
      <c r="U451" s="0" t="n">
        <v>1508</v>
      </c>
      <c r="V451" s="0" t="n">
        <v>0</v>
      </c>
      <c r="W451" s="27" t="n">
        <f aca="false">MATCH(A451,DATAS,0)</f>
        <v>1</v>
      </c>
      <c r="X451" s="27" t="n">
        <f aca="false">IF(AND(E451&gt;0,OR(AND(B451&gt;=1,B451&lt;=6),B451=10)),1,0)</f>
        <v>1</v>
      </c>
      <c r="Y451" s="27" t="n">
        <f aca="false">IF(AND(E451&gt;0,B451=10),1,0)</f>
        <v>0</v>
      </c>
      <c r="Z451" s="0" t="str">
        <f aca="false">IF(AND(C450=C451,W450=W451-1),X450,"")</f>
        <v/>
      </c>
      <c r="AA451" s="0" t="str">
        <f aca="false">IF(AND(C450=C451,W450=W451-1),Y450,"")</f>
        <v/>
      </c>
      <c r="AB451" s="0" t="str">
        <f aca="false">IF(W451=1,"",IF(AND(X451=1,Z451&lt;&gt;1),1,0))</f>
        <v/>
      </c>
      <c r="AC451" s="0" t="str">
        <f aca="false">IF(W451=1,"",IF(AND(Y451=1,AA451&lt;&gt;1),1,0))</f>
        <v/>
      </c>
      <c r="AD451" s="33" t="str">
        <f aca="false">IF(AND(E451&gt;0,W451&lt;1,NOT(AND(C452=C451,W452=W451+1))),INDEX(DATAS,W451+1),"")</f>
        <v/>
      </c>
      <c r="AE451" s="33" t="str">
        <f aca="false">IF(AND(Y451=1,W451&lt;1),IF(AND(C452=C451,W452=W451+1),IF(Y452=1,"",INDEX(DATAS,W451+1)),INDEX(DATAS,W451+1)),"")</f>
        <v/>
      </c>
    </row>
    <row r="452" customFormat="false" ht="15" hidden="false" customHeight="false" outlineLevel="0" collapsed="false">
      <c r="A452" s="33" t="n">
        <v>46309</v>
      </c>
      <c r="B452" s="0" t="n">
        <v>7</v>
      </c>
      <c r="C452" s="0" t="n">
        <v>4190</v>
      </c>
      <c r="D452" s="0" t="n">
        <v>286</v>
      </c>
      <c r="E452" s="0" t="n">
        <v>2</v>
      </c>
      <c r="F452" s="27" t="s">
        <v>481</v>
      </c>
      <c r="I452" s="27" t="s">
        <v>143</v>
      </c>
      <c r="J452" s="0" t="n">
        <v>63</v>
      </c>
      <c r="K452" s="0" t="n">
        <v>63</v>
      </c>
      <c r="L452" s="0" t="n">
        <v>252</v>
      </c>
      <c r="M452" s="0" t="n">
        <v>936.09</v>
      </c>
      <c r="N452" s="0" t="n">
        <v>50.51</v>
      </c>
      <c r="O452" s="0" t="n">
        <v>29.73</v>
      </c>
      <c r="P452" s="0" t="n">
        <v>4</v>
      </c>
      <c r="Q452" s="0" t="n">
        <v>3.25</v>
      </c>
      <c r="R452" s="0" t="n">
        <v>5735</v>
      </c>
      <c r="S452" s="0" t="n">
        <v>12325</v>
      </c>
      <c r="T452" s="0" t="n">
        <v>59.55</v>
      </c>
      <c r="U452" s="0" t="n">
        <v>1508</v>
      </c>
      <c r="V452" s="0" t="n">
        <v>1</v>
      </c>
      <c r="W452" s="27" t="n">
        <f aca="false">MATCH(A452,DATAS,0)</f>
        <v>1</v>
      </c>
      <c r="X452" s="27" t="n">
        <f aca="false">IF(AND(E452&gt;0,OR(AND(B452&gt;=1,B452&lt;=6),B452=10)),1,0)</f>
        <v>0</v>
      </c>
      <c r="Y452" s="27" t="n">
        <f aca="false">IF(AND(E452&gt;0,B452=10),1,0)</f>
        <v>0</v>
      </c>
      <c r="Z452" s="0" t="str">
        <f aca="false">IF(AND(C451=C452,W451=W452-1),X451,"")</f>
        <v/>
      </c>
      <c r="AA452" s="0" t="str">
        <f aca="false">IF(AND(C451=C452,W451=W452-1),Y451,"")</f>
        <v/>
      </c>
      <c r="AB452" s="0" t="str">
        <f aca="false">IF(W452=1,"",IF(AND(X452=1,Z452&lt;&gt;1),1,0))</f>
        <v/>
      </c>
      <c r="AC452" s="0" t="str">
        <f aca="false">IF(W452=1,"",IF(AND(Y452=1,AA452&lt;&gt;1),1,0))</f>
        <v/>
      </c>
      <c r="AD452" s="33" t="str">
        <f aca="false">IF(AND(E452&gt;0,W452&lt;1,NOT(AND(C453=C452,W453=W452+1))),INDEX(DATAS,W452+1),"")</f>
        <v/>
      </c>
      <c r="AE452" s="33" t="str">
        <f aca="false">IF(AND(Y452=1,W452&lt;1),IF(AND(C453=C452,W453=W452+1),IF(Y453=1,"",INDEX(DATAS,W452+1)),INDEX(DATAS,W452+1)),"")</f>
        <v/>
      </c>
    </row>
    <row r="453" customFormat="false" ht="15" hidden="false" customHeight="false" outlineLevel="0" collapsed="false">
      <c r="A453" s="33" t="n">
        <v>46309</v>
      </c>
      <c r="B453" s="0" t="n">
        <v>3</v>
      </c>
      <c r="C453" s="0" t="n">
        <v>4192</v>
      </c>
      <c r="D453" s="0" t="n">
        <v>261</v>
      </c>
      <c r="E453" s="0" t="n">
        <v>2</v>
      </c>
      <c r="F453" s="27" t="s">
        <v>482</v>
      </c>
      <c r="G453" s="0" t="n">
        <v>53.9</v>
      </c>
      <c r="H453" s="0" t="n">
        <v>55</v>
      </c>
      <c r="I453" s="27" t="s">
        <v>138</v>
      </c>
      <c r="J453" s="0" t="n">
        <v>65</v>
      </c>
      <c r="K453" s="0" t="n">
        <v>65</v>
      </c>
      <c r="L453" s="0" t="n">
        <v>196</v>
      </c>
      <c r="M453" s="0" t="n">
        <v>832.37</v>
      </c>
      <c r="N453" s="0" t="n">
        <v>46.77</v>
      </c>
      <c r="O453" s="0" t="n">
        <v>27.98</v>
      </c>
      <c r="P453" s="0" t="n">
        <v>3.13</v>
      </c>
      <c r="Q453" s="0" t="n">
        <v>3.09</v>
      </c>
      <c r="R453" s="0" t="n">
        <v>5917</v>
      </c>
      <c r="S453" s="0" t="n">
        <v>13037</v>
      </c>
      <c r="T453" s="0" t="n">
        <v>60.65</v>
      </c>
      <c r="U453" s="0" t="n">
        <v>1506</v>
      </c>
      <c r="V453" s="0" t="n">
        <v>1</v>
      </c>
      <c r="W453" s="27" t="n">
        <f aca="false">MATCH(A453,DATAS,0)</f>
        <v>1</v>
      </c>
      <c r="X453" s="27" t="n">
        <f aca="false">IF(AND(E453&gt;0,OR(AND(B453&gt;=1,B453&lt;=6),B453=10)),1,0)</f>
        <v>1</v>
      </c>
      <c r="Y453" s="27" t="n">
        <f aca="false">IF(AND(E453&gt;0,B453=10),1,0)</f>
        <v>0</v>
      </c>
      <c r="Z453" s="0" t="str">
        <f aca="false">IF(AND(C452=C453,W452=W453-1),X452,"")</f>
        <v/>
      </c>
      <c r="AA453" s="0" t="str">
        <f aca="false">IF(AND(C452=C453,W452=W453-1),Y452,"")</f>
        <v/>
      </c>
      <c r="AB453" s="0" t="str">
        <f aca="false">IF(W453=1,"",IF(AND(X453=1,Z453&lt;&gt;1),1,0))</f>
        <v/>
      </c>
      <c r="AC453" s="0" t="str">
        <f aca="false">IF(W453=1,"",IF(AND(Y453=1,AA453&lt;&gt;1),1,0))</f>
        <v/>
      </c>
      <c r="AD453" s="33" t="str">
        <f aca="false">IF(AND(E453&gt;0,W453&lt;1,NOT(AND(C454=C453,W454=W453+1))),INDEX(DATAS,W453+1),"")</f>
        <v/>
      </c>
      <c r="AE453" s="33" t="str">
        <f aca="false">IF(AND(Y453=1,W453&lt;1),IF(AND(C454=C453,W454=W453+1),IF(Y454=1,"",INDEX(DATAS,W453+1)),INDEX(DATAS,W453+1)),"")</f>
        <v/>
      </c>
    </row>
    <row r="454" customFormat="false" ht="15" hidden="false" customHeight="false" outlineLevel="0" collapsed="false">
      <c r="A454" s="33" t="n">
        <v>46309</v>
      </c>
      <c r="B454" s="0" t="n">
        <v>5</v>
      </c>
      <c r="C454" s="0" t="n">
        <v>4193</v>
      </c>
      <c r="D454" s="0" t="n">
        <v>142</v>
      </c>
      <c r="E454" s="0" t="n">
        <v>3</v>
      </c>
      <c r="F454" s="27" t="s">
        <v>482</v>
      </c>
      <c r="G454" s="0" t="n">
        <v>41.1</v>
      </c>
      <c r="H454" s="0" t="n">
        <v>44</v>
      </c>
      <c r="I454" s="27" t="s">
        <v>176</v>
      </c>
      <c r="J454" s="0" t="n">
        <v>142</v>
      </c>
      <c r="K454" s="0" t="n">
        <v>65</v>
      </c>
      <c r="M454" s="0" t="n">
        <v>492.96</v>
      </c>
      <c r="N454" s="0" t="n">
        <v>32.39</v>
      </c>
      <c r="O454" s="0" t="n">
        <v>20.39</v>
      </c>
      <c r="P454" s="0" t="n">
        <v>3.67</v>
      </c>
      <c r="Q454" s="0" t="n">
        <v>3.61</v>
      </c>
      <c r="R454" s="0" t="n">
        <v>5890</v>
      </c>
      <c r="S454" s="0" t="n">
        <v>11552</v>
      </c>
      <c r="T454" s="0" t="n">
        <v>64.3</v>
      </c>
      <c r="U454" s="0" t="n">
        <v>1506</v>
      </c>
      <c r="V454" s="0" t="n">
        <v>1</v>
      </c>
      <c r="W454" s="27" t="n">
        <f aca="false">MATCH(A454,DATAS,0)</f>
        <v>1</v>
      </c>
      <c r="X454" s="27" t="n">
        <f aca="false">IF(AND(E454&gt;0,OR(AND(B454&gt;=1,B454&lt;=6),B454=10)),1,0)</f>
        <v>1</v>
      </c>
      <c r="Y454" s="27" t="n">
        <f aca="false">IF(AND(E454&gt;0,B454=10),1,0)</f>
        <v>0</v>
      </c>
      <c r="Z454" s="0" t="str">
        <f aca="false">IF(AND(C453=C454,W453=W454-1),X453,"")</f>
        <v/>
      </c>
      <c r="AA454" s="0" t="str">
        <f aca="false">IF(AND(C453=C454,W453=W454-1),Y453,"")</f>
        <v/>
      </c>
      <c r="AB454" s="0" t="str">
        <f aca="false">IF(W454=1,"",IF(AND(X454=1,Z454&lt;&gt;1),1,0))</f>
        <v/>
      </c>
      <c r="AC454" s="0" t="str">
        <f aca="false">IF(W454=1,"",IF(AND(Y454=1,AA454&lt;&gt;1),1,0))</f>
        <v/>
      </c>
      <c r="AD454" s="33" t="str">
        <f aca="false">IF(AND(E454&gt;0,W454&lt;1,NOT(AND(C455=C454,W455=W454+1))),INDEX(DATAS,W454+1),"")</f>
        <v/>
      </c>
      <c r="AE454" s="33" t="str">
        <f aca="false">IF(AND(Y454=1,W454&lt;1),IF(AND(C455=C454,W455=W454+1),IF(Y455=1,"",INDEX(DATAS,W454+1)),INDEX(DATAS,W454+1)),"")</f>
        <v/>
      </c>
    </row>
    <row r="455" customFormat="false" ht="15" hidden="false" customHeight="false" outlineLevel="0" collapsed="false">
      <c r="A455" s="33" t="n">
        <v>46309</v>
      </c>
      <c r="B455" s="0" t="n">
        <v>6</v>
      </c>
      <c r="C455" s="0" t="n">
        <v>4194</v>
      </c>
      <c r="D455" s="0" t="n">
        <v>136</v>
      </c>
      <c r="E455" s="0" t="n">
        <v>3</v>
      </c>
      <c r="F455" s="27" t="s">
        <v>483</v>
      </c>
      <c r="G455" s="0" t="n">
        <v>26.6</v>
      </c>
      <c r="H455" s="0" t="n">
        <v>27</v>
      </c>
      <c r="I455" s="27" t="s">
        <v>168</v>
      </c>
      <c r="J455" s="0" t="n">
        <v>136</v>
      </c>
      <c r="K455" s="0" t="n">
        <v>73</v>
      </c>
      <c r="M455" s="0" t="n">
        <v>864.4</v>
      </c>
      <c r="N455" s="0" t="n">
        <v>74.21</v>
      </c>
      <c r="O455" s="0" t="n">
        <v>39.82</v>
      </c>
      <c r="P455" s="0" t="n">
        <v>6.21</v>
      </c>
      <c r="Q455" s="0" t="n">
        <v>4.47</v>
      </c>
      <c r="R455" s="0" t="n">
        <v>2297</v>
      </c>
      <c r="S455" s="0" t="n">
        <v>4801</v>
      </c>
      <c r="T455" s="0" t="n">
        <v>24.4</v>
      </c>
      <c r="U455" s="0" t="n">
        <v>1505</v>
      </c>
      <c r="V455" s="0" t="n">
        <v>2</v>
      </c>
      <c r="W455" s="27" t="n">
        <f aca="false">MATCH(A455,DATAS,0)</f>
        <v>1</v>
      </c>
      <c r="X455" s="27" t="n">
        <f aca="false">IF(AND(E455&gt;0,OR(AND(B455&gt;=1,B455&lt;=6),B455=10)),1,0)</f>
        <v>1</v>
      </c>
      <c r="Y455" s="27" t="n">
        <f aca="false">IF(AND(E455&gt;0,B455=10),1,0)</f>
        <v>0</v>
      </c>
      <c r="Z455" s="0" t="str">
        <f aca="false">IF(AND(C454=C455,W454=W455-1),X454,"")</f>
        <v/>
      </c>
      <c r="AA455" s="0" t="str">
        <f aca="false">IF(AND(C454=C455,W454=W455-1),Y454,"")</f>
        <v/>
      </c>
      <c r="AB455" s="0" t="str">
        <f aca="false">IF(W455=1,"",IF(AND(X455=1,Z455&lt;&gt;1),1,0))</f>
        <v/>
      </c>
      <c r="AC455" s="0" t="str">
        <f aca="false">IF(W455=1,"",IF(AND(Y455=1,AA455&lt;&gt;1),1,0))</f>
        <v/>
      </c>
      <c r="AD455" s="33" t="str">
        <f aca="false">IF(AND(E455&gt;0,W455&lt;1,NOT(AND(C456=C455,W456=W455+1))),INDEX(DATAS,W455+1),"")</f>
        <v/>
      </c>
      <c r="AE455" s="33" t="str">
        <f aca="false">IF(AND(Y455=1,W455&lt;1),IF(AND(C456=C455,W456=W455+1),IF(Y456=1,"",INDEX(DATAS,W455+1)),INDEX(DATAS,W455+1)),"")</f>
        <v/>
      </c>
    </row>
    <row r="456" customFormat="false" ht="15" hidden="false" customHeight="false" outlineLevel="0" collapsed="false">
      <c r="A456" s="33" t="n">
        <v>46309</v>
      </c>
      <c r="B456" s="0" t="n">
        <v>5</v>
      </c>
      <c r="C456" s="0" t="n">
        <v>4196</v>
      </c>
      <c r="D456" s="0" t="n">
        <v>162</v>
      </c>
      <c r="E456" s="0" t="n">
        <v>2</v>
      </c>
      <c r="F456" s="27" t="s">
        <v>484</v>
      </c>
      <c r="G456" s="0" t="n">
        <v>41.8</v>
      </c>
      <c r="H456" s="0" t="n">
        <v>40</v>
      </c>
      <c r="I456" s="27" t="s">
        <v>176</v>
      </c>
      <c r="J456" s="0" t="n">
        <v>162</v>
      </c>
      <c r="K456" s="0" t="n">
        <v>64</v>
      </c>
      <c r="M456" s="0" t="n">
        <v>97.12</v>
      </c>
      <c r="N456" s="0" t="n">
        <v>79.55</v>
      </c>
      <c r="O456" s="0" t="n">
        <v>27.03</v>
      </c>
      <c r="P456" s="0" t="n">
        <v>4.67</v>
      </c>
      <c r="Q456" s="0" t="n">
        <v>3.74</v>
      </c>
      <c r="R456" s="0" t="n">
        <v>4986</v>
      </c>
      <c r="S456" s="0" t="n">
        <v>9438</v>
      </c>
      <c r="T456" s="0" t="n">
        <v>51.85</v>
      </c>
      <c r="U456" s="0" t="n">
        <v>1504</v>
      </c>
      <c r="V456" s="0" t="n">
        <v>2</v>
      </c>
      <c r="W456" s="27" t="n">
        <f aca="false">MATCH(A456,DATAS,0)</f>
        <v>1</v>
      </c>
      <c r="X456" s="27" t="n">
        <f aca="false">IF(AND(E456&gt;0,OR(AND(B456&gt;=1,B456&lt;=6),B456=10)),1,0)</f>
        <v>1</v>
      </c>
      <c r="Y456" s="27" t="n">
        <f aca="false">IF(AND(E456&gt;0,B456=10),1,0)</f>
        <v>0</v>
      </c>
      <c r="Z456" s="0" t="str">
        <f aca="false">IF(AND(C455=C456,W455=W456-1),X455,"")</f>
        <v/>
      </c>
      <c r="AA456" s="0" t="str">
        <f aca="false">IF(AND(C455=C456,W455=W456-1),Y455,"")</f>
        <v/>
      </c>
      <c r="AB456" s="0" t="str">
        <f aca="false">IF(W456=1,"",IF(AND(X456=1,Z456&lt;&gt;1),1,0))</f>
        <v/>
      </c>
      <c r="AC456" s="0" t="str">
        <f aca="false">IF(W456=1,"",IF(AND(Y456=1,AA456&lt;&gt;1),1,0))</f>
        <v/>
      </c>
      <c r="AD456" s="33" t="str">
        <f aca="false">IF(AND(E456&gt;0,W456&lt;1,NOT(AND(C457=C456,W457=W456+1))),INDEX(DATAS,W456+1),"")</f>
        <v/>
      </c>
      <c r="AE456" s="33" t="str">
        <f aca="false">IF(AND(Y456=1,W456&lt;1),IF(AND(C457=C456,W457=W456+1),IF(Y457=1,"",INDEX(DATAS,W456+1)),INDEX(DATAS,W456+1)),"")</f>
        <v/>
      </c>
    </row>
    <row r="457" customFormat="false" ht="15" hidden="false" customHeight="false" outlineLevel="0" collapsed="false">
      <c r="A457" s="33" t="n">
        <v>46309</v>
      </c>
      <c r="B457" s="0" t="n">
        <v>5</v>
      </c>
      <c r="C457" s="0" t="n">
        <v>4197</v>
      </c>
      <c r="D457" s="0" t="n">
        <v>249</v>
      </c>
      <c r="E457" s="0" t="n">
        <v>2</v>
      </c>
      <c r="F457" s="27" t="s">
        <v>485</v>
      </c>
      <c r="G457" s="0" t="n">
        <v>36.4</v>
      </c>
      <c r="H457" s="0" t="n">
        <v>39</v>
      </c>
      <c r="I457" s="27" t="s">
        <v>168</v>
      </c>
      <c r="J457" s="0" t="n">
        <v>249</v>
      </c>
      <c r="K457" s="0" t="n">
        <v>67</v>
      </c>
      <c r="M457" s="0" t="n">
        <v>135.76</v>
      </c>
      <c r="N457" s="0" t="n">
        <v>54.26</v>
      </c>
      <c r="O457" s="0" t="n">
        <v>24.74</v>
      </c>
      <c r="P457" s="0" t="n">
        <v>4.35</v>
      </c>
      <c r="Q457" s="0" t="n">
        <v>3.99</v>
      </c>
      <c r="R457" s="0" t="n">
        <v>5339</v>
      </c>
      <c r="S457" s="0" t="n">
        <v>10900</v>
      </c>
      <c r="T457" s="0" t="n">
        <v>61.55</v>
      </c>
      <c r="U457" s="0" t="n">
        <v>1503</v>
      </c>
      <c r="V457" s="0" t="n">
        <v>4</v>
      </c>
      <c r="W457" s="27" t="n">
        <f aca="false">MATCH(A457,DATAS,0)</f>
        <v>1</v>
      </c>
      <c r="X457" s="27" t="n">
        <f aca="false">IF(AND(E457&gt;0,OR(AND(B457&gt;=1,B457&lt;=6),B457=10)),1,0)</f>
        <v>1</v>
      </c>
      <c r="Y457" s="27" t="n">
        <f aca="false">IF(AND(E457&gt;0,B457=10),1,0)</f>
        <v>0</v>
      </c>
      <c r="Z457" s="0" t="str">
        <f aca="false">IF(AND(C456=C457,W456=W457-1),X456,"")</f>
        <v/>
      </c>
      <c r="AA457" s="0" t="str">
        <f aca="false">IF(AND(C456=C457,W456=W457-1),Y456,"")</f>
        <v/>
      </c>
      <c r="AB457" s="0" t="str">
        <f aca="false">IF(W457=1,"",IF(AND(X457=1,Z457&lt;&gt;1),1,0))</f>
        <v/>
      </c>
      <c r="AC457" s="0" t="str">
        <f aca="false">IF(W457=1,"",IF(AND(Y457=1,AA457&lt;&gt;1),1,0))</f>
        <v/>
      </c>
      <c r="AD457" s="33" t="str">
        <f aca="false">IF(AND(E457&gt;0,W457&lt;1,NOT(AND(C458=C457,W458=W457+1))),INDEX(DATAS,W457+1),"")</f>
        <v/>
      </c>
      <c r="AE457" s="33" t="str">
        <f aca="false">IF(AND(Y457=1,W457&lt;1),IF(AND(C458=C457,W458=W457+1),IF(Y458=1,"",INDEX(DATAS,W457+1)),INDEX(DATAS,W457+1)),"")</f>
        <v/>
      </c>
    </row>
    <row r="458" customFormat="false" ht="15" hidden="false" customHeight="false" outlineLevel="0" collapsed="false">
      <c r="A458" s="33" t="n">
        <v>46309</v>
      </c>
      <c r="B458" s="0" t="n">
        <v>5</v>
      </c>
      <c r="C458" s="0" t="n">
        <v>4200</v>
      </c>
      <c r="D458" s="0" t="n">
        <v>46</v>
      </c>
      <c r="E458" s="0" t="n">
        <v>3</v>
      </c>
      <c r="F458" s="27" t="s">
        <v>486</v>
      </c>
      <c r="G458" s="0" t="n">
        <v>44.1</v>
      </c>
      <c r="H458" s="0" t="n">
        <v>41</v>
      </c>
      <c r="I458" s="27" t="s">
        <v>147</v>
      </c>
      <c r="J458" s="0" t="n">
        <v>46</v>
      </c>
      <c r="M458" s="0" t="n">
        <v>1193.5</v>
      </c>
      <c r="N458" s="0" t="n">
        <v>46.33</v>
      </c>
      <c r="O458" s="0" t="n">
        <v>36.44</v>
      </c>
      <c r="P458" s="0" t="n">
        <v>2.9</v>
      </c>
      <c r="Q458" s="0" t="n">
        <v>3.21</v>
      </c>
      <c r="R458" s="0" t="n">
        <v>3977</v>
      </c>
      <c r="S458" s="0" t="n">
        <v>7994</v>
      </c>
      <c r="U458" s="0" t="n">
        <v>1501</v>
      </c>
      <c r="V458" s="0" t="n">
        <v>0</v>
      </c>
      <c r="W458" s="27" t="n">
        <f aca="false">MATCH(A458,DATAS,0)</f>
        <v>1</v>
      </c>
      <c r="X458" s="27" t="n">
        <f aca="false">IF(AND(E458&gt;0,OR(AND(B458&gt;=1,B458&lt;=6),B458=10)),1,0)</f>
        <v>1</v>
      </c>
      <c r="Y458" s="27" t="n">
        <f aca="false">IF(AND(E458&gt;0,B458=10),1,0)</f>
        <v>0</v>
      </c>
      <c r="Z458" s="0" t="str">
        <f aca="false">IF(AND(C457=C458,W457=W458-1),X457,"")</f>
        <v/>
      </c>
      <c r="AA458" s="0" t="str">
        <f aca="false">IF(AND(C457=C458,W457=W458-1),Y457,"")</f>
        <v/>
      </c>
      <c r="AB458" s="0" t="str">
        <f aca="false">IF(W458=1,"",IF(AND(X458=1,Z458&lt;&gt;1),1,0))</f>
        <v/>
      </c>
      <c r="AC458" s="0" t="str">
        <f aca="false">IF(W458=1,"",IF(AND(Y458=1,AA458&lt;&gt;1),1,0))</f>
        <v/>
      </c>
      <c r="AD458" s="33" t="str">
        <f aca="false">IF(AND(E458&gt;0,W458&lt;1,NOT(AND(C459=C458,W459=W458+1))),INDEX(DATAS,W458+1),"")</f>
        <v/>
      </c>
      <c r="AE458" s="33" t="str">
        <f aca="false">IF(AND(Y458=1,W458&lt;1),IF(AND(C459=C458,W459=W458+1),IF(Y459=1,"",INDEX(DATAS,W458+1)),INDEX(DATAS,W458+1)),"")</f>
        <v/>
      </c>
    </row>
    <row r="459" customFormat="false" ht="15" hidden="false" customHeight="false" outlineLevel="0" collapsed="false">
      <c r="A459" s="33" t="n">
        <v>46309</v>
      </c>
      <c r="B459" s="0" t="n">
        <v>5</v>
      </c>
      <c r="C459" s="0" t="n">
        <v>4204</v>
      </c>
      <c r="D459" s="0" t="n">
        <v>445</v>
      </c>
      <c r="E459" s="0" t="n">
        <v>2</v>
      </c>
      <c r="F459" s="27" t="s">
        <v>487</v>
      </c>
      <c r="G459" s="0" t="n">
        <v>27.5</v>
      </c>
      <c r="H459" s="0" t="n">
        <v>23</v>
      </c>
      <c r="I459" s="27" t="s">
        <v>138</v>
      </c>
      <c r="J459" s="0" t="n">
        <v>287</v>
      </c>
      <c r="K459" s="0" t="n">
        <v>60</v>
      </c>
      <c r="L459" s="0" t="n">
        <v>158</v>
      </c>
      <c r="M459" s="0" t="n">
        <v>667.19</v>
      </c>
      <c r="N459" s="0" t="n">
        <v>91.4</v>
      </c>
      <c r="O459" s="0" t="n">
        <v>46.86</v>
      </c>
      <c r="P459" s="0" t="n">
        <v>6.95</v>
      </c>
      <c r="Q459" s="0" t="n">
        <v>4.7</v>
      </c>
      <c r="R459" s="0" t="n">
        <v>6112</v>
      </c>
      <c r="S459" s="0" t="n">
        <v>12691</v>
      </c>
      <c r="T459" s="0" t="n">
        <v>66.65</v>
      </c>
      <c r="U459" s="0" t="n">
        <v>1500</v>
      </c>
      <c r="V459" s="0" t="n">
        <v>7</v>
      </c>
      <c r="W459" s="27" t="n">
        <f aca="false">MATCH(A459,DATAS,0)</f>
        <v>1</v>
      </c>
      <c r="X459" s="27" t="n">
        <f aca="false">IF(AND(E459&gt;0,OR(AND(B459&gt;=1,B459&lt;=6),B459=10)),1,0)</f>
        <v>1</v>
      </c>
      <c r="Y459" s="27" t="n">
        <f aca="false">IF(AND(E459&gt;0,B459=10),1,0)</f>
        <v>0</v>
      </c>
      <c r="Z459" s="0" t="str">
        <f aca="false">IF(AND(C458=C459,W458=W459-1),X458,"")</f>
        <v/>
      </c>
      <c r="AA459" s="0" t="str">
        <f aca="false">IF(AND(C458=C459,W458=W459-1),Y458,"")</f>
        <v/>
      </c>
      <c r="AB459" s="0" t="str">
        <f aca="false">IF(W459=1,"",IF(AND(X459=1,Z459&lt;&gt;1),1,0))</f>
        <v/>
      </c>
      <c r="AC459" s="0" t="str">
        <f aca="false">IF(W459=1,"",IF(AND(Y459=1,AA459&lt;&gt;1),1,0))</f>
        <v/>
      </c>
      <c r="AD459" s="33" t="str">
        <f aca="false">IF(AND(E459&gt;0,W459&lt;1,NOT(AND(C460=C459,W460=W459+1))),INDEX(DATAS,W459+1),"")</f>
        <v/>
      </c>
      <c r="AE459" s="33" t="str">
        <f aca="false">IF(AND(Y459=1,W459&lt;1),IF(AND(C460=C459,W460=W459+1),IF(Y460=1,"",INDEX(DATAS,W459+1)),INDEX(DATAS,W459+1)),"")</f>
        <v/>
      </c>
    </row>
    <row r="460" customFormat="false" ht="15" hidden="false" customHeight="false" outlineLevel="0" collapsed="false">
      <c r="A460" s="33" t="n">
        <v>46309</v>
      </c>
      <c r="B460" s="0" t="n">
        <v>5</v>
      </c>
      <c r="C460" s="0" t="n">
        <v>4207</v>
      </c>
      <c r="D460" s="0" t="n">
        <v>99</v>
      </c>
      <c r="E460" s="0" t="n">
        <v>3</v>
      </c>
      <c r="F460" s="27" t="s">
        <v>488</v>
      </c>
      <c r="G460" s="0" t="n">
        <v>45.9</v>
      </c>
      <c r="H460" s="0" t="n">
        <v>42</v>
      </c>
      <c r="I460" s="27" t="s">
        <v>168</v>
      </c>
      <c r="J460" s="0" t="n">
        <v>99</v>
      </c>
      <c r="K460" s="0" t="n">
        <v>92</v>
      </c>
      <c r="M460" s="0" t="n">
        <v>-10.04</v>
      </c>
      <c r="N460" s="0" t="n">
        <v>18.81</v>
      </c>
      <c r="O460" s="0" t="n">
        <v>2.96</v>
      </c>
      <c r="P460" s="0" t="n">
        <v>3.31</v>
      </c>
      <c r="Q460" s="0" t="n">
        <v>2.86</v>
      </c>
      <c r="R460" s="0" t="n">
        <v>4714</v>
      </c>
      <c r="S460" s="0" t="n">
        <v>9476</v>
      </c>
      <c r="T460" s="0" t="n">
        <v>50.35</v>
      </c>
      <c r="U460" s="0" t="n">
        <v>1498</v>
      </c>
      <c r="V460" s="0" t="n">
        <v>1</v>
      </c>
      <c r="W460" s="27" t="n">
        <f aca="false">MATCH(A460,DATAS,0)</f>
        <v>1</v>
      </c>
      <c r="X460" s="27" t="n">
        <f aca="false">IF(AND(E460&gt;0,OR(AND(B460&gt;=1,B460&lt;=6),B460=10)),1,0)</f>
        <v>1</v>
      </c>
      <c r="Y460" s="27" t="n">
        <f aca="false">IF(AND(E460&gt;0,B460=10),1,0)</f>
        <v>0</v>
      </c>
      <c r="Z460" s="0" t="str">
        <f aca="false">IF(AND(C459=C460,W459=W460-1),X459,"")</f>
        <v/>
      </c>
      <c r="AA460" s="0" t="str">
        <f aca="false">IF(AND(C459=C460,W459=W460-1),Y459,"")</f>
        <v/>
      </c>
      <c r="AB460" s="0" t="str">
        <f aca="false">IF(W460=1,"",IF(AND(X460=1,Z460&lt;&gt;1),1,0))</f>
        <v/>
      </c>
      <c r="AC460" s="0" t="str">
        <f aca="false">IF(W460=1,"",IF(AND(Y460=1,AA460&lt;&gt;1),1,0))</f>
        <v/>
      </c>
      <c r="AD460" s="33" t="str">
        <f aca="false">IF(AND(E460&gt;0,W460&lt;1,NOT(AND(C461=C460,W461=W460+1))),INDEX(DATAS,W460+1),"")</f>
        <v/>
      </c>
      <c r="AE460" s="33" t="str">
        <f aca="false">IF(AND(Y460=1,W460&lt;1),IF(AND(C461=C460,W461=W460+1),IF(Y461=1,"",INDEX(DATAS,W460+1)),INDEX(DATAS,W460+1)),"")</f>
        <v/>
      </c>
    </row>
    <row r="461" customFormat="false" ht="15" hidden="false" customHeight="false" outlineLevel="0" collapsed="false">
      <c r="A461" s="33" t="n">
        <v>46309</v>
      </c>
      <c r="B461" s="0" t="n">
        <v>10</v>
      </c>
      <c r="C461" s="0" t="n">
        <v>4209</v>
      </c>
      <c r="D461" s="0" t="n">
        <v>16</v>
      </c>
      <c r="E461" s="0" t="n">
        <v>3</v>
      </c>
      <c r="F461" s="27" t="s">
        <v>489</v>
      </c>
      <c r="H461" s="0" t="n">
        <v>15</v>
      </c>
      <c r="I461" s="27" t="s">
        <v>147</v>
      </c>
      <c r="J461" s="0" t="n">
        <v>16</v>
      </c>
      <c r="M461" s="0" t="n">
        <v>152.51</v>
      </c>
      <c r="N461" s="0" t="n">
        <v>66.09</v>
      </c>
      <c r="O461" s="0" t="n">
        <v>29.96</v>
      </c>
      <c r="R461" s="0" t="n">
        <v>1470</v>
      </c>
      <c r="S461" s="0" t="n">
        <v>2955</v>
      </c>
      <c r="U461" s="0" t="n">
        <v>1495</v>
      </c>
      <c r="V461" s="0" t="n">
        <v>0</v>
      </c>
      <c r="W461" s="27" t="n">
        <f aca="false">MATCH(A461,DATAS,0)</f>
        <v>1</v>
      </c>
      <c r="X461" s="27" t="n">
        <f aca="false">IF(AND(E461&gt;0,OR(AND(B461&gt;=1,B461&lt;=6),B461=10)),1,0)</f>
        <v>1</v>
      </c>
      <c r="Y461" s="27" t="n">
        <f aca="false">IF(AND(E461&gt;0,B461=10),1,0)</f>
        <v>1</v>
      </c>
      <c r="Z461" s="0" t="str">
        <f aca="false">IF(AND(C460=C461,W460=W461-1),X460,"")</f>
        <v/>
      </c>
      <c r="AA461" s="0" t="str">
        <f aca="false">IF(AND(C460=C461,W460=W461-1),Y460,"")</f>
        <v/>
      </c>
      <c r="AB461" s="0" t="str">
        <f aca="false">IF(W461=1,"",IF(AND(X461=1,Z461&lt;&gt;1),1,0))</f>
        <v/>
      </c>
      <c r="AC461" s="0" t="str">
        <f aca="false">IF(W461=1,"",IF(AND(Y461=1,AA461&lt;&gt;1),1,0))</f>
        <v/>
      </c>
      <c r="AD461" s="33" t="str">
        <f aca="false">IF(AND(E461&gt;0,W461&lt;1,NOT(AND(C462=C461,W462=W461+1))),INDEX(DATAS,W461+1),"")</f>
        <v/>
      </c>
      <c r="AE461" s="33" t="str">
        <f aca="false">IF(AND(Y461=1,W461&lt;1),IF(AND(C462=C461,W462=W461+1),IF(Y462=1,"",INDEX(DATAS,W461+1)),INDEX(DATAS,W461+1)),"")</f>
        <v/>
      </c>
    </row>
    <row r="462" customFormat="false" ht="15" hidden="false" customHeight="false" outlineLevel="0" collapsed="false">
      <c r="A462" s="33" t="n">
        <v>46309</v>
      </c>
      <c r="B462" s="0" t="n">
        <v>7</v>
      </c>
      <c r="C462" s="0" t="n">
        <v>4210</v>
      </c>
      <c r="D462" s="0" t="n">
        <v>349</v>
      </c>
      <c r="E462" s="0" t="n">
        <v>2</v>
      </c>
      <c r="F462" s="27" t="s">
        <v>489</v>
      </c>
      <c r="I462" s="27" t="s">
        <v>143</v>
      </c>
      <c r="J462" s="0" t="n">
        <v>125</v>
      </c>
      <c r="K462" s="0" t="n">
        <v>69</v>
      </c>
      <c r="L462" s="0" t="n">
        <v>252</v>
      </c>
      <c r="M462" s="0" t="n">
        <v>703.84</v>
      </c>
      <c r="N462" s="0" t="n">
        <v>68.41</v>
      </c>
      <c r="O462" s="0" t="n">
        <v>27.88</v>
      </c>
      <c r="P462" s="0" t="n">
        <v>3.75</v>
      </c>
      <c r="Q462" s="0" t="n">
        <v>3.24</v>
      </c>
      <c r="R462" s="0" t="n">
        <v>6083</v>
      </c>
      <c r="S462" s="0" t="n">
        <v>10874</v>
      </c>
      <c r="T462" s="0" t="n">
        <v>67.95</v>
      </c>
      <c r="U462" s="0" t="n">
        <v>1495</v>
      </c>
      <c r="V462" s="0" t="n">
        <v>2</v>
      </c>
      <c r="W462" s="27" t="n">
        <f aca="false">MATCH(A462,DATAS,0)</f>
        <v>1</v>
      </c>
      <c r="X462" s="27" t="n">
        <f aca="false">IF(AND(E462&gt;0,OR(AND(B462&gt;=1,B462&lt;=6),B462=10)),1,0)</f>
        <v>0</v>
      </c>
      <c r="Y462" s="27" t="n">
        <f aca="false">IF(AND(E462&gt;0,B462=10),1,0)</f>
        <v>0</v>
      </c>
      <c r="Z462" s="0" t="str">
        <f aca="false">IF(AND(C461=C462,W461=W462-1),X461,"")</f>
        <v/>
      </c>
      <c r="AA462" s="0" t="str">
        <f aca="false">IF(AND(C461=C462,W461=W462-1),Y461,"")</f>
        <v/>
      </c>
      <c r="AB462" s="0" t="str">
        <f aca="false">IF(W462=1,"",IF(AND(X462=1,Z462&lt;&gt;1),1,0))</f>
        <v/>
      </c>
      <c r="AC462" s="0" t="str">
        <f aca="false">IF(W462=1,"",IF(AND(Y462=1,AA462&lt;&gt;1),1,0))</f>
        <v/>
      </c>
      <c r="AD462" s="33" t="str">
        <f aca="false">IF(AND(E462&gt;0,W462&lt;1,NOT(AND(C463=C462,W463=W462+1))),INDEX(DATAS,W462+1),"")</f>
        <v/>
      </c>
      <c r="AE462" s="33" t="str">
        <f aca="false">IF(AND(Y462=1,W462&lt;1),IF(AND(C463=C462,W463=W462+1),IF(Y463=1,"",INDEX(DATAS,W462+1)),INDEX(DATAS,W462+1)),"")</f>
        <v/>
      </c>
    </row>
    <row r="463" customFormat="false" ht="15" hidden="false" customHeight="false" outlineLevel="0" collapsed="false">
      <c r="A463" s="33" t="n">
        <v>46309</v>
      </c>
      <c r="B463" s="0" t="n">
        <v>2</v>
      </c>
      <c r="C463" s="0" t="n">
        <v>4211</v>
      </c>
      <c r="D463" s="0" t="n">
        <v>44</v>
      </c>
      <c r="E463" s="0" t="n">
        <v>3</v>
      </c>
      <c r="F463" s="27" t="s">
        <v>489</v>
      </c>
      <c r="G463" s="0" t="n">
        <v>71.5</v>
      </c>
      <c r="H463" s="0" t="n">
        <v>71</v>
      </c>
      <c r="I463" s="27" t="s">
        <v>147</v>
      </c>
      <c r="J463" s="0" t="n">
        <v>44</v>
      </c>
      <c r="M463" s="0" t="n">
        <v>502.18</v>
      </c>
      <c r="N463" s="0" t="n">
        <v>52.06</v>
      </c>
      <c r="O463" s="0" t="n">
        <v>25.26</v>
      </c>
      <c r="P463" s="0" t="n">
        <v>3.4</v>
      </c>
      <c r="Q463" s="0" t="n">
        <v>3.57</v>
      </c>
      <c r="R463" s="0" t="n">
        <v>6056</v>
      </c>
      <c r="S463" s="0" t="n">
        <v>12174</v>
      </c>
      <c r="U463" s="0" t="n">
        <v>1495</v>
      </c>
      <c r="V463" s="0" t="n">
        <v>0</v>
      </c>
      <c r="W463" s="27" t="n">
        <f aca="false">MATCH(A463,DATAS,0)</f>
        <v>1</v>
      </c>
      <c r="X463" s="27" t="n">
        <f aca="false">IF(AND(E463&gt;0,OR(AND(B463&gt;=1,B463&lt;=6),B463=10)),1,0)</f>
        <v>1</v>
      </c>
      <c r="Y463" s="27" t="n">
        <f aca="false">IF(AND(E463&gt;0,B463=10),1,0)</f>
        <v>0</v>
      </c>
      <c r="Z463" s="0" t="str">
        <f aca="false">IF(AND(C462=C463,W462=W463-1),X462,"")</f>
        <v/>
      </c>
      <c r="AA463" s="0" t="str">
        <f aca="false">IF(AND(C462=C463,W462=W463-1),Y462,"")</f>
        <v/>
      </c>
      <c r="AB463" s="0" t="str">
        <f aca="false">IF(W463=1,"",IF(AND(X463=1,Z463&lt;&gt;1),1,0))</f>
        <v/>
      </c>
      <c r="AC463" s="0" t="str">
        <f aca="false">IF(W463=1,"",IF(AND(Y463=1,AA463&lt;&gt;1),1,0))</f>
        <v/>
      </c>
      <c r="AD463" s="33" t="str">
        <f aca="false">IF(AND(E463&gt;0,W463&lt;1,NOT(AND(C464=C463,W464=W463+1))),INDEX(DATAS,W463+1),"")</f>
        <v/>
      </c>
      <c r="AE463" s="33" t="str">
        <f aca="false">IF(AND(Y463=1,W463&lt;1),IF(AND(C464=C463,W464=W463+1),IF(Y464=1,"",INDEX(DATAS,W463+1)),INDEX(DATAS,W463+1)),"")</f>
        <v/>
      </c>
    </row>
    <row r="464" customFormat="false" ht="15" hidden="false" customHeight="false" outlineLevel="0" collapsed="false">
      <c r="A464" s="33" t="n">
        <v>46309</v>
      </c>
      <c r="B464" s="0" t="n">
        <v>6</v>
      </c>
      <c r="C464" s="0" t="n">
        <v>4212</v>
      </c>
      <c r="D464" s="0" t="n">
        <v>280</v>
      </c>
      <c r="E464" s="0" t="n">
        <v>2</v>
      </c>
      <c r="F464" s="27" t="s">
        <v>489</v>
      </c>
      <c r="G464" s="0" t="n">
        <v>20.1</v>
      </c>
      <c r="H464" s="0" t="n">
        <v>18</v>
      </c>
      <c r="I464" s="27" t="s">
        <v>138</v>
      </c>
      <c r="J464" s="0" t="n">
        <v>231</v>
      </c>
      <c r="K464" s="0" t="n">
        <v>70</v>
      </c>
      <c r="L464" s="0" t="n">
        <v>49</v>
      </c>
      <c r="M464" s="0" t="n">
        <v>114.85</v>
      </c>
      <c r="N464" s="0" t="n">
        <v>59.06</v>
      </c>
      <c r="O464" s="0" t="n">
        <v>24.18</v>
      </c>
      <c r="P464" s="0" t="n">
        <v>5.05</v>
      </c>
      <c r="Q464" s="0" t="n">
        <v>4.06</v>
      </c>
      <c r="R464" s="0" t="n">
        <v>3261</v>
      </c>
      <c r="S464" s="0" t="n">
        <v>5730</v>
      </c>
      <c r="T464" s="0" t="n">
        <v>35.9</v>
      </c>
      <c r="U464" s="0" t="n">
        <v>1495</v>
      </c>
      <c r="V464" s="0" t="n">
        <v>4</v>
      </c>
      <c r="W464" s="27" t="n">
        <f aca="false">MATCH(A464,DATAS,0)</f>
        <v>1</v>
      </c>
      <c r="X464" s="27" t="n">
        <f aca="false">IF(AND(E464&gt;0,OR(AND(B464&gt;=1,B464&lt;=6),B464=10)),1,0)</f>
        <v>1</v>
      </c>
      <c r="Y464" s="27" t="n">
        <f aca="false">IF(AND(E464&gt;0,B464=10),1,0)</f>
        <v>0</v>
      </c>
      <c r="Z464" s="0" t="str">
        <f aca="false">IF(AND(C463=C464,W463=W464-1),X463,"")</f>
        <v/>
      </c>
      <c r="AA464" s="0" t="str">
        <f aca="false">IF(AND(C463=C464,W463=W464-1),Y463,"")</f>
        <v/>
      </c>
      <c r="AB464" s="0" t="str">
        <f aca="false">IF(W464=1,"",IF(AND(X464=1,Z464&lt;&gt;1),1,0))</f>
        <v/>
      </c>
      <c r="AC464" s="0" t="str">
        <f aca="false">IF(W464=1,"",IF(AND(Y464=1,AA464&lt;&gt;1),1,0))</f>
        <v/>
      </c>
      <c r="AD464" s="33" t="str">
        <f aca="false">IF(AND(E464&gt;0,W464&lt;1,NOT(AND(C465=C464,W465=W464+1))),INDEX(DATAS,W464+1),"")</f>
        <v/>
      </c>
      <c r="AE464" s="33" t="str">
        <f aca="false">IF(AND(Y464=1,W464&lt;1),IF(AND(C465=C464,W465=W464+1),IF(Y465=1,"",INDEX(DATAS,W464+1)),INDEX(DATAS,W464+1)),"")</f>
        <v/>
      </c>
    </row>
    <row r="465" customFormat="false" ht="15" hidden="false" customHeight="false" outlineLevel="0" collapsed="false">
      <c r="A465" s="33" t="n">
        <v>46309</v>
      </c>
      <c r="B465" s="0" t="n">
        <v>14</v>
      </c>
      <c r="C465" s="0" t="n">
        <v>4214</v>
      </c>
      <c r="D465" s="0" t="n">
        <v>219</v>
      </c>
      <c r="E465" s="0" t="n">
        <v>2</v>
      </c>
      <c r="F465" s="27" t="s">
        <v>490</v>
      </c>
      <c r="I465" s="27" t="s">
        <v>143</v>
      </c>
      <c r="J465" s="0" t="n">
        <v>66</v>
      </c>
      <c r="K465" s="0" t="n">
        <v>66</v>
      </c>
      <c r="L465" s="0" t="n">
        <v>259</v>
      </c>
      <c r="M465" s="0" t="n">
        <v>-56.57</v>
      </c>
      <c r="N465" s="0" t="n">
        <v>39.06</v>
      </c>
      <c r="O465" s="0" t="n">
        <v>13</v>
      </c>
      <c r="P465" s="0" t="n">
        <v>5.21</v>
      </c>
      <c r="Q465" s="0" t="n">
        <v>4.19</v>
      </c>
      <c r="R465" s="0" t="n">
        <v>3297</v>
      </c>
      <c r="S465" s="0" t="n">
        <v>6308</v>
      </c>
      <c r="T465" s="0" t="n">
        <v>36.75</v>
      </c>
      <c r="U465" s="0" t="n">
        <v>1494</v>
      </c>
      <c r="V465" s="0" t="n">
        <v>1</v>
      </c>
      <c r="W465" s="27" t="n">
        <f aca="false">MATCH(A465,DATAS,0)</f>
        <v>1</v>
      </c>
      <c r="X465" s="27" t="n">
        <f aca="false">IF(AND(E465&gt;0,OR(AND(B465&gt;=1,B465&lt;=6),B465=10)),1,0)</f>
        <v>0</v>
      </c>
      <c r="Y465" s="27" t="n">
        <f aca="false">IF(AND(E465&gt;0,B465=10),1,0)</f>
        <v>0</v>
      </c>
      <c r="Z465" s="0" t="str">
        <f aca="false">IF(AND(C464=C465,W464=W465-1),X464,"")</f>
        <v/>
      </c>
      <c r="AA465" s="0" t="str">
        <f aca="false">IF(AND(C464=C465,W464=W465-1),Y464,"")</f>
        <v/>
      </c>
      <c r="AB465" s="0" t="str">
        <f aca="false">IF(W465=1,"",IF(AND(X465=1,Z465&lt;&gt;1),1,0))</f>
        <v/>
      </c>
      <c r="AC465" s="0" t="str">
        <f aca="false">IF(W465=1,"",IF(AND(Y465=1,AA465&lt;&gt;1),1,0))</f>
        <v/>
      </c>
      <c r="AD465" s="33" t="str">
        <f aca="false">IF(AND(E465&gt;0,W465&lt;1,NOT(AND(C466=C465,W466=W465+1))),INDEX(DATAS,W465+1),"")</f>
        <v/>
      </c>
      <c r="AE465" s="33" t="str">
        <f aca="false">IF(AND(Y465=1,W465&lt;1),IF(AND(C466=C465,W466=W465+1),IF(Y466=1,"",INDEX(DATAS,W465+1)),INDEX(DATAS,W465+1)),"")</f>
        <v/>
      </c>
    </row>
    <row r="466" customFormat="false" ht="15" hidden="false" customHeight="false" outlineLevel="0" collapsed="false">
      <c r="A466" s="33" t="n">
        <v>46309</v>
      </c>
      <c r="B466" s="0" t="n">
        <v>3</v>
      </c>
      <c r="C466" s="0" t="n">
        <v>4215</v>
      </c>
      <c r="D466" s="0" t="n">
        <v>158</v>
      </c>
      <c r="E466" s="0" t="n">
        <v>3</v>
      </c>
      <c r="F466" s="27" t="s">
        <v>490</v>
      </c>
      <c r="G466" s="0" t="n">
        <v>64.7</v>
      </c>
      <c r="H466" s="0" t="n">
        <v>62</v>
      </c>
      <c r="I466" s="27" t="s">
        <v>168</v>
      </c>
      <c r="J466" s="0" t="n">
        <v>158</v>
      </c>
      <c r="K466" s="0" t="n">
        <v>67</v>
      </c>
      <c r="M466" s="0" t="n">
        <v>388.22</v>
      </c>
      <c r="N466" s="0" t="n">
        <v>44.26</v>
      </c>
      <c r="O466" s="0" t="n">
        <v>25.43</v>
      </c>
      <c r="P466" s="0" t="n">
        <v>3.76</v>
      </c>
      <c r="Q466" s="0" t="n">
        <v>3.27</v>
      </c>
      <c r="R466" s="0" t="n">
        <v>5692</v>
      </c>
      <c r="S466" s="0" t="n">
        <v>12139</v>
      </c>
      <c r="T466" s="0" t="n">
        <v>60.7</v>
      </c>
      <c r="U466" s="0" t="n">
        <v>1494</v>
      </c>
      <c r="V466" s="0" t="n">
        <v>2</v>
      </c>
      <c r="W466" s="27" t="n">
        <f aca="false">MATCH(A466,DATAS,0)</f>
        <v>1</v>
      </c>
      <c r="X466" s="27" t="n">
        <f aca="false">IF(AND(E466&gt;0,OR(AND(B466&gt;=1,B466&lt;=6),B466=10)),1,0)</f>
        <v>1</v>
      </c>
      <c r="Y466" s="27" t="n">
        <f aca="false">IF(AND(E466&gt;0,B466=10),1,0)</f>
        <v>0</v>
      </c>
      <c r="Z466" s="0" t="str">
        <f aca="false">IF(AND(C465=C466,W465=W466-1),X465,"")</f>
        <v/>
      </c>
      <c r="AA466" s="0" t="str">
        <f aca="false">IF(AND(C465=C466,W465=W466-1),Y465,"")</f>
        <v/>
      </c>
      <c r="AB466" s="0" t="str">
        <f aca="false">IF(W466=1,"",IF(AND(X466=1,Z466&lt;&gt;1),1,0))</f>
        <v/>
      </c>
      <c r="AC466" s="0" t="str">
        <f aca="false">IF(W466=1,"",IF(AND(Y466=1,AA466&lt;&gt;1),1,0))</f>
        <v/>
      </c>
      <c r="AD466" s="33" t="str">
        <f aca="false">IF(AND(E466&gt;0,W466&lt;1,NOT(AND(C467=C466,W467=W466+1))),INDEX(DATAS,W466+1),"")</f>
        <v/>
      </c>
      <c r="AE466" s="33" t="str">
        <f aca="false">IF(AND(Y466=1,W466&lt;1),IF(AND(C467=C466,W467=W466+1),IF(Y467=1,"",INDEX(DATAS,W466+1)),INDEX(DATAS,W466+1)),"")</f>
        <v/>
      </c>
    </row>
    <row r="467" customFormat="false" ht="15" hidden="false" customHeight="false" outlineLevel="0" collapsed="false">
      <c r="A467" s="33" t="n">
        <v>46309</v>
      </c>
      <c r="B467" s="0" t="n">
        <v>10</v>
      </c>
      <c r="C467" s="0" t="n">
        <v>4216</v>
      </c>
      <c r="D467" s="0" t="n">
        <v>429</v>
      </c>
      <c r="E467" s="0" t="n">
        <v>2</v>
      </c>
      <c r="F467" s="27" t="s">
        <v>490</v>
      </c>
      <c r="H467" s="0" t="n">
        <v>8</v>
      </c>
      <c r="I467" s="27" t="s">
        <v>138</v>
      </c>
      <c r="J467" s="0" t="n">
        <v>373</v>
      </c>
      <c r="K467" s="0" t="n">
        <v>58</v>
      </c>
      <c r="L467" s="0" t="n">
        <v>56</v>
      </c>
      <c r="M467" s="0" t="n">
        <v>735</v>
      </c>
      <c r="N467" s="0" t="n">
        <v>66</v>
      </c>
      <c r="O467" s="0" t="n">
        <v>30.65</v>
      </c>
      <c r="P467" s="0" t="n">
        <v>2.58</v>
      </c>
      <c r="Q467" s="0" t="n">
        <v>3.41</v>
      </c>
      <c r="R467" s="0" t="n">
        <v>6630</v>
      </c>
      <c r="S467" s="0" t="n">
        <v>12579</v>
      </c>
      <c r="T467" s="0" t="n">
        <v>70</v>
      </c>
      <c r="U467" s="0" t="n">
        <v>1494</v>
      </c>
      <c r="V467" s="0" t="n">
        <v>8</v>
      </c>
      <c r="W467" s="27" t="n">
        <f aca="false">MATCH(A467,DATAS,0)</f>
        <v>1</v>
      </c>
      <c r="X467" s="27" t="n">
        <f aca="false">IF(AND(E467&gt;0,OR(AND(B467&gt;=1,B467&lt;=6),B467=10)),1,0)</f>
        <v>1</v>
      </c>
      <c r="Y467" s="27" t="n">
        <f aca="false">IF(AND(E467&gt;0,B467=10),1,0)</f>
        <v>1</v>
      </c>
      <c r="Z467" s="0" t="str">
        <f aca="false">IF(AND(C466=C467,W466=W467-1),X466,"")</f>
        <v/>
      </c>
      <c r="AA467" s="0" t="str">
        <f aca="false">IF(AND(C466=C467,W466=W467-1),Y466,"")</f>
        <v/>
      </c>
      <c r="AB467" s="0" t="str">
        <f aca="false">IF(W467=1,"",IF(AND(X467=1,Z467&lt;&gt;1),1,0))</f>
        <v/>
      </c>
      <c r="AC467" s="0" t="str">
        <f aca="false">IF(W467=1,"",IF(AND(Y467=1,AA467&lt;&gt;1),1,0))</f>
        <v/>
      </c>
      <c r="AD467" s="33" t="str">
        <f aca="false">IF(AND(E467&gt;0,W467&lt;1,NOT(AND(C468=C467,W468=W467+1))),INDEX(DATAS,W467+1),"")</f>
        <v/>
      </c>
      <c r="AE467" s="33" t="str">
        <f aca="false">IF(AND(Y467=1,W467&lt;1),IF(AND(C468=C467,W468=W467+1),IF(Y468=1,"",INDEX(DATAS,W467+1)),INDEX(DATAS,W467+1)),"")</f>
        <v/>
      </c>
    </row>
    <row r="468" customFormat="false" ht="15" hidden="false" customHeight="false" outlineLevel="0" collapsed="false">
      <c r="A468" s="33" t="n">
        <v>46309</v>
      </c>
      <c r="B468" s="0" t="n">
        <v>6</v>
      </c>
      <c r="C468" s="0" t="n">
        <v>4219</v>
      </c>
      <c r="D468" s="0" t="n">
        <v>112</v>
      </c>
      <c r="E468" s="0" t="n">
        <v>3</v>
      </c>
      <c r="F468" s="27" t="s">
        <v>490</v>
      </c>
      <c r="H468" s="0" t="n">
        <v>17</v>
      </c>
      <c r="I468" s="27" t="s">
        <v>168</v>
      </c>
      <c r="J468" s="0" t="n">
        <v>112</v>
      </c>
      <c r="K468" s="0" t="n">
        <v>63</v>
      </c>
      <c r="M468" s="0" t="n">
        <v>326.46</v>
      </c>
      <c r="N468" s="0" t="n">
        <v>21.46</v>
      </c>
      <c r="O468" s="0" t="n">
        <v>14.53</v>
      </c>
      <c r="P468" s="0" t="n">
        <v>5.31</v>
      </c>
      <c r="Q468" s="0" t="n">
        <v>4.14</v>
      </c>
      <c r="R468" s="0" t="n">
        <v>2197</v>
      </c>
      <c r="S468" s="0" t="n">
        <v>4315</v>
      </c>
      <c r="T468" s="0" t="n">
        <v>20.75</v>
      </c>
      <c r="U468" s="0" t="n">
        <v>1494</v>
      </c>
      <c r="V468" s="0" t="n">
        <v>3</v>
      </c>
      <c r="W468" s="27" t="n">
        <f aca="false">MATCH(A468,DATAS,0)</f>
        <v>1</v>
      </c>
      <c r="X468" s="27" t="n">
        <f aca="false">IF(AND(E468&gt;0,OR(AND(B468&gt;=1,B468&lt;=6),B468=10)),1,0)</f>
        <v>1</v>
      </c>
      <c r="Y468" s="27" t="n">
        <f aca="false">IF(AND(E468&gt;0,B468=10),1,0)</f>
        <v>0</v>
      </c>
      <c r="Z468" s="0" t="str">
        <f aca="false">IF(AND(C467=C468,W467=W468-1),X467,"")</f>
        <v/>
      </c>
      <c r="AA468" s="0" t="str">
        <f aca="false">IF(AND(C467=C468,W467=W468-1),Y467,"")</f>
        <v/>
      </c>
      <c r="AB468" s="0" t="str">
        <f aca="false">IF(W468=1,"",IF(AND(X468=1,Z468&lt;&gt;1),1,0))</f>
        <v/>
      </c>
      <c r="AC468" s="0" t="str">
        <f aca="false">IF(W468=1,"",IF(AND(Y468=1,AA468&lt;&gt;1),1,0))</f>
        <v/>
      </c>
      <c r="AD468" s="33" t="str">
        <f aca="false">IF(AND(E468&gt;0,W468&lt;1,NOT(AND(C469=C468,W469=W468+1))),INDEX(DATAS,W468+1),"")</f>
        <v/>
      </c>
      <c r="AE468" s="33" t="str">
        <f aca="false">IF(AND(Y468=1,W468&lt;1),IF(AND(C469=C468,W469=W468+1),IF(Y469=1,"",INDEX(DATAS,W468+1)),INDEX(DATAS,W468+1)),"")</f>
        <v/>
      </c>
    </row>
    <row r="469" customFormat="false" ht="15" hidden="false" customHeight="false" outlineLevel="0" collapsed="false">
      <c r="A469" s="33" t="n">
        <v>46309</v>
      </c>
      <c r="B469" s="0" t="n">
        <v>5</v>
      </c>
      <c r="C469" s="0" t="n">
        <v>4220</v>
      </c>
      <c r="D469" s="0" t="n">
        <v>97</v>
      </c>
      <c r="E469" s="0" t="n">
        <v>3</v>
      </c>
      <c r="F469" s="27" t="s">
        <v>491</v>
      </c>
      <c r="G469" s="0" t="n">
        <v>50.6</v>
      </c>
      <c r="H469" s="0" t="n">
        <v>54</v>
      </c>
      <c r="I469" s="27" t="s">
        <v>168</v>
      </c>
      <c r="J469" s="0" t="n">
        <v>97</v>
      </c>
      <c r="K469" s="0" t="n">
        <v>69</v>
      </c>
      <c r="M469" s="0" t="n">
        <v>1179.14</v>
      </c>
      <c r="N469" s="0" t="n">
        <v>68.85</v>
      </c>
      <c r="O469" s="0" t="n">
        <v>40.25</v>
      </c>
      <c r="P469" s="0" t="n">
        <v>2.85</v>
      </c>
      <c r="Q469" s="0" t="n">
        <v>2.89</v>
      </c>
      <c r="R469" s="0" t="n">
        <v>6262</v>
      </c>
      <c r="S469" s="0" t="n">
        <v>12587</v>
      </c>
      <c r="T469" s="0" t="n">
        <v>71.75</v>
      </c>
      <c r="U469" s="0" t="n">
        <v>1493</v>
      </c>
      <c r="V469" s="0" t="n">
        <v>1</v>
      </c>
      <c r="W469" s="27" t="n">
        <f aca="false">MATCH(A469,DATAS,0)</f>
        <v>1</v>
      </c>
      <c r="X469" s="27" t="n">
        <f aca="false">IF(AND(E469&gt;0,OR(AND(B469&gt;=1,B469&lt;=6),B469=10)),1,0)</f>
        <v>1</v>
      </c>
      <c r="Y469" s="27" t="n">
        <f aca="false">IF(AND(E469&gt;0,B469=10),1,0)</f>
        <v>0</v>
      </c>
      <c r="Z469" s="0" t="str">
        <f aca="false">IF(AND(C468=C469,W468=W469-1),X468,"")</f>
        <v/>
      </c>
      <c r="AA469" s="0" t="str">
        <f aca="false">IF(AND(C468=C469,W468=W469-1),Y468,"")</f>
        <v/>
      </c>
      <c r="AB469" s="0" t="str">
        <f aca="false">IF(W469=1,"",IF(AND(X469=1,Z469&lt;&gt;1),1,0))</f>
        <v/>
      </c>
      <c r="AC469" s="0" t="str">
        <f aca="false">IF(W469=1,"",IF(AND(Y469=1,AA469&lt;&gt;1),1,0))</f>
        <v/>
      </c>
      <c r="AD469" s="33" t="str">
        <f aca="false">IF(AND(E469&gt;0,W469&lt;1,NOT(AND(C470=C469,W470=W469+1))),INDEX(DATAS,W469+1),"")</f>
        <v/>
      </c>
      <c r="AE469" s="33" t="str">
        <f aca="false">IF(AND(Y469=1,W469&lt;1),IF(AND(C470=C469,W470=W469+1),IF(Y470=1,"",INDEX(DATAS,W469+1)),INDEX(DATAS,W469+1)),"")</f>
        <v/>
      </c>
    </row>
    <row r="470" customFormat="false" ht="15" hidden="false" customHeight="false" outlineLevel="0" collapsed="false">
      <c r="A470" s="33" t="n">
        <v>46309</v>
      </c>
      <c r="B470" s="0" t="n">
        <v>2</v>
      </c>
      <c r="C470" s="0" t="n">
        <v>4222</v>
      </c>
      <c r="D470" s="0" t="n">
        <v>163</v>
      </c>
      <c r="E470" s="0" t="n">
        <v>2</v>
      </c>
      <c r="F470" s="27" t="s">
        <v>492</v>
      </c>
      <c r="G470" s="0" t="n">
        <v>35.6</v>
      </c>
      <c r="H470" s="0" t="n">
        <v>47</v>
      </c>
      <c r="I470" s="27" t="s">
        <v>168</v>
      </c>
      <c r="J470" s="0" t="n">
        <v>163</v>
      </c>
      <c r="K470" s="0" t="n">
        <v>72</v>
      </c>
      <c r="M470" s="0" t="n">
        <v>1155.04</v>
      </c>
      <c r="N470" s="0" t="n">
        <v>52.01</v>
      </c>
      <c r="O470" s="0" t="n">
        <v>31.66</v>
      </c>
      <c r="P470" s="0" t="n">
        <v>4.15</v>
      </c>
      <c r="Q470" s="0" t="n">
        <v>3.38</v>
      </c>
      <c r="R470" s="0" t="n">
        <v>3413</v>
      </c>
      <c r="S470" s="0" t="n">
        <v>8250</v>
      </c>
      <c r="T470" s="0" t="n">
        <v>32.85</v>
      </c>
      <c r="U470" s="0" t="n">
        <v>1492</v>
      </c>
      <c r="V470" s="0" t="n">
        <v>3</v>
      </c>
      <c r="W470" s="27" t="n">
        <f aca="false">MATCH(A470,DATAS,0)</f>
        <v>1</v>
      </c>
      <c r="X470" s="27" t="n">
        <f aca="false">IF(AND(E470&gt;0,OR(AND(B470&gt;=1,B470&lt;=6),B470=10)),1,0)</f>
        <v>1</v>
      </c>
      <c r="Y470" s="27" t="n">
        <f aca="false">IF(AND(E470&gt;0,B470=10),1,0)</f>
        <v>0</v>
      </c>
      <c r="Z470" s="0" t="str">
        <f aca="false">IF(AND(C469=C470,W469=W470-1),X469,"")</f>
        <v/>
      </c>
      <c r="AA470" s="0" t="str">
        <f aca="false">IF(AND(C469=C470,W469=W470-1),Y469,"")</f>
        <v/>
      </c>
      <c r="AB470" s="0" t="str">
        <f aca="false">IF(W470=1,"",IF(AND(X470=1,Z470&lt;&gt;1),1,0))</f>
        <v/>
      </c>
      <c r="AC470" s="0" t="str">
        <f aca="false">IF(W470=1,"",IF(AND(Y470=1,AA470&lt;&gt;1),1,0))</f>
        <v/>
      </c>
      <c r="AD470" s="33" t="str">
        <f aca="false">IF(AND(E470&gt;0,W470&lt;1,NOT(AND(C471=C470,W471=W470+1))),INDEX(DATAS,W470+1),"")</f>
        <v/>
      </c>
      <c r="AE470" s="33" t="str">
        <f aca="false">IF(AND(Y470=1,W470&lt;1),IF(AND(C471=C470,W471=W470+1),IF(Y471=1,"",INDEX(DATAS,W470+1)),INDEX(DATAS,W470+1)),"")</f>
        <v/>
      </c>
    </row>
    <row r="471" customFormat="false" ht="15" hidden="false" customHeight="false" outlineLevel="0" collapsed="false">
      <c r="A471" s="33" t="n">
        <v>46309</v>
      </c>
      <c r="B471" s="0" t="n">
        <v>7</v>
      </c>
      <c r="C471" s="0" t="n">
        <v>4223</v>
      </c>
      <c r="D471" s="0" t="n">
        <v>477</v>
      </c>
      <c r="E471" s="0" t="n">
        <v>2</v>
      </c>
      <c r="F471" s="27" t="s">
        <v>492</v>
      </c>
      <c r="I471" s="27" t="s">
        <v>143</v>
      </c>
      <c r="J471" s="0" t="n">
        <v>352</v>
      </c>
      <c r="K471" s="0" t="n">
        <v>65</v>
      </c>
      <c r="L471" s="0" t="n">
        <v>147</v>
      </c>
      <c r="M471" s="0" t="n">
        <v>912.69</v>
      </c>
      <c r="N471" s="0" t="n">
        <v>59.78</v>
      </c>
      <c r="O471" s="0" t="n">
        <v>31.07</v>
      </c>
      <c r="P471" s="0" t="n">
        <v>5.08</v>
      </c>
      <c r="Q471" s="0" t="n">
        <v>4.31</v>
      </c>
      <c r="R471" s="0" t="n">
        <v>5822</v>
      </c>
      <c r="S471" s="0" t="n">
        <v>11658</v>
      </c>
      <c r="T471" s="0" t="n">
        <v>68.5</v>
      </c>
      <c r="U471" s="0" t="n">
        <v>1492</v>
      </c>
      <c r="V471" s="0" t="n">
        <v>6</v>
      </c>
      <c r="W471" s="27" t="n">
        <f aca="false">MATCH(A471,DATAS,0)</f>
        <v>1</v>
      </c>
      <c r="X471" s="27" t="n">
        <f aca="false">IF(AND(E471&gt;0,OR(AND(B471&gt;=1,B471&lt;=6),B471=10)),1,0)</f>
        <v>0</v>
      </c>
      <c r="Y471" s="27" t="n">
        <f aca="false">IF(AND(E471&gt;0,B471=10),1,0)</f>
        <v>0</v>
      </c>
      <c r="Z471" s="0" t="str">
        <f aca="false">IF(AND(C470=C471,W470=W471-1),X470,"")</f>
        <v/>
      </c>
      <c r="AA471" s="0" t="str">
        <f aca="false">IF(AND(C470=C471,W470=W471-1),Y470,"")</f>
        <v/>
      </c>
      <c r="AB471" s="0" t="str">
        <f aca="false">IF(W471=1,"",IF(AND(X471=1,Z471&lt;&gt;1),1,0))</f>
        <v/>
      </c>
      <c r="AC471" s="0" t="str">
        <f aca="false">IF(W471=1,"",IF(AND(Y471=1,AA471&lt;&gt;1),1,0))</f>
        <v/>
      </c>
      <c r="AD471" s="33" t="str">
        <f aca="false">IF(AND(E471&gt;0,W471&lt;1,NOT(AND(C472=C471,W472=W471+1))),INDEX(DATAS,W471+1),"")</f>
        <v/>
      </c>
      <c r="AE471" s="33" t="str">
        <f aca="false">IF(AND(Y471=1,W471&lt;1),IF(AND(C472=C471,W472=W471+1),IF(Y472=1,"",INDEX(DATAS,W471+1)),INDEX(DATAS,W471+1)),"")</f>
        <v/>
      </c>
    </row>
    <row r="472" customFormat="false" ht="15" hidden="false" customHeight="false" outlineLevel="0" collapsed="false">
      <c r="A472" s="33" t="n">
        <v>46309</v>
      </c>
      <c r="B472" s="0" t="n">
        <v>7</v>
      </c>
      <c r="C472" s="0" t="n">
        <v>4224</v>
      </c>
      <c r="D472" s="0" t="n">
        <v>368</v>
      </c>
      <c r="E472" s="0" t="n">
        <v>2</v>
      </c>
      <c r="F472" s="27" t="s">
        <v>492</v>
      </c>
      <c r="I472" s="27" t="s">
        <v>143</v>
      </c>
      <c r="J472" s="0" t="n">
        <v>146</v>
      </c>
      <c r="K472" s="0" t="n">
        <v>68</v>
      </c>
      <c r="L472" s="0" t="n">
        <v>230</v>
      </c>
      <c r="M472" s="0" t="n">
        <v>202.88</v>
      </c>
      <c r="N472" s="0" t="n">
        <v>33.31</v>
      </c>
      <c r="O472" s="0" t="n">
        <v>13.95</v>
      </c>
      <c r="P472" s="0" t="n">
        <v>3.12</v>
      </c>
      <c r="Q472" s="0" t="n">
        <v>3.48</v>
      </c>
      <c r="R472" s="0" t="n">
        <v>4818</v>
      </c>
      <c r="S472" s="0" t="n">
        <v>10093</v>
      </c>
      <c r="T472" s="0" t="n">
        <v>49.75</v>
      </c>
      <c r="U472" s="0" t="n">
        <v>1492</v>
      </c>
      <c r="V472" s="0" t="n">
        <v>3</v>
      </c>
      <c r="W472" s="27" t="n">
        <f aca="false">MATCH(A472,DATAS,0)</f>
        <v>1</v>
      </c>
      <c r="X472" s="27" t="n">
        <f aca="false">IF(AND(E472&gt;0,OR(AND(B472&gt;=1,B472&lt;=6),B472=10)),1,0)</f>
        <v>0</v>
      </c>
      <c r="Y472" s="27" t="n">
        <f aca="false">IF(AND(E472&gt;0,B472=10),1,0)</f>
        <v>0</v>
      </c>
      <c r="Z472" s="0" t="str">
        <f aca="false">IF(AND(C471=C472,W471=W472-1),X471,"")</f>
        <v/>
      </c>
      <c r="AA472" s="0" t="str">
        <f aca="false">IF(AND(C471=C472,W471=W472-1),Y471,"")</f>
        <v/>
      </c>
      <c r="AB472" s="0" t="str">
        <f aca="false">IF(W472=1,"",IF(AND(X472=1,Z472&lt;&gt;1),1,0))</f>
        <v/>
      </c>
      <c r="AC472" s="0" t="str">
        <f aca="false">IF(W472=1,"",IF(AND(Y472=1,AA472&lt;&gt;1),1,0))</f>
        <v/>
      </c>
      <c r="AD472" s="33" t="str">
        <f aca="false">IF(AND(E472&gt;0,W472&lt;1,NOT(AND(C473=C472,W473=W472+1))),INDEX(DATAS,W472+1),"")</f>
        <v/>
      </c>
      <c r="AE472" s="33" t="str">
        <f aca="false">IF(AND(Y472=1,W472&lt;1),IF(AND(C473=C472,W473=W472+1),IF(Y473=1,"",INDEX(DATAS,W472+1)),INDEX(DATAS,W472+1)),"")</f>
        <v/>
      </c>
    </row>
    <row r="473" customFormat="false" ht="15" hidden="false" customHeight="false" outlineLevel="0" collapsed="false">
      <c r="A473" s="33" t="n">
        <v>46309</v>
      </c>
      <c r="B473" s="0" t="n">
        <v>2</v>
      </c>
      <c r="C473" s="0" t="n">
        <v>4225</v>
      </c>
      <c r="D473" s="0" t="n">
        <v>52</v>
      </c>
      <c r="E473" s="0" t="n">
        <v>3</v>
      </c>
      <c r="F473" s="27" t="s">
        <v>493</v>
      </c>
      <c r="G473" s="0" t="n">
        <v>60.9</v>
      </c>
      <c r="H473" s="0" t="n">
        <v>56</v>
      </c>
      <c r="I473" s="27" t="s">
        <v>147</v>
      </c>
      <c r="J473" s="0" t="n">
        <v>52</v>
      </c>
      <c r="M473" s="0" t="n">
        <v>781.88</v>
      </c>
      <c r="N473" s="0" t="n">
        <v>77.84</v>
      </c>
      <c r="O473" s="0" t="n">
        <v>44.71</v>
      </c>
      <c r="P473" s="0" t="n">
        <v>3.69</v>
      </c>
      <c r="Q473" s="0" t="n">
        <v>2.91</v>
      </c>
      <c r="R473" s="0" t="n">
        <v>4854</v>
      </c>
      <c r="S473" s="0" t="n">
        <v>9758</v>
      </c>
      <c r="U473" s="0" t="n">
        <v>1491</v>
      </c>
      <c r="V473" s="0" t="n">
        <v>0</v>
      </c>
      <c r="W473" s="27" t="n">
        <f aca="false">MATCH(A473,DATAS,0)</f>
        <v>1</v>
      </c>
      <c r="X473" s="27" t="n">
        <f aca="false">IF(AND(E473&gt;0,OR(AND(B473&gt;=1,B473&lt;=6),B473=10)),1,0)</f>
        <v>1</v>
      </c>
      <c r="Y473" s="27" t="n">
        <f aca="false">IF(AND(E473&gt;0,B473=10),1,0)</f>
        <v>0</v>
      </c>
      <c r="Z473" s="0" t="str">
        <f aca="false">IF(AND(C472=C473,W472=W473-1),X472,"")</f>
        <v/>
      </c>
      <c r="AA473" s="0" t="str">
        <f aca="false">IF(AND(C472=C473,W472=W473-1),Y472,"")</f>
        <v/>
      </c>
      <c r="AB473" s="0" t="str">
        <f aca="false">IF(W473=1,"",IF(AND(X473=1,Z473&lt;&gt;1),1,0))</f>
        <v/>
      </c>
      <c r="AC473" s="0" t="str">
        <f aca="false">IF(W473=1,"",IF(AND(Y473=1,AA473&lt;&gt;1),1,0))</f>
        <v/>
      </c>
      <c r="AD473" s="33" t="str">
        <f aca="false">IF(AND(E473&gt;0,W473&lt;1,NOT(AND(C474=C473,W474=W473+1))),INDEX(DATAS,W473+1),"")</f>
        <v/>
      </c>
      <c r="AE473" s="33" t="str">
        <f aca="false">IF(AND(Y473=1,W473&lt;1),IF(AND(C474=C473,W474=W473+1),IF(Y474=1,"",INDEX(DATAS,W473+1)),INDEX(DATAS,W473+1)),"")</f>
        <v/>
      </c>
    </row>
    <row r="474" customFormat="false" ht="15" hidden="false" customHeight="false" outlineLevel="0" collapsed="false">
      <c r="A474" s="33" t="n">
        <v>46309</v>
      </c>
      <c r="B474" s="0" t="n">
        <v>3</v>
      </c>
      <c r="C474" s="0" t="n">
        <v>4226</v>
      </c>
      <c r="D474" s="0" t="n">
        <v>95</v>
      </c>
      <c r="E474" s="0" t="n">
        <v>3</v>
      </c>
      <c r="F474" s="27" t="s">
        <v>493</v>
      </c>
      <c r="G474" s="0" t="n">
        <v>63.6</v>
      </c>
      <c r="H474" s="0" t="n">
        <v>66</v>
      </c>
      <c r="I474" s="27" t="s">
        <v>151</v>
      </c>
      <c r="J474" s="0" t="n">
        <v>95</v>
      </c>
      <c r="M474" s="0" t="n">
        <v>809.8</v>
      </c>
      <c r="N474" s="0" t="n">
        <v>66.78</v>
      </c>
      <c r="O474" s="0" t="n">
        <v>34.78</v>
      </c>
      <c r="P474" s="0" t="n">
        <v>3.84</v>
      </c>
      <c r="Q474" s="0" t="n">
        <v>3.44</v>
      </c>
      <c r="R474" s="0" t="n">
        <v>5745</v>
      </c>
      <c r="S474" s="0" t="n">
        <v>11548</v>
      </c>
      <c r="T474" s="0" t="n">
        <v>65.85</v>
      </c>
      <c r="U474" s="0" t="n">
        <v>1491</v>
      </c>
      <c r="V474" s="0" t="n">
        <v>0</v>
      </c>
      <c r="W474" s="27" t="n">
        <f aca="false">MATCH(A474,DATAS,0)</f>
        <v>1</v>
      </c>
      <c r="X474" s="27" t="n">
        <f aca="false">IF(AND(E474&gt;0,OR(AND(B474&gt;=1,B474&lt;=6),B474=10)),1,0)</f>
        <v>1</v>
      </c>
      <c r="Y474" s="27" t="n">
        <f aca="false">IF(AND(E474&gt;0,B474=10),1,0)</f>
        <v>0</v>
      </c>
      <c r="Z474" s="0" t="str">
        <f aca="false">IF(AND(C473=C474,W473=W474-1),X473,"")</f>
        <v/>
      </c>
      <c r="AA474" s="0" t="str">
        <f aca="false">IF(AND(C473=C474,W473=W474-1),Y473,"")</f>
        <v/>
      </c>
      <c r="AB474" s="0" t="str">
        <f aca="false">IF(W474=1,"",IF(AND(X474=1,Z474&lt;&gt;1),1,0))</f>
        <v/>
      </c>
      <c r="AC474" s="0" t="str">
        <f aca="false">IF(W474=1,"",IF(AND(Y474=1,AA474&lt;&gt;1),1,0))</f>
        <v/>
      </c>
      <c r="AD474" s="33" t="str">
        <f aca="false">IF(AND(E474&gt;0,W474&lt;1,NOT(AND(C475=C474,W475=W474+1))),INDEX(DATAS,W474+1),"")</f>
        <v/>
      </c>
      <c r="AE474" s="33" t="str">
        <f aca="false">IF(AND(Y474=1,W474&lt;1),IF(AND(C475=C474,W475=W474+1),IF(Y475=1,"",INDEX(DATAS,W474+1)),INDEX(DATAS,W474+1)),"")</f>
        <v/>
      </c>
    </row>
    <row r="475" customFormat="false" ht="15" hidden="false" customHeight="false" outlineLevel="0" collapsed="false">
      <c r="A475" s="33" t="n">
        <v>46309</v>
      </c>
      <c r="B475" s="0" t="n">
        <v>14</v>
      </c>
      <c r="C475" s="0" t="n">
        <v>4228</v>
      </c>
      <c r="D475" s="0" t="n">
        <v>289</v>
      </c>
      <c r="E475" s="0" t="n">
        <v>2</v>
      </c>
      <c r="F475" s="27" t="s">
        <v>494</v>
      </c>
      <c r="I475" s="27" t="s">
        <v>143</v>
      </c>
      <c r="J475" s="0" t="n">
        <v>66</v>
      </c>
      <c r="K475" s="0" t="n">
        <v>66</v>
      </c>
      <c r="L475" s="0" t="n">
        <v>259</v>
      </c>
      <c r="M475" s="0" t="n">
        <v>453.27</v>
      </c>
      <c r="N475" s="0" t="n">
        <v>48.32</v>
      </c>
      <c r="O475" s="0" t="n">
        <v>27.3</v>
      </c>
      <c r="P475" s="0" t="n">
        <v>3.57</v>
      </c>
      <c r="Q475" s="0" t="n">
        <v>4.02</v>
      </c>
      <c r="R475" s="0" t="n">
        <v>5718</v>
      </c>
      <c r="S475" s="0" t="n">
        <v>11459</v>
      </c>
      <c r="T475" s="0" t="n">
        <v>63.75</v>
      </c>
      <c r="U475" s="0" t="n">
        <v>1490</v>
      </c>
      <c r="V475" s="0" t="n">
        <v>1</v>
      </c>
      <c r="W475" s="27" t="n">
        <f aca="false">MATCH(A475,DATAS,0)</f>
        <v>1</v>
      </c>
      <c r="X475" s="27" t="n">
        <f aca="false">IF(AND(E475&gt;0,OR(AND(B475&gt;=1,B475&lt;=6),B475=10)),1,0)</f>
        <v>0</v>
      </c>
      <c r="Y475" s="27" t="n">
        <f aca="false">IF(AND(E475&gt;0,B475=10),1,0)</f>
        <v>0</v>
      </c>
      <c r="Z475" s="0" t="str">
        <f aca="false">IF(AND(C474=C475,W474=W475-1),X474,"")</f>
        <v/>
      </c>
      <c r="AA475" s="0" t="str">
        <f aca="false">IF(AND(C474=C475,W474=W475-1),Y474,"")</f>
        <v/>
      </c>
      <c r="AB475" s="0" t="str">
        <f aca="false">IF(W475=1,"",IF(AND(X475=1,Z475&lt;&gt;1),1,0))</f>
        <v/>
      </c>
      <c r="AC475" s="0" t="str">
        <f aca="false">IF(W475=1,"",IF(AND(Y475=1,AA475&lt;&gt;1),1,0))</f>
        <v/>
      </c>
      <c r="AD475" s="33" t="str">
        <f aca="false">IF(AND(E475&gt;0,W475&lt;1,NOT(AND(C476=C475,W476=W475+1))),INDEX(DATAS,W475+1),"")</f>
        <v/>
      </c>
      <c r="AE475" s="33" t="str">
        <f aca="false">IF(AND(Y475=1,W475&lt;1),IF(AND(C476=C475,W476=W475+1),IF(Y476=1,"",INDEX(DATAS,W475+1)),INDEX(DATAS,W475+1)),"")</f>
        <v/>
      </c>
    </row>
    <row r="476" customFormat="false" ht="15" hidden="false" customHeight="false" outlineLevel="0" collapsed="false">
      <c r="A476" s="33" t="n">
        <v>46309</v>
      </c>
      <c r="B476" s="0" t="n">
        <v>2</v>
      </c>
      <c r="C476" s="0" t="n">
        <v>4229</v>
      </c>
      <c r="D476" s="0" t="n">
        <v>278</v>
      </c>
      <c r="E476" s="0" t="n">
        <v>2</v>
      </c>
      <c r="F476" s="27" t="s">
        <v>494</v>
      </c>
      <c r="I476" s="27" t="s">
        <v>143</v>
      </c>
      <c r="J476" s="0" t="n">
        <v>113</v>
      </c>
      <c r="K476" s="0" t="n">
        <v>79</v>
      </c>
      <c r="L476" s="0" t="n">
        <v>266</v>
      </c>
      <c r="M476" s="0" t="n">
        <v>1369.72</v>
      </c>
      <c r="N476" s="0" t="n">
        <v>64.24</v>
      </c>
      <c r="O476" s="0" t="n">
        <v>43.35</v>
      </c>
      <c r="P476" s="0" t="n">
        <v>3.33</v>
      </c>
      <c r="Q476" s="0" t="n">
        <v>3.48</v>
      </c>
      <c r="R476" s="0" t="n">
        <v>5663</v>
      </c>
      <c r="S476" s="0" t="n">
        <v>11523</v>
      </c>
      <c r="T476" s="0" t="n">
        <v>68.8</v>
      </c>
      <c r="U476" s="0" t="n">
        <v>1490</v>
      </c>
      <c r="V476" s="0" t="n">
        <v>2</v>
      </c>
      <c r="W476" s="27" t="n">
        <f aca="false">MATCH(A476,DATAS,0)</f>
        <v>1</v>
      </c>
      <c r="X476" s="27" t="n">
        <f aca="false">IF(AND(E476&gt;0,OR(AND(B476&gt;=1,B476&lt;=6),B476=10)),1,0)</f>
        <v>1</v>
      </c>
      <c r="Y476" s="27" t="n">
        <f aca="false">IF(AND(E476&gt;0,B476=10),1,0)</f>
        <v>0</v>
      </c>
      <c r="Z476" s="0" t="str">
        <f aca="false">IF(AND(C475=C476,W475=W476-1),X475,"")</f>
        <v/>
      </c>
      <c r="AA476" s="0" t="str">
        <f aca="false">IF(AND(C475=C476,W475=W476-1),Y475,"")</f>
        <v/>
      </c>
      <c r="AB476" s="0" t="str">
        <f aca="false">IF(W476=1,"",IF(AND(X476=1,Z476&lt;&gt;1),1,0))</f>
        <v/>
      </c>
      <c r="AC476" s="0" t="str">
        <f aca="false">IF(W476=1,"",IF(AND(Y476=1,AA476&lt;&gt;1),1,0))</f>
        <v/>
      </c>
      <c r="AD476" s="33" t="str">
        <f aca="false">IF(AND(E476&gt;0,W476&lt;1,NOT(AND(C477=C476,W477=W476+1))),INDEX(DATAS,W476+1),"")</f>
        <v/>
      </c>
      <c r="AE476" s="33" t="str">
        <f aca="false">IF(AND(Y476=1,W476&lt;1),IF(AND(C477=C476,W477=W476+1),IF(Y477=1,"",INDEX(DATAS,W476+1)),INDEX(DATAS,W476+1)),"")</f>
        <v/>
      </c>
    </row>
    <row r="477" customFormat="false" ht="15" hidden="false" customHeight="false" outlineLevel="0" collapsed="false">
      <c r="A477" s="33" t="n">
        <v>46309</v>
      </c>
      <c r="B477" s="0" t="n">
        <v>3</v>
      </c>
      <c r="C477" s="0" t="n">
        <v>4230</v>
      </c>
      <c r="D477" s="0" t="n">
        <v>42</v>
      </c>
      <c r="E477" s="0" t="n">
        <v>3</v>
      </c>
      <c r="F477" s="27" t="s">
        <v>494</v>
      </c>
      <c r="G477" s="0" t="n">
        <v>66.7</v>
      </c>
      <c r="H477" s="0" t="n">
        <v>65</v>
      </c>
      <c r="I477" s="27" t="s">
        <v>147</v>
      </c>
      <c r="J477" s="0" t="n">
        <v>42</v>
      </c>
      <c r="M477" s="0" t="n">
        <v>573.68</v>
      </c>
      <c r="N477" s="0" t="n">
        <v>32.28</v>
      </c>
      <c r="O477" s="0" t="n">
        <v>23.33</v>
      </c>
      <c r="P477" s="0" t="n">
        <v>3.2</v>
      </c>
      <c r="Q477" s="0" t="n">
        <v>3.34</v>
      </c>
      <c r="R477" s="0" t="n">
        <v>5087</v>
      </c>
      <c r="S477" s="0" t="n">
        <v>10226</v>
      </c>
      <c r="U477" s="0" t="n">
        <v>1490</v>
      </c>
      <c r="V477" s="0" t="n">
        <v>0</v>
      </c>
      <c r="W477" s="27" t="n">
        <f aca="false">MATCH(A477,DATAS,0)</f>
        <v>1</v>
      </c>
      <c r="X477" s="27" t="n">
        <f aca="false">IF(AND(E477&gt;0,OR(AND(B477&gt;=1,B477&lt;=6),B477=10)),1,0)</f>
        <v>1</v>
      </c>
      <c r="Y477" s="27" t="n">
        <f aca="false">IF(AND(E477&gt;0,B477=10),1,0)</f>
        <v>0</v>
      </c>
      <c r="Z477" s="0" t="str">
        <f aca="false">IF(AND(C476=C477,W476=W477-1),X476,"")</f>
        <v/>
      </c>
      <c r="AA477" s="0" t="str">
        <f aca="false">IF(AND(C476=C477,W476=W477-1),Y476,"")</f>
        <v/>
      </c>
      <c r="AB477" s="0" t="str">
        <f aca="false">IF(W477=1,"",IF(AND(X477=1,Z477&lt;&gt;1),1,0))</f>
        <v/>
      </c>
      <c r="AC477" s="0" t="str">
        <f aca="false">IF(W477=1,"",IF(AND(Y477=1,AA477&lt;&gt;1),1,0))</f>
        <v/>
      </c>
      <c r="AD477" s="33" t="str">
        <f aca="false">IF(AND(E477&gt;0,W477&lt;1,NOT(AND(C478=C477,W478=W477+1))),INDEX(DATAS,W477+1),"")</f>
        <v/>
      </c>
      <c r="AE477" s="33" t="str">
        <f aca="false">IF(AND(Y477=1,W477&lt;1),IF(AND(C478=C477,W478=W477+1),IF(Y478=1,"",INDEX(DATAS,W477+1)),INDEX(DATAS,W477+1)),"")</f>
        <v/>
      </c>
    </row>
    <row r="478" customFormat="false" ht="15" hidden="false" customHeight="false" outlineLevel="0" collapsed="false">
      <c r="A478" s="33" t="n">
        <v>46309</v>
      </c>
      <c r="B478" s="0" t="n">
        <v>3</v>
      </c>
      <c r="C478" s="0" t="n">
        <v>4231</v>
      </c>
      <c r="D478" s="0" t="n">
        <v>101</v>
      </c>
      <c r="E478" s="0" t="n">
        <v>3</v>
      </c>
      <c r="F478" s="27" t="s">
        <v>495</v>
      </c>
      <c r="G478" s="0" t="n">
        <v>61</v>
      </c>
      <c r="H478" s="0" t="n">
        <v>70</v>
      </c>
      <c r="I478" s="27" t="s">
        <v>138</v>
      </c>
      <c r="J478" s="0" t="n">
        <v>69</v>
      </c>
      <c r="K478" s="0" t="n">
        <v>69</v>
      </c>
      <c r="L478" s="0" t="n">
        <v>32</v>
      </c>
      <c r="M478" s="0" t="n">
        <v>467.36</v>
      </c>
      <c r="N478" s="0" t="n">
        <v>32.01</v>
      </c>
      <c r="O478" s="0" t="n">
        <v>24.39</v>
      </c>
      <c r="P478" s="0" t="n">
        <v>3.1</v>
      </c>
      <c r="Q478" s="0" t="n">
        <v>3.08</v>
      </c>
      <c r="R478" s="0" t="n">
        <v>7117</v>
      </c>
      <c r="S478" s="0" t="n">
        <v>14301</v>
      </c>
      <c r="T478" s="0" t="n">
        <v>82.05</v>
      </c>
      <c r="U478" s="0" t="n">
        <v>1489</v>
      </c>
      <c r="V478" s="0" t="n">
        <v>1</v>
      </c>
      <c r="W478" s="27" t="n">
        <f aca="false">MATCH(A478,DATAS,0)</f>
        <v>1</v>
      </c>
      <c r="X478" s="27" t="n">
        <f aca="false">IF(AND(E478&gt;0,OR(AND(B478&gt;=1,B478&lt;=6),B478=10)),1,0)</f>
        <v>1</v>
      </c>
      <c r="Y478" s="27" t="n">
        <f aca="false">IF(AND(E478&gt;0,B478=10),1,0)</f>
        <v>0</v>
      </c>
      <c r="Z478" s="0" t="str">
        <f aca="false">IF(AND(C477=C478,W477=W478-1),X477,"")</f>
        <v/>
      </c>
      <c r="AA478" s="0" t="str">
        <f aca="false">IF(AND(C477=C478,W477=W478-1),Y477,"")</f>
        <v/>
      </c>
      <c r="AB478" s="0" t="str">
        <f aca="false">IF(W478=1,"",IF(AND(X478=1,Z478&lt;&gt;1),1,0))</f>
        <v/>
      </c>
      <c r="AC478" s="0" t="str">
        <f aca="false">IF(W478=1,"",IF(AND(Y478=1,AA478&lt;&gt;1),1,0))</f>
        <v/>
      </c>
      <c r="AD478" s="33" t="str">
        <f aca="false">IF(AND(E478&gt;0,W478&lt;1,NOT(AND(C479=C478,W479=W478+1))),INDEX(DATAS,W478+1),"")</f>
        <v/>
      </c>
      <c r="AE478" s="33" t="str">
        <f aca="false">IF(AND(Y478=1,W478&lt;1),IF(AND(C479=C478,W479=W478+1),IF(Y479=1,"",INDEX(DATAS,W478+1)),INDEX(DATAS,W478+1)),"")</f>
        <v/>
      </c>
    </row>
    <row r="479" customFormat="false" ht="15" hidden="false" customHeight="false" outlineLevel="0" collapsed="false">
      <c r="A479" s="33" t="n">
        <v>46309</v>
      </c>
      <c r="B479" s="0" t="n">
        <v>2</v>
      </c>
      <c r="C479" s="0" t="n">
        <v>4232</v>
      </c>
      <c r="D479" s="0" t="n">
        <v>12</v>
      </c>
      <c r="E479" s="0" t="n">
        <v>3</v>
      </c>
      <c r="F479" s="27" t="s">
        <v>495</v>
      </c>
      <c r="G479" s="0" t="n">
        <v>48</v>
      </c>
      <c r="H479" s="0" t="n">
        <v>43</v>
      </c>
      <c r="I479" s="27" t="s">
        <v>147</v>
      </c>
      <c r="J479" s="0" t="n">
        <v>12</v>
      </c>
      <c r="M479" s="0" t="n">
        <v>909.89</v>
      </c>
      <c r="N479" s="0" t="n">
        <v>63.17</v>
      </c>
      <c r="O479" s="0" t="n">
        <v>40.16</v>
      </c>
      <c r="R479" s="0" t="n">
        <v>3162</v>
      </c>
      <c r="S479" s="0" t="n">
        <v>6356</v>
      </c>
      <c r="U479" s="0" t="n">
        <v>1489</v>
      </c>
      <c r="V479" s="0" t="n">
        <v>0</v>
      </c>
      <c r="W479" s="27" t="n">
        <f aca="false">MATCH(A479,DATAS,0)</f>
        <v>1</v>
      </c>
      <c r="X479" s="27" t="n">
        <f aca="false">IF(AND(E479&gt;0,OR(AND(B479&gt;=1,B479&lt;=6),B479=10)),1,0)</f>
        <v>1</v>
      </c>
      <c r="Y479" s="27" t="n">
        <f aca="false">IF(AND(E479&gt;0,B479=10),1,0)</f>
        <v>0</v>
      </c>
      <c r="Z479" s="0" t="str">
        <f aca="false">IF(AND(C478=C479,W478=W479-1),X478,"")</f>
        <v/>
      </c>
      <c r="AA479" s="0" t="str">
        <f aca="false">IF(AND(C478=C479,W478=W479-1),Y478,"")</f>
        <v/>
      </c>
      <c r="AB479" s="0" t="str">
        <f aca="false">IF(W479=1,"",IF(AND(X479=1,Z479&lt;&gt;1),1,0))</f>
        <v/>
      </c>
      <c r="AC479" s="0" t="str">
        <f aca="false">IF(W479=1,"",IF(AND(Y479=1,AA479&lt;&gt;1),1,0))</f>
        <v/>
      </c>
      <c r="AD479" s="33" t="str">
        <f aca="false">IF(AND(E479&gt;0,W479&lt;1,NOT(AND(C480=C479,W480=W479+1))),INDEX(DATAS,W479+1),"")</f>
        <v/>
      </c>
      <c r="AE479" s="33" t="str">
        <f aca="false">IF(AND(Y479=1,W479&lt;1),IF(AND(C480=C479,W480=W479+1),IF(Y480=1,"",INDEX(DATAS,W479+1)),INDEX(DATAS,W479+1)),"")</f>
        <v/>
      </c>
    </row>
    <row r="480" customFormat="false" ht="15" hidden="false" customHeight="false" outlineLevel="0" collapsed="false">
      <c r="A480" s="33" t="n">
        <v>46309</v>
      </c>
      <c r="B480" s="0" t="n">
        <v>2</v>
      </c>
      <c r="C480" s="0" t="n">
        <v>4234</v>
      </c>
      <c r="D480" s="0" t="n">
        <v>316</v>
      </c>
      <c r="E480" s="0" t="n">
        <v>2</v>
      </c>
      <c r="F480" s="27" t="s">
        <v>495</v>
      </c>
      <c r="G480" s="0" t="n">
        <v>55.3</v>
      </c>
      <c r="H480" s="0" t="n">
        <v>56</v>
      </c>
      <c r="I480" s="27" t="s">
        <v>138</v>
      </c>
      <c r="J480" s="0" t="n">
        <v>148</v>
      </c>
      <c r="K480" s="0" t="n">
        <v>64</v>
      </c>
      <c r="L480" s="0" t="n">
        <v>168</v>
      </c>
      <c r="M480" s="0" t="n">
        <v>956.38</v>
      </c>
      <c r="N480" s="0" t="n">
        <v>68.49</v>
      </c>
      <c r="O480" s="0" t="n">
        <v>38.67</v>
      </c>
      <c r="P480" s="0" t="n">
        <v>4.88</v>
      </c>
      <c r="Q480" s="0" t="n">
        <v>3.89</v>
      </c>
      <c r="R480" s="0" t="n">
        <v>5598</v>
      </c>
      <c r="S480" s="0" t="n">
        <v>11597</v>
      </c>
      <c r="T480" s="0" t="n">
        <v>64.9</v>
      </c>
      <c r="U480" s="0" t="n">
        <v>1489</v>
      </c>
      <c r="V480" s="0" t="n">
        <v>3</v>
      </c>
      <c r="W480" s="27" t="n">
        <f aca="false">MATCH(A480,DATAS,0)</f>
        <v>1</v>
      </c>
      <c r="X480" s="27" t="n">
        <f aca="false">IF(AND(E480&gt;0,OR(AND(B480&gt;=1,B480&lt;=6),B480=10)),1,0)</f>
        <v>1</v>
      </c>
      <c r="Y480" s="27" t="n">
        <f aca="false">IF(AND(E480&gt;0,B480=10),1,0)</f>
        <v>0</v>
      </c>
      <c r="Z480" s="0" t="str">
        <f aca="false">IF(AND(C479=C480,W479=W480-1),X479,"")</f>
        <v/>
      </c>
      <c r="AA480" s="0" t="str">
        <f aca="false">IF(AND(C479=C480,W479=W480-1),Y479,"")</f>
        <v/>
      </c>
      <c r="AB480" s="0" t="str">
        <f aca="false">IF(W480=1,"",IF(AND(X480=1,Z480&lt;&gt;1),1,0))</f>
        <v/>
      </c>
      <c r="AC480" s="0" t="str">
        <f aca="false">IF(W480=1,"",IF(AND(Y480=1,AA480&lt;&gt;1),1,0))</f>
        <v/>
      </c>
      <c r="AD480" s="33" t="str">
        <f aca="false">IF(AND(E480&gt;0,W480&lt;1,NOT(AND(C481=C480,W481=W480+1))),INDEX(DATAS,W480+1),"")</f>
        <v/>
      </c>
      <c r="AE480" s="33" t="str">
        <f aca="false">IF(AND(Y480=1,W480&lt;1),IF(AND(C481=C480,W481=W480+1),IF(Y481=1,"",INDEX(DATAS,W480+1)),INDEX(DATAS,W480+1)),"")</f>
        <v/>
      </c>
    </row>
    <row r="481" customFormat="false" ht="15" hidden="false" customHeight="false" outlineLevel="0" collapsed="false">
      <c r="A481" s="33" t="n">
        <v>46309</v>
      </c>
      <c r="B481" s="0" t="n">
        <v>6</v>
      </c>
      <c r="C481" s="0" t="n">
        <v>4236</v>
      </c>
      <c r="D481" s="0" t="n">
        <v>393</v>
      </c>
      <c r="E481" s="0" t="n">
        <v>2</v>
      </c>
      <c r="F481" s="27" t="s">
        <v>496</v>
      </c>
      <c r="G481" s="0" t="n">
        <v>16.5</v>
      </c>
      <c r="H481" s="0" t="n">
        <v>16</v>
      </c>
      <c r="I481" s="27" t="s">
        <v>138</v>
      </c>
      <c r="J481" s="0" t="n">
        <v>176</v>
      </c>
      <c r="K481" s="0" t="n">
        <v>64</v>
      </c>
      <c r="L481" s="0" t="n">
        <v>217</v>
      </c>
      <c r="M481" s="0" t="n">
        <v>544.67</v>
      </c>
      <c r="N481" s="0" t="n">
        <v>67.75</v>
      </c>
      <c r="O481" s="0" t="n">
        <v>25.21</v>
      </c>
      <c r="P481" s="0" t="n">
        <v>4.78</v>
      </c>
      <c r="Q481" s="0" t="n">
        <v>4</v>
      </c>
      <c r="R481" s="0" t="n">
        <v>7304</v>
      </c>
      <c r="S481" s="0" t="n">
        <v>14144</v>
      </c>
      <c r="T481" s="0" t="n">
        <v>78.85</v>
      </c>
      <c r="U481" s="0" t="n">
        <v>1487</v>
      </c>
      <c r="V481" s="0" t="n">
        <v>3</v>
      </c>
      <c r="W481" s="27" t="n">
        <f aca="false">MATCH(A481,DATAS,0)</f>
        <v>1</v>
      </c>
      <c r="X481" s="27" t="n">
        <f aca="false">IF(AND(E481&gt;0,OR(AND(B481&gt;=1,B481&lt;=6),B481=10)),1,0)</f>
        <v>1</v>
      </c>
      <c r="Y481" s="27" t="n">
        <f aca="false">IF(AND(E481&gt;0,B481=10),1,0)</f>
        <v>0</v>
      </c>
      <c r="Z481" s="0" t="str">
        <f aca="false">IF(AND(C480=C481,W480=W481-1),X480,"")</f>
        <v/>
      </c>
      <c r="AA481" s="0" t="str">
        <f aca="false">IF(AND(C480=C481,W480=W481-1),Y480,"")</f>
        <v/>
      </c>
      <c r="AB481" s="0" t="str">
        <f aca="false">IF(W481=1,"",IF(AND(X481=1,Z481&lt;&gt;1),1,0))</f>
        <v/>
      </c>
      <c r="AC481" s="0" t="str">
        <f aca="false">IF(W481=1,"",IF(AND(Y481=1,AA481&lt;&gt;1),1,0))</f>
        <v/>
      </c>
      <c r="AD481" s="33" t="str">
        <f aca="false">IF(AND(E481&gt;0,W481&lt;1,NOT(AND(C482=C481,W482=W481+1))),INDEX(DATAS,W481+1),"")</f>
        <v/>
      </c>
      <c r="AE481" s="33" t="str">
        <f aca="false">IF(AND(Y481=1,W481&lt;1),IF(AND(C482=C481,W482=W481+1),IF(Y482=1,"",INDEX(DATAS,W481+1)),INDEX(DATAS,W481+1)),"")</f>
        <v/>
      </c>
    </row>
    <row r="482" customFormat="false" ht="15" hidden="false" customHeight="false" outlineLevel="0" collapsed="false">
      <c r="A482" s="33" t="n">
        <v>46309</v>
      </c>
      <c r="B482" s="0" t="n">
        <v>5</v>
      </c>
      <c r="C482" s="0" t="n">
        <v>4237</v>
      </c>
      <c r="D482" s="0" t="n">
        <v>154</v>
      </c>
      <c r="E482" s="0" t="n">
        <v>3</v>
      </c>
      <c r="F482" s="27" t="s">
        <v>496</v>
      </c>
      <c r="G482" s="0" t="n">
        <v>39.3</v>
      </c>
      <c r="H482" s="0" t="n">
        <v>35</v>
      </c>
      <c r="I482" s="27" t="s">
        <v>168</v>
      </c>
      <c r="J482" s="0" t="n">
        <v>154</v>
      </c>
      <c r="K482" s="0" t="n">
        <v>71</v>
      </c>
      <c r="M482" s="0" t="n">
        <v>328.13</v>
      </c>
      <c r="N482" s="0" t="n">
        <v>75.56</v>
      </c>
      <c r="O482" s="0" t="n">
        <v>26.68</v>
      </c>
      <c r="P482" s="0" t="n">
        <v>5.54</v>
      </c>
      <c r="Q482" s="0" t="n">
        <v>3.99</v>
      </c>
      <c r="R482" s="0" t="n">
        <v>4726</v>
      </c>
      <c r="S482" s="0" t="n">
        <v>8931</v>
      </c>
      <c r="T482" s="0" t="n">
        <v>50</v>
      </c>
      <c r="U482" s="0" t="n">
        <v>1487</v>
      </c>
      <c r="V482" s="0" t="n">
        <v>3</v>
      </c>
      <c r="W482" s="27" t="n">
        <f aca="false">MATCH(A482,DATAS,0)</f>
        <v>1</v>
      </c>
      <c r="X482" s="27" t="n">
        <f aca="false">IF(AND(E482&gt;0,OR(AND(B482&gt;=1,B482&lt;=6),B482=10)),1,0)</f>
        <v>1</v>
      </c>
      <c r="Y482" s="27" t="n">
        <f aca="false">IF(AND(E482&gt;0,B482=10),1,0)</f>
        <v>0</v>
      </c>
      <c r="Z482" s="0" t="str">
        <f aca="false">IF(AND(C481=C482,W481=W482-1),X481,"")</f>
        <v/>
      </c>
      <c r="AA482" s="0" t="str">
        <f aca="false">IF(AND(C481=C482,W481=W482-1),Y481,"")</f>
        <v/>
      </c>
      <c r="AB482" s="0" t="str">
        <f aca="false">IF(W482=1,"",IF(AND(X482=1,Z482&lt;&gt;1),1,0))</f>
        <v/>
      </c>
      <c r="AC482" s="0" t="str">
        <f aca="false">IF(W482=1,"",IF(AND(Y482=1,AA482&lt;&gt;1),1,0))</f>
        <v/>
      </c>
      <c r="AD482" s="33" t="str">
        <f aca="false">IF(AND(E482&gt;0,W482&lt;1,NOT(AND(C483=C482,W483=W482+1))),INDEX(DATAS,W482+1),"")</f>
        <v/>
      </c>
      <c r="AE482" s="33" t="str">
        <f aca="false">IF(AND(Y482=1,W482&lt;1),IF(AND(C483=C482,W483=W482+1),IF(Y483=1,"",INDEX(DATAS,W482+1)),INDEX(DATAS,W482+1)),"")</f>
        <v/>
      </c>
    </row>
    <row r="483" customFormat="false" ht="15" hidden="false" customHeight="false" outlineLevel="0" collapsed="false">
      <c r="A483" s="33" t="n">
        <v>46309</v>
      </c>
      <c r="B483" s="0" t="n">
        <v>3</v>
      </c>
      <c r="C483" s="0" t="n">
        <v>4240</v>
      </c>
      <c r="D483" s="0" t="n">
        <v>118</v>
      </c>
      <c r="E483" s="0" t="n">
        <v>3</v>
      </c>
      <c r="F483" s="27" t="s">
        <v>497</v>
      </c>
      <c r="G483" s="0" t="n">
        <v>64.3</v>
      </c>
      <c r="H483" s="0" t="n">
        <v>59</v>
      </c>
      <c r="I483" s="27" t="s">
        <v>168</v>
      </c>
      <c r="J483" s="0" t="n">
        <v>118</v>
      </c>
      <c r="K483" s="0" t="n">
        <v>70</v>
      </c>
      <c r="M483" s="0" t="n">
        <v>500.41</v>
      </c>
      <c r="N483" s="0" t="n">
        <v>50.43</v>
      </c>
      <c r="O483" s="0" t="n">
        <v>37.07</v>
      </c>
      <c r="P483" s="0" t="n">
        <v>4.59</v>
      </c>
      <c r="Q483" s="0" t="n">
        <v>3.42</v>
      </c>
      <c r="R483" s="0" t="n">
        <v>5922</v>
      </c>
      <c r="S483" s="0" t="n">
        <v>11980</v>
      </c>
      <c r="T483" s="0" t="n">
        <v>68.15</v>
      </c>
      <c r="U483" s="0" t="n">
        <v>1486</v>
      </c>
      <c r="V483" s="0" t="n">
        <v>2</v>
      </c>
      <c r="W483" s="27" t="n">
        <f aca="false">MATCH(A483,DATAS,0)</f>
        <v>1</v>
      </c>
      <c r="X483" s="27" t="n">
        <f aca="false">IF(AND(E483&gt;0,OR(AND(B483&gt;=1,B483&lt;=6),B483=10)),1,0)</f>
        <v>1</v>
      </c>
      <c r="Y483" s="27" t="n">
        <f aca="false">IF(AND(E483&gt;0,B483=10),1,0)</f>
        <v>0</v>
      </c>
      <c r="Z483" s="0" t="str">
        <f aca="false">IF(AND(C482=C483,W482=W483-1),X482,"")</f>
        <v/>
      </c>
      <c r="AA483" s="0" t="str">
        <f aca="false">IF(AND(C482=C483,W482=W483-1),Y482,"")</f>
        <v/>
      </c>
      <c r="AB483" s="0" t="str">
        <f aca="false">IF(W483=1,"",IF(AND(X483=1,Z483&lt;&gt;1),1,0))</f>
        <v/>
      </c>
      <c r="AC483" s="0" t="str">
        <f aca="false">IF(W483=1,"",IF(AND(Y483=1,AA483&lt;&gt;1),1,0))</f>
        <v/>
      </c>
      <c r="AD483" s="33" t="str">
        <f aca="false">IF(AND(E483&gt;0,W483&lt;1,NOT(AND(C484=C483,W484=W483+1))),INDEX(DATAS,W483+1),"")</f>
        <v/>
      </c>
      <c r="AE483" s="33" t="str">
        <f aca="false">IF(AND(Y483=1,W483&lt;1),IF(AND(C484=C483,W484=W483+1),IF(Y484=1,"",INDEX(DATAS,W483+1)),INDEX(DATAS,W483+1)),"")</f>
        <v/>
      </c>
    </row>
    <row r="484" customFormat="false" ht="15" hidden="false" customHeight="false" outlineLevel="0" collapsed="false">
      <c r="A484" s="33" t="n">
        <v>46309</v>
      </c>
      <c r="B484" s="0" t="n">
        <v>3</v>
      </c>
      <c r="C484" s="0" t="n">
        <v>4244</v>
      </c>
      <c r="D484" s="0" t="n">
        <v>66</v>
      </c>
      <c r="E484" s="0" t="n">
        <v>3</v>
      </c>
      <c r="F484" s="27" t="s">
        <v>498</v>
      </c>
      <c r="G484" s="0" t="n">
        <v>67.5</v>
      </c>
      <c r="H484" s="0" t="n">
        <v>61</v>
      </c>
      <c r="I484" s="27" t="s">
        <v>168</v>
      </c>
      <c r="J484" s="0" t="n">
        <v>66</v>
      </c>
      <c r="K484" s="0" t="n">
        <v>66</v>
      </c>
      <c r="M484" s="0" t="n">
        <v>773.03</v>
      </c>
      <c r="N484" s="0" t="n">
        <v>26.89</v>
      </c>
      <c r="O484" s="0" t="n">
        <v>18.89</v>
      </c>
      <c r="P484" s="0" t="n">
        <v>3.56</v>
      </c>
      <c r="Q484" s="0" t="n">
        <v>3.1</v>
      </c>
      <c r="R484" s="0" t="n">
        <v>4754</v>
      </c>
      <c r="S484" s="0" t="n">
        <v>9557</v>
      </c>
      <c r="U484" s="0" t="n">
        <v>1482</v>
      </c>
      <c r="V484" s="0" t="n">
        <v>1</v>
      </c>
      <c r="W484" s="27" t="n">
        <f aca="false">MATCH(A484,DATAS,0)</f>
        <v>1</v>
      </c>
      <c r="X484" s="27" t="n">
        <f aca="false">IF(AND(E484&gt;0,OR(AND(B484&gt;=1,B484&lt;=6),B484=10)),1,0)</f>
        <v>1</v>
      </c>
      <c r="Y484" s="27" t="n">
        <f aca="false">IF(AND(E484&gt;0,B484=10),1,0)</f>
        <v>0</v>
      </c>
      <c r="Z484" s="0" t="str">
        <f aca="false">IF(AND(C483=C484,W483=W484-1),X483,"")</f>
        <v/>
      </c>
      <c r="AA484" s="0" t="str">
        <f aca="false">IF(AND(C483=C484,W483=W484-1),Y483,"")</f>
        <v/>
      </c>
      <c r="AB484" s="0" t="str">
        <f aca="false">IF(W484=1,"",IF(AND(X484=1,Z484&lt;&gt;1),1,0))</f>
        <v/>
      </c>
      <c r="AC484" s="0" t="str">
        <f aca="false">IF(W484=1,"",IF(AND(Y484=1,AA484&lt;&gt;1),1,0))</f>
        <v/>
      </c>
      <c r="AD484" s="33" t="str">
        <f aca="false">IF(AND(E484&gt;0,W484&lt;1,NOT(AND(C485=C484,W485=W484+1))),INDEX(DATAS,W484+1),"")</f>
        <v/>
      </c>
      <c r="AE484" s="33" t="str">
        <f aca="false">IF(AND(Y484=1,W484&lt;1),IF(AND(C485=C484,W485=W484+1),IF(Y485=1,"",INDEX(DATAS,W484+1)),INDEX(DATAS,W484+1)),"")</f>
        <v/>
      </c>
    </row>
    <row r="485" customFormat="false" ht="15" hidden="false" customHeight="false" outlineLevel="0" collapsed="false">
      <c r="A485" s="33" t="n">
        <v>46309</v>
      </c>
      <c r="B485" s="0" t="n">
        <v>5</v>
      </c>
      <c r="C485" s="0" t="n">
        <v>4251</v>
      </c>
      <c r="D485" s="0" t="n">
        <v>212</v>
      </c>
      <c r="E485" s="0" t="n">
        <v>2</v>
      </c>
      <c r="F485" s="27" t="s">
        <v>499</v>
      </c>
      <c r="G485" s="0" t="n">
        <v>38.9</v>
      </c>
      <c r="H485" s="0" t="n">
        <v>41</v>
      </c>
      <c r="I485" s="27" t="s">
        <v>138</v>
      </c>
      <c r="J485" s="0" t="n">
        <v>107</v>
      </c>
      <c r="K485" s="0" t="n">
        <v>65</v>
      </c>
      <c r="L485" s="0" t="n">
        <v>105</v>
      </c>
      <c r="M485" s="0" t="n">
        <v>477.27</v>
      </c>
      <c r="N485" s="0" t="n">
        <v>44.18</v>
      </c>
      <c r="O485" s="0" t="n">
        <v>27.29</v>
      </c>
      <c r="P485" s="0" t="n">
        <v>4.24</v>
      </c>
      <c r="Q485" s="0" t="n">
        <v>4.12</v>
      </c>
      <c r="R485" s="0" t="n">
        <v>4542</v>
      </c>
      <c r="S485" s="0" t="n">
        <v>9115</v>
      </c>
      <c r="T485" s="0" t="n">
        <v>51.55</v>
      </c>
      <c r="U485" s="0" t="n">
        <v>1476</v>
      </c>
      <c r="V485" s="0" t="n">
        <v>2</v>
      </c>
      <c r="W485" s="27" t="n">
        <f aca="false">MATCH(A485,DATAS,0)</f>
        <v>1</v>
      </c>
      <c r="X485" s="27" t="n">
        <f aca="false">IF(AND(E485&gt;0,OR(AND(B485&gt;=1,B485&lt;=6),B485=10)),1,0)</f>
        <v>1</v>
      </c>
      <c r="Y485" s="27" t="n">
        <f aca="false">IF(AND(E485&gt;0,B485=10),1,0)</f>
        <v>0</v>
      </c>
      <c r="Z485" s="0" t="str">
        <f aca="false">IF(AND(C484=C485,W484=W485-1),X484,"")</f>
        <v/>
      </c>
      <c r="AA485" s="0" t="str">
        <f aca="false">IF(AND(C484=C485,W484=W485-1),Y484,"")</f>
        <v/>
      </c>
      <c r="AB485" s="0" t="str">
        <f aca="false">IF(W485=1,"",IF(AND(X485=1,Z485&lt;&gt;1),1,0))</f>
        <v/>
      </c>
      <c r="AC485" s="0" t="str">
        <f aca="false">IF(W485=1,"",IF(AND(Y485=1,AA485&lt;&gt;1),1,0))</f>
        <v/>
      </c>
      <c r="AD485" s="33" t="str">
        <f aca="false">IF(AND(E485&gt;0,W485&lt;1,NOT(AND(C486=C485,W486=W485+1))),INDEX(DATAS,W485+1),"")</f>
        <v/>
      </c>
      <c r="AE485" s="33" t="str">
        <f aca="false">IF(AND(Y485=1,W485&lt;1),IF(AND(C486=C485,W486=W485+1),IF(Y486=1,"",INDEX(DATAS,W485+1)),INDEX(DATAS,W485+1)),"")</f>
        <v/>
      </c>
    </row>
    <row r="486" customFormat="false" ht="15" hidden="false" customHeight="false" outlineLevel="0" collapsed="false">
      <c r="A486" s="33" t="n">
        <v>46309</v>
      </c>
      <c r="B486" s="0" t="n">
        <v>2</v>
      </c>
      <c r="C486" s="0" t="n">
        <v>4254</v>
      </c>
      <c r="D486" s="0" t="n">
        <v>75</v>
      </c>
      <c r="E486" s="0" t="n">
        <v>3</v>
      </c>
      <c r="F486" s="27" t="s">
        <v>499</v>
      </c>
      <c r="G486" s="0" t="n">
        <v>64</v>
      </c>
      <c r="H486" s="0" t="n">
        <v>61</v>
      </c>
      <c r="I486" s="27" t="s">
        <v>168</v>
      </c>
      <c r="J486" s="0" t="n">
        <v>75</v>
      </c>
      <c r="K486" s="0" t="n">
        <v>68</v>
      </c>
      <c r="M486" s="0" t="n">
        <v>776.99</v>
      </c>
      <c r="N486" s="0" t="n">
        <v>52.3</v>
      </c>
      <c r="O486" s="0" t="n">
        <v>35.43</v>
      </c>
      <c r="P486" s="0" t="n">
        <v>3.17</v>
      </c>
      <c r="Q486" s="0" t="n">
        <v>3.18</v>
      </c>
      <c r="R486" s="0" t="n">
        <v>5697</v>
      </c>
      <c r="S486" s="0" t="n">
        <v>11453</v>
      </c>
      <c r="U486" s="0" t="n">
        <v>1476</v>
      </c>
      <c r="V486" s="0" t="n">
        <v>1</v>
      </c>
      <c r="W486" s="27" t="n">
        <f aca="false">MATCH(A486,DATAS,0)</f>
        <v>1</v>
      </c>
      <c r="X486" s="27" t="n">
        <f aca="false">IF(AND(E486&gt;0,OR(AND(B486&gt;=1,B486&lt;=6),B486=10)),1,0)</f>
        <v>1</v>
      </c>
      <c r="Y486" s="27" t="n">
        <f aca="false">IF(AND(E486&gt;0,B486=10),1,0)</f>
        <v>0</v>
      </c>
      <c r="Z486" s="0" t="str">
        <f aca="false">IF(AND(C485=C486,W485=W486-1),X485,"")</f>
        <v/>
      </c>
      <c r="AA486" s="0" t="str">
        <f aca="false">IF(AND(C485=C486,W485=W486-1),Y485,"")</f>
        <v/>
      </c>
      <c r="AB486" s="0" t="str">
        <f aca="false">IF(W486=1,"",IF(AND(X486=1,Z486&lt;&gt;1),1,0))</f>
        <v/>
      </c>
      <c r="AC486" s="0" t="str">
        <f aca="false">IF(W486=1,"",IF(AND(Y486=1,AA486&lt;&gt;1),1,0))</f>
        <v/>
      </c>
      <c r="AD486" s="33" t="str">
        <f aca="false">IF(AND(E486&gt;0,W486&lt;1,NOT(AND(C487=C486,W487=W486+1))),INDEX(DATAS,W486+1),"")</f>
        <v/>
      </c>
      <c r="AE486" s="33" t="str">
        <f aca="false">IF(AND(Y486=1,W486&lt;1),IF(AND(C487=C486,W487=W486+1),IF(Y487=1,"",INDEX(DATAS,W486+1)),INDEX(DATAS,W486+1)),"")</f>
        <v/>
      </c>
    </row>
    <row r="487" customFormat="false" ht="15" hidden="false" customHeight="false" outlineLevel="0" collapsed="false">
      <c r="A487" s="33" t="n">
        <v>46309</v>
      </c>
      <c r="B487" s="0" t="n">
        <v>2</v>
      </c>
      <c r="C487" s="0" t="n">
        <v>4255</v>
      </c>
      <c r="D487" s="0" t="n">
        <v>80</v>
      </c>
      <c r="E487" s="0" t="n">
        <v>3</v>
      </c>
      <c r="F487" s="27" t="s">
        <v>499</v>
      </c>
      <c r="G487" s="0" t="n">
        <v>69.1</v>
      </c>
      <c r="H487" s="0" t="n">
        <v>62</v>
      </c>
      <c r="I487" s="27" t="s">
        <v>168</v>
      </c>
      <c r="J487" s="0" t="n">
        <v>80</v>
      </c>
      <c r="K487" s="0" t="n">
        <v>66</v>
      </c>
      <c r="M487" s="0" t="n">
        <v>819.26</v>
      </c>
      <c r="N487" s="0" t="n">
        <v>58.94</v>
      </c>
      <c r="O487" s="0" t="n">
        <v>36.81</v>
      </c>
      <c r="P487" s="0" t="n">
        <v>2.1</v>
      </c>
      <c r="Q487" s="0" t="n">
        <v>3.07</v>
      </c>
      <c r="R487" s="0" t="n">
        <v>6222</v>
      </c>
      <c r="S487" s="0" t="n">
        <v>12507</v>
      </c>
      <c r="U487" s="0" t="n">
        <v>1476</v>
      </c>
      <c r="V487" s="0" t="n">
        <v>1</v>
      </c>
      <c r="W487" s="27" t="n">
        <f aca="false">MATCH(A487,DATAS,0)</f>
        <v>1</v>
      </c>
      <c r="X487" s="27" t="n">
        <f aca="false">IF(AND(E487&gt;0,OR(AND(B487&gt;=1,B487&lt;=6),B487=10)),1,0)</f>
        <v>1</v>
      </c>
      <c r="Y487" s="27" t="n">
        <f aca="false">IF(AND(E487&gt;0,B487=10),1,0)</f>
        <v>0</v>
      </c>
      <c r="Z487" s="0" t="str">
        <f aca="false">IF(AND(C486=C487,W486=W487-1),X486,"")</f>
        <v/>
      </c>
      <c r="AA487" s="0" t="str">
        <f aca="false">IF(AND(C486=C487,W486=W487-1),Y486,"")</f>
        <v/>
      </c>
      <c r="AB487" s="0" t="str">
        <f aca="false">IF(W487=1,"",IF(AND(X487=1,Z487&lt;&gt;1),1,0))</f>
        <v/>
      </c>
      <c r="AC487" s="0" t="str">
        <f aca="false">IF(W487=1,"",IF(AND(Y487=1,AA487&lt;&gt;1),1,0))</f>
        <v/>
      </c>
      <c r="AD487" s="33" t="str">
        <f aca="false">IF(AND(E487&gt;0,W487&lt;1,NOT(AND(C488=C487,W488=W487+1))),INDEX(DATAS,W487+1),"")</f>
        <v/>
      </c>
      <c r="AE487" s="33" t="str">
        <f aca="false">IF(AND(Y487=1,W487&lt;1),IF(AND(C488=C487,W488=W487+1),IF(Y488=1,"",INDEX(DATAS,W487+1)),INDEX(DATAS,W487+1)),"")</f>
        <v/>
      </c>
    </row>
    <row r="488" customFormat="false" ht="15" hidden="false" customHeight="false" outlineLevel="0" collapsed="false">
      <c r="A488" s="33" t="n">
        <v>46309</v>
      </c>
      <c r="B488" s="0" t="n">
        <v>5</v>
      </c>
      <c r="C488" s="0" t="n">
        <v>4258</v>
      </c>
      <c r="D488" s="0" t="n">
        <v>320</v>
      </c>
      <c r="E488" s="0" t="n">
        <v>2</v>
      </c>
      <c r="F488" s="27" t="s">
        <v>500</v>
      </c>
      <c r="G488" s="0" t="n">
        <v>40.9</v>
      </c>
      <c r="H488" s="0" t="n">
        <v>39</v>
      </c>
      <c r="I488" s="27" t="s">
        <v>138</v>
      </c>
      <c r="J488" s="0" t="n">
        <v>131</v>
      </c>
      <c r="K488" s="0" t="n">
        <v>68</v>
      </c>
      <c r="L488" s="0" t="n">
        <v>189</v>
      </c>
      <c r="M488" s="0" t="n">
        <v>500.21</v>
      </c>
      <c r="N488" s="0" t="n">
        <v>58.15</v>
      </c>
      <c r="O488" s="0" t="n">
        <v>33.09</v>
      </c>
      <c r="P488" s="0" t="n">
        <v>4.49</v>
      </c>
      <c r="Q488" s="0" t="n">
        <v>4.01</v>
      </c>
      <c r="R488" s="0" t="n">
        <v>4241</v>
      </c>
      <c r="S488" s="0" t="n">
        <v>9234</v>
      </c>
      <c r="T488" s="0" t="n">
        <v>50.8</v>
      </c>
      <c r="U488" s="0" t="n">
        <v>1475</v>
      </c>
      <c r="V488" s="0" t="n">
        <v>3</v>
      </c>
      <c r="W488" s="27" t="n">
        <f aca="false">MATCH(A488,DATAS,0)</f>
        <v>1</v>
      </c>
      <c r="X488" s="27" t="n">
        <f aca="false">IF(AND(E488&gt;0,OR(AND(B488&gt;=1,B488&lt;=6),B488=10)),1,0)</f>
        <v>1</v>
      </c>
      <c r="Y488" s="27" t="n">
        <f aca="false">IF(AND(E488&gt;0,B488=10),1,0)</f>
        <v>0</v>
      </c>
      <c r="Z488" s="0" t="str">
        <f aca="false">IF(AND(C487=C488,W487=W488-1),X487,"")</f>
        <v/>
      </c>
      <c r="AA488" s="0" t="str">
        <f aca="false">IF(AND(C487=C488,W487=W488-1),Y487,"")</f>
        <v/>
      </c>
      <c r="AB488" s="0" t="str">
        <f aca="false">IF(W488=1,"",IF(AND(X488=1,Z488&lt;&gt;1),1,0))</f>
        <v/>
      </c>
      <c r="AC488" s="0" t="str">
        <f aca="false">IF(W488=1,"",IF(AND(Y488=1,AA488&lt;&gt;1),1,0))</f>
        <v/>
      </c>
      <c r="AD488" s="33" t="str">
        <f aca="false">IF(AND(E488&gt;0,W488&lt;1,NOT(AND(C489=C488,W489=W488+1))),INDEX(DATAS,W488+1),"")</f>
        <v/>
      </c>
      <c r="AE488" s="33" t="str">
        <f aca="false">IF(AND(Y488=1,W488&lt;1),IF(AND(C489=C488,W489=W488+1),IF(Y489=1,"",INDEX(DATAS,W488+1)),INDEX(DATAS,W488+1)),"")</f>
        <v/>
      </c>
    </row>
    <row r="489" customFormat="false" ht="15" hidden="false" customHeight="false" outlineLevel="0" collapsed="false">
      <c r="A489" s="33" t="n">
        <v>46309</v>
      </c>
      <c r="B489" s="0" t="n">
        <v>2</v>
      </c>
      <c r="C489" s="0" t="n">
        <v>4259</v>
      </c>
      <c r="D489" s="0" t="n">
        <v>262</v>
      </c>
      <c r="E489" s="0" t="n">
        <v>2</v>
      </c>
      <c r="F489" s="27" t="s">
        <v>501</v>
      </c>
      <c r="G489" s="0" t="n">
        <v>59.8</v>
      </c>
      <c r="H489" s="0" t="n">
        <v>64</v>
      </c>
      <c r="I489" s="27" t="s">
        <v>138</v>
      </c>
      <c r="J489" s="0" t="n">
        <v>136</v>
      </c>
      <c r="K489" s="0" t="n">
        <v>66</v>
      </c>
      <c r="L489" s="0" t="n">
        <v>126</v>
      </c>
      <c r="M489" s="0" t="n">
        <v>1116.77</v>
      </c>
      <c r="N489" s="0" t="n">
        <v>64.17</v>
      </c>
      <c r="O489" s="0" t="n">
        <v>46.44</v>
      </c>
      <c r="P489" s="0" t="n">
        <v>3.07</v>
      </c>
      <c r="Q489" s="0" t="n">
        <v>3.6</v>
      </c>
      <c r="R489" s="0" t="n">
        <v>7005</v>
      </c>
      <c r="S489" s="0" t="n">
        <v>14403</v>
      </c>
      <c r="T489" s="0" t="n">
        <v>76</v>
      </c>
      <c r="U489" s="0" t="n">
        <v>1474</v>
      </c>
      <c r="V489" s="0" t="n">
        <v>3</v>
      </c>
      <c r="W489" s="27" t="n">
        <f aca="false">MATCH(A489,DATAS,0)</f>
        <v>1</v>
      </c>
      <c r="X489" s="27" t="n">
        <f aca="false">IF(AND(E489&gt;0,OR(AND(B489&gt;=1,B489&lt;=6),B489=10)),1,0)</f>
        <v>1</v>
      </c>
      <c r="Y489" s="27" t="n">
        <f aca="false">IF(AND(E489&gt;0,B489=10),1,0)</f>
        <v>0</v>
      </c>
      <c r="Z489" s="0" t="str">
        <f aca="false">IF(AND(C488=C489,W488=W489-1),X488,"")</f>
        <v/>
      </c>
      <c r="AA489" s="0" t="str">
        <f aca="false">IF(AND(C488=C489,W488=W489-1),Y488,"")</f>
        <v/>
      </c>
      <c r="AB489" s="0" t="str">
        <f aca="false">IF(W489=1,"",IF(AND(X489=1,Z489&lt;&gt;1),1,0))</f>
        <v/>
      </c>
      <c r="AC489" s="0" t="str">
        <f aca="false">IF(W489=1,"",IF(AND(Y489=1,AA489&lt;&gt;1),1,0))</f>
        <v/>
      </c>
      <c r="AD489" s="33" t="str">
        <f aca="false">IF(AND(E489&gt;0,W489&lt;1,NOT(AND(C490=C489,W490=W489+1))),INDEX(DATAS,W489+1),"")</f>
        <v/>
      </c>
      <c r="AE489" s="33" t="str">
        <f aca="false">IF(AND(Y489=1,W489&lt;1),IF(AND(C490=C489,W490=W489+1),IF(Y490=1,"",INDEX(DATAS,W489+1)),INDEX(DATAS,W489+1)),"")</f>
        <v/>
      </c>
    </row>
    <row r="490" customFormat="false" ht="15" hidden="false" customHeight="false" outlineLevel="0" collapsed="false">
      <c r="A490" s="33" t="n">
        <v>46309</v>
      </c>
      <c r="B490" s="0" t="n">
        <v>5</v>
      </c>
      <c r="C490" s="0" t="n">
        <v>4260</v>
      </c>
      <c r="D490" s="0" t="n">
        <v>382</v>
      </c>
      <c r="E490" s="0" t="n">
        <v>2</v>
      </c>
      <c r="F490" s="27" t="s">
        <v>501</v>
      </c>
      <c r="G490" s="0" t="n">
        <v>25.8</v>
      </c>
      <c r="H490" s="0" t="n">
        <v>27</v>
      </c>
      <c r="I490" s="27" t="s">
        <v>138</v>
      </c>
      <c r="J490" s="0" t="n">
        <v>256</v>
      </c>
      <c r="K490" s="0" t="n">
        <v>67</v>
      </c>
      <c r="L490" s="0" t="n">
        <v>126</v>
      </c>
      <c r="M490" s="0" t="n">
        <v>1285.56</v>
      </c>
      <c r="N490" s="0" t="n">
        <v>38.37</v>
      </c>
      <c r="O490" s="0" t="n">
        <v>30.11</v>
      </c>
      <c r="P490" s="0" t="n">
        <v>4.82</v>
      </c>
      <c r="Q490" s="0" t="n">
        <v>3.96</v>
      </c>
      <c r="R490" s="0" t="n">
        <v>5896</v>
      </c>
      <c r="S490" s="0" t="n">
        <v>10981</v>
      </c>
      <c r="T490" s="0" t="n">
        <v>65.1</v>
      </c>
      <c r="U490" s="0" t="n">
        <v>1474</v>
      </c>
      <c r="V490" s="0" t="n">
        <v>4</v>
      </c>
      <c r="W490" s="27" t="n">
        <f aca="false">MATCH(A490,DATAS,0)</f>
        <v>1</v>
      </c>
      <c r="X490" s="27" t="n">
        <f aca="false">IF(AND(E490&gt;0,OR(AND(B490&gt;=1,B490&lt;=6),B490=10)),1,0)</f>
        <v>1</v>
      </c>
      <c r="Y490" s="27" t="n">
        <f aca="false">IF(AND(E490&gt;0,B490=10),1,0)</f>
        <v>0</v>
      </c>
      <c r="Z490" s="0" t="str">
        <f aca="false">IF(AND(C489=C490,W489=W490-1),X489,"")</f>
        <v/>
      </c>
      <c r="AA490" s="0" t="str">
        <f aca="false">IF(AND(C489=C490,W489=W490-1),Y489,"")</f>
        <v/>
      </c>
      <c r="AB490" s="0" t="str">
        <f aca="false">IF(W490=1,"",IF(AND(X490=1,Z490&lt;&gt;1),1,0))</f>
        <v/>
      </c>
      <c r="AC490" s="0" t="str">
        <f aca="false">IF(W490=1,"",IF(AND(Y490=1,AA490&lt;&gt;1),1,0))</f>
        <v/>
      </c>
      <c r="AD490" s="33" t="str">
        <f aca="false">IF(AND(E490&gt;0,W490&lt;1,NOT(AND(C491=C490,W491=W490+1))),INDEX(DATAS,W490+1),"")</f>
        <v/>
      </c>
      <c r="AE490" s="33" t="str">
        <f aca="false">IF(AND(Y490=1,W490&lt;1),IF(AND(C491=C490,W491=W490+1),IF(Y491=1,"",INDEX(DATAS,W490+1)),INDEX(DATAS,W490+1)),"")</f>
        <v/>
      </c>
    </row>
    <row r="491" customFormat="false" ht="15" hidden="false" customHeight="false" outlineLevel="0" collapsed="false">
      <c r="A491" s="33" t="n">
        <v>46309</v>
      </c>
      <c r="B491" s="0" t="n">
        <v>10</v>
      </c>
      <c r="C491" s="0" t="n">
        <v>4262</v>
      </c>
      <c r="D491" s="0" t="n">
        <v>9</v>
      </c>
      <c r="E491" s="0" t="n">
        <v>3</v>
      </c>
      <c r="F491" s="27" t="s">
        <v>502</v>
      </c>
      <c r="H491" s="0" t="n">
        <v>20</v>
      </c>
      <c r="I491" s="27" t="s">
        <v>147</v>
      </c>
      <c r="J491" s="0" t="n">
        <v>9</v>
      </c>
      <c r="M491" s="0" t="n">
        <v>302.32</v>
      </c>
      <c r="N491" s="0" t="n">
        <v>54.99</v>
      </c>
      <c r="O491" s="0" t="n">
        <v>25.82</v>
      </c>
      <c r="R491" s="0" t="n">
        <v>1443</v>
      </c>
      <c r="S491" s="0" t="n">
        <v>2902</v>
      </c>
      <c r="U491" s="0" t="n">
        <v>1472</v>
      </c>
      <c r="V491" s="0" t="n">
        <v>0</v>
      </c>
      <c r="W491" s="27" t="n">
        <f aca="false">MATCH(A491,DATAS,0)</f>
        <v>1</v>
      </c>
      <c r="X491" s="27" t="n">
        <f aca="false">IF(AND(E491&gt;0,OR(AND(B491&gt;=1,B491&lt;=6),B491=10)),1,0)</f>
        <v>1</v>
      </c>
      <c r="Y491" s="27" t="n">
        <f aca="false">IF(AND(E491&gt;0,B491=10),1,0)</f>
        <v>1</v>
      </c>
      <c r="Z491" s="0" t="str">
        <f aca="false">IF(AND(C490=C491,W490=W491-1),X490,"")</f>
        <v/>
      </c>
      <c r="AA491" s="0" t="str">
        <f aca="false">IF(AND(C490=C491,W490=W491-1),Y490,"")</f>
        <v/>
      </c>
      <c r="AB491" s="0" t="str">
        <f aca="false">IF(W491=1,"",IF(AND(X491=1,Z491&lt;&gt;1),1,0))</f>
        <v/>
      </c>
      <c r="AC491" s="0" t="str">
        <f aca="false">IF(W491=1,"",IF(AND(Y491=1,AA491&lt;&gt;1),1,0))</f>
        <v/>
      </c>
      <c r="AD491" s="33" t="str">
        <f aca="false">IF(AND(E491&gt;0,W491&lt;1,NOT(AND(C492=C491,W492=W491+1))),INDEX(DATAS,W491+1),"")</f>
        <v/>
      </c>
      <c r="AE491" s="33" t="str">
        <f aca="false">IF(AND(Y491=1,W491&lt;1),IF(AND(C492=C491,W492=W491+1),IF(Y492=1,"",INDEX(DATAS,W491+1)),INDEX(DATAS,W491+1)),"")</f>
        <v/>
      </c>
    </row>
    <row r="492" customFormat="false" ht="15" hidden="false" customHeight="false" outlineLevel="0" collapsed="false">
      <c r="A492" s="33" t="n">
        <v>46309</v>
      </c>
      <c r="B492" s="0" t="n">
        <v>7</v>
      </c>
      <c r="C492" s="0" t="n">
        <v>4263</v>
      </c>
      <c r="D492" s="0" t="n">
        <v>358</v>
      </c>
      <c r="E492" s="0" t="n">
        <v>2</v>
      </c>
      <c r="F492" s="27" t="s">
        <v>503</v>
      </c>
      <c r="I492" s="27" t="s">
        <v>143</v>
      </c>
      <c r="J492" s="0" t="n">
        <v>135</v>
      </c>
      <c r="K492" s="0" t="n">
        <v>66</v>
      </c>
      <c r="L492" s="0" t="n">
        <v>231</v>
      </c>
      <c r="M492" s="0" t="n">
        <v>548.48</v>
      </c>
      <c r="N492" s="0" t="n">
        <v>43.85</v>
      </c>
      <c r="O492" s="0" t="n">
        <v>29.94</v>
      </c>
      <c r="P492" s="0" t="n">
        <v>5.24</v>
      </c>
      <c r="Q492" s="0" t="n">
        <v>4.12</v>
      </c>
      <c r="R492" s="0" t="n">
        <v>5483</v>
      </c>
      <c r="S492" s="0" t="n">
        <v>10893</v>
      </c>
      <c r="T492" s="0" t="n">
        <v>58.9</v>
      </c>
      <c r="U492" s="0" t="n">
        <v>1471</v>
      </c>
      <c r="V492" s="0" t="n">
        <v>3</v>
      </c>
      <c r="W492" s="27" t="n">
        <f aca="false">MATCH(A492,DATAS,0)</f>
        <v>1</v>
      </c>
      <c r="X492" s="27" t="n">
        <f aca="false">IF(AND(E492&gt;0,OR(AND(B492&gt;=1,B492&lt;=6),B492=10)),1,0)</f>
        <v>0</v>
      </c>
      <c r="Y492" s="27" t="n">
        <f aca="false">IF(AND(E492&gt;0,B492=10),1,0)</f>
        <v>0</v>
      </c>
      <c r="Z492" s="0" t="str">
        <f aca="false">IF(AND(C491=C492,W491=W492-1),X491,"")</f>
        <v/>
      </c>
      <c r="AA492" s="0" t="str">
        <f aca="false">IF(AND(C491=C492,W491=W492-1),Y491,"")</f>
        <v/>
      </c>
      <c r="AB492" s="0" t="str">
        <f aca="false">IF(W492=1,"",IF(AND(X492=1,Z492&lt;&gt;1),1,0))</f>
        <v/>
      </c>
      <c r="AC492" s="0" t="str">
        <f aca="false">IF(W492=1,"",IF(AND(Y492=1,AA492&lt;&gt;1),1,0))</f>
        <v/>
      </c>
      <c r="AD492" s="33" t="str">
        <f aca="false">IF(AND(E492&gt;0,W492&lt;1,NOT(AND(C493=C492,W493=W492+1))),INDEX(DATAS,W492+1),"")</f>
        <v/>
      </c>
      <c r="AE492" s="33" t="str">
        <f aca="false">IF(AND(Y492=1,W492&lt;1),IF(AND(C493=C492,W493=W492+1),IF(Y493=1,"",INDEX(DATAS,W492+1)),INDEX(DATAS,W492+1)),"")</f>
        <v/>
      </c>
    </row>
    <row r="493" customFormat="false" ht="15" hidden="false" customHeight="false" outlineLevel="0" collapsed="false">
      <c r="A493" s="33" t="n">
        <v>46309</v>
      </c>
      <c r="B493" s="0" t="n">
        <v>3</v>
      </c>
      <c r="C493" s="0" t="n">
        <v>4265</v>
      </c>
      <c r="D493" s="0" t="n">
        <v>240</v>
      </c>
      <c r="E493" s="0" t="n">
        <v>2</v>
      </c>
      <c r="F493" s="27" t="s">
        <v>504</v>
      </c>
      <c r="G493" s="0" t="n">
        <v>46.1</v>
      </c>
      <c r="H493" s="0" t="n">
        <v>40</v>
      </c>
      <c r="I493" s="27" t="s">
        <v>138</v>
      </c>
      <c r="J493" s="0" t="n">
        <v>65</v>
      </c>
      <c r="K493" s="0" t="n">
        <v>72</v>
      </c>
      <c r="L493" s="0" t="n">
        <v>175</v>
      </c>
      <c r="M493" s="0" t="n">
        <v>220.11</v>
      </c>
      <c r="N493" s="0" t="n">
        <v>53.55</v>
      </c>
      <c r="O493" s="0" t="n">
        <v>18.93</v>
      </c>
      <c r="P493" s="0" t="n">
        <v>4.59</v>
      </c>
      <c r="Q493" s="0" t="n">
        <v>3.7</v>
      </c>
      <c r="R493" s="0" t="n">
        <v>5551</v>
      </c>
      <c r="S493" s="0" t="n">
        <v>11340</v>
      </c>
      <c r="T493" s="0" t="n">
        <v>63.55</v>
      </c>
      <c r="U493" s="0" t="n">
        <v>1467</v>
      </c>
      <c r="V493" s="0" t="n">
        <v>1</v>
      </c>
      <c r="W493" s="27" t="n">
        <f aca="false">MATCH(A493,DATAS,0)</f>
        <v>1</v>
      </c>
      <c r="X493" s="27" t="n">
        <f aca="false">IF(AND(E493&gt;0,OR(AND(B493&gt;=1,B493&lt;=6),B493=10)),1,0)</f>
        <v>1</v>
      </c>
      <c r="Y493" s="27" t="n">
        <f aca="false">IF(AND(E493&gt;0,B493=10),1,0)</f>
        <v>0</v>
      </c>
      <c r="Z493" s="0" t="str">
        <f aca="false">IF(AND(C492=C493,W492=W493-1),X492,"")</f>
        <v/>
      </c>
      <c r="AA493" s="0" t="str">
        <f aca="false">IF(AND(C492=C493,W492=W493-1),Y492,"")</f>
        <v/>
      </c>
      <c r="AB493" s="0" t="str">
        <f aca="false">IF(W493=1,"",IF(AND(X493=1,Z493&lt;&gt;1),1,0))</f>
        <v/>
      </c>
      <c r="AC493" s="0" t="str">
        <f aca="false">IF(W493=1,"",IF(AND(Y493=1,AA493&lt;&gt;1),1,0))</f>
        <v/>
      </c>
      <c r="AD493" s="33" t="str">
        <f aca="false">IF(AND(E493&gt;0,W493&lt;1,NOT(AND(C494=C493,W494=W493+1))),INDEX(DATAS,W493+1),"")</f>
        <v/>
      </c>
      <c r="AE493" s="33" t="str">
        <f aca="false">IF(AND(Y493=1,W493&lt;1),IF(AND(C494=C493,W494=W493+1),IF(Y494=1,"",INDEX(DATAS,W493+1)),INDEX(DATAS,W493+1)),"")</f>
        <v/>
      </c>
    </row>
    <row r="494" customFormat="false" ht="15" hidden="false" customHeight="false" outlineLevel="0" collapsed="false">
      <c r="A494" s="33" t="n">
        <v>46309</v>
      </c>
      <c r="B494" s="0" t="n">
        <v>7</v>
      </c>
      <c r="C494" s="0" t="n">
        <v>4267</v>
      </c>
      <c r="D494" s="0" t="n">
        <v>327</v>
      </c>
      <c r="E494" s="0" t="n">
        <v>2</v>
      </c>
      <c r="F494" s="27" t="s">
        <v>504</v>
      </c>
      <c r="I494" s="27" t="s">
        <v>143</v>
      </c>
      <c r="J494" s="0" t="n">
        <v>104</v>
      </c>
      <c r="K494" s="0" t="n">
        <v>69</v>
      </c>
      <c r="L494" s="0" t="n">
        <v>231</v>
      </c>
      <c r="M494" s="0" t="n">
        <v>1066.02</v>
      </c>
      <c r="N494" s="0" t="n">
        <v>41.22</v>
      </c>
      <c r="O494" s="0" t="n">
        <v>28.54</v>
      </c>
      <c r="P494" s="0" t="n">
        <v>4.19</v>
      </c>
      <c r="Q494" s="0" t="n">
        <v>3.77</v>
      </c>
      <c r="R494" s="0" t="n">
        <v>6623</v>
      </c>
      <c r="S494" s="0" t="n">
        <v>12333</v>
      </c>
      <c r="T494" s="0" t="n">
        <v>69.1</v>
      </c>
      <c r="U494" s="0" t="n">
        <v>1467</v>
      </c>
      <c r="V494" s="0" t="n">
        <v>2</v>
      </c>
      <c r="W494" s="27" t="n">
        <f aca="false">MATCH(A494,DATAS,0)</f>
        <v>1</v>
      </c>
      <c r="X494" s="27" t="n">
        <f aca="false">IF(AND(E494&gt;0,OR(AND(B494&gt;=1,B494&lt;=6),B494=10)),1,0)</f>
        <v>0</v>
      </c>
      <c r="Y494" s="27" t="n">
        <f aca="false">IF(AND(E494&gt;0,B494=10),1,0)</f>
        <v>0</v>
      </c>
      <c r="Z494" s="0" t="str">
        <f aca="false">IF(AND(C493=C494,W493=W494-1),X493,"")</f>
        <v/>
      </c>
      <c r="AA494" s="0" t="str">
        <f aca="false">IF(AND(C493=C494,W493=W494-1),Y493,"")</f>
        <v/>
      </c>
      <c r="AB494" s="0" t="str">
        <f aca="false">IF(W494=1,"",IF(AND(X494=1,Z494&lt;&gt;1),1,0))</f>
        <v/>
      </c>
      <c r="AC494" s="0" t="str">
        <f aca="false">IF(W494=1,"",IF(AND(Y494=1,AA494&lt;&gt;1),1,0))</f>
        <v/>
      </c>
      <c r="AD494" s="33" t="str">
        <f aca="false">IF(AND(E494&gt;0,W494&lt;1,NOT(AND(C495=C494,W495=W494+1))),INDEX(DATAS,W494+1),"")</f>
        <v/>
      </c>
      <c r="AE494" s="33" t="str">
        <f aca="false">IF(AND(Y494=1,W494&lt;1),IF(AND(C495=C494,W495=W494+1),IF(Y495=1,"",INDEX(DATAS,W494+1)),INDEX(DATAS,W494+1)),"")</f>
        <v/>
      </c>
    </row>
    <row r="495" customFormat="false" ht="15" hidden="false" customHeight="false" outlineLevel="0" collapsed="false">
      <c r="A495" s="33" t="n">
        <v>46309</v>
      </c>
      <c r="B495" s="0" t="n">
        <v>7</v>
      </c>
      <c r="C495" s="0" t="n">
        <v>4269</v>
      </c>
      <c r="D495" s="0" t="n">
        <v>335</v>
      </c>
      <c r="E495" s="0" t="n">
        <v>2</v>
      </c>
      <c r="F495" s="27" t="s">
        <v>505</v>
      </c>
      <c r="I495" s="27" t="s">
        <v>143</v>
      </c>
      <c r="J495" s="0" t="n">
        <v>176</v>
      </c>
      <c r="K495" s="0" t="n">
        <v>64</v>
      </c>
      <c r="L495" s="0" t="n">
        <v>217</v>
      </c>
      <c r="M495" s="0" t="n">
        <v>383.25</v>
      </c>
      <c r="N495" s="0" t="n">
        <v>53.03</v>
      </c>
      <c r="O495" s="0" t="n">
        <v>27.49</v>
      </c>
      <c r="P495" s="0" t="n">
        <v>5.18</v>
      </c>
      <c r="Q495" s="0" t="n">
        <v>4.13</v>
      </c>
      <c r="R495" s="0" t="n">
        <v>6402</v>
      </c>
      <c r="S495" s="0" t="n">
        <v>12578</v>
      </c>
      <c r="T495" s="0" t="n">
        <v>77</v>
      </c>
      <c r="U495" s="0" t="n">
        <v>1466</v>
      </c>
      <c r="V495" s="0" t="n">
        <v>4</v>
      </c>
      <c r="W495" s="27" t="n">
        <f aca="false">MATCH(A495,DATAS,0)</f>
        <v>1</v>
      </c>
      <c r="X495" s="27" t="n">
        <f aca="false">IF(AND(E495&gt;0,OR(AND(B495&gt;=1,B495&lt;=6),B495=10)),1,0)</f>
        <v>0</v>
      </c>
      <c r="Y495" s="27" t="n">
        <f aca="false">IF(AND(E495&gt;0,B495=10),1,0)</f>
        <v>0</v>
      </c>
      <c r="Z495" s="0" t="str">
        <f aca="false">IF(AND(C494=C495,W494=W495-1),X494,"")</f>
        <v/>
      </c>
      <c r="AA495" s="0" t="str">
        <f aca="false">IF(AND(C494=C495,W494=W495-1),Y494,"")</f>
        <v/>
      </c>
      <c r="AB495" s="0" t="str">
        <f aca="false">IF(W495=1,"",IF(AND(X495=1,Z495&lt;&gt;1),1,0))</f>
        <v/>
      </c>
      <c r="AC495" s="0" t="str">
        <f aca="false">IF(W495=1,"",IF(AND(Y495=1,AA495&lt;&gt;1),1,0))</f>
        <v/>
      </c>
      <c r="AD495" s="33" t="str">
        <f aca="false">IF(AND(E495&gt;0,W495&lt;1,NOT(AND(C496=C495,W496=W495+1))),INDEX(DATAS,W495+1),"")</f>
        <v/>
      </c>
      <c r="AE495" s="33" t="str">
        <f aca="false">IF(AND(Y495=1,W495&lt;1),IF(AND(C496=C495,W496=W495+1),IF(Y496=1,"",INDEX(DATAS,W495+1)),INDEX(DATAS,W495+1)),"")</f>
        <v/>
      </c>
    </row>
    <row r="496" customFormat="false" ht="15" hidden="false" customHeight="false" outlineLevel="0" collapsed="false">
      <c r="A496" s="33" t="n">
        <v>46309</v>
      </c>
      <c r="B496" s="0" t="n">
        <v>3</v>
      </c>
      <c r="C496" s="0" t="n">
        <v>4271</v>
      </c>
      <c r="D496" s="0" t="n">
        <v>31</v>
      </c>
      <c r="E496" s="0" t="n">
        <v>3</v>
      </c>
      <c r="F496" s="27" t="s">
        <v>505</v>
      </c>
      <c r="G496" s="0" t="n">
        <v>58.3</v>
      </c>
      <c r="H496" s="0" t="n">
        <v>54</v>
      </c>
      <c r="I496" s="27" t="s">
        <v>147</v>
      </c>
      <c r="J496" s="0" t="n">
        <v>31</v>
      </c>
      <c r="M496" s="0" t="n">
        <v>535.01</v>
      </c>
      <c r="N496" s="0" t="n">
        <v>44.46</v>
      </c>
      <c r="O496" s="0" t="n">
        <v>22.17</v>
      </c>
      <c r="P496" s="0" t="n">
        <v>4.47</v>
      </c>
      <c r="Q496" s="0" t="n">
        <v>4.57</v>
      </c>
      <c r="R496" s="0" t="n">
        <v>4226</v>
      </c>
      <c r="S496" s="0" t="n">
        <v>8494</v>
      </c>
      <c r="U496" s="0" t="n">
        <v>1466</v>
      </c>
      <c r="V496" s="0" t="n">
        <v>0</v>
      </c>
      <c r="W496" s="27" t="n">
        <f aca="false">MATCH(A496,DATAS,0)</f>
        <v>1</v>
      </c>
      <c r="X496" s="27" t="n">
        <f aca="false">IF(AND(E496&gt;0,OR(AND(B496&gt;=1,B496&lt;=6),B496=10)),1,0)</f>
        <v>1</v>
      </c>
      <c r="Y496" s="27" t="n">
        <f aca="false">IF(AND(E496&gt;0,B496=10),1,0)</f>
        <v>0</v>
      </c>
      <c r="Z496" s="0" t="str">
        <f aca="false">IF(AND(C495=C496,W495=W496-1),X495,"")</f>
        <v/>
      </c>
      <c r="AA496" s="0" t="str">
        <f aca="false">IF(AND(C495=C496,W495=W496-1),Y495,"")</f>
        <v/>
      </c>
      <c r="AB496" s="0" t="str">
        <f aca="false">IF(W496=1,"",IF(AND(X496=1,Z496&lt;&gt;1),1,0))</f>
        <v/>
      </c>
      <c r="AC496" s="0" t="str">
        <f aca="false">IF(W496=1,"",IF(AND(Y496=1,AA496&lt;&gt;1),1,0))</f>
        <v/>
      </c>
      <c r="AD496" s="33" t="str">
        <f aca="false">IF(AND(E496&gt;0,W496&lt;1,NOT(AND(C497=C496,W497=W496+1))),INDEX(DATAS,W496+1),"")</f>
        <v/>
      </c>
      <c r="AE496" s="33" t="str">
        <f aca="false">IF(AND(Y496=1,W496&lt;1),IF(AND(C497=C496,W497=W496+1),IF(Y497=1,"",INDEX(DATAS,W496+1)),INDEX(DATAS,W496+1)),"")</f>
        <v/>
      </c>
    </row>
    <row r="497" customFormat="false" ht="15" hidden="false" customHeight="false" outlineLevel="0" collapsed="false">
      <c r="A497" s="33" t="n">
        <v>46309</v>
      </c>
      <c r="B497" s="0" t="n">
        <v>6</v>
      </c>
      <c r="C497" s="0" t="n">
        <v>4272</v>
      </c>
      <c r="D497" s="0" t="n">
        <v>37</v>
      </c>
      <c r="E497" s="0" t="n">
        <v>3</v>
      </c>
      <c r="F497" s="27" t="s">
        <v>505</v>
      </c>
      <c r="G497" s="0" t="n">
        <v>26.3</v>
      </c>
      <c r="H497" s="0" t="n">
        <v>23</v>
      </c>
      <c r="I497" s="27" t="s">
        <v>147</v>
      </c>
      <c r="J497" s="0" t="n">
        <v>37</v>
      </c>
      <c r="M497" s="0" t="n">
        <v>232.9</v>
      </c>
      <c r="N497" s="0" t="n">
        <v>58.66</v>
      </c>
      <c r="O497" s="0" t="n">
        <v>31.79</v>
      </c>
      <c r="R497" s="0" t="n">
        <v>1885</v>
      </c>
      <c r="S497" s="0" t="n">
        <v>3789</v>
      </c>
      <c r="U497" s="0" t="n">
        <v>1466</v>
      </c>
      <c r="V497" s="0" t="n">
        <v>0</v>
      </c>
      <c r="W497" s="27" t="n">
        <f aca="false">MATCH(A497,DATAS,0)</f>
        <v>1</v>
      </c>
      <c r="X497" s="27" t="n">
        <f aca="false">IF(AND(E497&gt;0,OR(AND(B497&gt;=1,B497&lt;=6),B497=10)),1,0)</f>
        <v>1</v>
      </c>
      <c r="Y497" s="27" t="n">
        <f aca="false">IF(AND(E497&gt;0,B497=10),1,0)</f>
        <v>0</v>
      </c>
      <c r="Z497" s="0" t="str">
        <f aca="false">IF(AND(C496=C497,W496=W497-1),X496,"")</f>
        <v/>
      </c>
      <c r="AA497" s="0" t="str">
        <f aca="false">IF(AND(C496=C497,W496=W497-1),Y496,"")</f>
        <v/>
      </c>
      <c r="AB497" s="0" t="str">
        <f aca="false">IF(W497=1,"",IF(AND(X497=1,Z497&lt;&gt;1),1,0))</f>
        <v/>
      </c>
      <c r="AC497" s="0" t="str">
        <f aca="false">IF(W497=1,"",IF(AND(Y497=1,AA497&lt;&gt;1),1,0))</f>
        <v/>
      </c>
      <c r="AD497" s="33" t="str">
        <f aca="false">IF(AND(E497&gt;0,W497&lt;1,NOT(AND(C498=C497,W498=W497+1))),INDEX(DATAS,W497+1),"")</f>
        <v/>
      </c>
      <c r="AE497" s="33" t="str">
        <f aca="false">IF(AND(Y497=1,W497&lt;1),IF(AND(C498=C497,W498=W497+1),IF(Y498=1,"",INDEX(DATAS,W497+1)),INDEX(DATAS,W497+1)),"")</f>
        <v/>
      </c>
    </row>
    <row r="498" customFormat="false" ht="15" hidden="false" customHeight="false" outlineLevel="0" collapsed="false">
      <c r="A498" s="33" t="n">
        <v>46309</v>
      </c>
      <c r="B498" s="0" t="n">
        <v>2</v>
      </c>
      <c r="C498" s="0" t="n">
        <v>4274</v>
      </c>
      <c r="D498" s="0" t="n">
        <v>106</v>
      </c>
      <c r="E498" s="0" t="n">
        <v>3</v>
      </c>
      <c r="F498" s="27" t="s">
        <v>506</v>
      </c>
      <c r="G498" s="0" t="n">
        <v>72.4</v>
      </c>
      <c r="H498" s="0" t="n">
        <v>68</v>
      </c>
      <c r="I498" s="27" t="s">
        <v>168</v>
      </c>
      <c r="J498" s="0" t="n">
        <v>106</v>
      </c>
      <c r="K498" s="0" t="n">
        <v>64</v>
      </c>
      <c r="M498" s="0" t="n">
        <v>487.72</v>
      </c>
      <c r="N498" s="0" t="n">
        <v>72.88</v>
      </c>
      <c r="O498" s="0" t="n">
        <v>34.86</v>
      </c>
      <c r="P498" s="0" t="n">
        <v>3.45</v>
      </c>
      <c r="Q498" s="0" t="n">
        <v>3.11</v>
      </c>
      <c r="R498" s="0" t="n">
        <v>6471</v>
      </c>
      <c r="S498" s="0" t="n">
        <v>13033</v>
      </c>
      <c r="T498" s="0" t="n">
        <v>75.15</v>
      </c>
      <c r="U498" s="0" t="n">
        <v>1465</v>
      </c>
      <c r="V498" s="0" t="n">
        <v>2</v>
      </c>
      <c r="W498" s="27" t="n">
        <f aca="false">MATCH(A498,DATAS,0)</f>
        <v>1</v>
      </c>
      <c r="X498" s="27" t="n">
        <f aca="false">IF(AND(E498&gt;0,OR(AND(B498&gt;=1,B498&lt;=6),B498=10)),1,0)</f>
        <v>1</v>
      </c>
      <c r="Y498" s="27" t="n">
        <f aca="false">IF(AND(E498&gt;0,B498=10),1,0)</f>
        <v>0</v>
      </c>
      <c r="Z498" s="0" t="str">
        <f aca="false">IF(AND(C497=C498,W497=W498-1),X497,"")</f>
        <v/>
      </c>
      <c r="AA498" s="0" t="str">
        <f aca="false">IF(AND(C497=C498,W497=W498-1),Y497,"")</f>
        <v/>
      </c>
      <c r="AB498" s="0" t="str">
        <f aca="false">IF(W498=1,"",IF(AND(X498=1,Z498&lt;&gt;1),1,0))</f>
        <v/>
      </c>
      <c r="AC498" s="0" t="str">
        <f aca="false">IF(W498=1,"",IF(AND(Y498=1,AA498&lt;&gt;1),1,0))</f>
        <v/>
      </c>
      <c r="AD498" s="33" t="str">
        <f aca="false">IF(AND(E498&gt;0,W498&lt;1,NOT(AND(C499=C498,W499=W498+1))),INDEX(DATAS,W498+1),"")</f>
        <v/>
      </c>
      <c r="AE498" s="33" t="str">
        <f aca="false">IF(AND(Y498=1,W498&lt;1),IF(AND(C499=C498,W499=W498+1),IF(Y499=1,"",INDEX(DATAS,W498+1)),INDEX(DATAS,W498+1)),"")</f>
        <v/>
      </c>
    </row>
    <row r="499" customFormat="false" ht="15" hidden="false" customHeight="false" outlineLevel="0" collapsed="false">
      <c r="A499" s="33" t="n">
        <v>46309</v>
      </c>
      <c r="B499" s="0" t="n">
        <v>3</v>
      </c>
      <c r="C499" s="0" t="n">
        <v>4275</v>
      </c>
      <c r="D499" s="0" t="n">
        <v>4</v>
      </c>
      <c r="E499" s="0" t="n">
        <v>3</v>
      </c>
      <c r="F499" s="27" t="s">
        <v>507</v>
      </c>
      <c r="G499" s="0" t="n">
        <v>33.1</v>
      </c>
      <c r="H499" s="0" t="n">
        <v>28</v>
      </c>
      <c r="I499" s="27" t="s">
        <v>147</v>
      </c>
      <c r="J499" s="0" t="n">
        <v>4</v>
      </c>
      <c r="M499" s="0" t="n">
        <v>856.73</v>
      </c>
      <c r="N499" s="0" t="n">
        <v>76.08</v>
      </c>
      <c r="O499" s="0" t="n">
        <v>46.52</v>
      </c>
      <c r="R499" s="0" t="n">
        <v>3078</v>
      </c>
      <c r="S499" s="0" t="n">
        <v>6188</v>
      </c>
      <c r="U499" s="0" t="n">
        <v>1464</v>
      </c>
      <c r="V499" s="0" t="n">
        <v>0</v>
      </c>
      <c r="W499" s="27" t="n">
        <f aca="false">MATCH(A499,DATAS,0)</f>
        <v>1</v>
      </c>
      <c r="X499" s="27" t="n">
        <f aca="false">IF(AND(E499&gt;0,OR(AND(B499&gt;=1,B499&lt;=6),B499=10)),1,0)</f>
        <v>1</v>
      </c>
      <c r="Y499" s="27" t="n">
        <f aca="false">IF(AND(E499&gt;0,B499=10),1,0)</f>
        <v>0</v>
      </c>
      <c r="Z499" s="0" t="str">
        <f aca="false">IF(AND(C498=C499,W498=W499-1),X498,"")</f>
        <v/>
      </c>
      <c r="AA499" s="0" t="str">
        <f aca="false">IF(AND(C498=C499,W498=W499-1),Y498,"")</f>
        <v/>
      </c>
      <c r="AB499" s="0" t="str">
        <f aca="false">IF(W499=1,"",IF(AND(X499=1,Z499&lt;&gt;1),1,0))</f>
        <v/>
      </c>
      <c r="AC499" s="0" t="str">
        <f aca="false">IF(W499=1,"",IF(AND(Y499=1,AA499&lt;&gt;1),1,0))</f>
        <v/>
      </c>
      <c r="AD499" s="33" t="str">
        <f aca="false">IF(AND(E499&gt;0,W499&lt;1,NOT(AND(C500=C499,W500=W499+1))),INDEX(DATAS,W499+1),"")</f>
        <v/>
      </c>
      <c r="AE499" s="33" t="str">
        <f aca="false">IF(AND(Y499=1,W499&lt;1),IF(AND(C500=C499,W500=W499+1),IF(Y500=1,"",INDEX(DATAS,W499+1)),INDEX(DATAS,W499+1)),"")</f>
        <v/>
      </c>
    </row>
    <row r="500" customFormat="false" ht="15" hidden="false" customHeight="false" outlineLevel="0" collapsed="false">
      <c r="A500" s="33" t="n">
        <v>46309</v>
      </c>
      <c r="B500" s="0" t="n">
        <v>5</v>
      </c>
      <c r="C500" s="0" t="n">
        <v>4278</v>
      </c>
      <c r="D500" s="0" t="n">
        <v>310</v>
      </c>
      <c r="E500" s="0" t="n">
        <v>2</v>
      </c>
      <c r="F500" s="27" t="s">
        <v>508</v>
      </c>
      <c r="G500" s="0" t="n">
        <v>26.3</v>
      </c>
      <c r="H500" s="0" t="n">
        <v>23</v>
      </c>
      <c r="I500" s="27" t="s">
        <v>138</v>
      </c>
      <c r="J500" s="0" t="n">
        <v>107</v>
      </c>
      <c r="K500" s="0" t="n">
        <v>65</v>
      </c>
      <c r="L500" s="0" t="n">
        <v>203</v>
      </c>
      <c r="M500" s="0" t="n">
        <v>866.59</v>
      </c>
      <c r="N500" s="0" t="n">
        <v>56.03</v>
      </c>
      <c r="O500" s="0" t="n">
        <v>37.48</v>
      </c>
      <c r="P500" s="0" t="n">
        <v>5.35</v>
      </c>
      <c r="Q500" s="0" t="n">
        <v>3.64</v>
      </c>
      <c r="R500" s="0" t="n">
        <v>6138</v>
      </c>
      <c r="S500" s="0" t="n">
        <v>12070</v>
      </c>
      <c r="T500" s="0" t="n">
        <v>61.25</v>
      </c>
      <c r="U500" s="0" t="n">
        <v>1461</v>
      </c>
      <c r="V500" s="0" t="n">
        <v>2</v>
      </c>
      <c r="W500" s="27" t="n">
        <f aca="false">MATCH(A500,DATAS,0)</f>
        <v>1</v>
      </c>
      <c r="X500" s="27" t="n">
        <f aca="false">IF(AND(E500&gt;0,OR(AND(B500&gt;=1,B500&lt;=6),B500=10)),1,0)</f>
        <v>1</v>
      </c>
      <c r="Y500" s="27" t="n">
        <f aca="false">IF(AND(E500&gt;0,B500=10),1,0)</f>
        <v>0</v>
      </c>
      <c r="Z500" s="0" t="str">
        <f aca="false">IF(AND(C499=C500,W499=W500-1),X499,"")</f>
        <v/>
      </c>
      <c r="AA500" s="0" t="str">
        <f aca="false">IF(AND(C499=C500,W499=W500-1),Y499,"")</f>
        <v/>
      </c>
      <c r="AB500" s="0" t="str">
        <f aca="false">IF(W500=1,"",IF(AND(X500=1,Z500&lt;&gt;1),1,0))</f>
        <v/>
      </c>
      <c r="AC500" s="0" t="str">
        <f aca="false">IF(W500=1,"",IF(AND(Y500=1,AA500&lt;&gt;1),1,0))</f>
        <v/>
      </c>
      <c r="AD500" s="33" t="str">
        <f aca="false">IF(AND(E500&gt;0,W500&lt;1,NOT(AND(C501=C500,W501=W500+1))),INDEX(DATAS,W500+1),"")</f>
        <v/>
      </c>
      <c r="AE500" s="33" t="str">
        <f aca="false">IF(AND(Y500=1,W500&lt;1),IF(AND(C501=C500,W501=W500+1),IF(Y501=1,"",INDEX(DATAS,W500+1)),INDEX(DATAS,W500+1)),"")</f>
        <v/>
      </c>
    </row>
    <row r="501" customFormat="false" ht="15" hidden="false" customHeight="false" outlineLevel="0" collapsed="false">
      <c r="A501" s="33" t="n">
        <v>46309</v>
      </c>
      <c r="B501" s="0" t="n">
        <v>5</v>
      </c>
      <c r="C501" s="0" t="n">
        <v>4279</v>
      </c>
      <c r="D501" s="0" t="n">
        <v>70</v>
      </c>
      <c r="E501" s="0" t="n">
        <v>3</v>
      </c>
      <c r="F501" s="27" t="s">
        <v>509</v>
      </c>
      <c r="G501" s="0" t="n">
        <v>38</v>
      </c>
      <c r="H501" s="0" t="n">
        <v>38</v>
      </c>
      <c r="I501" s="27" t="s">
        <v>176</v>
      </c>
      <c r="J501" s="0" t="n">
        <v>70</v>
      </c>
      <c r="M501" s="0" t="n">
        <v>450.42</v>
      </c>
      <c r="N501" s="0" t="n">
        <v>41.81</v>
      </c>
      <c r="O501" s="0" t="n">
        <v>26.54</v>
      </c>
      <c r="P501" s="0" t="n">
        <v>2.94</v>
      </c>
      <c r="Q501" s="0" t="n">
        <v>3.12</v>
      </c>
      <c r="R501" s="0" t="n">
        <v>3940</v>
      </c>
      <c r="S501" s="0" t="n">
        <v>7920</v>
      </c>
      <c r="U501" s="0" t="n">
        <v>1460</v>
      </c>
      <c r="V501" s="0" t="n">
        <v>0</v>
      </c>
      <c r="W501" s="27" t="n">
        <f aca="false">MATCH(A501,DATAS,0)</f>
        <v>1</v>
      </c>
      <c r="X501" s="27" t="n">
        <f aca="false">IF(AND(E501&gt;0,OR(AND(B501&gt;=1,B501&lt;=6),B501=10)),1,0)</f>
        <v>1</v>
      </c>
      <c r="Y501" s="27" t="n">
        <f aca="false">IF(AND(E501&gt;0,B501=10),1,0)</f>
        <v>0</v>
      </c>
      <c r="Z501" s="0" t="str">
        <f aca="false">IF(AND(C500=C501,W500=W501-1),X500,"")</f>
        <v/>
      </c>
      <c r="AA501" s="0" t="str">
        <f aca="false">IF(AND(C500=C501,W500=W501-1),Y500,"")</f>
        <v/>
      </c>
      <c r="AB501" s="0" t="str">
        <f aca="false">IF(W501=1,"",IF(AND(X501=1,Z501&lt;&gt;1),1,0))</f>
        <v/>
      </c>
      <c r="AC501" s="0" t="str">
        <f aca="false">IF(W501=1,"",IF(AND(Y501=1,AA501&lt;&gt;1),1,0))</f>
        <v/>
      </c>
      <c r="AD501" s="33" t="str">
        <f aca="false">IF(AND(E501&gt;0,W501&lt;1,NOT(AND(C502=C501,W502=W501+1))),INDEX(DATAS,W501+1),"")</f>
        <v/>
      </c>
      <c r="AE501" s="33" t="str">
        <f aca="false">IF(AND(Y501=1,W501&lt;1),IF(AND(C502=C501,W502=W501+1),IF(Y502=1,"",INDEX(DATAS,W501+1)),INDEX(DATAS,W501+1)),"")</f>
        <v/>
      </c>
    </row>
    <row r="502" customFormat="false" ht="15" hidden="false" customHeight="false" outlineLevel="0" collapsed="false">
      <c r="A502" s="33" t="n">
        <v>46309</v>
      </c>
      <c r="B502" s="0" t="n">
        <v>3</v>
      </c>
      <c r="C502" s="0" t="n">
        <v>4280</v>
      </c>
      <c r="D502" s="0" t="n">
        <v>92</v>
      </c>
      <c r="E502" s="0" t="n">
        <v>3</v>
      </c>
      <c r="F502" s="27" t="s">
        <v>509</v>
      </c>
      <c r="G502" s="0" t="n">
        <v>69.2</v>
      </c>
      <c r="H502" s="0" t="n">
        <v>64</v>
      </c>
      <c r="I502" s="27" t="s">
        <v>168</v>
      </c>
      <c r="J502" s="0" t="n">
        <v>92</v>
      </c>
      <c r="K502" s="0" t="n">
        <v>64</v>
      </c>
      <c r="M502" s="0" t="n">
        <v>826.48</v>
      </c>
      <c r="N502" s="0" t="n">
        <v>60.06</v>
      </c>
      <c r="O502" s="0" t="n">
        <v>32.01</v>
      </c>
      <c r="P502" s="0" t="n">
        <v>4.74</v>
      </c>
      <c r="Q502" s="0" t="n">
        <v>2.97</v>
      </c>
      <c r="R502" s="0" t="n">
        <v>6197</v>
      </c>
      <c r="S502" s="0" t="n">
        <v>12456</v>
      </c>
      <c r="T502" s="0" t="n">
        <v>65.45</v>
      </c>
      <c r="U502" s="0" t="n">
        <v>1460</v>
      </c>
      <c r="V502" s="0" t="n">
        <v>1</v>
      </c>
      <c r="W502" s="27" t="n">
        <f aca="false">MATCH(A502,DATAS,0)</f>
        <v>1</v>
      </c>
      <c r="X502" s="27" t="n">
        <f aca="false">IF(AND(E502&gt;0,OR(AND(B502&gt;=1,B502&lt;=6),B502=10)),1,0)</f>
        <v>1</v>
      </c>
      <c r="Y502" s="27" t="n">
        <f aca="false">IF(AND(E502&gt;0,B502=10),1,0)</f>
        <v>0</v>
      </c>
      <c r="Z502" s="0" t="str">
        <f aca="false">IF(AND(C501=C502,W501=W502-1),X501,"")</f>
        <v/>
      </c>
      <c r="AA502" s="0" t="str">
        <f aca="false">IF(AND(C501=C502,W501=W502-1),Y501,"")</f>
        <v/>
      </c>
      <c r="AB502" s="0" t="str">
        <f aca="false">IF(W502=1,"",IF(AND(X502=1,Z502&lt;&gt;1),1,0))</f>
        <v/>
      </c>
      <c r="AC502" s="0" t="str">
        <f aca="false">IF(W502=1,"",IF(AND(Y502=1,AA502&lt;&gt;1),1,0))</f>
        <v/>
      </c>
      <c r="AD502" s="33" t="str">
        <f aca="false">IF(AND(E502&gt;0,W502&lt;1,NOT(AND(C503=C502,W503=W502+1))),INDEX(DATAS,W502+1),"")</f>
        <v/>
      </c>
      <c r="AE502" s="33" t="str">
        <f aca="false">IF(AND(Y502=1,W502&lt;1),IF(AND(C503=C502,W503=W502+1),IF(Y503=1,"",INDEX(DATAS,W502+1)),INDEX(DATAS,W502+1)),"")</f>
        <v/>
      </c>
    </row>
    <row r="503" customFormat="false" ht="15" hidden="false" customHeight="false" outlineLevel="0" collapsed="false">
      <c r="A503" s="33" t="n">
        <v>46309</v>
      </c>
      <c r="B503" s="0" t="n">
        <v>2</v>
      </c>
      <c r="C503" s="0" t="n">
        <v>4281</v>
      </c>
      <c r="D503" s="0" t="n">
        <v>105</v>
      </c>
      <c r="E503" s="0" t="n">
        <v>3</v>
      </c>
      <c r="F503" s="27" t="s">
        <v>509</v>
      </c>
      <c r="G503" s="0" t="n">
        <v>54.5</v>
      </c>
      <c r="H503" s="0" t="n">
        <v>55</v>
      </c>
      <c r="I503" s="27" t="s">
        <v>138</v>
      </c>
      <c r="J503" s="0" t="n">
        <v>63</v>
      </c>
      <c r="K503" s="0" t="n">
        <v>63</v>
      </c>
      <c r="L503" s="0" t="n">
        <v>42</v>
      </c>
      <c r="M503" s="0" t="n">
        <v>741.2</v>
      </c>
      <c r="N503" s="0" t="n">
        <v>31.08</v>
      </c>
      <c r="O503" s="0" t="n">
        <v>29.79</v>
      </c>
      <c r="P503" s="0" t="n">
        <v>2.64</v>
      </c>
      <c r="Q503" s="0" t="n">
        <v>3.62</v>
      </c>
      <c r="R503" s="0" t="n">
        <v>5674</v>
      </c>
      <c r="S503" s="0" t="n">
        <v>11401</v>
      </c>
      <c r="T503" s="0" t="n">
        <v>63.65</v>
      </c>
      <c r="U503" s="0" t="n">
        <v>1460</v>
      </c>
      <c r="V503" s="0" t="n">
        <v>1</v>
      </c>
      <c r="W503" s="27" t="n">
        <f aca="false">MATCH(A503,DATAS,0)</f>
        <v>1</v>
      </c>
      <c r="X503" s="27" t="n">
        <f aca="false">IF(AND(E503&gt;0,OR(AND(B503&gt;=1,B503&lt;=6),B503=10)),1,0)</f>
        <v>1</v>
      </c>
      <c r="Y503" s="27" t="n">
        <f aca="false">IF(AND(E503&gt;0,B503=10),1,0)</f>
        <v>0</v>
      </c>
      <c r="Z503" s="0" t="str">
        <f aca="false">IF(AND(C502=C503,W502=W503-1),X502,"")</f>
        <v/>
      </c>
      <c r="AA503" s="0" t="str">
        <f aca="false">IF(AND(C502=C503,W502=W503-1),Y502,"")</f>
        <v/>
      </c>
      <c r="AB503" s="0" t="str">
        <f aca="false">IF(W503=1,"",IF(AND(X503=1,Z503&lt;&gt;1),1,0))</f>
        <v/>
      </c>
      <c r="AC503" s="0" t="str">
        <f aca="false">IF(W503=1,"",IF(AND(Y503=1,AA503&lt;&gt;1),1,0))</f>
        <v/>
      </c>
      <c r="AD503" s="33" t="str">
        <f aca="false">IF(AND(E503&gt;0,W503&lt;1,NOT(AND(C504=C503,W504=W503+1))),INDEX(DATAS,W503+1),"")</f>
        <v/>
      </c>
      <c r="AE503" s="33" t="str">
        <f aca="false">IF(AND(Y503=1,W503&lt;1),IF(AND(C504=C503,W504=W503+1),IF(Y504=1,"",INDEX(DATAS,W503+1)),INDEX(DATAS,W503+1)),"")</f>
        <v/>
      </c>
    </row>
    <row r="504" customFormat="false" ht="15" hidden="false" customHeight="false" outlineLevel="0" collapsed="false">
      <c r="A504" s="33" t="n">
        <v>46309</v>
      </c>
      <c r="B504" s="0" t="n">
        <v>3</v>
      </c>
      <c r="C504" s="0" t="n">
        <v>4282</v>
      </c>
      <c r="D504" s="0" t="n">
        <v>63</v>
      </c>
      <c r="E504" s="0" t="n">
        <v>3</v>
      </c>
      <c r="F504" s="27" t="s">
        <v>509</v>
      </c>
      <c r="G504" s="0" t="n">
        <v>76.7</v>
      </c>
      <c r="H504" s="0" t="n">
        <v>77</v>
      </c>
      <c r="I504" s="27" t="s">
        <v>168</v>
      </c>
      <c r="J504" s="0" t="n">
        <v>63</v>
      </c>
      <c r="K504" s="0" t="n">
        <v>41</v>
      </c>
      <c r="M504" s="0" t="n">
        <v>397.65</v>
      </c>
      <c r="N504" s="0" t="n">
        <v>75.55</v>
      </c>
      <c r="O504" s="0" t="n">
        <v>26.88</v>
      </c>
      <c r="P504" s="0" t="n">
        <v>3.01</v>
      </c>
      <c r="Q504" s="0" t="n">
        <v>2.85</v>
      </c>
      <c r="R504" s="0" t="n">
        <v>7023</v>
      </c>
      <c r="S504" s="0" t="n">
        <v>14117</v>
      </c>
      <c r="U504" s="0" t="n">
        <v>1460</v>
      </c>
      <c r="V504" s="0" t="n">
        <v>1</v>
      </c>
      <c r="W504" s="27" t="n">
        <f aca="false">MATCH(A504,DATAS,0)</f>
        <v>1</v>
      </c>
      <c r="X504" s="27" t="n">
        <f aca="false">IF(AND(E504&gt;0,OR(AND(B504&gt;=1,B504&lt;=6),B504=10)),1,0)</f>
        <v>1</v>
      </c>
      <c r="Y504" s="27" t="n">
        <f aca="false">IF(AND(E504&gt;0,B504=10),1,0)</f>
        <v>0</v>
      </c>
      <c r="Z504" s="0" t="str">
        <f aca="false">IF(AND(C503=C504,W503=W504-1),X503,"")</f>
        <v/>
      </c>
      <c r="AA504" s="0" t="str">
        <f aca="false">IF(AND(C503=C504,W503=W504-1),Y503,"")</f>
        <v/>
      </c>
      <c r="AB504" s="0" t="str">
        <f aca="false">IF(W504=1,"",IF(AND(X504=1,Z504&lt;&gt;1),1,0))</f>
        <v/>
      </c>
      <c r="AC504" s="0" t="str">
        <f aca="false">IF(W504=1,"",IF(AND(Y504=1,AA504&lt;&gt;1),1,0))</f>
        <v/>
      </c>
      <c r="AD504" s="33" t="str">
        <f aca="false">IF(AND(E504&gt;0,W504&lt;1,NOT(AND(C505=C504,W505=W504+1))),INDEX(DATAS,W504+1),"")</f>
        <v/>
      </c>
      <c r="AE504" s="33" t="str">
        <f aca="false">IF(AND(Y504=1,W504&lt;1),IF(AND(C505=C504,W505=W504+1),IF(Y505=1,"",INDEX(DATAS,W504+1)),INDEX(DATAS,W504+1)),"")</f>
        <v/>
      </c>
    </row>
    <row r="505" customFormat="false" ht="15" hidden="false" customHeight="false" outlineLevel="0" collapsed="false">
      <c r="A505" s="33" t="n">
        <v>46309</v>
      </c>
      <c r="B505" s="0" t="n">
        <v>6</v>
      </c>
      <c r="C505" s="0" t="n">
        <v>4285</v>
      </c>
      <c r="D505" s="0" t="n">
        <v>306</v>
      </c>
      <c r="E505" s="0" t="n">
        <v>2</v>
      </c>
      <c r="F505" s="27" t="s">
        <v>510</v>
      </c>
      <c r="G505" s="0" t="n">
        <v>20.3</v>
      </c>
      <c r="H505" s="0" t="n">
        <v>17</v>
      </c>
      <c r="I505" s="27" t="s">
        <v>138</v>
      </c>
      <c r="J505" s="0" t="n">
        <v>85</v>
      </c>
      <c r="K505" s="0" t="n">
        <v>61</v>
      </c>
      <c r="L505" s="0" t="n">
        <v>221</v>
      </c>
      <c r="M505" s="0" t="n">
        <v>787.32</v>
      </c>
      <c r="N505" s="0" t="n">
        <v>53.11</v>
      </c>
      <c r="O505" s="0" t="n">
        <v>27.85</v>
      </c>
      <c r="P505" s="0" t="n">
        <v>4.73</v>
      </c>
      <c r="Q505" s="0" t="n">
        <v>3.89</v>
      </c>
      <c r="R505" s="0" t="n">
        <v>5942</v>
      </c>
      <c r="S505" s="0" t="n">
        <v>11534</v>
      </c>
      <c r="T505" s="0" t="n">
        <v>68.25</v>
      </c>
      <c r="U505" s="0" t="n">
        <v>1458</v>
      </c>
      <c r="V505" s="0" t="n">
        <v>2</v>
      </c>
      <c r="W505" s="27" t="n">
        <f aca="false">MATCH(A505,DATAS,0)</f>
        <v>1</v>
      </c>
      <c r="X505" s="27" t="n">
        <f aca="false">IF(AND(E505&gt;0,OR(AND(B505&gt;=1,B505&lt;=6),B505=10)),1,0)</f>
        <v>1</v>
      </c>
      <c r="Y505" s="27" t="n">
        <f aca="false">IF(AND(E505&gt;0,B505=10),1,0)</f>
        <v>0</v>
      </c>
      <c r="Z505" s="0" t="str">
        <f aca="false">IF(AND(C504=C505,W504=W505-1),X504,"")</f>
        <v/>
      </c>
      <c r="AA505" s="0" t="str">
        <f aca="false">IF(AND(C504=C505,W504=W505-1),Y504,"")</f>
        <v/>
      </c>
      <c r="AB505" s="0" t="str">
        <f aca="false">IF(W505=1,"",IF(AND(X505=1,Z505&lt;&gt;1),1,0))</f>
        <v/>
      </c>
      <c r="AC505" s="0" t="str">
        <f aca="false">IF(W505=1,"",IF(AND(Y505=1,AA505&lt;&gt;1),1,0))</f>
        <v/>
      </c>
      <c r="AD505" s="33" t="str">
        <f aca="false">IF(AND(E505&gt;0,W505&lt;1,NOT(AND(C506=C505,W506=W505+1))),INDEX(DATAS,W505+1),"")</f>
        <v/>
      </c>
      <c r="AE505" s="33" t="str">
        <f aca="false">IF(AND(Y505=1,W505&lt;1),IF(AND(C506=C505,W506=W505+1),IF(Y506=1,"",INDEX(DATAS,W505+1)),INDEX(DATAS,W505+1)),"")</f>
        <v/>
      </c>
    </row>
    <row r="506" customFormat="false" ht="15" hidden="false" customHeight="false" outlineLevel="0" collapsed="false">
      <c r="A506" s="33" t="n">
        <v>46309</v>
      </c>
      <c r="B506" s="0" t="n">
        <v>3</v>
      </c>
      <c r="C506" s="0" t="n">
        <v>4286</v>
      </c>
      <c r="D506" s="0" t="n">
        <v>106</v>
      </c>
      <c r="E506" s="0" t="n">
        <v>3</v>
      </c>
      <c r="F506" s="27" t="s">
        <v>510</v>
      </c>
      <c r="G506" s="0" t="n">
        <v>54.5</v>
      </c>
      <c r="H506" s="0" t="n">
        <v>54</v>
      </c>
      <c r="I506" s="27" t="s">
        <v>176</v>
      </c>
      <c r="J506" s="0" t="n">
        <v>106</v>
      </c>
      <c r="K506" s="0" t="n">
        <v>64</v>
      </c>
      <c r="M506" s="0" t="n">
        <v>331.99</v>
      </c>
      <c r="N506" s="0" t="n">
        <v>-4.94</v>
      </c>
      <c r="O506" s="0" t="n">
        <v>8.59</v>
      </c>
      <c r="P506" s="0" t="n">
        <v>6.8</v>
      </c>
      <c r="Q506" s="0" t="n">
        <v>3.07</v>
      </c>
      <c r="R506" s="0" t="n">
        <v>5530</v>
      </c>
      <c r="S506" s="0" t="n">
        <v>11120</v>
      </c>
      <c r="T506" s="0" t="n">
        <v>59.25</v>
      </c>
      <c r="U506" s="0" t="n">
        <v>1458</v>
      </c>
      <c r="V506" s="0" t="n">
        <v>2</v>
      </c>
      <c r="W506" s="27" t="n">
        <f aca="false">MATCH(A506,DATAS,0)</f>
        <v>1</v>
      </c>
      <c r="X506" s="27" t="n">
        <f aca="false">IF(AND(E506&gt;0,OR(AND(B506&gt;=1,B506&lt;=6),B506=10)),1,0)</f>
        <v>1</v>
      </c>
      <c r="Y506" s="27" t="n">
        <f aca="false">IF(AND(E506&gt;0,B506=10),1,0)</f>
        <v>0</v>
      </c>
      <c r="Z506" s="0" t="str">
        <f aca="false">IF(AND(C505=C506,W505=W506-1),X505,"")</f>
        <v/>
      </c>
      <c r="AA506" s="0" t="str">
        <f aca="false">IF(AND(C505=C506,W505=W506-1),Y505,"")</f>
        <v/>
      </c>
      <c r="AB506" s="0" t="str">
        <f aca="false">IF(W506=1,"",IF(AND(X506=1,Z506&lt;&gt;1),1,0))</f>
        <v/>
      </c>
      <c r="AC506" s="0" t="str">
        <f aca="false">IF(W506=1,"",IF(AND(Y506=1,AA506&lt;&gt;1),1,0))</f>
        <v/>
      </c>
      <c r="AD506" s="33" t="str">
        <f aca="false">IF(AND(E506&gt;0,W506&lt;1,NOT(AND(C507=C506,W507=W506+1))),INDEX(DATAS,W506+1),"")</f>
        <v/>
      </c>
      <c r="AE506" s="33" t="str">
        <f aca="false">IF(AND(Y506=1,W506&lt;1),IF(AND(C507=C506,W507=W506+1),IF(Y507=1,"",INDEX(DATAS,W506+1)),INDEX(DATAS,W506+1)),"")</f>
        <v/>
      </c>
    </row>
    <row r="507" customFormat="false" ht="15" hidden="false" customHeight="false" outlineLevel="0" collapsed="false">
      <c r="A507" s="33" t="n">
        <v>46309</v>
      </c>
      <c r="B507" s="0" t="n">
        <v>7</v>
      </c>
      <c r="C507" s="0" t="n">
        <v>4287</v>
      </c>
      <c r="D507" s="0" t="n">
        <v>331</v>
      </c>
      <c r="E507" s="0" t="n">
        <v>2</v>
      </c>
      <c r="F507" s="27" t="s">
        <v>511</v>
      </c>
      <c r="I507" s="27" t="s">
        <v>143</v>
      </c>
      <c r="J507" s="0" t="n">
        <v>108</v>
      </c>
      <c r="K507" s="0" t="n">
        <v>67</v>
      </c>
      <c r="L507" s="0" t="n">
        <v>252</v>
      </c>
      <c r="M507" s="0" t="n">
        <v>698.12</v>
      </c>
      <c r="N507" s="0" t="n">
        <v>56.25</v>
      </c>
      <c r="O507" s="0" t="n">
        <v>31.39</v>
      </c>
      <c r="P507" s="0" t="n">
        <v>5.11</v>
      </c>
      <c r="Q507" s="0" t="n">
        <v>4.19</v>
      </c>
      <c r="R507" s="0" t="n">
        <v>5583</v>
      </c>
      <c r="S507" s="0" t="n">
        <v>10849</v>
      </c>
      <c r="T507" s="0" t="n">
        <v>62.25</v>
      </c>
      <c r="U507" s="0" t="n">
        <v>1457</v>
      </c>
      <c r="V507" s="0" t="n">
        <v>2</v>
      </c>
      <c r="W507" s="27" t="n">
        <f aca="false">MATCH(A507,DATAS,0)</f>
        <v>1</v>
      </c>
      <c r="X507" s="27" t="n">
        <f aca="false">IF(AND(E507&gt;0,OR(AND(B507&gt;=1,B507&lt;=6),B507=10)),1,0)</f>
        <v>0</v>
      </c>
      <c r="Y507" s="27" t="n">
        <f aca="false">IF(AND(E507&gt;0,B507=10),1,0)</f>
        <v>0</v>
      </c>
      <c r="Z507" s="0" t="str">
        <f aca="false">IF(AND(C506=C507,W506=W507-1),X506,"")</f>
        <v/>
      </c>
      <c r="AA507" s="0" t="str">
        <f aca="false">IF(AND(C506=C507,W506=W507-1),Y506,"")</f>
        <v/>
      </c>
      <c r="AB507" s="0" t="str">
        <f aca="false">IF(W507=1,"",IF(AND(X507=1,Z507&lt;&gt;1),1,0))</f>
        <v/>
      </c>
      <c r="AC507" s="0" t="str">
        <f aca="false">IF(W507=1,"",IF(AND(Y507=1,AA507&lt;&gt;1),1,0))</f>
        <v/>
      </c>
      <c r="AD507" s="33" t="str">
        <f aca="false">IF(AND(E507&gt;0,W507&lt;1,NOT(AND(C508=C507,W508=W507+1))),INDEX(DATAS,W507+1),"")</f>
        <v/>
      </c>
      <c r="AE507" s="33" t="str">
        <f aca="false">IF(AND(Y507=1,W507&lt;1),IF(AND(C508=C507,W508=W507+1),IF(Y508=1,"",INDEX(DATAS,W507+1)),INDEX(DATAS,W507+1)),"")</f>
        <v/>
      </c>
    </row>
    <row r="508" customFormat="false" ht="15" hidden="false" customHeight="false" outlineLevel="0" collapsed="false">
      <c r="A508" s="33" t="n">
        <v>46309</v>
      </c>
      <c r="B508" s="0" t="n">
        <v>5</v>
      </c>
      <c r="C508" s="0" t="n">
        <v>4290</v>
      </c>
      <c r="D508" s="0" t="n">
        <v>284</v>
      </c>
      <c r="E508" s="0" t="n">
        <v>2</v>
      </c>
      <c r="F508" s="27" t="s">
        <v>512</v>
      </c>
      <c r="G508" s="0" t="n">
        <v>47.7</v>
      </c>
      <c r="H508" s="0" t="n">
        <v>39</v>
      </c>
      <c r="I508" s="27" t="s">
        <v>138</v>
      </c>
      <c r="J508" s="0" t="n">
        <v>130</v>
      </c>
      <c r="K508" s="0" t="n">
        <v>74</v>
      </c>
      <c r="L508" s="0" t="n">
        <v>154</v>
      </c>
      <c r="M508" s="0" t="n">
        <v>482.34</v>
      </c>
      <c r="N508" s="0" t="n">
        <v>40.82</v>
      </c>
      <c r="O508" s="0" t="n">
        <v>25.94</v>
      </c>
      <c r="P508" s="0" t="n">
        <v>4.61</v>
      </c>
      <c r="Q508" s="0" t="n">
        <v>3.46</v>
      </c>
      <c r="R508" s="0" t="n">
        <v>3730</v>
      </c>
      <c r="S508" s="0" t="n">
        <v>8726</v>
      </c>
      <c r="T508" s="0" t="n">
        <v>40.5</v>
      </c>
      <c r="U508" s="0" t="n">
        <v>1456</v>
      </c>
      <c r="V508" s="0" t="n">
        <v>2</v>
      </c>
      <c r="W508" s="27" t="n">
        <f aca="false">MATCH(A508,DATAS,0)</f>
        <v>1</v>
      </c>
      <c r="X508" s="27" t="n">
        <f aca="false">IF(AND(E508&gt;0,OR(AND(B508&gt;=1,B508&lt;=6),B508=10)),1,0)</f>
        <v>1</v>
      </c>
      <c r="Y508" s="27" t="n">
        <f aca="false">IF(AND(E508&gt;0,B508=10),1,0)</f>
        <v>0</v>
      </c>
      <c r="Z508" s="0" t="str">
        <f aca="false">IF(AND(C507=C508,W507=W508-1),X507,"")</f>
        <v/>
      </c>
      <c r="AA508" s="0" t="str">
        <f aca="false">IF(AND(C507=C508,W507=W508-1),Y507,"")</f>
        <v/>
      </c>
      <c r="AB508" s="0" t="str">
        <f aca="false">IF(W508=1,"",IF(AND(X508=1,Z508&lt;&gt;1),1,0))</f>
        <v/>
      </c>
      <c r="AC508" s="0" t="str">
        <f aca="false">IF(W508=1,"",IF(AND(Y508=1,AA508&lt;&gt;1),1,0))</f>
        <v/>
      </c>
      <c r="AD508" s="33" t="str">
        <f aca="false">IF(AND(E508&gt;0,W508&lt;1,NOT(AND(C509=C508,W509=W508+1))),INDEX(DATAS,W508+1),"")</f>
        <v/>
      </c>
      <c r="AE508" s="33" t="str">
        <f aca="false">IF(AND(Y508=1,W508&lt;1),IF(AND(C509=C508,W509=W508+1),IF(Y509=1,"",INDEX(DATAS,W508+1)),INDEX(DATAS,W508+1)),"")</f>
        <v/>
      </c>
    </row>
    <row r="509" customFormat="false" ht="15" hidden="false" customHeight="false" outlineLevel="0" collapsed="false">
      <c r="A509" s="33" t="n">
        <v>46309</v>
      </c>
      <c r="B509" s="0" t="n">
        <v>2</v>
      </c>
      <c r="C509" s="0" t="n">
        <v>4293</v>
      </c>
      <c r="D509" s="0" t="n">
        <v>181</v>
      </c>
      <c r="E509" s="0" t="n">
        <v>2</v>
      </c>
      <c r="F509" s="27" t="s">
        <v>513</v>
      </c>
      <c r="G509" s="0" t="n">
        <v>51.1</v>
      </c>
      <c r="H509" s="0" t="n">
        <v>52</v>
      </c>
      <c r="I509" s="27" t="s">
        <v>138</v>
      </c>
      <c r="J509" s="0" t="n">
        <v>69</v>
      </c>
      <c r="K509" s="0" t="n">
        <v>69</v>
      </c>
      <c r="L509" s="0" t="n">
        <v>112</v>
      </c>
      <c r="M509" s="0" t="n">
        <v>338.29</v>
      </c>
      <c r="N509" s="0" t="n">
        <v>72.95</v>
      </c>
      <c r="O509" s="0" t="n">
        <v>21.89</v>
      </c>
      <c r="P509" s="0" t="n">
        <v>3.66</v>
      </c>
      <c r="Q509" s="0" t="n">
        <v>3.38</v>
      </c>
      <c r="R509" s="0" t="n">
        <v>5343</v>
      </c>
      <c r="S509" s="0" t="n">
        <v>10994</v>
      </c>
      <c r="T509" s="0" t="n">
        <v>56.45</v>
      </c>
      <c r="U509" s="0" t="n">
        <v>1450</v>
      </c>
      <c r="V509" s="0" t="n">
        <v>1</v>
      </c>
      <c r="W509" s="27" t="n">
        <f aca="false">MATCH(A509,DATAS,0)</f>
        <v>1</v>
      </c>
      <c r="X509" s="27" t="n">
        <f aca="false">IF(AND(E509&gt;0,OR(AND(B509&gt;=1,B509&lt;=6),B509=10)),1,0)</f>
        <v>1</v>
      </c>
      <c r="Y509" s="27" t="n">
        <f aca="false">IF(AND(E509&gt;0,B509=10),1,0)</f>
        <v>0</v>
      </c>
      <c r="Z509" s="0" t="str">
        <f aca="false">IF(AND(C508=C509,W508=W509-1),X508,"")</f>
        <v/>
      </c>
      <c r="AA509" s="0" t="str">
        <f aca="false">IF(AND(C508=C509,W508=W509-1),Y508,"")</f>
        <v/>
      </c>
      <c r="AB509" s="0" t="str">
        <f aca="false">IF(W509=1,"",IF(AND(X509=1,Z509&lt;&gt;1),1,0))</f>
        <v/>
      </c>
      <c r="AC509" s="0" t="str">
        <f aca="false">IF(W509=1,"",IF(AND(Y509=1,AA509&lt;&gt;1),1,0))</f>
        <v/>
      </c>
      <c r="AD509" s="33" t="str">
        <f aca="false">IF(AND(E509&gt;0,W509&lt;1,NOT(AND(C510=C509,W510=W509+1))),INDEX(DATAS,W509+1),"")</f>
        <v/>
      </c>
      <c r="AE509" s="33" t="str">
        <f aca="false">IF(AND(Y509=1,W509&lt;1),IF(AND(C510=C509,W510=W509+1),IF(Y510=1,"",INDEX(DATAS,W509+1)),INDEX(DATAS,W509+1)),"")</f>
        <v/>
      </c>
    </row>
    <row r="510" customFormat="false" ht="15" hidden="false" customHeight="false" outlineLevel="0" collapsed="false">
      <c r="A510" s="33" t="n">
        <v>46309</v>
      </c>
      <c r="B510" s="0" t="n">
        <v>3</v>
      </c>
      <c r="C510" s="0" t="n">
        <v>4294</v>
      </c>
      <c r="D510" s="0" t="n">
        <v>256</v>
      </c>
      <c r="E510" s="0" t="n">
        <v>2</v>
      </c>
      <c r="F510" s="27" t="s">
        <v>514</v>
      </c>
      <c r="G510" s="0" t="n">
        <v>33</v>
      </c>
      <c r="H510" s="0" t="n">
        <v>42</v>
      </c>
      <c r="I510" s="27" t="s">
        <v>138</v>
      </c>
      <c r="J510" s="0" t="n">
        <v>68</v>
      </c>
      <c r="K510" s="0" t="n">
        <v>68</v>
      </c>
      <c r="L510" s="0" t="n">
        <v>188</v>
      </c>
      <c r="M510" s="0" t="n">
        <v>1035.96</v>
      </c>
      <c r="N510" s="0" t="n">
        <v>51.87</v>
      </c>
      <c r="O510" s="0" t="n">
        <v>40.76</v>
      </c>
      <c r="P510" s="0" t="n">
        <v>3.33</v>
      </c>
      <c r="Q510" s="0" t="n">
        <v>3.72</v>
      </c>
      <c r="R510" s="0" t="n">
        <v>6820</v>
      </c>
      <c r="S510" s="0" t="n">
        <v>13727</v>
      </c>
      <c r="T510" s="0" t="n">
        <v>60</v>
      </c>
      <c r="U510" s="0" t="n">
        <v>1449</v>
      </c>
      <c r="V510" s="0" t="n">
        <v>1</v>
      </c>
      <c r="W510" s="27" t="n">
        <f aca="false">MATCH(A510,DATAS,0)</f>
        <v>1</v>
      </c>
      <c r="X510" s="27" t="n">
        <f aca="false">IF(AND(E510&gt;0,OR(AND(B510&gt;=1,B510&lt;=6),B510=10)),1,0)</f>
        <v>1</v>
      </c>
      <c r="Y510" s="27" t="n">
        <f aca="false">IF(AND(E510&gt;0,B510=10),1,0)</f>
        <v>0</v>
      </c>
      <c r="Z510" s="0" t="str">
        <f aca="false">IF(AND(C509=C510,W509=W510-1),X509,"")</f>
        <v/>
      </c>
      <c r="AA510" s="0" t="str">
        <f aca="false">IF(AND(C509=C510,W509=W510-1),Y509,"")</f>
        <v/>
      </c>
      <c r="AB510" s="0" t="str">
        <f aca="false">IF(W510=1,"",IF(AND(X510=1,Z510&lt;&gt;1),1,0))</f>
        <v/>
      </c>
      <c r="AC510" s="0" t="str">
        <f aca="false">IF(W510=1,"",IF(AND(Y510=1,AA510&lt;&gt;1),1,0))</f>
        <v/>
      </c>
      <c r="AD510" s="33" t="str">
        <f aca="false">IF(AND(E510&gt;0,W510&lt;1,NOT(AND(C511=C510,W511=W510+1))),INDEX(DATAS,W510+1),"")</f>
        <v/>
      </c>
      <c r="AE510" s="33" t="str">
        <f aca="false">IF(AND(Y510=1,W510&lt;1),IF(AND(C511=C510,W511=W510+1),IF(Y511=1,"",INDEX(DATAS,W510+1)),INDEX(DATAS,W510+1)),"")</f>
        <v/>
      </c>
    </row>
    <row r="511" customFormat="false" ht="15" hidden="false" customHeight="false" outlineLevel="0" collapsed="false">
      <c r="A511" s="33" t="n">
        <v>46309</v>
      </c>
      <c r="B511" s="0" t="n">
        <v>2</v>
      </c>
      <c r="C511" s="0" t="n">
        <v>4295</v>
      </c>
      <c r="D511" s="0" t="n">
        <v>55</v>
      </c>
      <c r="E511" s="0" t="n">
        <v>3</v>
      </c>
      <c r="F511" s="27" t="s">
        <v>514</v>
      </c>
      <c r="G511" s="0" t="n">
        <v>68.6</v>
      </c>
      <c r="H511" s="0" t="n">
        <v>68</v>
      </c>
      <c r="I511" s="27" t="s">
        <v>147</v>
      </c>
      <c r="J511" s="0" t="n">
        <v>55</v>
      </c>
      <c r="M511" s="0" t="n">
        <v>511.93</v>
      </c>
      <c r="N511" s="0" t="n">
        <v>41.92</v>
      </c>
      <c r="O511" s="0" t="n">
        <v>24.47</v>
      </c>
      <c r="P511" s="0" t="n">
        <v>4.24</v>
      </c>
      <c r="Q511" s="0" t="n">
        <v>3.02</v>
      </c>
      <c r="R511" s="0" t="n">
        <v>5705</v>
      </c>
      <c r="S511" s="0" t="n">
        <v>11468</v>
      </c>
      <c r="U511" s="0" t="n">
        <v>1449</v>
      </c>
      <c r="V511" s="0" t="n">
        <v>0</v>
      </c>
      <c r="W511" s="27" t="n">
        <f aca="false">MATCH(A511,DATAS,0)</f>
        <v>1</v>
      </c>
      <c r="X511" s="27" t="n">
        <f aca="false">IF(AND(E511&gt;0,OR(AND(B511&gt;=1,B511&lt;=6),B511=10)),1,0)</f>
        <v>1</v>
      </c>
      <c r="Y511" s="27" t="n">
        <f aca="false">IF(AND(E511&gt;0,B511=10),1,0)</f>
        <v>0</v>
      </c>
      <c r="Z511" s="0" t="str">
        <f aca="false">IF(AND(C510=C511,W510=W511-1),X510,"")</f>
        <v/>
      </c>
      <c r="AA511" s="0" t="str">
        <f aca="false">IF(AND(C510=C511,W510=W511-1),Y510,"")</f>
        <v/>
      </c>
      <c r="AB511" s="0" t="str">
        <f aca="false">IF(W511=1,"",IF(AND(X511=1,Z511&lt;&gt;1),1,0))</f>
        <v/>
      </c>
      <c r="AC511" s="0" t="str">
        <f aca="false">IF(W511=1,"",IF(AND(Y511=1,AA511&lt;&gt;1),1,0))</f>
        <v/>
      </c>
      <c r="AD511" s="33" t="str">
        <f aca="false">IF(AND(E511&gt;0,W511&lt;1,NOT(AND(C512=C511,W512=W511+1))),INDEX(DATAS,W511+1),"")</f>
        <v/>
      </c>
      <c r="AE511" s="33" t="str">
        <f aca="false">IF(AND(Y511=1,W511&lt;1),IF(AND(C512=C511,W512=W511+1),IF(Y512=1,"",INDEX(DATAS,W511+1)),INDEX(DATAS,W511+1)),"")</f>
        <v/>
      </c>
    </row>
    <row r="512" customFormat="false" ht="15" hidden="false" customHeight="false" outlineLevel="0" collapsed="false">
      <c r="A512" s="33" t="n">
        <v>46309</v>
      </c>
      <c r="B512" s="0" t="n">
        <v>2</v>
      </c>
      <c r="C512" s="0" t="n">
        <v>4296</v>
      </c>
      <c r="D512" s="0" t="n">
        <v>244</v>
      </c>
      <c r="E512" s="0" t="n">
        <v>2</v>
      </c>
      <c r="F512" s="27" t="s">
        <v>514</v>
      </c>
      <c r="G512" s="0" t="n">
        <v>50.7</v>
      </c>
      <c r="H512" s="0" t="n">
        <v>50</v>
      </c>
      <c r="I512" s="27" t="s">
        <v>138</v>
      </c>
      <c r="J512" s="0" t="n">
        <v>188</v>
      </c>
      <c r="K512" s="0" t="n">
        <v>76</v>
      </c>
      <c r="L512" s="0" t="n">
        <v>56</v>
      </c>
      <c r="M512" s="0" t="n">
        <v>941.79</v>
      </c>
      <c r="N512" s="0" t="n">
        <v>45.24</v>
      </c>
      <c r="O512" s="0" t="n">
        <v>32.46</v>
      </c>
      <c r="P512" s="0" t="n">
        <v>5.17</v>
      </c>
      <c r="Q512" s="0" t="n">
        <v>3.6</v>
      </c>
      <c r="R512" s="0" t="n">
        <v>5926</v>
      </c>
      <c r="S512" s="0" t="n">
        <v>12083</v>
      </c>
      <c r="T512" s="0" t="n">
        <v>63.1</v>
      </c>
      <c r="U512" s="0" t="n">
        <v>1449</v>
      </c>
      <c r="V512" s="0" t="n">
        <v>4</v>
      </c>
      <c r="W512" s="27" t="n">
        <f aca="false">MATCH(A512,DATAS,0)</f>
        <v>1</v>
      </c>
      <c r="X512" s="27" t="n">
        <f aca="false">IF(AND(E512&gt;0,OR(AND(B512&gt;=1,B512&lt;=6),B512=10)),1,0)</f>
        <v>1</v>
      </c>
      <c r="Y512" s="27" t="n">
        <f aca="false">IF(AND(E512&gt;0,B512=10),1,0)</f>
        <v>0</v>
      </c>
      <c r="Z512" s="0" t="str">
        <f aca="false">IF(AND(C511=C512,W511=W512-1),X511,"")</f>
        <v/>
      </c>
      <c r="AA512" s="0" t="str">
        <f aca="false">IF(AND(C511=C512,W511=W512-1),Y511,"")</f>
        <v/>
      </c>
      <c r="AB512" s="0" t="str">
        <f aca="false">IF(W512=1,"",IF(AND(X512=1,Z512&lt;&gt;1),1,0))</f>
        <v/>
      </c>
      <c r="AC512" s="0" t="str">
        <f aca="false">IF(W512=1,"",IF(AND(Y512=1,AA512&lt;&gt;1),1,0))</f>
        <v/>
      </c>
      <c r="AD512" s="33" t="str">
        <f aca="false">IF(AND(E512&gt;0,W512&lt;1,NOT(AND(C513=C512,W513=W512+1))),INDEX(DATAS,W512+1),"")</f>
        <v/>
      </c>
      <c r="AE512" s="33" t="str">
        <f aca="false">IF(AND(Y512=1,W512&lt;1),IF(AND(C513=C512,W513=W512+1),IF(Y513=1,"",INDEX(DATAS,W512+1)),INDEX(DATAS,W512+1)),"")</f>
        <v/>
      </c>
    </row>
    <row r="513" customFormat="false" ht="15" hidden="false" customHeight="false" outlineLevel="0" collapsed="false">
      <c r="A513" s="33" t="n">
        <v>46309</v>
      </c>
      <c r="B513" s="0" t="n">
        <v>3</v>
      </c>
      <c r="C513" s="0" t="n">
        <v>4297</v>
      </c>
      <c r="D513" s="0" t="n">
        <v>38</v>
      </c>
      <c r="E513" s="0" t="n">
        <v>3</v>
      </c>
      <c r="F513" s="27" t="s">
        <v>514</v>
      </c>
      <c r="G513" s="0" t="n">
        <v>65.4</v>
      </c>
      <c r="H513" s="0" t="n">
        <v>58</v>
      </c>
      <c r="I513" s="27" t="s">
        <v>147</v>
      </c>
      <c r="J513" s="0" t="n">
        <v>38</v>
      </c>
      <c r="M513" s="0" t="n">
        <v>273.42</v>
      </c>
      <c r="N513" s="0" t="n">
        <v>46.84</v>
      </c>
      <c r="O513" s="0" t="n">
        <v>27.73</v>
      </c>
      <c r="P513" s="0" t="n">
        <v>5.34</v>
      </c>
      <c r="Q513" s="0" t="n">
        <v>4.06</v>
      </c>
      <c r="R513" s="0" t="n">
        <v>5036</v>
      </c>
      <c r="S513" s="0" t="n">
        <v>10123</v>
      </c>
      <c r="U513" s="0" t="n">
        <v>1449</v>
      </c>
      <c r="V513" s="0" t="n">
        <v>0</v>
      </c>
      <c r="W513" s="27" t="n">
        <f aca="false">MATCH(A513,DATAS,0)</f>
        <v>1</v>
      </c>
      <c r="X513" s="27" t="n">
        <f aca="false">IF(AND(E513&gt;0,OR(AND(B513&gt;=1,B513&lt;=6),B513=10)),1,0)</f>
        <v>1</v>
      </c>
      <c r="Y513" s="27" t="n">
        <f aca="false">IF(AND(E513&gt;0,B513=10),1,0)</f>
        <v>0</v>
      </c>
      <c r="Z513" s="0" t="str">
        <f aca="false">IF(AND(C512=C513,W512=W513-1),X512,"")</f>
        <v/>
      </c>
      <c r="AA513" s="0" t="str">
        <f aca="false">IF(AND(C512=C513,W512=W513-1),Y512,"")</f>
        <v/>
      </c>
      <c r="AB513" s="0" t="str">
        <f aca="false">IF(W513=1,"",IF(AND(X513=1,Z513&lt;&gt;1),1,0))</f>
        <v/>
      </c>
      <c r="AC513" s="0" t="str">
        <f aca="false">IF(W513=1,"",IF(AND(Y513=1,AA513&lt;&gt;1),1,0))</f>
        <v/>
      </c>
      <c r="AD513" s="33" t="str">
        <f aca="false">IF(AND(E513&gt;0,W513&lt;1,NOT(AND(C514=C513,W514=W513+1))),INDEX(DATAS,W513+1),"")</f>
        <v/>
      </c>
      <c r="AE513" s="33" t="str">
        <f aca="false">IF(AND(Y513=1,W513&lt;1),IF(AND(C514=C513,W514=W513+1),IF(Y514=1,"",INDEX(DATAS,W513+1)),INDEX(DATAS,W513+1)),"")</f>
        <v/>
      </c>
    </row>
    <row r="514" customFormat="false" ht="15" hidden="false" customHeight="false" outlineLevel="0" collapsed="false">
      <c r="A514" s="33" t="n">
        <v>46309</v>
      </c>
      <c r="B514" s="0" t="n">
        <v>5</v>
      </c>
      <c r="C514" s="0" t="n">
        <v>4298</v>
      </c>
      <c r="D514" s="0" t="n">
        <v>307</v>
      </c>
      <c r="E514" s="0" t="n">
        <v>2</v>
      </c>
      <c r="F514" s="27" t="s">
        <v>514</v>
      </c>
      <c r="G514" s="0" t="n">
        <v>37.5</v>
      </c>
      <c r="H514" s="0" t="n">
        <v>31</v>
      </c>
      <c r="I514" s="27" t="s">
        <v>138</v>
      </c>
      <c r="J514" s="0" t="n">
        <v>90</v>
      </c>
      <c r="K514" s="0" t="n">
        <v>97</v>
      </c>
      <c r="L514" s="0" t="n">
        <v>217</v>
      </c>
      <c r="M514" s="0" t="n">
        <v>468.83</v>
      </c>
      <c r="N514" s="0" t="n">
        <v>71.63</v>
      </c>
      <c r="O514" s="0" t="n">
        <v>26.56</v>
      </c>
      <c r="P514" s="0" t="n">
        <v>6.15</v>
      </c>
      <c r="Q514" s="0" t="n">
        <v>4.47</v>
      </c>
      <c r="R514" s="0" t="n">
        <v>5827</v>
      </c>
      <c r="S514" s="0" t="n">
        <v>11077</v>
      </c>
      <c r="T514" s="0" t="n">
        <v>65.2</v>
      </c>
      <c r="U514" s="0" t="n">
        <v>1449</v>
      </c>
      <c r="V514" s="0" t="n">
        <v>1</v>
      </c>
      <c r="W514" s="27" t="n">
        <f aca="false">MATCH(A514,DATAS,0)</f>
        <v>1</v>
      </c>
      <c r="X514" s="27" t="n">
        <f aca="false">IF(AND(E514&gt;0,OR(AND(B514&gt;=1,B514&lt;=6),B514=10)),1,0)</f>
        <v>1</v>
      </c>
      <c r="Y514" s="27" t="n">
        <f aca="false">IF(AND(E514&gt;0,B514=10),1,0)</f>
        <v>0</v>
      </c>
      <c r="Z514" s="0" t="str">
        <f aca="false">IF(AND(C513=C514,W513=W514-1),X513,"")</f>
        <v/>
      </c>
      <c r="AA514" s="0" t="str">
        <f aca="false">IF(AND(C513=C514,W513=W514-1),Y513,"")</f>
        <v/>
      </c>
      <c r="AB514" s="0" t="str">
        <f aca="false">IF(W514=1,"",IF(AND(X514=1,Z514&lt;&gt;1),1,0))</f>
        <v/>
      </c>
      <c r="AC514" s="0" t="str">
        <f aca="false">IF(W514=1,"",IF(AND(Y514=1,AA514&lt;&gt;1),1,0))</f>
        <v/>
      </c>
      <c r="AD514" s="33" t="str">
        <f aca="false">IF(AND(E514&gt;0,W514&lt;1,NOT(AND(C515=C514,W515=W514+1))),INDEX(DATAS,W514+1),"")</f>
        <v/>
      </c>
      <c r="AE514" s="33" t="str">
        <f aca="false">IF(AND(Y514=1,W514&lt;1),IF(AND(C515=C514,W515=W514+1),IF(Y515=1,"",INDEX(DATAS,W514+1)),INDEX(DATAS,W514+1)),"")</f>
        <v/>
      </c>
    </row>
    <row r="515" customFormat="false" ht="15" hidden="false" customHeight="false" outlineLevel="0" collapsed="false">
      <c r="A515" s="33" t="n">
        <v>46309</v>
      </c>
      <c r="B515" s="0" t="n">
        <v>2</v>
      </c>
      <c r="C515" s="0" t="n">
        <v>4299</v>
      </c>
      <c r="D515" s="0" t="n">
        <v>299</v>
      </c>
      <c r="E515" s="0" t="n">
        <v>2</v>
      </c>
      <c r="F515" s="27" t="s">
        <v>515</v>
      </c>
      <c r="G515" s="0" t="n">
        <v>44.9</v>
      </c>
      <c r="H515" s="0" t="n">
        <v>45</v>
      </c>
      <c r="I515" s="27" t="s">
        <v>168</v>
      </c>
      <c r="J515" s="0" t="n">
        <v>299</v>
      </c>
      <c r="K515" s="0" t="n">
        <v>68</v>
      </c>
      <c r="M515" s="0" t="n">
        <v>1268.38</v>
      </c>
      <c r="N515" s="0" t="n">
        <v>70.71</v>
      </c>
      <c r="O515" s="0" t="n">
        <v>44.83</v>
      </c>
      <c r="P515" s="0" t="n">
        <v>3.26</v>
      </c>
      <c r="Q515" s="0" t="n">
        <v>3.65</v>
      </c>
      <c r="R515" s="0" t="n">
        <v>6008</v>
      </c>
      <c r="S515" s="0" t="n">
        <v>12015</v>
      </c>
      <c r="T515" s="0" t="n">
        <v>68.65</v>
      </c>
      <c r="U515" s="0" t="n">
        <v>1448</v>
      </c>
      <c r="V515" s="0" t="n">
        <v>6</v>
      </c>
      <c r="W515" s="27" t="n">
        <f aca="false">MATCH(A515,DATAS,0)</f>
        <v>1</v>
      </c>
      <c r="X515" s="27" t="n">
        <f aca="false">IF(AND(E515&gt;0,OR(AND(B515&gt;=1,B515&lt;=6),B515=10)),1,0)</f>
        <v>1</v>
      </c>
      <c r="Y515" s="27" t="n">
        <f aca="false">IF(AND(E515&gt;0,B515=10),1,0)</f>
        <v>0</v>
      </c>
      <c r="Z515" s="0" t="str">
        <f aca="false">IF(AND(C514=C515,W514=W515-1),X514,"")</f>
        <v/>
      </c>
      <c r="AA515" s="0" t="str">
        <f aca="false">IF(AND(C514=C515,W514=W515-1),Y514,"")</f>
        <v/>
      </c>
      <c r="AB515" s="0" t="str">
        <f aca="false">IF(W515=1,"",IF(AND(X515=1,Z515&lt;&gt;1),1,0))</f>
        <v/>
      </c>
      <c r="AC515" s="0" t="str">
        <f aca="false">IF(W515=1,"",IF(AND(Y515=1,AA515&lt;&gt;1),1,0))</f>
        <v/>
      </c>
      <c r="AD515" s="33" t="str">
        <f aca="false">IF(AND(E515&gt;0,W515&lt;1,NOT(AND(C516=C515,W516=W515+1))),INDEX(DATAS,W515+1),"")</f>
        <v/>
      </c>
      <c r="AE515" s="33" t="str">
        <f aca="false">IF(AND(Y515=1,W515&lt;1),IF(AND(C516=C515,W516=W515+1),IF(Y516=1,"",INDEX(DATAS,W515+1)),INDEX(DATAS,W515+1)),"")</f>
        <v/>
      </c>
    </row>
    <row r="516" customFormat="false" ht="15" hidden="false" customHeight="false" outlineLevel="0" collapsed="false">
      <c r="A516" s="33" t="n">
        <v>46309</v>
      </c>
      <c r="B516" s="0" t="n">
        <v>6</v>
      </c>
      <c r="C516" s="0" t="n">
        <v>4302</v>
      </c>
      <c r="D516" s="0" t="n">
        <v>323</v>
      </c>
      <c r="E516" s="0" t="n">
        <v>2</v>
      </c>
      <c r="F516" s="27" t="s">
        <v>516</v>
      </c>
      <c r="H516" s="0" t="n">
        <v>23</v>
      </c>
      <c r="I516" s="27" t="s">
        <v>138</v>
      </c>
      <c r="J516" s="0" t="n">
        <v>268</v>
      </c>
      <c r="K516" s="0" t="n">
        <v>64</v>
      </c>
      <c r="L516" s="0" t="n">
        <v>55</v>
      </c>
      <c r="M516" s="0" t="n">
        <v>242.61</v>
      </c>
      <c r="N516" s="0" t="n">
        <v>66.09</v>
      </c>
      <c r="O516" s="0" t="n">
        <v>22.81</v>
      </c>
      <c r="P516" s="0" t="n">
        <v>6.88</v>
      </c>
      <c r="Q516" s="0" t="n">
        <v>4.86</v>
      </c>
      <c r="R516" s="0" t="n">
        <v>2584</v>
      </c>
      <c r="S516" s="0" t="n">
        <v>5498</v>
      </c>
      <c r="T516" s="0" t="n">
        <v>25.95</v>
      </c>
      <c r="U516" s="0" t="n">
        <v>1446</v>
      </c>
      <c r="V516" s="0" t="n">
        <v>3</v>
      </c>
      <c r="W516" s="27" t="n">
        <f aca="false">MATCH(A516,DATAS,0)</f>
        <v>1</v>
      </c>
      <c r="X516" s="27" t="n">
        <f aca="false">IF(AND(E516&gt;0,OR(AND(B516&gt;=1,B516&lt;=6),B516=10)),1,0)</f>
        <v>1</v>
      </c>
      <c r="Y516" s="27" t="n">
        <f aca="false">IF(AND(E516&gt;0,B516=10),1,0)</f>
        <v>0</v>
      </c>
      <c r="Z516" s="0" t="str">
        <f aca="false">IF(AND(C515=C516,W515=W516-1),X515,"")</f>
        <v/>
      </c>
      <c r="AA516" s="0" t="str">
        <f aca="false">IF(AND(C515=C516,W515=W516-1),Y515,"")</f>
        <v/>
      </c>
      <c r="AB516" s="0" t="str">
        <f aca="false">IF(W516=1,"",IF(AND(X516=1,Z516&lt;&gt;1),1,0))</f>
        <v/>
      </c>
      <c r="AC516" s="0" t="str">
        <f aca="false">IF(W516=1,"",IF(AND(Y516=1,AA516&lt;&gt;1),1,0))</f>
        <v/>
      </c>
      <c r="AD516" s="33" t="str">
        <f aca="false">IF(AND(E516&gt;0,W516&lt;1,NOT(AND(C517=C516,W517=W516+1))),INDEX(DATAS,W516+1),"")</f>
        <v/>
      </c>
      <c r="AE516" s="33" t="str">
        <f aca="false">IF(AND(Y516=1,W516&lt;1),IF(AND(C517=C516,W517=W516+1),IF(Y517=1,"",INDEX(DATAS,W516+1)),INDEX(DATAS,W516+1)),"")</f>
        <v/>
      </c>
    </row>
    <row r="517" customFormat="false" ht="15" hidden="false" customHeight="false" outlineLevel="0" collapsed="false">
      <c r="A517" s="33" t="n">
        <v>46309</v>
      </c>
      <c r="B517" s="0" t="n">
        <v>5</v>
      </c>
      <c r="C517" s="0" t="n">
        <v>4304</v>
      </c>
      <c r="D517" s="0" t="n">
        <v>316</v>
      </c>
      <c r="E517" s="0" t="n">
        <v>2</v>
      </c>
      <c r="F517" s="27" t="s">
        <v>516</v>
      </c>
      <c r="G517" s="0" t="n">
        <v>44.7</v>
      </c>
      <c r="H517" s="0" t="n">
        <v>41</v>
      </c>
      <c r="I517" s="27" t="s">
        <v>138</v>
      </c>
      <c r="J517" s="0" t="n">
        <v>141</v>
      </c>
      <c r="K517" s="0" t="n">
        <v>64</v>
      </c>
      <c r="L517" s="0" t="n">
        <v>175</v>
      </c>
      <c r="M517" s="0" t="n">
        <v>927.5</v>
      </c>
      <c r="N517" s="0" t="n">
        <v>73.52</v>
      </c>
      <c r="O517" s="0" t="n">
        <v>39.77</v>
      </c>
      <c r="P517" s="0" t="n">
        <v>4.63</v>
      </c>
      <c r="Q517" s="0" t="n">
        <v>3.69</v>
      </c>
      <c r="R517" s="0" t="n">
        <v>6188</v>
      </c>
      <c r="S517" s="0" t="n">
        <v>12341</v>
      </c>
      <c r="T517" s="0" t="n">
        <v>66.8</v>
      </c>
      <c r="U517" s="0" t="n">
        <v>1446</v>
      </c>
      <c r="V517" s="0" t="n">
        <v>3</v>
      </c>
      <c r="W517" s="27" t="n">
        <f aca="false">MATCH(A517,DATAS,0)</f>
        <v>1</v>
      </c>
      <c r="X517" s="27" t="n">
        <f aca="false">IF(AND(E517&gt;0,OR(AND(B517&gt;=1,B517&lt;=6),B517=10)),1,0)</f>
        <v>1</v>
      </c>
      <c r="Y517" s="27" t="n">
        <f aca="false">IF(AND(E517&gt;0,B517=10),1,0)</f>
        <v>0</v>
      </c>
      <c r="Z517" s="0" t="str">
        <f aca="false">IF(AND(C516=C517,W516=W517-1),X516,"")</f>
        <v/>
      </c>
      <c r="AA517" s="0" t="str">
        <f aca="false">IF(AND(C516=C517,W516=W517-1),Y516,"")</f>
        <v/>
      </c>
      <c r="AB517" s="0" t="str">
        <f aca="false">IF(W517=1,"",IF(AND(X517=1,Z517&lt;&gt;1),1,0))</f>
        <v/>
      </c>
      <c r="AC517" s="0" t="str">
        <f aca="false">IF(W517=1,"",IF(AND(Y517=1,AA517&lt;&gt;1),1,0))</f>
        <v/>
      </c>
      <c r="AD517" s="33" t="str">
        <f aca="false">IF(AND(E517&gt;0,W517&lt;1,NOT(AND(C518=C517,W518=W517+1))),INDEX(DATAS,W517+1),"")</f>
        <v/>
      </c>
      <c r="AE517" s="33" t="str">
        <f aca="false">IF(AND(Y517=1,W517&lt;1),IF(AND(C518=C517,W518=W517+1),IF(Y518=1,"",INDEX(DATAS,W517+1)),INDEX(DATAS,W517+1)),"")</f>
        <v/>
      </c>
    </row>
    <row r="518" customFormat="false" ht="15" hidden="false" customHeight="false" outlineLevel="0" collapsed="false">
      <c r="A518" s="33" t="n">
        <v>46309</v>
      </c>
      <c r="B518" s="0" t="n">
        <v>7</v>
      </c>
      <c r="C518" s="0" t="n">
        <v>4305</v>
      </c>
      <c r="D518" s="0" t="n">
        <v>322</v>
      </c>
      <c r="E518" s="0" t="n">
        <v>2</v>
      </c>
      <c r="F518" s="27" t="s">
        <v>517</v>
      </c>
      <c r="G518" s="0" t="n">
        <v>16.7</v>
      </c>
      <c r="H518" s="0" t="n">
        <v>44</v>
      </c>
      <c r="I518" s="27" t="s">
        <v>143</v>
      </c>
      <c r="J518" s="0" t="n">
        <v>99</v>
      </c>
      <c r="K518" s="0" t="n">
        <v>64</v>
      </c>
      <c r="L518" s="0" t="n">
        <v>224</v>
      </c>
      <c r="M518" s="0" t="n">
        <v>1135.34</v>
      </c>
      <c r="N518" s="0" t="n">
        <v>51.73</v>
      </c>
      <c r="O518" s="0" t="n">
        <v>30.97</v>
      </c>
      <c r="P518" s="0" t="n">
        <v>3.02</v>
      </c>
      <c r="Q518" s="0" t="n">
        <v>3.45</v>
      </c>
      <c r="R518" s="0" t="n">
        <v>7236</v>
      </c>
      <c r="S518" s="0" t="n">
        <v>14060</v>
      </c>
      <c r="T518" s="0" t="n">
        <v>78.9</v>
      </c>
      <c r="U518" s="0" t="n">
        <v>1445</v>
      </c>
      <c r="V518" s="0" t="n">
        <v>2</v>
      </c>
      <c r="W518" s="27" t="n">
        <f aca="false">MATCH(A518,DATAS,0)</f>
        <v>1</v>
      </c>
      <c r="X518" s="27" t="n">
        <f aca="false">IF(AND(E518&gt;0,OR(AND(B518&gt;=1,B518&lt;=6),B518=10)),1,0)</f>
        <v>0</v>
      </c>
      <c r="Y518" s="27" t="n">
        <f aca="false">IF(AND(E518&gt;0,B518=10),1,0)</f>
        <v>0</v>
      </c>
      <c r="Z518" s="0" t="str">
        <f aca="false">IF(AND(C517=C518,W517=W518-1),X517,"")</f>
        <v/>
      </c>
      <c r="AA518" s="0" t="str">
        <f aca="false">IF(AND(C517=C518,W517=W518-1),Y517,"")</f>
        <v/>
      </c>
      <c r="AB518" s="0" t="str">
        <f aca="false">IF(W518=1,"",IF(AND(X518=1,Z518&lt;&gt;1),1,0))</f>
        <v/>
      </c>
      <c r="AC518" s="0" t="str">
        <f aca="false">IF(W518=1,"",IF(AND(Y518=1,AA518&lt;&gt;1),1,0))</f>
        <v/>
      </c>
      <c r="AD518" s="33" t="str">
        <f aca="false">IF(AND(E518&gt;0,W518&lt;1,NOT(AND(C519=C518,W519=W518+1))),INDEX(DATAS,W518+1),"")</f>
        <v/>
      </c>
      <c r="AE518" s="33" t="str">
        <f aca="false">IF(AND(Y518=1,W518&lt;1),IF(AND(C519=C518,W519=W518+1),IF(Y519=1,"",INDEX(DATAS,W518+1)),INDEX(DATAS,W518+1)),"")</f>
        <v/>
      </c>
    </row>
    <row r="519" customFormat="false" ht="15" hidden="false" customHeight="false" outlineLevel="0" collapsed="false">
      <c r="A519" s="33" t="n">
        <v>46309</v>
      </c>
      <c r="B519" s="0" t="n">
        <v>5</v>
      </c>
      <c r="C519" s="0" t="n">
        <v>4306</v>
      </c>
      <c r="D519" s="0" t="n">
        <v>403</v>
      </c>
      <c r="E519" s="0" t="n">
        <v>2</v>
      </c>
      <c r="F519" s="27" t="s">
        <v>517</v>
      </c>
      <c r="G519" s="0" t="n">
        <v>37.7</v>
      </c>
      <c r="H519" s="0" t="n">
        <v>35</v>
      </c>
      <c r="I519" s="27" t="s">
        <v>138</v>
      </c>
      <c r="J519" s="0" t="n">
        <v>277</v>
      </c>
      <c r="K519" s="0" t="n">
        <v>67</v>
      </c>
      <c r="L519" s="0" t="n">
        <v>126</v>
      </c>
      <c r="M519" s="0" t="n">
        <v>768.7</v>
      </c>
      <c r="N519" s="0" t="n">
        <v>59.88</v>
      </c>
      <c r="O519" s="0" t="n">
        <v>29.63</v>
      </c>
      <c r="P519" s="0" t="n">
        <v>4.8</v>
      </c>
      <c r="Q519" s="0" t="n">
        <v>3.91</v>
      </c>
      <c r="R519" s="0" t="n">
        <v>5419</v>
      </c>
      <c r="S519" s="0" t="n">
        <v>11074</v>
      </c>
      <c r="T519" s="0" t="n">
        <v>59.7</v>
      </c>
      <c r="U519" s="0" t="n">
        <v>1445</v>
      </c>
      <c r="V519" s="0" t="n">
        <v>7</v>
      </c>
      <c r="W519" s="27" t="n">
        <f aca="false">MATCH(A519,DATAS,0)</f>
        <v>1</v>
      </c>
      <c r="X519" s="27" t="n">
        <f aca="false">IF(AND(E519&gt;0,OR(AND(B519&gt;=1,B519&lt;=6),B519=10)),1,0)</f>
        <v>1</v>
      </c>
      <c r="Y519" s="27" t="n">
        <f aca="false">IF(AND(E519&gt;0,B519=10),1,0)</f>
        <v>0</v>
      </c>
      <c r="Z519" s="0" t="str">
        <f aca="false">IF(AND(C518=C519,W518=W519-1),X518,"")</f>
        <v/>
      </c>
      <c r="AA519" s="0" t="str">
        <f aca="false">IF(AND(C518=C519,W518=W519-1),Y518,"")</f>
        <v/>
      </c>
      <c r="AB519" s="0" t="str">
        <f aca="false">IF(W519=1,"",IF(AND(X519=1,Z519&lt;&gt;1),1,0))</f>
        <v/>
      </c>
      <c r="AC519" s="0" t="str">
        <f aca="false">IF(W519=1,"",IF(AND(Y519=1,AA519&lt;&gt;1),1,0))</f>
        <v/>
      </c>
      <c r="AD519" s="33" t="str">
        <f aca="false">IF(AND(E519&gt;0,W519&lt;1,NOT(AND(C520=C519,W520=W519+1))),INDEX(DATAS,W519+1),"")</f>
        <v/>
      </c>
      <c r="AE519" s="33" t="str">
        <f aca="false">IF(AND(Y519=1,W519&lt;1),IF(AND(C520=C519,W520=W519+1),IF(Y520=1,"",INDEX(DATAS,W519+1)),INDEX(DATAS,W519+1)),"")</f>
        <v/>
      </c>
    </row>
    <row r="520" customFormat="false" ht="15" hidden="false" customHeight="false" outlineLevel="0" collapsed="false">
      <c r="A520" s="33" t="n">
        <v>46309</v>
      </c>
      <c r="B520" s="0" t="n">
        <v>5</v>
      </c>
      <c r="C520" s="0" t="n">
        <v>4307</v>
      </c>
      <c r="D520" s="0" t="n">
        <v>174</v>
      </c>
      <c r="E520" s="0" t="n">
        <v>2</v>
      </c>
      <c r="F520" s="27" t="s">
        <v>518</v>
      </c>
      <c r="G520" s="0" t="n">
        <v>32.9</v>
      </c>
      <c r="H520" s="0" t="n">
        <v>31</v>
      </c>
      <c r="I520" s="27" t="s">
        <v>138</v>
      </c>
      <c r="J520" s="0" t="n">
        <v>62</v>
      </c>
      <c r="K520" s="0" t="n">
        <v>62</v>
      </c>
      <c r="L520" s="0" t="n">
        <v>112</v>
      </c>
      <c r="M520" s="0" t="n">
        <v>919.71</v>
      </c>
      <c r="N520" s="0" t="n">
        <v>62.85</v>
      </c>
      <c r="O520" s="0" t="n">
        <v>43.49</v>
      </c>
      <c r="P520" s="0" t="n">
        <v>3.43</v>
      </c>
      <c r="Q520" s="0" t="n">
        <v>3.74</v>
      </c>
      <c r="R520" s="0" t="n">
        <v>5728</v>
      </c>
      <c r="S520" s="0" t="n">
        <v>10929</v>
      </c>
      <c r="T520" s="0" t="n">
        <v>62.05</v>
      </c>
      <c r="U520" s="0" t="n">
        <v>1444</v>
      </c>
      <c r="V520" s="0" t="n">
        <v>1</v>
      </c>
      <c r="W520" s="27" t="n">
        <f aca="false">MATCH(A520,DATAS,0)</f>
        <v>1</v>
      </c>
      <c r="X520" s="27" t="n">
        <f aca="false">IF(AND(E520&gt;0,OR(AND(B520&gt;=1,B520&lt;=6),B520=10)),1,0)</f>
        <v>1</v>
      </c>
      <c r="Y520" s="27" t="n">
        <f aca="false">IF(AND(E520&gt;0,B520=10),1,0)</f>
        <v>0</v>
      </c>
      <c r="Z520" s="0" t="str">
        <f aca="false">IF(AND(C519=C520,W519=W520-1),X519,"")</f>
        <v/>
      </c>
      <c r="AA520" s="0" t="str">
        <f aca="false">IF(AND(C519=C520,W519=W520-1),Y519,"")</f>
        <v/>
      </c>
      <c r="AB520" s="0" t="str">
        <f aca="false">IF(W520=1,"",IF(AND(X520=1,Z520&lt;&gt;1),1,0))</f>
        <v/>
      </c>
      <c r="AC520" s="0" t="str">
        <f aca="false">IF(W520=1,"",IF(AND(Y520=1,AA520&lt;&gt;1),1,0))</f>
        <v/>
      </c>
      <c r="AD520" s="33" t="str">
        <f aca="false">IF(AND(E520&gt;0,W520&lt;1,NOT(AND(C521=C520,W521=W520+1))),INDEX(DATAS,W520+1),"")</f>
        <v/>
      </c>
      <c r="AE520" s="33" t="str">
        <f aca="false">IF(AND(Y520=1,W520&lt;1),IF(AND(C521=C520,W521=W520+1),IF(Y521=1,"",INDEX(DATAS,W520+1)),INDEX(DATAS,W520+1)),"")</f>
        <v/>
      </c>
    </row>
    <row r="521" customFormat="false" ht="15" hidden="false" customHeight="false" outlineLevel="0" collapsed="false">
      <c r="A521" s="33" t="n">
        <v>46309</v>
      </c>
      <c r="B521" s="0" t="n">
        <v>2</v>
      </c>
      <c r="C521" s="0" t="n">
        <v>4308</v>
      </c>
      <c r="D521" s="0" t="n">
        <v>21</v>
      </c>
      <c r="E521" s="0" t="n">
        <v>3</v>
      </c>
      <c r="F521" s="27" t="s">
        <v>518</v>
      </c>
      <c r="G521" s="0" t="n">
        <v>58.4</v>
      </c>
      <c r="H521" s="0" t="n">
        <v>51</v>
      </c>
      <c r="I521" s="27" t="s">
        <v>147</v>
      </c>
      <c r="J521" s="0" t="n">
        <v>21</v>
      </c>
      <c r="M521" s="0" t="n">
        <v>432.45</v>
      </c>
      <c r="N521" s="0" t="n">
        <v>74.18</v>
      </c>
      <c r="O521" s="0" t="n">
        <v>36.11</v>
      </c>
      <c r="R521" s="0" t="n">
        <v>4397</v>
      </c>
      <c r="S521" s="0" t="n">
        <v>8839</v>
      </c>
      <c r="U521" s="0" t="n">
        <v>1444</v>
      </c>
      <c r="V521" s="0" t="n">
        <v>0</v>
      </c>
      <c r="W521" s="27" t="n">
        <f aca="false">MATCH(A521,DATAS,0)</f>
        <v>1</v>
      </c>
      <c r="X521" s="27" t="n">
        <f aca="false">IF(AND(E521&gt;0,OR(AND(B521&gt;=1,B521&lt;=6),B521=10)),1,0)</f>
        <v>1</v>
      </c>
      <c r="Y521" s="27" t="n">
        <f aca="false">IF(AND(E521&gt;0,B521=10),1,0)</f>
        <v>0</v>
      </c>
      <c r="Z521" s="0" t="str">
        <f aca="false">IF(AND(C520=C521,W520=W521-1),X520,"")</f>
        <v/>
      </c>
      <c r="AA521" s="0" t="str">
        <f aca="false">IF(AND(C520=C521,W520=W521-1),Y520,"")</f>
        <v/>
      </c>
      <c r="AB521" s="0" t="str">
        <f aca="false">IF(W521=1,"",IF(AND(X521=1,Z521&lt;&gt;1),1,0))</f>
        <v/>
      </c>
      <c r="AC521" s="0" t="str">
        <f aca="false">IF(W521=1,"",IF(AND(Y521=1,AA521&lt;&gt;1),1,0))</f>
        <v/>
      </c>
      <c r="AD521" s="33" t="str">
        <f aca="false">IF(AND(E521&gt;0,W521&lt;1,NOT(AND(C522=C521,W522=W521+1))),INDEX(DATAS,W521+1),"")</f>
        <v/>
      </c>
      <c r="AE521" s="33" t="str">
        <f aca="false">IF(AND(Y521=1,W521&lt;1),IF(AND(C522=C521,W522=W521+1),IF(Y522=1,"",INDEX(DATAS,W521+1)),INDEX(DATAS,W521+1)),"")</f>
        <v/>
      </c>
    </row>
    <row r="522" customFormat="false" ht="15" hidden="false" customHeight="false" outlineLevel="0" collapsed="false">
      <c r="A522" s="33" t="n">
        <v>46309</v>
      </c>
      <c r="B522" s="0" t="n">
        <v>5</v>
      </c>
      <c r="C522" s="0" t="n">
        <v>4309</v>
      </c>
      <c r="D522" s="0" t="n">
        <v>418</v>
      </c>
      <c r="E522" s="0" t="n">
        <v>2</v>
      </c>
      <c r="F522" s="27" t="s">
        <v>519</v>
      </c>
      <c r="G522" s="0" t="n">
        <v>43.3</v>
      </c>
      <c r="H522" s="0" t="n">
        <v>37</v>
      </c>
      <c r="I522" s="27" t="s">
        <v>138</v>
      </c>
      <c r="J522" s="0" t="n">
        <v>236</v>
      </c>
      <c r="K522" s="0" t="n">
        <v>68</v>
      </c>
      <c r="L522" s="0" t="n">
        <v>182</v>
      </c>
      <c r="M522" s="0" t="n">
        <v>641.37</v>
      </c>
      <c r="N522" s="0" t="n">
        <v>61.98</v>
      </c>
      <c r="O522" s="0" t="n">
        <v>35.1</v>
      </c>
      <c r="P522" s="0" t="n">
        <v>5.52</v>
      </c>
      <c r="Q522" s="0" t="n">
        <v>3.89</v>
      </c>
      <c r="R522" s="0" t="n">
        <v>5238</v>
      </c>
      <c r="S522" s="0" t="n">
        <v>11297</v>
      </c>
      <c r="T522" s="0" t="n">
        <v>61.85</v>
      </c>
      <c r="U522" s="0" t="n">
        <v>1443</v>
      </c>
      <c r="V522" s="0" t="n">
        <v>6</v>
      </c>
      <c r="W522" s="27" t="n">
        <f aca="false">MATCH(A522,DATAS,0)</f>
        <v>1</v>
      </c>
      <c r="X522" s="27" t="n">
        <f aca="false">IF(AND(E522&gt;0,OR(AND(B522&gt;=1,B522&lt;=6),B522=10)),1,0)</f>
        <v>1</v>
      </c>
      <c r="Y522" s="27" t="n">
        <f aca="false">IF(AND(E522&gt;0,B522=10),1,0)</f>
        <v>0</v>
      </c>
      <c r="Z522" s="0" t="str">
        <f aca="false">IF(AND(C521=C522,W521=W522-1),X521,"")</f>
        <v/>
      </c>
      <c r="AA522" s="0" t="str">
        <f aca="false">IF(AND(C521=C522,W521=W522-1),Y521,"")</f>
        <v/>
      </c>
      <c r="AB522" s="0" t="str">
        <f aca="false">IF(W522=1,"",IF(AND(X522=1,Z522&lt;&gt;1),1,0))</f>
        <v/>
      </c>
      <c r="AC522" s="0" t="str">
        <f aca="false">IF(W522=1,"",IF(AND(Y522=1,AA522&lt;&gt;1),1,0))</f>
        <v/>
      </c>
      <c r="AD522" s="33" t="str">
        <f aca="false">IF(AND(E522&gt;0,W522&lt;1,NOT(AND(C523=C522,W523=W522+1))),INDEX(DATAS,W522+1),"")</f>
        <v/>
      </c>
      <c r="AE522" s="33" t="str">
        <f aca="false">IF(AND(Y522=1,W522&lt;1),IF(AND(C523=C522,W523=W522+1),IF(Y523=1,"",INDEX(DATAS,W522+1)),INDEX(DATAS,W522+1)),"")</f>
        <v/>
      </c>
    </row>
    <row r="523" customFormat="false" ht="15" hidden="false" customHeight="false" outlineLevel="0" collapsed="false">
      <c r="A523" s="33" t="n">
        <v>46309</v>
      </c>
      <c r="B523" s="0" t="n">
        <v>3</v>
      </c>
      <c r="C523" s="0" t="n">
        <v>4310</v>
      </c>
      <c r="D523" s="0" t="n">
        <v>115</v>
      </c>
      <c r="E523" s="0" t="n">
        <v>3</v>
      </c>
      <c r="F523" s="27" t="s">
        <v>519</v>
      </c>
      <c r="G523" s="0" t="n">
        <v>58.8</v>
      </c>
      <c r="H523" s="0" t="n">
        <v>58</v>
      </c>
      <c r="I523" s="27" t="s">
        <v>168</v>
      </c>
      <c r="J523" s="0" t="n">
        <v>115</v>
      </c>
      <c r="K523" s="0" t="n">
        <v>66</v>
      </c>
      <c r="M523" s="0" t="n">
        <v>471.44</v>
      </c>
      <c r="N523" s="0" t="n">
        <v>72.43</v>
      </c>
      <c r="O523" s="0" t="n">
        <v>34.35</v>
      </c>
      <c r="P523" s="0" t="n">
        <v>3.69</v>
      </c>
      <c r="Q523" s="0" t="n">
        <v>2.94</v>
      </c>
      <c r="R523" s="0" t="n">
        <v>6378</v>
      </c>
      <c r="S523" s="0" t="n">
        <v>12705</v>
      </c>
      <c r="T523" s="0" t="n">
        <v>68.8</v>
      </c>
      <c r="U523" s="0" t="n">
        <v>1443</v>
      </c>
      <c r="V523" s="0" t="n">
        <v>2</v>
      </c>
      <c r="W523" s="27" t="n">
        <f aca="false">MATCH(A523,DATAS,0)</f>
        <v>1</v>
      </c>
      <c r="X523" s="27" t="n">
        <f aca="false">IF(AND(E523&gt;0,OR(AND(B523&gt;=1,B523&lt;=6),B523=10)),1,0)</f>
        <v>1</v>
      </c>
      <c r="Y523" s="27" t="n">
        <f aca="false">IF(AND(E523&gt;0,B523=10),1,0)</f>
        <v>0</v>
      </c>
      <c r="Z523" s="0" t="str">
        <f aca="false">IF(AND(C522=C523,W522=W523-1),X522,"")</f>
        <v/>
      </c>
      <c r="AA523" s="0" t="str">
        <f aca="false">IF(AND(C522=C523,W522=W523-1),Y522,"")</f>
        <v/>
      </c>
      <c r="AB523" s="0" t="str">
        <f aca="false">IF(W523=1,"",IF(AND(X523=1,Z523&lt;&gt;1),1,0))</f>
        <v/>
      </c>
      <c r="AC523" s="0" t="str">
        <f aca="false">IF(W523=1,"",IF(AND(Y523=1,AA523&lt;&gt;1),1,0))</f>
        <v/>
      </c>
      <c r="AD523" s="33" t="str">
        <f aca="false">IF(AND(E523&gt;0,W523&lt;1,NOT(AND(C524=C523,W524=W523+1))),INDEX(DATAS,W523+1),"")</f>
        <v/>
      </c>
      <c r="AE523" s="33" t="str">
        <f aca="false">IF(AND(Y523=1,W523&lt;1),IF(AND(C524=C523,W524=W523+1),IF(Y524=1,"",INDEX(DATAS,W523+1)),INDEX(DATAS,W523+1)),"")</f>
        <v/>
      </c>
    </row>
    <row r="524" customFormat="false" ht="15" hidden="false" customHeight="false" outlineLevel="0" collapsed="false">
      <c r="A524" s="33" t="n">
        <v>46309</v>
      </c>
      <c r="B524" s="0" t="n">
        <v>5</v>
      </c>
      <c r="C524" s="0" t="n">
        <v>4314</v>
      </c>
      <c r="D524" s="0" t="n">
        <v>368</v>
      </c>
      <c r="E524" s="0" t="n">
        <v>2</v>
      </c>
      <c r="F524" s="27" t="s">
        <v>520</v>
      </c>
      <c r="G524" s="0" t="n">
        <v>38.7</v>
      </c>
      <c r="H524" s="0" t="n">
        <v>35</v>
      </c>
      <c r="I524" s="27" t="s">
        <v>138</v>
      </c>
      <c r="J524" s="0" t="n">
        <v>149</v>
      </c>
      <c r="K524" s="0" t="n">
        <v>68</v>
      </c>
      <c r="L524" s="0" t="n">
        <v>219</v>
      </c>
      <c r="M524" s="0" t="n">
        <v>746.05</v>
      </c>
      <c r="N524" s="0" t="n">
        <v>34.68</v>
      </c>
      <c r="O524" s="0" t="n">
        <v>25.14</v>
      </c>
      <c r="P524" s="0" t="n">
        <v>4.72</v>
      </c>
      <c r="Q524" s="0" t="n">
        <v>3.82</v>
      </c>
      <c r="R524" s="0" t="n">
        <v>5414</v>
      </c>
      <c r="S524" s="0" t="n">
        <v>10768</v>
      </c>
      <c r="T524" s="0" t="n">
        <v>57.85</v>
      </c>
      <c r="U524" s="0" t="n">
        <v>1437</v>
      </c>
      <c r="V524" s="0" t="n">
        <v>4</v>
      </c>
      <c r="W524" s="27" t="n">
        <f aca="false">MATCH(A524,DATAS,0)</f>
        <v>1</v>
      </c>
      <c r="X524" s="27" t="n">
        <f aca="false">IF(AND(E524&gt;0,OR(AND(B524&gt;=1,B524&lt;=6),B524=10)),1,0)</f>
        <v>1</v>
      </c>
      <c r="Y524" s="27" t="n">
        <f aca="false">IF(AND(E524&gt;0,B524=10),1,0)</f>
        <v>0</v>
      </c>
      <c r="Z524" s="0" t="str">
        <f aca="false">IF(AND(C523=C524,W523=W524-1),X523,"")</f>
        <v/>
      </c>
      <c r="AA524" s="0" t="str">
        <f aca="false">IF(AND(C523=C524,W523=W524-1),Y523,"")</f>
        <v/>
      </c>
      <c r="AB524" s="0" t="str">
        <f aca="false">IF(W524=1,"",IF(AND(X524=1,Z524&lt;&gt;1),1,0))</f>
        <v/>
      </c>
      <c r="AC524" s="0" t="str">
        <f aca="false">IF(W524=1,"",IF(AND(Y524=1,AA524&lt;&gt;1),1,0))</f>
        <v/>
      </c>
      <c r="AD524" s="33" t="str">
        <f aca="false">IF(AND(E524&gt;0,W524&lt;1,NOT(AND(C525=C524,W525=W524+1))),INDEX(DATAS,W524+1),"")</f>
        <v/>
      </c>
      <c r="AE524" s="33" t="str">
        <f aca="false">IF(AND(Y524=1,W524&lt;1),IF(AND(C525=C524,W525=W524+1),IF(Y525=1,"",INDEX(DATAS,W524+1)),INDEX(DATAS,W524+1)),"")</f>
        <v/>
      </c>
    </row>
    <row r="525" customFormat="false" ht="15" hidden="false" customHeight="false" outlineLevel="0" collapsed="false">
      <c r="A525" s="33" t="n">
        <v>46309</v>
      </c>
      <c r="B525" s="0" t="n">
        <v>5</v>
      </c>
      <c r="C525" s="0" t="n">
        <v>4316</v>
      </c>
      <c r="D525" s="0" t="n">
        <v>130</v>
      </c>
      <c r="E525" s="0" t="n">
        <v>3</v>
      </c>
      <c r="F525" s="27" t="s">
        <v>520</v>
      </c>
      <c r="G525" s="0" t="n">
        <v>35.3</v>
      </c>
      <c r="H525" s="0" t="n">
        <v>31</v>
      </c>
      <c r="I525" s="27" t="s">
        <v>138</v>
      </c>
      <c r="J525" s="0" t="n">
        <v>92</v>
      </c>
      <c r="K525" s="0" t="n">
        <v>67</v>
      </c>
      <c r="L525" s="0" t="n">
        <v>38</v>
      </c>
      <c r="M525" s="0" t="n">
        <v>354.42</v>
      </c>
      <c r="N525" s="0" t="n">
        <v>53.58</v>
      </c>
      <c r="O525" s="0" t="n">
        <v>32.3</v>
      </c>
      <c r="P525" s="0" t="n">
        <v>2.32</v>
      </c>
      <c r="Q525" s="0" t="n">
        <v>3.61</v>
      </c>
      <c r="R525" s="0" t="n">
        <v>4498</v>
      </c>
      <c r="S525" s="0" t="n">
        <v>8472</v>
      </c>
      <c r="T525" s="0" t="n">
        <v>52.35</v>
      </c>
      <c r="U525" s="0" t="n">
        <v>1437</v>
      </c>
      <c r="V525" s="0" t="n">
        <v>2</v>
      </c>
      <c r="W525" s="27" t="n">
        <f aca="false">MATCH(A525,DATAS,0)</f>
        <v>1</v>
      </c>
      <c r="X525" s="27" t="n">
        <f aca="false">IF(AND(E525&gt;0,OR(AND(B525&gt;=1,B525&lt;=6),B525=10)),1,0)</f>
        <v>1</v>
      </c>
      <c r="Y525" s="27" t="n">
        <f aca="false">IF(AND(E525&gt;0,B525=10),1,0)</f>
        <v>0</v>
      </c>
      <c r="Z525" s="0" t="str">
        <f aca="false">IF(AND(C524=C525,W524=W525-1),X524,"")</f>
        <v/>
      </c>
      <c r="AA525" s="0" t="str">
        <f aca="false">IF(AND(C524=C525,W524=W525-1),Y524,"")</f>
        <v/>
      </c>
      <c r="AB525" s="0" t="str">
        <f aca="false">IF(W525=1,"",IF(AND(X525=1,Z525&lt;&gt;1),1,0))</f>
        <v/>
      </c>
      <c r="AC525" s="0" t="str">
        <f aca="false">IF(W525=1,"",IF(AND(Y525=1,AA525&lt;&gt;1),1,0))</f>
        <v/>
      </c>
      <c r="AD525" s="33" t="str">
        <f aca="false">IF(AND(E525&gt;0,W525&lt;1,NOT(AND(C526=C525,W526=W525+1))),INDEX(DATAS,W525+1),"")</f>
        <v/>
      </c>
      <c r="AE525" s="33" t="str">
        <f aca="false">IF(AND(Y525=1,W525&lt;1),IF(AND(C526=C525,W526=W525+1),IF(Y526=1,"",INDEX(DATAS,W525+1)),INDEX(DATAS,W525+1)),"")</f>
        <v/>
      </c>
    </row>
    <row r="526" customFormat="false" ht="15" hidden="false" customHeight="false" outlineLevel="0" collapsed="false">
      <c r="A526" s="33" t="n">
        <v>46309</v>
      </c>
      <c r="B526" s="0" t="n">
        <v>2</v>
      </c>
      <c r="C526" s="0" t="n">
        <v>4318</v>
      </c>
      <c r="D526" s="0" t="n">
        <v>132</v>
      </c>
      <c r="E526" s="0" t="n">
        <v>3</v>
      </c>
      <c r="F526" s="27" t="s">
        <v>521</v>
      </c>
      <c r="G526" s="0" t="n">
        <v>56.4</v>
      </c>
      <c r="H526" s="0" t="n">
        <v>53</v>
      </c>
      <c r="I526" s="27" t="s">
        <v>138</v>
      </c>
      <c r="J526" s="0" t="n">
        <v>69</v>
      </c>
      <c r="K526" s="0" t="n">
        <v>69</v>
      </c>
      <c r="L526" s="0" t="n">
        <v>63</v>
      </c>
      <c r="M526" s="0" t="n">
        <v>317.77</v>
      </c>
      <c r="N526" s="0" t="n">
        <v>46.32</v>
      </c>
      <c r="O526" s="0" t="n">
        <v>35.33</v>
      </c>
      <c r="P526" s="0" t="n">
        <v>2.6</v>
      </c>
      <c r="Q526" s="0" t="n">
        <v>3.58</v>
      </c>
      <c r="R526" s="0" t="n">
        <v>6083</v>
      </c>
      <c r="S526" s="0" t="n">
        <v>12256</v>
      </c>
      <c r="T526" s="0" t="n">
        <v>66.2</v>
      </c>
      <c r="U526" s="0" t="n">
        <v>1436</v>
      </c>
      <c r="V526" s="0" t="n">
        <v>1</v>
      </c>
      <c r="W526" s="27" t="n">
        <f aca="false">MATCH(A526,DATAS,0)</f>
        <v>1</v>
      </c>
      <c r="X526" s="27" t="n">
        <f aca="false">IF(AND(E526&gt;0,OR(AND(B526&gt;=1,B526&lt;=6),B526=10)),1,0)</f>
        <v>1</v>
      </c>
      <c r="Y526" s="27" t="n">
        <f aca="false">IF(AND(E526&gt;0,B526=10),1,0)</f>
        <v>0</v>
      </c>
      <c r="Z526" s="0" t="str">
        <f aca="false">IF(AND(C525=C526,W525=W526-1),X525,"")</f>
        <v/>
      </c>
      <c r="AA526" s="0" t="str">
        <f aca="false">IF(AND(C525=C526,W525=W526-1),Y525,"")</f>
        <v/>
      </c>
      <c r="AB526" s="0" t="str">
        <f aca="false">IF(W526=1,"",IF(AND(X526=1,Z526&lt;&gt;1),1,0))</f>
        <v/>
      </c>
      <c r="AC526" s="0" t="str">
        <f aca="false">IF(W526=1,"",IF(AND(Y526=1,AA526&lt;&gt;1),1,0))</f>
        <v/>
      </c>
      <c r="AD526" s="33" t="str">
        <f aca="false">IF(AND(E526&gt;0,W526&lt;1,NOT(AND(C527=C526,W527=W526+1))),INDEX(DATAS,W526+1),"")</f>
        <v/>
      </c>
      <c r="AE526" s="33" t="str">
        <f aca="false">IF(AND(Y526=1,W526&lt;1),IF(AND(C527=C526,W527=W526+1),IF(Y527=1,"",INDEX(DATAS,W526+1)),INDEX(DATAS,W526+1)),"")</f>
        <v/>
      </c>
    </row>
    <row r="527" customFormat="false" ht="15" hidden="false" customHeight="false" outlineLevel="0" collapsed="false">
      <c r="A527" s="33" t="n">
        <v>46309</v>
      </c>
      <c r="B527" s="0" t="n">
        <v>5</v>
      </c>
      <c r="C527" s="0" t="n">
        <v>4319</v>
      </c>
      <c r="D527" s="0" t="n">
        <v>313</v>
      </c>
      <c r="E527" s="0" t="n">
        <v>2</v>
      </c>
      <c r="F527" s="27" t="s">
        <v>521</v>
      </c>
      <c r="G527" s="0" t="n">
        <v>45</v>
      </c>
      <c r="H527" s="0" t="n">
        <v>41</v>
      </c>
      <c r="I527" s="27" t="s">
        <v>138</v>
      </c>
      <c r="J527" s="0" t="n">
        <v>124</v>
      </c>
      <c r="K527" s="0" t="n">
        <v>75</v>
      </c>
      <c r="L527" s="0" t="n">
        <v>189</v>
      </c>
      <c r="M527" s="0" t="n">
        <v>114.68</v>
      </c>
      <c r="N527" s="0" t="n">
        <v>58.86</v>
      </c>
      <c r="O527" s="0" t="n">
        <v>25.92</v>
      </c>
      <c r="P527" s="0" t="n">
        <v>5.42</v>
      </c>
      <c r="Q527" s="0" t="n">
        <v>3.85</v>
      </c>
      <c r="R527" s="0" t="n">
        <v>5492</v>
      </c>
      <c r="S527" s="0" t="n">
        <v>10533</v>
      </c>
      <c r="T527" s="0" t="n">
        <v>57.75</v>
      </c>
      <c r="U527" s="0" t="n">
        <v>1436</v>
      </c>
      <c r="V527" s="0" t="n">
        <v>2</v>
      </c>
      <c r="W527" s="27" t="n">
        <f aca="false">MATCH(A527,DATAS,0)</f>
        <v>1</v>
      </c>
      <c r="X527" s="27" t="n">
        <f aca="false">IF(AND(E527&gt;0,OR(AND(B527&gt;=1,B527&lt;=6),B527=10)),1,0)</f>
        <v>1</v>
      </c>
      <c r="Y527" s="27" t="n">
        <f aca="false">IF(AND(E527&gt;0,B527=10),1,0)</f>
        <v>0</v>
      </c>
      <c r="Z527" s="0" t="str">
        <f aca="false">IF(AND(C526=C527,W526=W527-1),X526,"")</f>
        <v/>
      </c>
      <c r="AA527" s="0" t="str">
        <f aca="false">IF(AND(C526=C527,W526=W527-1),Y526,"")</f>
        <v/>
      </c>
      <c r="AB527" s="0" t="str">
        <f aca="false">IF(W527=1,"",IF(AND(X527=1,Z527&lt;&gt;1),1,0))</f>
        <v/>
      </c>
      <c r="AC527" s="0" t="str">
        <f aca="false">IF(W527=1,"",IF(AND(Y527=1,AA527&lt;&gt;1),1,0))</f>
        <v/>
      </c>
      <c r="AD527" s="33" t="str">
        <f aca="false">IF(AND(E527&gt;0,W527&lt;1,NOT(AND(C528=C527,W528=W527+1))),INDEX(DATAS,W527+1),"")</f>
        <v/>
      </c>
      <c r="AE527" s="33" t="str">
        <f aca="false">IF(AND(Y527=1,W527&lt;1),IF(AND(C528=C527,W528=W527+1),IF(Y528=1,"",INDEX(DATAS,W527+1)),INDEX(DATAS,W527+1)),"")</f>
        <v/>
      </c>
    </row>
    <row r="528" customFormat="false" ht="15" hidden="false" customHeight="false" outlineLevel="0" collapsed="false">
      <c r="A528" s="33" t="n">
        <v>46309</v>
      </c>
      <c r="B528" s="0" t="n">
        <v>3</v>
      </c>
      <c r="C528" s="0" t="n">
        <v>4321</v>
      </c>
      <c r="D528" s="0" t="n">
        <v>112</v>
      </c>
      <c r="E528" s="0" t="n">
        <v>3</v>
      </c>
      <c r="F528" s="27" t="s">
        <v>522</v>
      </c>
      <c r="G528" s="0" t="n">
        <v>57.3</v>
      </c>
      <c r="H528" s="0" t="n">
        <v>56</v>
      </c>
      <c r="I528" s="27" t="s">
        <v>138</v>
      </c>
      <c r="J528" s="0" t="n">
        <v>63</v>
      </c>
      <c r="K528" s="0" t="n">
        <v>63</v>
      </c>
      <c r="L528" s="0" t="n">
        <v>49</v>
      </c>
      <c r="M528" s="0" t="n">
        <v>255.19</v>
      </c>
      <c r="N528" s="0" t="n">
        <v>31.81</v>
      </c>
      <c r="O528" s="0" t="n">
        <v>25.49</v>
      </c>
      <c r="P528" s="0" t="n">
        <v>4.04</v>
      </c>
      <c r="Q528" s="0" t="n">
        <v>3.02</v>
      </c>
      <c r="R528" s="0" t="n">
        <v>4907</v>
      </c>
      <c r="S528" s="0" t="n">
        <v>10108</v>
      </c>
      <c r="U528" s="0" t="n">
        <v>1435</v>
      </c>
      <c r="V528" s="0" t="n">
        <v>1</v>
      </c>
      <c r="W528" s="27" t="n">
        <f aca="false">MATCH(A528,DATAS,0)</f>
        <v>1</v>
      </c>
      <c r="X528" s="27" t="n">
        <f aca="false">IF(AND(E528&gt;0,OR(AND(B528&gt;=1,B528&lt;=6),B528=10)),1,0)</f>
        <v>1</v>
      </c>
      <c r="Y528" s="27" t="n">
        <f aca="false">IF(AND(E528&gt;0,B528=10),1,0)</f>
        <v>0</v>
      </c>
      <c r="Z528" s="0" t="str">
        <f aca="false">IF(AND(C527=C528,W527=W528-1),X527,"")</f>
        <v/>
      </c>
      <c r="AA528" s="0" t="str">
        <f aca="false">IF(AND(C527=C528,W527=W528-1),Y527,"")</f>
        <v/>
      </c>
      <c r="AB528" s="0" t="str">
        <f aca="false">IF(W528=1,"",IF(AND(X528=1,Z528&lt;&gt;1),1,0))</f>
        <v/>
      </c>
      <c r="AC528" s="0" t="str">
        <f aca="false">IF(W528=1,"",IF(AND(Y528=1,AA528&lt;&gt;1),1,0))</f>
        <v/>
      </c>
      <c r="AD528" s="33" t="str">
        <f aca="false">IF(AND(E528&gt;0,W528&lt;1,NOT(AND(C529=C528,W529=W528+1))),INDEX(DATAS,W528+1),"")</f>
        <v/>
      </c>
      <c r="AE528" s="33" t="str">
        <f aca="false">IF(AND(Y528=1,W528&lt;1),IF(AND(C529=C528,W529=W528+1),IF(Y529=1,"",INDEX(DATAS,W528+1)),INDEX(DATAS,W528+1)),"")</f>
        <v/>
      </c>
    </row>
    <row r="529" customFormat="false" ht="15" hidden="false" customHeight="false" outlineLevel="0" collapsed="false">
      <c r="A529" s="33" t="n">
        <v>46309</v>
      </c>
      <c r="B529" s="0" t="n">
        <v>14</v>
      </c>
      <c r="C529" s="0" t="n">
        <v>4322</v>
      </c>
      <c r="D529" s="0" t="n">
        <v>410</v>
      </c>
      <c r="E529" s="0" t="n">
        <v>2</v>
      </c>
      <c r="F529" s="27" t="s">
        <v>523</v>
      </c>
      <c r="I529" s="27" t="s">
        <v>143</v>
      </c>
      <c r="J529" s="0" t="n">
        <v>187</v>
      </c>
      <c r="K529" s="0" t="n">
        <v>61</v>
      </c>
      <c r="L529" s="0" t="n">
        <v>259</v>
      </c>
      <c r="M529" s="0" t="n">
        <v>696.21</v>
      </c>
      <c r="N529" s="0" t="n">
        <v>38.33</v>
      </c>
      <c r="O529" s="0" t="n">
        <v>28.48</v>
      </c>
      <c r="P529" s="0" t="n">
        <v>3.11</v>
      </c>
      <c r="Q529" s="0" t="n">
        <v>3.46</v>
      </c>
      <c r="R529" s="0" t="n">
        <v>6332</v>
      </c>
      <c r="S529" s="0" t="n">
        <v>12747</v>
      </c>
      <c r="T529" s="0" t="n">
        <v>71.55</v>
      </c>
      <c r="U529" s="0" t="n">
        <v>1434</v>
      </c>
      <c r="V529" s="0" t="n">
        <v>5</v>
      </c>
      <c r="W529" s="27" t="n">
        <f aca="false">MATCH(A529,DATAS,0)</f>
        <v>1</v>
      </c>
      <c r="X529" s="27" t="n">
        <f aca="false">IF(AND(E529&gt;0,OR(AND(B529&gt;=1,B529&lt;=6),B529=10)),1,0)</f>
        <v>0</v>
      </c>
      <c r="Y529" s="27" t="n">
        <f aca="false">IF(AND(E529&gt;0,B529=10),1,0)</f>
        <v>0</v>
      </c>
      <c r="Z529" s="0" t="str">
        <f aca="false">IF(AND(C528=C529,W528=W529-1),X528,"")</f>
        <v/>
      </c>
      <c r="AA529" s="0" t="str">
        <f aca="false">IF(AND(C528=C529,W528=W529-1),Y528,"")</f>
        <v/>
      </c>
      <c r="AB529" s="0" t="str">
        <f aca="false">IF(W529=1,"",IF(AND(X529=1,Z529&lt;&gt;1),1,0))</f>
        <v/>
      </c>
      <c r="AC529" s="0" t="str">
        <f aca="false">IF(W529=1,"",IF(AND(Y529=1,AA529&lt;&gt;1),1,0))</f>
        <v/>
      </c>
      <c r="AD529" s="33" t="str">
        <f aca="false">IF(AND(E529&gt;0,W529&lt;1,NOT(AND(C530=C529,W530=W529+1))),INDEX(DATAS,W529+1),"")</f>
        <v/>
      </c>
      <c r="AE529" s="33" t="str">
        <f aca="false">IF(AND(Y529=1,W529&lt;1),IF(AND(C530=C529,W530=W529+1),IF(Y530=1,"",INDEX(DATAS,W529+1)),INDEX(DATAS,W529+1)),"")</f>
        <v/>
      </c>
    </row>
    <row r="530" customFormat="false" ht="15" hidden="false" customHeight="false" outlineLevel="0" collapsed="false">
      <c r="A530" s="33" t="n">
        <v>46309</v>
      </c>
      <c r="B530" s="0" t="n">
        <v>2</v>
      </c>
      <c r="C530" s="0" t="n">
        <v>4323</v>
      </c>
      <c r="D530" s="0" t="n">
        <v>33</v>
      </c>
      <c r="E530" s="0" t="n">
        <v>3</v>
      </c>
      <c r="F530" s="27" t="s">
        <v>523</v>
      </c>
      <c r="G530" s="0" t="n">
        <v>68.4</v>
      </c>
      <c r="H530" s="0" t="n">
        <v>71</v>
      </c>
      <c r="I530" s="27" t="s">
        <v>147</v>
      </c>
      <c r="J530" s="0" t="n">
        <v>33</v>
      </c>
      <c r="M530" s="0" t="n">
        <v>210.6</v>
      </c>
      <c r="N530" s="0" t="n">
        <v>40.23</v>
      </c>
      <c r="O530" s="0" t="n">
        <v>15.53</v>
      </c>
      <c r="P530" s="0" t="n">
        <v>4.72</v>
      </c>
      <c r="Q530" s="0" t="n">
        <v>4.11</v>
      </c>
      <c r="R530" s="0" t="n">
        <v>5614</v>
      </c>
      <c r="S530" s="0" t="n">
        <v>11286</v>
      </c>
      <c r="U530" s="0" t="n">
        <v>1434</v>
      </c>
      <c r="V530" s="0" t="n">
        <v>0</v>
      </c>
      <c r="W530" s="27" t="n">
        <f aca="false">MATCH(A530,DATAS,0)</f>
        <v>1</v>
      </c>
      <c r="X530" s="27" t="n">
        <f aca="false">IF(AND(E530&gt;0,OR(AND(B530&gt;=1,B530&lt;=6),B530=10)),1,0)</f>
        <v>1</v>
      </c>
      <c r="Y530" s="27" t="n">
        <f aca="false">IF(AND(E530&gt;0,B530=10),1,0)</f>
        <v>0</v>
      </c>
      <c r="Z530" s="0" t="str">
        <f aca="false">IF(AND(C529=C530,W529=W530-1),X529,"")</f>
        <v/>
      </c>
      <c r="AA530" s="0" t="str">
        <f aca="false">IF(AND(C529=C530,W529=W530-1),Y529,"")</f>
        <v/>
      </c>
      <c r="AB530" s="0" t="str">
        <f aca="false">IF(W530=1,"",IF(AND(X530=1,Z530&lt;&gt;1),1,0))</f>
        <v/>
      </c>
      <c r="AC530" s="0" t="str">
        <f aca="false">IF(W530=1,"",IF(AND(Y530=1,AA530&lt;&gt;1),1,0))</f>
        <v/>
      </c>
      <c r="AD530" s="33" t="str">
        <f aca="false">IF(AND(E530&gt;0,W530&lt;1,NOT(AND(C531=C530,W531=W530+1))),INDEX(DATAS,W530+1),"")</f>
        <v/>
      </c>
      <c r="AE530" s="33" t="str">
        <f aca="false">IF(AND(Y530=1,W530&lt;1),IF(AND(C531=C530,W531=W530+1),IF(Y531=1,"",INDEX(DATAS,W530+1)),INDEX(DATAS,W530+1)),"")</f>
        <v/>
      </c>
    </row>
    <row r="531" customFormat="false" ht="15" hidden="false" customHeight="false" outlineLevel="0" collapsed="false">
      <c r="A531" s="33" t="n">
        <v>46309</v>
      </c>
      <c r="B531" s="0" t="n">
        <v>14</v>
      </c>
      <c r="C531" s="0" t="n">
        <v>4324</v>
      </c>
      <c r="D531" s="0" t="n">
        <v>354</v>
      </c>
      <c r="E531" s="0" t="n">
        <v>2</v>
      </c>
      <c r="F531" s="27" t="s">
        <v>523</v>
      </c>
      <c r="I531" s="27" t="s">
        <v>143</v>
      </c>
      <c r="J531" s="0" t="n">
        <v>131</v>
      </c>
      <c r="K531" s="0" t="n">
        <v>82</v>
      </c>
      <c r="L531" s="0" t="n">
        <v>259</v>
      </c>
      <c r="M531" s="0" t="n">
        <v>449.08</v>
      </c>
      <c r="N531" s="0" t="n">
        <v>45.76</v>
      </c>
      <c r="O531" s="0" t="n">
        <v>16.18</v>
      </c>
      <c r="P531" s="0" t="n">
        <v>4.12</v>
      </c>
      <c r="Q531" s="0" t="n">
        <v>3.47</v>
      </c>
      <c r="R531" s="0" t="n">
        <v>5809</v>
      </c>
      <c r="S531" s="0" t="n">
        <v>11513</v>
      </c>
      <c r="T531" s="0" t="n">
        <v>64.5</v>
      </c>
      <c r="U531" s="0" t="n">
        <v>1434</v>
      </c>
      <c r="V531" s="0" t="n">
        <v>2</v>
      </c>
      <c r="W531" s="27" t="n">
        <f aca="false">MATCH(A531,DATAS,0)</f>
        <v>1</v>
      </c>
      <c r="X531" s="27" t="n">
        <f aca="false">IF(AND(E531&gt;0,OR(AND(B531&gt;=1,B531&lt;=6),B531=10)),1,0)</f>
        <v>0</v>
      </c>
      <c r="Y531" s="27" t="n">
        <f aca="false">IF(AND(E531&gt;0,B531=10),1,0)</f>
        <v>0</v>
      </c>
      <c r="Z531" s="0" t="str">
        <f aca="false">IF(AND(C530=C531,W530=W531-1),X530,"")</f>
        <v/>
      </c>
      <c r="AA531" s="0" t="str">
        <f aca="false">IF(AND(C530=C531,W530=W531-1),Y530,"")</f>
        <v/>
      </c>
      <c r="AB531" s="0" t="str">
        <f aca="false">IF(W531=1,"",IF(AND(X531=1,Z531&lt;&gt;1),1,0))</f>
        <v/>
      </c>
      <c r="AC531" s="0" t="str">
        <f aca="false">IF(W531=1,"",IF(AND(Y531=1,AA531&lt;&gt;1),1,0))</f>
        <v/>
      </c>
      <c r="AD531" s="33" t="str">
        <f aca="false">IF(AND(E531&gt;0,W531&lt;1,NOT(AND(C532=C531,W532=W531+1))),INDEX(DATAS,W531+1),"")</f>
        <v/>
      </c>
      <c r="AE531" s="33" t="str">
        <f aca="false">IF(AND(Y531=1,W531&lt;1),IF(AND(C532=C531,W532=W531+1),IF(Y532=1,"",INDEX(DATAS,W531+1)),INDEX(DATAS,W531+1)),"")</f>
        <v/>
      </c>
    </row>
    <row r="532" customFormat="false" ht="15" hidden="false" customHeight="false" outlineLevel="0" collapsed="false">
      <c r="A532" s="33" t="n">
        <v>46309</v>
      </c>
      <c r="B532" s="0" t="n">
        <v>2</v>
      </c>
      <c r="C532" s="0" t="n">
        <v>4325</v>
      </c>
      <c r="D532" s="0" t="n">
        <v>282</v>
      </c>
      <c r="E532" s="0" t="n">
        <v>2</v>
      </c>
      <c r="F532" s="27" t="s">
        <v>523</v>
      </c>
      <c r="G532" s="0" t="n">
        <v>54.2</v>
      </c>
      <c r="H532" s="0" t="n">
        <v>51</v>
      </c>
      <c r="I532" s="27" t="s">
        <v>138</v>
      </c>
      <c r="J532" s="0" t="n">
        <v>191</v>
      </c>
      <c r="K532" s="0" t="n">
        <v>65</v>
      </c>
      <c r="L532" s="0" t="n">
        <v>91</v>
      </c>
      <c r="M532" s="0" t="n">
        <v>284.07</v>
      </c>
      <c r="N532" s="0" t="n">
        <v>57.11</v>
      </c>
      <c r="O532" s="0" t="n">
        <v>32.59</v>
      </c>
      <c r="P532" s="0" t="n">
        <v>3.68</v>
      </c>
      <c r="Q532" s="0" t="n">
        <v>3.68</v>
      </c>
      <c r="R532" s="0" t="n">
        <v>6211</v>
      </c>
      <c r="S532" s="0" t="n">
        <v>11751</v>
      </c>
      <c r="T532" s="0" t="n">
        <v>65.2</v>
      </c>
      <c r="U532" s="0" t="n">
        <v>1434</v>
      </c>
      <c r="V532" s="0" t="n">
        <v>4</v>
      </c>
      <c r="W532" s="27" t="n">
        <f aca="false">MATCH(A532,DATAS,0)</f>
        <v>1</v>
      </c>
      <c r="X532" s="27" t="n">
        <f aca="false">IF(AND(E532&gt;0,OR(AND(B532&gt;=1,B532&lt;=6),B532=10)),1,0)</f>
        <v>1</v>
      </c>
      <c r="Y532" s="27" t="n">
        <f aca="false">IF(AND(E532&gt;0,B532=10),1,0)</f>
        <v>0</v>
      </c>
      <c r="Z532" s="0" t="str">
        <f aca="false">IF(AND(C531=C532,W531=W532-1),X531,"")</f>
        <v/>
      </c>
      <c r="AA532" s="0" t="str">
        <f aca="false">IF(AND(C531=C532,W531=W532-1),Y531,"")</f>
        <v/>
      </c>
      <c r="AB532" s="0" t="str">
        <f aca="false">IF(W532=1,"",IF(AND(X532=1,Z532&lt;&gt;1),1,0))</f>
        <v/>
      </c>
      <c r="AC532" s="0" t="str">
        <f aca="false">IF(W532=1,"",IF(AND(Y532=1,AA532&lt;&gt;1),1,0))</f>
        <v/>
      </c>
      <c r="AD532" s="33" t="str">
        <f aca="false">IF(AND(E532&gt;0,W532&lt;1,NOT(AND(C533=C532,W533=W532+1))),INDEX(DATAS,W532+1),"")</f>
        <v/>
      </c>
      <c r="AE532" s="33" t="str">
        <f aca="false">IF(AND(Y532=1,W532&lt;1),IF(AND(C533=C532,W533=W532+1),IF(Y533=1,"",INDEX(DATAS,W532+1)),INDEX(DATAS,W532+1)),"")</f>
        <v/>
      </c>
    </row>
    <row r="533" customFormat="false" ht="15" hidden="false" customHeight="false" outlineLevel="0" collapsed="false">
      <c r="A533" s="33" t="n">
        <v>46309</v>
      </c>
      <c r="B533" s="0" t="n">
        <v>6</v>
      </c>
      <c r="C533" s="0" t="n">
        <v>4326</v>
      </c>
      <c r="D533" s="0" t="n">
        <v>440</v>
      </c>
      <c r="E533" s="0" t="n">
        <v>2</v>
      </c>
      <c r="F533" s="27" t="s">
        <v>523</v>
      </c>
      <c r="H533" s="0" t="n">
        <v>21</v>
      </c>
      <c r="I533" s="27" t="s">
        <v>138</v>
      </c>
      <c r="J533" s="0" t="n">
        <v>240</v>
      </c>
      <c r="K533" s="0" t="n">
        <v>154</v>
      </c>
      <c r="L533" s="0" t="n">
        <v>200</v>
      </c>
      <c r="M533" s="0" t="n">
        <v>303.22</v>
      </c>
      <c r="N533" s="0" t="n">
        <v>34.51</v>
      </c>
      <c r="O533" s="0" t="n">
        <v>25.84</v>
      </c>
      <c r="P533" s="0" t="n">
        <v>5.4</v>
      </c>
      <c r="Q533" s="0" t="n">
        <v>4.64</v>
      </c>
      <c r="R533" s="0" t="n">
        <v>3940</v>
      </c>
      <c r="S533" s="0" t="n">
        <v>8099</v>
      </c>
      <c r="T533" s="0" t="n">
        <v>47.2</v>
      </c>
      <c r="U533" s="0" t="n">
        <v>1434</v>
      </c>
      <c r="V533" s="0" t="n">
        <v>5</v>
      </c>
      <c r="W533" s="27" t="n">
        <f aca="false">MATCH(A533,DATAS,0)</f>
        <v>1</v>
      </c>
      <c r="X533" s="27" t="n">
        <f aca="false">IF(AND(E533&gt;0,OR(AND(B533&gt;=1,B533&lt;=6),B533=10)),1,0)</f>
        <v>1</v>
      </c>
      <c r="Y533" s="27" t="n">
        <f aca="false">IF(AND(E533&gt;0,B533=10),1,0)</f>
        <v>0</v>
      </c>
      <c r="Z533" s="0" t="str">
        <f aca="false">IF(AND(C532=C533,W532=W533-1),X532,"")</f>
        <v/>
      </c>
      <c r="AA533" s="0" t="str">
        <f aca="false">IF(AND(C532=C533,W532=W533-1),Y532,"")</f>
        <v/>
      </c>
      <c r="AB533" s="0" t="str">
        <f aca="false">IF(W533=1,"",IF(AND(X533=1,Z533&lt;&gt;1),1,0))</f>
        <v/>
      </c>
      <c r="AC533" s="0" t="str">
        <f aca="false">IF(W533=1,"",IF(AND(Y533=1,AA533&lt;&gt;1),1,0))</f>
        <v/>
      </c>
      <c r="AD533" s="33" t="str">
        <f aca="false">IF(AND(E533&gt;0,W533&lt;1,NOT(AND(C534=C533,W534=W533+1))),INDEX(DATAS,W533+1),"")</f>
        <v/>
      </c>
      <c r="AE533" s="33" t="str">
        <f aca="false">IF(AND(Y533=1,W533&lt;1),IF(AND(C534=C533,W534=W533+1),IF(Y534=1,"",INDEX(DATAS,W533+1)),INDEX(DATAS,W533+1)),"")</f>
        <v/>
      </c>
    </row>
    <row r="534" customFormat="false" ht="15" hidden="false" customHeight="false" outlineLevel="0" collapsed="false">
      <c r="A534" s="33" t="n">
        <v>46309</v>
      </c>
      <c r="B534" s="0" t="n">
        <v>2</v>
      </c>
      <c r="C534" s="0" t="n">
        <v>4327</v>
      </c>
      <c r="D534" s="0" t="n">
        <v>106</v>
      </c>
      <c r="E534" s="0" t="n">
        <v>3</v>
      </c>
      <c r="F534" s="27" t="s">
        <v>524</v>
      </c>
      <c r="G534" s="0" t="n">
        <v>55.4</v>
      </c>
      <c r="H534" s="0" t="n">
        <v>55</v>
      </c>
      <c r="I534" s="27" t="s">
        <v>138</v>
      </c>
      <c r="J534" s="0" t="n">
        <v>64</v>
      </c>
      <c r="K534" s="0" t="n">
        <v>64</v>
      </c>
      <c r="L534" s="0" t="n">
        <v>42</v>
      </c>
      <c r="M534" s="0" t="n">
        <v>690.49</v>
      </c>
      <c r="N534" s="0" t="n">
        <v>45.81</v>
      </c>
      <c r="O534" s="0" t="n">
        <v>26.18</v>
      </c>
      <c r="P534" s="0" t="n">
        <v>3.01</v>
      </c>
      <c r="Q534" s="0" t="n">
        <v>2.94</v>
      </c>
      <c r="R534" s="0" t="n">
        <v>5131</v>
      </c>
      <c r="S534" s="0" t="n">
        <v>10363</v>
      </c>
      <c r="T534" s="0" t="n">
        <v>57</v>
      </c>
      <c r="U534" s="0" t="n">
        <v>1433</v>
      </c>
      <c r="V534" s="0" t="n">
        <v>1</v>
      </c>
      <c r="W534" s="27" t="n">
        <f aca="false">MATCH(A534,DATAS,0)</f>
        <v>1</v>
      </c>
      <c r="X534" s="27" t="n">
        <f aca="false">IF(AND(E534&gt;0,OR(AND(B534&gt;=1,B534&lt;=6),B534=10)),1,0)</f>
        <v>1</v>
      </c>
      <c r="Y534" s="27" t="n">
        <f aca="false">IF(AND(E534&gt;0,B534=10),1,0)</f>
        <v>0</v>
      </c>
      <c r="Z534" s="0" t="str">
        <f aca="false">IF(AND(C533=C534,W533=W534-1),X533,"")</f>
        <v/>
      </c>
      <c r="AA534" s="0" t="str">
        <f aca="false">IF(AND(C533=C534,W533=W534-1),Y533,"")</f>
        <v/>
      </c>
      <c r="AB534" s="0" t="str">
        <f aca="false">IF(W534=1,"",IF(AND(X534=1,Z534&lt;&gt;1),1,0))</f>
        <v/>
      </c>
      <c r="AC534" s="0" t="str">
        <f aca="false">IF(W534=1,"",IF(AND(Y534=1,AA534&lt;&gt;1),1,0))</f>
        <v/>
      </c>
      <c r="AD534" s="33" t="str">
        <f aca="false">IF(AND(E534&gt;0,W534&lt;1,NOT(AND(C535=C534,W535=W534+1))),INDEX(DATAS,W534+1),"")</f>
        <v/>
      </c>
      <c r="AE534" s="33" t="str">
        <f aca="false">IF(AND(Y534=1,W534&lt;1),IF(AND(C535=C534,W535=W534+1),IF(Y535=1,"",INDEX(DATAS,W534+1)),INDEX(DATAS,W534+1)),"")</f>
        <v/>
      </c>
    </row>
    <row r="535" customFormat="false" ht="15" hidden="false" customHeight="false" outlineLevel="0" collapsed="false">
      <c r="A535" s="33" t="n">
        <v>46309</v>
      </c>
      <c r="B535" s="0" t="n">
        <v>5</v>
      </c>
      <c r="C535" s="0" t="n">
        <v>4328</v>
      </c>
      <c r="D535" s="0" t="n">
        <v>221</v>
      </c>
      <c r="E535" s="0" t="n">
        <v>2</v>
      </c>
      <c r="F535" s="27" t="s">
        <v>524</v>
      </c>
      <c r="G535" s="0" t="n">
        <v>42.4</v>
      </c>
      <c r="H535" s="0" t="n">
        <v>38</v>
      </c>
      <c r="I535" s="27" t="s">
        <v>168</v>
      </c>
      <c r="J535" s="0" t="n">
        <v>221</v>
      </c>
      <c r="K535" s="0" t="n">
        <v>67</v>
      </c>
      <c r="M535" s="0" t="n">
        <v>727.59</v>
      </c>
      <c r="N535" s="0" t="n">
        <v>26.53</v>
      </c>
      <c r="O535" s="0" t="n">
        <v>19.72</v>
      </c>
      <c r="P535" s="0" t="n">
        <v>4.27</v>
      </c>
      <c r="Q535" s="0" t="n">
        <v>3.69</v>
      </c>
      <c r="R535" s="0" t="n">
        <v>4127</v>
      </c>
      <c r="S535" s="0" t="n">
        <v>8776</v>
      </c>
      <c r="T535" s="0" t="n">
        <v>43.25</v>
      </c>
      <c r="U535" s="0" t="n">
        <v>1433</v>
      </c>
      <c r="V535" s="0" t="n">
        <v>6</v>
      </c>
      <c r="W535" s="27" t="n">
        <f aca="false">MATCH(A535,DATAS,0)</f>
        <v>1</v>
      </c>
      <c r="X535" s="27" t="n">
        <f aca="false">IF(AND(E535&gt;0,OR(AND(B535&gt;=1,B535&lt;=6),B535=10)),1,0)</f>
        <v>1</v>
      </c>
      <c r="Y535" s="27" t="n">
        <f aca="false">IF(AND(E535&gt;0,B535=10),1,0)</f>
        <v>0</v>
      </c>
      <c r="Z535" s="0" t="str">
        <f aca="false">IF(AND(C534=C535,W534=W535-1),X534,"")</f>
        <v/>
      </c>
      <c r="AA535" s="0" t="str">
        <f aca="false">IF(AND(C534=C535,W534=W535-1),Y534,"")</f>
        <v/>
      </c>
      <c r="AB535" s="0" t="str">
        <f aca="false">IF(W535=1,"",IF(AND(X535=1,Z535&lt;&gt;1),1,0))</f>
        <v/>
      </c>
      <c r="AC535" s="0" t="str">
        <f aca="false">IF(W535=1,"",IF(AND(Y535=1,AA535&lt;&gt;1),1,0))</f>
        <v/>
      </c>
      <c r="AD535" s="33" t="str">
        <f aca="false">IF(AND(E535&gt;0,W535&lt;1,NOT(AND(C536=C535,W536=W535+1))),INDEX(DATAS,W535+1),"")</f>
        <v/>
      </c>
      <c r="AE535" s="33" t="str">
        <f aca="false">IF(AND(Y535=1,W535&lt;1),IF(AND(C536=C535,W536=W535+1),IF(Y536=1,"",INDEX(DATAS,W535+1)),INDEX(DATAS,W535+1)),"")</f>
        <v/>
      </c>
    </row>
    <row r="536" customFormat="false" ht="15" hidden="false" customHeight="false" outlineLevel="0" collapsed="false">
      <c r="A536" s="33" t="n">
        <v>46309</v>
      </c>
      <c r="B536" s="0" t="n">
        <v>5</v>
      </c>
      <c r="C536" s="0" t="n">
        <v>4329</v>
      </c>
      <c r="D536" s="0" t="n">
        <v>278</v>
      </c>
      <c r="E536" s="0" t="n">
        <v>2</v>
      </c>
      <c r="F536" s="27" t="s">
        <v>525</v>
      </c>
      <c r="G536" s="0" t="n">
        <v>19.7</v>
      </c>
      <c r="H536" s="0" t="n">
        <v>26</v>
      </c>
      <c r="I536" s="27" t="s">
        <v>138</v>
      </c>
      <c r="J536" s="0" t="n">
        <v>68</v>
      </c>
      <c r="K536" s="0" t="n">
        <v>68</v>
      </c>
      <c r="L536" s="0" t="n">
        <v>210</v>
      </c>
      <c r="M536" s="0" t="n">
        <v>897.56</v>
      </c>
      <c r="N536" s="0" t="n">
        <v>21.76</v>
      </c>
      <c r="O536" s="0" t="n">
        <v>21.43</v>
      </c>
      <c r="P536" s="0" t="n">
        <v>4.62</v>
      </c>
      <c r="Q536" s="0" t="n">
        <v>3.62</v>
      </c>
      <c r="R536" s="0" t="n">
        <v>5401</v>
      </c>
      <c r="S536" s="0" t="n">
        <v>10781</v>
      </c>
      <c r="T536" s="0" t="n">
        <v>59.35</v>
      </c>
      <c r="U536" s="0" t="n">
        <v>1432</v>
      </c>
      <c r="V536" s="0" t="n">
        <v>1</v>
      </c>
      <c r="W536" s="27" t="n">
        <f aca="false">MATCH(A536,DATAS,0)</f>
        <v>1</v>
      </c>
      <c r="X536" s="27" t="n">
        <f aca="false">IF(AND(E536&gt;0,OR(AND(B536&gt;=1,B536&lt;=6),B536=10)),1,0)</f>
        <v>1</v>
      </c>
      <c r="Y536" s="27" t="n">
        <f aca="false">IF(AND(E536&gt;0,B536=10),1,0)</f>
        <v>0</v>
      </c>
      <c r="Z536" s="0" t="str">
        <f aca="false">IF(AND(C535=C536,W535=W536-1),X535,"")</f>
        <v/>
      </c>
      <c r="AA536" s="0" t="str">
        <f aca="false">IF(AND(C535=C536,W535=W536-1),Y535,"")</f>
        <v/>
      </c>
      <c r="AB536" s="0" t="str">
        <f aca="false">IF(W536=1,"",IF(AND(X536=1,Z536&lt;&gt;1),1,0))</f>
        <v/>
      </c>
      <c r="AC536" s="0" t="str">
        <f aca="false">IF(W536=1,"",IF(AND(Y536=1,AA536&lt;&gt;1),1,0))</f>
        <v/>
      </c>
      <c r="AD536" s="33" t="str">
        <f aca="false">IF(AND(E536&gt;0,W536&lt;1,NOT(AND(C537=C536,W537=W536+1))),INDEX(DATAS,W536+1),"")</f>
        <v/>
      </c>
      <c r="AE536" s="33" t="str">
        <f aca="false">IF(AND(Y536=1,W536&lt;1),IF(AND(C537=C536,W537=W536+1),IF(Y537=1,"",INDEX(DATAS,W536+1)),INDEX(DATAS,W536+1)),"")</f>
        <v/>
      </c>
    </row>
    <row r="537" customFormat="false" ht="15" hidden="false" customHeight="false" outlineLevel="0" collapsed="false">
      <c r="A537" s="33" t="n">
        <v>46309</v>
      </c>
      <c r="B537" s="0" t="n">
        <v>3</v>
      </c>
      <c r="C537" s="0" t="n">
        <v>4330</v>
      </c>
      <c r="D537" s="0" t="n">
        <v>9</v>
      </c>
      <c r="E537" s="0" t="n">
        <v>3</v>
      </c>
      <c r="F537" s="27" t="s">
        <v>525</v>
      </c>
      <c r="G537" s="0" t="n">
        <v>41.5</v>
      </c>
      <c r="H537" s="0" t="n">
        <v>31</v>
      </c>
      <c r="I537" s="27" t="s">
        <v>147</v>
      </c>
      <c r="J537" s="0" t="n">
        <v>9</v>
      </c>
      <c r="M537" s="0" t="n">
        <v>348.48</v>
      </c>
      <c r="N537" s="0" t="n">
        <v>27.09</v>
      </c>
      <c r="O537" s="0" t="n">
        <v>20.47</v>
      </c>
      <c r="R537" s="0" t="n">
        <v>2339</v>
      </c>
      <c r="S537" s="0" t="n">
        <v>4703</v>
      </c>
      <c r="U537" s="0" t="n">
        <v>1432</v>
      </c>
      <c r="V537" s="0" t="n">
        <v>0</v>
      </c>
      <c r="W537" s="27" t="n">
        <f aca="false">MATCH(A537,DATAS,0)</f>
        <v>1</v>
      </c>
      <c r="X537" s="27" t="n">
        <f aca="false">IF(AND(E537&gt;0,OR(AND(B537&gt;=1,B537&lt;=6),B537=10)),1,0)</f>
        <v>1</v>
      </c>
      <c r="Y537" s="27" t="n">
        <f aca="false">IF(AND(E537&gt;0,B537=10),1,0)</f>
        <v>0</v>
      </c>
      <c r="Z537" s="0" t="str">
        <f aca="false">IF(AND(C536=C537,W536=W537-1),X536,"")</f>
        <v/>
      </c>
      <c r="AA537" s="0" t="str">
        <f aca="false">IF(AND(C536=C537,W536=W537-1),Y536,"")</f>
        <v/>
      </c>
      <c r="AB537" s="0" t="str">
        <f aca="false">IF(W537=1,"",IF(AND(X537=1,Z537&lt;&gt;1),1,0))</f>
        <v/>
      </c>
      <c r="AC537" s="0" t="str">
        <f aca="false">IF(W537=1,"",IF(AND(Y537=1,AA537&lt;&gt;1),1,0))</f>
        <v/>
      </c>
      <c r="AD537" s="33" t="str">
        <f aca="false">IF(AND(E537&gt;0,W537&lt;1,NOT(AND(C538=C537,W538=W537+1))),INDEX(DATAS,W537+1),"")</f>
        <v/>
      </c>
      <c r="AE537" s="33" t="str">
        <f aca="false">IF(AND(Y537=1,W537&lt;1),IF(AND(C538=C537,W538=W537+1),IF(Y538=1,"",INDEX(DATAS,W537+1)),INDEX(DATAS,W537+1)),"")</f>
        <v/>
      </c>
    </row>
    <row r="538" customFormat="false" ht="15" hidden="false" customHeight="false" outlineLevel="0" collapsed="false">
      <c r="A538" s="33" t="n">
        <v>46309</v>
      </c>
      <c r="B538" s="0" t="n">
        <v>3</v>
      </c>
      <c r="C538" s="0" t="n">
        <v>4332</v>
      </c>
      <c r="D538" s="0" t="n">
        <v>2</v>
      </c>
      <c r="E538" s="0" t="n">
        <v>3</v>
      </c>
      <c r="F538" s="27" t="s">
        <v>526</v>
      </c>
      <c r="G538" s="0" t="n">
        <v>35.9</v>
      </c>
      <c r="H538" s="0" t="n">
        <v>26</v>
      </c>
      <c r="I538" s="27" t="s">
        <v>147</v>
      </c>
      <c r="J538" s="0" t="n">
        <v>2</v>
      </c>
      <c r="M538" s="0" t="n">
        <v>259.1</v>
      </c>
      <c r="N538" s="0" t="n">
        <v>30.34</v>
      </c>
      <c r="O538" s="0" t="n">
        <v>15.59</v>
      </c>
      <c r="R538" s="0" t="n">
        <v>2923</v>
      </c>
      <c r="S538" s="0" t="n">
        <v>5877</v>
      </c>
      <c r="U538" s="0" t="n">
        <v>1431</v>
      </c>
      <c r="V538" s="0" t="n">
        <v>0</v>
      </c>
      <c r="W538" s="27" t="n">
        <f aca="false">MATCH(A538,DATAS,0)</f>
        <v>1</v>
      </c>
      <c r="X538" s="27" t="n">
        <f aca="false">IF(AND(E538&gt;0,OR(AND(B538&gt;=1,B538&lt;=6),B538=10)),1,0)</f>
        <v>1</v>
      </c>
      <c r="Y538" s="27" t="n">
        <f aca="false">IF(AND(E538&gt;0,B538=10),1,0)</f>
        <v>0</v>
      </c>
      <c r="Z538" s="0" t="str">
        <f aca="false">IF(AND(C537=C538,W537=W538-1),X537,"")</f>
        <v/>
      </c>
      <c r="AA538" s="0" t="str">
        <f aca="false">IF(AND(C537=C538,W537=W538-1),Y537,"")</f>
        <v/>
      </c>
      <c r="AB538" s="0" t="str">
        <f aca="false">IF(W538=1,"",IF(AND(X538=1,Z538&lt;&gt;1),1,0))</f>
        <v/>
      </c>
      <c r="AC538" s="0" t="str">
        <f aca="false">IF(W538=1,"",IF(AND(Y538=1,AA538&lt;&gt;1),1,0))</f>
        <v/>
      </c>
      <c r="AD538" s="33" t="str">
        <f aca="false">IF(AND(E538&gt;0,W538&lt;1,NOT(AND(C539=C538,W539=W538+1))),INDEX(DATAS,W538+1),"")</f>
        <v/>
      </c>
      <c r="AE538" s="33" t="str">
        <f aca="false">IF(AND(Y538=1,W538&lt;1),IF(AND(C539=C538,W539=W538+1),IF(Y539=1,"",INDEX(DATAS,W538+1)),INDEX(DATAS,W538+1)),"")</f>
        <v/>
      </c>
    </row>
    <row r="539" customFormat="false" ht="15" hidden="false" customHeight="false" outlineLevel="0" collapsed="false">
      <c r="A539" s="33" t="n">
        <v>46309</v>
      </c>
      <c r="B539" s="0" t="n">
        <v>6</v>
      </c>
      <c r="C539" s="0" t="n">
        <v>4333</v>
      </c>
      <c r="D539" s="0" t="n">
        <v>46</v>
      </c>
      <c r="E539" s="0" t="n">
        <v>2</v>
      </c>
      <c r="F539" s="27" t="s">
        <v>526</v>
      </c>
      <c r="I539" s="27" t="s">
        <v>147</v>
      </c>
      <c r="J539" s="0" t="n">
        <v>46</v>
      </c>
      <c r="M539" s="0" t="n">
        <v>293.22</v>
      </c>
      <c r="N539" s="0" t="n">
        <v>72.59</v>
      </c>
      <c r="O539" s="0" t="n">
        <v>26.09</v>
      </c>
      <c r="P539" s="0" t="n">
        <v>5.63</v>
      </c>
      <c r="Q539" s="0" t="n">
        <v>3.28</v>
      </c>
      <c r="R539" s="0" t="n">
        <v>3854</v>
      </c>
      <c r="S539" s="0" t="n">
        <v>7748</v>
      </c>
      <c r="U539" s="0" t="n">
        <v>1431</v>
      </c>
      <c r="V539" s="0" t="n">
        <v>0</v>
      </c>
      <c r="W539" s="27" t="n">
        <f aca="false">MATCH(A539,DATAS,0)</f>
        <v>1</v>
      </c>
      <c r="X539" s="27" t="n">
        <f aca="false">IF(AND(E539&gt;0,OR(AND(B539&gt;=1,B539&lt;=6),B539=10)),1,0)</f>
        <v>1</v>
      </c>
      <c r="Y539" s="27" t="n">
        <f aca="false">IF(AND(E539&gt;0,B539=10),1,0)</f>
        <v>0</v>
      </c>
      <c r="Z539" s="0" t="str">
        <f aca="false">IF(AND(C538=C539,W538=W539-1),X538,"")</f>
        <v/>
      </c>
      <c r="AA539" s="0" t="str">
        <f aca="false">IF(AND(C538=C539,W538=W539-1),Y538,"")</f>
        <v/>
      </c>
      <c r="AB539" s="0" t="str">
        <f aca="false">IF(W539=1,"",IF(AND(X539=1,Z539&lt;&gt;1),1,0))</f>
        <v/>
      </c>
      <c r="AC539" s="0" t="str">
        <f aca="false">IF(W539=1,"",IF(AND(Y539=1,AA539&lt;&gt;1),1,0))</f>
        <v/>
      </c>
      <c r="AD539" s="33" t="str">
        <f aca="false">IF(AND(E539&gt;0,W539&lt;1,NOT(AND(C540=C539,W540=W539+1))),INDEX(DATAS,W539+1),"")</f>
        <v/>
      </c>
      <c r="AE539" s="33" t="str">
        <f aca="false">IF(AND(Y539=1,W539&lt;1),IF(AND(C540=C539,W540=W539+1),IF(Y540=1,"",INDEX(DATAS,W539+1)),INDEX(DATAS,W539+1)),"")</f>
        <v/>
      </c>
    </row>
    <row r="540" customFormat="false" ht="15" hidden="false" customHeight="false" outlineLevel="0" collapsed="false">
      <c r="A540" s="33" t="n">
        <v>46309</v>
      </c>
      <c r="B540" s="0" t="n">
        <v>6</v>
      </c>
      <c r="C540" s="0" t="n">
        <v>4335</v>
      </c>
      <c r="D540" s="0" t="n">
        <v>628</v>
      </c>
      <c r="E540" s="0" t="n">
        <v>1</v>
      </c>
      <c r="F540" s="27" t="s">
        <v>527</v>
      </c>
      <c r="H540" s="0" t="n">
        <v>16</v>
      </c>
      <c r="I540" s="27" t="s">
        <v>151</v>
      </c>
      <c r="J540" s="0" t="n">
        <v>628</v>
      </c>
      <c r="K540" s="0" t="n">
        <v>83</v>
      </c>
      <c r="M540" s="0" t="n">
        <v>518.83</v>
      </c>
      <c r="N540" s="0" t="n">
        <v>49.53</v>
      </c>
      <c r="O540" s="0" t="n">
        <v>25.33</v>
      </c>
      <c r="P540" s="0" t="n">
        <v>5.1</v>
      </c>
      <c r="Q540" s="0" t="n">
        <v>4.2</v>
      </c>
      <c r="R540" s="0" t="n">
        <v>2442</v>
      </c>
      <c r="S540" s="0" t="n">
        <v>4684</v>
      </c>
      <c r="T540" s="0" t="n">
        <v>38.35</v>
      </c>
      <c r="U540" s="0" t="n">
        <v>1430</v>
      </c>
      <c r="V540" s="0" t="n">
        <v>6</v>
      </c>
      <c r="W540" s="27" t="n">
        <f aca="false">MATCH(A540,DATAS,0)</f>
        <v>1</v>
      </c>
      <c r="X540" s="27" t="n">
        <f aca="false">IF(AND(E540&gt;0,OR(AND(B540&gt;=1,B540&lt;=6),B540=10)),1,0)</f>
        <v>1</v>
      </c>
      <c r="Y540" s="27" t="n">
        <f aca="false">IF(AND(E540&gt;0,B540=10),1,0)</f>
        <v>0</v>
      </c>
      <c r="Z540" s="0" t="str">
        <f aca="false">IF(AND(C539=C540,W539=W540-1),X539,"")</f>
        <v/>
      </c>
      <c r="AA540" s="0" t="str">
        <f aca="false">IF(AND(C539=C540,W539=W540-1),Y539,"")</f>
        <v/>
      </c>
      <c r="AB540" s="0" t="str">
        <f aca="false">IF(W540=1,"",IF(AND(X540=1,Z540&lt;&gt;1),1,0))</f>
        <v/>
      </c>
      <c r="AC540" s="0" t="str">
        <f aca="false">IF(W540=1,"",IF(AND(Y540=1,AA540&lt;&gt;1),1,0))</f>
        <v/>
      </c>
      <c r="AD540" s="33" t="str">
        <f aca="false">IF(AND(E540&gt;0,W540&lt;1,NOT(AND(C541=C540,W541=W540+1))),INDEX(DATAS,W540+1),"")</f>
        <v/>
      </c>
      <c r="AE540" s="33" t="str">
        <f aca="false">IF(AND(Y540=1,W540&lt;1),IF(AND(C541=C540,W541=W540+1),IF(Y541=1,"",INDEX(DATAS,W540+1)),INDEX(DATAS,W540+1)),"")</f>
        <v/>
      </c>
    </row>
    <row r="541" customFormat="false" ht="15" hidden="false" customHeight="false" outlineLevel="0" collapsed="false">
      <c r="A541" s="33" t="n">
        <v>46309</v>
      </c>
      <c r="B541" s="0" t="n">
        <v>6</v>
      </c>
      <c r="C541" s="0" t="n">
        <v>4336</v>
      </c>
      <c r="D541" s="0" t="n">
        <v>223</v>
      </c>
      <c r="E541" s="0" t="n">
        <v>2</v>
      </c>
      <c r="F541" s="27" t="s">
        <v>527</v>
      </c>
      <c r="G541" s="0" t="n">
        <v>25.2</v>
      </c>
      <c r="H541" s="0" t="n">
        <v>25</v>
      </c>
      <c r="I541" s="27" t="s">
        <v>151</v>
      </c>
      <c r="J541" s="0" t="n">
        <v>223</v>
      </c>
      <c r="K541" s="0" t="n">
        <v>69</v>
      </c>
      <c r="M541" s="0" t="n">
        <v>1091.4</v>
      </c>
      <c r="N541" s="0" t="n">
        <v>48.99</v>
      </c>
      <c r="O541" s="0" t="n">
        <v>46.45</v>
      </c>
      <c r="P541" s="0" t="n">
        <v>4.5</v>
      </c>
      <c r="Q541" s="0" t="n">
        <v>3.77</v>
      </c>
      <c r="R541" s="0" t="n">
        <v>4024</v>
      </c>
      <c r="S541" s="0" t="n">
        <v>7015</v>
      </c>
      <c r="T541" s="0" t="n">
        <v>42.7</v>
      </c>
      <c r="U541" s="0" t="n">
        <v>1430</v>
      </c>
      <c r="V541" s="0" t="n">
        <v>2</v>
      </c>
      <c r="W541" s="27" t="n">
        <f aca="false">MATCH(A541,DATAS,0)</f>
        <v>1</v>
      </c>
      <c r="X541" s="27" t="n">
        <f aca="false">IF(AND(E541&gt;0,OR(AND(B541&gt;=1,B541&lt;=6),B541=10)),1,0)</f>
        <v>1</v>
      </c>
      <c r="Y541" s="27" t="n">
        <f aca="false">IF(AND(E541&gt;0,B541=10),1,0)</f>
        <v>0</v>
      </c>
      <c r="Z541" s="0" t="str">
        <f aca="false">IF(AND(C540=C541,W540=W541-1),X540,"")</f>
        <v/>
      </c>
      <c r="AA541" s="0" t="str">
        <f aca="false">IF(AND(C540=C541,W540=W541-1),Y540,"")</f>
        <v/>
      </c>
      <c r="AB541" s="0" t="str">
        <f aca="false">IF(W541=1,"",IF(AND(X541=1,Z541&lt;&gt;1),1,0))</f>
        <v/>
      </c>
      <c r="AC541" s="0" t="str">
        <f aca="false">IF(W541=1,"",IF(AND(Y541=1,AA541&lt;&gt;1),1,0))</f>
        <v/>
      </c>
      <c r="AD541" s="33" t="str">
        <f aca="false">IF(AND(E541&gt;0,W541&lt;1,NOT(AND(C542=C541,W542=W541+1))),INDEX(DATAS,W541+1),"")</f>
        <v/>
      </c>
      <c r="AE541" s="33" t="str">
        <f aca="false">IF(AND(Y541=1,W541&lt;1),IF(AND(C542=C541,W542=W541+1),IF(Y542=1,"",INDEX(DATAS,W541+1)),INDEX(DATAS,W541+1)),"")</f>
        <v/>
      </c>
    </row>
    <row r="542" customFormat="false" ht="15" hidden="false" customHeight="false" outlineLevel="0" collapsed="false">
      <c r="A542" s="33" t="n">
        <v>46309</v>
      </c>
      <c r="B542" s="0" t="n">
        <v>6</v>
      </c>
      <c r="C542" s="0" t="n">
        <v>4337</v>
      </c>
      <c r="D542" s="0" t="n">
        <v>433</v>
      </c>
      <c r="E542" s="0" t="n">
        <v>2</v>
      </c>
      <c r="F542" s="27" t="s">
        <v>527</v>
      </c>
      <c r="G542" s="0" t="n">
        <v>20.6</v>
      </c>
      <c r="H542" s="0" t="n">
        <v>17</v>
      </c>
      <c r="I542" s="27" t="s">
        <v>138</v>
      </c>
      <c r="J542" s="0" t="n">
        <v>314</v>
      </c>
      <c r="K542" s="0" t="n">
        <v>62</v>
      </c>
      <c r="L542" s="0" t="n">
        <v>119</v>
      </c>
      <c r="M542" s="0" t="n">
        <v>614.26</v>
      </c>
      <c r="N542" s="0" t="n">
        <v>43.2</v>
      </c>
      <c r="O542" s="0" t="n">
        <v>26.37</v>
      </c>
      <c r="P542" s="0" t="n">
        <v>4.19</v>
      </c>
      <c r="Q542" s="0" t="n">
        <v>3.92</v>
      </c>
      <c r="R542" s="0" t="n">
        <v>2962</v>
      </c>
      <c r="S542" s="0" t="n">
        <v>6022</v>
      </c>
      <c r="T542" s="0" t="n">
        <v>35.9</v>
      </c>
      <c r="U542" s="0" t="n">
        <v>1430</v>
      </c>
      <c r="V542" s="0" t="n">
        <v>6</v>
      </c>
      <c r="W542" s="27" t="n">
        <f aca="false">MATCH(A542,DATAS,0)</f>
        <v>1</v>
      </c>
      <c r="X542" s="27" t="n">
        <f aca="false">IF(AND(E542&gt;0,OR(AND(B542&gt;=1,B542&lt;=6),B542=10)),1,0)</f>
        <v>1</v>
      </c>
      <c r="Y542" s="27" t="n">
        <f aca="false">IF(AND(E542&gt;0,B542=10),1,0)</f>
        <v>0</v>
      </c>
      <c r="Z542" s="0" t="str">
        <f aca="false">IF(AND(C541=C542,W541=W542-1),X541,"")</f>
        <v/>
      </c>
      <c r="AA542" s="0" t="str">
        <f aca="false">IF(AND(C541=C542,W541=W542-1),Y541,"")</f>
        <v/>
      </c>
      <c r="AB542" s="0" t="str">
        <f aca="false">IF(W542=1,"",IF(AND(X542=1,Z542&lt;&gt;1),1,0))</f>
        <v/>
      </c>
      <c r="AC542" s="0" t="str">
        <f aca="false">IF(W542=1,"",IF(AND(Y542=1,AA542&lt;&gt;1),1,0))</f>
        <v/>
      </c>
      <c r="AD542" s="33" t="str">
        <f aca="false">IF(AND(E542&gt;0,W542&lt;1,NOT(AND(C543=C542,W543=W542+1))),INDEX(DATAS,W542+1),"")</f>
        <v/>
      </c>
      <c r="AE542" s="33" t="str">
        <f aca="false">IF(AND(Y542=1,W542&lt;1),IF(AND(C543=C542,W543=W542+1),IF(Y543=1,"",INDEX(DATAS,W542+1)),INDEX(DATAS,W542+1)),"")</f>
        <v/>
      </c>
    </row>
    <row r="543" customFormat="false" ht="15" hidden="false" customHeight="false" outlineLevel="0" collapsed="false">
      <c r="A543" s="33" t="n">
        <v>46309</v>
      </c>
      <c r="B543" s="0" t="n">
        <v>2</v>
      </c>
      <c r="C543" s="0" t="n">
        <v>4338</v>
      </c>
      <c r="D543" s="0" t="n">
        <v>53</v>
      </c>
      <c r="E543" s="0" t="n">
        <v>3</v>
      </c>
      <c r="F543" s="27" t="s">
        <v>528</v>
      </c>
      <c r="G543" s="0" t="n">
        <v>65.8</v>
      </c>
      <c r="H543" s="0" t="n">
        <v>61</v>
      </c>
      <c r="I543" s="27" t="s">
        <v>147</v>
      </c>
      <c r="J543" s="0" t="n">
        <v>53</v>
      </c>
      <c r="M543" s="0" t="n">
        <v>1140.18</v>
      </c>
      <c r="N543" s="0" t="n">
        <v>69.04</v>
      </c>
      <c r="O543" s="0" t="n">
        <v>49.28</v>
      </c>
      <c r="P543" s="0" t="n">
        <v>3.39</v>
      </c>
      <c r="Q543" s="0" t="n">
        <v>3.09</v>
      </c>
      <c r="R543" s="0" t="n">
        <v>5602</v>
      </c>
      <c r="S543" s="0" t="n">
        <v>11261</v>
      </c>
      <c r="U543" s="0" t="n">
        <v>1429</v>
      </c>
      <c r="V543" s="0" t="n">
        <v>0</v>
      </c>
      <c r="W543" s="27" t="n">
        <f aca="false">MATCH(A543,DATAS,0)</f>
        <v>1</v>
      </c>
      <c r="X543" s="27" t="n">
        <f aca="false">IF(AND(E543&gt;0,OR(AND(B543&gt;=1,B543&lt;=6),B543=10)),1,0)</f>
        <v>1</v>
      </c>
      <c r="Y543" s="27" t="n">
        <f aca="false">IF(AND(E543&gt;0,B543=10),1,0)</f>
        <v>0</v>
      </c>
      <c r="Z543" s="0" t="str">
        <f aca="false">IF(AND(C542=C543,W542=W543-1),X542,"")</f>
        <v/>
      </c>
      <c r="AA543" s="0" t="str">
        <f aca="false">IF(AND(C542=C543,W542=W543-1),Y542,"")</f>
        <v/>
      </c>
      <c r="AB543" s="0" t="str">
        <f aca="false">IF(W543=1,"",IF(AND(X543=1,Z543&lt;&gt;1),1,0))</f>
        <v/>
      </c>
      <c r="AC543" s="0" t="str">
        <f aca="false">IF(W543=1,"",IF(AND(Y543=1,AA543&lt;&gt;1),1,0))</f>
        <v/>
      </c>
      <c r="AD543" s="33" t="str">
        <f aca="false">IF(AND(E543&gt;0,W543&lt;1,NOT(AND(C544=C543,W544=W543+1))),INDEX(DATAS,W543+1),"")</f>
        <v/>
      </c>
      <c r="AE543" s="33" t="str">
        <f aca="false">IF(AND(Y543=1,W543&lt;1),IF(AND(C544=C543,W544=W543+1),IF(Y544=1,"",INDEX(DATAS,W543+1)),INDEX(DATAS,W543+1)),"")</f>
        <v/>
      </c>
    </row>
    <row r="544" customFormat="false" ht="15" hidden="false" customHeight="false" outlineLevel="0" collapsed="false">
      <c r="A544" s="33" t="n">
        <v>46309</v>
      </c>
      <c r="B544" s="0" t="n">
        <v>5</v>
      </c>
      <c r="C544" s="0" t="n">
        <v>4339</v>
      </c>
      <c r="D544" s="0" t="n">
        <v>364</v>
      </c>
      <c r="E544" s="0" t="n">
        <v>2</v>
      </c>
      <c r="F544" s="27" t="s">
        <v>528</v>
      </c>
      <c r="H544" s="0" t="n">
        <v>23</v>
      </c>
      <c r="I544" s="27" t="s">
        <v>138</v>
      </c>
      <c r="J544" s="0" t="n">
        <v>168</v>
      </c>
      <c r="K544" s="0" t="n">
        <v>64</v>
      </c>
      <c r="L544" s="0" t="n">
        <v>196</v>
      </c>
      <c r="M544" s="0" t="n">
        <v>1315.07</v>
      </c>
      <c r="N544" s="0" t="n">
        <v>74.04</v>
      </c>
      <c r="O544" s="0" t="n">
        <v>46.46</v>
      </c>
      <c r="P544" s="0" t="n">
        <v>4.79</v>
      </c>
      <c r="Q544" s="0" t="n">
        <v>3.98</v>
      </c>
      <c r="R544" s="0" t="n">
        <v>3179</v>
      </c>
      <c r="S544" s="0" t="n">
        <v>7049</v>
      </c>
      <c r="T544" s="0" t="n">
        <v>36.45</v>
      </c>
      <c r="U544" s="0" t="n">
        <v>1429</v>
      </c>
      <c r="V544" s="0" t="n">
        <v>4</v>
      </c>
      <c r="W544" s="27" t="n">
        <f aca="false">MATCH(A544,DATAS,0)</f>
        <v>1</v>
      </c>
      <c r="X544" s="27" t="n">
        <f aca="false">IF(AND(E544&gt;0,OR(AND(B544&gt;=1,B544&lt;=6),B544=10)),1,0)</f>
        <v>1</v>
      </c>
      <c r="Y544" s="27" t="n">
        <f aca="false">IF(AND(E544&gt;0,B544=10),1,0)</f>
        <v>0</v>
      </c>
      <c r="Z544" s="0" t="str">
        <f aca="false">IF(AND(C543=C544,W543=W544-1),X543,"")</f>
        <v/>
      </c>
      <c r="AA544" s="0" t="str">
        <f aca="false">IF(AND(C543=C544,W543=W544-1),Y543,"")</f>
        <v/>
      </c>
      <c r="AB544" s="0" t="str">
        <f aca="false">IF(W544=1,"",IF(AND(X544=1,Z544&lt;&gt;1),1,0))</f>
        <v/>
      </c>
      <c r="AC544" s="0" t="str">
        <f aca="false">IF(W544=1,"",IF(AND(Y544=1,AA544&lt;&gt;1),1,0))</f>
        <v/>
      </c>
      <c r="AD544" s="33" t="str">
        <f aca="false">IF(AND(E544&gt;0,W544&lt;1,NOT(AND(C545=C544,W545=W544+1))),INDEX(DATAS,W544+1),"")</f>
        <v/>
      </c>
      <c r="AE544" s="33" t="str">
        <f aca="false">IF(AND(Y544=1,W544&lt;1),IF(AND(C545=C544,W545=W544+1),IF(Y545=1,"",INDEX(DATAS,W544+1)),INDEX(DATAS,W544+1)),"")</f>
        <v/>
      </c>
    </row>
    <row r="545" customFormat="false" ht="15" hidden="false" customHeight="false" outlineLevel="0" collapsed="false">
      <c r="A545" s="33" t="n">
        <v>46309</v>
      </c>
      <c r="B545" s="0" t="n">
        <v>5</v>
      </c>
      <c r="C545" s="0" t="n">
        <v>4340</v>
      </c>
      <c r="D545" s="0" t="n">
        <v>225</v>
      </c>
      <c r="E545" s="0" t="n">
        <v>2</v>
      </c>
      <c r="F545" s="27" t="s">
        <v>528</v>
      </c>
      <c r="G545" s="0" t="n">
        <v>37.7</v>
      </c>
      <c r="H545" s="0" t="n">
        <v>35</v>
      </c>
      <c r="I545" s="27" t="s">
        <v>138</v>
      </c>
      <c r="J545" s="0" t="n">
        <v>96</v>
      </c>
      <c r="K545" s="0" t="n">
        <v>71</v>
      </c>
      <c r="L545" s="0" t="n">
        <v>129</v>
      </c>
      <c r="M545" s="0" t="n">
        <v>536.42</v>
      </c>
      <c r="N545" s="0" t="n">
        <v>29.14</v>
      </c>
      <c r="O545" s="0" t="n">
        <v>16.57</v>
      </c>
      <c r="P545" s="0" t="n">
        <v>5.63</v>
      </c>
      <c r="Q545" s="0" t="n">
        <v>4.09</v>
      </c>
      <c r="R545" s="0" t="n">
        <v>4565</v>
      </c>
      <c r="S545" s="0" t="n">
        <v>8153</v>
      </c>
      <c r="T545" s="0" t="n">
        <v>51</v>
      </c>
      <c r="U545" s="0" t="n">
        <v>1429</v>
      </c>
      <c r="V545" s="0" t="n">
        <v>2</v>
      </c>
      <c r="W545" s="27" t="n">
        <f aca="false">MATCH(A545,DATAS,0)</f>
        <v>1</v>
      </c>
      <c r="X545" s="27" t="n">
        <f aca="false">IF(AND(E545&gt;0,OR(AND(B545&gt;=1,B545&lt;=6),B545=10)),1,0)</f>
        <v>1</v>
      </c>
      <c r="Y545" s="27" t="n">
        <f aca="false">IF(AND(E545&gt;0,B545=10),1,0)</f>
        <v>0</v>
      </c>
      <c r="Z545" s="0" t="str">
        <f aca="false">IF(AND(C544=C545,W544=W545-1),X544,"")</f>
        <v/>
      </c>
      <c r="AA545" s="0" t="str">
        <f aca="false">IF(AND(C544=C545,W544=W545-1),Y544,"")</f>
        <v/>
      </c>
      <c r="AB545" s="0" t="str">
        <f aca="false">IF(W545=1,"",IF(AND(X545=1,Z545&lt;&gt;1),1,0))</f>
        <v/>
      </c>
      <c r="AC545" s="0" t="str">
        <f aca="false">IF(W545=1,"",IF(AND(Y545=1,AA545&lt;&gt;1),1,0))</f>
        <v/>
      </c>
      <c r="AD545" s="33" t="str">
        <f aca="false">IF(AND(E545&gt;0,W545&lt;1,NOT(AND(C546=C545,W546=W545+1))),INDEX(DATAS,W545+1),"")</f>
        <v/>
      </c>
      <c r="AE545" s="33" t="str">
        <f aca="false">IF(AND(Y545=1,W545&lt;1),IF(AND(C546=C545,W546=W545+1),IF(Y546=1,"",INDEX(DATAS,W545+1)),INDEX(DATAS,W545+1)),"")</f>
        <v/>
      </c>
    </row>
    <row r="546" customFormat="false" ht="15" hidden="false" customHeight="false" outlineLevel="0" collapsed="false">
      <c r="A546" s="33" t="n">
        <v>46309</v>
      </c>
      <c r="B546" s="0" t="n">
        <v>7</v>
      </c>
      <c r="C546" s="0" t="n">
        <v>4346</v>
      </c>
      <c r="D546" s="0" t="n">
        <v>291</v>
      </c>
      <c r="E546" s="0" t="n">
        <v>2</v>
      </c>
      <c r="F546" s="27" t="s">
        <v>529</v>
      </c>
      <c r="I546" s="27" t="s">
        <v>143</v>
      </c>
      <c r="J546" s="0" t="n">
        <v>68</v>
      </c>
      <c r="K546" s="0" t="n">
        <v>68</v>
      </c>
      <c r="L546" s="0" t="n">
        <v>238</v>
      </c>
      <c r="M546" s="0" t="n">
        <v>765.54</v>
      </c>
      <c r="N546" s="0" t="n">
        <v>48.16</v>
      </c>
      <c r="O546" s="0" t="n">
        <v>31.64</v>
      </c>
      <c r="P546" s="0" t="n">
        <v>4.91</v>
      </c>
      <c r="Q546" s="0" t="n">
        <v>4.17</v>
      </c>
      <c r="R546" s="0" t="n">
        <v>6405</v>
      </c>
      <c r="S546" s="0" t="n">
        <v>13160</v>
      </c>
      <c r="T546" s="0" t="n">
        <v>67.65</v>
      </c>
      <c r="U546" s="0" t="n">
        <v>1426</v>
      </c>
      <c r="V546" s="0" t="n">
        <v>1</v>
      </c>
      <c r="W546" s="27" t="n">
        <f aca="false">MATCH(A546,DATAS,0)</f>
        <v>1</v>
      </c>
      <c r="X546" s="27" t="n">
        <f aca="false">IF(AND(E546&gt;0,OR(AND(B546&gt;=1,B546&lt;=6),B546=10)),1,0)</f>
        <v>0</v>
      </c>
      <c r="Y546" s="27" t="n">
        <f aca="false">IF(AND(E546&gt;0,B546=10),1,0)</f>
        <v>0</v>
      </c>
      <c r="Z546" s="0" t="str">
        <f aca="false">IF(AND(C545=C546,W545=W546-1),X545,"")</f>
        <v/>
      </c>
      <c r="AA546" s="0" t="str">
        <f aca="false">IF(AND(C545=C546,W545=W546-1),Y545,"")</f>
        <v/>
      </c>
      <c r="AB546" s="0" t="str">
        <f aca="false">IF(W546=1,"",IF(AND(X546=1,Z546&lt;&gt;1),1,0))</f>
        <v/>
      </c>
      <c r="AC546" s="0" t="str">
        <f aca="false">IF(W546=1,"",IF(AND(Y546=1,AA546&lt;&gt;1),1,0))</f>
        <v/>
      </c>
      <c r="AD546" s="33" t="str">
        <f aca="false">IF(AND(E546&gt;0,W546&lt;1,NOT(AND(C547=C546,W547=W546+1))),INDEX(DATAS,W546+1),"")</f>
        <v/>
      </c>
      <c r="AE546" s="33" t="str">
        <f aca="false">IF(AND(Y546=1,W546&lt;1),IF(AND(C547=C546,W547=W546+1),IF(Y547=1,"",INDEX(DATAS,W546+1)),INDEX(DATAS,W546+1)),"")</f>
        <v/>
      </c>
    </row>
    <row r="547" customFormat="false" ht="15" hidden="false" customHeight="false" outlineLevel="0" collapsed="false">
      <c r="A547" s="33" t="n">
        <v>46309</v>
      </c>
      <c r="B547" s="0" t="n">
        <v>5</v>
      </c>
      <c r="C547" s="0" t="n">
        <v>4351</v>
      </c>
      <c r="D547" s="0" t="n">
        <v>57</v>
      </c>
      <c r="E547" s="0" t="n">
        <v>3</v>
      </c>
      <c r="F547" s="27" t="s">
        <v>530</v>
      </c>
      <c r="G547" s="0" t="n">
        <v>36.1</v>
      </c>
      <c r="H547" s="0" t="n">
        <v>36</v>
      </c>
      <c r="I547" s="27" t="s">
        <v>147</v>
      </c>
      <c r="J547" s="0" t="n">
        <v>57</v>
      </c>
      <c r="M547" s="0" t="n">
        <v>765.85</v>
      </c>
      <c r="N547" s="0" t="n">
        <v>68.24</v>
      </c>
      <c r="O547" s="0" t="n">
        <v>41.31</v>
      </c>
      <c r="P547" s="0" t="n">
        <v>4.15</v>
      </c>
      <c r="Q547" s="0" t="n">
        <v>3.48</v>
      </c>
      <c r="R547" s="0" t="n">
        <v>3918</v>
      </c>
      <c r="S547" s="0" t="n">
        <v>7876</v>
      </c>
      <c r="U547" s="0" t="n">
        <v>1424</v>
      </c>
      <c r="V547" s="0" t="n">
        <v>0</v>
      </c>
      <c r="W547" s="27" t="n">
        <f aca="false">MATCH(A547,DATAS,0)</f>
        <v>1</v>
      </c>
      <c r="X547" s="27" t="n">
        <f aca="false">IF(AND(E547&gt;0,OR(AND(B547&gt;=1,B547&lt;=6),B547=10)),1,0)</f>
        <v>1</v>
      </c>
      <c r="Y547" s="27" t="n">
        <f aca="false">IF(AND(E547&gt;0,B547=10),1,0)</f>
        <v>0</v>
      </c>
      <c r="Z547" s="0" t="str">
        <f aca="false">IF(AND(C546=C547,W546=W547-1),X546,"")</f>
        <v/>
      </c>
      <c r="AA547" s="0" t="str">
        <f aca="false">IF(AND(C546=C547,W546=W547-1),Y546,"")</f>
        <v/>
      </c>
      <c r="AB547" s="0" t="str">
        <f aca="false">IF(W547=1,"",IF(AND(X547=1,Z547&lt;&gt;1),1,0))</f>
        <v/>
      </c>
      <c r="AC547" s="0" t="str">
        <f aca="false">IF(W547=1,"",IF(AND(Y547=1,AA547&lt;&gt;1),1,0))</f>
        <v/>
      </c>
      <c r="AD547" s="33" t="str">
        <f aca="false">IF(AND(E547&gt;0,W547&lt;1,NOT(AND(C548=C547,W548=W547+1))),INDEX(DATAS,W547+1),"")</f>
        <v/>
      </c>
      <c r="AE547" s="33" t="str">
        <f aca="false">IF(AND(Y547=1,W547&lt;1),IF(AND(C548=C547,W548=W547+1),IF(Y548=1,"",INDEX(DATAS,W547+1)),INDEX(DATAS,W547+1)),"")</f>
        <v/>
      </c>
    </row>
    <row r="548" customFormat="false" ht="15" hidden="false" customHeight="false" outlineLevel="0" collapsed="false">
      <c r="A548" s="33" t="n">
        <v>46309</v>
      </c>
      <c r="B548" s="0" t="n">
        <v>2</v>
      </c>
      <c r="C548" s="0" t="n">
        <v>4352</v>
      </c>
      <c r="D548" s="0" t="n">
        <v>99</v>
      </c>
      <c r="E548" s="0" t="n">
        <v>3</v>
      </c>
      <c r="F548" s="27" t="s">
        <v>531</v>
      </c>
      <c r="G548" s="0" t="n">
        <v>61.8</v>
      </c>
      <c r="H548" s="0" t="n">
        <v>59</v>
      </c>
      <c r="I548" s="27" t="s">
        <v>176</v>
      </c>
      <c r="J548" s="0" t="n">
        <v>99</v>
      </c>
      <c r="K548" s="0" t="n">
        <v>64</v>
      </c>
      <c r="M548" s="0" t="n">
        <v>722.72</v>
      </c>
      <c r="N548" s="0" t="n">
        <v>62.01</v>
      </c>
      <c r="O548" s="0" t="n">
        <v>34.85</v>
      </c>
      <c r="P548" s="0" t="n">
        <v>2.49</v>
      </c>
      <c r="Q548" s="0" t="n">
        <v>3.13</v>
      </c>
      <c r="R548" s="0" t="n">
        <v>5550</v>
      </c>
      <c r="S548" s="0" t="n">
        <v>11156</v>
      </c>
      <c r="T548" s="0" t="n">
        <v>65.95</v>
      </c>
      <c r="U548" s="0" t="n">
        <v>1419</v>
      </c>
      <c r="V548" s="0" t="n">
        <v>1</v>
      </c>
      <c r="W548" s="27" t="n">
        <f aca="false">MATCH(A548,DATAS,0)</f>
        <v>1</v>
      </c>
      <c r="X548" s="27" t="n">
        <f aca="false">IF(AND(E548&gt;0,OR(AND(B548&gt;=1,B548&lt;=6),B548=10)),1,0)</f>
        <v>1</v>
      </c>
      <c r="Y548" s="27" t="n">
        <f aca="false">IF(AND(E548&gt;0,B548=10),1,0)</f>
        <v>0</v>
      </c>
      <c r="Z548" s="0" t="str">
        <f aca="false">IF(AND(C547=C548,W547=W548-1),X547,"")</f>
        <v/>
      </c>
      <c r="AA548" s="0" t="str">
        <f aca="false">IF(AND(C547=C548,W547=W548-1),Y547,"")</f>
        <v/>
      </c>
      <c r="AB548" s="0" t="str">
        <f aca="false">IF(W548=1,"",IF(AND(X548=1,Z548&lt;&gt;1),1,0))</f>
        <v/>
      </c>
      <c r="AC548" s="0" t="str">
        <f aca="false">IF(W548=1,"",IF(AND(Y548=1,AA548&lt;&gt;1),1,0))</f>
        <v/>
      </c>
      <c r="AD548" s="33" t="str">
        <f aca="false">IF(AND(E548&gt;0,W548&lt;1,NOT(AND(C549=C548,W549=W548+1))),INDEX(DATAS,W548+1),"")</f>
        <v/>
      </c>
      <c r="AE548" s="33" t="str">
        <f aca="false">IF(AND(Y548=1,W548&lt;1),IF(AND(C549=C548,W549=W548+1),IF(Y549=1,"",INDEX(DATAS,W548+1)),INDEX(DATAS,W548+1)),"")</f>
        <v/>
      </c>
    </row>
    <row r="549" customFormat="false" ht="15" hidden="false" customHeight="false" outlineLevel="0" collapsed="false">
      <c r="A549" s="33" t="n">
        <v>46309</v>
      </c>
      <c r="B549" s="0" t="n">
        <v>5</v>
      </c>
      <c r="C549" s="0" t="n">
        <v>4353</v>
      </c>
      <c r="D549" s="0" t="n">
        <v>190</v>
      </c>
      <c r="E549" s="0" t="n">
        <v>2</v>
      </c>
      <c r="F549" s="27" t="s">
        <v>532</v>
      </c>
      <c r="G549" s="0" t="n">
        <v>38.5</v>
      </c>
      <c r="H549" s="0" t="n">
        <v>43</v>
      </c>
      <c r="I549" s="27" t="s">
        <v>138</v>
      </c>
      <c r="J549" s="0" t="n">
        <v>134</v>
      </c>
      <c r="K549" s="0" t="n">
        <v>64</v>
      </c>
      <c r="L549" s="0" t="n">
        <v>56</v>
      </c>
      <c r="M549" s="0" t="n">
        <v>664.21</v>
      </c>
      <c r="N549" s="0" t="n">
        <v>47.82</v>
      </c>
      <c r="O549" s="0" t="n">
        <v>30.95</v>
      </c>
      <c r="P549" s="0" t="n">
        <v>4.05</v>
      </c>
      <c r="Q549" s="0" t="n">
        <v>3.28</v>
      </c>
      <c r="R549" s="0" t="n">
        <v>5082</v>
      </c>
      <c r="S549" s="0" t="n">
        <v>9933</v>
      </c>
      <c r="T549" s="0" t="n">
        <v>57.6</v>
      </c>
      <c r="U549" s="0" t="n">
        <v>1418</v>
      </c>
      <c r="V549" s="0" t="n">
        <v>2</v>
      </c>
      <c r="W549" s="27" t="n">
        <f aca="false">MATCH(A549,DATAS,0)</f>
        <v>1</v>
      </c>
      <c r="X549" s="27" t="n">
        <f aca="false">IF(AND(E549&gt;0,OR(AND(B549&gt;=1,B549&lt;=6),B549=10)),1,0)</f>
        <v>1</v>
      </c>
      <c r="Y549" s="27" t="n">
        <f aca="false">IF(AND(E549&gt;0,B549=10),1,0)</f>
        <v>0</v>
      </c>
      <c r="Z549" s="0" t="str">
        <f aca="false">IF(AND(C548=C549,W548=W549-1),X548,"")</f>
        <v/>
      </c>
      <c r="AA549" s="0" t="str">
        <f aca="false">IF(AND(C548=C549,W548=W549-1),Y548,"")</f>
        <v/>
      </c>
      <c r="AB549" s="0" t="str">
        <f aca="false">IF(W549=1,"",IF(AND(X549=1,Z549&lt;&gt;1),1,0))</f>
        <v/>
      </c>
      <c r="AC549" s="0" t="str">
        <f aca="false">IF(W549=1,"",IF(AND(Y549=1,AA549&lt;&gt;1),1,0))</f>
        <v/>
      </c>
      <c r="AD549" s="33" t="str">
        <f aca="false">IF(AND(E549&gt;0,W549&lt;1,NOT(AND(C550=C549,W550=W549+1))),INDEX(DATAS,W549+1),"")</f>
        <v/>
      </c>
      <c r="AE549" s="33" t="str">
        <f aca="false">IF(AND(Y549=1,W549&lt;1),IF(AND(C550=C549,W550=W549+1),IF(Y550=1,"",INDEX(DATAS,W549+1)),INDEX(DATAS,W549+1)),"")</f>
        <v/>
      </c>
    </row>
    <row r="550" customFormat="false" ht="15" hidden="false" customHeight="false" outlineLevel="0" collapsed="false">
      <c r="A550" s="33" t="n">
        <v>46309</v>
      </c>
      <c r="B550" s="0" t="n">
        <v>5</v>
      </c>
      <c r="C550" s="0" t="n">
        <v>4356</v>
      </c>
      <c r="D550" s="0" t="n">
        <v>432</v>
      </c>
      <c r="E550" s="0" t="n">
        <v>2</v>
      </c>
      <c r="F550" s="27" t="s">
        <v>533</v>
      </c>
      <c r="G550" s="0" t="n">
        <v>41</v>
      </c>
      <c r="H550" s="0" t="n">
        <v>38</v>
      </c>
      <c r="I550" s="27" t="s">
        <v>138</v>
      </c>
      <c r="J550" s="0" t="n">
        <v>313</v>
      </c>
      <c r="K550" s="0" t="n">
        <v>61</v>
      </c>
      <c r="L550" s="0" t="n">
        <v>119</v>
      </c>
      <c r="M550" s="0" t="n">
        <v>958.56</v>
      </c>
      <c r="N550" s="0" t="n">
        <v>58.41</v>
      </c>
      <c r="O550" s="0" t="n">
        <v>34.6</v>
      </c>
      <c r="P550" s="0" t="n">
        <v>4.3</v>
      </c>
      <c r="Q550" s="0" t="n">
        <v>4.08</v>
      </c>
      <c r="R550" s="0" t="n">
        <v>5748</v>
      </c>
      <c r="S550" s="0" t="n">
        <v>11742</v>
      </c>
      <c r="T550" s="0" t="n">
        <v>61.65</v>
      </c>
      <c r="U550" s="0" t="n">
        <v>1417</v>
      </c>
      <c r="V550" s="0" t="n">
        <v>6</v>
      </c>
      <c r="W550" s="27" t="n">
        <f aca="false">MATCH(A550,DATAS,0)</f>
        <v>1</v>
      </c>
      <c r="X550" s="27" t="n">
        <f aca="false">IF(AND(E550&gt;0,OR(AND(B550&gt;=1,B550&lt;=6),B550=10)),1,0)</f>
        <v>1</v>
      </c>
      <c r="Y550" s="27" t="n">
        <f aca="false">IF(AND(E550&gt;0,B550=10),1,0)</f>
        <v>0</v>
      </c>
      <c r="Z550" s="0" t="str">
        <f aca="false">IF(AND(C549=C550,W549=W550-1),X549,"")</f>
        <v/>
      </c>
      <c r="AA550" s="0" t="str">
        <f aca="false">IF(AND(C549=C550,W549=W550-1),Y549,"")</f>
        <v/>
      </c>
      <c r="AB550" s="0" t="str">
        <f aca="false">IF(W550=1,"",IF(AND(X550=1,Z550&lt;&gt;1),1,0))</f>
        <v/>
      </c>
      <c r="AC550" s="0" t="str">
        <f aca="false">IF(W550=1,"",IF(AND(Y550=1,AA550&lt;&gt;1),1,0))</f>
        <v/>
      </c>
      <c r="AD550" s="33" t="str">
        <f aca="false">IF(AND(E550&gt;0,W550&lt;1,NOT(AND(C551=C550,W551=W550+1))),INDEX(DATAS,W550+1),"")</f>
        <v/>
      </c>
      <c r="AE550" s="33" t="str">
        <f aca="false">IF(AND(Y550=1,W550&lt;1),IF(AND(C551=C550,W551=W550+1),IF(Y551=1,"",INDEX(DATAS,W550+1)),INDEX(DATAS,W550+1)),"")</f>
        <v/>
      </c>
    </row>
    <row r="551" customFormat="false" ht="15" hidden="false" customHeight="false" outlineLevel="0" collapsed="false">
      <c r="A551" s="33" t="n">
        <v>46309</v>
      </c>
      <c r="B551" s="0" t="n">
        <v>2</v>
      </c>
      <c r="C551" s="0" t="n">
        <v>4357</v>
      </c>
      <c r="D551" s="0" t="n">
        <v>75</v>
      </c>
      <c r="E551" s="0" t="n">
        <v>3</v>
      </c>
      <c r="F551" s="27" t="s">
        <v>533</v>
      </c>
      <c r="G551" s="0" t="n">
        <v>57</v>
      </c>
      <c r="H551" s="0" t="n">
        <v>52</v>
      </c>
      <c r="I551" s="27" t="s">
        <v>168</v>
      </c>
      <c r="J551" s="0" t="n">
        <v>75</v>
      </c>
      <c r="K551" s="0" t="n">
        <v>68</v>
      </c>
      <c r="M551" s="0" t="n">
        <v>419.04</v>
      </c>
      <c r="N551" s="0" t="n">
        <v>79.03</v>
      </c>
      <c r="O551" s="0" t="n">
        <v>40.21</v>
      </c>
      <c r="P551" s="0" t="n">
        <v>3.04</v>
      </c>
      <c r="Q551" s="0" t="n">
        <v>3.56</v>
      </c>
      <c r="R551" s="0" t="n">
        <v>4942</v>
      </c>
      <c r="S551" s="0" t="n">
        <v>9934</v>
      </c>
      <c r="U551" s="0" t="n">
        <v>1417</v>
      </c>
      <c r="V551" s="0" t="n">
        <v>1</v>
      </c>
      <c r="W551" s="27" t="n">
        <f aca="false">MATCH(A551,DATAS,0)</f>
        <v>1</v>
      </c>
      <c r="X551" s="27" t="n">
        <f aca="false">IF(AND(E551&gt;0,OR(AND(B551&gt;=1,B551&lt;=6),B551=10)),1,0)</f>
        <v>1</v>
      </c>
      <c r="Y551" s="27" t="n">
        <f aca="false">IF(AND(E551&gt;0,B551=10),1,0)</f>
        <v>0</v>
      </c>
      <c r="Z551" s="0" t="str">
        <f aca="false">IF(AND(C550=C551,W550=W551-1),X550,"")</f>
        <v/>
      </c>
      <c r="AA551" s="0" t="str">
        <f aca="false">IF(AND(C550=C551,W550=W551-1),Y550,"")</f>
        <v/>
      </c>
      <c r="AB551" s="0" t="str">
        <f aca="false">IF(W551=1,"",IF(AND(X551=1,Z551&lt;&gt;1),1,0))</f>
        <v/>
      </c>
      <c r="AC551" s="0" t="str">
        <f aca="false">IF(W551=1,"",IF(AND(Y551=1,AA551&lt;&gt;1),1,0))</f>
        <v/>
      </c>
      <c r="AD551" s="33" t="str">
        <f aca="false">IF(AND(E551&gt;0,W551&lt;1,NOT(AND(C552=C551,W552=W551+1))),INDEX(DATAS,W551+1),"")</f>
        <v/>
      </c>
      <c r="AE551" s="33" t="str">
        <f aca="false">IF(AND(Y551=1,W551&lt;1),IF(AND(C552=C551,W552=W551+1),IF(Y552=1,"",INDEX(DATAS,W551+1)),INDEX(DATAS,W551+1)),"")</f>
        <v/>
      </c>
    </row>
    <row r="552" customFormat="false" ht="15" hidden="false" customHeight="false" outlineLevel="0" collapsed="false">
      <c r="A552" s="33" t="n">
        <v>46309</v>
      </c>
      <c r="B552" s="0" t="n">
        <v>14</v>
      </c>
      <c r="C552" s="0" t="n">
        <v>4358</v>
      </c>
      <c r="D552" s="0" t="n">
        <v>359</v>
      </c>
      <c r="E552" s="0" t="n">
        <v>2</v>
      </c>
      <c r="F552" s="27" t="s">
        <v>533</v>
      </c>
      <c r="I552" s="27" t="s">
        <v>143</v>
      </c>
      <c r="J552" s="0" t="n">
        <v>136</v>
      </c>
      <c r="K552" s="0" t="n">
        <v>66</v>
      </c>
      <c r="L552" s="0" t="n">
        <v>273</v>
      </c>
      <c r="M552" s="0" t="n">
        <v>949.47</v>
      </c>
      <c r="N552" s="0" t="n">
        <v>51.34</v>
      </c>
      <c r="O552" s="0" t="n">
        <v>37.94</v>
      </c>
      <c r="P552" s="0" t="n">
        <v>3.24</v>
      </c>
      <c r="Q552" s="0" t="n">
        <v>3.86</v>
      </c>
      <c r="R552" s="0" t="n">
        <v>6750</v>
      </c>
      <c r="S552" s="0" t="n">
        <v>12981</v>
      </c>
      <c r="T552" s="0" t="n">
        <v>76.4</v>
      </c>
      <c r="U552" s="0" t="n">
        <v>1417</v>
      </c>
      <c r="V552" s="0" t="n">
        <v>3</v>
      </c>
      <c r="W552" s="27" t="n">
        <f aca="false">MATCH(A552,DATAS,0)</f>
        <v>1</v>
      </c>
      <c r="X552" s="27" t="n">
        <f aca="false">IF(AND(E552&gt;0,OR(AND(B552&gt;=1,B552&lt;=6),B552=10)),1,0)</f>
        <v>0</v>
      </c>
      <c r="Y552" s="27" t="n">
        <f aca="false">IF(AND(E552&gt;0,B552=10),1,0)</f>
        <v>0</v>
      </c>
      <c r="Z552" s="0" t="str">
        <f aca="false">IF(AND(C551=C552,W551=W552-1),X551,"")</f>
        <v/>
      </c>
      <c r="AA552" s="0" t="str">
        <f aca="false">IF(AND(C551=C552,W551=W552-1),Y551,"")</f>
        <v/>
      </c>
      <c r="AB552" s="0" t="str">
        <f aca="false">IF(W552=1,"",IF(AND(X552=1,Z552&lt;&gt;1),1,0))</f>
        <v/>
      </c>
      <c r="AC552" s="0" t="str">
        <f aca="false">IF(W552=1,"",IF(AND(Y552=1,AA552&lt;&gt;1),1,0))</f>
        <v/>
      </c>
      <c r="AD552" s="33" t="str">
        <f aca="false">IF(AND(E552&gt;0,W552&lt;1,NOT(AND(C553=C552,W553=W552+1))),INDEX(DATAS,W552+1),"")</f>
        <v/>
      </c>
      <c r="AE552" s="33" t="str">
        <f aca="false">IF(AND(Y552=1,W552&lt;1),IF(AND(C553=C552,W553=W552+1),IF(Y553=1,"",INDEX(DATAS,W552+1)),INDEX(DATAS,W552+1)),"")</f>
        <v/>
      </c>
    </row>
    <row r="553" customFormat="false" ht="15" hidden="false" customHeight="false" outlineLevel="0" collapsed="false">
      <c r="A553" s="33" t="n">
        <v>46309</v>
      </c>
      <c r="B553" s="0" t="n">
        <v>3</v>
      </c>
      <c r="C553" s="0" t="n">
        <v>4360</v>
      </c>
      <c r="D553" s="0" t="n">
        <v>97</v>
      </c>
      <c r="E553" s="0" t="n">
        <v>3</v>
      </c>
      <c r="F553" s="27" t="s">
        <v>533</v>
      </c>
      <c r="G553" s="0" t="n">
        <v>54.4</v>
      </c>
      <c r="H553" s="0" t="n">
        <v>55</v>
      </c>
      <c r="I553" s="27" t="s">
        <v>168</v>
      </c>
      <c r="J553" s="0" t="n">
        <v>97</v>
      </c>
      <c r="K553" s="0" t="n">
        <v>76</v>
      </c>
      <c r="M553" s="0" t="n">
        <v>916.18</v>
      </c>
      <c r="N553" s="0" t="n">
        <v>59.28</v>
      </c>
      <c r="O553" s="0" t="n">
        <v>30.14</v>
      </c>
      <c r="P553" s="0" t="n">
        <v>9.09</v>
      </c>
      <c r="Q553" s="0" t="n">
        <v>4.34</v>
      </c>
      <c r="R553" s="0" t="n">
        <v>5800</v>
      </c>
      <c r="S553" s="0" t="n">
        <v>11659</v>
      </c>
      <c r="T553" s="0" t="n">
        <v>56.45</v>
      </c>
      <c r="U553" s="0" t="n">
        <v>1417</v>
      </c>
      <c r="V553" s="0" t="n">
        <v>1</v>
      </c>
      <c r="W553" s="27" t="n">
        <f aca="false">MATCH(A553,DATAS,0)</f>
        <v>1</v>
      </c>
      <c r="X553" s="27" t="n">
        <f aca="false">IF(AND(E553&gt;0,OR(AND(B553&gt;=1,B553&lt;=6),B553=10)),1,0)</f>
        <v>1</v>
      </c>
      <c r="Y553" s="27" t="n">
        <f aca="false">IF(AND(E553&gt;0,B553=10),1,0)</f>
        <v>0</v>
      </c>
      <c r="Z553" s="0" t="str">
        <f aca="false">IF(AND(C552=C553,W552=W553-1),X552,"")</f>
        <v/>
      </c>
      <c r="AA553" s="0" t="str">
        <f aca="false">IF(AND(C552=C553,W552=W553-1),Y552,"")</f>
        <v/>
      </c>
      <c r="AB553" s="0" t="str">
        <f aca="false">IF(W553=1,"",IF(AND(X553=1,Z553&lt;&gt;1),1,0))</f>
        <v/>
      </c>
      <c r="AC553" s="0" t="str">
        <f aca="false">IF(W553=1,"",IF(AND(Y553=1,AA553&lt;&gt;1),1,0))</f>
        <v/>
      </c>
      <c r="AD553" s="33" t="str">
        <f aca="false">IF(AND(E553&gt;0,W553&lt;1,NOT(AND(C554=C553,W554=W553+1))),INDEX(DATAS,W553+1),"")</f>
        <v/>
      </c>
      <c r="AE553" s="33" t="str">
        <f aca="false">IF(AND(Y553=1,W553&lt;1),IF(AND(C554=C553,W554=W553+1),IF(Y554=1,"",INDEX(DATAS,W553+1)),INDEX(DATAS,W553+1)),"")</f>
        <v/>
      </c>
    </row>
    <row r="554" customFormat="false" ht="15" hidden="false" customHeight="false" outlineLevel="0" collapsed="false">
      <c r="A554" s="33" t="n">
        <v>46309</v>
      </c>
      <c r="B554" s="0" t="n">
        <v>2</v>
      </c>
      <c r="C554" s="0" t="n">
        <v>4361</v>
      </c>
      <c r="D554" s="0" t="n">
        <v>82</v>
      </c>
      <c r="E554" s="0" t="n">
        <v>3</v>
      </c>
      <c r="F554" s="27" t="s">
        <v>534</v>
      </c>
      <c r="G554" s="0" t="n">
        <v>59.5</v>
      </c>
      <c r="H554" s="0" t="n">
        <v>56</v>
      </c>
      <c r="I554" s="27" t="s">
        <v>168</v>
      </c>
      <c r="J554" s="0" t="n">
        <v>82</v>
      </c>
      <c r="K554" s="0" t="n">
        <v>68</v>
      </c>
      <c r="M554" s="0" t="n">
        <v>613.81</v>
      </c>
      <c r="N554" s="0" t="n">
        <v>43.92</v>
      </c>
      <c r="O554" s="0" t="n">
        <v>29.21</v>
      </c>
      <c r="P554" s="0" t="n">
        <v>2.43</v>
      </c>
      <c r="Q554" s="0" t="n">
        <v>2.93</v>
      </c>
      <c r="R554" s="0" t="n">
        <v>5509</v>
      </c>
      <c r="S554" s="0" t="n">
        <v>11074</v>
      </c>
      <c r="U554" s="0" t="n">
        <v>1416</v>
      </c>
      <c r="V554" s="0" t="n">
        <v>1</v>
      </c>
      <c r="W554" s="27" t="n">
        <f aca="false">MATCH(A554,DATAS,0)</f>
        <v>1</v>
      </c>
      <c r="X554" s="27" t="n">
        <f aca="false">IF(AND(E554&gt;0,OR(AND(B554&gt;=1,B554&lt;=6),B554=10)),1,0)</f>
        <v>1</v>
      </c>
      <c r="Y554" s="27" t="n">
        <f aca="false">IF(AND(E554&gt;0,B554=10),1,0)</f>
        <v>0</v>
      </c>
      <c r="Z554" s="0" t="str">
        <f aca="false">IF(AND(C553=C554,W553=W554-1),X553,"")</f>
        <v/>
      </c>
      <c r="AA554" s="0" t="str">
        <f aca="false">IF(AND(C553=C554,W553=W554-1),Y553,"")</f>
        <v/>
      </c>
      <c r="AB554" s="0" t="str">
        <f aca="false">IF(W554=1,"",IF(AND(X554=1,Z554&lt;&gt;1),1,0))</f>
        <v/>
      </c>
      <c r="AC554" s="0" t="str">
        <f aca="false">IF(W554=1,"",IF(AND(Y554=1,AA554&lt;&gt;1),1,0))</f>
        <v/>
      </c>
      <c r="AD554" s="33" t="str">
        <f aca="false">IF(AND(E554&gt;0,W554&lt;1,NOT(AND(C555=C554,W555=W554+1))),INDEX(DATAS,W554+1),"")</f>
        <v/>
      </c>
      <c r="AE554" s="33" t="str">
        <f aca="false">IF(AND(Y554=1,W554&lt;1),IF(AND(C555=C554,W555=W554+1),IF(Y555=1,"",INDEX(DATAS,W554+1)),INDEX(DATAS,W554+1)),"")</f>
        <v/>
      </c>
    </row>
    <row r="555" customFormat="false" ht="15" hidden="false" customHeight="false" outlineLevel="0" collapsed="false">
      <c r="A555" s="33" t="n">
        <v>46309</v>
      </c>
      <c r="B555" s="0" t="n">
        <v>5</v>
      </c>
      <c r="C555" s="0" t="n">
        <v>4362</v>
      </c>
      <c r="D555" s="0" t="n">
        <v>297</v>
      </c>
      <c r="E555" s="0" t="n">
        <v>2</v>
      </c>
      <c r="F555" s="27" t="s">
        <v>534</v>
      </c>
      <c r="G555" s="0" t="n">
        <v>46</v>
      </c>
      <c r="H555" s="0" t="n">
        <v>40</v>
      </c>
      <c r="I555" s="27" t="s">
        <v>138</v>
      </c>
      <c r="J555" s="0" t="n">
        <v>189</v>
      </c>
      <c r="K555" s="0" t="n">
        <v>66</v>
      </c>
      <c r="L555" s="0" t="n">
        <v>108</v>
      </c>
      <c r="M555" s="0" t="n">
        <v>124.44</v>
      </c>
      <c r="N555" s="0" t="n">
        <v>51.23</v>
      </c>
      <c r="O555" s="0" t="n">
        <v>18.38</v>
      </c>
      <c r="P555" s="0" t="n">
        <v>3.15</v>
      </c>
      <c r="Q555" s="0" t="n">
        <v>3.52</v>
      </c>
      <c r="R555" s="0" t="n">
        <v>5520</v>
      </c>
      <c r="S555" s="0" t="n">
        <v>10960</v>
      </c>
      <c r="T555" s="0" t="n">
        <v>60.25</v>
      </c>
      <c r="U555" s="0" t="n">
        <v>1416</v>
      </c>
      <c r="V555" s="0" t="n">
        <v>5</v>
      </c>
      <c r="W555" s="27" t="n">
        <f aca="false">MATCH(A555,DATAS,0)</f>
        <v>1</v>
      </c>
      <c r="X555" s="27" t="n">
        <f aca="false">IF(AND(E555&gt;0,OR(AND(B555&gt;=1,B555&lt;=6),B555=10)),1,0)</f>
        <v>1</v>
      </c>
      <c r="Y555" s="27" t="n">
        <f aca="false">IF(AND(E555&gt;0,B555=10),1,0)</f>
        <v>0</v>
      </c>
      <c r="Z555" s="0" t="str">
        <f aca="false">IF(AND(C554=C555,W554=W555-1),X554,"")</f>
        <v/>
      </c>
      <c r="AA555" s="0" t="str">
        <f aca="false">IF(AND(C554=C555,W554=W555-1),Y554,"")</f>
        <v/>
      </c>
      <c r="AB555" s="0" t="str">
        <f aca="false">IF(W555=1,"",IF(AND(X555=1,Z555&lt;&gt;1),1,0))</f>
        <v/>
      </c>
      <c r="AC555" s="0" t="str">
        <f aca="false">IF(W555=1,"",IF(AND(Y555=1,AA555&lt;&gt;1),1,0))</f>
        <v/>
      </c>
      <c r="AD555" s="33" t="str">
        <f aca="false">IF(AND(E555&gt;0,W555&lt;1,NOT(AND(C556=C555,W556=W555+1))),INDEX(DATAS,W555+1),"")</f>
        <v/>
      </c>
      <c r="AE555" s="33" t="str">
        <f aca="false">IF(AND(Y555=1,W555&lt;1),IF(AND(C556=C555,W556=W555+1),IF(Y556=1,"",INDEX(DATAS,W555+1)),INDEX(DATAS,W555+1)),"")</f>
        <v/>
      </c>
    </row>
    <row r="556" customFormat="false" ht="15" hidden="false" customHeight="false" outlineLevel="0" collapsed="false">
      <c r="A556" s="33" t="n">
        <v>46309</v>
      </c>
      <c r="B556" s="0" t="n">
        <v>5</v>
      </c>
      <c r="C556" s="0" t="n">
        <v>4366</v>
      </c>
      <c r="D556" s="0" t="n">
        <v>37</v>
      </c>
      <c r="E556" s="0" t="n">
        <v>3</v>
      </c>
      <c r="F556" s="27" t="s">
        <v>535</v>
      </c>
      <c r="G556" s="0" t="n">
        <v>46.6</v>
      </c>
      <c r="H556" s="0" t="n">
        <v>39</v>
      </c>
      <c r="I556" s="27" t="s">
        <v>147</v>
      </c>
      <c r="J556" s="0" t="n">
        <v>37</v>
      </c>
      <c r="M556" s="0" t="n">
        <v>17.79</v>
      </c>
      <c r="N556" s="0" t="n">
        <v>57.68</v>
      </c>
      <c r="O556" s="0" t="n">
        <v>18.87</v>
      </c>
      <c r="P556" s="0" t="n">
        <v>4.44</v>
      </c>
      <c r="Q556" s="0" t="n">
        <v>4.23</v>
      </c>
      <c r="R556" s="0" t="n">
        <v>3057</v>
      </c>
      <c r="S556" s="0" t="n">
        <v>6146</v>
      </c>
      <c r="U556" s="0" t="n">
        <v>1414</v>
      </c>
      <c r="V556" s="0" t="n">
        <v>0</v>
      </c>
      <c r="W556" s="27" t="n">
        <f aca="false">MATCH(A556,DATAS,0)</f>
        <v>1</v>
      </c>
      <c r="X556" s="27" t="n">
        <f aca="false">IF(AND(E556&gt;0,OR(AND(B556&gt;=1,B556&lt;=6),B556=10)),1,0)</f>
        <v>1</v>
      </c>
      <c r="Y556" s="27" t="n">
        <f aca="false">IF(AND(E556&gt;0,B556=10),1,0)</f>
        <v>0</v>
      </c>
      <c r="Z556" s="0" t="str">
        <f aca="false">IF(AND(C555=C556,W555=W556-1),X555,"")</f>
        <v/>
      </c>
      <c r="AA556" s="0" t="str">
        <f aca="false">IF(AND(C555=C556,W555=W556-1),Y555,"")</f>
        <v/>
      </c>
      <c r="AB556" s="0" t="str">
        <f aca="false">IF(W556=1,"",IF(AND(X556=1,Z556&lt;&gt;1),1,0))</f>
        <v/>
      </c>
      <c r="AC556" s="0" t="str">
        <f aca="false">IF(W556=1,"",IF(AND(Y556=1,AA556&lt;&gt;1),1,0))</f>
        <v/>
      </c>
      <c r="AD556" s="33" t="str">
        <f aca="false">IF(AND(E556&gt;0,W556&lt;1,NOT(AND(C557=C556,W557=W556+1))),INDEX(DATAS,W556+1),"")</f>
        <v/>
      </c>
      <c r="AE556" s="33" t="str">
        <f aca="false">IF(AND(Y556=1,W556&lt;1),IF(AND(C557=C556,W557=W556+1),IF(Y557=1,"",INDEX(DATAS,W556+1)),INDEX(DATAS,W556+1)),"")</f>
        <v/>
      </c>
    </row>
    <row r="557" customFormat="false" ht="15" hidden="false" customHeight="false" outlineLevel="0" collapsed="false">
      <c r="A557" s="33" t="n">
        <v>46309</v>
      </c>
      <c r="B557" s="0" t="n">
        <v>3</v>
      </c>
      <c r="C557" s="0" t="n">
        <v>4367</v>
      </c>
      <c r="D557" s="0" t="n">
        <v>84</v>
      </c>
      <c r="E557" s="0" t="n">
        <v>3</v>
      </c>
      <c r="F557" s="27" t="s">
        <v>536</v>
      </c>
      <c r="G557" s="0" t="n">
        <v>63.3</v>
      </c>
      <c r="H557" s="0" t="n">
        <v>64</v>
      </c>
      <c r="I557" s="27" t="s">
        <v>168</v>
      </c>
      <c r="J557" s="0" t="n">
        <v>84</v>
      </c>
      <c r="K557" s="0" t="n">
        <v>63</v>
      </c>
      <c r="M557" s="0" t="n">
        <v>467.73</v>
      </c>
      <c r="N557" s="0" t="n">
        <v>51.99</v>
      </c>
      <c r="O557" s="0" t="n">
        <v>15.54</v>
      </c>
      <c r="P557" s="0" t="n">
        <v>3.12</v>
      </c>
      <c r="Q557" s="0" t="n">
        <v>2.73</v>
      </c>
      <c r="R557" s="0" t="n">
        <v>5515</v>
      </c>
      <c r="S557" s="0" t="n">
        <v>11086</v>
      </c>
      <c r="U557" s="0" t="n">
        <v>1413</v>
      </c>
      <c r="V557" s="0" t="n">
        <v>1</v>
      </c>
      <c r="W557" s="27" t="n">
        <f aca="false">MATCH(A557,DATAS,0)</f>
        <v>1</v>
      </c>
      <c r="X557" s="27" t="n">
        <f aca="false">IF(AND(E557&gt;0,OR(AND(B557&gt;=1,B557&lt;=6),B557=10)),1,0)</f>
        <v>1</v>
      </c>
      <c r="Y557" s="27" t="n">
        <f aca="false">IF(AND(E557&gt;0,B557=10),1,0)</f>
        <v>0</v>
      </c>
      <c r="Z557" s="0" t="str">
        <f aca="false">IF(AND(C556=C557,W556=W557-1),X556,"")</f>
        <v/>
      </c>
      <c r="AA557" s="0" t="str">
        <f aca="false">IF(AND(C556=C557,W556=W557-1),Y556,"")</f>
        <v/>
      </c>
      <c r="AB557" s="0" t="str">
        <f aca="false">IF(W557=1,"",IF(AND(X557=1,Z557&lt;&gt;1),1,0))</f>
        <v/>
      </c>
      <c r="AC557" s="0" t="str">
        <f aca="false">IF(W557=1,"",IF(AND(Y557=1,AA557&lt;&gt;1),1,0))</f>
        <v/>
      </c>
      <c r="AD557" s="33" t="str">
        <f aca="false">IF(AND(E557&gt;0,W557&lt;1,NOT(AND(C558=C557,W558=W557+1))),INDEX(DATAS,W557+1),"")</f>
        <v/>
      </c>
      <c r="AE557" s="33" t="str">
        <f aca="false">IF(AND(Y557=1,W557&lt;1),IF(AND(C558=C557,W558=W557+1),IF(Y558=1,"",INDEX(DATAS,W557+1)),INDEX(DATAS,W557+1)),"")</f>
        <v/>
      </c>
    </row>
    <row r="558" customFormat="false" ht="15" hidden="false" customHeight="false" outlineLevel="0" collapsed="false">
      <c r="A558" s="33" t="n">
        <v>46309</v>
      </c>
      <c r="B558" s="0" t="n">
        <v>3</v>
      </c>
      <c r="C558" s="0" t="n">
        <v>4370</v>
      </c>
      <c r="D558" s="0" t="n">
        <v>287</v>
      </c>
      <c r="E558" s="0" t="n">
        <v>2</v>
      </c>
      <c r="F558" s="27" t="s">
        <v>537</v>
      </c>
      <c r="G558" s="0" t="n">
        <v>57.2</v>
      </c>
      <c r="H558" s="0" t="n">
        <v>58</v>
      </c>
      <c r="I558" s="27" t="s">
        <v>138</v>
      </c>
      <c r="J558" s="0" t="n">
        <v>245</v>
      </c>
      <c r="K558" s="0" t="n">
        <v>63</v>
      </c>
      <c r="L558" s="0" t="n">
        <v>42</v>
      </c>
      <c r="M558" s="0" t="n">
        <v>1130.56</v>
      </c>
      <c r="N558" s="0" t="n">
        <v>36.86</v>
      </c>
      <c r="O558" s="0" t="n">
        <v>40.23</v>
      </c>
      <c r="P558" s="0" t="n">
        <v>3.33</v>
      </c>
      <c r="Q558" s="0" t="n">
        <v>3.6</v>
      </c>
      <c r="R558" s="0" t="n">
        <v>7127</v>
      </c>
      <c r="S558" s="0" t="n">
        <v>12861</v>
      </c>
      <c r="T558" s="0" t="n">
        <v>71.25</v>
      </c>
      <c r="U558" s="0" t="n">
        <v>1412</v>
      </c>
      <c r="V558" s="0" t="n">
        <v>7</v>
      </c>
      <c r="W558" s="27" t="n">
        <f aca="false">MATCH(A558,DATAS,0)</f>
        <v>1</v>
      </c>
      <c r="X558" s="27" t="n">
        <f aca="false">IF(AND(E558&gt;0,OR(AND(B558&gt;=1,B558&lt;=6),B558=10)),1,0)</f>
        <v>1</v>
      </c>
      <c r="Y558" s="27" t="n">
        <f aca="false">IF(AND(E558&gt;0,B558=10),1,0)</f>
        <v>0</v>
      </c>
      <c r="Z558" s="0" t="str">
        <f aca="false">IF(AND(C557=C558,W557=W558-1),X557,"")</f>
        <v/>
      </c>
      <c r="AA558" s="0" t="str">
        <f aca="false">IF(AND(C557=C558,W557=W558-1),Y557,"")</f>
        <v/>
      </c>
      <c r="AB558" s="0" t="str">
        <f aca="false">IF(W558=1,"",IF(AND(X558=1,Z558&lt;&gt;1),1,0))</f>
        <v/>
      </c>
      <c r="AC558" s="0" t="str">
        <f aca="false">IF(W558=1,"",IF(AND(Y558=1,AA558&lt;&gt;1),1,0))</f>
        <v/>
      </c>
      <c r="AD558" s="33" t="str">
        <f aca="false">IF(AND(E558&gt;0,W558&lt;1,NOT(AND(C559=C558,W559=W558+1))),INDEX(DATAS,W558+1),"")</f>
        <v/>
      </c>
      <c r="AE558" s="33" t="str">
        <f aca="false">IF(AND(Y558=1,W558&lt;1),IF(AND(C559=C558,W559=W558+1),IF(Y559=1,"",INDEX(DATAS,W558+1)),INDEX(DATAS,W558+1)),"")</f>
        <v/>
      </c>
    </row>
    <row r="559" customFormat="false" ht="15" hidden="false" customHeight="false" outlineLevel="0" collapsed="false">
      <c r="A559" s="33" t="n">
        <v>46309</v>
      </c>
      <c r="B559" s="0" t="n">
        <v>5</v>
      </c>
      <c r="C559" s="0" t="n">
        <v>4372</v>
      </c>
      <c r="D559" s="0" t="n">
        <v>347</v>
      </c>
      <c r="E559" s="0" t="n">
        <v>2</v>
      </c>
      <c r="F559" s="27" t="s">
        <v>538</v>
      </c>
      <c r="G559" s="0" t="n">
        <v>38.2</v>
      </c>
      <c r="H559" s="0" t="n">
        <v>31</v>
      </c>
      <c r="I559" s="27" t="s">
        <v>168</v>
      </c>
      <c r="J559" s="0" t="n">
        <v>347</v>
      </c>
      <c r="K559" s="0" t="n">
        <v>68</v>
      </c>
      <c r="M559" s="0" t="n">
        <v>327.17</v>
      </c>
      <c r="N559" s="0" t="n">
        <v>54.68</v>
      </c>
      <c r="O559" s="0" t="n">
        <v>24.81</v>
      </c>
      <c r="P559" s="0" t="n">
        <v>4.19</v>
      </c>
      <c r="Q559" s="0" t="n">
        <v>4.54</v>
      </c>
      <c r="R559" s="0" t="n">
        <v>5519</v>
      </c>
      <c r="S559" s="0" t="n">
        <v>9264</v>
      </c>
      <c r="T559" s="0" t="n">
        <v>55.55</v>
      </c>
      <c r="U559" s="0" t="n">
        <v>1410</v>
      </c>
      <c r="V559" s="0" t="n">
        <v>8</v>
      </c>
      <c r="W559" s="27" t="n">
        <f aca="false">MATCH(A559,DATAS,0)</f>
        <v>1</v>
      </c>
      <c r="X559" s="27" t="n">
        <f aca="false">IF(AND(E559&gt;0,OR(AND(B559&gt;=1,B559&lt;=6),B559=10)),1,0)</f>
        <v>1</v>
      </c>
      <c r="Y559" s="27" t="n">
        <f aca="false">IF(AND(E559&gt;0,B559=10),1,0)</f>
        <v>0</v>
      </c>
      <c r="Z559" s="0" t="str">
        <f aca="false">IF(AND(C558=C559,W558=W559-1),X558,"")</f>
        <v/>
      </c>
      <c r="AA559" s="0" t="str">
        <f aca="false">IF(AND(C558=C559,W558=W559-1),Y558,"")</f>
        <v/>
      </c>
      <c r="AB559" s="0" t="str">
        <f aca="false">IF(W559=1,"",IF(AND(X559=1,Z559&lt;&gt;1),1,0))</f>
        <v/>
      </c>
      <c r="AC559" s="0" t="str">
        <f aca="false">IF(W559=1,"",IF(AND(Y559=1,AA559&lt;&gt;1),1,0))</f>
        <v/>
      </c>
      <c r="AD559" s="33" t="str">
        <f aca="false">IF(AND(E559&gt;0,W559&lt;1,NOT(AND(C560=C559,W560=W559+1))),INDEX(DATAS,W559+1),"")</f>
        <v/>
      </c>
      <c r="AE559" s="33" t="str">
        <f aca="false">IF(AND(Y559=1,W559&lt;1),IF(AND(C560=C559,W560=W559+1),IF(Y560=1,"",INDEX(DATAS,W559+1)),INDEX(DATAS,W559+1)),"")</f>
        <v/>
      </c>
    </row>
    <row r="560" customFormat="false" ht="15" hidden="false" customHeight="false" outlineLevel="0" collapsed="false">
      <c r="A560" s="33" t="n">
        <v>46309</v>
      </c>
      <c r="B560" s="0" t="n">
        <v>5</v>
      </c>
      <c r="C560" s="0" t="n">
        <v>4373</v>
      </c>
      <c r="D560" s="0" t="n">
        <v>332</v>
      </c>
      <c r="E560" s="0" t="n">
        <v>2</v>
      </c>
      <c r="F560" s="27" t="s">
        <v>539</v>
      </c>
      <c r="I560" s="27" t="s">
        <v>138</v>
      </c>
      <c r="J560" s="0" t="n">
        <v>123</v>
      </c>
      <c r="K560" s="0" t="n">
        <v>66</v>
      </c>
      <c r="L560" s="0" t="n">
        <v>209</v>
      </c>
      <c r="M560" s="0" t="n">
        <v>150.82</v>
      </c>
      <c r="N560" s="0" t="n">
        <v>63.4</v>
      </c>
      <c r="O560" s="0" t="n">
        <v>25.01</v>
      </c>
      <c r="P560" s="0" t="n">
        <v>4.59</v>
      </c>
      <c r="Q560" s="0" t="n">
        <v>3.99</v>
      </c>
      <c r="R560" s="0" t="n">
        <v>6818</v>
      </c>
      <c r="S560" s="0" t="n">
        <v>12472</v>
      </c>
      <c r="T560" s="0" t="n">
        <v>72.15</v>
      </c>
      <c r="U560" s="0" t="n">
        <v>1409</v>
      </c>
      <c r="V560" s="0" t="n">
        <v>3</v>
      </c>
      <c r="W560" s="27" t="n">
        <f aca="false">MATCH(A560,DATAS,0)</f>
        <v>1</v>
      </c>
      <c r="X560" s="27" t="n">
        <f aca="false">IF(AND(E560&gt;0,OR(AND(B560&gt;=1,B560&lt;=6),B560=10)),1,0)</f>
        <v>1</v>
      </c>
      <c r="Y560" s="27" t="n">
        <f aca="false">IF(AND(E560&gt;0,B560=10),1,0)</f>
        <v>0</v>
      </c>
      <c r="Z560" s="0" t="str">
        <f aca="false">IF(AND(C559=C560,W559=W560-1),X559,"")</f>
        <v/>
      </c>
      <c r="AA560" s="0" t="str">
        <f aca="false">IF(AND(C559=C560,W559=W560-1),Y559,"")</f>
        <v/>
      </c>
      <c r="AB560" s="0" t="str">
        <f aca="false">IF(W560=1,"",IF(AND(X560=1,Z560&lt;&gt;1),1,0))</f>
        <v/>
      </c>
      <c r="AC560" s="0" t="str">
        <f aca="false">IF(W560=1,"",IF(AND(Y560=1,AA560&lt;&gt;1),1,0))</f>
        <v/>
      </c>
      <c r="AD560" s="33" t="str">
        <f aca="false">IF(AND(E560&gt;0,W560&lt;1,NOT(AND(C561=C560,W561=W560+1))),INDEX(DATAS,W560+1),"")</f>
        <v/>
      </c>
      <c r="AE560" s="33" t="str">
        <f aca="false">IF(AND(Y560=1,W560&lt;1),IF(AND(C561=C560,W561=W560+1),IF(Y561=1,"",INDEX(DATAS,W560+1)),INDEX(DATAS,W560+1)),"")</f>
        <v/>
      </c>
    </row>
    <row r="561" customFormat="false" ht="15" hidden="false" customHeight="false" outlineLevel="0" collapsed="false">
      <c r="A561" s="33" t="n">
        <v>46309</v>
      </c>
      <c r="B561" s="0" t="n">
        <v>6</v>
      </c>
      <c r="C561" s="0" t="n">
        <v>4376</v>
      </c>
      <c r="D561" s="0" t="n">
        <v>217</v>
      </c>
      <c r="E561" s="0" t="n">
        <v>2</v>
      </c>
      <c r="F561" s="27" t="s">
        <v>539</v>
      </c>
      <c r="H561" s="0" t="n">
        <v>22</v>
      </c>
      <c r="I561" s="27" t="s">
        <v>138</v>
      </c>
      <c r="J561" s="0" t="n">
        <v>67</v>
      </c>
      <c r="K561" s="0" t="n">
        <v>67</v>
      </c>
      <c r="L561" s="0" t="n">
        <v>150</v>
      </c>
      <c r="M561" s="0" t="n">
        <v>375.23</v>
      </c>
      <c r="N561" s="0" t="n">
        <v>36.05</v>
      </c>
      <c r="O561" s="0" t="n">
        <v>20.8</v>
      </c>
      <c r="P561" s="0" t="n">
        <v>5.17</v>
      </c>
      <c r="Q561" s="0" t="n">
        <v>3.92</v>
      </c>
      <c r="R561" s="0" t="n">
        <v>2474</v>
      </c>
      <c r="S561" s="0" t="n">
        <v>5360</v>
      </c>
      <c r="T561" s="0" t="n">
        <v>26.8</v>
      </c>
      <c r="U561" s="0" t="n">
        <v>1409</v>
      </c>
      <c r="V561" s="0" t="n">
        <v>1</v>
      </c>
      <c r="W561" s="27" t="n">
        <f aca="false">MATCH(A561,DATAS,0)</f>
        <v>1</v>
      </c>
      <c r="X561" s="27" t="n">
        <f aca="false">IF(AND(E561&gt;0,OR(AND(B561&gt;=1,B561&lt;=6),B561=10)),1,0)</f>
        <v>1</v>
      </c>
      <c r="Y561" s="27" t="n">
        <f aca="false">IF(AND(E561&gt;0,B561=10),1,0)</f>
        <v>0</v>
      </c>
      <c r="Z561" s="0" t="str">
        <f aca="false">IF(AND(C560=C561,W560=W561-1),X560,"")</f>
        <v/>
      </c>
      <c r="AA561" s="0" t="str">
        <f aca="false">IF(AND(C560=C561,W560=W561-1),Y560,"")</f>
        <v/>
      </c>
      <c r="AB561" s="0" t="str">
        <f aca="false">IF(W561=1,"",IF(AND(X561=1,Z561&lt;&gt;1),1,0))</f>
        <v/>
      </c>
      <c r="AC561" s="0" t="str">
        <f aca="false">IF(W561=1,"",IF(AND(Y561=1,AA561&lt;&gt;1),1,0))</f>
        <v/>
      </c>
      <c r="AD561" s="33" t="str">
        <f aca="false">IF(AND(E561&gt;0,W561&lt;1,NOT(AND(C562=C561,W562=W561+1))),INDEX(DATAS,W561+1),"")</f>
        <v/>
      </c>
      <c r="AE561" s="33" t="str">
        <f aca="false">IF(AND(Y561=1,W561&lt;1),IF(AND(C562=C561,W562=W561+1),IF(Y562=1,"",INDEX(DATAS,W561+1)),INDEX(DATAS,W561+1)),"")</f>
        <v/>
      </c>
    </row>
    <row r="562" customFormat="false" ht="15" hidden="false" customHeight="false" outlineLevel="0" collapsed="false">
      <c r="A562" s="33" t="n">
        <v>46309</v>
      </c>
      <c r="B562" s="0" t="n">
        <v>3</v>
      </c>
      <c r="C562" s="0" t="n">
        <v>4378</v>
      </c>
      <c r="D562" s="0" t="n">
        <v>5</v>
      </c>
      <c r="E562" s="0" t="n">
        <v>3</v>
      </c>
      <c r="F562" s="27" t="s">
        <v>540</v>
      </c>
      <c r="G562" s="0" t="n">
        <v>35.3</v>
      </c>
      <c r="H562" s="0" t="n">
        <v>22</v>
      </c>
      <c r="I562" s="27" t="s">
        <v>147</v>
      </c>
      <c r="J562" s="0" t="n">
        <v>5</v>
      </c>
      <c r="M562" s="0" t="n">
        <v>606.89</v>
      </c>
      <c r="N562" s="0" t="n">
        <v>46.44</v>
      </c>
      <c r="O562" s="0" t="n">
        <v>30.14</v>
      </c>
      <c r="R562" s="0" t="n">
        <v>2041</v>
      </c>
      <c r="S562" s="0" t="n">
        <v>4104</v>
      </c>
      <c r="U562" s="0" t="n">
        <v>1404</v>
      </c>
      <c r="V562" s="0" t="n">
        <v>0</v>
      </c>
      <c r="W562" s="27" t="n">
        <f aca="false">MATCH(A562,DATAS,0)</f>
        <v>1</v>
      </c>
      <c r="X562" s="27" t="n">
        <f aca="false">IF(AND(E562&gt;0,OR(AND(B562&gt;=1,B562&lt;=6),B562=10)),1,0)</f>
        <v>1</v>
      </c>
      <c r="Y562" s="27" t="n">
        <f aca="false">IF(AND(E562&gt;0,B562=10),1,0)</f>
        <v>0</v>
      </c>
      <c r="Z562" s="0" t="str">
        <f aca="false">IF(AND(C561=C562,W561=W562-1),X561,"")</f>
        <v/>
      </c>
      <c r="AA562" s="0" t="str">
        <f aca="false">IF(AND(C561=C562,W561=W562-1),Y561,"")</f>
        <v/>
      </c>
      <c r="AB562" s="0" t="str">
        <f aca="false">IF(W562=1,"",IF(AND(X562=1,Z562&lt;&gt;1),1,0))</f>
        <v/>
      </c>
      <c r="AC562" s="0" t="str">
        <f aca="false">IF(W562=1,"",IF(AND(Y562=1,AA562&lt;&gt;1),1,0))</f>
        <v/>
      </c>
      <c r="AD562" s="33" t="str">
        <f aca="false">IF(AND(E562&gt;0,W562&lt;1,NOT(AND(C563=C562,W563=W562+1))),INDEX(DATAS,W562+1),"")</f>
        <v/>
      </c>
      <c r="AE562" s="33" t="str">
        <f aca="false">IF(AND(Y562=1,W562&lt;1),IF(AND(C563=C562,W563=W562+1),IF(Y563=1,"",INDEX(DATAS,W562+1)),INDEX(DATAS,W562+1)),"")</f>
        <v/>
      </c>
    </row>
    <row r="563" customFormat="false" ht="15" hidden="false" customHeight="false" outlineLevel="0" collapsed="false">
      <c r="A563" s="33" t="n">
        <v>46309</v>
      </c>
      <c r="B563" s="0" t="n">
        <v>5</v>
      </c>
      <c r="C563" s="0" t="n">
        <v>4379</v>
      </c>
      <c r="D563" s="0" t="n">
        <v>328</v>
      </c>
      <c r="E563" s="0" t="n">
        <v>2</v>
      </c>
      <c r="F563" s="27" t="s">
        <v>541</v>
      </c>
      <c r="G563" s="0" t="n">
        <v>25.8</v>
      </c>
      <c r="H563" s="0" t="n">
        <v>24</v>
      </c>
      <c r="I563" s="27" t="s">
        <v>138</v>
      </c>
      <c r="J563" s="0" t="n">
        <v>251</v>
      </c>
      <c r="K563" s="0" t="n">
        <v>62</v>
      </c>
      <c r="L563" s="0" t="n">
        <v>77</v>
      </c>
      <c r="M563" s="0" t="n">
        <v>594.69</v>
      </c>
      <c r="N563" s="0" t="n">
        <v>62.66</v>
      </c>
      <c r="O563" s="0" t="n">
        <v>38.2</v>
      </c>
      <c r="P563" s="0" t="n">
        <v>5.13</v>
      </c>
      <c r="Q563" s="0" t="n">
        <v>4.84</v>
      </c>
      <c r="R563" s="0" t="n">
        <v>5212</v>
      </c>
      <c r="S563" s="0" t="n">
        <v>10168</v>
      </c>
      <c r="T563" s="0" t="n">
        <v>56.2</v>
      </c>
      <c r="U563" s="0" t="n">
        <v>1402</v>
      </c>
      <c r="V563" s="0" t="n">
        <v>6</v>
      </c>
      <c r="W563" s="27" t="n">
        <f aca="false">MATCH(A563,DATAS,0)</f>
        <v>1</v>
      </c>
      <c r="X563" s="27" t="n">
        <f aca="false">IF(AND(E563&gt;0,OR(AND(B563&gt;=1,B563&lt;=6),B563=10)),1,0)</f>
        <v>1</v>
      </c>
      <c r="Y563" s="27" t="n">
        <f aca="false">IF(AND(E563&gt;0,B563=10),1,0)</f>
        <v>0</v>
      </c>
      <c r="Z563" s="0" t="str">
        <f aca="false">IF(AND(C562=C563,W562=W563-1),X562,"")</f>
        <v/>
      </c>
      <c r="AA563" s="0" t="str">
        <f aca="false">IF(AND(C562=C563,W562=W563-1),Y562,"")</f>
        <v/>
      </c>
      <c r="AB563" s="0" t="str">
        <f aca="false">IF(W563=1,"",IF(AND(X563=1,Z563&lt;&gt;1),1,0))</f>
        <v/>
      </c>
      <c r="AC563" s="0" t="str">
        <f aca="false">IF(W563=1,"",IF(AND(Y563=1,AA563&lt;&gt;1),1,0))</f>
        <v/>
      </c>
      <c r="AD563" s="33" t="str">
        <f aca="false">IF(AND(E563&gt;0,W563&lt;1,NOT(AND(C564=C563,W564=W563+1))),INDEX(DATAS,W563+1),"")</f>
        <v/>
      </c>
      <c r="AE563" s="33" t="str">
        <f aca="false">IF(AND(Y563=1,W563&lt;1),IF(AND(C564=C563,W564=W563+1),IF(Y564=1,"",INDEX(DATAS,W563+1)),INDEX(DATAS,W563+1)),"")</f>
        <v/>
      </c>
    </row>
    <row r="564" customFormat="false" ht="15" hidden="false" customHeight="false" outlineLevel="0" collapsed="false">
      <c r="A564" s="33" t="n">
        <v>46309</v>
      </c>
      <c r="B564" s="0" t="n">
        <v>5</v>
      </c>
      <c r="C564" s="0" t="n">
        <v>4380</v>
      </c>
      <c r="D564" s="0" t="n">
        <v>297</v>
      </c>
      <c r="E564" s="0" t="n">
        <v>2</v>
      </c>
      <c r="F564" s="27" t="s">
        <v>542</v>
      </c>
      <c r="G564" s="0" t="n">
        <v>35.3</v>
      </c>
      <c r="H564" s="0" t="n">
        <v>41</v>
      </c>
      <c r="I564" s="27" t="s">
        <v>138</v>
      </c>
      <c r="J564" s="0" t="n">
        <v>227</v>
      </c>
      <c r="K564" s="0" t="n">
        <v>101</v>
      </c>
      <c r="L564" s="0" t="n">
        <v>70</v>
      </c>
      <c r="M564" s="0" t="n">
        <v>1002.46</v>
      </c>
      <c r="N564" s="0" t="n">
        <v>40.48</v>
      </c>
      <c r="O564" s="0" t="n">
        <v>35.01</v>
      </c>
      <c r="P564" s="0" t="n">
        <v>2.91</v>
      </c>
      <c r="Q564" s="0" t="n">
        <v>3.68</v>
      </c>
      <c r="R564" s="0" t="n">
        <v>5528</v>
      </c>
      <c r="S564" s="0" t="n">
        <v>10622</v>
      </c>
      <c r="T564" s="0" t="n">
        <v>65.65</v>
      </c>
      <c r="U564" s="0" t="n">
        <v>1401</v>
      </c>
      <c r="V564" s="0" t="n">
        <v>4</v>
      </c>
      <c r="W564" s="27" t="n">
        <f aca="false">MATCH(A564,DATAS,0)</f>
        <v>1</v>
      </c>
      <c r="X564" s="27" t="n">
        <f aca="false">IF(AND(E564&gt;0,OR(AND(B564&gt;=1,B564&lt;=6),B564=10)),1,0)</f>
        <v>1</v>
      </c>
      <c r="Y564" s="27" t="n">
        <f aca="false">IF(AND(E564&gt;0,B564=10),1,0)</f>
        <v>0</v>
      </c>
      <c r="Z564" s="0" t="str">
        <f aca="false">IF(AND(C563=C564,W563=W564-1),X563,"")</f>
        <v/>
      </c>
      <c r="AA564" s="0" t="str">
        <f aca="false">IF(AND(C563=C564,W563=W564-1),Y563,"")</f>
        <v/>
      </c>
      <c r="AB564" s="0" t="str">
        <f aca="false">IF(W564=1,"",IF(AND(X564=1,Z564&lt;&gt;1),1,0))</f>
        <v/>
      </c>
      <c r="AC564" s="0" t="str">
        <f aca="false">IF(W564=1,"",IF(AND(Y564=1,AA564&lt;&gt;1),1,0))</f>
        <v/>
      </c>
      <c r="AD564" s="33" t="str">
        <f aca="false">IF(AND(E564&gt;0,W564&lt;1,NOT(AND(C565=C564,W565=W564+1))),INDEX(DATAS,W564+1),"")</f>
        <v/>
      </c>
      <c r="AE564" s="33" t="str">
        <f aca="false">IF(AND(Y564=1,W564&lt;1),IF(AND(C565=C564,W565=W564+1),IF(Y565=1,"",INDEX(DATAS,W564+1)),INDEX(DATAS,W564+1)),"")</f>
        <v/>
      </c>
    </row>
    <row r="565" customFormat="false" ht="15" hidden="false" customHeight="false" outlineLevel="0" collapsed="false">
      <c r="A565" s="33" t="n">
        <v>46309</v>
      </c>
      <c r="B565" s="0" t="n">
        <v>14</v>
      </c>
      <c r="C565" s="0" t="n">
        <v>4382</v>
      </c>
      <c r="D565" s="0" t="n">
        <v>637</v>
      </c>
      <c r="E565" s="0" t="n">
        <v>1</v>
      </c>
      <c r="F565" s="27" t="s">
        <v>542</v>
      </c>
      <c r="I565" s="27" t="s">
        <v>143</v>
      </c>
      <c r="J565" s="0" t="n">
        <v>414</v>
      </c>
      <c r="K565" s="0" t="n">
        <v>65</v>
      </c>
      <c r="L565" s="0" t="n">
        <v>266</v>
      </c>
      <c r="M565" s="0" t="n">
        <v>1074.53</v>
      </c>
      <c r="N565" s="0" t="n">
        <v>49.36</v>
      </c>
      <c r="O565" s="0" t="n">
        <v>27.88</v>
      </c>
      <c r="P565" s="0" t="n">
        <v>3.72</v>
      </c>
      <c r="Q565" s="0" t="n">
        <v>3.51</v>
      </c>
      <c r="R565" s="0" t="n">
        <v>4782</v>
      </c>
      <c r="S565" s="0" t="n">
        <v>10672</v>
      </c>
      <c r="T565" s="0" t="n">
        <v>39.5</v>
      </c>
      <c r="U565" s="0" t="n">
        <v>1401</v>
      </c>
      <c r="V565" s="0" t="n">
        <v>13</v>
      </c>
      <c r="W565" s="27" t="n">
        <f aca="false">MATCH(A565,DATAS,0)</f>
        <v>1</v>
      </c>
      <c r="X565" s="27" t="n">
        <f aca="false">IF(AND(E565&gt;0,OR(AND(B565&gt;=1,B565&lt;=6),B565=10)),1,0)</f>
        <v>0</v>
      </c>
      <c r="Y565" s="27" t="n">
        <f aca="false">IF(AND(E565&gt;0,B565=10),1,0)</f>
        <v>0</v>
      </c>
      <c r="Z565" s="0" t="str">
        <f aca="false">IF(AND(C564=C565,W564=W565-1),X564,"")</f>
        <v/>
      </c>
      <c r="AA565" s="0" t="str">
        <f aca="false">IF(AND(C564=C565,W564=W565-1),Y564,"")</f>
        <v/>
      </c>
      <c r="AB565" s="0" t="str">
        <f aca="false">IF(W565=1,"",IF(AND(X565=1,Z565&lt;&gt;1),1,0))</f>
        <v/>
      </c>
      <c r="AC565" s="0" t="str">
        <f aca="false">IF(W565=1,"",IF(AND(Y565=1,AA565&lt;&gt;1),1,0))</f>
        <v/>
      </c>
      <c r="AD565" s="33" t="str">
        <f aca="false">IF(AND(E565&gt;0,W565&lt;1,NOT(AND(C566=C565,W566=W565+1))),INDEX(DATAS,W565+1),"")</f>
        <v/>
      </c>
      <c r="AE565" s="33" t="str">
        <f aca="false">IF(AND(Y565=1,W565&lt;1),IF(AND(C566=C565,W566=W565+1),IF(Y566=1,"",INDEX(DATAS,W565+1)),INDEX(DATAS,W565+1)),"")</f>
        <v/>
      </c>
    </row>
    <row r="566" customFormat="false" ht="15" hidden="false" customHeight="false" outlineLevel="0" collapsed="false">
      <c r="A566" s="33" t="n">
        <v>46309</v>
      </c>
      <c r="B566" s="0" t="n">
        <v>7</v>
      </c>
      <c r="C566" s="0" t="n">
        <v>4383</v>
      </c>
      <c r="D566" s="0" t="n">
        <v>308</v>
      </c>
      <c r="E566" s="0" t="n">
        <v>2</v>
      </c>
      <c r="F566" s="27" t="s">
        <v>542</v>
      </c>
      <c r="I566" s="27" t="s">
        <v>143</v>
      </c>
      <c r="J566" s="0" t="n">
        <v>148</v>
      </c>
      <c r="K566" s="0" t="n">
        <v>64</v>
      </c>
      <c r="L566" s="0" t="n">
        <v>231</v>
      </c>
      <c r="M566" s="0" t="n">
        <v>381.97</v>
      </c>
      <c r="N566" s="0" t="n">
        <v>58.76</v>
      </c>
      <c r="O566" s="0" t="n">
        <v>25.56</v>
      </c>
      <c r="P566" s="0" t="n">
        <v>4.86</v>
      </c>
      <c r="Q566" s="0" t="n">
        <v>4.79</v>
      </c>
      <c r="R566" s="0" t="n">
        <v>4090</v>
      </c>
      <c r="S566" s="0" t="n">
        <v>8873</v>
      </c>
      <c r="T566" s="0" t="n">
        <v>44.25</v>
      </c>
      <c r="U566" s="0" t="n">
        <v>1401</v>
      </c>
      <c r="V566" s="0" t="n">
        <v>3</v>
      </c>
      <c r="W566" s="27" t="n">
        <f aca="false">MATCH(A566,DATAS,0)</f>
        <v>1</v>
      </c>
      <c r="X566" s="27" t="n">
        <f aca="false">IF(AND(E566&gt;0,OR(AND(B566&gt;=1,B566&lt;=6),B566=10)),1,0)</f>
        <v>0</v>
      </c>
      <c r="Y566" s="27" t="n">
        <f aca="false">IF(AND(E566&gt;0,B566=10),1,0)</f>
        <v>0</v>
      </c>
      <c r="Z566" s="0" t="str">
        <f aca="false">IF(AND(C565=C566,W565=W566-1),X565,"")</f>
        <v/>
      </c>
      <c r="AA566" s="0" t="str">
        <f aca="false">IF(AND(C565=C566,W565=W566-1),Y565,"")</f>
        <v/>
      </c>
      <c r="AB566" s="0" t="str">
        <f aca="false">IF(W566=1,"",IF(AND(X566=1,Z566&lt;&gt;1),1,0))</f>
        <v/>
      </c>
      <c r="AC566" s="0" t="str">
        <f aca="false">IF(W566=1,"",IF(AND(Y566=1,AA566&lt;&gt;1),1,0))</f>
        <v/>
      </c>
      <c r="AD566" s="33" t="str">
        <f aca="false">IF(AND(E566&gt;0,W566&lt;1,NOT(AND(C567=C566,W567=W566+1))),INDEX(DATAS,W566+1),"")</f>
        <v/>
      </c>
      <c r="AE566" s="33" t="str">
        <f aca="false">IF(AND(Y566=1,W566&lt;1),IF(AND(C567=C566,W567=W566+1),IF(Y567=1,"",INDEX(DATAS,W566+1)),INDEX(DATAS,W566+1)),"")</f>
        <v/>
      </c>
    </row>
    <row r="567" customFormat="false" ht="15" hidden="false" customHeight="false" outlineLevel="0" collapsed="false">
      <c r="A567" s="33" t="n">
        <v>46309</v>
      </c>
      <c r="B567" s="0" t="n">
        <v>3</v>
      </c>
      <c r="C567" s="0" t="n">
        <v>4385</v>
      </c>
      <c r="D567" s="0" t="n">
        <v>90</v>
      </c>
      <c r="E567" s="0" t="n">
        <v>3</v>
      </c>
      <c r="F567" s="27" t="s">
        <v>542</v>
      </c>
      <c r="G567" s="0" t="n">
        <v>61.6</v>
      </c>
      <c r="H567" s="0" t="n">
        <v>58</v>
      </c>
      <c r="I567" s="27" t="s">
        <v>168</v>
      </c>
      <c r="J567" s="0" t="n">
        <v>90</v>
      </c>
      <c r="K567" s="0" t="n">
        <v>83</v>
      </c>
      <c r="M567" s="0" t="n">
        <v>1064.71</v>
      </c>
      <c r="N567" s="0" t="n">
        <v>47.58</v>
      </c>
      <c r="O567" s="0" t="n">
        <v>42.95</v>
      </c>
      <c r="P567" s="0" t="n">
        <v>3.51</v>
      </c>
      <c r="Q567" s="0" t="n">
        <v>3.2</v>
      </c>
      <c r="R567" s="0" t="n">
        <v>4983</v>
      </c>
      <c r="S567" s="0" t="n">
        <v>10017</v>
      </c>
      <c r="U567" s="0" t="n">
        <v>1401</v>
      </c>
      <c r="V567" s="0" t="n">
        <v>1</v>
      </c>
      <c r="W567" s="27" t="n">
        <f aca="false">MATCH(A567,DATAS,0)</f>
        <v>1</v>
      </c>
      <c r="X567" s="27" t="n">
        <f aca="false">IF(AND(E567&gt;0,OR(AND(B567&gt;=1,B567&lt;=6),B567=10)),1,0)</f>
        <v>1</v>
      </c>
      <c r="Y567" s="27" t="n">
        <f aca="false">IF(AND(E567&gt;0,B567=10),1,0)</f>
        <v>0</v>
      </c>
      <c r="Z567" s="0" t="str">
        <f aca="false">IF(AND(C566=C567,W566=W567-1),X566,"")</f>
        <v/>
      </c>
      <c r="AA567" s="0" t="str">
        <f aca="false">IF(AND(C566=C567,W566=W567-1),Y566,"")</f>
        <v/>
      </c>
      <c r="AB567" s="0" t="str">
        <f aca="false">IF(W567=1,"",IF(AND(X567=1,Z567&lt;&gt;1),1,0))</f>
        <v/>
      </c>
      <c r="AC567" s="0" t="str">
        <f aca="false">IF(W567=1,"",IF(AND(Y567=1,AA567&lt;&gt;1),1,0))</f>
        <v/>
      </c>
      <c r="AD567" s="33" t="str">
        <f aca="false">IF(AND(E567&gt;0,W567&lt;1,NOT(AND(C568=C567,W568=W567+1))),INDEX(DATAS,W567+1),"")</f>
        <v/>
      </c>
      <c r="AE567" s="33" t="str">
        <f aca="false">IF(AND(Y567=1,W567&lt;1),IF(AND(C568=C567,W568=W567+1),IF(Y568=1,"",INDEX(DATAS,W567+1)),INDEX(DATAS,W567+1)),"")</f>
        <v/>
      </c>
    </row>
    <row r="568" customFormat="false" ht="15" hidden="false" customHeight="false" outlineLevel="0" collapsed="false">
      <c r="A568" s="33" t="n">
        <v>46309</v>
      </c>
      <c r="B568" s="0" t="n">
        <v>6</v>
      </c>
      <c r="C568" s="0" t="n">
        <v>4386</v>
      </c>
      <c r="D568" s="0" t="n">
        <v>271</v>
      </c>
      <c r="E568" s="0" t="n">
        <v>2</v>
      </c>
      <c r="F568" s="27" t="s">
        <v>542</v>
      </c>
      <c r="G568" s="0" t="n">
        <v>29.2</v>
      </c>
      <c r="H568" s="0" t="n">
        <v>30</v>
      </c>
      <c r="I568" s="27" t="s">
        <v>138</v>
      </c>
      <c r="J568" s="0" t="n">
        <v>68</v>
      </c>
      <c r="K568" s="0" t="n">
        <v>68</v>
      </c>
      <c r="L568" s="0" t="n">
        <v>203</v>
      </c>
      <c r="M568" s="0" t="n">
        <v>527.39</v>
      </c>
      <c r="N568" s="0" t="n">
        <v>52.17</v>
      </c>
      <c r="O568" s="0" t="n">
        <v>24.05</v>
      </c>
      <c r="P568" s="0" t="n">
        <v>4.92</v>
      </c>
      <c r="Q568" s="0" t="n">
        <v>3.78</v>
      </c>
      <c r="R568" s="0" t="n">
        <v>5750</v>
      </c>
      <c r="S568" s="0" t="n">
        <v>9085</v>
      </c>
      <c r="T568" s="0" t="n">
        <v>60.6</v>
      </c>
      <c r="U568" s="0" t="n">
        <v>1401</v>
      </c>
      <c r="V568" s="0" t="n">
        <v>1</v>
      </c>
      <c r="W568" s="27" t="n">
        <f aca="false">MATCH(A568,DATAS,0)</f>
        <v>1</v>
      </c>
      <c r="X568" s="27" t="n">
        <f aca="false">IF(AND(E568&gt;0,OR(AND(B568&gt;=1,B568&lt;=6),B568=10)),1,0)</f>
        <v>1</v>
      </c>
      <c r="Y568" s="27" t="n">
        <f aca="false">IF(AND(E568&gt;0,B568=10),1,0)</f>
        <v>0</v>
      </c>
      <c r="Z568" s="0" t="str">
        <f aca="false">IF(AND(C567=C568,W567=W568-1),X567,"")</f>
        <v/>
      </c>
      <c r="AA568" s="0" t="str">
        <f aca="false">IF(AND(C567=C568,W567=W568-1),Y567,"")</f>
        <v/>
      </c>
      <c r="AB568" s="0" t="str">
        <f aca="false">IF(W568=1,"",IF(AND(X568=1,Z568&lt;&gt;1),1,0))</f>
        <v/>
      </c>
      <c r="AC568" s="0" t="str">
        <f aca="false">IF(W568=1,"",IF(AND(Y568=1,AA568&lt;&gt;1),1,0))</f>
        <v/>
      </c>
      <c r="AD568" s="33" t="str">
        <f aca="false">IF(AND(E568&gt;0,W568&lt;1,NOT(AND(C569=C568,W569=W568+1))),INDEX(DATAS,W568+1),"")</f>
        <v/>
      </c>
      <c r="AE568" s="33" t="str">
        <f aca="false">IF(AND(Y568=1,W568&lt;1),IF(AND(C569=C568,W569=W568+1),IF(Y569=1,"",INDEX(DATAS,W568+1)),INDEX(DATAS,W568+1)),"")</f>
        <v/>
      </c>
    </row>
    <row r="569" customFormat="false" ht="15" hidden="false" customHeight="false" outlineLevel="0" collapsed="false">
      <c r="A569" s="33" t="n">
        <v>46309</v>
      </c>
      <c r="B569" s="0" t="n">
        <v>2</v>
      </c>
      <c r="C569" s="0" t="n">
        <v>4387</v>
      </c>
      <c r="D569" s="0" t="n">
        <v>17</v>
      </c>
      <c r="E569" s="0" t="n">
        <v>3</v>
      </c>
      <c r="F569" s="27" t="s">
        <v>542</v>
      </c>
      <c r="G569" s="0" t="n">
        <v>53.5</v>
      </c>
      <c r="H569" s="0" t="n">
        <v>51</v>
      </c>
      <c r="I569" s="27" t="s">
        <v>147</v>
      </c>
      <c r="J569" s="0" t="n">
        <v>17</v>
      </c>
      <c r="M569" s="0" t="n">
        <v>710.84</v>
      </c>
      <c r="N569" s="0" t="n">
        <v>42.08</v>
      </c>
      <c r="O569" s="0" t="n">
        <v>29.93</v>
      </c>
      <c r="R569" s="0" t="n">
        <v>3888</v>
      </c>
      <c r="S569" s="0" t="n">
        <v>7815</v>
      </c>
      <c r="U569" s="0" t="n">
        <v>1401</v>
      </c>
      <c r="V569" s="0" t="n">
        <v>0</v>
      </c>
      <c r="W569" s="27" t="n">
        <f aca="false">MATCH(A569,DATAS,0)</f>
        <v>1</v>
      </c>
      <c r="X569" s="27" t="n">
        <f aca="false">IF(AND(E569&gt;0,OR(AND(B569&gt;=1,B569&lt;=6),B569=10)),1,0)</f>
        <v>1</v>
      </c>
      <c r="Y569" s="27" t="n">
        <f aca="false">IF(AND(E569&gt;0,B569=10),1,0)</f>
        <v>0</v>
      </c>
      <c r="Z569" s="0" t="str">
        <f aca="false">IF(AND(C568=C569,W568=W569-1),X568,"")</f>
        <v/>
      </c>
      <c r="AA569" s="0" t="str">
        <f aca="false">IF(AND(C568=C569,W568=W569-1),Y568,"")</f>
        <v/>
      </c>
      <c r="AB569" s="0" t="str">
        <f aca="false">IF(W569=1,"",IF(AND(X569=1,Z569&lt;&gt;1),1,0))</f>
        <v/>
      </c>
      <c r="AC569" s="0" t="str">
        <f aca="false">IF(W569=1,"",IF(AND(Y569=1,AA569&lt;&gt;1),1,0))</f>
        <v/>
      </c>
      <c r="AD569" s="33" t="str">
        <f aca="false">IF(AND(E569&gt;0,W569&lt;1,NOT(AND(C570=C569,W570=W569+1))),INDEX(DATAS,W569+1),"")</f>
        <v/>
      </c>
      <c r="AE569" s="33" t="str">
        <f aca="false">IF(AND(Y569=1,W569&lt;1),IF(AND(C570=C569,W570=W569+1),IF(Y570=1,"",INDEX(DATAS,W569+1)),INDEX(DATAS,W569+1)),"")</f>
        <v/>
      </c>
    </row>
    <row r="570" customFormat="false" ht="15" hidden="false" customHeight="false" outlineLevel="0" collapsed="false">
      <c r="A570" s="33" t="n">
        <v>46309</v>
      </c>
      <c r="B570" s="0" t="n">
        <v>3</v>
      </c>
      <c r="C570" s="0" t="n">
        <v>4389</v>
      </c>
      <c r="D570" s="0" t="n">
        <v>354</v>
      </c>
      <c r="E570" s="0" t="n">
        <v>2</v>
      </c>
      <c r="F570" s="27" t="s">
        <v>543</v>
      </c>
      <c r="G570" s="0" t="n">
        <v>40.4</v>
      </c>
      <c r="H570" s="0" t="n">
        <v>45</v>
      </c>
      <c r="I570" s="27" t="s">
        <v>138</v>
      </c>
      <c r="J570" s="0" t="n">
        <v>158</v>
      </c>
      <c r="K570" s="0" t="n">
        <v>68</v>
      </c>
      <c r="L570" s="0" t="n">
        <v>196</v>
      </c>
      <c r="M570" s="0" t="n">
        <v>726.35</v>
      </c>
      <c r="N570" s="0" t="n">
        <v>38.99</v>
      </c>
      <c r="O570" s="0" t="n">
        <v>34.48</v>
      </c>
      <c r="P570" s="0" t="n">
        <v>4.1</v>
      </c>
      <c r="Q570" s="0" t="n">
        <v>3.73</v>
      </c>
      <c r="R570" s="0" t="n">
        <v>6403</v>
      </c>
      <c r="S570" s="0" t="n">
        <v>13387</v>
      </c>
      <c r="T570" s="0" t="n">
        <v>68.35</v>
      </c>
      <c r="U570" s="0" t="n">
        <v>1400</v>
      </c>
      <c r="V570" s="0" t="n">
        <v>4</v>
      </c>
      <c r="W570" s="27" t="n">
        <f aca="false">MATCH(A570,DATAS,0)</f>
        <v>1</v>
      </c>
      <c r="X570" s="27" t="n">
        <f aca="false">IF(AND(E570&gt;0,OR(AND(B570&gt;=1,B570&lt;=6),B570=10)),1,0)</f>
        <v>1</v>
      </c>
      <c r="Y570" s="27" t="n">
        <f aca="false">IF(AND(E570&gt;0,B570=10),1,0)</f>
        <v>0</v>
      </c>
      <c r="Z570" s="0" t="str">
        <f aca="false">IF(AND(C569=C570,W569=W570-1),X569,"")</f>
        <v/>
      </c>
      <c r="AA570" s="0" t="str">
        <f aca="false">IF(AND(C569=C570,W569=W570-1),Y569,"")</f>
        <v/>
      </c>
      <c r="AB570" s="0" t="str">
        <f aca="false">IF(W570=1,"",IF(AND(X570=1,Z570&lt;&gt;1),1,0))</f>
        <v/>
      </c>
      <c r="AC570" s="0" t="str">
        <f aca="false">IF(W570=1,"",IF(AND(Y570=1,AA570&lt;&gt;1),1,0))</f>
        <v/>
      </c>
      <c r="AD570" s="33" t="str">
        <f aca="false">IF(AND(E570&gt;0,W570&lt;1,NOT(AND(C571=C570,W571=W570+1))),INDEX(DATAS,W570+1),"")</f>
        <v/>
      </c>
      <c r="AE570" s="33" t="str">
        <f aca="false">IF(AND(Y570=1,W570&lt;1),IF(AND(C571=C570,W571=W570+1),IF(Y571=1,"",INDEX(DATAS,W570+1)),INDEX(DATAS,W570+1)),"")</f>
        <v/>
      </c>
    </row>
    <row r="571" customFormat="false" ht="15" hidden="false" customHeight="false" outlineLevel="0" collapsed="false">
      <c r="A571" s="33" t="n">
        <v>46309</v>
      </c>
      <c r="B571" s="0" t="n">
        <v>3</v>
      </c>
      <c r="C571" s="0" t="n">
        <v>4390</v>
      </c>
      <c r="D571" s="0" t="n">
        <v>57</v>
      </c>
      <c r="E571" s="0" t="n">
        <v>3</v>
      </c>
      <c r="F571" s="27" t="s">
        <v>544</v>
      </c>
      <c r="G571" s="0" t="n">
        <v>56.2</v>
      </c>
      <c r="H571" s="0" t="n">
        <v>58</v>
      </c>
      <c r="I571" s="27" t="s">
        <v>147</v>
      </c>
      <c r="J571" s="0" t="n">
        <v>57</v>
      </c>
      <c r="M571" s="0" t="n">
        <v>650.13</v>
      </c>
      <c r="N571" s="0" t="n">
        <v>42.73</v>
      </c>
      <c r="O571" s="0" t="n">
        <v>43.9</v>
      </c>
      <c r="P571" s="0" t="n">
        <v>3.13</v>
      </c>
      <c r="Q571" s="0" t="n">
        <v>3.48</v>
      </c>
      <c r="R571" s="0" t="n">
        <v>5499</v>
      </c>
      <c r="S571" s="0" t="n">
        <v>11055</v>
      </c>
      <c r="U571" s="0" t="n">
        <v>1399</v>
      </c>
      <c r="V571" s="0" t="n">
        <v>0</v>
      </c>
      <c r="W571" s="27" t="n">
        <f aca="false">MATCH(A571,DATAS,0)</f>
        <v>1</v>
      </c>
      <c r="X571" s="27" t="n">
        <f aca="false">IF(AND(E571&gt;0,OR(AND(B571&gt;=1,B571&lt;=6),B571=10)),1,0)</f>
        <v>1</v>
      </c>
      <c r="Y571" s="27" t="n">
        <f aca="false">IF(AND(E571&gt;0,B571=10),1,0)</f>
        <v>0</v>
      </c>
      <c r="Z571" s="0" t="str">
        <f aca="false">IF(AND(C570=C571,W570=W571-1),X570,"")</f>
        <v/>
      </c>
      <c r="AA571" s="0" t="str">
        <f aca="false">IF(AND(C570=C571,W570=W571-1),Y570,"")</f>
        <v/>
      </c>
      <c r="AB571" s="0" t="str">
        <f aca="false">IF(W571=1,"",IF(AND(X571=1,Z571&lt;&gt;1),1,0))</f>
        <v/>
      </c>
      <c r="AC571" s="0" t="str">
        <f aca="false">IF(W571=1,"",IF(AND(Y571=1,AA571&lt;&gt;1),1,0))</f>
        <v/>
      </c>
      <c r="AD571" s="33" t="str">
        <f aca="false">IF(AND(E571&gt;0,W571&lt;1,NOT(AND(C572=C571,W572=W571+1))),INDEX(DATAS,W571+1),"")</f>
        <v/>
      </c>
      <c r="AE571" s="33" t="str">
        <f aca="false">IF(AND(Y571=1,W571&lt;1),IF(AND(C572=C571,W572=W571+1),IF(Y572=1,"",INDEX(DATAS,W571+1)),INDEX(DATAS,W571+1)),"")</f>
        <v/>
      </c>
    </row>
    <row r="572" customFormat="false" ht="15" hidden="false" customHeight="false" outlineLevel="0" collapsed="false">
      <c r="A572" s="33" t="n">
        <v>46309</v>
      </c>
      <c r="B572" s="0" t="n">
        <v>2</v>
      </c>
      <c r="C572" s="0" t="n">
        <v>4392</v>
      </c>
      <c r="D572" s="0" t="n">
        <v>86</v>
      </c>
      <c r="E572" s="0" t="n">
        <v>2</v>
      </c>
      <c r="F572" s="27" t="s">
        <v>544</v>
      </c>
      <c r="G572" s="0" t="n">
        <v>77.2</v>
      </c>
      <c r="H572" s="0" t="n">
        <v>74</v>
      </c>
      <c r="I572" s="27" t="s">
        <v>168</v>
      </c>
      <c r="J572" s="0" t="n">
        <v>86</v>
      </c>
      <c r="K572" s="0" t="n">
        <v>65</v>
      </c>
      <c r="M572" s="0" t="n">
        <v>1040.81</v>
      </c>
      <c r="N572" s="0" t="n">
        <v>39.27</v>
      </c>
      <c r="O572" s="0" t="n">
        <v>29.65</v>
      </c>
      <c r="P572" s="0" t="n">
        <v>1.73</v>
      </c>
      <c r="Q572" s="0" t="n">
        <v>3.16</v>
      </c>
      <c r="R572" s="0" t="n">
        <v>6060</v>
      </c>
      <c r="S572" s="0" t="n">
        <v>12181</v>
      </c>
      <c r="U572" s="0" t="n">
        <v>1399</v>
      </c>
      <c r="V572" s="0" t="n">
        <v>1</v>
      </c>
      <c r="W572" s="27" t="n">
        <f aca="false">MATCH(A572,DATAS,0)</f>
        <v>1</v>
      </c>
      <c r="X572" s="27" t="n">
        <f aca="false">IF(AND(E572&gt;0,OR(AND(B572&gt;=1,B572&lt;=6),B572=10)),1,0)</f>
        <v>1</v>
      </c>
      <c r="Y572" s="27" t="n">
        <f aca="false">IF(AND(E572&gt;0,B572=10),1,0)</f>
        <v>0</v>
      </c>
      <c r="Z572" s="0" t="str">
        <f aca="false">IF(AND(C571=C572,W571=W572-1),X571,"")</f>
        <v/>
      </c>
      <c r="AA572" s="0" t="str">
        <f aca="false">IF(AND(C571=C572,W571=W572-1),Y571,"")</f>
        <v/>
      </c>
      <c r="AB572" s="0" t="str">
        <f aca="false">IF(W572=1,"",IF(AND(X572=1,Z572&lt;&gt;1),1,0))</f>
        <v/>
      </c>
      <c r="AC572" s="0" t="str">
        <f aca="false">IF(W572=1,"",IF(AND(Y572=1,AA572&lt;&gt;1),1,0))</f>
        <v/>
      </c>
      <c r="AD572" s="33" t="str">
        <f aca="false">IF(AND(E572&gt;0,W572&lt;1,NOT(AND(C573=C572,W573=W572+1))),INDEX(DATAS,W572+1),"")</f>
        <v/>
      </c>
      <c r="AE572" s="33" t="str">
        <f aca="false">IF(AND(Y572=1,W572&lt;1),IF(AND(C573=C572,W573=W572+1),IF(Y573=1,"",INDEX(DATAS,W572+1)),INDEX(DATAS,W572+1)),"")</f>
        <v/>
      </c>
    </row>
    <row r="573" customFormat="false" ht="15" hidden="false" customHeight="false" outlineLevel="0" collapsed="false">
      <c r="A573" s="33" t="n">
        <v>46309</v>
      </c>
      <c r="B573" s="0" t="n">
        <v>3</v>
      </c>
      <c r="C573" s="0" t="n">
        <v>4393</v>
      </c>
      <c r="D573" s="0" t="n">
        <v>11</v>
      </c>
      <c r="E573" s="0" t="n">
        <v>3</v>
      </c>
      <c r="F573" s="27" t="s">
        <v>545</v>
      </c>
      <c r="G573" s="0" t="n">
        <v>47.7</v>
      </c>
      <c r="H573" s="0" t="n">
        <v>42</v>
      </c>
      <c r="I573" s="27" t="s">
        <v>147</v>
      </c>
      <c r="J573" s="0" t="n">
        <v>11</v>
      </c>
      <c r="M573" s="0" t="n">
        <v>516.35</v>
      </c>
      <c r="N573" s="0" t="n">
        <v>8.24</v>
      </c>
      <c r="O573" s="0" t="n">
        <v>10.99</v>
      </c>
      <c r="R573" s="0" t="n">
        <v>3125</v>
      </c>
      <c r="S573" s="0" t="n">
        <v>6282</v>
      </c>
      <c r="U573" s="0" t="n">
        <v>1396</v>
      </c>
      <c r="V573" s="0" t="n">
        <v>0</v>
      </c>
      <c r="W573" s="27" t="n">
        <f aca="false">MATCH(A573,DATAS,0)</f>
        <v>1</v>
      </c>
      <c r="X573" s="27" t="n">
        <f aca="false">IF(AND(E573&gt;0,OR(AND(B573&gt;=1,B573&lt;=6),B573=10)),1,0)</f>
        <v>1</v>
      </c>
      <c r="Y573" s="27" t="n">
        <f aca="false">IF(AND(E573&gt;0,B573=10),1,0)</f>
        <v>0</v>
      </c>
      <c r="Z573" s="0" t="str">
        <f aca="false">IF(AND(C572=C573,W572=W573-1),X572,"")</f>
        <v/>
      </c>
      <c r="AA573" s="0" t="str">
        <f aca="false">IF(AND(C572=C573,W572=W573-1),Y572,"")</f>
        <v/>
      </c>
      <c r="AB573" s="0" t="str">
        <f aca="false">IF(W573=1,"",IF(AND(X573=1,Z573&lt;&gt;1),1,0))</f>
        <v/>
      </c>
      <c r="AC573" s="0" t="str">
        <f aca="false">IF(W573=1,"",IF(AND(Y573=1,AA573&lt;&gt;1),1,0))</f>
        <v/>
      </c>
      <c r="AD573" s="33" t="str">
        <f aca="false">IF(AND(E573&gt;0,W573&lt;1,NOT(AND(C574=C573,W574=W573+1))),INDEX(DATAS,W573+1),"")</f>
        <v/>
      </c>
      <c r="AE573" s="33" t="str">
        <f aca="false">IF(AND(Y573=1,W573&lt;1),IF(AND(C574=C573,W574=W573+1),IF(Y574=1,"",INDEX(DATAS,W573+1)),INDEX(DATAS,W573+1)),"")</f>
        <v/>
      </c>
    </row>
    <row r="574" customFormat="false" ht="15" hidden="false" customHeight="false" outlineLevel="0" collapsed="false">
      <c r="A574" s="33" t="n">
        <v>46309</v>
      </c>
      <c r="B574" s="0" t="n">
        <v>3</v>
      </c>
      <c r="C574" s="0" t="n">
        <v>4394</v>
      </c>
      <c r="D574" s="0" t="n">
        <v>297</v>
      </c>
      <c r="E574" s="0" t="n">
        <v>2</v>
      </c>
      <c r="F574" s="27" t="s">
        <v>545</v>
      </c>
      <c r="G574" s="0" t="n">
        <v>44.3</v>
      </c>
      <c r="H574" s="0" t="n">
        <v>46</v>
      </c>
      <c r="I574" s="27" t="s">
        <v>138</v>
      </c>
      <c r="J574" s="0" t="n">
        <v>101</v>
      </c>
      <c r="K574" s="0" t="n">
        <v>73</v>
      </c>
      <c r="L574" s="0" t="n">
        <v>196</v>
      </c>
      <c r="M574" s="0" t="n">
        <v>844.18</v>
      </c>
      <c r="N574" s="0" t="n">
        <v>27.79</v>
      </c>
      <c r="O574" s="0" t="n">
        <v>28.02</v>
      </c>
      <c r="P574" s="0" t="n">
        <v>3.78</v>
      </c>
      <c r="Q574" s="0" t="n">
        <v>3.78</v>
      </c>
      <c r="R574" s="0" t="n">
        <v>5647</v>
      </c>
      <c r="S574" s="0" t="n">
        <v>11511</v>
      </c>
      <c r="T574" s="0" t="n">
        <v>61.55</v>
      </c>
      <c r="U574" s="0" t="n">
        <v>1396</v>
      </c>
      <c r="V574" s="0" t="n">
        <v>2</v>
      </c>
      <c r="W574" s="27" t="n">
        <f aca="false">MATCH(A574,DATAS,0)</f>
        <v>1</v>
      </c>
      <c r="X574" s="27" t="n">
        <f aca="false">IF(AND(E574&gt;0,OR(AND(B574&gt;=1,B574&lt;=6),B574=10)),1,0)</f>
        <v>1</v>
      </c>
      <c r="Y574" s="27" t="n">
        <f aca="false">IF(AND(E574&gt;0,B574=10),1,0)</f>
        <v>0</v>
      </c>
      <c r="Z574" s="0" t="str">
        <f aca="false">IF(AND(C573=C574,W573=W574-1),X573,"")</f>
        <v/>
      </c>
      <c r="AA574" s="0" t="str">
        <f aca="false">IF(AND(C573=C574,W573=W574-1),Y573,"")</f>
        <v/>
      </c>
      <c r="AB574" s="0" t="str">
        <f aca="false">IF(W574=1,"",IF(AND(X574=1,Z574&lt;&gt;1),1,0))</f>
        <v/>
      </c>
      <c r="AC574" s="0" t="str">
        <f aca="false">IF(W574=1,"",IF(AND(Y574=1,AA574&lt;&gt;1),1,0))</f>
        <v/>
      </c>
      <c r="AD574" s="33" t="str">
        <f aca="false">IF(AND(E574&gt;0,W574&lt;1,NOT(AND(C575=C574,W575=W574+1))),INDEX(DATAS,W574+1),"")</f>
        <v/>
      </c>
      <c r="AE574" s="33" t="str">
        <f aca="false">IF(AND(Y574=1,W574&lt;1),IF(AND(C575=C574,W575=W574+1),IF(Y575=1,"",INDEX(DATAS,W574+1)),INDEX(DATAS,W574+1)),"")</f>
        <v/>
      </c>
    </row>
    <row r="575" customFormat="false" ht="15" hidden="false" customHeight="false" outlineLevel="0" collapsed="false">
      <c r="A575" s="33" t="n">
        <v>46309</v>
      </c>
      <c r="B575" s="0" t="n">
        <v>5</v>
      </c>
      <c r="C575" s="0" t="n">
        <v>4395</v>
      </c>
      <c r="D575" s="0" t="n">
        <v>141</v>
      </c>
      <c r="E575" s="0" t="n">
        <v>2</v>
      </c>
      <c r="F575" s="27" t="s">
        <v>546</v>
      </c>
      <c r="G575" s="0" t="n">
        <v>29</v>
      </c>
      <c r="H575" s="0" t="n">
        <v>29</v>
      </c>
      <c r="I575" s="27" t="s">
        <v>176</v>
      </c>
      <c r="J575" s="0" t="n">
        <v>141</v>
      </c>
      <c r="K575" s="0" t="n">
        <v>64</v>
      </c>
      <c r="M575" s="0" t="n">
        <v>930.07</v>
      </c>
      <c r="N575" s="0" t="n">
        <v>62.86</v>
      </c>
      <c r="O575" s="0" t="n">
        <v>34.41</v>
      </c>
      <c r="P575" s="0" t="n">
        <v>3.93</v>
      </c>
      <c r="Q575" s="0" t="n">
        <v>3.51</v>
      </c>
      <c r="R575" s="0" t="n">
        <v>5590</v>
      </c>
      <c r="S575" s="0" t="n">
        <v>10579</v>
      </c>
      <c r="T575" s="0" t="n">
        <v>64.05</v>
      </c>
      <c r="U575" s="0" t="n">
        <v>1395</v>
      </c>
      <c r="V575" s="0" t="n">
        <v>2</v>
      </c>
      <c r="W575" s="27" t="n">
        <f aca="false">MATCH(A575,DATAS,0)</f>
        <v>1</v>
      </c>
      <c r="X575" s="27" t="n">
        <f aca="false">IF(AND(E575&gt;0,OR(AND(B575&gt;=1,B575&lt;=6),B575=10)),1,0)</f>
        <v>1</v>
      </c>
      <c r="Y575" s="27" t="n">
        <f aca="false">IF(AND(E575&gt;0,B575=10),1,0)</f>
        <v>0</v>
      </c>
      <c r="Z575" s="0" t="str">
        <f aca="false">IF(AND(C574=C575,W574=W575-1),X574,"")</f>
        <v/>
      </c>
      <c r="AA575" s="0" t="str">
        <f aca="false">IF(AND(C574=C575,W574=W575-1),Y574,"")</f>
        <v/>
      </c>
      <c r="AB575" s="0" t="str">
        <f aca="false">IF(W575=1,"",IF(AND(X575=1,Z575&lt;&gt;1),1,0))</f>
        <v/>
      </c>
      <c r="AC575" s="0" t="str">
        <f aca="false">IF(W575=1,"",IF(AND(Y575=1,AA575&lt;&gt;1),1,0))</f>
        <v/>
      </c>
      <c r="AD575" s="33" t="str">
        <f aca="false">IF(AND(E575&gt;0,W575&lt;1,NOT(AND(C576=C575,W576=W575+1))),INDEX(DATAS,W575+1),"")</f>
        <v/>
      </c>
      <c r="AE575" s="33" t="str">
        <f aca="false">IF(AND(Y575=1,W575&lt;1),IF(AND(C576=C575,W576=W575+1),IF(Y576=1,"",INDEX(DATAS,W575+1)),INDEX(DATAS,W575+1)),"")</f>
        <v/>
      </c>
    </row>
    <row r="576" customFormat="false" ht="15" hidden="false" customHeight="false" outlineLevel="0" collapsed="false">
      <c r="A576" s="33" t="n">
        <v>46309</v>
      </c>
      <c r="B576" s="0" t="n">
        <v>2</v>
      </c>
      <c r="C576" s="0" t="n">
        <v>4396</v>
      </c>
      <c r="D576" s="0" t="n">
        <v>121</v>
      </c>
      <c r="E576" s="0" t="n">
        <v>2</v>
      </c>
      <c r="F576" s="27" t="s">
        <v>546</v>
      </c>
      <c r="G576" s="0" t="n">
        <v>48.6</v>
      </c>
      <c r="H576" s="0" t="n">
        <v>52</v>
      </c>
      <c r="I576" s="27" t="s">
        <v>138</v>
      </c>
      <c r="J576" s="0" t="n">
        <v>66</v>
      </c>
      <c r="K576" s="0" t="n">
        <v>66</v>
      </c>
      <c r="L576" s="0" t="n">
        <v>55</v>
      </c>
      <c r="M576" s="0" t="n">
        <v>661.14</v>
      </c>
      <c r="N576" s="0" t="n">
        <v>34.34</v>
      </c>
      <c r="O576" s="0" t="n">
        <v>27.63</v>
      </c>
      <c r="P576" s="0" t="n">
        <v>3.3</v>
      </c>
      <c r="Q576" s="0" t="n">
        <v>3.11</v>
      </c>
      <c r="R576" s="0" t="n">
        <v>5499</v>
      </c>
      <c r="S576" s="0" t="n">
        <v>11041</v>
      </c>
      <c r="T576" s="0" t="n">
        <v>57</v>
      </c>
      <c r="U576" s="0" t="n">
        <v>1395</v>
      </c>
      <c r="V576" s="0" t="n">
        <v>1</v>
      </c>
      <c r="W576" s="27" t="n">
        <f aca="false">MATCH(A576,DATAS,0)</f>
        <v>1</v>
      </c>
      <c r="X576" s="27" t="n">
        <f aca="false">IF(AND(E576&gt;0,OR(AND(B576&gt;=1,B576&lt;=6),B576=10)),1,0)</f>
        <v>1</v>
      </c>
      <c r="Y576" s="27" t="n">
        <f aca="false">IF(AND(E576&gt;0,B576=10),1,0)</f>
        <v>0</v>
      </c>
      <c r="Z576" s="0" t="str">
        <f aca="false">IF(AND(C575=C576,W575=W576-1),X575,"")</f>
        <v/>
      </c>
      <c r="AA576" s="0" t="str">
        <f aca="false">IF(AND(C575=C576,W575=W576-1),Y575,"")</f>
        <v/>
      </c>
      <c r="AB576" s="0" t="str">
        <f aca="false">IF(W576=1,"",IF(AND(X576=1,Z576&lt;&gt;1),1,0))</f>
        <v/>
      </c>
      <c r="AC576" s="0" t="str">
        <f aca="false">IF(W576=1,"",IF(AND(Y576=1,AA576&lt;&gt;1),1,0))</f>
        <v/>
      </c>
      <c r="AD576" s="33" t="str">
        <f aca="false">IF(AND(E576&gt;0,W576&lt;1,NOT(AND(C577=C576,W577=W576+1))),INDEX(DATAS,W576+1),"")</f>
        <v/>
      </c>
      <c r="AE576" s="33" t="str">
        <f aca="false">IF(AND(Y576=1,W576&lt;1),IF(AND(C577=C576,W577=W576+1),IF(Y577=1,"",INDEX(DATAS,W576+1)),INDEX(DATAS,W576+1)),"")</f>
        <v/>
      </c>
    </row>
    <row r="577" customFormat="false" ht="15" hidden="false" customHeight="false" outlineLevel="0" collapsed="false">
      <c r="A577" s="33" t="n">
        <v>46309</v>
      </c>
      <c r="B577" s="0" t="n">
        <v>5</v>
      </c>
      <c r="C577" s="0" t="n">
        <v>4397</v>
      </c>
      <c r="D577" s="0" t="n">
        <v>390</v>
      </c>
      <c r="E577" s="0" t="n">
        <v>2</v>
      </c>
      <c r="F577" s="27" t="s">
        <v>546</v>
      </c>
      <c r="G577" s="0" t="n">
        <v>34.9</v>
      </c>
      <c r="H577" s="0" t="n">
        <v>29</v>
      </c>
      <c r="I577" s="27" t="s">
        <v>138</v>
      </c>
      <c r="J577" s="0" t="n">
        <v>187</v>
      </c>
      <c r="K577" s="0" t="n">
        <v>68</v>
      </c>
      <c r="L577" s="0" t="n">
        <v>203</v>
      </c>
      <c r="M577" s="0" t="n">
        <v>1567.99</v>
      </c>
      <c r="N577" s="0" t="n">
        <v>42.44</v>
      </c>
      <c r="O577" s="0" t="n">
        <v>40.59</v>
      </c>
      <c r="P577" s="0" t="n">
        <v>4.55</v>
      </c>
      <c r="Q577" s="0" t="n">
        <v>3.83</v>
      </c>
      <c r="R577" s="0" t="n">
        <v>4935</v>
      </c>
      <c r="S577" s="0" t="n">
        <v>9824</v>
      </c>
      <c r="T577" s="0" t="n">
        <v>54.2</v>
      </c>
      <c r="U577" s="0" t="n">
        <v>1395</v>
      </c>
      <c r="V577" s="0" t="n">
        <v>4</v>
      </c>
      <c r="W577" s="27" t="n">
        <f aca="false">MATCH(A577,DATAS,0)</f>
        <v>1</v>
      </c>
      <c r="X577" s="27" t="n">
        <f aca="false">IF(AND(E577&gt;0,OR(AND(B577&gt;=1,B577&lt;=6),B577=10)),1,0)</f>
        <v>1</v>
      </c>
      <c r="Y577" s="27" t="n">
        <f aca="false">IF(AND(E577&gt;0,B577=10),1,0)</f>
        <v>0</v>
      </c>
      <c r="Z577" s="0" t="str">
        <f aca="false">IF(AND(C576=C577,W576=W577-1),X576,"")</f>
        <v/>
      </c>
      <c r="AA577" s="0" t="str">
        <f aca="false">IF(AND(C576=C577,W576=W577-1),Y576,"")</f>
        <v/>
      </c>
      <c r="AB577" s="0" t="str">
        <f aca="false">IF(W577=1,"",IF(AND(X577=1,Z577&lt;&gt;1),1,0))</f>
        <v/>
      </c>
      <c r="AC577" s="0" t="str">
        <f aca="false">IF(W577=1,"",IF(AND(Y577=1,AA577&lt;&gt;1),1,0))</f>
        <v/>
      </c>
      <c r="AD577" s="33" t="str">
        <f aca="false">IF(AND(E577&gt;0,W577&lt;1,NOT(AND(C578=C577,W578=W577+1))),INDEX(DATAS,W577+1),"")</f>
        <v/>
      </c>
      <c r="AE577" s="33" t="str">
        <f aca="false">IF(AND(Y577=1,W577&lt;1),IF(AND(C578=C577,W578=W577+1),IF(Y578=1,"",INDEX(DATAS,W577+1)),INDEX(DATAS,W577+1)),"")</f>
        <v/>
      </c>
    </row>
    <row r="578" customFormat="false" ht="15" hidden="false" customHeight="false" outlineLevel="0" collapsed="false">
      <c r="A578" s="33" t="n">
        <v>46309</v>
      </c>
      <c r="B578" s="0" t="n">
        <v>2</v>
      </c>
      <c r="C578" s="0" t="n">
        <v>4398</v>
      </c>
      <c r="D578" s="0" t="n">
        <v>24</v>
      </c>
      <c r="E578" s="0" t="n">
        <v>3</v>
      </c>
      <c r="F578" s="27" t="s">
        <v>546</v>
      </c>
      <c r="G578" s="0" t="n">
        <v>59</v>
      </c>
      <c r="H578" s="0" t="n">
        <v>57</v>
      </c>
      <c r="I578" s="27" t="s">
        <v>147</v>
      </c>
      <c r="J578" s="0" t="n">
        <v>24</v>
      </c>
      <c r="M578" s="0" t="n">
        <v>581.54</v>
      </c>
      <c r="N578" s="0" t="n">
        <v>42.13</v>
      </c>
      <c r="O578" s="0" t="n">
        <v>29.71</v>
      </c>
      <c r="R578" s="0" t="n">
        <v>4864</v>
      </c>
      <c r="S578" s="0" t="n">
        <v>9778</v>
      </c>
      <c r="U578" s="0" t="n">
        <v>1395</v>
      </c>
      <c r="V578" s="0" t="n">
        <v>0</v>
      </c>
      <c r="W578" s="27" t="n">
        <f aca="false">MATCH(A578,DATAS,0)</f>
        <v>1</v>
      </c>
      <c r="X578" s="27" t="n">
        <f aca="false">IF(AND(E578&gt;0,OR(AND(B578&gt;=1,B578&lt;=6),B578=10)),1,0)</f>
        <v>1</v>
      </c>
      <c r="Y578" s="27" t="n">
        <f aca="false">IF(AND(E578&gt;0,B578=10),1,0)</f>
        <v>0</v>
      </c>
      <c r="Z578" s="0" t="str">
        <f aca="false">IF(AND(C577=C578,W577=W578-1),X577,"")</f>
        <v/>
      </c>
      <c r="AA578" s="0" t="str">
        <f aca="false">IF(AND(C577=C578,W577=W578-1),Y577,"")</f>
        <v/>
      </c>
      <c r="AB578" s="0" t="str">
        <f aca="false">IF(W578=1,"",IF(AND(X578=1,Z578&lt;&gt;1),1,0))</f>
        <v/>
      </c>
      <c r="AC578" s="0" t="str">
        <f aca="false">IF(W578=1,"",IF(AND(Y578=1,AA578&lt;&gt;1),1,0))</f>
        <v/>
      </c>
      <c r="AD578" s="33" t="str">
        <f aca="false">IF(AND(E578&gt;0,W578&lt;1,NOT(AND(C579=C578,W579=W578+1))),INDEX(DATAS,W578+1),"")</f>
        <v/>
      </c>
      <c r="AE578" s="33" t="str">
        <f aca="false">IF(AND(Y578=1,W578&lt;1),IF(AND(C579=C578,W579=W578+1),IF(Y579=1,"",INDEX(DATAS,W578+1)),INDEX(DATAS,W578+1)),"")</f>
        <v/>
      </c>
    </row>
    <row r="579" customFormat="false" ht="15" hidden="false" customHeight="false" outlineLevel="0" collapsed="false">
      <c r="A579" s="33" t="n">
        <v>46309</v>
      </c>
      <c r="B579" s="0" t="n">
        <v>6</v>
      </c>
      <c r="C579" s="0" t="n">
        <v>4399</v>
      </c>
      <c r="D579" s="0" t="n">
        <v>129</v>
      </c>
      <c r="E579" s="0" t="n">
        <v>2</v>
      </c>
      <c r="F579" s="27" t="s">
        <v>547</v>
      </c>
      <c r="G579" s="0" t="n">
        <v>30.8</v>
      </c>
      <c r="H579" s="0" t="n">
        <v>28</v>
      </c>
      <c r="I579" s="27" t="s">
        <v>151</v>
      </c>
      <c r="J579" s="0" t="n">
        <v>129</v>
      </c>
      <c r="K579" s="0" t="n">
        <v>87</v>
      </c>
      <c r="M579" s="0" t="n">
        <v>872.83</v>
      </c>
      <c r="N579" s="0" t="n">
        <v>33.37</v>
      </c>
      <c r="O579" s="0" t="n">
        <v>27.56</v>
      </c>
      <c r="P579" s="0" t="n">
        <v>3.14</v>
      </c>
      <c r="Q579" s="0" t="n">
        <v>3.04</v>
      </c>
      <c r="R579" s="0" t="n">
        <v>3229</v>
      </c>
      <c r="S579" s="0" t="n">
        <v>6815</v>
      </c>
      <c r="T579" s="0" t="n">
        <v>25.25</v>
      </c>
      <c r="U579" s="0" t="n">
        <v>1394</v>
      </c>
      <c r="V579" s="0" t="n">
        <v>2</v>
      </c>
      <c r="W579" s="27" t="n">
        <f aca="false">MATCH(A579,DATAS,0)</f>
        <v>1</v>
      </c>
      <c r="X579" s="27" t="n">
        <f aca="false">IF(AND(E579&gt;0,OR(AND(B579&gt;=1,B579&lt;=6),B579=10)),1,0)</f>
        <v>1</v>
      </c>
      <c r="Y579" s="27" t="n">
        <f aca="false">IF(AND(E579&gt;0,B579=10),1,0)</f>
        <v>0</v>
      </c>
      <c r="Z579" s="0" t="str">
        <f aca="false">IF(AND(C578=C579,W578=W579-1),X578,"")</f>
        <v/>
      </c>
      <c r="AA579" s="0" t="str">
        <f aca="false">IF(AND(C578=C579,W578=W579-1),Y578,"")</f>
        <v/>
      </c>
      <c r="AB579" s="0" t="str">
        <f aca="false">IF(W579=1,"",IF(AND(X579=1,Z579&lt;&gt;1),1,0))</f>
        <v/>
      </c>
      <c r="AC579" s="0" t="str">
        <f aca="false">IF(W579=1,"",IF(AND(Y579=1,AA579&lt;&gt;1),1,0))</f>
        <v/>
      </c>
      <c r="AD579" s="33" t="str">
        <f aca="false">IF(AND(E579&gt;0,W579&lt;1,NOT(AND(C580=C579,W580=W579+1))),INDEX(DATAS,W579+1),"")</f>
        <v/>
      </c>
      <c r="AE579" s="33" t="str">
        <f aca="false">IF(AND(Y579=1,W579&lt;1),IF(AND(C580=C579,W580=W579+1),IF(Y580=1,"",INDEX(DATAS,W579+1)),INDEX(DATAS,W579+1)),"")</f>
        <v/>
      </c>
    </row>
    <row r="580" customFormat="false" ht="15" hidden="false" customHeight="false" outlineLevel="0" collapsed="false">
      <c r="A580" s="33" t="n">
        <v>46309</v>
      </c>
      <c r="B580" s="0" t="n">
        <v>7</v>
      </c>
      <c r="C580" s="0" t="n">
        <v>4400</v>
      </c>
      <c r="D580" s="0" t="n">
        <v>360</v>
      </c>
      <c r="E580" s="0" t="n">
        <v>2</v>
      </c>
      <c r="F580" s="27" t="s">
        <v>547</v>
      </c>
      <c r="I580" s="27" t="s">
        <v>143</v>
      </c>
      <c r="J580" s="0" t="n">
        <v>137</v>
      </c>
      <c r="K580" s="0" t="n">
        <v>67</v>
      </c>
      <c r="L580" s="0" t="n">
        <v>245</v>
      </c>
      <c r="M580" s="0" t="n">
        <v>-102.87</v>
      </c>
      <c r="N580" s="0" t="n">
        <v>27.19</v>
      </c>
      <c r="O580" s="0" t="n">
        <v>7.44</v>
      </c>
      <c r="P580" s="0" t="n">
        <v>4.4</v>
      </c>
      <c r="Q580" s="0" t="n">
        <v>4.04</v>
      </c>
      <c r="R580" s="0" t="n">
        <v>5266</v>
      </c>
      <c r="S580" s="0" t="n">
        <v>10694</v>
      </c>
      <c r="T580" s="0" t="n">
        <v>55.9</v>
      </c>
      <c r="U580" s="0" t="n">
        <v>1394</v>
      </c>
      <c r="V580" s="0" t="n">
        <v>3</v>
      </c>
      <c r="W580" s="27" t="n">
        <f aca="false">MATCH(A580,DATAS,0)</f>
        <v>1</v>
      </c>
      <c r="X580" s="27" t="n">
        <f aca="false">IF(AND(E580&gt;0,OR(AND(B580&gt;=1,B580&lt;=6),B580=10)),1,0)</f>
        <v>0</v>
      </c>
      <c r="Y580" s="27" t="n">
        <f aca="false">IF(AND(E580&gt;0,B580=10),1,0)</f>
        <v>0</v>
      </c>
      <c r="Z580" s="0" t="str">
        <f aca="false">IF(AND(C579=C580,W579=W580-1),X579,"")</f>
        <v/>
      </c>
      <c r="AA580" s="0" t="str">
        <f aca="false">IF(AND(C579=C580,W579=W580-1),Y579,"")</f>
        <v/>
      </c>
      <c r="AB580" s="0" t="str">
        <f aca="false">IF(W580=1,"",IF(AND(X580=1,Z580&lt;&gt;1),1,0))</f>
        <v/>
      </c>
      <c r="AC580" s="0" t="str">
        <f aca="false">IF(W580=1,"",IF(AND(Y580=1,AA580&lt;&gt;1),1,0))</f>
        <v/>
      </c>
      <c r="AD580" s="33" t="str">
        <f aca="false">IF(AND(E580&gt;0,W580&lt;1,NOT(AND(C581=C580,W581=W580+1))),INDEX(DATAS,W580+1),"")</f>
        <v/>
      </c>
      <c r="AE580" s="33" t="str">
        <f aca="false">IF(AND(Y580=1,W580&lt;1),IF(AND(C581=C580,W581=W580+1),IF(Y581=1,"",INDEX(DATAS,W580+1)),INDEX(DATAS,W580+1)),"")</f>
        <v/>
      </c>
    </row>
    <row r="581" customFormat="false" ht="15" hidden="false" customHeight="false" outlineLevel="0" collapsed="false">
      <c r="A581" s="33" t="n">
        <v>46309</v>
      </c>
      <c r="B581" s="0" t="n">
        <v>3</v>
      </c>
      <c r="C581" s="0" t="n">
        <v>4401</v>
      </c>
      <c r="D581" s="0" t="n">
        <v>14</v>
      </c>
      <c r="E581" s="0" t="n">
        <v>3</v>
      </c>
      <c r="F581" s="27" t="s">
        <v>547</v>
      </c>
      <c r="G581" s="0" t="n">
        <v>51.4</v>
      </c>
      <c r="H581" s="0" t="n">
        <v>47</v>
      </c>
      <c r="I581" s="27" t="s">
        <v>147</v>
      </c>
      <c r="J581" s="0" t="n">
        <v>14</v>
      </c>
      <c r="M581" s="0" t="n">
        <v>386.74</v>
      </c>
      <c r="N581" s="0" t="n">
        <v>35.46</v>
      </c>
      <c r="O581" s="0" t="n">
        <v>21.59</v>
      </c>
      <c r="R581" s="0" t="n">
        <v>3655</v>
      </c>
      <c r="S581" s="0" t="n">
        <v>7348</v>
      </c>
      <c r="U581" s="0" t="n">
        <v>1394</v>
      </c>
      <c r="V581" s="0" t="n">
        <v>0</v>
      </c>
      <c r="W581" s="27" t="n">
        <f aca="false">MATCH(A581,DATAS,0)</f>
        <v>1</v>
      </c>
      <c r="X581" s="27" t="n">
        <f aca="false">IF(AND(E581&gt;0,OR(AND(B581&gt;=1,B581&lt;=6),B581=10)),1,0)</f>
        <v>1</v>
      </c>
      <c r="Y581" s="27" t="n">
        <f aca="false">IF(AND(E581&gt;0,B581=10),1,0)</f>
        <v>0</v>
      </c>
      <c r="Z581" s="0" t="str">
        <f aca="false">IF(AND(C580=C581,W580=W581-1),X580,"")</f>
        <v/>
      </c>
      <c r="AA581" s="0" t="str">
        <f aca="false">IF(AND(C580=C581,W580=W581-1),Y580,"")</f>
        <v/>
      </c>
      <c r="AB581" s="0" t="str">
        <f aca="false">IF(W581=1,"",IF(AND(X581=1,Z581&lt;&gt;1),1,0))</f>
        <v/>
      </c>
      <c r="AC581" s="0" t="str">
        <f aca="false">IF(W581=1,"",IF(AND(Y581=1,AA581&lt;&gt;1),1,0))</f>
        <v/>
      </c>
      <c r="AD581" s="33" t="str">
        <f aca="false">IF(AND(E581&gt;0,W581&lt;1,NOT(AND(C582=C581,W582=W581+1))),INDEX(DATAS,W581+1),"")</f>
        <v/>
      </c>
      <c r="AE581" s="33" t="str">
        <f aca="false">IF(AND(Y581=1,W581&lt;1),IF(AND(C582=C581,W582=W581+1),IF(Y582=1,"",INDEX(DATAS,W581+1)),INDEX(DATAS,W581+1)),"")</f>
        <v/>
      </c>
    </row>
    <row r="582" customFormat="false" ht="15" hidden="false" customHeight="false" outlineLevel="0" collapsed="false">
      <c r="A582" s="33" t="n">
        <v>46309</v>
      </c>
      <c r="B582" s="0" t="n">
        <v>3</v>
      </c>
      <c r="C582" s="0" t="n">
        <v>4403</v>
      </c>
      <c r="D582" s="0" t="n">
        <v>310</v>
      </c>
      <c r="E582" s="0" t="n">
        <v>2</v>
      </c>
      <c r="F582" s="27" t="s">
        <v>548</v>
      </c>
      <c r="G582" s="0" t="n">
        <v>56.9</v>
      </c>
      <c r="H582" s="0" t="n">
        <v>56</v>
      </c>
      <c r="I582" s="27" t="s">
        <v>138</v>
      </c>
      <c r="J582" s="0" t="n">
        <v>142</v>
      </c>
      <c r="K582" s="0" t="n">
        <v>65</v>
      </c>
      <c r="L582" s="0" t="n">
        <v>168</v>
      </c>
      <c r="M582" s="0" t="n">
        <v>617.63</v>
      </c>
      <c r="N582" s="0" t="n">
        <v>54.72</v>
      </c>
      <c r="O582" s="0" t="n">
        <v>30.53</v>
      </c>
      <c r="P582" s="0" t="n">
        <v>3.49</v>
      </c>
      <c r="Q582" s="0" t="n">
        <v>3.5</v>
      </c>
      <c r="R582" s="0" t="n">
        <v>6902</v>
      </c>
      <c r="S582" s="0" t="n">
        <v>13655</v>
      </c>
      <c r="T582" s="0" t="n">
        <v>75.55</v>
      </c>
      <c r="U582" s="0" t="n">
        <v>1393</v>
      </c>
      <c r="V582" s="0" t="n">
        <v>2</v>
      </c>
      <c r="W582" s="27" t="n">
        <f aca="false">MATCH(A582,DATAS,0)</f>
        <v>1</v>
      </c>
      <c r="X582" s="27" t="n">
        <f aca="false">IF(AND(E582&gt;0,OR(AND(B582&gt;=1,B582&lt;=6),B582=10)),1,0)</f>
        <v>1</v>
      </c>
      <c r="Y582" s="27" t="n">
        <f aca="false">IF(AND(E582&gt;0,B582=10),1,0)</f>
        <v>0</v>
      </c>
      <c r="Z582" s="0" t="str">
        <f aca="false">IF(AND(C581=C582,W581=W582-1),X581,"")</f>
        <v/>
      </c>
      <c r="AA582" s="0" t="str">
        <f aca="false">IF(AND(C581=C582,W581=W582-1),Y581,"")</f>
        <v/>
      </c>
      <c r="AB582" s="0" t="str">
        <f aca="false">IF(W582=1,"",IF(AND(X582=1,Z582&lt;&gt;1),1,0))</f>
        <v/>
      </c>
      <c r="AC582" s="0" t="str">
        <f aca="false">IF(W582=1,"",IF(AND(Y582=1,AA582&lt;&gt;1),1,0))</f>
        <v/>
      </c>
      <c r="AD582" s="33" t="str">
        <f aca="false">IF(AND(E582&gt;0,W582&lt;1,NOT(AND(C583=C582,W583=W582+1))),INDEX(DATAS,W582+1),"")</f>
        <v/>
      </c>
      <c r="AE582" s="33" t="str">
        <f aca="false">IF(AND(Y582=1,W582&lt;1),IF(AND(C583=C582,W583=W582+1),IF(Y583=1,"",INDEX(DATAS,W582+1)),INDEX(DATAS,W582+1)),"")</f>
        <v/>
      </c>
    </row>
    <row r="583" customFormat="false" ht="15" hidden="false" customHeight="false" outlineLevel="0" collapsed="false">
      <c r="A583" s="33" t="n">
        <v>46309</v>
      </c>
      <c r="B583" s="0" t="n">
        <v>5</v>
      </c>
      <c r="C583" s="0" t="n">
        <v>4406</v>
      </c>
      <c r="D583" s="0" t="n">
        <v>329</v>
      </c>
      <c r="E583" s="0" t="n">
        <v>2</v>
      </c>
      <c r="F583" s="27" t="s">
        <v>549</v>
      </c>
      <c r="G583" s="0" t="n">
        <v>27.7</v>
      </c>
      <c r="H583" s="0" t="n">
        <v>28</v>
      </c>
      <c r="I583" s="27" t="s">
        <v>138</v>
      </c>
      <c r="J583" s="0" t="n">
        <v>235</v>
      </c>
      <c r="K583" s="0" t="n">
        <v>63</v>
      </c>
      <c r="L583" s="0" t="n">
        <v>94</v>
      </c>
      <c r="M583" s="0" t="n">
        <v>304.04</v>
      </c>
      <c r="N583" s="0" t="n">
        <v>32.72</v>
      </c>
      <c r="O583" s="0" t="n">
        <v>18.66</v>
      </c>
      <c r="P583" s="0" t="n">
        <v>5.81</v>
      </c>
      <c r="Q583" s="0" t="n">
        <v>4.34</v>
      </c>
      <c r="R583" s="0" t="n">
        <v>4782</v>
      </c>
      <c r="S583" s="0" t="n">
        <v>9643</v>
      </c>
      <c r="T583" s="0" t="n">
        <v>53.65</v>
      </c>
      <c r="U583" s="0" t="n">
        <v>1391</v>
      </c>
      <c r="V583" s="0" t="n">
        <v>6</v>
      </c>
      <c r="W583" s="27" t="n">
        <f aca="false">MATCH(A583,DATAS,0)</f>
        <v>1</v>
      </c>
      <c r="X583" s="27" t="n">
        <f aca="false">IF(AND(E583&gt;0,OR(AND(B583&gt;=1,B583&lt;=6),B583=10)),1,0)</f>
        <v>1</v>
      </c>
      <c r="Y583" s="27" t="n">
        <f aca="false">IF(AND(E583&gt;0,B583=10),1,0)</f>
        <v>0</v>
      </c>
      <c r="Z583" s="0" t="str">
        <f aca="false">IF(AND(C582=C583,W582=W583-1),X582,"")</f>
        <v/>
      </c>
      <c r="AA583" s="0" t="str">
        <f aca="false">IF(AND(C582=C583,W582=W583-1),Y582,"")</f>
        <v/>
      </c>
      <c r="AB583" s="0" t="str">
        <f aca="false">IF(W583=1,"",IF(AND(X583=1,Z583&lt;&gt;1),1,0))</f>
        <v/>
      </c>
      <c r="AC583" s="0" t="str">
        <f aca="false">IF(W583=1,"",IF(AND(Y583=1,AA583&lt;&gt;1),1,0))</f>
        <v/>
      </c>
      <c r="AD583" s="33" t="str">
        <f aca="false">IF(AND(E583&gt;0,W583&lt;1,NOT(AND(C584=C583,W584=W583+1))),INDEX(DATAS,W583+1),"")</f>
        <v/>
      </c>
      <c r="AE583" s="33" t="str">
        <f aca="false">IF(AND(Y583=1,W583&lt;1),IF(AND(C584=C583,W584=W583+1),IF(Y584=1,"",INDEX(DATAS,W583+1)),INDEX(DATAS,W583+1)),"")</f>
        <v/>
      </c>
    </row>
    <row r="584" customFormat="false" ht="15" hidden="false" customHeight="false" outlineLevel="0" collapsed="false">
      <c r="A584" s="33" t="n">
        <v>46309</v>
      </c>
      <c r="B584" s="0" t="n">
        <v>5</v>
      </c>
      <c r="C584" s="0" t="n">
        <v>4407</v>
      </c>
      <c r="D584" s="0" t="n">
        <v>178</v>
      </c>
      <c r="E584" s="0" t="n">
        <v>2</v>
      </c>
      <c r="F584" s="27" t="s">
        <v>550</v>
      </c>
      <c r="G584" s="0" t="n">
        <v>32.2</v>
      </c>
      <c r="H584" s="0" t="n">
        <v>30</v>
      </c>
      <c r="I584" s="27" t="s">
        <v>151</v>
      </c>
      <c r="J584" s="0" t="n">
        <v>178</v>
      </c>
      <c r="K584" s="0" t="n">
        <v>101</v>
      </c>
      <c r="M584" s="0" t="n">
        <v>403.64</v>
      </c>
      <c r="N584" s="0" t="n">
        <v>63.26</v>
      </c>
      <c r="O584" s="0" t="n">
        <v>29.21</v>
      </c>
      <c r="P584" s="0" t="n">
        <v>4.59</v>
      </c>
      <c r="Q584" s="0" t="n">
        <v>3.54</v>
      </c>
      <c r="R584" s="0" t="n">
        <v>4537</v>
      </c>
      <c r="S584" s="0" t="n">
        <v>7620</v>
      </c>
      <c r="T584" s="0" t="n">
        <v>54.3</v>
      </c>
      <c r="U584" s="0" t="n">
        <v>1390</v>
      </c>
      <c r="V584" s="0" t="n">
        <v>1</v>
      </c>
      <c r="W584" s="27" t="n">
        <f aca="false">MATCH(A584,DATAS,0)</f>
        <v>1</v>
      </c>
      <c r="X584" s="27" t="n">
        <f aca="false">IF(AND(E584&gt;0,OR(AND(B584&gt;=1,B584&lt;=6),B584=10)),1,0)</f>
        <v>1</v>
      </c>
      <c r="Y584" s="27" t="n">
        <f aca="false">IF(AND(E584&gt;0,B584=10),1,0)</f>
        <v>0</v>
      </c>
      <c r="Z584" s="0" t="str">
        <f aca="false">IF(AND(C583=C584,W583=W584-1),X583,"")</f>
        <v/>
      </c>
      <c r="AA584" s="0" t="str">
        <f aca="false">IF(AND(C583=C584,W583=W584-1),Y583,"")</f>
        <v/>
      </c>
      <c r="AB584" s="0" t="str">
        <f aca="false">IF(W584=1,"",IF(AND(X584=1,Z584&lt;&gt;1),1,0))</f>
        <v/>
      </c>
      <c r="AC584" s="0" t="str">
        <f aca="false">IF(W584=1,"",IF(AND(Y584=1,AA584&lt;&gt;1),1,0))</f>
        <v/>
      </c>
      <c r="AD584" s="33" t="str">
        <f aca="false">IF(AND(E584&gt;0,W584&lt;1,NOT(AND(C585=C584,W585=W584+1))),INDEX(DATAS,W584+1),"")</f>
        <v/>
      </c>
      <c r="AE584" s="33" t="str">
        <f aca="false">IF(AND(Y584=1,W584&lt;1),IF(AND(C585=C584,W585=W584+1),IF(Y585=1,"",INDEX(DATAS,W584+1)),INDEX(DATAS,W584+1)),"")</f>
        <v/>
      </c>
    </row>
    <row r="585" customFormat="false" ht="15" hidden="false" customHeight="false" outlineLevel="0" collapsed="false">
      <c r="A585" s="33" t="n">
        <v>46309</v>
      </c>
      <c r="B585" s="0" t="n">
        <v>7</v>
      </c>
      <c r="C585" s="0" t="n">
        <v>4408</v>
      </c>
      <c r="D585" s="0" t="n">
        <v>289</v>
      </c>
      <c r="E585" s="0" t="n">
        <v>2</v>
      </c>
      <c r="F585" s="27" t="s">
        <v>550</v>
      </c>
      <c r="I585" s="27" t="s">
        <v>143</v>
      </c>
      <c r="J585" s="0" t="n">
        <v>66</v>
      </c>
      <c r="K585" s="0" t="n">
        <v>66</v>
      </c>
      <c r="L585" s="0" t="n">
        <v>238</v>
      </c>
      <c r="M585" s="0" t="n">
        <v>1336.45</v>
      </c>
      <c r="N585" s="0" t="n">
        <v>66.45</v>
      </c>
      <c r="O585" s="0" t="n">
        <v>40.19</v>
      </c>
      <c r="P585" s="0" t="n">
        <v>4.11</v>
      </c>
      <c r="Q585" s="0" t="n">
        <v>3.67</v>
      </c>
      <c r="R585" s="0" t="n">
        <v>6400</v>
      </c>
      <c r="S585" s="0" t="n">
        <v>13126</v>
      </c>
      <c r="T585" s="0" t="n">
        <v>69.35</v>
      </c>
      <c r="U585" s="0" t="n">
        <v>1390</v>
      </c>
      <c r="V585" s="0" t="n">
        <v>1</v>
      </c>
      <c r="W585" s="27" t="n">
        <f aca="false">MATCH(A585,DATAS,0)</f>
        <v>1</v>
      </c>
      <c r="X585" s="27" t="n">
        <f aca="false">IF(AND(E585&gt;0,OR(AND(B585&gt;=1,B585&lt;=6),B585=10)),1,0)</f>
        <v>0</v>
      </c>
      <c r="Y585" s="27" t="n">
        <f aca="false">IF(AND(E585&gt;0,B585=10),1,0)</f>
        <v>0</v>
      </c>
      <c r="Z585" s="0" t="str">
        <f aca="false">IF(AND(C584=C585,W584=W585-1),X584,"")</f>
        <v/>
      </c>
      <c r="AA585" s="0" t="str">
        <f aca="false">IF(AND(C584=C585,W584=W585-1),Y584,"")</f>
        <v/>
      </c>
      <c r="AB585" s="0" t="str">
        <f aca="false">IF(W585=1,"",IF(AND(X585=1,Z585&lt;&gt;1),1,0))</f>
        <v/>
      </c>
      <c r="AC585" s="0" t="str">
        <f aca="false">IF(W585=1,"",IF(AND(Y585=1,AA585&lt;&gt;1),1,0))</f>
        <v/>
      </c>
      <c r="AD585" s="33" t="str">
        <f aca="false">IF(AND(E585&gt;0,W585&lt;1,NOT(AND(C586=C585,W586=W585+1))),INDEX(DATAS,W585+1),"")</f>
        <v/>
      </c>
      <c r="AE585" s="33" t="str">
        <f aca="false">IF(AND(Y585=1,W585&lt;1),IF(AND(C586=C585,W586=W585+1),IF(Y586=1,"",INDEX(DATAS,W585+1)),INDEX(DATAS,W585+1)),"")</f>
        <v/>
      </c>
    </row>
    <row r="586" customFormat="false" ht="15" hidden="false" customHeight="false" outlineLevel="0" collapsed="false">
      <c r="A586" s="33" t="n">
        <v>46309</v>
      </c>
      <c r="B586" s="0" t="n">
        <v>7</v>
      </c>
      <c r="C586" s="0" t="n">
        <v>4409</v>
      </c>
      <c r="D586" s="0" t="n">
        <v>313</v>
      </c>
      <c r="E586" s="0" t="n">
        <v>2</v>
      </c>
      <c r="F586" s="27" t="s">
        <v>550</v>
      </c>
      <c r="I586" s="27" t="s">
        <v>143</v>
      </c>
      <c r="J586" s="0" t="n">
        <v>139</v>
      </c>
      <c r="K586" s="0" t="n">
        <v>69</v>
      </c>
      <c r="L586" s="0" t="n">
        <v>252</v>
      </c>
      <c r="M586" s="0" t="n">
        <v>446.41</v>
      </c>
      <c r="N586" s="0" t="n">
        <v>-2.01</v>
      </c>
      <c r="O586" s="0" t="n">
        <v>7.45</v>
      </c>
      <c r="P586" s="0" t="n">
        <v>4.63</v>
      </c>
      <c r="Q586" s="0" t="n">
        <v>3.3</v>
      </c>
      <c r="R586" s="0" t="n">
        <v>5684</v>
      </c>
      <c r="S586" s="0" t="n">
        <v>11080</v>
      </c>
      <c r="T586" s="0" t="n">
        <v>63.05</v>
      </c>
      <c r="U586" s="0" t="n">
        <v>1390</v>
      </c>
      <c r="V586" s="0" t="n">
        <v>3</v>
      </c>
      <c r="W586" s="27" t="n">
        <f aca="false">MATCH(A586,DATAS,0)</f>
        <v>1</v>
      </c>
      <c r="X586" s="27" t="n">
        <f aca="false">IF(AND(E586&gt;0,OR(AND(B586&gt;=1,B586&lt;=6),B586=10)),1,0)</f>
        <v>0</v>
      </c>
      <c r="Y586" s="27" t="n">
        <f aca="false">IF(AND(E586&gt;0,B586=10),1,0)</f>
        <v>0</v>
      </c>
      <c r="Z586" s="0" t="str">
        <f aca="false">IF(AND(C585=C586,W585=W586-1),X585,"")</f>
        <v/>
      </c>
      <c r="AA586" s="0" t="str">
        <f aca="false">IF(AND(C585=C586,W585=W586-1),Y585,"")</f>
        <v/>
      </c>
      <c r="AB586" s="0" t="str">
        <f aca="false">IF(W586=1,"",IF(AND(X586=1,Z586&lt;&gt;1),1,0))</f>
        <v/>
      </c>
      <c r="AC586" s="0" t="str">
        <f aca="false">IF(W586=1,"",IF(AND(Y586=1,AA586&lt;&gt;1),1,0))</f>
        <v/>
      </c>
      <c r="AD586" s="33" t="str">
        <f aca="false">IF(AND(E586&gt;0,W586&lt;1,NOT(AND(C587=C586,W587=W586+1))),INDEX(DATAS,W586+1),"")</f>
        <v/>
      </c>
      <c r="AE586" s="33" t="str">
        <f aca="false">IF(AND(Y586=1,W586&lt;1),IF(AND(C587=C586,W587=W586+1),IF(Y587=1,"",INDEX(DATAS,W586+1)),INDEX(DATAS,W586+1)),"")</f>
        <v/>
      </c>
    </row>
    <row r="587" customFormat="false" ht="15" hidden="false" customHeight="false" outlineLevel="0" collapsed="false">
      <c r="A587" s="33" t="n">
        <v>46309</v>
      </c>
      <c r="B587" s="0" t="n">
        <v>5</v>
      </c>
      <c r="C587" s="0" t="n">
        <v>4410</v>
      </c>
      <c r="D587" s="0" t="n">
        <v>395</v>
      </c>
      <c r="E587" s="0" t="n">
        <v>2</v>
      </c>
      <c r="F587" s="27" t="s">
        <v>551</v>
      </c>
      <c r="G587" s="0" t="n">
        <v>33.6</v>
      </c>
      <c r="H587" s="0" t="n">
        <v>34</v>
      </c>
      <c r="I587" s="27" t="s">
        <v>138</v>
      </c>
      <c r="J587" s="0" t="n">
        <v>304</v>
      </c>
      <c r="K587" s="0" t="n">
        <v>66</v>
      </c>
      <c r="L587" s="0" t="n">
        <v>91</v>
      </c>
      <c r="M587" s="0" t="n">
        <v>99.02</v>
      </c>
      <c r="N587" s="0" t="n">
        <v>38.82</v>
      </c>
      <c r="O587" s="0" t="n">
        <v>27.17</v>
      </c>
      <c r="P587" s="0" t="n">
        <v>5.99</v>
      </c>
      <c r="Q587" s="0" t="n">
        <v>4.47</v>
      </c>
      <c r="R587" s="0" t="n">
        <v>4750</v>
      </c>
      <c r="S587" s="0" t="n">
        <v>9177</v>
      </c>
      <c r="T587" s="0" t="n">
        <v>50.1</v>
      </c>
      <c r="U587" s="0" t="n">
        <v>1389</v>
      </c>
      <c r="V587" s="0" t="n">
        <v>7</v>
      </c>
      <c r="W587" s="27" t="n">
        <f aca="false">MATCH(A587,DATAS,0)</f>
        <v>1</v>
      </c>
      <c r="X587" s="27" t="n">
        <f aca="false">IF(AND(E587&gt;0,OR(AND(B587&gt;=1,B587&lt;=6),B587=10)),1,0)</f>
        <v>1</v>
      </c>
      <c r="Y587" s="27" t="n">
        <f aca="false">IF(AND(E587&gt;0,B587=10),1,0)</f>
        <v>0</v>
      </c>
      <c r="Z587" s="0" t="str">
        <f aca="false">IF(AND(C586=C587,W586=W587-1),X586,"")</f>
        <v/>
      </c>
      <c r="AA587" s="0" t="str">
        <f aca="false">IF(AND(C586=C587,W586=W587-1),Y586,"")</f>
        <v/>
      </c>
      <c r="AB587" s="0" t="str">
        <f aca="false">IF(W587=1,"",IF(AND(X587=1,Z587&lt;&gt;1),1,0))</f>
        <v/>
      </c>
      <c r="AC587" s="0" t="str">
        <f aca="false">IF(W587=1,"",IF(AND(Y587=1,AA587&lt;&gt;1),1,0))</f>
        <v/>
      </c>
      <c r="AD587" s="33" t="str">
        <f aca="false">IF(AND(E587&gt;0,W587&lt;1,NOT(AND(C588=C587,W588=W587+1))),INDEX(DATAS,W587+1),"")</f>
        <v/>
      </c>
      <c r="AE587" s="33" t="str">
        <f aca="false">IF(AND(Y587=1,W587&lt;1),IF(AND(C588=C587,W588=W587+1),IF(Y588=1,"",INDEX(DATAS,W587+1)),INDEX(DATAS,W587+1)),"")</f>
        <v/>
      </c>
    </row>
    <row r="588" customFormat="false" ht="15" hidden="false" customHeight="false" outlineLevel="0" collapsed="false">
      <c r="A588" s="33" t="n">
        <v>46309</v>
      </c>
      <c r="B588" s="0" t="n">
        <v>5</v>
      </c>
      <c r="C588" s="0" t="n">
        <v>4413</v>
      </c>
      <c r="D588" s="0" t="n">
        <v>217</v>
      </c>
      <c r="E588" s="0" t="n">
        <v>2</v>
      </c>
      <c r="F588" s="27" t="s">
        <v>552</v>
      </c>
      <c r="G588" s="0" t="n">
        <v>32.7</v>
      </c>
      <c r="H588" s="0" t="n">
        <v>30</v>
      </c>
      <c r="I588" s="27" t="s">
        <v>138</v>
      </c>
      <c r="J588" s="0" t="n">
        <v>175</v>
      </c>
      <c r="K588" s="0" t="n">
        <v>63</v>
      </c>
      <c r="L588" s="0" t="n">
        <v>42</v>
      </c>
      <c r="M588" s="0" t="n">
        <v>270.67</v>
      </c>
      <c r="N588" s="0" t="n">
        <v>53.78</v>
      </c>
      <c r="O588" s="0" t="n">
        <v>19.81</v>
      </c>
      <c r="P588" s="0" t="n">
        <v>5.32</v>
      </c>
      <c r="Q588" s="0" t="n">
        <v>3.91</v>
      </c>
      <c r="R588" s="0" t="n">
        <v>2909</v>
      </c>
      <c r="S588" s="0" t="n">
        <v>6184</v>
      </c>
      <c r="T588" s="0" t="n">
        <v>34.4</v>
      </c>
      <c r="U588" s="0" t="n">
        <v>1388</v>
      </c>
      <c r="V588" s="0" t="n">
        <v>3</v>
      </c>
      <c r="W588" s="27" t="n">
        <f aca="false">MATCH(A588,DATAS,0)</f>
        <v>1</v>
      </c>
      <c r="X588" s="27" t="n">
        <f aca="false">IF(AND(E588&gt;0,OR(AND(B588&gt;=1,B588&lt;=6),B588=10)),1,0)</f>
        <v>1</v>
      </c>
      <c r="Y588" s="27" t="n">
        <f aca="false">IF(AND(E588&gt;0,B588=10),1,0)</f>
        <v>0</v>
      </c>
      <c r="Z588" s="0" t="str">
        <f aca="false">IF(AND(C587=C588,W587=W588-1),X587,"")</f>
        <v/>
      </c>
      <c r="AA588" s="0" t="str">
        <f aca="false">IF(AND(C587=C588,W587=W588-1),Y587,"")</f>
        <v/>
      </c>
      <c r="AB588" s="0" t="str">
        <f aca="false">IF(W588=1,"",IF(AND(X588=1,Z588&lt;&gt;1),1,0))</f>
        <v/>
      </c>
      <c r="AC588" s="0" t="str">
        <f aca="false">IF(W588=1,"",IF(AND(Y588=1,AA588&lt;&gt;1),1,0))</f>
        <v/>
      </c>
      <c r="AD588" s="33" t="str">
        <f aca="false">IF(AND(E588&gt;0,W588&lt;1,NOT(AND(C589=C588,W589=W588+1))),INDEX(DATAS,W588+1),"")</f>
        <v/>
      </c>
      <c r="AE588" s="33" t="str">
        <f aca="false">IF(AND(Y588=1,W588&lt;1),IF(AND(C589=C588,W589=W588+1),IF(Y589=1,"",INDEX(DATAS,W588+1)),INDEX(DATAS,W588+1)),"")</f>
        <v/>
      </c>
    </row>
    <row r="589" customFormat="false" ht="15" hidden="false" customHeight="false" outlineLevel="0" collapsed="false">
      <c r="A589" s="33" t="n">
        <v>46309</v>
      </c>
      <c r="B589" s="0" t="n">
        <v>3</v>
      </c>
      <c r="C589" s="0" t="n">
        <v>4415</v>
      </c>
      <c r="D589" s="0" t="n">
        <v>62</v>
      </c>
      <c r="E589" s="0" t="n">
        <v>2</v>
      </c>
      <c r="F589" s="27" t="s">
        <v>553</v>
      </c>
      <c r="G589" s="0" t="n">
        <v>68.4</v>
      </c>
      <c r="H589" s="0" t="n">
        <v>69</v>
      </c>
      <c r="I589" s="27" t="s">
        <v>168</v>
      </c>
      <c r="J589" s="0" t="n">
        <v>62</v>
      </c>
      <c r="K589" s="0" t="n">
        <v>62</v>
      </c>
      <c r="M589" s="0" t="n">
        <v>907.13</v>
      </c>
      <c r="N589" s="0" t="n">
        <v>57.8</v>
      </c>
      <c r="O589" s="0" t="n">
        <v>37.26</v>
      </c>
      <c r="P589" s="0" t="n">
        <v>2.88</v>
      </c>
      <c r="Q589" s="0" t="n">
        <v>3.09</v>
      </c>
      <c r="R589" s="0" t="n">
        <v>5928</v>
      </c>
      <c r="S589" s="0" t="n">
        <v>11917</v>
      </c>
      <c r="U589" s="0" t="n">
        <v>1386</v>
      </c>
      <c r="V589" s="0" t="n">
        <v>1</v>
      </c>
      <c r="W589" s="27" t="n">
        <f aca="false">MATCH(A589,DATAS,0)</f>
        <v>1</v>
      </c>
      <c r="X589" s="27" t="n">
        <f aca="false">IF(AND(E589&gt;0,OR(AND(B589&gt;=1,B589&lt;=6),B589=10)),1,0)</f>
        <v>1</v>
      </c>
      <c r="Y589" s="27" t="n">
        <f aca="false">IF(AND(E589&gt;0,B589=10),1,0)</f>
        <v>0</v>
      </c>
      <c r="Z589" s="0" t="str">
        <f aca="false">IF(AND(C588=C589,W588=W589-1),X588,"")</f>
        <v/>
      </c>
      <c r="AA589" s="0" t="str">
        <f aca="false">IF(AND(C588=C589,W588=W589-1),Y588,"")</f>
        <v/>
      </c>
      <c r="AB589" s="0" t="str">
        <f aca="false">IF(W589=1,"",IF(AND(X589=1,Z589&lt;&gt;1),1,0))</f>
        <v/>
      </c>
      <c r="AC589" s="0" t="str">
        <f aca="false">IF(W589=1,"",IF(AND(Y589=1,AA589&lt;&gt;1),1,0))</f>
        <v/>
      </c>
      <c r="AD589" s="33" t="str">
        <f aca="false">IF(AND(E589&gt;0,W589&lt;1,NOT(AND(C590=C589,W590=W589+1))),INDEX(DATAS,W589+1),"")</f>
        <v/>
      </c>
      <c r="AE589" s="33" t="str">
        <f aca="false">IF(AND(Y589=1,W589&lt;1),IF(AND(C590=C589,W590=W589+1),IF(Y590=1,"",INDEX(DATAS,W589+1)),INDEX(DATAS,W589+1)),"")</f>
        <v/>
      </c>
    </row>
    <row r="590" customFormat="false" ht="15" hidden="false" customHeight="false" outlineLevel="0" collapsed="false">
      <c r="A590" s="33" t="n">
        <v>46309</v>
      </c>
      <c r="B590" s="0" t="n">
        <v>5</v>
      </c>
      <c r="C590" s="0" t="n">
        <v>4416</v>
      </c>
      <c r="D590" s="0" t="n">
        <v>356</v>
      </c>
      <c r="E590" s="0" t="n">
        <v>2</v>
      </c>
      <c r="F590" s="27" t="s">
        <v>554</v>
      </c>
      <c r="G590" s="0" t="n">
        <v>37.8</v>
      </c>
      <c r="H590" s="0" t="n">
        <v>37</v>
      </c>
      <c r="I590" s="27" t="s">
        <v>138</v>
      </c>
      <c r="J590" s="0" t="n">
        <v>153</v>
      </c>
      <c r="K590" s="0" t="n">
        <v>70</v>
      </c>
      <c r="L590" s="0" t="n">
        <v>203</v>
      </c>
      <c r="M590" s="0" t="n">
        <v>1406.28</v>
      </c>
      <c r="N590" s="0" t="n">
        <v>22.23</v>
      </c>
      <c r="O590" s="0" t="n">
        <v>41.64</v>
      </c>
      <c r="P590" s="0" t="n">
        <v>4.56</v>
      </c>
      <c r="Q590" s="0" t="n">
        <v>3.2</v>
      </c>
      <c r="R590" s="0" t="n">
        <v>4600</v>
      </c>
      <c r="S590" s="0" t="n">
        <v>9267</v>
      </c>
      <c r="T590" s="0" t="n">
        <v>49.95</v>
      </c>
      <c r="U590" s="0" t="n">
        <v>1385</v>
      </c>
      <c r="V590" s="0" t="n">
        <v>4</v>
      </c>
      <c r="W590" s="27" t="n">
        <f aca="false">MATCH(A590,DATAS,0)</f>
        <v>1</v>
      </c>
      <c r="X590" s="27" t="n">
        <f aca="false">IF(AND(E590&gt;0,OR(AND(B590&gt;=1,B590&lt;=6),B590=10)),1,0)</f>
        <v>1</v>
      </c>
      <c r="Y590" s="27" t="n">
        <f aca="false">IF(AND(E590&gt;0,B590=10),1,0)</f>
        <v>0</v>
      </c>
      <c r="Z590" s="0" t="str">
        <f aca="false">IF(AND(C589=C590,W589=W590-1),X589,"")</f>
        <v/>
      </c>
      <c r="AA590" s="0" t="str">
        <f aca="false">IF(AND(C589=C590,W589=W590-1),Y589,"")</f>
        <v/>
      </c>
      <c r="AB590" s="0" t="str">
        <f aca="false">IF(W590=1,"",IF(AND(X590=1,Z590&lt;&gt;1),1,0))</f>
        <v/>
      </c>
      <c r="AC590" s="0" t="str">
        <f aca="false">IF(W590=1,"",IF(AND(Y590=1,AA590&lt;&gt;1),1,0))</f>
        <v/>
      </c>
      <c r="AD590" s="33" t="str">
        <f aca="false">IF(AND(E590&gt;0,W590&lt;1,NOT(AND(C591=C590,W591=W590+1))),INDEX(DATAS,W590+1),"")</f>
        <v/>
      </c>
      <c r="AE590" s="33" t="str">
        <f aca="false">IF(AND(Y590=1,W590&lt;1),IF(AND(C591=C590,W591=W590+1),IF(Y591=1,"",INDEX(DATAS,W590+1)),INDEX(DATAS,W590+1)),"")</f>
        <v/>
      </c>
    </row>
    <row r="591" customFormat="false" ht="15" hidden="false" customHeight="false" outlineLevel="0" collapsed="false">
      <c r="A591" s="33" t="n">
        <v>46309</v>
      </c>
      <c r="B591" s="0" t="n">
        <v>2</v>
      </c>
      <c r="C591" s="0" t="n">
        <v>4417</v>
      </c>
      <c r="D591" s="0" t="n">
        <v>259</v>
      </c>
      <c r="E591" s="0" t="n">
        <v>2</v>
      </c>
      <c r="F591" s="27" t="s">
        <v>555</v>
      </c>
      <c r="G591" s="0" t="n">
        <v>51.6</v>
      </c>
      <c r="H591" s="0" t="n">
        <v>52</v>
      </c>
      <c r="I591" s="27" t="s">
        <v>168</v>
      </c>
      <c r="J591" s="0" t="n">
        <v>259</v>
      </c>
      <c r="K591" s="0" t="n">
        <v>77</v>
      </c>
      <c r="M591" s="0" t="n">
        <v>1517.52</v>
      </c>
      <c r="N591" s="0" t="n">
        <v>18.44</v>
      </c>
      <c r="O591" s="0" t="n">
        <v>54.19</v>
      </c>
      <c r="P591" s="0" t="n">
        <v>2.9</v>
      </c>
      <c r="Q591" s="0" t="n">
        <v>4.02</v>
      </c>
      <c r="R591" s="0" t="n">
        <v>5922</v>
      </c>
      <c r="S591" s="0" t="n">
        <v>11320</v>
      </c>
      <c r="T591" s="0" t="n">
        <v>67.5</v>
      </c>
      <c r="U591" s="0" t="n">
        <v>1384</v>
      </c>
      <c r="V591" s="0" t="n">
        <v>5</v>
      </c>
      <c r="W591" s="27" t="n">
        <f aca="false">MATCH(A591,DATAS,0)</f>
        <v>1</v>
      </c>
      <c r="X591" s="27" t="n">
        <f aca="false">IF(AND(E591&gt;0,OR(AND(B591&gt;=1,B591&lt;=6),B591=10)),1,0)</f>
        <v>1</v>
      </c>
      <c r="Y591" s="27" t="n">
        <f aca="false">IF(AND(E591&gt;0,B591=10),1,0)</f>
        <v>0</v>
      </c>
      <c r="Z591" s="0" t="str">
        <f aca="false">IF(AND(C590=C591,W590=W591-1),X590,"")</f>
        <v/>
      </c>
      <c r="AA591" s="0" t="str">
        <f aca="false">IF(AND(C590=C591,W590=W591-1),Y590,"")</f>
        <v/>
      </c>
      <c r="AB591" s="0" t="str">
        <f aca="false">IF(W591=1,"",IF(AND(X591=1,Z591&lt;&gt;1),1,0))</f>
        <v/>
      </c>
      <c r="AC591" s="0" t="str">
        <f aca="false">IF(W591=1,"",IF(AND(Y591=1,AA591&lt;&gt;1),1,0))</f>
        <v/>
      </c>
      <c r="AD591" s="33" t="str">
        <f aca="false">IF(AND(E591&gt;0,W591&lt;1,NOT(AND(C592=C591,W592=W591+1))),INDEX(DATAS,W591+1),"")</f>
        <v/>
      </c>
      <c r="AE591" s="33" t="str">
        <f aca="false">IF(AND(Y591=1,W591&lt;1),IF(AND(C592=C591,W592=W591+1),IF(Y592=1,"",INDEX(DATAS,W591+1)),INDEX(DATAS,W591+1)),"")</f>
        <v/>
      </c>
    </row>
    <row r="592" customFormat="false" ht="15" hidden="false" customHeight="false" outlineLevel="0" collapsed="false">
      <c r="A592" s="33" t="n">
        <v>46309</v>
      </c>
      <c r="B592" s="0" t="n">
        <v>7</v>
      </c>
      <c r="C592" s="0" t="n">
        <v>4418</v>
      </c>
      <c r="D592" s="0" t="n">
        <v>393</v>
      </c>
      <c r="E592" s="0" t="n">
        <v>2</v>
      </c>
      <c r="F592" s="27" t="s">
        <v>555</v>
      </c>
      <c r="I592" s="27" t="s">
        <v>143</v>
      </c>
      <c r="J592" s="0" t="n">
        <v>170</v>
      </c>
      <c r="K592" s="0" t="n">
        <v>65</v>
      </c>
      <c r="L592" s="0" t="n">
        <v>245</v>
      </c>
      <c r="M592" s="0" t="n">
        <v>1686.69</v>
      </c>
      <c r="N592" s="0" t="n">
        <v>36.43</v>
      </c>
      <c r="O592" s="0" t="n">
        <v>40.94</v>
      </c>
      <c r="P592" s="0" t="n">
        <v>4.47</v>
      </c>
      <c r="Q592" s="0" t="n">
        <v>3.47</v>
      </c>
      <c r="R592" s="0" t="n">
        <v>5755</v>
      </c>
      <c r="S592" s="0" t="n">
        <v>11902</v>
      </c>
      <c r="T592" s="0" t="n">
        <v>61.6</v>
      </c>
      <c r="U592" s="0" t="n">
        <v>1384</v>
      </c>
      <c r="V592" s="0" t="n">
        <v>4</v>
      </c>
      <c r="W592" s="27" t="n">
        <f aca="false">MATCH(A592,DATAS,0)</f>
        <v>1</v>
      </c>
      <c r="X592" s="27" t="n">
        <f aca="false">IF(AND(E592&gt;0,OR(AND(B592&gt;=1,B592&lt;=6),B592=10)),1,0)</f>
        <v>0</v>
      </c>
      <c r="Y592" s="27" t="n">
        <f aca="false">IF(AND(E592&gt;0,B592=10),1,0)</f>
        <v>0</v>
      </c>
      <c r="Z592" s="0" t="str">
        <f aca="false">IF(AND(C591=C592,W591=W592-1),X591,"")</f>
        <v/>
      </c>
      <c r="AA592" s="0" t="str">
        <f aca="false">IF(AND(C591=C592,W591=W592-1),Y591,"")</f>
        <v/>
      </c>
      <c r="AB592" s="0" t="str">
        <f aca="false">IF(W592=1,"",IF(AND(X592=1,Z592&lt;&gt;1),1,0))</f>
        <v/>
      </c>
      <c r="AC592" s="0" t="str">
        <f aca="false">IF(W592=1,"",IF(AND(Y592=1,AA592&lt;&gt;1),1,0))</f>
        <v/>
      </c>
      <c r="AD592" s="33" t="str">
        <f aca="false">IF(AND(E592&gt;0,W592&lt;1,NOT(AND(C593=C592,W593=W592+1))),INDEX(DATAS,W592+1),"")</f>
        <v/>
      </c>
      <c r="AE592" s="33" t="str">
        <f aca="false">IF(AND(Y592=1,W592&lt;1),IF(AND(C593=C592,W593=W592+1),IF(Y593=1,"",INDEX(DATAS,W592+1)),INDEX(DATAS,W592+1)),"")</f>
        <v/>
      </c>
    </row>
    <row r="593" customFormat="false" ht="15" hidden="false" customHeight="false" outlineLevel="0" collapsed="false">
      <c r="A593" s="33" t="n">
        <v>46309</v>
      </c>
      <c r="B593" s="0" t="n">
        <v>5</v>
      </c>
      <c r="C593" s="0" t="n">
        <v>4419</v>
      </c>
      <c r="D593" s="0" t="n">
        <v>212</v>
      </c>
      <c r="E593" s="0" t="n">
        <v>2</v>
      </c>
      <c r="F593" s="27" t="s">
        <v>555</v>
      </c>
      <c r="G593" s="0" t="n">
        <v>28.9</v>
      </c>
      <c r="H593" s="0" t="n">
        <v>32</v>
      </c>
      <c r="I593" s="27" t="s">
        <v>138</v>
      </c>
      <c r="J593" s="0" t="n">
        <v>65</v>
      </c>
      <c r="K593" s="0" t="n">
        <v>65</v>
      </c>
      <c r="L593" s="0" t="n">
        <v>147</v>
      </c>
      <c r="M593" s="0" t="n">
        <v>1096.51</v>
      </c>
      <c r="N593" s="0" t="n">
        <v>35.23</v>
      </c>
      <c r="O593" s="0" t="n">
        <v>30.49</v>
      </c>
      <c r="P593" s="0" t="n">
        <v>5.46</v>
      </c>
      <c r="Q593" s="0" t="n">
        <v>3.77</v>
      </c>
      <c r="R593" s="0" t="n">
        <v>4850</v>
      </c>
      <c r="S593" s="0" t="n">
        <v>8389</v>
      </c>
      <c r="T593" s="0" t="n">
        <v>56.15</v>
      </c>
      <c r="U593" s="0" t="n">
        <v>1384</v>
      </c>
      <c r="V593" s="0" t="n">
        <v>1</v>
      </c>
      <c r="W593" s="27" t="n">
        <f aca="false">MATCH(A593,DATAS,0)</f>
        <v>1</v>
      </c>
      <c r="X593" s="27" t="n">
        <f aca="false">IF(AND(E593&gt;0,OR(AND(B593&gt;=1,B593&lt;=6),B593=10)),1,0)</f>
        <v>1</v>
      </c>
      <c r="Y593" s="27" t="n">
        <f aca="false">IF(AND(E593&gt;0,B593=10),1,0)</f>
        <v>0</v>
      </c>
      <c r="Z593" s="0" t="str">
        <f aca="false">IF(AND(C592=C593,W592=W593-1),X592,"")</f>
        <v/>
      </c>
      <c r="AA593" s="0" t="str">
        <f aca="false">IF(AND(C592=C593,W592=W593-1),Y592,"")</f>
        <v/>
      </c>
      <c r="AB593" s="0" t="str">
        <f aca="false">IF(W593=1,"",IF(AND(X593=1,Z593&lt;&gt;1),1,0))</f>
        <v/>
      </c>
      <c r="AC593" s="0" t="str">
        <f aca="false">IF(W593=1,"",IF(AND(Y593=1,AA593&lt;&gt;1),1,0))</f>
        <v/>
      </c>
      <c r="AD593" s="33" t="str">
        <f aca="false">IF(AND(E593&gt;0,W593&lt;1,NOT(AND(C594=C593,W594=W593+1))),INDEX(DATAS,W593+1),"")</f>
        <v/>
      </c>
      <c r="AE593" s="33" t="str">
        <f aca="false">IF(AND(Y593=1,W593&lt;1),IF(AND(C594=C593,W594=W593+1),IF(Y594=1,"",INDEX(DATAS,W593+1)),INDEX(DATAS,W593+1)),"")</f>
        <v/>
      </c>
    </row>
    <row r="594" customFormat="false" ht="15" hidden="false" customHeight="false" outlineLevel="0" collapsed="false">
      <c r="A594" s="33" t="n">
        <v>46309</v>
      </c>
      <c r="B594" s="0" t="n">
        <v>5</v>
      </c>
      <c r="C594" s="0" t="n">
        <v>4420</v>
      </c>
      <c r="D594" s="0" t="n">
        <v>417</v>
      </c>
      <c r="E594" s="0" t="n">
        <v>2</v>
      </c>
      <c r="F594" s="27" t="s">
        <v>555</v>
      </c>
      <c r="H594" s="0" t="n">
        <v>22</v>
      </c>
      <c r="I594" s="27" t="s">
        <v>138</v>
      </c>
      <c r="J594" s="0" t="n">
        <v>299</v>
      </c>
      <c r="K594" s="0" t="n">
        <v>67</v>
      </c>
      <c r="L594" s="0" t="n">
        <v>118</v>
      </c>
      <c r="M594" s="0" t="n">
        <v>1392.92</v>
      </c>
      <c r="N594" s="0" t="n">
        <v>50.5</v>
      </c>
      <c r="O594" s="0" t="n">
        <v>35.68</v>
      </c>
      <c r="P594" s="0" t="n">
        <v>4.7</v>
      </c>
      <c r="Q594" s="0" t="n">
        <v>3.77</v>
      </c>
      <c r="R594" s="0" t="n">
        <v>5371</v>
      </c>
      <c r="S594" s="0" t="n">
        <v>11088</v>
      </c>
      <c r="T594" s="0" t="n">
        <v>64.2</v>
      </c>
      <c r="U594" s="0" t="n">
        <v>1384</v>
      </c>
      <c r="V594" s="0" t="n">
        <v>11</v>
      </c>
      <c r="W594" s="27" t="n">
        <f aca="false">MATCH(A594,DATAS,0)</f>
        <v>1</v>
      </c>
      <c r="X594" s="27" t="n">
        <f aca="false">IF(AND(E594&gt;0,OR(AND(B594&gt;=1,B594&lt;=6),B594=10)),1,0)</f>
        <v>1</v>
      </c>
      <c r="Y594" s="27" t="n">
        <f aca="false">IF(AND(E594&gt;0,B594=10),1,0)</f>
        <v>0</v>
      </c>
      <c r="Z594" s="0" t="str">
        <f aca="false">IF(AND(C593=C594,W593=W594-1),X593,"")</f>
        <v/>
      </c>
      <c r="AA594" s="0" t="str">
        <f aca="false">IF(AND(C593=C594,W593=W594-1),Y593,"")</f>
        <v/>
      </c>
      <c r="AB594" s="0" t="str">
        <f aca="false">IF(W594=1,"",IF(AND(X594=1,Z594&lt;&gt;1),1,0))</f>
        <v/>
      </c>
      <c r="AC594" s="0" t="str">
        <f aca="false">IF(W594=1,"",IF(AND(Y594=1,AA594&lt;&gt;1),1,0))</f>
        <v/>
      </c>
      <c r="AD594" s="33" t="str">
        <f aca="false">IF(AND(E594&gt;0,W594&lt;1,NOT(AND(C595=C594,W595=W594+1))),INDEX(DATAS,W594+1),"")</f>
        <v/>
      </c>
      <c r="AE594" s="33" t="str">
        <f aca="false">IF(AND(Y594=1,W594&lt;1),IF(AND(C595=C594,W595=W594+1),IF(Y595=1,"",INDEX(DATAS,W594+1)),INDEX(DATAS,W594+1)),"")</f>
        <v/>
      </c>
    </row>
    <row r="595" customFormat="false" ht="15" hidden="false" customHeight="false" outlineLevel="0" collapsed="false">
      <c r="A595" s="33" t="n">
        <v>46309</v>
      </c>
      <c r="B595" s="0" t="n">
        <v>3</v>
      </c>
      <c r="C595" s="0" t="n">
        <v>4422</v>
      </c>
      <c r="D595" s="0" t="n">
        <v>17</v>
      </c>
      <c r="E595" s="0" t="n">
        <v>3</v>
      </c>
      <c r="F595" s="27" t="s">
        <v>556</v>
      </c>
      <c r="G595" s="0" t="n">
        <v>58.6</v>
      </c>
      <c r="H595" s="0" t="n">
        <v>55</v>
      </c>
      <c r="I595" s="27" t="s">
        <v>147</v>
      </c>
      <c r="J595" s="0" t="n">
        <v>17</v>
      </c>
      <c r="M595" s="0" t="n">
        <v>236.97</v>
      </c>
      <c r="N595" s="0" t="n">
        <v>15.39</v>
      </c>
      <c r="O595" s="0" t="n">
        <v>21.9</v>
      </c>
      <c r="R595" s="0" t="n">
        <v>4103</v>
      </c>
      <c r="S595" s="0" t="n">
        <v>8248</v>
      </c>
      <c r="U595" s="0" t="n">
        <v>1381</v>
      </c>
      <c r="V595" s="0" t="n">
        <v>0</v>
      </c>
      <c r="W595" s="27" t="n">
        <f aca="false">MATCH(A595,DATAS,0)</f>
        <v>1</v>
      </c>
      <c r="X595" s="27" t="n">
        <f aca="false">IF(AND(E595&gt;0,OR(AND(B595&gt;=1,B595&lt;=6),B595=10)),1,0)</f>
        <v>1</v>
      </c>
      <c r="Y595" s="27" t="n">
        <f aca="false">IF(AND(E595&gt;0,B595=10),1,0)</f>
        <v>0</v>
      </c>
      <c r="Z595" s="0" t="str">
        <f aca="false">IF(AND(C594=C595,W594=W595-1),X594,"")</f>
        <v/>
      </c>
      <c r="AA595" s="0" t="str">
        <f aca="false">IF(AND(C594=C595,W594=W595-1),Y594,"")</f>
        <v/>
      </c>
      <c r="AB595" s="0" t="str">
        <f aca="false">IF(W595=1,"",IF(AND(X595=1,Z595&lt;&gt;1),1,0))</f>
        <v/>
      </c>
      <c r="AC595" s="0" t="str">
        <f aca="false">IF(W595=1,"",IF(AND(Y595=1,AA595&lt;&gt;1),1,0))</f>
        <v/>
      </c>
      <c r="AD595" s="33" t="str">
        <f aca="false">IF(AND(E595&gt;0,W595&lt;1,NOT(AND(C596=C595,W596=W595+1))),INDEX(DATAS,W595+1),"")</f>
        <v/>
      </c>
      <c r="AE595" s="33" t="str">
        <f aca="false">IF(AND(Y595=1,W595&lt;1),IF(AND(C596=C595,W596=W595+1),IF(Y596=1,"",INDEX(DATAS,W595+1)),INDEX(DATAS,W595+1)),"")</f>
        <v/>
      </c>
    </row>
    <row r="596" customFormat="false" ht="15" hidden="false" customHeight="false" outlineLevel="0" collapsed="false">
      <c r="A596" s="33" t="n">
        <v>46309</v>
      </c>
      <c r="B596" s="0" t="n">
        <v>6</v>
      </c>
      <c r="C596" s="0" t="n">
        <v>4424</v>
      </c>
      <c r="D596" s="0" t="n">
        <v>686</v>
      </c>
      <c r="E596" s="0" t="n">
        <v>1</v>
      </c>
      <c r="F596" s="27" t="s">
        <v>557</v>
      </c>
      <c r="G596" s="0" t="n">
        <v>20.6</v>
      </c>
      <c r="H596" s="0" t="n">
        <v>19</v>
      </c>
      <c r="I596" s="27" t="s">
        <v>138</v>
      </c>
      <c r="J596" s="0" t="n">
        <v>631</v>
      </c>
      <c r="K596" s="0" t="n">
        <v>71</v>
      </c>
      <c r="L596" s="0" t="n">
        <v>55</v>
      </c>
      <c r="M596" s="0" t="n">
        <v>668.06</v>
      </c>
      <c r="N596" s="0" t="n">
        <v>61.04</v>
      </c>
      <c r="O596" s="0" t="n">
        <v>20.53</v>
      </c>
      <c r="P596" s="0" t="n">
        <v>6.01</v>
      </c>
      <c r="Q596" s="0" t="n">
        <v>4.68</v>
      </c>
      <c r="R596" s="0" t="n">
        <v>4022</v>
      </c>
      <c r="S596" s="0" t="n">
        <v>8891</v>
      </c>
      <c r="T596" s="0" t="n">
        <v>53.9</v>
      </c>
      <c r="U596" s="0" t="n">
        <v>1380</v>
      </c>
      <c r="V596" s="0" t="n">
        <v>13</v>
      </c>
      <c r="W596" s="27" t="n">
        <f aca="false">MATCH(A596,DATAS,0)</f>
        <v>1</v>
      </c>
      <c r="X596" s="27" t="n">
        <f aca="false">IF(AND(E596&gt;0,OR(AND(B596&gt;=1,B596&lt;=6),B596=10)),1,0)</f>
        <v>1</v>
      </c>
      <c r="Y596" s="27" t="n">
        <f aca="false">IF(AND(E596&gt;0,B596=10),1,0)</f>
        <v>0</v>
      </c>
      <c r="Z596" s="0" t="str">
        <f aca="false">IF(AND(C595=C596,W595=W596-1),X595,"")</f>
        <v/>
      </c>
      <c r="AA596" s="0" t="str">
        <f aca="false">IF(AND(C595=C596,W595=W596-1),Y595,"")</f>
        <v/>
      </c>
      <c r="AB596" s="0" t="str">
        <f aca="false">IF(W596=1,"",IF(AND(X596=1,Z596&lt;&gt;1),1,0))</f>
        <v/>
      </c>
      <c r="AC596" s="0" t="str">
        <f aca="false">IF(W596=1,"",IF(AND(Y596=1,AA596&lt;&gt;1),1,0))</f>
        <v/>
      </c>
      <c r="AD596" s="33" t="str">
        <f aca="false">IF(AND(E596&gt;0,W596&lt;1,NOT(AND(C597=C596,W597=W596+1))),INDEX(DATAS,W596+1),"")</f>
        <v/>
      </c>
      <c r="AE596" s="33" t="str">
        <f aca="false">IF(AND(Y596=1,W596&lt;1),IF(AND(C597=C596,W597=W596+1),IF(Y597=1,"",INDEX(DATAS,W596+1)),INDEX(DATAS,W596+1)),"")</f>
        <v/>
      </c>
    </row>
    <row r="597" customFormat="false" ht="15" hidden="false" customHeight="false" outlineLevel="0" collapsed="false">
      <c r="A597" s="33" t="n">
        <v>46309</v>
      </c>
      <c r="B597" s="0" t="n">
        <v>5</v>
      </c>
      <c r="C597" s="0" t="n">
        <v>4425</v>
      </c>
      <c r="D597" s="0" t="n">
        <v>370</v>
      </c>
      <c r="E597" s="0" t="n">
        <v>2</v>
      </c>
      <c r="F597" s="27" t="s">
        <v>557</v>
      </c>
      <c r="G597" s="0" t="n">
        <v>31.2</v>
      </c>
      <c r="H597" s="0" t="n">
        <v>33</v>
      </c>
      <c r="I597" s="27" t="s">
        <v>168</v>
      </c>
      <c r="J597" s="0" t="n">
        <v>370</v>
      </c>
      <c r="K597" s="0" t="n">
        <v>70</v>
      </c>
      <c r="M597" s="0" t="n">
        <v>652.58</v>
      </c>
      <c r="N597" s="0" t="n">
        <v>56.05</v>
      </c>
      <c r="O597" s="0" t="n">
        <v>35.13</v>
      </c>
      <c r="P597" s="0" t="n">
        <v>0</v>
      </c>
      <c r="Q597" s="0" t="n">
        <v>0</v>
      </c>
      <c r="R597" s="0" t="n">
        <v>5929</v>
      </c>
      <c r="S597" s="0" t="n">
        <v>11357</v>
      </c>
      <c r="T597" s="0" t="n">
        <v>63.75</v>
      </c>
      <c r="U597" s="0" t="n">
        <v>1380</v>
      </c>
      <c r="V597" s="0" t="n">
        <v>5</v>
      </c>
      <c r="W597" s="27" t="n">
        <f aca="false">MATCH(A597,DATAS,0)</f>
        <v>1</v>
      </c>
      <c r="X597" s="27" t="n">
        <f aca="false">IF(AND(E597&gt;0,OR(AND(B597&gt;=1,B597&lt;=6),B597=10)),1,0)</f>
        <v>1</v>
      </c>
      <c r="Y597" s="27" t="n">
        <f aca="false">IF(AND(E597&gt;0,B597=10),1,0)</f>
        <v>0</v>
      </c>
      <c r="Z597" s="0" t="str">
        <f aca="false">IF(AND(C596=C597,W596=W597-1),X596,"")</f>
        <v/>
      </c>
      <c r="AA597" s="0" t="str">
        <f aca="false">IF(AND(C596=C597,W596=W597-1),Y596,"")</f>
        <v/>
      </c>
      <c r="AB597" s="0" t="str">
        <f aca="false">IF(W597=1,"",IF(AND(X597=1,Z597&lt;&gt;1),1,0))</f>
        <v/>
      </c>
      <c r="AC597" s="0" t="str">
        <f aca="false">IF(W597=1,"",IF(AND(Y597=1,AA597&lt;&gt;1),1,0))</f>
        <v/>
      </c>
      <c r="AD597" s="33" t="str">
        <f aca="false">IF(AND(E597&gt;0,W597&lt;1,NOT(AND(C598=C597,W598=W597+1))),INDEX(DATAS,W597+1),"")</f>
        <v/>
      </c>
      <c r="AE597" s="33" t="str">
        <f aca="false">IF(AND(Y597=1,W597&lt;1),IF(AND(C598=C597,W598=W597+1),IF(Y598=1,"",INDEX(DATAS,W597+1)),INDEX(DATAS,W597+1)),"")</f>
        <v/>
      </c>
    </row>
    <row r="598" customFormat="false" ht="15" hidden="false" customHeight="false" outlineLevel="0" collapsed="false">
      <c r="A598" s="33" t="n">
        <v>46309</v>
      </c>
      <c r="B598" s="0" t="n">
        <v>3</v>
      </c>
      <c r="C598" s="0" t="n">
        <v>4426</v>
      </c>
      <c r="D598" s="0" t="n">
        <v>79</v>
      </c>
      <c r="E598" s="0" t="n">
        <v>3</v>
      </c>
      <c r="F598" s="27" t="s">
        <v>557</v>
      </c>
      <c r="G598" s="0" t="n">
        <v>62.3</v>
      </c>
      <c r="H598" s="0" t="n">
        <v>59</v>
      </c>
      <c r="I598" s="27" t="s">
        <v>168</v>
      </c>
      <c r="J598" s="0" t="n">
        <v>79</v>
      </c>
      <c r="K598" s="0" t="n">
        <v>65</v>
      </c>
      <c r="M598" s="0" t="n">
        <v>634.64</v>
      </c>
      <c r="N598" s="0" t="n">
        <v>48.94</v>
      </c>
      <c r="O598" s="0" t="n">
        <v>29.34</v>
      </c>
      <c r="P598" s="0" t="n">
        <v>3.49</v>
      </c>
      <c r="Q598" s="0" t="n">
        <v>3.23</v>
      </c>
      <c r="R598" s="0" t="n">
        <v>5209</v>
      </c>
      <c r="S598" s="0" t="n">
        <v>10471</v>
      </c>
      <c r="U598" s="0" t="n">
        <v>1380</v>
      </c>
      <c r="V598" s="0" t="n">
        <v>1</v>
      </c>
      <c r="W598" s="27" t="n">
        <f aca="false">MATCH(A598,DATAS,0)</f>
        <v>1</v>
      </c>
      <c r="X598" s="27" t="n">
        <f aca="false">IF(AND(E598&gt;0,OR(AND(B598&gt;=1,B598&lt;=6),B598=10)),1,0)</f>
        <v>1</v>
      </c>
      <c r="Y598" s="27" t="n">
        <f aca="false">IF(AND(E598&gt;0,B598=10),1,0)</f>
        <v>0</v>
      </c>
      <c r="Z598" s="0" t="str">
        <f aca="false">IF(AND(C597=C598,W597=W598-1),X597,"")</f>
        <v/>
      </c>
      <c r="AA598" s="0" t="str">
        <f aca="false">IF(AND(C597=C598,W597=W598-1),Y597,"")</f>
        <v/>
      </c>
      <c r="AB598" s="0" t="str">
        <f aca="false">IF(W598=1,"",IF(AND(X598=1,Z598&lt;&gt;1),1,0))</f>
        <v/>
      </c>
      <c r="AC598" s="0" t="str">
        <f aca="false">IF(W598=1,"",IF(AND(Y598=1,AA598&lt;&gt;1),1,0))</f>
        <v/>
      </c>
      <c r="AD598" s="33" t="str">
        <f aca="false">IF(AND(E598&gt;0,W598&lt;1,NOT(AND(C599=C598,W599=W598+1))),INDEX(DATAS,W598+1),"")</f>
        <v/>
      </c>
      <c r="AE598" s="33" t="str">
        <f aca="false">IF(AND(Y598=1,W598&lt;1),IF(AND(C599=C598,W599=W598+1),IF(Y599=1,"",INDEX(DATAS,W598+1)),INDEX(DATAS,W598+1)),"")</f>
        <v/>
      </c>
    </row>
    <row r="599" customFormat="false" ht="15" hidden="false" customHeight="false" outlineLevel="0" collapsed="false">
      <c r="A599" s="33" t="n">
        <v>46309</v>
      </c>
      <c r="B599" s="0" t="n">
        <v>7</v>
      </c>
      <c r="C599" s="0" t="n">
        <v>4427</v>
      </c>
      <c r="D599" s="0" t="n">
        <v>322</v>
      </c>
      <c r="E599" s="0" t="n">
        <v>2</v>
      </c>
      <c r="F599" s="27" t="s">
        <v>558</v>
      </c>
      <c r="G599" s="0" t="n">
        <v>9.3</v>
      </c>
      <c r="H599" s="0" t="n">
        <v>18</v>
      </c>
      <c r="I599" s="27" t="s">
        <v>143</v>
      </c>
      <c r="J599" s="0" t="n">
        <v>99</v>
      </c>
      <c r="K599" s="0" t="n">
        <v>64</v>
      </c>
      <c r="L599" s="0" t="n">
        <v>224</v>
      </c>
      <c r="M599" s="0" t="n">
        <v>116.99</v>
      </c>
      <c r="N599" s="0" t="n">
        <v>65.98</v>
      </c>
      <c r="O599" s="0" t="n">
        <v>25.27</v>
      </c>
      <c r="P599" s="0" t="n">
        <v>5.8</v>
      </c>
      <c r="Q599" s="0" t="n">
        <v>4.61</v>
      </c>
      <c r="R599" s="0" t="n">
        <v>5528</v>
      </c>
      <c r="S599" s="0" t="n">
        <v>11186</v>
      </c>
      <c r="T599" s="0" t="n">
        <v>58.25</v>
      </c>
      <c r="U599" s="0" t="n">
        <v>1379</v>
      </c>
      <c r="V599" s="0" t="n">
        <v>2</v>
      </c>
      <c r="W599" s="27" t="n">
        <f aca="false">MATCH(A599,DATAS,0)</f>
        <v>1</v>
      </c>
      <c r="X599" s="27" t="n">
        <f aca="false">IF(AND(E599&gt;0,OR(AND(B599&gt;=1,B599&lt;=6),B599=10)),1,0)</f>
        <v>0</v>
      </c>
      <c r="Y599" s="27" t="n">
        <f aca="false">IF(AND(E599&gt;0,B599=10),1,0)</f>
        <v>0</v>
      </c>
      <c r="Z599" s="0" t="str">
        <f aca="false">IF(AND(C598=C599,W598=W599-1),X598,"")</f>
        <v/>
      </c>
      <c r="AA599" s="0" t="str">
        <f aca="false">IF(AND(C598=C599,W598=W599-1),Y598,"")</f>
        <v/>
      </c>
      <c r="AB599" s="0" t="str">
        <f aca="false">IF(W599=1,"",IF(AND(X599=1,Z599&lt;&gt;1),1,0))</f>
        <v/>
      </c>
      <c r="AC599" s="0" t="str">
        <f aca="false">IF(W599=1,"",IF(AND(Y599=1,AA599&lt;&gt;1),1,0))</f>
        <v/>
      </c>
      <c r="AD599" s="33" t="str">
        <f aca="false">IF(AND(E599&gt;0,W599&lt;1,NOT(AND(C600=C599,W600=W599+1))),INDEX(DATAS,W599+1),"")</f>
        <v/>
      </c>
      <c r="AE599" s="33" t="str">
        <f aca="false">IF(AND(Y599=1,W599&lt;1),IF(AND(C600=C599,W600=W599+1),IF(Y600=1,"",INDEX(DATAS,W599+1)),INDEX(DATAS,W599+1)),"")</f>
        <v/>
      </c>
    </row>
    <row r="600" customFormat="false" ht="15" hidden="false" customHeight="false" outlineLevel="0" collapsed="false">
      <c r="A600" s="33" t="n">
        <v>46309</v>
      </c>
      <c r="B600" s="0" t="n">
        <v>7</v>
      </c>
      <c r="C600" s="0" t="n">
        <v>4428</v>
      </c>
      <c r="D600" s="0" t="n">
        <v>320</v>
      </c>
      <c r="E600" s="0" t="n">
        <v>2</v>
      </c>
      <c r="F600" s="27" t="s">
        <v>559</v>
      </c>
      <c r="G600" s="0" t="n">
        <v>12.3</v>
      </c>
      <c r="H600" s="0" t="n">
        <v>32</v>
      </c>
      <c r="I600" s="27" t="s">
        <v>143</v>
      </c>
      <c r="J600" s="0" t="n">
        <v>97</v>
      </c>
      <c r="K600" s="0" t="n">
        <v>62</v>
      </c>
      <c r="L600" s="0" t="n">
        <v>224</v>
      </c>
      <c r="M600" s="0" t="n">
        <v>1014.71</v>
      </c>
      <c r="N600" s="0" t="n">
        <v>39</v>
      </c>
      <c r="O600" s="0" t="n">
        <v>31.95</v>
      </c>
      <c r="P600" s="0" t="n">
        <v>3.43</v>
      </c>
      <c r="Q600" s="0" t="n">
        <v>3.78</v>
      </c>
      <c r="R600" s="0" t="n">
        <v>5669</v>
      </c>
      <c r="S600" s="0" t="n">
        <v>10356</v>
      </c>
      <c r="T600" s="0" t="n">
        <v>54.4</v>
      </c>
      <c r="U600" s="0" t="n">
        <v>1378</v>
      </c>
      <c r="V600" s="0" t="n">
        <v>2</v>
      </c>
      <c r="W600" s="27" t="n">
        <f aca="false">MATCH(A600,DATAS,0)</f>
        <v>1</v>
      </c>
      <c r="X600" s="27" t="n">
        <f aca="false">IF(AND(E600&gt;0,OR(AND(B600&gt;=1,B600&lt;=6),B600=10)),1,0)</f>
        <v>0</v>
      </c>
      <c r="Y600" s="27" t="n">
        <f aca="false">IF(AND(E600&gt;0,B600=10),1,0)</f>
        <v>0</v>
      </c>
      <c r="Z600" s="0" t="str">
        <f aca="false">IF(AND(C599=C600,W599=W600-1),X599,"")</f>
        <v/>
      </c>
      <c r="AA600" s="0" t="str">
        <f aca="false">IF(AND(C599=C600,W599=W600-1),Y599,"")</f>
        <v/>
      </c>
      <c r="AB600" s="0" t="str">
        <f aca="false">IF(W600=1,"",IF(AND(X600=1,Z600&lt;&gt;1),1,0))</f>
        <v/>
      </c>
      <c r="AC600" s="0" t="str">
        <f aca="false">IF(W600=1,"",IF(AND(Y600=1,AA600&lt;&gt;1),1,0))</f>
        <v/>
      </c>
      <c r="AD600" s="33" t="str">
        <f aca="false">IF(AND(E600&gt;0,W600&lt;1,NOT(AND(C601=C600,W601=W600+1))),INDEX(DATAS,W600+1),"")</f>
        <v/>
      </c>
      <c r="AE600" s="33" t="str">
        <f aca="false">IF(AND(Y600=1,W600&lt;1),IF(AND(C601=C600,W601=W600+1),IF(Y601=1,"",INDEX(DATAS,W600+1)),INDEX(DATAS,W600+1)),"")</f>
        <v/>
      </c>
    </row>
    <row r="601" customFormat="false" ht="15" hidden="false" customHeight="false" outlineLevel="0" collapsed="false">
      <c r="A601" s="33" t="n">
        <v>46309</v>
      </c>
      <c r="B601" s="0" t="n">
        <v>5</v>
      </c>
      <c r="C601" s="0" t="n">
        <v>4429</v>
      </c>
      <c r="D601" s="0" t="n">
        <v>239</v>
      </c>
      <c r="E601" s="0" t="n">
        <v>2</v>
      </c>
      <c r="F601" s="27" t="s">
        <v>559</v>
      </c>
      <c r="G601" s="0" t="n">
        <v>47.6</v>
      </c>
      <c r="H601" s="0" t="n">
        <v>46</v>
      </c>
      <c r="I601" s="27" t="s">
        <v>176</v>
      </c>
      <c r="J601" s="0" t="n">
        <v>239</v>
      </c>
      <c r="K601" s="0" t="n">
        <v>64</v>
      </c>
      <c r="M601" s="0" t="n">
        <v>584.98</v>
      </c>
      <c r="N601" s="0" t="n">
        <v>60.37</v>
      </c>
      <c r="O601" s="0" t="n">
        <v>32.21</v>
      </c>
      <c r="P601" s="0" t="n">
        <v>4.26</v>
      </c>
      <c r="Q601" s="0" t="n">
        <v>3.71</v>
      </c>
      <c r="R601" s="0" t="n">
        <v>4613</v>
      </c>
      <c r="S601" s="0" t="n">
        <v>9630</v>
      </c>
      <c r="T601" s="0" t="n">
        <v>50</v>
      </c>
      <c r="U601" s="0" t="n">
        <v>1378</v>
      </c>
      <c r="V601" s="0" t="n">
        <v>4</v>
      </c>
      <c r="W601" s="27" t="n">
        <f aca="false">MATCH(A601,DATAS,0)</f>
        <v>1</v>
      </c>
      <c r="X601" s="27" t="n">
        <f aca="false">IF(AND(E601&gt;0,OR(AND(B601&gt;=1,B601&lt;=6),B601=10)),1,0)</f>
        <v>1</v>
      </c>
      <c r="Y601" s="27" t="n">
        <f aca="false">IF(AND(E601&gt;0,B601=10),1,0)</f>
        <v>0</v>
      </c>
      <c r="Z601" s="0" t="str">
        <f aca="false">IF(AND(C600=C601,W600=W601-1),X600,"")</f>
        <v/>
      </c>
      <c r="AA601" s="0" t="str">
        <f aca="false">IF(AND(C600=C601,W600=W601-1),Y600,"")</f>
        <v/>
      </c>
      <c r="AB601" s="0" t="str">
        <f aca="false">IF(W601=1,"",IF(AND(X601=1,Z601&lt;&gt;1),1,0))</f>
        <v/>
      </c>
      <c r="AC601" s="0" t="str">
        <f aca="false">IF(W601=1,"",IF(AND(Y601=1,AA601&lt;&gt;1),1,0))</f>
        <v/>
      </c>
      <c r="AD601" s="33" t="str">
        <f aca="false">IF(AND(E601&gt;0,W601&lt;1,NOT(AND(C602=C601,W602=W601+1))),INDEX(DATAS,W601+1),"")</f>
        <v/>
      </c>
      <c r="AE601" s="33" t="str">
        <f aca="false">IF(AND(Y601=1,W601&lt;1),IF(AND(C602=C601,W602=W601+1),IF(Y602=1,"",INDEX(DATAS,W601+1)),INDEX(DATAS,W601+1)),"")</f>
        <v/>
      </c>
    </row>
    <row r="602" customFormat="false" ht="15" hidden="false" customHeight="false" outlineLevel="0" collapsed="false">
      <c r="A602" s="33" t="n">
        <v>46309</v>
      </c>
      <c r="B602" s="0" t="n">
        <v>3</v>
      </c>
      <c r="C602" s="0" t="n">
        <v>4431</v>
      </c>
      <c r="D602" s="0" t="n">
        <v>127</v>
      </c>
      <c r="E602" s="0" t="n">
        <v>3</v>
      </c>
      <c r="F602" s="27" t="s">
        <v>560</v>
      </c>
      <c r="G602" s="0" t="n">
        <v>63.8</v>
      </c>
      <c r="H602" s="0" t="n">
        <v>61</v>
      </c>
      <c r="I602" s="27" t="s">
        <v>138</v>
      </c>
      <c r="J602" s="0" t="n">
        <v>64</v>
      </c>
      <c r="K602" s="0" t="n">
        <v>64</v>
      </c>
      <c r="L602" s="0" t="n">
        <v>63</v>
      </c>
      <c r="M602" s="0" t="n">
        <v>863.27</v>
      </c>
      <c r="N602" s="0" t="n">
        <v>40.65</v>
      </c>
      <c r="O602" s="0" t="n">
        <v>32.97</v>
      </c>
      <c r="P602" s="0" t="n">
        <v>3</v>
      </c>
      <c r="Q602" s="0" t="n">
        <v>3.51</v>
      </c>
      <c r="R602" s="0" t="n">
        <v>6155</v>
      </c>
      <c r="S602" s="0" t="n">
        <v>12154</v>
      </c>
      <c r="T602" s="0" t="n">
        <v>68.85</v>
      </c>
      <c r="U602" s="0" t="n">
        <v>1377</v>
      </c>
      <c r="V602" s="0" t="n">
        <v>1</v>
      </c>
      <c r="W602" s="27" t="n">
        <f aca="false">MATCH(A602,DATAS,0)</f>
        <v>1</v>
      </c>
      <c r="X602" s="27" t="n">
        <f aca="false">IF(AND(E602&gt;0,OR(AND(B602&gt;=1,B602&lt;=6),B602=10)),1,0)</f>
        <v>1</v>
      </c>
      <c r="Y602" s="27" t="n">
        <f aca="false">IF(AND(E602&gt;0,B602=10),1,0)</f>
        <v>0</v>
      </c>
      <c r="Z602" s="0" t="str">
        <f aca="false">IF(AND(C601=C602,W601=W602-1),X601,"")</f>
        <v/>
      </c>
      <c r="AA602" s="0" t="str">
        <f aca="false">IF(AND(C601=C602,W601=W602-1),Y601,"")</f>
        <v/>
      </c>
      <c r="AB602" s="0" t="str">
        <f aca="false">IF(W602=1,"",IF(AND(X602=1,Z602&lt;&gt;1),1,0))</f>
        <v/>
      </c>
      <c r="AC602" s="0" t="str">
        <f aca="false">IF(W602=1,"",IF(AND(Y602=1,AA602&lt;&gt;1),1,0))</f>
        <v/>
      </c>
      <c r="AD602" s="33" t="str">
        <f aca="false">IF(AND(E602&gt;0,W602&lt;1,NOT(AND(C603=C602,W603=W602+1))),INDEX(DATAS,W602+1),"")</f>
        <v/>
      </c>
      <c r="AE602" s="33" t="str">
        <f aca="false">IF(AND(Y602=1,W602&lt;1),IF(AND(C603=C602,W603=W602+1),IF(Y603=1,"",INDEX(DATAS,W602+1)),INDEX(DATAS,W602+1)),"")</f>
        <v/>
      </c>
    </row>
    <row r="603" customFormat="false" ht="15" hidden="false" customHeight="false" outlineLevel="0" collapsed="false">
      <c r="A603" s="33" t="n">
        <v>46309</v>
      </c>
      <c r="B603" s="0" t="n">
        <v>5</v>
      </c>
      <c r="C603" s="0" t="n">
        <v>4432</v>
      </c>
      <c r="D603" s="0" t="n">
        <v>309</v>
      </c>
      <c r="E603" s="0" t="n">
        <v>2</v>
      </c>
      <c r="F603" s="27" t="s">
        <v>560</v>
      </c>
      <c r="G603" s="0" t="n">
        <v>46.4</v>
      </c>
      <c r="H603" s="0" t="n">
        <v>44</v>
      </c>
      <c r="I603" s="27" t="s">
        <v>138</v>
      </c>
      <c r="J603" s="0" t="n">
        <v>99</v>
      </c>
      <c r="K603" s="0" t="n">
        <v>64</v>
      </c>
      <c r="L603" s="0" t="n">
        <v>210</v>
      </c>
      <c r="M603" s="0" t="n">
        <v>683.08</v>
      </c>
      <c r="N603" s="0" t="n">
        <v>73.51</v>
      </c>
      <c r="O603" s="0" t="n">
        <v>39.86</v>
      </c>
      <c r="P603" s="0" t="n">
        <v>3.96</v>
      </c>
      <c r="Q603" s="0" t="n">
        <v>3.61</v>
      </c>
      <c r="R603" s="0" t="n">
        <v>5468</v>
      </c>
      <c r="S603" s="0" t="n">
        <v>11530</v>
      </c>
      <c r="T603" s="0" t="n">
        <v>57.45</v>
      </c>
      <c r="U603" s="0" t="n">
        <v>1377</v>
      </c>
      <c r="V603" s="0" t="n">
        <v>2</v>
      </c>
      <c r="W603" s="27" t="n">
        <f aca="false">MATCH(A603,DATAS,0)</f>
        <v>1</v>
      </c>
      <c r="X603" s="27" t="n">
        <f aca="false">IF(AND(E603&gt;0,OR(AND(B603&gt;=1,B603&lt;=6),B603=10)),1,0)</f>
        <v>1</v>
      </c>
      <c r="Y603" s="27" t="n">
        <f aca="false">IF(AND(E603&gt;0,B603=10),1,0)</f>
        <v>0</v>
      </c>
      <c r="Z603" s="0" t="str">
        <f aca="false">IF(AND(C602=C603,W602=W603-1),X602,"")</f>
        <v/>
      </c>
      <c r="AA603" s="0" t="str">
        <f aca="false">IF(AND(C602=C603,W602=W603-1),Y602,"")</f>
        <v/>
      </c>
      <c r="AB603" s="0" t="str">
        <f aca="false">IF(W603=1,"",IF(AND(X603=1,Z603&lt;&gt;1),1,0))</f>
        <v/>
      </c>
      <c r="AC603" s="0" t="str">
        <f aca="false">IF(W603=1,"",IF(AND(Y603=1,AA603&lt;&gt;1),1,0))</f>
        <v/>
      </c>
      <c r="AD603" s="33" t="str">
        <f aca="false">IF(AND(E603&gt;0,W603&lt;1,NOT(AND(C604=C603,W604=W603+1))),INDEX(DATAS,W603+1),"")</f>
        <v/>
      </c>
      <c r="AE603" s="33" t="str">
        <f aca="false">IF(AND(Y603=1,W603&lt;1),IF(AND(C604=C603,W604=W603+1),IF(Y604=1,"",INDEX(DATAS,W603+1)),INDEX(DATAS,W603+1)),"")</f>
        <v/>
      </c>
    </row>
    <row r="604" customFormat="false" ht="15" hidden="false" customHeight="false" outlineLevel="0" collapsed="false">
      <c r="A604" s="33" t="n">
        <v>46309</v>
      </c>
      <c r="B604" s="0" t="n">
        <v>5</v>
      </c>
      <c r="C604" s="0" t="n">
        <v>4437</v>
      </c>
      <c r="D604" s="0" t="n">
        <v>327</v>
      </c>
      <c r="E604" s="0" t="n">
        <v>2</v>
      </c>
      <c r="F604" s="27" t="s">
        <v>561</v>
      </c>
      <c r="G604" s="0" t="n">
        <v>40.2</v>
      </c>
      <c r="H604" s="0" t="n">
        <v>35</v>
      </c>
      <c r="I604" s="27" t="s">
        <v>176</v>
      </c>
      <c r="J604" s="0" t="n">
        <v>327</v>
      </c>
      <c r="K604" s="0" t="n">
        <v>68</v>
      </c>
      <c r="M604" s="0" t="n">
        <v>370.85</v>
      </c>
      <c r="N604" s="0" t="n">
        <v>40.21</v>
      </c>
      <c r="O604" s="0" t="n">
        <v>11.39</v>
      </c>
      <c r="P604" s="0" t="n">
        <v>4.33</v>
      </c>
      <c r="Q604" s="0" t="n">
        <v>3.74</v>
      </c>
      <c r="R604" s="0" t="n">
        <v>4941</v>
      </c>
      <c r="S604" s="0" t="n">
        <v>8353</v>
      </c>
      <c r="T604" s="0" t="n">
        <v>54.95</v>
      </c>
      <c r="U604" s="0" t="n">
        <v>1375</v>
      </c>
      <c r="V604" s="0" t="n">
        <v>4</v>
      </c>
      <c r="W604" s="27" t="n">
        <f aca="false">MATCH(A604,DATAS,0)</f>
        <v>1</v>
      </c>
      <c r="X604" s="27" t="n">
        <f aca="false">IF(AND(E604&gt;0,OR(AND(B604&gt;=1,B604&lt;=6),B604=10)),1,0)</f>
        <v>1</v>
      </c>
      <c r="Y604" s="27" t="n">
        <f aca="false">IF(AND(E604&gt;0,B604=10),1,0)</f>
        <v>0</v>
      </c>
      <c r="Z604" s="0" t="str">
        <f aca="false">IF(AND(C603=C604,W603=W604-1),X603,"")</f>
        <v/>
      </c>
      <c r="AA604" s="0" t="str">
        <f aca="false">IF(AND(C603=C604,W603=W604-1),Y603,"")</f>
        <v/>
      </c>
      <c r="AB604" s="0" t="str">
        <f aca="false">IF(W604=1,"",IF(AND(X604=1,Z604&lt;&gt;1),1,0))</f>
        <v/>
      </c>
      <c r="AC604" s="0" t="str">
        <f aca="false">IF(W604=1,"",IF(AND(Y604=1,AA604&lt;&gt;1),1,0))</f>
        <v/>
      </c>
      <c r="AD604" s="33" t="str">
        <f aca="false">IF(AND(E604&gt;0,W604&lt;1,NOT(AND(C605=C604,W605=W604+1))),INDEX(DATAS,W604+1),"")</f>
        <v/>
      </c>
      <c r="AE604" s="33" t="str">
        <f aca="false">IF(AND(Y604=1,W604&lt;1),IF(AND(C605=C604,W605=W604+1),IF(Y605=1,"",INDEX(DATAS,W604+1)),INDEX(DATAS,W604+1)),"")</f>
        <v/>
      </c>
    </row>
    <row r="605" customFormat="false" ht="15" hidden="false" customHeight="false" outlineLevel="0" collapsed="false">
      <c r="A605" s="33" t="n">
        <v>46309</v>
      </c>
      <c r="B605" s="0" t="n">
        <v>5</v>
      </c>
      <c r="C605" s="0" t="n">
        <v>4438</v>
      </c>
      <c r="D605" s="0" t="n">
        <v>271</v>
      </c>
      <c r="E605" s="0" t="n">
        <v>2</v>
      </c>
      <c r="F605" s="27" t="s">
        <v>561</v>
      </c>
      <c r="G605" s="0" t="n">
        <v>29.5</v>
      </c>
      <c r="H605" s="0" t="n">
        <v>27</v>
      </c>
      <c r="I605" s="27" t="s">
        <v>138</v>
      </c>
      <c r="J605" s="0" t="n">
        <v>124</v>
      </c>
      <c r="K605" s="0" t="n">
        <v>75</v>
      </c>
      <c r="L605" s="0" t="n">
        <v>147</v>
      </c>
      <c r="M605" s="0" t="n">
        <v>-108.23</v>
      </c>
      <c r="N605" s="0" t="n">
        <v>59.39</v>
      </c>
      <c r="O605" s="0" t="n">
        <v>24.63</v>
      </c>
      <c r="P605" s="0" t="n">
        <v>5.7</v>
      </c>
      <c r="Q605" s="0" t="n">
        <v>4.38</v>
      </c>
      <c r="R605" s="0" t="n">
        <v>5122</v>
      </c>
      <c r="S605" s="0" t="n">
        <v>9271</v>
      </c>
      <c r="T605" s="0" t="n">
        <v>54.2</v>
      </c>
      <c r="U605" s="0" t="n">
        <v>1375</v>
      </c>
      <c r="V605" s="0" t="n">
        <v>2</v>
      </c>
      <c r="W605" s="27" t="n">
        <f aca="false">MATCH(A605,DATAS,0)</f>
        <v>1</v>
      </c>
      <c r="X605" s="27" t="n">
        <f aca="false">IF(AND(E605&gt;0,OR(AND(B605&gt;=1,B605&lt;=6),B605=10)),1,0)</f>
        <v>1</v>
      </c>
      <c r="Y605" s="27" t="n">
        <f aca="false">IF(AND(E605&gt;0,B605=10),1,0)</f>
        <v>0</v>
      </c>
      <c r="Z605" s="0" t="str">
        <f aca="false">IF(AND(C604=C605,W604=W605-1),X604,"")</f>
        <v/>
      </c>
      <c r="AA605" s="0" t="str">
        <f aca="false">IF(AND(C604=C605,W604=W605-1),Y604,"")</f>
        <v/>
      </c>
      <c r="AB605" s="0" t="str">
        <f aca="false">IF(W605=1,"",IF(AND(X605=1,Z605&lt;&gt;1),1,0))</f>
        <v/>
      </c>
      <c r="AC605" s="0" t="str">
        <f aca="false">IF(W605=1,"",IF(AND(Y605=1,AA605&lt;&gt;1),1,0))</f>
        <v/>
      </c>
      <c r="AD605" s="33" t="str">
        <f aca="false">IF(AND(E605&gt;0,W605&lt;1,NOT(AND(C606=C605,W606=W605+1))),INDEX(DATAS,W605+1),"")</f>
        <v/>
      </c>
      <c r="AE605" s="33" t="str">
        <f aca="false">IF(AND(Y605=1,W605&lt;1),IF(AND(C606=C605,W606=W605+1),IF(Y606=1,"",INDEX(DATAS,W605+1)),INDEX(DATAS,W605+1)),"")</f>
        <v/>
      </c>
    </row>
    <row r="606" customFormat="false" ht="15" hidden="false" customHeight="false" outlineLevel="0" collapsed="false">
      <c r="A606" s="33" t="n">
        <v>46309</v>
      </c>
      <c r="B606" s="0" t="n">
        <v>2</v>
      </c>
      <c r="C606" s="0" t="n">
        <v>4439</v>
      </c>
      <c r="D606" s="0" t="n">
        <v>65</v>
      </c>
      <c r="E606" s="0" t="n">
        <v>3</v>
      </c>
      <c r="F606" s="27" t="s">
        <v>561</v>
      </c>
      <c r="G606" s="0" t="n">
        <v>48.1</v>
      </c>
      <c r="H606" s="0" t="n">
        <v>58</v>
      </c>
      <c r="I606" s="27" t="s">
        <v>168</v>
      </c>
      <c r="J606" s="0" t="n">
        <v>65</v>
      </c>
      <c r="K606" s="0" t="n">
        <v>65</v>
      </c>
      <c r="M606" s="0" t="n">
        <v>704.65</v>
      </c>
      <c r="N606" s="0" t="n">
        <v>52.64</v>
      </c>
      <c r="O606" s="0" t="n">
        <v>37.16</v>
      </c>
      <c r="P606" s="0" t="n">
        <v>3.41</v>
      </c>
      <c r="Q606" s="0" t="n">
        <v>3.44</v>
      </c>
      <c r="R606" s="0" t="n">
        <v>5001</v>
      </c>
      <c r="S606" s="0" t="n">
        <v>10053</v>
      </c>
      <c r="U606" s="0" t="n">
        <v>1375</v>
      </c>
      <c r="V606" s="0" t="n">
        <v>1</v>
      </c>
      <c r="W606" s="27" t="n">
        <f aca="false">MATCH(A606,DATAS,0)</f>
        <v>1</v>
      </c>
      <c r="X606" s="27" t="n">
        <f aca="false">IF(AND(E606&gt;0,OR(AND(B606&gt;=1,B606&lt;=6),B606=10)),1,0)</f>
        <v>1</v>
      </c>
      <c r="Y606" s="27" t="n">
        <f aca="false">IF(AND(E606&gt;0,B606=10),1,0)</f>
        <v>0</v>
      </c>
      <c r="Z606" s="0" t="str">
        <f aca="false">IF(AND(C605=C606,W605=W606-1),X605,"")</f>
        <v/>
      </c>
      <c r="AA606" s="0" t="str">
        <f aca="false">IF(AND(C605=C606,W605=W606-1),Y605,"")</f>
        <v/>
      </c>
      <c r="AB606" s="0" t="str">
        <f aca="false">IF(W606=1,"",IF(AND(X606=1,Z606&lt;&gt;1),1,0))</f>
        <v/>
      </c>
      <c r="AC606" s="0" t="str">
        <f aca="false">IF(W606=1,"",IF(AND(Y606=1,AA606&lt;&gt;1),1,0))</f>
        <v/>
      </c>
      <c r="AD606" s="33" t="str">
        <f aca="false">IF(AND(E606&gt;0,W606&lt;1,NOT(AND(C607=C606,W607=W606+1))),INDEX(DATAS,W606+1),"")</f>
        <v/>
      </c>
      <c r="AE606" s="33" t="str">
        <f aca="false">IF(AND(Y606=1,W606&lt;1),IF(AND(C607=C606,W607=W606+1),IF(Y607=1,"",INDEX(DATAS,W606+1)),INDEX(DATAS,W606+1)),"")</f>
        <v/>
      </c>
    </row>
    <row r="607" customFormat="false" ht="15" hidden="false" customHeight="false" outlineLevel="0" collapsed="false">
      <c r="A607" s="33" t="n">
        <v>46309</v>
      </c>
      <c r="B607" s="0" t="n">
        <v>2</v>
      </c>
      <c r="C607" s="0" t="n">
        <v>4442</v>
      </c>
      <c r="D607" s="0" t="n">
        <v>55</v>
      </c>
      <c r="E607" s="0" t="n">
        <v>3</v>
      </c>
      <c r="F607" s="27" t="s">
        <v>562</v>
      </c>
      <c r="G607" s="0" t="n">
        <v>76.3</v>
      </c>
      <c r="H607" s="0" t="n">
        <v>75</v>
      </c>
      <c r="I607" s="27" t="s">
        <v>147</v>
      </c>
      <c r="J607" s="0" t="n">
        <v>55</v>
      </c>
      <c r="M607" s="0" t="n">
        <v>1338.62</v>
      </c>
      <c r="N607" s="0" t="n">
        <v>59.67</v>
      </c>
      <c r="O607" s="0" t="n">
        <v>32.24</v>
      </c>
      <c r="P607" s="0" t="n">
        <v>2.34</v>
      </c>
      <c r="Q607" s="0" t="n">
        <v>2.89</v>
      </c>
      <c r="R607" s="0" t="n">
        <v>6491</v>
      </c>
      <c r="S607" s="0" t="n">
        <v>13048</v>
      </c>
      <c r="U607" s="0" t="n">
        <v>1372</v>
      </c>
      <c r="V607" s="0" t="n">
        <v>0</v>
      </c>
      <c r="W607" s="27" t="n">
        <f aca="false">MATCH(A607,DATAS,0)</f>
        <v>1</v>
      </c>
      <c r="X607" s="27" t="n">
        <f aca="false">IF(AND(E607&gt;0,OR(AND(B607&gt;=1,B607&lt;=6),B607=10)),1,0)</f>
        <v>1</v>
      </c>
      <c r="Y607" s="27" t="n">
        <f aca="false">IF(AND(E607&gt;0,B607=10),1,0)</f>
        <v>0</v>
      </c>
      <c r="Z607" s="0" t="str">
        <f aca="false">IF(AND(C606=C607,W606=W607-1),X606,"")</f>
        <v/>
      </c>
      <c r="AA607" s="0" t="str">
        <f aca="false">IF(AND(C606=C607,W606=W607-1),Y606,"")</f>
        <v/>
      </c>
      <c r="AB607" s="0" t="str">
        <f aca="false">IF(W607=1,"",IF(AND(X607=1,Z607&lt;&gt;1),1,0))</f>
        <v/>
      </c>
      <c r="AC607" s="0" t="str">
        <f aca="false">IF(W607=1,"",IF(AND(Y607=1,AA607&lt;&gt;1),1,0))</f>
        <v/>
      </c>
      <c r="AD607" s="33" t="str">
        <f aca="false">IF(AND(E607&gt;0,W607&lt;1,NOT(AND(C608=C607,W608=W607+1))),INDEX(DATAS,W607+1),"")</f>
        <v/>
      </c>
      <c r="AE607" s="33" t="str">
        <f aca="false">IF(AND(Y607=1,W607&lt;1),IF(AND(C608=C607,W608=W607+1),IF(Y608=1,"",INDEX(DATAS,W607+1)),INDEX(DATAS,W607+1)),"")</f>
        <v/>
      </c>
    </row>
    <row r="608" customFormat="false" ht="15" hidden="false" customHeight="false" outlineLevel="0" collapsed="false">
      <c r="A608" s="33" t="n">
        <v>46309</v>
      </c>
      <c r="B608" s="0" t="n">
        <v>2</v>
      </c>
      <c r="C608" s="0" t="n">
        <v>4443</v>
      </c>
      <c r="D608" s="0" t="n">
        <v>27</v>
      </c>
      <c r="E608" s="0" t="n">
        <v>3</v>
      </c>
      <c r="F608" s="27" t="s">
        <v>562</v>
      </c>
      <c r="G608" s="0" t="n">
        <v>59.8</v>
      </c>
      <c r="H608" s="0" t="n">
        <v>60</v>
      </c>
      <c r="I608" s="27" t="s">
        <v>147</v>
      </c>
      <c r="J608" s="0" t="n">
        <v>27</v>
      </c>
      <c r="M608" s="0" t="n">
        <v>1028.98</v>
      </c>
      <c r="N608" s="0" t="n">
        <v>45.35</v>
      </c>
      <c r="O608" s="0" t="n">
        <v>36.77</v>
      </c>
      <c r="R608" s="0" t="n">
        <v>4729</v>
      </c>
      <c r="S608" s="0" t="n">
        <v>9506</v>
      </c>
      <c r="U608" s="0" t="n">
        <v>1372</v>
      </c>
      <c r="V608" s="0" t="n">
        <v>0</v>
      </c>
      <c r="W608" s="27" t="n">
        <f aca="false">MATCH(A608,DATAS,0)</f>
        <v>1</v>
      </c>
      <c r="X608" s="27" t="n">
        <f aca="false">IF(AND(E608&gt;0,OR(AND(B608&gt;=1,B608&lt;=6),B608=10)),1,0)</f>
        <v>1</v>
      </c>
      <c r="Y608" s="27" t="n">
        <f aca="false">IF(AND(E608&gt;0,B608=10),1,0)</f>
        <v>0</v>
      </c>
      <c r="Z608" s="0" t="str">
        <f aca="false">IF(AND(C607=C608,W607=W608-1),X607,"")</f>
        <v/>
      </c>
      <c r="AA608" s="0" t="str">
        <f aca="false">IF(AND(C607=C608,W607=W608-1),Y607,"")</f>
        <v/>
      </c>
      <c r="AB608" s="0" t="str">
        <f aca="false">IF(W608=1,"",IF(AND(X608=1,Z608&lt;&gt;1),1,0))</f>
        <v/>
      </c>
      <c r="AC608" s="0" t="str">
        <f aca="false">IF(W608=1,"",IF(AND(Y608=1,AA608&lt;&gt;1),1,0))</f>
        <v/>
      </c>
      <c r="AD608" s="33" t="str">
        <f aca="false">IF(AND(E608&gt;0,W608&lt;1,NOT(AND(C609=C608,W609=W608+1))),INDEX(DATAS,W608+1),"")</f>
        <v/>
      </c>
      <c r="AE608" s="33" t="str">
        <f aca="false">IF(AND(Y608=1,W608&lt;1),IF(AND(C609=C608,W609=W608+1),IF(Y609=1,"",INDEX(DATAS,W608+1)),INDEX(DATAS,W608+1)),"")</f>
        <v/>
      </c>
    </row>
    <row r="609" customFormat="false" ht="15" hidden="false" customHeight="false" outlineLevel="0" collapsed="false">
      <c r="A609" s="33" t="n">
        <v>46309</v>
      </c>
      <c r="B609" s="0" t="n">
        <v>7</v>
      </c>
      <c r="C609" s="0" t="n">
        <v>4444</v>
      </c>
      <c r="D609" s="0" t="n">
        <v>305</v>
      </c>
      <c r="E609" s="0" t="n">
        <v>2</v>
      </c>
      <c r="F609" s="27" t="s">
        <v>562</v>
      </c>
      <c r="H609" s="0" t="n">
        <v>8</v>
      </c>
      <c r="I609" s="27" t="s">
        <v>143</v>
      </c>
      <c r="J609" s="0" t="n">
        <v>243</v>
      </c>
      <c r="K609" s="0" t="n">
        <v>61</v>
      </c>
      <c r="L609" s="0" t="n">
        <v>77</v>
      </c>
      <c r="M609" s="0" t="n">
        <v>-114.52</v>
      </c>
      <c r="N609" s="0" t="n">
        <v>15.8</v>
      </c>
      <c r="O609" s="0" t="n">
        <v>6.21</v>
      </c>
      <c r="P609" s="0" t="n">
        <v>6.43</v>
      </c>
      <c r="Q609" s="0" t="n">
        <v>4.66</v>
      </c>
      <c r="R609" s="0" t="n">
        <v>4304</v>
      </c>
      <c r="S609" s="0" t="n">
        <v>8197</v>
      </c>
      <c r="T609" s="0" t="n">
        <v>48.95</v>
      </c>
      <c r="U609" s="0" t="n">
        <v>1372</v>
      </c>
      <c r="V609" s="0" t="n">
        <v>5</v>
      </c>
      <c r="W609" s="27" t="n">
        <f aca="false">MATCH(A609,DATAS,0)</f>
        <v>1</v>
      </c>
      <c r="X609" s="27" t="n">
        <f aca="false">IF(AND(E609&gt;0,OR(AND(B609&gt;=1,B609&lt;=6),B609=10)),1,0)</f>
        <v>0</v>
      </c>
      <c r="Y609" s="27" t="n">
        <f aca="false">IF(AND(E609&gt;0,B609=10),1,0)</f>
        <v>0</v>
      </c>
      <c r="Z609" s="0" t="str">
        <f aca="false">IF(AND(C608=C609,W608=W609-1),X608,"")</f>
        <v/>
      </c>
      <c r="AA609" s="0" t="str">
        <f aca="false">IF(AND(C608=C609,W608=W609-1),Y608,"")</f>
        <v/>
      </c>
      <c r="AB609" s="0" t="str">
        <f aca="false">IF(W609=1,"",IF(AND(X609=1,Z609&lt;&gt;1),1,0))</f>
        <v/>
      </c>
      <c r="AC609" s="0" t="str">
        <f aca="false">IF(W609=1,"",IF(AND(Y609=1,AA609&lt;&gt;1),1,0))</f>
        <v/>
      </c>
      <c r="AD609" s="33" t="str">
        <f aca="false">IF(AND(E609&gt;0,W609&lt;1,NOT(AND(C610=C609,W610=W609+1))),INDEX(DATAS,W609+1),"")</f>
        <v/>
      </c>
      <c r="AE609" s="33" t="str">
        <f aca="false">IF(AND(Y609=1,W609&lt;1),IF(AND(C610=C609,W610=W609+1),IF(Y610=1,"",INDEX(DATAS,W609+1)),INDEX(DATAS,W609+1)),"")</f>
        <v/>
      </c>
    </row>
    <row r="610" customFormat="false" ht="15" hidden="false" customHeight="false" outlineLevel="0" collapsed="false">
      <c r="A610" s="33" t="n">
        <v>46309</v>
      </c>
      <c r="B610" s="0" t="n">
        <v>10</v>
      </c>
      <c r="C610" s="0" t="n">
        <v>4446</v>
      </c>
      <c r="D610" s="0" t="n">
        <v>11</v>
      </c>
      <c r="E610" s="0" t="n">
        <v>3</v>
      </c>
      <c r="F610" s="27" t="s">
        <v>562</v>
      </c>
      <c r="H610" s="0" t="n">
        <v>23</v>
      </c>
      <c r="I610" s="27" t="s">
        <v>147</v>
      </c>
      <c r="J610" s="0" t="n">
        <v>11</v>
      </c>
      <c r="M610" s="0" t="n">
        <v>1018.22</v>
      </c>
      <c r="N610" s="0" t="n">
        <v>77.32</v>
      </c>
      <c r="O610" s="0" t="n">
        <v>28.85</v>
      </c>
      <c r="R610" s="0" t="n">
        <v>2289</v>
      </c>
      <c r="S610" s="0" t="n">
        <v>4601</v>
      </c>
      <c r="U610" s="0" t="n">
        <v>1372</v>
      </c>
      <c r="V610" s="0" t="n">
        <v>0</v>
      </c>
      <c r="W610" s="27" t="n">
        <f aca="false">MATCH(A610,DATAS,0)</f>
        <v>1</v>
      </c>
      <c r="X610" s="27" t="n">
        <f aca="false">IF(AND(E610&gt;0,OR(AND(B610&gt;=1,B610&lt;=6),B610=10)),1,0)</f>
        <v>1</v>
      </c>
      <c r="Y610" s="27" t="n">
        <f aca="false">IF(AND(E610&gt;0,B610=10),1,0)</f>
        <v>1</v>
      </c>
      <c r="Z610" s="0" t="str">
        <f aca="false">IF(AND(C609=C610,W609=W610-1),X609,"")</f>
        <v/>
      </c>
      <c r="AA610" s="0" t="str">
        <f aca="false">IF(AND(C609=C610,W609=W610-1),Y609,"")</f>
        <v/>
      </c>
      <c r="AB610" s="0" t="str">
        <f aca="false">IF(W610=1,"",IF(AND(X610=1,Z610&lt;&gt;1),1,0))</f>
        <v/>
      </c>
      <c r="AC610" s="0" t="str">
        <f aca="false">IF(W610=1,"",IF(AND(Y610=1,AA610&lt;&gt;1),1,0))</f>
        <v/>
      </c>
      <c r="AD610" s="33" t="str">
        <f aca="false">IF(AND(E610&gt;0,W610&lt;1,NOT(AND(C611=C610,W611=W610+1))),INDEX(DATAS,W610+1),"")</f>
        <v/>
      </c>
      <c r="AE610" s="33" t="str">
        <f aca="false">IF(AND(Y610=1,W610&lt;1),IF(AND(C611=C610,W611=W610+1),IF(Y611=1,"",INDEX(DATAS,W610+1)),INDEX(DATAS,W610+1)),"")</f>
        <v/>
      </c>
    </row>
    <row r="611" customFormat="false" ht="15" hidden="false" customHeight="false" outlineLevel="0" collapsed="false">
      <c r="A611" s="33" t="n">
        <v>46309</v>
      </c>
      <c r="B611" s="0" t="n">
        <v>3</v>
      </c>
      <c r="C611" s="0" t="n">
        <v>4447</v>
      </c>
      <c r="D611" s="0" t="n">
        <v>281</v>
      </c>
      <c r="E611" s="0" t="n">
        <v>2</v>
      </c>
      <c r="F611" s="27" t="s">
        <v>563</v>
      </c>
      <c r="G611" s="0" t="n">
        <v>54.9</v>
      </c>
      <c r="H611" s="0" t="n">
        <v>54</v>
      </c>
      <c r="I611" s="27" t="s">
        <v>138</v>
      </c>
      <c r="J611" s="0" t="n">
        <v>99</v>
      </c>
      <c r="K611" s="0" t="n">
        <v>71</v>
      </c>
      <c r="L611" s="0" t="n">
        <v>182</v>
      </c>
      <c r="M611" s="0" t="n">
        <v>859.7</v>
      </c>
      <c r="N611" s="0" t="n">
        <v>42.88</v>
      </c>
      <c r="O611" s="0" t="n">
        <v>30.07</v>
      </c>
      <c r="P611" s="0" t="n">
        <v>4.39</v>
      </c>
      <c r="Q611" s="0" t="n">
        <v>3.41</v>
      </c>
      <c r="R611" s="0" t="n">
        <v>5323</v>
      </c>
      <c r="S611" s="0" t="n">
        <v>11274</v>
      </c>
      <c r="T611" s="0" t="n">
        <v>54.85</v>
      </c>
      <c r="U611" s="0" t="n">
        <v>1371</v>
      </c>
      <c r="V611" s="0" t="n">
        <v>2</v>
      </c>
      <c r="W611" s="27" t="n">
        <f aca="false">MATCH(A611,DATAS,0)</f>
        <v>1</v>
      </c>
      <c r="X611" s="27" t="n">
        <f aca="false">IF(AND(E611&gt;0,OR(AND(B611&gt;=1,B611&lt;=6),B611=10)),1,0)</f>
        <v>1</v>
      </c>
      <c r="Y611" s="27" t="n">
        <f aca="false">IF(AND(E611&gt;0,B611=10),1,0)</f>
        <v>0</v>
      </c>
      <c r="Z611" s="0" t="str">
        <f aca="false">IF(AND(C610=C611,W610=W611-1),X610,"")</f>
        <v/>
      </c>
      <c r="AA611" s="0" t="str">
        <f aca="false">IF(AND(C610=C611,W610=W611-1),Y610,"")</f>
        <v/>
      </c>
      <c r="AB611" s="0" t="str">
        <f aca="false">IF(W611=1,"",IF(AND(X611=1,Z611&lt;&gt;1),1,0))</f>
        <v/>
      </c>
      <c r="AC611" s="0" t="str">
        <f aca="false">IF(W611=1,"",IF(AND(Y611=1,AA611&lt;&gt;1),1,0))</f>
        <v/>
      </c>
      <c r="AD611" s="33" t="str">
        <f aca="false">IF(AND(E611&gt;0,W611&lt;1,NOT(AND(C612=C611,W612=W611+1))),INDEX(DATAS,W611+1),"")</f>
        <v/>
      </c>
      <c r="AE611" s="33" t="str">
        <f aca="false">IF(AND(Y611=1,W611&lt;1),IF(AND(C612=C611,W612=W611+1),IF(Y612=1,"",INDEX(DATAS,W611+1)),INDEX(DATAS,W611+1)),"")</f>
        <v/>
      </c>
    </row>
    <row r="612" customFormat="false" ht="15" hidden="false" customHeight="false" outlineLevel="0" collapsed="false">
      <c r="A612" s="33" t="n">
        <v>46309</v>
      </c>
      <c r="B612" s="0" t="n">
        <v>6</v>
      </c>
      <c r="C612" s="0" t="n">
        <v>4448</v>
      </c>
      <c r="D612" s="0" t="n">
        <v>565</v>
      </c>
      <c r="E612" s="0" t="n">
        <v>1</v>
      </c>
      <c r="F612" s="27" t="s">
        <v>563</v>
      </c>
      <c r="G612" s="0" t="n">
        <v>29.3</v>
      </c>
      <c r="H612" s="0" t="n">
        <v>28</v>
      </c>
      <c r="I612" s="27" t="s">
        <v>176</v>
      </c>
      <c r="J612" s="0" t="n">
        <v>565</v>
      </c>
      <c r="K612" s="0" t="n">
        <v>62</v>
      </c>
      <c r="M612" s="0" t="n">
        <v>510.82</v>
      </c>
      <c r="N612" s="0" t="n">
        <v>11.16</v>
      </c>
      <c r="O612" s="0" t="n">
        <v>16.13</v>
      </c>
      <c r="P612" s="0" t="n">
        <v>5.01</v>
      </c>
      <c r="Q612" s="0" t="n">
        <v>4.17</v>
      </c>
      <c r="R612" s="0" t="n">
        <v>4561</v>
      </c>
      <c r="S612" s="0" t="n">
        <v>9736</v>
      </c>
      <c r="T612" s="0" t="n">
        <v>47.9</v>
      </c>
      <c r="U612" s="0" t="n">
        <v>1371</v>
      </c>
      <c r="V612" s="0" t="n">
        <v>12</v>
      </c>
      <c r="W612" s="27" t="n">
        <f aca="false">MATCH(A612,DATAS,0)</f>
        <v>1</v>
      </c>
      <c r="X612" s="27" t="n">
        <f aca="false">IF(AND(E612&gt;0,OR(AND(B612&gt;=1,B612&lt;=6),B612=10)),1,0)</f>
        <v>1</v>
      </c>
      <c r="Y612" s="27" t="n">
        <f aca="false">IF(AND(E612&gt;0,B612=10),1,0)</f>
        <v>0</v>
      </c>
      <c r="Z612" s="0" t="str">
        <f aca="false">IF(AND(C611=C612,W611=W612-1),X611,"")</f>
        <v/>
      </c>
      <c r="AA612" s="0" t="str">
        <f aca="false">IF(AND(C611=C612,W611=W612-1),Y611,"")</f>
        <v/>
      </c>
      <c r="AB612" s="0" t="str">
        <f aca="false">IF(W612=1,"",IF(AND(X612=1,Z612&lt;&gt;1),1,0))</f>
        <v/>
      </c>
      <c r="AC612" s="0" t="str">
        <f aca="false">IF(W612=1,"",IF(AND(Y612=1,AA612&lt;&gt;1),1,0))</f>
        <v/>
      </c>
      <c r="AD612" s="33" t="str">
        <f aca="false">IF(AND(E612&gt;0,W612&lt;1,NOT(AND(C613=C612,W613=W612+1))),INDEX(DATAS,W612+1),"")</f>
        <v/>
      </c>
      <c r="AE612" s="33" t="str">
        <f aca="false">IF(AND(Y612=1,W612&lt;1),IF(AND(C613=C612,W613=W612+1),IF(Y613=1,"",INDEX(DATAS,W612+1)),INDEX(DATAS,W612+1)),"")</f>
        <v/>
      </c>
    </row>
    <row r="613" customFormat="false" ht="15" hidden="false" customHeight="false" outlineLevel="0" collapsed="false">
      <c r="A613" s="33" t="n">
        <v>46309</v>
      </c>
      <c r="B613" s="0" t="n">
        <v>5</v>
      </c>
      <c r="C613" s="0" t="n">
        <v>4450</v>
      </c>
      <c r="D613" s="0" t="n">
        <v>266</v>
      </c>
      <c r="E613" s="0" t="n">
        <v>2</v>
      </c>
      <c r="F613" s="27" t="s">
        <v>563</v>
      </c>
      <c r="G613" s="0" t="n">
        <v>44.8</v>
      </c>
      <c r="H613" s="0" t="n">
        <v>41</v>
      </c>
      <c r="I613" s="27" t="s">
        <v>138</v>
      </c>
      <c r="J613" s="0" t="n">
        <v>224</v>
      </c>
      <c r="K613" s="0" t="n">
        <v>84</v>
      </c>
      <c r="L613" s="0" t="n">
        <v>42</v>
      </c>
      <c r="M613" s="0" t="n">
        <v>755.47</v>
      </c>
      <c r="N613" s="0" t="n">
        <v>60.78</v>
      </c>
      <c r="O613" s="0" t="n">
        <v>31.45</v>
      </c>
      <c r="P613" s="0" t="n">
        <v>5.09</v>
      </c>
      <c r="Q613" s="0" t="n">
        <v>3.86</v>
      </c>
      <c r="R613" s="0" t="n">
        <v>6047</v>
      </c>
      <c r="S613" s="0" t="n">
        <v>11507</v>
      </c>
      <c r="T613" s="0" t="n">
        <v>65.45</v>
      </c>
      <c r="U613" s="0" t="n">
        <v>1371</v>
      </c>
      <c r="V613" s="0" t="n">
        <v>5</v>
      </c>
      <c r="W613" s="27" t="n">
        <f aca="false">MATCH(A613,DATAS,0)</f>
        <v>1</v>
      </c>
      <c r="X613" s="27" t="n">
        <f aca="false">IF(AND(E613&gt;0,OR(AND(B613&gt;=1,B613&lt;=6),B613=10)),1,0)</f>
        <v>1</v>
      </c>
      <c r="Y613" s="27" t="n">
        <f aca="false">IF(AND(E613&gt;0,B613=10),1,0)</f>
        <v>0</v>
      </c>
      <c r="Z613" s="0" t="str">
        <f aca="false">IF(AND(C612=C613,W612=W613-1),X612,"")</f>
        <v/>
      </c>
      <c r="AA613" s="0" t="str">
        <f aca="false">IF(AND(C612=C613,W612=W613-1),Y612,"")</f>
        <v/>
      </c>
      <c r="AB613" s="0" t="str">
        <f aca="false">IF(W613=1,"",IF(AND(X613=1,Z613&lt;&gt;1),1,0))</f>
        <v/>
      </c>
      <c r="AC613" s="0" t="str">
        <f aca="false">IF(W613=1,"",IF(AND(Y613=1,AA613&lt;&gt;1),1,0))</f>
        <v/>
      </c>
      <c r="AD613" s="33" t="str">
        <f aca="false">IF(AND(E613&gt;0,W613&lt;1,NOT(AND(C614=C613,W614=W613+1))),INDEX(DATAS,W613+1),"")</f>
        <v/>
      </c>
      <c r="AE613" s="33" t="str">
        <f aca="false">IF(AND(Y613=1,W613&lt;1),IF(AND(C614=C613,W614=W613+1),IF(Y614=1,"",INDEX(DATAS,W613+1)),INDEX(DATAS,W613+1)),"")</f>
        <v/>
      </c>
    </row>
    <row r="614" customFormat="false" ht="15" hidden="false" customHeight="false" outlineLevel="0" collapsed="false">
      <c r="A614" s="33" t="n">
        <v>46309</v>
      </c>
      <c r="B614" s="0" t="n">
        <v>2</v>
      </c>
      <c r="C614" s="0" t="n">
        <v>4451</v>
      </c>
      <c r="D614" s="0" t="n">
        <v>166</v>
      </c>
      <c r="E614" s="0" t="n">
        <v>2</v>
      </c>
      <c r="F614" s="27" t="s">
        <v>563</v>
      </c>
      <c r="G614" s="0" t="n">
        <v>55.7</v>
      </c>
      <c r="H614" s="0" t="n">
        <v>59</v>
      </c>
      <c r="I614" s="27" t="s">
        <v>138</v>
      </c>
      <c r="J614" s="0" t="n">
        <v>103</v>
      </c>
      <c r="K614" s="0" t="n">
        <v>68</v>
      </c>
      <c r="L614" s="0" t="n">
        <v>63</v>
      </c>
      <c r="M614" s="0" t="n">
        <v>822.96</v>
      </c>
      <c r="N614" s="0" t="n">
        <v>29.77</v>
      </c>
      <c r="O614" s="0" t="n">
        <v>30.64</v>
      </c>
      <c r="P614" s="0" t="n">
        <v>2.86</v>
      </c>
      <c r="Q614" s="0" t="n">
        <v>3.19</v>
      </c>
      <c r="R614" s="0" t="n">
        <v>5396</v>
      </c>
      <c r="S614" s="0" t="n">
        <v>11360</v>
      </c>
      <c r="T614" s="0" t="n">
        <v>62.8</v>
      </c>
      <c r="U614" s="0" t="n">
        <v>1371</v>
      </c>
      <c r="V614" s="0" t="n">
        <v>2</v>
      </c>
      <c r="W614" s="27" t="n">
        <f aca="false">MATCH(A614,DATAS,0)</f>
        <v>1</v>
      </c>
      <c r="X614" s="27" t="n">
        <f aca="false">IF(AND(E614&gt;0,OR(AND(B614&gt;=1,B614&lt;=6),B614=10)),1,0)</f>
        <v>1</v>
      </c>
      <c r="Y614" s="27" t="n">
        <f aca="false">IF(AND(E614&gt;0,B614=10),1,0)</f>
        <v>0</v>
      </c>
      <c r="Z614" s="0" t="str">
        <f aca="false">IF(AND(C613=C614,W613=W614-1),X613,"")</f>
        <v/>
      </c>
      <c r="AA614" s="0" t="str">
        <f aca="false">IF(AND(C613=C614,W613=W614-1),Y613,"")</f>
        <v/>
      </c>
      <c r="AB614" s="0" t="str">
        <f aca="false">IF(W614=1,"",IF(AND(X614=1,Z614&lt;&gt;1),1,0))</f>
        <v/>
      </c>
      <c r="AC614" s="0" t="str">
        <f aca="false">IF(W614=1,"",IF(AND(Y614=1,AA614&lt;&gt;1),1,0))</f>
        <v/>
      </c>
      <c r="AD614" s="33" t="str">
        <f aca="false">IF(AND(E614&gt;0,W614&lt;1,NOT(AND(C615=C614,W615=W614+1))),INDEX(DATAS,W614+1),"")</f>
        <v/>
      </c>
      <c r="AE614" s="33" t="str">
        <f aca="false">IF(AND(Y614=1,W614&lt;1),IF(AND(C615=C614,W615=W614+1),IF(Y615=1,"",INDEX(DATAS,W614+1)),INDEX(DATAS,W614+1)),"")</f>
        <v/>
      </c>
    </row>
    <row r="615" customFormat="false" ht="15" hidden="false" customHeight="false" outlineLevel="0" collapsed="false">
      <c r="A615" s="33" t="n">
        <v>46309</v>
      </c>
      <c r="B615" s="0" t="n">
        <v>7</v>
      </c>
      <c r="C615" s="0" t="n">
        <v>4452</v>
      </c>
      <c r="D615" s="0" t="n">
        <v>272</v>
      </c>
      <c r="E615" s="0" t="n">
        <v>2</v>
      </c>
      <c r="F615" s="27" t="s">
        <v>563</v>
      </c>
      <c r="I615" s="27" t="s">
        <v>143</v>
      </c>
      <c r="J615" s="0" t="n">
        <v>63</v>
      </c>
      <c r="K615" s="0" t="n">
        <v>70</v>
      </c>
      <c r="L615" s="0" t="n">
        <v>266</v>
      </c>
      <c r="M615" s="0" t="n">
        <v>1006.25</v>
      </c>
      <c r="N615" s="0" t="n">
        <v>20.27</v>
      </c>
      <c r="O615" s="0" t="n">
        <v>29.23</v>
      </c>
      <c r="P615" s="0" t="n">
        <v>5.26</v>
      </c>
      <c r="Q615" s="0" t="n">
        <v>4.58</v>
      </c>
      <c r="R615" s="0" t="n">
        <v>4752</v>
      </c>
      <c r="S615" s="0" t="n">
        <v>9409</v>
      </c>
      <c r="T615" s="0" t="n">
        <v>49.75</v>
      </c>
      <c r="U615" s="0" t="n">
        <v>1371</v>
      </c>
      <c r="V615" s="0" t="n">
        <v>1</v>
      </c>
      <c r="W615" s="27" t="n">
        <f aca="false">MATCH(A615,DATAS,0)</f>
        <v>1</v>
      </c>
      <c r="X615" s="27" t="n">
        <f aca="false">IF(AND(E615&gt;0,OR(AND(B615&gt;=1,B615&lt;=6),B615=10)),1,0)</f>
        <v>0</v>
      </c>
      <c r="Y615" s="27" t="n">
        <f aca="false">IF(AND(E615&gt;0,B615=10),1,0)</f>
        <v>0</v>
      </c>
      <c r="Z615" s="0" t="str">
        <f aca="false">IF(AND(C614=C615,W614=W615-1),X614,"")</f>
        <v/>
      </c>
      <c r="AA615" s="0" t="str">
        <f aca="false">IF(AND(C614=C615,W614=W615-1),Y614,"")</f>
        <v/>
      </c>
      <c r="AB615" s="0" t="str">
        <f aca="false">IF(W615=1,"",IF(AND(X615=1,Z615&lt;&gt;1),1,0))</f>
        <v/>
      </c>
      <c r="AC615" s="0" t="str">
        <f aca="false">IF(W615=1,"",IF(AND(Y615=1,AA615&lt;&gt;1),1,0))</f>
        <v/>
      </c>
      <c r="AD615" s="33" t="str">
        <f aca="false">IF(AND(E615&gt;0,W615&lt;1,NOT(AND(C616=C615,W616=W615+1))),INDEX(DATAS,W615+1),"")</f>
        <v/>
      </c>
      <c r="AE615" s="33" t="str">
        <f aca="false">IF(AND(Y615=1,W615&lt;1),IF(AND(C616=C615,W616=W615+1),IF(Y616=1,"",INDEX(DATAS,W615+1)),INDEX(DATAS,W615+1)),"")</f>
        <v/>
      </c>
    </row>
    <row r="616" customFormat="false" ht="15" hidden="false" customHeight="false" outlineLevel="0" collapsed="false">
      <c r="A616" s="33" t="n">
        <v>46309</v>
      </c>
      <c r="B616" s="0" t="n">
        <v>2</v>
      </c>
      <c r="C616" s="0" t="n">
        <v>4458</v>
      </c>
      <c r="D616" s="0" t="n">
        <v>22</v>
      </c>
      <c r="E616" s="0" t="n">
        <v>3</v>
      </c>
      <c r="F616" s="27" t="s">
        <v>564</v>
      </c>
      <c r="G616" s="0" t="n">
        <v>57.3</v>
      </c>
      <c r="H616" s="0" t="n">
        <v>56</v>
      </c>
      <c r="I616" s="27" t="s">
        <v>147</v>
      </c>
      <c r="J616" s="0" t="n">
        <v>22</v>
      </c>
      <c r="M616" s="0" t="n">
        <v>988.06</v>
      </c>
      <c r="N616" s="0" t="n">
        <v>40.9</v>
      </c>
      <c r="O616" s="0" t="n">
        <v>31.75</v>
      </c>
      <c r="R616" s="0" t="n">
        <v>4230</v>
      </c>
      <c r="S616" s="0" t="n">
        <v>8503</v>
      </c>
      <c r="U616" s="0" t="n">
        <v>1369</v>
      </c>
      <c r="V616" s="0" t="n">
        <v>0</v>
      </c>
      <c r="W616" s="27" t="n">
        <f aca="false">MATCH(A616,DATAS,0)</f>
        <v>1</v>
      </c>
      <c r="X616" s="27" t="n">
        <f aca="false">IF(AND(E616&gt;0,OR(AND(B616&gt;=1,B616&lt;=6),B616=10)),1,0)</f>
        <v>1</v>
      </c>
      <c r="Y616" s="27" t="n">
        <f aca="false">IF(AND(E616&gt;0,B616=10),1,0)</f>
        <v>0</v>
      </c>
      <c r="Z616" s="0" t="str">
        <f aca="false">IF(AND(C615=C616,W615=W616-1),X615,"")</f>
        <v/>
      </c>
      <c r="AA616" s="0" t="str">
        <f aca="false">IF(AND(C615=C616,W615=W616-1),Y615,"")</f>
        <v/>
      </c>
      <c r="AB616" s="0" t="str">
        <f aca="false">IF(W616=1,"",IF(AND(X616=1,Z616&lt;&gt;1),1,0))</f>
        <v/>
      </c>
      <c r="AC616" s="0" t="str">
        <f aca="false">IF(W616=1,"",IF(AND(Y616=1,AA616&lt;&gt;1),1,0))</f>
        <v/>
      </c>
      <c r="AD616" s="33" t="str">
        <f aca="false">IF(AND(E616&gt;0,W616&lt;1,NOT(AND(C617=C616,W617=W616+1))),INDEX(DATAS,W616+1),"")</f>
        <v/>
      </c>
      <c r="AE616" s="33" t="str">
        <f aca="false">IF(AND(Y616=1,W616&lt;1),IF(AND(C617=C616,W617=W616+1),IF(Y617=1,"",INDEX(DATAS,W616+1)),INDEX(DATAS,W616+1)),"")</f>
        <v/>
      </c>
    </row>
    <row r="617" customFormat="false" ht="15" hidden="false" customHeight="false" outlineLevel="0" collapsed="false">
      <c r="A617" s="33" t="n">
        <v>46309</v>
      </c>
      <c r="B617" s="0" t="n">
        <v>6</v>
      </c>
      <c r="C617" s="0" t="n">
        <v>4459</v>
      </c>
      <c r="D617" s="0" t="n">
        <v>225</v>
      </c>
      <c r="E617" s="0" t="n">
        <v>2</v>
      </c>
      <c r="F617" s="27" t="s">
        <v>564</v>
      </c>
      <c r="G617" s="0" t="n">
        <v>26</v>
      </c>
      <c r="H617" s="0" t="n">
        <v>24</v>
      </c>
      <c r="I617" s="27" t="s">
        <v>138</v>
      </c>
      <c r="J617" s="0" t="n">
        <v>78</v>
      </c>
      <c r="K617" s="0" t="n">
        <v>78</v>
      </c>
      <c r="L617" s="0" t="n">
        <v>147</v>
      </c>
      <c r="M617" s="0" t="n">
        <v>310.23</v>
      </c>
      <c r="N617" s="0" t="n">
        <v>40.65</v>
      </c>
      <c r="O617" s="0" t="n">
        <v>21.98</v>
      </c>
      <c r="P617" s="0" t="n">
        <v>4.1</v>
      </c>
      <c r="Q617" s="0" t="n">
        <v>3.7</v>
      </c>
      <c r="R617" s="0" t="n">
        <v>5236</v>
      </c>
      <c r="S617" s="0" t="n">
        <v>10409</v>
      </c>
      <c r="T617" s="0" t="n">
        <v>55.3</v>
      </c>
      <c r="U617" s="0" t="n">
        <v>1369</v>
      </c>
      <c r="V617" s="0" t="n">
        <v>1</v>
      </c>
      <c r="W617" s="27" t="n">
        <f aca="false">MATCH(A617,DATAS,0)</f>
        <v>1</v>
      </c>
      <c r="X617" s="27" t="n">
        <f aca="false">IF(AND(E617&gt;0,OR(AND(B617&gt;=1,B617&lt;=6),B617=10)),1,0)</f>
        <v>1</v>
      </c>
      <c r="Y617" s="27" t="n">
        <f aca="false">IF(AND(E617&gt;0,B617=10),1,0)</f>
        <v>0</v>
      </c>
      <c r="Z617" s="0" t="str">
        <f aca="false">IF(AND(C616=C617,W616=W617-1),X616,"")</f>
        <v/>
      </c>
      <c r="AA617" s="0" t="str">
        <f aca="false">IF(AND(C616=C617,W616=W617-1),Y616,"")</f>
        <v/>
      </c>
      <c r="AB617" s="0" t="str">
        <f aca="false">IF(W617=1,"",IF(AND(X617=1,Z617&lt;&gt;1),1,0))</f>
        <v/>
      </c>
      <c r="AC617" s="0" t="str">
        <f aca="false">IF(W617=1,"",IF(AND(Y617=1,AA617&lt;&gt;1),1,0))</f>
        <v/>
      </c>
      <c r="AD617" s="33" t="str">
        <f aca="false">IF(AND(E617&gt;0,W617&lt;1,NOT(AND(C618=C617,W618=W617+1))),INDEX(DATAS,W617+1),"")</f>
        <v/>
      </c>
      <c r="AE617" s="33" t="str">
        <f aca="false">IF(AND(Y617=1,W617&lt;1),IF(AND(C618=C617,W618=W617+1),IF(Y618=1,"",INDEX(DATAS,W617+1)),INDEX(DATAS,W617+1)),"")</f>
        <v/>
      </c>
    </row>
    <row r="618" customFormat="false" ht="15" hidden="false" customHeight="false" outlineLevel="0" collapsed="false">
      <c r="A618" s="33" t="n">
        <v>46309</v>
      </c>
      <c r="B618" s="0" t="n">
        <v>3</v>
      </c>
      <c r="C618" s="0" t="n">
        <v>4464</v>
      </c>
      <c r="D618" s="0" t="n">
        <v>39</v>
      </c>
      <c r="E618" s="0" t="n">
        <v>3</v>
      </c>
      <c r="F618" s="27" t="s">
        <v>565</v>
      </c>
      <c r="G618" s="0" t="n">
        <v>39</v>
      </c>
      <c r="H618" s="0" t="n">
        <v>47</v>
      </c>
      <c r="I618" s="27" t="s">
        <v>147</v>
      </c>
      <c r="J618" s="0" t="n">
        <v>39</v>
      </c>
      <c r="M618" s="0" t="n">
        <v>1393.82</v>
      </c>
      <c r="N618" s="0" t="n">
        <v>41.16</v>
      </c>
      <c r="O618" s="0" t="n">
        <v>34.53</v>
      </c>
      <c r="P618" s="0" t="n">
        <v>4.52</v>
      </c>
      <c r="Q618" s="0" t="n">
        <v>3.38</v>
      </c>
      <c r="R618" s="0" t="n">
        <v>3638</v>
      </c>
      <c r="S618" s="0" t="n">
        <v>7313</v>
      </c>
      <c r="U618" s="0" t="n">
        <v>1366</v>
      </c>
      <c r="V618" s="0" t="n">
        <v>0</v>
      </c>
      <c r="W618" s="27" t="n">
        <f aca="false">MATCH(A618,DATAS,0)</f>
        <v>1</v>
      </c>
      <c r="X618" s="27" t="n">
        <f aca="false">IF(AND(E618&gt;0,OR(AND(B618&gt;=1,B618&lt;=6),B618=10)),1,0)</f>
        <v>1</v>
      </c>
      <c r="Y618" s="27" t="n">
        <f aca="false">IF(AND(E618&gt;0,B618=10),1,0)</f>
        <v>0</v>
      </c>
      <c r="Z618" s="0" t="str">
        <f aca="false">IF(AND(C617=C618,W617=W618-1),X617,"")</f>
        <v/>
      </c>
      <c r="AA618" s="0" t="str">
        <f aca="false">IF(AND(C617=C618,W617=W618-1),Y617,"")</f>
        <v/>
      </c>
      <c r="AB618" s="0" t="str">
        <f aca="false">IF(W618=1,"",IF(AND(X618=1,Z618&lt;&gt;1),1,0))</f>
        <v/>
      </c>
      <c r="AC618" s="0" t="str">
        <f aca="false">IF(W618=1,"",IF(AND(Y618=1,AA618&lt;&gt;1),1,0))</f>
        <v/>
      </c>
      <c r="AD618" s="33" t="str">
        <f aca="false">IF(AND(E618&gt;0,W618&lt;1,NOT(AND(C619=C618,W619=W618+1))),INDEX(DATAS,W618+1),"")</f>
        <v/>
      </c>
      <c r="AE618" s="33" t="str">
        <f aca="false">IF(AND(Y618=1,W618&lt;1),IF(AND(C619=C618,W619=W618+1),IF(Y619=1,"",INDEX(DATAS,W618+1)),INDEX(DATAS,W618+1)),"")</f>
        <v/>
      </c>
    </row>
    <row r="619" customFormat="false" ht="15" hidden="false" customHeight="false" outlineLevel="0" collapsed="false">
      <c r="A619" s="33" t="n">
        <v>46309</v>
      </c>
      <c r="B619" s="0" t="n">
        <v>3</v>
      </c>
      <c r="C619" s="0" t="n">
        <v>4465</v>
      </c>
      <c r="D619" s="0" t="n">
        <v>6</v>
      </c>
      <c r="E619" s="0" t="n">
        <v>3</v>
      </c>
      <c r="F619" s="27" t="s">
        <v>565</v>
      </c>
      <c r="G619" s="0" t="n">
        <v>32.8</v>
      </c>
      <c r="H619" s="0" t="n">
        <v>23</v>
      </c>
      <c r="I619" s="27" t="s">
        <v>147</v>
      </c>
      <c r="J619" s="0" t="n">
        <v>6</v>
      </c>
      <c r="M619" s="0" t="n">
        <v>884.58</v>
      </c>
      <c r="N619" s="0" t="n">
        <v>87.75</v>
      </c>
      <c r="O619" s="0" t="n">
        <v>40.03</v>
      </c>
      <c r="R619" s="0" t="n">
        <v>2249</v>
      </c>
      <c r="S619" s="0" t="n">
        <v>4522</v>
      </c>
      <c r="U619" s="0" t="n">
        <v>1366</v>
      </c>
      <c r="V619" s="0" t="n">
        <v>0</v>
      </c>
      <c r="W619" s="27" t="n">
        <f aca="false">MATCH(A619,DATAS,0)</f>
        <v>1</v>
      </c>
      <c r="X619" s="27" t="n">
        <f aca="false">IF(AND(E619&gt;0,OR(AND(B619&gt;=1,B619&lt;=6),B619=10)),1,0)</f>
        <v>1</v>
      </c>
      <c r="Y619" s="27" t="n">
        <f aca="false">IF(AND(E619&gt;0,B619=10),1,0)</f>
        <v>0</v>
      </c>
      <c r="Z619" s="0" t="str">
        <f aca="false">IF(AND(C618=C619,W618=W619-1),X618,"")</f>
        <v/>
      </c>
      <c r="AA619" s="0" t="str">
        <f aca="false">IF(AND(C618=C619,W618=W619-1),Y618,"")</f>
        <v/>
      </c>
      <c r="AB619" s="0" t="str">
        <f aca="false">IF(W619=1,"",IF(AND(X619=1,Z619&lt;&gt;1),1,0))</f>
        <v/>
      </c>
      <c r="AC619" s="0" t="str">
        <f aca="false">IF(W619=1,"",IF(AND(Y619=1,AA619&lt;&gt;1),1,0))</f>
        <v/>
      </c>
      <c r="AD619" s="33" t="str">
        <f aca="false">IF(AND(E619&gt;0,W619&lt;1,NOT(AND(C620=C619,W620=W619+1))),INDEX(DATAS,W619+1),"")</f>
        <v/>
      </c>
      <c r="AE619" s="33" t="str">
        <f aca="false">IF(AND(Y619=1,W619&lt;1),IF(AND(C620=C619,W620=W619+1),IF(Y620=1,"",INDEX(DATAS,W619+1)),INDEX(DATAS,W619+1)),"")</f>
        <v/>
      </c>
    </row>
    <row r="620" customFormat="false" ht="15" hidden="false" customHeight="false" outlineLevel="0" collapsed="false">
      <c r="A620" s="33" t="n">
        <v>46309</v>
      </c>
      <c r="B620" s="0" t="n">
        <v>3</v>
      </c>
      <c r="C620" s="0" t="n">
        <v>4467</v>
      </c>
      <c r="D620" s="0" t="n">
        <v>272</v>
      </c>
      <c r="E620" s="0" t="n">
        <v>2</v>
      </c>
      <c r="F620" s="27" t="s">
        <v>565</v>
      </c>
      <c r="G620" s="0" t="n">
        <v>57.2</v>
      </c>
      <c r="H620" s="0" t="n">
        <v>53</v>
      </c>
      <c r="I620" s="27" t="s">
        <v>138</v>
      </c>
      <c r="J620" s="0" t="n">
        <v>153</v>
      </c>
      <c r="K620" s="0" t="n">
        <v>76</v>
      </c>
      <c r="L620" s="0" t="n">
        <v>119</v>
      </c>
      <c r="M620" s="0" t="n">
        <v>470.98</v>
      </c>
      <c r="N620" s="0" t="n">
        <v>12.13</v>
      </c>
      <c r="O620" s="0" t="n">
        <v>18.62</v>
      </c>
      <c r="P620" s="0" t="n">
        <v>3.09</v>
      </c>
      <c r="Q620" s="0" t="n">
        <v>3.43</v>
      </c>
      <c r="R620" s="0" t="n">
        <v>6555</v>
      </c>
      <c r="S620" s="0" t="n">
        <v>12883</v>
      </c>
      <c r="T620" s="0" t="n">
        <v>73.5</v>
      </c>
      <c r="U620" s="0" t="n">
        <v>1366</v>
      </c>
      <c r="V620" s="0" t="n">
        <v>4</v>
      </c>
      <c r="W620" s="27" t="n">
        <f aca="false">MATCH(A620,DATAS,0)</f>
        <v>1</v>
      </c>
      <c r="X620" s="27" t="n">
        <f aca="false">IF(AND(E620&gt;0,OR(AND(B620&gt;=1,B620&lt;=6),B620=10)),1,0)</f>
        <v>1</v>
      </c>
      <c r="Y620" s="27" t="n">
        <f aca="false">IF(AND(E620&gt;0,B620=10),1,0)</f>
        <v>0</v>
      </c>
      <c r="Z620" s="0" t="str">
        <f aca="false">IF(AND(C619=C620,W619=W620-1),X619,"")</f>
        <v/>
      </c>
      <c r="AA620" s="0" t="str">
        <f aca="false">IF(AND(C619=C620,W619=W620-1),Y619,"")</f>
        <v/>
      </c>
      <c r="AB620" s="0" t="str">
        <f aca="false">IF(W620=1,"",IF(AND(X620=1,Z620&lt;&gt;1),1,0))</f>
        <v/>
      </c>
      <c r="AC620" s="0" t="str">
        <f aca="false">IF(W620=1,"",IF(AND(Y620=1,AA620&lt;&gt;1),1,0))</f>
        <v/>
      </c>
      <c r="AD620" s="33" t="str">
        <f aca="false">IF(AND(E620&gt;0,W620&lt;1,NOT(AND(C621=C620,W621=W620+1))),INDEX(DATAS,W620+1),"")</f>
        <v/>
      </c>
      <c r="AE620" s="33" t="str">
        <f aca="false">IF(AND(Y620=1,W620&lt;1),IF(AND(C621=C620,W621=W620+1),IF(Y621=1,"",INDEX(DATAS,W620+1)),INDEX(DATAS,W620+1)),"")</f>
        <v/>
      </c>
    </row>
    <row r="621" customFormat="false" ht="15" hidden="false" customHeight="false" outlineLevel="0" collapsed="false">
      <c r="A621" s="33" t="n">
        <v>46309</v>
      </c>
      <c r="B621" s="0" t="n">
        <v>7</v>
      </c>
      <c r="C621" s="0" t="n">
        <v>4468</v>
      </c>
      <c r="D621" s="0" t="n">
        <v>343</v>
      </c>
      <c r="E621" s="0" t="n">
        <v>2</v>
      </c>
      <c r="F621" s="27" t="s">
        <v>565</v>
      </c>
      <c r="G621" s="0" t="n">
        <v>9.3</v>
      </c>
      <c r="H621" s="0" t="n">
        <v>23</v>
      </c>
      <c r="I621" s="27" t="s">
        <v>143</v>
      </c>
      <c r="J621" s="0" t="n">
        <v>120</v>
      </c>
      <c r="K621" s="0" t="n">
        <v>65</v>
      </c>
      <c r="L621" s="0" t="n">
        <v>224</v>
      </c>
      <c r="M621" s="0" t="n">
        <v>685.58</v>
      </c>
      <c r="N621" s="0" t="n">
        <v>26.57</v>
      </c>
      <c r="O621" s="0" t="n">
        <v>30.42</v>
      </c>
      <c r="P621" s="0" t="n">
        <v>5.04</v>
      </c>
      <c r="Q621" s="0" t="n">
        <v>4.09</v>
      </c>
      <c r="R621" s="0" t="n">
        <v>3326</v>
      </c>
      <c r="S621" s="0" t="n">
        <v>6619</v>
      </c>
      <c r="T621" s="0" t="n">
        <v>35.4</v>
      </c>
      <c r="U621" s="0" t="n">
        <v>1366</v>
      </c>
      <c r="V621" s="0" t="n">
        <v>3</v>
      </c>
      <c r="W621" s="27" t="n">
        <f aca="false">MATCH(A621,DATAS,0)</f>
        <v>1</v>
      </c>
      <c r="X621" s="27" t="n">
        <f aca="false">IF(AND(E621&gt;0,OR(AND(B621&gt;=1,B621&lt;=6),B621=10)),1,0)</f>
        <v>0</v>
      </c>
      <c r="Y621" s="27" t="n">
        <f aca="false">IF(AND(E621&gt;0,B621=10),1,0)</f>
        <v>0</v>
      </c>
      <c r="Z621" s="0" t="str">
        <f aca="false">IF(AND(C620=C621,W620=W621-1),X620,"")</f>
        <v/>
      </c>
      <c r="AA621" s="0" t="str">
        <f aca="false">IF(AND(C620=C621,W620=W621-1),Y620,"")</f>
        <v/>
      </c>
      <c r="AB621" s="0" t="str">
        <f aca="false">IF(W621=1,"",IF(AND(X621=1,Z621&lt;&gt;1),1,0))</f>
        <v/>
      </c>
      <c r="AC621" s="0" t="str">
        <f aca="false">IF(W621=1,"",IF(AND(Y621=1,AA621&lt;&gt;1),1,0))</f>
        <v/>
      </c>
      <c r="AD621" s="33" t="str">
        <f aca="false">IF(AND(E621&gt;0,W621&lt;1,NOT(AND(C622=C621,W622=W621+1))),INDEX(DATAS,W621+1),"")</f>
        <v/>
      </c>
      <c r="AE621" s="33" t="str">
        <f aca="false">IF(AND(Y621=1,W621&lt;1),IF(AND(C622=C621,W622=W621+1),IF(Y622=1,"",INDEX(DATAS,W621+1)),INDEX(DATAS,W621+1)),"")</f>
        <v/>
      </c>
    </row>
    <row r="622" customFormat="false" ht="15" hidden="false" customHeight="false" outlineLevel="0" collapsed="false">
      <c r="A622" s="33" t="n">
        <v>46309</v>
      </c>
      <c r="B622" s="0" t="n">
        <v>7</v>
      </c>
      <c r="C622" s="0" t="n">
        <v>4469</v>
      </c>
      <c r="D622" s="0" t="n">
        <v>317</v>
      </c>
      <c r="E622" s="0" t="n">
        <v>2</v>
      </c>
      <c r="F622" s="27" t="s">
        <v>566</v>
      </c>
      <c r="I622" s="27" t="s">
        <v>143</v>
      </c>
      <c r="J622" s="0" t="n">
        <v>89</v>
      </c>
      <c r="K622" s="0" t="n">
        <v>67</v>
      </c>
      <c r="L622" s="0" t="n">
        <v>264</v>
      </c>
      <c r="M622" s="0" t="n">
        <v>-182.59</v>
      </c>
      <c r="N622" s="0" t="n">
        <v>35.36</v>
      </c>
      <c r="O622" s="0" t="n">
        <v>7.93</v>
      </c>
      <c r="P622" s="0" t="n">
        <v>5.52</v>
      </c>
      <c r="Q622" s="0" t="n">
        <v>3.76</v>
      </c>
      <c r="R622" s="0" t="n">
        <v>4546</v>
      </c>
      <c r="S622" s="0" t="n">
        <v>9681</v>
      </c>
      <c r="T622" s="0" t="n">
        <v>49.3</v>
      </c>
      <c r="U622" s="0" t="n">
        <v>1365</v>
      </c>
      <c r="V622" s="0" t="n">
        <v>2</v>
      </c>
      <c r="W622" s="27" t="n">
        <f aca="false">MATCH(A622,DATAS,0)</f>
        <v>1</v>
      </c>
      <c r="X622" s="27" t="n">
        <f aca="false">IF(AND(E622&gt;0,OR(AND(B622&gt;=1,B622&lt;=6),B622=10)),1,0)</f>
        <v>0</v>
      </c>
      <c r="Y622" s="27" t="n">
        <f aca="false">IF(AND(E622&gt;0,B622=10),1,0)</f>
        <v>0</v>
      </c>
      <c r="Z622" s="0" t="str">
        <f aca="false">IF(AND(C621=C622,W621=W622-1),X621,"")</f>
        <v/>
      </c>
      <c r="AA622" s="0" t="str">
        <f aca="false">IF(AND(C621=C622,W621=W622-1),Y621,"")</f>
        <v/>
      </c>
      <c r="AB622" s="0" t="str">
        <f aca="false">IF(W622=1,"",IF(AND(X622=1,Z622&lt;&gt;1),1,0))</f>
        <v/>
      </c>
      <c r="AC622" s="0" t="str">
        <f aca="false">IF(W622=1,"",IF(AND(Y622=1,AA622&lt;&gt;1),1,0))</f>
        <v/>
      </c>
      <c r="AD622" s="33" t="str">
        <f aca="false">IF(AND(E622&gt;0,W622&lt;1,NOT(AND(C623=C622,W623=W622+1))),INDEX(DATAS,W622+1),"")</f>
        <v/>
      </c>
      <c r="AE622" s="33" t="str">
        <f aca="false">IF(AND(Y622=1,W622&lt;1),IF(AND(C623=C622,W623=W622+1),IF(Y623=1,"",INDEX(DATAS,W622+1)),INDEX(DATAS,W622+1)),"")</f>
        <v/>
      </c>
    </row>
    <row r="623" customFormat="false" ht="15" hidden="false" customHeight="false" outlineLevel="0" collapsed="false">
      <c r="A623" s="33" t="n">
        <v>46309</v>
      </c>
      <c r="B623" s="0" t="n">
        <v>5</v>
      </c>
      <c r="C623" s="0" t="n">
        <v>4470</v>
      </c>
      <c r="D623" s="0" t="n">
        <v>203</v>
      </c>
      <c r="E623" s="0" t="n">
        <v>2</v>
      </c>
      <c r="F623" s="27" t="s">
        <v>566</v>
      </c>
      <c r="G623" s="0" t="n">
        <v>39</v>
      </c>
      <c r="H623" s="0" t="n">
        <v>40</v>
      </c>
      <c r="I623" s="27" t="s">
        <v>138</v>
      </c>
      <c r="J623" s="0" t="n">
        <v>63</v>
      </c>
      <c r="K623" s="0" t="n">
        <v>63</v>
      </c>
      <c r="L623" s="0" t="n">
        <v>140</v>
      </c>
      <c r="M623" s="0" t="n">
        <v>1307.6</v>
      </c>
      <c r="N623" s="0" t="n">
        <v>41.03</v>
      </c>
      <c r="O623" s="0" t="n">
        <v>44.15</v>
      </c>
      <c r="P623" s="0" t="n">
        <v>3.09</v>
      </c>
      <c r="Q623" s="0" t="n">
        <v>3.65</v>
      </c>
      <c r="R623" s="0" t="n">
        <v>4560</v>
      </c>
      <c r="S623" s="0" t="n">
        <v>9745</v>
      </c>
      <c r="T623" s="0" t="n">
        <v>50.2</v>
      </c>
      <c r="U623" s="0" t="n">
        <v>1365</v>
      </c>
      <c r="V623" s="0" t="n">
        <v>1</v>
      </c>
      <c r="W623" s="27" t="n">
        <f aca="false">MATCH(A623,DATAS,0)</f>
        <v>1</v>
      </c>
      <c r="X623" s="27" t="n">
        <f aca="false">IF(AND(E623&gt;0,OR(AND(B623&gt;=1,B623&lt;=6),B623=10)),1,0)</f>
        <v>1</v>
      </c>
      <c r="Y623" s="27" t="n">
        <f aca="false">IF(AND(E623&gt;0,B623=10),1,0)</f>
        <v>0</v>
      </c>
      <c r="Z623" s="0" t="str">
        <f aca="false">IF(AND(C622=C623,W622=W623-1),X622,"")</f>
        <v/>
      </c>
      <c r="AA623" s="0" t="str">
        <f aca="false">IF(AND(C622=C623,W622=W623-1),Y622,"")</f>
        <v/>
      </c>
      <c r="AB623" s="0" t="str">
        <f aca="false">IF(W623=1,"",IF(AND(X623=1,Z623&lt;&gt;1),1,0))</f>
        <v/>
      </c>
      <c r="AC623" s="0" t="str">
        <f aca="false">IF(W623=1,"",IF(AND(Y623=1,AA623&lt;&gt;1),1,0))</f>
        <v/>
      </c>
      <c r="AD623" s="33" t="str">
        <f aca="false">IF(AND(E623&gt;0,W623&lt;1,NOT(AND(C624=C623,W624=W623+1))),INDEX(DATAS,W623+1),"")</f>
        <v/>
      </c>
      <c r="AE623" s="33" t="str">
        <f aca="false">IF(AND(Y623=1,W623&lt;1),IF(AND(C624=C623,W624=W623+1),IF(Y624=1,"",INDEX(DATAS,W623+1)),INDEX(DATAS,W623+1)),"")</f>
        <v/>
      </c>
    </row>
    <row r="624" customFormat="false" ht="15" hidden="false" customHeight="false" outlineLevel="0" collapsed="false">
      <c r="A624" s="33" t="n">
        <v>46309</v>
      </c>
      <c r="B624" s="0" t="n">
        <v>5</v>
      </c>
      <c r="C624" s="0" t="n">
        <v>4471</v>
      </c>
      <c r="D624" s="0" t="n">
        <v>179</v>
      </c>
      <c r="E624" s="0" t="n">
        <v>3</v>
      </c>
      <c r="F624" s="27" t="s">
        <v>566</v>
      </c>
      <c r="G624" s="0" t="n">
        <v>31.7</v>
      </c>
      <c r="H624" s="0" t="n">
        <v>27</v>
      </c>
      <c r="I624" s="27" t="s">
        <v>138</v>
      </c>
      <c r="J624" s="0" t="n">
        <v>67</v>
      </c>
      <c r="K624" s="0" t="n">
        <v>67</v>
      </c>
      <c r="L624" s="0" t="n">
        <v>112</v>
      </c>
      <c r="M624" s="0" t="n">
        <v>733.61</v>
      </c>
      <c r="N624" s="0" t="n">
        <v>46.94</v>
      </c>
      <c r="O624" s="0" t="n">
        <v>34.18</v>
      </c>
      <c r="P624" s="0" t="n">
        <v>4.25</v>
      </c>
      <c r="Q624" s="0" t="n">
        <v>3.79</v>
      </c>
      <c r="R624" s="0" t="n">
        <v>3430</v>
      </c>
      <c r="S624" s="0" t="n">
        <v>6351</v>
      </c>
      <c r="T624" s="0" t="n">
        <v>30.85</v>
      </c>
      <c r="U624" s="0" t="n">
        <v>1365</v>
      </c>
      <c r="V624" s="0" t="n">
        <v>1</v>
      </c>
      <c r="W624" s="27" t="n">
        <f aca="false">MATCH(A624,DATAS,0)</f>
        <v>1</v>
      </c>
      <c r="X624" s="27" t="n">
        <f aca="false">IF(AND(E624&gt;0,OR(AND(B624&gt;=1,B624&lt;=6),B624=10)),1,0)</f>
        <v>1</v>
      </c>
      <c r="Y624" s="27" t="n">
        <f aca="false">IF(AND(E624&gt;0,B624=10),1,0)</f>
        <v>0</v>
      </c>
      <c r="Z624" s="0" t="str">
        <f aca="false">IF(AND(C623=C624,W623=W624-1),X623,"")</f>
        <v/>
      </c>
      <c r="AA624" s="0" t="str">
        <f aca="false">IF(AND(C623=C624,W623=W624-1),Y623,"")</f>
        <v/>
      </c>
      <c r="AB624" s="0" t="str">
        <f aca="false">IF(W624=1,"",IF(AND(X624=1,Z624&lt;&gt;1),1,0))</f>
        <v/>
      </c>
      <c r="AC624" s="0" t="str">
        <f aca="false">IF(W624=1,"",IF(AND(Y624=1,AA624&lt;&gt;1),1,0))</f>
        <v/>
      </c>
      <c r="AD624" s="33" t="str">
        <f aca="false">IF(AND(E624&gt;0,W624&lt;1,NOT(AND(C625=C624,W625=W624+1))),INDEX(DATAS,W624+1),"")</f>
        <v/>
      </c>
      <c r="AE624" s="33" t="str">
        <f aca="false">IF(AND(Y624=1,W624&lt;1),IF(AND(C625=C624,W625=W624+1),IF(Y625=1,"",INDEX(DATAS,W624+1)),INDEX(DATAS,W624+1)),"")</f>
        <v/>
      </c>
    </row>
    <row r="625" customFormat="false" ht="15" hidden="false" customHeight="false" outlineLevel="0" collapsed="false">
      <c r="A625" s="33" t="n">
        <v>46309</v>
      </c>
      <c r="B625" s="0" t="n">
        <v>5</v>
      </c>
      <c r="C625" s="0" t="n">
        <v>4474</v>
      </c>
      <c r="D625" s="0" t="n">
        <v>309</v>
      </c>
      <c r="E625" s="0" t="n">
        <v>2</v>
      </c>
      <c r="F625" s="27" t="s">
        <v>567</v>
      </c>
      <c r="G625" s="0" t="n">
        <v>46.1</v>
      </c>
      <c r="H625" s="0" t="n">
        <v>44</v>
      </c>
      <c r="I625" s="27" t="s">
        <v>168</v>
      </c>
      <c r="J625" s="0" t="n">
        <v>309</v>
      </c>
      <c r="K625" s="0" t="n">
        <v>78</v>
      </c>
      <c r="M625" s="0" t="n">
        <v>450.27</v>
      </c>
      <c r="N625" s="0" t="n">
        <v>31.85</v>
      </c>
      <c r="O625" s="0" t="n">
        <v>33.55</v>
      </c>
      <c r="P625" s="0" t="n">
        <v>3.75</v>
      </c>
      <c r="Q625" s="0" t="n">
        <v>3.72</v>
      </c>
      <c r="R625" s="0" t="n">
        <v>5371</v>
      </c>
      <c r="S625" s="0" t="n">
        <v>10204</v>
      </c>
      <c r="T625" s="0" t="n">
        <v>58.4</v>
      </c>
      <c r="U625" s="0" t="n">
        <v>1364</v>
      </c>
      <c r="V625" s="0" t="n">
        <v>6</v>
      </c>
      <c r="W625" s="27" t="n">
        <f aca="false">MATCH(A625,DATAS,0)</f>
        <v>1</v>
      </c>
      <c r="X625" s="27" t="n">
        <f aca="false">IF(AND(E625&gt;0,OR(AND(B625&gt;=1,B625&lt;=6),B625=10)),1,0)</f>
        <v>1</v>
      </c>
      <c r="Y625" s="27" t="n">
        <f aca="false">IF(AND(E625&gt;0,B625=10),1,0)</f>
        <v>0</v>
      </c>
      <c r="Z625" s="0" t="str">
        <f aca="false">IF(AND(C624=C625,W624=W625-1),X624,"")</f>
        <v/>
      </c>
      <c r="AA625" s="0" t="str">
        <f aca="false">IF(AND(C624=C625,W624=W625-1),Y624,"")</f>
        <v/>
      </c>
      <c r="AB625" s="0" t="str">
        <f aca="false">IF(W625=1,"",IF(AND(X625=1,Z625&lt;&gt;1),1,0))</f>
        <v/>
      </c>
      <c r="AC625" s="0" t="str">
        <f aca="false">IF(W625=1,"",IF(AND(Y625=1,AA625&lt;&gt;1),1,0))</f>
        <v/>
      </c>
      <c r="AD625" s="33" t="str">
        <f aca="false">IF(AND(E625&gt;0,W625&lt;1,NOT(AND(C626=C625,W626=W625+1))),INDEX(DATAS,W625+1),"")</f>
        <v/>
      </c>
      <c r="AE625" s="33" t="str">
        <f aca="false">IF(AND(Y625=1,W625&lt;1),IF(AND(C626=C625,W626=W625+1),IF(Y626=1,"",INDEX(DATAS,W625+1)),INDEX(DATAS,W625+1)),"")</f>
        <v/>
      </c>
    </row>
    <row r="626" customFormat="false" ht="15" hidden="false" customHeight="false" outlineLevel="0" collapsed="false">
      <c r="A626" s="33" t="n">
        <v>46309</v>
      </c>
      <c r="B626" s="0" t="n">
        <v>5</v>
      </c>
      <c r="C626" s="0" t="n">
        <v>4476</v>
      </c>
      <c r="D626" s="0" t="n">
        <v>262</v>
      </c>
      <c r="E626" s="0" t="n">
        <v>2</v>
      </c>
      <c r="F626" s="27" t="s">
        <v>568</v>
      </c>
      <c r="G626" s="0" t="n">
        <v>33.7</v>
      </c>
      <c r="H626" s="0" t="n">
        <v>32</v>
      </c>
      <c r="I626" s="27" t="s">
        <v>168</v>
      </c>
      <c r="J626" s="0" t="n">
        <v>262</v>
      </c>
      <c r="K626" s="0" t="n">
        <v>80</v>
      </c>
      <c r="M626" s="0" t="n">
        <v>1189.42</v>
      </c>
      <c r="N626" s="0" t="n">
        <v>14.95</v>
      </c>
      <c r="O626" s="0" t="n">
        <v>29.96</v>
      </c>
      <c r="P626" s="0" t="n">
        <v>2.56</v>
      </c>
      <c r="Q626" s="0" t="n">
        <v>3.82</v>
      </c>
      <c r="R626" s="0" t="n">
        <v>5665</v>
      </c>
      <c r="S626" s="0" t="n">
        <v>10799</v>
      </c>
      <c r="T626" s="0" t="n">
        <v>61.6</v>
      </c>
      <c r="U626" s="0" t="n">
        <v>1363</v>
      </c>
      <c r="V626" s="0" t="n">
        <v>5</v>
      </c>
      <c r="W626" s="27" t="n">
        <f aca="false">MATCH(A626,DATAS,0)</f>
        <v>1</v>
      </c>
      <c r="X626" s="27" t="n">
        <f aca="false">IF(AND(E626&gt;0,OR(AND(B626&gt;=1,B626&lt;=6),B626=10)),1,0)</f>
        <v>1</v>
      </c>
      <c r="Y626" s="27" t="n">
        <f aca="false">IF(AND(E626&gt;0,B626=10),1,0)</f>
        <v>0</v>
      </c>
      <c r="Z626" s="0" t="str">
        <f aca="false">IF(AND(C625=C626,W625=W626-1),X625,"")</f>
        <v/>
      </c>
      <c r="AA626" s="0" t="str">
        <f aca="false">IF(AND(C625=C626,W625=W626-1),Y625,"")</f>
        <v/>
      </c>
      <c r="AB626" s="0" t="str">
        <f aca="false">IF(W626=1,"",IF(AND(X626=1,Z626&lt;&gt;1),1,0))</f>
        <v/>
      </c>
      <c r="AC626" s="0" t="str">
        <f aca="false">IF(W626=1,"",IF(AND(Y626=1,AA626&lt;&gt;1),1,0))</f>
        <v/>
      </c>
      <c r="AD626" s="33" t="str">
        <f aca="false">IF(AND(E626&gt;0,W626&lt;1,NOT(AND(C627=C626,W627=W626+1))),INDEX(DATAS,W626+1),"")</f>
        <v/>
      </c>
      <c r="AE626" s="33" t="str">
        <f aca="false">IF(AND(Y626=1,W626&lt;1),IF(AND(C627=C626,W627=W626+1),IF(Y627=1,"",INDEX(DATAS,W626+1)),INDEX(DATAS,W626+1)),"")</f>
        <v/>
      </c>
    </row>
    <row r="627" customFormat="false" ht="15" hidden="false" customHeight="false" outlineLevel="0" collapsed="false">
      <c r="A627" s="33" t="n">
        <v>46309</v>
      </c>
      <c r="B627" s="0" t="n">
        <v>5</v>
      </c>
      <c r="C627" s="0" t="n">
        <v>4477</v>
      </c>
      <c r="D627" s="0" t="n">
        <v>313</v>
      </c>
      <c r="E627" s="0" t="n">
        <v>2</v>
      </c>
      <c r="F627" s="27" t="s">
        <v>568</v>
      </c>
      <c r="G627" s="0" t="n">
        <v>26.1</v>
      </c>
      <c r="H627" s="0" t="n">
        <v>25</v>
      </c>
      <c r="I627" s="27" t="s">
        <v>138</v>
      </c>
      <c r="J627" s="0" t="n">
        <v>96</v>
      </c>
      <c r="K627" s="0" t="n">
        <v>61</v>
      </c>
      <c r="L627" s="0" t="n">
        <v>217</v>
      </c>
      <c r="M627" s="0" t="n">
        <v>901.47</v>
      </c>
      <c r="N627" s="0" t="n">
        <v>66.05</v>
      </c>
      <c r="O627" s="0" t="n">
        <v>32.34</v>
      </c>
      <c r="P627" s="0" t="n">
        <v>5.29</v>
      </c>
      <c r="Q627" s="0" t="n">
        <v>4.43</v>
      </c>
      <c r="R627" s="0" t="n">
        <v>5217</v>
      </c>
      <c r="S627" s="0" t="n">
        <v>9688</v>
      </c>
      <c r="T627" s="0" t="n">
        <v>53.95</v>
      </c>
      <c r="U627" s="0" t="n">
        <v>1363</v>
      </c>
      <c r="V627" s="0" t="n">
        <v>2</v>
      </c>
      <c r="W627" s="27" t="n">
        <f aca="false">MATCH(A627,DATAS,0)</f>
        <v>1</v>
      </c>
      <c r="X627" s="27" t="n">
        <f aca="false">IF(AND(E627&gt;0,OR(AND(B627&gt;=1,B627&lt;=6),B627=10)),1,0)</f>
        <v>1</v>
      </c>
      <c r="Y627" s="27" t="n">
        <f aca="false">IF(AND(E627&gt;0,B627=10),1,0)</f>
        <v>0</v>
      </c>
      <c r="Z627" s="0" t="str">
        <f aca="false">IF(AND(C626=C627,W626=W627-1),X626,"")</f>
        <v/>
      </c>
      <c r="AA627" s="0" t="str">
        <f aca="false">IF(AND(C626=C627,W626=W627-1),Y626,"")</f>
        <v/>
      </c>
      <c r="AB627" s="0" t="str">
        <f aca="false">IF(W627=1,"",IF(AND(X627=1,Z627&lt;&gt;1),1,0))</f>
        <v/>
      </c>
      <c r="AC627" s="0" t="str">
        <f aca="false">IF(W627=1,"",IF(AND(Y627=1,AA627&lt;&gt;1),1,0))</f>
        <v/>
      </c>
      <c r="AD627" s="33" t="str">
        <f aca="false">IF(AND(E627&gt;0,W627&lt;1,NOT(AND(C628=C627,W628=W627+1))),INDEX(DATAS,W627+1),"")</f>
        <v/>
      </c>
      <c r="AE627" s="33" t="str">
        <f aca="false">IF(AND(Y627=1,W627&lt;1),IF(AND(C628=C627,W628=W627+1),IF(Y628=1,"",INDEX(DATAS,W627+1)),INDEX(DATAS,W627+1)),"")</f>
        <v/>
      </c>
    </row>
    <row r="628" customFormat="false" ht="15" hidden="false" customHeight="false" outlineLevel="0" collapsed="false">
      <c r="A628" s="33" t="n">
        <v>46309</v>
      </c>
      <c r="B628" s="0" t="n">
        <v>6</v>
      </c>
      <c r="C628" s="0" t="n">
        <v>4478</v>
      </c>
      <c r="D628" s="0" t="n">
        <v>180</v>
      </c>
      <c r="E628" s="0" t="n">
        <v>2</v>
      </c>
      <c r="F628" s="27" t="s">
        <v>568</v>
      </c>
      <c r="G628" s="0" t="n">
        <v>28.6</v>
      </c>
      <c r="H628" s="0" t="n">
        <v>25</v>
      </c>
      <c r="I628" s="27" t="s">
        <v>168</v>
      </c>
      <c r="J628" s="0" t="n">
        <v>180</v>
      </c>
      <c r="K628" s="0" t="n">
        <v>75</v>
      </c>
      <c r="M628" s="0" t="n">
        <v>816.81</v>
      </c>
      <c r="N628" s="0" t="n">
        <v>-0.75</v>
      </c>
      <c r="O628" s="0" t="n">
        <v>17.17</v>
      </c>
      <c r="P628" s="0" t="n">
        <v>4.67</v>
      </c>
      <c r="Q628" s="0" t="n">
        <v>3.42</v>
      </c>
      <c r="R628" s="0" t="n">
        <v>3428</v>
      </c>
      <c r="S628" s="0" t="n">
        <v>7108</v>
      </c>
      <c r="T628" s="0" t="n">
        <v>45.1</v>
      </c>
      <c r="U628" s="0" t="n">
        <v>1363</v>
      </c>
      <c r="V628" s="0" t="n">
        <v>3</v>
      </c>
      <c r="W628" s="27" t="n">
        <f aca="false">MATCH(A628,DATAS,0)</f>
        <v>1</v>
      </c>
      <c r="X628" s="27" t="n">
        <f aca="false">IF(AND(E628&gt;0,OR(AND(B628&gt;=1,B628&lt;=6),B628=10)),1,0)</f>
        <v>1</v>
      </c>
      <c r="Y628" s="27" t="n">
        <f aca="false">IF(AND(E628&gt;0,B628=10),1,0)</f>
        <v>0</v>
      </c>
      <c r="Z628" s="0" t="str">
        <f aca="false">IF(AND(C627=C628,W627=W628-1),X627,"")</f>
        <v/>
      </c>
      <c r="AA628" s="0" t="str">
        <f aca="false">IF(AND(C627=C628,W627=W628-1),Y627,"")</f>
        <v/>
      </c>
      <c r="AB628" s="0" t="str">
        <f aca="false">IF(W628=1,"",IF(AND(X628=1,Z628&lt;&gt;1),1,0))</f>
        <v/>
      </c>
      <c r="AC628" s="0" t="str">
        <f aca="false">IF(W628=1,"",IF(AND(Y628=1,AA628&lt;&gt;1),1,0))</f>
        <v/>
      </c>
      <c r="AD628" s="33" t="str">
        <f aca="false">IF(AND(E628&gt;0,W628&lt;1,NOT(AND(C629=C628,W629=W628+1))),INDEX(DATAS,W628+1),"")</f>
        <v/>
      </c>
      <c r="AE628" s="33" t="str">
        <f aca="false">IF(AND(Y628=1,W628&lt;1),IF(AND(C629=C628,W629=W628+1),IF(Y629=1,"",INDEX(DATAS,W628+1)),INDEX(DATAS,W628+1)),"")</f>
        <v/>
      </c>
    </row>
    <row r="629" customFormat="false" ht="15" hidden="false" customHeight="false" outlineLevel="0" collapsed="false">
      <c r="A629" s="33" t="n">
        <v>46309</v>
      </c>
      <c r="B629" s="0" t="n">
        <v>7</v>
      </c>
      <c r="C629" s="0" t="n">
        <v>4481</v>
      </c>
      <c r="D629" s="0" t="n">
        <v>735</v>
      </c>
      <c r="E629" s="0" t="n">
        <v>1</v>
      </c>
      <c r="F629" s="27" t="s">
        <v>569</v>
      </c>
      <c r="I629" s="27" t="s">
        <v>138</v>
      </c>
      <c r="J629" s="0" t="n">
        <v>525</v>
      </c>
      <c r="K629" s="0" t="n">
        <v>71</v>
      </c>
      <c r="L629" s="0" t="n">
        <v>210</v>
      </c>
      <c r="M629" s="0" t="n">
        <v>685.32</v>
      </c>
      <c r="N629" s="0" t="n">
        <v>30.18</v>
      </c>
      <c r="O629" s="0" t="n">
        <v>35.12</v>
      </c>
      <c r="P629" s="0" t="n">
        <v>5</v>
      </c>
      <c r="Q629" s="0" t="n">
        <v>3.68</v>
      </c>
      <c r="R629" s="0" t="n">
        <v>4035</v>
      </c>
      <c r="S629" s="0" t="n">
        <v>9152</v>
      </c>
      <c r="T629" s="0" t="n">
        <v>55.6</v>
      </c>
      <c r="U629" s="0" t="n">
        <v>1362</v>
      </c>
      <c r="V629" s="0" t="n">
        <v>17</v>
      </c>
      <c r="W629" s="27" t="n">
        <f aca="false">MATCH(A629,DATAS,0)</f>
        <v>1</v>
      </c>
      <c r="X629" s="27" t="n">
        <f aca="false">IF(AND(E629&gt;0,OR(AND(B629&gt;=1,B629&lt;=6),B629=10)),1,0)</f>
        <v>0</v>
      </c>
      <c r="Y629" s="27" t="n">
        <f aca="false">IF(AND(E629&gt;0,B629=10),1,0)</f>
        <v>0</v>
      </c>
      <c r="Z629" s="0" t="str">
        <f aca="false">IF(AND(C628=C629,W628=W629-1),X628,"")</f>
        <v/>
      </c>
      <c r="AA629" s="0" t="str">
        <f aca="false">IF(AND(C628=C629,W628=W629-1),Y628,"")</f>
        <v/>
      </c>
      <c r="AB629" s="0" t="str">
        <f aca="false">IF(W629=1,"",IF(AND(X629=1,Z629&lt;&gt;1),1,0))</f>
        <v/>
      </c>
      <c r="AC629" s="0" t="str">
        <f aca="false">IF(W629=1,"",IF(AND(Y629=1,AA629&lt;&gt;1),1,0))</f>
        <v/>
      </c>
      <c r="AD629" s="33" t="str">
        <f aca="false">IF(AND(E629&gt;0,W629&lt;1,NOT(AND(C630=C629,W630=W629+1))),INDEX(DATAS,W629+1),"")</f>
        <v/>
      </c>
      <c r="AE629" s="33" t="str">
        <f aca="false">IF(AND(Y629=1,W629&lt;1),IF(AND(C630=C629,W630=W629+1),IF(Y630=1,"",INDEX(DATAS,W629+1)),INDEX(DATAS,W629+1)),"")</f>
        <v/>
      </c>
    </row>
    <row r="630" customFormat="false" ht="15" hidden="false" customHeight="false" outlineLevel="0" collapsed="false">
      <c r="A630" s="33" t="n">
        <v>46309</v>
      </c>
      <c r="B630" s="0" t="n">
        <v>2</v>
      </c>
      <c r="C630" s="0" t="n">
        <v>4483</v>
      </c>
      <c r="D630" s="0" t="n">
        <v>184</v>
      </c>
      <c r="E630" s="0" t="n">
        <v>2</v>
      </c>
      <c r="F630" s="27" t="s">
        <v>569</v>
      </c>
      <c r="G630" s="0" t="n">
        <v>40</v>
      </c>
      <c r="H630" s="0" t="n">
        <v>43</v>
      </c>
      <c r="I630" s="27" t="s">
        <v>138</v>
      </c>
      <c r="J630" s="0" t="n">
        <v>65</v>
      </c>
      <c r="K630" s="0" t="n">
        <v>65</v>
      </c>
      <c r="L630" s="0" t="n">
        <v>119</v>
      </c>
      <c r="M630" s="0" t="n">
        <v>891.66</v>
      </c>
      <c r="N630" s="0" t="n">
        <v>34.51</v>
      </c>
      <c r="O630" s="0" t="n">
        <v>32.88</v>
      </c>
      <c r="P630" s="0" t="n">
        <v>3.77</v>
      </c>
      <c r="Q630" s="0" t="n">
        <v>3.36</v>
      </c>
      <c r="R630" s="0" t="n">
        <v>5670</v>
      </c>
      <c r="S630" s="0" t="n">
        <v>11521</v>
      </c>
      <c r="T630" s="0" t="n">
        <v>61.65</v>
      </c>
      <c r="U630" s="0" t="n">
        <v>1362</v>
      </c>
      <c r="V630" s="0" t="n">
        <v>1</v>
      </c>
      <c r="W630" s="27" t="n">
        <f aca="false">MATCH(A630,DATAS,0)</f>
        <v>1</v>
      </c>
      <c r="X630" s="27" t="n">
        <f aca="false">IF(AND(E630&gt;0,OR(AND(B630&gt;=1,B630&lt;=6),B630=10)),1,0)</f>
        <v>1</v>
      </c>
      <c r="Y630" s="27" t="n">
        <f aca="false">IF(AND(E630&gt;0,B630=10),1,0)</f>
        <v>0</v>
      </c>
      <c r="Z630" s="0" t="str">
        <f aca="false">IF(AND(C629=C630,W629=W630-1),X629,"")</f>
        <v/>
      </c>
      <c r="AA630" s="0" t="str">
        <f aca="false">IF(AND(C629=C630,W629=W630-1),Y629,"")</f>
        <v/>
      </c>
      <c r="AB630" s="0" t="str">
        <f aca="false">IF(W630=1,"",IF(AND(X630=1,Z630&lt;&gt;1),1,0))</f>
        <v/>
      </c>
      <c r="AC630" s="0" t="str">
        <f aca="false">IF(W630=1,"",IF(AND(Y630=1,AA630&lt;&gt;1),1,0))</f>
        <v/>
      </c>
      <c r="AD630" s="33" t="str">
        <f aca="false">IF(AND(E630&gt;0,W630&lt;1,NOT(AND(C631=C630,W631=W630+1))),INDEX(DATAS,W630+1),"")</f>
        <v/>
      </c>
      <c r="AE630" s="33" t="str">
        <f aca="false">IF(AND(Y630=1,W630&lt;1),IF(AND(C631=C630,W631=W630+1),IF(Y631=1,"",INDEX(DATAS,W630+1)),INDEX(DATAS,W630+1)),"")</f>
        <v/>
      </c>
    </row>
    <row r="631" customFormat="false" ht="15" hidden="false" customHeight="false" outlineLevel="0" collapsed="false">
      <c r="A631" s="33" t="n">
        <v>46309</v>
      </c>
      <c r="B631" s="0" t="n">
        <v>7</v>
      </c>
      <c r="C631" s="0" t="n">
        <v>4484</v>
      </c>
      <c r="D631" s="0" t="n">
        <v>292</v>
      </c>
      <c r="E631" s="0" t="n">
        <v>2</v>
      </c>
      <c r="F631" s="27" t="s">
        <v>569</v>
      </c>
      <c r="I631" s="27" t="s">
        <v>143</v>
      </c>
      <c r="J631" s="0" t="n">
        <v>69</v>
      </c>
      <c r="K631" s="0" t="n">
        <v>69</v>
      </c>
      <c r="L631" s="0" t="n">
        <v>273</v>
      </c>
      <c r="M631" s="0" t="n">
        <v>676.84</v>
      </c>
      <c r="N631" s="0" t="n">
        <v>68.78</v>
      </c>
      <c r="O631" s="0" t="n">
        <v>48.88</v>
      </c>
      <c r="P631" s="0" t="n">
        <v>6.36</v>
      </c>
      <c r="Q631" s="0" t="n">
        <v>4.52</v>
      </c>
      <c r="R631" s="0" t="n">
        <v>5084</v>
      </c>
      <c r="S631" s="0" t="n">
        <v>10449</v>
      </c>
      <c r="T631" s="0" t="n">
        <v>53.65</v>
      </c>
      <c r="U631" s="0" t="n">
        <v>1362</v>
      </c>
      <c r="V631" s="0" t="n">
        <v>1</v>
      </c>
      <c r="W631" s="27" t="n">
        <f aca="false">MATCH(A631,DATAS,0)</f>
        <v>1</v>
      </c>
      <c r="X631" s="27" t="n">
        <f aca="false">IF(AND(E631&gt;0,OR(AND(B631&gt;=1,B631&lt;=6),B631=10)),1,0)</f>
        <v>0</v>
      </c>
      <c r="Y631" s="27" t="n">
        <f aca="false">IF(AND(E631&gt;0,B631=10),1,0)</f>
        <v>0</v>
      </c>
      <c r="Z631" s="0" t="str">
        <f aca="false">IF(AND(C630=C631,W630=W631-1),X630,"")</f>
        <v/>
      </c>
      <c r="AA631" s="0" t="str">
        <f aca="false">IF(AND(C630=C631,W630=W631-1),Y630,"")</f>
        <v/>
      </c>
      <c r="AB631" s="0" t="str">
        <f aca="false">IF(W631=1,"",IF(AND(X631=1,Z631&lt;&gt;1),1,0))</f>
        <v/>
      </c>
      <c r="AC631" s="0" t="str">
        <f aca="false">IF(W631=1,"",IF(AND(Y631=1,AA631&lt;&gt;1),1,0))</f>
        <v/>
      </c>
      <c r="AD631" s="33" t="str">
        <f aca="false">IF(AND(E631&gt;0,W631&lt;1,NOT(AND(C632=C631,W632=W631+1))),INDEX(DATAS,W631+1),"")</f>
        <v/>
      </c>
      <c r="AE631" s="33" t="str">
        <f aca="false">IF(AND(Y631=1,W631&lt;1),IF(AND(C632=C631,W632=W631+1),IF(Y632=1,"",INDEX(DATAS,W631+1)),INDEX(DATAS,W631+1)),"")</f>
        <v/>
      </c>
    </row>
    <row r="632" customFormat="false" ht="15" hidden="false" customHeight="false" outlineLevel="0" collapsed="false">
      <c r="A632" s="33" t="n">
        <v>46309</v>
      </c>
      <c r="B632" s="0" t="n">
        <v>7</v>
      </c>
      <c r="C632" s="0" t="n">
        <v>4485</v>
      </c>
      <c r="D632" s="0" t="n">
        <v>381</v>
      </c>
      <c r="E632" s="0" t="n">
        <v>2</v>
      </c>
      <c r="F632" s="27" t="s">
        <v>570</v>
      </c>
      <c r="I632" s="27" t="s">
        <v>143</v>
      </c>
      <c r="J632" s="0" t="n">
        <v>158</v>
      </c>
      <c r="K632" s="0" t="n">
        <v>67</v>
      </c>
      <c r="L632" s="0" t="n">
        <v>245</v>
      </c>
      <c r="M632" s="0" t="n">
        <v>836.79</v>
      </c>
      <c r="N632" s="0" t="n">
        <v>45.33</v>
      </c>
      <c r="O632" s="0" t="n">
        <v>30.57</v>
      </c>
      <c r="P632" s="0" t="n">
        <v>4.9</v>
      </c>
      <c r="Q632" s="0" t="n">
        <v>3.87</v>
      </c>
      <c r="R632" s="0" t="n">
        <v>6285</v>
      </c>
      <c r="S632" s="0" t="n">
        <v>12118</v>
      </c>
      <c r="T632" s="0" t="n">
        <v>70.45</v>
      </c>
      <c r="U632" s="0" t="n">
        <v>1361</v>
      </c>
      <c r="V632" s="0" t="n">
        <v>4</v>
      </c>
      <c r="W632" s="27" t="n">
        <f aca="false">MATCH(A632,DATAS,0)</f>
        <v>1</v>
      </c>
      <c r="X632" s="27" t="n">
        <f aca="false">IF(AND(E632&gt;0,OR(AND(B632&gt;=1,B632&lt;=6),B632=10)),1,0)</f>
        <v>0</v>
      </c>
      <c r="Y632" s="27" t="n">
        <f aca="false">IF(AND(E632&gt;0,B632=10),1,0)</f>
        <v>0</v>
      </c>
      <c r="Z632" s="0" t="str">
        <f aca="false">IF(AND(C631=C632,W631=W632-1),X631,"")</f>
        <v/>
      </c>
      <c r="AA632" s="0" t="str">
        <f aca="false">IF(AND(C631=C632,W631=W632-1),Y631,"")</f>
        <v/>
      </c>
      <c r="AB632" s="0" t="str">
        <f aca="false">IF(W632=1,"",IF(AND(X632=1,Z632&lt;&gt;1),1,0))</f>
        <v/>
      </c>
      <c r="AC632" s="0" t="str">
        <f aca="false">IF(W632=1,"",IF(AND(Y632=1,AA632&lt;&gt;1),1,0))</f>
        <v/>
      </c>
      <c r="AD632" s="33" t="str">
        <f aca="false">IF(AND(E632&gt;0,W632&lt;1,NOT(AND(C633=C632,W633=W632+1))),INDEX(DATAS,W632+1),"")</f>
        <v/>
      </c>
      <c r="AE632" s="33" t="str">
        <f aca="false">IF(AND(Y632=1,W632&lt;1),IF(AND(C633=C632,W633=W632+1),IF(Y633=1,"",INDEX(DATAS,W632+1)),INDEX(DATAS,W632+1)),"")</f>
        <v/>
      </c>
    </row>
    <row r="633" customFormat="false" ht="15" hidden="false" customHeight="false" outlineLevel="0" collapsed="false">
      <c r="A633" s="33" t="n">
        <v>46309</v>
      </c>
      <c r="B633" s="0" t="n">
        <v>7</v>
      </c>
      <c r="C633" s="0" t="n">
        <v>4488</v>
      </c>
      <c r="D633" s="0" t="n">
        <v>319</v>
      </c>
      <c r="E633" s="0" t="n">
        <v>2</v>
      </c>
      <c r="F633" s="27" t="s">
        <v>571</v>
      </c>
      <c r="G633" s="0" t="n">
        <v>9</v>
      </c>
      <c r="H633" s="0" t="n">
        <v>19</v>
      </c>
      <c r="I633" s="27" t="s">
        <v>143</v>
      </c>
      <c r="J633" s="0" t="n">
        <v>124</v>
      </c>
      <c r="K633" s="0" t="n">
        <v>68</v>
      </c>
      <c r="L633" s="0" t="n">
        <v>196</v>
      </c>
      <c r="M633" s="0" t="n">
        <v>-210.05</v>
      </c>
      <c r="N633" s="0" t="n">
        <v>46.8</v>
      </c>
      <c r="O633" s="0" t="n">
        <v>19.76</v>
      </c>
      <c r="P633" s="0" t="n">
        <v>5.61</v>
      </c>
      <c r="Q633" s="0" t="n">
        <v>4.28</v>
      </c>
      <c r="R633" s="0" t="n">
        <v>5469</v>
      </c>
      <c r="S633" s="0" t="n">
        <v>9563</v>
      </c>
      <c r="T633" s="0" t="n">
        <v>59.25</v>
      </c>
      <c r="U633" s="0" t="n">
        <v>1360</v>
      </c>
      <c r="V633" s="0" t="n">
        <v>2</v>
      </c>
      <c r="W633" s="27" t="n">
        <f aca="false">MATCH(A633,DATAS,0)</f>
        <v>1</v>
      </c>
      <c r="X633" s="27" t="n">
        <f aca="false">IF(AND(E633&gt;0,OR(AND(B633&gt;=1,B633&lt;=6),B633=10)),1,0)</f>
        <v>0</v>
      </c>
      <c r="Y633" s="27" t="n">
        <f aca="false">IF(AND(E633&gt;0,B633=10),1,0)</f>
        <v>0</v>
      </c>
      <c r="Z633" s="0" t="str">
        <f aca="false">IF(AND(C632=C633,W632=W633-1),X632,"")</f>
        <v/>
      </c>
      <c r="AA633" s="0" t="str">
        <f aca="false">IF(AND(C632=C633,W632=W633-1),Y632,"")</f>
        <v/>
      </c>
      <c r="AB633" s="0" t="str">
        <f aca="false">IF(W633=1,"",IF(AND(X633=1,Z633&lt;&gt;1),1,0))</f>
        <v/>
      </c>
      <c r="AC633" s="0" t="str">
        <f aca="false">IF(W633=1,"",IF(AND(Y633=1,AA633&lt;&gt;1),1,0))</f>
        <v/>
      </c>
      <c r="AD633" s="33" t="str">
        <f aca="false">IF(AND(E633&gt;0,W633&lt;1,NOT(AND(C634=C633,W634=W633+1))),INDEX(DATAS,W633+1),"")</f>
        <v/>
      </c>
      <c r="AE633" s="33" t="str">
        <f aca="false">IF(AND(Y633=1,W633&lt;1),IF(AND(C634=C633,W634=W633+1),IF(Y634=1,"",INDEX(DATAS,W633+1)),INDEX(DATAS,W633+1)),"")</f>
        <v/>
      </c>
    </row>
    <row r="634" customFormat="false" ht="15" hidden="false" customHeight="false" outlineLevel="0" collapsed="false">
      <c r="A634" s="33" t="n">
        <v>46309</v>
      </c>
      <c r="B634" s="0" t="n">
        <v>5</v>
      </c>
      <c r="C634" s="0" t="n">
        <v>4489</v>
      </c>
      <c r="D634" s="0" t="n">
        <v>306</v>
      </c>
      <c r="E634" s="0" t="n">
        <v>2</v>
      </c>
      <c r="F634" s="27" t="s">
        <v>572</v>
      </c>
      <c r="G634" s="0" t="n">
        <v>38.8</v>
      </c>
      <c r="H634" s="0" t="n">
        <v>37</v>
      </c>
      <c r="I634" s="27" t="s">
        <v>138</v>
      </c>
      <c r="J634" s="0" t="n">
        <v>145</v>
      </c>
      <c r="K634" s="0" t="n">
        <v>68</v>
      </c>
      <c r="L634" s="0" t="n">
        <v>161</v>
      </c>
      <c r="M634" s="0" t="n">
        <v>725.92</v>
      </c>
      <c r="N634" s="0" t="n">
        <v>20.43</v>
      </c>
      <c r="O634" s="0" t="n">
        <v>17.03</v>
      </c>
      <c r="P634" s="0" t="n">
        <v>3.73</v>
      </c>
      <c r="Q634" s="0" t="n">
        <v>3.35</v>
      </c>
      <c r="R634" s="0" t="n">
        <v>4801</v>
      </c>
      <c r="S634" s="0" t="n">
        <v>10388</v>
      </c>
      <c r="T634" s="0" t="n">
        <v>55.5</v>
      </c>
      <c r="U634" s="0" t="n">
        <v>1359</v>
      </c>
      <c r="V634" s="0" t="n">
        <v>3</v>
      </c>
      <c r="W634" s="27" t="n">
        <f aca="false">MATCH(A634,DATAS,0)</f>
        <v>1</v>
      </c>
      <c r="X634" s="27" t="n">
        <f aca="false">IF(AND(E634&gt;0,OR(AND(B634&gt;=1,B634&lt;=6),B634=10)),1,0)</f>
        <v>1</v>
      </c>
      <c r="Y634" s="27" t="n">
        <f aca="false">IF(AND(E634&gt;0,B634=10),1,0)</f>
        <v>0</v>
      </c>
      <c r="Z634" s="0" t="str">
        <f aca="false">IF(AND(C633=C634,W633=W634-1),X633,"")</f>
        <v/>
      </c>
      <c r="AA634" s="0" t="str">
        <f aca="false">IF(AND(C633=C634,W633=W634-1),Y633,"")</f>
        <v/>
      </c>
      <c r="AB634" s="0" t="str">
        <f aca="false">IF(W634=1,"",IF(AND(X634=1,Z634&lt;&gt;1),1,0))</f>
        <v/>
      </c>
      <c r="AC634" s="0" t="str">
        <f aca="false">IF(W634=1,"",IF(AND(Y634=1,AA634&lt;&gt;1),1,0))</f>
        <v/>
      </c>
      <c r="AD634" s="33" t="str">
        <f aca="false">IF(AND(E634&gt;0,W634&lt;1,NOT(AND(C635=C634,W635=W634+1))),INDEX(DATAS,W634+1),"")</f>
        <v/>
      </c>
      <c r="AE634" s="33" t="str">
        <f aca="false">IF(AND(Y634=1,W634&lt;1),IF(AND(C635=C634,W635=W634+1),IF(Y635=1,"",INDEX(DATAS,W634+1)),INDEX(DATAS,W634+1)),"")</f>
        <v/>
      </c>
    </row>
    <row r="635" customFormat="false" ht="15" hidden="false" customHeight="false" outlineLevel="0" collapsed="false">
      <c r="A635" s="33" t="n">
        <v>46309</v>
      </c>
      <c r="B635" s="0" t="n">
        <v>2</v>
      </c>
      <c r="C635" s="0" t="n">
        <v>4490</v>
      </c>
      <c r="D635" s="0" t="n">
        <v>49</v>
      </c>
      <c r="E635" s="0" t="n">
        <v>3</v>
      </c>
      <c r="F635" s="27" t="s">
        <v>572</v>
      </c>
      <c r="G635" s="0" t="n">
        <v>60.8</v>
      </c>
      <c r="H635" s="0" t="n">
        <v>57</v>
      </c>
      <c r="I635" s="27" t="s">
        <v>147</v>
      </c>
      <c r="J635" s="0" t="n">
        <v>49</v>
      </c>
      <c r="M635" s="0" t="n">
        <v>1000.09</v>
      </c>
      <c r="N635" s="0" t="n">
        <v>39.58</v>
      </c>
      <c r="O635" s="0" t="n">
        <v>31.55</v>
      </c>
      <c r="P635" s="0" t="n">
        <v>3.9</v>
      </c>
      <c r="Q635" s="0" t="n">
        <v>3.28</v>
      </c>
      <c r="R635" s="0" t="n">
        <v>4683</v>
      </c>
      <c r="S635" s="0" t="n">
        <v>9414</v>
      </c>
      <c r="U635" s="0" t="n">
        <v>1359</v>
      </c>
      <c r="V635" s="0" t="n">
        <v>0</v>
      </c>
      <c r="W635" s="27" t="n">
        <f aca="false">MATCH(A635,DATAS,0)</f>
        <v>1</v>
      </c>
      <c r="X635" s="27" t="n">
        <f aca="false">IF(AND(E635&gt;0,OR(AND(B635&gt;=1,B635&lt;=6),B635=10)),1,0)</f>
        <v>1</v>
      </c>
      <c r="Y635" s="27" t="n">
        <f aca="false">IF(AND(E635&gt;0,B635=10),1,0)</f>
        <v>0</v>
      </c>
      <c r="Z635" s="0" t="str">
        <f aca="false">IF(AND(C634=C635,W634=W635-1),X634,"")</f>
        <v/>
      </c>
      <c r="AA635" s="0" t="str">
        <f aca="false">IF(AND(C634=C635,W634=W635-1),Y634,"")</f>
        <v/>
      </c>
      <c r="AB635" s="0" t="str">
        <f aca="false">IF(W635=1,"",IF(AND(X635=1,Z635&lt;&gt;1),1,0))</f>
        <v/>
      </c>
      <c r="AC635" s="0" t="str">
        <f aca="false">IF(W635=1,"",IF(AND(Y635=1,AA635&lt;&gt;1),1,0))</f>
        <v/>
      </c>
      <c r="AD635" s="33" t="str">
        <f aca="false">IF(AND(E635&gt;0,W635&lt;1,NOT(AND(C636=C635,W636=W635+1))),INDEX(DATAS,W635+1),"")</f>
        <v/>
      </c>
      <c r="AE635" s="33" t="str">
        <f aca="false">IF(AND(Y635=1,W635&lt;1),IF(AND(C636=C635,W636=W635+1),IF(Y636=1,"",INDEX(DATAS,W635+1)),INDEX(DATAS,W635+1)),"")</f>
        <v/>
      </c>
    </row>
    <row r="636" customFormat="false" ht="15" hidden="false" customHeight="false" outlineLevel="0" collapsed="false">
      <c r="A636" s="33" t="n">
        <v>46309</v>
      </c>
      <c r="B636" s="0" t="n">
        <v>2</v>
      </c>
      <c r="C636" s="0" t="n">
        <v>4491</v>
      </c>
      <c r="D636" s="0" t="n">
        <v>11</v>
      </c>
      <c r="E636" s="0" t="n">
        <v>3</v>
      </c>
      <c r="F636" s="27" t="s">
        <v>572</v>
      </c>
      <c r="G636" s="0" t="n">
        <v>36.2</v>
      </c>
      <c r="H636" s="0" t="n">
        <v>32</v>
      </c>
      <c r="I636" s="27" t="s">
        <v>147</v>
      </c>
      <c r="J636" s="0" t="n">
        <v>11</v>
      </c>
      <c r="M636" s="0" t="n">
        <v>538.34</v>
      </c>
      <c r="N636" s="0" t="n">
        <v>45.5</v>
      </c>
      <c r="O636" s="0" t="n">
        <v>35.31</v>
      </c>
      <c r="R636" s="0" t="n">
        <v>2541</v>
      </c>
      <c r="S636" s="0" t="n">
        <v>5107</v>
      </c>
      <c r="U636" s="0" t="n">
        <v>1359</v>
      </c>
      <c r="V636" s="0" t="n">
        <v>0</v>
      </c>
      <c r="W636" s="27" t="n">
        <f aca="false">MATCH(A636,DATAS,0)</f>
        <v>1</v>
      </c>
      <c r="X636" s="27" t="n">
        <f aca="false">IF(AND(E636&gt;0,OR(AND(B636&gt;=1,B636&lt;=6),B636=10)),1,0)</f>
        <v>1</v>
      </c>
      <c r="Y636" s="27" t="n">
        <f aca="false">IF(AND(E636&gt;0,B636=10),1,0)</f>
        <v>0</v>
      </c>
      <c r="Z636" s="0" t="str">
        <f aca="false">IF(AND(C635=C636,W635=W636-1),X635,"")</f>
        <v/>
      </c>
      <c r="AA636" s="0" t="str">
        <f aca="false">IF(AND(C635=C636,W635=W636-1),Y635,"")</f>
        <v/>
      </c>
      <c r="AB636" s="0" t="str">
        <f aca="false">IF(W636=1,"",IF(AND(X636=1,Z636&lt;&gt;1),1,0))</f>
        <v/>
      </c>
      <c r="AC636" s="0" t="str">
        <f aca="false">IF(W636=1,"",IF(AND(Y636=1,AA636&lt;&gt;1),1,0))</f>
        <v/>
      </c>
      <c r="AD636" s="33" t="str">
        <f aca="false">IF(AND(E636&gt;0,W636&lt;1,NOT(AND(C637=C636,W637=W636+1))),INDEX(DATAS,W636+1),"")</f>
        <v/>
      </c>
      <c r="AE636" s="33" t="str">
        <f aca="false">IF(AND(Y636=1,W636&lt;1),IF(AND(C637=C636,W637=W636+1),IF(Y637=1,"",INDEX(DATAS,W636+1)),INDEX(DATAS,W636+1)),"")</f>
        <v/>
      </c>
    </row>
    <row r="637" customFormat="false" ht="15" hidden="false" customHeight="false" outlineLevel="0" collapsed="false">
      <c r="A637" s="33" t="n">
        <v>46309</v>
      </c>
      <c r="B637" s="0" t="n">
        <v>6</v>
      </c>
      <c r="C637" s="0" t="n">
        <v>4492</v>
      </c>
      <c r="D637" s="0" t="n">
        <v>264</v>
      </c>
      <c r="E637" s="0" t="n">
        <v>2</v>
      </c>
      <c r="F637" s="27" t="s">
        <v>573</v>
      </c>
      <c r="G637" s="0" t="n">
        <v>29</v>
      </c>
      <c r="H637" s="0" t="n">
        <v>25</v>
      </c>
      <c r="I637" s="27" t="s">
        <v>138</v>
      </c>
      <c r="J637" s="0" t="n">
        <v>68</v>
      </c>
      <c r="K637" s="0" t="n">
        <v>68</v>
      </c>
      <c r="L637" s="0" t="n">
        <v>196</v>
      </c>
      <c r="M637" s="0" t="n">
        <v>755.7</v>
      </c>
      <c r="N637" s="0" t="n">
        <v>17.83</v>
      </c>
      <c r="O637" s="0" t="n">
        <v>24.51</v>
      </c>
      <c r="P637" s="0" t="n">
        <v>3.05</v>
      </c>
      <c r="Q637" s="0" t="n">
        <v>3.22</v>
      </c>
      <c r="R637" s="0" t="n">
        <v>4882</v>
      </c>
      <c r="S637" s="0" t="n">
        <v>9746</v>
      </c>
      <c r="T637" s="0" t="n">
        <v>57.9</v>
      </c>
      <c r="U637" s="0" t="n">
        <v>1358</v>
      </c>
      <c r="V637" s="0" t="n">
        <v>1</v>
      </c>
      <c r="W637" s="27" t="n">
        <f aca="false">MATCH(A637,DATAS,0)</f>
        <v>1</v>
      </c>
      <c r="X637" s="27" t="n">
        <f aca="false">IF(AND(E637&gt;0,OR(AND(B637&gt;=1,B637&lt;=6),B637=10)),1,0)</f>
        <v>1</v>
      </c>
      <c r="Y637" s="27" t="n">
        <f aca="false">IF(AND(E637&gt;0,B637=10),1,0)</f>
        <v>0</v>
      </c>
      <c r="Z637" s="0" t="str">
        <f aca="false">IF(AND(C636=C637,W636=W637-1),X636,"")</f>
        <v/>
      </c>
      <c r="AA637" s="0" t="str">
        <f aca="false">IF(AND(C636=C637,W636=W637-1),Y636,"")</f>
        <v/>
      </c>
      <c r="AB637" s="0" t="str">
        <f aca="false">IF(W637=1,"",IF(AND(X637=1,Z637&lt;&gt;1),1,0))</f>
        <v/>
      </c>
      <c r="AC637" s="0" t="str">
        <f aca="false">IF(W637=1,"",IF(AND(Y637=1,AA637&lt;&gt;1),1,0))</f>
        <v/>
      </c>
      <c r="AD637" s="33" t="str">
        <f aca="false">IF(AND(E637&gt;0,W637&lt;1,NOT(AND(C638=C637,W638=W637+1))),INDEX(DATAS,W637+1),"")</f>
        <v/>
      </c>
      <c r="AE637" s="33" t="str">
        <f aca="false">IF(AND(Y637=1,W637&lt;1),IF(AND(C638=C637,W638=W637+1),IF(Y638=1,"",INDEX(DATAS,W637+1)),INDEX(DATAS,W637+1)),"")</f>
        <v/>
      </c>
    </row>
    <row r="638" customFormat="false" ht="15" hidden="false" customHeight="false" outlineLevel="0" collapsed="false">
      <c r="A638" s="33" t="n">
        <v>46309</v>
      </c>
      <c r="B638" s="0" t="n">
        <v>5</v>
      </c>
      <c r="C638" s="0" t="n">
        <v>4498</v>
      </c>
      <c r="D638" s="0" t="n">
        <v>326</v>
      </c>
      <c r="E638" s="0" t="n">
        <v>2</v>
      </c>
      <c r="F638" s="27" t="s">
        <v>574</v>
      </c>
      <c r="G638" s="0" t="n">
        <v>39.8</v>
      </c>
      <c r="H638" s="0" t="n">
        <v>33</v>
      </c>
      <c r="I638" s="27" t="s">
        <v>138</v>
      </c>
      <c r="J638" s="0" t="n">
        <v>228</v>
      </c>
      <c r="K638" s="0" t="n">
        <v>67</v>
      </c>
      <c r="L638" s="0" t="n">
        <v>98</v>
      </c>
      <c r="M638" s="0" t="n">
        <v>1095.04</v>
      </c>
      <c r="N638" s="0" t="n">
        <v>28.6</v>
      </c>
      <c r="O638" s="0" t="n">
        <v>29.86</v>
      </c>
      <c r="P638" s="0" t="n">
        <v>4.75</v>
      </c>
      <c r="Q638" s="0" t="n">
        <v>3.82</v>
      </c>
      <c r="R638" s="0" t="n">
        <v>5801</v>
      </c>
      <c r="S638" s="0" t="n">
        <v>11764</v>
      </c>
      <c r="T638" s="0" t="n">
        <v>61.5</v>
      </c>
      <c r="U638" s="0" t="n">
        <v>1352</v>
      </c>
      <c r="V638" s="0" t="n">
        <v>5</v>
      </c>
      <c r="W638" s="27" t="n">
        <f aca="false">MATCH(A638,DATAS,0)</f>
        <v>1</v>
      </c>
      <c r="X638" s="27" t="n">
        <f aca="false">IF(AND(E638&gt;0,OR(AND(B638&gt;=1,B638&lt;=6),B638=10)),1,0)</f>
        <v>1</v>
      </c>
      <c r="Y638" s="27" t="n">
        <f aca="false">IF(AND(E638&gt;0,B638=10),1,0)</f>
        <v>0</v>
      </c>
      <c r="Z638" s="0" t="str">
        <f aca="false">IF(AND(C637=C638,W637=W638-1),X637,"")</f>
        <v/>
      </c>
      <c r="AA638" s="0" t="str">
        <f aca="false">IF(AND(C637=C638,W637=W638-1),Y637,"")</f>
        <v/>
      </c>
      <c r="AB638" s="0" t="str">
        <f aca="false">IF(W638=1,"",IF(AND(X638=1,Z638&lt;&gt;1),1,0))</f>
        <v/>
      </c>
      <c r="AC638" s="0" t="str">
        <f aca="false">IF(W638=1,"",IF(AND(Y638=1,AA638&lt;&gt;1),1,0))</f>
        <v/>
      </c>
      <c r="AD638" s="33" t="str">
        <f aca="false">IF(AND(E638&gt;0,W638&lt;1,NOT(AND(C639=C638,W639=W638+1))),INDEX(DATAS,W638+1),"")</f>
        <v/>
      </c>
      <c r="AE638" s="33" t="str">
        <f aca="false">IF(AND(Y638=1,W638&lt;1),IF(AND(C639=C638,W639=W638+1),IF(Y639=1,"",INDEX(DATAS,W638+1)),INDEX(DATAS,W638+1)),"")</f>
        <v/>
      </c>
    </row>
    <row r="639" customFormat="false" ht="15" hidden="false" customHeight="false" outlineLevel="0" collapsed="false">
      <c r="A639" s="33" t="n">
        <v>46309</v>
      </c>
      <c r="B639" s="0" t="n">
        <v>5</v>
      </c>
      <c r="C639" s="0" t="n">
        <v>4499</v>
      </c>
      <c r="D639" s="0" t="n">
        <v>267</v>
      </c>
      <c r="E639" s="0" t="n">
        <v>2</v>
      </c>
      <c r="F639" s="27" t="s">
        <v>574</v>
      </c>
      <c r="G639" s="0" t="n">
        <v>38.8</v>
      </c>
      <c r="H639" s="0" t="n">
        <v>42</v>
      </c>
      <c r="I639" s="27" t="s">
        <v>138</v>
      </c>
      <c r="J639" s="0" t="n">
        <v>157</v>
      </c>
      <c r="K639" s="0" t="n">
        <v>64</v>
      </c>
      <c r="L639" s="0" t="n">
        <v>110</v>
      </c>
      <c r="M639" s="0" t="n">
        <v>750.44</v>
      </c>
      <c r="N639" s="0" t="n">
        <v>46.8</v>
      </c>
      <c r="O639" s="0" t="n">
        <v>32.17</v>
      </c>
      <c r="P639" s="0" t="n">
        <v>3.88</v>
      </c>
      <c r="Q639" s="0" t="n">
        <v>3.89</v>
      </c>
      <c r="R639" s="0" t="n">
        <v>5430</v>
      </c>
      <c r="S639" s="0" t="n">
        <v>10386</v>
      </c>
      <c r="T639" s="0" t="n">
        <v>58.45</v>
      </c>
      <c r="U639" s="0" t="n">
        <v>1352</v>
      </c>
      <c r="V639" s="0" t="n">
        <v>4</v>
      </c>
      <c r="W639" s="27" t="n">
        <f aca="false">MATCH(A639,DATAS,0)</f>
        <v>1</v>
      </c>
      <c r="X639" s="27" t="n">
        <f aca="false">IF(AND(E639&gt;0,OR(AND(B639&gt;=1,B639&lt;=6),B639=10)),1,0)</f>
        <v>1</v>
      </c>
      <c r="Y639" s="27" t="n">
        <f aca="false">IF(AND(E639&gt;0,B639=10),1,0)</f>
        <v>0</v>
      </c>
      <c r="Z639" s="0" t="str">
        <f aca="false">IF(AND(C638=C639,W638=W639-1),X638,"")</f>
        <v/>
      </c>
      <c r="AA639" s="0" t="str">
        <f aca="false">IF(AND(C638=C639,W638=W639-1),Y638,"")</f>
        <v/>
      </c>
      <c r="AB639" s="0" t="str">
        <f aca="false">IF(W639=1,"",IF(AND(X639=1,Z639&lt;&gt;1),1,0))</f>
        <v/>
      </c>
      <c r="AC639" s="0" t="str">
        <f aca="false">IF(W639=1,"",IF(AND(Y639=1,AA639&lt;&gt;1),1,0))</f>
        <v/>
      </c>
      <c r="AD639" s="33" t="str">
        <f aca="false">IF(AND(E639&gt;0,W639&lt;1,NOT(AND(C640=C639,W640=W639+1))),INDEX(DATAS,W639+1),"")</f>
        <v/>
      </c>
      <c r="AE639" s="33" t="str">
        <f aca="false">IF(AND(Y639=1,W639&lt;1),IF(AND(C640=C639,W640=W639+1),IF(Y640=1,"",INDEX(DATAS,W639+1)),INDEX(DATAS,W639+1)),"")</f>
        <v/>
      </c>
    </row>
    <row r="640" customFormat="false" ht="15" hidden="false" customHeight="false" outlineLevel="0" collapsed="false">
      <c r="A640" s="33" t="n">
        <v>46309</v>
      </c>
      <c r="B640" s="0" t="n">
        <v>5</v>
      </c>
      <c r="C640" s="0" t="n">
        <v>4500</v>
      </c>
      <c r="D640" s="0" t="n">
        <v>278</v>
      </c>
      <c r="E640" s="0" t="n">
        <v>2</v>
      </c>
      <c r="F640" s="27" t="s">
        <v>574</v>
      </c>
      <c r="G640" s="0" t="n">
        <v>44.2</v>
      </c>
      <c r="H640" s="0" t="n">
        <v>40</v>
      </c>
      <c r="I640" s="27" t="s">
        <v>138</v>
      </c>
      <c r="J640" s="0" t="n">
        <v>166</v>
      </c>
      <c r="K640" s="0" t="n">
        <v>68</v>
      </c>
      <c r="L640" s="0" t="n">
        <v>112</v>
      </c>
      <c r="M640" s="0" t="n">
        <v>1255.19</v>
      </c>
      <c r="N640" s="0" t="n">
        <v>31.34</v>
      </c>
      <c r="O640" s="0" t="n">
        <v>33.48</v>
      </c>
      <c r="P640" s="0" t="n">
        <v>2.49</v>
      </c>
      <c r="Q640" s="0" t="n">
        <v>3.66</v>
      </c>
      <c r="R640" s="0" t="n">
        <v>5447</v>
      </c>
      <c r="S640" s="0" t="n">
        <v>11517</v>
      </c>
      <c r="T640" s="0" t="n">
        <v>54.6</v>
      </c>
      <c r="U640" s="0" t="n">
        <v>1352</v>
      </c>
      <c r="V640" s="0" t="n">
        <v>4</v>
      </c>
      <c r="W640" s="27" t="n">
        <f aca="false">MATCH(A640,DATAS,0)</f>
        <v>1</v>
      </c>
      <c r="X640" s="27" t="n">
        <f aca="false">IF(AND(E640&gt;0,OR(AND(B640&gt;=1,B640&lt;=6),B640=10)),1,0)</f>
        <v>1</v>
      </c>
      <c r="Y640" s="27" t="n">
        <f aca="false">IF(AND(E640&gt;0,B640=10),1,0)</f>
        <v>0</v>
      </c>
      <c r="Z640" s="0" t="str">
        <f aca="false">IF(AND(C639=C640,W639=W640-1),X639,"")</f>
        <v/>
      </c>
      <c r="AA640" s="0" t="str">
        <f aca="false">IF(AND(C639=C640,W639=W640-1),Y639,"")</f>
        <v/>
      </c>
      <c r="AB640" s="0" t="str">
        <f aca="false">IF(W640=1,"",IF(AND(X640=1,Z640&lt;&gt;1),1,0))</f>
        <v/>
      </c>
      <c r="AC640" s="0" t="str">
        <f aca="false">IF(W640=1,"",IF(AND(Y640=1,AA640&lt;&gt;1),1,0))</f>
        <v/>
      </c>
      <c r="AD640" s="33" t="str">
        <f aca="false">IF(AND(E640&gt;0,W640&lt;1,NOT(AND(C641=C640,W641=W640+1))),INDEX(DATAS,W640+1),"")</f>
        <v/>
      </c>
      <c r="AE640" s="33" t="str">
        <f aca="false">IF(AND(Y640=1,W640&lt;1),IF(AND(C641=C640,W641=W640+1),IF(Y641=1,"",INDEX(DATAS,W640+1)),INDEX(DATAS,W640+1)),"")</f>
        <v/>
      </c>
    </row>
    <row r="641" customFormat="false" ht="15" hidden="false" customHeight="false" outlineLevel="0" collapsed="false">
      <c r="A641" s="33" t="n">
        <v>46309</v>
      </c>
      <c r="B641" s="0" t="n">
        <v>5</v>
      </c>
      <c r="C641" s="0" t="n">
        <v>4502</v>
      </c>
      <c r="D641" s="0" t="n">
        <v>187</v>
      </c>
      <c r="E641" s="0" t="n">
        <v>2</v>
      </c>
      <c r="F641" s="27" t="s">
        <v>575</v>
      </c>
      <c r="G641" s="0" t="n">
        <v>34.4</v>
      </c>
      <c r="H641" s="0" t="n">
        <v>33</v>
      </c>
      <c r="I641" s="27" t="s">
        <v>168</v>
      </c>
      <c r="J641" s="0" t="n">
        <v>187</v>
      </c>
      <c r="K641" s="0" t="n">
        <v>68</v>
      </c>
      <c r="M641" s="0" t="n">
        <v>96.17</v>
      </c>
      <c r="N641" s="0" t="n">
        <v>58.51</v>
      </c>
      <c r="O641" s="0" t="n">
        <v>21.56</v>
      </c>
      <c r="P641" s="0" t="n">
        <v>4.16</v>
      </c>
      <c r="Q641" s="0" t="n">
        <v>3.87</v>
      </c>
      <c r="R641" s="0" t="n">
        <v>4521</v>
      </c>
      <c r="S641" s="0" t="n">
        <v>7725</v>
      </c>
      <c r="T641" s="0" t="n">
        <v>45.9</v>
      </c>
      <c r="U641" s="0" t="n">
        <v>1350</v>
      </c>
      <c r="V641" s="0" t="n">
        <v>4</v>
      </c>
      <c r="W641" s="27" t="n">
        <f aca="false">MATCH(A641,DATAS,0)</f>
        <v>1</v>
      </c>
      <c r="X641" s="27" t="n">
        <f aca="false">IF(AND(E641&gt;0,OR(AND(B641&gt;=1,B641&lt;=6),B641=10)),1,0)</f>
        <v>1</v>
      </c>
      <c r="Y641" s="27" t="n">
        <f aca="false">IF(AND(E641&gt;0,B641=10),1,0)</f>
        <v>0</v>
      </c>
      <c r="Z641" s="0" t="str">
        <f aca="false">IF(AND(C640=C641,W640=W641-1),X640,"")</f>
        <v/>
      </c>
      <c r="AA641" s="0" t="str">
        <f aca="false">IF(AND(C640=C641,W640=W641-1),Y640,"")</f>
        <v/>
      </c>
      <c r="AB641" s="0" t="str">
        <f aca="false">IF(W641=1,"",IF(AND(X641=1,Z641&lt;&gt;1),1,0))</f>
        <v/>
      </c>
      <c r="AC641" s="0" t="str">
        <f aca="false">IF(W641=1,"",IF(AND(Y641=1,AA641&lt;&gt;1),1,0))</f>
        <v/>
      </c>
      <c r="AD641" s="33" t="str">
        <f aca="false">IF(AND(E641&gt;0,W641&lt;1,NOT(AND(C642=C641,W642=W641+1))),INDEX(DATAS,W641+1),"")</f>
        <v/>
      </c>
      <c r="AE641" s="33" t="str">
        <f aca="false">IF(AND(Y641=1,W641&lt;1),IF(AND(C642=C641,W642=W641+1),IF(Y642=1,"",INDEX(DATAS,W641+1)),INDEX(DATAS,W641+1)),"")</f>
        <v/>
      </c>
    </row>
    <row r="642" customFormat="false" ht="15" hidden="false" customHeight="false" outlineLevel="0" collapsed="false">
      <c r="A642" s="33" t="n">
        <v>46309</v>
      </c>
      <c r="B642" s="0" t="n">
        <v>7</v>
      </c>
      <c r="C642" s="0" t="n">
        <v>4507</v>
      </c>
      <c r="D642" s="0" t="n">
        <v>288</v>
      </c>
      <c r="E642" s="0" t="n">
        <v>2</v>
      </c>
      <c r="F642" s="27" t="s">
        <v>576</v>
      </c>
      <c r="I642" s="27" t="s">
        <v>143</v>
      </c>
      <c r="J642" s="0" t="n">
        <v>65</v>
      </c>
      <c r="K642" s="0" t="n">
        <v>65</v>
      </c>
      <c r="L642" s="0" t="n">
        <v>238</v>
      </c>
      <c r="M642" s="0" t="n">
        <v>1388.78</v>
      </c>
      <c r="N642" s="0" t="n">
        <v>49.01</v>
      </c>
      <c r="O642" s="0" t="n">
        <v>41.81</v>
      </c>
      <c r="P642" s="0" t="n">
        <v>4.5</v>
      </c>
      <c r="Q642" s="0" t="n">
        <v>3.96</v>
      </c>
      <c r="R642" s="0" t="n">
        <v>4007</v>
      </c>
      <c r="S642" s="0" t="n">
        <v>9345</v>
      </c>
      <c r="T642" s="0" t="n">
        <v>48.95</v>
      </c>
      <c r="U642" s="0" t="n">
        <v>1349</v>
      </c>
      <c r="V642" s="0" t="n">
        <v>1</v>
      </c>
      <c r="W642" s="27" t="n">
        <f aca="false">MATCH(A642,DATAS,0)</f>
        <v>1</v>
      </c>
      <c r="X642" s="27" t="n">
        <f aca="false">IF(AND(E642&gt;0,OR(AND(B642&gt;=1,B642&lt;=6),B642=10)),1,0)</f>
        <v>0</v>
      </c>
      <c r="Y642" s="27" t="n">
        <f aca="false">IF(AND(E642&gt;0,B642=10),1,0)</f>
        <v>0</v>
      </c>
      <c r="Z642" s="0" t="str">
        <f aca="false">IF(AND(C641=C642,W641=W642-1),X641,"")</f>
        <v/>
      </c>
      <c r="AA642" s="0" t="str">
        <f aca="false">IF(AND(C641=C642,W641=W642-1),Y641,"")</f>
        <v/>
      </c>
      <c r="AB642" s="0" t="str">
        <f aca="false">IF(W642=1,"",IF(AND(X642=1,Z642&lt;&gt;1),1,0))</f>
        <v/>
      </c>
      <c r="AC642" s="0" t="str">
        <f aca="false">IF(W642=1,"",IF(AND(Y642=1,AA642&lt;&gt;1),1,0))</f>
        <v/>
      </c>
      <c r="AD642" s="33" t="str">
        <f aca="false">IF(AND(E642&gt;0,W642&lt;1,NOT(AND(C643=C642,W643=W642+1))),INDEX(DATAS,W642+1),"")</f>
        <v/>
      </c>
      <c r="AE642" s="33" t="str">
        <f aca="false">IF(AND(Y642=1,W642&lt;1),IF(AND(C643=C642,W643=W642+1),IF(Y643=1,"",INDEX(DATAS,W642+1)),INDEX(DATAS,W642+1)),"")</f>
        <v/>
      </c>
    </row>
    <row r="643" customFormat="false" ht="15" hidden="false" customHeight="false" outlineLevel="0" collapsed="false">
      <c r="A643" s="33" t="n">
        <v>46309</v>
      </c>
      <c r="B643" s="0" t="n">
        <v>6</v>
      </c>
      <c r="C643" s="0" t="n">
        <v>4508</v>
      </c>
      <c r="D643" s="0" t="n">
        <v>240</v>
      </c>
      <c r="E643" s="0" t="n">
        <v>2</v>
      </c>
      <c r="F643" s="27" t="s">
        <v>577</v>
      </c>
      <c r="G643" s="0" t="n">
        <v>34.3</v>
      </c>
      <c r="H643" s="0" t="n">
        <v>28</v>
      </c>
      <c r="I643" s="27" t="s">
        <v>138</v>
      </c>
      <c r="J643" s="0" t="n">
        <v>65</v>
      </c>
      <c r="K643" s="0" t="n">
        <v>65</v>
      </c>
      <c r="L643" s="0" t="n">
        <v>175</v>
      </c>
      <c r="M643" s="0" t="n">
        <v>678.1</v>
      </c>
      <c r="N643" s="0" t="n">
        <v>8.8</v>
      </c>
      <c r="O643" s="0" t="n">
        <v>26.47</v>
      </c>
      <c r="P643" s="0" t="n">
        <v>3.05</v>
      </c>
      <c r="Q643" s="0" t="n">
        <v>3.61</v>
      </c>
      <c r="R643" s="0" t="n">
        <v>4775</v>
      </c>
      <c r="S643" s="0" t="n">
        <v>9512</v>
      </c>
      <c r="T643" s="0" t="n">
        <v>56.3</v>
      </c>
      <c r="U643" s="0" t="n">
        <v>1346</v>
      </c>
      <c r="V643" s="0" t="n">
        <v>1</v>
      </c>
      <c r="W643" s="27" t="n">
        <f aca="false">MATCH(A643,DATAS,0)</f>
        <v>1</v>
      </c>
      <c r="X643" s="27" t="n">
        <f aca="false">IF(AND(E643&gt;0,OR(AND(B643&gt;=1,B643&lt;=6),B643=10)),1,0)</f>
        <v>1</v>
      </c>
      <c r="Y643" s="27" t="n">
        <f aca="false">IF(AND(E643&gt;0,B643=10),1,0)</f>
        <v>0</v>
      </c>
      <c r="Z643" s="0" t="str">
        <f aca="false">IF(AND(C642=C643,W642=W643-1),X642,"")</f>
        <v/>
      </c>
      <c r="AA643" s="0" t="str">
        <f aca="false">IF(AND(C642=C643,W642=W643-1),Y642,"")</f>
        <v/>
      </c>
      <c r="AB643" s="0" t="str">
        <f aca="false">IF(W643=1,"",IF(AND(X643=1,Z643&lt;&gt;1),1,0))</f>
        <v/>
      </c>
      <c r="AC643" s="0" t="str">
        <f aca="false">IF(W643=1,"",IF(AND(Y643=1,AA643&lt;&gt;1),1,0))</f>
        <v/>
      </c>
      <c r="AD643" s="33" t="str">
        <f aca="false">IF(AND(E643&gt;0,W643&lt;1,NOT(AND(C644=C643,W644=W643+1))),INDEX(DATAS,W643+1),"")</f>
        <v/>
      </c>
      <c r="AE643" s="33" t="str">
        <f aca="false">IF(AND(Y643=1,W643&lt;1),IF(AND(C644=C643,W644=W643+1),IF(Y644=1,"",INDEX(DATAS,W643+1)),INDEX(DATAS,W643+1)),"")</f>
        <v/>
      </c>
    </row>
    <row r="644" customFormat="false" ht="15" hidden="false" customHeight="false" outlineLevel="0" collapsed="false">
      <c r="A644" s="33" t="n">
        <v>46309</v>
      </c>
      <c r="B644" s="0" t="n">
        <v>7</v>
      </c>
      <c r="C644" s="0" t="n">
        <v>4509</v>
      </c>
      <c r="D644" s="0" t="n">
        <v>323</v>
      </c>
      <c r="E644" s="0" t="n">
        <v>2</v>
      </c>
      <c r="F644" s="27" t="s">
        <v>577</v>
      </c>
      <c r="I644" s="27" t="s">
        <v>143</v>
      </c>
      <c r="J644" s="0" t="n">
        <v>100</v>
      </c>
      <c r="K644" s="0" t="n">
        <v>66</v>
      </c>
      <c r="L644" s="0" t="n">
        <v>252</v>
      </c>
      <c r="P644" s="0" t="n">
        <v>5.26</v>
      </c>
      <c r="Q644" s="0" t="n">
        <v>3.58</v>
      </c>
      <c r="R644" s="0" t="n">
        <v>3452</v>
      </c>
      <c r="S644" s="0" t="n">
        <v>7255</v>
      </c>
      <c r="T644" s="0" t="n">
        <v>43.4</v>
      </c>
      <c r="U644" s="0" t="n">
        <v>1346</v>
      </c>
      <c r="V644" s="0" t="n">
        <v>2</v>
      </c>
      <c r="W644" s="27" t="n">
        <f aca="false">MATCH(A644,DATAS,0)</f>
        <v>1</v>
      </c>
      <c r="X644" s="27" t="n">
        <f aca="false">IF(AND(E644&gt;0,OR(AND(B644&gt;=1,B644&lt;=6),B644=10)),1,0)</f>
        <v>0</v>
      </c>
      <c r="Y644" s="27" t="n">
        <f aca="false">IF(AND(E644&gt;0,B644=10),1,0)</f>
        <v>0</v>
      </c>
      <c r="Z644" s="0" t="str">
        <f aca="false">IF(AND(C643=C644,W643=W644-1),X643,"")</f>
        <v/>
      </c>
      <c r="AA644" s="0" t="str">
        <f aca="false">IF(AND(C643=C644,W643=W644-1),Y643,"")</f>
        <v/>
      </c>
      <c r="AB644" s="0" t="str">
        <f aca="false">IF(W644=1,"",IF(AND(X644=1,Z644&lt;&gt;1),1,0))</f>
        <v/>
      </c>
      <c r="AC644" s="0" t="str">
        <f aca="false">IF(W644=1,"",IF(AND(Y644=1,AA644&lt;&gt;1),1,0))</f>
        <v/>
      </c>
      <c r="AD644" s="33" t="str">
        <f aca="false">IF(AND(E644&gt;0,W644&lt;1,NOT(AND(C645=C644,W645=W644+1))),INDEX(DATAS,W644+1),"")</f>
        <v/>
      </c>
      <c r="AE644" s="33" t="str">
        <f aca="false">IF(AND(Y644=1,W644&lt;1),IF(AND(C645=C644,W645=W644+1),IF(Y645=1,"",INDEX(DATAS,W644+1)),INDEX(DATAS,W644+1)),"")</f>
        <v/>
      </c>
    </row>
    <row r="645" customFormat="false" ht="15" hidden="false" customHeight="false" outlineLevel="0" collapsed="false">
      <c r="A645" s="33" t="n">
        <v>46309</v>
      </c>
      <c r="B645" s="0" t="n">
        <v>3</v>
      </c>
      <c r="C645" s="0" t="n">
        <v>4510</v>
      </c>
      <c r="D645" s="0" t="n">
        <v>306</v>
      </c>
      <c r="E645" s="0" t="n">
        <v>2</v>
      </c>
      <c r="F645" s="27" t="s">
        <v>577</v>
      </c>
      <c r="G645" s="0" t="n">
        <v>59.9</v>
      </c>
      <c r="H645" s="0" t="n">
        <v>55</v>
      </c>
      <c r="I645" s="27" t="s">
        <v>138</v>
      </c>
      <c r="J645" s="0" t="n">
        <v>187</v>
      </c>
      <c r="K645" s="0" t="n">
        <v>61</v>
      </c>
      <c r="L645" s="0" t="n">
        <v>119</v>
      </c>
      <c r="M645" s="0" t="n">
        <v>462.14</v>
      </c>
      <c r="N645" s="0" t="n">
        <v>25.57</v>
      </c>
      <c r="O645" s="0" t="n">
        <v>20.08</v>
      </c>
      <c r="P645" s="0" t="n">
        <v>4.26</v>
      </c>
      <c r="Q645" s="0" t="n">
        <v>3.26</v>
      </c>
      <c r="R645" s="0" t="n">
        <v>5698</v>
      </c>
      <c r="S645" s="0" t="n">
        <v>12135</v>
      </c>
      <c r="T645" s="0" t="n">
        <v>62.7</v>
      </c>
      <c r="U645" s="0" t="n">
        <v>1346</v>
      </c>
      <c r="V645" s="0" t="n">
        <v>3</v>
      </c>
      <c r="W645" s="27" t="n">
        <f aca="false">MATCH(A645,DATAS,0)</f>
        <v>1</v>
      </c>
      <c r="X645" s="27" t="n">
        <f aca="false">IF(AND(E645&gt;0,OR(AND(B645&gt;=1,B645&lt;=6),B645=10)),1,0)</f>
        <v>1</v>
      </c>
      <c r="Y645" s="27" t="n">
        <f aca="false">IF(AND(E645&gt;0,B645=10),1,0)</f>
        <v>0</v>
      </c>
      <c r="Z645" s="0" t="str">
        <f aca="false">IF(AND(C644=C645,W644=W645-1),X644,"")</f>
        <v/>
      </c>
      <c r="AA645" s="0" t="str">
        <f aca="false">IF(AND(C644=C645,W644=W645-1),Y644,"")</f>
        <v/>
      </c>
      <c r="AB645" s="0" t="str">
        <f aca="false">IF(W645=1,"",IF(AND(X645=1,Z645&lt;&gt;1),1,0))</f>
        <v/>
      </c>
      <c r="AC645" s="0" t="str">
        <f aca="false">IF(W645=1,"",IF(AND(Y645=1,AA645&lt;&gt;1),1,0))</f>
        <v/>
      </c>
      <c r="AD645" s="33" t="str">
        <f aca="false">IF(AND(E645&gt;0,W645&lt;1,NOT(AND(C646=C645,W646=W645+1))),INDEX(DATAS,W645+1),"")</f>
        <v/>
      </c>
      <c r="AE645" s="33" t="str">
        <f aca="false">IF(AND(Y645=1,W645&lt;1),IF(AND(C646=C645,W646=W645+1),IF(Y646=1,"",INDEX(DATAS,W645+1)),INDEX(DATAS,W645+1)),"")</f>
        <v/>
      </c>
    </row>
    <row r="646" customFormat="false" ht="15" hidden="false" customHeight="false" outlineLevel="0" collapsed="false">
      <c r="A646" s="33" t="n">
        <v>46309</v>
      </c>
      <c r="B646" s="0" t="n">
        <v>5</v>
      </c>
      <c r="C646" s="0" t="n">
        <v>4512</v>
      </c>
      <c r="D646" s="0" t="n">
        <v>341</v>
      </c>
      <c r="E646" s="0" t="n">
        <v>2</v>
      </c>
      <c r="F646" s="27" t="s">
        <v>578</v>
      </c>
      <c r="G646" s="0" t="n">
        <v>33.2</v>
      </c>
      <c r="H646" s="0" t="n">
        <v>34</v>
      </c>
      <c r="I646" s="27" t="s">
        <v>138</v>
      </c>
      <c r="J646" s="0" t="n">
        <v>124</v>
      </c>
      <c r="K646" s="0" t="n">
        <v>68</v>
      </c>
      <c r="L646" s="0" t="n">
        <v>217</v>
      </c>
      <c r="M646" s="0" t="n">
        <v>626.55</v>
      </c>
      <c r="N646" s="0" t="n">
        <v>69.16</v>
      </c>
      <c r="O646" s="0" t="n">
        <v>40.77</v>
      </c>
      <c r="P646" s="0" t="n">
        <v>0</v>
      </c>
      <c r="Q646" s="0" t="n">
        <v>0</v>
      </c>
      <c r="R646" s="0" t="n">
        <v>6115</v>
      </c>
      <c r="S646" s="0" t="n">
        <v>11546</v>
      </c>
      <c r="T646" s="0" t="n">
        <v>68.5</v>
      </c>
      <c r="U646" s="0" t="n">
        <v>1345</v>
      </c>
      <c r="V646" s="0" t="n">
        <v>2</v>
      </c>
      <c r="W646" s="27" t="n">
        <f aca="false">MATCH(A646,DATAS,0)</f>
        <v>1</v>
      </c>
      <c r="X646" s="27" t="n">
        <f aca="false">IF(AND(E646&gt;0,OR(AND(B646&gt;=1,B646&lt;=6),B646=10)),1,0)</f>
        <v>1</v>
      </c>
      <c r="Y646" s="27" t="n">
        <f aca="false">IF(AND(E646&gt;0,B646=10),1,0)</f>
        <v>0</v>
      </c>
      <c r="Z646" s="0" t="str">
        <f aca="false">IF(AND(C645=C646,W645=W646-1),X645,"")</f>
        <v/>
      </c>
      <c r="AA646" s="0" t="str">
        <f aca="false">IF(AND(C645=C646,W645=W646-1),Y645,"")</f>
        <v/>
      </c>
      <c r="AB646" s="0" t="str">
        <f aca="false">IF(W646=1,"",IF(AND(X646=1,Z646&lt;&gt;1),1,0))</f>
        <v/>
      </c>
      <c r="AC646" s="0" t="str">
        <f aca="false">IF(W646=1,"",IF(AND(Y646=1,AA646&lt;&gt;1),1,0))</f>
        <v/>
      </c>
      <c r="AD646" s="33" t="str">
        <f aca="false">IF(AND(E646&gt;0,W646&lt;1,NOT(AND(C647=C646,W647=W646+1))),INDEX(DATAS,W646+1),"")</f>
        <v/>
      </c>
      <c r="AE646" s="33" t="str">
        <f aca="false">IF(AND(Y646=1,W646&lt;1),IF(AND(C647=C646,W647=W646+1),IF(Y647=1,"",INDEX(DATAS,W646+1)),INDEX(DATAS,W646+1)),"")</f>
        <v/>
      </c>
    </row>
    <row r="647" customFormat="false" ht="15" hidden="false" customHeight="false" outlineLevel="0" collapsed="false">
      <c r="A647" s="33" t="n">
        <v>46309</v>
      </c>
      <c r="B647" s="0" t="n">
        <v>2</v>
      </c>
      <c r="C647" s="0" t="n">
        <v>4513</v>
      </c>
      <c r="D647" s="0" t="n">
        <v>310</v>
      </c>
      <c r="E647" s="0" t="n">
        <v>2</v>
      </c>
      <c r="F647" s="27" t="s">
        <v>578</v>
      </c>
      <c r="G647" s="0" t="n">
        <v>49.9</v>
      </c>
      <c r="H647" s="0" t="n">
        <v>52</v>
      </c>
      <c r="I647" s="27" t="s">
        <v>138</v>
      </c>
      <c r="J647" s="0" t="n">
        <v>135</v>
      </c>
      <c r="K647" s="0" t="n">
        <v>72</v>
      </c>
      <c r="L647" s="0" t="n">
        <v>175</v>
      </c>
      <c r="M647" s="0" t="n">
        <v>766.57</v>
      </c>
      <c r="N647" s="0" t="n">
        <v>72.41</v>
      </c>
      <c r="O647" s="0" t="n">
        <v>35.56</v>
      </c>
      <c r="P647" s="0" t="n">
        <v>3.08</v>
      </c>
      <c r="Q647" s="0" t="n">
        <v>3.7</v>
      </c>
      <c r="R647" s="0" t="n">
        <v>6637</v>
      </c>
      <c r="S647" s="0" t="n">
        <v>13268</v>
      </c>
      <c r="T647" s="0" t="n">
        <v>76.9</v>
      </c>
      <c r="U647" s="0" t="n">
        <v>1345</v>
      </c>
      <c r="V647" s="0" t="n">
        <v>2</v>
      </c>
      <c r="W647" s="27" t="n">
        <f aca="false">MATCH(A647,DATAS,0)</f>
        <v>1</v>
      </c>
      <c r="X647" s="27" t="n">
        <f aca="false">IF(AND(E647&gt;0,OR(AND(B647&gt;=1,B647&lt;=6),B647=10)),1,0)</f>
        <v>1</v>
      </c>
      <c r="Y647" s="27" t="n">
        <f aca="false">IF(AND(E647&gt;0,B647=10),1,0)</f>
        <v>0</v>
      </c>
      <c r="Z647" s="0" t="str">
        <f aca="false">IF(AND(C646=C647,W646=W647-1),X646,"")</f>
        <v/>
      </c>
      <c r="AA647" s="0" t="str">
        <f aca="false">IF(AND(C646=C647,W646=W647-1),Y646,"")</f>
        <v/>
      </c>
      <c r="AB647" s="0" t="str">
        <f aca="false">IF(W647=1,"",IF(AND(X647=1,Z647&lt;&gt;1),1,0))</f>
        <v/>
      </c>
      <c r="AC647" s="0" t="str">
        <f aca="false">IF(W647=1,"",IF(AND(Y647=1,AA647&lt;&gt;1),1,0))</f>
        <v/>
      </c>
      <c r="AD647" s="33" t="str">
        <f aca="false">IF(AND(E647&gt;0,W647&lt;1,NOT(AND(C648=C647,W648=W647+1))),INDEX(DATAS,W647+1),"")</f>
        <v/>
      </c>
      <c r="AE647" s="33" t="str">
        <f aca="false">IF(AND(Y647=1,W647&lt;1),IF(AND(C648=C647,W648=W647+1),IF(Y648=1,"",INDEX(DATAS,W647+1)),INDEX(DATAS,W647+1)),"")</f>
        <v/>
      </c>
    </row>
    <row r="648" customFormat="false" ht="15" hidden="false" customHeight="false" outlineLevel="0" collapsed="false">
      <c r="A648" s="33" t="n">
        <v>46309</v>
      </c>
      <c r="B648" s="0" t="n">
        <v>7</v>
      </c>
      <c r="C648" s="0" t="n">
        <v>4514</v>
      </c>
      <c r="D648" s="0" t="n">
        <v>298</v>
      </c>
      <c r="E648" s="0" t="n">
        <v>2</v>
      </c>
      <c r="F648" s="27" t="s">
        <v>579</v>
      </c>
      <c r="I648" s="27" t="s">
        <v>143</v>
      </c>
      <c r="J648" s="0" t="n">
        <v>75</v>
      </c>
      <c r="K648" s="0" t="n">
        <v>75</v>
      </c>
      <c r="L648" s="0" t="n">
        <v>245</v>
      </c>
      <c r="M648" s="0" t="n">
        <v>844.5</v>
      </c>
      <c r="N648" s="0" t="n">
        <v>19.55</v>
      </c>
      <c r="O648" s="0" t="n">
        <v>30.56</v>
      </c>
      <c r="P648" s="0" t="n">
        <v>4.99</v>
      </c>
      <c r="Q648" s="0" t="n">
        <v>3.87</v>
      </c>
      <c r="R648" s="0" t="n">
        <v>6262</v>
      </c>
      <c r="S648" s="0" t="n">
        <v>12557</v>
      </c>
      <c r="T648" s="0" t="n">
        <v>68.5</v>
      </c>
      <c r="U648" s="0" t="n">
        <v>1344</v>
      </c>
      <c r="V648" s="0" t="n">
        <v>1</v>
      </c>
      <c r="W648" s="27" t="n">
        <f aca="false">MATCH(A648,DATAS,0)</f>
        <v>1</v>
      </c>
      <c r="X648" s="27" t="n">
        <f aca="false">IF(AND(E648&gt;0,OR(AND(B648&gt;=1,B648&lt;=6),B648=10)),1,0)</f>
        <v>0</v>
      </c>
      <c r="Y648" s="27" t="n">
        <f aca="false">IF(AND(E648&gt;0,B648=10),1,0)</f>
        <v>0</v>
      </c>
      <c r="Z648" s="0" t="str">
        <f aca="false">IF(AND(C647=C648,W647=W648-1),X647,"")</f>
        <v/>
      </c>
      <c r="AA648" s="0" t="str">
        <f aca="false">IF(AND(C647=C648,W647=W648-1),Y647,"")</f>
        <v/>
      </c>
      <c r="AB648" s="0" t="str">
        <f aca="false">IF(W648=1,"",IF(AND(X648=1,Z648&lt;&gt;1),1,0))</f>
        <v/>
      </c>
      <c r="AC648" s="0" t="str">
        <f aca="false">IF(W648=1,"",IF(AND(Y648=1,AA648&lt;&gt;1),1,0))</f>
        <v/>
      </c>
      <c r="AD648" s="33" t="str">
        <f aca="false">IF(AND(E648&gt;0,W648&lt;1,NOT(AND(C649=C648,W649=W648+1))),INDEX(DATAS,W648+1),"")</f>
        <v/>
      </c>
      <c r="AE648" s="33" t="str">
        <f aca="false">IF(AND(Y648=1,W648&lt;1),IF(AND(C649=C648,W649=W648+1),IF(Y649=1,"",INDEX(DATAS,W648+1)),INDEX(DATAS,W648+1)),"")</f>
        <v/>
      </c>
    </row>
    <row r="649" customFormat="false" ht="15" hidden="false" customHeight="false" outlineLevel="0" collapsed="false">
      <c r="A649" s="33" t="n">
        <v>46309</v>
      </c>
      <c r="B649" s="0" t="n">
        <v>5</v>
      </c>
      <c r="C649" s="0" t="n">
        <v>4516</v>
      </c>
      <c r="D649" s="0" t="n">
        <v>316</v>
      </c>
      <c r="E649" s="0" t="n">
        <v>2</v>
      </c>
      <c r="F649" s="27" t="s">
        <v>579</v>
      </c>
      <c r="G649" s="0" t="n">
        <v>41</v>
      </c>
      <c r="H649" s="0" t="n">
        <v>39</v>
      </c>
      <c r="I649" s="27" t="s">
        <v>138</v>
      </c>
      <c r="J649" s="0" t="n">
        <v>155</v>
      </c>
      <c r="K649" s="0" t="n">
        <v>64</v>
      </c>
      <c r="L649" s="0" t="n">
        <v>161</v>
      </c>
      <c r="M649" s="0" t="n">
        <v>96.1</v>
      </c>
      <c r="N649" s="0" t="n">
        <v>63.67</v>
      </c>
      <c r="O649" s="0" t="n">
        <v>24.31</v>
      </c>
      <c r="P649" s="0" t="n">
        <v>2.82</v>
      </c>
      <c r="Q649" s="0" t="n">
        <v>3.7</v>
      </c>
      <c r="R649" s="0" t="n">
        <v>5355</v>
      </c>
      <c r="S649" s="0" t="n">
        <v>10627</v>
      </c>
      <c r="T649" s="0" t="n">
        <v>58</v>
      </c>
      <c r="U649" s="0" t="n">
        <v>1344</v>
      </c>
      <c r="V649" s="0" t="n">
        <v>3</v>
      </c>
      <c r="W649" s="27" t="n">
        <f aca="false">MATCH(A649,DATAS,0)</f>
        <v>1</v>
      </c>
      <c r="X649" s="27" t="n">
        <f aca="false">IF(AND(E649&gt;0,OR(AND(B649&gt;=1,B649&lt;=6),B649=10)),1,0)</f>
        <v>1</v>
      </c>
      <c r="Y649" s="27" t="n">
        <f aca="false">IF(AND(E649&gt;0,B649=10),1,0)</f>
        <v>0</v>
      </c>
      <c r="Z649" s="0" t="str">
        <f aca="false">IF(AND(C648=C649,W648=W649-1),X648,"")</f>
        <v/>
      </c>
      <c r="AA649" s="0" t="str">
        <f aca="false">IF(AND(C648=C649,W648=W649-1),Y648,"")</f>
        <v/>
      </c>
      <c r="AB649" s="0" t="str">
        <f aca="false">IF(W649=1,"",IF(AND(X649=1,Z649&lt;&gt;1),1,0))</f>
        <v/>
      </c>
      <c r="AC649" s="0" t="str">
        <f aca="false">IF(W649=1,"",IF(AND(Y649=1,AA649&lt;&gt;1),1,0))</f>
        <v/>
      </c>
      <c r="AD649" s="33" t="str">
        <f aca="false">IF(AND(E649&gt;0,W649&lt;1,NOT(AND(C650=C649,W650=W649+1))),INDEX(DATAS,W649+1),"")</f>
        <v/>
      </c>
      <c r="AE649" s="33" t="str">
        <f aca="false">IF(AND(Y649=1,W649&lt;1),IF(AND(C650=C649,W650=W649+1),IF(Y650=1,"",INDEX(DATAS,W649+1)),INDEX(DATAS,W649+1)),"")</f>
        <v/>
      </c>
    </row>
    <row r="650" customFormat="false" ht="15" hidden="false" customHeight="false" outlineLevel="0" collapsed="false">
      <c r="A650" s="33" t="n">
        <v>46309</v>
      </c>
      <c r="B650" s="0" t="n">
        <v>3</v>
      </c>
      <c r="C650" s="0" t="n">
        <v>4517</v>
      </c>
      <c r="D650" s="0" t="n">
        <v>183</v>
      </c>
      <c r="E650" s="0" t="n">
        <v>2</v>
      </c>
      <c r="F650" s="27" t="s">
        <v>580</v>
      </c>
      <c r="G650" s="0" t="n">
        <v>60.6</v>
      </c>
      <c r="H650" s="0" t="n">
        <v>61</v>
      </c>
      <c r="I650" s="27" t="s">
        <v>138</v>
      </c>
      <c r="J650" s="0" t="n">
        <v>110</v>
      </c>
      <c r="K650" s="0" t="n">
        <v>64</v>
      </c>
      <c r="L650" s="0" t="n">
        <v>73</v>
      </c>
      <c r="M650" s="0" t="n">
        <v>698.35</v>
      </c>
      <c r="N650" s="0" t="n">
        <v>38.23</v>
      </c>
      <c r="O650" s="0" t="n">
        <v>27.16</v>
      </c>
      <c r="P650" s="0" t="n">
        <v>3.55</v>
      </c>
      <c r="Q650" s="0" t="n">
        <v>3.23</v>
      </c>
      <c r="R650" s="0" t="n">
        <v>5095</v>
      </c>
      <c r="S650" s="0" t="n">
        <v>11232</v>
      </c>
      <c r="T650" s="0" t="n">
        <v>53.8</v>
      </c>
      <c r="U650" s="0" t="n">
        <v>1343</v>
      </c>
      <c r="V650" s="0" t="n">
        <v>3</v>
      </c>
      <c r="W650" s="27" t="n">
        <f aca="false">MATCH(A650,DATAS,0)</f>
        <v>1</v>
      </c>
      <c r="X650" s="27" t="n">
        <f aca="false">IF(AND(E650&gt;0,OR(AND(B650&gt;=1,B650&lt;=6),B650=10)),1,0)</f>
        <v>1</v>
      </c>
      <c r="Y650" s="27" t="n">
        <f aca="false">IF(AND(E650&gt;0,B650=10),1,0)</f>
        <v>0</v>
      </c>
      <c r="Z650" s="0" t="str">
        <f aca="false">IF(AND(C649=C650,W649=W650-1),X649,"")</f>
        <v/>
      </c>
      <c r="AA650" s="0" t="str">
        <f aca="false">IF(AND(C649=C650,W649=W650-1),Y649,"")</f>
        <v/>
      </c>
      <c r="AB650" s="0" t="str">
        <f aca="false">IF(W650=1,"",IF(AND(X650=1,Z650&lt;&gt;1),1,0))</f>
        <v/>
      </c>
      <c r="AC650" s="0" t="str">
        <f aca="false">IF(W650=1,"",IF(AND(Y650=1,AA650&lt;&gt;1),1,0))</f>
        <v/>
      </c>
      <c r="AD650" s="33" t="str">
        <f aca="false">IF(AND(E650&gt;0,W650&lt;1,NOT(AND(C651=C650,W651=W650+1))),INDEX(DATAS,W650+1),"")</f>
        <v/>
      </c>
      <c r="AE650" s="33" t="str">
        <f aca="false">IF(AND(Y650=1,W650&lt;1),IF(AND(C651=C650,W651=W650+1),IF(Y651=1,"",INDEX(DATAS,W650+1)),INDEX(DATAS,W650+1)),"")</f>
        <v/>
      </c>
    </row>
    <row r="651" customFormat="false" ht="15" hidden="false" customHeight="false" outlineLevel="0" collapsed="false">
      <c r="A651" s="33" t="n">
        <v>46309</v>
      </c>
      <c r="B651" s="0" t="n">
        <v>7</v>
      </c>
      <c r="C651" s="0" t="n">
        <v>4518</v>
      </c>
      <c r="D651" s="0" t="n">
        <v>286</v>
      </c>
      <c r="E651" s="0" t="n">
        <v>2</v>
      </c>
      <c r="F651" s="27" t="s">
        <v>580</v>
      </c>
      <c r="G651" s="0" t="n">
        <v>17.2</v>
      </c>
      <c r="H651" s="0" t="n">
        <v>41</v>
      </c>
      <c r="I651" s="27" t="s">
        <v>143</v>
      </c>
      <c r="J651" s="0" t="n">
        <v>63</v>
      </c>
      <c r="K651" s="0" t="n">
        <v>63</v>
      </c>
      <c r="L651" s="0" t="n">
        <v>224</v>
      </c>
      <c r="M651" s="0" t="n">
        <v>833.83</v>
      </c>
      <c r="N651" s="0" t="n">
        <v>34.36</v>
      </c>
      <c r="O651" s="0" t="n">
        <v>33.34</v>
      </c>
      <c r="P651" s="0" t="n">
        <v>3.78</v>
      </c>
      <c r="Q651" s="0" t="n">
        <v>3.6</v>
      </c>
      <c r="R651" s="0" t="n">
        <v>6146</v>
      </c>
      <c r="S651" s="0" t="n">
        <v>13149</v>
      </c>
      <c r="T651" s="0" t="n">
        <v>63.35</v>
      </c>
      <c r="U651" s="0" t="n">
        <v>1343</v>
      </c>
      <c r="V651" s="0" t="n">
        <v>1</v>
      </c>
      <c r="W651" s="27" t="n">
        <f aca="false">MATCH(A651,DATAS,0)</f>
        <v>1</v>
      </c>
      <c r="X651" s="27" t="n">
        <f aca="false">IF(AND(E651&gt;0,OR(AND(B651&gt;=1,B651&lt;=6),B651=10)),1,0)</f>
        <v>0</v>
      </c>
      <c r="Y651" s="27" t="n">
        <f aca="false">IF(AND(E651&gt;0,B651=10),1,0)</f>
        <v>0</v>
      </c>
      <c r="Z651" s="0" t="str">
        <f aca="false">IF(AND(C650=C651,W650=W651-1),X650,"")</f>
        <v/>
      </c>
      <c r="AA651" s="0" t="str">
        <f aca="false">IF(AND(C650=C651,W650=W651-1),Y650,"")</f>
        <v/>
      </c>
      <c r="AB651" s="0" t="str">
        <f aca="false">IF(W651=1,"",IF(AND(X651=1,Z651&lt;&gt;1),1,0))</f>
        <v/>
      </c>
      <c r="AC651" s="0" t="str">
        <f aca="false">IF(W651=1,"",IF(AND(Y651=1,AA651&lt;&gt;1),1,0))</f>
        <v/>
      </c>
      <c r="AD651" s="33" t="str">
        <f aca="false">IF(AND(E651&gt;0,W651&lt;1,NOT(AND(C652=C651,W652=W651+1))),INDEX(DATAS,W651+1),"")</f>
        <v/>
      </c>
      <c r="AE651" s="33" t="str">
        <f aca="false">IF(AND(Y651=1,W651&lt;1),IF(AND(C652=C651,W652=W651+1),IF(Y652=1,"",INDEX(DATAS,W651+1)),INDEX(DATAS,W651+1)),"")</f>
        <v/>
      </c>
    </row>
    <row r="652" customFormat="false" ht="15" hidden="false" customHeight="false" outlineLevel="0" collapsed="false">
      <c r="A652" s="33" t="n">
        <v>46309</v>
      </c>
      <c r="B652" s="0" t="n">
        <v>3</v>
      </c>
      <c r="C652" s="0" t="n">
        <v>4519</v>
      </c>
      <c r="D652" s="0" t="n">
        <v>127</v>
      </c>
      <c r="E652" s="0" t="n">
        <v>2</v>
      </c>
      <c r="F652" s="27" t="s">
        <v>580</v>
      </c>
      <c r="G652" s="0" t="n">
        <v>54</v>
      </c>
      <c r="H652" s="0" t="n">
        <v>57</v>
      </c>
      <c r="I652" s="27" t="s">
        <v>138</v>
      </c>
      <c r="J652" s="0" t="n">
        <v>64</v>
      </c>
      <c r="K652" s="0" t="n">
        <v>64</v>
      </c>
      <c r="L652" s="0" t="n">
        <v>63</v>
      </c>
      <c r="M652" s="0" t="n">
        <v>262.8</v>
      </c>
      <c r="N652" s="0" t="n">
        <v>16.25</v>
      </c>
      <c r="O652" s="0" t="n">
        <v>15.94</v>
      </c>
      <c r="P652" s="0" t="n">
        <v>3.49</v>
      </c>
      <c r="Q652" s="0" t="n">
        <v>3.43</v>
      </c>
      <c r="R652" s="0" t="n">
        <v>5980</v>
      </c>
      <c r="S652" s="0" t="n">
        <v>12143</v>
      </c>
      <c r="T652" s="0" t="n">
        <v>62.9</v>
      </c>
      <c r="U652" s="0" t="n">
        <v>1343</v>
      </c>
      <c r="V652" s="0" t="n">
        <v>1</v>
      </c>
      <c r="W652" s="27" t="n">
        <f aca="false">MATCH(A652,DATAS,0)</f>
        <v>1</v>
      </c>
      <c r="X652" s="27" t="n">
        <f aca="false">IF(AND(E652&gt;0,OR(AND(B652&gt;=1,B652&lt;=6),B652=10)),1,0)</f>
        <v>1</v>
      </c>
      <c r="Y652" s="27" t="n">
        <f aca="false">IF(AND(E652&gt;0,B652=10),1,0)</f>
        <v>0</v>
      </c>
      <c r="Z652" s="0" t="str">
        <f aca="false">IF(AND(C651=C652,W651=W652-1),X651,"")</f>
        <v/>
      </c>
      <c r="AA652" s="0" t="str">
        <f aca="false">IF(AND(C651=C652,W651=W652-1),Y651,"")</f>
        <v/>
      </c>
      <c r="AB652" s="0" t="str">
        <f aca="false">IF(W652=1,"",IF(AND(X652=1,Z652&lt;&gt;1),1,0))</f>
        <v/>
      </c>
      <c r="AC652" s="0" t="str">
        <f aca="false">IF(W652=1,"",IF(AND(Y652=1,AA652&lt;&gt;1),1,0))</f>
        <v/>
      </c>
      <c r="AD652" s="33" t="str">
        <f aca="false">IF(AND(E652&gt;0,W652&lt;1,NOT(AND(C653=C652,W653=W652+1))),INDEX(DATAS,W652+1),"")</f>
        <v/>
      </c>
      <c r="AE652" s="33" t="str">
        <f aca="false">IF(AND(Y652=1,W652&lt;1),IF(AND(C653=C652,W653=W652+1),IF(Y653=1,"",INDEX(DATAS,W652+1)),INDEX(DATAS,W652+1)),"")</f>
        <v/>
      </c>
    </row>
    <row r="653" customFormat="false" ht="15" hidden="false" customHeight="false" outlineLevel="0" collapsed="false">
      <c r="A653" s="33" t="n">
        <v>46309</v>
      </c>
      <c r="B653" s="0" t="n">
        <v>7</v>
      </c>
      <c r="C653" s="0" t="n">
        <v>4520</v>
      </c>
      <c r="D653" s="0" t="n">
        <v>288</v>
      </c>
      <c r="E653" s="0" t="n">
        <v>2</v>
      </c>
      <c r="F653" s="27" t="s">
        <v>581</v>
      </c>
      <c r="G653" s="0" t="n">
        <v>13.7</v>
      </c>
      <c r="H653" s="0" t="n">
        <v>32</v>
      </c>
      <c r="I653" s="27" t="s">
        <v>143</v>
      </c>
      <c r="J653" s="0" t="n">
        <v>65</v>
      </c>
      <c r="K653" s="0" t="n">
        <v>65</v>
      </c>
      <c r="L653" s="0" t="n">
        <v>224</v>
      </c>
      <c r="M653" s="0" t="n">
        <v>1016.74</v>
      </c>
      <c r="N653" s="0" t="n">
        <v>22.11</v>
      </c>
      <c r="O653" s="0" t="n">
        <v>40.71</v>
      </c>
      <c r="P653" s="0" t="n">
        <v>3.5</v>
      </c>
      <c r="Q653" s="0" t="n">
        <v>3.88</v>
      </c>
      <c r="R653" s="0" t="n">
        <v>6347</v>
      </c>
      <c r="S653" s="0" t="n">
        <v>12427</v>
      </c>
      <c r="T653" s="0" t="n">
        <v>67.45</v>
      </c>
      <c r="U653" s="0" t="n">
        <v>1342</v>
      </c>
      <c r="V653" s="0" t="n">
        <v>1</v>
      </c>
      <c r="W653" s="27" t="n">
        <f aca="false">MATCH(A653,DATAS,0)</f>
        <v>1</v>
      </c>
      <c r="X653" s="27" t="n">
        <f aca="false">IF(AND(E653&gt;0,OR(AND(B653&gt;=1,B653&lt;=6),B653=10)),1,0)</f>
        <v>0</v>
      </c>
      <c r="Y653" s="27" t="n">
        <f aca="false">IF(AND(E653&gt;0,B653=10),1,0)</f>
        <v>0</v>
      </c>
      <c r="Z653" s="0" t="str">
        <f aca="false">IF(AND(C652=C653,W652=W653-1),X652,"")</f>
        <v/>
      </c>
      <c r="AA653" s="0" t="str">
        <f aca="false">IF(AND(C652=C653,W652=W653-1),Y652,"")</f>
        <v/>
      </c>
      <c r="AB653" s="0" t="str">
        <f aca="false">IF(W653=1,"",IF(AND(X653=1,Z653&lt;&gt;1),1,0))</f>
        <v/>
      </c>
      <c r="AC653" s="0" t="str">
        <f aca="false">IF(W653=1,"",IF(AND(Y653=1,AA653&lt;&gt;1),1,0))</f>
        <v/>
      </c>
      <c r="AD653" s="33" t="str">
        <f aca="false">IF(AND(E653&gt;0,W653&lt;1,NOT(AND(C654=C653,W654=W653+1))),INDEX(DATAS,W653+1),"")</f>
        <v/>
      </c>
      <c r="AE653" s="33" t="str">
        <f aca="false">IF(AND(Y653=1,W653&lt;1),IF(AND(C654=C653,W654=W653+1),IF(Y654=1,"",INDEX(DATAS,W653+1)),INDEX(DATAS,W653+1)),"")</f>
        <v/>
      </c>
    </row>
    <row r="654" customFormat="false" ht="15" hidden="false" customHeight="false" outlineLevel="0" collapsed="false">
      <c r="A654" s="33" t="n">
        <v>46309</v>
      </c>
      <c r="B654" s="0" t="n">
        <v>5</v>
      </c>
      <c r="C654" s="0" t="n">
        <v>4523</v>
      </c>
      <c r="D654" s="0" t="n">
        <v>280</v>
      </c>
      <c r="E654" s="0" t="n">
        <v>2</v>
      </c>
      <c r="F654" s="27" t="s">
        <v>582</v>
      </c>
      <c r="G654" s="0" t="n">
        <v>49.1</v>
      </c>
      <c r="H654" s="0" t="n">
        <v>37</v>
      </c>
      <c r="I654" s="27" t="s">
        <v>138</v>
      </c>
      <c r="J654" s="0" t="n">
        <v>63</v>
      </c>
      <c r="K654" s="0" t="n">
        <v>63</v>
      </c>
      <c r="L654" s="0" t="n">
        <v>217</v>
      </c>
      <c r="M654" s="0" t="n">
        <v>598.99</v>
      </c>
      <c r="N654" s="0" t="n">
        <v>78.57</v>
      </c>
      <c r="O654" s="0" t="n">
        <v>36.16</v>
      </c>
      <c r="P654" s="0" t="n">
        <v>4.2</v>
      </c>
      <c r="Q654" s="0" t="n">
        <v>3.65</v>
      </c>
      <c r="R654" s="0" t="n">
        <v>4857</v>
      </c>
      <c r="S654" s="0" t="n">
        <v>10980</v>
      </c>
      <c r="T654" s="0" t="n">
        <v>49.9</v>
      </c>
      <c r="U654" s="0" t="n">
        <v>1341</v>
      </c>
      <c r="V654" s="0" t="n">
        <v>1</v>
      </c>
      <c r="W654" s="27" t="n">
        <f aca="false">MATCH(A654,DATAS,0)</f>
        <v>1</v>
      </c>
      <c r="X654" s="27" t="n">
        <f aca="false">IF(AND(E654&gt;0,OR(AND(B654&gt;=1,B654&lt;=6),B654=10)),1,0)</f>
        <v>1</v>
      </c>
      <c r="Y654" s="27" t="n">
        <f aca="false">IF(AND(E654&gt;0,B654=10),1,0)</f>
        <v>0</v>
      </c>
      <c r="Z654" s="0" t="str">
        <f aca="false">IF(AND(C653=C654,W653=W654-1),X653,"")</f>
        <v/>
      </c>
      <c r="AA654" s="0" t="str">
        <f aca="false">IF(AND(C653=C654,W653=W654-1),Y653,"")</f>
        <v/>
      </c>
      <c r="AB654" s="0" t="str">
        <f aca="false">IF(W654=1,"",IF(AND(X654=1,Z654&lt;&gt;1),1,0))</f>
        <v/>
      </c>
      <c r="AC654" s="0" t="str">
        <f aca="false">IF(W654=1,"",IF(AND(Y654=1,AA654&lt;&gt;1),1,0))</f>
        <v/>
      </c>
      <c r="AD654" s="33" t="str">
        <f aca="false">IF(AND(E654&gt;0,W654&lt;1,NOT(AND(C655=C654,W655=W654+1))),INDEX(DATAS,W654+1),"")</f>
        <v/>
      </c>
      <c r="AE654" s="33" t="str">
        <f aca="false">IF(AND(Y654=1,W654&lt;1),IF(AND(C655=C654,W655=W654+1),IF(Y655=1,"",INDEX(DATAS,W654+1)),INDEX(DATAS,W654+1)),"")</f>
        <v/>
      </c>
    </row>
    <row r="655" customFormat="false" ht="15" hidden="false" customHeight="false" outlineLevel="0" collapsed="false">
      <c r="A655" s="33" t="n">
        <v>46309</v>
      </c>
      <c r="B655" s="0" t="n">
        <v>7</v>
      </c>
      <c r="C655" s="0" t="n">
        <v>4524</v>
      </c>
      <c r="D655" s="0" t="n">
        <v>656</v>
      </c>
      <c r="E655" s="0" t="n">
        <v>1</v>
      </c>
      <c r="F655" s="27" t="s">
        <v>582</v>
      </c>
      <c r="G655" s="0" t="n">
        <v>8.8</v>
      </c>
      <c r="H655" s="0" t="n">
        <v>17</v>
      </c>
      <c r="I655" s="27" t="s">
        <v>143</v>
      </c>
      <c r="J655" s="0" t="n">
        <v>433</v>
      </c>
      <c r="K655" s="0" t="n">
        <v>70</v>
      </c>
      <c r="L655" s="0" t="n">
        <v>224</v>
      </c>
      <c r="M655" s="0" t="n">
        <v>559.91</v>
      </c>
      <c r="N655" s="0" t="n">
        <v>28.99</v>
      </c>
      <c r="O655" s="0" t="n">
        <v>23.84</v>
      </c>
      <c r="P655" s="0" t="n">
        <v>4.53</v>
      </c>
      <c r="Q655" s="0" t="n">
        <v>3.96</v>
      </c>
      <c r="R655" s="0" t="n">
        <v>4249</v>
      </c>
      <c r="S655" s="0" t="n">
        <v>8694</v>
      </c>
      <c r="T655" s="0" t="n">
        <v>29.7</v>
      </c>
      <c r="U655" s="0" t="n">
        <v>1341</v>
      </c>
      <c r="V655" s="0" t="n">
        <v>6</v>
      </c>
      <c r="W655" s="27" t="n">
        <f aca="false">MATCH(A655,DATAS,0)</f>
        <v>1</v>
      </c>
      <c r="X655" s="27" t="n">
        <f aca="false">IF(AND(E655&gt;0,OR(AND(B655&gt;=1,B655&lt;=6),B655=10)),1,0)</f>
        <v>0</v>
      </c>
      <c r="Y655" s="27" t="n">
        <f aca="false">IF(AND(E655&gt;0,B655=10),1,0)</f>
        <v>0</v>
      </c>
      <c r="Z655" s="0" t="str">
        <f aca="false">IF(AND(C654=C655,W654=W655-1),X654,"")</f>
        <v/>
      </c>
      <c r="AA655" s="0" t="str">
        <f aca="false">IF(AND(C654=C655,W654=W655-1),Y654,"")</f>
        <v/>
      </c>
      <c r="AB655" s="0" t="str">
        <f aca="false">IF(W655=1,"",IF(AND(X655=1,Z655&lt;&gt;1),1,0))</f>
        <v/>
      </c>
      <c r="AC655" s="0" t="str">
        <f aca="false">IF(W655=1,"",IF(AND(Y655=1,AA655&lt;&gt;1),1,0))</f>
        <v/>
      </c>
      <c r="AD655" s="33" t="str">
        <f aca="false">IF(AND(E655&gt;0,W655&lt;1,NOT(AND(C656=C655,W656=W655+1))),INDEX(DATAS,W655+1),"")</f>
        <v/>
      </c>
      <c r="AE655" s="33" t="str">
        <f aca="false">IF(AND(Y655=1,W655&lt;1),IF(AND(C656=C655,W656=W655+1),IF(Y656=1,"",INDEX(DATAS,W655+1)),INDEX(DATAS,W655+1)),"")</f>
        <v/>
      </c>
    </row>
    <row r="656" customFormat="false" ht="15" hidden="false" customHeight="false" outlineLevel="0" collapsed="false">
      <c r="A656" s="33" t="n">
        <v>46309</v>
      </c>
      <c r="B656" s="0" t="n">
        <v>5</v>
      </c>
      <c r="C656" s="0" t="n">
        <v>4525</v>
      </c>
      <c r="D656" s="0" t="n">
        <v>346</v>
      </c>
      <c r="E656" s="0" t="n">
        <v>2</v>
      </c>
      <c r="F656" s="27" t="s">
        <v>582</v>
      </c>
      <c r="G656" s="0" t="n">
        <v>44.2</v>
      </c>
      <c r="H656" s="0" t="n">
        <v>43</v>
      </c>
      <c r="I656" s="27" t="s">
        <v>138</v>
      </c>
      <c r="J656" s="0" t="n">
        <v>234</v>
      </c>
      <c r="K656" s="0" t="n">
        <v>67</v>
      </c>
      <c r="L656" s="0" t="n">
        <v>112</v>
      </c>
      <c r="M656" s="0" t="n">
        <v>307.27</v>
      </c>
      <c r="N656" s="0" t="n">
        <v>13.06</v>
      </c>
      <c r="O656" s="0" t="n">
        <v>10.49</v>
      </c>
      <c r="P656" s="0" t="n">
        <v>4.31</v>
      </c>
      <c r="Q656" s="0" t="n">
        <v>3.4</v>
      </c>
      <c r="R656" s="0" t="n">
        <v>6007</v>
      </c>
      <c r="S656" s="0" t="n">
        <v>11614</v>
      </c>
      <c r="T656" s="0" t="n">
        <v>67.35</v>
      </c>
      <c r="U656" s="0" t="n">
        <v>1341</v>
      </c>
      <c r="V656" s="0" t="n">
        <v>4</v>
      </c>
      <c r="W656" s="27" t="n">
        <f aca="false">MATCH(A656,DATAS,0)</f>
        <v>1</v>
      </c>
      <c r="X656" s="27" t="n">
        <f aca="false">IF(AND(E656&gt;0,OR(AND(B656&gt;=1,B656&lt;=6),B656=10)),1,0)</f>
        <v>1</v>
      </c>
      <c r="Y656" s="27" t="n">
        <f aca="false">IF(AND(E656&gt;0,B656=10),1,0)</f>
        <v>0</v>
      </c>
      <c r="Z656" s="0" t="str">
        <f aca="false">IF(AND(C655=C656,W655=W656-1),X655,"")</f>
        <v/>
      </c>
      <c r="AA656" s="0" t="str">
        <f aca="false">IF(AND(C655=C656,W655=W656-1),Y655,"")</f>
        <v/>
      </c>
      <c r="AB656" s="0" t="str">
        <f aca="false">IF(W656=1,"",IF(AND(X656=1,Z656&lt;&gt;1),1,0))</f>
        <v/>
      </c>
      <c r="AC656" s="0" t="str">
        <f aca="false">IF(W656=1,"",IF(AND(Y656=1,AA656&lt;&gt;1),1,0))</f>
        <v/>
      </c>
      <c r="AD656" s="33" t="str">
        <f aca="false">IF(AND(E656&gt;0,W656&lt;1,NOT(AND(C657=C656,W657=W656+1))),INDEX(DATAS,W656+1),"")</f>
        <v/>
      </c>
      <c r="AE656" s="33" t="str">
        <f aca="false">IF(AND(Y656=1,W656&lt;1),IF(AND(C657=C656,W657=W656+1),IF(Y657=1,"",INDEX(DATAS,W656+1)),INDEX(DATAS,W656+1)),"")</f>
        <v/>
      </c>
    </row>
    <row r="657" customFormat="false" ht="15" hidden="false" customHeight="false" outlineLevel="0" collapsed="false">
      <c r="A657" s="33" t="n">
        <v>46309</v>
      </c>
      <c r="B657" s="0" t="n">
        <v>2</v>
      </c>
      <c r="C657" s="0" t="n">
        <v>4528</v>
      </c>
      <c r="D657" s="0" t="n">
        <v>193</v>
      </c>
      <c r="E657" s="0" t="n">
        <v>2</v>
      </c>
      <c r="F657" s="27" t="s">
        <v>583</v>
      </c>
      <c r="G657" s="0" t="n">
        <v>55.4</v>
      </c>
      <c r="H657" s="0" t="n">
        <v>55</v>
      </c>
      <c r="I657" s="27" t="s">
        <v>138</v>
      </c>
      <c r="J657" s="0" t="n">
        <v>67</v>
      </c>
      <c r="K657" s="0" t="n">
        <v>67</v>
      </c>
      <c r="L657" s="0" t="n">
        <v>126</v>
      </c>
      <c r="M657" s="0" t="n">
        <v>56.94</v>
      </c>
      <c r="N657" s="0" t="n">
        <v>29.81</v>
      </c>
      <c r="O657" s="0" t="n">
        <v>23.79</v>
      </c>
      <c r="P657" s="0" t="n">
        <v>3.39</v>
      </c>
      <c r="Q657" s="0" t="n">
        <v>3.8</v>
      </c>
      <c r="R657" s="0" t="n">
        <v>4741</v>
      </c>
      <c r="S657" s="0" t="n">
        <v>9979</v>
      </c>
      <c r="T657" s="0" t="n">
        <v>51.15</v>
      </c>
      <c r="U657" s="0" t="n">
        <v>1338</v>
      </c>
      <c r="V657" s="0" t="n">
        <v>1</v>
      </c>
      <c r="W657" s="27" t="n">
        <f aca="false">MATCH(A657,DATAS,0)</f>
        <v>1</v>
      </c>
      <c r="X657" s="27" t="n">
        <f aca="false">IF(AND(E657&gt;0,OR(AND(B657&gt;=1,B657&lt;=6),B657=10)),1,0)</f>
        <v>1</v>
      </c>
      <c r="Y657" s="27" t="n">
        <f aca="false">IF(AND(E657&gt;0,B657=10),1,0)</f>
        <v>0</v>
      </c>
      <c r="Z657" s="0" t="str">
        <f aca="false">IF(AND(C656=C657,W656=W657-1),X656,"")</f>
        <v/>
      </c>
      <c r="AA657" s="0" t="str">
        <f aca="false">IF(AND(C656=C657,W656=W657-1),Y656,"")</f>
        <v/>
      </c>
      <c r="AB657" s="0" t="str">
        <f aca="false">IF(W657=1,"",IF(AND(X657=1,Z657&lt;&gt;1),1,0))</f>
        <v/>
      </c>
      <c r="AC657" s="0" t="str">
        <f aca="false">IF(W657=1,"",IF(AND(Y657=1,AA657&lt;&gt;1),1,0))</f>
        <v/>
      </c>
      <c r="AD657" s="33" t="str">
        <f aca="false">IF(AND(E657&gt;0,W657&lt;1,NOT(AND(C658=C657,W658=W657+1))),INDEX(DATAS,W657+1),"")</f>
        <v/>
      </c>
      <c r="AE657" s="33" t="str">
        <f aca="false">IF(AND(Y657=1,W657&lt;1),IF(AND(C658=C657,W658=W657+1),IF(Y658=1,"",INDEX(DATAS,W657+1)),INDEX(DATAS,W657+1)),"")</f>
        <v/>
      </c>
    </row>
    <row r="658" customFormat="false" ht="15" hidden="false" customHeight="false" outlineLevel="0" collapsed="false">
      <c r="A658" s="33" t="n">
        <v>46309</v>
      </c>
      <c r="B658" s="0" t="n">
        <v>5</v>
      </c>
      <c r="C658" s="0" t="n">
        <v>4531</v>
      </c>
      <c r="D658" s="0" t="n">
        <v>365</v>
      </c>
      <c r="E658" s="0" t="n">
        <v>2</v>
      </c>
      <c r="F658" s="27" t="s">
        <v>584</v>
      </c>
      <c r="G658" s="0" t="n">
        <v>42.9</v>
      </c>
      <c r="H658" s="0" t="n">
        <v>42</v>
      </c>
      <c r="I658" s="27" t="s">
        <v>138</v>
      </c>
      <c r="J658" s="0" t="n">
        <v>180</v>
      </c>
      <c r="K658" s="0" t="n">
        <v>65</v>
      </c>
      <c r="L658" s="0" t="n">
        <v>185</v>
      </c>
      <c r="M658" s="0" t="n">
        <v>829.9</v>
      </c>
      <c r="N658" s="0" t="n">
        <v>33.65</v>
      </c>
      <c r="O658" s="0" t="n">
        <v>28.15</v>
      </c>
      <c r="P658" s="0" t="n">
        <v>3.55</v>
      </c>
      <c r="Q658" s="0" t="n">
        <v>3.57</v>
      </c>
      <c r="R658" s="0" t="n">
        <v>5603</v>
      </c>
      <c r="S658" s="0" t="n">
        <v>11151</v>
      </c>
      <c r="T658" s="0" t="n">
        <v>63.3</v>
      </c>
      <c r="U658" s="0" t="n">
        <v>1337</v>
      </c>
      <c r="V658" s="0" t="n">
        <v>5</v>
      </c>
      <c r="W658" s="27" t="n">
        <f aca="false">MATCH(A658,DATAS,0)</f>
        <v>1</v>
      </c>
      <c r="X658" s="27" t="n">
        <f aca="false">IF(AND(E658&gt;0,OR(AND(B658&gt;=1,B658&lt;=6),B658=10)),1,0)</f>
        <v>1</v>
      </c>
      <c r="Y658" s="27" t="n">
        <f aca="false">IF(AND(E658&gt;0,B658=10),1,0)</f>
        <v>0</v>
      </c>
      <c r="Z658" s="0" t="str">
        <f aca="false">IF(AND(C657=C658,W657=W658-1),X657,"")</f>
        <v/>
      </c>
      <c r="AA658" s="0" t="str">
        <f aca="false">IF(AND(C657=C658,W657=W658-1),Y657,"")</f>
        <v/>
      </c>
      <c r="AB658" s="0" t="str">
        <f aca="false">IF(W658=1,"",IF(AND(X658=1,Z658&lt;&gt;1),1,0))</f>
        <v/>
      </c>
      <c r="AC658" s="0" t="str">
        <f aca="false">IF(W658=1,"",IF(AND(Y658=1,AA658&lt;&gt;1),1,0))</f>
        <v/>
      </c>
      <c r="AD658" s="33" t="str">
        <f aca="false">IF(AND(E658&gt;0,W658&lt;1,NOT(AND(C659=C658,W659=W658+1))),INDEX(DATAS,W658+1),"")</f>
        <v/>
      </c>
      <c r="AE658" s="33" t="str">
        <f aca="false">IF(AND(Y658=1,W658&lt;1),IF(AND(C659=C658,W659=W658+1),IF(Y659=1,"",INDEX(DATAS,W658+1)),INDEX(DATAS,W658+1)),"")</f>
        <v/>
      </c>
    </row>
    <row r="659" customFormat="false" ht="15" hidden="false" customHeight="false" outlineLevel="0" collapsed="false">
      <c r="A659" s="33" t="n">
        <v>46309</v>
      </c>
      <c r="B659" s="0" t="n">
        <v>5</v>
      </c>
      <c r="C659" s="0" t="n">
        <v>4532</v>
      </c>
      <c r="D659" s="0" t="n">
        <v>182</v>
      </c>
      <c r="E659" s="0" t="n">
        <v>2</v>
      </c>
      <c r="F659" s="27" t="s">
        <v>584</v>
      </c>
      <c r="G659" s="0" t="n">
        <v>20.9</v>
      </c>
      <c r="H659" s="0" t="n">
        <v>24</v>
      </c>
      <c r="I659" s="27" t="s">
        <v>168</v>
      </c>
      <c r="J659" s="0" t="n">
        <v>182</v>
      </c>
      <c r="K659" s="0" t="n">
        <v>63</v>
      </c>
      <c r="M659" s="0" t="n">
        <v>403.75</v>
      </c>
      <c r="N659" s="0" t="n">
        <v>64.35</v>
      </c>
      <c r="O659" s="0" t="n">
        <v>22.76</v>
      </c>
      <c r="P659" s="0" t="n">
        <v>4.91</v>
      </c>
      <c r="Q659" s="0" t="n">
        <v>3.59</v>
      </c>
      <c r="R659" s="0" t="n">
        <v>4663</v>
      </c>
      <c r="S659" s="0" t="n">
        <v>8476</v>
      </c>
      <c r="T659" s="0" t="n">
        <v>51.3</v>
      </c>
      <c r="U659" s="0" t="n">
        <v>1337</v>
      </c>
      <c r="V659" s="0" t="n">
        <v>3</v>
      </c>
      <c r="W659" s="27" t="n">
        <f aca="false">MATCH(A659,DATAS,0)</f>
        <v>1</v>
      </c>
      <c r="X659" s="27" t="n">
        <f aca="false">IF(AND(E659&gt;0,OR(AND(B659&gt;=1,B659&lt;=6),B659=10)),1,0)</f>
        <v>1</v>
      </c>
      <c r="Y659" s="27" t="n">
        <f aca="false">IF(AND(E659&gt;0,B659=10),1,0)</f>
        <v>0</v>
      </c>
      <c r="Z659" s="0" t="str">
        <f aca="false">IF(AND(C658=C659,W658=W659-1),X658,"")</f>
        <v/>
      </c>
      <c r="AA659" s="0" t="str">
        <f aca="false">IF(AND(C658=C659,W658=W659-1),Y658,"")</f>
        <v/>
      </c>
      <c r="AB659" s="0" t="str">
        <f aca="false">IF(W659=1,"",IF(AND(X659=1,Z659&lt;&gt;1),1,0))</f>
        <v/>
      </c>
      <c r="AC659" s="0" t="str">
        <f aca="false">IF(W659=1,"",IF(AND(Y659=1,AA659&lt;&gt;1),1,0))</f>
        <v/>
      </c>
      <c r="AD659" s="33" t="str">
        <f aca="false">IF(AND(E659&gt;0,W659&lt;1,NOT(AND(C660=C659,W660=W659+1))),INDEX(DATAS,W659+1),"")</f>
        <v/>
      </c>
      <c r="AE659" s="33" t="str">
        <f aca="false">IF(AND(Y659=1,W659&lt;1),IF(AND(C660=C659,W660=W659+1),IF(Y660=1,"",INDEX(DATAS,W659+1)),INDEX(DATAS,W659+1)),"")</f>
        <v/>
      </c>
    </row>
    <row r="660" customFormat="false" ht="15" hidden="false" customHeight="false" outlineLevel="0" collapsed="false">
      <c r="A660" s="33" t="n">
        <v>46309</v>
      </c>
      <c r="B660" s="0" t="n">
        <v>14</v>
      </c>
      <c r="C660" s="0" t="n">
        <v>4533</v>
      </c>
      <c r="D660" s="0" t="n">
        <v>291</v>
      </c>
      <c r="E660" s="0" t="n">
        <v>2</v>
      </c>
      <c r="F660" s="27" t="s">
        <v>584</v>
      </c>
      <c r="I660" s="27" t="s">
        <v>143</v>
      </c>
      <c r="J660" s="0" t="n">
        <v>69</v>
      </c>
      <c r="K660" s="0" t="n">
        <v>69</v>
      </c>
      <c r="L660" s="0" t="n">
        <v>279</v>
      </c>
      <c r="M660" s="0" t="n">
        <v>1831.84</v>
      </c>
      <c r="N660" s="0" t="n">
        <v>19.33</v>
      </c>
      <c r="O660" s="0" t="n">
        <v>27.87</v>
      </c>
      <c r="P660" s="0" t="n">
        <v>3.38</v>
      </c>
      <c r="Q660" s="0" t="n">
        <v>3.05</v>
      </c>
      <c r="R660" s="0" t="n">
        <v>5771</v>
      </c>
      <c r="S660" s="0" t="n">
        <v>11990</v>
      </c>
      <c r="T660" s="0" t="n">
        <v>64.9</v>
      </c>
      <c r="U660" s="0" t="n">
        <v>1337</v>
      </c>
      <c r="V660" s="0" t="n">
        <v>1</v>
      </c>
      <c r="W660" s="27" t="n">
        <f aca="false">MATCH(A660,DATAS,0)</f>
        <v>1</v>
      </c>
      <c r="X660" s="27" t="n">
        <f aca="false">IF(AND(E660&gt;0,OR(AND(B660&gt;=1,B660&lt;=6),B660=10)),1,0)</f>
        <v>0</v>
      </c>
      <c r="Y660" s="27" t="n">
        <f aca="false">IF(AND(E660&gt;0,B660=10),1,0)</f>
        <v>0</v>
      </c>
      <c r="Z660" s="0" t="str">
        <f aca="false">IF(AND(C659=C660,W659=W660-1),X659,"")</f>
        <v/>
      </c>
      <c r="AA660" s="0" t="str">
        <f aca="false">IF(AND(C659=C660,W659=W660-1),Y659,"")</f>
        <v/>
      </c>
      <c r="AB660" s="0" t="str">
        <f aca="false">IF(W660=1,"",IF(AND(X660=1,Z660&lt;&gt;1),1,0))</f>
        <v/>
      </c>
      <c r="AC660" s="0" t="str">
        <f aca="false">IF(W660=1,"",IF(AND(Y660=1,AA660&lt;&gt;1),1,0))</f>
        <v/>
      </c>
      <c r="AD660" s="33" t="str">
        <f aca="false">IF(AND(E660&gt;0,W660&lt;1,NOT(AND(C661=C660,W661=W660+1))),INDEX(DATAS,W660+1),"")</f>
        <v/>
      </c>
      <c r="AE660" s="33" t="str">
        <f aca="false">IF(AND(Y660=1,W660&lt;1),IF(AND(C661=C660,W661=W660+1),IF(Y661=1,"",INDEX(DATAS,W660+1)),INDEX(DATAS,W660+1)),"")</f>
        <v/>
      </c>
    </row>
    <row r="661" customFormat="false" ht="15" hidden="false" customHeight="false" outlineLevel="0" collapsed="false">
      <c r="A661" s="33" t="n">
        <v>46309</v>
      </c>
      <c r="B661" s="0" t="n">
        <v>5</v>
      </c>
      <c r="C661" s="0" t="n">
        <v>4534</v>
      </c>
      <c r="D661" s="0" t="n">
        <v>275</v>
      </c>
      <c r="E661" s="0" t="n">
        <v>2</v>
      </c>
      <c r="F661" s="27" t="s">
        <v>585</v>
      </c>
      <c r="G661" s="0" t="n">
        <v>27.3</v>
      </c>
      <c r="H661" s="0" t="n">
        <v>23</v>
      </c>
      <c r="I661" s="27" t="s">
        <v>138</v>
      </c>
      <c r="J661" s="0" t="n">
        <v>65</v>
      </c>
      <c r="K661" s="0" t="n">
        <v>72</v>
      </c>
      <c r="L661" s="0" t="n">
        <v>210</v>
      </c>
      <c r="M661" s="0" t="n">
        <v>89.83</v>
      </c>
      <c r="N661" s="0" t="n">
        <v>39.32</v>
      </c>
      <c r="O661" s="0" t="n">
        <v>22.17</v>
      </c>
      <c r="P661" s="0" t="n">
        <v>5.11</v>
      </c>
      <c r="Q661" s="0" t="n">
        <v>4.19</v>
      </c>
      <c r="R661" s="0" t="n">
        <v>4691</v>
      </c>
      <c r="S661" s="0" t="n">
        <v>9622</v>
      </c>
      <c r="T661" s="0" t="n">
        <v>43.75</v>
      </c>
      <c r="U661" s="0" t="n">
        <v>1334</v>
      </c>
      <c r="V661" s="0" t="n">
        <v>1</v>
      </c>
      <c r="W661" s="27" t="n">
        <f aca="false">MATCH(A661,DATAS,0)</f>
        <v>1</v>
      </c>
      <c r="X661" s="27" t="n">
        <f aca="false">IF(AND(E661&gt;0,OR(AND(B661&gt;=1,B661&lt;=6),B661=10)),1,0)</f>
        <v>1</v>
      </c>
      <c r="Y661" s="27" t="n">
        <f aca="false">IF(AND(E661&gt;0,B661=10),1,0)</f>
        <v>0</v>
      </c>
      <c r="Z661" s="0" t="str">
        <f aca="false">IF(AND(C660=C661,W660=W661-1),X660,"")</f>
        <v/>
      </c>
      <c r="AA661" s="0" t="str">
        <f aca="false">IF(AND(C660=C661,W660=W661-1),Y660,"")</f>
        <v/>
      </c>
      <c r="AB661" s="0" t="str">
        <f aca="false">IF(W661=1,"",IF(AND(X661=1,Z661&lt;&gt;1),1,0))</f>
        <v/>
      </c>
      <c r="AC661" s="0" t="str">
        <f aca="false">IF(W661=1,"",IF(AND(Y661=1,AA661&lt;&gt;1),1,0))</f>
        <v/>
      </c>
      <c r="AD661" s="33" t="str">
        <f aca="false">IF(AND(E661&gt;0,W661&lt;1,NOT(AND(C662=C661,W662=W661+1))),INDEX(DATAS,W661+1),"")</f>
        <v/>
      </c>
      <c r="AE661" s="33" t="str">
        <f aca="false">IF(AND(Y661=1,W661&lt;1),IF(AND(C662=C661,W662=W661+1),IF(Y662=1,"",INDEX(DATAS,W661+1)),INDEX(DATAS,W661+1)),"")</f>
        <v/>
      </c>
    </row>
    <row r="662" customFormat="false" ht="15" hidden="false" customHeight="false" outlineLevel="0" collapsed="false">
      <c r="A662" s="33" t="n">
        <v>46309</v>
      </c>
      <c r="B662" s="0" t="n">
        <v>2</v>
      </c>
      <c r="C662" s="0" t="n">
        <v>4535</v>
      </c>
      <c r="D662" s="0" t="n">
        <v>352</v>
      </c>
      <c r="E662" s="0" t="n">
        <v>2</v>
      </c>
      <c r="F662" s="27" t="s">
        <v>586</v>
      </c>
      <c r="G662" s="0" t="n">
        <v>43.4</v>
      </c>
      <c r="H662" s="0" t="n">
        <v>46</v>
      </c>
      <c r="I662" s="27" t="s">
        <v>138</v>
      </c>
      <c r="J662" s="0" t="n">
        <v>142</v>
      </c>
      <c r="K662" s="0" t="n">
        <v>66</v>
      </c>
      <c r="L662" s="0" t="n">
        <v>210</v>
      </c>
      <c r="M662" s="0" t="n">
        <v>556.95</v>
      </c>
      <c r="N662" s="0" t="n">
        <v>31.85</v>
      </c>
      <c r="O662" s="0" t="n">
        <v>32.96</v>
      </c>
      <c r="P662" s="0" t="n">
        <v>4.68</v>
      </c>
      <c r="Q662" s="0" t="n">
        <v>3.54</v>
      </c>
      <c r="R662" s="0" t="n">
        <v>5577</v>
      </c>
      <c r="S662" s="0" t="n">
        <v>11506</v>
      </c>
      <c r="T662" s="0" t="n">
        <v>60.3</v>
      </c>
      <c r="U662" s="0" t="n">
        <v>1336</v>
      </c>
      <c r="V662" s="0" t="n">
        <v>4</v>
      </c>
      <c r="W662" s="27" t="n">
        <f aca="false">MATCH(A662,DATAS,0)</f>
        <v>1</v>
      </c>
      <c r="X662" s="27" t="n">
        <f aca="false">IF(AND(E662&gt;0,OR(AND(B662&gt;=1,B662&lt;=6),B662=10)),1,0)</f>
        <v>1</v>
      </c>
      <c r="Y662" s="27" t="n">
        <f aca="false">IF(AND(E662&gt;0,B662=10),1,0)</f>
        <v>0</v>
      </c>
      <c r="Z662" s="0" t="str">
        <f aca="false">IF(AND(C661=C662,W661=W662-1),X661,"")</f>
        <v/>
      </c>
      <c r="AA662" s="0" t="str">
        <f aca="false">IF(AND(C661=C662,W661=W662-1),Y661,"")</f>
        <v/>
      </c>
      <c r="AB662" s="0" t="str">
        <f aca="false">IF(W662=1,"",IF(AND(X662=1,Z662&lt;&gt;1),1,0))</f>
        <v/>
      </c>
      <c r="AC662" s="0" t="str">
        <f aca="false">IF(W662=1,"",IF(AND(Y662=1,AA662&lt;&gt;1),1,0))</f>
        <v/>
      </c>
      <c r="AD662" s="33" t="str">
        <f aca="false">IF(AND(E662&gt;0,W662&lt;1,NOT(AND(C663=C662,W663=W662+1))),INDEX(DATAS,W662+1),"")</f>
        <v/>
      </c>
      <c r="AE662" s="33" t="str">
        <f aca="false">IF(AND(Y662=1,W662&lt;1),IF(AND(C663=C662,W663=W662+1),IF(Y663=1,"",INDEX(DATAS,W662+1)),INDEX(DATAS,W662+1)),"")</f>
        <v/>
      </c>
    </row>
    <row r="663" customFormat="false" ht="15" hidden="false" customHeight="false" outlineLevel="0" collapsed="false">
      <c r="A663" s="33" t="n">
        <v>46309</v>
      </c>
      <c r="B663" s="0" t="n">
        <v>3</v>
      </c>
      <c r="C663" s="0" t="n">
        <v>4536</v>
      </c>
      <c r="D663" s="0" t="n">
        <v>192</v>
      </c>
      <c r="E663" s="0" t="n">
        <v>2</v>
      </c>
      <c r="F663" s="27" t="s">
        <v>586</v>
      </c>
      <c r="G663" s="0" t="n">
        <v>56.1</v>
      </c>
      <c r="H663" s="0" t="n">
        <v>56</v>
      </c>
      <c r="I663" s="27" t="s">
        <v>138</v>
      </c>
      <c r="J663" s="0" t="n">
        <v>66</v>
      </c>
      <c r="K663" s="0" t="n">
        <v>66</v>
      </c>
      <c r="L663" s="0" t="n">
        <v>126</v>
      </c>
      <c r="M663" s="0" t="n">
        <v>561.19</v>
      </c>
      <c r="N663" s="0" t="n">
        <v>75.5</v>
      </c>
      <c r="O663" s="0" t="n">
        <v>36.4</v>
      </c>
      <c r="P663" s="0" t="n">
        <v>4.37</v>
      </c>
      <c r="Q663" s="0" t="n">
        <v>3.19</v>
      </c>
      <c r="R663" s="0" t="n">
        <v>5382</v>
      </c>
      <c r="S663" s="0" t="n">
        <v>11662</v>
      </c>
      <c r="T663" s="0" t="n">
        <v>58.65</v>
      </c>
      <c r="U663" s="0" t="n">
        <v>1336</v>
      </c>
      <c r="V663" s="0" t="n">
        <v>1</v>
      </c>
      <c r="W663" s="27" t="n">
        <f aca="false">MATCH(A663,DATAS,0)</f>
        <v>1</v>
      </c>
      <c r="X663" s="27" t="n">
        <f aca="false">IF(AND(E663&gt;0,OR(AND(B663&gt;=1,B663&lt;=6),B663=10)),1,0)</f>
        <v>1</v>
      </c>
      <c r="Y663" s="27" t="n">
        <f aca="false">IF(AND(E663&gt;0,B663=10),1,0)</f>
        <v>0</v>
      </c>
      <c r="Z663" s="0" t="str">
        <f aca="false">IF(AND(C662=C663,W662=W663-1),X662,"")</f>
        <v/>
      </c>
      <c r="AA663" s="0" t="str">
        <f aca="false">IF(AND(C662=C663,W662=W663-1),Y662,"")</f>
        <v/>
      </c>
      <c r="AB663" s="0" t="str">
        <f aca="false">IF(W663=1,"",IF(AND(X663=1,Z663&lt;&gt;1),1,0))</f>
        <v/>
      </c>
      <c r="AC663" s="0" t="str">
        <f aca="false">IF(W663=1,"",IF(AND(Y663=1,AA663&lt;&gt;1),1,0))</f>
        <v/>
      </c>
      <c r="AD663" s="33" t="str">
        <f aca="false">IF(AND(E663&gt;0,W663&lt;1,NOT(AND(C664=C663,W664=W663+1))),INDEX(DATAS,W663+1),"")</f>
        <v/>
      </c>
      <c r="AE663" s="33" t="str">
        <f aca="false">IF(AND(Y663=1,W663&lt;1),IF(AND(C664=C663,W664=W663+1),IF(Y664=1,"",INDEX(DATAS,W663+1)),INDEX(DATAS,W663+1)),"")</f>
        <v/>
      </c>
    </row>
    <row r="664" customFormat="false" ht="15" hidden="false" customHeight="false" outlineLevel="0" collapsed="false">
      <c r="A664" s="33" t="n">
        <v>46309</v>
      </c>
      <c r="B664" s="0" t="n">
        <v>5</v>
      </c>
      <c r="C664" s="0" t="n">
        <v>4538</v>
      </c>
      <c r="D664" s="0" t="n">
        <v>198</v>
      </c>
      <c r="E664" s="0" t="n">
        <v>2</v>
      </c>
      <c r="F664" s="27" t="s">
        <v>587</v>
      </c>
      <c r="G664" s="0" t="n">
        <v>38.4</v>
      </c>
      <c r="H664" s="0" t="n">
        <v>36</v>
      </c>
      <c r="I664" s="27" t="s">
        <v>138</v>
      </c>
      <c r="J664" s="0" t="n">
        <v>86</v>
      </c>
      <c r="K664" s="0" t="n">
        <v>65</v>
      </c>
      <c r="L664" s="0" t="n">
        <v>112</v>
      </c>
      <c r="M664" s="0" t="n">
        <v>870.09</v>
      </c>
      <c r="N664" s="0" t="n">
        <v>79.22</v>
      </c>
      <c r="O664" s="0" t="n">
        <v>35.97</v>
      </c>
      <c r="P664" s="0" t="n">
        <v>4.91</v>
      </c>
      <c r="Q664" s="0" t="n">
        <v>3.55</v>
      </c>
      <c r="R664" s="0" t="n">
        <v>4529</v>
      </c>
      <c r="S664" s="0" t="n">
        <v>7994</v>
      </c>
      <c r="T664" s="0" t="n">
        <v>52.05</v>
      </c>
      <c r="U664" s="0" t="n">
        <v>1335</v>
      </c>
      <c r="V664" s="0" t="n">
        <v>2</v>
      </c>
      <c r="W664" s="27" t="n">
        <f aca="false">MATCH(A664,DATAS,0)</f>
        <v>1</v>
      </c>
      <c r="X664" s="27" t="n">
        <f aca="false">IF(AND(E664&gt;0,OR(AND(B664&gt;=1,B664&lt;=6),B664=10)),1,0)</f>
        <v>1</v>
      </c>
      <c r="Y664" s="27" t="n">
        <f aca="false">IF(AND(E664&gt;0,B664=10),1,0)</f>
        <v>0</v>
      </c>
      <c r="Z664" s="0" t="str">
        <f aca="false">IF(AND(C663=C664,W663=W664-1),X663,"")</f>
        <v/>
      </c>
      <c r="AA664" s="0" t="str">
        <f aca="false">IF(AND(C663=C664,W663=W664-1),Y663,"")</f>
        <v/>
      </c>
      <c r="AB664" s="0" t="str">
        <f aca="false">IF(W664=1,"",IF(AND(X664=1,Z664&lt;&gt;1),1,0))</f>
        <v/>
      </c>
      <c r="AC664" s="0" t="str">
        <f aca="false">IF(W664=1,"",IF(AND(Y664=1,AA664&lt;&gt;1),1,0))</f>
        <v/>
      </c>
      <c r="AD664" s="33" t="str">
        <f aca="false">IF(AND(E664&gt;0,W664&lt;1,NOT(AND(C665=C664,W665=W664+1))),INDEX(DATAS,W664+1),"")</f>
        <v/>
      </c>
      <c r="AE664" s="33" t="str">
        <f aca="false">IF(AND(Y664=1,W664&lt;1),IF(AND(C665=C664,W665=W664+1),IF(Y665=1,"",INDEX(DATAS,W664+1)),INDEX(DATAS,W664+1)),"")</f>
        <v/>
      </c>
    </row>
    <row r="665" customFormat="false" ht="15" hidden="false" customHeight="false" outlineLevel="0" collapsed="false">
      <c r="A665" s="33" t="n">
        <v>46309</v>
      </c>
      <c r="B665" s="0" t="n">
        <v>5</v>
      </c>
      <c r="C665" s="0" t="n">
        <v>4541</v>
      </c>
      <c r="D665" s="0" t="n">
        <v>360</v>
      </c>
      <c r="E665" s="0" t="n">
        <v>2</v>
      </c>
      <c r="F665" s="27" t="s">
        <v>588</v>
      </c>
      <c r="G665" s="0" t="n">
        <v>34.7</v>
      </c>
      <c r="H665" s="0" t="n">
        <v>35</v>
      </c>
      <c r="I665" s="27" t="s">
        <v>138</v>
      </c>
      <c r="J665" s="0" t="n">
        <v>189</v>
      </c>
      <c r="K665" s="0" t="n">
        <v>67</v>
      </c>
      <c r="L665" s="0" t="n">
        <v>171</v>
      </c>
      <c r="M665" s="0" t="n">
        <v>589.35</v>
      </c>
      <c r="N665" s="0" t="n">
        <v>62.28</v>
      </c>
      <c r="O665" s="0" t="n">
        <v>27.7</v>
      </c>
      <c r="P665" s="0" t="n">
        <v>4.48</v>
      </c>
      <c r="Q665" s="0" t="n">
        <v>3.84</v>
      </c>
      <c r="R665" s="0" t="n">
        <v>5418</v>
      </c>
      <c r="S665" s="0" t="n">
        <v>11420</v>
      </c>
      <c r="T665" s="0" t="n">
        <v>58.4</v>
      </c>
      <c r="U665" s="0" t="n">
        <v>1333</v>
      </c>
      <c r="V665" s="0" t="n">
        <v>5</v>
      </c>
      <c r="W665" s="27" t="n">
        <f aca="false">MATCH(A665,DATAS,0)</f>
        <v>1</v>
      </c>
      <c r="X665" s="27" t="n">
        <f aca="false">IF(AND(E665&gt;0,OR(AND(B665&gt;=1,B665&lt;=6),B665=10)),1,0)</f>
        <v>1</v>
      </c>
      <c r="Y665" s="27" t="n">
        <f aca="false">IF(AND(E665&gt;0,B665=10),1,0)</f>
        <v>0</v>
      </c>
      <c r="Z665" s="0" t="str">
        <f aca="false">IF(AND(C664=C665,W664=W665-1),X664,"")</f>
        <v/>
      </c>
      <c r="AA665" s="0" t="str">
        <f aca="false">IF(AND(C664=C665,W664=W665-1),Y664,"")</f>
        <v/>
      </c>
      <c r="AB665" s="0" t="str">
        <f aca="false">IF(W665=1,"",IF(AND(X665=1,Z665&lt;&gt;1),1,0))</f>
        <v/>
      </c>
      <c r="AC665" s="0" t="str">
        <f aca="false">IF(W665=1,"",IF(AND(Y665=1,AA665&lt;&gt;1),1,0))</f>
        <v/>
      </c>
      <c r="AD665" s="33" t="str">
        <f aca="false">IF(AND(E665&gt;0,W665&lt;1,NOT(AND(C666=C665,W666=W665+1))),INDEX(DATAS,W665+1),"")</f>
        <v/>
      </c>
      <c r="AE665" s="33" t="str">
        <f aca="false">IF(AND(Y665=1,W665&lt;1),IF(AND(C666=C665,W666=W665+1),IF(Y666=1,"",INDEX(DATAS,W665+1)),INDEX(DATAS,W665+1)),"")</f>
        <v/>
      </c>
    </row>
    <row r="666" customFormat="false" ht="15" hidden="false" customHeight="false" outlineLevel="0" collapsed="false">
      <c r="A666" s="33" t="n">
        <v>46309</v>
      </c>
      <c r="B666" s="0" t="n">
        <v>6</v>
      </c>
      <c r="C666" s="0" t="n">
        <v>4542</v>
      </c>
      <c r="D666" s="0" t="n">
        <v>268</v>
      </c>
      <c r="E666" s="0" t="n">
        <v>2</v>
      </c>
      <c r="F666" s="27" t="s">
        <v>588</v>
      </c>
      <c r="G666" s="0" t="n">
        <v>21.9</v>
      </c>
      <c r="H666" s="0" t="n">
        <v>22</v>
      </c>
      <c r="I666" s="27" t="s">
        <v>138</v>
      </c>
      <c r="J666" s="0" t="n">
        <v>233</v>
      </c>
      <c r="K666" s="0" t="n">
        <v>86</v>
      </c>
      <c r="L666" s="0" t="n">
        <v>35</v>
      </c>
      <c r="M666" s="0" t="n">
        <v>513.34</v>
      </c>
      <c r="N666" s="0" t="n">
        <v>28.14</v>
      </c>
      <c r="O666" s="0" t="n">
        <v>21.26</v>
      </c>
      <c r="P666" s="0" t="n">
        <v>4.54</v>
      </c>
      <c r="Q666" s="0" t="n">
        <v>3.73</v>
      </c>
      <c r="R666" s="0" t="n">
        <v>3391</v>
      </c>
      <c r="S666" s="0" t="n">
        <v>6663</v>
      </c>
      <c r="T666" s="0" t="n">
        <v>39.75</v>
      </c>
      <c r="U666" s="0" t="n">
        <v>1333</v>
      </c>
      <c r="V666" s="0" t="n">
        <v>4</v>
      </c>
      <c r="W666" s="27" t="n">
        <f aca="false">MATCH(A666,DATAS,0)</f>
        <v>1</v>
      </c>
      <c r="X666" s="27" t="n">
        <f aca="false">IF(AND(E666&gt;0,OR(AND(B666&gt;=1,B666&lt;=6),B666=10)),1,0)</f>
        <v>1</v>
      </c>
      <c r="Y666" s="27" t="n">
        <f aca="false">IF(AND(E666&gt;0,B666=10),1,0)</f>
        <v>0</v>
      </c>
      <c r="Z666" s="0" t="str">
        <f aca="false">IF(AND(C665=C666,W665=W666-1),X665,"")</f>
        <v/>
      </c>
      <c r="AA666" s="0" t="str">
        <f aca="false">IF(AND(C665=C666,W665=W666-1),Y665,"")</f>
        <v/>
      </c>
      <c r="AB666" s="0" t="str">
        <f aca="false">IF(W666=1,"",IF(AND(X666=1,Z666&lt;&gt;1),1,0))</f>
        <v/>
      </c>
      <c r="AC666" s="0" t="str">
        <f aca="false">IF(W666=1,"",IF(AND(Y666=1,AA666&lt;&gt;1),1,0))</f>
        <v/>
      </c>
      <c r="AD666" s="33" t="str">
        <f aca="false">IF(AND(E666&gt;0,W666&lt;1,NOT(AND(C667=C666,W667=W666+1))),INDEX(DATAS,W666+1),"")</f>
        <v/>
      </c>
      <c r="AE666" s="33" t="str">
        <f aca="false">IF(AND(Y666=1,W666&lt;1),IF(AND(C667=C666,W667=W666+1),IF(Y667=1,"",INDEX(DATAS,W666+1)),INDEX(DATAS,W666+1)),"")</f>
        <v/>
      </c>
    </row>
    <row r="667" customFormat="false" ht="15" hidden="false" customHeight="false" outlineLevel="0" collapsed="false">
      <c r="A667" s="33" t="n">
        <v>46309</v>
      </c>
      <c r="B667" s="0" t="n">
        <v>3</v>
      </c>
      <c r="C667" s="0" t="n">
        <v>4544</v>
      </c>
      <c r="D667" s="0" t="n">
        <v>254</v>
      </c>
      <c r="E667" s="0" t="n">
        <v>2</v>
      </c>
      <c r="F667" s="27" t="s">
        <v>589</v>
      </c>
      <c r="G667" s="0" t="n">
        <v>65.1</v>
      </c>
      <c r="H667" s="0" t="n">
        <v>64</v>
      </c>
      <c r="I667" s="27" t="s">
        <v>138</v>
      </c>
      <c r="J667" s="0" t="n">
        <v>65</v>
      </c>
      <c r="K667" s="0" t="n">
        <v>65</v>
      </c>
      <c r="L667" s="0" t="n">
        <v>189</v>
      </c>
      <c r="M667" s="0" t="n">
        <v>512.44</v>
      </c>
      <c r="N667" s="0" t="n">
        <v>57.59</v>
      </c>
      <c r="O667" s="0" t="n">
        <v>29.27</v>
      </c>
      <c r="P667" s="0" t="n">
        <v>3.28</v>
      </c>
      <c r="Q667" s="0" t="n">
        <v>3.48</v>
      </c>
      <c r="R667" s="0" t="n">
        <v>6849</v>
      </c>
      <c r="S667" s="0" t="n">
        <v>14682</v>
      </c>
      <c r="T667" s="0" t="n">
        <v>75.35</v>
      </c>
      <c r="U667" s="0" t="n">
        <v>1332</v>
      </c>
      <c r="V667" s="0" t="n">
        <v>1</v>
      </c>
      <c r="W667" s="27" t="n">
        <f aca="false">MATCH(A667,DATAS,0)</f>
        <v>1</v>
      </c>
      <c r="X667" s="27" t="n">
        <f aca="false">IF(AND(E667&gt;0,OR(AND(B667&gt;=1,B667&lt;=6),B667=10)),1,0)</f>
        <v>1</v>
      </c>
      <c r="Y667" s="27" t="n">
        <f aca="false">IF(AND(E667&gt;0,B667=10),1,0)</f>
        <v>0</v>
      </c>
      <c r="Z667" s="0" t="str">
        <f aca="false">IF(AND(C666=C667,W666=W667-1),X666,"")</f>
        <v/>
      </c>
      <c r="AA667" s="0" t="str">
        <f aca="false">IF(AND(C666=C667,W666=W667-1),Y666,"")</f>
        <v/>
      </c>
      <c r="AB667" s="0" t="str">
        <f aca="false">IF(W667=1,"",IF(AND(X667=1,Z667&lt;&gt;1),1,0))</f>
        <v/>
      </c>
      <c r="AC667" s="0" t="str">
        <f aca="false">IF(W667=1,"",IF(AND(Y667=1,AA667&lt;&gt;1),1,0))</f>
        <v/>
      </c>
      <c r="AD667" s="33" t="str">
        <f aca="false">IF(AND(E667&gt;0,W667&lt;1,NOT(AND(C668=C667,W668=W667+1))),INDEX(DATAS,W667+1),"")</f>
        <v/>
      </c>
      <c r="AE667" s="33" t="str">
        <f aca="false">IF(AND(Y667=1,W667&lt;1),IF(AND(C668=C667,W668=W667+1),IF(Y668=1,"",INDEX(DATAS,W667+1)),INDEX(DATAS,W667+1)),"")</f>
        <v/>
      </c>
    </row>
    <row r="668" customFormat="false" ht="15" hidden="false" customHeight="false" outlineLevel="0" collapsed="false">
      <c r="A668" s="33" t="n">
        <v>46309</v>
      </c>
      <c r="B668" s="0" t="n">
        <v>5</v>
      </c>
      <c r="C668" s="0" t="n">
        <v>4546</v>
      </c>
      <c r="D668" s="0" t="n">
        <v>275</v>
      </c>
      <c r="E668" s="0" t="n">
        <v>2</v>
      </c>
      <c r="F668" s="27" t="s">
        <v>590</v>
      </c>
      <c r="G668" s="0" t="n">
        <v>38.5</v>
      </c>
      <c r="H668" s="0" t="n">
        <v>31</v>
      </c>
      <c r="I668" s="27" t="s">
        <v>138</v>
      </c>
      <c r="J668" s="0" t="n">
        <v>121</v>
      </c>
      <c r="K668" s="0" t="n">
        <v>72</v>
      </c>
      <c r="L668" s="0" t="n">
        <v>154</v>
      </c>
      <c r="M668" s="0" t="n">
        <v>-169.73</v>
      </c>
      <c r="N668" s="0" t="n">
        <v>52.71</v>
      </c>
      <c r="O668" s="0" t="n">
        <v>23.15</v>
      </c>
      <c r="P668" s="0" t="n">
        <v>5.53</v>
      </c>
      <c r="Q668" s="0" t="n">
        <v>4.59</v>
      </c>
      <c r="R668" s="0" t="n">
        <v>4443</v>
      </c>
      <c r="S668" s="0" t="n">
        <v>8841</v>
      </c>
      <c r="T668" s="0" t="n">
        <v>47.2</v>
      </c>
      <c r="U668" s="0" t="n">
        <v>1331</v>
      </c>
      <c r="V668" s="0" t="n">
        <v>2</v>
      </c>
      <c r="W668" s="27" t="n">
        <f aca="false">MATCH(A668,DATAS,0)</f>
        <v>1</v>
      </c>
      <c r="X668" s="27" t="n">
        <f aca="false">IF(AND(E668&gt;0,OR(AND(B668&gt;=1,B668&lt;=6),B668=10)),1,0)</f>
        <v>1</v>
      </c>
      <c r="Y668" s="27" t="n">
        <f aca="false">IF(AND(E668&gt;0,B668=10),1,0)</f>
        <v>0</v>
      </c>
      <c r="Z668" s="0" t="str">
        <f aca="false">IF(AND(C667=C668,W667=W668-1),X667,"")</f>
        <v/>
      </c>
      <c r="AA668" s="0" t="str">
        <f aca="false">IF(AND(C667=C668,W667=W668-1),Y667,"")</f>
        <v/>
      </c>
      <c r="AB668" s="0" t="str">
        <f aca="false">IF(W668=1,"",IF(AND(X668=1,Z668&lt;&gt;1),1,0))</f>
        <v/>
      </c>
      <c r="AC668" s="0" t="str">
        <f aca="false">IF(W668=1,"",IF(AND(Y668=1,AA668&lt;&gt;1),1,0))</f>
        <v/>
      </c>
      <c r="AD668" s="33" t="str">
        <f aca="false">IF(AND(E668&gt;0,W668&lt;1,NOT(AND(C669=C668,W669=W668+1))),INDEX(DATAS,W668+1),"")</f>
        <v/>
      </c>
      <c r="AE668" s="33" t="str">
        <f aca="false">IF(AND(Y668=1,W668&lt;1),IF(AND(C669=C668,W669=W668+1),IF(Y669=1,"",INDEX(DATAS,W668+1)),INDEX(DATAS,W668+1)),"")</f>
        <v/>
      </c>
    </row>
    <row r="669" customFormat="false" ht="15" hidden="false" customHeight="false" outlineLevel="0" collapsed="false">
      <c r="A669" s="33" t="n">
        <v>46309</v>
      </c>
      <c r="B669" s="0" t="n">
        <v>2</v>
      </c>
      <c r="C669" s="0" t="n">
        <v>4547</v>
      </c>
      <c r="D669" s="0" t="n">
        <v>258</v>
      </c>
      <c r="E669" s="0" t="n">
        <v>2</v>
      </c>
      <c r="F669" s="27" t="s">
        <v>590</v>
      </c>
      <c r="G669" s="0" t="n">
        <v>50.3</v>
      </c>
      <c r="H669" s="0" t="n">
        <v>49</v>
      </c>
      <c r="I669" s="27" t="s">
        <v>138</v>
      </c>
      <c r="J669" s="0" t="n">
        <v>125</v>
      </c>
      <c r="K669" s="0" t="n">
        <v>69</v>
      </c>
      <c r="L669" s="0" t="n">
        <v>133</v>
      </c>
      <c r="M669" s="0" t="n">
        <v>785.32</v>
      </c>
      <c r="N669" s="0" t="n">
        <v>64.42</v>
      </c>
      <c r="O669" s="0" t="n">
        <v>35.69</v>
      </c>
      <c r="P669" s="0" t="n">
        <v>3.06</v>
      </c>
      <c r="Q669" s="0" t="n">
        <v>3.65</v>
      </c>
      <c r="R669" s="0" t="n">
        <v>4514</v>
      </c>
      <c r="S669" s="0" t="n">
        <v>10216</v>
      </c>
      <c r="T669" s="0" t="n">
        <v>50.45</v>
      </c>
      <c r="U669" s="0" t="n">
        <v>1331</v>
      </c>
      <c r="V669" s="0" t="n">
        <v>2</v>
      </c>
      <c r="W669" s="27" t="n">
        <f aca="false">MATCH(A669,DATAS,0)</f>
        <v>1</v>
      </c>
      <c r="X669" s="27" t="n">
        <f aca="false">IF(AND(E669&gt;0,OR(AND(B669&gt;=1,B669&lt;=6),B669=10)),1,0)</f>
        <v>1</v>
      </c>
      <c r="Y669" s="27" t="n">
        <f aca="false">IF(AND(E669&gt;0,B669=10),1,0)</f>
        <v>0</v>
      </c>
      <c r="Z669" s="0" t="str">
        <f aca="false">IF(AND(C668=C669,W668=W669-1),X668,"")</f>
        <v/>
      </c>
      <c r="AA669" s="0" t="str">
        <f aca="false">IF(AND(C668=C669,W668=W669-1),Y668,"")</f>
        <v/>
      </c>
      <c r="AB669" s="0" t="str">
        <f aca="false">IF(W669=1,"",IF(AND(X669=1,Z669&lt;&gt;1),1,0))</f>
        <v/>
      </c>
      <c r="AC669" s="0" t="str">
        <f aca="false">IF(W669=1,"",IF(AND(Y669=1,AA669&lt;&gt;1),1,0))</f>
        <v/>
      </c>
      <c r="AD669" s="33" t="str">
        <f aca="false">IF(AND(E669&gt;0,W669&lt;1,NOT(AND(C670=C669,W670=W669+1))),INDEX(DATAS,W669+1),"")</f>
        <v/>
      </c>
      <c r="AE669" s="33" t="str">
        <f aca="false">IF(AND(Y669=1,W669&lt;1),IF(AND(C670=C669,W670=W669+1),IF(Y670=1,"",INDEX(DATAS,W669+1)),INDEX(DATAS,W669+1)),"")</f>
        <v/>
      </c>
    </row>
    <row r="670" customFormat="false" ht="15" hidden="false" customHeight="false" outlineLevel="0" collapsed="false">
      <c r="A670" s="33" t="n">
        <v>46309</v>
      </c>
      <c r="B670" s="0" t="n">
        <v>3</v>
      </c>
      <c r="C670" s="0" t="n">
        <v>4550</v>
      </c>
      <c r="D670" s="0" t="n">
        <v>231</v>
      </c>
      <c r="E670" s="0" t="n">
        <v>2</v>
      </c>
      <c r="F670" s="27" t="s">
        <v>591</v>
      </c>
      <c r="G670" s="0" t="n">
        <v>57.3</v>
      </c>
      <c r="H670" s="0" t="n">
        <v>55</v>
      </c>
      <c r="I670" s="27" t="s">
        <v>138</v>
      </c>
      <c r="J670" s="0" t="n">
        <v>168</v>
      </c>
      <c r="K670" s="0" t="n">
        <v>63</v>
      </c>
      <c r="L670" s="0" t="n">
        <v>63</v>
      </c>
      <c r="M670" s="0" t="n">
        <v>718.07</v>
      </c>
      <c r="N670" s="0" t="n">
        <v>62.83</v>
      </c>
      <c r="O670" s="0" t="n">
        <v>32.94</v>
      </c>
      <c r="P670" s="0" t="n">
        <v>4.71</v>
      </c>
      <c r="Q670" s="0" t="n">
        <v>3.35</v>
      </c>
      <c r="R670" s="0" t="n">
        <v>4965</v>
      </c>
      <c r="S670" s="0" t="n">
        <v>10182</v>
      </c>
      <c r="T670" s="0" t="n">
        <v>55.5</v>
      </c>
      <c r="U670" s="0" t="n">
        <v>1330</v>
      </c>
      <c r="V670" s="0" t="n">
        <v>4</v>
      </c>
      <c r="W670" s="27" t="n">
        <f aca="false">MATCH(A670,DATAS,0)</f>
        <v>1</v>
      </c>
      <c r="X670" s="27" t="n">
        <f aca="false">IF(AND(E670&gt;0,OR(AND(B670&gt;=1,B670&lt;=6),B670=10)),1,0)</f>
        <v>1</v>
      </c>
      <c r="Y670" s="27" t="n">
        <f aca="false">IF(AND(E670&gt;0,B670=10),1,0)</f>
        <v>0</v>
      </c>
      <c r="Z670" s="0" t="str">
        <f aca="false">IF(AND(C669=C670,W669=W670-1),X669,"")</f>
        <v/>
      </c>
      <c r="AA670" s="0" t="str">
        <f aca="false">IF(AND(C669=C670,W669=W670-1),Y669,"")</f>
        <v/>
      </c>
      <c r="AB670" s="0" t="str">
        <f aca="false">IF(W670=1,"",IF(AND(X670=1,Z670&lt;&gt;1),1,0))</f>
        <v/>
      </c>
      <c r="AC670" s="0" t="str">
        <f aca="false">IF(W670=1,"",IF(AND(Y670=1,AA670&lt;&gt;1),1,0))</f>
        <v/>
      </c>
      <c r="AD670" s="33" t="str">
        <f aca="false">IF(AND(E670&gt;0,W670&lt;1,NOT(AND(C671=C670,W671=W670+1))),INDEX(DATAS,W670+1),"")</f>
        <v/>
      </c>
      <c r="AE670" s="33" t="str">
        <f aca="false">IF(AND(Y670=1,W670&lt;1),IF(AND(C671=C670,W671=W670+1),IF(Y671=1,"",INDEX(DATAS,W670+1)),INDEX(DATAS,W670+1)),"")</f>
        <v/>
      </c>
    </row>
    <row r="671" customFormat="false" ht="15" hidden="false" customHeight="false" outlineLevel="0" collapsed="false">
      <c r="A671" s="33" t="n">
        <v>46309</v>
      </c>
      <c r="B671" s="0" t="n">
        <v>3</v>
      </c>
      <c r="C671" s="0" t="n">
        <v>4552</v>
      </c>
      <c r="D671" s="0" t="n">
        <v>270</v>
      </c>
      <c r="E671" s="0" t="n">
        <v>2</v>
      </c>
      <c r="F671" s="27" t="s">
        <v>591</v>
      </c>
      <c r="G671" s="0" t="n">
        <v>51.2</v>
      </c>
      <c r="H671" s="0" t="n">
        <v>51</v>
      </c>
      <c r="I671" s="27" t="s">
        <v>138</v>
      </c>
      <c r="J671" s="0" t="n">
        <v>193</v>
      </c>
      <c r="K671" s="0" t="n">
        <v>74</v>
      </c>
      <c r="L671" s="0" t="n">
        <v>77</v>
      </c>
      <c r="M671" s="0" t="n">
        <v>1038.38</v>
      </c>
      <c r="N671" s="0" t="n">
        <v>28.59</v>
      </c>
      <c r="O671" s="0" t="n">
        <v>32.85</v>
      </c>
      <c r="P671" s="0" t="n">
        <v>4.32</v>
      </c>
      <c r="Q671" s="0" t="n">
        <v>3.57</v>
      </c>
      <c r="R671" s="0" t="n">
        <v>5269</v>
      </c>
      <c r="S671" s="0" t="n">
        <v>11312</v>
      </c>
      <c r="T671" s="0" t="n">
        <v>58.15</v>
      </c>
      <c r="U671" s="0" t="n">
        <v>1330</v>
      </c>
      <c r="V671" s="0" t="n">
        <v>4</v>
      </c>
      <c r="W671" s="27" t="n">
        <f aca="false">MATCH(A671,DATAS,0)</f>
        <v>1</v>
      </c>
      <c r="X671" s="27" t="n">
        <f aca="false">IF(AND(E671&gt;0,OR(AND(B671&gt;=1,B671&lt;=6),B671=10)),1,0)</f>
        <v>1</v>
      </c>
      <c r="Y671" s="27" t="n">
        <f aca="false">IF(AND(E671&gt;0,B671=10),1,0)</f>
        <v>0</v>
      </c>
      <c r="Z671" s="0" t="str">
        <f aca="false">IF(AND(C670=C671,W670=W671-1),X670,"")</f>
        <v/>
      </c>
      <c r="AA671" s="0" t="str">
        <f aca="false">IF(AND(C670=C671,W670=W671-1),Y670,"")</f>
        <v/>
      </c>
      <c r="AB671" s="0" t="str">
        <f aca="false">IF(W671=1,"",IF(AND(X671=1,Z671&lt;&gt;1),1,0))</f>
        <v/>
      </c>
      <c r="AC671" s="0" t="str">
        <f aca="false">IF(W671=1,"",IF(AND(Y671=1,AA671&lt;&gt;1),1,0))</f>
        <v/>
      </c>
      <c r="AD671" s="33" t="str">
        <f aca="false">IF(AND(E671&gt;0,W671&lt;1,NOT(AND(C672=C671,W672=W671+1))),INDEX(DATAS,W671+1),"")</f>
        <v/>
      </c>
      <c r="AE671" s="33" t="str">
        <f aca="false">IF(AND(Y671=1,W671&lt;1),IF(AND(C672=C671,W672=W671+1),IF(Y672=1,"",INDEX(DATAS,W671+1)),INDEX(DATAS,W671+1)),"")</f>
        <v/>
      </c>
    </row>
    <row r="672" customFormat="false" ht="15" hidden="false" customHeight="false" outlineLevel="0" collapsed="false">
      <c r="A672" s="33" t="n">
        <v>46309</v>
      </c>
      <c r="B672" s="0" t="n">
        <v>2</v>
      </c>
      <c r="C672" s="0" t="n">
        <v>4553</v>
      </c>
      <c r="D672" s="0" t="n">
        <v>212</v>
      </c>
      <c r="E672" s="0" t="n">
        <v>2</v>
      </c>
      <c r="F672" s="27" t="s">
        <v>591</v>
      </c>
      <c r="G672" s="0" t="n">
        <v>60.2</v>
      </c>
      <c r="H672" s="0" t="n">
        <v>59</v>
      </c>
      <c r="I672" s="27" t="s">
        <v>138</v>
      </c>
      <c r="J672" s="0" t="n">
        <v>65</v>
      </c>
      <c r="K672" s="0" t="n">
        <v>65</v>
      </c>
      <c r="L672" s="0" t="n">
        <v>147</v>
      </c>
      <c r="M672" s="0" t="n">
        <v>822.46</v>
      </c>
      <c r="N672" s="0" t="n">
        <v>54.96</v>
      </c>
      <c r="O672" s="0" t="n">
        <v>28.67</v>
      </c>
      <c r="P672" s="0" t="n">
        <v>2.52</v>
      </c>
      <c r="Q672" s="0" t="n">
        <v>3.14</v>
      </c>
      <c r="R672" s="0" t="n">
        <v>5607</v>
      </c>
      <c r="S672" s="0" t="n">
        <v>12285</v>
      </c>
      <c r="T672" s="0" t="n">
        <v>65.75</v>
      </c>
      <c r="U672" s="0" t="n">
        <v>1330</v>
      </c>
      <c r="V672" s="0" t="n">
        <v>1</v>
      </c>
      <c r="W672" s="27" t="n">
        <f aca="false">MATCH(A672,DATAS,0)</f>
        <v>1</v>
      </c>
      <c r="X672" s="27" t="n">
        <f aca="false">IF(AND(E672&gt;0,OR(AND(B672&gt;=1,B672&lt;=6),B672=10)),1,0)</f>
        <v>1</v>
      </c>
      <c r="Y672" s="27" t="n">
        <f aca="false">IF(AND(E672&gt;0,B672=10),1,0)</f>
        <v>0</v>
      </c>
      <c r="Z672" s="0" t="str">
        <f aca="false">IF(AND(C671=C672,W671=W672-1),X671,"")</f>
        <v/>
      </c>
      <c r="AA672" s="0" t="str">
        <f aca="false">IF(AND(C671=C672,W671=W672-1),Y671,"")</f>
        <v/>
      </c>
      <c r="AB672" s="0" t="str">
        <f aca="false">IF(W672=1,"",IF(AND(X672=1,Z672&lt;&gt;1),1,0))</f>
        <v/>
      </c>
      <c r="AC672" s="0" t="str">
        <f aca="false">IF(W672=1,"",IF(AND(Y672=1,AA672&lt;&gt;1),1,0))</f>
        <v/>
      </c>
      <c r="AD672" s="33" t="str">
        <f aca="false">IF(AND(E672&gt;0,W672&lt;1,NOT(AND(C673=C672,W673=W672+1))),INDEX(DATAS,W672+1),"")</f>
        <v/>
      </c>
      <c r="AE672" s="33" t="str">
        <f aca="false">IF(AND(Y672=1,W672&lt;1),IF(AND(C673=C672,W673=W672+1),IF(Y673=1,"",INDEX(DATAS,W672+1)),INDEX(DATAS,W672+1)),"")</f>
        <v/>
      </c>
    </row>
    <row r="673" customFormat="false" ht="15" hidden="false" customHeight="false" outlineLevel="0" collapsed="false">
      <c r="A673" s="33" t="n">
        <v>46309</v>
      </c>
      <c r="B673" s="0" t="n">
        <v>3</v>
      </c>
      <c r="C673" s="0" t="n">
        <v>4554</v>
      </c>
      <c r="D673" s="0" t="n">
        <v>50</v>
      </c>
      <c r="E673" s="0" t="n">
        <v>2</v>
      </c>
      <c r="F673" s="27" t="s">
        <v>592</v>
      </c>
      <c r="G673" s="0" t="n">
        <v>57.4</v>
      </c>
      <c r="H673" s="0" t="n">
        <v>62</v>
      </c>
      <c r="I673" s="27" t="s">
        <v>147</v>
      </c>
      <c r="J673" s="0" t="n">
        <v>50</v>
      </c>
      <c r="M673" s="0" t="n">
        <v>86.66</v>
      </c>
      <c r="N673" s="0" t="n">
        <v>68.69</v>
      </c>
      <c r="O673" s="0" t="n">
        <v>30.38</v>
      </c>
      <c r="P673" s="0" t="n">
        <v>3.9</v>
      </c>
      <c r="Q673" s="0" t="n">
        <v>3.42</v>
      </c>
      <c r="R673" s="0" t="n">
        <v>5353</v>
      </c>
      <c r="S673" s="0" t="n">
        <v>10761</v>
      </c>
      <c r="U673" s="0" t="n">
        <v>1329</v>
      </c>
      <c r="V673" s="0" t="n">
        <v>0</v>
      </c>
      <c r="W673" s="27" t="n">
        <f aca="false">MATCH(A673,DATAS,0)</f>
        <v>1</v>
      </c>
      <c r="X673" s="27" t="n">
        <f aca="false">IF(AND(E673&gt;0,OR(AND(B673&gt;=1,B673&lt;=6),B673=10)),1,0)</f>
        <v>1</v>
      </c>
      <c r="Y673" s="27" t="n">
        <f aca="false">IF(AND(E673&gt;0,B673=10),1,0)</f>
        <v>0</v>
      </c>
      <c r="Z673" s="0" t="str">
        <f aca="false">IF(AND(C672=C673,W672=W673-1),X672,"")</f>
        <v/>
      </c>
      <c r="AA673" s="0" t="str">
        <f aca="false">IF(AND(C672=C673,W672=W673-1),Y672,"")</f>
        <v/>
      </c>
      <c r="AB673" s="0" t="str">
        <f aca="false">IF(W673=1,"",IF(AND(X673=1,Z673&lt;&gt;1),1,0))</f>
        <v/>
      </c>
      <c r="AC673" s="0" t="str">
        <f aca="false">IF(W673=1,"",IF(AND(Y673=1,AA673&lt;&gt;1),1,0))</f>
        <v/>
      </c>
      <c r="AD673" s="33" t="str">
        <f aca="false">IF(AND(E673&gt;0,W673&lt;1,NOT(AND(C674=C673,W674=W673+1))),INDEX(DATAS,W673+1),"")</f>
        <v/>
      </c>
      <c r="AE673" s="33" t="str">
        <f aca="false">IF(AND(Y673=1,W673&lt;1),IF(AND(C674=C673,W674=W673+1),IF(Y674=1,"",INDEX(DATAS,W673+1)),INDEX(DATAS,W673+1)),"")</f>
        <v/>
      </c>
    </row>
    <row r="674" customFormat="false" ht="15" hidden="false" customHeight="false" outlineLevel="0" collapsed="false">
      <c r="A674" s="33" t="n">
        <v>46309</v>
      </c>
      <c r="B674" s="0" t="n">
        <v>6</v>
      </c>
      <c r="C674" s="0" t="n">
        <v>4555</v>
      </c>
      <c r="D674" s="0" t="n">
        <v>666</v>
      </c>
      <c r="E674" s="0" t="n">
        <v>1</v>
      </c>
      <c r="F674" s="27" t="s">
        <v>592</v>
      </c>
      <c r="G674" s="0" t="n">
        <v>19.5</v>
      </c>
      <c r="H674" s="0" t="n">
        <v>18</v>
      </c>
      <c r="I674" s="27" t="s">
        <v>151</v>
      </c>
      <c r="J674" s="0" t="n">
        <v>666</v>
      </c>
      <c r="K674" s="0" t="n">
        <v>72</v>
      </c>
      <c r="M674" s="0" t="n">
        <v>730.32</v>
      </c>
      <c r="N674" s="0" t="n">
        <v>87.13</v>
      </c>
      <c r="O674" s="0" t="n">
        <v>46.33</v>
      </c>
      <c r="P674" s="0" t="n">
        <v>6.03</v>
      </c>
      <c r="Q674" s="0" t="n">
        <v>4.79</v>
      </c>
      <c r="R674" s="0" t="n">
        <v>3778</v>
      </c>
      <c r="S674" s="0" t="n">
        <v>8245</v>
      </c>
      <c r="T674" s="0" t="n">
        <v>39.3</v>
      </c>
      <c r="U674" s="0" t="n">
        <v>1329</v>
      </c>
      <c r="V674" s="0" t="n">
        <v>11</v>
      </c>
      <c r="W674" s="27" t="n">
        <f aca="false">MATCH(A674,DATAS,0)</f>
        <v>1</v>
      </c>
      <c r="X674" s="27" t="n">
        <f aca="false">IF(AND(E674&gt;0,OR(AND(B674&gt;=1,B674&lt;=6),B674=10)),1,0)</f>
        <v>1</v>
      </c>
      <c r="Y674" s="27" t="n">
        <f aca="false">IF(AND(E674&gt;0,B674=10),1,0)</f>
        <v>0</v>
      </c>
      <c r="Z674" s="0" t="str">
        <f aca="false">IF(AND(C673=C674,W673=W674-1),X673,"")</f>
        <v/>
      </c>
      <c r="AA674" s="0" t="str">
        <f aca="false">IF(AND(C673=C674,W673=W674-1),Y673,"")</f>
        <v/>
      </c>
      <c r="AB674" s="0" t="str">
        <f aca="false">IF(W674=1,"",IF(AND(X674=1,Z674&lt;&gt;1),1,0))</f>
        <v/>
      </c>
      <c r="AC674" s="0" t="str">
        <f aca="false">IF(W674=1,"",IF(AND(Y674=1,AA674&lt;&gt;1),1,0))</f>
        <v/>
      </c>
      <c r="AD674" s="33" t="str">
        <f aca="false">IF(AND(E674&gt;0,W674&lt;1,NOT(AND(C675=C674,W675=W674+1))),INDEX(DATAS,W674+1),"")</f>
        <v/>
      </c>
      <c r="AE674" s="33" t="str">
        <f aca="false">IF(AND(Y674=1,W674&lt;1),IF(AND(C675=C674,W675=W674+1),IF(Y675=1,"",INDEX(DATAS,W674+1)),INDEX(DATAS,W674+1)),"")</f>
        <v/>
      </c>
    </row>
    <row r="675" customFormat="false" ht="15" hidden="false" customHeight="false" outlineLevel="0" collapsed="false">
      <c r="A675" s="33" t="n">
        <v>46309</v>
      </c>
      <c r="B675" s="0" t="n">
        <v>14</v>
      </c>
      <c r="C675" s="0" t="n">
        <v>4556</v>
      </c>
      <c r="D675" s="0" t="n">
        <v>287</v>
      </c>
      <c r="E675" s="0" t="n">
        <v>2</v>
      </c>
      <c r="F675" s="27" t="s">
        <v>592</v>
      </c>
      <c r="I675" s="27" t="s">
        <v>143</v>
      </c>
      <c r="J675" s="0" t="n">
        <v>64</v>
      </c>
      <c r="K675" s="0" t="n">
        <v>64</v>
      </c>
      <c r="L675" s="0" t="n">
        <v>266</v>
      </c>
      <c r="M675" s="0" t="n">
        <v>1296.89</v>
      </c>
      <c r="N675" s="0" t="n">
        <v>44.61</v>
      </c>
      <c r="O675" s="0" t="n">
        <v>35.34</v>
      </c>
      <c r="P675" s="0" t="n">
        <v>4.45</v>
      </c>
      <c r="Q675" s="0" t="n">
        <v>3.13</v>
      </c>
      <c r="R675" s="0" t="n">
        <v>4829</v>
      </c>
      <c r="S675" s="0" t="n">
        <v>9912</v>
      </c>
      <c r="T675" s="0" t="n">
        <v>46.05</v>
      </c>
      <c r="U675" s="0" t="n">
        <v>1329</v>
      </c>
      <c r="V675" s="0" t="n">
        <v>1</v>
      </c>
      <c r="W675" s="27" t="n">
        <f aca="false">MATCH(A675,DATAS,0)</f>
        <v>1</v>
      </c>
      <c r="X675" s="27" t="n">
        <f aca="false">IF(AND(E675&gt;0,OR(AND(B675&gt;=1,B675&lt;=6),B675=10)),1,0)</f>
        <v>0</v>
      </c>
      <c r="Y675" s="27" t="n">
        <f aca="false">IF(AND(E675&gt;0,B675=10),1,0)</f>
        <v>0</v>
      </c>
      <c r="Z675" s="0" t="str">
        <f aca="false">IF(AND(C674=C675,W674=W675-1),X674,"")</f>
        <v/>
      </c>
      <c r="AA675" s="0" t="str">
        <f aca="false">IF(AND(C674=C675,W674=W675-1),Y674,"")</f>
        <v/>
      </c>
      <c r="AB675" s="0" t="str">
        <f aca="false">IF(W675=1,"",IF(AND(X675=1,Z675&lt;&gt;1),1,0))</f>
        <v/>
      </c>
      <c r="AC675" s="0" t="str">
        <f aca="false">IF(W675=1,"",IF(AND(Y675=1,AA675&lt;&gt;1),1,0))</f>
        <v/>
      </c>
      <c r="AD675" s="33" t="str">
        <f aca="false">IF(AND(E675&gt;0,W675&lt;1,NOT(AND(C676=C675,W676=W675+1))),INDEX(DATAS,W675+1),"")</f>
        <v/>
      </c>
      <c r="AE675" s="33" t="str">
        <f aca="false">IF(AND(Y675=1,W675&lt;1),IF(AND(C676=C675,W676=W675+1),IF(Y676=1,"",INDEX(DATAS,W675+1)),INDEX(DATAS,W675+1)),"")</f>
        <v/>
      </c>
    </row>
    <row r="676" customFormat="false" ht="15" hidden="false" customHeight="false" outlineLevel="0" collapsed="false">
      <c r="A676" s="33" t="n">
        <v>46309</v>
      </c>
      <c r="B676" s="0" t="n">
        <v>5</v>
      </c>
      <c r="C676" s="0" t="n">
        <v>4557</v>
      </c>
      <c r="D676" s="0" t="n">
        <v>148</v>
      </c>
      <c r="E676" s="0" t="n">
        <v>2</v>
      </c>
      <c r="F676" s="27" t="s">
        <v>593</v>
      </c>
      <c r="G676" s="0" t="n">
        <v>38.9</v>
      </c>
      <c r="H676" s="0" t="n">
        <v>35</v>
      </c>
      <c r="I676" s="27" t="s">
        <v>176</v>
      </c>
      <c r="J676" s="0" t="n">
        <v>148</v>
      </c>
      <c r="K676" s="0" t="n">
        <v>64</v>
      </c>
      <c r="M676" s="0" t="n">
        <v>822.32</v>
      </c>
      <c r="N676" s="0" t="n">
        <v>41.77</v>
      </c>
      <c r="O676" s="0" t="n">
        <v>35.74</v>
      </c>
      <c r="P676" s="0" t="n">
        <v>3.52</v>
      </c>
      <c r="Q676" s="0" t="n">
        <v>4.1</v>
      </c>
      <c r="R676" s="0" t="n">
        <v>4335</v>
      </c>
      <c r="S676" s="0" t="n">
        <v>7960</v>
      </c>
      <c r="T676" s="0" t="n">
        <v>46.55</v>
      </c>
      <c r="U676" s="0" t="n">
        <v>1328</v>
      </c>
      <c r="V676" s="0" t="n">
        <v>2</v>
      </c>
      <c r="W676" s="27" t="n">
        <f aca="false">MATCH(A676,DATAS,0)</f>
        <v>1</v>
      </c>
      <c r="X676" s="27" t="n">
        <f aca="false">IF(AND(E676&gt;0,OR(AND(B676&gt;=1,B676&lt;=6),B676=10)),1,0)</f>
        <v>1</v>
      </c>
      <c r="Y676" s="27" t="n">
        <f aca="false">IF(AND(E676&gt;0,B676=10),1,0)</f>
        <v>0</v>
      </c>
      <c r="Z676" s="0" t="str">
        <f aca="false">IF(AND(C675=C676,W675=W676-1),X675,"")</f>
        <v/>
      </c>
      <c r="AA676" s="0" t="str">
        <f aca="false">IF(AND(C675=C676,W675=W676-1),Y675,"")</f>
        <v/>
      </c>
      <c r="AB676" s="0" t="str">
        <f aca="false">IF(W676=1,"",IF(AND(X676=1,Z676&lt;&gt;1),1,0))</f>
        <v/>
      </c>
      <c r="AC676" s="0" t="str">
        <f aca="false">IF(W676=1,"",IF(AND(Y676=1,AA676&lt;&gt;1),1,0))</f>
        <v/>
      </c>
      <c r="AD676" s="33" t="str">
        <f aca="false">IF(AND(E676&gt;0,W676&lt;1,NOT(AND(C677=C676,W677=W676+1))),INDEX(DATAS,W676+1),"")</f>
        <v/>
      </c>
      <c r="AE676" s="33" t="str">
        <f aca="false">IF(AND(Y676=1,W676&lt;1),IF(AND(C677=C676,W677=W676+1),IF(Y677=1,"",INDEX(DATAS,W676+1)),INDEX(DATAS,W676+1)),"")</f>
        <v/>
      </c>
    </row>
    <row r="677" customFormat="false" ht="15" hidden="false" customHeight="false" outlineLevel="0" collapsed="false">
      <c r="A677" s="33" t="n">
        <v>46309</v>
      </c>
      <c r="B677" s="0" t="n">
        <v>5</v>
      </c>
      <c r="C677" s="0" t="n">
        <v>4558</v>
      </c>
      <c r="D677" s="0" t="n">
        <v>28</v>
      </c>
      <c r="E677" s="0" t="n">
        <v>3</v>
      </c>
      <c r="F677" s="27" t="s">
        <v>593</v>
      </c>
      <c r="G677" s="0" t="n">
        <v>36.4</v>
      </c>
      <c r="H677" s="0" t="n">
        <v>34</v>
      </c>
      <c r="I677" s="27" t="s">
        <v>147</v>
      </c>
      <c r="J677" s="0" t="n">
        <v>28</v>
      </c>
      <c r="M677" s="0" t="n">
        <v>224.16</v>
      </c>
      <c r="N677" s="0" t="n">
        <v>40.85</v>
      </c>
      <c r="O677" s="0" t="n">
        <v>24.97</v>
      </c>
      <c r="P677" s="0" t="n">
        <v>0</v>
      </c>
      <c r="Q677" s="0" t="n">
        <v>0</v>
      </c>
      <c r="R677" s="0" t="n">
        <v>2852</v>
      </c>
      <c r="S677" s="0" t="n">
        <v>5734</v>
      </c>
      <c r="U677" s="0" t="n">
        <v>1328</v>
      </c>
      <c r="V677" s="0" t="n">
        <v>0</v>
      </c>
      <c r="W677" s="27" t="n">
        <f aca="false">MATCH(A677,DATAS,0)</f>
        <v>1</v>
      </c>
      <c r="X677" s="27" t="n">
        <f aca="false">IF(AND(E677&gt;0,OR(AND(B677&gt;=1,B677&lt;=6),B677=10)),1,0)</f>
        <v>1</v>
      </c>
      <c r="Y677" s="27" t="n">
        <f aca="false">IF(AND(E677&gt;0,B677=10),1,0)</f>
        <v>0</v>
      </c>
      <c r="Z677" s="0" t="str">
        <f aca="false">IF(AND(C676=C677,W676=W677-1),X676,"")</f>
        <v/>
      </c>
      <c r="AA677" s="0" t="str">
        <f aca="false">IF(AND(C676=C677,W676=W677-1),Y676,"")</f>
        <v/>
      </c>
      <c r="AB677" s="0" t="str">
        <f aca="false">IF(W677=1,"",IF(AND(X677=1,Z677&lt;&gt;1),1,0))</f>
        <v/>
      </c>
      <c r="AC677" s="0" t="str">
        <f aca="false">IF(W677=1,"",IF(AND(Y677=1,AA677&lt;&gt;1),1,0))</f>
        <v/>
      </c>
      <c r="AD677" s="33" t="str">
        <f aca="false">IF(AND(E677&gt;0,W677&lt;1,NOT(AND(C678=C677,W678=W677+1))),INDEX(DATAS,W677+1),"")</f>
        <v/>
      </c>
      <c r="AE677" s="33" t="str">
        <f aca="false">IF(AND(Y677=1,W677&lt;1),IF(AND(C678=C677,W678=W677+1),IF(Y678=1,"",INDEX(DATAS,W677+1)),INDEX(DATAS,W677+1)),"")</f>
        <v/>
      </c>
    </row>
    <row r="678" customFormat="false" ht="15" hidden="false" customHeight="false" outlineLevel="0" collapsed="false">
      <c r="A678" s="33" t="n">
        <v>46309</v>
      </c>
      <c r="B678" s="0" t="n">
        <v>10</v>
      </c>
      <c r="C678" s="0" t="n">
        <v>4559</v>
      </c>
      <c r="D678" s="0" t="n">
        <v>295</v>
      </c>
      <c r="E678" s="0" t="n">
        <v>2</v>
      </c>
      <c r="F678" s="27" t="s">
        <v>593</v>
      </c>
      <c r="H678" s="0" t="n">
        <v>25</v>
      </c>
      <c r="I678" s="27" t="s">
        <v>176</v>
      </c>
      <c r="J678" s="0" t="n">
        <v>295</v>
      </c>
      <c r="K678" s="0" t="n">
        <v>64</v>
      </c>
      <c r="M678" s="0" t="n">
        <v>311.64</v>
      </c>
      <c r="N678" s="0" t="n">
        <v>50.78</v>
      </c>
      <c r="O678" s="0" t="n">
        <v>24.78</v>
      </c>
      <c r="P678" s="0" t="n">
        <v>4.5</v>
      </c>
      <c r="Q678" s="0" t="n">
        <v>4.2</v>
      </c>
      <c r="R678" s="0" t="n">
        <v>5204</v>
      </c>
      <c r="S678" s="0" t="n">
        <v>10894</v>
      </c>
      <c r="T678" s="0" t="n">
        <v>57.25</v>
      </c>
      <c r="U678" s="0" t="n">
        <v>1328</v>
      </c>
      <c r="V678" s="0" t="n">
        <v>5</v>
      </c>
      <c r="W678" s="27" t="n">
        <f aca="false">MATCH(A678,DATAS,0)</f>
        <v>1</v>
      </c>
      <c r="X678" s="27" t="n">
        <f aca="false">IF(AND(E678&gt;0,OR(AND(B678&gt;=1,B678&lt;=6),B678=10)),1,0)</f>
        <v>1</v>
      </c>
      <c r="Y678" s="27" t="n">
        <f aca="false">IF(AND(E678&gt;0,B678=10),1,0)</f>
        <v>1</v>
      </c>
      <c r="Z678" s="0" t="str">
        <f aca="false">IF(AND(C677=C678,W677=W678-1),X677,"")</f>
        <v/>
      </c>
      <c r="AA678" s="0" t="str">
        <f aca="false">IF(AND(C677=C678,W677=W678-1),Y677,"")</f>
        <v/>
      </c>
      <c r="AB678" s="0" t="str">
        <f aca="false">IF(W678=1,"",IF(AND(X678=1,Z678&lt;&gt;1),1,0))</f>
        <v/>
      </c>
      <c r="AC678" s="0" t="str">
        <f aca="false">IF(W678=1,"",IF(AND(Y678=1,AA678&lt;&gt;1),1,0))</f>
        <v/>
      </c>
      <c r="AD678" s="33" t="str">
        <f aca="false">IF(AND(E678&gt;0,W678&lt;1,NOT(AND(C679=C678,W679=W678+1))),INDEX(DATAS,W678+1),"")</f>
        <v/>
      </c>
      <c r="AE678" s="33" t="str">
        <f aca="false">IF(AND(Y678=1,W678&lt;1),IF(AND(C679=C678,W679=W678+1),IF(Y679=1,"",INDEX(DATAS,W678+1)),INDEX(DATAS,W678+1)),"")</f>
        <v/>
      </c>
    </row>
    <row r="679" customFormat="false" ht="15" hidden="false" customHeight="false" outlineLevel="0" collapsed="false">
      <c r="A679" s="33" t="n">
        <v>46309</v>
      </c>
      <c r="B679" s="0" t="n">
        <v>10</v>
      </c>
      <c r="C679" s="0" t="n">
        <v>4560</v>
      </c>
      <c r="D679" s="0" t="n">
        <v>216</v>
      </c>
      <c r="E679" s="0" t="n">
        <v>2</v>
      </c>
      <c r="F679" s="27" t="s">
        <v>593</v>
      </c>
      <c r="H679" s="0" t="n">
        <v>20</v>
      </c>
      <c r="I679" s="27" t="s">
        <v>138</v>
      </c>
      <c r="J679" s="0" t="n">
        <v>132</v>
      </c>
      <c r="K679" s="0" t="n">
        <v>69</v>
      </c>
      <c r="L679" s="0" t="n">
        <v>84</v>
      </c>
      <c r="M679" s="0" t="n">
        <v>785.65</v>
      </c>
      <c r="N679" s="0" t="n">
        <v>51.8</v>
      </c>
      <c r="O679" s="0" t="n">
        <v>40.84</v>
      </c>
      <c r="P679" s="0" t="n">
        <v>5.59</v>
      </c>
      <c r="Q679" s="0" t="n">
        <v>3.97</v>
      </c>
      <c r="R679" s="0" t="n">
        <v>4878</v>
      </c>
      <c r="S679" s="0" t="n">
        <v>9857</v>
      </c>
      <c r="T679" s="0" t="n">
        <v>58.55</v>
      </c>
      <c r="U679" s="0" t="n">
        <v>1328</v>
      </c>
      <c r="V679" s="0" t="n">
        <v>3</v>
      </c>
      <c r="W679" s="27" t="n">
        <f aca="false">MATCH(A679,DATAS,0)</f>
        <v>1</v>
      </c>
      <c r="X679" s="27" t="n">
        <f aca="false">IF(AND(E679&gt;0,OR(AND(B679&gt;=1,B679&lt;=6),B679=10)),1,0)</f>
        <v>1</v>
      </c>
      <c r="Y679" s="27" t="n">
        <f aca="false">IF(AND(E679&gt;0,B679=10),1,0)</f>
        <v>1</v>
      </c>
      <c r="Z679" s="0" t="str">
        <f aca="false">IF(AND(C678=C679,W678=W679-1),X678,"")</f>
        <v/>
      </c>
      <c r="AA679" s="0" t="str">
        <f aca="false">IF(AND(C678=C679,W678=W679-1),Y678,"")</f>
        <v/>
      </c>
      <c r="AB679" s="0" t="str">
        <f aca="false">IF(W679=1,"",IF(AND(X679=1,Z679&lt;&gt;1),1,0))</f>
        <v/>
      </c>
      <c r="AC679" s="0" t="str">
        <f aca="false">IF(W679=1,"",IF(AND(Y679=1,AA679&lt;&gt;1),1,0))</f>
        <v/>
      </c>
      <c r="AD679" s="33" t="str">
        <f aca="false">IF(AND(E679&gt;0,W679&lt;1,NOT(AND(C680=C679,W680=W679+1))),INDEX(DATAS,W679+1),"")</f>
        <v/>
      </c>
      <c r="AE679" s="33" t="str">
        <f aca="false">IF(AND(Y679=1,W679&lt;1),IF(AND(C680=C679,W680=W679+1),IF(Y680=1,"",INDEX(DATAS,W679+1)),INDEX(DATAS,W679+1)),"")</f>
        <v/>
      </c>
    </row>
    <row r="680" customFormat="false" ht="15" hidden="false" customHeight="false" outlineLevel="0" collapsed="false">
      <c r="A680" s="33" t="n">
        <v>46309</v>
      </c>
      <c r="B680" s="0" t="n">
        <v>7</v>
      </c>
      <c r="C680" s="0" t="n">
        <v>4562</v>
      </c>
      <c r="D680" s="0" t="n">
        <v>268</v>
      </c>
      <c r="E680" s="0" t="n">
        <v>2</v>
      </c>
      <c r="F680" s="27" t="s">
        <v>593</v>
      </c>
      <c r="I680" s="27" t="s">
        <v>143</v>
      </c>
      <c r="J680" s="0" t="n">
        <v>94</v>
      </c>
      <c r="K680" s="0" t="n">
        <v>94</v>
      </c>
      <c r="L680" s="0" t="n">
        <v>245</v>
      </c>
      <c r="M680" s="0" t="n">
        <v>488.72</v>
      </c>
      <c r="N680" s="0" t="n">
        <v>40.99</v>
      </c>
      <c r="O680" s="0" t="n">
        <v>32.93</v>
      </c>
      <c r="P680" s="0" t="n">
        <v>4.69</v>
      </c>
      <c r="Q680" s="0" t="n">
        <v>3.79</v>
      </c>
      <c r="R680" s="0" t="n">
        <v>2967</v>
      </c>
      <c r="S680" s="0" t="n">
        <v>6418</v>
      </c>
      <c r="T680" s="0" t="n">
        <v>34.15</v>
      </c>
      <c r="U680" s="0" t="n">
        <v>1328</v>
      </c>
      <c r="V680" s="0" t="n">
        <v>1</v>
      </c>
      <c r="W680" s="27" t="n">
        <f aca="false">MATCH(A680,DATAS,0)</f>
        <v>1</v>
      </c>
      <c r="X680" s="27" t="n">
        <f aca="false">IF(AND(E680&gt;0,OR(AND(B680&gt;=1,B680&lt;=6),B680=10)),1,0)</f>
        <v>0</v>
      </c>
      <c r="Y680" s="27" t="n">
        <f aca="false">IF(AND(E680&gt;0,B680=10),1,0)</f>
        <v>0</v>
      </c>
      <c r="Z680" s="0" t="str">
        <f aca="false">IF(AND(C679=C680,W679=W680-1),X679,"")</f>
        <v/>
      </c>
      <c r="AA680" s="0" t="str">
        <f aca="false">IF(AND(C679=C680,W679=W680-1),Y679,"")</f>
        <v/>
      </c>
      <c r="AB680" s="0" t="str">
        <f aca="false">IF(W680=1,"",IF(AND(X680=1,Z680&lt;&gt;1),1,0))</f>
        <v/>
      </c>
      <c r="AC680" s="0" t="str">
        <f aca="false">IF(W680=1,"",IF(AND(Y680=1,AA680&lt;&gt;1),1,0))</f>
        <v/>
      </c>
      <c r="AD680" s="33" t="str">
        <f aca="false">IF(AND(E680&gt;0,W680&lt;1,NOT(AND(C681=C680,W681=W680+1))),INDEX(DATAS,W680+1),"")</f>
        <v/>
      </c>
      <c r="AE680" s="33" t="str">
        <f aca="false">IF(AND(Y680=1,W680&lt;1),IF(AND(C681=C680,W681=W680+1),IF(Y681=1,"",INDEX(DATAS,W680+1)),INDEX(DATAS,W680+1)),"")</f>
        <v/>
      </c>
    </row>
    <row r="681" customFormat="false" ht="15" hidden="false" customHeight="false" outlineLevel="0" collapsed="false">
      <c r="A681" s="33" t="n">
        <v>46309</v>
      </c>
      <c r="B681" s="0" t="n">
        <v>2</v>
      </c>
      <c r="C681" s="0" t="n">
        <v>4563</v>
      </c>
      <c r="D681" s="0" t="n">
        <v>153</v>
      </c>
      <c r="E681" s="0" t="n">
        <v>2</v>
      </c>
      <c r="F681" s="27" t="s">
        <v>594</v>
      </c>
      <c r="G681" s="0" t="n">
        <v>54.3</v>
      </c>
      <c r="H681" s="0" t="n">
        <v>54</v>
      </c>
      <c r="I681" s="27" t="s">
        <v>138</v>
      </c>
      <c r="J681" s="0" t="n">
        <v>104</v>
      </c>
      <c r="K681" s="0" t="n">
        <v>69</v>
      </c>
      <c r="L681" s="0" t="n">
        <v>49</v>
      </c>
      <c r="M681" s="0" t="n">
        <v>1107.55</v>
      </c>
      <c r="N681" s="0" t="n">
        <v>41.38</v>
      </c>
      <c r="O681" s="0" t="n">
        <v>25.35</v>
      </c>
      <c r="P681" s="0" t="n">
        <v>2.84</v>
      </c>
      <c r="Q681" s="0" t="n">
        <v>3.05</v>
      </c>
      <c r="R681" s="0" t="n">
        <v>5470</v>
      </c>
      <c r="S681" s="0" t="n">
        <v>11431</v>
      </c>
      <c r="T681" s="0" t="n">
        <v>60</v>
      </c>
      <c r="U681" s="0" t="n">
        <v>1326</v>
      </c>
      <c r="V681" s="0" t="n">
        <v>2</v>
      </c>
      <c r="W681" s="27" t="n">
        <f aca="false">MATCH(A681,DATAS,0)</f>
        <v>1</v>
      </c>
      <c r="X681" s="27" t="n">
        <f aca="false">IF(AND(E681&gt;0,OR(AND(B681&gt;=1,B681&lt;=6),B681=10)),1,0)</f>
        <v>1</v>
      </c>
      <c r="Y681" s="27" t="n">
        <f aca="false">IF(AND(E681&gt;0,B681=10),1,0)</f>
        <v>0</v>
      </c>
      <c r="Z681" s="0" t="str">
        <f aca="false">IF(AND(C680=C681,W680=W681-1),X680,"")</f>
        <v/>
      </c>
      <c r="AA681" s="0" t="str">
        <f aca="false">IF(AND(C680=C681,W680=W681-1),Y680,"")</f>
        <v/>
      </c>
      <c r="AB681" s="0" t="str">
        <f aca="false">IF(W681=1,"",IF(AND(X681=1,Z681&lt;&gt;1),1,0))</f>
        <v/>
      </c>
      <c r="AC681" s="0" t="str">
        <f aca="false">IF(W681=1,"",IF(AND(Y681=1,AA681&lt;&gt;1),1,0))</f>
        <v/>
      </c>
      <c r="AD681" s="33" t="str">
        <f aca="false">IF(AND(E681&gt;0,W681&lt;1,NOT(AND(C682=C681,W682=W681+1))),INDEX(DATAS,W681+1),"")</f>
        <v/>
      </c>
      <c r="AE681" s="33" t="str">
        <f aca="false">IF(AND(Y681=1,W681&lt;1),IF(AND(C682=C681,W682=W681+1),IF(Y682=1,"",INDEX(DATAS,W681+1)),INDEX(DATAS,W681+1)),"")</f>
        <v/>
      </c>
    </row>
    <row r="682" customFormat="false" ht="15" hidden="false" customHeight="false" outlineLevel="0" collapsed="false">
      <c r="A682" s="33" t="n">
        <v>46309</v>
      </c>
      <c r="B682" s="0" t="n">
        <v>5</v>
      </c>
      <c r="C682" s="0" t="n">
        <v>4564</v>
      </c>
      <c r="D682" s="0" t="n">
        <v>119</v>
      </c>
      <c r="E682" s="0" t="n">
        <v>2</v>
      </c>
      <c r="F682" s="27" t="s">
        <v>594</v>
      </c>
      <c r="G682" s="0" t="n">
        <v>48.7</v>
      </c>
      <c r="H682" s="0" t="n">
        <v>44</v>
      </c>
      <c r="I682" s="27" t="s">
        <v>176</v>
      </c>
      <c r="J682" s="0" t="n">
        <v>119</v>
      </c>
      <c r="K682" s="0" t="n">
        <v>71</v>
      </c>
      <c r="M682" s="0" t="n">
        <v>577.32</v>
      </c>
      <c r="N682" s="0" t="n">
        <v>32.81</v>
      </c>
      <c r="O682" s="0" t="n">
        <v>19.83</v>
      </c>
      <c r="P682" s="0" t="n">
        <v>3.77</v>
      </c>
      <c r="Q682" s="0" t="n">
        <v>3.05</v>
      </c>
      <c r="R682" s="0" t="n">
        <v>3641</v>
      </c>
      <c r="S682" s="0" t="n">
        <v>7371</v>
      </c>
      <c r="T682" s="0" t="n">
        <v>41.7</v>
      </c>
      <c r="U682" s="0" t="n">
        <v>1326</v>
      </c>
      <c r="V682" s="0" t="n">
        <v>1</v>
      </c>
      <c r="W682" s="27" t="n">
        <f aca="false">MATCH(A682,DATAS,0)</f>
        <v>1</v>
      </c>
      <c r="X682" s="27" t="n">
        <f aca="false">IF(AND(E682&gt;0,OR(AND(B682&gt;=1,B682&lt;=6),B682=10)),1,0)</f>
        <v>1</v>
      </c>
      <c r="Y682" s="27" t="n">
        <f aca="false">IF(AND(E682&gt;0,B682=10),1,0)</f>
        <v>0</v>
      </c>
      <c r="Z682" s="0" t="str">
        <f aca="false">IF(AND(C681=C682,W681=W682-1),X681,"")</f>
        <v/>
      </c>
      <c r="AA682" s="0" t="str">
        <f aca="false">IF(AND(C681=C682,W681=W682-1),Y681,"")</f>
        <v/>
      </c>
      <c r="AB682" s="0" t="str">
        <f aca="false">IF(W682=1,"",IF(AND(X682=1,Z682&lt;&gt;1),1,0))</f>
        <v/>
      </c>
      <c r="AC682" s="0" t="str">
        <f aca="false">IF(W682=1,"",IF(AND(Y682=1,AA682&lt;&gt;1),1,0))</f>
        <v/>
      </c>
      <c r="AD682" s="33" t="str">
        <f aca="false">IF(AND(E682&gt;0,W682&lt;1,NOT(AND(C683=C682,W683=W682+1))),INDEX(DATAS,W682+1),"")</f>
        <v/>
      </c>
      <c r="AE682" s="33" t="str">
        <f aca="false">IF(AND(Y682=1,W682&lt;1),IF(AND(C683=C682,W683=W682+1),IF(Y683=1,"",INDEX(DATAS,W682+1)),INDEX(DATAS,W682+1)),"")</f>
        <v/>
      </c>
    </row>
    <row r="683" customFormat="false" ht="15" hidden="false" customHeight="false" outlineLevel="0" collapsed="false">
      <c r="A683" s="33" t="n">
        <v>46309</v>
      </c>
      <c r="B683" s="0" t="n">
        <v>5</v>
      </c>
      <c r="C683" s="0" t="n">
        <v>4567</v>
      </c>
      <c r="D683" s="0" t="n">
        <v>258</v>
      </c>
      <c r="E683" s="0" t="n">
        <v>2</v>
      </c>
      <c r="F683" s="27" t="s">
        <v>595</v>
      </c>
      <c r="G683" s="0" t="n">
        <v>42.9</v>
      </c>
      <c r="H683" s="0" t="n">
        <v>37</v>
      </c>
      <c r="I683" s="27" t="s">
        <v>138</v>
      </c>
      <c r="J683" s="0" t="n">
        <v>69</v>
      </c>
      <c r="K683" s="0" t="n">
        <v>69</v>
      </c>
      <c r="L683" s="0" t="n">
        <v>189</v>
      </c>
      <c r="M683" s="0" t="n">
        <v>862.21</v>
      </c>
      <c r="N683" s="0" t="n">
        <v>63.29</v>
      </c>
      <c r="O683" s="0" t="n">
        <v>48.36</v>
      </c>
      <c r="P683" s="0" t="n">
        <v>3.67</v>
      </c>
      <c r="Q683" s="0" t="n">
        <v>4.06</v>
      </c>
      <c r="R683" s="0" t="n">
        <v>6165</v>
      </c>
      <c r="S683" s="0" t="n">
        <v>11156</v>
      </c>
      <c r="T683" s="0" t="n">
        <v>67.95</v>
      </c>
      <c r="U683" s="0" t="n">
        <v>1323</v>
      </c>
      <c r="V683" s="0" t="n">
        <v>1</v>
      </c>
      <c r="W683" s="27" t="n">
        <f aca="false">MATCH(A683,DATAS,0)</f>
        <v>1</v>
      </c>
      <c r="X683" s="27" t="n">
        <f aca="false">IF(AND(E683&gt;0,OR(AND(B683&gt;=1,B683&lt;=6),B683=10)),1,0)</f>
        <v>1</v>
      </c>
      <c r="Y683" s="27" t="n">
        <f aca="false">IF(AND(E683&gt;0,B683=10),1,0)</f>
        <v>0</v>
      </c>
      <c r="Z683" s="0" t="str">
        <f aca="false">IF(AND(C682=C683,W682=W683-1),X682,"")</f>
        <v/>
      </c>
      <c r="AA683" s="0" t="str">
        <f aca="false">IF(AND(C682=C683,W682=W683-1),Y682,"")</f>
        <v/>
      </c>
      <c r="AB683" s="0" t="str">
        <f aca="false">IF(W683=1,"",IF(AND(X683=1,Z683&lt;&gt;1),1,0))</f>
        <v/>
      </c>
      <c r="AC683" s="0" t="str">
        <f aca="false">IF(W683=1,"",IF(AND(Y683=1,AA683&lt;&gt;1),1,0))</f>
        <v/>
      </c>
      <c r="AD683" s="33" t="str">
        <f aca="false">IF(AND(E683&gt;0,W683&lt;1,NOT(AND(C684=C683,W684=W683+1))),INDEX(DATAS,W683+1),"")</f>
        <v/>
      </c>
      <c r="AE683" s="33" t="str">
        <f aca="false">IF(AND(Y683=1,W683&lt;1),IF(AND(C684=C683,W684=W683+1),IF(Y684=1,"",INDEX(DATAS,W683+1)),INDEX(DATAS,W683+1)),"")</f>
        <v/>
      </c>
    </row>
    <row r="684" customFormat="false" ht="15" hidden="false" customHeight="false" outlineLevel="0" collapsed="false">
      <c r="A684" s="33" t="n">
        <v>46309</v>
      </c>
      <c r="B684" s="0" t="n">
        <v>14</v>
      </c>
      <c r="C684" s="0" t="n">
        <v>4571</v>
      </c>
      <c r="D684" s="0" t="n">
        <v>290</v>
      </c>
      <c r="E684" s="0" t="n">
        <v>2</v>
      </c>
      <c r="F684" s="27" t="s">
        <v>596</v>
      </c>
      <c r="I684" s="27" t="s">
        <v>143</v>
      </c>
      <c r="J684" s="0" t="n">
        <v>67</v>
      </c>
      <c r="K684" s="0" t="n">
        <v>67</v>
      </c>
      <c r="L684" s="0" t="n">
        <v>266</v>
      </c>
      <c r="M684" s="0" t="n">
        <v>1064.66</v>
      </c>
      <c r="N684" s="0" t="n">
        <v>36.13</v>
      </c>
      <c r="O684" s="0" t="n">
        <v>41.59</v>
      </c>
      <c r="P684" s="0" t="n">
        <v>2.81</v>
      </c>
      <c r="Q684" s="0" t="n">
        <v>4.01</v>
      </c>
      <c r="R684" s="0" t="n">
        <v>4978</v>
      </c>
      <c r="S684" s="0" t="n">
        <v>8973</v>
      </c>
      <c r="T684" s="0" t="n">
        <v>52.95</v>
      </c>
      <c r="U684" s="0" t="n">
        <v>1322</v>
      </c>
      <c r="V684" s="0" t="n">
        <v>1</v>
      </c>
      <c r="W684" s="27" t="n">
        <f aca="false">MATCH(A684,DATAS,0)</f>
        <v>1</v>
      </c>
      <c r="X684" s="27" t="n">
        <f aca="false">IF(AND(E684&gt;0,OR(AND(B684&gt;=1,B684&lt;=6),B684=10)),1,0)</f>
        <v>0</v>
      </c>
      <c r="Y684" s="27" t="n">
        <f aca="false">IF(AND(E684&gt;0,B684=10),1,0)</f>
        <v>0</v>
      </c>
      <c r="Z684" s="0" t="str">
        <f aca="false">IF(AND(C683=C684,W683=W684-1),X683,"")</f>
        <v/>
      </c>
      <c r="AA684" s="0" t="str">
        <f aca="false">IF(AND(C683=C684,W683=W684-1),Y683,"")</f>
        <v/>
      </c>
      <c r="AB684" s="0" t="str">
        <f aca="false">IF(W684=1,"",IF(AND(X684=1,Z684&lt;&gt;1),1,0))</f>
        <v/>
      </c>
      <c r="AC684" s="0" t="str">
        <f aca="false">IF(W684=1,"",IF(AND(Y684=1,AA684&lt;&gt;1),1,0))</f>
        <v/>
      </c>
      <c r="AD684" s="33" t="str">
        <f aca="false">IF(AND(E684&gt;0,W684&lt;1,NOT(AND(C685=C684,W685=W684+1))),INDEX(DATAS,W684+1),"")</f>
        <v/>
      </c>
      <c r="AE684" s="33" t="str">
        <f aca="false">IF(AND(Y684=1,W684&lt;1),IF(AND(C685=C684,W685=W684+1),IF(Y685=1,"",INDEX(DATAS,W684+1)),INDEX(DATAS,W684+1)),"")</f>
        <v/>
      </c>
    </row>
    <row r="685" customFormat="false" ht="15" hidden="false" customHeight="false" outlineLevel="0" collapsed="false">
      <c r="A685" s="33" t="n">
        <v>46309</v>
      </c>
      <c r="B685" s="0" t="n">
        <v>3</v>
      </c>
      <c r="C685" s="0" t="n">
        <v>4572</v>
      </c>
      <c r="D685" s="0" t="n">
        <v>186</v>
      </c>
      <c r="E685" s="0" t="n">
        <v>2</v>
      </c>
      <c r="F685" s="27" t="s">
        <v>597</v>
      </c>
      <c r="G685" s="0" t="n">
        <v>54.2</v>
      </c>
      <c r="H685" s="0" t="n">
        <v>56</v>
      </c>
      <c r="I685" s="27" t="s">
        <v>138</v>
      </c>
      <c r="J685" s="0" t="n">
        <v>137</v>
      </c>
      <c r="K685" s="0" t="n">
        <v>67</v>
      </c>
      <c r="L685" s="0" t="n">
        <v>49</v>
      </c>
      <c r="M685" s="0" t="n">
        <v>428.43</v>
      </c>
      <c r="N685" s="0" t="n">
        <v>47.94</v>
      </c>
      <c r="O685" s="0" t="n">
        <v>18.43</v>
      </c>
      <c r="P685" s="0" t="n">
        <v>3.73</v>
      </c>
      <c r="Q685" s="0" t="n">
        <v>3.06</v>
      </c>
      <c r="R685" s="0" t="n">
        <v>5060</v>
      </c>
      <c r="S685" s="0" t="n">
        <v>11056</v>
      </c>
      <c r="T685" s="0" t="n">
        <v>56.3</v>
      </c>
      <c r="U685" s="0" t="n">
        <v>1321</v>
      </c>
      <c r="V685" s="0" t="n">
        <v>3</v>
      </c>
      <c r="W685" s="27" t="n">
        <f aca="false">MATCH(A685,DATAS,0)</f>
        <v>1</v>
      </c>
      <c r="X685" s="27" t="n">
        <f aca="false">IF(AND(E685&gt;0,OR(AND(B685&gt;=1,B685&lt;=6),B685=10)),1,0)</f>
        <v>1</v>
      </c>
      <c r="Y685" s="27" t="n">
        <f aca="false">IF(AND(E685&gt;0,B685=10),1,0)</f>
        <v>0</v>
      </c>
      <c r="Z685" s="0" t="str">
        <f aca="false">IF(AND(C684=C685,W684=W685-1),X684,"")</f>
        <v/>
      </c>
      <c r="AA685" s="0" t="str">
        <f aca="false">IF(AND(C684=C685,W684=W685-1),Y684,"")</f>
        <v/>
      </c>
      <c r="AB685" s="0" t="str">
        <f aca="false">IF(W685=1,"",IF(AND(X685=1,Z685&lt;&gt;1),1,0))</f>
        <v/>
      </c>
      <c r="AC685" s="0" t="str">
        <f aca="false">IF(W685=1,"",IF(AND(Y685=1,AA685&lt;&gt;1),1,0))</f>
        <v/>
      </c>
      <c r="AD685" s="33" t="str">
        <f aca="false">IF(AND(E685&gt;0,W685&lt;1,NOT(AND(C686=C685,W686=W685+1))),INDEX(DATAS,W685+1),"")</f>
        <v/>
      </c>
      <c r="AE685" s="33" t="str">
        <f aca="false">IF(AND(Y685=1,W685&lt;1),IF(AND(C686=C685,W686=W685+1),IF(Y686=1,"",INDEX(DATAS,W685+1)),INDEX(DATAS,W685+1)),"")</f>
        <v/>
      </c>
    </row>
    <row r="686" customFormat="false" ht="15" hidden="false" customHeight="false" outlineLevel="0" collapsed="false">
      <c r="A686" s="33" t="n">
        <v>46309</v>
      </c>
      <c r="B686" s="0" t="n">
        <v>3</v>
      </c>
      <c r="C686" s="0" t="n">
        <v>4573</v>
      </c>
      <c r="D686" s="0" t="n">
        <v>106</v>
      </c>
      <c r="E686" s="0" t="n">
        <v>2</v>
      </c>
      <c r="F686" s="27" t="s">
        <v>597</v>
      </c>
      <c r="G686" s="0" t="n">
        <v>57.8</v>
      </c>
      <c r="H686" s="0" t="n">
        <v>59</v>
      </c>
      <c r="I686" s="27" t="s">
        <v>168</v>
      </c>
      <c r="J686" s="0" t="n">
        <v>106</v>
      </c>
      <c r="K686" s="0" t="n">
        <v>64</v>
      </c>
      <c r="M686" s="0" t="n">
        <v>155.85</v>
      </c>
      <c r="N686" s="0" t="n">
        <v>53.31</v>
      </c>
      <c r="O686" s="0" t="n">
        <v>29.47</v>
      </c>
      <c r="P686" s="0" t="n">
        <v>4.52</v>
      </c>
      <c r="Q686" s="0" t="n">
        <v>3.29</v>
      </c>
      <c r="R686" s="0" t="n">
        <v>5585</v>
      </c>
      <c r="S686" s="0" t="n">
        <v>11279</v>
      </c>
      <c r="T686" s="0" t="n">
        <v>59.8</v>
      </c>
      <c r="U686" s="0" t="n">
        <v>1321</v>
      </c>
      <c r="V686" s="0" t="n">
        <v>2</v>
      </c>
      <c r="W686" s="27" t="n">
        <f aca="false">MATCH(A686,DATAS,0)</f>
        <v>1</v>
      </c>
      <c r="X686" s="27" t="n">
        <f aca="false">IF(AND(E686&gt;0,OR(AND(B686&gt;=1,B686&lt;=6),B686=10)),1,0)</f>
        <v>1</v>
      </c>
      <c r="Y686" s="27" t="n">
        <f aca="false">IF(AND(E686&gt;0,B686=10),1,0)</f>
        <v>0</v>
      </c>
      <c r="Z686" s="0" t="str">
        <f aca="false">IF(AND(C685=C686,W685=W686-1),X685,"")</f>
        <v/>
      </c>
      <c r="AA686" s="0" t="str">
        <f aca="false">IF(AND(C685=C686,W685=W686-1),Y685,"")</f>
        <v/>
      </c>
      <c r="AB686" s="0" t="str">
        <f aca="false">IF(W686=1,"",IF(AND(X686=1,Z686&lt;&gt;1),1,0))</f>
        <v/>
      </c>
      <c r="AC686" s="0" t="str">
        <f aca="false">IF(W686=1,"",IF(AND(Y686=1,AA686&lt;&gt;1),1,0))</f>
        <v/>
      </c>
      <c r="AD686" s="33" t="str">
        <f aca="false">IF(AND(E686&gt;0,W686&lt;1,NOT(AND(C687=C686,W687=W686+1))),INDEX(DATAS,W686+1),"")</f>
        <v/>
      </c>
      <c r="AE686" s="33" t="str">
        <f aca="false">IF(AND(Y686=1,W686&lt;1),IF(AND(C687=C686,W687=W686+1),IF(Y687=1,"",INDEX(DATAS,W686+1)),INDEX(DATAS,W686+1)),"")</f>
        <v/>
      </c>
    </row>
    <row r="687" customFormat="false" ht="15" hidden="false" customHeight="false" outlineLevel="0" collapsed="false">
      <c r="A687" s="33" t="n">
        <v>46309</v>
      </c>
      <c r="B687" s="0" t="n">
        <v>2</v>
      </c>
      <c r="C687" s="0" t="n">
        <v>4574</v>
      </c>
      <c r="D687" s="0" t="n">
        <v>86</v>
      </c>
      <c r="E687" s="0" t="n">
        <v>2</v>
      </c>
      <c r="F687" s="27" t="s">
        <v>598</v>
      </c>
      <c r="G687" s="0" t="n">
        <v>54</v>
      </c>
      <c r="H687" s="0" t="n">
        <v>53</v>
      </c>
      <c r="I687" s="27" t="s">
        <v>168</v>
      </c>
      <c r="J687" s="0" t="n">
        <v>86</v>
      </c>
      <c r="K687" s="0" t="n">
        <v>65</v>
      </c>
      <c r="M687" s="0" t="n">
        <v>394.69</v>
      </c>
      <c r="N687" s="0" t="n">
        <v>42.82</v>
      </c>
      <c r="O687" s="0" t="n">
        <v>30.31</v>
      </c>
      <c r="P687" s="0" t="n">
        <v>3.58</v>
      </c>
      <c r="Q687" s="0" t="n">
        <v>3.1</v>
      </c>
      <c r="R687" s="0" t="n">
        <v>4677</v>
      </c>
      <c r="S687" s="0" t="n">
        <v>9402</v>
      </c>
      <c r="U687" s="0" t="n">
        <v>1320</v>
      </c>
      <c r="V687" s="0" t="n">
        <v>1</v>
      </c>
      <c r="W687" s="27" t="n">
        <f aca="false">MATCH(A687,DATAS,0)</f>
        <v>1</v>
      </c>
      <c r="X687" s="27" t="n">
        <f aca="false">IF(AND(E687&gt;0,OR(AND(B687&gt;=1,B687&lt;=6),B687=10)),1,0)</f>
        <v>1</v>
      </c>
      <c r="Y687" s="27" t="n">
        <f aca="false">IF(AND(E687&gt;0,B687=10),1,0)</f>
        <v>0</v>
      </c>
      <c r="Z687" s="0" t="str">
        <f aca="false">IF(AND(C686=C687,W686=W687-1),X686,"")</f>
        <v/>
      </c>
      <c r="AA687" s="0" t="str">
        <f aca="false">IF(AND(C686=C687,W686=W687-1),Y686,"")</f>
        <v/>
      </c>
      <c r="AB687" s="0" t="str">
        <f aca="false">IF(W687=1,"",IF(AND(X687=1,Z687&lt;&gt;1),1,0))</f>
        <v/>
      </c>
      <c r="AC687" s="0" t="str">
        <f aca="false">IF(W687=1,"",IF(AND(Y687=1,AA687&lt;&gt;1),1,0))</f>
        <v/>
      </c>
      <c r="AD687" s="33" t="str">
        <f aca="false">IF(AND(E687&gt;0,W687&lt;1,NOT(AND(C688=C687,W688=W687+1))),INDEX(DATAS,W687+1),"")</f>
        <v/>
      </c>
      <c r="AE687" s="33" t="str">
        <f aca="false">IF(AND(Y687=1,W687&lt;1),IF(AND(C688=C687,W688=W687+1),IF(Y688=1,"",INDEX(DATAS,W687+1)),INDEX(DATAS,W687+1)),"")</f>
        <v/>
      </c>
    </row>
    <row r="688" customFormat="false" ht="15" hidden="false" customHeight="false" outlineLevel="0" collapsed="false">
      <c r="A688" s="33" t="n">
        <v>46309</v>
      </c>
      <c r="B688" s="0" t="n">
        <v>3</v>
      </c>
      <c r="C688" s="0" t="n">
        <v>4575</v>
      </c>
      <c r="D688" s="0" t="n">
        <v>210</v>
      </c>
      <c r="E688" s="0" t="n">
        <v>2</v>
      </c>
      <c r="F688" s="27" t="s">
        <v>598</v>
      </c>
      <c r="G688" s="0" t="n">
        <v>60.1</v>
      </c>
      <c r="H688" s="0" t="n">
        <v>58</v>
      </c>
      <c r="I688" s="27" t="s">
        <v>138</v>
      </c>
      <c r="J688" s="0" t="n">
        <v>63</v>
      </c>
      <c r="K688" s="0" t="n">
        <v>63</v>
      </c>
      <c r="L688" s="0" t="n">
        <v>147</v>
      </c>
      <c r="M688" s="0" t="n">
        <v>901.48</v>
      </c>
      <c r="N688" s="0" t="n">
        <v>55.55</v>
      </c>
      <c r="O688" s="0" t="n">
        <v>29.05</v>
      </c>
      <c r="P688" s="0" t="n">
        <v>4.3</v>
      </c>
      <c r="Q688" s="0" t="n">
        <v>3.45</v>
      </c>
      <c r="R688" s="0" t="n">
        <v>5674</v>
      </c>
      <c r="S688" s="0" t="n">
        <v>11974</v>
      </c>
      <c r="T688" s="0" t="n">
        <v>64.6</v>
      </c>
      <c r="U688" s="0" t="n">
        <v>1320</v>
      </c>
      <c r="V688" s="0" t="n">
        <v>1</v>
      </c>
      <c r="W688" s="27" t="n">
        <f aca="false">MATCH(A688,DATAS,0)</f>
        <v>1</v>
      </c>
      <c r="X688" s="27" t="n">
        <f aca="false">IF(AND(E688&gt;0,OR(AND(B688&gt;=1,B688&lt;=6),B688=10)),1,0)</f>
        <v>1</v>
      </c>
      <c r="Y688" s="27" t="n">
        <f aca="false">IF(AND(E688&gt;0,B688=10),1,0)</f>
        <v>0</v>
      </c>
      <c r="Z688" s="0" t="str">
        <f aca="false">IF(AND(C687=C688,W687=W688-1),X687,"")</f>
        <v/>
      </c>
      <c r="AA688" s="0" t="str">
        <f aca="false">IF(AND(C687=C688,W687=W688-1),Y687,"")</f>
        <v/>
      </c>
      <c r="AB688" s="0" t="str">
        <f aca="false">IF(W688=1,"",IF(AND(X688=1,Z688&lt;&gt;1),1,0))</f>
        <v/>
      </c>
      <c r="AC688" s="0" t="str">
        <f aca="false">IF(W688=1,"",IF(AND(Y688=1,AA688&lt;&gt;1),1,0))</f>
        <v/>
      </c>
      <c r="AD688" s="33" t="str">
        <f aca="false">IF(AND(E688&gt;0,W688&lt;1,NOT(AND(C689=C688,W689=W688+1))),INDEX(DATAS,W688+1),"")</f>
        <v/>
      </c>
      <c r="AE688" s="33" t="str">
        <f aca="false">IF(AND(Y688=1,W688&lt;1),IF(AND(C689=C688,W689=W688+1),IF(Y689=1,"",INDEX(DATAS,W688+1)),INDEX(DATAS,W688+1)),"")</f>
        <v/>
      </c>
    </row>
    <row r="689" customFormat="false" ht="15" hidden="false" customHeight="false" outlineLevel="0" collapsed="false">
      <c r="A689" s="33" t="n">
        <v>46309</v>
      </c>
      <c r="B689" s="0" t="n">
        <v>7</v>
      </c>
      <c r="C689" s="0" t="n">
        <v>4576</v>
      </c>
      <c r="D689" s="0" t="n">
        <v>223</v>
      </c>
      <c r="E689" s="0" t="n">
        <v>2</v>
      </c>
      <c r="F689" s="27" t="s">
        <v>598</v>
      </c>
      <c r="G689" s="0" t="n">
        <v>4.7</v>
      </c>
      <c r="H689" s="0" t="n">
        <v>6</v>
      </c>
      <c r="I689" s="27" t="s">
        <v>138</v>
      </c>
      <c r="J689" s="0" t="n">
        <v>133</v>
      </c>
      <c r="K689" s="0" t="n">
        <v>69</v>
      </c>
      <c r="L689" s="0" t="n">
        <v>90</v>
      </c>
      <c r="M689" s="0" t="n">
        <v>633.58</v>
      </c>
      <c r="N689" s="0" t="n">
        <v>41.31</v>
      </c>
      <c r="O689" s="0" t="n">
        <v>22.65</v>
      </c>
      <c r="P689" s="0" t="n">
        <v>4.34</v>
      </c>
      <c r="Q689" s="0" t="n">
        <v>3.45</v>
      </c>
      <c r="R689" s="0" t="n">
        <v>1939</v>
      </c>
      <c r="S689" s="0" t="n">
        <v>4556</v>
      </c>
      <c r="T689" s="0" t="n">
        <v>22.55</v>
      </c>
      <c r="U689" s="0" t="n">
        <v>1320</v>
      </c>
      <c r="V689" s="0" t="n">
        <v>3</v>
      </c>
      <c r="W689" s="27" t="n">
        <f aca="false">MATCH(A689,DATAS,0)</f>
        <v>1</v>
      </c>
      <c r="X689" s="27" t="n">
        <f aca="false">IF(AND(E689&gt;0,OR(AND(B689&gt;=1,B689&lt;=6),B689=10)),1,0)</f>
        <v>0</v>
      </c>
      <c r="Y689" s="27" t="n">
        <f aca="false">IF(AND(E689&gt;0,B689=10),1,0)</f>
        <v>0</v>
      </c>
      <c r="Z689" s="0" t="str">
        <f aca="false">IF(AND(C688=C689,W688=W689-1),X688,"")</f>
        <v/>
      </c>
      <c r="AA689" s="0" t="str">
        <f aca="false">IF(AND(C688=C689,W688=W689-1),Y688,"")</f>
        <v/>
      </c>
      <c r="AB689" s="0" t="str">
        <f aca="false">IF(W689=1,"",IF(AND(X689=1,Z689&lt;&gt;1),1,0))</f>
        <v/>
      </c>
      <c r="AC689" s="0" t="str">
        <f aca="false">IF(W689=1,"",IF(AND(Y689=1,AA689&lt;&gt;1),1,0))</f>
        <v/>
      </c>
      <c r="AD689" s="33" t="str">
        <f aca="false">IF(AND(E689&gt;0,W689&lt;1,NOT(AND(C690=C689,W690=W689+1))),INDEX(DATAS,W689+1),"")</f>
        <v/>
      </c>
      <c r="AE689" s="33" t="str">
        <f aca="false">IF(AND(Y689=1,W689&lt;1),IF(AND(C690=C689,W690=W689+1),IF(Y690=1,"",INDEX(DATAS,W689+1)),INDEX(DATAS,W689+1)),"")</f>
        <v/>
      </c>
    </row>
    <row r="690" customFormat="false" ht="15" hidden="false" customHeight="false" outlineLevel="0" collapsed="false">
      <c r="A690" s="33" t="n">
        <v>46309</v>
      </c>
      <c r="B690" s="0" t="n">
        <v>2</v>
      </c>
      <c r="C690" s="0" t="n">
        <v>4577</v>
      </c>
      <c r="D690" s="0" t="n">
        <v>277</v>
      </c>
      <c r="E690" s="0" t="n">
        <v>2</v>
      </c>
      <c r="F690" s="27" t="s">
        <v>599</v>
      </c>
      <c r="G690" s="0" t="n">
        <v>59.7</v>
      </c>
      <c r="H690" s="0" t="n">
        <v>62</v>
      </c>
      <c r="I690" s="27" t="s">
        <v>138</v>
      </c>
      <c r="J690" s="0" t="n">
        <v>127</v>
      </c>
      <c r="K690" s="0" t="n">
        <v>67</v>
      </c>
      <c r="L690" s="0" t="n">
        <v>150</v>
      </c>
      <c r="M690" s="0" t="n">
        <v>584.37</v>
      </c>
      <c r="N690" s="0" t="n">
        <v>25.99</v>
      </c>
      <c r="O690" s="0" t="n">
        <v>23.62</v>
      </c>
      <c r="P690" s="0" t="n">
        <v>3.08</v>
      </c>
      <c r="Q690" s="0" t="n">
        <v>3.39</v>
      </c>
      <c r="R690" s="0" t="n">
        <v>5750</v>
      </c>
      <c r="S690" s="0" t="n">
        <v>12637</v>
      </c>
      <c r="T690" s="0" t="n">
        <v>58.75</v>
      </c>
      <c r="U690" s="0" t="n">
        <v>1319</v>
      </c>
      <c r="V690" s="0" t="n">
        <v>3</v>
      </c>
      <c r="W690" s="27" t="n">
        <f aca="false">MATCH(A690,DATAS,0)</f>
        <v>1</v>
      </c>
      <c r="X690" s="27" t="n">
        <f aca="false">IF(AND(E690&gt;0,OR(AND(B690&gt;=1,B690&lt;=6),B690=10)),1,0)</f>
        <v>1</v>
      </c>
      <c r="Y690" s="27" t="n">
        <f aca="false">IF(AND(E690&gt;0,B690=10),1,0)</f>
        <v>0</v>
      </c>
      <c r="Z690" s="0" t="str">
        <f aca="false">IF(AND(C689=C690,W689=W690-1),X689,"")</f>
        <v/>
      </c>
      <c r="AA690" s="0" t="str">
        <f aca="false">IF(AND(C689=C690,W689=W690-1),Y689,"")</f>
        <v/>
      </c>
      <c r="AB690" s="0" t="str">
        <f aca="false">IF(W690=1,"",IF(AND(X690=1,Z690&lt;&gt;1),1,0))</f>
        <v/>
      </c>
      <c r="AC690" s="0" t="str">
        <f aca="false">IF(W690=1,"",IF(AND(Y690=1,AA690&lt;&gt;1),1,0))</f>
        <v/>
      </c>
      <c r="AD690" s="33" t="str">
        <f aca="false">IF(AND(E690&gt;0,W690&lt;1,NOT(AND(C691=C690,W691=W690+1))),INDEX(DATAS,W690+1),"")</f>
        <v/>
      </c>
      <c r="AE690" s="33" t="str">
        <f aca="false">IF(AND(Y690=1,W690&lt;1),IF(AND(C691=C690,W691=W690+1),IF(Y691=1,"",INDEX(DATAS,W690+1)),INDEX(DATAS,W690+1)),"")</f>
        <v/>
      </c>
    </row>
    <row r="691" customFormat="false" ht="15" hidden="false" customHeight="false" outlineLevel="0" collapsed="false">
      <c r="A691" s="33" t="n">
        <v>46309</v>
      </c>
      <c r="B691" s="0" t="n">
        <v>5</v>
      </c>
      <c r="C691" s="0" t="n">
        <v>4578</v>
      </c>
      <c r="D691" s="0" t="n">
        <v>601</v>
      </c>
      <c r="E691" s="0" t="n">
        <v>1</v>
      </c>
      <c r="F691" s="27" t="s">
        <v>599</v>
      </c>
      <c r="G691" s="0" t="n">
        <v>38</v>
      </c>
      <c r="H691" s="0" t="n">
        <v>37</v>
      </c>
      <c r="I691" s="27" t="s">
        <v>151</v>
      </c>
      <c r="J691" s="0" t="n">
        <v>601</v>
      </c>
      <c r="K691" s="0" t="n">
        <v>63</v>
      </c>
      <c r="M691" s="0" t="n">
        <v>987.48</v>
      </c>
      <c r="N691" s="0" t="n">
        <v>29.87</v>
      </c>
      <c r="O691" s="0" t="n">
        <v>30.63</v>
      </c>
      <c r="P691" s="0" t="n">
        <v>2.96</v>
      </c>
      <c r="Q691" s="0" t="n">
        <v>3.36</v>
      </c>
      <c r="R691" s="0" t="n">
        <v>5083</v>
      </c>
      <c r="S691" s="0" t="n">
        <v>10905</v>
      </c>
      <c r="T691" s="0" t="n">
        <v>55.25</v>
      </c>
      <c r="U691" s="0" t="n">
        <v>1319</v>
      </c>
      <c r="V691" s="0" t="n">
        <v>7</v>
      </c>
      <c r="W691" s="27" t="n">
        <f aca="false">MATCH(A691,DATAS,0)</f>
        <v>1</v>
      </c>
      <c r="X691" s="27" t="n">
        <f aca="false">IF(AND(E691&gt;0,OR(AND(B691&gt;=1,B691&lt;=6),B691=10)),1,0)</f>
        <v>1</v>
      </c>
      <c r="Y691" s="27" t="n">
        <f aca="false">IF(AND(E691&gt;0,B691=10),1,0)</f>
        <v>0</v>
      </c>
      <c r="Z691" s="0" t="str">
        <f aca="false">IF(AND(C690=C691,W690=W691-1),X690,"")</f>
        <v/>
      </c>
      <c r="AA691" s="0" t="str">
        <f aca="false">IF(AND(C690=C691,W690=W691-1),Y690,"")</f>
        <v/>
      </c>
      <c r="AB691" s="0" t="str">
        <f aca="false">IF(W691=1,"",IF(AND(X691=1,Z691&lt;&gt;1),1,0))</f>
        <v/>
      </c>
      <c r="AC691" s="0" t="str">
        <f aca="false">IF(W691=1,"",IF(AND(Y691=1,AA691&lt;&gt;1),1,0))</f>
        <v/>
      </c>
      <c r="AD691" s="33" t="str">
        <f aca="false">IF(AND(E691&gt;0,W691&lt;1,NOT(AND(C692=C691,W692=W691+1))),INDEX(DATAS,W691+1),"")</f>
        <v/>
      </c>
      <c r="AE691" s="33" t="str">
        <f aca="false">IF(AND(Y691=1,W691&lt;1),IF(AND(C692=C691,W692=W691+1),IF(Y692=1,"",INDEX(DATAS,W691+1)),INDEX(DATAS,W691+1)),"")</f>
        <v/>
      </c>
    </row>
    <row r="692" customFormat="false" ht="15" hidden="false" customHeight="false" outlineLevel="0" collapsed="false">
      <c r="A692" s="33" t="n">
        <v>46309</v>
      </c>
      <c r="B692" s="0" t="n">
        <v>5</v>
      </c>
      <c r="C692" s="0" t="n">
        <v>4579</v>
      </c>
      <c r="D692" s="0" t="n">
        <v>210</v>
      </c>
      <c r="E692" s="0" t="n">
        <v>2</v>
      </c>
      <c r="F692" s="27" t="s">
        <v>599</v>
      </c>
      <c r="G692" s="0" t="n">
        <v>42.4</v>
      </c>
      <c r="H692" s="0" t="n">
        <v>41</v>
      </c>
      <c r="I692" s="27" t="s">
        <v>138</v>
      </c>
      <c r="J692" s="0" t="n">
        <v>84</v>
      </c>
      <c r="K692" s="0" t="n">
        <v>63</v>
      </c>
      <c r="L692" s="0" t="n">
        <v>126</v>
      </c>
      <c r="M692" s="0" t="n">
        <v>1136.55</v>
      </c>
      <c r="N692" s="0" t="n">
        <v>58.48</v>
      </c>
      <c r="O692" s="0" t="n">
        <v>49.69</v>
      </c>
      <c r="P692" s="0" t="n">
        <v>3.89</v>
      </c>
      <c r="Q692" s="0" t="n">
        <v>3.74</v>
      </c>
      <c r="R692" s="0" t="n">
        <v>2729</v>
      </c>
      <c r="S692" s="0" t="n">
        <v>7064</v>
      </c>
      <c r="T692" s="0" t="n">
        <v>33.5</v>
      </c>
      <c r="U692" s="0" t="n">
        <v>1319</v>
      </c>
      <c r="V692" s="0" t="n">
        <v>2</v>
      </c>
      <c r="W692" s="27" t="n">
        <f aca="false">MATCH(A692,DATAS,0)</f>
        <v>1</v>
      </c>
      <c r="X692" s="27" t="n">
        <f aca="false">IF(AND(E692&gt;0,OR(AND(B692&gt;=1,B692&lt;=6),B692=10)),1,0)</f>
        <v>1</v>
      </c>
      <c r="Y692" s="27" t="n">
        <f aca="false">IF(AND(E692&gt;0,B692=10),1,0)</f>
        <v>0</v>
      </c>
      <c r="Z692" s="0" t="str">
        <f aca="false">IF(AND(C691=C692,W691=W692-1),X691,"")</f>
        <v/>
      </c>
      <c r="AA692" s="0" t="str">
        <f aca="false">IF(AND(C691=C692,W691=W692-1),Y691,"")</f>
        <v/>
      </c>
      <c r="AB692" s="0" t="str">
        <f aca="false">IF(W692=1,"",IF(AND(X692=1,Z692&lt;&gt;1),1,0))</f>
        <v/>
      </c>
      <c r="AC692" s="0" t="str">
        <f aca="false">IF(W692=1,"",IF(AND(Y692=1,AA692&lt;&gt;1),1,0))</f>
        <v/>
      </c>
      <c r="AD692" s="33" t="str">
        <f aca="false">IF(AND(E692&gt;0,W692&lt;1,NOT(AND(C693=C692,W693=W692+1))),INDEX(DATAS,W692+1),"")</f>
        <v/>
      </c>
      <c r="AE692" s="33" t="str">
        <f aca="false">IF(AND(Y692=1,W692&lt;1),IF(AND(C693=C692,W693=W692+1),IF(Y693=1,"",INDEX(DATAS,W692+1)),INDEX(DATAS,W692+1)),"")</f>
        <v/>
      </c>
    </row>
    <row r="693" customFormat="false" ht="15" hidden="false" customHeight="false" outlineLevel="0" collapsed="false">
      <c r="A693" s="33" t="n">
        <v>46309</v>
      </c>
      <c r="B693" s="0" t="n">
        <v>6</v>
      </c>
      <c r="C693" s="0" t="n">
        <v>4580</v>
      </c>
      <c r="D693" s="0" t="n">
        <v>558</v>
      </c>
      <c r="E693" s="0" t="n">
        <v>1</v>
      </c>
      <c r="F693" s="27" t="s">
        <v>599</v>
      </c>
      <c r="G693" s="0" t="n">
        <v>16</v>
      </c>
      <c r="H693" s="0" t="n">
        <v>14</v>
      </c>
      <c r="I693" s="27" t="s">
        <v>151</v>
      </c>
      <c r="J693" s="0" t="n">
        <v>558</v>
      </c>
      <c r="K693" s="0" t="n">
        <v>62</v>
      </c>
      <c r="M693" s="0" t="n">
        <v>390.01</v>
      </c>
      <c r="N693" s="0" t="n">
        <v>55.91</v>
      </c>
      <c r="O693" s="0" t="n">
        <v>36.89</v>
      </c>
      <c r="P693" s="0" t="n">
        <v>5.49</v>
      </c>
      <c r="Q693" s="0" t="n">
        <v>4.01</v>
      </c>
      <c r="R693" s="0" t="n">
        <v>2709</v>
      </c>
      <c r="S693" s="0" t="n">
        <v>5956</v>
      </c>
      <c r="T693" s="0" t="n">
        <v>28.35</v>
      </c>
      <c r="U693" s="0" t="n">
        <v>1319</v>
      </c>
      <c r="V693" s="0" t="n">
        <v>5</v>
      </c>
      <c r="W693" s="27" t="n">
        <f aca="false">MATCH(A693,DATAS,0)</f>
        <v>1</v>
      </c>
      <c r="X693" s="27" t="n">
        <f aca="false">IF(AND(E693&gt;0,OR(AND(B693&gt;=1,B693&lt;=6),B693=10)),1,0)</f>
        <v>1</v>
      </c>
      <c r="Y693" s="27" t="n">
        <f aca="false">IF(AND(E693&gt;0,B693=10),1,0)</f>
        <v>0</v>
      </c>
      <c r="Z693" s="0" t="str">
        <f aca="false">IF(AND(C692=C693,W692=W693-1),X692,"")</f>
        <v/>
      </c>
      <c r="AA693" s="0" t="str">
        <f aca="false">IF(AND(C692=C693,W692=W693-1),Y692,"")</f>
        <v/>
      </c>
      <c r="AB693" s="0" t="str">
        <f aca="false">IF(W693=1,"",IF(AND(X693=1,Z693&lt;&gt;1),1,0))</f>
        <v/>
      </c>
      <c r="AC693" s="0" t="str">
        <f aca="false">IF(W693=1,"",IF(AND(Y693=1,AA693&lt;&gt;1),1,0))</f>
        <v/>
      </c>
      <c r="AD693" s="33" t="str">
        <f aca="false">IF(AND(E693&gt;0,W693&lt;1,NOT(AND(C694=C693,W694=W693+1))),INDEX(DATAS,W693+1),"")</f>
        <v/>
      </c>
      <c r="AE693" s="33" t="str">
        <f aca="false">IF(AND(Y693=1,W693&lt;1),IF(AND(C694=C693,W694=W693+1),IF(Y694=1,"",INDEX(DATAS,W693+1)),INDEX(DATAS,W693+1)),"")</f>
        <v/>
      </c>
    </row>
    <row r="694" customFormat="false" ht="15" hidden="false" customHeight="false" outlineLevel="0" collapsed="false">
      <c r="A694" s="33" t="n">
        <v>46309</v>
      </c>
      <c r="B694" s="0" t="n">
        <v>3</v>
      </c>
      <c r="C694" s="0" t="n">
        <v>4581</v>
      </c>
      <c r="D694" s="0" t="n">
        <v>228</v>
      </c>
      <c r="E694" s="0" t="n">
        <v>2</v>
      </c>
      <c r="F694" s="27" t="s">
        <v>599</v>
      </c>
      <c r="G694" s="0" t="n">
        <v>45.6</v>
      </c>
      <c r="H694" s="0" t="n">
        <v>48</v>
      </c>
      <c r="I694" s="27" t="s">
        <v>138</v>
      </c>
      <c r="J694" s="0" t="n">
        <v>67</v>
      </c>
      <c r="K694" s="0" t="n">
        <v>67</v>
      </c>
      <c r="L694" s="0" t="n">
        <v>161</v>
      </c>
      <c r="M694" s="0" t="n">
        <v>778.9</v>
      </c>
      <c r="N694" s="0" t="n">
        <v>44.31</v>
      </c>
      <c r="O694" s="0" t="n">
        <v>35.67</v>
      </c>
      <c r="P694" s="0" t="n">
        <v>2.43</v>
      </c>
      <c r="Q694" s="0" t="n">
        <v>3.57</v>
      </c>
      <c r="R694" s="0" t="n">
        <v>4183</v>
      </c>
      <c r="S694" s="0" t="n">
        <v>9430</v>
      </c>
      <c r="T694" s="0" t="n">
        <v>40.95</v>
      </c>
      <c r="U694" s="0" t="n">
        <v>1319</v>
      </c>
      <c r="V694" s="0" t="n">
        <v>1</v>
      </c>
      <c r="W694" s="27" t="n">
        <f aca="false">MATCH(A694,DATAS,0)</f>
        <v>1</v>
      </c>
      <c r="X694" s="27" t="n">
        <f aca="false">IF(AND(E694&gt;0,OR(AND(B694&gt;=1,B694&lt;=6),B694=10)),1,0)</f>
        <v>1</v>
      </c>
      <c r="Y694" s="27" t="n">
        <f aca="false">IF(AND(E694&gt;0,B694=10),1,0)</f>
        <v>0</v>
      </c>
      <c r="Z694" s="0" t="str">
        <f aca="false">IF(AND(C693=C694,W693=W694-1),X693,"")</f>
        <v/>
      </c>
      <c r="AA694" s="0" t="str">
        <f aca="false">IF(AND(C693=C694,W693=W694-1),Y693,"")</f>
        <v/>
      </c>
      <c r="AB694" s="0" t="str">
        <f aca="false">IF(W694=1,"",IF(AND(X694=1,Z694&lt;&gt;1),1,0))</f>
        <v/>
      </c>
      <c r="AC694" s="0" t="str">
        <f aca="false">IF(W694=1,"",IF(AND(Y694=1,AA694&lt;&gt;1),1,0))</f>
        <v/>
      </c>
      <c r="AD694" s="33" t="str">
        <f aca="false">IF(AND(E694&gt;0,W694&lt;1,NOT(AND(C695=C694,W695=W694+1))),INDEX(DATAS,W694+1),"")</f>
        <v/>
      </c>
      <c r="AE694" s="33" t="str">
        <f aca="false">IF(AND(Y694=1,W694&lt;1),IF(AND(C695=C694,W695=W694+1),IF(Y695=1,"",INDEX(DATAS,W694+1)),INDEX(DATAS,W694+1)),"")</f>
        <v/>
      </c>
    </row>
    <row r="695" customFormat="false" ht="15" hidden="false" customHeight="false" outlineLevel="0" collapsed="false">
      <c r="A695" s="33" t="n">
        <v>46309</v>
      </c>
      <c r="B695" s="0" t="n">
        <v>5</v>
      </c>
      <c r="C695" s="0" t="n">
        <v>4582</v>
      </c>
      <c r="D695" s="0" t="n">
        <v>302</v>
      </c>
      <c r="E695" s="0" t="n">
        <v>2</v>
      </c>
      <c r="F695" s="27" t="s">
        <v>600</v>
      </c>
      <c r="G695" s="0" t="n">
        <v>41.3</v>
      </c>
      <c r="H695" s="0" t="n">
        <v>40</v>
      </c>
      <c r="I695" s="27" t="s">
        <v>168</v>
      </c>
      <c r="J695" s="0" t="n">
        <v>302</v>
      </c>
      <c r="K695" s="0" t="n">
        <v>71</v>
      </c>
      <c r="M695" s="0" t="n">
        <v>-702.3</v>
      </c>
      <c r="N695" s="0" t="n">
        <v>41.94</v>
      </c>
      <c r="O695" s="0" t="n">
        <v>0.2</v>
      </c>
      <c r="P695" s="0" t="n">
        <v>5.38</v>
      </c>
      <c r="Q695" s="0" t="n">
        <v>3.83</v>
      </c>
      <c r="R695" s="0" t="n">
        <v>4898</v>
      </c>
      <c r="S695" s="0" t="n">
        <v>10394</v>
      </c>
      <c r="T695" s="0" t="n">
        <v>57.15</v>
      </c>
      <c r="U695" s="0" t="n">
        <v>1318</v>
      </c>
      <c r="V695" s="0" t="n">
        <v>3</v>
      </c>
      <c r="W695" s="27" t="n">
        <f aca="false">MATCH(A695,DATAS,0)</f>
        <v>1</v>
      </c>
      <c r="X695" s="27" t="n">
        <f aca="false">IF(AND(E695&gt;0,OR(AND(B695&gt;=1,B695&lt;=6),B695=10)),1,0)</f>
        <v>1</v>
      </c>
      <c r="Y695" s="27" t="n">
        <f aca="false">IF(AND(E695&gt;0,B695=10),1,0)</f>
        <v>0</v>
      </c>
      <c r="Z695" s="0" t="str">
        <f aca="false">IF(AND(C694=C695,W694=W695-1),X694,"")</f>
        <v/>
      </c>
      <c r="AA695" s="0" t="str">
        <f aca="false">IF(AND(C694=C695,W694=W695-1),Y694,"")</f>
        <v/>
      </c>
      <c r="AB695" s="0" t="str">
        <f aca="false">IF(W695=1,"",IF(AND(X695=1,Z695&lt;&gt;1),1,0))</f>
        <v/>
      </c>
      <c r="AC695" s="0" t="str">
        <f aca="false">IF(W695=1,"",IF(AND(Y695=1,AA695&lt;&gt;1),1,0))</f>
        <v/>
      </c>
      <c r="AD695" s="33" t="str">
        <f aca="false">IF(AND(E695&gt;0,W695&lt;1,NOT(AND(C696=C695,W696=W695+1))),INDEX(DATAS,W695+1),"")</f>
        <v/>
      </c>
      <c r="AE695" s="33" t="str">
        <f aca="false">IF(AND(Y695=1,W695&lt;1),IF(AND(C696=C695,W696=W695+1),IF(Y696=1,"",INDEX(DATAS,W695+1)),INDEX(DATAS,W695+1)),"")</f>
        <v/>
      </c>
    </row>
    <row r="696" customFormat="false" ht="15" hidden="false" customHeight="false" outlineLevel="0" collapsed="false">
      <c r="A696" s="33" t="n">
        <v>46309</v>
      </c>
      <c r="B696" s="0" t="n">
        <v>7</v>
      </c>
      <c r="C696" s="0" t="n">
        <v>4584</v>
      </c>
      <c r="D696" s="0" t="n">
        <v>324</v>
      </c>
      <c r="E696" s="0" t="n">
        <v>2</v>
      </c>
      <c r="F696" s="27" t="s">
        <v>600</v>
      </c>
      <c r="G696" s="0" t="n">
        <v>6.8</v>
      </c>
      <c r="H696" s="0" t="n">
        <v>17</v>
      </c>
      <c r="I696" s="27" t="s">
        <v>143</v>
      </c>
      <c r="J696" s="0" t="n">
        <v>101</v>
      </c>
      <c r="K696" s="0" t="n">
        <v>66</v>
      </c>
      <c r="L696" s="0" t="n">
        <v>224</v>
      </c>
      <c r="M696" s="0" t="n">
        <v>973.42</v>
      </c>
      <c r="N696" s="0" t="n">
        <v>33.75</v>
      </c>
      <c r="O696" s="0" t="n">
        <v>34.38</v>
      </c>
      <c r="P696" s="0" t="n">
        <v>5.14</v>
      </c>
      <c r="Q696" s="0" t="n">
        <v>4.31</v>
      </c>
      <c r="R696" s="0" t="n">
        <v>5060</v>
      </c>
      <c r="S696" s="0" t="n">
        <v>10600</v>
      </c>
      <c r="T696" s="0" t="n">
        <v>55.15</v>
      </c>
      <c r="U696" s="0" t="n">
        <v>1318</v>
      </c>
      <c r="V696" s="0" t="n">
        <v>2</v>
      </c>
      <c r="W696" s="27" t="n">
        <f aca="false">MATCH(A696,DATAS,0)</f>
        <v>1</v>
      </c>
      <c r="X696" s="27" t="n">
        <f aca="false">IF(AND(E696&gt;0,OR(AND(B696&gt;=1,B696&lt;=6),B696=10)),1,0)</f>
        <v>0</v>
      </c>
      <c r="Y696" s="27" t="n">
        <f aca="false">IF(AND(E696&gt;0,B696=10),1,0)</f>
        <v>0</v>
      </c>
      <c r="Z696" s="0" t="str">
        <f aca="false">IF(AND(C695=C696,W695=W696-1),X695,"")</f>
        <v/>
      </c>
      <c r="AA696" s="0" t="str">
        <f aca="false">IF(AND(C695=C696,W695=W696-1),Y695,"")</f>
        <v/>
      </c>
      <c r="AB696" s="0" t="str">
        <f aca="false">IF(W696=1,"",IF(AND(X696=1,Z696&lt;&gt;1),1,0))</f>
        <v/>
      </c>
      <c r="AC696" s="0" t="str">
        <f aca="false">IF(W696=1,"",IF(AND(Y696=1,AA696&lt;&gt;1),1,0))</f>
        <v/>
      </c>
      <c r="AD696" s="33" t="str">
        <f aca="false">IF(AND(E696&gt;0,W696&lt;1,NOT(AND(C697=C696,W697=W696+1))),INDEX(DATAS,W696+1),"")</f>
        <v/>
      </c>
      <c r="AE696" s="33" t="str">
        <f aca="false">IF(AND(Y696=1,W696&lt;1),IF(AND(C697=C696,W697=W696+1),IF(Y697=1,"",INDEX(DATAS,W696+1)),INDEX(DATAS,W696+1)),"")</f>
        <v/>
      </c>
    </row>
    <row r="697" customFormat="false" ht="15" hidden="false" customHeight="false" outlineLevel="0" collapsed="false">
      <c r="A697" s="33" t="n">
        <v>46309</v>
      </c>
      <c r="B697" s="0" t="n">
        <v>6</v>
      </c>
      <c r="C697" s="0" t="n">
        <v>4585</v>
      </c>
      <c r="D697" s="0" t="n">
        <v>617</v>
      </c>
      <c r="E697" s="0" t="n">
        <v>1</v>
      </c>
      <c r="F697" s="27" t="s">
        <v>600</v>
      </c>
      <c r="H697" s="0" t="n">
        <v>20</v>
      </c>
      <c r="I697" s="27" t="s">
        <v>151</v>
      </c>
      <c r="J697" s="0" t="n">
        <v>617</v>
      </c>
      <c r="K697" s="0" t="n">
        <v>65</v>
      </c>
      <c r="M697" s="0" t="n">
        <v>152.42</v>
      </c>
      <c r="N697" s="0" t="n">
        <v>42.01</v>
      </c>
      <c r="O697" s="0" t="n">
        <v>18.97</v>
      </c>
      <c r="P697" s="0" t="n">
        <v>5.57</v>
      </c>
      <c r="Q697" s="0" t="n">
        <v>4.2</v>
      </c>
      <c r="R697" s="0" t="n">
        <v>4349</v>
      </c>
      <c r="S697" s="0" t="n">
        <v>9240</v>
      </c>
      <c r="T697" s="0" t="n">
        <v>39.2</v>
      </c>
      <c r="U697" s="0" t="n">
        <v>1318</v>
      </c>
      <c r="V697" s="0" t="n">
        <v>7</v>
      </c>
      <c r="W697" s="27" t="n">
        <f aca="false">MATCH(A697,DATAS,0)</f>
        <v>1</v>
      </c>
      <c r="X697" s="27" t="n">
        <f aca="false">IF(AND(E697&gt;0,OR(AND(B697&gt;=1,B697&lt;=6),B697=10)),1,0)</f>
        <v>1</v>
      </c>
      <c r="Y697" s="27" t="n">
        <f aca="false">IF(AND(E697&gt;0,B697=10),1,0)</f>
        <v>0</v>
      </c>
      <c r="Z697" s="0" t="str">
        <f aca="false">IF(AND(C696=C697,W696=W697-1),X696,"")</f>
        <v/>
      </c>
      <c r="AA697" s="0" t="str">
        <f aca="false">IF(AND(C696=C697,W696=W697-1),Y696,"")</f>
        <v/>
      </c>
      <c r="AB697" s="0" t="str">
        <f aca="false">IF(W697=1,"",IF(AND(X697=1,Z697&lt;&gt;1),1,0))</f>
        <v/>
      </c>
      <c r="AC697" s="0" t="str">
        <f aca="false">IF(W697=1,"",IF(AND(Y697=1,AA697&lt;&gt;1),1,0))</f>
        <v/>
      </c>
      <c r="AD697" s="33" t="str">
        <f aca="false">IF(AND(E697&gt;0,W697&lt;1,NOT(AND(C698=C697,W698=W697+1))),INDEX(DATAS,W697+1),"")</f>
        <v/>
      </c>
      <c r="AE697" s="33" t="str">
        <f aca="false">IF(AND(Y697=1,W697&lt;1),IF(AND(C698=C697,W698=W697+1),IF(Y698=1,"",INDEX(DATAS,W697+1)),INDEX(DATAS,W697+1)),"")</f>
        <v/>
      </c>
    </row>
    <row r="698" customFormat="false" ht="15" hidden="false" customHeight="false" outlineLevel="0" collapsed="false">
      <c r="A698" s="33" t="n">
        <v>46309</v>
      </c>
      <c r="B698" s="0" t="n">
        <v>3</v>
      </c>
      <c r="C698" s="0" t="n">
        <v>4586</v>
      </c>
      <c r="D698" s="0" t="n">
        <v>134</v>
      </c>
      <c r="E698" s="0" t="n">
        <v>2</v>
      </c>
      <c r="F698" s="27" t="s">
        <v>600</v>
      </c>
      <c r="G698" s="0" t="n">
        <v>47.7</v>
      </c>
      <c r="H698" s="0" t="n">
        <v>54</v>
      </c>
      <c r="I698" s="27" t="s">
        <v>138</v>
      </c>
      <c r="J698" s="0" t="n">
        <v>64</v>
      </c>
      <c r="K698" s="0" t="n">
        <v>64</v>
      </c>
      <c r="L698" s="0" t="n">
        <v>70</v>
      </c>
      <c r="M698" s="0" t="n">
        <v>825.76</v>
      </c>
      <c r="N698" s="0" t="n">
        <v>13.22</v>
      </c>
      <c r="O698" s="0" t="n">
        <v>34.54</v>
      </c>
      <c r="P698" s="0" t="n">
        <v>2.77</v>
      </c>
      <c r="Q698" s="0" t="n">
        <v>3.58</v>
      </c>
      <c r="R698" s="0" t="n">
        <v>5633</v>
      </c>
      <c r="S698" s="0" t="n">
        <v>11600</v>
      </c>
      <c r="T698" s="0" t="n">
        <v>60</v>
      </c>
      <c r="U698" s="0" t="n">
        <v>1318</v>
      </c>
      <c r="V698" s="0" t="n">
        <v>1</v>
      </c>
      <c r="W698" s="27" t="n">
        <f aca="false">MATCH(A698,DATAS,0)</f>
        <v>1</v>
      </c>
      <c r="X698" s="27" t="n">
        <f aca="false">IF(AND(E698&gt;0,OR(AND(B698&gt;=1,B698&lt;=6),B698=10)),1,0)</f>
        <v>1</v>
      </c>
      <c r="Y698" s="27" t="n">
        <f aca="false">IF(AND(E698&gt;0,B698=10),1,0)</f>
        <v>0</v>
      </c>
      <c r="Z698" s="0" t="str">
        <f aca="false">IF(AND(C697=C698,W697=W698-1),X697,"")</f>
        <v/>
      </c>
      <c r="AA698" s="0" t="str">
        <f aca="false">IF(AND(C697=C698,W697=W698-1),Y697,"")</f>
        <v/>
      </c>
      <c r="AB698" s="0" t="str">
        <f aca="false">IF(W698=1,"",IF(AND(X698=1,Z698&lt;&gt;1),1,0))</f>
        <v/>
      </c>
      <c r="AC698" s="0" t="str">
        <f aca="false">IF(W698=1,"",IF(AND(Y698=1,AA698&lt;&gt;1),1,0))</f>
        <v/>
      </c>
      <c r="AD698" s="33" t="str">
        <f aca="false">IF(AND(E698&gt;0,W698&lt;1,NOT(AND(C699=C698,W699=W698+1))),INDEX(DATAS,W698+1),"")</f>
        <v/>
      </c>
      <c r="AE698" s="33" t="str">
        <f aca="false">IF(AND(Y698=1,W698&lt;1),IF(AND(C699=C698,W699=W698+1),IF(Y699=1,"",INDEX(DATAS,W698+1)),INDEX(DATAS,W698+1)),"")</f>
        <v/>
      </c>
    </row>
    <row r="699" customFormat="false" ht="15" hidden="false" customHeight="false" outlineLevel="0" collapsed="false">
      <c r="A699" s="33" t="n">
        <v>46309</v>
      </c>
      <c r="B699" s="0" t="n">
        <v>2</v>
      </c>
      <c r="C699" s="0" t="n">
        <v>4590</v>
      </c>
      <c r="D699" s="0" t="n">
        <v>318</v>
      </c>
      <c r="E699" s="0" t="n">
        <v>2</v>
      </c>
      <c r="F699" s="27" t="s">
        <v>601</v>
      </c>
      <c r="G699" s="0" t="n">
        <v>41.8</v>
      </c>
      <c r="H699" s="0" t="n">
        <v>46</v>
      </c>
      <c r="I699" s="27" t="s">
        <v>138</v>
      </c>
      <c r="J699" s="0" t="n">
        <v>101</v>
      </c>
      <c r="K699" s="0" t="n">
        <v>66</v>
      </c>
      <c r="L699" s="0" t="n">
        <v>217</v>
      </c>
      <c r="M699" s="0" t="n">
        <v>633.36</v>
      </c>
      <c r="N699" s="0" t="n">
        <v>45.24</v>
      </c>
      <c r="O699" s="0" t="n">
        <v>31.83</v>
      </c>
      <c r="P699" s="0" t="n">
        <v>4.17</v>
      </c>
      <c r="Q699" s="0" t="n">
        <v>3.71</v>
      </c>
      <c r="R699" s="0" t="n">
        <v>5607</v>
      </c>
      <c r="S699" s="0" t="n">
        <v>11999</v>
      </c>
      <c r="T699" s="0" t="n">
        <v>57.2</v>
      </c>
      <c r="U699" s="0" t="n">
        <v>1316</v>
      </c>
      <c r="V699" s="0" t="n">
        <v>2</v>
      </c>
      <c r="W699" s="27" t="n">
        <f aca="false">MATCH(A699,DATAS,0)</f>
        <v>1</v>
      </c>
      <c r="X699" s="27" t="n">
        <f aca="false">IF(AND(E699&gt;0,OR(AND(B699&gt;=1,B699&lt;=6),B699=10)),1,0)</f>
        <v>1</v>
      </c>
      <c r="Y699" s="27" t="n">
        <f aca="false">IF(AND(E699&gt;0,B699=10),1,0)</f>
        <v>0</v>
      </c>
      <c r="Z699" s="0" t="str">
        <f aca="false">IF(AND(C698=C699,W698=W699-1),X698,"")</f>
        <v/>
      </c>
      <c r="AA699" s="0" t="str">
        <f aca="false">IF(AND(C698=C699,W698=W699-1),Y698,"")</f>
        <v/>
      </c>
      <c r="AB699" s="0" t="str">
        <f aca="false">IF(W699=1,"",IF(AND(X699=1,Z699&lt;&gt;1),1,0))</f>
        <v/>
      </c>
      <c r="AC699" s="0" t="str">
        <f aca="false">IF(W699=1,"",IF(AND(Y699=1,AA699&lt;&gt;1),1,0))</f>
        <v/>
      </c>
      <c r="AD699" s="33" t="str">
        <f aca="false">IF(AND(E699&gt;0,W699&lt;1,NOT(AND(C700=C699,W700=W699+1))),INDEX(DATAS,W699+1),"")</f>
        <v/>
      </c>
      <c r="AE699" s="33" t="str">
        <f aca="false">IF(AND(Y699=1,W699&lt;1),IF(AND(C700=C699,W700=W699+1),IF(Y700=1,"",INDEX(DATAS,W699+1)),INDEX(DATAS,W699+1)),"")</f>
        <v/>
      </c>
    </row>
    <row r="700" customFormat="false" ht="15" hidden="false" customHeight="false" outlineLevel="0" collapsed="false">
      <c r="A700" s="33" t="n">
        <v>46309</v>
      </c>
      <c r="B700" s="0" t="n">
        <v>7</v>
      </c>
      <c r="C700" s="0" t="n">
        <v>4591</v>
      </c>
      <c r="D700" s="0" t="n">
        <v>307</v>
      </c>
      <c r="E700" s="0" t="n">
        <v>2</v>
      </c>
      <c r="F700" s="27" t="s">
        <v>602</v>
      </c>
      <c r="I700" s="27" t="s">
        <v>143</v>
      </c>
      <c r="J700" s="0" t="n">
        <v>85</v>
      </c>
      <c r="K700" s="0" t="n">
        <v>63</v>
      </c>
      <c r="L700" s="0" t="n">
        <v>237</v>
      </c>
      <c r="M700" s="0" t="n">
        <v>1010.18</v>
      </c>
      <c r="N700" s="0" t="n">
        <v>57.58</v>
      </c>
      <c r="O700" s="0" t="n">
        <v>43.56</v>
      </c>
      <c r="P700" s="0" t="n">
        <v>0</v>
      </c>
      <c r="Q700" s="0" t="n">
        <v>0</v>
      </c>
      <c r="R700" s="0" t="n">
        <v>5376</v>
      </c>
      <c r="S700" s="0" t="n">
        <v>10908</v>
      </c>
      <c r="T700" s="0" t="n">
        <v>61.4</v>
      </c>
      <c r="U700" s="0" t="n">
        <v>1315</v>
      </c>
      <c r="V700" s="0" t="n">
        <v>2</v>
      </c>
      <c r="W700" s="27" t="n">
        <f aca="false">MATCH(A700,DATAS,0)</f>
        <v>1</v>
      </c>
      <c r="X700" s="27" t="n">
        <f aca="false">IF(AND(E700&gt;0,OR(AND(B700&gt;=1,B700&lt;=6),B700=10)),1,0)</f>
        <v>0</v>
      </c>
      <c r="Y700" s="27" t="n">
        <f aca="false">IF(AND(E700&gt;0,B700=10),1,0)</f>
        <v>0</v>
      </c>
      <c r="Z700" s="0" t="str">
        <f aca="false">IF(AND(C699=C700,W699=W700-1),X699,"")</f>
        <v/>
      </c>
      <c r="AA700" s="0" t="str">
        <f aca="false">IF(AND(C699=C700,W699=W700-1),Y699,"")</f>
        <v/>
      </c>
      <c r="AB700" s="0" t="str">
        <f aca="false">IF(W700=1,"",IF(AND(X700=1,Z700&lt;&gt;1),1,0))</f>
        <v/>
      </c>
      <c r="AC700" s="0" t="str">
        <f aca="false">IF(W700=1,"",IF(AND(Y700=1,AA700&lt;&gt;1),1,0))</f>
        <v/>
      </c>
      <c r="AD700" s="33" t="str">
        <f aca="false">IF(AND(E700&gt;0,W700&lt;1,NOT(AND(C701=C700,W701=W700+1))),INDEX(DATAS,W700+1),"")</f>
        <v/>
      </c>
      <c r="AE700" s="33" t="str">
        <f aca="false">IF(AND(Y700=1,W700&lt;1),IF(AND(C701=C700,W701=W700+1),IF(Y701=1,"",INDEX(DATAS,W700+1)),INDEX(DATAS,W700+1)),"")</f>
        <v/>
      </c>
    </row>
    <row r="701" customFormat="false" ht="15" hidden="false" customHeight="false" outlineLevel="0" collapsed="false">
      <c r="A701" s="33" t="n">
        <v>46309</v>
      </c>
      <c r="B701" s="0" t="n">
        <v>2</v>
      </c>
      <c r="C701" s="0" t="n">
        <v>4592</v>
      </c>
      <c r="D701" s="0" t="n">
        <v>68</v>
      </c>
      <c r="E701" s="0" t="n">
        <v>2</v>
      </c>
      <c r="F701" s="27" t="s">
        <v>603</v>
      </c>
      <c r="G701" s="0" t="n">
        <v>43.5</v>
      </c>
      <c r="H701" s="0" t="n">
        <v>57</v>
      </c>
      <c r="I701" s="27" t="s">
        <v>168</v>
      </c>
      <c r="J701" s="0" t="n">
        <v>68</v>
      </c>
      <c r="K701" s="0" t="n">
        <v>68</v>
      </c>
      <c r="M701" s="0" t="n">
        <v>511.7</v>
      </c>
      <c r="N701" s="0" t="n">
        <v>33.48</v>
      </c>
      <c r="O701" s="0" t="n">
        <v>25.15</v>
      </c>
      <c r="P701" s="0" t="n">
        <v>3.04</v>
      </c>
      <c r="Q701" s="0" t="n">
        <v>3.43</v>
      </c>
      <c r="R701" s="0" t="n">
        <v>5525</v>
      </c>
      <c r="S701" s="0" t="n">
        <v>11106</v>
      </c>
      <c r="U701" s="0" t="n">
        <v>1314</v>
      </c>
      <c r="V701" s="0" t="n">
        <v>1</v>
      </c>
      <c r="W701" s="27" t="n">
        <f aca="false">MATCH(A701,DATAS,0)</f>
        <v>1</v>
      </c>
      <c r="X701" s="27" t="n">
        <f aca="false">IF(AND(E701&gt;0,OR(AND(B701&gt;=1,B701&lt;=6),B701=10)),1,0)</f>
        <v>1</v>
      </c>
      <c r="Y701" s="27" t="n">
        <f aca="false">IF(AND(E701&gt;0,B701=10),1,0)</f>
        <v>0</v>
      </c>
      <c r="Z701" s="0" t="str">
        <f aca="false">IF(AND(C700=C701,W700=W701-1),X700,"")</f>
        <v/>
      </c>
      <c r="AA701" s="0" t="str">
        <f aca="false">IF(AND(C700=C701,W700=W701-1),Y700,"")</f>
        <v/>
      </c>
      <c r="AB701" s="0" t="str">
        <f aca="false">IF(W701=1,"",IF(AND(X701=1,Z701&lt;&gt;1),1,0))</f>
        <v/>
      </c>
      <c r="AC701" s="0" t="str">
        <f aca="false">IF(W701=1,"",IF(AND(Y701=1,AA701&lt;&gt;1),1,0))</f>
        <v/>
      </c>
      <c r="AD701" s="33" t="str">
        <f aca="false">IF(AND(E701&gt;0,W701&lt;1,NOT(AND(C702=C701,W702=W701+1))),INDEX(DATAS,W701+1),"")</f>
        <v/>
      </c>
      <c r="AE701" s="33" t="str">
        <f aca="false">IF(AND(Y701=1,W701&lt;1),IF(AND(C702=C701,W702=W701+1),IF(Y702=1,"",INDEX(DATAS,W701+1)),INDEX(DATAS,W701+1)),"")</f>
        <v/>
      </c>
    </row>
    <row r="702" customFormat="false" ht="15" hidden="false" customHeight="false" outlineLevel="0" collapsed="false">
      <c r="A702" s="33" t="n">
        <v>46309</v>
      </c>
      <c r="B702" s="0" t="n">
        <v>5</v>
      </c>
      <c r="C702" s="0" t="n">
        <v>4593</v>
      </c>
      <c r="D702" s="0" t="n">
        <v>316</v>
      </c>
      <c r="E702" s="0" t="n">
        <v>2</v>
      </c>
      <c r="F702" s="27" t="s">
        <v>603</v>
      </c>
      <c r="G702" s="0" t="n">
        <v>29.9</v>
      </c>
      <c r="H702" s="0" t="n">
        <v>25</v>
      </c>
      <c r="I702" s="27" t="s">
        <v>138</v>
      </c>
      <c r="J702" s="0" t="n">
        <v>99</v>
      </c>
      <c r="K702" s="0" t="n">
        <v>64</v>
      </c>
      <c r="L702" s="0" t="n">
        <v>217</v>
      </c>
      <c r="M702" s="0" t="n">
        <v>113.6</v>
      </c>
      <c r="N702" s="0" t="n">
        <v>57.07</v>
      </c>
      <c r="O702" s="0" t="n">
        <v>28.17</v>
      </c>
      <c r="P702" s="0" t="n">
        <v>4.74</v>
      </c>
      <c r="Q702" s="0" t="n">
        <v>3.82</v>
      </c>
      <c r="R702" s="0" t="n">
        <v>5144</v>
      </c>
      <c r="S702" s="0" t="n">
        <v>10713</v>
      </c>
      <c r="T702" s="0" t="n">
        <v>55.85</v>
      </c>
      <c r="U702" s="0" t="n">
        <v>1314</v>
      </c>
      <c r="V702" s="0" t="n">
        <v>2</v>
      </c>
      <c r="W702" s="27" t="n">
        <f aca="false">MATCH(A702,DATAS,0)</f>
        <v>1</v>
      </c>
      <c r="X702" s="27" t="n">
        <f aca="false">IF(AND(E702&gt;0,OR(AND(B702&gt;=1,B702&lt;=6),B702=10)),1,0)</f>
        <v>1</v>
      </c>
      <c r="Y702" s="27" t="n">
        <f aca="false">IF(AND(E702&gt;0,B702=10),1,0)</f>
        <v>0</v>
      </c>
      <c r="Z702" s="0" t="str">
        <f aca="false">IF(AND(C701=C702,W701=W702-1),X701,"")</f>
        <v/>
      </c>
      <c r="AA702" s="0" t="str">
        <f aca="false">IF(AND(C701=C702,W701=W702-1),Y701,"")</f>
        <v/>
      </c>
      <c r="AB702" s="0" t="str">
        <f aca="false">IF(W702=1,"",IF(AND(X702=1,Z702&lt;&gt;1),1,0))</f>
        <v/>
      </c>
      <c r="AC702" s="0" t="str">
        <f aca="false">IF(W702=1,"",IF(AND(Y702=1,AA702&lt;&gt;1),1,0))</f>
        <v/>
      </c>
      <c r="AD702" s="33" t="str">
        <f aca="false">IF(AND(E702&gt;0,W702&lt;1,NOT(AND(C703=C702,W703=W702+1))),INDEX(DATAS,W702+1),"")</f>
        <v/>
      </c>
      <c r="AE702" s="33" t="str">
        <f aca="false">IF(AND(Y702=1,W702&lt;1),IF(AND(C703=C702,W703=W702+1),IF(Y703=1,"",INDEX(DATAS,W702+1)),INDEX(DATAS,W702+1)),"")</f>
        <v/>
      </c>
    </row>
    <row r="703" customFormat="false" ht="15" hidden="false" customHeight="false" outlineLevel="0" collapsed="false">
      <c r="A703" s="33" t="n">
        <v>46309</v>
      </c>
      <c r="B703" s="0" t="n">
        <v>7</v>
      </c>
      <c r="C703" s="0" t="n">
        <v>4594</v>
      </c>
      <c r="D703" s="0" t="n">
        <v>290</v>
      </c>
      <c r="E703" s="0" t="n">
        <v>2</v>
      </c>
      <c r="F703" s="27" t="s">
        <v>603</v>
      </c>
      <c r="G703" s="0" t="n">
        <v>13.9</v>
      </c>
      <c r="H703" s="0" t="n">
        <v>32</v>
      </c>
      <c r="I703" s="27" t="s">
        <v>143</v>
      </c>
      <c r="J703" s="0" t="n">
        <v>67</v>
      </c>
      <c r="K703" s="0" t="n">
        <v>67</v>
      </c>
      <c r="L703" s="0" t="n">
        <v>224</v>
      </c>
      <c r="M703" s="0" t="n">
        <v>527.17</v>
      </c>
      <c r="N703" s="0" t="n">
        <v>37.41</v>
      </c>
      <c r="O703" s="0" t="n">
        <v>30.71</v>
      </c>
      <c r="P703" s="0" t="n">
        <v>3.64</v>
      </c>
      <c r="Q703" s="0" t="n">
        <v>3.41</v>
      </c>
      <c r="R703" s="0" t="n">
        <v>4870</v>
      </c>
      <c r="S703" s="0" t="n">
        <v>10533</v>
      </c>
      <c r="T703" s="0" t="n">
        <v>50.3</v>
      </c>
      <c r="U703" s="0" t="n">
        <v>1314</v>
      </c>
      <c r="V703" s="0" t="n">
        <v>1</v>
      </c>
      <c r="W703" s="27" t="n">
        <f aca="false">MATCH(A703,DATAS,0)</f>
        <v>1</v>
      </c>
      <c r="X703" s="27" t="n">
        <f aca="false">IF(AND(E703&gt;0,OR(AND(B703&gt;=1,B703&lt;=6),B703=10)),1,0)</f>
        <v>0</v>
      </c>
      <c r="Y703" s="27" t="n">
        <f aca="false">IF(AND(E703&gt;0,B703=10),1,0)</f>
        <v>0</v>
      </c>
      <c r="Z703" s="0" t="str">
        <f aca="false">IF(AND(C702=C703,W702=W703-1),X702,"")</f>
        <v/>
      </c>
      <c r="AA703" s="0" t="str">
        <f aca="false">IF(AND(C702=C703,W702=W703-1),Y702,"")</f>
        <v/>
      </c>
      <c r="AB703" s="0" t="str">
        <f aca="false">IF(W703=1,"",IF(AND(X703=1,Z703&lt;&gt;1),1,0))</f>
        <v/>
      </c>
      <c r="AC703" s="0" t="str">
        <f aca="false">IF(W703=1,"",IF(AND(Y703=1,AA703&lt;&gt;1),1,0))</f>
        <v/>
      </c>
      <c r="AD703" s="33" t="str">
        <f aca="false">IF(AND(E703&gt;0,W703&lt;1,NOT(AND(C704=C703,W704=W703+1))),INDEX(DATAS,W703+1),"")</f>
        <v/>
      </c>
      <c r="AE703" s="33" t="str">
        <f aca="false">IF(AND(Y703=1,W703&lt;1),IF(AND(C704=C703,W704=W703+1),IF(Y704=1,"",INDEX(DATAS,W703+1)),INDEX(DATAS,W703+1)),"")</f>
        <v/>
      </c>
    </row>
    <row r="704" customFormat="false" ht="15" hidden="false" customHeight="false" outlineLevel="0" collapsed="false">
      <c r="A704" s="33" t="n">
        <v>46309</v>
      </c>
      <c r="B704" s="0" t="n">
        <v>5</v>
      </c>
      <c r="C704" s="0" t="n">
        <v>4595</v>
      </c>
      <c r="D704" s="0" t="n">
        <v>216</v>
      </c>
      <c r="E704" s="0" t="n">
        <v>2</v>
      </c>
      <c r="F704" s="27" t="s">
        <v>603</v>
      </c>
      <c r="G704" s="0" t="n">
        <v>35.7</v>
      </c>
      <c r="H704" s="0" t="n">
        <v>34</v>
      </c>
      <c r="I704" s="27" t="s">
        <v>168</v>
      </c>
      <c r="J704" s="0" t="n">
        <v>216</v>
      </c>
      <c r="K704" s="0" t="n">
        <v>69</v>
      </c>
      <c r="M704" s="0" t="n">
        <v>51.33</v>
      </c>
      <c r="N704" s="0" t="n">
        <v>46.61</v>
      </c>
      <c r="O704" s="0" t="n">
        <v>26.18</v>
      </c>
      <c r="P704" s="0" t="n">
        <v>4.34</v>
      </c>
      <c r="Q704" s="0" t="n">
        <v>4.22</v>
      </c>
      <c r="R704" s="0" t="n">
        <v>4135</v>
      </c>
      <c r="S704" s="0" t="n">
        <v>7439</v>
      </c>
      <c r="T704" s="0" t="n">
        <v>42.95</v>
      </c>
      <c r="U704" s="0" t="n">
        <v>1314</v>
      </c>
      <c r="V704" s="0" t="n">
        <v>5</v>
      </c>
      <c r="W704" s="27" t="n">
        <f aca="false">MATCH(A704,DATAS,0)</f>
        <v>1</v>
      </c>
      <c r="X704" s="27" t="n">
        <f aca="false">IF(AND(E704&gt;0,OR(AND(B704&gt;=1,B704&lt;=6),B704=10)),1,0)</f>
        <v>1</v>
      </c>
      <c r="Y704" s="27" t="n">
        <f aca="false">IF(AND(E704&gt;0,B704=10),1,0)</f>
        <v>0</v>
      </c>
      <c r="Z704" s="0" t="str">
        <f aca="false">IF(AND(C703=C704,W703=W704-1),X703,"")</f>
        <v/>
      </c>
      <c r="AA704" s="0" t="str">
        <f aca="false">IF(AND(C703=C704,W703=W704-1),Y703,"")</f>
        <v/>
      </c>
      <c r="AB704" s="0" t="str">
        <f aca="false">IF(W704=1,"",IF(AND(X704=1,Z704&lt;&gt;1),1,0))</f>
        <v/>
      </c>
      <c r="AC704" s="0" t="str">
        <f aca="false">IF(W704=1,"",IF(AND(Y704=1,AA704&lt;&gt;1),1,0))</f>
        <v/>
      </c>
      <c r="AD704" s="33" t="str">
        <f aca="false">IF(AND(E704&gt;0,W704&lt;1,NOT(AND(C705=C704,W705=W704+1))),INDEX(DATAS,W704+1),"")</f>
        <v/>
      </c>
      <c r="AE704" s="33" t="str">
        <f aca="false">IF(AND(Y704=1,W704&lt;1),IF(AND(C705=C704,W705=W704+1),IF(Y705=1,"",INDEX(DATAS,W704+1)),INDEX(DATAS,W704+1)),"")</f>
        <v/>
      </c>
    </row>
    <row r="705" customFormat="false" ht="15" hidden="false" customHeight="false" outlineLevel="0" collapsed="false">
      <c r="A705" s="33" t="n">
        <v>46309</v>
      </c>
      <c r="B705" s="0" t="n">
        <v>3</v>
      </c>
      <c r="C705" s="0" t="n">
        <v>4597</v>
      </c>
      <c r="D705" s="0" t="n">
        <v>145</v>
      </c>
      <c r="E705" s="0" t="n">
        <v>2</v>
      </c>
      <c r="F705" s="27" t="s">
        <v>156</v>
      </c>
      <c r="G705" s="0" t="n">
        <v>50.2</v>
      </c>
      <c r="H705" s="0" t="n">
        <v>59</v>
      </c>
      <c r="I705" s="27" t="s">
        <v>176</v>
      </c>
      <c r="J705" s="0" t="n">
        <v>145</v>
      </c>
      <c r="K705" s="0" t="n">
        <v>68</v>
      </c>
      <c r="M705" s="0" t="n">
        <v>629.15</v>
      </c>
      <c r="N705" s="0" t="n">
        <v>57.18</v>
      </c>
      <c r="O705" s="0" t="n">
        <v>27.75</v>
      </c>
      <c r="P705" s="0" t="n">
        <v>3.94</v>
      </c>
      <c r="Q705" s="0" t="n">
        <v>2.95</v>
      </c>
      <c r="R705" s="0" t="n">
        <v>6473</v>
      </c>
      <c r="S705" s="0" t="n">
        <v>12921</v>
      </c>
      <c r="T705" s="0" t="n">
        <v>68.1</v>
      </c>
      <c r="U705" s="0" t="n">
        <v>1313</v>
      </c>
      <c r="V705" s="0" t="n">
        <v>2</v>
      </c>
      <c r="W705" s="27" t="n">
        <f aca="false">MATCH(A705,DATAS,0)</f>
        <v>1</v>
      </c>
      <c r="X705" s="27" t="n">
        <f aca="false">IF(AND(E705&gt;0,OR(AND(B705&gt;=1,B705&lt;=6),B705=10)),1,0)</f>
        <v>1</v>
      </c>
      <c r="Y705" s="27" t="n">
        <f aca="false">IF(AND(E705&gt;0,B705=10),1,0)</f>
        <v>0</v>
      </c>
      <c r="Z705" s="0" t="str">
        <f aca="false">IF(AND(C704=C705,W704=W705-1),X704,"")</f>
        <v/>
      </c>
      <c r="AA705" s="0" t="str">
        <f aca="false">IF(AND(C704=C705,W704=W705-1),Y704,"")</f>
        <v/>
      </c>
      <c r="AB705" s="0" t="str">
        <f aca="false">IF(W705=1,"",IF(AND(X705=1,Z705&lt;&gt;1),1,0))</f>
        <v/>
      </c>
      <c r="AC705" s="0" t="str">
        <f aca="false">IF(W705=1,"",IF(AND(Y705=1,AA705&lt;&gt;1),1,0))</f>
        <v/>
      </c>
      <c r="AD705" s="33" t="str">
        <f aca="false">IF(AND(E705&gt;0,W705&lt;1,NOT(AND(C706=C705,W706=W705+1))),INDEX(DATAS,W705+1),"")</f>
        <v/>
      </c>
      <c r="AE705" s="33" t="str">
        <f aca="false">IF(AND(Y705=1,W705&lt;1),IF(AND(C706=C705,W706=W705+1),IF(Y706=1,"",INDEX(DATAS,W705+1)),INDEX(DATAS,W705+1)),"")</f>
        <v/>
      </c>
    </row>
    <row r="706" customFormat="false" ht="15" hidden="false" customHeight="false" outlineLevel="0" collapsed="false">
      <c r="A706" s="33" t="n">
        <v>46309</v>
      </c>
      <c r="B706" s="0" t="n">
        <v>5</v>
      </c>
      <c r="C706" s="0" t="n">
        <v>4598</v>
      </c>
      <c r="D706" s="0" t="n">
        <v>585</v>
      </c>
      <c r="E706" s="0" t="n">
        <v>1</v>
      </c>
      <c r="F706" s="27" t="s">
        <v>156</v>
      </c>
      <c r="G706" s="0" t="n">
        <v>40.4</v>
      </c>
      <c r="H706" s="0" t="n">
        <v>40</v>
      </c>
      <c r="I706" s="27" t="s">
        <v>138</v>
      </c>
      <c r="J706" s="0" t="n">
        <v>459</v>
      </c>
      <c r="K706" s="0" t="n">
        <v>61</v>
      </c>
      <c r="L706" s="0" t="n">
        <v>126</v>
      </c>
      <c r="M706" s="0" t="n">
        <v>1049.1</v>
      </c>
      <c r="N706" s="0" t="n">
        <v>57.61</v>
      </c>
      <c r="O706" s="0" t="n">
        <v>44.24</v>
      </c>
      <c r="P706" s="0" t="n">
        <v>4.7</v>
      </c>
      <c r="Q706" s="0" t="n">
        <v>4.24</v>
      </c>
      <c r="R706" s="0" t="n">
        <v>3686</v>
      </c>
      <c r="S706" s="0" t="n">
        <v>8649</v>
      </c>
      <c r="T706" s="0" t="n">
        <v>43.9</v>
      </c>
      <c r="U706" s="0" t="n">
        <v>1313</v>
      </c>
      <c r="V706" s="0" t="n">
        <v>9</v>
      </c>
      <c r="W706" s="27" t="n">
        <f aca="false">MATCH(A706,DATAS,0)</f>
        <v>1</v>
      </c>
      <c r="X706" s="27" t="n">
        <f aca="false">IF(AND(E706&gt;0,OR(AND(B706&gt;=1,B706&lt;=6),B706=10)),1,0)</f>
        <v>1</v>
      </c>
      <c r="Y706" s="27" t="n">
        <f aca="false">IF(AND(E706&gt;0,B706=10),1,0)</f>
        <v>0</v>
      </c>
      <c r="Z706" s="0" t="str">
        <f aca="false">IF(AND(C705=C706,W705=W706-1),X705,"")</f>
        <v/>
      </c>
      <c r="AA706" s="0" t="str">
        <f aca="false">IF(AND(C705=C706,W705=W706-1),Y705,"")</f>
        <v/>
      </c>
      <c r="AB706" s="0" t="str">
        <f aca="false">IF(W706=1,"",IF(AND(X706=1,Z706&lt;&gt;1),1,0))</f>
        <v/>
      </c>
      <c r="AC706" s="0" t="str">
        <f aca="false">IF(W706=1,"",IF(AND(Y706=1,AA706&lt;&gt;1),1,0))</f>
        <v/>
      </c>
      <c r="AD706" s="33" t="str">
        <f aca="false">IF(AND(E706&gt;0,W706&lt;1,NOT(AND(C707=C706,W707=W706+1))),INDEX(DATAS,W706+1),"")</f>
        <v/>
      </c>
      <c r="AE706" s="33" t="str">
        <f aca="false">IF(AND(Y706=1,W706&lt;1),IF(AND(C707=C706,W707=W706+1),IF(Y707=1,"",INDEX(DATAS,W706+1)),INDEX(DATAS,W706+1)),"")</f>
        <v/>
      </c>
    </row>
    <row r="707" customFormat="false" ht="15" hidden="false" customHeight="false" outlineLevel="0" collapsed="false">
      <c r="A707" s="33" t="n">
        <v>46309</v>
      </c>
      <c r="B707" s="0" t="n">
        <v>5</v>
      </c>
      <c r="C707" s="0" t="n">
        <v>4599</v>
      </c>
      <c r="D707" s="0" t="n">
        <v>152</v>
      </c>
      <c r="E707" s="0" t="n">
        <v>2</v>
      </c>
      <c r="F707" s="27" t="s">
        <v>604</v>
      </c>
      <c r="G707" s="0" t="n">
        <v>31.1</v>
      </c>
      <c r="H707" s="0" t="n">
        <v>31</v>
      </c>
      <c r="I707" s="27" t="s">
        <v>168</v>
      </c>
      <c r="J707" s="0" t="n">
        <v>152</v>
      </c>
      <c r="K707" s="0" t="n">
        <v>68</v>
      </c>
      <c r="M707" s="0" t="n">
        <v>373.74</v>
      </c>
      <c r="N707" s="0" t="n">
        <v>64.15</v>
      </c>
      <c r="O707" s="0" t="n">
        <v>27.33</v>
      </c>
      <c r="P707" s="0" t="n">
        <v>4.37</v>
      </c>
      <c r="Q707" s="0" t="n">
        <v>3.88</v>
      </c>
      <c r="R707" s="0" t="n">
        <v>4506</v>
      </c>
      <c r="S707" s="0" t="n">
        <v>7676</v>
      </c>
      <c r="T707" s="0" t="n">
        <v>51.65</v>
      </c>
      <c r="U707" s="0" t="n">
        <v>1312</v>
      </c>
      <c r="V707" s="0" t="n">
        <v>3</v>
      </c>
      <c r="W707" s="27" t="n">
        <f aca="false">MATCH(A707,DATAS,0)</f>
        <v>1</v>
      </c>
      <c r="X707" s="27" t="n">
        <f aca="false">IF(AND(E707&gt;0,OR(AND(B707&gt;=1,B707&lt;=6),B707=10)),1,0)</f>
        <v>1</v>
      </c>
      <c r="Y707" s="27" t="n">
        <f aca="false">IF(AND(E707&gt;0,B707=10),1,0)</f>
        <v>0</v>
      </c>
      <c r="Z707" s="0" t="str">
        <f aca="false">IF(AND(C706=C707,W706=W707-1),X706,"")</f>
        <v/>
      </c>
      <c r="AA707" s="0" t="str">
        <f aca="false">IF(AND(C706=C707,W706=W707-1),Y706,"")</f>
        <v/>
      </c>
      <c r="AB707" s="0" t="str">
        <f aca="false">IF(W707=1,"",IF(AND(X707=1,Z707&lt;&gt;1),1,0))</f>
        <v/>
      </c>
      <c r="AC707" s="0" t="str">
        <f aca="false">IF(W707=1,"",IF(AND(Y707=1,AA707&lt;&gt;1),1,0))</f>
        <v/>
      </c>
      <c r="AD707" s="33" t="str">
        <f aca="false">IF(AND(E707&gt;0,W707&lt;1,NOT(AND(C708=C707,W708=W707+1))),INDEX(DATAS,W707+1),"")</f>
        <v/>
      </c>
      <c r="AE707" s="33" t="str">
        <f aca="false">IF(AND(Y707=1,W707&lt;1),IF(AND(C708=C707,W708=W707+1),IF(Y708=1,"",INDEX(DATAS,W707+1)),INDEX(DATAS,W707+1)),"")</f>
        <v/>
      </c>
    </row>
    <row r="708" customFormat="false" ht="15" hidden="false" customHeight="false" outlineLevel="0" collapsed="false">
      <c r="A708" s="33" t="n">
        <v>46309</v>
      </c>
      <c r="B708" s="0" t="n">
        <v>7</v>
      </c>
      <c r="C708" s="0" t="n">
        <v>4600</v>
      </c>
      <c r="D708" s="0" t="n">
        <v>322</v>
      </c>
      <c r="E708" s="0" t="n">
        <v>2</v>
      </c>
      <c r="F708" s="27" t="s">
        <v>604</v>
      </c>
      <c r="I708" s="27" t="s">
        <v>143</v>
      </c>
      <c r="J708" s="0" t="n">
        <v>99</v>
      </c>
      <c r="K708" s="0" t="n">
        <v>64</v>
      </c>
      <c r="L708" s="0" t="n">
        <v>231</v>
      </c>
      <c r="M708" s="0" t="n">
        <v>569.98</v>
      </c>
      <c r="N708" s="0" t="n">
        <v>40.29</v>
      </c>
      <c r="O708" s="0" t="n">
        <v>30.6</v>
      </c>
      <c r="P708" s="0" t="n">
        <v>4.87</v>
      </c>
      <c r="Q708" s="0" t="n">
        <v>3.99</v>
      </c>
      <c r="R708" s="0" t="n">
        <v>4725</v>
      </c>
      <c r="S708" s="0" t="n">
        <v>9851</v>
      </c>
      <c r="T708" s="0" t="n">
        <v>50.45</v>
      </c>
      <c r="U708" s="0" t="n">
        <v>1312</v>
      </c>
      <c r="V708" s="0" t="n">
        <v>2</v>
      </c>
      <c r="W708" s="27" t="n">
        <f aca="false">MATCH(A708,DATAS,0)</f>
        <v>1</v>
      </c>
      <c r="X708" s="27" t="n">
        <f aca="false">IF(AND(E708&gt;0,OR(AND(B708&gt;=1,B708&lt;=6),B708=10)),1,0)</f>
        <v>0</v>
      </c>
      <c r="Y708" s="27" t="n">
        <f aca="false">IF(AND(E708&gt;0,B708=10),1,0)</f>
        <v>0</v>
      </c>
      <c r="Z708" s="0" t="str">
        <f aca="false">IF(AND(C707=C708,W707=W708-1),X707,"")</f>
        <v/>
      </c>
      <c r="AA708" s="0" t="str">
        <f aca="false">IF(AND(C707=C708,W707=W708-1),Y707,"")</f>
        <v/>
      </c>
      <c r="AB708" s="0" t="str">
        <f aca="false">IF(W708=1,"",IF(AND(X708=1,Z708&lt;&gt;1),1,0))</f>
        <v/>
      </c>
      <c r="AC708" s="0" t="str">
        <f aca="false">IF(W708=1,"",IF(AND(Y708=1,AA708&lt;&gt;1),1,0))</f>
        <v/>
      </c>
      <c r="AD708" s="33" t="str">
        <f aca="false">IF(AND(E708&gt;0,W708&lt;1,NOT(AND(C709=C708,W709=W708+1))),INDEX(DATAS,W708+1),"")</f>
        <v/>
      </c>
      <c r="AE708" s="33" t="str">
        <f aca="false">IF(AND(Y708=1,W708&lt;1),IF(AND(C709=C708,W709=W708+1),IF(Y709=1,"",INDEX(DATAS,W708+1)),INDEX(DATAS,W708+1)),"")</f>
        <v/>
      </c>
    </row>
    <row r="709" customFormat="false" ht="15" hidden="false" customHeight="false" outlineLevel="0" collapsed="false">
      <c r="A709" s="33" t="n">
        <v>46309</v>
      </c>
      <c r="B709" s="0" t="n">
        <v>5</v>
      </c>
      <c r="C709" s="0" t="n">
        <v>4601</v>
      </c>
      <c r="D709" s="0" t="n">
        <v>346</v>
      </c>
      <c r="E709" s="0" t="n">
        <v>2</v>
      </c>
      <c r="F709" s="27" t="s">
        <v>604</v>
      </c>
      <c r="G709" s="0" t="n">
        <v>39.1</v>
      </c>
      <c r="H709" s="0" t="n">
        <v>43</v>
      </c>
      <c r="I709" s="27" t="s">
        <v>138</v>
      </c>
      <c r="J709" s="0" t="n">
        <v>199</v>
      </c>
      <c r="K709" s="0" t="n">
        <v>73</v>
      </c>
      <c r="L709" s="0" t="n">
        <v>147</v>
      </c>
      <c r="M709" s="0" t="n">
        <v>506.71</v>
      </c>
      <c r="N709" s="0" t="n">
        <v>36.09</v>
      </c>
      <c r="O709" s="0" t="n">
        <v>32.61</v>
      </c>
      <c r="P709" s="0" t="n">
        <v>4.89</v>
      </c>
      <c r="Q709" s="0" t="n">
        <v>4.33</v>
      </c>
      <c r="R709" s="0" t="n">
        <v>5352</v>
      </c>
      <c r="S709" s="0" t="n">
        <v>9061</v>
      </c>
      <c r="T709" s="0" t="n">
        <v>59.8</v>
      </c>
      <c r="U709" s="0" t="n">
        <v>1312</v>
      </c>
      <c r="V709" s="0" t="n">
        <v>6</v>
      </c>
      <c r="W709" s="27" t="n">
        <f aca="false">MATCH(A709,DATAS,0)</f>
        <v>1</v>
      </c>
      <c r="X709" s="27" t="n">
        <f aca="false">IF(AND(E709&gt;0,OR(AND(B709&gt;=1,B709&lt;=6),B709=10)),1,0)</f>
        <v>1</v>
      </c>
      <c r="Y709" s="27" t="n">
        <f aca="false">IF(AND(E709&gt;0,B709=10),1,0)</f>
        <v>0</v>
      </c>
      <c r="Z709" s="0" t="str">
        <f aca="false">IF(AND(C708=C709,W708=W709-1),X708,"")</f>
        <v/>
      </c>
      <c r="AA709" s="0" t="str">
        <f aca="false">IF(AND(C708=C709,W708=W709-1),Y708,"")</f>
        <v/>
      </c>
      <c r="AB709" s="0" t="str">
        <f aca="false">IF(W709=1,"",IF(AND(X709=1,Z709&lt;&gt;1),1,0))</f>
        <v/>
      </c>
      <c r="AC709" s="0" t="str">
        <f aca="false">IF(W709=1,"",IF(AND(Y709=1,AA709&lt;&gt;1),1,0))</f>
        <v/>
      </c>
      <c r="AD709" s="33" t="str">
        <f aca="false">IF(AND(E709&gt;0,W709&lt;1,NOT(AND(C710=C709,W710=W709+1))),INDEX(DATAS,W709+1),"")</f>
        <v/>
      </c>
      <c r="AE709" s="33" t="str">
        <f aca="false">IF(AND(Y709=1,W709&lt;1),IF(AND(C710=C709,W710=W709+1),IF(Y710=1,"",INDEX(DATAS,W709+1)),INDEX(DATAS,W709+1)),"")</f>
        <v/>
      </c>
    </row>
    <row r="710" customFormat="false" ht="15" hidden="false" customHeight="false" outlineLevel="0" collapsed="false">
      <c r="A710" s="33" t="n">
        <v>46309</v>
      </c>
      <c r="B710" s="0" t="n">
        <v>2</v>
      </c>
      <c r="C710" s="0" t="n">
        <v>4602</v>
      </c>
      <c r="D710" s="0" t="n">
        <v>219</v>
      </c>
      <c r="E710" s="0" t="n">
        <v>2</v>
      </c>
      <c r="F710" s="27" t="s">
        <v>605</v>
      </c>
      <c r="G710" s="0" t="n">
        <v>55</v>
      </c>
      <c r="H710" s="0" t="n">
        <v>54</v>
      </c>
      <c r="I710" s="27" t="s">
        <v>138</v>
      </c>
      <c r="J710" s="0" t="n">
        <v>108</v>
      </c>
      <c r="K710" s="0" t="n">
        <v>72</v>
      </c>
      <c r="L710" s="0" t="n">
        <v>111</v>
      </c>
      <c r="M710" s="0" t="n">
        <v>1344.8</v>
      </c>
      <c r="N710" s="0" t="n">
        <v>57.09</v>
      </c>
      <c r="O710" s="0" t="n">
        <v>31.49</v>
      </c>
      <c r="P710" s="0" t="n">
        <v>3.96</v>
      </c>
      <c r="Q710" s="0" t="n">
        <v>3.38</v>
      </c>
      <c r="R710" s="0" t="n">
        <v>5239</v>
      </c>
      <c r="S710" s="0" t="n">
        <v>11242</v>
      </c>
      <c r="T710" s="0" t="n">
        <v>54.35</v>
      </c>
      <c r="U710" s="0" t="n">
        <v>1311</v>
      </c>
      <c r="V710" s="0" t="n">
        <v>2</v>
      </c>
      <c r="W710" s="27" t="n">
        <f aca="false">MATCH(A710,DATAS,0)</f>
        <v>1</v>
      </c>
      <c r="X710" s="27" t="n">
        <f aca="false">IF(AND(E710&gt;0,OR(AND(B710&gt;=1,B710&lt;=6),B710=10)),1,0)</f>
        <v>1</v>
      </c>
      <c r="Y710" s="27" t="n">
        <f aca="false">IF(AND(E710&gt;0,B710=10),1,0)</f>
        <v>0</v>
      </c>
      <c r="Z710" s="0" t="str">
        <f aca="false">IF(AND(C709=C710,W709=W710-1),X709,"")</f>
        <v/>
      </c>
      <c r="AA710" s="0" t="str">
        <f aca="false">IF(AND(C709=C710,W709=W710-1),Y709,"")</f>
        <v/>
      </c>
      <c r="AB710" s="0" t="str">
        <f aca="false">IF(W710=1,"",IF(AND(X710=1,Z710&lt;&gt;1),1,0))</f>
        <v/>
      </c>
      <c r="AC710" s="0" t="str">
        <f aca="false">IF(W710=1,"",IF(AND(Y710=1,AA710&lt;&gt;1),1,0))</f>
        <v/>
      </c>
      <c r="AD710" s="33" t="str">
        <f aca="false">IF(AND(E710&gt;0,W710&lt;1,NOT(AND(C711=C710,W711=W710+1))),INDEX(DATAS,W710+1),"")</f>
        <v/>
      </c>
      <c r="AE710" s="33" t="str">
        <f aca="false">IF(AND(Y710=1,W710&lt;1),IF(AND(C711=C710,W711=W710+1),IF(Y711=1,"",INDEX(DATAS,W710+1)),INDEX(DATAS,W710+1)),"")</f>
        <v/>
      </c>
    </row>
    <row r="711" customFormat="false" ht="15" hidden="false" customHeight="false" outlineLevel="0" collapsed="false">
      <c r="A711" s="33" t="n">
        <v>46309</v>
      </c>
      <c r="B711" s="0" t="n">
        <v>5</v>
      </c>
      <c r="C711" s="0" t="n">
        <v>4606</v>
      </c>
      <c r="D711" s="0" t="n">
        <v>229</v>
      </c>
      <c r="E711" s="0" t="n">
        <v>2</v>
      </c>
      <c r="F711" s="27" t="s">
        <v>605</v>
      </c>
      <c r="G711" s="0" t="n">
        <v>38.6</v>
      </c>
      <c r="H711" s="0" t="n">
        <v>36</v>
      </c>
      <c r="I711" s="27" t="s">
        <v>138</v>
      </c>
      <c r="J711" s="0" t="n">
        <v>194</v>
      </c>
      <c r="K711" s="0" t="n">
        <v>68</v>
      </c>
      <c r="L711" s="0" t="n">
        <v>35</v>
      </c>
      <c r="M711" s="0" t="n">
        <v>-602.08</v>
      </c>
      <c r="N711" s="0" t="n">
        <v>3.43</v>
      </c>
      <c r="O711" s="0" t="n">
        <v>5.04</v>
      </c>
      <c r="P711" s="0" t="n">
        <v>4.53</v>
      </c>
      <c r="Q711" s="0" t="n">
        <v>4.23</v>
      </c>
      <c r="R711" s="0" t="n">
        <v>3587</v>
      </c>
      <c r="S711" s="0" t="n">
        <v>8170</v>
      </c>
      <c r="T711" s="0" t="n">
        <v>39.5</v>
      </c>
      <c r="U711" s="0" t="n">
        <v>1311</v>
      </c>
      <c r="V711" s="0" t="n">
        <v>5</v>
      </c>
      <c r="W711" s="27" t="n">
        <f aca="false">MATCH(A711,DATAS,0)</f>
        <v>1</v>
      </c>
      <c r="X711" s="27" t="n">
        <f aca="false">IF(AND(E711&gt;0,OR(AND(B711&gt;=1,B711&lt;=6),B711=10)),1,0)</f>
        <v>1</v>
      </c>
      <c r="Y711" s="27" t="n">
        <f aca="false">IF(AND(E711&gt;0,B711=10),1,0)</f>
        <v>0</v>
      </c>
      <c r="Z711" s="0" t="str">
        <f aca="false">IF(AND(C710=C711,W710=W711-1),X710,"")</f>
        <v/>
      </c>
      <c r="AA711" s="0" t="str">
        <f aca="false">IF(AND(C710=C711,W710=W711-1),Y710,"")</f>
        <v/>
      </c>
      <c r="AB711" s="0" t="str">
        <f aca="false">IF(W711=1,"",IF(AND(X711=1,Z711&lt;&gt;1),1,0))</f>
        <v/>
      </c>
      <c r="AC711" s="0" t="str">
        <f aca="false">IF(W711=1,"",IF(AND(Y711=1,AA711&lt;&gt;1),1,0))</f>
        <v/>
      </c>
      <c r="AD711" s="33" t="str">
        <f aca="false">IF(AND(E711&gt;0,W711&lt;1,NOT(AND(C712=C711,W712=W711+1))),INDEX(DATAS,W711+1),"")</f>
        <v/>
      </c>
      <c r="AE711" s="33" t="str">
        <f aca="false">IF(AND(Y711=1,W711&lt;1),IF(AND(C712=C711,W712=W711+1),IF(Y712=1,"",INDEX(DATAS,W711+1)),INDEX(DATAS,W711+1)),"")</f>
        <v/>
      </c>
    </row>
    <row r="712" customFormat="false" ht="15" hidden="false" customHeight="false" outlineLevel="0" collapsed="false">
      <c r="A712" s="33" t="n">
        <v>46309</v>
      </c>
      <c r="B712" s="0" t="n">
        <v>3</v>
      </c>
      <c r="C712" s="0" t="n">
        <v>4607</v>
      </c>
      <c r="D712" s="0" t="n">
        <v>178</v>
      </c>
      <c r="E712" s="0" t="n">
        <v>2</v>
      </c>
      <c r="F712" s="27" t="s">
        <v>606</v>
      </c>
      <c r="G712" s="0" t="n">
        <v>46</v>
      </c>
      <c r="H712" s="0" t="n">
        <v>48</v>
      </c>
      <c r="I712" s="27" t="s">
        <v>138</v>
      </c>
      <c r="J712" s="0" t="n">
        <v>66</v>
      </c>
      <c r="K712" s="0" t="n">
        <v>66</v>
      </c>
      <c r="L712" s="0" t="n">
        <v>112</v>
      </c>
      <c r="M712" s="0" t="n">
        <v>844.69</v>
      </c>
      <c r="N712" s="0" t="n">
        <v>42.09</v>
      </c>
      <c r="O712" s="0" t="n">
        <v>37.41</v>
      </c>
      <c r="P712" s="0" t="n">
        <v>3.47</v>
      </c>
      <c r="Q712" s="0" t="n">
        <v>3.55</v>
      </c>
      <c r="R712" s="0" t="n">
        <v>4634</v>
      </c>
      <c r="S712" s="0" t="n">
        <v>10115</v>
      </c>
      <c r="T712" s="0" t="n">
        <v>52.4</v>
      </c>
      <c r="U712" s="0" t="n">
        <v>1310</v>
      </c>
      <c r="V712" s="0" t="n">
        <v>1</v>
      </c>
      <c r="W712" s="27" t="n">
        <f aca="false">MATCH(A712,DATAS,0)</f>
        <v>1</v>
      </c>
      <c r="X712" s="27" t="n">
        <f aca="false">IF(AND(E712&gt;0,OR(AND(B712&gt;=1,B712&lt;=6),B712=10)),1,0)</f>
        <v>1</v>
      </c>
      <c r="Y712" s="27" t="n">
        <f aca="false">IF(AND(E712&gt;0,B712=10),1,0)</f>
        <v>0</v>
      </c>
      <c r="Z712" s="0" t="str">
        <f aca="false">IF(AND(C711=C712,W711=W712-1),X711,"")</f>
        <v/>
      </c>
      <c r="AA712" s="0" t="str">
        <f aca="false">IF(AND(C711=C712,W711=W712-1),Y711,"")</f>
        <v/>
      </c>
      <c r="AB712" s="0" t="str">
        <f aca="false">IF(W712=1,"",IF(AND(X712=1,Z712&lt;&gt;1),1,0))</f>
        <v/>
      </c>
      <c r="AC712" s="0" t="str">
        <f aca="false">IF(W712=1,"",IF(AND(Y712=1,AA712&lt;&gt;1),1,0))</f>
        <v/>
      </c>
      <c r="AD712" s="33" t="str">
        <f aca="false">IF(AND(E712&gt;0,W712&lt;1,NOT(AND(C713=C712,W713=W712+1))),INDEX(DATAS,W712+1),"")</f>
        <v/>
      </c>
      <c r="AE712" s="33" t="str">
        <f aca="false">IF(AND(Y712=1,W712&lt;1),IF(AND(C713=C712,W713=W712+1),IF(Y713=1,"",INDEX(DATAS,W712+1)),INDEX(DATAS,W712+1)),"")</f>
        <v/>
      </c>
    </row>
    <row r="713" customFormat="false" ht="15" hidden="false" customHeight="false" outlineLevel="0" collapsed="false">
      <c r="A713" s="33" t="n">
        <v>46309</v>
      </c>
      <c r="B713" s="0" t="n">
        <v>5</v>
      </c>
      <c r="C713" s="0" t="n">
        <v>4608</v>
      </c>
      <c r="D713" s="0" t="n">
        <v>209</v>
      </c>
      <c r="E713" s="0" t="n">
        <v>2</v>
      </c>
      <c r="F713" s="27" t="s">
        <v>606</v>
      </c>
      <c r="G713" s="0" t="n">
        <v>34.4</v>
      </c>
      <c r="H713" s="0" t="n">
        <v>34</v>
      </c>
      <c r="I713" s="27" t="s">
        <v>151</v>
      </c>
      <c r="J713" s="0" t="n">
        <v>209</v>
      </c>
      <c r="M713" s="0" t="n">
        <v>279.97</v>
      </c>
      <c r="N713" s="0" t="n">
        <v>38.06</v>
      </c>
      <c r="O713" s="0" t="n">
        <v>19.86</v>
      </c>
      <c r="P713" s="0" t="n">
        <v>4.81</v>
      </c>
      <c r="Q713" s="0" t="n">
        <v>4.01</v>
      </c>
      <c r="R713" s="0" t="n">
        <v>3088</v>
      </c>
      <c r="S713" s="0" t="n">
        <v>6330</v>
      </c>
      <c r="T713" s="0" t="n">
        <v>33.05</v>
      </c>
      <c r="U713" s="0" t="n">
        <v>1310</v>
      </c>
      <c r="V713" s="0" t="n">
        <v>0</v>
      </c>
      <c r="W713" s="27" t="n">
        <f aca="false">MATCH(A713,DATAS,0)</f>
        <v>1</v>
      </c>
      <c r="X713" s="27" t="n">
        <f aca="false">IF(AND(E713&gt;0,OR(AND(B713&gt;=1,B713&lt;=6),B713=10)),1,0)</f>
        <v>1</v>
      </c>
      <c r="Y713" s="27" t="n">
        <f aca="false">IF(AND(E713&gt;0,B713=10),1,0)</f>
        <v>0</v>
      </c>
      <c r="Z713" s="0" t="str">
        <f aca="false">IF(AND(C712=C713,W712=W713-1),X712,"")</f>
        <v/>
      </c>
      <c r="AA713" s="0" t="str">
        <f aca="false">IF(AND(C712=C713,W712=W713-1),Y712,"")</f>
        <v/>
      </c>
      <c r="AB713" s="0" t="str">
        <f aca="false">IF(W713=1,"",IF(AND(X713=1,Z713&lt;&gt;1),1,0))</f>
        <v/>
      </c>
      <c r="AC713" s="0" t="str">
        <f aca="false">IF(W713=1,"",IF(AND(Y713=1,AA713&lt;&gt;1),1,0))</f>
        <v/>
      </c>
      <c r="AD713" s="33" t="str">
        <f aca="false">IF(AND(E713&gt;0,W713&lt;1,NOT(AND(C714=C713,W714=W713+1))),INDEX(DATAS,W713+1),"")</f>
        <v/>
      </c>
      <c r="AE713" s="33" t="str">
        <f aca="false">IF(AND(Y713=1,W713&lt;1),IF(AND(C714=C713,W714=W713+1),IF(Y714=1,"",INDEX(DATAS,W713+1)),INDEX(DATAS,W713+1)),"")</f>
        <v/>
      </c>
    </row>
    <row r="714" customFormat="false" ht="15" hidden="false" customHeight="false" outlineLevel="0" collapsed="false">
      <c r="A714" s="33" t="n">
        <v>46309</v>
      </c>
      <c r="B714" s="0" t="n">
        <v>5</v>
      </c>
      <c r="C714" s="0" t="n">
        <v>4609</v>
      </c>
      <c r="D714" s="0" t="n">
        <v>258</v>
      </c>
      <c r="E714" s="0" t="n">
        <v>2</v>
      </c>
      <c r="F714" s="27" t="s">
        <v>607</v>
      </c>
      <c r="G714" s="0" t="n">
        <v>47.8</v>
      </c>
      <c r="H714" s="0" t="n">
        <v>41</v>
      </c>
      <c r="I714" s="27" t="s">
        <v>138</v>
      </c>
      <c r="J714" s="0" t="n">
        <v>104</v>
      </c>
      <c r="K714" s="0" t="n">
        <v>69</v>
      </c>
      <c r="L714" s="0" t="n">
        <v>154</v>
      </c>
      <c r="M714" s="0" t="n">
        <v>363.56</v>
      </c>
      <c r="N714" s="0" t="n">
        <v>58.21</v>
      </c>
      <c r="O714" s="0" t="n">
        <v>25.04</v>
      </c>
      <c r="P714" s="0" t="n">
        <v>4</v>
      </c>
      <c r="Q714" s="0" t="n">
        <v>3.65</v>
      </c>
      <c r="R714" s="0" t="n">
        <v>4194</v>
      </c>
      <c r="S714" s="0" t="n">
        <v>9342</v>
      </c>
      <c r="T714" s="0" t="n">
        <v>59.35</v>
      </c>
      <c r="U714" s="0" t="n">
        <v>1309</v>
      </c>
      <c r="V714" s="0" t="n">
        <v>2</v>
      </c>
      <c r="W714" s="27" t="n">
        <f aca="false">MATCH(A714,DATAS,0)</f>
        <v>1</v>
      </c>
      <c r="X714" s="27" t="n">
        <f aca="false">IF(AND(E714&gt;0,OR(AND(B714&gt;=1,B714&lt;=6),B714=10)),1,0)</f>
        <v>1</v>
      </c>
      <c r="Y714" s="27" t="n">
        <f aca="false">IF(AND(E714&gt;0,B714=10),1,0)</f>
        <v>0</v>
      </c>
      <c r="Z714" s="0" t="str">
        <f aca="false">IF(AND(C713=C714,W713=W714-1),X713,"")</f>
        <v/>
      </c>
      <c r="AA714" s="0" t="str">
        <f aca="false">IF(AND(C713=C714,W713=W714-1),Y713,"")</f>
        <v/>
      </c>
      <c r="AB714" s="0" t="str">
        <f aca="false">IF(W714=1,"",IF(AND(X714=1,Z714&lt;&gt;1),1,0))</f>
        <v/>
      </c>
      <c r="AC714" s="0" t="str">
        <f aca="false">IF(W714=1,"",IF(AND(Y714=1,AA714&lt;&gt;1),1,0))</f>
        <v/>
      </c>
      <c r="AD714" s="33" t="str">
        <f aca="false">IF(AND(E714&gt;0,W714&lt;1,NOT(AND(C715=C714,W715=W714+1))),INDEX(DATAS,W714+1),"")</f>
        <v/>
      </c>
      <c r="AE714" s="33" t="str">
        <f aca="false">IF(AND(Y714=1,W714&lt;1),IF(AND(C715=C714,W715=W714+1),IF(Y715=1,"",INDEX(DATAS,W714+1)),INDEX(DATAS,W714+1)),"")</f>
        <v/>
      </c>
    </row>
    <row r="715" customFormat="false" ht="15" hidden="false" customHeight="false" outlineLevel="0" collapsed="false">
      <c r="A715" s="33" t="n">
        <v>46309</v>
      </c>
      <c r="B715" s="0" t="n">
        <v>3</v>
      </c>
      <c r="C715" s="0" t="n">
        <v>4610</v>
      </c>
      <c r="D715" s="0" t="n">
        <v>10</v>
      </c>
      <c r="E715" s="0" t="n">
        <v>3</v>
      </c>
      <c r="F715" s="27" t="s">
        <v>607</v>
      </c>
      <c r="G715" s="0" t="n">
        <v>41</v>
      </c>
      <c r="H715" s="0" t="n">
        <v>34</v>
      </c>
      <c r="I715" s="27" t="s">
        <v>147</v>
      </c>
      <c r="J715" s="0" t="n">
        <v>10</v>
      </c>
      <c r="M715" s="0" t="n">
        <v>1136.34</v>
      </c>
      <c r="N715" s="0" t="n">
        <v>41.04</v>
      </c>
      <c r="O715" s="0" t="n">
        <v>33.85</v>
      </c>
      <c r="R715" s="0" t="n">
        <v>2286</v>
      </c>
      <c r="S715" s="0" t="n">
        <v>4596</v>
      </c>
      <c r="U715" s="0" t="n">
        <v>1309</v>
      </c>
      <c r="V715" s="0" t="n">
        <v>0</v>
      </c>
      <c r="W715" s="27" t="n">
        <f aca="false">MATCH(A715,DATAS,0)</f>
        <v>1</v>
      </c>
      <c r="X715" s="27" t="n">
        <f aca="false">IF(AND(E715&gt;0,OR(AND(B715&gt;=1,B715&lt;=6),B715=10)),1,0)</f>
        <v>1</v>
      </c>
      <c r="Y715" s="27" t="n">
        <f aca="false">IF(AND(E715&gt;0,B715=10),1,0)</f>
        <v>0</v>
      </c>
      <c r="Z715" s="0" t="str">
        <f aca="false">IF(AND(C714=C715,W714=W715-1),X714,"")</f>
        <v/>
      </c>
      <c r="AA715" s="0" t="str">
        <f aca="false">IF(AND(C714=C715,W714=W715-1),Y714,"")</f>
        <v/>
      </c>
      <c r="AB715" s="0" t="str">
        <f aca="false">IF(W715=1,"",IF(AND(X715=1,Z715&lt;&gt;1),1,0))</f>
        <v/>
      </c>
      <c r="AC715" s="0" t="str">
        <f aca="false">IF(W715=1,"",IF(AND(Y715=1,AA715&lt;&gt;1),1,0))</f>
        <v/>
      </c>
      <c r="AD715" s="33" t="str">
        <f aca="false">IF(AND(E715&gt;0,W715&lt;1,NOT(AND(C716=C715,W716=W715+1))),INDEX(DATAS,W715+1),"")</f>
        <v/>
      </c>
      <c r="AE715" s="33" t="str">
        <f aca="false">IF(AND(Y715=1,W715&lt;1),IF(AND(C716=C715,W716=W715+1),IF(Y716=1,"",INDEX(DATAS,W715+1)),INDEX(DATAS,W715+1)),"")</f>
        <v/>
      </c>
    </row>
    <row r="716" customFormat="false" ht="15" hidden="false" customHeight="false" outlineLevel="0" collapsed="false">
      <c r="A716" s="33" t="n">
        <v>46309</v>
      </c>
      <c r="B716" s="0" t="n">
        <v>5</v>
      </c>
      <c r="C716" s="0" t="n">
        <v>4612</v>
      </c>
      <c r="D716" s="0" t="n">
        <v>270</v>
      </c>
      <c r="E716" s="0" t="n">
        <v>2</v>
      </c>
      <c r="F716" s="27" t="s">
        <v>608</v>
      </c>
      <c r="G716" s="0" t="n">
        <v>16.1</v>
      </c>
      <c r="H716" s="0" t="n">
        <v>14</v>
      </c>
      <c r="I716" s="27" t="s">
        <v>138</v>
      </c>
      <c r="J716" s="0" t="n">
        <v>67</v>
      </c>
      <c r="K716" s="0" t="n">
        <v>74</v>
      </c>
      <c r="L716" s="0" t="n">
        <v>203</v>
      </c>
      <c r="M716" s="0" t="n">
        <v>1075.48</v>
      </c>
      <c r="N716" s="0" t="n">
        <v>36.25</v>
      </c>
      <c r="O716" s="0" t="n">
        <v>30.54</v>
      </c>
      <c r="P716" s="0" t="n">
        <v>3.85</v>
      </c>
      <c r="Q716" s="0" t="n">
        <v>3.46</v>
      </c>
      <c r="R716" s="0" t="n">
        <v>5044</v>
      </c>
      <c r="S716" s="0" t="n">
        <v>10155</v>
      </c>
      <c r="T716" s="0" t="n">
        <v>54.85</v>
      </c>
      <c r="U716" s="0" t="n">
        <v>1308</v>
      </c>
      <c r="V716" s="0" t="n">
        <v>1</v>
      </c>
      <c r="W716" s="27" t="n">
        <f aca="false">MATCH(A716,DATAS,0)</f>
        <v>1</v>
      </c>
      <c r="X716" s="27" t="n">
        <f aca="false">IF(AND(E716&gt;0,OR(AND(B716&gt;=1,B716&lt;=6),B716=10)),1,0)</f>
        <v>1</v>
      </c>
      <c r="Y716" s="27" t="n">
        <f aca="false">IF(AND(E716&gt;0,B716=10),1,0)</f>
        <v>0</v>
      </c>
      <c r="Z716" s="0" t="str">
        <f aca="false">IF(AND(C715=C716,W715=W716-1),X715,"")</f>
        <v/>
      </c>
      <c r="AA716" s="0" t="str">
        <f aca="false">IF(AND(C715=C716,W715=W716-1),Y715,"")</f>
        <v/>
      </c>
      <c r="AB716" s="0" t="str">
        <f aca="false">IF(W716=1,"",IF(AND(X716=1,Z716&lt;&gt;1),1,0))</f>
        <v/>
      </c>
      <c r="AC716" s="0" t="str">
        <f aca="false">IF(W716=1,"",IF(AND(Y716=1,AA716&lt;&gt;1),1,0))</f>
        <v/>
      </c>
      <c r="AD716" s="33" t="str">
        <f aca="false">IF(AND(E716&gt;0,W716&lt;1,NOT(AND(C717=C716,W717=W716+1))),INDEX(DATAS,W716+1),"")</f>
        <v/>
      </c>
      <c r="AE716" s="33" t="str">
        <f aca="false">IF(AND(Y716=1,W716&lt;1),IF(AND(C717=C716,W717=W716+1),IF(Y717=1,"",INDEX(DATAS,W716+1)),INDEX(DATAS,W716+1)),"")</f>
        <v/>
      </c>
    </row>
    <row r="717" customFormat="false" ht="15" hidden="false" customHeight="false" outlineLevel="0" collapsed="false">
      <c r="A717" s="33" t="n">
        <v>46309</v>
      </c>
      <c r="B717" s="0" t="n">
        <v>5</v>
      </c>
      <c r="C717" s="0" t="n">
        <v>4613</v>
      </c>
      <c r="D717" s="0" t="n">
        <v>309</v>
      </c>
      <c r="E717" s="0" t="n">
        <v>2</v>
      </c>
      <c r="F717" s="27" t="s">
        <v>608</v>
      </c>
      <c r="G717" s="0" t="n">
        <v>31.1</v>
      </c>
      <c r="H717" s="0" t="n">
        <v>29</v>
      </c>
      <c r="I717" s="27" t="s">
        <v>138</v>
      </c>
      <c r="J717" s="0" t="n">
        <v>87</v>
      </c>
      <c r="K717" s="0" t="n">
        <v>64</v>
      </c>
      <c r="L717" s="0" t="n">
        <v>222</v>
      </c>
      <c r="M717" s="0" t="n">
        <v>-269.9</v>
      </c>
      <c r="N717" s="0" t="n">
        <v>48.51</v>
      </c>
      <c r="O717" s="0" t="n">
        <v>4.12</v>
      </c>
      <c r="P717" s="0" t="n">
        <v>5.27</v>
      </c>
      <c r="Q717" s="0" t="n">
        <v>3.81</v>
      </c>
      <c r="R717" s="0" t="n">
        <v>4882</v>
      </c>
      <c r="S717" s="0" t="n">
        <v>10097</v>
      </c>
      <c r="T717" s="0" t="n">
        <v>50.25</v>
      </c>
      <c r="U717" s="0" t="n">
        <v>1308</v>
      </c>
      <c r="V717" s="0" t="n">
        <v>2</v>
      </c>
      <c r="W717" s="27" t="n">
        <f aca="false">MATCH(A717,DATAS,0)</f>
        <v>1</v>
      </c>
      <c r="X717" s="27" t="n">
        <f aca="false">IF(AND(E717&gt;0,OR(AND(B717&gt;=1,B717&lt;=6),B717=10)),1,0)</f>
        <v>1</v>
      </c>
      <c r="Y717" s="27" t="n">
        <f aca="false">IF(AND(E717&gt;0,B717=10),1,0)</f>
        <v>0</v>
      </c>
      <c r="Z717" s="0" t="str">
        <f aca="false">IF(AND(C716=C717,W716=W717-1),X716,"")</f>
        <v/>
      </c>
      <c r="AA717" s="0" t="str">
        <f aca="false">IF(AND(C716=C717,W716=W717-1),Y716,"")</f>
        <v/>
      </c>
      <c r="AB717" s="0" t="str">
        <f aca="false">IF(W717=1,"",IF(AND(X717=1,Z717&lt;&gt;1),1,0))</f>
        <v/>
      </c>
      <c r="AC717" s="0" t="str">
        <f aca="false">IF(W717=1,"",IF(AND(Y717=1,AA717&lt;&gt;1),1,0))</f>
        <v/>
      </c>
      <c r="AD717" s="33" t="str">
        <f aca="false">IF(AND(E717&gt;0,W717&lt;1,NOT(AND(C718=C717,W718=W717+1))),INDEX(DATAS,W717+1),"")</f>
        <v/>
      </c>
      <c r="AE717" s="33" t="str">
        <f aca="false">IF(AND(Y717=1,W717&lt;1),IF(AND(C718=C717,W718=W717+1),IF(Y718=1,"",INDEX(DATAS,W717+1)),INDEX(DATAS,W717+1)),"")</f>
        <v/>
      </c>
    </row>
    <row r="718" customFormat="false" ht="15" hidden="false" customHeight="false" outlineLevel="0" collapsed="false">
      <c r="A718" s="33" t="n">
        <v>46309</v>
      </c>
      <c r="B718" s="0" t="n">
        <v>5</v>
      </c>
      <c r="C718" s="0" t="n">
        <v>4614</v>
      </c>
      <c r="D718" s="0" t="n">
        <v>253</v>
      </c>
      <c r="E718" s="0" t="n">
        <v>2</v>
      </c>
      <c r="F718" s="27" t="s">
        <v>608</v>
      </c>
      <c r="G718" s="0" t="n">
        <v>46.7</v>
      </c>
      <c r="H718" s="0" t="n">
        <v>42</v>
      </c>
      <c r="I718" s="27" t="s">
        <v>138</v>
      </c>
      <c r="J718" s="0" t="n">
        <v>127</v>
      </c>
      <c r="K718" s="0" t="n">
        <v>64</v>
      </c>
      <c r="L718" s="0" t="n">
        <v>126</v>
      </c>
      <c r="M718" s="0" t="n">
        <v>246.55</v>
      </c>
      <c r="N718" s="0" t="n">
        <v>59.39</v>
      </c>
      <c r="O718" s="0" t="n">
        <v>29.23</v>
      </c>
      <c r="P718" s="0" t="n">
        <v>4.24</v>
      </c>
      <c r="Q718" s="0" t="n">
        <v>3.86</v>
      </c>
      <c r="R718" s="0" t="n">
        <v>4704</v>
      </c>
      <c r="S718" s="0" t="n">
        <v>9841</v>
      </c>
      <c r="T718" s="0" t="n">
        <v>51.35</v>
      </c>
      <c r="U718" s="0" t="n">
        <v>1308</v>
      </c>
      <c r="V718" s="0" t="n">
        <v>3</v>
      </c>
      <c r="W718" s="27" t="n">
        <f aca="false">MATCH(A718,DATAS,0)</f>
        <v>1</v>
      </c>
      <c r="X718" s="27" t="n">
        <f aca="false">IF(AND(E718&gt;0,OR(AND(B718&gt;=1,B718&lt;=6),B718=10)),1,0)</f>
        <v>1</v>
      </c>
      <c r="Y718" s="27" t="n">
        <f aca="false">IF(AND(E718&gt;0,B718=10),1,0)</f>
        <v>0</v>
      </c>
      <c r="Z718" s="0" t="str">
        <f aca="false">IF(AND(C717=C718,W717=W718-1),X717,"")</f>
        <v/>
      </c>
      <c r="AA718" s="0" t="str">
        <f aca="false">IF(AND(C717=C718,W717=W718-1),Y717,"")</f>
        <v/>
      </c>
      <c r="AB718" s="0" t="str">
        <f aca="false">IF(W718=1,"",IF(AND(X718=1,Z718&lt;&gt;1),1,0))</f>
        <v/>
      </c>
      <c r="AC718" s="0" t="str">
        <f aca="false">IF(W718=1,"",IF(AND(Y718=1,AA718&lt;&gt;1),1,0))</f>
        <v/>
      </c>
      <c r="AD718" s="33" t="str">
        <f aca="false">IF(AND(E718&gt;0,W718&lt;1,NOT(AND(C719=C718,W719=W718+1))),INDEX(DATAS,W718+1),"")</f>
        <v/>
      </c>
      <c r="AE718" s="33" t="str">
        <f aca="false">IF(AND(Y718=1,W718&lt;1),IF(AND(C719=C718,W719=W718+1),IF(Y719=1,"",INDEX(DATAS,W718+1)),INDEX(DATAS,W718+1)),"")</f>
        <v/>
      </c>
    </row>
    <row r="719" customFormat="false" ht="15" hidden="false" customHeight="false" outlineLevel="0" collapsed="false">
      <c r="A719" s="33" t="n">
        <v>46309</v>
      </c>
      <c r="B719" s="0" t="n">
        <v>7</v>
      </c>
      <c r="C719" s="0" t="n">
        <v>4615</v>
      </c>
      <c r="D719" s="0" t="n">
        <v>384</v>
      </c>
      <c r="E719" s="0" t="n">
        <v>1</v>
      </c>
      <c r="F719" s="27" t="s">
        <v>608</v>
      </c>
      <c r="G719" s="0" t="n">
        <v>14.2</v>
      </c>
      <c r="H719" s="0" t="n">
        <v>35</v>
      </c>
      <c r="I719" s="27" t="s">
        <v>143</v>
      </c>
      <c r="J719" s="0" t="n">
        <v>162</v>
      </c>
      <c r="K719" s="0" t="n">
        <v>70</v>
      </c>
      <c r="L719" s="0" t="n">
        <v>223</v>
      </c>
      <c r="M719" s="0" t="n">
        <v>348.31</v>
      </c>
      <c r="N719" s="0" t="n">
        <v>35.06</v>
      </c>
      <c r="O719" s="0" t="n">
        <v>23.14</v>
      </c>
      <c r="P719" s="0" t="n">
        <v>4.51</v>
      </c>
      <c r="Q719" s="0" t="n">
        <v>4.02</v>
      </c>
      <c r="R719" s="0" t="n">
        <v>4901</v>
      </c>
      <c r="S719" s="0" t="n">
        <v>10954</v>
      </c>
      <c r="T719" s="0" t="n">
        <v>53.05</v>
      </c>
      <c r="U719" s="0" t="n">
        <v>1308</v>
      </c>
      <c r="V719" s="0" t="n">
        <v>4</v>
      </c>
      <c r="W719" s="27" t="n">
        <f aca="false">MATCH(A719,DATAS,0)</f>
        <v>1</v>
      </c>
      <c r="X719" s="27" t="n">
        <f aca="false">IF(AND(E719&gt;0,OR(AND(B719&gt;=1,B719&lt;=6),B719=10)),1,0)</f>
        <v>0</v>
      </c>
      <c r="Y719" s="27" t="n">
        <f aca="false">IF(AND(E719&gt;0,B719=10),1,0)</f>
        <v>0</v>
      </c>
      <c r="Z719" s="0" t="str">
        <f aca="false">IF(AND(C718=C719,W718=W719-1),X718,"")</f>
        <v/>
      </c>
      <c r="AA719" s="0" t="str">
        <f aca="false">IF(AND(C718=C719,W718=W719-1),Y718,"")</f>
        <v/>
      </c>
      <c r="AB719" s="0" t="str">
        <f aca="false">IF(W719=1,"",IF(AND(X719=1,Z719&lt;&gt;1),1,0))</f>
        <v/>
      </c>
      <c r="AC719" s="0" t="str">
        <f aca="false">IF(W719=1,"",IF(AND(Y719=1,AA719&lt;&gt;1),1,0))</f>
        <v/>
      </c>
      <c r="AD719" s="33" t="str">
        <f aca="false">IF(AND(E719&gt;0,W719&lt;1,NOT(AND(C720=C719,W720=W719+1))),INDEX(DATAS,W719+1),"")</f>
        <v/>
      </c>
      <c r="AE719" s="33" t="str">
        <f aca="false">IF(AND(Y719=1,W719&lt;1),IF(AND(C720=C719,W720=W719+1),IF(Y720=1,"",INDEX(DATAS,W719+1)),INDEX(DATAS,W719+1)),"")</f>
        <v/>
      </c>
    </row>
    <row r="720" customFormat="false" ht="15" hidden="false" customHeight="false" outlineLevel="0" collapsed="false">
      <c r="A720" s="33" t="n">
        <v>46309</v>
      </c>
      <c r="B720" s="0" t="n">
        <v>5</v>
      </c>
      <c r="C720" s="0" t="n">
        <v>4616</v>
      </c>
      <c r="D720" s="0" t="n">
        <v>213</v>
      </c>
      <c r="E720" s="0" t="n">
        <v>2</v>
      </c>
      <c r="F720" s="27" t="s">
        <v>609</v>
      </c>
      <c r="G720" s="0" t="n">
        <v>49.3</v>
      </c>
      <c r="H720" s="0" t="n">
        <v>47</v>
      </c>
      <c r="I720" s="27" t="s">
        <v>138</v>
      </c>
      <c r="J720" s="0" t="n">
        <v>152</v>
      </c>
      <c r="K720" s="0" t="n">
        <v>66</v>
      </c>
      <c r="L720" s="0" t="n">
        <v>61</v>
      </c>
      <c r="M720" s="0" t="n">
        <v>1019.68</v>
      </c>
      <c r="N720" s="0" t="n">
        <v>60.32</v>
      </c>
      <c r="O720" s="0" t="n">
        <v>45.76</v>
      </c>
      <c r="P720" s="0" t="n">
        <v>4.07</v>
      </c>
      <c r="Q720" s="0" t="n">
        <v>4</v>
      </c>
      <c r="R720" s="0" t="n">
        <v>3803</v>
      </c>
      <c r="S720" s="0" t="n">
        <v>7308</v>
      </c>
      <c r="T720" s="0" t="n">
        <v>38.05</v>
      </c>
      <c r="U720" s="0" t="n">
        <v>1307</v>
      </c>
      <c r="V720" s="0" t="n">
        <v>3</v>
      </c>
      <c r="W720" s="27" t="n">
        <f aca="false">MATCH(A720,DATAS,0)</f>
        <v>1</v>
      </c>
      <c r="X720" s="27" t="n">
        <f aca="false">IF(AND(E720&gt;0,OR(AND(B720&gt;=1,B720&lt;=6),B720=10)),1,0)</f>
        <v>1</v>
      </c>
      <c r="Y720" s="27" t="n">
        <f aca="false">IF(AND(E720&gt;0,B720=10),1,0)</f>
        <v>0</v>
      </c>
      <c r="Z720" s="0" t="str">
        <f aca="false">IF(AND(C719=C720,W719=W720-1),X719,"")</f>
        <v/>
      </c>
      <c r="AA720" s="0" t="str">
        <f aca="false">IF(AND(C719=C720,W719=W720-1),Y719,"")</f>
        <v/>
      </c>
      <c r="AB720" s="0" t="str">
        <f aca="false">IF(W720=1,"",IF(AND(X720=1,Z720&lt;&gt;1),1,0))</f>
        <v/>
      </c>
      <c r="AC720" s="0" t="str">
        <f aca="false">IF(W720=1,"",IF(AND(Y720=1,AA720&lt;&gt;1),1,0))</f>
        <v/>
      </c>
      <c r="AD720" s="33" t="str">
        <f aca="false">IF(AND(E720&gt;0,W720&lt;1,NOT(AND(C721=C720,W721=W720+1))),INDEX(DATAS,W720+1),"")</f>
        <v/>
      </c>
      <c r="AE720" s="33" t="str">
        <f aca="false">IF(AND(Y720=1,W720&lt;1),IF(AND(C721=C720,W721=W720+1),IF(Y721=1,"",INDEX(DATAS,W720+1)),INDEX(DATAS,W720+1)),"")</f>
        <v/>
      </c>
    </row>
    <row r="721" customFormat="false" ht="15" hidden="false" customHeight="false" outlineLevel="0" collapsed="false">
      <c r="A721" s="33" t="n">
        <v>46309</v>
      </c>
      <c r="B721" s="0" t="n">
        <v>5</v>
      </c>
      <c r="C721" s="0" t="n">
        <v>4620</v>
      </c>
      <c r="D721" s="0" t="n">
        <v>226</v>
      </c>
      <c r="E721" s="0" t="n">
        <v>2</v>
      </c>
      <c r="F721" s="27" t="s">
        <v>609</v>
      </c>
      <c r="G721" s="0" t="n">
        <v>48.5</v>
      </c>
      <c r="H721" s="0" t="n">
        <v>42</v>
      </c>
      <c r="I721" s="27" t="s">
        <v>138</v>
      </c>
      <c r="J721" s="0" t="n">
        <v>86</v>
      </c>
      <c r="K721" s="0" t="n">
        <v>65</v>
      </c>
      <c r="L721" s="0" t="n">
        <v>140</v>
      </c>
      <c r="M721" s="0" t="n">
        <v>1066.31</v>
      </c>
      <c r="N721" s="0" t="n">
        <v>79.26</v>
      </c>
      <c r="O721" s="0" t="n">
        <v>48.25</v>
      </c>
      <c r="P721" s="0" t="n">
        <v>5</v>
      </c>
      <c r="Q721" s="0" t="n">
        <v>4.15</v>
      </c>
      <c r="R721" s="0" t="n">
        <v>5798</v>
      </c>
      <c r="S721" s="0" t="n">
        <v>10611</v>
      </c>
      <c r="T721" s="0" t="n">
        <v>66.5</v>
      </c>
      <c r="U721" s="0" t="n">
        <v>1307</v>
      </c>
      <c r="V721" s="0" t="n">
        <v>2</v>
      </c>
      <c r="W721" s="27" t="n">
        <f aca="false">MATCH(A721,DATAS,0)</f>
        <v>1</v>
      </c>
      <c r="X721" s="27" t="n">
        <f aca="false">IF(AND(E721&gt;0,OR(AND(B721&gt;=1,B721&lt;=6),B721=10)),1,0)</f>
        <v>1</v>
      </c>
      <c r="Y721" s="27" t="n">
        <f aca="false">IF(AND(E721&gt;0,B721=10),1,0)</f>
        <v>0</v>
      </c>
      <c r="Z721" s="0" t="str">
        <f aca="false">IF(AND(C720=C721,W720=W721-1),X720,"")</f>
        <v/>
      </c>
      <c r="AA721" s="0" t="str">
        <f aca="false">IF(AND(C720=C721,W720=W721-1),Y720,"")</f>
        <v/>
      </c>
      <c r="AB721" s="0" t="str">
        <f aca="false">IF(W721=1,"",IF(AND(X721=1,Z721&lt;&gt;1),1,0))</f>
        <v/>
      </c>
      <c r="AC721" s="0" t="str">
        <f aca="false">IF(W721=1,"",IF(AND(Y721=1,AA721&lt;&gt;1),1,0))</f>
        <v/>
      </c>
      <c r="AD721" s="33" t="str">
        <f aca="false">IF(AND(E721&gt;0,W721&lt;1,NOT(AND(C722=C721,W722=W721+1))),INDEX(DATAS,W721+1),"")</f>
        <v/>
      </c>
      <c r="AE721" s="33" t="str">
        <f aca="false">IF(AND(Y721=1,W721&lt;1),IF(AND(C722=C721,W722=W721+1),IF(Y722=1,"",INDEX(DATAS,W721+1)),INDEX(DATAS,W721+1)),"")</f>
        <v/>
      </c>
    </row>
    <row r="722" customFormat="false" ht="15" hidden="false" customHeight="false" outlineLevel="0" collapsed="false">
      <c r="A722" s="33" t="n">
        <v>46309</v>
      </c>
      <c r="B722" s="0" t="n">
        <v>3</v>
      </c>
      <c r="C722" s="0" t="n">
        <v>4622</v>
      </c>
      <c r="D722" s="0" t="n">
        <v>267</v>
      </c>
      <c r="E722" s="0" t="n">
        <v>2</v>
      </c>
      <c r="F722" s="27" t="s">
        <v>610</v>
      </c>
      <c r="G722" s="0" t="n">
        <v>50.1</v>
      </c>
      <c r="H722" s="0" t="n">
        <v>49</v>
      </c>
      <c r="I722" s="27" t="s">
        <v>138</v>
      </c>
      <c r="J722" s="0" t="n">
        <v>183</v>
      </c>
      <c r="K722" s="0" t="n">
        <v>71</v>
      </c>
      <c r="L722" s="0" t="n">
        <v>84</v>
      </c>
      <c r="M722" s="0" t="n">
        <v>354.87</v>
      </c>
      <c r="N722" s="0" t="n">
        <v>19.23</v>
      </c>
      <c r="O722" s="0" t="n">
        <v>21.12</v>
      </c>
      <c r="P722" s="0" t="n">
        <v>2.94</v>
      </c>
      <c r="Q722" s="0" t="n">
        <v>3.77</v>
      </c>
      <c r="R722" s="0" t="n">
        <v>5566</v>
      </c>
      <c r="S722" s="0" t="n">
        <v>11488</v>
      </c>
      <c r="T722" s="0" t="n">
        <v>61.95</v>
      </c>
      <c r="U722" s="0" t="n">
        <v>1305</v>
      </c>
      <c r="V722" s="0" t="n">
        <v>5</v>
      </c>
      <c r="W722" s="27" t="n">
        <f aca="false">MATCH(A722,DATAS,0)</f>
        <v>1</v>
      </c>
      <c r="X722" s="27" t="n">
        <f aca="false">IF(AND(E722&gt;0,OR(AND(B722&gt;=1,B722&lt;=6),B722=10)),1,0)</f>
        <v>1</v>
      </c>
      <c r="Y722" s="27" t="n">
        <f aca="false">IF(AND(E722&gt;0,B722=10),1,0)</f>
        <v>0</v>
      </c>
      <c r="Z722" s="0" t="str">
        <f aca="false">IF(AND(C721=C722,W721=W722-1),X721,"")</f>
        <v/>
      </c>
      <c r="AA722" s="0" t="str">
        <f aca="false">IF(AND(C721=C722,W721=W722-1),Y721,"")</f>
        <v/>
      </c>
      <c r="AB722" s="0" t="str">
        <f aca="false">IF(W722=1,"",IF(AND(X722=1,Z722&lt;&gt;1),1,0))</f>
        <v/>
      </c>
      <c r="AC722" s="0" t="str">
        <f aca="false">IF(W722=1,"",IF(AND(Y722=1,AA722&lt;&gt;1),1,0))</f>
        <v/>
      </c>
      <c r="AD722" s="33" t="str">
        <f aca="false">IF(AND(E722&gt;0,W722&lt;1,NOT(AND(C723=C722,W723=W722+1))),INDEX(DATAS,W722+1),"")</f>
        <v/>
      </c>
      <c r="AE722" s="33" t="str">
        <f aca="false">IF(AND(Y722=1,W722&lt;1),IF(AND(C723=C722,W723=W722+1),IF(Y723=1,"",INDEX(DATAS,W722+1)),INDEX(DATAS,W722+1)),"")</f>
        <v/>
      </c>
    </row>
    <row r="723" customFormat="false" ht="15" hidden="false" customHeight="false" outlineLevel="0" collapsed="false">
      <c r="A723" s="33" t="n">
        <v>46309</v>
      </c>
      <c r="B723" s="0" t="n">
        <v>3</v>
      </c>
      <c r="C723" s="0" t="n">
        <v>4623</v>
      </c>
      <c r="D723" s="0" t="n">
        <v>118</v>
      </c>
      <c r="E723" s="0" t="n">
        <v>2</v>
      </c>
      <c r="F723" s="27" t="s">
        <v>611</v>
      </c>
      <c r="G723" s="0" t="n">
        <v>62.8</v>
      </c>
      <c r="H723" s="0" t="n">
        <v>63</v>
      </c>
      <c r="I723" s="27" t="s">
        <v>138</v>
      </c>
      <c r="J723" s="0" t="n">
        <v>69</v>
      </c>
      <c r="K723" s="0" t="n">
        <v>69</v>
      </c>
      <c r="L723" s="0" t="n">
        <v>49</v>
      </c>
      <c r="M723" s="0" t="n">
        <v>481.92</v>
      </c>
      <c r="N723" s="0" t="n">
        <v>14.69</v>
      </c>
      <c r="O723" s="0" t="n">
        <v>32.67</v>
      </c>
      <c r="P723" s="0" t="n">
        <v>3.18</v>
      </c>
      <c r="Q723" s="0" t="n">
        <v>3.35</v>
      </c>
      <c r="R723" s="0" t="n">
        <v>5528</v>
      </c>
      <c r="S723" s="0" t="n">
        <v>11397</v>
      </c>
      <c r="T723" s="0" t="n">
        <v>62.85</v>
      </c>
      <c r="U723" s="0" t="n">
        <v>1304</v>
      </c>
      <c r="V723" s="0" t="n">
        <v>1</v>
      </c>
      <c r="W723" s="27" t="n">
        <f aca="false">MATCH(A723,DATAS,0)</f>
        <v>1</v>
      </c>
      <c r="X723" s="27" t="n">
        <f aca="false">IF(AND(E723&gt;0,OR(AND(B723&gt;=1,B723&lt;=6),B723=10)),1,0)</f>
        <v>1</v>
      </c>
      <c r="Y723" s="27" t="n">
        <f aca="false">IF(AND(E723&gt;0,B723=10),1,0)</f>
        <v>0</v>
      </c>
      <c r="Z723" s="0" t="str">
        <f aca="false">IF(AND(C722=C723,W722=W723-1),X722,"")</f>
        <v/>
      </c>
      <c r="AA723" s="0" t="str">
        <f aca="false">IF(AND(C722=C723,W722=W723-1),Y722,"")</f>
        <v/>
      </c>
      <c r="AB723" s="0" t="str">
        <f aca="false">IF(W723=1,"",IF(AND(X723=1,Z723&lt;&gt;1),1,0))</f>
        <v/>
      </c>
      <c r="AC723" s="0" t="str">
        <f aca="false">IF(W723=1,"",IF(AND(Y723=1,AA723&lt;&gt;1),1,0))</f>
        <v/>
      </c>
      <c r="AD723" s="33" t="str">
        <f aca="false">IF(AND(E723&gt;0,W723&lt;1,NOT(AND(C724=C723,W724=W723+1))),INDEX(DATAS,W723+1),"")</f>
        <v/>
      </c>
      <c r="AE723" s="33" t="str">
        <f aca="false">IF(AND(Y723=1,W723&lt;1),IF(AND(C724=C723,W724=W723+1),IF(Y724=1,"",INDEX(DATAS,W723+1)),INDEX(DATAS,W723+1)),"")</f>
        <v/>
      </c>
    </row>
    <row r="724" customFormat="false" ht="15" hidden="false" customHeight="false" outlineLevel="0" collapsed="false">
      <c r="A724" s="33" t="n">
        <v>46309</v>
      </c>
      <c r="B724" s="0" t="n">
        <v>7</v>
      </c>
      <c r="C724" s="0" t="n">
        <v>4624</v>
      </c>
      <c r="D724" s="0" t="n">
        <v>285</v>
      </c>
      <c r="E724" s="0" t="n">
        <v>2</v>
      </c>
      <c r="F724" s="27" t="s">
        <v>612</v>
      </c>
      <c r="I724" s="27" t="s">
        <v>143</v>
      </c>
      <c r="J724" s="0" t="n">
        <v>69</v>
      </c>
      <c r="K724" s="0" t="n">
        <v>69</v>
      </c>
      <c r="L724" s="0" t="n">
        <v>245</v>
      </c>
      <c r="M724" s="0" t="n">
        <v>744.02</v>
      </c>
      <c r="N724" s="0" t="n">
        <v>43.94</v>
      </c>
      <c r="O724" s="0" t="n">
        <v>19.52</v>
      </c>
      <c r="P724" s="0" t="n">
        <v>4.25</v>
      </c>
      <c r="Q724" s="0" t="n">
        <v>3.67</v>
      </c>
      <c r="R724" s="0" t="n">
        <v>5137</v>
      </c>
      <c r="S724" s="0" t="n">
        <v>9744</v>
      </c>
      <c r="T724" s="0" t="n">
        <v>59.2</v>
      </c>
      <c r="U724" s="0" t="n">
        <v>1302</v>
      </c>
      <c r="V724" s="0" t="n">
        <v>1</v>
      </c>
      <c r="W724" s="27" t="n">
        <f aca="false">MATCH(A724,DATAS,0)</f>
        <v>1</v>
      </c>
      <c r="X724" s="27" t="n">
        <f aca="false">IF(AND(E724&gt;0,OR(AND(B724&gt;=1,B724&lt;=6),B724=10)),1,0)</f>
        <v>0</v>
      </c>
      <c r="Y724" s="27" t="n">
        <f aca="false">IF(AND(E724&gt;0,B724=10),1,0)</f>
        <v>0</v>
      </c>
      <c r="Z724" s="0" t="str">
        <f aca="false">IF(AND(C723=C724,W723=W724-1),X723,"")</f>
        <v/>
      </c>
      <c r="AA724" s="0" t="str">
        <f aca="false">IF(AND(C723=C724,W723=W724-1),Y723,"")</f>
        <v/>
      </c>
      <c r="AB724" s="0" t="str">
        <f aca="false">IF(W724=1,"",IF(AND(X724=1,Z724&lt;&gt;1),1,0))</f>
        <v/>
      </c>
      <c r="AC724" s="0" t="str">
        <f aca="false">IF(W724=1,"",IF(AND(Y724=1,AA724&lt;&gt;1),1,0))</f>
        <v/>
      </c>
      <c r="AD724" s="33" t="str">
        <f aca="false">IF(AND(E724&gt;0,W724&lt;1,NOT(AND(C725=C724,W725=W724+1))),INDEX(DATAS,W724+1),"")</f>
        <v/>
      </c>
      <c r="AE724" s="33" t="str">
        <f aca="false">IF(AND(Y724=1,W724&lt;1),IF(AND(C725=C724,W725=W724+1),IF(Y725=1,"",INDEX(DATAS,W724+1)),INDEX(DATAS,W724+1)),"")</f>
        <v/>
      </c>
    </row>
    <row r="725" customFormat="false" ht="15" hidden="false" customHeight="false" outlineLevel="0" collapsed="false">
      <c r="A725" s="33" t="n">
        <v>46309</v>
      </c>
      <c r="B725" s="0" t="n">
        <v>5</v>
      </c>
      <c r="C725" s="0" t="n">
        <v>4625</v>
      </c>
      <c r="D725" s="0" t="n">
        <v>198</v>
      </c>
      <c r="E725" s="0" t="n">
        <v>2</v>
      </c>
      <c r="F725" s="27" t="s">
        <v>612</v>
      </c>
      <c r="G725" s="0" t="n">
        <v>52</v>
      </c>
      <c r="H725" s="0" t="n">
        <v>43</v>
      </c>
      <c r="I725" s="27" t="s">
        <v>176</v>
      </c>
      <c r="J725" s="0" t="n">
        <v>198</v>
      </c>
      <c r="K725" s="0" t="n">
        <v>65</v>
      </c>
      <c r="M725" s="0" t="n">
        <v>404.03</v>
      </c>
      <c r="N725" s="0" t="n">
        <v>59.32</v>
      </c>
      <c r="O725" s="0" t="n">
        <v>29.35</v>
      </c>
      <c r="P725" s="0" t="n">
        <v>5.98</v>
      </c>
      <c r="Q725" s="0" t="n">
        <v>3.78</v>
      </c>
      <c r="R725" s="0" t="n">
        <v>5329</v>
      </c>
      <c r="S725" s="0" t="n">
        <v>9706</v>
      </c>
      <c r="T725" s="0" t="n">
        <v>56.6</v>
      </c>
      <c r="U725" s="0" t="n">
        <v>1302</v>
      </c>
      <c r="V725" s="0" t="n">
        <v>3</v>
      </c>
      <c r="W725" s="27" t="n">
        <f aca="false">MATCH(A725,DATAS,0)</f>
        <v>1</v>
      </c>
      <c r="X725" s="27" t="n">
        <f aca="false">IF(AND(E725&gt;0,OR(AND(B725&gt;=1,B725&lt;=6),B725=10)),1,0)</f>
        <v>1</v>
      </c>
      <c r="Y725" s="27" t="n">
        <f aca="false">IF(AND(E725&gt;0,B725=10),1,0)</f>
        <v>0</v>
      </c>
      <c r="Z725" s="0" t="str">
        <f aca="false">IF(AND(C724=C725,W724=W725-1),X724,"")</f>
        <v/>
      </c>
      <c r="AA725" s="0" t="str">
        <f aca="false">IF(AND(C724=C725,W724=W725-1),Y724,"")</f>
        <v/>
      </c>
      <c r="AB725" s="0" t="str">
        <f aca="false">IF(W725=1,"",IF(AND(X725=1,Z725&lt;&gt;1),1,0))</f>
        <v/>
      </c>
      <c r="AC725" s="0" t="str">
        <f aca="false">IF(W725=1,"",IF(AND(Y725=1,AA725&lt;&gt;1),1,0))</f>
        <v/>
      </c>
      <c r="AD725" s="33" t="str">
        <f aca="false">IF(AND(E725&gt;0,W725&lt;1,NOT(AND(C726=C725,W726=W725+1))),INDEX(DATAS,W725+1),"")</f>
        <v/>
      </c>
      <c r="AE725" s="33" t="str">
        <f aca="false">IF(AND(Y725=1,W725&lt;1),IF(AND(C726=C725,W726=W725+1),IF(Y726=1,"",INDEX(DATAS,W725+1)),INDEX(DATAS,W725+1)),"")</f>
        <v/>
      </c>
    </row>
    <row r="726" customFormat="false" ht="15" hidden="false" customHeight="false" outlineLevel="0" collapsed="false">
      <c r="A726" s="33" t="n">
        <v>46309</v>
      </c>
      <c r="B726" s="0" t="n">
        <v>5</v>
      </c>
      <c r="C726" s="0" t="n">
        <v>4626</v>
      </c>
      <c r="D726" s="0" t="n">
        <v>294</v>
      </c>
      <c r="E726" s="0" t="n">
        <v>2</v>
      </c>
      <c r="F726" s="27" t="s">
        <v>612</v>
      </c>
      <c r="G726" s="0" t="n">
        <v>32.3</v>
      </c>
      <c r="H726" s="0" t="n">
        <v>30</v>
      </c>
      <c r="I726" s="27" t="s">
        <v>138</v>
      </c>
      <c r="J726" s="0" t="n">
        <v>98</v>
      </c>
      <c r="K726" s="0" t="n">
        <v>63</v>
      </c>
      <c r="L726" s="0" t="n">
        <v>196</v>
      </c>
      <c r="M726" s="0" t="n">
        <v>-21.41</v>
      </c>
      <c r="N726" s="0" t="n">
        <v>42.41</v>
      </c>
      <c r="O726" s="0" t="n">
        <v>21.78</v>
      </c>
      <c r="P726" s="0" t="n">
        <v>5.34</v>
      </c>
      <c r="Q726" s="0" t="n">
        <v>4.05</v>
      </c>
      <c r="R726" s="0" t="n">
        <v>5132</v>
      </c>
      <c r="S726" s="0" t="n">
        <v>10375</v>
      </c>
      <c r="T726" s="0" t="n">
        <v>54.45</v>
      </c>
      <c r="U726" s="0" t="n">
        <v>1302</v>
      </c>
      <c r="V726" s="0" t="n">
        <v>2</v>
      </c>
      <c r="W726" s="27" t="n">
        <f aca="false">MATCH(A726,DATAS,0)</f>
        <v>1</v>
      </c>
      <c r="X726" s="27" t="n">
        <f aca="false">IF(AND(E726&gt;0,OR(AND(B726&gt;=1,B726&lt;=6),B726=10)),1,0)</f>
        <v>1</v>
      </c>
      <c r="Y726" s="27" t="n">
        <f aca="false">IF(AND(E726&gt;0,B726=10),1,0)</f>
        <v>0</v>
      </c>
      <c r="Z726" s="0" t="str">
        <f aca="false">IF(AND(C725=C726,W725=W726-1),X725,"")</f>
        <v/>
      </c>
      <c r="AA726" s="0" t="str">
        <f aca="false">IF(AND(C725=C726,W725=W726-1),Y725,"")</f>
        <v/>
      </c>
      <c r="AB726" s="0" t="str">
        <f aca="false">IF(W726=1,"",IF(AND(X726=1,Z726&lt;&gt;1),1,0))</f>
        <v/>
      </c>
      <c r="AC726" s="0" t="str">
        <f aca="false">IF(W726=1,"",IF(AND(Y726=1,AA726&lt;&gt;1),1,0))</f>
        <v/>
      </c>
      <c r="AD726" s="33" t="str">
        <f aca="false">IF(AND(E726&gt;0,W726&lt;1,NOT(AND(C727=C726,W727=W726+1))),INDEX(DATAS,W726+1),"")</f>
        <v/>
      </c>
      <c r="AE726" s="33" t="str">
        <f aca="false">IF(AND(Y726=1,W726&lt;1),IF(AND(C727=C726,W727=W726+1),IF(Y727=1,"",INDEX(DATAS,W726+1)),INDEX(DATAS,W726+1)),"")</f>
        <v/>
      </c>
    </row>
    <row r="727" customFormat="false" ht="15" hidden="false" customHeight="false" outlineLevel="0" collapsed="false">
      <c r="A727" s="33" t="n">
        <v>46309</v>
      </c>
      <c r="B727" s="0" t="n">
        <v>7</v>
      </c>
      <c r="C727" s="0" t="n">
        <v>4627</v>
      </c>
      <c r="D727" s="0" t="n">
        <v>291</v>
      </c>
      <c r="E727" s="0" t="n">
        <v>2</v>
      </c>
      <c r="F727" s="27" t="s">
        <v>613</v>
      </c>
      <c r="I727" s="27" t="s">
        <v>143</v>
      </c>
      <c r="J727" s="0" t="n">
        <v>68</v>
      </c>
      <c r="K727" s="0" t="n">
        <v>68</v>
      </c>
      <c r="L727" s="0" t="n">
        <v>238</v>
      </c>
      <c r="M727" s="0" t="n">
        <v>229.95</v>
      </c>
      <c r="N727" s="0" t="n">
        <v>35.6</v>
      </c>
      <c r="O727" s="0" t="n">
        <v>23.4</v>
      </c>
      <c r="P727" s="0" t="n">
        <v>4.71</v>
      </c>
      <c r="Q727" s="0" t="n">
        <v>3.82</v>
      </c>
      <c r="R727" s="0" t="n">
        <v>5091</v>
      </c>
      <c r="S727" s="0" t="n">
        <v>9740</v>
      </c>
      <c r="T727" s="0" t="n">
        <v>57.15</v>
      </c>
      <c r="U727" s="0" t="n">
        <v>1301</v>
      </c>
      <c r="V727" s="0" t="n">
        <v>1</v>
      </c>
      <c r="W727" s="27" t="n">
        <f aca="false">MATCH(A727,DATAS,0)</f>
        <v>1</v>
      </c>
      <c r="X727" s="27" t="n">
        <f aca="false">IF(AND(E727&gt;0,OR(AND(B727&gt;=1,B727&lt;=6),B727=10)),1,0)</f>
        <v>0</v>
      </c>
      <c r="Y727" s="27" t="n">
        <f aca="false">IF(AND(E727&gt;0,B727=10),1,0)</f>
        <v>0</v>
      </c>
      <c r="Z727" s="0" t="str">
        <f aca="false">IF(AND(C726=C727,W726=W727-1),X726,"")</f>
        <v/>
      </c>
      <c r="AA727" s="0" t="str">
        <f aca="false">IF(AND(C726=C727,W726=W727-1),Y726,"")</f>
        <v/>
      </c>
      <c r="AB727" s="0" t="str">
        <f aca="false">IF(W727=1,"",IF(AND(X727=1,Z727&lt;&gt;1),1,0))</f>
        <v/>
      </c>
      <c r="AC727" s="0" t="str">
        <f aca="false">IF(W727=1,"",IF(AND(Y727=1,AA727&lt;&gt;1),1,0))</f>
        <v/>
      </c>
      <c r="AD727" s="33" t="str">
        <f aca="false">IF(AND(E727&gt;0,W727&lt;1,NOT(AND(C728=C727,W728=W727+1))),INDEX(DATAS,W727+1),"")</f>
        <v/>
      </c>
      <c r="AE727" s="33" t="str">
        <f aca="false">IF(AND(Y727=1,W727&lt;1),IF(AND(C728=C727,W728=W727+1),IF(Y728=1,"",INDEX(DATAS,W727+1)),INDEX(DATAS,W727+1)),"")</f>
        <v/>
      </c>
    </row>
    <row r="728" customFormat="false" ht="15" hidden="false" customHeight="false" outlineLevel="0" collapsed="false">
      <c r="A728" s="33" t="n">
        <v>46309</v>
      </c>
      <c r="B728" s="0" t="n">
        <v>2</v>
      </c>
      <c r="C728" s="0" t="n">
        <v>4628</v>
      </c>
      <c r="D728" s="0" t="n">
        <v>252</v>
      </c>
      <c r="E728" s="0" t="n">
        <v>2</v>
      </c>
      <c r="F728" s="27" t="s">
        <v>613</v>
      </c>
      <c r="G728" s="0" t="n">
        <v>48.8</v>
      </c>
      <c r="H728" s="0" t="n">
        <v>47</v>
      </c>
      <c r="I728" s="27" t="s">
        <v>168</v>
      </c>
      <c r="J728" s="0" t="n">
        <v>252</v>
      </c>
      <c r="K728" s="0" t="n">
        <v>63</v>
      </c>
      <c r="M728" s="0" t="n">
        <v>839.92</v>
      </c>
      <c r="N728" s="0" t="n">
        <v>42.63</v>
      </c>
      <c r="O728" s="0" t="n">
        <v>27.42</v>
      </c>
      <c r="P728" s="0" t="n">
        <v>4.5</v>
      </c>
      <c r="Q728" s="0" t="n">
        <v>3.43</v>
      </c>
      <c r="R728" s="0" t="n">
        <v>5341</v>
      </c>
      <c r="S728" s="0" t="n">
        <v>10951</v>
      </c>
      <c r="T728" s="0" t="n">
        <v>59.6</v>
      </c>
      <c r="U728" s="0" t="n">
        <v>1301</v>
      </c>
      <c r="V728" s="0" t="n">
        <v>5</v>
      </c>
      <c r="W728" s="27" t="n">
        <f aca="false">MATCH(A728,DATAS,0)</f>
        <v>1</v>
      </c>
      <c r="X728" s="27" t="n">
        <f aca="false">IF(AND(E728&gt;0,OR(AND(B728&gt;=1,B728&lt;=6),B728=10)),1,0)</f>
        <v>1</v>
      </c>
      <c r="Y728" s="27" t="n">
        <f aca="false">IF(AND(E728&gt;0,B728=10),1,0)</f>
        <v>0</v>
      </c>
      <c r="Z728" s="0" t="str">
        <f aca="false">IF(AND(C727=C728,W727=W728-1),X727,"")</f>
        <v/>
      </c>
      <c r="AA728" s="0" t="str">
        <f aca="false">IF(AND(C727=C728,W727=W728-1),Y727,"")</f>
        <v/>
      </c>
      <c r="AB728" s="0" t="str">
        <f aca="false">IF(W728=1,"",IF(AND(X728=1,Z728&lt;&gt;1),1,0))</f>
        <v/>
      </c>
      <c r="AC728" s="0" t="str">
        <f aca="false">IF(W728=1,"",IF(AND(Y728=1,AA728&lt;&gt;1),1,0))</f>
        <v/>
      </c>
      <c r="AD728" s="33" t="str">
        <f aca="false">IF(AND(E728&gt;0,W728&lt;1,NOT(AND(C729=C728,W729=W728+1))),INDEX(DATAS,W728+1),"")</f>
        <v/>
      </c>
      <c r="AE728" s="33" t="str">
        <f aca="false">IF(AND(Y728=1,W728&lt;1),IF(AND(C729=C728,W729=W728+1),IF(Y729=1,"",INDEX(DATAS,W728+1)),INDEX(DATAS,W728+1)),"")</f>
        <v/>
      </c>
    </row>
    <row r="729" customFormat="false" ht="15" hidden="false" customHeight="false" outlineLevel="0" collapsed="false">
      <c r="A729" s="33" t="n">
        <v>46309</v>
      </c>
      <c r="B729" s="0" t="n">
        <v>14</v>
      </c>
      <c r="C729" s="0" t="n">
        <v>4630</v>
      </c>
      <c r="D729" s="0" t="n">
        <v>275</v>
      </c>
      <c r="E729" s="0" t="n">
        <v>2</v>
      </c>
      <c r="F729" s="27" t="s">
        <v>614</v>
      </c>
      <c r="I729" s="27" t="s">
        <v>143</v>
      </c>
      <c r="J729" s="0" t="n">
        <v>66</v>
      </c>
      <c r="K729" s="0" t="n">
        <v>73</v>
      </c>
      <c r="L729" s="0" t="n">
        <v>266</v>
      </c>
      <c r="M729" s="0" t="n">
        <v>376.51</v>
      </c>
      <c r="N729" s="0" t="n">
        <v>6.45</v>
      </c>
      <c r="O729" s="0" t="n">
        <v>10.47</v>
      </c>
      <c r="P729" s="0" t="n">
        <v>4.46</v>
      </c>
      <c r="Q729" s="0" t="n">
        <v>3.45</v>
      </c>
      <c r="R729" s="0" t="n">
        <v>1812</v>
      </c>
      <c r="S729" s="0" t="n">
        <v>4068</v>
      </c>
      <c r="T729" s="0" t="n">
        <v>19.5</v>
      </c>
      <c r="U729" s="0" t="n">
        <v>1295</v>
      </c>
      <c r="V729" s="0" t="n">
        <v>1</v>
      </c>
      <c r="W729" s="27" t="n">
        <f aca="false">MATCH(A729,DATAS,0)</f>
        <v>1</v>
      </c>
      <c r="X729" s="27" t="n">
        <f aca="false">IF(AND(E729&gt;0,OR(AND(B729&gt;=1,B729&lt;=6),B729=10)),1,0)</f>
        <v>0</v>
      </c>
      <c r="Y729" s="27" t="n">
        <f aca="false">IF(AND(E729&gt;0,B729=10),1,0)</f>
        <v>0</v>
      </c>
      <c r="Z729" s="0" t="str">
        <f aca="false">IF(AND(C728=C729,W728=W729-1),X728,"")</f>
        <v/>
      </c>
      <c r="AA729" s="0" t="str">
        <f aca="false">IF(AND(C728=C729,W728=W729-1),Y728,"")</f>
        <v/>
      </c>
      <c r="AB729" s="0" t="str">
        <f aca="false">IF(W729=1,"",IF(AND(X729=1,Z729&lt;&gt;1),1,0))</f>
        <v/>
      </c>
      <c r="AC729" s="0" t="str">
        <f aca="false">IF(W729=1,"",IF(AND(Y729=1,AA729&lt;&gt;1),1,0))</f>
        <v/>
      </c>
      <c r="AD729" s="33" t="str">
        <f aca="false">IF(AND(E729&gt;0,W729&lt;1,NOT(AND(C730=C729,W730=W729+1))),INDEX(DATAS,W729+1),"")</f>
        <v/>
      </c>
      <c r="AE729" s="33" t="str">
        <f aca="false">IF(AND(Y729=1,W729&lt;1),IF(AND(C730=C729,W730=W729+1),IF(Y730=1,"",INDEX(DATAS,W729+1)),INDEX(DATAS,W729+1)),"")</f>
        <v/>
      </c>
    </row>
    <row r="730" customFormat="false" ht="15" hidden="false" customHeight="false" outlineLevel="0" collapsed="false">
      <c r="A730" s="33" t="n">
        <v>46309</v>
      </c>
      <c r="B730" s="0" t="n">
        <v>7</v>
      </c>
      <c r="C730" s="0" t="n">
        <v>4631</v>
      </c>
      <c r="D730" s="0" t="n">
        <v>260</v>
      </c>
      <c r="E730" s="0" t="n">
        <v>2</v>
      </c>
      <c r="F730" s="27" t="s">
        <v>615</v>
      </c>
      <c r="I730" s="27" t="s">
        <v>143</v>
      </c>
      <c r="J730" s="0" t="n">
        <v>153</v>
      </c>
      <c r="K730" s="0" t="n">
        <v>86</v>
      </c>
      <c r="L730" s="0" t="n">
        <v>129</v>
      </c>
      <c r="M730" s="0" t="n">
        <v>1243.44</v>
      </c>
      <c r="N730" s="0" t="n">
        <v>53.53</v>
      </c>
      <c r="O730" s="0" t="n">
        <v>57.93</v>
      </c>
      <c r="P730" s="0" t="n">
        <v>5.29</v>
      </c>
      <c r="Q730" s="0" t="n">
        <v>4.67</v>
      </c>
      <c r="R730" s="0" t="n">
        <v>3962</v>
      </c>
      <c r="S730" s="0" t="n">
        <v>8435</v>
      </c>
      <c r="T730" s="0" t="n">
        <v>42.35</v>
      </c>
      <c r="U730" s="0" t="n">
        <v>1294</v>
      </c>
      <c r="V730" s="0" t="n">
        <v>3</v>
      </c>
      <c r="W730" s="27" t="n">
        <f aca="false">MATCH(A730,DATAS,0)</f>
        <v>1</v>
      </c>
      <c r="X730" s="27" t="n">
        <f aca="false">IF(AND(E730&gt;0,OR(AND(B730&gt;=1,B730&lt;=6),B730=10)),1,0)</f>
        <v>0</v>
      </c>
      <c r="Y730" s="27" t="n">
        <f aca="false">IF(AND(E730&gt;0,B730=10),1,0)</f>
        <v>0</v>
      </c>
      <c r="Z730" s="0" t="str">
        <f aca="false">IF(AND(C729=C730,W729=W730-1),X729,"")</f>
        <v/>
      </c>
      <c r="AA730" s="0" t="str">
        <f aca="false">IF(AND(C729=C730,W729=W730-1),Y729,"")</f>
        <v/>
      </c>
      <c r="AB730" s="0" t="str">
        <f aca="false">IF(W730=1,"",IF(AND(X730=1,Z730&lt;&gt;1),1,0))</f>
        <v/>
      </c>
      <c r="AC730" s="0" t="str">
        <f aca="false">IF(W730=1,"",IF(AND(Y730=1,AA730&lt;&gt;1),1,0))</f>
        <v/>
      </c>
      <c r="AD730" s="33" t="str">
        <f aca="false">IF(AND(E730&gt;0,W730&lt;1,NOT(AND(C731=C730,W731=W730+1))),INDEX(DATAS,W730+1),"")</f>
        <v/>
      </c>
      <c r="AE730" s="33" t="str">
        <f aca="false">IF(AND(Y730=1,W730&lt;1),IF(AND(C731=C730,W731=W730+1),IF(Y731=1,"",INDEX(DATAS,W730+1)),INDEX(DATAS,W730+1)),"")</f>
        <v/>
      </c>
    </row>
    <row r="731" customFormat="false" ht="15" hidden="false" customHeight="false" outlineLevel="0" collapsed="false">
      <c r="A731" s="33" t="n">
        <v>46309</v>
      </c>
      <c r="B731" s="0" t="n">
        <v>2</v>
      </c>
      <c r="C731" s="0" t="n">
        <v>4634</v>
      </c>
      <c r="D731" s="0" t="n">
        <v>287</v>
      </c>
      <c r="E731" s="0" t="n">
        <v>2</v>
      </c>
      <c r="F731" s="27" t="s">
        <v>616</v>
      </c>
      <c r="G731" s="0" t="n">
        <v>46.5</v>
      </c>
      <c r="H731" s="0" t="n">
        <v>47</v>
      </c>
      <c r="I731" s="27" t="s">
        <v>138</v>
      </c>
      <c r="J731" s="0" t="n">
        <v>211</v>
      </c>
      <c r="K731" s="0" t="n">
        <v>63</v>
      </c>
      <c r="L731" s="0" t="n">
        <v>76</v>
      </c>
      <c r="M731" s="0" t="n">
        <v>1374.73</v>
      </c>
      <c r="N731" s="0" t="n">
        <v>73.01</v>
      </c>
      <c r="O731" s="0" t="n">
        <v>45.41</v>
      </c>
      <c r="P731" s="0" t="n">
        <v>4.5</v>
      </c>
      <c r="Q731" s="0" t="n">
        <v>3.91</v>
      </c>
      <c r="R731" s="0" t="n">
        <v>6082</v>
      </c>
      <c r="S731" s="0" t="n">
        <v>11336</v>
      </c>
      <c r="T731" s="0" t="n">
        <v>66.45</v>
      </c>
      <c r="U731" s="0" t="n">
        <v>1290</v>
      </c>
      <c r="V731" s="0" t="n">
        <v>5</v>
      </c>
      <c r="W731" s="27" t="n">
        <f aca="false">MATCH(A731,DATAS,0)</f>
        <v>1</v>
      </c>
      <c r="X731" s="27" t="n">
        <f aca="false">IF(AND(E731&gt;0,OR(AND(B731&gt;=1,B731&lt;=6),B731=10)),1,0)</f>
        <v>1</v>
      </c>
      <c r="Y731" s="27" t="n">
        <f aca="false">IF(AND(E731&gt;0,B731=10),1,0)</f>
        <v>0</v>
      </c>
      <c r="Z731" s="0" t="str">
        <f aca="false">IF(AND(C730=C731,W730=W731-1),X730,"")</f>
        <v/>
      </c>
      <c r="AA731" s="0" t="str">
        <f aca="false">IF(AND(C730=C731,W730=W731-1),Y730,"")</f>
        <v/>
      </c>
      <c r="AB731" s="0" t="str">
        <f aca="false">IF(W731=1,"",IF(AND(X731=1,Z731&lt;&gt;1),1,0))</f>
        <v/>
      </c>
      <c r="AC731" s="0" t="str">
        <f aca="false">IF(W731=1,"",IF(AND(Y731=1,AA731&lt;&gt;1),1,0))</f>
        <v/>
      </c>
      <c r="AD731" s="33" t="str">
        <f aca="false">IF(AND(E731&gt;0,W731&lt;1,NOT(AND(C732=C731,W732=W731+1))),INDEX(DATAS,W731+1),"")</f>
        <v/>
      </c>
      <c r="AE731" s="33" t="str">
        <f aca="false">IF(AND(Y731=1,W731&lt;1),IF(AND(C732=C731,W732=W731+1),IF(Y732=1,"",INDEX(DATAS,W731+1)),INDEX(DATAS,W731+1)),"")</f>
        <v/>
      </c>
    </row>
    <row r="732" customFormat="false" ht="15" hidden="false" customHeight="false" outlineLevel="0" collapsed="false">
      <c r="A732" s="33" t="n">
        <v>46309</v>
      </c>
      <c r="B732" s="0" t="n">
        <v>2</v>
      </c>
      <c r="C732" s="0" t="n">
        <v>4636</v>
      </c>
      <c r="D732" s="0" t="n">
        <v>241</v>
      </c>
      <c r="E732" s="0" t="n">
        <v>2</v>
      </c>
      <c r="F732" s="27" t="s">
        <v>617</v>
      </c>
      <c r="G732" s="0" t="n">
        <v>54</v>
      </c>
      <c r="H732" s="0" t="n">
        <v>51</v>
      </c>
      <c r="I732" s="27" t="s">
        <v>168</v>
      </c>
      <c r="J732" s="0" t="n">
        <v>241</v>
      </c>
      <c r="K732" s="0" t="n">
        <v>66</v>
      </c>
      <c r="M732" s="0" t="n">
        <v>1192.86</v>
      </c>
      <c r="N732" s="0" t="n">
        <v>61.9</v>
      </c>
      <c r="O732" s="0" t="n">
        <v>31.89</v>
      </c>
      <c r="P732" s="0" t="n">
        <v>3.97</v>
      </c>
      <c r="Q732" s="0" t="n">
        <v>3.37</v>
      </c>
      <c r="R732" s="0" t="n">
        <v>4282</v>
      </c>
      <c r="S732" s="0" t="n">
        <v>9898</v>
      </c>
      <c r="T732" s="0" t="n">
        <v>47.2</v>
      </c>
      <c r="U732" s="0" t="n">
        <v>1291</v>
      </c>
      <c r="V732" s="0" t="n">
        <v>6</v>
      </c>
      <c r="W732" s="27" t="n">
        <f aca="false">MATCH(A732,DATAS,0)</f>
        <v>1</v>
      </c>
      <c r="X732" s="27" t="n">
        <f aca="false">IF(AND(E732&gt;0,OR(AND(B732&gt;=1,B732&lt;=6),B732=10)),1,0)</f>
        <v>1</v>
      </c>
      <c r="Y732" s="27" t="n">
        <f aca="false">IF(AND(E732&gt;0,B732=10),1,0)</f>
        <v>0</v>
      </c>
      <c r="Z732" s="0" t="str">
        <f aca="false">IF(AND(C731=C732,W731=W732-1),X731,"")</f>
        <v/>
      </c>
      <c r="AA732" s="0" t="str">
        <f aca="false">IF(AND(C731=C732,W731=W732-1),Y731,"")</f>
        <v/>
      </c>
      <c r="AB732" s="0" t="str">
        <f aca="false">IF(W732=1,"",IF(AND(X732=1,Z732&lt;&gt;1),1,0))</f>
        <v/>
      </c>
      <c r="AC732" s="0" t="str">
        <f aca="false">IF(W732=1,"",IF(AND(Y732=1,AA732&lt;&gt;1),1,0))</f>
        <v/>
      </c>
      <c r="AD732" s="33" t="str">
        <f aca="false">IF(AND(E732&gt;0,W732&lt;1,NOT(AND(C733=C732,W733=W732+1))),INDEX(DATAS,W732+1),"")</f>
        <v/>
      </c>
      <c r="AE732" s="33" t="str">
        <f aca="false">IF(AND(Y732=1,W732&lt;1),IF(AND(C733=C732,W733=W732+1),IF(Y733=1,"",INDEX(DATAS,W732+1)),INDEX(DATAS,W732+1)),"")</f>
        <v/>
      </c>
    </row>
    <row r="733" customFormat="false" ht="15" hidden="false" customHeight="false" outlineLevel="0" collapsed="false">
      <c r="A733" s="33" t="n">
        <v>46309</v>
      </c>
      <c r="B733" s="0" t="n">
        <v>2</v>
      </c>
      <c r="C733" s="0" t="n">
        <v>4637</v>
      </c>
      <c r="D733" s="0" t="n">
        <v>133</v>
      </c>
      <c r="E733" s="0" t="n">
        <v>2</v>
      </c>
      <c r="F733" s="27" t="s">
        <v>616</v>
      </c>
      <c r="G733" s="0" t="n">
        <v>49.1</v>
      </c>
      <c r="H733" s="0" t="n">
        <v>53</v>
      </c>
      <c r="I733" s="27" t="s">
        <v>138</v>
      </c>
      <c r="J733" s="0" t="n">
        <v>67</v>
      </c>
      <c r="K733" s="0" t="n">
        <v>67</v>
      </c>
      <c r="L733" s="0" t="n">
        <v>66</v>
      </c>
      <c r="M733" s="0" t="n">
        <v>1557.43</v>
      </c>
      <c r="N733" s="0" t="n">
        <v>46.19</v>
      </c>
      <c r="O733" s="0" t="n">
        <v>47.15</v>
      </c>
      <c r="P733" s="0" t="n">
        <v>3.46</v>
      </c>
      <c r="Q733" s="0" t="n">
        <v>3.39</v>
      </c>
      <c r="R733" s="0" t="n">
        <v>5170</v>
      </c>
      <c r="S733" s="0" t="n">
        <v>10581</v>
      </c>
      <c r="T733" s="0" t="n">
        <v>49.35</v>
      </c>
      <c r="U733" s="0" t="n">
        <v>1290</v>
      </c>
      <c r="V733" s="0" t="n">
        <v>1</v>
      </c>
      <c r="W733" s="27" t="n">
        <f aca="false">MATCH(A733,DATAS,0)</f>
        <v>1</v>
      </c>
      <c r="X733" s="27" t="n">
        <f aca="false">IF(AND(E733&gt;0,OR(AND(B733&gt;=1,B733&lt;=6),B733=10)),1,0)</f>
        <v>1</v>
      </c>
      <c r="Y733" s="27" t="n">
        <f aca="false">IF(AND(E733&gt;0,B733=10),1,0)</f>
        <v>0</v>
      </c>
      <c r="Z733" s="0" t="str">
        <f aca="false">IF(AND(C732=C733,W732=W733-1),X732,"")</f>
        <v/>
      </c>
      <c r="AA733" s="0" t="str">
        <f aca="false">IF(AND(C732=C733,W732=W733-1),Y732,"")</f>
        <v/>
      </c>
      <c r="AB733" s="0" t="str">
        <f aca="false">IF(W733=1,"",IF(AND(X733=1,Z733&lt;&gt;1),1,0))</f>
        <v/>
      </c>
      <c r="AC733" s="0" t="str">
        <f aca="false">IF(W733=1,"",IF(AND(Y733=1,AA733&lt;&gt;1),1,0))</f>
        <v/>
      </c>
      <c r="AD733" s="33" t="str">
        <f aca="false">IF(AND(E733&gt;0,W733&lt;1,NOT(AND(C734=C733,W734=W733+1))),INDEX(DATAS,W733+1),"")</f>
        <v/>
      </c>
      <c r="AE733" s="33" t="str">
        <f aca="false">IF(AND(Y733=1,W733&lt;1),IF(AND(C734=C733,W734=W733+1),IF(Y734=1,"",INDEX(DATAS,W733+1)),INDEX(DATAS,W733+1)),"")</f>
        <v/>
      </c>
    </row>
    <row r="734" customFormat="false" ht="15" hidden="false" customHeight="false" outlineLevel="0" collapsed="false">
      <c r="A734" s="33" t="n">
        <v>46309</v>
      </c>
      <c r="B734" s="0" t="n">
        <v>2</v>
      </c>
      <c r="C734" s="0" t="n">
        <v>4638</v>
      </c>
      <c r="D734" s="0" t="n">
        <v>288</v>
      </c>
      <c r="E734" s="0" t="n">
        <v>2</v>
      </c>
      <c r="F734" s="27" t="s">
        <v>618</v>
      </c>
      <c r="G734" s="0" t="n">
        <v>47.7</v>
      </c>
      <c r="H734" s="0" t="n">
        <v>46</v>
      </c>
      <c r="I734" s="27" t="s">
        <v>138</v>
      </c>
      <c r="J734" s="0" t="n">
        <v>134</v>
      </c>
      <c r="K734" s="0" t="n">
        <v>64</v>
      </c>
      <c r="L734" s="0" t="n">
        <v>154</v>
      </c>
      <c r="M734" s="0" t="n">
        <v>240.3</v>
      </c>
      <c r="N734" s="0" t="n">
        <v>43.67</v>
      </c>
      <c r="O734" s="0" t="n">
        <v>31.24</v>
      </c>
      <c r="P734" s="0" t="n">
        <v>3.1</v>
      </c>
      <c r="Q734" s="0" t="n">
        <v>4.06</v>
      </c>
      <c r="R734" s="0" t="n">
        <v>5809</v>
      </c>
      <c r="S734" s="0" t="n">
        <v>11123</v>
      </c>
      <c r="T734" s="0" t="n">
        <v>62.75</v>
      </c>
      <c r="U734" s="0" t="n">
        <v>1289</v>
      </c>
      <c r="V734" s="0" t="n">
        <v>3</v>
      </c>
      <c r="W734" s="27" t="n">
        <f aca="false">MATCH(A734,DATAS,0)</f>
        <v>1</v>
      </c>
      <c r="X734" s="27" t="n">
        <f aca="false">IF(AND(E734&gt;0,OR(AND(B734&gt;=1,B734&lt;=6),B734=10)),1,0)</f>
        <v>1</v>
      </c>
      <c r="Y734" s="27" t="n">
        <f aca="false">IF(AND(E734&gt;0,B734=10),1,0)</f>
        <v>0</v>
      </c>
      <c r="Z734" s="0" t="str">
        <f aca="false">IF(AND(C733=C734,W733=W734-1),X733,"")</f>
        <v/>
      </c>
      <c r="AA734" s="0" t="str">
        <f aca="false">IF(AND(C733=C734,W733=W734-1),Y733,"")</f>
        <v/>
      </c>
      <c r="AB734" s="0" t="str">
        <f aca="false">IF(W734=1,"",IF(AND(X734=1,Z734&lt;&gt;1),1,0))</f>
        <v/>
      </c>
      <c r="AC734" s="0" t="str">
        <f aca="false">IF(W734=1,"",IF(AND(Y734=1,AA734&lt;&gt;1),1,0))</f>
        <v/>
      </c>
      <c r="AD734" s="33" t="str">
        <f aca="false">IF(AND(E734&gt;0,W734&lt;1,NOT(AND(C735=C734,W735=W734+1))),INDEX(DATAS,W734+1),"")</f>
        <v/>
      </c>
      <c r="AE734" s="33" t="str">
        <f aca="false">IF(AND(Y734=1,W734&lt;1),IF(AND(C735=C734,W735=W734+1),IF(Y735=1,"",INDEX(DATAS,W734+1)),INDEX(DATAS,W734+1)),"")</f>
        <v/>
      </c>
    </row>
    <row r="735" customFormat="false" ht="15" hidden="false" customHeight="false" outlineLevel="0" collapsed="false">
      <c r="A735" s="33" t="n">
        <v>46309</v>
      </c>
      <c r="B735" s="0" t="n">
        <v>3</v>
      </c>
      <c r="C735" s="0" t="n">
        <v>4639</v>
      </c>
      <c r="D735" s="0" t="n">
        <v>198</v>
      </c>
      <c r="E735" s="0" t="n">
        <v>2</v>
      </c>
      <c r="F735" s="27" t="s">
        <v>618</v>
      </c>
      <c r="G735" s="0" t="n">
        <v>39.5</v>
      </c>
      <c r="H735" s="0" t="n">
        <v>44</v>
      </c>
      <c r="I735" s="27" t="s">
        <v>168</v>
      </c>
      <c r="J735" s="0" t="n">
        <v>198</v>
      </c>
      <c r="K735" s="0" t="n">
        <v>65</v>
      </c>
      <c r="M735" s="0" t="n">
        <v>824.99</v>
      </c>
      <c r="N735" s="0" t="n">
        <v>46.32</v>
      </c>
      <c r="O735" s="0" t="n">
        <v>32.81</v>
      </c>
      <c r="P735" s="0" t="n">
        <v>3.29</v>
      </c>
      <c r="Q735" s="0" t="n">
        <v>3.46</v>
      </c>
      <c r="R735" s="0" t="n">
        <v>5521</v>
      </c>
      <c r="S735" s="0" t="n">
        <v>10970</v>
      </c>
      <c r="T735" s="0" t="n">
        <v>63.4</v>
      </c>
      <c r="U735" s="0" t="n">
        <v>1289</v>
      </c>
      <c r="V735" s="0" t="n">
        <v>4</v>
      </c>
      <c r="W735" s="27" t="n">
        <f aca="false">MATCH(A735,DATAS,0)</f>
        <v>1</v>
      </c>
      <c r="X735" s="27" t="n">
        <f aca="false">IF(AND(E735&gt;0,OR(AND(B735&gt;=1,B735&lt;=6),B735=10)),1,0)</f>
        <v>1</v>
      </c>
      <c r="Y735" s="27" t="n">
        <f aca="false">IF(AND(E735&gt;0,B735=10),1,0)</f>
        <v>0</v>
      </c>
      <c r="Z735" s="0" t="str">
        <f aca="false">IF(AND(C734=C735,W734=W735-1),X734,"")</f>
        <v/>
      </c>
      <c r="AA735" s="0" t="str">
        <f aca="false">IF(AND(C734=C735,W734=W735-1),Y734,"")</f>
        <v/>
      </c>
      <c r="AB735" s="0" t="str">
        <f aca="false">IF(W735=1,"",IF(AND(X735=1,Z735&lt;&gt;1),1,0))</f>
        <v/>
      </c>
      <c r="AC735" s="0" t="str">
        <f aca="false">IF(W735=1,"",IF(AND(Y735=1,AA735&lt;&gt;1),1,0))</f>
        <v/>
      </c>
      <c r="AD735" s="33" t="str">
        <f aca="false">IF(AND(E735&gt;0,W735&lt;1,NOT(AND(C736=C735,W736=W735+1))),INDEX(DATAS,W735+1),"")</f>
        <v/>
      </c>
      <c r="AE735" s="33" t="str">
        <f aca="false">IF(AND(Y735=1,W735&lt;1),IF(AND(C736=C735,W736=W735+1),IF(Y736=1,"",INDEX(DATAS,W735+1)),INDEX(DATAS,W735+1)),"")</f>
        <v/>
      </c>
    </row>
    <row r="736" customFormat="false" ht="15" hidden="false" customHeight="false" outlineLevel="0" collapsed="false">
      <c r="A736" s="33" t="n">
        <v>46309</v>
      </c>
      <c r="B736" s="0" t="n">
        <v>5</v>
      </c>
      <c r="C736" s="0" t="n">
        <v>4640</v>
      </c>
      <c r="D736" s="0" t="n">
        <v>270</v>
      </c>
      <c r="E736" s="0" t="n">
        <v>2</v>
      </c>
      <c r="F736" s="27" t="s">
        <v>618</v>
      </c>
      <c r="G736" s="0" t="n">
        <v>41.5</v>
      </c>
      <c r="H736" s="0" t="n">
        <v>38</v>
      </c>
      <c r="I736" s="27" t="s">
        <v>138</v>
      </c>
      <c r="J736" s="0" t="n">
        <v>235</v>
      </c>
      <c r="K736" s="0" t="n">
        <v>67</v>
      </c>
      <c r="L736" s="0" t="n">
        <v>35</v>
      </c>
      <c r="M736" s="0" t="n">
        <v>592.75</v>
      </c>
      <c r="N736" s="0" t="n">
        <v>49.84</v>
      </c>
      <c r="O736" s="0" t="n">
        <v>31.95</v>
      </c>
      <c r="P736" s="0" t="n">
        <v>5.57</v>
      </c>
      <c r="Q736" s="0" t="n">
        <v>4.2</v>
      </c>
      <c r="R736" s="0" t="n">
        <v>4139</v>
      </c>
      <c r="S736" s="0" t="n">
        <v>8518</v>
      </c>
      <c r="T736" s="0" t="n">
        <v>50.05</v>
      </c>
      <c r="U736" s="0" t="n">
        <v>1289</v>
      </c>
      <c r="V736" s="0" t="n">
        <v>5</v>
      </c>
      <c r="W736" s="27" t="n">
        <f aca="false">MATCH(A736,DATAS,0)</f>
        <v>1</v>
      </c>
      <c r="X736" s="27" t="n">
        <f aca="false">IF(AND(E736&gt;0,OR(AND(B736&gt;=1,B736&lt;=6),B736=10)),1,0)</f>
        <v>1</v>
      </c>
      <c r="Y736" s="27" t="n">
        <f aca="false">IF(AND(E736&gt;0,B736=10),1,0)</f>
        <v>0</v>
      </c>
      <c r="Z736" s="0" t="str">
        <f aca="false">IF(AND(C735=C736,W735=W736-1),X735,"")</f>
        <v/>
      </c>
      <c r="AA736" s="0" t="str">
        <f aca="false">IF(AND(C735=C736,W735=W736-1),Y735,"")</f>
        <v/>
      </c>
      <c r="AB736" s="0" t="str">
        <f aca="false">IF(W736=1,"",IF(AND(X736=1,Z736&lt;&gt;1),1,0))</f>
        <v/>
      </c>
      <c r="AC736" s="0" t="str">
        <f aca="false">IF(W736=1,"",IF(AND(Y736=1,AA736&lt;&gt;1),1,0))</f>
        <v/>
      </c>
      <c r="AD736" s="33" t="str">
        <f aca="false">IF(AND(E736&gt;0,W736&lt;1,NOT(AND(C737=C736,W737=W736+1))),INDEX(DATAS,W736+1),"")</f>
        <v/>
      </c>
      <c r="AE736" s="33" t="str">
        <f aca="false">IF(AND(Y736=1,W736&lt;1),IF(AND(C737=C736,W737=W736+1),IF(Y737=1,"",INDEX(DATAS,W736+1)),INDEX(DATAS,W736+1)),"")</f>
        <v/>
      </c>
    </row>
    <row r="737" customFormat="false" ht="15" hidden="false" customHeight="false" outlineLevel="0" collapsed="false">
      <c r="A737" s="33" t="n">
        <v>46309</v>
      </c>
      <c r="B737" s="0" t="n">
        <v>5</v>
      </c>
      <c r="C737" s="0" t="n">
        <v>4643</v>
      </c>
      <c r="D737" s="0" t="n">
        <v>190</v>
      </c>
      <c r="E737" s="0" t="n">
        <v>2</v>
      </c>
      <c r="F737" s="27" t="s">
        <v>619</v>
      </c>
      <c r="G737" s="0" t="n">
        <v>33.9</v>
      </c>
      <c r="H737" s="0" t="n">
        <v>31</v>
      </c>
      <c r="I737" s="27" t="s">
        <v>168</v>
      </c>
      <c r="J737" s="0" t="n">
        <v>190</v>
      </c>
      <c r="K737" s="0" t="n">
        <v>64</v>
      </c>
      <c r="M737" s="0" t="n">
        <v>407.05</v>
      </c>
      <c r="N737" s="0" t="n">
        <v>23.25</v>
      </c>
      <c r="O737" s="0" t="n">
        <v>24.79</v>
      </c>
      <c r="P737" s="0" t="n">
        <v>4.77</v>
      </c>
      <c r="Q737" s="0" t="n">
        <v>3.89</v>
      </c>
      <c r="R737" s="0" t="n">
        <v>4230</v>
      </c>
      <c r="S737" s="0" t="n">
        <v>8371</v>
      </c>
      <c r="T737" s="0" t="n">
        <v>46.3</v>
      </c>
      <c r="U737" s="0" t="n">
        <v>1288</v>
      </c>
      <c r="V737" s="0" t="n">
        <v>3</v>
      </c>
      <c r="W737" s="27" t="n">
        <f aca="false">MATCH(A737,DATAS,0)</f>
        <v>1</v>
      </c>
      <c r="X737" s="27" t="n">
        <f aca="false">IF(AND(E737&gt;0,OR(AND(B737&gt;=1,B737&lt;=6),B737=10)),1,0)</f>
        <v>1</v>
      </c>
      <c r="Y737" s="27" t="n">
        <f aca="false">IF(AND(E737&gt;0,B737=10),1,0)</f>
        <v>0</v>
      </c>
      <c r="Z737" s="0" t="str">
        <f aca="false">IF(AND(C736=C737,W736=W737-1),X736,"")</f>
        <v/>
      </c>
      <c r="AA737" s="0" t="str">
        <f aca="false">IF(AND(C736=C737,W736=W737-1),Y736,"")</f>
        <v/>
      </c>
      <c r="AB737" s="0" t="str">
        <f aca="false">IF(W737=1,"",IF(AND(X737=1,Z737&lt;&gt;1),1,0))</f>
        <v/>
      </c>
      <c r="AC737" s="0" t="str">
        <f aca="false">IF(W737=1,"",IF(AND(Y737=1,AA737&lt;&gt;1),1,0))</f>
        <v/>
      </c>
      <c r="AD737" s="33" t="str">
        <f aca="false">IF(AND(E737&gt;0,W737&lt;1,NOT(AND(C738=C737,W738=W737+1))),INDEX(DATAS,W737+1),"")</f>
        <v/>
      </c>
      <c r="AE737" s="33" t="str">
        <f aca="false">IF(AND(Y737=1,W737&lt;1),IF(AND(C738=C737,W738=W737+1),IF(Y738=1,"",INDEX(DATAS,W737+1)),INDEX(DATAS,W737+1)),"")</f>
        <v/>
      </c>
    </row>
    <row r="738" customFormat="false" ht="15" hidden="false" customHeight="false" outlineLevel="0" collapsed="false">
      <c r="A738" s="33" t="n">
        <v>46309</v>
      </c>
      <c r="B738" s="0" t="n">
        <v>10</v>
      </c>
      <c r="C738" s="0" t="n">
        <v>4644</v>
      </c>
      <c r="D738" s="0" t="n">
        <v>228</v>
      </c>
      <c r="E738" s="0" t="n">
        <v>2</v>
      </c>
      <c r="F738" s="27" t="s">
        <v>619</v>
      </c>
      <c r="H738" s="0" t="n">
        <v>9</v>
      </c>
      <c r="I738" s="27" t="s">
        <v>138</v>
      </c>
      <c r="J738" s="0" t="n">
        <v>67</v>
      </c>
      <c r="K738" s="0" t="n">
        <v>67</v>
      </c>
      <c r="L738" s="0" t="n">
        <v>161</v>
      </c>
      <c r="M738" s="0" t="n">
        <v>456.44</v>
      </c>
      <c r="N738" s="0" t="n">
        <v>63.19</v>
      </c>
      <c r="O738" s="0" t="n">
        <v>34.32</v>
      </c>
      <c r="P738" s="0" t="n">
        <v>3.59</v>
      </c>
      <c r="Q738" s="0" t="n">
        <v>3.5</v>
      </c>
      <c r="R738" s="0" t="n">
        <v>4610</v>
      </c>
      <c r="S738" s="0" t="n">
        <v>10669</v>
      </c>
      <c r="T738" s="0" t="n">
        <v>46.25</v>
      </c>
      <c r="U738" s="0" t="n">
        <v>1288</v>
      </c>
      <c r="V738" s="0" t="n">
        <v>1</v>
      </c>
      <c r="W738" s="27" t="n">
        <f aca="false">MATCH(A738,DATAS,0)</f>
        <v>1</v>
      </c>
      <c r="X738" s="27" t="n">
        <f aca="false">IF(AND(E738&gt;0,OR(AND(B738&gt;=1,B738&lt;=6),B738=10)),1,0)</f>
        <v>1</v>
      </c>
      <c r="Y738" s="27" t="n">
        <f aca="false">IF(AND(E738&gt;0,B738=10),1,0)</f>
        <v>1</v>
      </c>
      <c r="Z738" s="0" t="str">
        <f aca="false">IF(AND(C737=C738,W737=W738-1),X737,"")</f>
        <v/>
      </c>
      <c r="AA738" s="0" t="str">
        <f aca="false">IF(AND(C737=C738,W737=W738-1),Y737,"")</f>
        <v/>
      </c>
      <c r="AB738" s="0" t="str">
        <f aca="false">IF(W738=1,"",IF(AND(X738=1,Z738&lt;&gt;1),1,0))</f>
        <v/>
      </c>
      <c r="AC738" s="0" t="str">
        <f aca="false">IF(W738=1,"",IF(AND(Y738=1,AA738&lt;&gt;1),1,0))</f>
        <v/>
      </c>
      <c r="AD738" s="33" t="str">
        <f aca="false">IF(AND(E738&gt;0,W738&lt;1,NOT(AND(C739=C738,W739=W738+1))),INDEX(DATAS,W738+1),"")</f>
        <v/>
      </c>
      <c r="AE738" s="33" t="str">
        <f aca="false">IF(AND(Y738=1,W738&lt;1),IF(AND(C739=C738,W739=W738+1),IF(Y739=1,"",INDEX(DATAS,W738+1)),INDEX(DATAS,W738+1)),"")</f>
        <v/>
      </c>
    </row>
    <row r="739" customFormat="false" ht="15" hidden="false" customHeight="false" outlineLevel="0" collapsed="false">
      <c r="A739" s="33" t="n">
        <v>46309</v>
      </c>
      <c r="B739" s="0" t="n">
        <v>2</v>
      </c>
      <c r="C739" s="0" t="n">
        <v>4646</v>
      </c>
      <c r="D739" s="0" t="n">
        <v>188</v>
      </c>
      <c r="E739" s="0" t="n">
        <v>2</v>
      </c>
      <c r="F739" s="27" t="s">
        <v>619</v>
      </c>
      <c r="G739" s="0" t="n">
        <v>45.1</v>
      </c>
      <c r="H739" s="0" t="n">
        <v>49</v>
      </c>
      <c r="I739" s="27" t="s">
        <v>168</v>
      </c>
      <c r="J739" s="0" t="n">
        <v>188</v>
      </c>
      <c r="K739" s="0" t="n">
        <v>62</v>
      </c>
      <c r="M739" s="0" t="n">
        <v>1302.25</v>
      </c>
      <c r="N739" s="0" t="n">
        <v>72.78</v>
      </c>
      <c r="O739" s="0" t="n">
        <v>45.8</v>
      </c>
      <c r="P739" s="0" t="n">
        <v>4.23</v>
      </c>
      <c r="Q739" s="0" t="n">
        <v>3.41</v>
      </c>
      <c r="R739" s="0" t="n">
        <v>4869</v>
      </c>
      <c r="S739" s="0" t="n">
        <v>9264</v>
      </c>
      <c r="T739" s="0" t="n">
        <v>56.5</v>
      </c>
      <c r="U739" s="0" t="n">
        <v>1288</v>
      </c>
      <c r="V739" s="0" t="n">
        <v>4</v>
      </c>
      <c r="W739" s="27" t="n">
        <f aca="false">MATCH(A739,DATAS,0)</f>
        <v>1</v>
      </c>
      <c r="X739" s="27" t="n">
        <f aca="false">IF(AND(E739&gt;0,OR(AND(B739&gt;=1,B739&lt;=6),B739=10)),1,0)</f>
        <v>1</v>
      </c>
      <c r="Y739" s="27" t="n">
        <f aca="false">IF(AND(E739&gt;0,B739=10),1,0)</f>
        <v>0</v>
      </c>
      <c r="Z739" s="0" t="str">
        <f aca="false">IF(AND(C738=C739,W738=W739-1),X738,"")</f>
        <v/>
      </c>
      <c r="AA739" s="0" t="str">
        <f aca="false">IF(AND(C738=C739,W738=W739-1),Y738,"")</f>
        <v/>
      </c>
      <c r="AB739" s="0" t="str">
        <f aca="false">IF(W739=1,"",IF(AND(X739=1,Z739&lt;&gt;1),1,0))</f>
        <v/>
      </c>
      <c r="AC739" s="0" t="str">
        <f aca="false">IF(W739=1,"",IF(AND(Y739=1,AA739&lt;&gt;1),1,0))</f>
        <v/>
      </c>
      <c r="AD739" s="33" t="str">
        <f aca="false">IF(AND(E739&gt;0,W739&lt;1,NOT(AND(C740=C739,W740=W739+1))),INDEX(DATAS,W739+1),"")</f>
        <v/>
      </c>
      <c r="AE739" s="33" t="str">
        <f aca="false">IF(AND(Y739=1,W739&lt;1),IF(AND(C740=C739,W740=W739+1),IF(Y740=1,"",INDEX(DATAS,W739+1)),INDEX(DATAS,W739+1)),"")</f>
        <v/>
      </c>
    </row>
    <row r="740" customFormat="false" ht="15" hidden="false" customHeight="false" outlineLevel="0" collapsed="false">
      <c r="A740" s="33" t="n">
        <v>46309</v>
      </c>
      <c r="B740" s="0" t="n">
        <v>2</v>
      </c>
      <c r="C740" s="0" t="n">
        <v>4647</v>
      </c>
      <c r="D740" s="0" t="n">
        <v>96</v>
      </c>
      <c r="E740" s="0" t="n">
        <v>2</v>
      </c>
      <c r="F740" s="27" t="s">
        <v>620</v>
      </c>
      <c r="G740" s="0" t="n">
        <v>46</v>
      </c>
      <c r="H740" s="0" t="n">
        <v>46</v>
      </c>
      <c r="I740" s="27" t="s">
        <v>176</v>
      </c>
      <c r="J740" s="0" t="n">
        <v>96</v>
      </c>
      <c r="M740" s="0" t="n">
        <v>866.17</v>
      </c>
      <c r="N740" s="0" t="n">
        <v>59.84</v>
      </c>
      <c r="O740" s="0" t="n">
        <v>42.04</v>
      </c>
      <c r="P740" s="0" t="n">
        <v>3.11</v>
      </c>
      <c r="Q740" s="0" t="n">
        <v>3.21</v>
      </c>
      <c r="R740" s="0" t="n">
        <v>4604</v>
      </c>
      <c r="S740" s="0" t="n">
        <v>9256</v>
      </c>
      <c r="T740" s="0" t="n">
        <v>52.15</v>
      </c>
      <c r="U740" s="0" t="n">
        <v>1285</v>
      </c>
      <c r="V740" s="0" t="n">
        <v>0</v>
      </c>
      <c r="W740" s="27" t="n">
        <f aca="false">MATCH(A740,DATAS,0)</f>
        <v>1</v>
      </c>
      <c r="X740" s="27" t="n">
        <f aca="false">IF(AND(E740&gt;0,OR(AND(B740&gt;=1,B740&lt;=6),B740=10)),1,0)</f>
        <v>1</v>
      </c>
      <c r="Y740" s="27" t="n">
        <f aca="false">IF(AND(E740&gt;0,B740=10),1,0)</f>
        <v>0</v>
      </c>
      <c r="Z740" s="0" t="str">
        <f aca="false">IF(AND(C739=C740,W739=W740-1),X739,"")</f>
        <v/>
      </c>
      <c r="AA740" s="0" t="str">
        <f aca="false">IF(AND(C739=C740,W739=W740-1),Y739,"")</f>
        <v/>
      </c>
      <c r="AB740" s="0" t="str">
        <f aca="false">IF(W740=1,"",IF(AND(X740=1,Z740&lt;&gt;1),1,0))</f>
        <v/>
      </c>
      <c r="AC740" s="0" t="str">
        <f aca="false">IF(W740=1,"",IF(AND(Y740=1,AA740&lt;&gt;1),1,0))</f>
        <v/>
      </c>
      <c r="AD740" s="33" t="str">
        <f aca="false">IF(AND(E740&gt;0,W740&lt;1,NOT(AND(C741=C740,W741=W740+1))),INDEX(DATAS,W740+1),"")</f>
        <v/>
      </c>
      <c r="AE740" s="33" t="str">
        <f aca="false">IF(AND(Y740=1,W740&lt;1),IF(AND(C741=C740,W741=W740+1),IF(Y741=1,"",INDEX(DATAS,W740+1)),INDEX(DATAS,W740+1)),"")</f>
        <v/>
      </c>
    </row>
    <row r="741" customFormat="false" ht="15" hidden="false" customHeight="false" outlineLevel="0" collapsed="false">
      <c r="A741" s="33" t="n">
        <v>46309</v>
      </c>
      <c r="B741" s="0" t="n">
        <v>5</v>
      </c>
      <c r="C741" s="0" t="n">
        <v>4648</v>
      </c>
      <c r="D741" s="0" t="n">
        <v>324</v>
      </c>
      <c r="E741" s="0" t="n">
        <v>2</v>
      </c>
      <c r="F741" s="27" t="s">
        <v>620</v>
      </c>
      <c r="G741" s="0" t="n">
        <v>39.6</v>
      </c>
      <c r="H741" s="0" t="n">
        <v>35</v>
      </c>
      <c r="I741" s="27" t="s">
        <v>138</v>
      </c>
      <c r="J741" s="0" t="n">
        <v>139</v>
      </c>
      <c r="K741" s="0" t="n">
        <v>65</v>
      </c>
      <c r="L741" s="0" t="n">
        <v>185</v>
      </c>
      <c r="M741" s="0" t="n">
        <v>934.26</v>
      </c>
      <c r="N741" s="0" t="n">
        <v>61.59</v>
      </c>
      <c r="O741" s="0" t="n">
        <v>51.97</v>
      </c>
      <c r="P741" s="0" t="n">
        <v>4.26</v>
      </c>
      <c r="Q741" s="0" t="n">
        <v>4.34</v>
      </c>
      <c r="R741" s="0" t="n">
        <v>5069</v>
      </c>
      <c r="S741" s="0" t="n">
        <v>10329</v>
      </c>
      <c r="T741" s="0" t="n">
        <v>54.15</v>
      </c>
      <c r="U741" s="0" t="n">
        <v>1285</v>
      </c>
      <c r="V741" s="0" t="n">
        <v>3</v>
      </c>
      <c r="W741" s="27" t="n">
        <f aca="false">MATCH(A741,DATAS,0)</f>
        <v>1</v>
      </c>
      <c r="X741" s="27" t="n">
        <f aca="false">IF(AND(E741&gt;0,OR(AND(B741&gt;=1,B741&lt;=6),B741=10)),1,0)</f>
        <v>1</v>
      </c>
      <c r="Y741" s="27" t="n">
        <f aca="false">IF(AND(E741&gt;0,B741=10),1,0)</f>
        <v>0</v>
      </c>
      <c r="Z741" s="0" t="str">
        <f aca="false">IF(AND(C740=C741,W740=W741-1),X740,"")</f>
        <v/>
      </c>
      <c r="AA741" s="0" t="str">
        <f aca="false">IF(AND(C740=C741,W740=W741-1),Y740,"")</f>
        <v/>
      </c>
      <c r="AB741" s="0" t="str">
        <f aca="false">IF(W741=1,"",IF(AND(X741=1,Z741&lt;&gt;1),1,0))</f>
        <v/>
      </c>
      <c r="AC741" s="0" t="str">
        <f aca="false">IF(W741=1,"",IF(AND(Y741=1,AA741&lt;&gt;1),1,0))</f>
        <v/>
      </c>
      <c r="AD741" s="33" t="str">
        <f aca="false">IF(AND(E741&gt;0,W741&lt;1,NOT(AND(C742=C741,W742=W741+1))),INDEX(DATAS,W741+1),"")</f>
        <v/>
      </c>
      <c r="AE741" s="33" t="str">
        <f aca="false">IF(AND(Y741=1,W741&lt;1),IF(AND(C742=C741,W742=W741+1),IF(Y742=1,"",INDEX(DATAS,W741+1)),INDEX(DATAS,W741+1)),"")</f>
        <v/>
      </c>
    </row>
    <row r="742" customFormat="false" ht="15" hidden="false" customHeight="false" outlineLevel="0" collapsed="false">
      <c r="A742" s="33" t="n">
        <v>46309</v>
      </c>
      <c r="B742" s="0" t="n">
        <v>6</v>
      </c>
      <c r="C742" s="0" t="n">
        <v>4649</v>
      </c>
      <c r="D742" s="0" t="n">
        <v>629</v>
      </c>
      <c r="E742" s="0" t="n">
        <v>1</v>
      </c>
      <c r="F742" s="27" t="s">
        <v>621</v>
      </c>
      <c r="G742" s="0" t="n">
        <v>23.7</v>
      </c>
      <c r="H742" s="0" t="n">
        <v>23</v>
      </c>
      <c r="I742" s="27" t="s">
        <v>138</v>
      </c>
      <c r="J742" s="0" t="n">
        <v>524</v>
      </c>
      <c r="K742" s="0" t="n">
        <v>70</v>
      </c>
      <c r="L742" s="0" t="n">
        <v>105</v>
      </c>
      <c r="M742" s="0" t="n">
        <v>634.17</v>
      </c>
      <c r="N742" s="0" t="n">
        <v>39.49</v>
      </c>
      <c r="O742" s="0" t="n">
        <v>18.98</v>
      </c>
      <c r="P742" s="0" t="n">
        <v>5.15</v>
      </c>
      <c r="Q742" s="0" t="n">
        <v>3.94</v>
      </c>
      <c r="R742" s="0" t="n">
        <v>2986</v>
      </c>
      <c r="S742" s="0" t="n">
        <v>7016</v>
      </c>
      <c r="T742" s="0" t="n">
        <v>36.6</v>
      </c>
      <c r="U742" s="0" t="n">
        <v>1284</v>
      </c>
      <c r="V742" s="0" t="n">
        <v>9</v>
      </c>
      <c r="W742" s="27" t="n">
        <f aca="false">MATCH(A742,DATAS,0)</f>
        <v>1</v>
      </c>
      <c r="X742" s="27" t="n">
        <f aca="false">IF(AND(E742&gt;0,OR(AND(B742&gt;=1,B742&lt;=6),B742=10)),1,0)</f>
        <v>1</v>
      </c>
      <c r="Y742" s="27" t="n">
        <f aca="false">IF(AND(E742&gt;0,B742=10),1,0)</f>
        <v>0</v>
      </c>
      <c r="Z742" s="0" t="str">
        <f aca="false">IF(AND(C741=C742,W741=W742-1),X741,"")</f>
        <v/>
      </c>
      <c r="AA742" s="0" t="str">
        <f aca="false">IF(AND(C741=C742,W741=W742-1),Y741,"")</f>
        <v/>
      </c>
      <c r="AB742" s="0" t="str">
        <f aca="false">IF(W742=1,"",IF(AND(X742=1,Z742&lt;&gt;1),1,0))</f>
        <v/>
      </c>
      <c r="AC742" s="0" t="str">
        <f aca="false">IF(W742=1,"",IF(AND(Y742=1,AA742&lt;&gt;1),1,0))</f>
        <v/>
      </c>
      <c r="AD742" s="33" t="str">
        <f aca="false">IF(AND(E742&gt;0,W742&lt;1,NOT(AND(C743=C742,W743=W742+1))),INDEX(DATAS,W742+1),"")</f>
        <v/>
      </c>
      <c r="AE742" s="33" t="str">
        <f aca="false">IF(AND(Y742=1,W742&lt;1),IF(AND(C743=C742,W743=W742+1),IF(Y743=1,"",INDEX(DATAS,W742+1)),INDEX(DATAS,W742+1)),"")</f>
        <v/>
      </c>
    </row>
    <row r="743" customFormat="false" ht="15" hidden="false" customHeight="false" outlineLevel="0" collapsed="false">
      <c r="A743" s="33" t="n">
        <v>46309</v>
      </c>
      <c r="B743" s="0" t="n">
        <v>5</v>
      </c>
      <c r="C743" s="0" t="n">
        <v>4651</v>
      </c>
      <c r="D743" s="0" t="n">
        <v>621</v>
      </c>
      <c r="E743" s="0" t="n">
        <v>1</v>
      </c>
      <c r="F743" s="27" t="s">
        <v>622</v>
      </c>
      <c r="G743" s="0" t="n">
        <v>36.6</v>
      </c>
      <c r="H743" s="0" t="n">
        <v>37</v>
      </c>
      <c r="I743" s="27" t="s">
        <v>138</v>
      </c>
      <c r="J743" s="0" t="n">
        <v>432</v>
      </c>
      <c r="K743" s="0" t="n">
        <v>62</v>
      </c>
      <c r="L743" s="0" t="n">
        <v>189</v>
      </c>
      <c r="M743" s="0" t="n">
        <v>467.26</v>
      </c>
      <c r="N743" s="0" t="n">
        <v>30.85</v>
      </c>
      <c r="O743" s="0" t="n">
        <v>22.92</v>
      </c>
      <c r="P743" s="0" t="n">
        <v>5.14</v>
      </c>
      <c r="Q743" s="0" t="n">
        <v>4.02</v>
      </c>
      <c r="R743" s="0" t="n">
        <v>4114</v>
      </c>
      <c r="S743" s="0" t="n">
        <v>9004</v>
      </c>
      <c r="T743" s="0" t="n">
        <v>44.75</v>
      </c>
      <c r="U743" s="0" t="n">
        <v>1283</v>
      </c>
      <c r="V743" s="0" t="n">
        <v>11</v>
      </c>
      <c r="W743" s="27" t="n">
        <f aca="false">MATCH(A743,DATAS,0)</f>
        <v>1</v>
      </c>
      <c r="X743" s="27" t="n">
        <f aca="false">IF(AND(E743&gt;0,OR(AND(B743&gt;=1,B743&lt;=6),B743=10)),1,0)</f>
        <v>1</v>
      </c>
      <c r="Y743" s="27" t="n">
        <f aca="false">IF(AND(E743&gt;0,B743=10),1,0)</f>
        <v>0</v>
      </c>
      <c r="Z743" s="0" t="str">
        <f aca="false">IF(AND(C742=C743,W742=W743-1),X742,"")</f>
        <v/>
      </c>
      <c r="AA743" s="0" t="str">
        <f aca="false">IF(AND(C742=C743,W742=W743-1),Y742,"")</f>
        <v/>
      </c>
      <c r="AB743" s="0" t="str">
        <f aca="false">IF(W743=1,"",IF(AND(X743=1,Z743&lt;&gt;1),1,0))</f>
        <v/>
      </c>
      <c r="AC743" s="0" t="str">
        <f aca="false">IF(W743=1,"",IF(AND(Y743=1,AA743&lt;&gt;1),1,0))</f>
        <v/>
      </c>
      <c r="AD743" s="33" t="str">
        <f aca="false">IF(AND(E743&gt;0,W743&lt;1,NOT(AND(C744=C743,W744=W743+1))),INDEX(DATAS,W743+1),"")</f>
        <v/>
      </c>
      <c r="AE743" s="33" t="str">
        <f aca="false">IF(AND(Y743=1,W743&lt;1),IF(AND(C744=C743,W744=W743+1),IF(Y744=1,"",INDEX(DATAS,W743+1)),INDEX(DATAS,W743+1)),"")</f>
        <v/>
      </c>
    </row>
    <row r="744" customFormat="false" ht="15" hidden="false" customHeight="false" outlineLevel="0" collapsed="false">
      <c r="A744" s="33" t="n">
        <v>46309</v>
      </c>
      <c r="B744" s="0" t="n">
        <v>2</v>
      </c>
      <c r="C744" s="0" t="n">
        <v>4652</v>
      </c>
      <c r="D744" s="0" t="n">
        <v>231</v>
      </c>
      <c r="E744" s="0" t="n">
        <v>2</v>
      </c>
      <c r="F744" s="27" t="s">
        <v>623</v>
      </c>
      <c r="G744" s="0" t="n">
        <v>51.5</v>
      </c>
      <c r="H744" s="0" t="n">
        <v>51</v>
      </c>
      <c r="I744" s="27" t="s">
        <v>168</v>
      </c>
      <c r="J744" s="0" t="n">
        <v>231</v>
      </c>
      <c r="K744" s="0" t="n">
        <v>63</v>
      </c>
      <c r="M744" s="0" t="n">
        <v>1075.86</v>
      </c>
      <c r="N744" s="0" t="n">
        <v>31.03</v>
      </c>
      <c r="O744" s="0" t="n">
        <v>35.27</v>
      </c>
      <c r="P744" s="0" t="n">
        <v>2.58</v>
      </c>
      <c r="Q744" s="0" t="n">
        <v>3.48</v>
      </c>
      <c r="R744" s="0" t="n">
        <v>5885</v>
      </c>
      <c r="S744" s="0" t="n">
        <v>11715</v>
      </c>
      <c r="T744" s="0" t="n">
        <v>69.45</v>
      </c>
      <c r="U744" s="0" t="n">
        <v>1282</v>
      </c>
      <c r="V744" s="0" t="n">
        <v>6</v>
      </c>
      <c r="W744" s="27" t="n">
        <f aca="false">MATCH(A744,DATAS,0)</f>
        <v>1</v>
      </c>
      <c r="X744" s="27" t="n">
        <f aca="false">IF(AND(E744&gt;0,OR(AND(B744&gt;=1,B744&lt;=6),B744=10)),1,0)</f>
        <v>1</v>
      </c>
      <c r="Y744" s="27" t="n">
        <f aca="false">IF(AND(E744&gt;0,B744=10),1,0)</f>
        <v>0</v>
      </c>
      <c r="Z744" s="0" t="str">
        <f aca="false">IF(AND(C743=C744,W743=W744-1),X743,"")</f>
        <v/>
      </c>
      <c r="AA744" s="0" t="str">
        <f aca="false">IF(AND(C743=C744,W743=W744-1),Y743,"")</f>
        <v/>
      </c>
      <c r="AB744" s="0" t="str">
        <f aca="false">IF(W744=1,"",IF(AND(X744=1,Z744&lt;&gt;1),1,0))</f>
        <v/>
      </c>
      <c r="AC744" s="0" t="str">
        <f aca="false">IF(W744=1,"",IF(AND(Y744=1,AA744&lt;&gt;1),1,0))</f>
        <v/>
      </c>
      <c r="AD744" s="33" t="str">
        <f aca="false">IF(AND(E744&gt;0,W744&lt;1,NOT(AND(C745=C744,W745=W744+1))),INDEX(DATAS,W744+1),"")</f>
        <v/>
      </c>
      <c r="AE744" s="33" t="str">
        <f aca="false">IF(AND(Y744=1,W744&lt;1),IF(AND(C745=C744,W745=W744+1),IF(Y745=1,"",INDEX(DATAS,W744+1)),INDEX(DATAS,W744+1)),"")</f>
        <v/>
      </c>
    </row>
    <row r="745" customFormat="false" ht="15" hidden="false" customHeight="false" outlineLevel="0" collapsed="false">
      <c r="A745" s="33" t="n">
        <v>46309</v>
      </c>
      <c r="B745" s="0" t="n">
        <v>5</v>
      </c>
      <c r="C745" s="0" t="n">
        <v>4653</v>
      </c>
      <c r="D745" s="0" t="n">
        <v>294</v>
      </c>
      <c r="E745" s="0" t="n">
        <v>2</v>
      </c>
      <c r="F745" s="27" t="s">
        <v>623</v>
      </c>
      <c r="G745" s="0" t="n">
        <v>37.6</v>
      </c>
      <c r="H745" s="0" t="n">
        <v>37</v>
      </c>
      <c r="I745" s="27" t="s">
        <v>176</v>
      </c>
      <c r="J745" s="0" t="n">
        <v>294</v>
      </c>
      <c r="K745" s="0" t="n">
        <v>70</v>
      </c>
      <c r="M745" s="0" t="n">
        <v>486.88</v>
      </c>
      <c r="N745" s="0" t="n">
        <v>61.26</v>
      </c>
      <c r="O745" s="0" t="n">
        <v>39.69</v>
      </c>
      <c r="P745" s="0" t="n">
        <v>4.16</v>
      </c>
      <c r="Q745" s="0" t="n">
        <v>3.82</v>
      </c>
      <c r="R745" s="0" t="n">
        <v>4193</v>
      </c>
      <c r="S745" s="0" t="n">
        <v>8399</v>
      </c>
      <c r="T745" s="0" t="n">
        <v>47.45</v>
      </c>
      <c r="U745" s="0" t="n">
        <v>1282</v>
      </c>
      <c r="V745" s="0" t="n">
        <v>3</v>
      </c>
      <c r="W745" s="27" t="n">
        <f aca="false">MATCH(A745,DATAS,0)</f>
        <v>1</v>
      </c>
      <c r="X745" s="27" t="n">
        <f aca="false">IF(AND(E745&gt;0,OR(AND(B745&gt;=1,B745&lt;=6),B745=10)),1,0)</f>
        <v>1</v>
      </c>
      <c r="Y745" s="27" t="n">
        <f aca="false">IF(AND(E745&gt;0,B745=10),1,0)</f>
        <v>0</v>
      </c>
      <c r="Z745" s="0" t="str">
        <f aca="false">IF(AND(C744=C745,W744=W745-1),X744,"")</f>
        <v/>
      </c>
      <c r="AA745" s="0" t="str">
        <f aca="false">IF(AND(C744=C745,W744=W745-1),Y744,"")</f>
        <v/>
      </c>
      <c r="AB745" s="0" t="str">
        <f aca="false">IF(W745=1,"",IF(AND(X745=1,Z745&lt;&gt;1),1,0))</f>
        <v/>
      </c>
      <c r="AC745" s="0" t="str">
        <f aca="false">IF(W745=1,"",IF(AND(Y745=1,AA745&lt;&gt;1),1,0))</f>
        <v/>
      </c>
      <c r="AD745" s="33" t="str">
        <f aca="false">IF(AND(E745&gt;0,W745&lt;1,NOT(AND(C746=C745,W746=W745+1))),INDEX(DATAS,W745+1),"")</f>
        <v/>
      </c>
      <c r="AE745" s="33" t="str">
        <f aca="false">IF(AND(Y745=1,W745&lt;1),IF(AND(C746=C745,W746=W745+1),IF(Y746=1,"",INDEX(DATAS,W745+1)),INDEX(DATAS,W745+1)),"")</f>
        <v/>
      </c>
    </row>
    <row r="746" customFormat="false" ht="15" hidden="false" customHeight="false" outlineLevel="0" collapsed="false">
      <c r="A746" s="33" t="n">
        <v>46309</v>
      </c>
      <c r="B746" s="0" t="n">
        <v>5</v>
      </c>
      <c r="C746" s="0" t="n">
        <v>4655</v>
      </c>
      <c r="D746" s="0" t="n">
        <v>445</v>
      </c>
      <c r="E746" s="0" t="n">
        <v>1</v>
      </c>
      <c r="F746" s="27" t="s">
        <v>624</v>
      </c>
      <c r="G746" s="0" t="n">
        <v>33.9</v>
      </c>
      <c r="H746" s="0" t="n">
        <v>35</v>
      </c>
      <c r="I746" s="27" t="s">
        <v>138</v>
      </c>
      <c r="J746" s="0" t="n">
        <v>305</v>
      </c>
      <c r="K746" s="0" t="n">
        <v>66</v>
      </c>
      <c r="L746" s="0" t="n">
        <v>140</v>
      </c>
      <c r="M746" s="0" t="n">
        <v>938.74</v>
      </c>
      <c r="N746" s="0" t="n">
        <v>51.11</v>
      </c>
      <c r="O746" s="0" t="n">
        <v>29.39</v>
      </c>
      <c r="P746" s="0" t="n">
        <v>5.22</v>
      </c>
      <c r="Q746" s="0" t="n">
        <v>4.47</v>
      </c>
      <c r="R746" s="0" t="n">
        <v>4955</v>
      </c>
      <c r="S746" s="0" t="n">
        <v>9644</v>
      </c>
      <c r="T746" s="0" t="n">
        <v>56.75</v>
      </c>
      <c r="U746" s="0" t="n">
        <v>1281</v>
      </c>
      <c r="V746" s="0" t="n">
        <v>6</v>
      </c>
      <c r="W746" s="27" t="n">
        <f aca="false">MATCH(A746,DATAS,0)</f>
        <v>1</v>
      </c>
      <c r="X746" s="27" t="n">
        <f aca="false">IF(AND(E746&gt;0,OR(AND(B746&gt;=1,B746&lt;=6),B746=10)),1,0)</f>
        <v>1</v>
      </c>
      <c r="Y746" s="27" t="n">
        <f aca="false">IF(AND(E746&gt;0,B746=10),1,0)</f>
        <v>0</v>
      </c>
      <c r="Z746" s="0" t="str">
        <f aca="false">IF(AND(C745=C746,W745=W746-1),X745,"")</f>
        <v/>
      </c>
      <c r="AA746" s="0" t="str">
        <f aca="false">IF(AND(C745=C746,W745=W746-1),Y745,"")</f>
        <v/>
      </c>
      <c r="AB746" s="0" t="str">
        <f aca="false">IF(W746=1,"",IF(AND(X746=1,Z746&lt;&gt;1),1,0))</f>
        <v/>
      </c>
      <c r="AC746" s="0" t="str">
        <f aca="false">IF(W746=1,"",IF(AND(Y746=1,AA746&lt;&gt;1),1,0))</f>
        <v/>
      </c>
      <c r="AD746" s="33" t="str">
        <f aca="false">IF(AND(E746&gt;0,W746&lt;1,NOT(AND(C747=C746,W747=W746+1))),INDEX(DATAS,W746+1),"")</f>
        <v/>
      </c>
      <c r="AE746" s="33" t="str">
        <f aca="false">IF(AND(Y746=1,W746&lt;1),IF(AND(C747=C746,W747=W746+1),IF(Y747=1,"",INDEX(DATAS,W746+1)),INDEX(DATAS,W746+1)),"")</f>
        <v/>
      </c>
    </row>
    <row r="747" customFormat="false" ht="15" hidden="false" customHeight="false" outlineLevel="0" collapsed="false">
      <c r="A747" s="33" t="n">
        <v>46309</v>
      </c>
      <c r="B747" s="0" t="n">
        <v>6</v>
      </c>
      <c r="C747" s="0" t="n">
        <v>4656</v>
      </c>
      <c r="D747" s="0" t="n">
        <v>290</v>
      </c>
      <c r="E747" s="0" t="n">
        <v>2</v>
      </c>
      <c r="F747" s="27" t="s">
        <v>625</v>
      </c>
      <c r="G747" s="0" t="n">
        <v>16.1</v>
      </c>
      <c r="H747" s="0" t="n">
        <v>19</v>
      </c>
      <c r="I747" s="27" t="s">
        <v>168</v>
      </c>
      <c r="J747" s="0" t="n">
        <v>290</v>
      </c>
      <c r="K747" s="0" t="n">
        <v>66</v>
      </c>
      <c r="M747" s="0" t="n">
        <v>214.11</v>
      </c>
      <c r="N747" s="0" t="n">
        <v>60.71</v>
      </c>
      <c r="O747" s="0" t="n">
        <v>37.98</v>
      </c>
      <c r="P747" s="0" t="n">
        <v>5.21</v>
      </c>
      <c r="Q747" s="0" t="n">
        <v>3.92</v>
      </c>
      <c r="R747" s="0" t="n">
        <v>4191</v>
      </c>
      <c r="S747" s="0" t="n">
        <v>9017</v>
      </c>
      <c r="T747" s="0" t="n">
        <v>49.8</v>
      </c>
      <c r="U747" s="0" t="n">
        <v>1280</v>
      </c>
      <c r="V747" s="0" t="n">
        <v>7</v>
      </c>
      <c r="W747" s="27" t="n">
        <f aca="false">MATCH(A747,DATAS,0)</f>
        <v>1</v>
      </c>
      <c r="X747" s="27" t="n">
        <f aca="false">IF(AND(E747&gt;0,OR(AND(B747&gt;=1,B747&lt;=6),B747=10)),1,0)</f>
        <v>1</v>
      </c>
      <c r="Y747" s="27" t="n">
        <f aca="false">IF(AND(E747&gt;0,B747=10),1,0)</f>
        <v>0</v>
      </c>
      <c r="Z747" s="0" t="str">
        <f aca="false">IF(AND(C746=C747,W746=W747-1),X746,"")</f>
        <v/>
      </c>
      <c r="AA747" s="0" t="str">
        <f aca="false">IF(AND(C746=C747,W746=W747-1),Y746,"")</f>
        <v/>
      </c>
      <c r="AB747" s="0" t="str">
        <f aca="false">IF(W747=1,"",IF(AND(X747=1,Z747&lt;&gt;1),1,0))</f>
        <v/>
      </c>
      <c r="AC747" s="0" t="str">
        <f aca="false">IF(W747=1,"",IF(AND(Y747=1,AA747&lt;&gt;1),1,0))</f>
        <v/>
      </c>
      <c r="AD747" s="33" t="str">
        <f aca="false">IF(AND(E747&gt;0,W747&lt;1,NOT(AND(C748=C747,W748=W747+1))),INDEX(DATAS,W747+1),"")</f>
        <v/>
      </c>
      <c r="AE747" s="33" t="str">
        <f aca="false">IF(AND(Y747=1,W747&lt;1),IF(AND(C748=C747,W748=W747+1),IF(Y748=1,"",INDEX(DATAS,W747+1)),INDEX(DATAS,W747+1)),"")</f>
        <v/>
      </c>
    </row>
    <row r="748" customFormat="false" ht="15" hidden="false" customHeight="false" outlineLevel="0" collapsed="false">
      <c r="A748" s="33" t="n">
        <v>46309</v>
      </c>
      <c r="B748" s="0" t="n">
        <v>5</v>
      </c>
      <c r="C748" s="0" t="n">
        <v>4658</v>
      </c>
      <c r="D748" s="0" t="n">
        <v>296</v>
      </c>
      <c r="E748" s="0" t="n">
        <v>2</v>
      </c>
      <c r="F748" s="27" t="s">
        <v>625</v>
      </c>
      <c r="G748" s="0" t="n">
        <v>34.5</v>
      </c>
      <c r="H748" s="0" t="n">
        <v>31</v>
      </c>
      <c r="I748" s="27" t="s">
        <v>138</v>
      </c>
      <c r="J748" s="0" t="n">
        <v>107</v>
      </c>
      <c r="K748" s="0" t="n">
        <v>65</v>
      </c>
      <c r="L748" s="0" t="n">
        <v>189</v>
      </c>
      <c r="M748" s="0" t="n">
        <v>495.38</v>
      </c>
      <c r="N748" s="0" t="n">
        <v>88.21</v>
      </c>
      <c r="O748" s="0" t="n">
        <v>30.21</v>
      </c>
      <c r="P748" s="0" t="n">
        <v>7.47</v>
      </c>
      <c r="Q748" s="0" t="n">
        <v>4.4</v>
      </c>
      <c r="R748" s="0" t="n">
        <v>5135</v>
      </c>
      <c r="S748" s="0" t="n">
        <v>9774</v>
      </c>
      <c r="T748" s="0" t="n">
        <v>52.2</v>
      </c>
      <c r="U748" s="0" t="n">
        <v>1280</v>
      </c>
      <c r="V748" s="0" t="n">
        <v>2</v>
      </c>
      <c r="W748" s="27" t="n">
        <f aca="false">MATCH(A748,DATAS,0)</f>
        <v>1</v>
      </c>
      <c r="X748" s="27" t="n">
        <f aca="false">IF(AND(E748&gt;0,OR(AND(B748&gt;=1,B748&lt;=6),B748=10)),1,0)</f>
        <v>1</v>
      </c>
      <c r="Y748" s="27" t="n">
        <f aca="false">IF(AND(E748&gt;0,B748=10),1,0)</f>
        <v>0</v>
      </c>
      <c r="Z748" s="0" t="str">
        <f aca="false">IF(AND(C747=C748,W747=W748-1),X747,"")</f>
        <v/>
      </c>
      <c r="AA748" s="0" t="str">
        <f aca="false">IF(AND(C747=C748,W747=W748-1),Y747,"")</f>
        <v/>
      </c>
      <c r="AB748" s="0" t="str">
        <f aca="false">IF(W748=1,"",IF(AND(X748=1,Z748&lt;&gt;1),1,0))</f>
        <v/>
      </c>
      <c r="AC748" s="0" t="str">
        <f aca="false">IF(W748=1,"",IF(AND(Y748=1,AA748&lt;&gt;1),1,0))</f>
        <v/>
      </c>
      <c r="AD748" s="33" t="str">
        <f aca="false">IF(AND(E748&gt;0,W748&lt;1,NOT(AND(C749=C748,W749=W748+1))),INDEX(DATAS,W748+1),"")</f>
        <v/>
      </c>
      <c r="AE748" s="33" t="str">
        <f aca="false">IF(AND(Y748=1,W748&lt;1),IF(AND(C749=C748,W749=W748+1),IF(Y749=1,"",INDEX(DATAS,W748+1)),INDEX(DATAS,W748+1)),"")</f>
        <v/>
      </c>
    </row>
    <row r="749" customFormat="false" ht="15" hidden="false" customHeight="false" outlineLevel="0" collapsed="false">
      <c r="A749" s="33" t="n">
        <v>46309</v>
      </c>
      <c r="B749" s="0" t="n">
        <v>2</v>
      </c>
      <c r="C749" s="0" t="n">
        <v>4659</v>
      </c>
      <c r="D749" s="0" t="n">
        <v>206</v>
      </c>
      <c r="E749" s="0" t="n">
        <v>2</v>
      </c>
      <c r="F749" s="27" t="s">
        <v>626</v>
      </c>
      <c r="G749" s="0" t="n">
        <v>59.6</v>
      </c>
      <c r="H749" s="0" t="n">
        <v>60</v>
      </c>
      <c r="I749" s="27" t="s">
        <v>168</v>
      </c>
      <c r="J749" s="0" t="n">
        <v>206</v>
      </c>
      <c r="K749" s="0" t="n">
        <v>66</v>
      </c>
      <c r="M749" s="0" t="n">
        <v>1349.23</v>
      </c>
      <c r="N749" s="0" t="n">
        <v>31.33</v>
      </c>
      <c r="O749" s="0" t="n">
        <v>47.81</v>
      </c>
      <c r="P749" s="0" t="n">
        <v>4.08</v>
      </c>
      <c r="Q749" s="0" t="n">
        <v>3.82</v>
      </c>
      <c r="R749" s="0" t="n">
        <v>5722</v>
      </c>
      <c r="S749" s="0" t="n">
        <v>11283</v>
      </c>
      <c r="T749" s="0" t="n">
        <v>64.9</v>
      </c>
      <c r="U749" s="0" t="n">
        <v>1279</v>
      </c>
      <c r="V749" s="0" t="n">
        <v>3</v>
      </c>
      <c r="W749" s="27" t="n">
        <f aca="false">MATCH(A749,DATAS,0)</f>
        <v>1</v>
      </c>
      <c r="X749" s="27" t="n">
        <f aca="false">IF(AND(E749&gt;0,OR(AND(B749&gt;=1,B749&lt;=6),B749=10)),1,0)</f>
        <v>1</v>
      </c>
      <c r="Y749" s="27" t="n">
        <f aca="false">IF(AND(E749&gt;0,B749=10),1,0)</f>
        <v>0</v>
      </c>
      <c r="Z749" s="0" t="str">
        <f aca="false">IF(AND(C748=C749,W748=W749-1),X748,"")</f>
        <v/>
      </c>
      <c r="AA749" s="0" t="str">
        <f aca="false">IF(AND(C748=C749,W748=W749-1),Y748,"")</f>
        <v/>
      </c>
      <c r="AB749" s="0" t="str">
        <f aca="false">IF(W749=1,"",IF(AND(X749=1,Z749&lt;&gt;1),1,0))</f>
        <v/>
      </c>
      <c r="AC749" s="0" t="str">
        <f aca="false">IF(W749=1,"",IF(AND(Y749=1,AA749&lt;&gt;1),1,0))</f>
        <v/>
      </c>
      <c r="AD749" s="33" t="str">
        <f aca="false">IF(AND(E749&gt;0,W749&lt;1,NOT(AND(C750=C749,W750=W749+1))),INDEX(DATAS,W749+1),"")</f>
        <v/>
      </c>
      <c r="AE749" s="33" t="str">
        <f aca="false">IF(AND(Y749=1,W749&lt;1),IF(AND(C750=C749,W750=W749+1),IF(Y750=1,"",INDEX(DATAS,W749+1)),INDEX(DATAS,W749+1)),"")</f>
        <v/>
      </c>
    </row>
    <row r="750" customFormat="false" ht="15" hidden="false" customHeight="false" outlineLevel="0" collapsed="false">
      <c r="A750" s="33" t="n">
        <v>46309</v>
      </c>
      <c r="B750" s="0" t="n">
        <v>6</v>
      </c>
      <c r="C750" s="0" t="n">
        <v>4660</v>
      </c>
      <c r="D750" s="0" t="n">
        <v>208</v>
      </c>
      <c r="E750" s="0" t="n">
        <v>2</v>
      </c>
      <c r="F750" s="27" t="s">
        <v>626</v>
      </c>
      <c r="G750" s="0" t="n">
        <v>25.4</v>
      </c>
      <c r="H750" s="0" t="n">
        <v>17</v>
      </c>
      <c r="I750" s="27" t="s">
        <v>138</v>
      </c>
      <c r="J750" s="0" t="n">
        <v>145</v>
      </c>
      <c r="K750" s="0" t="n">
        <v>75</v>
      </c>
      <c r="L750" s="0" t="n">
        <v>63</v>
      </c>
      <c r="M750" s="0" t="n">
        <v>1123</v>
      </c>
      <c r="N750" s="0" t="n">
        <v>61</v>
      </c>
      <c r="O750" s="0" t="n">
        <v>40.6</v>
      </c>
      <c r="P750" s="0" t="n">
        <v>4.83</v>
      </c>
      <c r="Q750" s="0" t="n">
        <v>3.75</v>
      </c>
      <c r="R750" s="0" t="n">
        <v>1970</v>
      </c>
      <c r="S750" s="0" t="n">
        <v>4237</v>
      </c>
      <c r="T750" s="0" t="n">
        <v>14.05</v>
      </c>
      <c r="U750" s="0" t="n">
        <v>1279</v>
      </c>
      <c r="V750" s="0" t="n">
        <v>3</v>
      </c>
      <c r="W750" s="27" t="n">
        <f aca="false">MATCH(A750,DATAS,0)</f>
        <v>1</v>
      </c>
      <c r="X750" s="27" t="n">
        <f aca="false">IF(AND(E750&gt;0,OR(AND(B750&gt;=1,B750&lt;=6),B750=10)),1,0)</f>
        <v>1</v>
      </c>
      <c r="Y750" s="27" t="n">
        <f aca="false">IF(AND(E750&gt;0,B750=10),1,0)</f>
        <v>0</v>
      </c>
      <c r="Z750" s="0" t="str">
        <f aca="false">IF(AND(C749=C750,W749=W750-1),X749,"")</f>
        <v/>
      </c>
      <c r="AA750" s="0" t="str">
        <f aca="false">IF(AND(C749=C750,W749=W750-1),Y749,"")</f>
        <v/>
      </c>
      <c r="AB750" s="0" t="str">
        <f aca="false">IF(W750=1,"",IF(AND(X750=1,Z750&lt;&gt;1),1,0))</f>
        <v/>
      </c>
      <c r="AC750" s="0" t="str">
        <f aca="false">IF(W750=1,"",IF(AND(Y750=1,AA750&lt;&gt;1),1,0))</f>
        <v/>
      </c>
      <c r="AD750" s="33" t="str">
        <f aca="false">IF(AND(E750&gt;0,W750&lt;1,NOT(AND(C751=C750,W751=W750+1))),INDEX(DATAS,W750+1),"")</f>
        <v/>
      </c>
      <c r="AE750" s="33" t="str">
        <f aca="false">IF(AND(Y750=1,W750&lt;1),IF(AND(C751=C750,W751=W750+1),IF(Y751=1,"",INDEX(DATAS,W750+1)),INDEX(DATAS,W750+1)),"")</f>
        <v/>
      </c>
    </row>
    <row r="751" customFormat="false" ht="15" hidden="false" customHeight="false" outlineLevel="0" collapsed="false">
      <c r="A751" s="33" t="n">
        <v>46309</v>
      </c>
      <c r="B751" s="0" t="n">
        <v>5</v>
      </c>
      <c r="C751" s="0" t="n">
        <v>4662</v>
      </c>
      <c r="D751" s="0" t="n">
        <v>274</v>
      </c>
      <c r="E751" s="0" t="n">
        <v>2</v>
      </c>
      <c r="F751" s="27" t="s">
        <v>627</v>
      </c>
      <c r="G751" s="0" t="n">
        <v>45.9</v>
      </c>
      <c r="H751" s="0" t="n">
        <v>45</v>
      </c>
      <c r="I751" s="27" t="s">
        <v>168</v>
      </c>
      <c r="J751" s="0" t="n">
        <v>274</v>
      </c>
      <c r="K751" s="0" t="n">
        <v>64</v>
      </c>
      <c r="M751" s="0" t="n">
        <v>1080.13</v>
      </c>
      <c r="N751" s="0" t="n">
        <v>55.04</v>
      </c>
      <c r="O751" s="0" t="n">
        <v>43.2</v>
      </c>
      <c r="P751" s="0" t="n">
        <v>4.69</v>
      </c>
      <c r="Q751" s="0" t="n">
        <v>4.03</v>
      </c>
      <c r="R751" s="0" t="n">
        <v>5683</v>
      </c>
      <c r="S751" s="0" t="n">
        <v>11611</v>
      </c>
      <c r="T751" s="0" t="n">
        <v>62.7</v>
      </c>
      <c r="U751" s="0" t="n">
        <v>1276</v>
      </c>
      <c r="V751" s="0" t="n">
        <v>7</v>
      </c>
      <c r="W751" s="27" t="n">
        <f aca="false">MATCH(A751,DATAS,0)</f>
        <v>1</v>
      </c>
      <c r="X751" s="27" t="n">
        <f aca="false">IF(AND(E751&gt;0,OR(AND(B751&gt;=1,B751&lt;=6),B751=10)),1,0)</f>
        <v>1</v>
      </c>
      <c r="Y751" s="27" t="n">
        <f aca="false">IF(AND(E751&gt;0,B751=10),1,0)</f>
        <v>0</v>
      </c>
      <c r="Z751" s="0" t="str">
        <f aca="false">IF(AND(C750=C751,W750=W751-1),X750,"")</f>
        <v/>
      </c>
      <c r="AA751" s="0" t="str">
        <f aca="false">IF(AND(C750=C751,W750=W751-1),Y750,"")</f>
        <v/>
      </c>
      <c r="AB751" s="0" t="str">
        <f aca="false">IF(W751=1,"",IF(AND(X751=1,Z751&lt;&gt;1),1,0))</f>
        <v/>
      </c>
      <c r="AC751" s="0" t="str">
        <f aca="false">IF(W751=1,"",IF(AND(Y751=1,AA751&lt;&gt;1),1,0))</f>
        <v/>
      </c>
      <c r="AD751" s="33" t="str">
        <f aca="false">IF(AND(E751&gt;0,W751&lt;1,NOT(AND(C752=C751,W752=W751+1))),INDEX(DATAS,W751+1),"")</f>
        <v/>
      </c>
      <c r="AE751" s="33" t="str">
        <f aca="false">IF(AND(Y751=1,W751&lt;1),IF(AND(C752=C751,W752=W751+1),IF(Y752=1,"",INDEX(DATAS,W751+1)),INDEX(DATAS,W751+1)),"")</f>
        <v/>
      </c>
    </row>
    <row r="752" customFormat="false" ht="15" hidden="false" customHeight="false" outlineLevel="0" collapsed="false">
      <c r="A752" s="33" t="n">
        <v>46309</v>
      </c>
      <c r="B752" s="0" t="n">
        <v>5</v>
      </c>
      <c r="C752" s="0" t="n">
        <v>4664</v>
      </c>
      <c r="D752" s="0" t="n">
        <v>596</v>
      </c>
      <c r="E752" s="0" t="n">
        <v>1</v>
      </c>
      <c r="F752" s="27" t="s">
        <v>628</v>
      </c>
      <c r="G752" s="0" t="n">
        <v>41.2</v>
      </c>
      <c r="H752" s="0" t="n">
        <v>38</v>
      </c>
      <c r="I752" s="27" t="s">
        <v>151</v>
      </c>
      <c r="J752" s="0" t="n">
        <v>596</v>
      </c>
      <c r="K752" s="0" t="n">
        <v>65</v>
      </c>
      <c r="M752" s="0" t="n">
        <v>989.2</v>
      </c>
      <c r="N752" s="0" t="n">
        <v>73.83</v>
      </c>
      <c r="O752" s="0" t="n">
        <v>39.17</v>
      </c>
      <c r="P752" s="0" t="n">
        <v>4.8</v>
      </c>
      <c r="Q752" s="0" t="n">
        <v>4.09</v>
      </c>
      <c r="R752" s="0" t="n">
        <v>4132</v>
      </c>
      <c r="S752" s="0" t="n">
        <v>8688</v>
      </c>
      <c r="T752" s="0" t="n">
        <v>48.1</v>
      </c>
      <c r="U752" s="0" t="n">
        <v>1275</v>
      </c>
      <c r="V752" s="0" t="n">
        <v>10</v>
      </c>
      <c r="W752" s="27" t="n">
        <f aca="false">MATCH(A752,DATAS,0)</f>
        <v>1</v>
      </c>
      <c r="X752" s="27" t="n">
        <f aca="false">IF(AND(E752&gt;0,OR(AND(B752&gt;=1,B752&lt;=6),B752=10)),1,0)</f>
        <v>1</v>
      </c>
      <c r="Y752" s="27" t="n">
        <f aca="false">IF(AND(E752&gt;0,B752=10),1,0)</f>
        <v>0</v>
      </c>
      <c r="Z752" s="0" t="str">
        <f aca="false">IF(AND(C751=C752,W751=W752-1),X751,"")</f>
        <v/>
      </c>
      <c r="AA752" s="0" t="str">
        <f aca="false">IF(AND(C751=C752,W751=W752-1),Y751,"")</f>
        <v/>
      </c>
      <c r="AB752" s="0" t="str">
        <f aca="false">IF(W752=1,"",IF(AND(X752=1,Z752&lt;&gt;1),1,0))</f>
        <v/>
      </c>
      <c r="AC752" s="0" t="str">
        <f aca="false">IF(W752=1,"",IF(AND(Y752=1,AA752&lt;&gt;1),1,0))</f>
        <v/>
      </c>
      <c r="AD752" s="33" t="str">
        <f aca="false">IF(AND(E752&gt;0,W752&lt;1,NOT(AND(C753=C752,W753=W752+1))),INDEX(DATAS,W752+1),"")</f>
        <v/>
      </c>
      <c r="AE752" s="33" t="str">
        <f aca="false">IF(AND(Y752=1,W752&lt;1),IF(AND(C753=C752,W753=W752+1),IF(Y753=1,"",INDEX(DATAS,W752+1)),INDEX(DATAS,W752+1)),"")</f>
        <v/>
      </c>
    </row>
    <row r="753" customFormat="false" ht="15" hidden="false" customHeight="false" outlineLevel="0" collapsed="false">
      <c r="A753" s="33" t="n">
        <v>46309</v>
      </c>
      <c r="B753" s="0" t="n">
        <v>10</v>
      </c>
      <c r="C753" s="0" t="n">
        <v>4665</v>
      </c>
      <c r="D753" s="0" t="n">
        <v>294</v>
      </c>
      <c r="E753" s="0" t="n">
        <v>2</v>
      </c>
      <c r="F753" s="27" t="s">
        <v>629</v>
      </c>
      <c r="H753" s="0" t="n">
        <v>18</v>
      </c>
      <c r="I753" s="27" t="s">
        <v>138</v>
      </c>
      <c r="J753" s="0" t="n">
        <v>77</v>
      </c>
      <c r="K753" s="0" t="n">
        <v>77</v>
      </c>
      <c r="L753" s="0" t="n">
        <v>217</v>
      </c>
      <c r="M753" s="0" t="n">
        <v>975.5</v>
      </c>
      <c r="N753" s="0" t="n">
        <v>66.89</v>
      </c>
      <c r="O753" s="0" t="n">
        <v>29.02</v>
      </c>
      <c r="P753" s="0" t="n">
        <v>3.84</v>
      </c>
      <c r="Q753" s="0" t="n">
        <v>3.38</v>
      </c>
      <c r="R753" s="0" t="n">
        <v>5401</v>
      </c>
      <c r="S753" s="0" t="n">
        <v>11306</v>
      </c>
      <c r="T753" s="0" t="n">
        <v>64.1</v>
      </c>
      <c r="U753" s="0" t="n">
        <v>1273</v>
      </c>
      <c r="V753" s="0" t="n">
        <v>1</v>
      </c>
      <c r="W753" s="27" t="n">
        <f aca="false">MATCH(A753,DATAS,0)</f>
        <v>1</v>
      </c>
      <c r="X753" s="27" t="n">
        <f aca="false">IF(AND(E753&gt;0,OR(AND(B753&gt;=1,B753&lt;=6),B753=10)),1,0)</f>
        <v>1</v>
      </c>
      <c r="Y753" s="27" t="n">
        <f aca="false">IF(AND(E753&gt;0,B753=10),1,0)</f>
        <v>1</v>
      </c>
      <c r="Z753" s="0" t="str">
        <f aca="false">IF(AND(C752=C753,W752=W753-1),X752,"")</f>
        <v/>
      </c>
      <c r="AA753" s="0" t="str">
        <f aca="false">IF(AND(C752=C753,W752=W753-1),Y752,"")</f>
        <v/>
      </c>
      <c r="AB753" s="0" t="str">
        <f aca="false">IF(W753=1,"",IF(AND(X753=1,Z753&lt;&gt;1),1,0))</f>
        <v/>
      </c>
      <c r="AC753" s="0" t="str">
        <f aca="false">IF(W753=1,"",IF(AND(Y753=1,AA753&lt;&gt;1),1,0))</f>
        <v/>
      </c>
      <c r="AD753" s="33" t="str">
        <f aca="false">IF(AND(E753&gt;0,W753&lt;1,NOT(AND(C754=C753,W754=W753+1))),INDEX(DATAS,W753+1),"")</f>
        <v/>
      </c>
      <c r="AE753" s="33" t="str">
        <f aca="false">IF(AND(Y753=1,W753&lt;1),IF(AND(C754=C753,W754=W753+1),IF(Y754=1,"",INDEX(DATAS,W753+1)),INDEX(DATAS,W753+1)),"")</f>
        <v/>
      </c>
    </row>
    <row r="754" customFormat="false" ht="15" hidden="false" customHeight="false" outlineLevel="0" collapsed="false">
      <c r="A754" s="33" t="n">
        <v>46309</v>
      </c>
      <c r="B754" s="0" t="n">
        <v>10</v>
      </c>
      <c r="C754" s="0" t="n">
        <v>4667</v>
      </c>
      <c r="D754" s="0" t="n">
        <v>182</v>
      </c>
      <c r="E754" s="0" t="n">
        <v>2</v>
      </c>
      <c r="F754" s="27" t="s">
        <v>629</v>
      </c>
      <c r="G754" s="0" t="n">
        <v>21.2</v>
      </c>
      <c r="H754" s="0" t="n">
        <v>44</v>
      </c>
      <c r="I754" s="27" t="s">
        <v>138</v>
      </c>
      <c r="J754" s="0" t="n">
        <v>63</v>
      </c>
      <c r="K754" s="0" t="n">
        <v>63</v>
      </c>
      <c r="L754" s="0" t="n">
        <v>119</v>
      </c>
      <c r="M754" s="0" t="n">
        <v>865.99</v>
      </c>
      <c r="N754" s="0" t="n">
        <v>40.27</v>
      </c>
      <c r="O754" s="0" t="n">
        <v>33.1</v>
      </c>
      <c r="P754" s="0" t="n">
        <v>3.06</v>
      </c>
      <c r="Q754" s="0" t="n">
        <v>3.48</v>
      </c>
      <c r="R754" s="0" t="n">
        <v>4957</v>
      </c>
      <c r="S754" s="0" t="n">
        <v>10233</v>
      </c>
      <c r="T754" s="0" t="n">
        <v>52.85</v>
      </c>
      <c r="U754" s="0" t="n">
        <v>1273</v>
      </c>
      <c r="V754" s="0" t="n">
        <v>1</v>
      </c>
      <c r="W754" s="27" t="n">
        <f aca="false">MATCH(A754,DATAS,0)</f>
        <v>1</v>
      </c>
      <c r="X754" s="27" t="n">
        <f aca="false">IF(AND(E754&gt;0,OR(AND(B754&gt;=1,B754&lt;=6),B754=10)),1,0)</f>
        <v>1</v>
      </c>
      <c r="Y754" s="27" t="n">
        <f aca="false">IF(AND(E754&gt;0,B754=10),1,0)</f>
        <v>1</v>
      </c>
      <c r="Z754" s="0" t="str">
        <f aca="false">IF(AND(C753=C754,W753=W754-1),X753,"")</f>
        <v/>
      </c>
      <c r="AA754" s="0" t="str">
        <f aca="false">IF(AND(C753=C754,W753=W754-1),Y753,"")</f>
        <v/>
      </c>
      <c r="AB754" s="0" t="str">
        <f aca="false">IF(W754=1,"",IF(AND(X754=1,Z754&lt;&gt;1),1,0))</f>
        <v/>
      </c>
      <c r="AC754" s="0" t="str">
        <f aca="false">IF(W754=1,"",IF(AND(Y754=1,AA754&lt;&gt;1),1,0))</f>
        <v/>
      </c>
      <c r="AD754" s="33" t="str">
        <f aca="false">IF(AND(E754&gt;0,W754&lt;1,NOT(AND(C755=C754,W755=W754+1))),INDEX(DATAS,W754+1),"")</f>
        <v/>
      </c>
      <c r="AE754" s="33" t="str">
        <f aca="false">IF(AND(Y754=1,W754&lt;1),IF(AND(C755=C754,W755=W754+1),IF(Y755=1,"",INDEX(DATAS,W754+1)),INDEX(DATAS,W754+1)),"")</f>
        <v/>
      </c>
    </row>
    <row r="755" customFormat="false" ht="15" hidden="false" customHeight="false" outlineLevel="0" collapsed="false">
      <c r="A755" s="33" t="n">
        <v>46309</v>
      </c>
      <c r="B755" s="0" t="n">
        <v>2</v>
      </c>
      <c r="C755" s="0" t="n">
        <v>4668</v>
      </c>
      <c r="D755" s="0" t="n">
        <v>136</v>
      </c>
      <c r="E755" s="0" t="n">
        <v>2</v>
      </c>
      <c r="F755" s="27" t="s">
        <v>630</v>
      </c>
      <c r="G755" s="0" t="n">
        <v>50.6</v>
      </c>
      <c r="H755" s="0" t="n">
        <v>49</v>
      </c>
      <c r="I755" s="27" t="s">
        <v>176</v>
      </c>
      <c r="J755" s="0" t="n">
        <v>136</v>
      </c>
      <c r="K755" s="0" t="n">
        <v>66</v>
      </c>
      <c r="M755" s="0" t="n">
        <v>217.72</v>
      </c>
      <c r="N755" s="0" t="n">
        <v>49.63</v>
      </c>
      <c r="O755" s="0" t="n">
        <v>31.87</v>
      </c>
      <c r="P755" s="0" t="n">
        <v>4.6</v>
      </c>
      <c r="Q755" s="0" t="n">
        <v>3.47</v>
      </c>
      <c r="R755" s="0" t="n">
        <v>5584</v>
      </c>
      <c r="S755" s="0" t="n">
        <v>11034</v>
      </c>
      <c r="T755" s="0" t="n">
        <v>59.7</v>
      </c>
      <c r="U755" s="0" t="n">
        <v>1271</v>
      </c>
      <c r="V755" s="0" t="n">
        <v>2</v>
      </c>
      <c r="W755" s="27" t="n">
        <f aca="false">MATCH(A755,DATAS,0)</f>
        <v>1</v>
      </c>
      <c r="X755" s="27" t="n">
        <f aca="false">IF(AND(E755&gt;0,OR(AND(B755&gt;=1,B755&lt;=6),B755=10)),1,0)</f>
        <v>1</v>
      </c>
      <c r="Y755" s="27" t="n">
        <f aca="false">IF(AND(E755&gt;0,B755=10),1,0)</f>
        <v>0</v>
      </c>
      <c r="Z755" s="0" t="str">
        <f aca="false">IF(AND(C754=C755,W754=W755-1),X754,"")</f>
        <v/>
      </c>
      <c r="AA755" s="0" t="str">
        <f aca="false">IF(AND(C754=C755,W754=W755-1),Y754,"")</f>
        <v/>
      </c>
      <c r="AB755" s="0" t="str">
        <f aca="false">IF(W755=1,"",IF(AND(X755=1,Z755&lt;&gt;1),1,0))</f>
        <v/>
      </c>
      <c r="AC755" s="0" t="str">
        <f aca="false">IF(W755=1,"",IF(AND(Y755=1,AA755&lt;&gt;1),1,0))</f>
        <v/>
      </c>
      <c r="AD755" s="33" t="str">
        <f aca="false">IF(AND(E755&gt;0,W755&lt;1,NOT(AND(C756=C755,W756=W755+1))),INDEX(DATAS,W755+1),"")</f>
        <v/>
      </c>
      <c r="AE755" s="33" t="str">
        <f aca="false">IF(AND(Y755=1,W755&lt;1),IF(AND(C756=C755,W756=W755+1),IF(Y756=1,"",INDEX(DATAS,W755+1)),INDEX(DATAS,W755+1)),"")</f>
        <v/>
      </c>
    </row>
    <row r="756" customFormat="false" ht="15" hidden="false" customHeight="false" outlineLevel="0" collapsed="false">
      <c r="A756" s="33" t="n">
        <v>46309</v>
      </c>
      <c r="B756" s="0" t="n">
        <v>6</v>
      </c>
      <c r="C756" s="0" t="n">
        <v>4672</v>
      </c>
      <c r="D756" s="0" t="n">
        <v>233</v>
      </c>
      <c r="E756" s="0" t="n">
        <v>2</v>
      </c>
      <c r="F756" s="27" t="s">
        <v>631</v>
      </c>
      <c r="G756" s="0" t="n">
        <v>30</v>
      </c>
      <c r="H756" s="0" t="n">
        <v>29</v>
      </c>
      <c r="I756" s="27" t="s">
        <v>138</v>
      </c>
      <c r="J756" s="0" t="n">
        <v>107</v>
      </c>
      <c r="K756" s="0" t="n">
        <v>65</v>
      </c>
      <c r="L756" s="0" t="n">
        <v>126</v>
      </c>
      <c r="M756" s="0" t="n">
        <v>1061.76</v>
      </c>
      <c r="N756" s="0" t="n">
        <v>36.1</v>
      </c>
      <c r="O756" s="0" t="n">
        <v>28.86</v>
      </c>
      <c r="P756" s="0" t="n">
        <v>4.61</v>
      </c>
      <c r="Q756" s="0" t="n">
        <v>3.55</v>
      </c>
      <c r="R756" s="0" t="n">
        <v>3594</v>
      </c>
      <c r="S756" s="0" t="n">
        <v>7009</v>
      </c>
      <c r="T756" s="0" t="n">
        <v>38.6</v>
      </c>
      <c r="U756" s="0" t="n">
        <v>1270</v>
      </c>
      <c r="V756" s="0" t="n">
        <v>2</v>
      </c>
      <c r="W756" s="27" t="n">
        <f aca="false">MATCH(A756,DATAS,0)</f>
        <v>1</v>
      </c>
      <c r="X756" s="27" t="n">
        <f aca="false">IF(AND(E756&gt;0,OR(AND(B756&gt;=1,B756&lt;=6),B756=10)),1,0)</f>
        <v>1</v>
      </c>
      <c r="Y756" s="27" t="n">
        <f aca="false">IF(AND(E756&gt;0,B756=10),1,0)</f>
        <v>0</v>
      </c>
      <c r="Z756" s="0" t="str">
        <f aca="false">IF(AND(C755=C756,W755=W756-1),X755,"")</f>
        <v/>
      </c>
      <c r="AA756" s="0" t="str">
        <f aca="false">IF(AND(C755=C756,W755=W756-1),Y755,"")</f>
        <v/>
      </c>
      <c r="AB756" s="0" t="str">
        <f aca="false">IF(W756=1,"",IF(AND(X756=1,Z756&lt;&gt;1),1,0))</f>
        <v/>
      </c>
      <c r="AC756" s="0" t="str">
        <f aca="false">IF(W756=1,"",IF(AND(Y756=1,AA756&lt;&gt;1),1,0))</f>
        <v/>
      </c>
      <c r="AD756" s="33" t="str">
        <f aca="false">IF(AND(E756&gt;0,W756&lt;1,NOT(AND(C757=C756,W757=W756+1))),INDEX(DATAS,W756+1),"")</f>
        <v/>
      </c>
      <c r="AE756" s="33" t="str">
        <f aca="false">IF(AND(Y756=1,W756&lt;1),IF(AND(C757=C756,W757=W756+1),IF(Y757=1,"",INDEX(DATAS,W756+1)),INDEX(DATAS,W756+1)),"")</f>
        <v/>
      </c>
    </row>
    <row r="757" customFormat="false" ht="15" hidden="false" customHeight="false" outlineLevel="0" collapsed="false">
      <c r="A757" s="33" t="n">
        <v>46309</v>
      </c>
      <c r="B757" s="0" t="n">
        <v>2</v>
      </c>
      <c r="C757" s="0" t="n">
        <v>4674</v>
      </c>
      <c r="D757" s="0" t="n">
        <v>144</v>
      </c>
      <c r="E757" s="0" t="n">
        <v>2</v>
      </c>
      <c r="F757" s="27" t="s">
        <v>632</v>
      </c>
      <c r="G757" s="0" t="n">
        <v>49.2</v>
      </c>
      <c r="H757" s="0" t="n">
        <v>45</v>
      </c>
      <c r="I757" s="27" t="s">
        <v>168</v>
      </c>
      <c r="J757" s="0" t="n">
        <v>144</v>
      </c>
      <c r="K757" s="0" t="n">
        <v>67</v>
      </c>
      <c r="M757" s="0" t="n">
        <v>1071.3</v>
      </c>
      <c r="N757" s="0" t="n">
        <v>56.46</v>
      </c>
      <c r="O757" s="0" t="n">
        <v>38.58</v>
      </c>
      <c r="P757" s="0" t="n">
        <v>4.45</v>
      </c>
      <c r="Q757" s="0" t="n">
        <v>3.44</v>
      </c>
      <c r="R757" s="0" t="n">
        <v>5033</v>
      </c>
      <c r="S757" s="0" t="n">
        <v>10205</v>
      </c>
      <c r="T757" s="0" t="n">
        <v>55.45</v>
      </c>
      <c r="U757" s="0" t="n">
        <v>1269</v>
      </c>
      <c r="V757" s="0" t="n">
        <v>3</v>
      </c>
      <c r="W757" s="27" t="n">
        <f aca="false">MATCH(A757,DATAS,0)</f>
        <v>1</v>
      </c>
      <c r="X757" s="27" t="n">
        <f aca="false">IF(AND(E757&gt;0,OR(AND(B757&gt;=1,B757&lt;=6),B757=10)),1,0)</f>
        <v>1</v>
      </c>
      <c r="Y757" s="27" t="n">
        <f aca="false">IF(AND(E757&gt;0,B757=10),1,0)</f>
        <v>0</v>
      </c>
      <c r="Z757" s="0" t="str">
        <f aca="false">IF(AND(C756=C757,W756=W757-1),X756,"")</f>
        <v/>
      </c>
      <c r="AA757" s="0" t="str">
        <f aca="false">IF(AND(C756=C757,W756=W757-1),Y756,"")</f>
        <v/>
      </c>
      <c r="AB757" s="0" t="str">
        <f aca="false">IF(W757=1,"",IF(AND(X757=1,Z757&lt;&gt;1),1,0))</f>
        <v/>
      </c>
      <c r="AC757" s="0" t="str">
        <f aca="false">IF(W757=1,"",IF(AND(Y757=1,AA757&lt;&gt;1),1,0))</f>
        <v/>
      </c>
      <c r="AD757" s="33" t="str">
        <f aca="false">IF(AND(E757&gt;0,W757&lt;1,NOT(AND(C758=C757,W758=W757+1))),INDEX(DATAS,W757+1),"")</f>
        <v/>
      </c>
      <c r="AE757" s="33" t="str">
        <f aca="false">IF(AND(Y757=1,W757&lt;1),IF(AND(C758=C757,W758=W757+1),IF(Y758=1,"",INDEX(DATAS,W757+1)),INDEX(DATAS,W757+1)),"")</f>
        <v/>
      </c>
    </row>
    <row r="758" customFormat="false" ht="15" hidden="false" customHeight="false" outlineLevel="0" collapsed="false">
      <c r="A758" s="33" t="n">
        <v>46309</v>
      </c>
      <c r="B758" s="0" t="n">
        <v>5</v>
      </c>
      <c r="C758" s="0" t="n">
        <v>4675</v>
      </c>
      <c r="D758" s="0" t="n">
        <v>268</v>
      </c>
      <c r="E758" s="0" t="n">
        <v>2</v>
      </c>
      <c r="F758" s="27" t="s">
        <v>633</v>
      </c>
      <c r="G758" s="0" t="n">
        <v>45.9</v>
      </c>
      <c r="H758" s="0" t="n">
        <v>42</v>
      </c>
      <c r="I758" s="27" t="s">
        <v>138</v>
      </c>
      <c r="J758" s="0" t="n">
        <v>212</v>
      </c>
      <c r="K758" s="0" t="n">
        <v>72</v>
      </c>
      <c r="L758" s="0" t="n">
        <v>56</v>
      </c>
      <c r="M758" s="0" t="n">
        <v>380.97</v>
      </c>
      <c r="N758" s="0" t="n">
        <v>49.57</v>
      </c>
      <c r="O758" s="0" t="n">
        <v>30.38</v>
      </c>
      <c r="P758" s="0" t="n">
        <v>3.68</v>
      </c>
      <c r="Q758" s="0" t="n">
        <v>3.99</v>
      </c>
      <c r="R758" s="0" t="n">
        <v>5174</v>
      </c>
      <c r="S758" s="0" t="n">
        <v>10407</v>
      </c>
      <c r="T758" s="0" t="n">
        <v>52.75</v>
      </c>
      <c r="U758" s="0" t="n">
        <v>1268</v>
      </c>
      <c r="V758" s="0" t="n">
        <v>3</v>
      </c>
      <c r="W758" s="27" t="n">
        <f aca="false">MATCH(A758,DATAS,0)</f>
        <v>1</v>
      </c>
      <c r="X758" s="27" t="n">
        <f aca="false">IF(AND(E758&gt;0,OR(AND(B758&gt;=1,B758&lt;=6),B758=10)),1,0)</f>
        <v>1</v>
      </c>
      <c r="Y758" s="27" t="n">
        <f aca="false">IF(AND(E758&gt;0,B758=10),1,0)</f>
        <v>0</v>
      </c>
      <c r="Z758" s="0" t="str">
        <f aca="false">IF(AND(C757=C758,W757=W758-1),X757,"")</f>
        <v/>
      </c>
      <c r="AA758" s="0" t="str">
        <f aca="false">IF(AND(C757=C758,W757=W758-1),Y757,"")</f>
        <v/>
      </c>
      <c r="AB758" s="0" t="str">
        <f aca="false">IF(W758=1,"",IF(AND(X758=1,Z758&lt;&gt;1),1,0))</f>
        <v/>
      </c>
      <c r="AC758" s="0" t="str">
        <f aca="false">IF(W758=1,"",IF(AND(Y758=1,AA758&lt;&gt;1),1,0))</f>
        <v/>
      </c>
      <c r="AD758" s="33" t="str">
        <f aca="false">IF(AND(E758&gt;0,W758&lt;1,NOT(AND(C759=C758,W759=W758+1))),INDEX(DATAS,W758+1),"")</f>
        <v/>
      </c>
      <c r="AE758" s="33" t="str">
        <f aca="false">IF(AND(Y758=1,W758&lt;1),IF(AND(C759=C758,W759=W758+1),IF(Y759=1,"",INDEX(DATAS,W758+1)),INDEX(DATAS,W758+1)),"")</f>
        <v/>
      </c>
    </row>
    <row r="759" customFormat="false" ht="15" hidden="false" customHeight="false" outlineLevel="0" collapsed="false">
      <c r="A759" s="33" t="n">
        <v>46309</v>
      </c>
      <c r="B759" s="0" t="n">
        <v>3</v>
      </c>
      <c r="C759" s="0" t="n">
        <v>4676</v>
      </c>
      <c r="D759" s="0" t="n">
        <v>210</v>
      </c>
      <c r="E759" s="0" t="n">
        <v>2</v>
      </c>
      <c r="F759" s="27" t="s">
        <v>633</v>
      </c>
      <c r="G759" s="0" t="n">
        <v>65.5</v>
      </c>
      <c r="H759" s="0" t="n">
        <v>62</v>
      </c>
      <c r="I759" s="27" t="s">
        <v>138</v>
      </c>
      <c r="J759" s="0" t="n">
        <v>129</v>
      </c>
      <c r="K759" s="0" t="n">
        <v>60</v>
      </c>
      <c r="L759" s="0" t="n">
        <v>81</v>
      </c>
      <c r="M759" s="0" t="n">
        <v>1317.16</v>
      </c>
      <c r="N759" s="0" t="n">
        <v>38.4</v>
      </c>
      <c r="O759" s="0" t="n">
        <v>38.43</v>
      </c>
      <c r="P759" s="0" t="n">
        <v>3.21</v>
      </c>
      <c r="Q759" s="0" t="n">
        <v>3.01</v>
      </c>
      <c r="R759" s="0" t="n">
        <v>6431</v>
      </c>
      <c r="S759" s="0" t="n">
        <v>13336</v>
      </c>
      <c r="T759" s="0" t="n">
        <v>77.4</v>
      </c>
      <c r="U759" s="0" t="n">
        <v>1268</v>
      </c>
      <c r="V759" s="0" t="n">
        <v>3</v>
      </c>
      <c r="W759" s="27" t="n">
        <f aca="false">MATCH(A759,DATAS,0)</f>
        <v>1</v>
      </c>
      <c r="X759" s="27" t="n">
        <f aca="false">IF(AND(E759&gt;0,OR(AND(B759&gt;=1,B759&lt;=6),B759=10)),1,0)</f>
        <v>1</v>
      </c>
      <c r="Y759" s="27" t="n">
        <f aca="false">IF(AND(E759&gt;0,B759=10),1,0)</f>
        <v>0</v>
      </c>
      <c r="Z759" s="0" t="str">
        <f aca="false">IF(AND(C758=C759,W758=W759-1),X758,"")</f>
        <v/>
      </c>
      <c r="AA759" s="0" t="str">
        <f aca="false">IF(AND(C758=C759,W758=W759-1),Y758,"")</f>
        <v/>
      </c>
      <c r="AB759" s="0" t="str">
        <f aca="false">IF(W759=1,"",IF(AND(X759=1,Z759&lt;&gt;1),1,0))</f>
        <v/>
      </c>
      <c r="AC759" s="0" t="str">
        <f aca="false">IF(W759=1,"",IF(AND(Y759=1,AA759&lt;&gt;1),1,0))</f>
        <v/>
      </c>
      <c r="AD759" s="33" t="str">
        <f aca="false">IF(AND(E759&gt;0,W759&lt;1,NOT(AND(C760=C759,W760=W759+1))),INDEX(DATAS,W759+1),"")</f>
        <v/>
      </c>
      <c r="AE759" s="33" t="str">
        <f aca="false">IF(AND(Y759=1,W759&lt;1),IF(AND(C760=C759,W760=W759+1),IF(Y760=1,"",INDEX(DATAS,W759+1)),INDEX(DATAS,W759+1)),"")</f>
        <v/>
      </c>
    </row>
    <row r="760" customFormat="false" ht="15" hidden="false" customHeight="false" outlineLevel="0" collapsed="false">
      <c r="A760" s="33" t="n">
        <v>46309</v>
      </c>
      <c r="B760" s="0" t="n">
        <v>5</v>
      </c>
      <c r="C760" s="0" t="n">
        <v>4677</v>
      </c>
      <c r="D760" s="0" t="n">
        <v>83</v>
      </c>
      <c r="E760" s="0" t="n">
        <v>2</v>
      </c>
      <c r="F760" s="27" t="s">
        <v>633</v>
      </c>
      <c r="G760" s="0" t="n">
        <v>30.8</v>
      </c>
      <c r="H760" s="0" t="n">
        <v>29</v>
      </c>
      <c r="I760" s="27" t="s">
        <v>168</v>
      </c>
      <c r="J760" s="0" t="n">
        <v>83</v>
      </c>
      <c r="K760" s="0" t="n">
        <v>62</v>
      </c>
      <c r="M760" s="0" t="n">
        <v>991.81</v>
      </c>
      <c r="N760" s="0" t="n">
        <v>17.81</v>
      </c>
      <c r="O760" s="0" t="n">
        <v>26.85</v>
      </c>
      <c r="P760" s="0" t="n">
        <v>3.27</v>
      </c>
      <c r="Q760" s="0" t="n">
        <v>3.33</v>
      </c>
      <c r="R760" s="0" t="n">
        <v>3383</v>
      </c>
      <c r="S760" s="0" t="n">
        <v>6801</v>
      </c>
      <c r="U760" s="0" t="n">
        <v>1268</v>
      </c>
      <c r="V760" s="0" t="n">
        <v>1</v>
      </c>
      <c r="W760" s="27" t="n">
        <f aca="false">MATCH(A760,DATAS,0)</f>
        <v>1</v>
      </c>
      <c r="X760" s="27" t="n">
        <f aca="false">IF(AND(E760&gt;0,OR(AND(B760&gt;=1,B760&lt;=6),B760=10)),1,0)</f>
        <v>1</v>
      </c>
      <c r="Y760" s="27" t="n">
        <f aca="false">IF(AND(E760&gt;0,B760=10),1,0)</f>
        <v>0</v>
      </c>
      <c r="Z760" s="0" t="str">
        <f aca="false">IF(AND(C759=C760,W759=W760-1),X759,"")</f>
        <v/>
      </c>
      <c r="AA760" s="0" t="str">
        <f aca="false">IF(AND(C759=C760,W759=W760-1),Y759,"")</f>
        <v/>
      </c>
      <c r="AB760" s="0" t="str">
        <f aca="false">IF(W760=1,"",IF(AND(X760=1,Z760&lt;&gt;1),1,0))</f>
        <v/>
      </c>
      <c r="AC760" s="0" t="str">
        <f aca="false">IF(W760=1,"",IF(AND(Y760=1,AA760&lt;&gt;1),1,0))</f>
        <v/>
      </c>
      <c r="AD760" s="33" t="str">
        <f aca="false">IF(AND(E760&gt;0,W760&lt;1,NOT(AND(C761=C760,W761=W760+1))),INDEX(DATAS,W760+1),"")</f>
        <v/>
      </c>
      <c r="AE760" s="33" t="str">
        <f aca="false">IF(AND(Y760=1,W760&lt;1),IF(AND(C761=C760,W761=W760+1),IF(Y761=1,"",INDEX(DATAS,W760+1)),INDEX(DATAS,W760+1)),"")</f>
        <v/>
      </c>
    </row>
    <row r="761" customFormat="false" ht="15" hidden="false" customHeight="false" outlineLevel="0" collapsed="false">
      <c r="A761" s="33" t="n">
        <v>46309</v>
      </c>
      <c r="B761" s="0" t="n">
        <v>3</v>
      </c>
      <c r="C761" s="0" t="n">
        <v>4678</v>
      </c>
      <c r="D761" s="0" t="n">
        <v>205</v>
      </c>
      <c r="E761" s="0" t="n">
        <v>2</v>
      </c>
      <c r="F761" s="27" t="s">
        <v>634</v>
      </c>
      <c r="G761" s="0" t="n">
        <v>45.9</v>
      </c>
      <c r="H761" s="0" t="n">
        <v>46</v>
      </c>
      <c r="I761" s="27" t="s">
        <v>138</v>
      </c>
      <c r="J761" s="0" t="n">
        <v>100</v>
      </c>
      <c r="K761" s="0" t="n">
        <v>65</v>
      </c>
      <c r="L761" s="0" t="n">
        <v>105</v>
      </c>
      <c r="M761" s="0" t="n">
        <v>319.62</v>
      </c>
      <c r="N761" s="0" t="n">
        <v>15.93</v>
      </c>
      <c r="O761" s="0" t="n">
        <v>22.1</v>
      </c>
      <c r="P761" s="0" t="n">
        <v>2.81</v>
      </c>
      <c r="Q761" s="0" t="n">
        <v>3.69</v>
      </c>
      <c r="R761" s="0" t="n">
        <v>4901</v>
      </c>
      <c r="S761" s="0" t="n">
        <v>9876</v>
      </c>
      <c r="T761" s="0" t="n">
        <v>57.35</v>
      </c>
      <c r="U761" s="0" t="n">
        <v>1266</v>
      </c>
      <c r="V761" s="0" t="n">
        <v>2</v>
      </c>
      <c r="W761" s="27" t="n">
        <f aca="false">MATCH(A761,DATAS,0)</f>
        <v>1</v>
      </c>
      <c r="X761" s="27" t="n">
        <f aca="false">IF(AND(E761&gt;0,OR(AND(B761&gt;=1,B761&lt;=6),B761=10)),1,0)</f>
        <v>1</v>
      </c>
      <c r="Y761" s="27" t="n">
        <f aca="false">IF(AND(E761&gt;0,B761=10),1,0)</f>
        <v>0</v>
      </c>
      <c r="Z761" s="0" t="str">
        <f aca="false">IF(AND(C760=C761,W760=W761-1),X760,"")</f>
        <v/>
      </c>
      <c r="AA761" s="0" t="str">
        <f aca="false">IF(AND(C760=C761,W760=W761-1),Y760,"")</f>
        <v/>
      </c>
      <c r="AB761" s="0" t="str">
        <f aca="false">IF(W761=1,"",IF(AND(X761=1,Z761&lt;&gt;1),1,0))</f>
        <v/>
      </c>
      <c r="AC761" s="0" t="str">
        <f aca="false">IF(W761=1,"",IF(AND(Y761=1,AA761&lt;&gt;1),1,0))</f>
        <v/>
      </c>
      <c r="AD761" s="33" t="str">
        <f aca="false">IF(AND(E761&gt;0,W761&lt;1,NOT(AND(C762=C761,W762=W761+1))),INDEX(DATAS,W761+1),"")</f>
        <v/>
      </c>
      <c r="AE761" s="33" t="str">
        <f aca="false">IF(AND(Y761=1,W761&lt;1),IF(AND(C762=C761,W762=W761+1),IF(Y762=1,"",INDEX(DATAS,W761+1)),INDEX(DATAS,W761+1)),"")</f>
        <v/>
      </c>
    </row>
    <row r="762" customFormat="false" ht="15" hidden="false" customHeight="false" outlineLevel="0" collapsed="false">
      <c r="A762" s="33" t="n">
        <v>46309</v>
      </c>
      <c r="B762" s="0" t="n">
        <v>5</v>
      </c>
      <c r="C762" s="0" t="n">
        <v>4680</v>
      </c>
      <c r="D762" s="0" t="n">
        <v>241</v>
      </c>
      <c r="E762" s="0" t="n">
        <v>2</v>
      </c>
      <c r="F762" s="27" t="s">
        <v>634</v>
      </c>
      <c r="G762" s="0" t="n">
        <v>44</v>
      </c>
      <c r="H762" s="0" t="n">
        <v>38</v>
      </c>
      <c r="I762" s="27" t="s">
        <v>138</v>
      </c>
      <c r="J762" s="0" t="n">
        <v>192</v>
      </c>
      <c r="K762" s="0" t="n">
        <v>73</v>
      </c>
      <c r="L762" s="0" t="n">
        <v>49</v>
      </c>
      <c r="M762" s="0" t="n">
        <v>601.51</v>
      </c>
      <c r="N762" s="0" t="n">
        <v>39.96</v>
      </c>
      <c r="O762" s="0" t="n">
        <v>25.35</v>
      </c>
      <c r="P762" s="0" t="n">
        <v>3.88</v>
      </c>
      <c r="Q762" s="0" t="n">
        <v>3.92</v>
      </c>
      <c r="R762" s="0" t="n">
        <v>5342</v>
      </c>
      <c r="S762" s="0" t="n">
        <v>9651</v>
      </c>
      <c r="T762" s="0" t="n">
        <v>62.05</v>
      </c>
      <c r="U762" s="0" t="n">
        <v>1266</v>
      </c>
      <c r="V762" s="0" t="n">
        <v>5</v>
      </c>
      <c r="W762" s="27" t="n">
        <f aca="false">MATCH(A762,DATAS,0)</f>
        <v>1</v>
      </c>
      <c r="X762" s="27" t="n">
        <f aca="false">IF(AND(E762&gt;0,OR(AND(B762&gt;=1,B762&lt;=6),B762=10)),1,0)</f>
        <v>1</v>
      </c>
      <c r="Y762" s="27" t="n">
        <f aca="false">IF(AND(E762&gt;0,B762=10),1,0)</f>
        <v>0</v>
      </c>
      <c r="Z762" s="0" t="str">
        <f aca="false">IF(AND(C761=C762,W761=W762-1),X761,"")</f>
        <v/>
      </c>
      <c r="AA762" s="0" t="str">
        <f aca="false">IF(AND(C761=C762,W761=W762-1),Y761,"")</f>
        <v/>
      </c>
      <c r="AB762" s="0" t="str">
        <f aca="false">IF(W762=1,"",IF(AND(X762=1,Z762&lt;&gt;1),1,0))</f>
        <v/>
      </c>
      <c r="AC762" s="0" t="str">
        <f aca="false">IF(W762=1,"",IF(AND(Y762=1,AA762&lt;&gt;1),1,0))</f>
        <v/>
      </c>
      <c r="AD762" s="33" t="str">
        <f aca="false">IF(AND(E762&gt;0,W762&lt;1,NOT(AND(C763=C762,W763=W762+1))),INDEX(DATAS,W762+1),"")</f>
        <v/>
      </c>
      <c r="AE762" s="33" t="str">
        <f aca="false">IF(AND(Y762=1,W762&lt;1),IF(AND(C763=C762,W763=W762+1),IF(Y763=1,"",INDEX(DATAS,W762+1)),INDEX(DATAS,W762+1)),"")</f>
        <v/>
      </c>
    </row>
    <row r="763" customFormat="false" ht="15" hidden="false" customHeight="false" outlineLevel="0" collapsed="false">
      <c r="A763" s="33" t="n">
        <v>46309</v>
      </c>
      <c r="B763" s="0" t="n">
        <v>5</v>
      </c>
      <c r="C763" s="0" t="n">
        <v>4681</v>
      </c>
      <c r="D763" s="0" t="n">
        <v>255</v>
      </c>
      <c r="E763" s="0" t="n">
        <v>2</v>
      </c>
      <c r="F763" s="27" t="s">
        <v>634</v>
      </c>
      <c r="G763" s="0" t="n">
        <v>40.5</v>
      </c>
      <c r="H763" s="0" t="n">
        <v>36</v>
      </c>
      <c r="I763" s="27" t="s">
        <v>138</v>
      </c>
      <c r="J763" s="0" t="n">
        <v>185</v>
      </c>
      <c r="K763" s="0" t="n">
        <v>70</v>
      </c>
      <c r="L763" s="0" t="n">
        <v>70</v>
      </c>
      <c r="M763" s="0" t="n">
        <v>637.12</v>
      </c>
      <c r="N763" s="0" t="n">
        <v>75.16</v>
      </c>
      <c r="O763" s="0" t="n">
        <v>34.39</v>
      </c>
      <c r="P763" s="0" t="n">
        <v>6.28</v>
      </c>
      <c r="Q763" s="0" t="n">
        <v>3.99</v>
      </c>
      <c r="R763" s="0" t="n">
        <v>3206</v>
      </c>
      <c r="S763" s="0" t="n">
        <v>6863</v>
      </c>
      <c r="T763" s="0" t="n">
        <v>40.85</v>
      </c>
      <c r="U763" s="0" t="n">
        <v>1266</v>
      </c>
      <c r="V763" s="0" t="n">
        <v>4</v>
      </c>
      <c r="W763" s="27" t="n">
        <f aca="false">MATCH(A763,DATAS,0)</f>
        <v>1</v>
      </c>
      <c r="X763" s="27" t="n">
        <f aca="false">IF(AND(E763&gt;0,OR(AND(B763&gt;=1,B763&lt;=6),B763=10)),1,0)</f>
        <v>1</v>
      </c>
      <c r="Y763" s="27" t="n">
        <f aca="false">IF(AND(E763&gt;0,B763=10),1,0)</f>
        <v>0</v>
      </c>
      <c r="Z763" s="0" t="str">
        <f aca="false">IF(AND(C762=C763,W762=W763-1),X762,"")</f>
        <v/>
      </c>
      <c r="AA763" s="0" t="str">
        <f aca="false">IF(AND(C762=C763,W762=W763-1),Y762,"")</f>
        <v/>
      </c>
      <c r="AB763" s="0" t="str">
        <f aca="false">IF(W763=1,"",IF(AND(X763=1,Z763&lt;&gt;1),1,0))</f>
        <v/>
      </c>
      <c r="AC763" s="0" t="str">
        <f aca="false">IF(W763=1,"",IF(AND(Y763=1,AA763&lt;&gt;1),1,0))</f>
        <v/>
      </c>
      <c r="AD763" s="33" t="str">
        <f aca="false">IF(AND(E763&gt;0,W763&lt;1,NOT(AND(C764=C763,W764=W763+1))),INDEX(DATAS,W763+1),"")</f>
        <v/>
      </c>
      <c r="AE763" s="33" t="str">
        <f aca="false">IF(AND(Y763=1,W763&lt;1),IF(AND(C764=C763,W764=W763+1),IF(Y764=1,"",INDEX(DATAS,W763+1)),INDEX(DATAS,W763+1)),"")</f>
        <v/>
      </c>
    </row>
    <row r="764" customFormat="false" ht="15" hidden="false" customHeight="false" outlineLevel="0" collapsed="false">
      <c r="A764" s="33" t="n">
        <v>46309</v>
      </c>
      <c r="B764" s="0" t="n">
        <v>3</v>
      </c>
      <c r="C764" s="0" t="n">
        <v>4682</v>
      </c>
      <c r="D764" s="0" t="n">
        <v>93</v>
      </c>
      <c r="E764" s="0" t="n">
        <v>2</v>
      </c>
      <c r="F764" s="27" t="s">
        <v>635</v>
      </c>
      <c r="G764" s="0" t="n">
        <v>75.8</v>
      </c>
      <c r="H764" s="0" t="n">
        <v>78</v>
      </c>
      <c r="I764" s="27" t="s">
        <v>168</v>
      </c>
      <c r="J764" s="0" t="n">
        <v>93</v>
      </c>
      <c r="K764" s="0" t="n">
        <v>65</v>
      </c>
      <c r="M764" s="0" t="n">
        <v>1964.63</v>
      </c>
      <c r="N764" s="0" t="n">
        <v>17.61</v>
      </c>
      <c r="O764" s="0" t="n">
        <v>46.27</v>
      </c>
      <c r="P764" s="0" t="n">
        <v>3.29</v>
      </c>
      <c r="Q764" s="0" t="n">
        <v>2.99</v>
      </c>
      <c r="R764" s="0" t="n">
        <v>7162</v>
      </c>
      <c r="S764" s="0" t="n">
        <v>14397</v>
      </c>
      <c r="T764" s="0" t="n">
        <v>81.75</v>
      </c>
      <c r="U764" s="0" t="n">
        <v>1265</v>
      </c>
      <c r="V764" s="0" t="n">
        <v>1</v>
      </c>
      <c r="W764" s="27" t="n">
        <f aca="false">MATCH(A764,DATAS,0)</f>
        <v>1</v>
      </c>
      <c r="X764" s="27" t="n">
        <f aca="false">IF(AND(E764&gt;0,OR(AND(B764&gt;=1,B764&lt;=6),B764=10)),1,0)</f>
        <v>1</v>
      </c>
      <c r="Y764" s="27" t="n">
        <f aca="false">IF(AND(E764&gt;0,B764=10),1,0)</f>
        <v>0</v>
      </c>
      <c r="Z764" s="0" t="str">
        <f aca="false">IF(AND(C763=C764,W763=W764-1),X763,"")</f>
        <v/>
      </c>
      <c r="AA764" s="0" t="str">
        <f aca="false">IF(AND(C763=C764,W763=W764-1),Y763,"")</f>
        <v/>
      </c>
      <c r="AB764" s="0" t="str">
        <f aca="false">IF(W764=1,"",IF(AND(X764=1,Z764&lt;&gt;1),1,0))</f>
        <v/>
      </c>
      <c r="AC764" s="0" t="str">
        <f aca="false">IF(W764=1,"",IF(AND(Y764=1,AA764&lt;&gt;1),1,0))</f>
        <v/>
      </c>
      <c r="AD764" s="33" t="str">
        <f aca="false">IF(AND(E764&gt;0,W764&lt;1,NOT(AND(C765=C764,W765=W764+1))),INDEX(DATAS,W764+1),"")</f>
        <v/>
      </c>
      <c r="AE764" s="33" t="str">
        <f aca="false">IF(AND(Y764=1,W764&lt;1),IF(AND(C765=C764,W765=W764+1),IF(Y765=1,"",INDEX(DATAS,W764+1)),INDEX(DATAS,W764+1)),"")</f>
        <v/>
      </c>
    </row>
    <row r="765" customFormat="false" ht="15" hidden="false" customHeight="false" outlineLevel="0" collapsed="false">
      <c r="A765" s="33" t="n">
        <v>46309</v>
      </c>
      <c r="B765" s="0" t="n">
        <v>7</v>
      </c>
      <c r="C765" s="0" t="n">
        <v>4683</v>
      </c>
      <c r="D765" s="0" t="n">
        <v>293</v>
      </c>
      <c r="E765" s="0" t="n">
        <v>2</v>
      </c>
      <c r="F765" s="27" t="s">
        <v>636</v>
      </c>
      <c r="G765" s="0" t="n">
        <v>12.5</v>
      </c>
      <c r="H765" s="0" t="n">
        <v>22</v>
      </c>
      <c r="I765" s="27" t="s">
        <v>143</v>
      </c>
      <c r="J765" s="0" t="n">
        <v>70</v>
      </c>
      <c r="K765" s="0" t="n">
        <v>70</v>
      </c>
      <c r="L765" s="0" t="n">
        <v>224</v>
      </c>
      <c r="M765" s="0" t="n">
        <v>92.87</v>
      </c>
      <c r="N765" s="0" t="n">
        <v>57.96</v>
      </c>
      <c r="O765" s="0" t="n">
        <v>28.96</v>
      </c>
      <c r="P765" s="0" t="n">
        <v>4.89</v>
      </c>
      <c r="Q765" s="0" t="n">
        <v>4.08</v>
      </c>
      <c r="R765" s="0" t="n">
        <v>4654</v>
      </c>
      <c r="S765" s="0" t="n">
        <v>9481</v>
      </c>
      <c r="T765" s="0" t="n">
        <v>50.5</v>
      </c>
      <c r="U765" s="0" t="n">
        <v>1263</v>
      </c>
      <c r="V765" s="0" t="n">
        <v>1</v>
      </c>
      <c r="W765" s="27" t="n">
        <f aca="false">MATCH(A765,DATAS,0)</f>
        <v>1</v>
      </c>
      <c r="X765" s="27" t="n">
        <f aca="false">IF(AND(E765&gt;0,OR(AND(B765&gt;=1,B765&lt;=6),B765=10)),1,0)</f>
        <v>0</v>
      </c>
      <c r="Y765" s="27" t="n">
        <f aca="false">IF(AND(E765&gt;0,B765=10),1,0)</f>
        <v>0</v>
      </c>
      <c r="Z765" s="0" t="str">
        <f aca="false">IF(AND(C764=C765,W764=W765-1),X764,"")</f>
        <v/>
      </c>
      <c r="AA765" s="0" t="str">
        <f aca="false">IF(AND(C764=C765,W764=W765-1),Y764,"")</f>
        <v/>
      </c>
      <c r="AB765" s="0" t="str">
        <f aca="false">IF(W765=1,"",IF(AND(X765=1,Z765&lt;&gt;1),1,0))</f>
        <v/>
      </c>
      <c r="AC765" s="0" t="str">
        <f aca="false">IF(W765=1,"",IF(AND(Y765=1,AA765&lt;&gt;1),1,0))</f>
        <v/>
      </c>
      <c r="AD765" s="33" t="str">
        <f aca="false">IF(AND(E765&gt;0,W765&lt;1,NOT(AND(C766=C765,W766=W765+1))),INDEX(DATAS,W765+1),"")</f>
        <v/>
      </c>
      <c r="AE765" s="33" t="str">
        <f aca="false">IF(AND(Y765=1,W765&lt;1),IF(AND(C766=C765,W766=W765+1),IF(Y766=1,"",INDEX(DATAS,W765+1)),INDEX(DATAS,W765+1)),"")</f>
        <v/>
      </c>
    </row>
    <row r="766" customFormat="false" ht="15" hidden="false" customHeight="false" outlineLevel="0" collapsed="false">
      <c r="A766" s="33" t="n">
        <v>46309</v>
      </c>
      <c r="B766" s="0" t="n">
        <v>3</v>
      </c>
      <c r="C766" s="0" t="n">
        <v>4688</v>
      </c>
      <c r="D766" s="0" t="n">
        <v>201</v>
      </c>
      <c r="E766" s="0" t="n">
        <v>2</v>
      </c>
      <c r="F766" s="27" t="s">
        <v>637</v>
      </c>
      <c r="G766" s="0" t="n">
        <v>49.9</v>
      </c>
      <c r="H766" s="0" t="n">
        <v>48</v>
      </c>
      <c r="I766" s="27" t="s">
        <v>168</v>
      </c>
      <c r="J766" s="0" t="n">
        <v>201</v>
      </c>
      <c r="K766" s="0" t="n">
        <v>82</v>
      </c>
      <c r="M766" s="0" t="n">
        <v>1056.74</v>
      </c>
      <c r="N766" s="0" t="n">
        <v>64.52</v>
      </c>
      <c r="O766" s="0" t="n">
        <v>44.28</v>
      </c>
      <c r="P766" s="0" t="n">
        <v>3.04</v>
      </c>
      <c r="Q766" s="0" t="n">
        <v>3.18</v>
      </c>
      <c r="R766" s="0" t="n">
        <v>4850</v>
      </c>
      <c r="S766" s="0" t="n">
        <v>10327</v>
      </c>
      <c r="T766" s="0" t="n">
        <v>55.4</v>
      </c>
      <c r="U766" s="0" t="n">
        <v>1261</v>
      </c>
      <c r="V766" s="0" t="n">
        <v>3</v>
      </c>
      <c r="W766" s="27" t="n">
        <f aca="false">MATCH(A766,DATAS,0)</f>
        <v>1</v>
      </c>
      <c r="X766" s="27" t="n">
        <f aca="false">IF(AND(E766&gt;0,OR(AND(B766&gt;=1,B766&lt;=6),B766=10)),1,0)</f>
        <v>1</v>
      </c>
      <c r="Y766" s="27" t="n">
        <f aca="false">IF(AND(E766&gt;0,B766=10),1,0)</f>
        <v>0</v>
      </c>
      <c r="Z766" s="0" t="str">
        <f aca="false">IF(AND(C765=C766,W765=W766-1),X765,"")</f>
        <v/>
      </c>
      <c r="AA766" s="0" t="str">
        <f aca="false">IF(AND(C765=C766,W765=W766-1),Y765,"")</f>
        <v/>
      </c>
      <c r="AB766" s="0" t="str">
        <f aca="false">IF(W766=1,"",IF(AND(X766=1,Z766&lt;&gt;1),1,0))</f>
        <v/>
      </c>
      <c r="AC766" s="0" t="str">
        <f aca="false">IF(W766=1,"",IF(AND(Y766=1,AA766&lt;&gt;1),1,0))</f>
        <v/>
      </c>
      <c r="AD766" s="33" t="str">
        <f aca="false">IF(AND(E766&gt;0,W766&lt;1,NOT(AND(C767=C766,W767=W766+1))),INDEX(DATAS,W766+1),"")</f>
        <v/>
      </c>
      <c r="AE766" s="33" t="str">
        <f aca="false">IF(AND(Y766=1,W766&lt;1),IF(AND(C767=C766,W767=W766+1),IF(Y767=1,"",INDEX(DATAS,W766+1)),INDEX(DATAS,W766+1)),"")</f>
        <v/>
      </c>
    </row>
    <row r="767" customFormat="false" ht="15" hidden="false" customHeight="false" outlineLevel="0" collapsed="false">
      <c r="A767" s="33" t="n">
        <v>46309</v>
      </c>
      <c r="B767" s="0" t="n">
        <v>7</v>
      </c>
      <c r="C767" s="0" t="n">
        <v>4690</v>
      </c>
      <c r="D767" s="0" t="n">
        <v>285</v>
      </c>
      <c r="E767" s="0" t="n">
        <v>2</v>
      </c>
      <c r="F767" s="27" t="s">
        <v>638</v>
      </c>
      <c r="G767" s="0" t="n">
        <v>6.5</v>
      </c>
      <c r="H767" s="0" t="n">
        <v>11</v>
      </c>
      <c r="I767" s="27" t="s">
        <v>143</v>
      </c>
      <c r="J767" s="0" t="n">
        <v>95</v>
      </c>
      <c r="K767" s="0" t="n">
        <v>69</v>
      </c>
      <c r="L767" s="0" t="n">
        <v>191</v>
      </c>
      <c r="M767" s="0" t="n">
        <v>1503.53</v>
      </c>
      <c r="N767" s="0" t="n">
        <v>21.87</v>
      </c>
      <c r="O767" s="0" t="n">
        <v>36.03</v>
      </c>
      <c r="P767" s="0" t="n">
        <v>0</v>
      </c>
      <c r="Q767" s="0" t="n">
        <v>0</v>
      </c>
      <c r="R767" s="0" t="n">
        <v>5177</v>
      </c>
      <c r="S767" s="0" t="n">
        <v>9752</v>
      </c>
      <c r="T767" s="0" t="n">
        <v>66.65</v>
      </c>
      <c r="U767" s="0" t="n">
        <v>1258</v>
      </c>
      <c r="V767" s="0" t="n">
        <v>2</v>
      </c>
      <c r="W767" s="27" t="n">
        <f aca="false">MATCH(A767,DATAS,0)</f>
        <v>1</v>
      </c>
      <c r="X767" s="27" t="n">
        <f aca="false">IF(AND(E767&gt;0,OR(AND(B767&gt;=1,B767&lt;=6),B767=10)),1,0)</f>
        <v>0</v>
      </c>
      <c r="Y767" s="27" t="n">
        <f aca="false">IF(AND(E767&gt;0,B767=10),1,0)</f>
        <v>0</v>
      </c>
      <c r="Z767" s="0" t="str">
        <f aca="false">IF(AND(C766=C767,W766=W767-1),X766,"")</f>
        <v/>
      </c>
      <c r="AA767" s="0" t="str">
        <f aca="false">IF(AND(C766=C767,W766=W767-1),Y766,"")</f>
        <v/>
      </c>
      <c r="AB767" s="0" t="str">
        <f aca="false">IF(W767=1,"",IF(AND(X767=1,Z767&lt;&gt;1),1,0))</f>
        <v/>
      </c>
      <c r="AC767" s="0" t="str">
        <f aca="false">IF(W767=1,"",IF(AND(Y767=1,AA767&lt;&gt;1),1,0))</f>
        <v/>
      </c>
      <c r="AD767" s="33" t="str">
        <f aca="false">IF(AND(E767&gt;0,W767&lt;1,NOT(AND(C768=C767,W768=W767+1))),INDEX(DATAS,W767+1),"")</f>
        <v/>
      </c>
      <c r="AE767" s="33" t="str">
        <f aca="false">IF(AND(Y767=1,W767&lt;1),IF(AND(C768=C767,W768=W767+1),IF(Y768=1,"",INDEX(DATAS,W767+1)),INDEX(DATAS,W767+1)),"")</f>
        <v/>
      </c>
    </row>
    <row r="768" customFormat="false" ht="15" hidden="false" customHeight="false" outlineLevel="0" collapsed="false">
      <c r="A768" s="33" t="n">
        <v>46309</v>
      </c>
      <c r="B768" s="0" t="n">
        <v>5</v>
      </c>
      <c r="C768" s="0" t="n">
        <v>4691</v>
      </c>
      <c r="D768" s="0" t="n">
        <v>248</v>
      </c>
      <c r="E768" s="0" t="n">
        <v>2</v>
      </c>
      <c r="F768" s="27" t="s">
        <v>638</v>
      </c>
      <c r="G768" s="0" t="n">
        <v>35.5</v>
      </c>
      <c r="H768" s="0" t="n">
        <v>34</v>
      </c>
      <c r="I768" s="27" t="s">
        <v>138</v>
      </c>
      <c r="J768" s="0" t="n">
        <v>66</v>
      </c>
      <c r="K768" s="0" t="n">
        <v>66</v>
      </c>
      <c r="L768" s="0" t="n">
        <v>182</v>
      </c>
      <c r="M768" s="0" t="n">
        <v>328.23</v>
      </c>
      <c r="N768" s="0" t="n">
        <v>60.18</v>
      </c>
      <c r="O768" s="0" t="n">
        <v>18.58</v>
      </c>
      <c r="P768" s="0" t="n">
        <v>4.99</v>
      </c>
      <c r="Q768" s="0" t="n">
        <v>3.62</v>
      </c>
      <c r="R768" s="0" t="n">
        <v>4665</v>
      </c>
      <c r="S768" s="0" t="n">
        <v>8325</v>
      </c>
      <c r="T768" s="0" t="n">
        <v>54.35</v>
      </c>
      <c r="U768" s="0" t="n">
        <v>1258</v>
      </c>
      <c r="V768" s="0" t="n">
        <v>1</v>
      </c>
      <c r="W768" s="27" t="n">
        <f aca="false">MATCH(A768,DATAS,0)</f>
        <v>1</v>
      </c>
      <c r="X768" s="27" t="n">
        <f aca="false">IF(AND(E768&gt;0,OR(AND(B768&gt;=1,B768&lt;=6),B768=10)),1,0)</f>
        <v>1</v>
      </c>
      <c r="Y768" s="27" t="n">
        <f aca="false">IF(AND(E768&gt;0,B768=10),1,0)</f>
        <v>0</v>
      </c>
      <c r="Z768" s="0" t="str">
        <f aca="false">IF(AND(C767=C768,W767=W768-1),X767,"")</f>
        <v/>
      </c>
      <c r="AA768" s="0" t="str">
        <f aca="false">IF(AND(C767=C768,W767=W768-1),Y767,"")</f>
        <v/>
      </c>
      <c r="AB768" s="0" t="str">
        <f aca="false">IF(W768=1,"",IF(AND(X768=1,Z768&lt;&gt;1),1,0))</f>
        <v/>
      </c>
      <c r="AC768" s="0" t="str">
        <f aca="false">IF(W768=1,"",IF(AND(Y768=1,AA768&lt;&gt;1),1,0))</f>
        <v/>
      </c>
      <c r="AD768" s="33" t="str">
        <f aca="false">IF(AND(E768&gt;0,W768&lt;1,NOT(AND(C769=C768,W769=W768+1))),INDEX(DATAS,W768+1),"")</f>
        <v/>
      </c>
      <c r="AE768" s="33" t="str">
        <f aca="false">IF(AND(Y768=1,W768&lt;1),IF(AND(C769=C768,W769=W768+1),IF(Y769=1,"",INDEX(DATAS,W768+1)),INDEX(DATAS,W768+1)),"")</f>
        <v/>
      </c>
    </row>
    <row r="769" customFormat="false" ht="15" hidden="false" customHeight="false" outlineLevel="0" collapsed="false">
      <c r="A769" s="33" t="n">
        <v>46309</v>
      </c>
      <c r="B769" s="0" t="n">
        <v>5</v>
      </c>
      <c r="C769" s="0" t="n">
        <v>4695</v>
      </c>
      <c r="D769" s="0" t="n">
        <v>236</v>
      </c>
      <c r="E769" s="0" t="n">
        <v>2</v>
      </c>
      <c r="F769" s="27" t="s">
        <v>639</v>
      </c>
      <c r="G769" s="0" t="n">
        <v>36.3</v>
      </c>
      <c r="H769" s="0" t="n">
        <v>34</v>
      </c>
      <c r="I769" s="27" t="s">
        <v>138</v>
      </c>
      <c r="J769" s="0" t="n">
        <v>103</v>
      </c>
      <c r="K769" s="0" t="n">
        <v>68</v>
      </c>
      <c r="L769" s="0" t="n">
        <v>133</v>
      </c>
      <c r="M769" s="0" t="n">
        <v>278.64</v>
      </c>
      <c r="N769" s="0" t="n">
        <v>43.4</v>
      </c>
      <c r="O769" s="0" t="n">
        <v>16.35</v>
      </c>
      <c r="P769" s="0" t="n">
        <v>5.31</v>
      </c>
      <c r="Q769" s="0" t="n">
        <v>4.19</v>
      </c>
      <c r="R769" s="0" t="n">
        <v>4194</v>
      </c>
      <c r="S769" s="0" t="n">
        <v>8750</v>
      </c>
      <c r="T769" s="0" t="n">
        <v>46.15</v>
      </c>
      <c r="U769" s="0" t="n">
        <v>1257</v>
      </c>
      <c r="V769" s="0" t="n">
        <v>2</v>
      </c>
      <c r="W769" s="27" t="n">
        <f aca="false">MATCH(A769,DATAS,0)</f>
        <v>1</v>
      </c>
      <c r="X769" s="27" t="n">
        <f aca="false">IF(AND(E769&gt;0,OR(AND(B769&gt;=1,B769&lt;=6),B769=10)),1,0)</f>
        <v>1</v>
      </c>
      <c r="Y769" s="27" t="n">
        <f aca="false">IF(AND(E769&gt;0,B769=10),1,0)</f>
        <v>0</v>
      </c>
      <c r="Z769" s="0" t="str">
        <f aca="false">IF(AND(C768=C769,W768=W769-1),X768,"")</f>
        <v/>
      </c>
      <c r="AA769" s="0" t="str">
        <f aca="false">IF(AND(C768=C769,W768=W769-1),Y768,"")</f>
        <v/>
      </c>
      <c r="AB769" s="0" t="str">
        <f aca="false">IF(W769=1,"",IF(AND(X769=1,Z769&lt;&gt;1),1,0))</f>
        <v/>
      </c>
      <c r="AC769" s="0" t="str">
        <f aca="false">IF(W769=1,"",IF(AND(Y769=1,AA769&lt;&gt;1),1,0))</f>
        <v/>
      </c>
      <c r="AD769" s="33" t="str">
        <f aca="false">IF(AND(E769&gt;0,W769&lt;1,NOT(AND(C770=C769,W770=W769+1))),INDEX(DATAS,W769+1),"")</f>
        <v/>
      </c>
      <c r="AE769" s="33" t="str">
        <f aca="false">IF(AND(Y769=1,W769&lt;1),IF(AND(C770=C769,W770=W769+1),IF(Y770=1,"",INDEX(DATAS,W769+1)),INDEX(DATAS,W769+1)),"")</f>
        <v/>
      </c>
    </row>
    <row r="770" customFormat="false" ht="15" hidden="false" customHeight="false" outlineLevel="0" collapsed="false">
      <c r="A770" s="33" t="n">
        <v>46309</v>
      </c>
      <c r="B770" s="0" t="n">
        <v>5</v>
      </c>
      <c r="C770" s="0" t="n">
        <v>4696</v>
      </c>
      <c r="D770" s="0" t="n">
        <v>593</v>
      </c>
      <c r="E770" s="0" t="n">
        <v>1</v>
      </c>
      <c r="F770" s="27" t="s">
        <v>640</v>
      </c>
      <c r="G770" s="0" t="n">
        <v>36.3</v>
      </c>
      <c r="H770" s="0" t="n">
        <v>37</v>
      </c>
      <c r="I770" s="27" t="s">
        <v>168</v>
      </c>
      <c r="J770" s="0" t="n">
        <v>593</v>
      </c>
      <c r="K770" s="0" t="n">
        <v>62</v>
      </c>
      <c r="M770" s="0" t="n">
        <v>767.77</v>
      </c>
      <c r="N770" s="0" t="n">
        <v>59.91</v>
      </c>
      <c r="O770" s="0" t="n">
        <v>37.69</v>
      </c>
      <c r="P770" s="0" t="n">
        <v>5.2</v>
      </c>
      <c r="Q770" s="0" t="n">
        <v>4.82</v>
      </c>
      <c r="R770" s="0" t="n">
        <v>4795</v>
      </c>
      <c r="S770" s="0" t="n">
        <v>10734</v>
      </c>
      <c r="T770" s="0" t="n">
        <v>53.25</v>
      </c>
      <c r="U770" s="0" t="n">
        <v>1256</v>
      </c>
      <c r="V770" s="0" t="n">
        <v>12</v>
      </c>
      <c r="W770" s="27" t="n">
        <f aca="false">MATCH(A770,DATAS,0)</f>
        <v>1</v>
      </c>
      <c r="X770" s="27" t="n">
        <f aca="false">IF(AND(E770&gt;0,OR(AND(B770&gt;=1,B770&lt;=6),B770=10)),1,0)</f>
        <v>1</v>
      </c>
      <c r="Y770" s="27" t="n">
        <f aca="false">IF(AND(E770&gt;0,B770=10),1,0)</f>
        <v>0</v>
      </c>
      <c r="Z770" s="0" t="str">
        <f aca="false">IF(AND(C769=C770,W769=W770-1),X769,"")</f>
        <v/>
      </c>
      <c r="AA770" s="0" t="str">
        <f aca="false">IF(AND(C769=C770,W769=W770-1),Y769,"")</f>
        <v/>
      </c>
      <c r="AB770" s="0" t="str">
        <f aca="false">IF(W770=1,"",IF(AND(X770=1,Z770&lt;&gt;1),1,0))</f>
        <v/>
      </c>
      <c r="AC770" s="0" t="str">
        <f aca="false">IF(W770=1,"",IF(AND(Y770=1,AA770&lt;&gt;1),1,0))</f>
        <v/>
      </c>
      <c r="AD770" s="33" t="str">
        <f aca="false">IF(AND(E770&gt;0,W770&lt;1,NOT(AND(C771=C770,W771=W770+1))),INDEX(DATAS,W770+1),"")</f>
        <v/>
      </c>
      <c r="AE770" s="33" t="str">
        <f aca="false">IF(AND(Y770=1,W770&lt;1),IF(AND(C771=C770,W771=W770+1),IF(Y771=1,"",INDEX(DATAS,W770+1)),INDEX(DATAS,W770+1)),"")</f>
        <v/>
      </c>
    </row>
    <row r="771" customFormat="false" ht="15" hidden="false" customHeight="false" outlineLevel="0" collapsed="false">
      <c r="A771" s="33" t="n">
        <v>46309</v>
      </c>
      <c r="B771" s="0" t="n">
        <v>5</v>
      </c>
      <c r="C771" s="0" t="n">
        <v>4697</v>
      </c>
      <c r="D771" s="0" t="n">
        <v>271</v>
      </c>
      <c r="E771" s="0" t="n">
        <v>2</v>
      </c>
      <c r="F771" s="27" t="s">
        <v>640</v>
      </c>
      <c r="G771" s="0" t="n">
        <v>30.5</v>
      </c>
      <c r="H771" s="0" t="n">
        <v>29</v>
      </c>
      <c r="I771" s="27" t="s">
        <v>176</v>
      </c>
      <c r="J771" s="0" t="n">
        <v>271</v>
      </c>
      <c r="K771" s="0" t="n">
        <v>68</v>
      </c>
      <c r="M771" s="0" t="n">
        <v>1318.65</v>
      </c>
      <c r="N771" s="0" t="n">
        <v>55.57</v>
      </c>
      <c r="O771" s="0" t="n">
        <v>41.73</v>
      </c>
      <c r="P771" s="0" t="n">
        <v>4.3</v>
      </c>
      <c r="Q771" s="0" t="n">
        <v>3.59</v>
      </c>
      <c r="R771" s="0" t="n">
        <v>5803</v>
      </c>
      <c r="S771" s="0" t="n">
        <v>9138</v>
      </c>
      <c r="T771" s="0" t="n">
        <v>64.55</v>
      </c>
      <c r="U771" s="0" t="n">
        <v>1256</v>
      </c>
      <c r="V771" s="0" t="n">
        <v>4</v>
      </c>
      <c r="W771" s="27" t="n">
        <f aca="false">MATCH(A771,DATAS,0)</f>
        <v>1</v>
      </c>
      <c r="X771" s="27" t="n">
        <f aca="false">IF(AND(E771&gt;0,OR(AND(B771&gt;=1,B771&lt;=6),B771=10)),1,0)</f>
        <v>1</v>
      </c>
      <c r="Y771" s="27" t="n">
        <f aca="false">IF(AND(E771&gt;0,B771=10),1,0)</f>
        <v>0</v>
      </c>
      <c r="Z771" s="0" t="str">
        <f aca="false">IF(AND(C770=C771,W770=W771-1),X770,"")</f>
        <v/>
      </c>
      <c r="AA771" s="0" t="str">
        <f aca="false">IF(AND(C770=C771,W770=W771-1),Y770,"")</f>
        <v/>
      </c>
      <c r="AB771" s="0" t="str">
        <f aca="false">IF(W771=1,"",IF(AND(X771=1,Z771&lt;&gt;1),1,0))</f>
        <v/>
      </c>
      <c r="AC771" s="0" t="str">
        <f aca="false">IF(W771=1,"",IF(AND(Y771=1,AA771&lt;&gt;1),1,0))</f>
        <v/>
      </c>
      <c r="AD771" s="33" t="str">
        <f aca="false">IF(AND(E771&gt;0,W771&lt;1,NOT(AND(C772=C771,W772=W771+1))),INDEX(DATAS,W771+1),"")</f>
        <v/>
      </c>
      <c r="AE771" s="33" t="str">
        <f aca="false">IF(AND(Y771=1,W771&lt;1),IF(AND(C772=C771,W772=W771+1),IF(Y772=1,"",INDEX(DATAS,W771+1)),INDEX(DATAS,W771+1)),"")</f>
        <v/>
      </c>
    </row>
    <row r="772" customFormat="false" ht="15" hidden="false" customHeight="false" outlineLevel="0" collapsed="false">
      <c r="A772" s="33" t="n">
        <v>46309</v>
      </c>
      <c r="B772" s="0" t="n">
        <v>3</v>
      </c>
      <c r="C772" s="0" t="n">
        <v>4698</v>
      </c>
      <c r="D772" s="0" t="n">
        <v>266</v>
      </c>
      <c r="E772" s="0" t="n">
        <v>2</v>
      </c>
      <c r="F772" s="27" t="s">
        <v>640</v>
      </c>
      <c r="G772" s="0" t="n">
        <v>50.9</v>
      </c>
      <c r="H772" s="0" t="n">
        <v>49</v>
      </c>
      <c r="I772" s="27" t="s">
        <v>138</v>
      </c>
      <c r="J772" s="0" t="n">
        <v>126</v>
      </c>
      <c r="K772" s="0" t="n">
        <v>70</v>
      </c>
      <c r="L772" s="0" t="n">
        <v>140</v>
      </c>
      <c r="M772" s="0" t="n">
        <v>1044.37</v>
      </c>
      <c r="N772" s="0" t="n">
        <v>49.01</v>
      </c>
      <c r="O772" s="0" t="n">
        <v>26.4</v>
      </c>
      <c r="P772" s="0" t="n">
        <v>4.25</v>
      </c>
      <c r="Q772" s="0" t="n">
        <v>3.17</v>
      </c>
      <c r="R772" s="0" t="n">
        <v>5431</v>
      </c>
      <c r="S772" s="0" t="n">
        <v>12110</v>
      </c>
      <c r="T772" s="0" t="n">
        <v>57.2</v>
      </c>
      <c r="U772" s="0" t="n">
        <v>1256</v>
      </c>
      <c r="V772" s="0" t="n">
        <v>3</v>
      </c>
      <c r="W772" s="27" t="n">
        <f aca="false">MATCH(A772,DATAS,0)</f>
        <v>1</v>
      </c>
      <c r="X772" s="27" t="n">
        <f aca="false">IF(AND(E772&gt;0,OR(AND(B772&gt;=1,B772&lt;=6),B772=10)),1,0)</f>
        <v>1</v>
      </c>
      <c r="Y772" s="27" t="n">
        <f aca="false">IF(AND(E772&gt;0,B772=10),1,0)</f>
        <v>0</v>
      </c>
      <c r="Z772" s="0" t="str">
        <f aca="false">IF(AND(C771=C772,W771=W772-1),X771,"")</f>
        <v/>
      </c>
      <c r="AA772" s="0" t="str">
        <f aca="false">IF(AND(C771=C772,W771=W772-1),Y771,"")</f>
        <v/>
      </c>
      <c r="AB772" s="0" t="str">
        <f aca="false">IF(W772=1,"",IF(AND(X772=1,Z772&lt;&gt;1),1,0))</f>
        <v/>
      </c>
      <c r="AC772" s="0" t="str">
        <f aca="false">IF(W772=1,"",IF(AND(Y772=1,AA772&lt;&gt;1),1,0))</f>
        <v/>
      </c>
      <c r="AD772" s="33" t="str">
        <f aca="false">IF(AND(E772&gt;0,W772&lt;1,NOT(AND(C773=C772,W773=W772+1))),INDEX(DATAS,W772+1),"")</f>
        <v/>
      </c>
      <c r="AE772" s="33" t="str">
        <f aca="false">IF(AND(Y772=1,W772&lt;1),IF(AND(C773=C772,W773=W772+1),IF(Y773=1,"",INDEX(DATAS,W772+1)),INDEX(DATAS,W772+1)),"")</f>
        <v/>
      </c>
    </row>
    <row r="773" customFormat="false" ht="15" hidden="false" customHeight="false" outlineLevel="0" collapsed="false">
      <c r="A773" s="33" t="n">
        <v>46309</v>
      </c>
      <c r="B773" s="0" t="n">
        <v>5</v>
      </c>
      <c r="C773" s="0" t="n">
        <v>4699</v>
      </c>
      <c r="D773" s="0" t="n">
        <v>202</v>
      </c>
      <c r="E773" s="0" t="n">
        <v>2</v>
      </c>
      <c r="F773" s="27" t="s">
        <v>641</v>
      </c>
      <c r="G773" s="0" t="n">
        <v>47.1</v>
      </c>
      <c r="H773" s="0" t="n">
        <v>44</v>
      </c>
      <c r="I773" s="27" t="s">
        <v>138</v>
      </c>
      <c r="J773" s="0" t="n">
        <v>69</v>
      </c>
      <c r="K773" s="0" t="n">
        <v>69</v>
      </c>
      <c r="L773" s="0" t="n">
        <v>133</v>
      </c>
      <c r="M773" s="0" t="n">
        <v>509.84</v>
      </c>
      <c r="N773" s="0" t="n">
        <v>41.96</v>
      </c>
      <c r="O773" s="0" t="n">
        <v>37.35</v>
      </c>
      <c r="P773" s="0" t="n">
        <v>4.93</v>
      </c>
      <c r="Q773" s="0" t="n">
        <v>4.18</v>
      </c>
      <c r="R773" s="0" t="n">
        <v>4302</v>
      </c>
      <c r="S773" s="0" t="n">
        <v>8931</v>
      </c>
      <c r="T773" s="0" t="n">
        <v>53.15</v>
      </c>
      <c r="U773" s="0" t="n">
        <v>1255</v>
      </c>
      <c r="V773" s="0" t="n">
        <v>1</v>
      </c>
      <c r="W773" s="27" t="n">
        <f aca="false">MATCH(A773,DATAS,0)</f>
        <v>1</v>
      </c>
      <c r="X773" s="27" t="n">
        <f aca="false">IF(AND(E773&gt;0,OR(AND(B773&gt;=1,B773&lt;=6),B773=10)),1,0)</f>
        <v>1</v>
      </c>
      <c r="Y773" s="27" t="n">
        <f aca="false">IF(AND(E773&gt;0,B773=10),1,0)</f>
        <v>0</v>
      </c>
      <c r="Z773" s="0" t="str">
        <f aca="false">IF(AND(C772=C773,W772=W773-1),X772,"")</f>
        <v/>
      </c>
      <c r="AA773" s="0" t="str">
        <f aca="false">IF(AND(C772=C773,W772=W773-1),Y772,"")</f>
        <v/>
      </c>
      <c r="AB773" s="0" t="str">
        <f aca="false">IF(W773=1,"",IF(AND(X773=1,Z773&lt;&gt;1),1,0))</f>
        <v/>
      </c>
      <c r="AC773" s="0" t="str">
        <f aca="false">IF(W773=1,"",IF(AND(Y773=1,AA773&lt;&gt;1),1,0))</f>
        <v/>
      </c>
      <c r="AD773" s="33" t="str">
        <f aca="false">IF(AND(E773&gt;0,W773&lt;1,NOT(AND(C774=C773,W774=W773+1))),INDEX(DATAS,W773+1),"")</f>
        <v/>
      </c>
      <c r="AE773" s="33" t="str">
        <f aca="false">IF(AND(Y773=1,W773&lt;1),IF(AND(C774=C773,W774=W773+1),IF(Y774=1,"",INDEX(DATAS,W773+1)),INDEX(DATAS,W773+1)),"")</f>
        <v/>
      </c>
    </row>
    <row r="774" customFormat="false" ht="15" hidden="false" customHeight="false" outlineLevel="0" collapsed="false">
      <c r="A774" s="33" t="n">
        <v>46309</v>
      </c>
      <c r="B774" s="0" t="n">
        <v>6</v>
      </c>
      <c r="C774" s="0" t="n">
        <v>4700</v>
      </c>
      <c r="D774" s="0" t="n">
        <v>244</v>
      </c>
      <c r="E774" s="0" t="n">
        <v>2</v>
      </c>
      <c r="F774" s="27" t="s">
        <v>642</v>
      </c>
      <c r="G774" s="0" t="n">
        <v>23.6</v>
      </c>
      <c r="H774" s="0" t="n">
        <v>22</v>
      </c>
      <c r="I774" s="27" t="s">
        <v>168</v>
      </c>
      <c r="J774" s="0" t="n">
        <v>244</v>
      </c>
      <c r="K774" s="0" t="n">
        <v>69</v>
      </c>
      <c r="M774" s="0" t="n">
        <v>-594.2</v>
      </c>
      <c r="N774" s="0" t="n">
        <v>47.83</v>
      </c>
      <c r="O774" s="0" t="n">
        <v>5.39</v>
      </c>
      <c r="P774" s="0" t="n">
        <v>6.03</v>
      </c>
      <c r="Q774" s="0" t="n">
        <v>3.84</v>
      </c>
      <c r="R774" s="0" t="n">
        <v>2759</v>
      </c>
      <c r="S774" s="0" t="n">
        <v>5427</v>
      </c>
      <c r="T774" s="0" t="n">
        <v>30</v>
      </c>
      <c r="U774" s="0" t="n">
        <v>1254</v>
      </c>
      <c r="V774" s="0" t="n">
        <v>7</v>
      </c>
      <c r="W774" s="27" t="n">
        <f aca="false">MATCH(A774,DATAS,0)</f>
        <v>1</v>
      </c>
      <c r="X774" s="27" t="n">
        <f aca="false">IF(AND(E774&gt;0,OR(AND(B774&gt;=1,B774&lt;=6),B774=10)),1,0)</f>
        <v>1</v>
      </c>
      <c r="Y774" s="27" t="n">
        <f aca="false">IF(AND(E774&gt;0,B774=10),1,0)</f>
        <v>0</v>
      </c>
      <c r="Z774" s="0" t="str">
        <f aca="false">IF(AND(C773=C774,W773=W774-1),X773,"")</f>
        <v/>
      </c>
      <c r="AA774" s="0" t="str">
        <f aca="false">IF(AND(C773=C774,W773=W774-1),Y773,"")</f>
        <v/>
      </c>
      <c r="AB774" s="0" t="str">
        <f aca="false">IF(W774=1,"",IF(AND(X774=1,Z774&lt;&gt;1),1,0))</f>
        <v/>
      </c>
      <c r="AC774" s="0" t="str">
        <f aca="false">IF(W774=1,"",IF(AND(Y774=1,AA774&lt;&gt;1),1,0))</f>
        <v/>
      </c>
      <c r="AD774" s="33" t="str">
        <f aca="false">IF(AND(E774&gt;0,W774&lt;1,NOT(AND(C775=C774,W775=W774+1))),INDEX(DATAS,W774+1),"")</f>
        <v/>
      </c>
      <c r="AE774" s="33" t="str">
        <f aca="false">IF(AND(Y774=1,W774&lt;1),IF(AND(C775=C774,W775=W774+1),IF(Y775=1,"",INDEX(DATAS,W774+1)),INDEX(DATAS,W774+1)),"")</f>
        <v/>
      </c>
    </row>
    <row r="775" customFormat="false" ht="15" hidden="false" customHeight="false" outlineLevel="0" collapsed="false">
      <c r="A775" s="33" t="n">
        <v>46309</v>
      </c>
      <c r="B775" s="0" t="n">
        <v>3</v>
      </c>
      <c r="C775" s="0" t="n">
        <v>4702</v>
      </c>
      <c r="D775" s="0" t="n">
        <v>281</v>
      </c>
      <c r="E775" s="0" t="n">
        <v>2</v>
      </c>
      <c r="F775" s="27" t="s">
        <v>643</v>
      </c>
      <c r="G775" s="0" t="n">
        <v>47.3</v>
      </c>
      <c r="H775" s="0" t="n">
        <v>50</v>
      </c>
      <c r="I775" s="27" t="s">
        <v>138</v>
      </c>
      <c r="J775" s="0" t="n">
        <v>169</v>
      </c>
      <c r="K775" s="0" t="n">
        <v>64</v>
      </c>
      <c r="L775" s="0" t="n">
        <v>112</v>
      </c>
      <c r="M775" s="0" t="n">
        <v>444.79</v>
      </c>
      <c r="N775" s="0" t="n">
        <v>18.95</v>
      </c>
      <c r="O775" s="0" t="n">
        <v>16.73</v>
      </c>
      <c r="P775" s="0" t="n">
        <v>2.95</v>
      </c>
      <c r="Q775" s="0" t="n">
        <v>3.53</v>
      </c>
      <c r="R775" s="0" t="n">
        <v>4921</v>
      </c>
      <c r="S775" s="0" t="n">
        <v>9154</v>
      </c>
      <c r="T775" s="0" t="n">
        <v>50.6</v>
      </c>
      <c r="U775" s="0" t="n">
        <v>1253</v>
      </c>
      <c r="V775" s="0" t="n">
        <v>3</v>
      </c>
      <c r="W775" s="27" t="n">
        <f aca="false">MATCH(A775,DATAS,0)</f>
        <v>1</v>
      </c>
      <c r="X775" s="27" t="n">
        <f aca="false">IF(AND(E775&gt;0,OR(AND(B775&gt;=1,B775&lt;=6),B775=10)),1,0)</f>
        <v>1</v>
      </c>
      <c r="Y775" s="27" t="n">
        <f aca="false">IF(AND(E775&gt;0,B775=10),1,0)</f>
        <v>0</v>
      </c>
      <c r="Z775" s="0" t="str">
        <f aca="false">IF(AND(C774=C775,W774=W775-1),X774,"")</f>
        <v/>
      </c>
      <c r="AA775" s="0" t="str">
        <f aca="false">IF(AND(C774=C775,W774=W775-1),Y774,"")</f>
        <v/>
      </c>
      <c r="AB775" s="0" t="str">
        <f aca="false">IF(W775=1,"",IF(AND(X775=1,Z775&lt;&gt;1),1,0))</f>
        <v/>
      </c>
      <c r="AC775" s="0" t="str">
        <f aca="false">IF(W775=1,"",IF(AND(Y775=1,AA775&lt;&gt;1),1,0))</f>
        <v/>
      </c>
      <c r="AD775" s="33" t="str">
        <f aca="false">IF(AND(E775&gt;0,W775&lt;1,NOT(AND(C776=C775,W776=W775+1))),INDEX(DATAS,W775+1),"")</f>
        <v/>
      </c>
      <c r="AE775" s="33" t="str">
        <f aca="false">IF(AND(Y775=1,W775&lt;1),IF(AND(C776=C775,W776=W775+1),IF(Y776=1,"",INDEX(DATAS,W775+1)),INDEX(DATAS,W775+1)),"")</f>
        <v/>
      </c>
    </row>
    <row r="776" customFormat="false" ht="15" hidden="false" customHeight="false" outlineLevel="0" collapsed="false">
      <c r="A776" s="33" t="n">
        <v>46309</v>
      </c>
      <c r="B776" s="0" t="n">
        <v>2</v>
      </c>
      <c r="C776" s="0" t="n">
        <v>4703</v>
      </c>
      <c r="D776" s="0" t="n">
        <v>278</v>
      </c>
      <c r="E776" s="0" t="n">
        <v>2</v>
      </c>
      <c r="F776" s="27" t="s">
        <v>643</v>
      </c>
      <c r="G776" s="0" t="n">
        <v>41.4</v>
      </c>
      <c r="H776" s="0" t="n">
        <v>46</v>
      </c>
      <c r="I776" s="27" t="s">
        <v>138</v>
      </c>
      <c r="J776" s="0" t="n">
        <v>68</v>
      </c>
      <c r="K776" s="0" t="n">
        <v>68</v>
      </c>
      <c r="L776" s="0" t="n">
        <v>210</v>
      </c>
      <c r="M776" s="0" t="n">
        <v>1229.93</v>
      </c>
      <c r="N776" s="0" t="n">
        <v>53.53</v>
      </c>
      <c r="O776" s="0" t="n">
        <v>40.08</v>
      </c>
      <c r="P776" s="0" t="n">
        <v>3.84</v>
      </c>
      <c r="Q776" s="0" t="n">
        <v>3.07</v>
      </c>
      <c r="R776" s="0" t="n">
        <v>5404</v>
      </c>
      <c r="S776" s="0" t="n">
        <v>12149</v>
      </c>
      <c r="T776" s="0" t="n">
        <v>55.65</v>
      </c>
      <c r="U776" s="0" t="n">
        <v>1253</v>
      </c>
      <c r="V776" s="0" t="n">
        <v>1</v>
      </c>
      <c r="W776" s="27" t="n">
        <f aca="false">MATCH(A776,DATAS,0)</f>
        <v>1</v>
      </c>
      <c r="X776" s="27" t="n">
        <f aca="false">IF(AND(E776&gt;0,OR(AND(B776&gt;=1,B776&lt;=6),B776=10)),1,0)</f>
        <v>1</v>
      </c>
      <c r="Y776" s="27" t="n">
        <f aca="false">IF(AND(E776&gt;0,B776=10),1,0)</f>
        <v>0</v>
      </c>
      <c r="Z776" s="0" t="str">
        <f aca="false">IF(AND(C775=C776,W775=W776-1),X775,"")</f>
        <v/>
      </c>
      <c r="AA776" s="0" t="str">
        <f aca="false">IF(AND(C775=C776,W775=W776-1),Y775,"")</f>
        <v/>
      </c>
      <c r="AB776" s="0" t="str">
        <f aca="false">IF(W776=1,"",IF(AND(X776=1,Z776&lt;&gt;1),1,0))</f>
        <v/>
      </c>
      <c r="AC776" s="0" t="str">
        <f aca="false">IF(W776=1,"",IF(AND(Y776=1,AA776&lt;&gt;1),1,0))</f>
        <v/>
      </c>
      <c r="AD776" s="33" t="str">
        <f aca="false">IF(AND(E776&gt;0,W776&lt;1,NOT(AND(C777=C776,W777=W776+1))),INDEX(DATAS,W776+1),"")</f>
        <v/>
      </c>
      <c r="AE776" s="33" t="str">
        <f aca="false">IF(AND(Y776=1,W776&lt;1),IF(AND(C777=C776,W777=W776+1),IF(Y777=1,"",INDEX(DATAS,W776+1)),INDEX(DATAS,W776+1)),"")</f>
        <v/>
      </c>
    </row>
    <row r="777" customFormat="false" ht="15" hidden="false" customHeight="false" outlineLevel="0" collapsed="false">
      <c r="A777" s="33" t="n">
        <v>46309</v>
      </c>
      <c r="B777" s="0" t="n">
        <v>5</v>
      </c>
      <c r="C777" s="0" t="n">
        <v>4704</v>
      </c>
      <c r="D777" s="0" t="n">
        <v>164</v>
      </c>
      <c r="E777" s="0" t="n">
        <v>2</v>
      </c>
      <c r="F777" s="27" t="s">
        <v>644</v>
      </c>
      <c r="G777" s="0" t="n">
        <v>41.9</v>
      </c>
      <c r="H777" s="0" t="n">
        <v>38</v>
      </c>
      <c r="I777" s="27" t="s">
        <v>138</v>
      </c>
      <c r="J777" s="0" t="n">
        <v>66</v>
      </c>
      <c r="K777" s="0" t="n">
        <v>66</v>
      </c>
      <c r="L777" s="0" t="n">
        <v>98</v>
      </c>
      <c r="M777" s="0" t="n">
        <v>956.93</v>
      </c>
      <c r="N777" s="0" t="n">
        <v>40.48</v>
      </c>
      <c r="O777" s="0" t="n">
        <v>32.59</v>
      </c>
      <c r="P777" s="0" t="n">
        <v>2.86</v>
      </c>
      <c r="Q777" s="0" t="n">
        <v>3.79</v>
      </c>
      <c r="R777" s="0" t="n">
        <v>4723</v>
      </c>
      <c r="S777" s="0" t="n">
        <v>9312</v>
      </c>
      <c r="T777" s="0" t="n">
        <v>51.95</v>
      </c>
      <c r="U777" s="0" t="n">
        <v>1251</v>
      </c>
      <c r="V777" s="0" t="n">
        <v>1</v>
      </c>
      <c r="W777" s="27" t="n">
        <f aca="false">MATCH(A777,DATAS,0)</f>
        <v>1</v>
      </c>
      <c r="X777" s="27" t="n">
        <f aca="false">IF(AND(E777&gt;0,OR(AND(B777&gt;=1,B777&lt;=6),B777=10)),1,0)</f>
        <v>1</v>
      </c>
      <c r="Y777" s="27" t="n">
        <f aca="false">IF(AND(E777&gt;0,B777=10),1,0)</f>
        <v>0</v>
      </c>
      <c r="Z777" s="0" t="str">
        <f aca="false">IF(AND(C776=C777,W776=W777-1),X776,"")</f>
        <v/>
      </c>
      <c r="AA777" s="0" t="str">
        <f aca="false">IF(AND(C776=C777,W776=W777-1),Y776,"")</f>
        <v/>
      </c>
      <c r="AB777" s="0" t="str">
        <f aca="false">IF(W777=1,"",IF(AND(X777=1,Z777&lt;&gt;1),1,0))</f>
        <v/>
      </c>
      <c r="AC777" s="0" t="str">
        <f aca="false">IF(W777=1,"",IF(AND(Y777=1,AA777&lt;&gt;1),1,0))</f>
        <v/>
      </c>
      <c r="AD777" s="33" t="str">
        <f aca="false">IF(AND(E777&gt;0,W777&lt;1,NOT(AND(C778=C777,W778=W777+1))),INDEX(DATAS,W777+1),"")</f>
        <v/>
      </c>
      <c r="AE777" s="33" t="str">
        <f aca="false">IF(AND(Y777=1,W777&lt;1),IF(AND(C778=C777,W778=W777+1),IF(Y778=1,"",INDEX(DATAS,W777+1)),INDEX(DATAS,W777+1)),"")</f>
        <v/>
      </c>
    </row>
    <row r="778" customFormat="false" ht="15" hidden="false" customHeight="false" outlineLevel="0" collapsed="false">
      <c r="A778" s="33" t="n">
        <v>46309</v>
      </c>
      <c r="B778" s="0" t="n">
        <v>14</v>
      </c>
      <c r="C778" s="0" t="n">
        <v>4707</v>
      </c>
      <c r="D778" s="0" t="n">
        <v>546</v>
      </c>
      <c r="E778" s="0" t="n">
        <v>1</v>
      </c>
      <c r="F778" s="27" t="s">
        <v>645</v>
      </c>
      <c r="I778" s="27" t="s">
        <v>143</v>
      </c>
      <c r="J778" s="0" t="n">
        <v>330</v>
      </c>
      <c r="K778" s="0" t="n">
        <v>65</v>
      </c>
      <c r="L778" s="0" t="n">
        <v>273</v>
      </c>
      <c r="M778" s="0" t="n">
        <v>585.94</v>
      </c>
      <c r="N778" s="0" t="n">
        <v>29.51</v>
      </c>
      <c r="O778" s="0" t="n">
        <v>16.81</v>
      </c>
      <c r="P778" s="0" t="n">
        <v>5.08</v>
      </c>
      <c r="Q778" s="0" t="n">
        <v>3.93</v>
      </c>
      <c r="R778" s="0" t="n">
        <v>3946</v>
      </c>
      <c r="S778" s="0" t="n">
        <v>9515</v>
      </c>
      <c r="T778" s="0" t="n">
        <v>44.6</v>
      </c>
      <c r="U778" s="0" t="n">
        <v>1250</v>
      </c>
      <c r="V778" s="0" t="n">
        <v>7</v>
      </c>
      <c r="W778" s="27" t="n">
        <f aca="false">MATCH(A778,DATAS,0)</f>
        <v>1</v>
      </c>
      <c r="X778" s="27" t="n">
        <f aca="false">IF(AND(E778&gt;0,OR(AND(B778&gt;=1,B778&lt;=6),B778=10)),1,0)</f>
        <v>0</v>
      </c>
      <c r="Y778" s="27" t="n">
        <f aca="false">IF(AND(E778&gt;0,B778=10),1,0)</f>
        <v>0</v>
      </c>
      <c r="Z778" s="0" t="str">
        <f aca="false">IF(AND(C777=C778,W777=W778-1),X777,"")</f>
        <v/>
      </c>
      <c r="AA778" s="0" t="str">
        <f aca="false">IF(AND(C777=C778,W777=W778-1),Y777,"")</f>
        <v/>
      </c>
      <c r="AB778" s="0" t="str">
        <f aca="false">IF(W778=1,"",IF(AND(X778=1,Z778&lt;&gt;1),1,0))</f>
        <v/>
      </c>
      <c r="AC778" s="0" t="str">
        <f aca="false">IF(W778=1,"",IF(AND(Y778=1,AA778&lt;&gt;1),1,0))</f>
        <v/>
      </c>
      <c r="AD778" s="33" t="str">
        <f aca="false">IF(AND(E778&gt;0,W778&lt;1,NOT(AND(C779=C778,W779=W778+1))),INDEX(DATAS,W778+1),"")</f>
        <v/>
      </c>
      <c r="AE778" s="33" t="str">
        <f aca="false">IF(AND(Y778=1,W778&lt;1),IF(AND(C779=C778,W779=W778+1),IF(Y779=1,"",INDEX(DATAS,W778+1)),INDEX(DATAS,W778+1)),"")</f>
        <v/>
      </c>
    </row>
    <row r="779" customFormat="false" ht="15" hidden="false" customHeight="false" outlineLevel="0" collapsed="false">
      <c r="A779" s="33" t="n">
        <v>46309</v>
      </c>
      <c r="B779" s="0" t="n">
        <v>5</v>
      </c>
      <c r="C779" s="0" t="n">
        <v>4710</v>
      </c>
      <c r="D779" s="0" t="n">
        <v>222</v>
      </c>
      <c r="E779" s="0" t="n">
        <v>2</v>
      </c>
      <c r="F779" s="27" t="s">
        <v>646</v>
      </c>
      <c r="G779" s="0" t="n">
        <v>38.2</v>
      </c>
      <c r="H779" s="0" t="n">
        <v>35</v>
      </c>
      <c r="I779" s="27" t="s">
        <v>168</v>
      </c>
      <c r="J779" s="0" t="n">
        <v>222</v>
      </c>
      <c r="K779" s="0" t="n">
        <v>68</v>
      </c>
      <c r="M779" s="0" t="n">
        <v>225.49</v>
      </c>
      <c r="N779" s="0" t="n">
        <v>74.44</v>
      </c>
      <c r="O779" s="0" t="n">
        <v>28.79</v>
      </c>
      <c r="P779" s="0" t="n">
        <v>5.54</v>
      </c>
      <c r="Q779" s="0" t="n">
        <v>4.33</v>
      </c>
      <c r="R779" s="0" t="n">
        <v>4409</v>
      </c>
      <c r="S779" s="0" t="n">
        <v>8039</v>
      </c>
      <c r="T779" s="0" t="n">
        <v>50.3</v>
      </c>
      <c r="U779" s="0" t="n">
        <v>1247</v>
      </c>
      <c r="V779" s="0" t="n">
        <v>5</v>
      </c>
      <c r="W779" s="27" t="n">
        <f aca="false">MATCH(A779,DATAS,0)</f>
        <v>1</v>
      </c>
      <c r="X779" s="27" t="n">
        <f aca="false">IF(AND(E779&gt;0,OR(AND(B779&gt;=1,B779&lt;=6),B779=10)),1,0)</f>
        <v>1</v>
      </c>
      <c r="Y779" s="27" t="n">
        <f aca="false">IF(AND(E779&gt;0,B779=10),1,0)</f>
        <v>0</v>
      </c>
      <c r="Z779" s="0" t="str">
        <f aca="false">IF(AND(C778=C779,W778=W779-1),X778,"")</f>
        <v/>
      </c>
      <c r="AA779" s="0" t="str">
        <f aca="false">IF(AND(C778=C779,W778=W779-1),Y778,"")</f>
        <v/>
      </c>
      <c r="AB779" s="0" t="str">
        <f aca="false">IF(W779=1,"",IF(AND(X779=1,Z779&lt;&gt;1),1,0))</f>
        <v/>
      </c>
      <c r="AC779" s="0" t="str">
        <f aca="false">IF(W779=1,"",IF(AND(Y779=1,AA779&lt;&gt;1),1,0))</f>
        <v/>
      </c>
      <c r="AD779" s="33" t="str">
        <f aca="false">IF(AND(E779&gt;0,W779&lt;1,NOT(AND(C780=C779,W780=W779+1))),INDEX(DATAS,W779+1),"")</f>
        <v/>
      </c>
      <c r="AE779" s="33" t="str">
        <f aca="false">IF(AND(Y779=1,W779&lt;1),IF(AND(C780=C779,W780=W779+1),IF(Y780=1,"",INDEX(DATAS,W779+1)),INDEX(DATAS,W779+1)),"")</f>
        <v/>
      </c>
    </row>
    <row r="780" customFormat="false" ht="15" hidden="false" customHeight="false" outlineLevel="0" collapsed="false">
      <c r="A780" s="33" t="n">
        <v>46309</v>
      </c>
      <c r="B780" s="0" t="n">
        <v>5</v>
      </c>
      <c r="C780" s="0" t="n">
        <v>4711</v>
      </c>
      <c r="D780" s="0" t="n">
        <v>216</v>
      </c>
      <c r="E780" s="0" t="n">
        <v>2</v>
      </c>
      <c r="F780" s="27" t="s">
        <v>646</v>
      </c>
      <c r="G780" s="0" t="n">
        <v>34.8</v>
      </c>
      <c r="H780" s="0" t="n">
        <v>35</v>
      </c>
      <c r="I780" s="27" t="s">
        <v>138</v>
      </c>
      <c r="J780" s="0" t="n">
        <v>69</v>
      </c>
      <c r="K780" s="0" t="n">
        <v>69</v>
      </c>
      <c r="L780" s="0" t="n">
        <v>147</v>
      </c>
      <c r="M780" s="0" t="n">
        <v>259.14</v>
      </c>
      <c r="N780" s="0" t="n">
        <v>51.32</v>
      </c>
      <c r="O780" s="0" t="n">
        <v>16.52</v>
      </c>
      <c r="P780" s="0" t="n">
        <v>4.85</v>
      </c>
      <c r="Q780" s="0" t="n">
        <v>3.77</v>
      </c>
      <c r="R780" s="0" t="n">
        <v>2456</v>
      </c>
      <c r="S780" s="0" t="n">
        <v>6002</v>
      </c>
      <c r="T780" s="0" t="n">
        <v>31.9</v>
      </c>
      <c r="U780" s="0" t="n">
        <v>1247</v>
      </c>
      <c r="V780" s="0" t="n">
        <v>1</v>
      </c>
      <c r="W780" s="27" t="n">
        <f aca="false">MATCH(A780,DATAS,0)</f>
        <v>1</v>
      </c>
      <c r="X780" s="27" t="n">
        <f aca="false">IF(AND(E780&gt;0,OR(AND(B780&gt;=1,B780&lt;=6),B780=10)),1,0)</f>
        <v>1</v>
      </c>
      <c r="Y780" s="27" t="n">
        <f aca="false">IF(AND(E780&gt;0,B780=10),1,0)</f>
        <v>0</v>
      </c>
      <c r="Z780" s="0" t="str">
        <f aca="false">IF(AND(C779=C780,W779=W780-1),X779,"")</f>
        <v/>
      </c>
      <c r="AA780" s="0" t="str">
        <f aca="false">IF(AND(C779=C780,W779=W780-1),Y779,"")</f>
        <v/>
      </c>
      <c r="AB780" s="0" t="str">
        <f aca="false">IF(W780=1,"",IF(AND(X780=1,Z780&lt;&gt;1),1,0))</f>
        <v/>
      </c>
      <c r="AC780" s="0" t="str">
        <f aca="false">IF(W780=1,"",IF(AND(Y780=1,AA780&lt;&gt;1),1,0))</f>
        <v/>
      </c>
      <c r="AD780" s="33" t="str">
        <f aca="false">IF(AND(E780&gt;0,W780&lt;1,NOT(AND(C781=C780,W781=W780+1))),INDEX(DATAS,W780+1),"")</f>
        <v/>
      </c>
      <c r="AE780" s="33" t="str">
        <f aca="false">IF(AND(Y780=1,W780&lt;1),IF(AND(C781=C780,W781=W780+1),IF(Y781=1,"",INDEX(DATAS,W780+1)),INDEX(DATAS,W780+1)),"")</f>
        <v/>
      </c>
    </row>
    <row r="781" customFormat="false" ht="15" hidden="false" customHeight="false" outlineLevel="0" collapsed="false">
      <c r="A781" s="33" t="n">
        <v>46309</v>
      </c>
      <c r="B781" s="0" t="n">
        <v>2</v>
      </c>
      <c r="C781" s="0" t="n">
        <v>4712</v>
      </c>
      <c r="D781" s="0" t="n">
        <v>125</v>
      </c>
      <c r="E781" s="0" t="n">
        <v>2</v>
      </c>
      <c r="F781" s="27" t="s">
        <v>647</v>
      </c>
      <c r="G781" s="0" t="n">
        <v>53.9</v>
      </c>
      <c r="H781" s="0" t="n">
        <v>55</v>
      </c>
      <c r="I781" s="27" t="s">
        <v>176</v>
      </c>
      <c r="J781" s="0" t="n">
        <v>125</v>
      </c>
      <c r="K781" s="0" t="n">
        <v>66</v>
      </c>
      <c r="M781" s="0" t="n">
        <v>1086.87</v>
      </c>
      <c r="N781" s="0" t="n">
        <v>33.02</v>
      </c>
      <c r="O781" s="0" t="n">
        <v>38.44</v>
      </c>
      <c r="P781" s="0" t="n">
        <v>2.59</v>
      </c>
      <c r="Q781" s="0" t="n">
        <v>3.55</v>
      </c>
      <c r="R781" s="0" t="n">
        <v>5153</v>
      </c>
      <c r="S781" s="0" t="n">
        <v>10609</v>
      </c>
      <c r="T781" s="0" t="n">
        <v>55.85</v>
      </c>
      <c r="U781" s="0" t="n">
        <v>1246</v>
      </c>
      <c r="V781" s="0" t="n">
        <v>1</v>
      </c>
      <c r="W781" s="27" t="n">
        <f aca="false">MATCH(A781,DATAS,0)</f>
        <v>1</v>
      </c>
      <c r="X781" s="27" t="n">
        <f aca="false">IF(AND(E781&gt;0,OR(AND(B781&gt;=1,B781&lt;=6),B781=10)),1,0)</f>
        <v>1</v>
      </c>
      <c r="Y781" s="27" t="n">
        <f aca="false">IF(AND(E781&gt;0,B781=10),1,0)</f>
        <v>0</v>
      </c>
      <c r="Z781" s="0" t="str">
        <f aca="false">IF(AND(C780=C781,W780=W781-1),X780,"")</f>
        <v/>
      </c>
      <c r="AA781" s="0" t="str">
        <f aca="false">IF(AND(C780=C781,W780=W781-1),Y780,"")</f>
        <v/>
      </c>
      <c r="AB781" s="0" t="str">
        <f aca="false">IF(W781=1,"",IF(AND(X781=1,Z781&lt;&gt;1),1,0))</f>
        <v/>
      </c>
      <c r="AC781" s="0" t="str">
        <f aca="false">IF(W781=1,"",IF(AND(Y781=1,AA781&lt;&gt;1),1,0))</f>
        <v/>
      </c>
      <c r="AD781" s="33" t="str">
        <f aca="false">IF(AND(E781&gt;0,W781&lt;1,NOT(AND(C782=C781,W782=W781+1))),INDEX(DATAS,W781+1),"")</f>
        <v/>
      </c>
      <c r="AE781" s="33" t="str">
        <f aca="false">IF(AND(Y781=1,W781&lt;1),IF(AND(C782=C781,W782=W781+1),IF(Y782=1,"",INDEX(DATAS,W781+1)),INDEX(DATAS,W781+1)),"")</f>
        <v/>
      </c>
    </row>
    <row r="782" customFormat="false" ht="15" hidden="false" customHeight="false" outlineLevel="0" collapsed="false">
      <c r="A782" s="33" t="n">
        <v>46309</v>
      </c>
      <c r="B782" s="0" t="n">
        <v>2</v>
      </c>
      <c r="C782" s="0" t="n">
        <v>4713</v>
      </c>
      <c r="D782" s="0" t="n">
        <v>183</v>
      </c>
      <c r="E782" s="0" t="n">
        <v>2</v>
      </c>
      <c r="F782" s="27" t="s">
        <v>647</v>
      </c>
      <c r="G782" s="0" t="n">
        <v>54</v>
      </c>
      <c r="H782" s="0" t="n">
        <v>55</v>
      </c>
      <c r="I782" s="27" t="s">
        <v>138</v>
      </c>
      <c r="J782" s="0" t="n">
        <v>134</v>
      </c>
      <c r="K782" s="0" t="n">
        <v>64</v>
      </c>
      <c r="L782" s="0" t="n">
        <v>49</v>
      </c>
      <c r="M782" s="0" t="n">
        <v>999.8</v>
      </c>
      <c r="N782" s="0" t="n">
        <v>78.74</v>
      </c>
      <c r="O782" s="0" t="n">
        <v>41.63</v>
      </c>
      <c r="P782" s="0" t="n">
        <v>3</v>
      </c>
      <c r="Q782" s="0" t="n">
        <v>3.44</v>
      </c>
      <c r="R782" s="0" t="n">
        <v>6009</v>
      </c>
      <c r="S782" s="0" t="n">
        <v>12254</v>
      </c>
      <c r="T782" s="0" t="n">
        <v>63.6</v>
      </c>
      <c r="U782" s="0" t="n">
        <v>1246</v>
      </c>
      <c r="V782" s="0" t="n">
        <v>3</v>
      </c>
      <c r="W782" s="27" t="n">
        <f aca="false">MATCH(A782,DATAS,0)</f>
        <v>1</v>
      </c>
      <c r="X782" s="27" t="n">
        <f aca="false">IF(AND(E782&gt;0,OR(AND(B782&gt;=1,B782&lt;=6),B782=10)),1,0)</f>
        <v>1</v>
      </c>
      <c r="Y782" s="27" t="n">
        <f aca="false">IF(AND(E782&gt;0,B782=10),1,0)</f>
        <v>0</v>
      </c>
      <c r="Z782" s="0" t="str">
        <f aca="false">IF(AND(C781=C782,W781=W782-1),X781,"")</f>
        <v/>
      </c>
      <c r="AA782" s="0" t="str">
        <f aca="false">IF(AND(C781=C782,W781=W782-1),Y781,"")</f>
        <v/>
      </c>
      <c r="AB782" s="0" t="str">
        <f aca="false">IF(W782=1,"",IF(AND(X782=1,Z782&lt;&gt;1),1,0))</f>
        <v/>
      </c>
      <c r="AC782" s="0" t="str">
        <f aca="false">IF(W782=1,"",IF(AND(Y782=1,AA782&lt;&gt;1),1,0))</f>
        <v/>
      </c>
      <c r="AD782" s="33" t="str">
        <f aca="false">IF(AND(E782&gt;0,W782&lt;1,NOT(AND(C783=C782,W783=W782+1))),INDEX(DATAS,W782+1),"")</f>
        <v/>
      </c>
      <c r="AE782" s="33" t="str">
        <f aca="false">IF(AND(Y782=1,W782&lt;1),IF(AND(C783=C782,W783=W782+1),IF(Y783=1,"",INDEX(DATAS,W782+1)),INDEX(DATAS,W782+1)),"")</f>
        <v/>
      </c>
    </row>
    <row r="783" customFormat="false" ht="15" hidden="false" customHeight="false" outlineLevel="0" collapsed="false">
      <c r="A783" s="33" t="n">
        <v>46309</v>
      </c>
      <c r="B783" s="0" t="n">
        <v>7</v>
      </c>
      <c r="C783" s="0" t="n">
        <v>4714</v>
      </c>
      <c r="D783" s="0" t="n">
        <v>45</v>
      </c>
      <c r="E783" s="0" t="n">
        <v>2</v>
      </c>
      <c r="F783" s="27" t="s">
        <v>647</v>
      </c>
      <c r="I783" s="27" t="s">
        <v>477</v>
      </c>
      <c r="J783" s="0" t="n">
        <v>45</v>
      </c>
      <c r="K783" s="0" t="n">
        <v>81</v>
      </c>
      <c r="M783" s="0" t="n">
        <v>780.59</v>
      </c>
      <c r="N783" s="0" t="n">
        <v>60.99</v>
      </c>
      <c r="O783" s="0" t="n">
        <v>33.62</v>
      </c>
      <c r="P783" s="0" t="n">
        <v>2.67</v>
      </c>
      <c r="Q783" s="0" t="n">
        <v>3.65</v>
      </c>
      <c r="R783" s="0" t="n">
        <v>749</v>
      </c>
      <c r="S783" s="0" t="n">
        <v>1506</v>
      </c>
      <c r="U783" s="0" t="n">
        <v>1246</v>
      </c>
      <c r="V783" s="0" t="n">
        <v>3</v>
      </c>
      <c r="W783" s="27" t="n">
        <f aca="false">MATCH(A783,DATAS,0)</f>
        <v>1</v>
      </c>
      <c r="X783" s="27" t="n">
        <f aca="false">IF(AND(E783&gt;0,OR(AND(B783&gt;=1,B783&lt;=6),B783=10)),1,0)</f>
        <v>0</v>
      </c>
      <c r="Y783" s="27" t="n">
        <f aca="false">IF(AND(E783&gt;0,B783=10),1,0)</f>
        <v>0</v>
      </c>
      <c r="Z783" s="0" t="str">
        <f aca="false">IF(AND(C782=C783,W782=W783-1),X782,"")</f>
        <v/>
      </c>
      <c r="AA783" s="0" t="str">
        <f aca="false">IF(AND(C782=C783,W782=W783-1),Y782,"")</f>
        <v/>
      </c>
      <c r="AB783" s="0" t="str">
        <f aca="false">IF(W783=1,"",IF(AND(X783=1,Z783&lt;&gt;1),1,0))</f>
        <v/>
      </c>
      <c r="AC783" s="0" t="str">
        <f aca="false">IF(W783=1,"",IF(AND(Y783=1,AA783&lt;&gt;1),1,0))</f>
        <v/>
      </c>
      <c r="AD783" s="33" t="str">
        <f aca="false">IF(AND(E783&gt;0,W783&lt;1,NOT(AND(C784=C783,W784=W783+1))),INDEX(DATAS,W783+1),"")</f>
        <v/>
      </c>
      <c r="AE783" s="33" t="str">
        <f aca="false">IF(AND(Y783=1,W783&lt;1),IF(AND(C784=C783,W784=W783+1),IF(Y784=1,"",INDEX(DATAS,W783+1)),INDEX(DATAS,W783+1)),"")</f>
        <v/>
      </c>
    </row>
    <row r="784" customFormat="false" ht="15" hidden="false" customHeight="false" outlineLevel="0" collapsed="false">
      <c r="A784" s="33" t="n">
        <v>46309</v>
      </c>
      <c r="B784" s="0" t="n">
        <v>3</v>
      </c>
      <c r="C784" s="0" t="n">
        <v>4715</v>
      </c>
      <c r="D784" s="0" t="n">
        <v>121</v>
      </c>
      <c r="E784" s="0" t="n">
        <v>2</v>
      </c>
      <c r="F784" s="27" t="s">
        <v>648</v>
      </c>
      <c r="G784" s="0" t="n">
        <v>53.2</v>
      </c>
      <c r="H784" s="0" t="n">
        <v>54</v>
      </c>
      <c r="I784" s="27" t="s">
        <v>168</v>
      </c>
      <c r="J784" s="0" t="n">
        <v>121</v>
      </c>
      <c r="K784" s="0" t="n">
        <v>93</v>
      </c>
      <c r="M784" s="0" t="n">
        <v>666.62</v>
      </c>
      <c r="N784" s="0" t="n">
        <v>30.73</v>
      </c>
      <c r="O784" s="0" t="n">
        <v>28.9</v>
      </c>
      <c r="P784" s="0" t="n">
        <v>3.54</v>
      </c>
      <c r="Q784" s="0" t="n">
        <v>3.18</v>
      </c>
      <c r="R784" s="0" t="n">
        <v>5256</v>
      </c>
      <c r="S784" s="0" t="n">
        <v>10716</v>
      </c>
      <c r="T784" s="0" t="n">
        <v>57</v>
      </c>
      <c r="U784" s="0" t="n">
        <v>1245</v>
      </c>
      <c r="V784" s="0" t="n">
        <v>1</v>
      </c>
      <c r="W784" s="27" t="n">
        <f aca="false">MATCH(A784,DATAS,0)</f>
        <v>1</v>
      </c>
      <c r="X784" s="27" t="n">
        <f aca="false">IF(AND(E784&gt;0,OR(AND(B784&gt;=1,B784&lt;=6),B784=10)),1,0)</f>
        <v>1</v>
      </c>
      <c r="Y784" s="27" t="n">
        <f aca="false">IF(AND(E784&gt;0,B784=10),1,0)</f>
        <v>0</v>
      </c>
      <c r="Z784" s="0" t="str">
        <f aca="false">IF(AND(C783=C784,W783=W784-1),X783,"")</f>
        <v/>
      </c>
      <c r="AA784" s="0" t="str">
        <f aca="false">IF(AND(C783=C784,W783=W784-1),Y783,"")</f>
        <v/>
      </c>
      <c r="AB784" s="0" t="str">
        <f aca="false">IF(W784=1,"",IF(AND(X784=1,Z784&lt;&gt;1),1,0))</f>
        <v/>
      </c>
      <c r="AC784" s="0" t="str">
        <f aca="false">IF(W784=1,"",IF(AND(Y784=1,AA784&lt;&gt;1),1,0))</f>
        <v/>
      </c>
      <c r="AD784" s="33" t="str">
        <f aca="false">IF(AND(E784&gt;0,W784&lt;1,NOT(AND(C785=C784,W785=W784+1))),INDEX(DATAS,W784+1),"")</f>
        <v/>
      </c>
      <c r="AE784" s="33" t="str">
        <f aca="false">IF(AND(Y784=1,W784&lt;1),IF(AND(C785=C784,W785=W784+1),IF(Y785=1,"",INDEX(DATAS,W784+1)),INDEX(DATAS,W784+1)),"")</f>
        <v/>
      </c>
    </row>
    <row r="785" customFormat="false" ht="15" hidden="false" customHeight="false" outlineLevel="0" collapsed="false">
      <c r="A785" s="33" t="n">
        <v>46309</v>
      </c>
      <c r="B785" s="0" t="n">
        <v>6</v>
      </c>
      <c r="C785" s="0" t="n">
        <v>4716</v>
      </c>
      <c r="D785" s="0" t="n">
        <v>311</v>
      </c>
      <c r="E785" s="0" t="n">
        <v>2</v>
      </c>
      <c r="F785" s="27" t="s">
        <v>649</v>
      </c>
      <c r="G785" s="0" t="n">
        <v>30.7</v>
      </c>
      <c r="H785" s="0" t="n">
        <v>28</v>
      </c>
      <c r="I785" s="27" t="s">
        <v>138</v>
      </c>
      <c r="J785" s="0" t="n">
        <v>136</v>
      </c>
      <c r="K785" s="0" t="n">
        <v>66</v>
      </c>
      <c r="L785" s="0" t="n">
        <v>175</v>
      </c>
      <c r="M785" s="0" t="n">
        <v>719.88</v>
      </c>
      <c r="N785" s="0" t="n">
        <v>61.48</v>
      </c>
      <c r="O785" s="0" t="n">
        <v>34.36</v>
      </c>
      <c r="P785" s="0" t="n">
        <v>4.38</v>
      </c>
      <c r="Q785" s="0" t="n">
        <v>3.98</v>
      </c>
      <c r="R785" s="0" t="n">
        <v>6250</v>
      </c>
      <c r="S785" s="0" t="n">
        <v>11859</v>
      </c>
      <c r="T785" s="0" t="n">
        <v>66.75</v>
      </c>
      <c r="U785" s="0" t="n">
        <v>1244</v>
      </c>
      <c r="V785" s="0" t="n">
        <v>3</v>
      </c>
      <c r="W785" s="27" t="n">
        <f aca="false">MATCH(A785,DATAS,0)</f>
        <v>1</v>
      </c>
      <c r="X785" s="27" t="n">
        <f aca="false">IF(AND(E785&gt;0,OR(AND(B785&gt;=1,B785&lt;=6),B785=10)),1,0)</f>
        <v>1</v>
      </c>
      <c r="Y785" s="27" t="n">
        <f aca="false">IF(AND(E785&gt;0,B785=10),1,0)</f>
        <v>0</v>
      </c>
      <c r="Z785" s="0" t="str">
        <f aca="false">IF(AND(C784=C785,W784=W785-1),X784,"")</f>
        <v/>
      </c>
      <c r="AA785" s="0" t="str">
        <f aca="false">IF(AND(C784=C785,W784=W785-1),Y784,"")</f>
        <v/>
      </c>
      <c r="AB785" s="0" t="str">
        <f aca="false">IF(W785=1,"",IF(AND(X785=1,Z785&lt;&gt;1),1,0))</f>
        <v/>
      </c>
      <c r="AC785" s="0" t="str">
        <f aca="false">IF(W785=1,"",IF(AND(Y785=1,AA785&lt;&gt;1),1,0))</f>
        <v/>
      </c>
      <c r="AD785" s="33" t="str">
        <f aca="false">IF(AND(E785&gt;0,W785&lt;1,NOT(AND(C786=C785,W786=W785+1))),INDEX(DATAS,W785+1),"")</f>
        <v/>
      </c>
      <c r="AE785" s="33" t="str">
        <f aca="false">IF(AND(Y785=1,W785&lt;1),IF(AND(C786=C785,W786=W785+1),IF(Y786=1,"",INDEX(DATAS,W785+1)),INDEX(DATAS,W785+1)),"")</f>
        <v/>
      </c>
    </row>
    <row r="786" customFormat="false" ht="15" hidden="false" customHeight="false" outlineLevel="0" collapsed="false">
      <c r="A786" s="33" t="n">
        <v>46309</v>
      </c>
      <c r="B786" s="0" t="n">
        <v>10</v>
      </c>
      <c r="C786" s="0" t="n">
        <v>4717</v>
      </c>
      <c r="D786" s="0" t="n">
        <v>154</v>
      </c>
      <c r="E786" s="0" t="n">
        <v>2</v>
      </c>
      <c r="F786" s="27" t="s">
        <v>650</v>
      </c>
      <c r="H786" s="0" t="n">
        <v>26</v>
      </c>
      <c r="I786" s="27" t="s">
        <v>138</v>
      </c>
      <c r="J786" s="0" t="n">
        <v>98</v>
      </c>
      <c r="K786" s="0" t="n">
        <v>63</v>
      </c>
      <c r="L786" s="0" t="n">
        <v>56</v>
      </c>
      <c r="M786" s="0" t="n">
        <v>111.94</v>
      </c>
      <c r="N786" s="0" t="n">
        <v>49.76</v>
      </c>
      <c r="O786" s="0" t="n">
        <v>13.34</v>
      </c>
      <c r="P786" s="0" t="n">
        <v>3.53</v>
      </c>
      <c r="Q786" s="0" t="n">
        <v>3.14</v>
      </c>
      <c r="R786" s="0" t="n">
        <v>4951</v>
      </c>
      <c r="S786" s="0" t="n">
        <v>9759</v>
      </c>
      <c r="T786" s="0" t="n">
        <v>52.9</v>
      </c>
      <c r="U786" s="0" t="n">
        <v>1243</v>
      </c>
      <c r="V786" s="0" t="n">
        <v>2</v>
      </c>
      <c r="W786" s="27" t="n">
        <f aca="false">MATCH(A786,DATAS,0)</f>
        <v>1</v>
      </c>
      <c r="X786" s="27" t="n">
        <f aca="false">IF(AND(E786&gt;0,OR(AND(B786&gt;=1,B786&lt;=6),B786=10)),1,0)</f>
        <v>1</v>
      </c>
      <c r="Y786" s="27" t="n">
        <f aca="false">IF(AND(E786&gt;0,B786=10),1,0)</f>
        <v>1</v>
      </c>
      <c r="Z786" s="0" t="str">
        <f aca="false">IF(AND(C785=C786,W785=W786-1),X785,"")</f>
        <v/>
      </c>
      <c r="AA786" s="0" t="str">
        <f aca="false">IF(AND(C785=C786,W785=W786-1),Y785,"")</f>
        <v/>
      </c>
      <c r="AB786" s="0" t="str">
        <f aca="false">IF(W786=1,"",IF(AND(X786=1,Z786&lt;&gt;1),1,0))</f>
        <v/>
      </c>
      <c r="AC786" s="0" t="str">
        <f aca="false">IF(W786=1,"",IF(AND(Y786=1,AA786&lt;&gt;1),1,0))</f>
        <v/>
      </c>
      <c r="AD786" s="33" t="str">
        <f aca="false">IF(AND(E786&gt;0,W786&lt;1,NOT(AND(C787=C786,W787=W786+1))),INDEX(DATAS,W786+1),"")</f>
        <v/>
      </c>
      <c r="AE786" s="33" t="str">
        <f aca="false">IF(AND(Y786=1,W786&lt;1),IF(AND(C787=C786,W787=W786+1),IF(Y787=1,"",INDEX(DATAS,W786+1)),INDEX(DATAS,W786+1)),"")</f>
        <v/>
      </c>
    </row>
    <row r="787" customFormat="false" ht="15" hidden="false" customHeight="false" outlineLevel="0" collapsed="false">
      <c r="A787" s="33" t="n">
        <v>46309</v>
      </c>
      <c r="B787" s="0" t="n">
        <v>2</v>
      </c>
      <c r="C787" s="0" t="n">
        <v>4718</v>
      </c>
      <c r="D787" s="0" t="n">
        <v>274</v>
      </c>
      <c r="E787" s="0" t="n">
        <v>2</v>
      </c>
      <c r="F787" s="27" t="s">
        <v>650</v>
      </c>
      <c r="G787" s="0" t="n">
        <v>44.8</v>
      </c>
      <c r="H787" s="0" t="n">
        <v>44</v>
      </c>
      <c r="I787" s="27" t="s">
        <v>168</v>
      </c>
      <c r="J787" s="0" t="n">
        <v>274</v>
      </c>
      <c r="K787" s="0" t="n">
        <v>71</v>
      </c>
      <c r="M787" s="0" t="n">
        <v>-33.93</v>
      </c>
      <c r="N787" s="0" t="n">
        <v>47.87</v>
      </c>
      <c r="O787" s="0" t="n">
        <v>11.85</v>
      </c>
      <c r="P787" s="0" t="n">
        <v>3.42</v>
      </c>
      <c r="Q787" s="0" t="n">
        <v>3.31</v>
      </c>
      <c r="R787" s="0" t="n">
        <v>5348</v>
      </c>
      <c r="S787" s="0" t="n">
        <v>11165</v>
      </c>
      <c r="T787" s="0" t="n">
        <v>48.8</v>
      </c>
      <c r="U787" s="0" t="n">
        <v>1243</v>
      </c>
      <c r="V787" s="0" t="n">
        <v>6</v>
      </c>
      <c r="W787" s="27" t="n">
        <f aca="false">MATCH(A787,DATAS,0)</f>
        <v>1</v>
      </c>
      <c r="X787" s="27" t="n">
        <f aca="false">IF(AND(E787&gt;0,OR(AND(B787&gt;=1,B787&lt;=6),B787=10)),1,0)</f>
        <v>1</v>
      </c>
      <c r="Y787" s="27" t="n">
        <f aca="false">IF(AND(E787&gt;0,B787=10),1,0)</f>
        <v>0</v>
      </c>
      <c r="Z787" s="0" t="str">
        <f aca="false">IF(AND(C786=C787,W786=W787-1),X786,"")</f>
        <v/>
      </c>
      <c r="AA787" s="0" t="str">
        <f aca="false">IF(AND(C786=C787,W786=W787-1),Y786,"")</f>
        <v/>
      </c>
      <c r="AB787" s="0" t="str">
        <f aca="false">IF(W787=1,"",IF(AND(X787=1,Z787&lt;&gt;1),1,0))</f>
        <v/>
      </c>
      <c r="AC787" s="0" t="str">
        <f aca="false">IF(W787=1,"",IF(AND(Y787=1,AA787&lt;&gt;1),1,0))</f>
        <v/>
      </c>
      <c r="AD787" s="33" t="str">
        <f aca="false">IF(AND(E787&gt;0,W787&lt;1,NOT(AND(C788=C787,W788=W787+1))),INDEX(DATAS,W787+1),"")</f>
        <v/>
      </c>
      <c r="AE787" s="33" t="str">
        <f aca="false">IF(AND(Y787=1,W787&lt;1),IF(AND(C788=C787,W788=W787+1),IF(Y788=1,"",INDEX(DATAS,W787+1)),INDEX(DATAS,W787+1)),"")</f>
        <v/>
      </c>
    </row>
    <row r="788" customFormat="false" ht="15" hidden="false" customHeight="false" outlineLevel="0" collapsed="false">
      <c r="A788" s="33" t="n">
        <v>46309</v>
      </c>
      <c r="B788" s="0" t="n">
        <v>5</v>
      </c>
      <c r="C788" s="0" t="n">
        <v>4720</v>
      </c>
      <c r="D788" s="0" t="n">
        <v>82</v>
      </c>
      <c r="E788" s="0" t="n">
        <v>2</v>
      </c>
      <c r="F788" s="27" t="s">
        <v>650</v>
      </c>
      <c r="G788" s="0" t="n">
        <v>48.1</v>
      </c>
      <c r="H788" s="0" t="n">
        <v>43</v>
      </c>
      <c r="I788" s="27" t="s">
        <v>168</v>
      </c>
      <c r="J788" s="0" t="n">
        <v>82</v>
      </c>
      <c r="K788" s="0" t="n">
        <v>68</v>
      </c>
      <c r="M788" s="0" t="n">
        <v>1408.29</v>
      </c>
      <c r="N788" s="0" t="n">
        <v>29.54</v>
      </c>
      <c r="O788" s="0" t="n">
        <v>23.83</v>
      </c>
      <c r="P788" s="0" t="n">
        <v>3.59</v>
      </c>
      <c r="Q788" s="0" t="n">
        <v>3.35</v>
      </c>
      <c r="R788" s="0" t="n">
        <v>3495</v>
      </c>
      <c r="S788" s="0" t="n">
        <v>7025</v>
      </c>
      <c r="U788" s="0" t="n">
        <v>1243</v>
      </c>
      <c r="V788" s="0" t="n">
        <v>1</v>
      </c>
      <c r="W788" s="27" t="n">
        <f aca="false">MATCH(A788,DATAS,0)</f>
        <v>1</v>
      </c>
      <c r="X788" s="27" t="n">
        <f aca="false">IF(AND(E788&gt;0,OR(AND(B788&gt;=1,B788&lt;=6),B788=10)),1,0)</f>
        <v>1</v>
      </c>
      <c r="Y788" s="27" t="n">
        <f aca="false">IF(AND(E788&gt;0,B788=10),1,0)</f>
        <v>0</v>
      </c>
      <c r="Z788" s="0" t="str">
        <f aca="false">IF(AND(C787=C788,W787=W788-1),X787,"")</f>
        <v/>
      </c>
      <c r="AA788" s="0" t="str">
        <f aca="false">IF(AND(C787=C788,W787=W788-1),Y787,"")</f>
        <v/>
      </c>
      <c r="AB788" s="0" t="str">
        <f aca="false">IF(W788=1,"",IF(AND(X788=1,Z788&lt;&gt;1),1,0))</f>
        <v/>
      </c>
      <c r="AC788" s="0" t="str">
        <f aca="false">IF(W788=1,"",IF(AND(Y788=1,AA788&lt;&gt;1),1,0))</f>
        <v/>
      </c>
      <c r="AD788" s="33" t="str">
        <f aca="false">IF(AND(E788&gt;0,W788&lt;1,NOT(AND(C789=C788,W789=W788+1))),INDEX(DATAS,W788+1),"")</f>
        <v/>
      </c>
      <c r="AE788" s="33" t="str">
        <f aca="false">IF(AND(Y788=1,W788&lt;1),IF(AND(C789=C788,W789=W788+1),IF(Y789=1,"",INDEX(DATAS,W788+1)),INDEX(DATAS,W788+1)),"")</f>
        <v/>
      </c>
    </row>
    <row r="789" customFormat="false" ht="15" hidden="false" customHeight="false" outlineLevel="0" collapsed="false">
      <c r="A789" s="33" t="n">
        <v>46309</v>
      </c>
      <c r="B789" s="0" t="n">
        <v>5</v>
      </c>
      <c r="C789" s="0" t="n">
        <v>4722</v>
      </c>
      <c r="D789" s="0" t="n">
        <v>33</v>
      </c>
      <c r="E789" s="0" t="n">
        <v>2</v>
      </c>
      <c r="F789" s="27" t="s">
        <v>651</v>
      </c>
      <c r="G789" s="0" t="n">
        <v>34.5</v>
      </c>
      <c r="H789" s="0" t="n">
        <v>37</v>
      </c>
      <c r="I789" s="27" t="s">
        <v>147</v>
      </c>
      <c r="J789" s="0" t="n">
        <v>33</v>
      </c>
      <c r="M789" s="0" t="n">
        <v>144.49</v>
      </c>
      <c r="N789" s="0" t="n">
        <v>30.02</v>
      </c>
      <c r="O789" s="0" t="n">
        <v>19.83</v>
      </c>
      <c r="P789" s="0" t="n">
        <v>4.65</v>
      </c>
      <c r="Q789" s="0" t="n">
        <v>4.54</v>
      </c>
      <c r="R789" s="0" t="n">
        <v>3263</v>
      </c>
      <c r="S789" s="0" t="n">
        <v>6559</v>
      </c>
      <c r="U789" s="0" t="n">
        <v>1242</v>
      </c>
      <c r="V789" s="0" t="n">
        <v>0</v>
      </c>
      <c r="W789" s="27" t="n">
        <f aca="false">MATCH(A789,DATAS,0)</f>
        <v>1</v>
      </c>
      <c r="X789" s="27" t="n">
        <f aca="false">IF(AND(E789&gt;0,OR(AND(B789&gt;=1,B789&lt;=6),B789=10)),1,0)</f>
        <v>1</v>
      </c>
      <c r="Y789" s="27" t="n">
        <f aca="false">IF(AND(E789&gt;0,B789=10),1,0)</f>
        <v>0</v>
      </c>
      <c r="Z789" s="0" t="str">
        <f aca="false">IF(AND(C788=C789,W788=W789-1),X788,"")</f>
        <v/>
      </c>
      <c r="AA789" s="0" t="str">
        <f aca="false">IF(AND(C788=C789,W788=W789-1),Y788,"")</f>
        <v/>
      </c>
      <c r="AB789" s="0" t="str">
        <f aca="false">IF(W789=1,"",IF(AND(X789=1,Z789&lt;&gt;1),1,0))</f>
        <v/>
      </c>
      <c r="AC789" s="0" t="str">
        <f aca="false">IF(W789=1,"",IF(AND(Y789=1,AA789&lt;&gt;1),1,0))</f>
        <v/>
      </c>
      <c r="AD789" s="33" t="str">
        <f aca="false">IF(AND(E789&gt;0,W789&lt;1,NOT(AND(C790=C789,W790=W789+1))),INDEX(DATAS,W789+1),"")</f>
        <v/>
      </c>
      <c r="AE789" s="33" t="str">
        <f aca="false">IF(AND(Y789=1,W789&lt;1),IF(AND(C790=C789,W790=W789+1),IF(Y790=1,"",INDEX(DATAS,W789+1)),INDEX(DATAS,W789+1)),"")</f>
        <v/>
      </c>
    </row>
    <row r="790" customFormat="false" ht="15" hidden="false" customHeight="false" outlineLevel="0" collapsed="false">
      <c r="A790" s="33" t="n">
        <v>46309</v>
      </c>
      <c r="B790" s="0" t="n">
        <v>14</v>
      </c>
      <c r="C790" s="0" t="n">
        <v>4723</v>
      </c>
      <c r="D790" s="0" t="n">
        <v>533</v>
      </c>
      <c r="E790" s="0" t="n">
        <v>1</v>
      </c>
      <c r="F790" s="27" t="s">
        <v>652</v>
      </c>
      <c r="I790" s="27" t="s">
        <v>143</v>
      </c>
      <c r="J790" s="0" t="n">
        <v>310</v>
      </c>
      <c r="K790" s="0" t="n">
        <v>59</v>
      </c>
      <c r="L790" s="0" t="n">
        <v>266</v>
      </c>
      <c r="M790" s="0" t="n">
        <v>704.65</v>
      </c>
      <c r="N790" s="0" t="n">
        <v>89.9</v>
      </c>
      <c r="O790" s="0" t="n">
        <v>39.34</v>
      </c>
      <c r="P790" s="0" t="n">
        <v>6.78</v>
      </c>
      <c r="Q790" s="0" t="n">
        <v>5</v>
      </c>
      <c r="R790" s="0" t="n">
        <v>4752</v>
      </c>
      <c r="S790" s="0" t="n">
        <v>8950</v>
      </c>
      <c r="T790" s="0" t="n">
        <v>51.15</v>
      </c>
      <c r="U790" s="0" t="n">
        <v>1241</v>
      </c>
      <c r="V790" s="0" t="n">
        <v>4</v>
      </c>
      <c r="W790" s="27" t="n">
        <f aca="false">MATCH(A790,DATAS,0)</f>
        <v>1</v>
      </c>
      <c r="X790" s="27" t="n">
        <f aca="false">IF(AND(E790&gt;0,OR(AND(B790&gt;=1,B790&lt;=6),B790=10)),1,0)</f>
        <v>0</v>
      </c>
      <c r="Y790" s="27" t="n">
        <f aca="false">IF(AND(E790&gt;0,B790=10),1,0)</f>
        <v>0</v>
      </c>
      <c r="Z790" s="0" t="str">
        <f aca="false">IF(AND(C789=C790,W789=W790-1),X789,"")</f>
        <v/>
      </c>
      <c r="AA790" s="0" t="str">
        <f aca="false">IF(AND(C789=C790,W789=W790-1),Y789,"")</f>
        <v/>
      </c>
      <c r="AB790" s="0" t="str">
        <f aca="false">IF(W790=1,"",IF(AND(X790=1,Z790&lt;&gt;1),1,0))</f>
        <v/>
      </c>
      <c r="AC790" s="0" t="str">
        <f aca="false">IF(W790=1,"",IF(AND(Y790=1,AA790&lt;&gt;1),1,0))</f>
        <v/>
      </c>
      <c r="AD790" s="33" t="str">
        <f aca="false">IF(AND(E790&gt;0,W790&lt;1,NOT(AND(C791=C790,W791=W790+1))),INDEX(DATAS,W790+1),"")</f>
        <v/>
      </c>
      <c r="AE790" s="33" t="str">
        <f aca="false">IF(AND(Y790=1,W790&lt;1),IF(AND(C791=C790,W791=W790+1),IF(Y791=1,"",INDEX(DATAS,W790+1)),INDEX(DATAS,W790+1)),"")</f>
        <v/>
      </c>
    </row>
    <row r="791" customFormat="false" ht="15" hidden="false" customHeight="false" outlineLevel="0" collapsed="false">
      <c r="A791" s="33" t="n">
        <v>46309</v>
      </c>
      <c r="B791" s="0" t="n">
        <v>5</v>
      </c>
      <c r="C791" s="0" t="n">
        <v>4724</v>
      </c>
      <c r="D791" s="0" t="n">
        <v>231</v>
      </c>
      <c r="E791" s="0" t="n">
        <v>2</v>
      </c>
      <c r="F791" s="27" t="s">
        <v>653</v>
      </c>
      <c r="G791" s="0" t="n">
        <v>47.3</v>
      </c>
      <c r="H791" s="0" t="n">
        <v>37</v>
      </c>
      <c r="I791" s="27" t="s">
        <v>138</v>
      </c>
      <c r="J791" s="0" t="n">
        <v>161</v>
      </c>
      <c r="K791" s="0" t="n">
        <v>63</v>
      </c>
      <c r="L791" s="0" t="n">
        <v>70</v>
      </c>
      <c r="M791" s="0" t="n">
        <v>842.09</v>
      </c>
      <c r="N791" s="0" t="n">
        <v>30.89</v>
      </c>
      <c r="O791" s="0" t="n">
        <v>18.61</v>
      </c>
      <c r="P791" s="0" t="n">
        <v>4.04</v>
      </c>
      <c r="Q791" s="0" t="n">
        <v>3.73</v>
      </c>
      <c r="R791" s="0" t="n">
        <v>5287</v>
      </c>
      <c r="S791" s="0" t="n">
        <v>9685</v>
      </c>
      <c r="T791" s="0" t="n">
        <v>59.2</v>
      </c>
      <c r="U791" s="0" t="n">
        <v>1240</v>
      </c>
      <c r="V791" s="0" t="n">
        <v>3</v>
      </c>
      <c r="W791" s="27" t="n">
        <f aca="false">MATCH(A791,DATAS,0)</f>
        <v>1</v>
      </c>
      <c r="X791" s="27" t="n">
        <f aca="false">IF(AND(E791&gt;0,OR(AND(B791&gt;=1,B791&lt;=6),B791=10)),1,0)</f>
        <v>1</v>
      </c>
      <c r="Y791" s="27" t="n">
        <f aca="false">IF(AND(E791&gt;0,B791=10),1,0)</f>
        <v>0</v>
      </c>
      <c r="Z791" s="0" t="str">
        <f aca="false">IF(AND(C790=C791,W790=W791-1),X790,"")</f>
        <v/>
      </c>
      <c r="AA791" s="0" t="str">
        <f aca="false">IF(AND(C790=C791,W790=W791-1),Y790,"")</f>
        <v/>
      </c>
      <c r="AB791" s="0" t="str">
        <f aca="false">IF(W791=1,"",IF(AND(X791=1,Z791&lt;&gt;1),1,0))</f>
        <v/>
      </c>
      <c r="AC791" s="0" t="str">
        <f aca="false">IF(W791=1,"",IF(AND(Y791=1,AA791&lt;&gt;1),1,0))</f>
        <v/>
      </c>
      <c r="AD791" s="33" t="str">
        <f aca="false">IF(AND(E791&gt;0,W791&lt;1,NOT(AND(C792=C791,W792=W791+1))),INDEX(DATAS,W791+1),"")</f>
        <v/>
      </c>
      <c r="AE791" s="33" t="str">
        <f aca="false">IF(AND(Y791=1,W791&lt;1),IF(AND(C792=C791,W792=W791+1),IF(Y792=1,"",INDEX(DATAS,W791+1)),INDEX(DATAS,W791+1)),"")</f>
        <v/>
      </c>
    </row>
    <row r="792" customFormat="false" ht="15" hidden="false" customHeight="false" outlineLevel="0" collapsed="false">
      <c r="A792" s="33" t="n">
        <v>46309</v>
      </c>
      <c r="B792" s="0" t="n">
        <v>6</v>
      </c>
      <c r="C792" s="0" t="n">
        <v>4725</v>
      </c>
      <c r="D792" s="0" t="n">
        <v>262</v>
      </c>
      <c r="E792" s="0" t="n">
        <v>2</v>
      </c>
      <c r="F792" s="27" t="s">
        <v>654</v>
      </c>
      <c r="G792" s="0" t="n">
        <v>17.9</v>
      </c>
      <c r="H792" s="0" t="n">
        <v>17</v>
      </c>
      <c r="I792" s="27" t="s">
        <v>151</v>
      </c>
      <c r="J792" s="0" t="n">
        <v>262</v>
      </c>
      <c r="K792" s="0" t="n">
        <v>66</v>
      </c>
      <c r="M792" s="0" t="n">
        <v>323.41</v>
      </c>
      <c r="N792" s="0" t="n">
        <v>28.37</v>
      </c>
      <c r="O792" s="0" t="n">
        <v>24.88</v>
      </c>
      <c r="P792" s="0" t="n">
        <v>5.79</v>
      </c>
      <c r="Q792" s="0" t="n">
        <v>4.08</v>
      </c>
      <c r="R792" s="0" t="n">
        <v>4706</v>
      </c>
      <c r="S792" s="0" t="n">
        <v>9221</v>
      </c>
      <c r="T792" s="0" t="n">
        <v>50.2</v>
      </c>
      <c r="U792" s="0" t="n">
        <v>1238</v>
      </c>
      <c r="V792" s="0" t="n">
        <v>4</v>
      </c>
      <c r="W792" s="27" t="n">
        <f aca="false">MATCH(A792,DATAS,0)</f>
        <v>1</v>
      </c>
      <c r="X792" s="27" t="n">
        <f aca="false">IF(AND(E792&gt;0,OR(AND(B792&gt;=1,B792&lt;=6),B792=10)),1,0)</f>
        <v>1</v>
      </c>
      <c r="Y792" s="27" t="n">
        <f aca="false">IF(AND(E792&gt;0,B792=10),1,0)</f>
        <v>0</v>
      </c>
      <c r="Z792" s="0" t="str">
        <f aca="false">IF(AND(C791=C792,W791=W792-1),X791,"")</f>
        <v/>
      </c>
      <c r="AA792" s="0" t="str">
        <f aca="false">IF(AND(C791=C792,W791=W792-1),Y791,"")</f>
        <v/>
      </c>
      <c r="AB792" s="0" t="str">
        <f aca="false">IF(W792=1,"",IF(AND(X792=1,Z792&lt;&gt;1),1,0))</f>
        <v/>
      </c>
      <c r="AC792" s="0" t="str">
        <f aca="false">IF(W792=1,"",IF(AND(Y792=1,AA792&lt;&gt;1),1,0))</f>
        <v/>
      </c>
      <c r="AD792" s="33" t="str">
        <f aca="false">IF(AND(E792&gt;0,W792&lt;1,NOT(AND(C793=C792,W793=W792+1))),INDEX(DATAS,W792+1),"")</f>
        <v/>
      </c>
      <c r="AE792" s="33" t="str">
        <f aca="false">IF(AND(Y792=1,W792&lt;1),IF(AND(C793=C792,W793=W792+1),IF(Y793=1,"",INDEX(DATAS,W792+1)),INDEX(DATAS,W792+1)),"")</f>
        <v/>
      </c>
    </row>
    <row r="793" customFormat="false" ht="15" hidden="false" customHeight="false" outlineLevel="0" collapsed="false">
      <c r="A793" s="33" t="n">
        <v>46309</v>
      </c>
      <c r="B793" s="0" t="n">
        <v>2</v>
      </c>
      <c r="C793" s="0" t="n">
        <v>4728</v>
      </c>
      <c r="D793" s="0" t="n">
        <v>242</v>
      </c>
      <c r="E793" s="0" t="n">
        <v>2</v>
      </c>
      <c r="F793" s="27" t="s">
        <v>655</v>
      </c>
      <c r="G793" s="0" t="n">
        <v>40.7</v>
      </c>
      <c r="H793" s="0" t="n">
        <v>60</v>
      </c>
      <c r="I793" s="27" t="s">
        <v>168</v>
      </c>
      <c r="J793" s="0" t="n">
        <v>242</v>
      </c>
      <c r="K793" s="0" t="n">
        <v>67</v>
      </c>
      <c r="M793" s="0" t="n">
        <v>703.82</v>
      </c>
      <c r="N793" s="0" t="n">
        <v>68.46</v>
      </c>
      <c r="O793" s="0" t="n">
        <v>34.9</v>
      </c>
      <c r="P793" s="0" t="n">
        <v>2.93</v>
      </c>
      <c r="Q793" s="0" t="n">
        <v>3.37</v>
      </c>
      <c r="R793" s="0" t="n">
        <v>5822</v>
      </c>
      <c r="S793" s="0" t="n">
        <v>12908</v>
      </c>
      <c r="T793" s="0" t="n">
        <v>62.9</v>
      </c>
      <c r="U793" s="0" t="n">
        <v>1236</v>
      </c>
      <c r="V793" s="0" t="n">
        <v>6</v>
      </c>
      <c r="W793" s="27" t="n">
        <f aca="false">MATCH(A793,DATAS,0)</f>
        <v>1</v>
      </c>
      <c r="X793" s="27" t="n">
        <f aca="false">IF(AND(E793&gt;0,OR(AND(B793&gt;=1,B793&lt;=6),B793=10)),1,0)</f>
        <v>1</v>
      </c>
      <c r="Y793" s="27" t="n">
        <f aca="false">IF(AND(E793&gt;0,B793=10),1,0)</f>
        <v>0</v>
      </c>
      <c r="Z793" s="0" t="str">
        <f aca="false">IF(AND(C792=C793,W792=W793-1),X792,"")</f>
        <v/>
      </c>
      <c r="AA793" s="0" t="str">
        <f aca="false">IF(AND(C792=C793,W792=W793-1),Y792,"")</f>
        <v/>
      </c>
      <c r="AB793" s="0" t="str">
        <f aca="false">IF(W793=1,"",IF(AND(X793=1,Z793&lt;&gt;1),1,0))</f>
        <v/>
      </c>
      <c r="AC793" s="0" t="str">
        <f aca="false">IF(W793=1,"",IF(AND(Y793=1,AA793&lt;&gt;1),1,0))</f>
        <v/>
      </c>
      <c r="AD793" s="33" t="str">
        <f aca="false">IF(AND(E793&gt;0,W793&lt;1,NOT(AND(C794=C793,W794=W793+1))),INDEX(DATAS,W793+1),"")</f>
        <v/>
      </c>
      <c r="AE793" s="33" t="str">
        <f aca="false">IF(AND(Y793=1,W793&lt;1),IF(AND(C794=C793,W794=W793+1),IF(Y794=1,"",INDEX(DATAS,W793+1)),INDEX(DATAS,W793+1)),"")</f>
        <v/>
      </c>
    </row>
    <row r="794" customFormat="false" ht="15" hidden="false" customHeight="false" outlineLevel="0" collapsed="false">
      <c r="A794" s="33" t="n">
        <v>46309</v>
      </c>
      <c r="B794" s="0" t="n">
        <v>10</v>
      </c>
      <c r="C794" s="0" t="n">
        <v>4730</v>
      </c>
      <c r="D794" s="0" t="n">
        <v>262</v>
      </c>
      <c r="E794" s="0" t="n">
        <v>2</v>
      </c>
      <c r="F794" s="27" t="s">
        <v>656</v>
      </c>
      <c r="G794" s="0" t="n">
        <v>21.1</v>
      </c>
      <c r="H794" s="0" t="n">
        <v>16</v>
      </c>
      <c r="I794" s="27" t="s">
        <v>151</v>
      </c>
      <c r="J794" s="0" t="n">
        <v>262</v>
      </c>
      <c r="K794" s="0" t="n">
        <v>66</v>
      </c>
      <c r="M794" s="0" t="n">
        <v>1117.22</v>
      </c>
      <c r="N794" s="0" t="n">
        <v>48.96</v>
      </c>
      <c r="O794" s="0" t="n">
        <v>46.72</v>
      </c>
      <c r="P794" s="0" t="n">
        <v>5.73</v>
      </c>
      <c r="Q794" s="0" t="n">
        <v>4.08</v>
      </c>
      <c r="R794" s="0" t="n">
        <v>4701</v>
      </c>
      <c r="S794" s="0" t="n">
        <v>8909</v>
      </c>
      <c r="T794" s="0" t="n">
        <v>54.8</v>
      </c>
      <c r="U794" s="0" t="n">
        <v>1234</v>
      </c>
      <c r="V794" s="0" t="n">
        <v>4</v>
      </c>
      <c r="W794" s="27" t="n">
        <f aca="false">MATCH(A794,DATAS,0)</f>
        <v>1</v>
      </c>
      <c r="X794" s="27" t="n">
        <f aca="false">IF(AND(E794&gt;0,OR(AND(B794&gt;=1,B794&lt;=6),B794=10)),1,0)</f>
        <v>1</v>
      </c>
      <c r="Y794" s="27" t="n">
        <f aca="false">IF(AND(E794&gt;0,B794=10),1,0)</f>
        <v>1</v>
      </c>
      <c r="Z794" s="0" t="str">
        <f aca="false">IF(AND(C793=C794,W793=W794-1),X793,"")</f>
        <v/>
      </c>
      <c r="AA794" s="0" t="str">
        <f aca="false">IF(AND(C793=C794,W793=W794-1),Y793,"")</f>
        <v/>
      </c>
      <c r="AB794" s="0" t="str">
        <f aca="false">IF(W794=1,"",IF(AND(X794=1,Z794&lt;&gt;1),1,0))</f>
        <v/>
      </c>
      <c r="AC794" s="0" t="str">
        <f aca="false">IF(W794=1,"",IF(AND(Y794=1,AA794&lt;&gt;1),1,0))</f>
        <v/>
      </c>
      <c r="AD794" s="33" t="str">
        <f aca="false">IF(AND(E794&gt;0,W794&lt;1,NOT(AND(C795=C794,W795=W794+1))),INDEX(DATAS,W794+1),"")</f>
        <v/>
      </c>
      <c r="AE794" s="33" t="str">
        <f aca="false">IF(AND(Y794=1,W794&lt;1),IF(AND(C795=C794,W795=W794+1),IF(Y795=1,"",INDEX(DATAS,W794+1)),INDEX(DATAS,W794+1)),"")</f>
        <v/>
      </c>
    </row>
    <row r="795" customFormat="false" ht="15" hidden="false" customHeight="false" outlineLevel="0" collapsed="false">
      <c r="A795" s="33" t="n">
        <v>46309</v>
      </c>
      <c r="B795" s="0" t="n">
        <v>5</v>
      </c>
      <c r="C795" s="0" t="n">
        <v>4732</v>
      </c>
      <c r="D795" s="0" t="n">
        <v>448</v>
      </c>
      <c r="E795" s="0" t="n">
        <v>1</v>
      </c>
      <c r="F795" s="27" t="s">
        <v>656</v>
      </c>
      <c r="G795" s="0" t="n">
        <v>32.1</v>
      </c>
      <c r="H795" s="0" t="n">
        <v>33</v>
      </c>
      <c r="I795" s="27" t="s">
        <v>168</v>
      </c>
      <c r="J795" s="0" t="n">
        <v>448</v>
      </c>
      <c r="K795" s="0" t="n">
        <v>63</v>
      </c>
      <c r="M795" s="0" t="n">
        <v>1577.17</v>
      </c>
      <c r="N795" s="0" t="n">
        <v>67.36</v>
      </c>
      <c r="O795" s="0" t="n">
        <v>58.77</v>
      </c>
      <c r="P795" s="0" t="n">
        <v>4.02</v>
      </c>
      <c r="Q795" s="0" t="n">
        <v>3.95</v>
      </c>
      <c r="R795" s="0" t="n">
        <v>5482</v>
      </c>
      <c r="S795" s="0" t="n">
        <v>11261</v>
      </c>
      <c r="T795" s="0" t="n">
        <v>55.85</v>
      </c>
      <c r="U795" s="0" t="n">
        <v>1234</v>
      </c>
      <c r="V795" s="0" t="n">
        <v>8</v>
      </c>
      <c r="W795" s="27" t="n">
        <f aca="false">MATCH(A795,DATAS,0)</f>
        <v>1</v>
      </c>
      <c r="X795" s="27" t="n">
        <f aca="false">IF(AND(E795&gt;0,OR(AND(B795&gt;=1,B795&lt;=6),B795=10)),1,0)</f>
        <v>1</v>
      </c>
      <c r="Y795" s="27" t="n">
        <f aca="false">IF(AND(E795&gt;0,B795=10),1,0)</f>
        <v>0</v>
      </c>
      <c r="Z795" s="0" t="str">
        <f aca="false">IF(AND(C794=C795,W794=W795-1),X794,"")</f>
        <v/>
      </c>
      <c r="AA795" s="0" t="str">
        <f aca="false">IF(AND(C794=C795,W794=W795-1),Y794,"")</f>
        <v/>
      </c>
      <c r="AB795" s="0" t="str">
        <f aca="false">IF(W795=1,"",IF(AND(X795=1,Z795&lt;&gt;1),1,0))</f>
        <v/>
      </c>
      <c r="AC795" s="0" t="str">
        <f aca="false">IF(W795=1,"",IF(AND(Y795=1,AA795&lt;&gt;1),1,0))</f>
        <v/>
      </c>
      <c r="AD795" s="33" t="str">
        <f aca="false">IF(AND(E795&gt;0,W795&lt;1,NOT(AND(C796=C795,W796=W795+1))),INDEX(DATAS,W795+1),"")</f>
        <v/>
      </c>
      <c r="AE795" s="33" t="str">
        <f aca="false">IF(AND(Y795=1,W795&lt;1),IF(AND(C796=C795,W796=W795+1),IF(Y796=1,"",INDEX(DATAS,W795+1)),INDEX(DATAS,W795+1)),"")</f>
        <v/>
      </c>
    </row>
    <row r="796" customFormat="false" ht="15" hidden="false" customHeight="false" outlineLevel="0" collapsed="false">
      <c r="A796" s="33" t="n">
        <v>46309</v>
      </c>
      <c r="B796" s="0" t="n">
        <v>2</v>
      </c>
      <c r="C796" s="0" t="n">
        <v>4733</v>
      </c>
      <c r="D796" s="0" t="n">
        <v>194</v>
      </c>
      <c r="E796" s="0" t="n">
        <v>2</v>
      </c>
      <c r="F796" s="27" t="s">
        <v>657</v>
      </c>
      <c r="G796" s="0" t="n">
        <v>52.6</v>
      </c>
      <c r="H796" s="0" t="n">
        <v>55</v>
      </c>
      <c r="I796" s="27" t="s">
        <v>138</v>
      </c>
      <c r="J796" s="0" t="n">
        <v>68</v>
      </c>
      <c r="K796" s="0" t="n">
        <v>68</v>
      </c>
      <c r="L796" s="0" t="n">
        <v>126</v>
      </c>
      <c r="M796" s="0" t="n">
        <v>925.77</v>
      </c>
      <c r="N796" s="0" t="n">
        <v>33.01</v>
      </c>
      <c r="O796" s="0" t="n">
        <v>21.78</v>
      </c>
      <c r="P796" s="0" t="n">
        <v>3.67</v>
      </c>
      <c r="Q796" s="0" t="n">
        <v>3.25</v>
      </c>
      <c r="R796" s="0" t="n">
        <v>5951</v>
      </c>
      <c r="S796" s="0" t="n">
        <v>12118</v>
      </c>
      <c r="T796" s="0" t="n">
        <v>66.9</v>
      </c>
      <c r="U796" s="0" t="n">
        <v>1233</v>
      </c>
      <c r="V796" s="0" t="n">
        <v>1</v>
      </c>
      <c r="W796" s="27" t="n">
        <f aca="false">MATCH(A796,DATAS,0)</f>
        <v>1</v>
      </c>
      <c r="X796" s="27" t="n">
        <f aca="false">IF(AND(E796&gt;0,OR(AND(B796&gt;=1,B796&lt;=6),B796=10)),1,0)</f>
        <v>1</v>
      </c>
      <c r="Y796" s="27" t="n">
        <f aca="false">IF(AND(E796&gt;0,B796=10),1,0)</f>
        <v>0</v>
      </c>
      <c r="Z796" s="0" t="str">
        <f aca="false">IF(AND(C795=C796,W795=W796-1),X795,"")</f>
        <v/>
      </c>
      <c r="AA796" s="0" t="str">
        <f aca="false">IF(AND(C795=C796,W795=W796-1),Y795,"")</f>
        <v/>
      </c>
      <c r="AB796" s="0" t="str">
        <f aca="false">IF(W796=1,"",IF(AND(X796=1,Z796&lt;&gt;1),1,0))</f>
        <v/>
      </c>
      <c r="AC796" s="0" t="str">
        <f aca="false">IF(W796=1,"",IF(AND(Y796=1,AA796&lt;&gt;1),1,0))</f>
        <v/>
      </c>
      <c r="AD796" s="33" t="str">
        <f aca="false">IF(AND(E796&gt;0,W796&lt;1,NOT(AND(C797=C796,W797=W796+1))),INDEX(DATAS,W796+1),"")</f>
        <v/>
      </c>
      <c r="AE796" s="33" t="str">
        <f aca="false">IF(AND(Y796=1,W796&lt;1),IF(AND(C797=C796,W797=W796+1),IF(Y797=1,"",INDEX(DATAS,W796+1)),INDEX(DATAS,W796+1)),"")</f>
        <v/>
      </c>
    </row>
    <row r="797" customFormat="false" ht="15" hidden="false" customHeight="false" outlineLevel="0" collapsed="false">
      <c r="A797" s="33" t="n">
        <v>46309</v>
      </c>
      <c r="B797" s="0" t="n">
        <v>5</v>
      </c>
      <c r="C797" s="0" t="n">
        <v>4734</v>
      </c>
      <c r="D797" s="0" t="n">
        <v>129</v>
      </c>
      <c r="E797" s="0" t="n">
        <v>2</v>
      </c>
      <c r="F797" s="27" t="s">
        <v>657</v>
      </c>
      <c r="G797" s="0" t="n">
        <v>41.6</v>
      </c>
      <c r="H797" s="0" t="n">
        <v>36</v>
      </c>
      <c r="I797" s="27" t="s">
        <v>168</v>
      </c>
      <c r="J797" s="0" t="n">
        <v>129</v>
      </c>
      <c r="K797" s="0" t="n">
        <v>66</v>
      </c>
      <c r="M797" s="0" t="n">
        <v>484.24</v>
      </c>
      <c r="N797" s="0" t="n">
        <v>85.24</v>
      </c>
      <c r="O797" s="0" t="n">
        <v>46.21</v>
      </c>
      <c r="P797" s="0" t="n">
        <v>4.32</v>
      </c>
      <c r="Q797" s="0" t="n">
        <v>3.7</v>
      </c>
      <c r="R797" s="0" t="n">
        <v>3514</v>
      </c>
      <c r="S797" s="0" t="n">
        <v>7098</v>
      </c>
      <c r="T797" s="0" t="n">
        <v>43.4</v>
      </c>
      <c r="U797" s="0" t="n">
        <v>1233</v>
      </c>
      <c r="V797" s="0" t="n">
        <v>2</v>
      </c>
      <c r="W797" s="27" t="n">
        <f aca="false">MATCH(A797,DATAS,0)</f>
        <v>1</v>
      </c>
      <c r="X797" s="27" t="n">
        <f aca="false">IF(AND(E797&gt;0,OR(AND(B797&gt;=1,B797&lt;=6),B797=10)),1,0)</f>
        <v>1</v>
      </c>
      <c r="Y797" s="27" t="n">
        <f aca="false">IF(AND(E797&gt;0,B797=10),1,0)</f>
        <v>0</v>
      </c>
      <c r="Z797" s="0" t="str">
        <f aca="false">IF(AND(C796=C797,W796=W797-1),X796,"")</f>
        <v/>
      </c>
      <c r="AA797" s="0" t="str">
        <f aca="false">IF(AND(C796=C797,W796=W797-1),Y796,"")</f>
        <v/>
      </c>
      <c r="AB797" s="0" t="str">
        <f aca="false">IF(W797=1,"",IF(AND(X797=1,Z797&lt;&gt;1),1,0))</f>
        <v/>
      </c>
      <c r="AC797" s="0" t="str">
        <f aca="false">IF(W797=1,"",IF(AND(Y797=1,AA797&lt;&gt;1),1,0))</f>
        <v/>
      </c>
      <c r="AD797" s="33" t="str">
        <f aca="false">IF(AND(E797&gt;0,W797&lt;1,NOT(AND(C798=C797,W798=W797+1))),INDEX(DATAS,W797+1),"")</f>
        <v/>
      </c>
      <c r="AE797" s="33" t="str">
        <f aca="false">IF(AND(Y797=1,W797&lt;1),IF(AND(C798=C797,W798=W797+1),IF(Y798=1,"",INDEX(DATAS,W797+1)),INDEX(DATAS,W797+1)),"")</f>
        <v/>
      </c>
    </row>
    <row r="798" customFormat="false" ht="15" hidden="false" customHeight="false" outlineLevel="0" collapsed="false">
      <c r="A798" s="33" t="n">
        <v>46309</v>
      </c>
      <c r="B798" s="0" t="n">
        <v>5</v>
      </c>
      <c r="C798" s="0" t="n">
        <v>4736</v>
      </c>
      <c r="D798" s="0" t="n">
        <v>236</v>
      </c>
      <c r="E798" s="0" t="n">
        <v>2</v>
      </c>
      <c r="F798" s="27" t="s">
        <v>657</v>
      </c>
      <c r="G798" s="0" t="n">
        <v>43.8</v>
      </c>
      <c r="H798" s="0" t="n">
        <v>42</v>
      </c>
      <c r="I798" s="27" t="s">
        <v>138</v>
      </c>
      <c r="J798" s="0" t="n">
        <v>68</v>
      </c>
      <c r="K798" s="0" t="n">
        <v>68</v>
      </c>
      <c r="L798" s="0" t="n">
        <v>168</v>
      </c>
      <c r="M798" s="0" t="n">
        <v>583.42</v>
      </c>
      <c r="N798" s="0" t="n">
        <v>33.2</v>
      </c>
      <c r="O798" s="0" t="n">
        <v>19.24</v>
      </c>
      <c r="P798" s="0" t="n">
        <v>4.94</v>
      </c>
      <c r="Q798" s="0" t="n">
        <v>3.54</v>
      </c>
      <c r="R798" s="0" t="n">
        <v>4025</v>
      </c>
      <c r="S798" s="0" t="n">
        <v>8909</v>
      </c>
      <c r="T798" s="0" t="n">
        <v>46.25</v>
      </c>
      <c r="U798" s="0" t="n">
        <v>1233</v>
      </c>
      <c r="V798" s="0" t="n">
        <v>1</v>
      </c>
      <c r="W798" s="27" t="n">
        <f aca="false">MATCH(A798,DATAS,0)</f>
        <v>1</v>
      </c>
      <c r="X798" s="27" t="n">
        <f aca="false">IF(AND(E798&gt;0,OR(AND(B798&gt;=1,B798&lt;=6),B798=10)),1,0)</f>
        <v>1</v>
      </c>
      <c r="Y798" s="27" t="n">
        <f aca="false">IF(AND(E798&gt;0,B798=10),1,0)</f>
        <v>0</v>
      </c>
      <c r="Z798" s="0" t="str">
        <f aca="false">IF(AND(C797=C798,W797=W798-1),X797,"")</f>
        <v/>
      </c>
      <c r="AA798" s="0" t="str">
        <f aca="false">IF(AND(C797=C798,W797=W798-1),Y797,"")</f>
        <v/>
      </c>
      <c r="AB798" s="0" t="str">
        <f aca="false">IF(W798=1,"",IF(AND(X798=1,Z798&lt;&gt;1),1,0))</f>
        <v/>
      </c>
      <c r="AC798" s="0" t="str">
        <f aca="false">IF(W798=1,"",IF(AND(Y798=1,AA798&lt;&gt;1),1,0))</f>
        <v/>
      </c>
      <c r="AD798" s="33" t="str">
        <f aca="false">IF(AND(E798&gt;0,W798&lt;1,NOT(AND(C799=C798,W799=W798+1))),INDEX(DATAS,W798+1),"")</f>
        <v/>
      </c>
      <c r="AE798" s="33" t="str">
        <f aca="false">IF(AND(Y798=1,W798&lt;1),IF(AND(C799=C798,W799=W798+1),IF(Y799=1,"",INDEX(DATAS,W798+1)),INDEX(DATAS,W798+1)),"")</f>
        <v/>
      </c>
    </row>
    <row r="799" customFormat="false" ht="15" hidden="false" customHeight="false" outlineLevel="0" collapsed="false">
      <c r="A799" s="33" t="n">
        <v>46309</v>
      </c>
      <c r="B799" s="0" t="n">
        <v>2</v>
      </c>
      <c r="C799" s="0" t="n">
        <v>4737</v>
      </c>
      <c r="D799" s="0" t="n">
        <v>227</v>
      </c>
      <c r="E799" s="0" t="n">
        <v>2</v>
      </c>
      <c r="F799" s="27" t="s">
        <v>658</v>
      </c>
      <c r="G799" s="0" t="n">
        <v>45</v>
      </c>
      <c r="H799" s="0" t="n">
        <v>48</v>
      </c>
      <c r="I799" s="27" t="s">
        <v>138</v>
      </c>
      <c r="J799" s="0" t="n">
        <v>73</v>
      </c>
      <c r="K799" s="0" t="n">
        <v>73</v>
      </c>
      <c r="L799" s="0" t="n">
        <v>154</v>
      </c>
      <c r="M799" s="0" t="n">
        <v>321.24</v>
      </c>
      <c r="N799" s="0" t="n">
        <v>58.75</v>
      </c>
      <c r="O799" s="0" t="n">
        <v>34.66</v>
      </c>
      <c r="P799" s="0" t="n">
        <v>3.28</v>
      </c>
      <c r="Q799" s="0" t="n">
        <v>3.63</v>
      </c>
      <c r="R799" s="0" t="n">
        <v>4210</v>
      </c>
      <c r="S799" s="0" t="n">
        <v>9653</v>
      </c>
      <c r="T799" s="0" t="n">
        <v>51.25</v>
      </c>
      <c r="U799" s="0" t="n">
        <v>1232</v>
      </c>
      <c r="V799" s="0" t="n">
        <v>1</v>
      </c>
      <c r="W799" s="27" t="n">
        <f aca="false">MATCH(A799,DATAS,0)</f>
        <v>1</v>
      </c>
      <c r="X799" s="27" t="n">
        <f aca="false">IF(AND(E799&gt;0,OR(AND(B799&gt;=1,B799&lt;=6),B799=10)),1,0)</f>
        <v>1</v>
      </c>
      <c r="Y799" s="27" t="n">
        <f aca="false">IF(AND(E799&gt;0,B799=10),1,0)</f>
        <v>0</v>
      </c>
      <c r="Z799" s="0" t="str">
        <f aca="false">IF(AND(C798=C799,W798=W799-1),X798,"")</f>
        <v/>
      </c>
      <c r="AA799" s="0" t="str">
        <f aca="false">IF(AND(C798=C799,W798=W799-1),Y798,"")</f>
        <v/>
      </c>
      <c r="AB799" s="0" t="str">
        <f aca="false">IF(W799=1,"",IF(AND(X799=1,Z799&lt;&gt;1),1,0))</f>
        <v/>
      </c>
      <c r="AC799" s="0" t="str">
        <f aca="false">IF(W799=1,"",IF(AND(Y799=1,AA799&lt;&gt;1),1,0))</f>
        <v/>
      </c>
      <c r="AD799" s="33" t="str">
        <f aca="false">IF(AND(E799&gt;0,W799&lt;1,NOT(AND(C800=C799,W800=W799+1))),INDEX(DATAS,W799+1),"")</f>
        <v/>
      </c>
      <c r="AE799" s="33" t="str">
        <f aca="false">IF(AND(Y799=1,W799&lt;1),IF(AND(C800=C799,W800=W799+1),IF(Y800=1,"",INDEX(DATAS,W799+1)),INDEX(DATAS,W799+1)),"")</f>
        <v/>
      </c>
    </row>
    <row r="800" customFormat="false" ht="15" hidden="false" customHeight="false" outlineLevel="0" collapsed="false">
      <c r="A800" s="33" t="n">
        <v>46309</v>
      </c>
      <c r="B800" s="0" t="n">
        <v>5</v>
      </c>
      <c r="C800" s="0" t="n">
        <v>4738</v>
      </c>
      <c r="D800" s="0" t="n">
        <v>220</v>
      </c>
      <c r="E800" s="0" t="n">
        <v>2</v>
      </c>
      <c r="F800" s="27" t="s">
        <v>658</v>
      </c>
      <c r="G800" s="0" t="n">
        <v>40</v>
      </c>
      <c r="H800" s="0" t="n">
        <v>33</v>
      </c>
      <c r="I800" s="27" t="s">
        <v>168</v>
      </c>
      <c r="J800" s="0" t="n">
        <v>220</v>
      </c>
      <c r="K800" s="0" t="n">
        <v>66</v>
      </c>
      <c r="M800" s="0" t="n">
        <v>1126.42</v>
      </c>
      <c r="N800" s="0" t="n">
        <v>53.28</v>
      </c>
      <c r="O800" s="0" t="n">
        <v>42.34</v>
      </c>
      <c r="P800" s="0" t="n">
        <v>4.79</v>
      </c>
      <c r="Q800" s="0" t="n">
        <v>3.75</v>
      </c>
      <c r="R800" s="0" t="n">
        <v>3483</v>
      </c>
      <c r="S800" s="0" t="n">
        <v>7503</v>
      </c>
      <c r="T800" s="0" t="n">
        <v>36.45</v>
      </c>
      <c r="U800" s="0" t="n">
        <v>1232</v>
      </c>
      <c r="V800" s="0" t="n">
        <v>5</v>
      </c>
      <c r="W800" s="27" t="n">
        <f aca="false">MATCH(A800,DATAS,0)</f>
        <v>1</v>
      </c>
      <c r="X800" s="27" t="n">
        <f aca="false">IF(AND(E800&gt;0,OR(AND(B800&gt;=1,B800&lt;=6),B800=10)),1,0)</f>
        <v>1</v>
      </c>
      <c r="Y800" s="27" t="n">
        <f aca="false">IF(AND(E800&gt;0,B800=10),1,0)</f>
        <v>0</v>
      </c>
      <c r="Z800" s="0" t="str">
        <f aca="false">IF(AND(C799=C800,W799=W800-1),X799,"")</f>
        <v/>
      </c>
      <c r="AA800" s="0" t="str">
        <f aca="false">IF(AND(C799=C800,W799=W800-1),Y799,"")</f>
        <v/>
      </c>
      <c r="AB800" s="0" t="str">
        <f aca="false">IF(W800=1,"",IF(AND(X800=1,Z800&lt;&gt;1),1,0))</f>
        <v/>
      </c>
      <c r="AC800" s="0" t="str">
        <f aca="false">IF(W800=1,"",IF(AND(Y800=1,AA800&lt;&gt;1),1,0))</f>
        <v/>
      </c>
      <c r="AD800" s="33" t="str">
        <f aca="false">IF(AND(E800&gt;0,W800&lt;1,NOT(AND(C801=C800,W801=W800+1))),INDEX(DATAS,W800+1),"")</f>
        <v/>
      </c>
      <c r="AE800" s="33" t="str">
        <f aca="false">IF(AND(Y800=1,W800&lt;1),IF(AND(C801=C800,W801=W800+1),IF(Y801=1,"",INDEX(DATAS,W800+1)),INDEX(DATAS,W800+1)),"")</f>
        <v/>
      </c>
    </row>
    <row r="801" customFormat="false" ht="15" hidden="false" customHeight="false" outlineLevel="0" collapsed="false">
      <c r="A801" s="33" t="n">
        <v>46309</v>
      </c>
      <c r="B801" s="0" t="n">
        <v>2</v>
      </c>
      <c r="C801" s="0" t="n">
        <v>4739</v>
      </c>
      <c r="D801" s="0" t="n">
        <v>264</v>
      </c>
      <c r="E801" s="0" t="n">
        <v>2</v>
      </c>
      <c r="F801" s="27" t="s">
        <v>658</v>
      </c>
      <c r="G801" s="0" t="n">
        <v>48.2</v>
      </c>
      <c r="H801" s="0" t="n">
        <v>51</v>
      </c>
      <c r="I801" s="27" t="s">
        <v>176</v>
      </c>
      <c r="J801" s="0" t="n">
        <v>264</v>
      </c>
      <c r="K801" s="0" t="n">
        <v>68</v>
      </c>
      <c r="M801" s="0" t="n">
        <v>527.19</v>
      </c>
      <c r="N801" s="0" t="n">
        <v>55.72</v>
      </c>
      <c r="O801" s="0" t="n">
        <v>38.57</v>
      </c>
      <c r="P801" s="0" t="n">
        <v>3.93</v>
      </c>
      <c r="Q801" s="0" t="n">
        <v>3.7</v>
      </c>
      <c r="R801" s="0" t="n">
        <v>5125</v>
      </c>
      <c r="S801" s="0" t="n">
        <v>11521</v>
      </c>
      <c r="T801" s="0" t="n">
        <v>57.8</v>
      </c>
      <c r="U801" s="0" t="n">
        <v>1232</v>
      </c>
      <c r="V801" s="0" t="n">
        <v>3</v>
      </c>
      <c r="W801" s="27" t="n">
        <f aca="false">MATCH(A801,DATAS,0)</f>
        <v>1</v>
      </c>
      <c r="X801" s="27" t="n">
        <f aca="false">IF(AND(E801&gt;0,OR(AND(B801&gt;=1,B801&lt;=6),B801=10)),1,0)</f>
        <v>1</v>
      </c>
      <c r="Y801" s="27" t="n">
        <f aca="false">IF(AND(E801&gt;0,B801=10),1,0)</f>
        <v>0</v>
      </c>
      <c r="Z801" s="0" t="str">
        <f aca="false">IF(AND(C800=C801,W800=W801-1),X800,"")</f>
        <v/>
      </c>
      <c r="AA801" s="0" t="str">
        <f aca="false">IF(AND(C800=C801,W800=W801-1),Y800,"")</f>
        <v/>
      </c>
      <c r="AB801" s="0" t="str">
        <f aca="false">IF(W801=1,"",IF(AND(X801=1,Z801&lt;&gt;1),1,0))</f>
        <v/>
      </c>
      <c r="AC801" s="0" t="str">
        <f aca="false">IF(W801=1,"",IF(AND(Y801=1,AA801&lt;&gt;1),1,0))</f>
        <v/>
      </c>
      <c r="AD801" s="33" t="str">
        <f aca="false">IF(AND(E801&gt;0,W801&lt;1,NOT(AND(C802=C801,W802=W801+1))),INDEX(DATAS,W801+1),"")</f>
        <v/>
      </c>
      <c r="AE801" s="33" t="str">
        <f aca="false">IF(AND(Y801=1,W801&lt;1),IF(AND(C802=C801,W802=W801+1),IF(Y802=1,"",INDEX(DATAS,W801+1)),INDEX(DATAS,W801+1)),"")</f>
        <v/>
      </c>
    </row>
    <row r="802" customFormat="false" ht="15" hidden="false" customHeight="false" outlineLevel="0" collapsed="false">
      <c r="A802" s="33" t="n">
        <v>46309</v>
      </c>
      <c r="B802" s="0" t="n">
        <v>5</v>
      </c>
      <c r="C802" s="0" t="n">
        <v>4740</v>
      </c>
      <c r="D802" s="0" t="n">
        <v>314</v>
      </c>
      <c r="E802" s="0" t="n">
        <v>2</v>
      </c>
      <c r="F802" s="27" t="s">
        <v>658</v>
      </c>
      <c r="G802" s="0" t="n">
        <v>27.9</v>
      </c>
      <c r="H802" s="0" t="n">
        <v>36</v>
      </c>
      <c r="I802" s="27" t="s">
        <v>138</v>
      </c>
      <c r="J802" s="0" t="n">
        <v>139</v>
      </c>
      <c r="K802" s="0" t="n">
        <v>69</v>
      </c>
      <c r="L802" s="0" t="n">
        <v>175</v>
      </c>
      <c r="M802" s="0" t="n">
        <v>1056.47</v>
      </c>
      <c r="N802" s="0" t="n">
        <v>55.83</v>
      </c>
      <c r="O802" s="0" t="n">
        <v>37.92</v>
      </c>
      <c r="P802" s="0" t="n">
        <v>4.4</v>
      </c>
      <c r="Q802" s="0" t="n">
        <v>3.96</v>
      </c>
      <c r="R802" s="0" t="n">
        <v>5577</v>
      </c>
      <c r="S802" s="0" t="n">
        <v>11477</v>
      </c>
      <c r="T802" s="0" t="n">
        <v>58.5</v>
      </c>
      <c r="U802" s="0" t="n">
        <v>1232</v>
      </c>
      <c r="V802" s="0" t="n">
        <v>3</v>
      </c>
      <c r="W802" s="27" t="n">
        <f aca="false">MATCH(A802,DATAS,0)</f>
        <v>1</v>
      </c>
      <c r="X802" s="27" t="n">
        <f aca="false">IF(AND(E802&gt;0,OR(AND(B802&gt;=1,B802&lt;=6),B802=10)),1,0)</f>
        <v>1</v>
      </c>
      <c r="Y802" s="27" t="n">
        <f aca="false">IF(AND(E802&gt;0,B802=10),1,0)</f>
        <v>0</v>
      </c>
      <c r="Z802" s="0" t="str">
        <f aca="false">IF(AND(C801=C802,W801=W802-1),X801,"")</f>
        <v/>
      </c>
      <c r="AA802" s="0" t="str">
        <f aca="false">IF(AND(C801=C802,W801=W802-1),Y801,"")</f>
        <v/>
      </c>
      <c r="AB802" s="0" t="str">
        <f aca="false">IF(W802=1,"",IF(AND(X802=1,Z802&lt;&gt;1),1,0))</f>
        <v/>
      </c>
      <c r="AC802" s="0" t="str">
        <f aca="false">IF(W802=1,"",IF(AND(Y802=1,AA802&lt;&gt;1),1,0))</f>
        <v/>
      </c>
      <c r="AD802" s="33" t="str">
        <f aca="false">IF(AND(E802&gt;0,W802&lt;1,NOT(AND(C803=C802,W803=W802+1))),INDEX(DATAS,W802+1),"")</f>
        <v/>
      </c>
      <c r="AE802" s="33" t="str">
        <f aca="false">IF(AND(Y802=1,W802&lt;1),IF(AND(C803=C802,W803=W802+1),IF(Y803=1,"",INDEX(DATAS,W802+1)),INDEX(DATAS,W802+1)),"")</f>
        <v/>
      </c>
    </row>
    <row r="803" customFormat="false" ht="15" hidden="false" customHeight="false" outlineLevel="0" collapsed="false">
      <c r="A803" s="33" t="n">
        <v>46309</v>
      </c>
      <c r="B803" s="0" t="n">
        <v>2</v>
      </c>
      <c r="C803" s="0" t="n">
        <v>4741</v>
      </c>
      <c r="D803" s="0" t="n">
        <v>274</v>
      </c>
      <c r="E803" s="0" t="n">
        <v>2</v>
      </c>
      <c r="F803" s="27" t="s">
        <v>658</v>
      </c>
      <c r="G803" s="0" t="n">
        <v>48.7</v>
      </c>
      <c r="H803" s="0" t="n">
        <v>51</v>
      </c>
      <c r="I803" s="27" t="s">
        <v>138</v>
      </c>
      <c r="J803" s="0" t="n">
        <v>101</v>
      </c>
      <c r="K803" s="0" t="n">
        <v>78</v>
      </c>
      <c r="L803" s="0" t="n">
        <v>173</v>
      </c>
      <c r="M803" s="0" t="n">
        <v>636.72</v>
      </c>
      <c r="N803" s="0" t="n">
        <v>54.19</v>
      </c>
      <c r="O803" s="0" t="n">
        <v>42.71</v>
      </c>
      <c r="P803" s="0" t="n">
        <v>3.65</v>
      </c>
      <c r="Q803" s="0" t="n">
        <v>3.85</v>
      </c>
      <c r="R803" s="0" t="n">
        <v>5496</v>
      </c>
      <c r="S803" s="0" t="n">
        <v>11678</v>
      </c>
      <c r="T803" s="0" t="n">
        <v>56.8</v>
      </c>
      <c r="U803" s="0" t="n">
        <v>1232</v>
      </c>
      <c r="V803" s="0" t="n">
        <v>2</v>
      </c>
      <c r="W803" s="27" t="n">
        <f aca="false">MATCH(A803,DATAS,0)</f>
        <v>1</v>
      </c>
      <c r="X803" s="27" t="n">
        <f aca="false">IF(AND(E803&gt;0,OR(AND(B803&gt;=1,B803&lt;=6),B803=10)),1,0)</f>
        <v>1</v>
      </c>
      <c r="Y803" s="27" t="n">
        <f aca="false">IF(AND(E803&gt;0,B803=10),1,0)</f>
        <v>0</v>
      </c>
      <c r="Z803" s="0" t="str">
        <f aca="false">IF(AND(C802=C803,W802=W803-1),X802,"")</f>
        <v/>
      </c>
      <c r="AA803" s="0" t="str">
        <f aca="false">IF(AND(C802=C803,W802=W803-1),Y802,"")</f>
        <v/>
      </c>
      <c r="AB803" s="0" t="str">
        <f aca="false">IF(W803=1,"",IF(AND(X803=1,Z803&lt;&gt;1),1,0))</f>
        <v/>
      </c>
      <c r="AC803" s="0" t="str">
        <f aca="false">IF(W803=1,"",IF(AND(Y803=1,AA803&lt;&gt;1),1,0))</f>
        <v/>
      </c>
      <c r="AD803" s="33" t="str">
        <f aca="false">IF(AND(E803&gt;0,W803&lt;1,NOT(AND(C804=C803,W804=W803+1))),INDEX(DATAS,W803+1),"")</f>
        <v/>
      </c>
      <c r="AE803" s="33" t="str">
        <f aca="false">IF(AND(Y803=1,W803&lt;1),IF(AND(C804=C803,W804=W803+1),IF(Y804=1,"",INDEX(DATAS,W803+1)),INDEX(DATAS,W803+1)),"")</f>
        <v/>
      </c>
    </row>
    <row r="804" customFormat="false" ht="15" hidden="false" customHeight="false" outlineLevel="0" collapsed="false">
      <c r="A804" s="33" t="n">
        <v>46309</v>
      </c>
      <c r="B804" s="0" t="n">
        <v>2</v>
      </c>
      <c r="C804" s="0" t="n">
        <v>4742</v>
      </c>
      <c r="D804" s="0" t="n">
        <v>199</v>
      </c>
      <c r="E804" s="0" t="n">
        <v>2</v>
      </c>
      <c r="F804" s="27" t="s">
        <v>659</v>
      </c>
      <c r="G804" s="0" t="n">
        <v>63.4</v>
      </c>
      <c r="H804" s="0" t="n">
        <v>63</v>
      </c>
      <c r="I804" s="27" t="s">
        <v>138</v>
      </c>
      <c r="J804" s="0" t="n">
        <v>143</v>
      </c>
      <c r="K804" s="0" t="n">
        <v>66</v>
      </c>
      <c r="L804" s="0" t="n">
        <v>56</v>
      </c>
      <c r="M804" s="0" t="n">
        <v>344.43</v>
      </c>
      <c r="N804" s="0" t="n">
        <v>55.77</v>
      </c>
      <c r="O804" s="0" t="n">
        <v>35.19</v>
      </c>
      <c r="P804" s="0" t="n">
        <v>3.77</v>
      </c>
      <c r="Q804" s="0" t="n">
        <v>3.29</v>
      </c>
      <c r="R804" s="0" t="n">
        <v>5557</v>
      </c>
      <c r="S804" s="0" t="n">
        <v>12249</v>
      </c>
      <c r="T804" s="0" t="n">
        <v>63</v>
      </c>
      <c r="U804" s="0" t="n">
        <v>1231</v>
      </c>
      <c r="V804" s="0" t="n">
        <v>4</v>
      </c>
      <c r="W804" s="27" t="n">
        <f aca="false">MATCH(A804,DATAS,0)</f>
        <v>1</v>
      </c>
      <c r="X804" s="27" t="n">
        <f aca="false">IF(AND(E804&gt;0,OR(AND(B804&gt;=1,B804&lt;=6),B804=10)),1,0)</f>
        <v>1</v>
      </c>
      <c r="Y804" s="27" t="n">
        <f aca="false">IF(AND(E804&gt;0,B804=10),1,0)</f>
        <v>0</v>
      </c>
      <c r="Z804" s="0" t="str">
        <f aca="false">IF(AND(C803=C804,W803=W804-1),X803,"")</f>
        <v/>
      </c>
      <c r="AA804" s="0" t="str">
        <f aca="false">IF(AND(C803=C804,W803=W804-1),Y803,"")</f>
        <v/>
      </c>
      <c r="AB804" s="0" t="str">
        <f aca="false">IF(W804=1,"",IF(AND(X804=1,Z804&lt;&gt;1),1,0))</f>
        <v/>
      </c>
      <c r="AC804" s="0" t="str">
        <f aca="false">IF(W804=1,"",IF(AND(Y804=1,AA804&lt;&gt;1),1,0))</f>
        <v/>
      </c>
      <c r="AD804" s="33" t="str">
        <f aca="false">IF(AND(E804&gt;0,W804&lt;1,NOT(AND(C805=C804,W805=W804+1))),INDEX(DATAS,W804+1),"")</f>
        <v/>
      </c>
      <c r="AE804" s="33" t="str">
        <f aca="false">IF(AND(Y804=1,W804&lt;1),IF(AND(C805=C804,W805=W804+1),IF(Y805=1,"",INDEX(DATAS,W804+1)),INDEX(DATAS,W804+1)),"")</f>
        <v/>
      </c>
    </row>
    <row r="805" customFormat="false" ht="15" hidden="false" customHeight="false" outlineLevel="0" collapsed="false">
      <c r="A805" s="33" t="n">
        <v>46309</v>
      </c>
      <c r="B805" s="0" t="n">
        <v>5</v>
      </c>
      <c r="C805" s="0" t="n">
        <v>4743</v>
      </c>
      <c r="D805" s="0" t="n">
        <v>246</v>
      </c>
      <c r="E805" s="0" t="n">
        <v>2</v>
      </c>
      <c r="F805" s="27" t="s">
        <v>659</v>
      </c>
      <c r="G805" s="0" t="n">
        <v>42.8</v>
      </c>
      <c r="H805" s="0" t="n">
        <v>40</v>
      </c>
      <c r="I805" s="27" t="s">
        <v>138</v>
      </c>
      <c r="J805" s="0" t="n">
        <v>120</v>
      </c>
      <c r="K805" s="0" t="n">
        <v>64</v>
      </c>
      <c r="L805" s="0" t="n">
        <v>126</v>
      </c>
      <c r="M805" s="0" t="n">
        <v>759.61</v>
      </c>
      <c r="N805" s="0" t="n">
        <v>87.24</v>
      </c>
      <c r="O805" s="0" t="n">
        <v>43.34</v>
      </c>
      <c r="P805" s="0" t="n">
        <v>5.02</v>
      </c>
      <c r="Q805" s="0" t="n">
        <v>3.93</v>
      </c>
      <c r="R805" s="0" t="n">
        <v>3734</v>
      </c>
      <c r="S805" s="0" t="n">
        <v>8392</v>
      </c>
      <c r="T805" s="0" t="n">
        <v>42.65</v>
      </c>
      <c r="U805" s="0" t="n">
        <v>1231</v>
      </c>
      <c r="V805" s="0" t="n">
        <v>3</v>
      </c>
      <c r="W805" s="27" t="n">
        <f aca="false">MATCH(A805,DATAS,0)</f>
        <v>1</v>
      </c>
      <c r="X805" s="27" t="n">
        <f aca="false">IF(AND(E805&gt;0,OR(AND(B805&gt;=1,B805&lt;=6),B805=10)),1,0)</f>
        <v>1</v>
      </c>
      <c r="Y805" s="27" t="n">
        <f aca="false">IF(AND(E805&gt;0,B805=10),1,0)</f>
        <v>0</v>
      </c>
      <c r="Z805" s="0" t="str">
        <f aca="false">IF(AND(C804=C805,W804=W805-1),X804,"")</f>
        <v/>
      </c>
      <c r="AA805" s="0" t="str">
        <f aca="false">IF(AND(C804=C805,W804=W805-1),Y804,"")</f>
        <v/>
      </c>
      <c r="AB805" s="0" t="str">
        <f aca="false">IF(W805=1,"",IF(AND(X805=1,Z805&lt;&gt;1),1,0))</f>
        <v/>
      </c>
      <c r="AC805" s="0" t="str">
        <f aca="false">IF(W805=1,"",IF(AND(Y805=1,AA805&lt;&gt;1),1,0))</f>
        <v/>
      </c>
      <c r="AD805" s="33" t="str">
        <f aca="false">IF(AND(E805&gt;0,W805&lt;1,NOT(AND(C806=C805,W806=W805+1))),INDEX(DATAS,W805+1),"")</f>
        <v/>
      </c>
      <c r="AE805" s="33" t="str">
        <f aca="false">IF(AND(Y805=1,W805&lt;1),IF(AND(C806=C805,W806=W805+1),IF(Y806=1,"",INDEX(DATAS,W805+1)),INDEX(DATAS,W805+1)),"")</f>
        <v/>
      </c>
    </row>
    <row r="806" customFormat="false" ht="15" hidden="false" customHeight="false" outlineLevel="0" collapsed="false">
      <c r="A806" s="33" t="n">
        <v>46309</v>
      </c>
      <c r="B806" s="0" t="n">
        <v>3</v>
      </c>
      <c r="C806" s="0" t="n">
        <v>4744</v>
      </c>
      <c r="D806" s="0" t="n">
        <v>454</v>
      </c>
      <c r="E806" s="0" t="n">
        <v>1</v>
      </c>
      <c r="F806" s="27" t="s">
        <v>659</v>
      </c>
      <c r="G806" s="0" t="n">
        <v>53.2</v>
      </c>
      <c r="H806" s="0" t="n">
        <v>50</v>
      </c>
      <c r="I806" s="27" t="s">
        <v>138</v>
      </c>
      <c r="J806" s="0" t="n">
        <v>342</v>
      </c>
      <c r="K806" s="0" t="n">
        <v>62</v>
      </c>
      <c r="L806" s="0" t="n">
        <v>112</v>
      </c>
      <c r="M806" s="0" t="n">
        <v>1698.43</v>
      </c>
      <c r="N806" s="0" t="n">
        <v>44.68</v>
      </c>
      <c r="O806" s="0" t="n">
        <v>37.51</v>
      </c>
      <c r="P806" s="0" t="n">
        <v>2.84</v>
      </c>
      <c r="Q806" s="0" t="n">
        <v>3.47</v>
      </c>
      <c r="R806" s="0" t="n">
        <v>5414</v>
      </c>
      <c r="S806" s="0" t="n">
        <v>11417</v>
      </c>
      <c r="T806" s="0" t="n">
        <v>56.5</v>
      </c>
      <c r="U806" s="0" t="n">
        <v>1231</v>
      </c>
      <c r="V806" s="0" t="n">
        <v>10</v>
      </c>
      <c r="W806" s="27" t="n">
        <f aca="false">MATCH(A806,DATAS,0)</f>
        <v>1</v>
      </c>
      <c r="X806" s="27" t="n">
        <f aca="false">IF(AND(E806&gt;0,OR(AND(B806&gt;=1,B806&lt;=6),B806=10)),1,0)</f>
        <v>1</v>
      </c>
      <c r="Y806" s="27" t="n">
        <f aca="false">IF(AND(E806&gt;0,B806=10),1,0)</f>
        <v>0</v>
      </c>
      <c r="Z806" s="0" t="str">
        <f aca="false">IF(AND(C805=C806,W805=W806-1),X805,"")</f>
        <v/>
      </c>
      <c r="AA806" s="0" t="str">
        <f aca="false">IF(AND(C805=C806,W805=W806-1),Y805,"")</f>
        <v/>
      </c>
      <c r="AB806" s="0" t="str">
        <f aca="false">IF(W806=1,"",IF(AND(X806=1,Z806&lt;&gt;1),1,0))</f>
        <v/>
      </c>
      <c r="AC806" s="0" t="str">
        <f aca="false">IF(W806=1,"",IF(AND(Y806=1,AA806&lt;&gt;1),1,0))</f>
        <v/>
      </c>
      <c r="AD806" s="33" t="str">
        <f aca="false">IF(AND(E806&gt;0,W806&lt;1,NOT(AND(C807=C806,W807=W806+1))),INDEX(DATAS,W806+1),"")</f>
        <v/>
      </c>
      <c r="AE806" s="33" t="str">
        <f aca="false">IF(AND(Y806=1,W806&lt;1),IF(AND(C807=C806,W807=W806+1),IF(Y807=1,"",INDEX(DATAS,W806+1)),INDEX(DATAS,W806+1)),"")</f>
        <v/>
      </c>
    </row>
    <row r="807" customFormat="false" ht="15" hidden="false" customHeight="false" outlineLevel="0" collapsed="false">
      <c r="A807" s="33" t="n">
        <v>46309</v>
      </c>
      <c r="B807" s="0" t="n">
        <v>7</v>
      </c>
      <c r="C807" s="0" t="n">
        <v>4745</v>
      </c>
      <c r="D807" s="0" t="n">
        <v>50</v>
      </c>
      <c r="E807" s="0" t="n">
        <v>2</v>
      </c>
      <c r="F807" s="27" t="s">
        <v>659</v>
      </c>
      <c r="I807" s="27" t="s">
        <v>143</v>
      </c>
      <c r="J807" s="0" t="n">
        <v>70</v>
      </c>
      <c r="K807" s="0" t="n">
        <v>70</v>
      </c>
      <c r="L807" s="0" t="n">
        <v>156</v>
      </c>
      <c r="M807" s="0" t="n">
        <v>705.71</v>
      </c>
      <c r="N807" s="0" t="n">
        <v>45.69</v>
      </c>
      <c r="O807" s="0" t="n">
        <v>45.5</v>
      </c>
      <c r="P807" s="0" t="n">
        <v>3.77</v>
      </c>
      <c r="Q807" s="0" t="n">
        <v>3.98</v>
      </c>
      <c r="R807" s="0" t="n">
        <v>1031</v>
      </c>
      <c r="S807" s="0" t="n">
        <v>2074</v>
      </c>
      <c r="U807" s="0" t="n">
        <v>1231</v>
      </c>
      <c r="V807" s="0" t="n">
        <v>1</v>
      </c>
      <c r="W807" s="27" t="n">
        <f aca="false">MATCH(A807,DATAS,0)</f>
        <v>1</v>
      </c>
      <c r="X807" s="27" t="n">
        <f aca="false">IF(AND(E807&gt;0,OR(AND(B807&gt;=1,B807&lt;=6),B807=10)),1,0)</f>
        <v>0</v>
      </c>
      <c r="Y807" s="27" t="n">
        <f aca="false">IF(AND(E807&gt;0,B807=10),1,0)</f>
        <v>0</v>
      </c>
      <c r="Z807" s="0" t="str">
        <f aca="false">IF(AND(C806=C807,W806=W807-1),X806,"")</f>
        <v/>
      </c>
      <c r="AA807" s="0" t="str">
        <f aca="false">IF(AND(C806=C807,W806=W807-1),Y806,"")</f>
        <v/>
      </c>
      <c r="AB807" s="0" t="str">
        <f aca="false">IF(W807=1,"",IF(AND(X807=1,Z807&lt;&gt;1),1,0))</f>
        <v/>
      </c>
      <c r="AC807" s="0" t="str">
        <f aca="false">IF(W807=1,"",IF(AND(Y807=1,AA807&lt;&gt;1),1,0))</f>
        <v/>
      </c>
      <c r="AD807" s="33" t="str">
        <f aca="false">IF(AND(E807&gt;0,W807&lt;1,NOT(AND(C808=C807,W808=W807+1))),INDEX(DATAS,W807+1),"")</f>
        <v/>
      </c>
      <c r="AE807" s="33" t="str">
        <f aca="false">IF(AND(Y807=1,W807&lt;1),IF(AND(C808=C807,W808=W807+1),IF(Y808=1,"",INDEX(DATAS,W807+1)),INDEX(DATAS,W807+1)),"")</f>
        <v/>
      </c>
    </row>
    <row r="808" customFormat="false" ht="15" hidden="false" customHeight="false" outlineLevel="0" collapsed="false">
      <c r="A808" s="33" t="n">
        <v>46309</v>
      </c>
      <c r="B808" s="0" t="n">
        <v>5</v>
      </c>
      <c r="C808" s="0" t="n">
        <v>4747</v>
      </c>
      <c r="D808" s="0" t="n">
        <v>240</v>
      </c>
      <c r="E808" s="0" t="n">
        <v>2</v>
      </c>
      <c r="F808" s="27" t="s">
        <v>660</v>
      </c>
      <c r="G808" s="0" t="n">
        <v>43.1</v>
      </c>
      <c r="H808" s="0" t="n">
        <v>43</v>
      </c>
      <c r="I808" s="27" t="s">
        <v>138</v>
      </c>
      <c r="J808" s="0" t="n">
        <v>135</v>
      </c>
      <c r="K808" s="0" t="n">
        <v>65</v>
      </c>
      <c r="L808" s="0" t="n">
        <v>105</v>
      </c>
      <c r="M808" s="0" t="n">
        <v>-285.28</v>
      </c>
      <c r="N808" s="0" t="n">
        <v>21.97</v>
      </c>
      <c r="O808" s="0" t="n">
        <v>-2.95</v>
      </c>
      <c r="P808" s="0" t="n">
        <v>2.85</v>
      </c>
      <c r="Q808" s="0" t="n">
        <v>3.76</v>
      </c>
      <c r="R808" s="0" t="n">
        <v>4965</v>
      </c>
      <c r="S808" s="0" t="n">
        <v>10079</v>
      </c>
      <c r="T808" s="0" t="n">
        <v>58.65</v>
      </c>
      <c r="U808" s="0" t="n">
        <v>1230</v>
      </c>
      <c r="V808" s="0" t="n">
        <v>3</v>
      </c>
      <c r="W808" s="27" t="n">
        <f aca="false">MATCH(A808,DATAS,0)</f>
        <v>1</v>
      </c>
      <c r="X808" s="27" t="n">
        <f aca="false">IF(AND(E808&gt;0,OR(AND(B808&gt;=1,B808&lt;=6),B808=10)),1,0)</f>
        <v>1</v>
      </c>
      <c r="Y808" s="27" t="n">
        <f aca="false">IF(AND(E808&gt;0,B808=10),1,0)</f>
        <v>0</v>
      </c>
      <c r="Z808" s="0" t="str">
        <f aca="false">IF(AND(C807=C808,W807=W808-1),X807,"")</f>
        <v/>
      </c>
      <c r="AA808" s="0" t="str">
        <f aca="false">IF(AND(C807=C808,W807=W808-1),Y807,"")</f>
        <v/>
      </c>
      <c r="AB808" s="0" t="str">
        <f aca="false">IF(W808=1,"",IF(AND(X808=1,Z808&lt;&gt;1),1,0))</f>
        <v/>
      </c>
      <c r="AC808" s="0" t="str">
        <f aca="false">IF(W808=1,"",IF(AND(Y808=1,AA808&lt;&gt;1),1,0))</f>
        <v/>
      </c>
      <c r="AD808" s="33" t="str">
        <f aca="false">IF(AND(E808&gt;0,W808&lt;1,NOT(AND(C809=C808,W809=W808+1))),INDEX(DATAS,W808+1),"")</f>
        <v/>
      </c>
      <c r="AE808" s="33" t="str">
        <f aca="false">IF(AND(Y808=1,W808&lt;1),IF(AND(C809=C808,W809=W808+1),IF(Y809=1,"",INDEX(DATAS,W808+1)),INDEX(DATAS,W808+1)),"")</f>
        <v/>
      </c>
    </row>
    <row r="809" customFormat="false" ht="15" hidden="false" customHeight="false" outlineLevel="0" collapsed="false">
      <c r="A809" s="33" t="n">
        <v>46309</v>
      </c>
      <c r="B809" s="0" t="n">
        <v>3</v>
      </c>
      <c r="C809" s="0" t="n">
        <v>4749</v>
      </c>
      <c r="D809" s="0" t="n">
        <v>224</v>
      </c>
      <c r="E809" s="0" t="n">
        <v>2</v>
      </c>
      <c r="F809" s="27" t="s">
        <v>661</v>
      </c>
      <c r="G809" s="0" t="n">
        <v>51.7</v>
      </c>
      <c r="H809" s="0" t="n">
        <v>51</v>
      </c>
      <c r="I809" s="27" t="s">
        <v>168</v>
      </c>
      <c r="J809" s="0" t="n">
        <v>224</v>
      </c>
      <c r="K809" s="0" t="n">
        <v>63</v>
      </c>
      <c r="M809" s="0" t="n">
        <v>775.97</v>
      </c>
      <c r="N809" s="0" t="n">
        <v>73.75</v>
      </c>
      <c r="O809" s="0" t="n">
        <v>55.24</v>
      </c>
      <c r="P809" s="0" t="n">
        <v>3.57</v>
      </c>
      <c r="Q809" s="0" t="n">
        <v>4.06</v>
      </c>
      <c r="R809" s="0" t="n">
        <v>5405</v>
      </c>
      <c r="S809" s="0" t="n">
        <v>10863</v>
      </c>
      <c r="T809" s="0" t="n">
        <v>59.95</v>
      </c>
      <c r="U809" s="0" t="n">
        <v>1229</v>
      </c>
      <c r="V809" s="0" t="n">
        <v>5</v>
      </c>
      <c r="W809" s="27" t="n">
        <f aca="false">MATCH(A809,DATAS,0)</f>
        <v>1</v>
      </c>
      <c r="X809" s="27" t="n">
        <f aca="false">IF(AND(E809&gt;0,OR(AND(B809&gt;=1,B809&lt;=6),B809=10)),1,0)</f>
        <v>1</v>
      </c>
      <c r="Y809" s="27" t="n">
        <f aca="false">IF(AND(E809&gt;0,B809=10),1,0)</f>
        <v>0</v>
      </c>
      <c r="Z809" s="0" t="str">
        <f aca="false">IF(AND(C808=C809,W808=W809-1),X808,"")</f>
        <v/>
      </c>
      <c r="AA809" s="0" t="str">
        <f aca="false">IF(AND(C808=C809,W808=W809-1),Y808,"")</f>
        <v/>
      </c>
      <c r="AB809" s="0" t="str">
        <f aca="false">IF(W809=1,"",IF(AND(X809=1,Z809&lt;&gt;1),1,0))</f>
        <v/>
      </c>
      <c r="AC809" s="0" t="str">
        <f aca="false">IF(W809=1,"",IF(AND(Y809=1,AA809&lt;&gt;1),1,0))</f>
        <v/>
      </c>
      <c r="AD809" s="33" t="str">
        <f aca="false">IF(AND(E809&gt;0,W809&lt;1,NOT(AND(C810=C809,W810=W809+1))),INDEX(DATAS,W809+1),"")</f>
        <v/>
      </c>
      <c r="AE809" s="33" t="str">
        <f aca="false">IF(AND(Y809=1,W809&lt;1),IF(AND(C810=C809,W810=W809+1),IF(Y810=1,"",INDEX(DATAS,W809+1)),INDEX(DATAS,W809+1)),"")</f>
        <v/>
      </c>
    </row>
    <row r="810" customFormat="false" ht="15" hidden="false" customHeight="false" outlineLevel="0" collapsed="false">
      <c r="A810" s="33" t="n">
        <v>46309</v>
      </c>
      <c r="B810" s="0" t="n">
        <v>5</v>
      </c>
      <c r="C810" s="0" t="n">
        <v>4751</v>
      </c>
      <c r="D810" s="0" t="n">
        <v>190</v>
      </c>
      <c r="E810" s="0" t="n">
        <v>2</v>
      </c>
      <c r="F810" s="27" t="s">
        <v>662</v>
      </c>
      <c r="G810" s="0" t="n">
        <v>45.3</v>
      </c>
      <c r="H810" s="0" t="n">
        <v>45</v>
      </c>
      <c r="I810" s="27" t="s">
        <v>168</v>
      </c>
      <c r="J810" s="0" t="n">
        <v>190</v>
      </c>
      <c r="K810" s="0" t="n">
        <v>64</v>
      </c>
      <c r="M810" s="0" t="n">
        <v>902.86</v>
      </c>
      <c r="N810" s="0" t="n">
        <v>52.87</v>
      </c>
      <c r="O810" s="0" t="n">
        <v>36.97</v>
      </c>
      <c r="P810" s="0" t="n">
        <v>4.89</v>
      </c>
      <c r="Q810" s="0" t="n">
        <v>4.04</v>
      </c>
      <c r="R810" s="0" t="n">
        <v>4403</v>
      </c>
      <c r="S810" s="0" t="n">
        <v>8936</v>
      </c>
      <c r="T810" s="0" t="n">
        <v>46.8</v>
      </c>
      <c r="U810" s="0" t="n">
        <v>1228</v>
      </c>
      <c r="V810" s="0" t="n">
        <v>3</v>
      </c>
      <c r="W810" s="27" t="n">
        <f aca="false">MATCH(A810,DATAS,0)</f>
        <v>1</v>
      </c>
      <c r="X810" s="27" t="n">
        <f aca="false">IF(AND(E810&gt;0,OR(AND(B810&gt;=1,B810&lt;=6),B810=10)),1,0)</f>
        <v>1</v>
      </c>
      <c r="Y810" s="27" t="n">
        <f aca="false">IF(AND(E810&gt;0,B810=10),1,0)</f>
        <v>0</v>
      </c>
      <c r="Z810" s="0" t="str">
        <f aca="false">IF(AND(C809=C810,W809=W810-1),X809,"")</f>
        <v/>
      </c>
      <c r="AA810" s="0" t="str">
        <f aca="false">IF(AND(C809=C810,W809=W810-1),Y809,"")</f>
        <v/>
      </c>
      <c r="AB810" s="0" t="str">
        <f aca="false">IF(W810=1,"",IF(AND(X810=1,Z810&lt;&gt;1),1,0))</f>
        <v/>
      </c>
      <c r="AC810" s="0" t="str">
        <f aca="false">IF(W810=1,"",IF(AND(Y810=1,AA810&lt;&gt;1),1,0))</f>
        <v/>
      </c>
      <c r="AD810" s="33" t="str">
        <f aca="false">IF(AND(E810&gt;0,W810&lt;1,NOT(AND(C811=C810,W811=W810+1))),INDEX(DATAS,W810+1),"")</f>
        <v/>
      </c>
      <c r="AE810" s="33" t="str">
        <f aca="false">IF(AND(Y810=1,W810&lt;1),IF(AND(C811=C810,W811=W810+1),IF(Y811=1,"",INDEX(DATAS,W810+1)),INDEX(DATAS,W810+1)),"")</f>
        <v/>
      </c>
    </row>
    <row r="811" customFormat="false" ht="15" hidden="false" customHeight="false" outlineLevel="0" collapsed="false">
      <c r="A811" s="33" t="n">
        <v>46309</v>
      </c>
      <c r="B811" s="0" t="n">
        <v>5</v>
      </c>
      <c r="C811" s="0" t="n">
        <v>4752</v>
      </c>
      <c r="D811" s="0" t="n">
        <v>207</v>
      </c>
      <c r="E811" s="0" t="n">
        <v>2</v>
      </c>
      <c r="F811" s="27" t="s">
        <v>662</v>
      </c>
      <c r="G811" s="0" t="n">
        <v>46.2</v>
      </c>
      <c r="H811" s="0" t="n">
        <v>37</v>
      </c>
      <c r="I811" s="27" t="s">
        <v>138</v>
      </c>
      <c r="J811" s="0" t="n">
        <v>67</v>
      </c>
      <c r="K811" s="0" t="n">
        <v>67</v>
      </c>
      <c r="L811" s="0" t="n">
        <v>140</v>
      </c>
      <c r="M811" s="0" t="n">
        <v>885.62</v>
      </c>
      <c r="N811" s="0" t="n">
        <v>54.54</v>
      </c>
      <c r="O811" s="0" t="n">
        <v>37.23</v>
      </c>
      <c r="P811" s="0" t="n">
        <v>5.2</v>
      </c>
      <c r="Q811" s="0" t="n">
        <v>3.84</v>
      </c>
      <c r="R811" s="0" t="n">
        <v>3783</v>
      </c>
      <c r="S811" s="0" t="n">
        <v>7829</v>
      </c>
      <c r="T811" s="0" t="n">
        <v>41.6</v>
      </c>
      <c r="U811" s="0" t="n">
        <v>1228</v>
      </c>
      <c r="V811" s="0" t="n">
        <v>1</v>
      </c>
      <c r="W811" s="27" t="n">
        <f aca="false">MATCH(A811,DATAS,0)</f>
        <v>1</v>
      </c>
      <c r="X811" s="27" t="n">
        <f aca="false">IF(AND(E811&gt;0,OR(AND(B811&gt;=1,B811&lt;=6),B811=10)),1,0)</f>
        <v>1</v>
      </c>
      <c r="Y811" s="27" t="n">
        <f aca="false">IF(AND(E811&gt;0,B811=10),1,0)</f>
        <v>0</v>
      </c>
      <c r="Z811" s="0" t="str">
        <f aca="false">IF(AND(C810=C811,W810=W811-1),X810,"")</f>
        <v/>
      </c>
      <c r="AA811" s="0" t="str">
        <f aca="false">IF(AND(C810=C811,W810=W811-1),Y810,"")</f>
        <v/>
      </c>
      <c r="AB811" s="0" t="str">
        <f aca="false">IF(W811=1,"",IF(AND(X811=1,Z811&lt;&gt;1),1,0))</f>
        <v/>
      </c>
      <c r="AC811" s="0" t="str">
        <f aca="false">IF(W811=1,"",IF(AND(Y811=1,AA811&lt;&gt;1),1,0))</f>
        <v/>
      </c>
      <c r="AD811" s="33" t="str">
        <f aca="false">IF(AND(E811&gt;0,W811&lt;1,NOT(AND(C812=C811,W812=W811+1))),INDEX(DATAS,W811+1),"")</f>
        <v/>
      </c>
      <c r="AE811" s="33" t="str">
        <f aca="false">IF(AND(Y811=1,W811&lt;1),IF(AND(C812=C811,W812=W811+1),IF(Y812=1,"",INDEX(DATAS,W811+1)),INDEX(DATAS,W811+1)),"")</f>
        <v/>
      </c>
    </row>
    <row r="812" customFormat="false" ht="15" hidden="false" customHeight="false" outlineLevel="0" collapsed="false">
      <c r="A812" s="33" t="n">
        <v>46309</v>
      </c>
      <c r="B812" s="0" t="n">
        <v>7</v>
      </c>
      <c r="C812" s="0" t="n">
        <v>4753</v>
      </c>
      <c r="D812" s="0" t="n">
        <v>530</v>
      </c>
      <c r="E812" s="0" t="n">
        <v>1</v>
      </c>
      <c r="F812" s="27" t="s">
        <v>662</v>
      </c>
      <c r="I812" s="27" t="s">
        <v>143</v>
      </c>
      <c r="J812" s="0" t="n">
        <v>307</v>
      </c>
      <c r="K812" s="0" t="n">
        <v>62</v>
      </c>
      <c r="L812" s="0" t="n">
        <v>238</v>
      </c>
      <c r="M812" s="0" t="n">
        <v>892.04</v>
      </c>
      <c r="N812" s="0" t="n">
        <v>42.76</v>
      </c>
      <c r="O812" s="0" t="n">
        <v>45.88</v>
      </c>
      <c r="P812" s="0" t="n">
        <v>3.89</v>
      </c>
      <c r="Q812" s="0" t="n">
        <v>4.08</v>
      </c>
      <c r="R812" s="0" t="n">
        <v>4230</v>
      </c>
      <c r="S812" s="0" t="n">
        <v>9360</v>
      </c>
      <c r="T812" s="0" t="n">
        <v>46.85</v>
      </c>
      <c r="U812" s="0" t="n">
        <v>1228</v>
      </c>
      <c r="V812" s="0" t="n">
        <v>8</v>
      </c>
      <c r="W812" s="27" t="n">
        <f aca="false">MATCH(A812,DATAS,0)</f>
        <v>1</v>
      </c>
      <c r="X812" s="27" t="n">
        <f aca="false">IF(AND(E812&gt;0,OR(AND(B812&gt;=1,B812&lt;=6),B812=10)),1,0)</f>
        <v>0</v>
      </c>
      <c r="Y812" s="27" t="n">
        <f aca="false">IF(AND(E812&gt;0,B812=10),1,0)</f>
        <v>0</v>
      </c>
      <c r="Z812" s="0" t="str">
        <f aca="false">IF(AND(C811=C812,W811=W812-1),X811,"")</f>
        <v/>
      </c>
      <c r="AA812" s="0" t="str">
        <f aca="false">IF(AND(C811=C812,W811=W812-1),Y811,"")</f>
        <v/>
      </c>
      <c r="AB812" s="0" t="str">
        <f aca="false">IF(W812=1,"",IF(AND(X812=1,Z812&lt;&gt;1),1,0))</f>
        <v/>
      </c>
      <c r="AC812" s="0" t="str">
        <f aca="false">IF(W812=1,"",IF(AND(Y812=1,AA812&lt;&gt;1),1,0))</f>
        <v/>
      </c>
      <c r="AD812" s="33" t="str">
        <f aca="false">IF(AND(E812&gt;0,W812&lt;1,NOT(AND(C813=C812,W813=W812+1))),INDEX(DATAS,W812+1),"")</f>
        <v/>
      </c>
      <c r="AE812" s="33" t="str">
        <f aca="false">IF(AND(Y812=1,W812&lt;1),IF(AND(C813=C812,W813=W812+1),IF(Y813=1,"",INDEX(DATAS,W812+1)),INDEX(DATAS,W812+1)),"")</f>
        <v/>
      </c>
    </row>
    <row r="813" customFormat="false" ht="15" hidden="false" customHeight="false" outlineLevel="0" collapsed="false">
      <c r="A813" s="33" t="n">
        <v>46309</v>
      </c>
      <c r="B813" s="0" t="n">
        <v>2</v>
      </c>
      <c r="C813" s="0" t="n">
        <v>4754</v>
      </c>
      <c r="D813" s="0" t="n">
        <v>136</v>
      </c>
      <c r="E813" s="0" t="n">
        <v>2</v>
      </c>
      <c r="F813" s="27" t="s">
        <v>663</v>
      </c>
      <c r="G813" s="0" t="n">
        <v>54.9</v>
      </c>
      <c r="H813" s="0" t="n">
        <v>54</v>
      </c>
      <c r="I813" s="27" t="s">
        <v>168</v>
      </c>
      <c r="J813" s="0" t="n">
        <v>136</v>
      </c>
      <c r="K813" s="0" t="n">
        <v>66</v>
      </c>
      <c r="M813" s="0" t="n">
        <v>243.8</v>
      </c>
      <c r="N813" s="0" t="n">
        <v>52.41</v>
      </c>
      <c r="O813" s="0" t="n">
        <v>18.89</v>
      </c>
      <c r="P813" s="0" t="n">
        <v>3.37</v>
      </c>
      <c r="Q813" s="0" t="n">
        <v>3.27</v>
      </c>
      <c r="R813" s="0" t="n">
        <v>5045</v>
      </c>
      <c r="S813" s="0" t="n">
        <v>10366</v>
      </c>
      <c r="T813" s="0" t="n">
        <v>54.4</v>
      </c>
      <c r="U813" s="0" t="n">
        <v>1227</v>
      </c>
      <c r="V813" s="0" t="n">
        <v>2</v>
      </c>
      <c r="W813" s="27" t="n">
        <f aca="false">MATCH(A813,DATAS,0)</f>
        <v>1</v>
      </c>
      <c r="X813" s="27" t="n">
        <f aca="false">IF(AND(E813&gt;0,OR(AND(B813&gt;=1,B813&lt;=6),B813=10)),1,0)</f>
        <v>1</v>
      </c>
      <c r="Y813" s="27" t="n">
        <f aca="false">IF(AND(E813&gt;0,B813=10),1,0)</f>
        <v>0</v>
      </c>
      <c r="Z813" s="0" t="str">
        <f aca="false">IF(AND(C812=C813,W812=W813-1),X812,"")</f>
        <v/>
      </c>
      <c r="AA813" s="0" t="str">
        <f aca="false">IF(AND(C812=C813,W812=W813-1),Y812,"")</f>
        <v/>
      </c>
      <c r="AB813" s="0" t="str">
        <f aca="false">IF(W813=1,"",IF(AND(X813=1,Z813&lt;&gt;1),1,0))</f>
        <v/>
      </c>
      <c r="AC813" s="0" t="str">
        <f aca="false">IF(W813=1,"",IF(AND(Y813=1,AA813&lt;&gt;1),1,0))</f>
        <v/>
      </c>
      <c r="AD813" s="33" t="str">
        <f aca="false">IF(AND(E813&gt;0,W813&lt;1,NOT(AND(C814=C813,W814=W813+1))),INDEX(DATAS,W813+1),"")</f>
        <v/>
      </c>
      <c r="AE813" s="33" t="str">
        <f aca="false">IF(AND(Y813=1,W813&lt;1),IF(AND(C814=C813,W814=W813+1),IF(Y814=1,"",INDEX(DATAS,W813+1)),INDEX(DATAS,W813+1)),"")</f>
        <v/>
      </c>
    </row>
    <row r="814" customFormat="false" ht="15" hidden="false" customHeight="false" outlineLevel="0" collapsed="false">
      <c r="A814" s="33" t="n">
        <v>46309</v>
      </c>
      <c r="B814" s="0" t="n">
        <v>2</v>
      </c>
      <c r="C814" s="0" t="n">
        <v>4755</v>
      </c>
      <c r="D814" s="0" t="n">
        <v>124</v>
      </c>
      <c r="E814" s="0" t="n">
        <v>2</v>
      </c>
      <c r="F814" s="27" t="s">
        <v>663</v>
      </c>
      <c r="G814" s="0" t="n">
        <v>54.3</v>
      </c>
      <c r="H814" s="0" t="n">
        <v>52</v>
      </c>
      <c r="I814" s="27" t="s">
        <v>168</v>
      </c>
      <c r="J814" s="0" t="n">
        <v>124</v>
      </c>
      <c r="K814" s="0" t="n">
        <v>68</v>
      </c>
      <c r="M814" s="0" t="n">
        <v>513.51</v>
      </c>
      <c r="N814" s="0" t="n">
        <v>46.17</v>
      </c>
      <c r="O814" s="0" t="n">
        <v>42.28</v>
      </c>
      <c r="P814" s="0" t="n">
        <v>4.07</v>
      </c>
      <c r="Q814" s="0" t="n">
        <v>3.33</v>
      </c>
      <c r="R814" s="0" t="n">
        <v>5728</v>
      </c>
      <c r="S814" s="0" t="n">
        <v>11190</v>
      </c>
      <c r="T814" s="0" t="n">
        <v>53.25</v>
      </c>
      <c r="U814" s="0" t="n">
        <v>1227</v>
      </c>
      <c r="V814" s="0" t="n">
        <v>2</v>
      </c>
      <c r="W814" s="27" t="n">
        <f aca="false">MATCH(A814,DATAS,0)</f>
        <v>1</v>
      </c>
      <c r="X814" s="27" t="n">
        <f aca="false">IF(AND(E814&gt;0,OR(AND(B814&gt;=1,B814&lt;=6),B814=10)),1,0)</f>
        <v>1</v>
      </c>
      <c r="Y814" s="27" t="n">
        <f aca="false">IF(AND(E814&gt;0,B814=10),1,0)</f>
        <v>0</v>
      </c>
      <c r="Z814" s="0" t="str">
        <f aca="false">IF(AND(C813=C814,W813=W814-1),X813,"")</f>
        <v/>
      </c>
      <c r="AA814" s="0" t="str">
        <f aca="false">IF(AND(C813=C814,W813=W814-1),Y813,"")</f>
        <v/>
      </c>
      <c r="AB814" s="0" t="str">
        <f aca="false">IF(W814=1,"",IF(AND(X814=1,Z814&lt;&gt;1),1,0))</f>
        <v/>
      </c>
      <c r="AC814" s="0" t="str">
        <f aca="false">IF(W814=1,"",IF(AND(Y814=1,AA814&lt;&gt;1),1,0))</f>
        <v/>
      </c>
      <c r="AD814" s="33" t="str">
        <f aca="false">IF(AND(E814&gt;0,W814&lt;1,NOT(AND(C815=C814,W815=W814+1))),INDEX(DATAS,W814+1),"")</f>
        <v/>
      </c>
      <c r="AE814" s="33" t="str">
        <f aca="false">IF(AND(Y814=1,W814&lt;1),IF(AND(C815=C814,W815=W814+1),IF(Y815=1,"",INDEX(DATAS,W814+1)),INDEX(DATAS,W814+1)),"")</f>
        <v/>
      </c>
    </row>
    <row r="815" customFormat="false" ht="15" hidden="false" customHeight="false" outlineLevel="0" collapsed="false">
      <c r="A815" s="33" t="n">
        <v>46309</v>
      </c>
      <c r="B815" s="0" t="n">
        <v>3</v>
      </c>
      <c r="C815" s="0" t="n">
        <v>4756</v>
      </c>
      <c r="D815" s="0" t="n">
        <v>85</v>
      </c>
      <c r="E815" s="0" t="n">
        <v>2</v>
      </c>
      <c r="F815" s="27" t="s">
        <v>664</v>
      </c>
      <c r="G815" s="0" t="n">
        <v>62.5</v>
      </c>
      <c r="H815" s="0" t="n">
        <v>63</v>
      </c>
      <c r="I815" s="27" t="s">
        <v>168</v>
      </c>
      <c r="J815" s="0" t="n">
        <v>85</v>
      </c>
      <c r="K815" s="0" t="n">
        <v>64</v>
      </c>
      <c r="M815" s="0" t="n">
        <v>686.03</v>
      </c>
      <c r="N815" s="0" t="n">
        <v>90.76</v>
      </c>
      <c r="O815" s="0" t="n">
        <v>40.12</v>
      </c>
      <c r="P815" s="0" t="n">
        <v>3.94</v>
      </c>
      <c r="Q815" s="0" t="n">
        <v>3.29</v>
      </c>
      <c r="R815" s="0" t="n">
        <v>5560</v>
      </c>
      <c r="S815" s="0" t="n">
        <v>11176</v>
      </c>
      <c r="U815" s="0" t="n">
        <v>1225</v>
      </c>
      <c r="V815" s="0" t="n">
        <v>1</v>
      </c>
      <c r="W815" s="27" t="n">
        <f aca="false">MATCH(A815,DATAS,0)</f>
        <v>1</v>
      </c>
      <c r="X815" s="27" t="n">
        <f aca="false">IF(AND(E815&gt;0,OR(AND(B815&gt;=1,B815&lt;=6),B815=10)),1,0)</f>
        <v>1</v>
      </c>
      <c r="Y815" s="27" t="n">
        <f aca="false">IF(AND(E815&gt;0,B815=10),1,0)</f>
        <v>0</v>
      </c>
      <c r="Z815" s="0" t="str">
        <f aca="false">IF(AND(C814=C815,W814=W815-1),X814,"")</f>
        <v/>
      </c>
      <c r="AA815" s="0" t="str">
        <f aca="false">IF(AND(C814=C815,W814=W815-1),Y814,"")</f>
        <v/>
      </c>
      <c r="AB815" s="0" t="str">
        <f aca="false">IF(W815=1,"",IF(AND(X815=1,Z815&lt;&gt;1),1,0))</f>
        <v/>
      </c>
      <c r="AC815" s="0" t="str">
        <f aca="false">IF(W815=1,"",IF(AND(Y815=1,AA815&lt;&gt;1),1,0))</f>
        <v/>
      </c>
      <c r="AD815" s="33" t="str">
        <f aca="false">IF(AND(E815&gt;0,W815&lt;1,NOT(AND(C816=C815,W816=W815+1))),INDEX(DATAS,W815+1),"")</f>
        <v/>
      </c>
      <c r="AE815" s="33" t="str">
        <f aca="false">IF(AND(Y815=1,W815&lt;1),IF(AND(C816=C815,W816=W815+1),IF(Y816=1,"",INDEX(DATAS,W815+1)),INDEX(DATAS,W815+1)),"")</f>
        <v/>
      </c>
    </row>
    <row r="816" customFormat="false" ht="15" hidden="false" customHeight="false" outlineLevel="0" collapsed="false">
      <c r="A816" s="33" t="n">
        <v>46309</v>
      </c>
      <c r="B816" s="0" t="n">
        <v>5</v>
      </c>
      <c r="C816" s="0" t="n">
        <v>4757</v>
      </c>
      <c r="D816" s="0" t="n">
        <v>253</v>
      </c>
      <c r="E816" s="0" t="n">
        <v>2</v>
      </c>
      <c r="F816" s="27" t="s">
        <v>664</v>
      </c>
      <c r="H816" s="0" t="n">
        <v>17</v>
      </c>
      <c r="I816" s="27" t="s">
        <v>138</v>
      </c>
      <c r="J816" s="0" t="n">
        <v>64</v>
      </c>
      <c r="K816" s="0" t="n">
        <v>64</v>
      </c>
      <c r="L816" s="0" t="n">
        <v>189</v>
      </c>
      <c r="M816" s="0" t="n">
        <v>222.1</v>
      </c>
      <c r="N816" s="0" t="n">
        <v>68.1</v>
      </c>
      <c r="O816" s="0" t="n">
        <v>34.82</v>
      </c>
      <c r="P816" s="0" t="n">
        <v>3.97</v>
      </c>
      <c r="Q816" s="0" t="n">
        <v>3.95</v>
      </c>
      <c r="R816" s="0" t="n">
        <v>5393</v>
      </c>
      <c r="S816" s="0" t="n">
        <v>11281</v>
      </c>
      <c r="T816" s="0" t="n">
        <v>59.55</v>
      </c>
      <c r="U816" s="0" t="n">
        <v>1225</v>
      </c>
      <c r="V816" s="0" t="n">
        <v>1</v>
      </c>
      <c r="W816" s="27" t="n">
        <f aca="false">MATCH(A816,DATAS,0)</f>
        <v>1</v>
      </c>
      <c r="X816" s="27" t="n">
        <f aca="false">IF(AND(E816&gt;0,OR(AND(B816&gt;=1,B816&lt;=6),B816=10)),1,0)</f>
        <v>1</v>
      </c>
      <c r="Y816" s="27" t="n">
        <f aca="false">IF(AND(E816&gt;0,B816=10),1,0)</f>
        <v>0</v>
      </c>
      <c r="Z816" s="0" t="str">
        <f aca="false">IF(AND(C815=C816,W815=W816-1),X815,"")</f>
        <v/>
      </c>
      <c r="AA816" s="0" t="str">
        <f aca="false">IF(AND(C815=C816,W815=W816-1),Y815,"")</f>
        <v/>
      </c>
      <c r="AB816" s="0" t="str">
        <f aca="false">IF(W816=1,"",IF(AND(X816=1,Z816&lt;&gt;1),1,0))</f>
        <v/>
      </c>
      <c r="AC816" s="0" t="str">
        <f aca="false">IF(W816=1,"",IF(AND(Y816=1,AA816&lt;&gt;1),1,0))</f>
        <v/>
      </c>
      <c r="AD816" s="33" t="str">
        <f aca="false">IF(AND(E816&gt;0,W816&lt;1,NOT(AND(C817=C816,W817=W816+1))),INDEX(DATAS,W816+1),"")</f>
        <v/>
      </c>
      <c r="AE816" s="33" t="str">
        <f aca="false">IF(AND(Y816=1,W816&lt;1),IF(AND(C817=C816,W817=W816+1),IF(Y817=1,"",INDEX(DATAS,W816+1)),INDEX(DATAS,W816+1)),"")</f>
        <v/>
      </c>
    </row>
    <row r="817" customFormat="false" ht="15" hidden="false" customHeight="false" outlineLevel="0" collapsed="false">
      <c r="A817" s="33" t="n">
        <v>46309</v>
      </c>
      <c r="B817" s="0" t="n">
        <v>5</v>
      </c>
      <c r="C817" s="0" t="n">
        <v>4758</v>
      </c>
      <c r="D817" s="0" t="n">
        <v>203</v>
      </c>
      <c r="E817" s="0" t="n">
        <v>2</v>
      </c>
      <c r="F817" s="27" t="s">
        <v>664</v>
      </c>
      <c r="G817" s="0" t="n">
        <v>32.3</v>
      </c>
      <c r="H817" s="0" t="n">
        <v>29</v>
      </c>
      <c r="I817" s="27" t="s">
        <v>168</v>
      </c>
      <c r="J817" s="0" t="n">
        <v>203</v>
      </c>
      <c r="K817" s="0" t="n">
        <v>63</v>
      </c>
      <c r="M817" s="0" t="n">
        <v>798.12</v>
      </c>
      <c r="N817" s="0" t="n">
        <v>45.68</v>
      </c>
      <c r="O817" s="0" t="n">
        <v>39.78</v>
      </c>
      <c r="P817" s="0" t="n">
        <v>4.62</v>
      </c>
      <c r="Q817" s="0" t="n">
        <v>4.01</v>
      </c>
      <c r="R817" s="0" t="n">
        <v>3776</v>
      </c>
      <c r="S817" s="0" t="n">
        <v>7288</v>
      </c>
      <c r="T817" s="0" t="n">
        <v>44.45</v>
      </c>
      <c r="U817" s="0" t="n">
        <v>1225</v>
      </c>
      <c r="V817" s="0" t="n">
        <v>3</v>
      </c>
      <c r="W817" s="27" t="n">
        <f aca="false">MATCH(A817,DATAS,0)</f>
        <v>1</v>
      </c>
      <c r="X817" s="27" t="n">
        <f aca="false">IF(AND(E817&gt;0,OR(AND(B817&gt;=1,B817&lt;=6),B817=10)),1,0)</f>
        <v>1</v>
      </c>
      <c r="Y817" s="27" t="n">
        <f aca="false">IF(AND(E817&gt;0,B817=10),1,0)</f>
        <v>0</v>
      </c>
      <c r="Z817" s="0" t="str">
        <f aca="false">IF(AND(C816=C817,W816=W817-1),X816,"")</f>
        <v/>
      </c>
      <c r="AA817" s="0" t="str">
        <f aca="false">IF(AND(C816=C817,W816=W817-1),Y816,"")</f>
        <v/>
      </c>
      <c r="AB817" s="0" t="str">
        <f aca="false">IF(W817=1,"",IF(AND(X817=1,Z817&lt;&gt;1),1,0))</f>
        <v/>
      </c>
      <c r="AC817" s="0" t="str">
        <f aca="false">IF(W817=1,"",IF(AND(Y817=1,AA817&lt;&gt;1),1,0))</f>
        <v/>
      </c>
      <c r="AD817" s="33" t="str">
        <f aca="false">IF(AND(E817&gt;0,W817&lt;1,NOT(AND(C818=C817,W818=W817+1))),INDEX(DATAS,W817+1),"")</f>
        <v/>
      </c>
      <c r="AE817" s="33" t="str">
        <f aca="false">IF(AND(Y817=1,W817&lt;1),IF(AND(C818=C817,W818=W817+1),IF(Y818=1,"",INDEX(DATAS,W817+1)),INDEX(DATAS,W817+1)),"")</f>
        <v/>
      </c>
    </row>
    <row r="818" customFormat="false" ht="15" hidden="false" customHeight="false" outlineLevel="0" collapsed="false">
      <c r="A818" s="33" t="n">
        <v>46309</v>
      </c>
      <c r="B818" s="0" t="n">
        <v>3</v>
      </c>
      <c r="C818" s="0" t="n">
        <v>4759</v>
      </c>
      <c r="D818" s="0" t="n">
        <v>181</v>
      </c>
      <c r="E818" s="0" t="n">
        <v>2</v>
      </c>
      <c r="F818" s="27" t="s">
        <v>665</v>
      </c>
      <c r="G818" s="0" t="n">
        <v>54.2</v>
      </c>
      <c r="H818" s="0" t="n">
        <v>51</v>
      </c>
      <c r="I818" s="27" t="s">
        <v>138</v>
      </c>
      <c r="J818" s="0" t="n">
        <v>111</v>
      </c>
      <c r="K818" s="0" t="n">
        <v>69</v>
      </c>
      <c r="L818" s="0" t="n">
        <v>70</v>
      </c>
      <c r="M818" s="0" t="n">
        <v>1057.75</v>
      </c>
      <c r="N818" s="0" t="n">
        <v>44.44</v>
      </c>
      <c r="O818" s="0" t="n">
        <v>38.35</v>
      </c>
      <c r="P818" s="0" t="n">
        <v>2.94</v>
      </c>
      <c r="Q818" s="0" t="n">
        <v>3.47</v>
      </c>
      <c r="R818" s="0" t="n">
        <v>4757</v>
      </c>
      <c r="S818" s="0" t="n">
        <v>9444</v>
      </c>
      <c r="T818" s="0" t="n">
        <v>53.75</v>
      </c>
      <c r="U818" s="0" t="n">
        <v>1224</v>
      </c>
      <c r="V818" s="0" t="n">
        <v>2</v>
      </c>
      <c r="W818" s="27" t="n">
        <f aca="false">MATCH(A818,DATAS,0)</f>
        <v>1</v>
      </c>
      <c r="X818" s="27" t="n">
        <f aca="false">IF(AND(E818&gt;0,OR(AND(B818&gt;=1,B818&lt;=6),B818=10)),1,0)</f>
        <v>1</v>
      </c>
      <c r="Y818" s="27" t="n">
        <f aca="false">IF(AND(E818&gt;0,B818=10),1,0)</f>
        <v>0</v>
      </c>
      <c r="Z818" s="0" t="str">
        <f aca="false">IF(AND(C817=C818,W817=W818-1),X817,"")</f>
        <v/>
      </c>
      <c r="AA818" s="0" t="str">
        <f aca="false">IF(AND(C817=C818,W817=W818-1),Y817,"")</f>
        <v/>
      </c>
      <c r="AB818" s="0" t="str">
        <f aca="false">IF(W818=1,"",IF(AND(X818=1,Z818&lt;&gt;1),1,0))</f>
        <v/>
      </c>
      <c r="AC818" s="0" t="str">
        <f aca="false">IF(W818=1,"",IF(AND(Y818=1,AA818&lt;&gt;1),1,0))</f>
        <v/>
      </c>
      <c r="AD818" s="33" t="str">
        <f aca="false">IF(AND(E818&gt;0,W818&lt;1,NOT(AND(C819=C818,W819=W818+1))),INDEX(DATAS,W818+1),"")</f>
        <v/>
      </c>
      <c r="AE818" s="33" t="str">
        <f aca="false">IF(AND(Y818=1,W818&lt;1),IF(AND(C819=C818,W819=W818+1),IF(Y819=1,"",INDEX(DATAS,W818+1)),INDEX(DATAS,W818+1)),"")</f>
        <v/>
      </c>
    </row>
    <row r="819" customFormat="false" ht="15" hidden="false" customHeight="false" outlineLevel="0" collapsed="false">
      <c r="A819" s="33" t="n">
        <v>46309</v>
      </c>
      <c r="B819" s="0" t="n">
        <v>5</v>
      </c>
      <c r="C819" s="0" t="n">
        <v>4760</v>
      </c>
      <c r="D819" s="0" t="n">
        <v>173</v>
      </c>
      <c r="E819" s="0" t="n">
        <v>2</v>
      </c>
      <c r="F819" s="27" t="s">
        <v>665</v>
      </c>
      <c r="G819" s="0" t="n">
        <v>35.3</v>
      </c>
      <c r="H819" s="0" t="n">
        <v>35</v>
      </c>
      <c r="I819" s="27" t="s">
        <v>138</v>
      </c>
      <c r="J819" s="0" t="n">
        <v>68</v>
      </c>
      <c r="K819" s="0" t="n">
        <v>68</v>
      </c>
      <c r="L819" s="0" t="n">
        <v>105</v>
      </c>
      <c r="M819" s="0" t="n">
        <v>918.2</v>
      </c>
      <c r="N819" s="0" t="n">
        <v>53.93</v>
      </c>
      <c r="O819" s="0" t="n">
        <v>43.67</v>
      </c>
      <c r="P819" s="0" t="n">
        <v>5.18</v>
      </c>
      <c r="Q819" s="0" t="n">
        <v>4.54</v>
      </c>
      <c r="R819" s="0" t="n">
        <v>3079</v>
      </c>
      <c r="S819" s="0" t="n">
        <v>6874</v>
      </c>
      <c r="T819" s="0" t="n">
        <v>35.85</v>
      </c>
      <c r="U819" s="0" t="n">
        <v>1224</v>
      </c>
      <c r="V819" s="0" t="n">
        <v>1</v>
      </c>
      <c r="W819" s="27" t="n">
        <f aca="false">MATCH(A819,DATAS,0)</f>
        <v>1</v>
      </c>
      <c r="X819" s="27" t="n">
        <f aca="false">IF(AND(E819&gt;0,OR(AND(B819&gt;=1,B819&lt;=6),B819=10)),1,0)</f>
        <v>1</v>
      </c>
      <c r="Y819" s="27" t="n">
        <f aca="false">IF(AND(E819&gt;0,B819=10),1,0)</f>
        <v>0</v>
      </c>
      <c r="Z819" s="0" t="str">
        <f aca="false">IF(AND(C818=C819,W818=W819-1),X818,"")</f>
        <v/>
      </c>
      <c r="AA819" s="0" t="str">
        <f aca="false">IF(AND(C818=C819,W818=W819-1),Y818,"")</f>
        <v/>
      </c>
      <c r="AB819" s="0" t="str">
        <f aca="false">IF(W819=1,"",IF(AND(X819=1,Z819&lt;&gt;1),1,0))</f>
        <v/>
      </c>
      <c r="AC819" s="0" t="str">
        <f aca="false">IF(W819=1,"",IF(AND(Y819=1,AA819&lt;&gt;1),1,0))</f>
        <v/>
      </c>
      <c r="AD819" s="33" t="str">
        <f aca="false">IF(AND(E819&gt;0,W819&lt;1,NOT(AND(C820=C819,W820=W819+1))),INDEX(DATAS,W819+1),"")</f>
        <v/>
      </c>
      <c r="AE819" s="33" t="str">
        <f aca="false">IF(AND(Y819=1,W819&lt;1),IF(AND(C820=C819,W820=W819+1),IF(Y820=1,"",INDEX(DATAS,W819+1)),INDEX(DATAS,W819+1)),"")</f>
        <v/>
      </c>
    </row>
    <row r="820" customFormat="false" ht="15" hidden="false" customHeight="false" outlineLevel="0" collapsed="false">
      <c r="A820" s="33" t="n">
        <v>46309</v>
      </c>
      <c r="B820" s="0" t="n">
        <v>2</v>
      </c>
      <c r="C820" s="0" t="n">
        <v>4761</v>
      </c>
      <c r="D820" s="0" t="n">
        <v>203</v>
      </c>
      <c r="E820" s="0" t="n">
        <v>2</v>
      </c>
      <c r="F820" s="27" t="s">
        <v>666</v>
      </c>
      <c r="G820" s="0" t="n">
        <v>40.4</v>
      </c>
      <c r="H820" s="0" t="n">
        <v>44</v>
      </c>
      <c r="I820" s="27" t="s">
        <v>138</v>
      </c>
      <c r="J820" s="0" t="n">
        <v>98</v>
      </c>
      <c r="K820" s="0" t="n">
        <v>63</v>
      </c>
      <c r="L820" s="0" t="n">
        <v>105</v>
      </c>
      <c r="M820" s="0" t="n">
        <v>565.97</v>
      </c>
      <c r="N820" s="0" t="n">
        <v>37.8</v>
      </c>
      <c r="O820" s="0" t="n">
        <v>39.73</v>
      </c>
      <c r="P820" s="0" t="n">
        <v>3.22</v>
      </c>
      <c r="Q820" s="0" t="n">
        <v>3.49</v>
      </c>
      <c r="R820" s="0" t="n">
        <v>4814</v>
      </c>
      <c r="S820" s="0" t="n">
        <v>10626</v>
      </c>
      <c r="T820" s="0" t="n">
        <v>57</v>
      </c>
      <c r="U820" s="0" t="n">
        <v>1223</v>
      </c>
      <c r="V820" s="0" t="n">
        <v>2</v>
      </c>
      <c r="W820" s="27" t="n">
        <f aca="false">MATCH(A820,DATAS,0)</f>
        <v>1</v>
      </c>
      <c r="X820" s="27" t="n">
        <f aca="false">IF(AND(E820&gt;0,OR(AND(B820&gt;=1,B820&lt;=6),B820=10)),1,0)</f>
        <v>1</v>
      </c>
      <c r="Y820" s="27" t="n">
        <f aca="false">IF(AND(E820&gt;0,B820=10),1,0)</f>
        <v>0</v>
      </c>
      <c r="Z820" s="0" t="str">
        <f aca="false">IF(AND(C819=C820,W819=W820-1),X819,"")</f>
        <v/>
      </c>
      <c r="AA820" s="0" t="str">
        <f aca="false">IF(AND(C819=C820,W819=W820-1),Y819,"")</f>
        <v/>
      </c>
      <c r="AB820" s="0" t="str">
        <f aca="false">IF(W820=1,"",IF(AND(X820=1,Z820&lt;&gt;1),1,0))</f>
        <v/>
      </c>
      <c r="AC820" s="0" t="str">
        <f aca="false">IF(W820=1,"",IF(AND(Y820=1,AA820&lt;&gt;1),1,0))</f>
        <v/>
      </c>
      <c r="AD820" s="33" t="str">
        <f aca="false">IF(AND(E820&gt;0,W820&lt;1,NOT(AND(C821=C820,W821=W820+1))),INDEX(DATAS,W820+1),"")</f>
        <v/>
      </c>
      <c r="AE820" s="33" t="str">
        <f aca="false">IF(AND(Y820=1,W820&lt;1),IF(AND(C821=C820,W821=W820+1),IF(Y821=1,"",INDEX(DATAS,W820+1)),INDEX(DATAS,W820+1)),"")</f>
        <v/>
      </c>
    </row>
    <row r="821" customFormat="false" ht="15" hidden="false" customHeight="false" outlineLevel="0" collapsed="false">
      <c r="A821" s="33" t="n">
        <v>46309</v>
      </c>
      <c r="B821" s="0" t="n">
        <v>5</v>
      </c>
      <c r="C821" s="0" t="n">
        <v>4762</v>
      </c>
      <c r="D821" s="0" t="n">
        <v>413</v>
      </c>
      <c r="E821" s="0" t="n">
        <v>1</v>
      </c>
      <c r="F821" s="27" t="s">
        <v>666</v>
      </c>
      <c r="G821" s="0" t="n">
        <v>47.6</v>
      </c>
      <c r="H821" s="0" t="n">
        <v>42</v>
      </c>
      <c r="I821" s="27" t="s">
        <v>138</v>
      </c>
      <c r="J821" s="0" t="n">
        <v>203</v>
      </c>
      <c r="K821" s="0" t="n">
        <v>63</v>
      </c>
      <c r="L821" s="0" t="n">
        <v>210</v>
      </c>
      <c r="M821" s="0" t="n">
        <v>1108.58</v>
      </c>
      <c r="N821" s="0" t="n">
        <v>45.47</v>
      </c>
      <c r="O821" s="0" t="n">
        <v>46.25</v>
      </c>
      <c r="P821" s="0" t="n">
        <v>2.94</v>
      </c>
      <c r="Q821" s="0" t="n">
        <v>3.81</v>
      </c>
      <c r="R821" s="0" t="n">
        <v>5201</v>
      </c>
      <c r="S821" s="0" t="n">
        <v>11084</v>
      </c>
      <c r="T821" s="0" t="n">
        <v>57.95</v>
      </c>
      <c r="U821" s="0" t="n">
        <v>1223</v>
      </c>
      <c r="V821" s="0" t="n">
        <v>5</v>
      </c>
      <c r="W821" s="27" t="n">
        <f aca="false">MATCH(A821,DATAS,0)</f>
        <v>1</v>
      </c>
      <c r="X821" s="27" t="n">
        <f aca="false">IF(AND(E821&gt;0,OR(AND(B821&gt;=1,B821&lt;=6),B821=10)),1,0)</f>
        <v>1</v>
      </c>
      <c r="Y821" s="27" t="n">
        <f aca="false">IF(AND(E821&gt;0,B821=10),1,0)</f>
        <v>0</v>
      </c>
      <c r="Z821" s="0" t="str">
        <f aca="false">IF(AND(C820=C821,W820=W821-1),X820,"")</f>
        <v/>
      </c>
      <c r="AA821" s="0" t="str">
        <f aca="false">IF(AND(C820=C821,W820=W821-1),Y820,"")</f>
        <v/>
      </c>
      <c r="AB821" s="0" t="str">
        <f aca="false">IF(W821=1,"",IF(AND(X821=1,Z821&lt;&gt;1),1,0))</f>
        <v/>
      </c>
      <c r="AC821" s="0" t="str">
        <f aca="false">IF(W821=1,"",IF(AND(Y821=1,AA821&lt;&gt;1),1,0))</f>
        <v/>
      </c>
      <c r="AD821" s="33" t="str">
        <f aca="false">IF(AND(E821&gt;0,W821&lt;1,NOT(AND(C822=C821,W822=W821+1))),INDEX(DATAS,W821+1),"")</f>
        <v/>
      </c>
      <c r="AE821" s="33" t="str">
        <f aca="false">IF(AND(Y821=1,W821&lt;1),IF(AND(C822=C821,W822=W821+1),IF(Y822=1,"",INDEX(DATAS,W821+1)),INDEX(DATAS,W821+1)),"")</f>
        <v/>
      </c>
    </row>
    <row r="822" customFormat="false" ht="15" hidden="false" customHeight="false" outlineLevel="0" collapsed="false">
      <c r="A822" s="33" t="n">
        <v>46309</v>
      </c>
      <c r="B822" s="0" t="n">
        <v>2</v>
      </c>
      <c r="C822" s="0" t="n">
        <v>4765</v>
      </c>
      <c r="D822" s="0" t="n">
        <v>201</v>
      </c>
      <c r="E822" s="0" t="n">
        <v>2</v>
      </c>
      <c r="F822" s="27" t="s">
        <v>667</v>
      </c>
      <c r="G822" s="0" t="n">
        <v>57.5</v>
      </c>
      <c r="H822" s="0" t="n">
        <v>58</v>
      </c>
      <c r="I822" s="27" t="s">
        <v>138</v>
      </c>
      <c r="J822" s="0" t="n">
        <v>68</v>
      </c>
      <c r="K822" s="0" t="n">
        <v>68</v>
      </c>
      <c r="L822" s="0" t="n">
        <v>133</v>
      </c>
      <c r="M822" s="0" t="n">
        <v>780.74</v>
      </c>
      <c r="N822" s="0" t="n">
        <v>53.82</v>
      </c>
      <c r="O822" s="0" t="n">
        <v>38.93</v>
      </c>
      <c r="P822" s="0" t="n">
        <v>3.35</v>
      </c>
      <c r="Q822" s="0" t="n">
        <v>3.46</v>
      </c>
      <c r="R822" s="0" t="n">
        <v>6295</v>
      </c>
      <c r="S822" s="0" t="n">
        <v>12920</v>
      </c>
      <c r="T822" s="0" t="n">
        <v>69.9</v>
      </c>
      <c r="U822" s="0" t="n">
        <v>1221</v>
      </c>
      <c r="V822" s="0" t="n">
        <v>1</v>
      </c>
      <c r="W822" s="27" t="n">
        <f aca="false">MATCH(A822,DATAS,0)</f>
        <v>1</v>
      </c>
      <c r="X822" s="27" t="n">
        <f aca="false">IF(AND(E822&gt;0,OR(AND(B822&gt;=1,B822&lt;=6),B822=10)),1,0)</f>
        <v>1</v>
      </c>
      <c r="Y822" s="27" t="n">
        <f aca="false">IF(AND(E822&gt;0,B822=10),1,0)</f>
        <v>0</v>
      </c>
      <c r="Z822" s="0" t="str">
        <f aca="false">IF(AND(C821=C822,W821=W822-1),X821,"")</f>
        <v/>
      </c>
      <c r="AA822" s="0" t="str">
        <f aca="false">IF(AND(C821=C822,W821=W822-1),Y821,"")</f>
        <v/>
      </c>
      <c r="AB822" s="0" t="str">
        <f aca="false">IF(W822=1,"",IF(AND(X822=1,Z822&lt;&gt;1),1,0))</f>
        <v/>
      </c>
      <c r="AC822" s="0" t="str">
        <f aca="false">IF(W822=1,"",IF(AND(Y822=1,AA822&lt;&gt;1),1,0))</f>
        <v/>
      </c>
      <c r="AD822" s="33" t="str">
        <f aca="false">IF(AND(E822&gt;0,W822&lt;1,NOT(AND(C823=C822,W823=W822+1))),INDEX(DATAS,W822+1),"")</f>
        <v/>
      </c>
      <c r="AE822" s="33" t="str">
        <f aca="false">IF(AND(Y822=1,W822&lt;1),IF(AND(C823=C822,W823=W822+1),IF(Y823=1,"",INDEX(DATAS,W822+1)),INDEX(DATAS,W822+1)),"")</f>
        <v/>
      </c>
    </row>
    <row r="823" customFormat="false" ht="15" hidden="false" customHeight="false" outlineLevel="0" collapsed="false">
      <c r="A823" s="33" t="n">
        <v>46309</v>
      </c>
      <c r="B823" s="0" t="n">
        <v>3</v>
      </c>
      <c r="C823" s="0" t="n">
        <v>4766</v>
      </c>
      <c r="D823" s="0" t="n">
        <v>58</v>
      </c>
      <c r="E823" s="0" t="n">
        <v>2</v>
      </c>
      <c r="F823" s="27" t="s">
        <v>667</v>
      </c>
      <c r="G823" s="0" t="n">
        <v>52.5</v>
      </c>
      <c r="H823" s="0" t="n">
        <v>51</v>
      </c>
      <c r="I823" s="27" t="s">
        <v>147</v>
      </c>
      <c r="J823" s="0" t="n">
        <v>58</v>
      </c>
      <c r="M823" s="0" t="n">
        <v>-324.08</v>
      </c>
      <c r="N823" s="0" t="n">
        <v>31.7</v>
      </c>
      <c r="O823" s="0" t="n">
        <v>29.17</v>
      </c>
      <c r="P823" s="0" t="n">
        <v>2.97</v>
      </c>
      <c r="Q823" s="0" t="n">
        <v>3.22</v>
      </c>
      <c r="R823" s="0" t="n">
        <v>5093</v>
      </c>
      <c r="S823" s="0" t="n">
        <v>10238</v>
      </c>
      <c r="U823" s="0" t="n">
        <v>1221</v>
      </c>
      <c r="V823" s="0" t="n">
        <v>0</v>
      </c>
      <c r="W823" s="27" t="n">
        <f aca="false">MATCH(A823,DATAS,0)</f>
        <v>1</v>
      </c>
      <c r="X823" s="27" t="n">
        <f aca="false">IF(AND(E823&gt;0,OR(AND(B823&gt;=1,B823&lt;=6),B823=10)),1,0)</f>
        <v>1</v>
      </c>
      <c r="Y823" s="27" t="n">
        <f aca="false">IF(AND(E823&gt;0,B823=10),1,0)</f>
        <v>0</v>
      </c>
      <c r="Z823" s="0" t="str">
        <f aca="false">IF(AND(C822=C823,W822=W823-1),X822,"")</f>
        <v/>
      </c>
      <c r="AA823" s="0" t="str">
        <f aca="false">IF(AND(C822=C823,W822=W823-1),Y822,"")</f>
        <v/>
      </c>
      <c r="AB823" s="0" t="str">
        <f aca="false">IF(W823=1,"",IF(AND(X823=1,Z823&lt;&gt;1),1,0))</f>
        <v/>
      </c>
      <c r="AC823" s="0" t="str">
        <f aca="false">IF(W823=1,"",IF(AND(Y823=1,AA823&lt;&gt;1),1,0))</f>
        <v/>
      </c>
      <c r="AD823" s="33" t="str">
        <f aca="false">IF(AND(E823&gt;0,W823&lt;1,NOT(AND(C824=C823,W824=W823+1))),INDEX(DATAS,W823+1),"")</f>
        <v/>
      </c>
      <c r="AE823" s="33" t="str">
        <f aca="false">IF(AND(Y823=1,W823&lt;1),IF(AND(C824=C823,W824=W823+1),IF(Y824=1,"",INDEX(DATAS,W823+1)),INDEX(DATAS,W823+1)),"")</f>
        <v/>
      </c>
    </row>
    <row r="824" customFormat="false" ht="15" hidden="false" customHeight="false" outlineLevel="0" collapsed="false">
      <c r="A824" s="33" t="n">
        <v>46309</v>
      </c>
      <c r="B824" s="0" t="n">
        <v>5</v>
      </c>
      <c r="C824" s="0" t="n">
        <v>4768</v>
      </c>
      <c r="D824" s="0" t="n">
        <v>96</v>
      </c>
      <c r="E824" s="0" t="n">
        <v>2</v>
      </c>
      <c r="F824" s="27" t="s">
        <v>667</v>
      </c>
      <c r="G824" s="0" t="n">
        <v>42.7</v>
      </c>
      <c r="H824" s="0" t="n">
        <v>39</v>
      </c>
      <c r="I824" s="27" t="s">
        <v>176</v>
      </c>
      <c r="J824" s="0" t="n">
        <v>96</v>
      </c>
      <c r="M824" s="0" t="n">
        <v>440.77</v>
      </c>
      <c r="N824" s="0" t="n">
        <v>41.17</v>
      </c>
      <c r="O824" s="0" t="n">
        <v>31.42</v>
      </c>
      <c r="P824" s="0" t="n">
        <v>6.02</v>
      </c>
      <c r="Q824" s="0" t="n">
        <v>3.71</v>
      </c>
      <c r="R824" s="0" t="n">
        <v>3760</v>
      </c>
      <c r="S824" s="0" t="n">
        <v>7558</v>
      </c>
      <c r="T824" s="0" t="n">
        <v>40.2</v>
      </c>
      <c r="U824" s="0" t="n">
        <v>1221</v>
      </c>
      <c r="V824" s="0" t="n">
        <v>0</v>
      </c>
      <c r="W824" s="27" t="n">
        <f aca="false">MATCH(A824,DATAS,0)</f>
        <v>1</v>
      </c>
      <c r="X824" s="27" t="n">
        <f aca="false">IF(AND(E824&gt;0,OR(AND(B824&gt;=1,B824&lt;=6),B824=10)),1,0)</f>
        <v>1</v>
      </c>
      <c r="Y824" s="27" t="n">
        <f aca="false">IF(AND(E824&gt;0,B824=10),1,0)</f>
        <v>0</v>
      </c>
      <c r="Z824" s="0" t="str">
        <f aca="false">IF(AND(C823=C824,W823=W824-1),X823,"")</f>
        <v/>
      </c>
      <c r="AA824" s="0" t="str">
        <f aca="false">IF(AND(C823=C824,W823=W824-1),Y823,"")</f>
        <v/>
      </c>
      <c r="AB824" s="0" t="str">
        <f aca="false">IF(W824=1,"",IF(AND(X824=1,Z824&lt;&gt;1),1,0))</f>
        <v/>
      </c>
      <c r="AC824" s="0" t="str">
        <f aca="false">IF(W824=1,"",IF(AND(Y824=1,AA824&lt;&gt;1),1,0))</f>
        <v/>
      </c>
      <c r="AD824" s="33" t="str">
        <f aca="false">IF(AND(E824&gt;0,W824&lt;1,NOT(AND(C825=C824,W825=W824+1))),INDEX(DATAS,W824+1),"")</f>
        <v/>
      </c>
      <c r="AE824" s="33" t="str">
        <f aca="false">IF(AND(Y824=1,W824&lt;1),IF(AND(C825=C824,W825=W824+1),IF(Y825=1,"",INDEX(DATAS,W824+1)),INDEX(DATAS,W824+1)),"")</f>
        <v/>
      </c>
    </row>
    <row r="825" customFormat="false" ht="15" hidden="false" customHeight="false" outlineLevel="0" collapsed="false">
      <c r="A825" s="33" t="n">
        <v>46309</v>
      </c>
      <c r="B825" s="0" t="n">
        <v>6</v>
      </c>
      <c r="C825" s="0" t="n">
        <v>4769</v>
      </c>
      <c r="D825" s="0" t="n">
        <v>247</v>
      </c>
      <c r="E825" s="0" t="n">
        <v>2</v>
      </c>
      <c r="F825" s="27" t="s">
        <v>668</v>
      </c>
      <c r="G825" s="0" t="n">
        <v>21.7</v>
      </c>
      <c r="H825" s="0" t="n">
        <v>20</v>
      </c>
      <c r="I825" s="27" t="s">
        <v>151</v>
      </c>
      <c r="J825" s="0" t="n">
        <v>247</v>
      </c>
      <c r="K825" s="0" t="n">
        <v>65</v>
      </c>
      <c r="M825" s="0" t="n">
        <v>8.47</v>
      </c>
      <c r="N825" s="0" t="n">
        <v>66.36</v>
      </c>
      <c r="O825" s="0" t="n">
        <v>24.55</v>
      </c>
      <c r="P825" s="0" t="n">
        <v>5.91</v>
      </c>
      <c r="Q825" s="0" t="n">
        <v>4.67</v>
      </c>
      <c r="R825" s="0" t="n">
        <v>4233</v>
      </c>
      <c r="S825" s="0" t="n">
        <v>7774</v>
      </c>
      <c r="T825" s="0" t="n">
        <v>43.8</v>
      </c>
      <c r="U825" s="0" t="n">
        <v>1219</v>
      </c>
      <c r="V825" s="0" t="n">
        <v>4</v>
      </c>
      <c r="W825" s="27" t="n">
        <f aca="false">MATCH(A825,DATAS,0)</f>
        <v>1</v>
      </c>
      <c r="X825" s="27" t="n">
        <f aca="false">IF(AND(E825&gt;0,OR(AND(B825&gt;=1,B825&lt;=6),B825=10)),1,0)</f>
        <v>1</v>
      </c>
      <c r="Y825" s="27" t="n">
        <f aca="false">IF(AND(E825&gt;0,B825=10),1,0)</f>
        <v>0</v>
      </c>
      <c r="Z825" s="0" t="str">
        <f aca="false">IF(AND(C824=C825,W824=W825-1),X824,"")</f>
        <v/>
      </c>
      <c r="AA825" s="0" t="str">
        <f aca="false">IF(AND(C824=C825,W824=W825-1),Y824,"")</f>
        <v/>
      </c>
      <c r="AB825" s="0" t="str">
        <f aca="false">IF(W825=1,"",IF(AND(X825=1,Z825&lt;&gt;1),1,0))</f>
        <v/>
      </c>
      <c r="AC825" s="0" t="str">
        <f aca="false">IF(W825=1,"",IF(AND(Y825=1,AA825&lt;&gt;1),1,0))</f>
        <v/>
      </c>
      <c r="AD825" s="33" t="str">
        <f aca="false">IF(AND(E825&gt;0,W825&lt;1,NOT(AND(C826=C825,W826=W825+1))),INDEX(DATAS,W825+1),"")</f>
        <v/>
      </c>
      <c r="AE825" s="33" t="str">
        <f aca="false">IF(AND(Y825=1,W825&lt;1),IF(AND(C826=C825,W826=W825+1),IF(Y826=1,"",INDEX(DATAS,W825+1)),INDEX(DATAS,W825+1)),"")</f>
        <v/>
      </c>
    </row>
    <row r="826" customFormat="false" ht="15" hidden="false" customHeight="false" outlineLevel="0" collapsed="false">
      <c r="A826" s="33" t="n">
        <v>46309</v>
      </c>
      <c r="B826" s="0" t="n">
        <v>6</v>
      </c>
      <c r="C826" s="0" t="n">
        <v>4771</v>
      </c>
      <c r="D826" s="0" t="n">
        <v>557</v>
      </c>
      <c r="E826" s="0" t="n">
        <v>1</v>
      </c>
      <c r="F826" s="27" t="s">
        <v>668</v>
      </c>
      <c r="G826" s="0" t="n">
        <v>26.6</v>
      </c>
      <c r="H826" s="0" t="n">
        <v>25</v>
      </c>
      <c r="I826" s="27" t="s">
        <v>138</v>
      </c>
      <c r="J826" s="0" t="n">
        <v>462</v>
      </c>
      <c r="K826" s="0" t="n">
        <v>61</v>
      </c>
      <c r="L826" s="0" t="n">
        <v>95</v>
      </c>
      <c r="M826" s="0" t="n">
        <v>280.1</v>
      </c>
      <c r="N826" s="0" t="n">
        <v>68.95</v>
      </c>
      <c r="O826" s="0" t="n">
        <v>16.57</v>
      </c>
      <c r="P826" s="0" t="n">
        <v>3.33</v>
      </c>
      <c r="Q826" s="0" t="n">
        <v>4.35</v>
      </c>
      <c r="R826" s="0" t="n">
        <v>3457</v>
      </c>
      <c r="S826" s="0" t="n">
        <v>7733</v>
      </c>
      <c r="T826" s="0" t="n">
        <v>40</v>
      </c>
      <c r="U826" s="0" t="n">
        <v>1219</v>
      </c>
      <c r="V826" s="0" t="n">
        <v>12</v>
      </c>
      <c r="W826" s="27" t="n">
        <f aca="false">MATCH(A826,DATAS,0)</f>
        <v>1</v>
      </c>
      <c r="X826" s="27" t="n">
        <f aca="false">IF(AND(E826&gt;0,OR(AND(B826&gt;=1,B826&lt;=6),B826=10)),1,0)</f>
        <v>1</v>
      </c>
      <c r="Y826" s="27" t="n">
        <f aca="false">IF(AND(E826&gt;0,B826=10),1,0)</f>
        <v>0</v>
      </c>
      <c r="Z826" s="0" t="str">
        <f aca="false">IF(AND(C825=C826,W825=W826-1),X825,"")</f>
        <v/>
      </c>
      <c r="AA826" s="0" t="str">
        <f aca="false">IF(AND(C825=C826,W825=W826-1),Y825,"")</f>
        <v/>
      </c>
      <c r="AB826" s="0" t="str">
        <f aca="false">IF(W826=1,"",IF(AND(X826=1,Z826&lt;&gt;1),1,0))</f>
        <v/>
      </c>
      <c r="AC826" s="0" t="str">
        <f aca="false">IF(W826=1,"",IF(AND(Y826=1,AA826&lt;&gt;1),1,0))</f>
        <v/>
      </c>
      <c r="AD826" s="33" t="str">
        <f aca="false">IF(AND(E826&gt;0,W826&lt;1,NOT(AND(C827=C826,W827=W826+1))),INDEX(DATAS,W826+1),"")</f>
        <v/>
      </c>
      <c r="AE826" s="33" t="str">
        <f aca="false">IF(AND(Y826=1,W826&lt;1),IF(AND(C827=C826,W827=W826+1),IF(Y827=1,"",INDEX(DATAS,W826+1)),INDEX(DATAS,W826+1)),"")</f>
        <v/>
      </c>
    </row>
    <row r="827" customFormat="false" ht="15" hidden="false" customHeight="false" outlineLevel="0" collapsed="false">
      <c r="A827" s="33" t="n">
        <v>46309</v>
      </c>
      <c r="B827" s="0" t="n">
        <v>3</v>
      </c>
      <c r="C827" s="0" t="n">
        <v>4772</v>
      </c>
      <c r="D827" s="0" t="n">
        <v>169</v>
      </c>
      <c r="E827" s="0" t="n">
        <v>2</v>
      </c>
      <c r="F827" s="27" t="s">
        <v>669</v>
      </c>
      <c r="G827" s="0" t="n">
        <v>46.9</v>
      </c>
      <c r="H827" s="0" t="n">
        <v>45</v>
      </c>
      <c r="I827" s="27" t="s">
        <v>138</v>
      </c>
      <c r="J827" s="0" t="n">
        <v>64</v>
      </c>
      <c r="K827" s="0" t="n">
        <v>64</v>
      </c>
      <c r="L827" s="0" t="n">
        <v>105</v>
      </c>
      <c r="M827" s="0" t="n">
        <v>929.3</v>
      </c>
      <c r="N827" s="0" t="n">
        <v>52.74</v>
      </c>
      <c r="O827" s="0" t="n">
        <v>36.02</v>
      </c>
      <c r="P827" s="0" t="n">
        <v>5.05</v>
      </c>
      <c r="Q827" s="0" t="n">
        <v>3.58</v>
      </c>
      <c r="R827" s="0" t="n">
        <v>5106</v>
      </c>
      <c r="S827" s="0" t="n">
        <v>10354</v>
      </c>
      <c r="T827" s="0" t="n">
        <v>55.75</v>
      </c>
      <c r="U827" s="0" t="n">
        <v>1215</v>
      </c>
      <c r="V827" s="0" t="n">
        <v>1</v>
      </c>
      <c r="W827" s="27" t="n">
        <f aca="false">MATCH(A827,DATAS,0)</f>
        <v>1</v>
      </c>
      <c r="X827" s="27" t="n">
        <f aca="false">IF(AND(E827&gt;0,OR(AND(B827&gt;=1,B827&lt;=6),B827=10)),1,0)</f>
        <v>1</v>
      </c>
      <c r="Y827" s="27" t="n">
        <f aca="false">IF(AND(E827&gt;0,B827=10),1,0)</f>
        <v>0</v>
      </c>
      <c r="Z827" s="0" t="str">
        <f aca="false">IF(AND(C826=C827,W826=W827-1),X826,"")</f>
        <v/>
      </c>
      <c r="AA827" s="0" t="str">
        <f aca="false">IF(AND(C826=C827,W826=W827-1),Y826,"")</f>
        <v/>
      </c>
      <c r="AB827" s="0" t="str">
        <f aca="false">IF(W827=1,"",IF(AND(X827=1,Z827&lt;&gt;1),1,0))</f>
        <v/>
      </c>
      <c r="AC827" s="0" t="str">
        <f aca="false">IF(W827=1,"",IF(AND(Y827=1,AA827&lt;&gt;1),1,0))</f>
        <v/>
      </c>
      <c r="AD827" s="33" t="str">
        <f aca="false">IF(AND(E827&gt;0,W827&lt;1,NOT(AND(C828=C827,W828=W827+1))),INDEX(DATAS,W827+1),"")</f>
        <v/>
      </c>
      <c r="AE827" s="33" t="str">
        <f aca="false">IF(AND(Y827=1,W827&lt;1),IF(AND(C828=C827,W828=W827+1),IF(Y828=1,"",INDEX(DATAS,W827+1)),INDEX(DATAS,W827+1)),"")</f>
        <v/>
      </c>
    </row>
    <row r="828" customFormat="false" ht="15" hidden="false" customHeight="false" outlineLevel="0" collapsed="false">
      <c r="A828" s="33" t="n">
        <v>46309</v>
      </c>
      <c r="B828" s="0" t="n">
        <v>5</v>
      </c>
      <c r="C828" s="0" t="n">
        <v>4773</v>
      </c>
      <c r="D828" s="0" t="n">
        <v>185</v>
      </c>
      <c r="E828" s="0" t="n">
        <v>2</v>
      </c>
      <c r="F828" s="27" t="s">
        <v>670</v>
      </c>
      <c r="G828" s="0" t="n">
        <v>43.5</v>
      </c>
      <c r="H828" s="0" t="n">
        <v>39</v>
      </c>
      <c r="I828" s="27" t="s">
        <v>168</v>
      </c>
      <c r="J828" s="0" t="n">
        <v>185</v>
      </c>
      <c r="K828" s="0" t="n">
        <v>66</v>
      </c>
      <c r="M828" s="0" t="n">
        <v>-565.33</v>
      </c>
      <c r="N828" s="0" t="n">
        <v>64.58</v>
      </c>
      <c r="O828" s="0" t="n">
        <v>23.79</v>
      </c>
      <c r="P828" s="0" t="n">
        <v>6.59</v>
      </c>
      <c r="Q828" s="0" t="n">
        <v>4.44</v>
      </c>
      <c r="R828" s="0" t="n">
        <v>4262</v>
      </c>
      <c r="S828" s="0" t="n">
        <v>8506</v>
      </c>
      <c r="T828" s="0" t="n">
        <v>48.9</v>
      </c>
      <c r="U828" s="0" t="n">
        <v>1218</v>
      </c>
      <c r="V828" s="0" t="n">
        <v>3</v>
      </c>
      <c r="W828" s="27" t="n">
        <f aca="false">MATCH(A828,DATAS,0)</f>
        <v>1</v>
      </c>
      <c r="X828" s="27" t="n">
        <f aca="false">IF(AND(E828&gt;0,OR(AND(B828&gt;=1,B828&lt;=6),B828=10)),1,0)</f>
        <v>1</v>
      </c>
      <c r="Y828" s="27" t="n">
        <f aca="false">IF(AND(E828&gt;0,B828=10),1,0)</f>
        <v>0</v>
      </c>
      <c r="Z828" s="0" t="str">
        <f aca="false">IF(AND(C827=C828,W827=W828-1),X827,"")</f>
        <v/>
      </c>
      <c r="AA828" s="0" t="str">
        <f aca="false">IF(AND(C827=C828,W827=W828-1),Y827,"")</f>
        <v/>
      </c>
      <c r="AB828" s="0" t="str">
        <f aca="false">IF(W828=1,"",IF(AND(X828=1,Z828&lt;&gt;1),1,0))</f>
        <v/>
      </c>
      <c r="AC828" s="0" t="str">
        <f aca="false">IF(W828=1,"",IF(AND(Y828=1,AA828&lt;&gt;1),1,0))</f>
        <v/>
      </c>
      <c r="AD828" s="33" t="str">
        <f aca="false">IF(AND(E828&gt;0,W828&lt;1,NOT(AND(C829=C828,W829=W828+1))),INDEX(DATAS,W828+1),"")</f>
        <v/>
      </c>
      <c r="AE828" s="33" t="str">
        <f aca="false">IF(AND(Y828=1,W828&lt;1),IF(AND(C829=C828,W829=W828+1),IF(Y829=1,"",INDEX(DATAS,W828+1)),INDEX(DATAS,W828+1)),"")</f>
        <v/>
      </c>
    </row>
    <row r="829" customFormat="false" ht="15" hidden="false" customHeight="false" outlineLevel="0" collapsed="false">
      <c r="A829" s="33" t="n">
        <v>46309</v>
      </c>
      <c r="B829" s="0" t="n">
        <v>3</v>
      </c>
      <c r="C829" s="0" t="n">
        <v>4774</v>
      </c>
      <c r="D829" s="0" t="n">
        <v>213</v>
      </c>
      <c r="E829" s="0" t="n">
        <v>2</v>
      </c>
      <c r="F829" s="27" t="s">
        <v>671</v>
      </c>
      <c r="G829" s="0" t="n">
        <v>44.9</v>
      </c>
      <c r="H829" s="0" t="n">
        <v>45</v>
      </c>
      <c r="I829" s="27" t="s">
        <v>138</v>
      </c>
      <c r="J829" s="0" t="n">
        <v>101</v>
      </c>
      <c r="K829" s="0" t="n">
        <v>66</v>
      </c>
      <c r="L829" s="0" t="n">
        <v>112</v>
      </c>
      <c r="M829" s="0" t="n">
        <v>1293.72</v>
      </c>
      <c r="N829" s="0" t="n">
        <v>49.99</v>
      </c>
      <c r="O829" s="0" t="n">
        <v>40.54</v>
      </c>
      <c r="P829" s="0" t="n">
        <v>4.2</v>
      </c>
      <c r="Q829" s="0" t="n">
        <v>3.49</v>
      </c>
      <c r="R829" s="0" t="n">
        <v>4446</v>
      </c>
      <c r="S829" s="0" t="n">
        <v>8911</v>
      </c>
      <c r="T829" s="0" t="n">
        <v>50.75</v>
      </c>
      <c r="U829" s="0" t="n">
        <v>1217</v>
      </c>
      <c r="V829" s="0" t="n">
        <v>2</v>
      </c>
      <c r="W829" s="27" t="n">
        <f aca="false">MATCH(A829,DATAS,0)</f>
        <v>1</v>
      </c>
      <c r="X829" s="27" t="n">
        <f aca="false">IF(AND(E829&gt;0,OR(AND(B829&gt;=1,B829&lt;=6),B829=10)),1,0)</f>
        <v>1</v>
      </c>
      <c r="Y829" s="27" t="n">
        <f aca="false">IF(AND(E829&gt;0,B829=10),1,0)</f>
        <v>0</v>
      </c>
      <c r="Z829" s="0" t="str">
        <f aca="false">IF(AND(C828=C829,W828=W829-1),X828,"")</f>
        <v/>
      </c>
      <c r="AA829" s="0" t="str">
        <f aca="false">IF(AND(C828=C829,W828=W829-1),Y828,"")</f>
        <v/>
      </c>
      <c r="AB829" s="0" t="str">
        <f aca="false">IF(W829=1,"",IF(AND(X829=1,Z829&lt;&gt;1),1,0))</f>
        <v/>
      </c>
      <c r="AC829" s="0" t="str">
        <f aca="false">IF(W829=1,"",IF(AND(Y829=1,AA829&lt;&gt;1),1,0))</f>
        <v/>
      </c>
      <c r="AD829" s="33" t="str">
        <f aca="false">IF(AND(E829&gt;0,W829&lt;1,NOT(AND(C830=C829,W830=W829+1))),INDEX(DATAS,W829+1),"")</f>
        <v/>
      </c>
      <c r="AE829" s="33" t="str">
        <f aca="false">IF(AND(Y829=1,W829&lt;1),IF(AND(C830=C829,W830=W829+1),IF(Y830=1,"",INDEX(DATAS,W829+1)),INDEX(DATAS,W829+1)),"")</f>
        <v/>
      </c>
    </row>
    <row r="830" customFormat="false" ht="15" hidden="false" customHeight="false" outlineLevel="0" collapsed="false">
      <c r="A830" s="33" t="n">
        <v>46309</v>
      </c>
      <c r="B830" s="0" t="n">
        <v>5</v>
      </c>
      <c r="C830" s="0" t="n">
        <v>4775</v>
      </c>
      <c r="D830" s="0" t="n">
        <v>246</v>
      </c>
      <c r="E830" s="0" t="n">
        <v>2</v>
      </c>
      <c r="F830" s="27" t="s">
        <v>671</v>
      </c>
      <c r="G830" s="0" t="n">
        <v>33.1</v>
      </c>
      <c r="H830" s="0" t="n">
        <v>32</v>
      </c>
      <c r="I830" s="27" t="s">
        <v>138</v>
      </c>
      <c r="J830" s="0" t="n">
        <v>176</v>
      </c>
      <c r="K830" s="0" t="n">
        <v>64</v>
      </c>
      <c r="L830" s="0" t="n">
        <v>70</v>
      </c>
      <c r="M830" s="0" t="n">
        <v>1494.24</v>
      </c>
      <c r="N830" s="0" t="n">
        <v>47.48</v>
      </c>
      <c r="O830" s="0" t="n">
        <v>56.62</v>
      </c>
      <c r="P830" s="0" t="n">
        <v>3.72</v>
      </c>
      <c r="Q830" s="0" t="n">
        <v>3.87</v>
      </c>
      <c r="R830" s="0" t="n">
        <v>5762</v>
      </c>
      <c r="S830" s="0" t="n">
        <v>10772</v>
      </c>
      <c r="T830" s="0" t="n">
        <v>64.85</v>
      </c>
      <c r="U830" s="0" t="n">
        <v>1217</v>
      </c>
      <c r="V830" s="0" t="n">
        <v>4</v>
      </c>
      <c r="W830" s="27" t="n">
        <f aca="false">MATCH(A830,DATAS,0)</f>
        <v>1</v>
      </c>
      <c r="X830" s="27" t="n">
        <f aca="false">IF(AND(E830&gt;0,OR(AND(B830&gt;=1,B830&lt;=6),B830=10)),1,0)</f>
        <v>1</v>
      </c>
      <c r="Y830" s="27" t="n">
        <f aca="false">IF(AND(E830&gt;0,B830=10),1,0)</f>
        <v>0</v>
      </c>
      <c r="Z830" s="0" t="str">
        <f aca="false">IF(AND(C829=C830,W829=W830-1),X829,"")</f>
        <v/>
      </c>
      <c r="AA830" s="0" t="str">
        <f aca="false">IF(AND(C829=C830,W829=W830-1),Y829,"")</f>
        <v/>
      </c>
      <c r="AB830" s="0" t="str">
        <f aca="false">IF(W830=1,"",IF(AND(X830=1,Z830&lt;&gt;1),1,0))</f>
        <v/>
      </c>
      <c r="AC830" s="0" t="str">
        <f aca="false">IF(W830=1,"",IF(AND(Y830=1,AA830&lt;&gt;1),1,0))</f>
        <v/>
      </c>
      <c r="AD830" s="33" t="str">
        <f aca="false">IF(AND(E830&gt;0,W830&lt;1,NOT(AND(C831=C830,W831=W830+1))),INDEX(DATAS,W830+1),"")</f>
        <v/>
      </c>
      <c r="AE830" s="33" t="str">
        <f aca="false">IF(AND(Y830=1,W830&lt;1),IF(AND(C831=C830,W831=W830+1),IF(Y831=1,"",INDEX(DATAS,W830+1)),INDEX(DATAS,W830+1)),"")</f>
        <v/>
      </c>
    </row>
    <row r="831" customFormat="false" ht="15" hidden="false" customHeight="false" outlineLevel="0" collapsed="false">
      <c r="A831" s="33" t="n">
        <v>46309</v>
      </c>
      <c r="B831" s="0" t="n">
        <v>2</v>
      </c>
      <c r="C831" s="0" t="n">
        <v>4776</v>
      </c>
      <c r="D831" s="0" t="n">
        <v>177</v>
      </c>
      <c r="E831" s="0" t="n">
        <v>2</v>
      </c>
      <c r="F831" s="27" t="s">
        <v>672</v>
      </c>
      <c r="G831" s="0" t="n">
        <v>63.9</v>
      </c>
      <c r="H831" s="0" t="n">
        <v>58</v>
      </c>
      <c r="I831" s="27" t="s">
        <v>138</v>
      </c>
      <c r="J831" s="0" t="n">
        <v>145</v>
      </c>
      <c r="K831" s="0" t="n">
        <v>65</v>
      </c>
      <c r="L831" s="0" t="n">
        <v>32</v>
      </c>
      <c r="M831" s="0" t="n">
        <v>259.48</v>
      </c>
      <c r="N831" s="0" t="n">
        <v>74.18</v>
      </c>
      <c r="O831" s="0" t="n">
        <v>23.74</v>
      </c>
      <c r="P831" s="0" t="n">
        <v>4.63</v>
      </c>
      <c r="Q831" s="0" t="n">
        <v>3.77</v>
      </c>
      <c r="R831" s="0" t="n">
        <v>5647</v>
      </c>
      <c r="S831" s="0" t="n">
        <v>11479</v>
      </c>
      <c r="T831" s="0" t="n">
        <v>64</v>
      </c>
      <c r="U831" s="0" t="n">
        <v>1216</v>
      </c>
      <c r="V831" s="0" t="n">
        <v>4</v>
      </c>
      <c r="W831" s="27" t="n">
        <f aca="false">MATCH(A831,DATAS,0)</f>
        <v>1</v>
      </c>
      <c r="X831" s="27" t="n">
        <f aca="false">IF(AND(E831&gt;0,OR(AND(B831&gt;=1,B831&lt;=6),B831=10)),1,0)</f>
        <v>1</v>
      </c>
      <c r="Y831" s="27" t="n">
        <f aca="false">IF(AND(E831&gt;0,B831=10),1,0)</f>
        <v>0</v>
      </c>
      <c r="Z831" s="0" t="str">
        <f aca="false">IF(AND(C830=C831,W830=W831-1),X830,"")</f>
        <v/>
      </c>
      <c r="AA831" s="0" t="str">
        <f aca="false">IF(AND(C830=C831,W830=W831-1),Y830,"")</f>
        <v/>
      </c>
      <c r="AB831" s="0" t="str">
        <f aca="false">IF(W831=1,"",IF(AND(X831=1,Z831&lt;&gt;1),1,0))</f>
        <v/>
      </c>
      <c r="AC831" s="0" t="str">
        <f aca="false">IF(W831=1,"",IF(AND(Y831=1,AA831&lt;&gt;1),1,0))</f>
        <v/>
      </c>
      <c r="AD831" s="33" t="str">
        <f aca="false">IF(AND(E831&gt;0,W831&lt;1,NOT(AND(C832=C831,W832=W831+1))),INDEX(DATAS,W831+1),"")</f>
        <v/>
      </c>
      <c r="AE831" s="33" t="str">
        <f aca="false">IF(AND(Y831=1,W831&lt;1),IF(AND(C832=C831,W832=W831+1),IF(Y832=1,"",INDEX(DATAS,W831+1)),INDEX(DATAS,W831+1)),"")</f>
        <v/>
      </c>
    </row>
    <row r="832" customFormat="false" ht="15" hidden="false" customHeight="false" outlineLevel="0" collapsed="false">
      <c r="A832" s="33" t="n">
        <v>46309</v>
      </c>
      <c r="B832" s="0" t="n">
        <v>2</v>
      </c>
      <c r="C832" s="0" t="n">
        <v>4777</v>
      </c>
      <c r="D832" s="0" t="n">
        <v>20</v>
      </c>
      <c r="E832" s="0" t="n">
        <v>2</v>
      </c>
      <c r="F832" s="27" t="s">
        <v>672</v>
      </c>
      <c r="G832" s="0" t="n">
        <v>54.1</v>
      </c>
      <c r="H832" s="0" t="n">
        <v>51</v>
      </c>
      <c r="I832" s="27" t="s">
        <v>147</v>
      </c>
      <c r="J832" s="0" t="n">
        <v>20</v>
      </c>
      <c r="M832" s="0" t="n">
        <v>603.27</v>
      </c>
      <c r="N832" s="0" t="n">
        <v>38.58</v>
      </c>
      <c r="O832" s="0" t="n">
        <v>26.3</v>
      </c>
      <c r="R832" s="0" t="n">
        <v>4271</v>
      </c>
      <c r="S832" s="0" t="n">
        <v>8585</v>
      </c>
      <c r="U832" s="0" t="n">
        <v>1216</v>
      </c>
      <c r="V832" s="0" t="n">
        <v>0</v>
      </c>
      <c r="W832" s="27" t="n">
        <f aca="false">MATCH(A832,DATAS,0)</f>
        <v>1</v>
      </c>
      <c r="X832" s="27" t="n">
        <f aca="false">IF(AND(E832&gt;0,OR(AND(B832&gt;=1,B832&lt;=6),B832=10)),1,0)</f>
        <v>1</v>
      </c>
      <c r="Y832" s="27" t="n">
        <f aca="false">IF(AND(E832&gt;0,B832=10),1,0)</f>
        <v>0</v>
      </c>
      <c r="Z832" s="0" t="str">
        <f aca="false">IF(AND(C831=C832,W831=W832-1),X831,"")</f>
        <v/>
      </c>
      <c r="AA832" s="0" t="str">
        <f aca="false">IF(AND(C831=C832,W831=W832-1),Y831,"")</f>
        <v/>
      </c>
      <c r="AB832" s="0" t="str">
        <f aca="false">IF(W832=1,"",IF(AND(X832=1,Z832&lt;&gt;1),1,0))</f>
        <v/>
      </c>
      <c r="AC832" s="0" t="str">
        <f aca="false">IF(W832=1,"",IF(AND(Y832=1,AA832&lt;&gt;1),1,0))</f>
        <v/>
      </c>
      <c r="AD832" s="33" t="str">
        <f aca="false">IF(AND(E832&gt;0,W832&lt;1,NOT(AND(C833=C832,W833=W832+1))),INDEX(DATAS,W832+1),"")</f>
        <v/>
      </c>
      <c r="AE832" s="33" t="str">
        <f aca="false">IF(AND(Y832=1,W832&lt;1),IF(AND(C833=C832,W833=W832+1),IF(Y833=1,"",INDEX(DATAS,W832+1)),INDEX(DATAS,W832+1)),"")</f>
        <v/>
      </c>
    </row>
    <row r="833" customFormat="false" ht="15" hidden="false" customHeight="false" outlineLevel="0" collapsed="false">
      <c r="A833" s="33" t="n">
        <v>46309</v>
      </c>
      <c r="B833" s="0" t="n">
        <v>6</v>
      </c>
      <c r="C833" s="0" t="n">
        <v>4778</v>
      </c>
      <c r="D833" s="0" t="n">
        <v>575</v>
      </c>
      <c r="E833" s="0" t="n">
        <v>1</v>
      </c>
      <c r="F833" s="27" t="s">
        <v>672</v>
      </c>
      <c r="G833" s="0" t="n">
        <v>29.9</v>
      </c>
      <c r="H833" s="0" t="n">
        <v>25</v>
      </c>
      <c r="I833" s="27" t="s">
        <v>138</v>
      </c>
      <c r="J833" s="0" t="n">
        <v>425</v>
      </c>
      <c r="K833" s="0" t="n">
        <v>65</v>
      </c>
      <c r="L833" s="0" t="n">
        <v>150</v>
      </c>
      <c r="M833" s="0" t="n">
        <v>314.49</v>
      </c>
      <c r="N833" s="0" t="n">
        <v>77.4</v>
      </c>
      <c r="O833" s="0" t="n">
        <v>19.55</v>
      </c>
      <c r="P833" s="0" t="n">
        <v>5.31</v>
      </c>
      <c r="Q833" s="0" t="n">
        <v>3.99</v>
      </c>
      <c r="R833" s="0" t="n">
        <v>3384</v>
      </c>
      <c r="S833" s="0" t="n">
        <v>7730</v>
      </c>
      <c r="T833" s="0" t="n">
        <v>38.3</v>
      </c>
      <c r="U833" s="0" t="n">
        <v>1216</v>
      </c>
      <c r="V833" s="0" t="n">
        <v>7</v>
      </c>
      <c r="W833" s="27" t="n">
        <f aca="false">MATCH(A833,DATAS,0)</f>
        <v>1</v>
      </c>
      <c r="X833" s="27" t="n">
        <f aca="false">IF(AND(E833&gt;0,OR(AND(B833&gt;=1,B833&lt;=6),B833=10)),1,0)</f>
        <v>1</v>
      </c>
      <c r="Y833" s="27" t="n">
        <f aca="false">IF(AND(E833&gt;0,B833=10),1,0)</f>
        <v>0</v>
      </c>
      <c r="Z833" s="0" t="str">
        <f aca="false">IF(AND(C832=C833,W832=W833-1),X832,"")</f>
        <v/>
      </c>
      <c r="AA833" s="0" t="str">
        <f aca="false">IF(AND(C832=C833,W832=W833-1),Y832,"")</f>
        <v/>
      </c>
      <c r="AB833" s="0" t="str">
        <f aca="false">IF(W833=1,"",IF(AND(X833=1,Z833&lt;&gt;1),1,0))</f>
        <v/>
      </c>
      <c r="AC833" s="0" t="str">
        <f aca="false">IF(W833=1,"",IF(AND(Y833=1,AA833&lt;&gt;1),1,0))</f>
        <v/>
      </c>
      <c r="AD833" s="33" t="str">
        <f aca="false">IF(AND(E833&gt;0,W833&lt;1,NOT(AND(C834=C833,W834=W833+1))),INDEX(DATAS,W833+1),"")</f>
        <v/>
      </c>
      <c r="AE833" s="33" t="str">
        <f aca="false">IF(AND(Y833=1,W833&lt;1),IF(AND(C834=C833,W834=W833+1),IF(Y834=1,"",INDEX(DATAS,W833+1)),INDEX(DATAS,W833+1)),"")</f>
        <v/>
      </c>
    </row>
    <row r="834" customFormat="false" ht="15" hidden="false" customHeight="false" outlineLevel="0" collapsed="false">
      <c r="A834" s="33" t="n">
        <v>46309</v>
      </c>
      <c r="B834" s="0" t="n">
        <v>5</v>
      </c>
      <c r="C834" s="0" t="n">
        <v>4779</v>
      </c>
      <c r="D834" s="0" t="n">
        <v>211</v>
      </c>
      <c r="E834" s="0" t="n">
        <v>2</v>
      </c>
      <c r="F834" s="27" t="s">
        <v>669</v>
      </c>
      <c r="G834" s="0" t="n">
        <v>42.9</v>
      </c>
      <c r="H834" s="0" t="n">
        <v>40</v>
      </c>
      <c r="I834" s="27" t="s">
        <v>138</v>
      </c>
      <c r="J834" s="0" t="n">
        <v>64</v>
      </c>
      <c r="K834" s="0" t="n">
        <v>64</v>
      </c>
      <c r="L834" s="0" t="n">
        <v>147</v>
      </c>
      <c r="M834" s="0" t="n">
        <v>1101.33</v>
      </c>
      <c r="N834" s="0" t="n">
        <v>51.98</v>
      </c>
      <c r="O834" s="0" t="n">
        <v>32.48</v>
      </c>
      <c r="P834" s="0" t="n">
        <v>4.36</v>
      </c>
      <c r="Q834" s="0" t="n">
        <v>4.03</v>
      </c>
      <c r="R834" s="0" t="n">
        <v>4240</v>
      </c>
      <c r="S834" s="0" t="n">
        <v>9043</v>
      </c>
      <c r="T834" s="0" t="n">
        <v>48.35</v>
      </c>
      <c r="U834" s="0" t="n">
        <v>1215</v>
      </c>
      <c r="V834" s="0" t="n">
        <v>1</v>
      </c>
      <c r="W834" s="27" t="n">
        <f aca="false">MATCH(A834,DATAS,0)</f>
        <v>1</v>
      </c>
      <c r="X834" s="27" t="n">
        <f aca="false">IF(AND(E834&gt;0,OR(AND(B834&gt;=1,B834&lt;=6),B834=10)),1,0)</f>
        <v>1</v>
      </c>
      <c r="Y834" s="27" t="n">
        <f aca="false">IF(AND(E834&gt;0,B834=10),1,0)</f>
        <v>0</v>
      </c>
      <c r="Z834" s="0" t="str">
        <f aca="false">IF(AND(C833=C834,W833=W834-1),X833,"")</f>
        <v/>
      </c>
      <c r="AA834" s="0" t="str">
        <f aca="false">IF(AND(C833=C834,W833=W834-1),Y833,"")</f>
        <v/>
      </c>
      <c r="AB834" s="0" t="str">
        <f aca="false">IF(W834=1,"",IF(AND(X834=1,Z834&lt;&gt;1),1,0))</f>
        <v/>
      </c>
      <c r="AC834" s="0" t="str">
        <f aca="false">IF(W834=1,"",IF(AND(Y834=1,AA834&lt;&gt;1),1,0))</f>
        <v/>
      </c>
      <c r="AD834" s="33" t="str">
        <f aca="false">IF(AND(E834&gt;0,W834&lt;1,NOT(AND(C835=C834,W835=W834+1))),INDEX(DATAS,W834+1),"")</f>
        <v/>
      </c>
      <c r="AE834" s="33" t="str">
        <f aca="false">IF(AND(Y834=1,W834&lt;1),IF(AND(C835=C834,W835=W834+1),IF(Y835=1,"",INDEX(DATAS,W834+1)),INDEX(DATAS,W834+1)),"")</f>
        <v/>
      </c>
    </row>
    <row r="835" customFormat="false" ht="15" hidden="false" customHeight="false" outlineLevel="0" collapsed="false">
      <c r="A835" s="33" t="n">
        <v>46309</v>
      </c>
      <c r="B835" s="0" t="n">
        <v>6</v>
      </c>
      <c r="C835" s="0" t="n">
        <v>4780</v>
      </c>
      <c r="D835" s="0" t="n">
        <v>155</v>
      </c>
      <c r="E835" s="0" t="n">
        <v>2</v>
      </c>
      <c r="F835" s="27" t="s">
        <v>669</v>
      </c>
      <c r="G835" s="0" t="n">
        <v>28.6</v>
      </c>
      <c r="H835" s="0" t="n">
        <v>27</v>
      </c>
      <c r="I835" s="27" t="s">
        <v>138</v>
      </c>
      <c r="J835" s="0" t="n">
        <v>120</v>
      </c>
      <c r="K835" s="0" t="n">
        <v>61</v>
      </c>
      <c r="L835" s="0" t="n">
        <v>35</v>
      </c>
      <c r="M835" s="0" t="n">
        <v>-87.04</v>
      </c>
      <c r="N835" s="0" t="n">
        <v>66.25</v>
      </c>
      <c r="O835" s="0" t="n">
        <v>27.4</v>
      </c>
      <c r="P835" s="0" t="n">
        <v>5.26</v>
      </c>
      <c r="Q835" s="0" t="n">
        <v>3.62</v>
      </c>
      <c r="R835" s="0" t="n">
        <v>3767</v>
      </c>
      <c r="S835" s="0" t="n">
        <v>6911</v>
      </c>
      <c r="T835" s="0" t="n">
        <v>40</v>
      </c>
      <c r="U835" s="0" t="n">
        <v>1215</v>
      </c>
      <c r="V835" s="0" t="n">
        <v>3</v>
      </c>
      <c r="W835" s="27" t="n">
        <f aca="false">MATCH(A835,DATAS,0)</f>
        <v>1</v>
      </c>
      <c r="X835" s="27" t="n">
        <f aca="false">IF(AND(E835&gt;0,OR(AND(B835&gt;=1,B835&lt;=6),B835=10)),1,0)</f>
        <v>1</v>
      </c>
      <c r="Y835" s="27" t="n">
        <f aca="false">IF(AND(E835&gt;0,B835=10),1,0)</f>
        <v>0</v>
      </c>
      <c r="Z835" s="0" t="str">
        <f aca="false">IF(AND(C834=C835,W834=W835-1),X834,"")</f>
        <v/>
      </c>
      <c r="AA835" s="0" t="str">
        <f aca="false">IF(AND(C834=C835,W834=W835-1),Y834,"")</f>
        <v/>
      </c>
      <c r="AB835" s="0" t="str">
        <f aca="false">IF(W835=1,"",IF(AND(X835=1,Z835&lt;&gt;1),1,0))</f>
        <v/>
      </c>
      <c r="AC835" s="0" t="str">
        <f aca="false">IF(W835=1,"",IF(AND(Y835=1,AA835&lt;&gt;1),1,0))</f>
        <v/>
      </c>
      <c r="AD835" s="33" t="str">
        <f aca="false">IF(AND(E835&gt;0,W835&lt;1,NOT(AND(C836=C835,W836=W835+1))),INDEX(DATAS,W835+1),"")</f>
        <v/>
      </c>
      <c r="AE835" s="33" t="str">
        <f aca="false">IF(AND(Y835=1,W835&lt;1),IF(AND(C836=C835,W836=W835+1),IF(Y836=1,"",INDEX(DATAS,W835+1)),INDEX(DATAS,W835+1)),"")</f>
        <v/>
      </c>
    </row>
    <row r="836" customFormat="false" ht="15" hidden="false" customHeight="false" outlineLevel="0" collapsed="false">
      <c r="A836" s="33" t="n">
        <v>46309</v>
      </c>
      <c r="B836" s="0" t="n">
        <v>5</v>
      </c>
      <c r="C836" s="0" t="n">
        <v>4782</v>
      </c>
      <c r="D836" s="0" t="n">
        <v>257</v>
      </c>
      <c r="E836" s="0" t="n">
        <v>2</v>
      </c>
      <c r="F836" s="27" t="s">
        <v>673</v>
      </c>
      <c r="G836" s="0" t="n">
        <v>32.1</v>
      </c>
      <c r="H836" s="0" t="n">
        <v>31</v>
      </c>
      <c r="I836" s="27" t="s">
        <v>176</v>
      </c>
      <c r="J836" s="0" t="n">
        <v>257</v>
      </c>
      <c r="K836" s="0" t="n">
        <v>68</v>
      </c>
      <c r="M836" s="0" t="n">
        <v>600.32</v>
      </c>
      <c r="N836" s="0" t="n">
        <v>56.87</v>
      </c>
      <c r="O836" s="0" t="n">
        <v>28.03</v>
      </c>
      <c r="P836" s="0" t="n">
        <v>3.74</v>
      </c>
      <c r="Q836" s="0" t="n">
        <v>4.09</v>
      </c>
      <c r="R836" s="0" t="n">
        <v>5337</v>
      </c>
      <c r="S836" s="0" t="n">
        <v>10126</v>
      </c>
      <c r="T836" s="0" t="n">
        <v>54.7</v>
      </c>
      <c r="U836" s="0" t="n">
        <v>1213</v>
      </c>
      <c r="V836" s="0" t="n">
        <v>5</v>
      </c>
      <c r="W836" s="27" t="n">
        <f aca="false">MATCH(A836,DATAS,0)</f>
        <v>1</v>
      </c>
      <c r="X836" s="27" t="n">
        <f aca="false">IF(AND(E836&gt;0,OR(AND(B836&gt;=1,B836&lt;=6),B836=10)),1,0)</f>
        <v>1</v>
      </c>
      <c r="Y836" s="27" t="n">
        <f aca="false">IF(AND(E836&gt;0,B836=10),1,0)</f>
        <v>0</v>
      </c>
      <c r="Z836" s="0" t="str">
        <f aca="false">IF(AND(C835=C836,W835=W836-1),X835,"")</f>
        <v/>
      </c>
      <c r="AA836" s="0" t="str">
        <f aca="false">IF(AND(C835=C836,W835=W836-1),Y835,"")</f>
        <v/>
      </c>
      <c r="AB836" s="0" t="str">
        <f aca="false">IF(W836=1,"",IF(AND(X836=1,Z836&lt;&gt;1),1,0))</f>
        <v/>
      </c>
      <c r="AC836" s="0" t="str">
        <f aca="false">IF(W836=1,"",IF(AND(Y836=1,AA836&lt;&gt;1),1,0))</f>
        <v/>
      </c>
      <c r="AD836" s="33" t="str">
        <f aca="false">IF(AND(E836&gt;0,W836&lt;1,NOT(AND(C837=C836,W837=W836+1))),INDEX(DATAS,W836+1),"")</f>
        <v/>
      </c>
      <c r="AE836" s="33" t="str">
        <f aca="false">IF(AND(Y836=1,W836&lt;1),IF(AND(C837=C836,W837=W836+1),IF(Y837=1,"",INDEX(DATAS,W836+1)),INDEX(DATAS,W836+1)),"")</f>
        <v/>
      </c>
    </row>
    <row r="837" customFormat="false" ht="15" hidden="false" customHeight="false" outlineLevel="0" collapsed="false">
      <c r="A837" s="33" t="n">
        <v>46309</v>
      </c>
      <c r="B837" s="0" t="n">
        <v>6</v>
      </c>
      <c r="C837" s="0" t="n">
        <v>4783</v>
      </c>
      <c r="D837" s="0" t="n">
        <v>205</v>
      </c>
      <c r="E837" s="0" t="n">
        <v>2</v>
      </c>
      <c r="F837" s="27" t="s">
        <v>673</v>
      </c>
      <c r="G837" s="0" t="n">
        <v>29.6</v>
      </c>
      <c r="H837" s="0" t="n">
        <v>26</v>
      </c>
      <c r="I837" s="27" t="s">
        <v>138</v>
      </c>
      <c r="J837" s="0" t="n">
        <v>149</v>
      </c>
      <c r="K837" s="0" t="n">
        <v>66</v>
      </c>
      <c r="L837" s="0" t="n">
        <v>56</v>
      </c>
      <c r="M837" s="0" t="n">
        <v>1156.44</v>
      </c>
      <c r="N837" s="0" t="n">
        <v>60.16</v>
      </c>
      <c r="O837" s="0" t="n">
        <v>47.73</v>
      </c>
      <c r="P837" s="0" t="n">
        <v>3.69</v>
      </c>
      <c r="Q837" s="0" t="n">
        <v>3.86</v>
      </c>
      <c r="R837" s="0" t="n">
        <v>4053</v>
      </c>
      <c r="S837" s="0" t="n">
        <v>8482</v>
      </c>
      <c r="T837" s="0" t="n">
        <v>42.8</v>
      </c>
      <c r="U837" s="0" t="n">
        <v>1213</v>
      </c>
      <c r="V837" s="0" t="n">
        <v>4</v>
      </c>
      <c r="W837" s="27" t="n">
        <f aca="false">MATCH(A837,DATAS,0)</f>
        <v>1</v>
      </c>
      <c r="X837" s="27" t="n">
        <f aca="false">IF(AND(E837&gt;0,OR(AND(B837&gt;=1,B837&lt;=6),B837=10)),1,0)</f>
        <v>1</v>
      </c>
      <c r="Y837" s="27" t="n">
        <f aca="false">IF(AND(E837&gt;0,B837=10),1,0)</f>
        <v>0</v>
      </c>
      <c r="Z837" s="0" t="str">
        <f aca="false">IF(AND(C836=C837,W836=W837-1),X836,"")</f>
        <v/>
      </c>
      <c r="AA837" s="0" t="str">
        <f aca="false">IF(AND(C836=C837,W836=W837-1),Y836,"")</f>
        <v/>
      </c>
      <c r="AB837" s="0" t="str">
        <f aca="false">IF(W837=1,"",IF(AND(X837=1,Z837&lt;&gt;1),1,0))</f>
        <v/>
      </c>
      <c r="AC837" s="0" t="str">
        <f aca="false">IF(W837=1,"",IF(AND(Y837=1,AA837&lt;&gt;1),1,0))</f>
        <v/>
      </c>
      <c r="AD837" s="33" t="str">
        <f aca="false">IF(AND(E837&gt;0,W837&lt;1,NOT(AND(C838=C837,W838=W837+1))),INDEX(DATAS,W837+1),"")</f>
        <v/>
      </c>
      <c r="AE837" s="33" t="str">
        <f aca="false">IF(AND(Y837=1,W837&lt;1),IF(AND(C838=C837,W838=W837+1),IF(Y838=1,"",INDEX(DATAS,W837+1)),INDEX(DATAS,W837+1)),"")</f>
        <v/>
      </c>
    </row>
    <row r="838" customFormat="false" ht="15" hidden="false" customHeight="false" outlineLevel="0" collapsed="false">
      <c r="A838" s="33" t="n">
        <v>46309</v>
      </c>
      <c r="B838" s="0" t="n">
        <v>2</v>
      </c>
      <c r="C838" s="0" t="n">
        <v>4787</v>
      </c>
      <c r="D838" s="0" t="n">
        <v>11</v>
      </c>
      <c r="E838" s="0" t="n">
        <v>2</v>
      </c>
      <c r="F838" s="27" t="s">
        <v>674</v>
      </c>
      <c r="G838" s="0" t="n">
        <v>43.1</v>
      </c>
      <c r="H838" s="0" t="n">
        <v>38</v>
      </c>
      <c r="I838" s="27" t="s">
        <v>147</v>
      </c>
      <c r="J838" s="0" t="n">
        <v>11</v>
      </c>
      <c r="M838" s="0" t="n">
        <v>168.23</v>
      </c>
      <c r="N838" s="0" t="n">
        <v>16.71</v>
      </c>
      <c r="O838" s="0" t="n">
        <v>9.93</v>
      </c>
      <c r="R838" s="0" t="n">
        <v>2908</v>
      </c>
      <c r="S838" s="0" t="n">
        <v>5846</v>
      </c>
      <c r="U838" s="0" t="n">
        <v>1211</v>
      </c>
      <c r="V838" s="0" t="n">
        <v>0</v>
      </c>
      <c r="W838" s="27" t="n">
        <f aca="false">MATCH(A838,DATAS,0)</f>
        <v>1</v>
      </c>
      <c r="X838" s="27" t="n">
        <f aca="false">IF(AND(E838&gt;0,OR(AND(B838&gt;=1,B838&lt;=6),B838=10)),1,0)</f>
        <v>1</v>
      </c>
      <c r="Y838" s="27" t="n">
        <f aca="false">IF(AND(E838&gt;0,B838=10),1,0)</f>
        <v>0</v>
      </c>
      <c r="Z838" s="0" t="str">
        <f aca="false">IF(AND(C837=C838,W837=W838-1),X837,"")</f>
        <v/>
      </c>
      <c r="AA838" s="0" t="str">
        <f aca="false">IF(AND(C837=C838,W837=W838-1),Y837,"")</f>
        <v/>
      </c>
      <c r="AB838" s="0" t="str">
        <f aca="false">IF(W838=1,"",IF(AND(X838=1,Z838&lt;&gt;1),1,0))</f>
        <v/>
      </c>
      <c r="AC838" s="0" t="str">
        <f aca="false">IF(W838=1,"",IF(AND(Y838=1,AA838&lt;&gt;1),1,0))</f>
        <v/>
      </c>
      <c r="AD838" s="33" t="str">
        <f aca="false">IF(AND(E838&gt;0,W838&lt;1,NOT(AND(C839=C838,W839=W838+1))),INDEX(DATAS,W838+1),"")</f>
        <v/>
      </c>
      <c r="AE838" s="33" t="str">
        <f aca="false">IF(AND(Y838=1,W838&lt;1),IF(AND(C839=C838,W839=W838+1),IF(Y839=1,"",INDEX(DATAS,W838+1)),INDEX(DATAS,W838+1)),"")</f>
        <v/>
      </c>
    </row>
    <row r="839" customFormat="false" ht="15" hidden="false" customHeight="false" outlineLevel="0" collapsed="false">
      <c r="A839" s="33" t="n">
        <v>46309</v>
      </c>
      <c r="B839" s="0" t="n">
        <v>5</v>
      </c>
      <c r="C839" s="0" t="n">
        <v>4788</v>
      </c>
      <c r="D839" s="0" t="n">
        <v>218</v>
      </c>
      <c r="E839" s="0" t="n">
        <v>2</v>
      </c>
      <c r="F839" s="27" t="s">
        <v>675</v>
      </c>
      <c r="G839" s="0" t="n">
        <v>21.3</v>
      </c>
      <c r="H839" s="0" t="n">
        <v>22</v>
      </c>
      <c r="I839" s="27" t="s">
        <v>168</v>
      </c>
      <c r="J839" s="0" t="n">
        <v>218</v>
      </c>
      <c r="K839" s="0" t="n">
        <v>64</v>
      </c>
      <c r="M839" s="0" t="n">
        <v>1384.71</v>
      </c>
      <c r="N839" s="0" t="n">
        <v>43.38</v>
      </c>
      <c r="O839" s="0" t="n">
        <v>54.09</v>
      </c>
      <c r="P839" s="0" t="n">
        <v>4.87</v>
      </c>
      <c r="Q839" s="0" t="n">
        <v>4.09</v>
      </c>
      <c r="R839" s="0" t="n">
        <v>3574</v>
      </c>
      <c r="S839" s="0" t="n">
        <v>6728</v>
      </c>
      <c r="T839" s="0" t="n">
        <v>38.9</v>
      </c>
      <c r="U839" s="0" t="n">
        <v>1210</v>
      </c>
      <c r="V839" s="0" t="n">
        <v>3</v>
      </c>
      <c r="W839" s="27" t="n">
        <f aca="false">MATCH(A839,DATAS,0)</f>
        <v>1</v>
      </c>
      <c r="X839" s="27" t="n">
        <f aca="false">IF(AND(E839&gt;0,OR(AND(B839&gt;=1,B839&lt;=6),B839=10)),1,0)</f>
        <v>1</v>
      </c>
      <c r="Y839" s="27" t="n">
        <f aca="false">IF(AND(E839&gt;0,B839=10),1,0)</f>
        <v>0</v>
      </c>
      <c r="Z839" s="0" t="str">
        <f aca="false">IF(AND(C838=C839,W838=W839-1),X838,"")</f>
        <v/>
      </c>
      <c r="AA839" s="0" t="str">
        <f aca="false">IF(AND(C838=C839,W838=W839-1),Y838,"")</f>
        <v/>
      </c>
      <c r="AB839" s="0" t="str">
        <f aca="false">IF(W839=1,"",IF(AND(X839=1,Z839&lt;&gt;1),1,0))</f>
        <v/>
      </c>
      <c r="AC839" s="0" t="str">
        <f aca="false">IF(W839=1,"",IF(AND(Y839=1,AA839&lt;&gt;1),1,0))</f>
        <v/>
      </c>
      <c r="AD839" s="33" t="str">
        <f aca="false">IF(AND(E839&gt;0,W839&lt;1,NOT(AND(C840=C839,W840=W839+1))),INDEX(DATAS,W839+1),"")</f>
        <v/>
      </c>
      <c r="AE839" s="33" t="str">
        <f aca="false">IF(AND(Y839=1,W839&lt;1),IF(AND(C840=C839,W840=W839+1),IF(Y840=1,"",INDEX(DATAS,W839+1)),INDEX(DATAS,W839+1)),"")</f>
        <v/>
      </c>
    </row>
    <row r="840" customFormat="false" ht="15" hidden="false" customHeight="false" outlineLevel="0" collapsed="false">
      <c r="A840" s="33" t="n">
        <v>46309</v>
      </c>
      <c r="B840" s="0" t="n">
        <v>5</v>
      </c>
      <c r="C840" s="0" t="n">
        <v>4789</v>
      </c>
      <c r="D840" s="0" t="n">
        <v>155</v>
      </c>
      <c r="E840" s="0" t="n">
        <v>2</v>
      </c>
      <c r="F840" s="27" t="s">
        <v>674</v>
      </c>
      <c r="G840" s="0" t="n">
        <v>38.1</v>
      </c>
      <c r="H840" s="0" t="n">
        <v>40</v>
      </c>
      <c r="I840" s="27" t="s">
        <v>168</v>
      </c>
      <c r="J840" s="0" t="n">
        <v>155</v>
      </c>
      <c r="K840" s="0" t="n">
        <v>64</v>
      </c>
      <c r="M840" s="0" t="n">
        <v>-21.97</v>
      </c>
      <c r="N840" s="0" t="n">
        <v>75.48</v>
      </c>
      <c r="O840" s="0" t="n">
        <v>20.56</v>
      </c>
      <c r="P840" s="0" t="n">
        <v>5.9</v>
      </c>
      <c r="Q840" s="0" t="n">
        <v>4.02</v>
      </c>
      <c r="R840" s="0" t="n">
        <v>4076</v>
      </c>
      <c r="S840" s="0" t="n">
        <v>8249</v>
      </c>
      <c r="T840" s="0" t="n">
        <v>43.7</v>
      </c>
      <c r="U840" s="0" t="n">
        <v>1211</v>
      </c>
      <c r="V840" s="0" t="n">
        <v>2</v>
      </c>
      <c r="W840" s="27" t="n">
        <f aca="false">MATCH(A840,DATAS,0)</f>
        <v>1</v>
      </c>
      <c r="X840" s="27" t="n">
        <f aca="false">IF(AND(E840&gt;0,OR(AND(B840&gt;=1,B840&lt;=6),B840=10)),1,0)</f>
        <v>1</v>
      </c>
      <c r="Y840" s="27" t="n">
        <f aca="false">IF(AND(E840&gt;0,B840=10),1,0)</f>
        <v>0</v>
      </c>
      <c r="Z840" s="0" t="str">
        <f aca="false">IF(AND(C839=C840,W839=W840-1),X839,"")</f>
        <v/>
      </c>
      <c r="AA840" s="0" t="str">
        <f aca="false">IF(AND(C839=C840,W839=W840-1),Y839,"")</f>
        <v/>
      </c>
      <c r="AB840" s="0" t="str">
        <f aca="false">IF(W840=1,"",IF(AND(X840=1,Z840&lt;&gt;1),1,0))</f>
        <v/>
      </c>
      <c r="AC840" s="0" t="str">
        <f aca="false">IF(W840=1,"",IF(AND(Y840=1,AA840&lt;&gt;1),1,0))</f>
        <v/>
      </c>
      <c r="AD840" s="33" t="str">
        <f aca="false">IF(AND(E840&gt;0,W840&lt;1,NOT(AND(C841=C840,W841=W840+1))),INDEX(DATAS,W840+1),"")</f>
        <v/>
      </c>
      <c r="AE840" s="33" t="str">
        <f aca="false">IF(AND(Y840=1,W840&lt;1),IF(AND(C841=C840,W841=W840+1),IF(Y841=1,"",INDEX(DATAS,W840+1)),INDEX(DATAS,W840+1)),"")</f>
        <v/>
      </c>
    </row>
    <row r="841" customFormat="false" ht="15" hidden="false" customHeight="false" outlineLevel="0" collapsed="false">
      <c r="A841" s="33" t="n">
        <v>46309</v>
      </c>
      <c r="B841" s="0" t="n">
        <v>7</v>
      </c>
      <c r="C841" s="0" t="n">
        <v>4790</v>
      </c>
      <c r="D841" s="0" t="n">
        <v>580</v>
      </c>
      <c r="E841" s="0" t="n">
        <v>1</v>
      </c>
      <c r="F841" s="27" t="s">
        <v>674</v>
      </c>
      <c r="G841" s="0" t="n">
        <v>11</v>
      </c>
      <c r="H841" s="0" t="n">
        <v>25</v>
      </c>
      <c r="I841" s="27" t="s">
        <v>143</v>
      </c>
      <c r="J841" s="0" t="n">
        <v>357</v>
      </c>
      <c r="K841" s="0" t="n">
        <v>64</v>
      </c>
      <c r="L841" s="0" t="n">
        <v>224</v>
      </c>
      <c r="M841" s="0" t="n">
        <v>324.92</v>
      </c>
      <c r="N841" s="0" t="n">
        <v>44.84</v>
      </c>
      <c r="O841" s="0" t="n">
        <v>29.11</v>
      </c>
      <c r="P841" s="0" t="n">
        <v>6.28</v>
      </c>
      <c r="Q841" s="0" t="n">
        <v>4.56</v>
      </c>
      <c r="R841" s="0" t="n">
        <v>4023</v>
      </c>
      <c r="S841" s="0" t="n">
        <v>8298</v>
      </c>
      <c r="T841" s="0" t="n">
        <v>44.15</v>
      </c>
      <c r="U841" s="0" t="n">
        <v>1211</v>
      </c>
      <c r="V841" s="0" t="n">
        <v>8</v>
      </c>
      <c r="W841" s="27" t="n">
        <f aca="false">MATCH(A841,DATAS,0)</f>
        <v>1</v>
      </c>
      <c r="X841" s="27" t="n">
        <f aca="false">IF(AND(E841&gt;0,OR(AND(B841&gt;=1,B841&lt;=6),B841=10)),1,0)</f>
        <v>0</v>
      </c>
      <c r="Y841" s="27" t="n">
        <f aca="false">IF(AND(E841&gt;0,B841=10),1,0)</f>
        <v>0</v>
      </c>
      <c r="Z841" s="0" t="str">
        <f aca="false">IF(AND(C840=C841,W840=W841-1),X840,"")</f>
        <v/>
      </c>
      <c r="AA841" s="0" t="str">
        <f aca="false">IF(AND(C840=C841,W840=W841-1),Y840,"")</f>
        <v/>
      </c>
      <c r="AB841" s="0" t="str">
        <f aca="false">IF(W841=1,"",IF(AND(X841=1,Z841&lt;&gt;1),1,0))</f>
        <v/>
      </c>
      <c r="AC841" s="0" t="str">
        <f aca="false">IF(W841=1,"",IF(AND(Y841=1,AA841&lt;&gt;1),1,0))</f>
        <v/>
      </c>
      <c r="AD841" s="33" t="str">
        <f aca="false">IF(AND(E841&gt;0,W841&lt;1,NOT(AND(C842=C841,W842=W841+1))),INDEX(DATAS,W841+1),"")</f>
        <v/>
      </c>
      <c r="AE841" s="33" t="str">
        <f aca="false">IF(AND(Y841=1,W841&lt;1),IF(AND(C842=C841,W842=W841+1),IF(Y842=1,"",INDEX(DATAS,W841+1)),INDEX(DATAS,W841+1)),"")</f>
        <v/>
      </c>
    </row>
    <row r="842" customFormat="false" ht="15" hidden="false" customHeight="false" outlineLevel="0" collapsed="false">
      <c r="A842" s="33" t="n">
        <v>46309</v>
      </c>
      <c r="B842" s="0" t="n">
        <v>5</v>
      </c>
      <c r="C842" s="0" t="n">
        <v>4791</v>
      </c>
      <c r="D842" s="0" t="n">
        <v>247</v>
      </c>
      <c r="E842" s="0" t="n">
        <v>2</v>
      </c>
      <c r="F842" s="27" t="s">
        <v>675</v>
      </c>
      <c r="G842" s="0" t="n">
        <v>29.2</v>
      </c>
      <c r="H842" s="0" t="n">
        <v>24</v>
      </c>
      <c r="I842" s="27" t="s">
        <v>138</v>
      </c>
      <c r="J842" s="0" t="n">
        <v>195</v>
      </c>
      <c r="K842" s="0" t="n">
        <v>65</v>
      </c>
      <c r="L842" s="0" t="n">
        <v>52</v>
      </c>
      <c r="M842" s="0" t="n">
        <v>332.02</v>
      </c>
      <c r="N842" s="0" t="n">
        <v>25.2</v>
      </c>
      <c r="O842" s="0" t="n">
        <v>17.54</v>
      </c>
      <c r="P842" s="0" t="n">
        <v>4.85</v>
      </c>
      <c r="Q842" s="0" t="n">
        <v>3.83</v>
      </c>
      <c r="R842" s="0" t="n">
        <v>3788</v>
      </c>
      <c r="S842" s="0" t="n">
        <v>6584</v>
      </c>
      <c r="T842" s="0" t="n">
        <v>46.5</v>
      </c>
      <c r="U842" s="0" t="n">
        <v>1210</v>
      </c>
      <c r="V842" s="0" t="n">
        <v>2</v>
      </c>
      <c r="W842" s="27" t="n">
        <f aca="false">MATCH(A842,DATAS,0)</f>
        <v>1</v>
      </c>
      <c r="X842" s="27" t="n">
        <f aca="false">IF(AND(E842&gt;0,OR(AND(B842&gt;=1,B842&lt;=6),B842=10)),1,0)</f>
        <v>1</v>
      </c>
      <c r="Y842" s="27" t="n">
        <f aca="false">IF(AND(E842&gt;0,B842=10),1,0)</f>
        <v>0</v>
      </c>
      <c r="Z842" s="0" t="str">
        <f aca="false">IF(AND(C841=C842,W841=W842-1),X841,"")</f>
        <v/>
      </c>
      <c r="AA842" s="0" t="str">
        <f aca="false">IF(AND(C841=C842,W841=W842-1),Y841,"")</f>
        <v/>
      </c>
      <c r="AB842" s="0" t="str">
        <f aca="false">IF(W842=1,"",IF(AND(X842=1,Z842&lt;&gt;1),1,0))</f>
        <v/>
      </c>
      <c r="AC842" s="0" t="str">
        <f aca="false">IF(W842=1,"",IF(AND(Y842=1,AA842&lt;&gt;1),1,0))</f>
        <v/>
      </c>
      <c r="AD842" s="33" t="str">
        <f aca="false">IF(AND(E842&gt;0,W842&lt;1,NOT(AND(C843=C842,W843=W842+1))),INDEX(DATAS,W842+1),"")</f>
        <v/>
      </c>
      <c r="AE842" s="33" t="str">
        <f aca="false">IF(AND(Y842=1,W842&lt;1),IF(AND(C843=C842,W843=W842+1),IF(Y843=1,"",INDEX(DATAS,W842+1)),INDEX(DATAS,W842+1)),"")</f>
        <v/>
      </c>
    </row>
    <row r="843" customFormat="false" ht="15" hidden="false" customHeight="false" outlineLevel="0" collapsed="false">
      <c r="A843" s="33" t="n">
        <v>46309</v>
      </c>
      <c r="B843" s="0" t="n">
        <v>2</v>
      </c>
      <c r="C843" s="0" t="n">
        <v>4792</v>
      </c>
      <c r="D843" s="0" t="n">
        <v>92</v>
      </c>
      <c r="E843" s="0" t="n">
        <v>2</v>
      </c>
      <c r="F843" s="27" t="s">
        <v>675</v>
      </c>
      <c r="G843" s="0" t="n">
        <v>71.6</v>
      </c>
      <c r="H843" s="0" t="n">
        <v>68</v>
      </c>
      <c r="I843" s="27" t="s">
        <v>168</v>
      </c>
      <c r="J843" s="0" t="n">
        <v>92</v>
      </c>
      <c r="K843" s="0" t="n">
        <v>64</v>
      </c>
      <c r="M843" s="0" t="n">
        <v>687.22</v>
      </c>
      <c r="N843" s="0" t="n">
        <v>54.33</v>
      </c>
      <c r="O843" s="0" t="n">
        <v>29.63</v>
      </c>
      <c r="P843" s="0" t="n">
        <v>2.76</v>
      </c>
      <c r="Q843" s="0" t="n">
        <v>3.07</v>
      </c>
      <c r="R843" s="0" t="n">
        <v>6019</v>
      </c>
      <c r="S843" s="0" t="n">
        <v>12100</v>
      </c>
      <c r="T843" s="0" t="n">
        <v>60.85</v>
      </c>
      <c r="U843" s="0" t="n">
        <v>1210</v>
      </c>
      <c r="V843" s="0" t="n">
        <v>2</v>
      </c>
      <c r="W843" s="27" t="n">
        <f aca="false">MATCH(A843,DATAS,0)</f>
        <v>1</v>
      </c>
      <c r="X843" s="27" t="n">
        <f aca="false">IF(AND(E843&gt;0,OR(AND(B843&gt;=1,B843&lt;=6),B843=10)),1,0)</f>
        <v>1</v>
      </c>
      <c r="Y843" s="27" t="n">
        <f aca="false">IF(AND(E843&gt;0,B843=10),1,0)</f>
        <v>0</v>
      </c>
      <c r="Z843" s="0" t="str">
        <f aca="false">IF(AND(C842=C843,W842=W843-1),X842,"")</f>
        <v/>
      </c>
      <c r="AA843" s="0" t="str">
        <f aca="false">IF(AND(C842=C843,W842=W843-1),Y842,"")</f>
        <v/>
      </c>
      <c r="AB843" s="0" t="str">
        <f aca="false">IF(W843=1,"",IF(AND(X843=1,Z843&lt;&gt;1),1,0))</f>
        <v/>
      </c>
      <c r="AC843" s="0" t="str">
        <f aca="false">IF(W843=1,"",IF(AND(Y843=1,AA843&lt;&gt;1),1,0))</f>
        <v/>
      </c>
      <c r="AD843" s="33" t="str">
        <f aca="false">IF(AND(E843&gt;0,W843&lt;1,NOT(AND(C844=C843,W844=W843+1))),INDEX(DATAS,W843+1),"")</f>
        <v/>
      </c>
      <c r="AE843" s="33" t="str">
        <f aca="false">IF(AND(Y843=1,W843&lt;1),IF(AND(C844=C843,W844=W843+1),IF(Y844=1,"",INDEX(DATAS,W843+1)),INDEX(DATAS,W843+1)),"")</f>
        <v/>
      </c>
    </row>
    <row r="844" customFormat="false" ht="15" hidden="false" customHeight="false" outlineLevel="0" collapsed="false">
      <c r="A844" s="33" t="n">
        <v>46309</v>
      </c>
      <c r="B844" s="0" t="n">
        <v>5</v>
      </c>
      <c r="C844" s="0" t="n">
        <v>4794</v>
      </c>
      <c r="D844" s="0" t="n">
        <v>209</v>
      </c>
      <c r="E844" s="0" t="n">
        <v>2</v>
      </c>
      <c r="F844" s="27" t="s">
        <v>676</v>
      </c>
      <c r="G844" s="0" t="n">
        <v>40.7</v>
      </c>
      <c r="H844" s="0" t="n">
        <v>38</v>
      </c>
      <c r="I844" s="27" t="s">
        <v>138</v>
      </c>
      <c r="J844" s="0" t="n">
        <v>62</v>
      </c>
      <c r="K844" s="0" t="n">
        <v>62</v>
      </c>
      <c r="L844" s="0" t="n">
        <v>147</v>
      </c>
      <c r="M844" s="0" t="n">
        <v>571.55</v>
      </c>
      <c r="N844" s="0" t="n">
        <v>67.44</v>
      </c>
      <c r="O844" s="0" t="n">
        <v>34.18</v>
      </c>
      <c r="P844" s="0" t="n">
        <v>4.83</v>
      </c>
      <c r="Q844" s="0" t="n">
        <v>3.49</v>
      </c>
      <c r="R844" s="0" t="n">
        <v>4218</v>
      </c>
      <c r="S844" s="0" t="n">
        <v>9258</v>
      </c>
      <c r="T844" s="0" t="n">
        <v>45.2</v>
      </c>
      <c r="U844" s="0" t="n">
        <v>1209</v>
      </c>
      <c r="V844" s="0" t="n">
        <v>1</v>
      </c>
      <c r="W844" s="27" t="n">
        <f aca="false">MATCH(A844,DATAS,0)</f>
        <v>1</v>
      </c>
      <c r="X844" s="27" t="n">
        <f aca="false">IF(AND(E844&gt;0,OR(AND(B844&gt;=1,B844&lt;=6),B844=10)),1,0)</f>
        <v>1</v>
      </c>
      <c r="Y844" s="27" t="n">
        <f aca="false">IF(AND(E844&gt;0,B844=10),1,0)</f>
        <v>0</v>
      </c>
      <c r="Z844" s="0" t="str">
        <f aca="false">IF(AND(C843=C844,W843=W844-1),X843,"")</f>
        <v/>
      </c>
      <c r="AA844" s="0" t="str">
        <f aca="false">IF(AND(C843=C844,W843=W844-1),Y843,"")</f>
        <v/>
      </c>
      <c r="AB844" s="0" t="str">
        <f aca="false">IF(W844=1,"",IF(AND(X844=1,Z844&lt;&gt;1),1,0))</f>
        <v/>
      </c>
      <c r="AC844" s="0" t="str">
        <f aca="false">IF(W844=1,"",IF(AND(Y844=1,AA844&lt;&gt;1),1,0))</f>
        <v/>
      </c>
      <c r="AD844" s="33" t="str">
        <f aca="false">IF(AND(E844&gt;0,W844&lt;1,NOT(AND(C845=C844,W845=W844+1))),INDEX(DATAS,W844+1),"")</f>
        <v/>
      </c>
      <c r="AE844" s="33" t="str">
        <f aca="false">IF(AND(Y844=1,W844&lt;1),IF(AND(C845=C844,W845=W844+1),IF(Y845=1,"",INDEX(DATAS,W844+1)),INDEX(DATAS,W844+1)),"")</f>
        <v/>
      </c>
    </row>
    <row r="845" customFormat="false" ht="15" hidden="false" customHeight="false" outlineLevel="0" collapsed="false">
      <c r="A845" s="33" t="n">
        <v>46309</v>
      </c>
      <c r="B845" s="0" t="n">
        <v>5</v>
      </c>
      <c r="C845" s="0" t="n">
        <v>4796</v>
      </c>
      <c r="D845" s="0" t="n">
        <v>240</v>
      </c>
      <c r="E845" s="0" t="n">
        <v>2</v>
      </c>
      <c r="F845" s="27" t="s">
        <v>676</v>
      </c>
      <c r="G845" s="0" t="n">
        <v>35.2</v>
      </c>
      <c r="H845" s="0" t="n">
        <v>33</v>
      </c>
      <c r="I845" s="27" t="s">
        <v>168</v>
      </c>
      <c r="J845" s="0" t="n">
        <v>240</v>
      </c>
      <c r="K845" s="0" t="n">
        <v>65</v>
      </c>
      <c r="M845" s="0" t="n">
        <v>1280.66</v>
      </c>
      <c r="N845" s="0" t="n">
        <v>45.48</v>
      </c>
      <c r="O845" s="0" t="n">
        <v>43.49</v>
      </c>
      <c r="P845" s="0" t="n">
        <v>4.53</v>
      </c>
      <c r="Q845" s="0" t="n">
        <v>3.9</v>
      </c>
      <c r="R845" s="0" t="n">
        <v>3972</v>
      </c>
      <c r="S845" s="0" t="n">
        <v>6910</v>
      </c>
      <c r="T845" s="0" t="n">
        <v>46</v>
      </c>
      <c r="U845" s="0" t="n">
        <v>1209</v>
      </c>
      <c r="V845" s="0" t="n">
        <v>4</v>
      </c>
      <c r="W845" s="27" t="n">
        <f aca="false">MATCH(A845,DATAS,0)</f>
        <v>1</v>
      </c>
      <c r="X845" s="27" t="n">
        <f aca="false">IF(AND(E845&gt;0,OR(AND(B845&gt;=1,B845&lt;=6),B845=10)),1,0)</f>
        <v>1</v>
      </c>
      <c r="Y845" s="27" t="n">
        <f aca="false">IF(AND(E845&gt;0,B845=10),1,0)</f>
        <v>0</v>
      </c>
      <c r="Z845" s="0" t="str">
        <f aca="false">IF(AND(C844=C845,W844=W845-1),X844,"")</f>
        <v/>
      </c>
      <c r="AA845" s="0" t="str">
        <f aca="false">IF(AND(C844=C845,W844=W845-1),Y844,"")</f>
        <v/>
      </c>
      <c r="AB845" s="0" t="str">
        <f aca="false">IF(W845=1,"",IF(AND(X845=1,Z845&lt;&gt;1),1,0))</f>
        <v/>
      </c>
      <c r="AC845" s="0" t="str">
        <f aca="false">IF(W845=1,"",IF(AND(Y845=1,AA845&lt;&gt;1),1,0))</f>
        <v/>
      </c>
      <c r="AD845" s="33" t="str">
        <f aca="false">IF(AND(E845&gt;0,W845&lt;1,NOT(AND(C846=C845,W846=W845+1))),INDEX(DATAS,W845+1),"")</f>
        <v/>
      </c>
      <c r="AE845" s="33" t="str">
        <f aca="false">IF(AND(Y845=1,W845&lt;1),IF(AND(C846=C845,W846=W845+1),IF(Y846=1,"",INDEX(DATAS,W845+1)),INDEX(DATAS,W845+1)),"")</f>
        <v/>
      </c>
    </row>
    <row r="846" customFormat="false" ht="15" hidden="false" customHeight="false" outlineLevel="0" collapsed="false">
      <c r="A846" s="33" t="n">
        <v>46309</v>
      </c>
      <c r="B846" s="0" t="n">
        <v>5</v>
      </c>
      <c r="C846" s="0" t="n">
        <v>4797</v>
      </c>
      <c r="D846" s="0" t="n">
        <v>531</v>
      </c>
      <c r="E846" s="0" t="n">
        <v>1</v>
      </c>
      <c r="F846" s="27" t="s">
        <v>676</v>
      </c>
      <c r="G846" s="0" t="n">
        <v>14.9</v>
      </c>
      <c r="H846" s="0" t="n">
        <v>21</v>
      </c>
      <c r="I846" s="27" t="s">
        <v>138</v>
      </c>
      <c r="J846" s="0" t="n">
        <v>356</v>
      </c>
      <c r="K846" s="0" t="n">
        <v>62</v>
      </c>
      <c r="L846" s="0" t="n">
        <v>175</v>
      </c>
      <c r="M846" s="0" t="n">
        <v>181.7</v>
      </c>
      <c r="N846" s="0" t="n">
        <v>62.99</v>
      </c>
      <c r="O846" s="0" t="n">
        <v>12.27</v>
      </c>
      <c r="P846" s="0" t="n">
        <v>4.66</v>
      </c>
      <c r="Q846" s="0" t="n">
        <v>3.99</v>
      </c>
      <c r="R846" s="0" t="n">
        <v>4515</v>
      </c>
      <c r="S846" s="0" t="n">
        <v>9391</v>
      </c>
      <c r="T846" s="0" t="n">
        <v>47.25</v>
      </c>
      <c r="U846" s="0" t="n">
        <v>1209</v>
      </c>
      <c r="V846" s="0" t="n">
        <v>11</v>
      </c>
      <c r="W846" s="27" t="n">
        <f aca="false">MATCH(A846,DATAS,0)</f>
        <v>1</v>
      </c>
      <c r="X846" s="27" t="n">
        <f aca="false">IF(AND(E846&gt;0,OR(AND(B846&gt;=1,B846&lt;=6),B846=10)),1,0)</f>
        <v>1</v>
      </c>
      <c r="Y846" s="27" t="n">
        <f aca="false">IF(AND(E846&gt;0,B846=10),1,0)</f>
        <v>0</v>
      </c>
      <c r="Z846" s="0" t="str">
        <f aca="false">IF(AND(C845=C846,W845=W846-1),X845,"")</f>
        <v/>
      </c>
      <c r="AA846" s="0" t="str">
        <f aca="false">IF(AND(C845=C846,W845=W846-1),Y845,"")</f>
        <v/>
      </c>
      <c r="AB846" s="0" t="str">
        <f aca="false">IF(W846=1,"",IF(AND(X846=1,Z846&lt;&gt;1),1,0))</f>
        <v/>
      </c>
      <c r="AC846" s="0" t="str">
        <f aca="false">IF(W846=1,"",IF(AND(Y846=1,AA846&lt;&gt;1),1,0))</f>
        <v/>
      </c>
      <c r="AD846" s="33" t="str">
        <f aca="false">IF(AND(E846&gt;0,W846&lt;1,NOT(AND(C847=C846,W847=W846+1))),INDEX(DATAS,W846+1),"")</f>
        <v/>
      </c>
      <c r="AE846" s="33" t="str">
        <f aca="false">IF(AND(Y846=1,W846&lt;1),IF(AND(C847=C846,W847=W846+1),IF(Y847=1,"",INDEX(DATAS,W846+1)),INDEX(DATAS,W846+1)),"")</f>
        <v/>
      </c>
    </row>
    <row r="847" customFormat="false" ht="15" hidden="false" customHeight="false" outlineLevel="0" collapsed="false">
      <c r="A847" s="33" t="n">
        <v>46309</v>
      </c>
      <c r="B847" s="0" t="n">
        <v>3</v>
      </c>
      <c r="C847" s="0" t="n">
        <v>4799</v>
      </c>
      <c r="D847" s="0" t="n">
        <v>203</v>
      </c>
      <c r="E847" s="0" t="n">
        <v>2</v>
      </c>
      <c r="F847" s="27" t="s">
        <v>677</v>
      </c>
      <c r="G847" s="0" t="n">
        <v>58</v>
      </c>
      <c r="H847" s="0" t="n">
        <v>57</v>
      </c>
      <c r="I847" s="27" t="s">
        <v>138</v>
      </c>
      <c r="J847" s="0" t="n">
        <v>98</v>
      </c>
      <c r="K847" s="0" t="n">
        <v>63</v>
      </c>
      <c r="L847" s="0" t="n">
        <v>105</v>
      </c>
      <c r="M847" s="0" t="n">
        <v>1462.65</v>
      </c>
      <c r="N847" s="0" t="n">
        <v>64.27</v>
      </c>
      <c r="O847" s="0" t="n">
        <v>36.79</v>
      </c>
      <c r="P847" s="0" t="n">
        <v>4.32</v>
      </c>
      <c r="Q847" s="0" t="n">
        <v>3.16</v>
      </c>
      <c r="R847" s="0" t="n">
        <v>5198</v>
      </c>
      <c r="S847" s="0" t="n">
        <v>10852</v>
      </c>
      <c r="T847" s="0" t="n">
        <v>57.55</v>
      </c>
      <c r="U847" s="0" t="n">
        <v>1207</v>
      </c>
      <c r="V847" s="0" t="n">
        <v>2</v>
      </c>
      <c r="W847" s="27" t="n">
        <f aca="false">MATCH(A847,DATAS,0)</f>
        <v>1</v>
      </c>
      <c r="X847" s="27" t="n">
        <f aca="false">IF(AND(E847&gt;0,OR(AND(B847&gt;=1,B847&lt;=6),B847=10)),1,0)</f>
        <v>1</v>
      </c>
      <c r="Y847" s="27" t="n">
        <f aca="false">IF(AND(E847&gt;0,B847=10),1,0)</f>
        <v>0</v>
      </c>
      <c r="Z847" s="0" t="str">
        <f aca="false">IF(AND(C846=C847,W846=W847-1),X846,"")</f>
        <v/>
      </c>
      <c r="AA847" s="0" t="str">
        <f aca="false">IF(AND(C846=C847,W846=W847-1),Y846,"")</f>
        <v/>
      </c>
      <c r="AB847" s="0" t="str">
        <f aca="false">IF(W847=1,"",IF(AND(X847=1,Z847&lt;&gt;1),1,0))</f>
        <v/>
      </c>
      <c r="AC847" s="0" t="str">
        <f aca="false">IF(W847=1,"",IF(AND(Y847=1,AA847&lt;&gt;1),1,0))</f>
        <v/>
      </c>
      <c r="AD847" s="33" t="str">
        <f aca="false">IF(AND(E847&gt;0,W847&lt;1,NOT(AND(C848=C847,W848=W847+1))),INDEX(DATAS,W847+1),"")</f>
        <v/>
      </c>
      <c r="AE847" s="33" t="str">
        <f aca="false">IF(AND(Y847=1,W847&lt;1),IF(AND(C848=C847,W848=W847+1),IF(Y848=1,"",INDEX(DATAS,W847+1)),INDEX(DATAS,W847+1)),"")</f>
        <v/>
      </c>
    </row>
    <row r="848" customFormat="false" ht="15" hidden="false" customHeight="false" outlineLevel="0" collapsed="false">
      <c r="A848" s="33" t="n">
        <v>46309</v>
      </c>
      <c r="B848" s="0" t="n">
        <v>2</v>
      </c>
      <c r="C848" s="0" t="n">
        <v>4800</v>
      </c>
      <c r="D848" s="0" t="n">
        <v>206</v>
      </c>
      <c r="E848" s="0" t="n">
        <v>2</v>
      </c>
      <c r="F848" s="27" t="s">
        <v>677</v>
      </c>
      <c r="G848" s="0" t="n">
        <v>56.2</v>
      </c>
      <c r="H848" s="0" t="n">
        <v>55</v>
      </c>
      <c r="I848" s="27" t="s">
        <v>138</v>
      </c>
      <c r="J848" s="0" t="n">
        <v>126</v>
      </c>
      <c r="K848" s="0" t="n">
        <v>66</v>
      </c>
      <c r="L848" s="0" t="n">
        <v>80</v>
      </c>
      <c r="M848" s="0" t="n">
        <v>985.84</v>
      </c>
      <c r="N848" s="0" t="n">
        <v>53.93</v>
      </c>
      <c r="O848" s="0" t="n">
        <v>28.48</v>
      </c>
      <c r="P848" s="0" t="n">
        <v>3.11</v>
      </c>
      <c r="Q848" s="0" t="n">
        <v>3.18</v>
      </c>
      <c r="R848" s="0" t="n">
        <v>4047</v>
      </c>
      <c r="S848" s="0" t="n">
        <v>9555</v>
      </c>
      <c r="T848" s="0" t="n">
        <v>43.85</v>
      </c>
      <c r="U848" s="0" t="n">
        <v>1207</v>
      </c>
      <c r="V848" s="0" t="n">
        <v>2</v>
      </c>
      <c r="W848" s="27" t="n">
        <f aca="false">MATCH(A848,DATAS,0)</f>
        <v>1</v>
      </c>
      <c r="X848" s="27" t="n">
        <f aca="false">IF(AND(E848&gt;0,OR(AND(B848&gt;=1,B848&lt;=6),B848=10)),1,0)</f>
        <v>1</v>
      </c>
      <c r="Y848" s="27" t="n">
        <f aca="false">IF(AND(E848&gt;0,B848=10),1,0)</f>
        <v>0</v>
      </c>
      <c r="Z848" s="0" t="str">
        <f aca="false">IF(AND(C847=C848,W847=W848-1),X847,"")</f>
        <v/>
      </c>
      <c r="AA848" s="0" t="str">
        <f aca="false">IF(AND(C847=C848,W847=W848-1),Y847,"")</f>
        <v/>
      </c>
      <c r="AB848" s="0" t="str">
        <f aca="false">IF(W848=1,"",IF(AND(X848=1,Z848&lt;&gt;1),1,0))</f>
        <v/>
      </c>
      <c r="AC848" s="0" t="str">
        <f aca="false">IF(W848=1,"",IF(AND(Y848=1,AA848&lt;&gt;1),1,0))</f>
        <v/>
      </c>
      <c r="AD848" s="33" t="str">
        <f aca="false">IF(AND(E848&gt;0,W848&lt;1,NOT(AND(C849=C848,W849=W848+1))),INDEX(DATAS,W848+1),"")</f>
        <v/>
      </c>
      <c r="AE848" s="33" t="str">
        <f aca="false">IF(AND(Y848=1,W848&lt;1),IF(AND(C849=C848,W849=W848+1),IF(Y849=1,"",INDEX(DATAS,W848+1)),INDEX(DATAS,W848+1)),"")</f>
        <v/>
      </c>
    </row>
    <row r="849" customFormat="false" ht="15" hidden="false" customHeight="false" outlineLevel="0" collapsed="false">
      <c r="A849" s="33" t="n">
        <v>46309</v>
      </c>
      <c r="B849" s="0" t="n">
        <v>2</v>
      </c>
      <c r="C849" s="0" t="n">
        <v>4801</v>
      </c>
      <c r="D849" s="0" t="n">
        <v>169</v>
      </c>
      <c r="E849" s="0" t="n">
        <v>2</v>
      </c>
      <c r="F849" s="27" t="s">
        <v>678</v>
      </c>
      <c r="G849" s="0" t="n">
        <v>51.1</v>
      </c>
      <c r="H849" s="0" t="n">
        <v>47</v>
      </c>
      <c r="I849" s="27" t="s">
        <v>176</v>
      </c>
      <c r="J849" s="0" t="n">
        <v>169</v>
      </c>
      <c r="K849" s="0" t="n">
        <v>64</v>
      </c>
      <c r="M849" s="0" t="n">
        <v>-16.12</v>
      </c>
      <c r="N849" s="0" t="n">
        <v>40.43</v>
      </c>
      <c r="O849" s="0" t="n">
        <v>19.48</v>
      </c>
      <c r="P849" s="0" t="n">
        <v>3.48</v>
      </c>
      <c r="Q849" s="0" t="n">
        <v>3.33</v>
      </c>
      <c r="R849" s="0" t="n">
        <v>5095</v>
      </c>
      <c r="S849" s="0" t="n">
        <v>10459</v>
      </c>
      <c r="T849" s="0" t="n">
        <v>57.15</v>
      </c>
      <c r="U849" s="0" t="n">
        <v>1206</v>
      </c>
      <c r="V849" s="0" t="n">
        <v>2</v>
      </c>
      <c r="W849" s="27" t="n">
        <f aca="false">MATCH(A849,DATAS,0)</f>
        <v>1</v>
      </c>
      <c r="X849" s="27" t="n">
        <f aca="false">IF(AND(E849&gt;0,OR(AND(B849&gt;=1,B849&lt;=6),B849=10)),1,0)</f>
        <v>1</v>
      </c>
      <c r="Y849" s="27" t="n">
        <f aca="false">IF(AND(E849&gt;0,B849=10),1,0)</f>
        <v>0</v>
      </c>
      <c r="Z849" s="0" t="str">
        <f aca="false">IF(AND(C848=C849,W848=W849-1),X848,"")</f>
        <v/>
      </c>
      <c r="AA849" s="0" t="str">
        <f aca="false">IF(AND(C848=C849,W848=W849-1),Y848,"")</f>
        <v/>
      </c>
      <c r="AB849" s="0" t="str">
        <f aca="false">IF(W849=1,"",IF(AND(X849=1,Z849&lt;&gt;1),1,0))</f>
        <v/>
      </c>
      <c r="AC849" s="0" t="str">
        <f aca="false">IF(W849=1,"",IF(AND(Y849=1,AA849&lt;&gt;1),1,0))</f>
        <v/>
      </c>
      <c r="AD849" s="33" t="str">
        <f aca="false">IF(AND(E849&gt;0,W849&lt;1,NOT(AND(C850=C849,W850=W849+1))),INDEX(DATAS,W849+1),"")</f>
        <v/>
      </c>
      <c r="AE849" s="33" t="str">
        <f aca="false">IF(AND(Y849=1,W849&lt;1),IF(AND(C850=C849,W850=W849+1),IF(Y850=1,"",INDEX(DATAS,W849+1)),INDEX(DATAS,W849+1)),"")</f>
        <v/>
      </c>
    </row>
    <row r="850" customFormat="false" ht="15" hidden="false" customHeight="false" outlineLevel="0" collapsed="false">
      <c r="A850" s="33" t="n">
        <v>46309</v>
      </c>
      <c r="B850" s="0" t="n">
        <v>3</v>
      </c>
      <c r="C850" s="0" t="n">
        <v>4802</v>
      </c>
      <c r="D850" s="0" t="n">
        <v>169</v>
      </c>
      <c r="E850" s="0" t="n">
        <v>2</v>
      </c>
      <c r="F850" s="27" t="s">
        <v>678</v>
      </c>
      <c r="G850" s="0" t="n">
        <v>57.8</v>
      </c>
      <c r="H850" s="0" t="n">
        <v>57</v>
      </c>
      <c r="I850" s="27" t="s">
        <v>138</v>
      </c>
      <c r="J850" s="0" t="n">
        <v>127</v>
      </c>
      <c r="K850" s="0" t="n">
        <v>64</v>
      </c>
      <c r="L850" s="0" t="n">
        <v>42</v>
      </c>
      <c r="M850" s="0" t="n">
        <v>1295.18</v>
      </c>
      <c r="N850" s="0" t="n">
        <v>67.83</v>
      </c>
      <c r="O850" s="0" t="n">
        <v>49.45</v>
      </c>
      <c r="P850" s="0" t="n">
        <v>2.92</v>
      </c>
      <c r="Q850" s="0" t="n">
        <v>3.58</v>
      </c>
      <c r="R850" s="0" t="n">
        <v>5769</v>
      </c>
      <c r="S850" s="0" t="n">
        <v>11734</v>
      </c>
      <c r="T850" s="0" t="n">
        <v>64.2</v>
      </c>
      <c r="U850" s="0" t="n">
        <v>1206</v>
      </c>
      <c r="V850" s="0" t="n">
        <v>2</v>
      </c>
      <c r="W850" s="27" t="n">
        <f aca="false">MATCH(A850,DATAS,0)</f>
        <v>1</v>
      </c>
      <c r="X850" s="27" t="n">
        <f aca="false">IF(AND(E850&gt;0,OR(AND(B850&gt;=1,B850&lt;=6),B850=10)),1,0)</f>
        <v>1</v>
      </c>
      <c r="Y850" s="27" t="n">
        <f aca="false">IF(AND(E850&gt;0,B850=10),1,0)</f>
        <v>0</v>
      </c>
      <c r="Z850" s="0" t="str">
        <f aca="false">IF(AND(C849=C850,W849=W850-1),X849,"")</f>
        <v/>
      </c>
      <c r="AA850" s="0" t="str">
        <f aca="false">IF(AND(C849=C850,W849=W850-1),Y849,"")</f>
        <v/>
      </c>
      <c r="AB850" s="0" t="str">
        <f aca="false">IF(W850=1,"",IF(AND(X850=1,Z850&lt;&gt;1),1,0))</f>
        <v/>
      </c>
      <c r="AC850" s="0" t="str">
        <f aca="false">IF(W850=1,"",IF(AND(Y850=1,AA850&lt;&gt;1),1,0))</f>
        <v/>
      </c>
      <c r="AD850" s="33" t="str">
        <f aca="false">IF(AND(E850&gt;0,W850&lt;1,NOT(AND(C851=C850,W851=W850+1))),INDEX(DATAS,W850+1),"")</f>
        <v/>
      </c>
      <c r="AE850" s="33" t="str">
        <f aca="false">IF(AND(Y850=1,W850&lt;1),IF(AND(C851=C850,W851=W850+1),IF(Y851=1,"",INDEX(DATAS,W850+1)),INDEX(DATAS,W850+1)),"")</f>
        <v/>
      </c>
    </row>
    <row r="851" customFormat="false" ht="15" hidden="false" customHeight="false" outlineLevel="0" collapsed="false">
      <c r="A851" s="33" t="n">
        <v>46309</v>
      </c>
      <c r="B851" s="0" t="n">
        <v>2</v>
      </c>
      <c r="C851" s="0" t="n">
        <v>4804</v>
      </c>
      <c r="D851" s="0" t="n">
        <v>282</v>
      </c>
      <c r="E851" s="0" t="n">
        <v>2</v>
      </c>
      <c r="F851" s="27" t="s">
        <v>678</v>
      </c>
      <c r="G851" s="0" t="n">
        <v>51.2</v>
      </c>
      <c r="H851" s="0" t="n">
        <v>50</v>
      </c>
      <c r="I851" s="27" t="s">
        <v>138</v>
      </c>
      <c r="J851" s="0" t="n">
        <v>219</v>
      </c>
      <c r="K851" s="0" t="n">
        <v>72</v>
      </c>
      <c r="L851" s="0" t="n">
        <v>63</v>
      </c>
      <c r="M851" s="0" t="n">
        <v>7.35</v>
      </c>
      <c r="N851" s="0" t="n">
        <v>28.95</v>
      </c>
      <c r="O851" s="0" t="n">
        <v>12.88</v>
      </c>
      <c r="P851" s="0" t="n">
        <v>2.53</v>
      </c>
      <c r="Q851" s="0" t="n">
        <v>3.35</v>
      </c>
      <c r="R851" s="0" t="n">
        <v>4972</v>
      </c>
      <c r="S851" s="0" t="n">
        <v>10646</v>
      </c>
      <c r="T851" s="0" t="n">
        <v>50.3</v>
      </c>
      <c r="U851" s="0" t="n">
        <v>1206</v>
      </c>
      <c r="V851" s="0" t="n">
        <v>5</v>
      </c>
      <c r="W851" s="27" t="n">
        <f aca="false">MATCH(A851,DATAS,0)</f>
        <v>1</v>
      </c>
      <c r="X851" s="27" t="n">
        <f aca="false">IF(AND(E851&gt;0,OR(AND(B851&gt;=1,B851&lt;=6),B851=10)),1,0)</f>
        <v>1</v>
      </c>
      <c r="Y851" s="27" t="n">
        <f aca="false">IF(AND(E851&gt;0,B851=10),1,0)</f>
        <v>0</v>
      </c>
      <c r="Z851" s="0" t="str">
        <f aca="false">IF(AND(C850=C851,W850=W851-1),X850,"")</f>
        <v/>
      </c>
      <c r="AA851" s="0" t="str">
        <f aca="false">IF(AND(C850=C851,W850=W851-1),Y850,"")</f>
        <v/>
      </c>
      <c r="AB851" s="0" t="str">
        <f aca="false">IF(W851=1,"",IF(AND(X851=1,Z851&lt;&gt;1),1,0))</f>
        <v/>
      </c>
      <c r="AC851" s="0" t="str">
        <f aca="false">IF(W851=1,"",IF(AND(Y851=1,AA851&lt;&gt;1),1,0))</f>
        <v/>
      </c>
      <c r="AD851" s="33" t="str">
        <f aca="false">IF(AND(E851&gt;0,W851&lt;1,NOT(AND(C852=C851,W852=W851+1))),INDEX(DATAS,W851+1),"")</f>
        <v/>
      </c>
      <c r="AE851" s="33" t="str">
        <f aca="false">IF(AND(Y851=1,W851&lt;1),IF(AND(C852=C851,W852=W851+1),IF(Y852=1,"",INDEX(DATAS,W851+1)),INDEX(DATAS,W851+1)),"")</f>
        <v/>
      </c>
    </row>
    <row r="852" customFormat="false" ht="15" hidden="false" customHeight="false" outlineLevel="0" collapsed="false">
      <c r="A852" s="33" t="n">
        <v>46309</v>
      </c>
      <c r="B852" s="0" t="n">
        <v>10</v>
      </c>
      <c r="C852" s="0" t="n">
        <v>4807</v>
      </c>
      <c r="D852" s="0" t="n">
        <v>254</v>
      </c>
      <c r="E852" s="0" t="n">
        <v>2</v>
      </c>
      <c r="F852" s="27" t="s">
        <v>679</v>
      </c>
      <c r="H852" s="0" t="n">
        <v>24</v>
      </c>
      <c r="I852" s="27" t="s">
        <v>176</v>
      </c>
      <c r="J852" s="0" t="n">
        <v>254</v>
      </c>
      <c r="K852" s="0" t="n">
        <v>73</v>
      </c>
      <c r="M852" s="0" t="n">
        <v>501.29</v>
      </c>
      <c r="N852" s="0" t="n">
        <v>15.13</v>
      </c>
      <c r="O852" s="0" t="n">
        <v>12.17</v>
      </c>
      <c r="P852" s="0" t="n">
        <v>3.24</v>
      </c>
      <c r="Q852" s="0" t="n">
        <v>3.23</v>
      </c>
      <c r="R852" s="0" t="n">
        <v>5229</v>
      </c>
      <c r="S852" s="0" t="n">
        <v>10703</v>
      </c>
      <c r="T852" s="0" t="n">
        <v>56.2</v>
      </c>
      <c r="U852" s="0" t="n">
        <v>1205</v>
      </c>
      <c r="V852" s="0" t="n">
        <v>2</v>
      </c>
      <c r="W852" s="27" t="n">
        <f aca="false">MATCH(A852,DATAS,0)</f>
        <v>1</v>
      </c>
      <c r="X852" s="27" t="n">
        <f aca="false">IF(AND(E852&gt;0,OR(AND(B852&gt;=1,B852&lt;=6),B852=10)),1,0)</f>
        <v>1</v>
      </c>
      <c r="Y852" s="27" t="n">
        <f aca="false">IF(AND(E852&gt;0,B852=10),1,0)</f>
        <v>1</v>
      </c>
      <c r="Z852" s="0" t="str">
        <f aca="false">IF(AND(C851=C852,W851=W852-1),X851,"")</f>
        <v/>
      </c>
      <c r="AA852" s="0" t="str">
        <f aca="false">IF(AND(C851=C852,W851=W852-1),Y851,"")</f>
        <v/>
      </c>
      <c r="AB852" s="0" t="str">
        <f aca="false">IF(W852=1,"",IF(AND(X852=1,Z852&lt;&gt;1),1,0))</f>
        <v/>
      </c>
      <c r="AC852" s="0" t="str">
        <f aca="false">IF(W852=1,"",IF(AND(Y852=1,AA852&lt;&gt;1),1,0))</f>
        <v/>
      </c>
      <c r="AD852" s="33" t="str">
        <f aca="false">IF(AND(E852&gt;0,W852&lt;1,NOT(AND(C853=C852,W853=W852+1))),INDEX(DATAS,W852+1),"")</f>
        <v/>
      </c>
      <c r="AE852" s="33" t="str">
        <f aca="false">IF(AND(Y852=1,W852&lt;1),IF(AND(C853=C852,W853=W852+1),IF(Y853=1,"",INDEX(DATAS,W852+1)),INDEX(DATAS,W852+1)),"")</f>
        <v/>
      </c>
    </row>
    <row r="853" customFormat="false" ht="15" hidden="false" customHeight="false" outlineLevel="0" collapsed="false">
      <c r="A853" s="33" t="n">
        <v>46309</v>
      </c>
      <c r="B853" s="0" t="n">
        <v>5</v>
      </c>
      <c r="C853" s="0" t="n">
        <v>4808</v>
      </c>
      <c r="D853" s="0" t="n">
        <v>163</v>
      </c>
      <c r="E853" s="0" t="n">
        <v>2</v>
      </c>
      <c r="F853" s="27" t="s">
        <v>680</v>
      </c>
      <c r="G853" s="0" t="n">
        <v>50.6</v>
      </c>
      <c r="H853" s="0" t="n">
        <v>49</v>
      </c>
      <c r="I853" s="27" t="s">
        <v>176</v>
      </c>
      <c r="J853" s="0" t="n">
        <v>163</v>
      </c>
      <c r="K853" s="0" t="n">
        <v>65</v>
      </c>
      <c r="M853" s="0" t="n">
        <v>1408.57</v>
      </c>
      <c r="N853" s="0" t="n">
        <v>69.27</v>
      </c>
      <c r="O853" s="0" t="n">
        <v>55.25</v>
      </c>
      <c r="P853" s="0" t="n">
        <v>2.9</v>
      </c>
      <c r="Q853" s="0" t="n">
        <v>3.56</v>
      </c>
      <c r="R853" s="0" t="n">
        <v>6012</v>
      </c>
      <c r="S853" s="0" t="n">
        <v>11654</v>
      </c>
      <c r="T853" s="0" t="n">
        <v>71.1</v>
      </c>
      <c r="U853" s="0" t="n">
        <v>1204</v>
      </c>
      <c r="V853" s="0" t="n">
        <v>2</v>
      </c>
      <c r="W853" s="27" t="n">
        <f aca="false">MATCH(A853,DATAS,0)</f>
        <v>1</v>
      </c>
      <c r="X853" s="27" t="n">
        <f aca="false">IF(AND(E853&gt;0,OR(AND(B853&gt;=1,B853&lt;=6),B853=10)),1,0)</f>
        <v>1</v>
      </c>
      <c r="Y853" s="27" t="n">
        <f aca="false">IF(AND(E853&gt;0,B853=10),1,0)</f>
        <v>0</v>
      </c>
      <c r="Z853" s="0" t="str">
        <f aca="false">IF(AND(C852=C853,W852=W853-1),X852,"")</f>
        <v/>
      </c>
      <c r="AA853" s="0" t="str">
        <f aca="false">IF(AND(C852=C853,W852=W853-1),Y852,"")</f>
        <v/>
      </c>
      <c r="AB853" s="0" t="str">
        <f aca="false">IF(W853=1,"",IF(AND(X853=1,Z853&lt;&gt;1),1,0))</f>
        <v/>
      </c>
      <c r="AC853" s="0" t="str">
        <f aca="false">IF(W853=1,"",IF(AND(Y853=1,AA853&lt;&gt;1),1,0))</f>
        <v/>
      </c>
      <c r="AD853" s="33" t="str">
        <f aca="false">IF(AND(E853&gt;0,W853&lt;1,NOT(AND(C854=C853,W854=W853+1))),INDEX(DATAS,W853+1),"")</f>
        <v/>
      </c>
      <c r="AE853" s="33" t="str">
        <f aca="false">IF(AND(Y853=1,W853&lt;1),IF(AND(C854=C853,W854=W853+1),IF(Y854=1,"",INDEX(DATAS,W853+1)),INDEX(DATAS,W853+1)),"")</f>
        <v/>
      </c>
    </row>
    <row r="854" customFormat="false" ht="15" hidden="false" customHeight="false" outlineLevel="0" collapsed="false">
      <c r="A854" s="33" t="n">
        <v>46309</v>
      </c>
      <c r="B854" s="0" t="n">
        <v>5</v>
      </c>
      <c r="C854" s="0" t="n">
        <v>4809</v>
      </c>
      <c r="D854" s="0" t="n">
        <v>129</v>
      </c>
      <c r="E854" s="0" t="n">
        <v>2</v>
      </c>
      <c r="F854" s="27" t="s">
        <v>680</v>
      </c>
      <c r="G854" s="0" t="n">
        <v>37.6</v>
      </c>
      <c r="H854" s="0" t="n">
        <v>35</v>
      </c>
      <c r="I854" s="27" t="s">
        <v>138</v>
      </c>
      <c r="J854" s="0" t="n">
        <v>91</v>
      </c>
      <c r="K854" s="0" t="n">
        <v>66</v>
      </c>
      <c r="L854" s="0" t="n">
        <v>38</v>
      </c>
      <c r="M854" s="0" t="n">
        <v>265.23</v>
      </c>
      <c r="N854" s="0" t="n">
        <v>40.77</v>
      </c>
      <c r="O854" s="0" t="n">
        <v>32.65</v>
      </c>
      <c r="P854" s="0" t="n">
        <v>3.67</v>
      </c>
      <c r="Q854" s="0" t="n">
        <v>3.72</v>
      </c>
      <c r="R854" s="0" t="n">
        <v>4225</v>
      </c>
      <c r="S854" s="0" t="n">
        <v>8303</v>
      </c>
      <c r="T854" s="0" t="n">
        <v>48.5</v>
      </c>
      <c r="U854" s="0" t="n">
        <v>1204</v>
      </c>
      <c r="V854" s="0" t="n">
        <v>2</v>
      </c>
      <c r="W854" s="27" t="n">
        <f aca="false">MATCH(A854,DATAS,0)</f>
        <v>1</v>
      </c>
      <c r="X854" s="27" t="n">
        <f aca="false">IF(AND(E854&gt;0,OR(AND(B854&gt;=1,B854&lt;=6),B854=10)),1,0)</f>
        <v>1</v>
      </c>
      <c r="Y854" s="27" t="n">
        <f aca="false">IF(AND(E854&gt;0,B854=10),1,0)</f>
        <v>0</v>
      </c>
      <c r="Z854" s="0" t="str">
        <f aca="false">IF(AND(C853=C854,W853=W854-1),X853,"")</f>
        <v/>
      </c>
      <c r="AA854" s="0" t="str">
        <f aca="false">IF(AND(C853=C854,W853=W854-1),Y853,"")</f>
        <v/>
      </c>
      <c r="AB854" s="0" t="str">
        <f aca="false">IF(W854=1,"",IF(AND(X854=1,Z854&lt;&gt;1),1,0))</f>
        <v/>
      </c>
      <c r="AC854" s="0" t="str">
        <f aca="false">IF(W854=1,"",IF(AND(Y854=1,AA854&lt;&gt;1),1,0))</f>
        <v/>
      </c>
      <c r="AD854" s="33" t="str">
        <f aca="false">IF(AND(E854&gt;0,W854&lt;1,NOT(AND(C855=C854,W855=W854+1))),INDEX(DATAS,W854+1),"")</f>
        <v/>
      </c>
      <c r="AE854" s="33" t="str">
        <f aca="false">IF(AND(Y854=1,W854&lt;1),IF(AND(C855=C854,W855=W854+1),IF(Y855=1,"",INDEX(DATAS,W854+1)),INDEX(DATAS,W854+1)),"")</f>
        <v/>
      </c>
    </row>
    <row r="855" customFormat="false" ht="15" hidden="false" customHeight="false" outlineLevel="0" collapsed="false">
      <c r="A855" s="33" t="n">
        <v>46309</v>
      </c>
      <c r="B855" s="0" t="n">
        <v>10</v>
      </c>
      <c r="C855" s="0" t="n">
        <v>4811</v>
      </c>
      <c r="D855" s="0" t="n">
        <v>185</v>
      </c>
      <c r="E855" s="0" t="n">
        <v>2</v>
      </c>
      <c r="F855" s="27" t="s">
        <v>681</v>
      </c>
      <c r="H855" s="0" t="n">
        <v>18</v>
      </c>
      <c r="I855" s="27" t="s">
        <v>138</v>
      </c>
      <c r="J855" s="0" t="n">
        <v>122</v>
      </c>
      <c r="K855" s="0" t="n">
        <v>66</v>
      </c>
      <c r="L855" s="0" t="n">
        <v>63</v>
      </c>
      <c r="M855" s="0" t="n">
        <v>1082.86</v>
      </c>
      <c r="N855" s="0" t="n">
        <v>31.27</v>
      </c>
      <c r="O855" s="0" t="n">
        <v>42.38</v>
      </c>
      <c r="P855" s="0" t="n">
        <v>4.17</v>
      </c>
      <c r="Q855" s="0" t="n">
        <v>3.71</v>
      </c>
      <c r="R855" s="0" t="n">
        <v>4240</v>
      </c>
      <c r="S855" s="0" t="n">
        <v>7659</v>
      </c>
      <c r="T855" s="0" t="n">
        <v>47.45</v>
      </c>
      <c r="U855" s="0" t="n">
        <v>1202</v>
      </c>
      <c r="V855" s="0" t="n">
        <v>2</v>
      </c>
      <c r="W855" s="27" t="n">
        <f aca="false">MATCH(A855,DATAS,0)</f>
        <v>1</v>
      </c>
      <c r="X855" s="27" t="n">
        <f aca="false">IF(AND(E855&gt;0,OR(AND(B855&gt;=1,B855&lt;=6),B855=10)),1,0)</f>
        <v>1</v>
      </c>
      <c r="Y855" s="27" t="n">
        <f aca="false">IF(AND(E855&gt;0,B855=10),1,0)</f>
        <v>1</v>
      </c>
      <c r="Z855" s="0" t="str">
        <f aca="false">IF(AND(C854=C855,W854=W855-1),X854,"")</f>
        <v/>
      </c>
      <c r="AA855" s="0" t="str">
        <f aca="false">IF(AND(C854=C855,W854=W855-1),Y854,"")</f>
        <v/>
      </c>
      <c r="AB855" s="0" t="str">
        <f aca="false">IF(W855=1,"",IF(AND(X855=1,Z855&lt;&gt;1),1,0))</f>
        <v/>
      </c>
      <c r="AC855" s="0" t="str">
        <f aca="false">IF(W855=1,"",IF(AND(Y855=1,AA855&lt;&gt;1),1,0))</f>
        <v/>
      </c>
      <c r="AD855" s="33" t="str">
        <f aca="false">IF(AND(E855&gt;0,W855&lt;1,NOT(AND(C856=C855,W856=W855+1))),INDEX(DATAS,W855+1),"")</f>
        <v/>
      </c>
      <c r="AE855" s="33" t="str">
        <f aca="false">IF(AND(Y855=1,W855&lt;1),IF(AND(C856=C855,W856=W855+1),IF(Y856=1,"",INDEX(DATAS,W855+1)),INDEX(DATAS,W855+1)),"")</f>
        <v/>
      </c>
    </row>
    <row r="856" customFormat="false" ht="15" hidden="false" customHeight="false" outlineLevel="0" collapsed="false">
      <c r="A856" s="33" t="n">
        <v>46309</v>
      </c>
      <c r="B856" s="0" t="n">
        <v>3</v>
      </c>
      <c r="C856" s="0" t="n">
        <v>4812</v>
      </c>
      <c r="D856" s="0" t="n">
        <v>62</v>
      </c>
      <c r="E856" s="0" t="n">
        <v>2</v>
      </c>
      <c r="F856" s="27" t="s">
        <v>681</v>
      </c>
      <c r="G856" s="0" t="n">
        <v>44.9</v>
      </c>
      <c r="H856" s="0" t="n">
        <v>45</v>
      </c>
      <c r="I856" s="27" t="s">
        <v>147</v>
      </c>
      <c r="J856" s="0" t="n">
        <v>62</v>
      </c>
      <c r="M856" s="0" t="n">
        <v>1088.05</v>
      </c>
      <c r="N856" s="0" t="n">
        <v>68.32</v>
      </c>
      <c r="O856" s="0" t="n">
        <v>37.3</v>
      </c>
      <c r="P856" s="0" t="n">
        <v>4.43</v>
      </c>
      <c r="Q856" s="0" t="n">
        <v>3.31</v>
      </c>
      <c r="R856" s="0" t="n">
        <v>3978</v>
      </c>
      <c r="S856" s="0" t="n">
        <v>7996</v>
      </c>
      <c r="U856" s="0" t="n">
        <v>1202</v>
      </c>
      <c r="V856" s="0" t="n">
        <v>0</v>
      </c>
      <c r="W856" s="27" t="n">
        <f aca="false">MATCH(A856,DATAS,0)</f>
        <v>1</v>
      </c>
      <c r="X856" s="27" t="n">
        <f aca="false">IF(AND(E856&gt;0,OR(AND(B856&gt;=1,B856&lt;=6),B856=10)),1,0)</f>
        <v>1</v>
      </c>
      <c r="Y856" s="27" t="n">
        <f aca="false">IF(AND(E856&gt;0,B856=10),1,0)</f>
        <v>0</v>
      </c>
      <c r="Z856" s="0" t="str">
        <f aca="false">IF(AND(C855=C856,W855=W856-1),X855,"")</f>
        <v/>
      </c>
      <c r="AA856" s="0" t="str">
        <f aca="false">IF(AND(C855=C856,W855=W856-1),Y855,"")</f>
        <v/>
      </c>
      <c r="AB856" s="0" t="str">
        <f aca="false">IF(W856=1,"",IF(AND(X856=1,Z856&lt;&gt;1),1,0))</f>
        <v/>
      </c>
      <c r="AC856" s="0" t="str">
        <f aca="false">IF(W856=1,"",IF(AND(Y856=1,AA856&lt;&gt;1),1,0))</f>
        <v/>
      </c>
      <c r="AD856" s="33" t="str">
        <f aca="false">IF(AND(E856&gt;0,W856&lt;1,NOT(AND(C857=C856,W857=W856+1))),INDEX(DATAS,W856+1),"")</f>
        <v/>
      </c>
      <c r="AE856" s="33" t="str">
        <f aca="false">IF(AND(Y856=1,W856&lt;1),IF(AND(C857=C856,W857=W856+1),IF(Y857=1,"",INDEX(DATAS,W856+1)),INDEX(DATAS,W856+1)),"")</f>
        <v/>
      </c>
    </row>
    <row r="857" customFormat="false" ht="15" hidden="false" customHeight="false" outlineLevel="0" collapsed="false">
      <c r="A857" s="33" t="n">
        <v>46309</v>
      </c>
      <c r="B857" s="0" t="n">
        <v>7</v>
      </c>
      <c r="C857" s="0" t="n">
        <v>4813</v>
      </c>
      <c r="D857" s="0" t="n">
        <v>540</v>
      </c>
      <c r="E857" s="0" t="n">
        <v>1</v>
      </c>
      <c r="F857" s="27" t="s">
        <v>682</v>
      </c>
      <c r="I857" s="27" t="s">
        <v>138</v>
      </c>
      <c r="J857" s="0" t="n">
        <v>391</v>
      </c>
      <c r="K857" s="0" t="n">
        <v>64</v>
      </c>
      <c r="L857" s="0" t="n">
        <v>149</v>
      </c>
      <c r="M857" s="0" t="n">
        <v>-158.36</v>
      </c>
      <c r="N857" s="0" t="n">
        <v>61.46</v>
      </c>
      <c r="O857" s="0" t="n">
        <v>32.02</v>
      </c>
      <c r="P857" s="0" t="n">
        <v>6.49</v>
      </c>
      <c r="Q857" s="0" t="n">
        <v>5.63</v>
      </c>
      <c r="R857" s="0" t="n">
        <v>3434</v>
      </c>
      <c r="S857" s="0" t="n">
        <v>7479</v>
      </c>
      <c r="T857" s="0" t="n">
        <v>37.25</v>
      </c>
      <c r="U857" s="0" t="n">
        <v>1199</v>
      </c>
      <c r="V857" s="0" t="n">
        <v>11</v>
      </c>
      <c r="W857" s="27" t="n">
        <f aca="false">MATCH(A857,DATAS,0)</f>
        <v>1</v>
      </c>
      <c r="X857" s="27" t="n">
        <f aca="false">IF(AND(E857&gt;0,OR(AND(B857&gt;=1,B857&lt;=6),B857=10)),1,0)</f>
        <v>0</v>
      </c>
      <c r="Y857" s="27" t="n">
        <f aca="false">IF(AND(E857&gt;0,B857=10),1,0)</f>
        <v>0</v>
      </c>
      <c r="Z857" s="0" t="str">
        <f aca="false">IF(AND(C856=C857,W856=W857-1),X856,"")</f>
        <v/>
      </c>
      <c r="AA857" s="0" t="str">
        <f aca="false">IF(AND(C856=C857,W856=W857-1),Y856,"")</f>
        <v/>
      </c>
      <c r="AB857" s="0" t="str">
        <f aca="false">IF(W857=1,"",IF(AND(X857=1,Z857&lt;&gt;1),1,0))</f>
        <v/>
      </c>
      <c r="AC857" s="0" t="str">
        <f aca="false">IF(W857=1,"",IF(AND(Y857=1,AA857&lt;&gt;1),1,0))</f>
        <v/>
      </c>
      <c r="AD857" s="33" t="str">
        <f aca="false">IF(AND(E857&gt;0,W857&lt;1,NOT(AND(C858=C857,W858=W857+1))),INDEX(DATAS,W857+1),"")</f>
        <v/>
      </c>
      <c r="AE857" s="33" t="str">
        <f aca="false">IF(AND(Y857=1,W857&lt;1),IF(AND(C858=C857,W858=W857+1),IF(Y858=1,"",INDEX(DATAS,W857+1)),INDEX(DATAS,W857+1)),"")</f>
        <v/>
      </c>
    </row>
    <row r="858" customFormat="false" ht="15" hidden="false" customHeight="false" outlineLevel="0" collapsed="false">
      <c r="A858" s="33" t="n">
        <v>46309</v>
      </c>
      <c r="B858" s="0" t="n">
        <v>3</v>
      </c>
      <c r="C858" s="0" t="n">
        <v>4815</v>
      </c>
      <c r="D858" s="0" t="n">
        <v>48</v>
      </c>
      <c r="E858" s="0" t="n">
        <v>2</v>
      </c>
      <c r="F858" s="27" t="s">
        <v>683</v>
      </c>
      <c r="G858" s="0" t="n">
        <v>63.5</v>
      </c>
      <c r="H858" s="0" t="n">
        <v>64</v>
      </c>
      <c r="I858" s="27" t="s">
        <v>147</v>
      </c>
      <c r="J858" s="0" t="n">
        <v>48</v>
      </c>
      <c r="M858" s="0" t="n">
        <v>-53.66</v>
      </c>
      <c r="N858" s="0" t="n">
        <v>71.5</v>
      </c>
      <c r="O858" s="0" t="n">
        <v>17.44</v>
      </c>
      <c r="P858" s="0" t="n">
        <v>5.18</v>
      </c>
      <c r="Q858" s="0" t="n">
        <v>2.89</v>
      </c>
      <c r="R858" s="0" t="n">
        <v>5309</v>
      </c>
      <c r="S858" s="0" t="n">
        <v>10671</v>
      </c>
      <c r="U858" s="0" t="n">
        <v>1201</v>
      </c>
      <c r="V858" s="0" t="n">
        <v>0</v>
      </c>
      <c r="W858" s="27" t="n">
        <f aca="false">MATCH(A858,DATAS,0)</f>
        <v>1</v>
      </c>
      <c r="X858" s="27" t="n">
        <f aca="false">IF(AND(E858&gt;0,OR(AND(B858&gt;=1,B858&lt;=6),B858=10)),1,0)</f>
        <v>1</v>
      </c>
      <c r="Y858" s="27" t="n">
        <f aca="false">IF(AND(E858&gt;0,B858=10),1,0)</f>
        <v>0</v>
      </c>
      <c r="Z858" s="0" t="str">
        <f aca="false">IF(AND(C857=C858,W857=W858-1),X857,"")</f>
        <v/>
      </c>
      <c r="AA858" s="0" t="str">
        <f aca="false">IF(AND(C857=C858,W857=W858-1),Y857,"")</f>
        <v/>
      </c>
      <c r="AB858" s="0" t="str">
        <f aca="false">IF(W858=1,"",IF(AND(X858=1,Z858&lt;&gt;1),1,0))</f>
        <v/>
      </c>
      <c r="AC858" s="0" t="str">
        <f aca="false">IF(W858=1,"",IF(AND(Y858=1,AA858&lt;&gt;1),1,0))</f>
        <v/>
      </c>
      <c r="AD858" s="33" t="str">
        <f aca="false">IF(AND(E858&gt;0,W858&lt;1,NOT(AND(C859=C858,W859=W858+1))),INDEX(DATAS,W858+1),"")</f>
        <v/>
      </c>
      <c r="AE858" s="33" t="str">
        <f aca="false">IF(AND(Y858=1,W858&lt;1),IF(AND(C859=C858,W859=W858+1),IF(Y859=1,"",INDEX(DATAS,W858+1)),INDEX(DATAS,W858+1)),"")</f>
        <v/>
      </c>
    </row>
    <row r="859" customFormat="false" ht="15" hidden="false" customHeight="false" outlineLevel="0" collapsed="false">
      <c r="A859" s="33" t="n">
        <v>46309</v>
      </c>
      <c r="B859" s="0" t="n">
        <v>7</v>
      </c>
      <c r="C859" s="0" t="n">
        <v>4817</v>
      </c>
      <c r="D859" s="0" t="n">
        <v>480</v>
      </c>
      <c r="E859" s="0" t="n">
        <v>1</v>
      </c>
      <c r="F859" s="27" t="s">
        <v>682</v>
      </c>
      <c r="I859" s="27" t="s">
        <v>143</v>
      </c>
      <c r="J859" s="0" t="n">
        <v>250</v>
      </c>
      <c r="K859" s="0" t="n">
        <v>61</v>
      </c>
      <c r="L859" s="0" t="n">
        <v>252</v>
      </c>
      <c r="M859" s="0" t="n">
        <v>1392.16</v>
      </c>
      <c r="N859" s="0" t="n">
        <v>51.29</v>
      </c>
      <c r="O859" s="0" t="n">
        <v>49.91</v>
      </c>
      <c r="P859" s="0" t="n">
        <v>4.47</v>
      </c>
      <c r="Q859" s="0" t="n">
        <v>3.8</v>
      </c>
      <c r="R859" s="0" t="n">
        <v>4609</v>
      </c>
      <c r="S859" s="0" t="n">
        <v>9699</v>
      </c>
      <c r="T859" s="0" t="n">
        <v>55.5</v>
      </c>
      <c r="U859" s="0" t="n">
        <v>1199</v>
      </c>
      <c r="V859" s="0" t="n">
        <v>3</v>
      </c>
      <c r="W859" s="27" t="n">
        <f aca="false">MATCH(A859,DATAS,0)</f>
        <v>1</v>
      </c>
      <c r="X859" s="27" t="n">
        <f aca="false">IF(AND(E859&gt;0,OR(AND(B859&gt;=1,B859&lt;=6),B859=10)),1,0)</f>
        <v>0</v>
      </c>
      <c r="Y859" s="27" t="n">
        <f aca="false">IF(AND(E859&gt;0,B859=10),1,0)</f>
        <v>0</v>
      </c>
      <c r="Z859" s="0" t="str">
        <f aca="false">IF(AND(C858=C859,W858=W859-1),X858,"")</f>
        <v/>
      </c>
      <c r="AA859" s="0" t="str">
        <f aca="false">IF(AND(C858=C859,W858=W859-1),Y858,"")</f>
        <v/>
      </c>
      <c r="AB859" s="0" t="str">
        <f aca="false">IF(W859=1,"",IF(AND(X859=1,Z859&lt;&gt;1),1,0))</f>
        <v/>
      </c>
      <c r="AC859" s="0" t="str">
        <f aca="false">IF(W859=1,"",IF(AND(Y859=1,AA859&lt;&gt;1),1,0))</f>
        <v/>
      </c>
      <c r="AD859" s="33" t="str">
        <f aca="false">IF(AND(E859&gt;0,W859&lt;1,NOT(AND(C860=C859,W860=W859+1))),INDEX(DATAS,W859+1),"")</f>
        <v/>
      </c>
      <c r="AE859" s="33" t="str">
        <f aca="false">IF(AND(Y859=1,W859&lt;1),IF(AND(C860=C859,W860=W859+1),IF(Y860=1,"",INDEX(DATAS,W859+1)),INDEX(DATAS,W859+1)),"")</f>
        <v/>
      </c>
    </row>
    <row r="860" customFormat="false" ht="15" hidden="false" customHeight="false" outlineLevel="0" collapsed="false">
      <c r="A860" s="33" t="n">
        <v>46309</v>
      </c>
      <c r="B860" s="0" t="n">
        <v>5</v>
      </c>
      <c r="C860" s="0" t="n">
        <v>4819</v>
      </c>
      <c r="D860" s="0" t="n">
        <v>539</v>
      </c>
      <c r="E860" s="0" t="n">
        <v>1</v>
      </c>
      <c r="F860" s="27" t="s">
        <v>682</v>
      </c>
      <c r="G860" s="0" t="n">
        <v>30.2</v>
      </c>
      <c r="H860" s="0" t="n">
        <v>27</v>
      </c>
      <c r="I860" s="27" t="s">
        <v>138</v>
      </c>
      <c r="J860" s="0" t="n">
        <v>441</v>
      </c>
      <c r="K860" s="0" t="n">
        <v>63</v>
      </c>
      <c r="L860" s="0" t="n">
        <v>98</v>
      </c>
      <c r="M860" s="0" t="n">
        <v>957.28</v>
      </c>
      <c r="N860" s="0" t="n">
        <v>54.45</v>
      </c>
      <c r="O860" s="0" t="n">
        <v>35.18</v>
      </c>
      <c r="P860" s="0" t="n">
        <v>4.79</v>
      </c>
      <c r="Q860" s="0" t="n">
        <v>3.79</v>
      </c>
      <c r="R860" s="0" t="n">
        <v>4387</v>
      </c>
      <c r="S860" s="0" t="n">
        <v>9955</v>
      </c>
      <c r="T860" s="0" t="n">
        <v>50.65</v>
      </c>
      <c r="U860" s="0" t="n">
        <v>1199</v>
      </c>
      <c r="V860" s="0" t="n">
        <v>8</v>
      </c>
      <c r="W860" s="27" t="n">
        <f aca="false">MATCH(A860,DATAS,0)</f>
        <v>1</v>
      </c>
      <c r="X860" s="27" t="n">
        <f aca="false">IF(AND(E860&gt;0,OR(AND(B860&gt;=1,B860&lt;=6),B860=10)),1,0)</f>
        <v>1</v>
      </c>
      <c r="Y860" s="27" t="n">
        <f aca="false">IF(AND(E860&gt;0,B860=10),1,0)</f>
        <v>0</v>
      </c>
      <c r="Z860" s="0" t="str">
        <f aca="false">IF(AND(C859=C860,W859=W860-1),X859,"")</f>
        <v/>
      </c>
      <c r="AA860" s="0" t="str">
        <f aca="false">IF(AND(C859=C860,W859=W860-1),Y859,"")</f>
        <v/>
      </c>
      <c r="AB860" s="0" t="str">
        <f aca="false">IF(W860=1,"",IF(AND(X860=1,Z860&lt;&gt;1),1,0))</f>
        <v/>
      </c>
      <c r="AC860" s="0" t="str">
        <f aca="false">IF(W860=1,"",IF(AND(Y860=1,AA860&lt;&gt;1),1,0))</f>
        <v/>
      </c>
      <c r="AD860" s="33" t="str">
        <f aca="false">IF(AND(E860&gt;0,W860&lt;1,NOT(AND(C861=C860,W861=W860+1))),INDEX(DATAS,W860+1),"")</f>
        <v/>
      </c>
      <c r="AE860" s="33" t="str">
        <f aca="false">IF(AND(Y860=1,W860&lt;1),IF(AND(C861=C860,W861=W860+1),IF(Y861=1,"",INDEX(DATAS,W860+1)),INDEX(DATAS,W860+1)),"")</f>
        <v/>
      </c>
    </row>
    <row r="861" customFormat="false" ht="15" hidden="false" customHeight="false" outlineLevel="0" collapsed="false">
      <c r="A861" s="33" t="n">
        <v>46309</v>
      </c>
      <c r="B861" s="0" t="n">
        <v>2</v>
      </c>
      <c r="C861" s="0" t="n">
        <v>4822</v>
      </c>
      <c r="D861" s="0" t="n">
        <v>60</v>
      </c>
      <c r="E861" s="0" t="n">
        <v>2</v>
      </c>
      <c r="F861" s="27" t="s">
        <v>682</v>
      </c>
      <c r="G861" s="0" t="n">
        <v>59.9</v>
      </c>
      <c r="H861" s="0" t="n">
        <v>57</v>
      </c>
      <c r="I861" s="27" t="s">
        <v>147</v>
      </c>
      <c r="J861" s="0" t="n">
        <v>60</v>
      </c>
      <c r="M861" s="0" t="n">
        <v>719.38</v>
      </c>
      <c r="N861" s="0" t="n">
        <v>17.72</v>
      </c>
      <c r="O861" s="0" t="n">
        <v>11.48</v>
      </c>
      <c r="P861" s="0" t="n">
        <v>3.22</v>
      </c>
      <c r="Q861" s="0" t="n">
        <v>2.96</v>
      </c>
      <c r="R861" s="0" t="n">
        <v>5357</v>
      </c>
      <c r="S861" s="0" t="n">
        <v>10769</v>
      </c>
      <c r="U861" s="0" t="n">
        <v>1199</v>
      </c>
      <c r="V861" s="0" t="n">
        <v>0</v>
      </c>
      <c r="W861" s="27" t="n">
        <f aca="false">MATCH(A861,DATAS,0)</f>
        <v>1</v>
      </c>
      <c r="X861" s="27" t="n">
        <f aca="false">IF(AND(E861&gt;0,OR(AND(B861&gt;=1,B861&lt;=6),B861=10)),1,0)</f>
        <v>1</v>
      </c>
      <c r="Y861" s="27" t="n">
        <f aca="false">IF(AND(E861&gt;0,B861=10),1,0)</f>
        <v>0</v>
      </c>
      <c r="Z861" s="0" t="str">
        <f aca="false">IF(AND(C860=C861,W860=W861-1),X860,"")</f>
        <v/>
      </c>
      <c r="AA861" s="0" t="str">
        <f aca="false">IF(AND(C860=C861,W860=W861-1),Y860,"")</f>
        <v/>
      </c>
      <c r="AB861" s="0" t="str">
        <f aca="false">IF(W861=1,"",IF(AND(X861=1,Z861&lt;&gt;1),1,0))</f>
        <v/>
      </c>
      <c r="AC861" s="0" t="str">
        <f aca="false">IF(W861=1,"",IF(AND(Y861=1,AA861&lt;&gt;1),1,0))</f>
        <v/>
      </c>
      <c r="AD861" s="33" t="str">
        <f aca="false">IF(AND(E861&gt;0,W861&lt;1,NOT(AND(C862=C861,W862=W861+1))),INDEX(DATAS,W861+1),"")</f>
        <v/>
      </c>
      <c r="AE861" s="33" t="str">
        <f aca="false">IF(AND(Y861=1,W861&lt;1),IF(AND(C862=C861,W862=W861+1),IF(Y862=1,"",INDEX(DATAS,W861+1)),INDEX(DATAS,W861+1)),"")</f>
        <v/>
      </c>
    </row>
    <row r="862" customFormat="false" ht="15" hidden="false" customHeight="false" outlineLevel="0" collapsed="false">
      <c r="A862" s="33" t="n">
        <v>46309</v>
      </c>
      <c r="B862" s="0" t="n">
        <v>5</v>
      </c>
      <c r="C862" s="0" t="n">
        <v>4823</v>
      </c>
      <c r="D862" s="0" t="n">
        <v>577</v>
      </c>
      <c r="E862" s="0" t="n">
        <v>1</v>
      </c>
      <c r="F862" s="27" t="s">
        <v>682</v>
      </c>
      <c r="G862" s="0" t="n">
        <v>20.9</v>
      </c>
      <c r="H862" s="0" t="n">
        <v>20</v>
      </c>
      <c r="I862" s="27" t="s">
        <v>138</v>
      </c>
      <c r="J862" s="0" t="n">
        <v>472</v>
      </c>
      <c r="K862" s="0" t="n">
        <v>60</v>
      </c>
      <c r="L862" s="0" t="n">
        <v>105</v>
      </c>
      <c r="M862" s="0" t="n">
        <v>769.93</v>
      </c>
      <c r="N862" s="0" t="n">
        <v>74.63</v>
      </c>
      <c r="O862" s="0" t="n">
        <v>43.94</v>
      </c>
      <c r="P862" s="0" t="n">
        <v>5.69</v>
      </c>
      <c r="Q862" s="0" t="n">
        <v>4.31</v>
      </c>
      <c r="R862" s="0" t="n">
        <v>4656</v>
      </c>
      <c r="S862" s="0" t="n">
        <v>9105</v>
      </c>
      <c r="T862" s="0" t="n">
        <v>52.6</v>
      </c>
      <c r="U862" s="0" t="n">
        <v>1199</v>
      </c>
      <c r="V862" s="0" t="n">
        <v>11</v>
      </c>
      <c r="W862" s="27" t="n">
        <f aca="false">MATCH(A862,DATAS,0)</f>
        <v>1</v>
      </c>
      <c r="X862" s="27" t="n">
        <f aca="false">IF(AND(E862&gt;0,OR(AND(B862&gt;=1,B862&lt;=6),B862=10)),1,0)</f>
        <v>1</v>
      </c>
      <c r="Y862" s="27" t="n">
        <f aca="false">IF(AND(E862&gt;0,B862=10),1,0)</f>
        <v>0</v>
      </c>
      <c r="Z862" s="0" t="str">
        <f aca="false">IF(AND(C861=C862,W861=W862-1),X861,"")</f>
        <v/>
      </c>
      <c r="AA862" s="0" t="str">
        <f aca="false">IF(AND(C861=C862,W861=W862-1),Y861,"")</f>
        <v/>
      </c>
      <c r="AB862" s="0" t="str">
        <f aca="false">IF(W862=1,"",IF(AND(X862=1,Z862&lt;&gt;1),1,0))</f>
        <v/>
      </c>
      <c r="AC862" s="0" t="str">
        <f aca="false">IF(W862=1,"",IF(AND(Y862=1,AA862&lt;&gt;1),1,0))</f>
        <v/>
      </c>
      <c r="AD862" s="33" t="str">
        <f aca="false">IF(AND(E862&gt;0,W862&lt;1,NOT(AND(C863=C862,W863=W862+1))),INDEX(DATAS,W862+1),"")</f>
        <v/>
      </c>
      <c r="AE862" s="33" t="str">
        <f aca="false">IF(AND(Y862=1,W862&lt;1),IF(AND(C863=C862,W863=W862+1),IF(Y863=1,"",INDEX(DATAS,W862+1)),INDEX(DATAS,W862+1)),"")</f>
        <v/>
      </c>
    </row>
    <row r="863" customFormat="false" ht="15" hidden="false" customHeight="false" outlineLevel="0" collapsed="false">
      <c r="A863" s="33" t="n">
        <v>46309</v>
      </c>
      <c r="B863" s="0" t="n">
        <v>3</v>
      </c>
      <c r="C863" s="0" t="n">
        <v>4824</v>
      </c>
      <c r="D863" s="0" t="n">
        <v>156</v>
      </c>
      <c r="E863" s="0" t="n">
        <v>2</v>
      </c>
      <c r="F863" s="27" t="s">
        <v>684</v>
      </c>
      <c r="G863" s="0" t="n">
        <v>54.2</v>
      </c>
      <c r="H863" s="0" t="n">
        <v>50</v>
      </c>
      <c r="I863" s="27" t="s">
        <v>176</v>
      </c>
      <c r="J863" s="0" t="n">
        <v>156</v>
      </c>
      <c r="K863" s="0" t="n">
        <v>65</v>
      </c>
      <c r="M863" s="0" t="n">
        <v>1021.03</v>
      </c>
      <c r="N863" s="0" t="n">
        <v>30.99</v>
      </c>
      <c r="O863" s="0" t="n">
        <v>25.64</v>
      </c>
      <c r="P863" s="0" t="n">
        <v>3.9</v>
      </c>
      <c r="Q863" s="0" t="n">
        <v>3.34</v>
      </c>
      <c r="R863" s="0" t="n">
        <v>5435</v>
      </c>
      <c r="S863" s="0" t="n">
        <v>10417</v>
      </c>
      <c r="T863" s="0" t="n">
        <v>57.85</v>
      </c>
      <c r="U863" s="0" t="n">
        <v>1198</v>
      </c>
      <c r="V863" s="0" t="n">
        <v>2</v>
      </c>
      <c r="W863" s="27" t="n">
        <f aca="false">MATCH(A863,DATAS,0)</f>
        <v>1</v>
      </c>
      <c r="X863" s="27" t="n">
        <f aca="false">IF(AND(E863&gt;0,OR(AND(B863&gt;=1,B863&lt;=6),B863=10)),1,0)</f>
        <v>1</v>
      </c>
      <c r="Y863" s="27" t="n">
        <f aca="false">IF(AND(E863&gt;0,B863=10),1,0)</f>
        <v>0</v>
      </c>
      <c r="Z863" s="0" t="str">
        <f aca="false">IF(AND(C862=C863,W862=W863-1),X862,"")</f>
        <v/>
      </c>
      <c r="AA863" s="0" t="str">
        <f aca="false">IF(AND(C862=C863,W862=W863-1),Y862,"")</f>
        <v/>
      </c>
      <c r="AB863" s="0" t="str">
        <f aca="false">IF(W863=1,"",IF(AND(X863=1,Z863&lt;&gt;1),1,0))</f>
        <v/>
      </c>
      <c r="AC863" s="0" t="str">
        <f aca="false">IF(W863=1,"",IF(AND(Y863=1,AA863&lt;&gt;1),1,0))</f>
        <v/>
      </c>
      <c r="AD863" s="33" t="str">
        <f aca="false">IF(AND(E863&gt;0,W863&lt;1,NOT(AND(C864=C863,W864=W863+1))),INDEX(DATAS,W863+1),"")</f>
        <v/>
      </c>
      <c r="AE863" s="33" t="str">
        <f aca="false">IF(AND(Y863=1,W863&lt;1),IF(AND(C864=C863,W864=W863+1),IF(Y864=1,"",INDEX(DATAS,W863+1)),INDEX(DATAS,W863+1)),"")</f>
        <v/>
      </c>
    </row>
    <row r="864" customFormat="false" ht="15" hidden="false" customHeight="false" outlineLevel="0" collapsed="false">
      <c r="A864" s="33" t="n">
        <v>46309</v>
      </c>
      <c r="B864" s="0" t="n">
        <v>5</v>
      </c>
      <c r="C864" s="0" t="n">
        <v>4826</v>
      </c>
      <c r="D864" s="0" t="n">
        <v>225</v>
      </c>
      <c r="E864" s="0" t="n">
        <v>2</v>
      </c>
      <c r="F864" s="27" t="s">
        <v>684</v>
      </c>
      <c r="G864" s="0" t="n">
        <v>39</v>
      </c>
      <c r="H864" s="0" t="n">
        <v>34</v>
      </c>
      <c r="I864" s="27" t="s">
        <v>138</v>
      </c>
      <c r="J864" s="0" t="n">
        <v>64</v>
      </c>
      <c r="K864" s="0" t="n">
        <v>64</v>
      </c>
      <c r="L864" s="0" t="n">
        <v>161</v>
      </c>
      <c r="M864" s="0" t="n">
        <v>421.98</v>
      </c>
      <c r="N864" s="0" t="n">
        <v>14.3</v>
      </c>
      <c r="O864" s="0" t="n">
        <v>37.21</v>
      </c>
      <c r="P864" s="0" t="n">
        <v>3.74</v>
      </c>
      <c r="Q864" s="0" t="n">
        <v>4.48</v>
      </c>
      <c r="R864" s="0" t="n">
        <v>4161</v>
      </c>
      <c r="S864" s="0" t="n">
        <v>9040</v>
      </c>
      <c r="T864" s="0" t="n">
        <v>43.95</v>
      </c>
      <c r="U864" s="0" t="n">
        <v>1198</v>
      </c>
      <c r="V864" s="0" t="n">
        <v>1</v>
      </c>
      <c r="W864" s="27" t="n">
        <f aca="false">MATCH(A864,DATAS,0)</f>
        <v>1</v>
      </c>
      <c r="X864" s="27" t="n">
        <f aca="false">IF(AND(E864&gt;0,OR(AND(B864&gt;=1,B864&lt;=6),B864=10)),1,0)</f>
        <v>1</v>
      </c>
      <c r="Y864" s="27" t="n">
        <f aca="false">IF(AND(E864&gt;0,B864=10),1,0)</f>
        <v>0</v>
      </c>
      <c r="Z864" s="0" t="str">
        <f aca="false">IF(AND(C863=C864,W863=W864-1),X863,"")</f>
        <v/>
      </c>
      <c r="AA864" s="0" t="str">
        <f aca="false">IF(AND(C863=C864,W863=W864-1),Y863,"")</f>
        <v/>
      </c>
      <c r="AB864" s="0" t="str">
        <f aca="false">IF(W864=1,"",IF(AND(X864=1,Z864&lt;&gt;1),1,0))</f>
        <v/>
      </c>
      <c r="AC864" s="0" t="str">
        <f aca="false">IF(W864=1,"",IF(AND(Y864=1,AA864&lt;&gt;1),1,0))</f>
        <v/>
      </c>
      <c r="AD864" s="33" t="str">
        <f aca="false">IF(AND(E864&gt;0,W864&lt;1,NOT(AND(C865=C864,W865=W864+1))),INDEX(DATAS,W864+1),"")</f>
        <v/>
      </c>
      <c r="AE864" s="33" t="str">
        <f aca="false">IF(AND(Y864=1,W864&lt;1),IF(AND(C865=C864,W865=W864+1),IF(Y865=1,"",INDEX(DATAS,W864+1)),INDEX(DATAS,W864+1)),"")</f>
        <v/>
      </c>
    </row>
    <row r="865" customFormat="false" ht="15" hidden="false" customHeight="false" outlineLevel="0" collapsed="false">
      <c r="A865" s="33" t="n">
        <v>46309</v>
      </c>
      <c r="B865" s="0" t="n">
        <v>3</v>
      </c>
      <c r="C865" s="0" t="n">
        <v>4827</v>
      </c>
      <c r="D865" s="0" t="n">
        <v>213</v>
      </c>
      <c r="E865" s="0" t="n">
        <v>2</v>
      </c>
      <c r="F865" s="27" t="s">
        <v>684</v>
      </c>
      <c r="G865" s="0" t="n">
        <v>55.3</v>
      </c>
      <c r="H865" s="0" t="n">
        <v>55</v>
      </c>
      <c r="I865" s="27" t="s">
        <v>138</v>
      </c>
      <c r="J865" s="0" t="n">
        <v>136</v>
      </c>
      <c r="K865" s="0" t="n">
        <v>66</v>
      </c>
      <c r="L865" s="0" t="n">
        <v>77</v>
      </c>
      <c r="M865" s="0" t="n">
        <v>575.11</v>
      </c>
      <c r="N865" s="0" t="n">
        <v>60.33</v>
      </c>
      <c r="O865" s="0" t="n">
        <v>29.16</v>
      </c>
      <c r="P865" s="0" t="n">
        <v>3.16</v>
      </c>
      <c r="Q865" s="0" t="n">
        <v>3.55</v>
      </c>
      <c r="R865" s="0" t="n">
        <v>4844</v>
      </c>
      <c r="S865" s="0" t="n">
        <v>10697</v>
      </c>
      <c r="T865" s="0" t="n">
        <v>52.7</v>
      </c>
      <c r="U865" s="0" t="n">
        <v>1198</v>
      </c>
      <c r="V865" s="0" t="n">
        <v>3</v>
      </c>
      <c r="W865" s="27" t="n">
        <f aca="false">MATCH(A865,DATAS,0)</f>
        <v>1</v>
      </c>
      <c r="X865" s="27" t="n">
        <f aca="false">IF(AND(E865&gt;0,OR(AND(B865&gt;=1,B865&lt;=6),B865=10)),1,0)</f>
        <v>1</v>
      </c>
      <c r="Y865" s="27" t="n">
        <f aca="false">IF(AND(E865&gt;0,B865=10),1,0)</f>
        <v>0</v>
      </c>
      <c r="Z865" s="0" t="str">
        <f aca="false">IF(AND(C864=C865,W864=W865-1),X864,"")</f>
        <v/>
      </c>
      <c r="AA865" s="0" t="str">
        <f aca="false">IF(AND(C864=C865,W864=W865-1),Y864,"")</f>
        <v/>
      </c>
      <c r="AB865" s="0" t="str">
        <f aca="false">IF(W865=1,"",IF(AND(X865=1,Z865&lt;&gt;1),1,0))</f>
        <v/>
      </c>
      <c r="AC865" s="0" t="str">
        <f aca="false">IF(W865=1,"",IF(AND(Y865=1,AA865&lt;&gt;1),1,0))</f>
        <v/>
      </c>
      <c r="AD865" s="33" t="str">
        <f aca="false">IF(AND(E865&gt;0,W865&lt;1,NOT(AND(C866=C865,W866=W865+1))),INDEX(DATAS,W865+1),"")</f>
        <v/>
      </c>
      <c r="AE865" s="33" t="str">
        <f aca="false">IF(AND(Y865=1,W865&lt;1),IF(AND(C866=C865,W866=W865+1),IF(Y866=1,"",INDEX(DATAS,W865+1)),INDEX(DATAS,W865+1)),"")</f>
        <v/>
      </c>
    </row>
    <row r="866" customFormat="false" ht="15" hidden="false" customHeight="false" outlineLevel="0" collapsed="false">
      <c r="A866" s="33" t="n">
        <v>46309</v>
      </c>
      <c r="B866" s="0" t="n">
        <v>2</v>
      </c>
      <c r="C866" s="0" t="n">
        <v>4828</v>
      </c>
      <c r="D866" s="0" t="n">
        <v>66</v>
      </c>
      <c r="E866" s="0" t="n">
        <v>2</v>
      </c>
      <c r="F866" s="27" t="s">
        <v>684</v>
      </c>
      <c r="G866" s="0" t="n">
        <v>52.9</v>
      </c>
      <c r="H866" s="0" t="n">
        <v>56</v>
      </c>
      <c r="I866" s="27" t="s">
        <v>168</v>
      </c>
      <c r="J866" s="0" t="n">
        <v>66</v>
      </c>
      <c r="K866" s="0" t="n">
        <v>66</v>
      </c>
      <c r="M866" s="0" t="n">
        <v>558.67</v>
      </c>
      <c r="N866" s="0" t="n">
        <v>67.43</v>
      </c>
      <c r="O866" s="0" t="n">
        <v>33.3</v>
      </c>
      <c r="P866" s="0" t="n">
        <v>3.6</v>
      </c>
      <c r="Q866" s="0" t="n">
        <v>3.29</v>
      </c>
      <c r="R866" s="0" t="n">
        <v>4537</v>
      </c>
      <c r="S866" s="0" t="n">
        <v>9120</v>
      </c>
      <c r="U866" s="0" t="n">
        <v>1198</v>
      </c>
      <c r="V866" s="0" t="n">
        <v>1</v>
      </c>
      <c r="W866" s="27" t="n">
        <f aca="false">MATCH(A866,DATAS,0)</f>
        <v>1</v>
      </c>
      <c r="X866" s="27" t="n">
        <f aca="false">IF(AND(E866&gt;0,OR(AND(B866&gt;=1,B866&lt;=6),B866=10)),1,0)</f>
        <v>1</v>
      </c>
      <c r="Y866" s="27" t="n">
        <f aca="false">IF(AND(E866&gt;0,B866=10),1,0)</f>
        <v>0</v>
      </c>
      <c r="Z866" s="0" t="str">
        <f aca="false">IF(AND(C865=C866,W865=W866-1),X865,"")</f>
        <v/>
      </c>
      <c r="AA866" s="0" t="str">
        <f aca="false">IF(AND(C865=C866,W865=W866-1),Y865,"")</f>
        <v/>
      </c>
      <c r="AB866" s="0" t="str">
        <f aca="false">IF(W866=1,"",IF(AND(X866=1,Z866&lt;&gt;1),1,0))</f>
        <v/>
      </c>
      <c r="AC866" s="0" t="str">
        <f aca="false">IF(W866=1,"",IF(AND(Y866=1,AA866&lt;&gt;1),1,0))</f>
        <v/>
      </c>
      <c r="AD866" s="33" t="str">
        <f aca="false">IF(AND(E866&gt;0,W866&lt;1,NOT(AND(C867=C866,W867=W866+1))),INDEX(DATAS,W866+1),"")</f>
        <v/>
      </c>
      <c r="AE866" s="33" t="str">
        <f aca="false">IF(AND(Y866=1,W866&lt;1),IF(AND(C867=C866,W867=W866+1),IF(Y867=1,"",INDEX(DATAS,W866+1)),INDEX(DATAS,W866+1)),"")</f>
        <v/>
      </c>
    </row>
    <row r="867" customFormat="false" ht="15" hidden="false" customHeight="false" outlineLevel="0" collapsed="false">
      <c r="A867" s="33" t="n">
        <v>46309</v>
      </c>
      <c r="B867" s="0" t="n">
        <v>5</v>
      </c>
      <c r="C867" s="0" t="n">
        <v>4829</v>
      </c>
      <c r="D867" s="0" t="n">
        <v>141</v>
      </c>
      <c r="E867" s="0" t="n">
        <v>2</v>
      </c>
      <c r="F867" s="27" t="s">
        <v>685</v>
      </c>
      <c r="G867" s="0" t="n">
        <v>39</v>
      </c>
      <c r="H867" s="0" t="n">
        <v>38</v>
      </c>
      <c r="I867" s="27" t="s">
        <v>138</v>
      </c>
      <c r="J867" s="0" t="n">
        <v>64</v>
      </c>
      <c r="K867" s="0" t="n">
        <v>64</v>
      </c>
      <c r="L867" s="0" t="n">
        <v>77</v>
      </c>
      <c r="M867" s="0" t="n">
        <v>1173.55</v>
      </c>
      <c r="N867" s="0" t="n">
        <v>34.86</v>
      </c>
      <c r="O867" s="0" t="n">
        <v>27.83</v>
      </c>
      <c r="P867" s="0" t="n">
        <v>4.1</v>
      </c>
      <c r="Q867" s="0" t="n">
        <v>3.25</v>
      </c>
      <c r="R867" s="0" t="n">
        <v>4282</v>
      </c>
      <c r="S867" s="0" t="n">
        <v>8586</v>
      </c>
      <c r="T867" s="0" t="n">
        <v>45.25</v>
      </c>
      <c r="U867" s="0" t="n">
        <v>1197</v>
      </c>
      <c r="V867" s="0" t="n">
        <v>1</v>
      </c>
      <c r="W867" s="27" t="n">
        <f aca="false">MATCH(A867,DATAS,0)</f>
        <v>1</v>
      </c>
      <c r="X867" s="27" t="n">
        <f aca="false">IF(AND(E867&gt;0,OR(AND(B867&gt;=1,B867&lt;=6),B867=10)),1,0)</f>
        <v>1</v>
      </c>
      <c r="Y867" s="27" t="n">
        <f aca="false">IF(AND(E867&gt;0,B867=10),1,0)</f>
        <v>0</v>
      </c>
      <c r="Z867" s="0" t="str">
        <f aca="false">IF(AND(C866=C867,W866=W867-1),X866,"")</f>
        <v/>
      </c>
      <c r="AA867" s="0" t="str">
        <f aca="false">IF(AND(C866=C867,W866=W867-1),Y866,"")</f>
        <v/>
      </c>
      <c r="AB867" s="0" t="str">
        <f aca="false">IF(W867=1,"",IF(AND(X867=1,Z867&lt;&gt;1),1,0))</f>
        <v/>
      </c>
      <c r="AC867" s="0" t="str">
        <f aca="false">IF(W867=1,"",IF(AND(Y867=1,AA867&lt;&gt;1),1,0))</f>
        <v/>
      </c>
      <c r="AD867" s="33" t="str">
        <f aca="false">IF(AND(E867&gt;0,W867&lt;1,NOT(AND(C868=C867,W868=W867+1))),INDEX(DATAS,W867+1),"")</f>
        <v/>
      </c>
      <c r="AE867" s="33" t="str">
        <f aca="false">IF(AND(Y867=1,W867&lt;1),IF(AND(C868=C867,W868=W867+1),IF(Y868=1,"",INDEX(DATAS,W867+1)),INDEX(DATAS,W867+1)),"")</f>
        <v/>
      </c>
    </row>
    <row r="868" customFormat="false" ht="15" hidden="false" customHeight="false" outlineLevel="0" collapsed="false">
      <c r="A868" s="33" t="n">
        <v>46309</v>
      </c>
      <c r="B868" s="0" t="n">
        <v>2</v>
      </c>
      <c r="C868" s="0" t="n">
        <v>4830</v>
      </c>
      <c r="D868" s="0" t="n">
        <v>231</v>
      </c>
      <c r="E868" s="0" t="n">
        <v>2</v>
      </c>
      <c r="F868" s="27" t="s">
        <v>685</v>
      </c>
      <c r="G868" s="0" t="n">
        <v>51</v>
      </c>
      <c r="H868" s="0" t="n">
        <v>46</v>
      </c>
      <c r="I868" s="27" t="s">
        <v>168</v>
      </c>
      <c r="J868" s="0" t="n">
        <v>231</v>
      </c>
      <c r="K868" s="0" t="n">
        <v>63</v>
      </c>
      <c r="M868" s="0" t="n">
        <v>1093.86</v>
      </c>
      <c r="N868" s="0" t="n">
        <v>40.63</v>
      </c>
      <c r="O868" s="0" t="n">
        <v>42.36</v>
      </c>
      <c r="P868" s="0" t="n">
        <v>4.73</v>
      </c>
      <c r="Q868" s="0" t="n">
        <v>3.88</v>
      </c>
      <c r="R868" s="0" t="n">
        <v>4863</v>
      </c>
      <c r="S868" s="0" t="n">
        <v>10080</v>
      </c>
      <c r="T868" s="0" t="n">
        <v>55</v>
      </c>
      <c r="U868" s="0" t="n">
        <v>1197</v>
      </c>
      <c r="V868" s="0" t="n">
        <v>5</v>
      </c>
      <c r="W868" s="27" t="n">
        <f aca="false">MATCH(A868,DATAS,0)</f>
        <v>1</v>
      </c>
      <c r="X868" s="27" t="n">
        <f aca="false">IF(AND(E868&gt;0,OR(AND(B868&gt;=1,B868&lt;=6),B868=10)),1,0)</f>
        <v>1</v>
      </c>
      <c r="Y868" s="27" t="n">
        <f aca="false">IF(AND(E868&gt;0,B868=10),1,0)</f>
        <v>0</v>
      </c>
      <c r="Z868" s="0" t="str">
        <f aca="false">IF(AND(C867=C868,W867=W868-1),X867,"")</f>
        <v/>
      </c>
      <c r="AA868" s="0" t="str">
        <f aca="false">IF(AND(C867=C868,W867=W868-1),Y867,"")</f>
        <v/>
      </c>
      <c r="AB868" s="0" t="str">
        <f aca="false">IF(W868=1,"",IF(AND(X868=1,Z868&lt;&gt;1),1,0))</f>
        <v/>
      </c>
      <c r="AC868" s="0" t="str">
        <f aca="false">IF(W868=1,"",IF(AND(Y868=1,AA868&lt;&gt;1),1,0))</f>
        <v/>
      </c>
      <c r="AD868" s="33" t="str">
        <f aca="false">IF(AND(E868&gt;0,W868&lt;1,NOT(AND(C869=C868,W869=W868+1))),INDEX(DATAS,W868+1),"")</f>
        <v/>
      </c>
      <c r="AE868" s="33" t="str">
        <f aca="false">IF(AND(Y868=1,W868&lt;1),IF(AND(C869=C868,W869=W868+1),IF(Y869=1,"",INDEX(DATAS,W868+1)),INDEX(DATAS,W868+1)),"")</f>
        <v/>
      </c>
    </row>
    <row r="869" customFormat="false" ht="15" hidden="false" customHeight="false" outlineLevel="0" collapsed="false">
      <c r="A869" s="33" t="n">
        <v>46309</v>
      </c>
      <c r="B869" s="0" t="n">
        <v>5</v>
      </c>
      <c r="C869" s="0" t="n">
        <v>4831</v>
      </c>
      <c r="D869" s="0" t="n">
        <v>231</v>
      </c>
      <c r="E869" s="0" t="n">
        <v>2</v>
      </c>
      <c r="F869" s="27" t="s">
        <v>685</v>
      </c>
      <c r="G869" s="0" t="n">
        <v>43</v>
      </c>
      <c r="H869" s="0" t="n">
        <v>40</v>
      </c>
      <c r="I869" s="27" t="s">
        <v>138</v>
      </c>
      <c r="J869" s="0" t="n">
        <v>168</v>
      </c>
      <c r="K869" s="0" t="n">
        <v>63</v>
      </c>
      <c r="L869" s="0" t="n">
        <v>63</v>
      </c>
      <c r="M869" s="0" t="n">
        <v>1761.3</v>
      </c>
      <c r="N869" s="0" t="n">
        <v>71.07</v>
      </c>
      <c r="O869" s="0" t="n">
        <v>52.28</v>
      </c>
      <c r="P869" s="0" t="n">
        <v>4.26</v>
      </c>
      <c r="Q869" s="0" t="n">
        <v>3.68</v>
      </c>
      <c r="R869" s="0" t="n">
        <v>3476</v>
      </c>
      <c r="S869" s="0" t="n">
        <v>8326</v>
      </c>
      <c r="T869" s="0" t="n">
        <v>40.55</v>
      </c>
      <c r="U869" s="0" t="n">
        <v>1197</v>
      </c>
      <c r="V869" s="0" t="n">
        <v>2</v>
      </c>
      <c r="W869" s="27" t="n">
        <f aca="false">MATCH(A869,DATAS,0)</f>
        <v>1</v>
      </c>
      <c r="X869" s="27" t="n">
        <f aca="false">IF(AND(E869&gt;0,OR(AND(B869&gt;=1,B869&lt;=6),B869=10)),1,0)</f>
        <v>1</v>
      </c>
      <c r="Y869" s="27" t="n">
        <f aca="false">IF(AND(E869&gt;0,B869=10),1,0)</f>
        <v>0</v>
      </c>
      <c r="Z869" s="0" t="str">
        <f aca="false">IF(AND(C868=C869,W868=W869-1),X868,"")</f>
        <v/>
      </c>
      <c r="AA869" s="0" t="str">
        <f aca="false">IF(AND(C868=C869,W868=W869-1),Y868,"")</f>
        <v/>
      </c>
      <c r="AB869" s="0" t="str">
        <f aca="false">IF(W869=1,"",IF(AND(X869=1,Z869&lt;&gt;1),1,0))</f>
        <v/>
      </c>
      <c r="AC869" s="0" t="str">
        <f aca="false">IF(W869=1,"",IF(AND(Y869=1,AA869&lt;&gt;1),1,0))</f>
        <v/>
      </c>
      <c r="AD869" s="33" t="str">
        <f aca="false">IF(AND(E869&gt;0,W869&lt;1,NOT(AND(C870=C869,W870=W869+1))),INDEX(DATAS,W869+1),"")</f>
        <v/>
      </c>
      <c r="AE869" s="33" t="str">
        <f aca="false">IF(AND(Y869=1,W869&lt;1),IF(AND(C870=C869,W870=W869+1),IF(Y870=1,"",INDEX(DATAS,W869+1)),INDEX(DATAS,W869+1)),"")</f>
        <v/>
      </c>
    </row>
    <row r="870" customFormat="false" ht="15" hidden="false" customHeight="false" outlineLevel="0" collapsed="false">
      <c r="A870" s="33" t="n">
        <v>46309</v>
      </c>
      <c r="B870" s="0" t="n">
        <v>5</v>
      </c>
      <c r="C870" s="0" t="n">
        <v>4832</v>
      </c>
      <c r="D870" s="0" t="n">
        <v>222</v>
      </c>
      <c r="E870" s="0" t="n">
        <v>2</v>
      </c>
      <c r="F870" s="27" t="s">
        <v>685</v>
      </c>
      <c r="G870" s="0" t="n">
        <v>38.5</v>
      </c>
      <c r="H870" s="0" t="n">
        <v>33</v>
      </c>
      <c r="I870" s="27" t="s">
        <v>138</v>
      </c>
      <c r="J870" s="0" t="n">
        <v>68</v>
      </c>
      <c r="K870" s="0" t="n">
        <v>68</v>
      </c>
      <c r="L870" s="0" t="n">
        <v>154</v>
      </c>
      <c r="M870" s="0" t="n">
        <v>603.28</v>
      </c>
      <c r="N870" s="0" t="n">
        <v>51.32</v>
      </c>
      <c r="O870" s="0" t="n">
        <v>37.15</v>
      </c>
      <c r="P870" s="0" t="n">
        <v>5.05</v>
      </c>
      <c r="Q870" s="0" t="n">
        <v>4</v>
      </c>
      <c r="R870" s="0" t="n">
        <v>4688</v>
      </c>
      <c r="S870" s="0" t="n">
        <v>9351</v>
      </c>
      <c r="T870" s="0" t="n">
        <v>52.7</v>
      </c>
      <c r="U870" s="0" t="n">
        <v>1197</v>
      </c>
      <c r="V870" s="0" t="n">
        <v>1</v>
      </c>
      <c r="W870" s="27" t="n">
        <f aca="false">MATCH(A870,DATAS,0)</f>
        <v>1</v>
      </c>
      <c r="X870" s="27" t="n">
        <f aca="false">IF(AND(E870&gt;0,OR(AND(B870&gt;=1,B870&lt;=6),B870=10)),1,0)</f>
        <v>1</v>
      </c>
      <c r="Y870" s="27" t="n">
        <f aca="false">IF(AND(E870&gt;0,B870=10),1,0)</f>
        <v>0</v>
      </c>
      <c r="Z870" s="0" t="str">
        <f aca="false">IF(AND(C869=C870,W869=W870-1),X869,"")</f>
        <v/>
      </c>
      <c r="AA870" s="0" t="str">
        <f aca="false">IF(AND(C869=C870,W869=W870-1),Y869,"")</f>
        <v/>
      </c>
      <c r="AB870" s="0" t="str">
        <f aca="false">IF(W870=1,"",IF(AND(X870=1,Z870&lt;&gt;1),1,0))</f>
        <v/>
      </c>
      <c r="AC870" s="0" t="str">
        <f aca="false">IF(W870=1,"",IF(AND(Y870=1,AA870&lt;&gt;1),1,0))</f>
        <v/>
      </c>
      <c r="AD870" s="33" t="str">
        <f aca="false">IF(AND(E870&gt;0,W870&lt;1,NOT(AND(C871=C870,W871=W870+1))),INDEX(DATAS,W870+1),"")</f>
        <v/>
      </c>
      <c r="AE870" s="33" t="str">
        <f aca="false">IF(AND(Y870=1,W870&lt;1),IF(AND(C871=C870,W871=W870+1),IF(Y871=1,"",INDEX(DATAS,W870+1)),INDEX(DATAS,W870+1)),"")</f>
        <v/>
      </c>
    </row>
    <row r="871" customFormat="false" ht="15" hidden="false" customHeight="false" outlineLevel="0" collapsed="false">
      <c r="A871" s="33" t="n">
        <v>46309</v>
      </c>
      <c r="B871" s="0" t="n">
        <v>5</v>
      </c>
      <c r="C871" s="0" t="n">
        <v>4834</v>
      </c>
      <c r="D871" s="0" t="n">
        <v>195</v>
      </c>
      <c r="E871" s="0" t="n">
        <v>2</v>
      </c>
      <c r="F871" s="27" t="s">
        <v>686</v>
      </c>
      <c r="G871" s="0" t="n">
        <v>39.4</v>
      </c>
      <c r="H871" s="0" t="n">
        <v>39</v>
      </c>
      <c r="I871" s="27" t="s">
        <v>138</v>
      </c>
      <c r="J871" s="0" t="n">
        <v>153</v>
      </c>
      <c r="K871" s="0" t="n">
        <v>62</v>
      </c>
      <c r="L871" s="0" t="n">
        <v>42</v>
      </c>
      <c r="M871" s="0" t="n">
        <v>567.93</v>
      </c>
      <c r="N871" s="0" t="n">
        <v>82.15</v>
      </c>
      <c r="O871" s="0" t="n">
        <v>23.9</v>
      </c>
      <c r="P871" s="0" t="n">
        <v>5.09</v>
      </c>
      <c r="Q871" s="0" t="n">
        <v>3.92</v>
      </c>
      <c r="R871" s="0" t="n">
        <v>3838</v>
      </c>
      <c r="S871" s="0" t="n">
        <v>7938</v>
      </c>
      <c r="T871" s="0" t="n">
        <v>41</v>
      </c>
      <c r="U871" s="0" t="n">
        <v>1196</v>
      </c>
      <c r="V871" s="0" t="n">
        <v>3</v>
      </c>
      <c r="W871" s="27" t="n">
        <f aca="false">MATCH(A871,DATAS,0)</f>
        <v>1</v>
      </c>
      <c r="X871" s="27" t="n">
        <f aca="false">IF(AND(E871&gt;0,OR(AND(B871&gt;=1,B871&lt;=6),B871=10)),1,0)</f>
        <v>1</v>
      </c>
      <c r="Y871" s="27" t="n">
        <f aca="false">IF(AND(E871&gt;0,B871=10),1,0)</f>
        <v>0</v>
      </c>
      <c r="Z871" s="0" t="str">
        <f aca="false">IF(AND(C870=C871,W870=W871-1),X870,"")</f>
        <v/>
      </c>
      <c r="AA871" s="0" t="str">
        <f aca="false">IF(AND(C870=C871,W870=W871-1),Y870,"")</f>
        <v/>
      </c>
      <c r="AB871" s="0" t="str">
        <f aca="false">IF(W871=1,"",IF(AND(X871=1,Z871&lt;&gt;1),1,0))</f>
        <v/>
      </c>
      <c r="AC871" s="0" t="str">
        <f aca="false">IF(W871=1,"",IF(AND(Y871=1,AA871&lt;&gt;1),1,0))</f>
        <v/>
      </c>
      <c r="AD871" s="33" t="str">
        <f aca="false">IF(AND(E871&gt;0,W871&lt;1,NOT(AND(C872=C871,W872=W871+1))),INDEX(DATAS,W871+1),"")</f>
        <v/>
      </c>
      <c r="AE871" s="33" t="str">
        <f aca="false">IF(AND(Y871=1,W871&lt;1),IF(AND(C872=C871,W872=W871+1),IF(Y872=1,"",INDEX(DATAS,W871+1)),INDEX(DATAS,W871+1)),"")</f>
        <v/>
      </c>
    </row>
    <row r="872" customFormat="false" ht="15" hidden="false" customHeight="false" outlineLevel="0" collapsed="false">
      <c r="A872" s="33" t="n">
        <v>46309</v>
      </c>
      <c r="B872" s="0" t="n">
        <v>2</v>
      </c>
      <c r="C872" s="0" t="n">
        <v>4835</v>
      </c>
      <c r="D872" s="0" t="n">
        <v>149</v>
      </c>
      <c r="E872" s="0" t="n">
        <v>2</v>
      </c>
      <c r="F872" s="27" t="s">
        <v>686</v>
      </c>
      <c r="G872" s="0" t="n">
        <v>68.5</v>
      </c>
      <c r="H872" s="0" t="n">
        <v>65</v>
      </c>
      <c r="I872" s="27" t="s">
        <v>138</v>
      </c>
      <c r="J872" s="0" t="n">
        <v>65</v>
      </c>
      <c r="K872" s="0" t="n">
        <v>65</v>
      </c>
      <c r="L872" s="0" t="n">
        <v>84</v>
      </c>
      <c r="M872" s="0" t="n">
        <v>1538.67</v>
      </c>
      <c r="N872" s="0" t="n">
        <v>49.94</v>
      </c>
      <c r="O872" s="0" t="n">
        <v>39.8</v>
      </c>
      <c r="P872" s="0" t="n">
        <v>3.68</v>
      </c>
      <c r="Q872" s="0" t="n">
        <v>2.97</v>
      </c>
      <c r="R872" s="0" t="n">
        <v>6338</v>
      </c>
      <c r="S872" s="0" t="n">
        <v>13346</v>
      </c>
      <c r="T872" s="0" t="n">
        <v>66.95</v>
      </c>
      <c r="U872" s="0" t="n">
        <v>1196</v>
      </c>
      <c r="V872" s="0" t="n">
        <v>1</v>
      </c>
      <c r="W872" s="27" t="n">
        <f aca="false">MATCH(A872,DATAS,0)</f>
        <v>1</v>
      </c>
      <c r="X872" s="27" t="n">
        <f aca="false">IF(AND(E872&gt;0,OR(AND(B872&gt;=1,B872&lt;=6),B872=10)),1,0)</f>
        <v>1</v>
      </c>
      <c r="Y872" s="27" t="n">
        <f aca="false">IF(AND(E872&gt;0,B872=10),1,0)</f>
        <v>0</v>
      </c>
      <c r="Z872" s="0" t="str">
        <f aca="false">IF(AND(C871=C872,W871=W872-1),X871,"")</f>
        <v/>
      </c>
      <c r="AA872" s="0" t="str">
        <f aca="false">IF(AND(C871=C872,W871=W872-1),Y871,"")</f>
        <v/>
      </c>
      <c r="AB872" s="0" t="str">
        <f aca="false">IF(W872=1,"",IF(AND(X872=1,Z872&lt;&gt;1),1,0))</f>
        <v/>
      </c>
      <c r="AC872" s="0" t="str">
        <f aca="false">IF(W872=1,"",IF(AND(Y872=1,AA872&lt;&gt;1),1,0))</f>
        <v/>
      </c>
      <c r="AD872" s="33" t="str">
        <f aca="false">IF(AND(E872&gt;0,W872&lt;1,NOT(AND(C873=C872,W873=W872+1))),INDEX(DATAS,W872+1),"")</f>
        <v/>
      </c>
      <c r="AE872" s="33" t="str">
        <f aca="false">IF(AND(Y872=1,W872&lt;1),IF(AND(C873=C872,W873=W872+1),IF(Y873=1,"",INDEX(DATAS,W872+1)),INDEX(DATAS,W872+1)),"")</f>
        <v/>
      </c>
    </row>
    <row r="873" customFormat="false" ht="15" hidden="false" customHeight="false" outlineLevel="0" collapsed="false">
      <c r="A873" s="33" t="n">
        <v>46309</v>
      </c>
      <c r="B873" s="0" t="n">
        <v>3</v>
      </c>
      <c r="C873" s="0" t="n">
        <v>4836</v>
      </c>
      <c r="D873" s="0" t="n">
        <v>3</v>
      </c>
      <c r="E873" s="0" t="n">
        <v>3</v>
      </c>
      <c r="F873" s="27" t="s">
        <v>687</v>
      </c>
      <c r="G873" s="0" t="n">
        <v>26.2</v>
      </c>
      <c r="H873" s="0" t="n">
        <v>21</v>
      </c>
      <c r="I873" s="27" t="s">
        <v>147</v>
      </c>
      <c r="J873" s="0" t="n">
        <v>3</v>
      </c>
      <c r="M873" s="0" t="n">
        <v>1830.22</v>
      </c>
      <c r="N873" s="0" t="n">
        <v>52.13</v>
      </c>
      <c r="O873" s="0" t="n">
        <v>55.27</v>
      </c>
      <c r="R873" s="0" t="n">
        <v>1958</v>
      </c>
      <c r="S873" s="0" t="n">
        <v>3936</v>
      </c>
      <c r="U873" s="0" t="n">
        <v>1195</v>
      </c>
      <c r="V873" s="0" t="n">
        <v>0</v>
      </c>
      <c r="W873" s="27" t="n">
        <f aca="false">MATCH(A873,DATAS,0)</f>
        <v>1</v>
      </c>
      <c r="X873" s="27" t="n">
        <f aca="false">IF(AND(E873&gt;0,OR(AND(B873&gt;=1,B873&lt;=6),B873=10)),1,0)</f>
        <v>1</v>
      </c>
      <c r="Y873" s="27" t="n">
        <f aca="false">IF(AND(E873&gt;0,B873=10),1,0)</f>
        <v>0</v>
      </c>
      <c r="Z873" s="0" t="str">
        <f aca="false">IF(AND(C872=C873,W872=W873-1),X872,"")</f>
        <v/>
      </c>
      <c r="AA873" s="0" t="str">
        <f aca="false">IF(AND(C872=C873,W872=W873-1),Y872,"")</f>
        <v/>
      </c>
      <c r="AB873" s="0" t="str">
        <f aca="false">IF(W873=1,"",IF(AND(X873=1,Z873&lt;&gt;1),1,0))</f>
        <v/>
      </c>
      <c r="AC873" s="0" t="str">
        <f aca="false">IF(W873=1,"",IF(AND(Y873=1,AA873&lt;&gt;1),1,0))</f>
        <v/>
      </c>
      <c r="AD873" s="33" t="str">
        <f aca="false">IF(AND(E873&gt;0,W873&lt;1,NOT(AND(C874=C873,W874=W873+1))),INDEX(DATAS,W873+1),"")</f>
        <v/>
      </c>
      <c r="AE873" s="33" t="str">
        <f aca="false">IF(AND(Y873=1,W873&lt;1),IF(AND(C874=C873,W874=W873+1),IF(Y874=1,"",INDEX(DATAS,W873+1)),INDEX(DATAS,W873+1)),"")</f>
        <v/>
      </c>
    </row>
    <row r="874" customFormat="false" ht="15" hidden="false" customHeight="false" outlineLevel="0" collapsed="false">
      <c r="A874" s="33" t="n">
        <v>46309</v>
      </c>
      <c r="B874" s="0" t="n">
        <v>5</v>
      </c>
      <c r="C874" s="0" t="n">
        <v>4837</v>
      </c>
      <c r="D874" s="0" t="n">
        <v>227</v>
      </c>
      <c r="E874" s="0" t="n">
        <v>2</v>
      </c>
      <c r="F874" s="27" t="s">
        <v>687</v>
      </c>
      <c r="G874" s="0" t="n">
        <v>32.7</v>
      </c>
      <c r="H874" s="0" t="n">
        <v>30</v>
      </c>
      <c r="I874" s="27" t="s">
        <v>138</v>
      </c>
      <c r="J874" s="0" t="n">
        <v>66</v>
      </c>
      <c r="K874" s="0" t="n">
        <v>66</v>
      </c>
      <c r="L874" s="0" t="n">
        <v>161</v>
      </c>
      <c r="M874" s="0" t="n">
        <v>944.49</v>
      </c>
      <c r="N874" s="0" t="n">
        <v>31.31</v>
      </c>
      <c r="O874" s="0" t="n">
        <v>42.17</v>
      </c>
      <c r="P874" s="0" t="n">
        <v>4.24</v>
      </c>
      <c r="Q874" s="0" t="n">
        <v>4.18</v>
      </c>
      <c r="R874" s="0" t="n">
        <v>3616</v>
      </c>
      <c r="S874" s="0" t="n">
        <v>7328</v>
      </c>
      <c r="T874" s="0" t="n">
        <v>35.85</v>
      </c>
      <c r="U874" s="0" t="n">
        <v>1195</v>
      </c>
      <c r="V874" s="0" t="n">
        <v>1</v>
      </c>
      <c r="W874" s="27" t="n">
        <f aca="false">MATCH(A874,DATAS,0)</f>
        <v>1</v>
      </c>
      <c r="X874" s="27" t="n">
        <f aca="false">IF(AND(E874&gt;0,OR(AND(B874&gt;=1,B874&lt;=6),B874=10)),1,0)</f>
        <v>1</v>
      </c>
      <c r="Y874" s="27" t="n">
        <f aca="false">IF(AND(E874&gt;0,B874=10),1,0)</f>
        <v>0</v>
      </c>
      <c r="Z874" s="0" t="str">
        <f aca="false">IF(AND(C873=C874,W873=W874-1),X873,"")</f>
        <v/>
      </c>
      <c r="AA874" s="0" t="str">
        <f aca="false">IF(AND(C873=C874,W873=W874-1),Y873,"")</f>
        <v/>
      </c>
      <c r="AB874" s="0" t="str">
        <f aca="false">IF(W874=1,"",IF(AND(X874=1,Z874&lt;&gt;1),1,0))</f>
        <v/>
      </c>
      <c r="AC874" s="0" t="str">
        <f aca="false">IF(W874=1,"",IF(AND(Y874=1,AA874&lt;&gt;1),1,0))</f>
        <v/>
      </c>
      <c r="AD874" s="33" t="str">
        <f aca="false">IF(AND(E874&gt;0,W874&lt;1,NOT(AND(C875=C874,W875=W874+1))),INDEX(DATAS,W874+1),"")</f>
        <v/>
      </c>
      <c r="AE874" s="33" t="str">
        <f aca="false">IF(AND(Y874=1,W874&lt;1),IF(AND(C875=C874,W875=W874+1),IF(Y875=1,"",INDEX(DATAS,W874+1)),INDEX(DATAS,W874+1)),"")</f>
        <v/>
      </c>
    </row>
    <row r="875" customFormat="false" ht="15" hidden="false" customHeight="false" outlineLevel="0" collapsed="false">
      <c r="A875" s="33" t="n">
        <v>46309</v>
      </c>
      <c r="B875" s="0" t="n">
        <v>5</v>
      </c>
      <c r="C875" s="0" t="n">
        <v>4838</v>
      </c>
      <c r="D875" s="0" t="n">
        <v>123</v>
      </c>
      <c r="E875" s="0" t="n">
        <v>2</v>
      </c>
      <c r="F875" s="27" t="s">
        <v>688</v>
      </c>
      <c r="G875" s="0" t="n">
        <v>41.9</v>
      </c>
      <c r="H875" s="0" t="n">
        <v>39</v>
      </c>
      <c r="I875" s="27" t="s">
        <v>138</v>
      </c>
      <c r="J875" s="0" t="n">
        <v>67</v>
      </c>
      <c r="K875" s="0" t="n">
        <v>67</v>
      </c>
      <c r="L875" s="0" t="n">
        <v>56</v>
      </c>
      <c r="M875" s="0" t="n">
        <v>219.89</v>
      </c>
      <c r="N875" s="0" t="n">
        <v>109.85</v>
      </c>
      <c r="O875" s="0" t="n">
        <v>35.64</v>
      </c>
      <c r="P875" s="0" t="n">
        <v>5.75</v>
      </c>
      <c r="Q875" s="0" t="n">
        <v>3.72</v>
      </c>
      <c r="R875" s="0" t="n">
        <v>4647</v>
      </c>
      <c r="S875" s="0" t="n">
        <v>9180</v>
      </c>
      <c r="T875" s="0" t="n">
        <v>50.05</v>
      </c>
      <c r="U875" s="0" t="n">
        <v>1194</v>
      </c>
      <c r="V875" s="0" t="n">
        <v>1</v>
      </c>
      <c r="W875" s="27" t="n">
        <f aca="false">MATCH(A875,DATAS,0)</f>
        <v>1</v>
      </c>
      <c r="X875" s="27" t="n">
        <f aca="false">IF(AND(E875&gt;0,OR(AND(B875&gt;=1,B875&lt;=6),B875=10)),1,0)</f>
        <v>1</v>
      </c>
      <c r="Y875" s="27" t="n">
        <f aca="false">IF(AND(E875&gt;0,B875=10),1,0)</f>
        <v>0</v>
      </c>
      <c r="Z875" s="0" t="str">
        <f aca="false">IF(AND(C874=C875,W874=W875-1),X874,"")</f>
        <v/>
      </c>
      <c r="AA875" s="0" t="str">
        <f aca="false">IF(AND(C874=C875,W874=W875-1),Y874,"")</f>
        <v/>
      </c>
      <c r="AB875" s="0" t="str">
        <f aca="false">IF(W875=1,"",IF(AND(X875=1,Z875&lt;&gt;1),1,0))</f>
        <v/>
      </c>
      <c r="AC875" s="0" t="str">
        <f aca="false">IF(W875=1,"",IF(AND(Y875=1,AA875&lt;&gt;1),1,0))</f>
        <v/>
      </c>
      <c r="AD875" s="33" t="str">
        <f aca="false">IF(AND(E875&gt;0,W875&lt;1,NOT(AND(C876=C875,W876=W875+1))),INDEX(DATAS,W875+1),"")</f>
        <v/>
      </c>
      <c r="AE875" s="33" t="str">
        <f aca="false">IF(AND(Y875=1,W875&lt;1),IF(AND(C876=C875,W876=W875+1),IF(Y876=1,"",INDEX(DATAS,W875+1)),INDEX(DATAS,W875+1)),"")</f>
        <v/>
      </c>
    </row>
    <row r="876" customFormat="false" ht="15" hidden="false" customHeight="false" outlineLevel="0" collapsed="false">
      <c r="A876" s="33" t="n">
        <v>46309</v>
      </c>
      <c r="B876" s="0" t="n">
        <v>5</v>
      </c>
      <c r="C876" s="0" t="n">
        <v>4839</v>
      </c>
      <c r="D876" s="0" t="n">
        <v>433</v>
      </c>
      <c r="E876" s="0" t="n">
        <v>1</v>
      </c>
      <c r="F876" s="27" t="s">
        <v>688</v>
      </c>
      <c r="G876" s="0" t="n">
        <v>41.8</v>
      </c>
      <c r="H876" s="0" t="n">
        <v>32</v>
      </c>
      <c r="I876" s="27" t="s">
        <v>168</v>
      </c>
      <c r="J876" s="0" t="n">
        <v>433</v>
      </c>
      <c r="K876" s="0" t="n">
        <v>62</v>
      </c>
      <c r="M876" s="0" t="n">
        <v>1557.08</v>
      </c>
      <c r="N876" s="0" t="n">
        <v>37.3</v>
      </c>
      <c r="O876" s="0" t="n">
        <v>42.11</v>
      </c>
      <c r="P876" s="0" t="n">
        <v>3.46</v>
      </c>
      <c r="Q876" s="0" t="n">
        <v>3.87</v>
      </c>
      <c r="R876" s="0" t="n">
        <v>4301</v>
      </c>
      <c r="S876" s="0" t="n">
        <v>9627</v>
      </c>
      <c r="T876" s="0" t="n">
        <v>40.8</v>
      </c>
      <c r="U876" s="0" t="n">
        <v>1194</v>
      </c>
      <c r="V876" s="0" t="n">
        <v>10</v>
      </c>
      <c r="W876" s="27" t="n">
        <f aca="false">MATCH(A876,DATAS,0)</f>
        <v>1</v>
      </c>
      <c r="X876" s="27" t="n">
        <f aca="false">IF(AND(E876&gt;0,OR(AND(B876&gt;=1,B876&lt;=6),B876=10)),1,0)</f>
        <v>1</v>
      </c>
      <c r="Y876" s="27" t="n">
        <f aca="false">IF(AND(E876&gt;0,B876=10),1,0)</f>
        <v>0</v>
      </c>
      <c r="Z876" s="0" t="str">
        <f aca="false">IF(AND(C875=C876,W875=W876-1),X875,"")</f>
        <v/>
      </c>
      <c r="AA876" s="0" t="str">
        <f aca="false">IF(AND(C875=C876,W875=W876-1),Y875,"")</f>
        <v/>
      </c>
      <c r="AB876" s="0" t="str">
        <f aca="false">IF(W876=1,"",IF(AND(X876=1,Z876&lt;&gt;1),1,0))</f>
        <v/>
      </c>
      <c r="AC876" s="0" t="str">
        <f aca="false">IF(W876=1,"",IF(AND(Y876=1,AA876&lt;&gt;1),1,0))</f>
        <v/>
      </c>
      <c r="AD876" s="33" t="str">
        <f aca="false">IF(AND(E876&gt;0,W876&lt;1,NOT(AND(C877=C876,W877=W876+1))),INDEX(DATAS,W876+1),"")</f>
        <v/>
      </c>
      <c r="AE876" s="33" t="str">
        <f aca="false">IF(AND(Y876=1,W876&lt;1),IF(AND(C877=C876,W877=W876+1),IF(Y877=1,"",INDEX(DATAS,W876+1)),INDEX(DATAS,W876+1)),"")</f>
        <v/>
      </c>
    </row>
    <row r="877" customFormat="false" ht="15" hidden="false" customHeight="false" outlineLevel="0" collapsed="false">
      <c r="A877" s="33" t="n">
        <v>46309</v>
      </c>
      <c r="B877" s="0" t="n">
        <v>5</v>
      </c>
      <c r="C877" s="0" t="n">
        <v>4840</v>
      </c>
      <c r="D877" s="0" t="n">
        <v>155</v>
      </c>
      <c r="E877" s="0" t="n">
        <v>2</v>
      </c>
      <c r="F877" s="27" t="s">
        <v>688</v>
      </c>
      <c r="G877" s="0" t="n">
        <v>20</v>
      </c>
      <c r="H877" s="0" t="n">
        <v>23</v>
      </c>
      <c r="I877" s="27" t="s">
        <v>138</v>
      </c>
      <c r="J877" s="0" t="n">
        <v>106</v>
      </c>
      <c r="K877" s="0" t="n">
        <v>64</v>
      </c>
      <c r="L877" s="0" t="n">
        <v>49</v>
      </c>
      <c r="M877" s="0" t="n">
        <v>315.95</v>
      </c>
      <c r="N877" s="0" t="n">
        <v>68.76</v>
      </c>
      <c r="O877" s="0" t="n">
        <v>27.45</v>
      </c>
      <c r="P877" s="0" t="n">
        <v>4.66</v>
      </c>
      <c r="Q877" s="0" t="n">
        <v>3.12</v>
      </c>
      <c r="R877" s="0" t="n">
        <v>5118</v>
      </c>
      <c r="S877" s="0" t="n">
        <v>10391</v>
      </c>
      <c r="U877" s="0" t="n">
        <v>1194</v>
      </c>
      <c r="V877" s="0" t="n">
        <v>2</v>
      </c>
      <c r="W877" s="27" t="n">
        <f aca="false">MATCH(A877,DATAS,0)</f>
        <v>1</v>
      </c>
      <c r="X877" s="27" t="n">
        <f aca="false">IF(AND(E877&gt;0,OR(AND(B877&gt;=1,B877&lt;=6),B877=10)),1,0)</f>
        <v>1</v>
      </c>
      <c r="Y877" s="27" t="n">
        <f aca="false">IF(AND(E877&gt;0,B877=10),1,0)</f>
        <v>0</v>
      </c>
      <c r="Z877" s="0" t="str">
        <f aca="false">IF(AND(C876=C877,W876=W877-1),X876,"")</f>
        <v/>
      </c>
      <c r="AA877" s="0" t="str">
        <f aca="false">IF(AND(C876=C877,W876=W877-1),Y876,"")</f>
        <v/>
      </c>
      <c r="AB877" s="0" t="str">
        <f aca="false">IF(W877=1,"",IF(AND(X877=1,Z877&lt;&gt;1),1,0))</f>
        <v/>
      </c>
      <c r="AC877" s="0" t="str">
        <f aca="false">IF(W877=1,"",IF(AND(Y877=1,AA877&lt;&gt;1),1,0))</f>
        <v/>
      </c>
      <c r="AD877" s="33" t="str">
        <f aca="false">IF(AND(E877&gt;0,W877&lt;1,NOT(AND(C878=C877,W878=W877+1))),INDEX(DATAS,W877+1),"")</f>
        <v/>
      </c>
      <c r="AE877" s="33" t="str">
        <f aca="false">IF(AND(Y877=1,W877&lt;1),IF(AND(C878=C877,W878=W877+1),IF(Y878=1,"",INDEX(DATAS,W877+1)),INDEX(DATAS,W877+1)),"")</f>
        <v/>
      </c>
    </row>
    <row r="878" customFormat="false" ht="15" hidden="false" customHeight="false" outlineLevel="0" collapsed="false">
      <c r="A878" s="33" t="n">
        <v>46309</v>
      </c>
      <c r="B878" s="0" t="n">
        <v>2</v>
      </c>
      <c r="C878" s="0" t="n">
        <v>4841</v>
      </c>
      <c r="D878" s="0" t="n">
        <v>182</v>
      </c>
      <c r="E878" s="0" t="n">
        <v>2</v>
      </c>
      <c r="F878" s="27" t="s">
        <v>688</v>
      </c>
      <c r="G878" s="0" t="n">
        <v>47.8</v>
      </c>
      <c r="H878" s="0" t="n">
        <v>47</v>
      </c>
      <c r="I878" s="27" t="s">
        <v>138</v>
      </c>
      <c r="J878" s="0" t="n">
        <v>77</v>
      </c>
      <c r="K878" s="0" t="n">
        <v>77</v>
      </c>
      <c r="L878" s="0" t="n">
        <v>105</v>
      </c>
      <c r="M878" s="0" t="n">
        <v>644.99</v>
      </c>
      <c r="N878" s="0" t="n">
        <v>49.97</v>
      </c>
      <c r="O878" s="0" t="n">
        <v>25.62</v>
      </c>
      <c r="P878" s="0" t="n">
        <v>3.31</v>
      </c>
      <c r="Q878" s="0" t="n">
        <v>3.28</v>
      </c>
      <c r="R878" s="0" t="n">
        <v>4034</v>
      </c>
      <c r="S878" s="0" t="n">
        <v>9220</v>
      </c>
      <c r="T878" s="0" t="n">
        <v>44.5</v>
      </c>
      <c r="U878" s="0" t="n">
        <v>1194</v>
      </c>
      <c r="V878" s="0" t="n">
        <v>1</v>
      </c>
      <c r="W878" s="27" t="n">
        <f aca="false">MATCH(A878,DATAS,0)</f>
        <v>1</v>
      </c>
      <c r="X878" s="27" t="n">
        <f aca="false">IF(AND(E878&gt;0,OR(AND(B878&gt;=1,B878&lt;=6),B878=10)),1,0)</f>
        <v>1</v>
      </c>
      <c r="Y878" s="27" t="n">
        <f aca="false">IF(AND(E878&gt;0,B878=10),1,0)</f>
        <v>0</v>
      </c>
      <c r="Z878" s="0" t="str">
        <f aca="false">IF(AND(C877=C878,W877=W878-1),X877,"")</f>
        <v/>
      </c>
      <c r="AA878" s="0" t="str">
        <f aca="false">IF(AND(C877=C878,W877=W878-1),Y877,"")</f>
        <v/>
      </c>
      <c r="AB878" s="0" t="str">
        <f aca="false">IF(W878=1,"",IF(AND(X878=1,Z878&lt;&gt;1),1,0))</f>
        <v/>
      </c>
      <c r="AC878" s="0" t="str">
        <f aca="false">IF(W878=1,"",IF(AND(Y878=1,AA878&lt;&gt;1),1,0))</f>
        <v/>
      </c>
      <c r="AD878" s="33" t="str">
        <f aca="false">IF(AND(E878&gt;0,W878&lt;1,NOT(AND(C879=C878,W879=W878+1))),INDEX(DATAS,W878+1),"")</f>
        <v/>
      </c>
      <c r="AE878" s="33" t="str">
        <f aca="false">IF(AND(Y878=1,W878&lt;1),IF(AND(C879=C878,W879=W878+1),IF(Y879=1,"",INDEX(DATAS,W878+1)),INDEX(DATAS,W878+1)),"")</f>
        <v/>
      </c>
    </row>
    <row r="879" customFormat="false" ht="15" hidden="false" customHeight="false" outlineLevel="0" collapsed="false">
      <c r="A879" s="33" t="n">
        <v>46309</v>
      </c>
      <c r="B879" s="0" t="n">
        <v>7</v>
      </c>
      <c r="C879" s="0" t="n">
        <v>4842</v>
      </c>
      <c r="D879" s="0" t="n">
        <v>428</v>
      </c>
      <c r="E879" s="0" t="n">
        <v>1</v>
      </c>
      <c r="F879" s="27" t="s">
        <v>688</v>
      </c>
      <c r="I879" s="27" t="s">
        <v>143</v>
      </c>
      <c r="J879" s="0" t="n">
        <v>432</v>
      </c>
      <c r="K879" s="0" t="n">
        <v>58</v>
      </c>
      <c r="L879" s="0" t="n">
        <v>60</v>
      </c>
      <c r="M879" s="0" t="n">
        <v>573.68</v>
      </c>
      <c r="N879" s="0" t="n">
        <v>66.4</v>
      </c>
      <c r="O879" s="0" t="n">
        <v>35.69</v>
      </c>
      <c r="P879" s="0" t="n">
        <v>8.4</v>
      </c>
      <c r="Q879" s="0" t="n">
        <v>5.68</v>
      </c>
      <c r="R879" s="0" t="n">
        <v>4298</v>
      </c>
      <c r="S879" s="0" t="n">
        <v>9366</v>
      </c>
      <c r="T879" s="0" t="n">
        <v>55.1</v>
      </c>
      <c r="U879" s="0" t="n">
        <v>1194</v>
      </c>
      <c r="V879" s="0" t="n">
        <v>10</v>
      </c>
      <c r="W879" s="27" t="n">
        <f aca="false">MATCH(A879,DATAS,0)</f>
        <v>1</v>
      </c>
      <c r="X879" s="27" t="n">
        <f aca="false">IF(AND(E879&gt;0,OR(AND(B879&gt;=1,B879&lt;=6),B879=10)),1,0)</f>
        <v>0</v>
      </c>
      <c r="Y879" s="27" t="n">
        <f aca="false">IF(AND(E879&gt;0,B879=10),1,0)</f>
        <v>0</v>
      </c>
      <c r="Z879" s="0" t="str">
        <f aca="false">IF(AND(C878=C879,W878=W879-1),X878,"")</f>
        <v/>
      </c>
      <c r="AA879" s="0" t="str">
        <f aca="false">IF(AND(C878=C879,W878=W879-1),Y878,"")</f>
        <v/>
      </c>
      <c r="AB879" s="0" t="str">
        <f aca="false">IF(W879=1,"",IF(AND(X879=1,Z879&lt;&gt;1),1,0))</f>
        <v/>
      </c>
      <c r="AC879" s="0" t="str">
        <f aca="false">IF(W879=1,"",IF(AND(Y879=1,AA879&lt;&gt;1),1,0))</f>
        <v/>
      </c>
      <c r="AD879" s="33" t="str">
        <f aca="false">IF(AND(E879&gt;0,W879&lt;1,NOT(AND(C880=C879,W880=W879+1))),INDEX(DATAS,W879+1),"")</f>
        <v/>
      </c>
      <c r="AE879" s="33" t="str">
        <f aca="false">IF(AND(Y879=1,W879&lt;1),IF(AND(C880=C879,W880=W879+1),IF(Y880=1,"",INDEX(DATAS,W879+1)),INDEX(DATAS,W879+1)),"")</f>
        <v/>
      </c>
    </row>
    <row r="880" customFormat="false" ht="15" hidden="false" customHeight="false" outlineLevel="0" collapsed="false">
      <c r="A880" s="33" t="n">
        <v>46309</v>
      </c>
      <c r="B880" s="0" t="n">
        <v>5</v>
      </c>
      <c r="C880" s="0" t="n">
        <v>4845</v>
      </c>
      <c r="D880" s="0" t="n">
        <v>120</v>
      </c>
      <c r="E880" s="0" t="n">
        <v>2</v>
      </c>
      <c r="F880" s="27" t="s">
        <v>689</v>
      </c>
      <c r="G880" s="0" t="n">
        <v>42.4</v>
      </c>
      <c r="H880" s="0" t="n">
        <v>40</v>
      </c>
      <c r="I880" s="27" t="s">
        <v>138</v>
      </c>
      <c r="J880" s="0" t="n">
        <v>64</v>
      </c>
      <c r="K880" s="0" t="n">
        <v>64</v>
      </c>
      <c r="L880" s="0" t="n">
        <v>56</v>
      </c>
      <c r="M880" s="0" t="n">
        <v>1118.59</v>
      </c>
      <c r="N880" s="0" t="n">
        <v>49.96</v>
      </c>
      <c r="O880" s="0" t="n">
        <v>45.74</v>
      </c>
      <c r="P880" s="0" t="n">
        <v>3.43</v>
      </c>
      <c r="Q880" s="0" t="n">
        <v>3.79</v>
      </c>
      <c r="R880" s="0" t="n">
        <v>3996</v>
      </c>
      <c r="S880" s="0" t="n">
        <v>7903</v>
      </c>
      <c r="T880" s="0" t="n">
        <v>43.35</v>
      </c>
      <c r="U880" s="0" t="n">
        <v>1192</v>
      </c>
      <c r="V880" s="0" t="n">
        <v>1</v>
      </c>
      <c r="W880" s="27" t="n">
        <f aca="false">MATCH(A880,DATAS,0)</f>
        <v>1</v>
      </c>
      <c r="X880" s="27" t="n">
        <f aca="false">IF(AND(E880&gt;0,OR(AND(B880&gt;=1,B880&lt;=6),B880=10)),1,0)</f>
        <v>1</v>
      </c>
      <c r="Y880" s="27" t="n">
        <f aca="false">IF(AND(E880&gt;0,B880=10),1,0)</f>
        <v>0</v>
      </c>
      <c r="Z880" s="0" t="str">
        <f aca="false">IF(AND(C879=C880,W879=W880-1),X879,"")</f>
        <v/>
      </c>
      <c r="AA880" s="0" t="str">
        <f aca="false">IF(AND(C879=C880,W879=W880-1),Y879,"")</f>
        <v/>
      </c>
      <c r="AB880" s="0" t="str">
        <f aca="false">IF(W880=1,"",IF(AND(X880=1,Z880&lt;&gt;1),1,0))</f>
        <v/>
      </c>
      <c r="AC880" s="0" t="str">
        <f aca="false">IF(W880=1,"",IF(AND(Y880=1,AA880&lt;&gt;1),1,0))</f>
        <v/>
      </c>
      <c r="AD880" s="33" t="str">
        <f aca="false">IF(AND(E880&gt;0,W880&lt;1,NOT(AND(C881=C880,W881=W880+1))),INDEX(DATAS,W880+1),"")</f>
        <v/>
      </c>
      <c r="AE880" s="33" t="str">
        <f aca="false">IF(AND(Y880=1,W880&lt;1),IF(AND(C881=C880,W881=W880+1),IF(Y881=1,"",INDEX(DATAS,W880+1)),INDEX(DATAS,W880+1)),"")</f>
        <v/>
      </c>
    </row>
    <row r="881" customFormat="false" ht="15" hidden="false" customHeight="false" outlineLevel="0" collapsed="false">
      <c r="A881" s="33" t="n">
        <v>46309</v>
      </c>
      <c r="B881" s="0" t="n">
        <v>6</v>
      </c>
      <c r="C881" s="0" t="n">
        <v>4846</v>
      </c>
      <c r="D881" s="0" t="n">
        <v>217</v>
      </c>
      <c r="E881" s="0" t="n">
        <v>2</v>
      </c>
      <c r="F881" s="27" t="s">
        <v>689</v>
      </c>
      <c r="G881" s="0" t="n">
        <v>23.4</v>
      </c>
      <c r="H881" s="0" t="n">
        <v>22</v>
      </c>
      <c r="I881" s="27" t="s">
        <v>138</v>
      </c>
      <c r="J881" s="0" t="n">
        <v>179</v>
      </c>
      <c r="K881" s="0" t="n">
        <v>63</v>
      </c>
      <c r="L881" s="0" t="n">
        <v>38</v>
      </c>
      <c r="M881" s="0" t="n">
        <v>714.07</v>
      </c>
      <c r="N881" s="0" t="n">
        <v>63.92</v>
      </c>
      <c r="O881" s="0" t="n">
        <v>48.92</v>
      </c>
      <c r="P881" s="0" t="n">
        <v>6.56</v>
      </c>
      <c r="Q881" s="0" t="n">
        <v>4.28</v>
      </c>
      <c r="R881" s="0" t="n">
        <v>4112</v>
      </c>
      <c r="S881" s="0" t="n">
        <v>7416</v>
      </c>
      <c r="T881" s="0" t="n">
        <v>46.5</v>
      </c>
      <c r="U881" s="0" t="n">
        <v>1192</v>
      </c>
      <c r="V881" s="0" t="n">
        <v>4</v>
      </c>
      <c r="W881" s="27" t="n">
        <f aca="false">MATCH(A881,DATAS,0)</f>
        <v>1</v>
      </c>
      <c r="X881" s="27" t="n">
        <f aca="false">IF(AND(E881&gt;0,OR(AND(B881&gt;=1,B881&lt;=6),B881=10)),1,0)</f>
        <v>1</v>
      </c>
      <c r="Y881" s="27" t="n">
        <f aca="false">IF(AND(E881&gt;0,B881=10),1,0)</f>
        <v>0</v>
      </c>
      <c r="Z881" s="0" t="str">
        <f aca="false">IF(AND(C880=C881,W880=W881-1),X880,"")</f>
        <v/>
      </c>
      <c r="AA881" s="0" t="str">
        <f aca="false">IF(AND(C880=C881,W880=W881-1),Y880,"")</f>
        <v/>
      </c>
      <c r="AB881" s="0" t="str">
        <f aca="false">IF(W881=1,"",IF(AND(X881=1,Z881&lt;&gt;1),1,0))</f>
        <v/>
      </c>
      <c r="AC881" s="0" t="str">
        <f aca="false">IF(W881=1,"",IF(AND(Y881=1,AA881&lt;&gt;1),1,0))</f>
        <v/>
      </c>
      <c r="AD881" s="33" t="str">
        <f aca="false">IF(AND(E881&gt;0,W881&lt;1,NOT(AND(C882=C881,W882=W881+1))),INDEX(DATAS,W881+1),"")</f>
        <v/>
      </c>
      <c r="AE881" s="33" t="str">
        <f aca="false">IF(AND(Y881=1,W881&lt;1),IF(AND(C882=C881,W882=W881+1),IF(Y882=1,"",INDEX(DATAS,W881+1)),INDEX(DATAS,W881+1)),"")</f>
        <v/>
      </c>
    </row>
    <row r="882" customFormat="false" ht="15" hidden="false" customHeight="false" outlineLevel="0" collapsed="false">
      <c r="A882" s="33" t="n">
        <v>46309</v>
      </c>
      <c r="B882" s="0" t="n">
        <v>5</v>
      </c>
      <c r="C882" s="0" t="n">
        <v>4847</v>
      </c>
      <c r="D882" s="0" t="n">
        <v>169</v>
      </c>
      <c r="E882" s="0" t="n">
        <v>2</v>
      </c>
      <c r="F882" s="27" t="s">
        <v>689</v>
      </c>
      <c r="G882" s="0" t="n">
        <v>46.1</v>
      </c>
      <c r="H882" s="0" t="n">
        <v>39</v>
      </c>
      <c r="I882" s="27" t="s">
        <v>138</v>
      </c>
      <c r="J882" s="0" t="n">
        <v>64</v>
      </c>
      <c r="K882" s="0" t="n">
        <v>64</v>
      </c>
      <c r="L882" s="0" t="n">
        <v>105</v>
      </c>
      <c r="M882" s="0" t="n">
        <v>729.34</v>
      </c>
      <c r="N882" s="0" t="n">
        <v>73.67</v>
      </c>
      <c r="O882" s="0" t="n">
        <v>37.54</v>
      </c>
      <c r="P882" s="0" t="n">
        <v>4.26</v>
      </c>
      <c r="Q882" s="0" t="n">
        <v>3.56</v>
      </c>
      <c r="R882" s="0" t="n">
        <v>5005</v>
      </c>
      <c r="S882" s="0" t="n">
        <v>9567</v>
      </c>
      <c r="T882" s="0" t="n">
        <v>54.8</v>
      </c>
      <c r="U882" s="0" t="n">
        <v>1192</v>
      </c>
      <c r="V882" s="0" t="n">
        <v>1</v>
      </c>
      <c r="W882" s="27" t="n">
        <f aca="false">MATCH(A882,DATAS,0)</f>
        <v>1</v>
      </c>
      <c r="X882" s="27" t="n">
        <f aca="false">IF(AND(E882&gt;0,OR(AND(B882&gt;=1,B882&lt;=6),B882=10)),1,0)</f>
        <v>1</v>
      </c>
      <c r="Y882" s="27" t="n">
        <f aca="false">IF(AND(E882&gt;0,B882=10),1,0)</f>
        <v>0</v>
      </c>
      <c r="Z882" s="0" t="str">
        <f aca="false">IF(AND(C881=C882,W881=W882-1),X881,"")</f>
        <v/>
      </c>
      <c r="AA882" s="0" t="str">
        <f aca="false">IF(AND(C881=C882,W881=W882-1),Y881,"")</f>
        <v/>
      </c>
      <c r="AB882" s="0" t="str">
        <f aca="false">IF(W882=1,"",IF(AND(X882=1,Z882&lt;&gt;1),1,0))</f>
        <v/>
      </c>
      <c r="AC882" s="0" t="str">
        <f aca="false">IF(W882=1,"",IF(AND(Y882=1,AA882&lt;&gt;1),1,0))</f>
        <v/>
      </c>
      <c r="AD882" s="33" t="str">
        <f aca="false">IF(AND(E882&gt;0,W882&lt;1,NOT(AND(C883=C882,W883=W882+1))),INDEX(DATAS,W882+1),"")</f>
        <v/>
      </c>
      <c r="AE882" s="33" t="str">
        <f aca="false">IF(AND(Y882=1,W882&lt;1),IF(AND(C883=C882,W883=W882+1),IF(Y883=1,"",INDEX(DATAS,W882+1)),INDEX(DATAS,W882+1)),"")</f>
        <v/>
      </c>
    </row>
    <row r="883" customFormat="false" ht="15" hidden="false" customHeight="false" outlineLevel="0" collapsed="false">
      <c r="A883" s="33" t="n">
        <v>46309</v>
      </c>
      <c r="B883" s="0" t="n">
        <v>2</v>
      </c>
      <c r="C883" s="0" t="n">
        <v>4848</v>
      </c>
      <c r="D883" s="0" t="n">
        <v>176</v>
      </c>
      <c r="E883" s="0" t="n">
        <v>2</v>
      </c>
      <c r="F883" s="27" t="s">
        <v>689</v>
      </c>
      <c r="G883" s="0" t="n">
        <v>42.5</v>
      </c>
      <c r="H883" s="0" t="n">
        <v>50</v>
      </c>
      <c r="I883" s="27" t="s">
        <v>176</v>
      </c>
      <c r="J883" s="0" t="n">
        <v>176</v>
      </c>
      <c r="K883" s="0" t="n">
        <v>64</v>
      </c>
      <c r="M883" s="0" t="n">
        <v>755.53</v>
      </c>
      <c r="N883" s="0" t="n">
        <v>56.19</v>
      </c>
      <c r="O883" s="0" t="n">
        <v>42.5</v>
      </c>
      <c r="P883" s="0" t="n">
        <v>4.01</v>
      </c>
      <c r="Q883" s="0" t="n">
        <v>3.57</v>
      </c>
      <c r="R883" s="0" t="n">
        <v>4953</v>
      </c>
      <c r="S883" s="0" t="n">
        <v>10707</v>
      </c>
      <c r="T883" s="0" t="n">
        <v>59.9</v>
      </c>
      <c r="U883" s="0" t="n">
        <v>1192</v>
      </c>
      <c r="V883" s="0" t="n">
        <v>5</v>
      </c>
      <c r="W883" s="27" t="n">
        <f aca="false">MATCH(A883,DATAS,0)</f>
        <v>1</v>
      </c>
      <c r="X883" s="27" t="n">
        <f aca="false">IF(AND(E883&gt;0,OR(AND(B883&gt;=1,B883&lt;=6),B883=10)),1,0)</f>
        <v>1</v>
      </c>
      <c r="Y883" s="27" t="n">
        <f aca="false">IF(AND(E883&gt;0,B883=10),1,0)</f>
        <v>0</v>
      </c>
      <c r="Z883" s="0" t="str">
        <f aca="false">IF(AND(C882=C883,W882=W883-1),X882,"")</f>
        <v/>
      </c>
      <c r="AA883" s="0" t="str">
        <f aca="false">IF(AND(C882=C883,W882=W883-1),Y882,"")</f>
        <v/>
      </c>
      <c r="AB883" s="0" t="str">
        <f aca="false">IF(W883=1,"",IF(AND(X883=1,Z883&lt;&gt;1),1,0))</f>
        <v/>
      </c>
      <c r="AC883" s="0" t="str">
        <f aca="false">IF(W883=1,"",IF(AND(Y883=1,AA883&lt;&gt;1),1,0))</f>
        <v/>
      </c>
      <c r="AD883" s="33" t="str">
        <f aca="false">IF(AND(E883&gt;0,W883&lt;1,NOT(AND(C884=C883,W884=W883+1))),INDEX(DATAS,W883+1),"")</f>
        <v/>
      </c>
      <c r="AE883" s="33" t="str">
        <f aca="false">IF(AND(Y883=1,W883&lt;1),IF(AND(C884=C883,W884=W883+1),IF(Y884=1,"",INDEX(DATAS,W883+1)),INDEX(DATAS,W883+1)),"")</f>
        <v/>
      </c>
    </row>
    <row r="884" customFormat="false" ht="15" hidden="false" customHeight="false" outlineLevel="0" collapsed="false">
      <c r="A884" s="33" t="n">
        <v>46309</v>
      </c>
      <c r="B884" s="0" t="n">
        <v>6</v>
      </c>
      <c r="C884" s="0" t="n">
        <v>4849</v>
      </c>
      <c r="D884" s="0" t="n">
        <v>259</v>
      </c>
      <c r="E884" s="0" t="n">
        <v>2</v>
      </c>
      <c r="F884" s="27" t="s">
        <v>690</v>
      </c>
      <c r="G884" s="0" t="n">
        <v>31.1</v>
      </c>
      <c r="H884" s="0" t="n">
        <v>28</v>
      </c>
      <c r="I884" s="27" t="s">
        <v>138</v>
      </c>
      <c r="J884" s="0" t="n">
        <v>183</v>
      </c>
      <c r="K884" s="0" t="n">
        <v>77</v>
      </c>
      <c r="L884" s="0" t="n">
        <v>76</v>
      </c>
      <c r="M884" s="0" t="n">
        <v>917.42</v>
      </c>
      <c r="N884" s="0" t="n">
        <v>38.64</v>
      </c>
      <c r="O884" s="0" t="n">
        <v>26.77</v>
      </c>
      <c r="P884" s="0" t="n">
        <v>4.03</v>
      </c>
      <c r="Q884" s="0" t="n">
        <v>3.62</v>
      </c>
      <c r="R884" s="0" t="n">
        <v>3218</v>
      </c>
      <c r="S884" s="0" t="n">
        <v>6454</v>
      </c>
      <c r="T884" s="0" t="n">
        <v>35.05</v>
      </c>
      <c r="U884" s="0" t="n">
        <v>1191</v>
      </c>
      <c r="V884" s="0" t="n">
        <v>4</v>
      </c>
      <c r="W884" s="27" t="n">
        <f aca="false">MATCH(A884,DATAS,0)</f>
        <v>1</v>
      </c>
      <c r="X884" s="27" t="n">
        <f aca="false">IF(AND(E884&gt;0,OR(AND(B884&gt;=1,B884&lt;=6),B884=10)),1,0)</f>
        <v>1</v>
      </c>
      <c r="Y884" s="27" t="n">
        <f aca="false">IF(AND(E884&gt;0,B884=10),1,0)</f>
        <v>0</v>
      </c>
      <c r="Z884" s="0" t="str">
        <f aca="false">IF(AND(C883=C884,W883=W884-1),X883,"")</f>
        <v/>
      </c>
      <c r="AA884" s="0" t="str">
        <f aca="false">IF(AND(C883=C884,W883=W884-1),Y883,"")</f>
        <v/>
      </c>
      <c r="AB884" s="0" t="str">
        <f aca="false">IF(W884=1,"",IF(AND(X884=1,Z884&lt;&gt;1),1,0))</f>
        <v/>
      </c>
      <c r="AC884" s="0" t="str">
        <f aca="false">IF(W884=1,"",IF(AND(Y884=1,AA884&lt;&gt;1),1,0))</f>
        <v/>
      </c>
      <c r="AD884" s="33" t="str">
        <f aca="false">IF(AND(E884&gt;0,W884&lt;1,NOT(AND(C885=C884,W885=W884+1))),INDEX(DATAS,W884+1),"")</f>
        <v/>
      </c>
      <c r="AE884" s="33" t="str">
        <f aca="false">IF(AND(Y884=1,W884&lt;1),IF(AND(C885=C884,W885=W884+1),IF(Y885=1,"",INDEX(DATAS,W884+1)),INDEX(DATAS,W884+1)),"")</f>
        <v/>
      </c>
    </row>
    <row r="885" customFormat="false" ht="15" hidden="false" customHeight="false" outlineLevel="0" collapsed="false">
      <c r="A885" s="33" t="n">
        <v>46309</v>
      </c>
      <c r="B885" s="0" t="n">
        <v>5</v>
      </c>
      <c r="C885" s="0" t="n">
        <v>4850</v>
      </c>
      <c r="D885" s="0" t="n">
        <v>72</v>
      </c>
      <c r="E885" s="0" t="n">
        <v>2</v>
      </c>
      <c r="F885" s="27" t="s">
        <v>690</v>
      </c>
      <c r="G885" s="0" t="n">
        <v>30.5</v>
      </c>
      <c r="H885" s="0" t="n">
        <v>29</v>
      </c>
      <c r="I885" s="27" t="s">
        <v>168</v>
      </c>
      <c r="J885" s="0" t="n">
        <v>72</v>
      </c>
      <c r="K885" s="0" t="n">
        <v>65</v>
      </c>
      <c r="M885" s="0" t="n">
        <v>1025.67</v>
      </c>
      <c r="N885" s="0" t="n">
        <v>22.01</v>
      </c>
      <c r="O885" s="0" t="n">
        <v>29.26</v>
      </c>
      <c r="P885" s="0" t="n">
        <v>3.44</v>
      </c>
      <c r="Q885" s="0" t="n">
        <v>3.58</v>
      </c>
      <c r="R885" s="0" t="n">
        <v>2913</v>
      </c>
      <c r="S885" s="0" t="n">
        <v>5856</v>
      </c>
      <c r="U885" s="0" t="n">
        <v>1191</v>
      </c>
      <c r="V885" s="0" t="n">
        <v>1</v>
      </c>
      <c r="W885" s="27" t="n">
        <f aca="false">MATCH(A885,DATAS,0)</f>
        <v>1</v>
      </c>
      <c r="X885" s="27" t="n">
        <f aca="false">IF(AND(E885&gt;0,OR(AND(B885&gt;=1,B885&lt;=6),B885=10)),1,0)</f>
        <v>1</v>
      </c>
      <c r="Y885" s="27" t="n">
        <f aca="false">IF(AND(E885&gt;0,B885=10),1,0)</f>
        <v>0</v>
      </c>
      <c r="Z885" s="0" t="str">
        <f aca="false">IF(AND(C884=C885,W884=W885-1),X884,"")</f>
        <v/>
      </c>
      <c r="AA885" s="0" t="str">
        <f aca="false">IF(AND(C884=C885,W884=W885-1),Y884,"")</f>
        <v/>
      </c>
      <c r="AB885" s="0" t="str">
        <f aca="false">IF(W885=1,"",IF(AND(X885=1,Z885&lt;&gt;1),1,0))</f>
        <v/>
      </c>
      <c r="AC885" s="0" t="str">
        <f aca="false">IF(W885=1,"",IF(AND(Y885=1,AA885&lt;&gt;1),1,0))</f>
        <v/>
      </c>
      <c r="AD885" s="33" t="str">
        <f aca="false">IF(AND(E885&gt;0,W885&lt;1,NOT(AND(C886=C885,W886=W885+1))),INDEX(DATAS,W885+1),"")</f>
        <v/>
      </c>
      <c r="AE885" s="33" t="str">
        <f aca="false">IF(AND(Y885=1,W885&lt;1),IF(AND(C886=C885,W886=W885+1),IF(Y886=1,"",INDEX(DATAS,W885+1)),INDEX(DATAS,W885+1)),"")</f>
        <v/>
      </c>
    </row>
    <row r="886" customFormat="false" ht="15" hidden="false" customHeight="false" outlineLevel="0" collapsed="false">
      <c r="A886" s="33" t="n">
        <v>46309</v>
      </c>
      <c r="B886" s="0" t="n">
        <v>2</v>
      </c>
      <c r="C886" s="0" t="n">
        <v>4851</v>
      </c>
      <c r="D886" s="0" t="n">
        <v>187</v>
      </c>
      <c r="E886" s="0" t="n">
        <v>2</v>
      </c>
      <c r="F886" s="27" t="s">
        <v>690</v>
      </c>
      <c r="G886" s="0" t="n">
        <v>42</v>
      </c>
      <c r="H886" s="0" t="n">
        <v>54</v>
      </c>
      <c r="I886" s="27" t="s">
        <v>138</v>
      </c>
      <c r="J886" s="0" t="n">
        <v>140</v>
      </c>
      <c r="K886" s="0" t="n">
        <v>68</v>
      </c>
      <c r="L886" s="0" t="n">
        <v>47</v>
      </c>
      <c r="M886" s="0" t="n">
        <v>453.29</v>
      </c>
      <c r="N886" s="0" t="n">
        <v>50.69</v>
      </c>
      <c r="O886" s="0" t="n">
        <v>28.46</v>
      </c>
      <c r="P886" s="0" t="n">
        <v>2.87</v>
      </c>
      <c r="Q886" s="0" t="n">
        <v>3.48</v>
      </c>
      <c r="R886" s="0" t="n">
        <v>4712</v>
      </c>
      <c r="S886" s="0" t="n">
        <v>10218</v>
      </c>
      <c r="T886" s="0" t="n">
        <v>52.95</v>
      </c>
      <c r="U886" s="0" t="n">
        <v>1191</v>
      </c>
      <c r="V886" s="0" t="n">
        <v>3</v>
      </c>
      <c r="W886" s="27" t="n">
        <f aca="false">MATCH(A886,DATAS,0)</f>
        <v>1</v>
      </c>
      <c r="X886" s="27" t="n">
        <f aca="false">IF(AND(E886&gt;0,OR(AND(B886&gt;=1,B886&lt;=6),B886=10)),1,0)</f>
        <v>1</v>
      </c>
      <c r="Y886" s="27" t="n">
        <f aca="false">IF(AND(E886&gt;0,B886=10),1,0)</f>
        <v>0</v>
      </c>
      <c r="Z886" s="0" t="str">
        <f aca="false">IF(AND(C885=C886,W885=W886-1),X885,"")</f>
        <v/>
      </c>
      <c r="AA886" s="0" t="str">
        <f aca="false">IF(AND(C885=C886,W885=W886-1),Y885,"")</f>
        <v/>
      </c>
      <c r="AB886" s="0" t="str">
        <f aca="false">IF(W886=1,"",IF(AND(X886=1,Z886&lt;&gt;1),1,0))</f>
        <v/>
      </c>
      <c r="AC886" s="0" t="str">
        <f aca="false">IF(W886=1,"",IF(AND(Y886=1,AA886&lt;&gt;1),1,0))</f>
        <v/>
      </c>
      <c r="AD886" s="33" t="str">
        <f aca="false">IF(AND(E886&gt;0,W886&lt;1,NOT(AND(C887=C886,W887=W886+1))),INDEX(DATAS,W886+1),"")</f>
        <v/>
      </c>
      <c r="AE886" s="33" t="str">
        <f aca="false">IF(AND(Y886=1,W886&lt;1),IF(AND(C887=C886,W887=W886+1),IF(Y887=1,"",INDEX(DATAS,W886+1)),INDEX(DATAS,W886+1)),"")</f>
        <v/>
      </c>
    </row>
    <row r="887" customFormat="false" ht="15" hidden="false" customHeight="false" outlineLevel="0" collapsed="false">
      <c r="A887" s="33" t="n">
        <v>46309</v>
      </c>
      <c r="B887" s="0" t="n">
        <v>3</v>
      </c>
      <c r="C887" s="0" t="n">
        <v>4852</v>
      </c>
      <c r="D887" s="0" t="n">
        <v>195</v>
      </c>
      <c r="E887" s="0" t="n">
        <v>2</v>
      </c>
      <c r="F887" s="27" t="s">
        <v>691</v>
      </c>
      <c r="G887" s="0" t="n">
        <v>51</v>
      </c>
      <c r="H887" s="0" t="n">
        <v>49</v>
      </c>
      <c r="I887" s="27" t="s">
        <v>138</v>
      </c>
      <c r="J887" s="0" t="n">
        <v>132</v>
      </c>
      <c r="K887" s="0" t="n">
        <v>62</v>
      </c>
      <c r="L887" s="0" t="n">
        <v>63</v>
      </c>
      <c r="M887" s="0" t="n">
        <v>25.13</v>
      </c>
      <c r="N887" s="0" t="n">
        <v>55.39</v>
      </c>
      <c r="O887" s="0" t="n">
        <v>29.67</v>
      </c>
      <c r="P887" s="0" t="n">
        <v>4.55</v>
      </c>
      <c r="Q887" s="0" t="n">
        <v>3.68</v>
      </c>
      <c r="R887" s="0" t="n">
        <v>4384</v>
      </c>
      <c r="S887" s="0" t="n">
        <v>9349</v>
      </c>
      <c r="T887" s="0" t="n">
        <v>48.2</v>
      </c>
      <c r="U887" s="0" t="n">
        <v>1190</v>
      </c>
      <c r="V887" s="0" t="n">
        <v>2</v>
      </c>
      <c r="W887" s="27" t="n">
        <f aca="false">MATCH(A887,DATAS,0)</f>
        <v>1</v>
      </c>
      <c r="X887" s="27" t="n">
        <f aca="false">IF(AND(E887&gt;0,OR(AND(B887&gt;=1,B887&lt;=6),B887=10)),1,0)</f>
        <v>1</v>
      </c>
      <c r="Y887" s="27" t="n">
        <f aca="false">IF(AND(E887&gt;0,B887=10),1,0)</f>
        <v>0</v>
      </c>
      <c r="Z887" s="0" t="str">
        <f aca="false">IF(AND(C886=C887,W886=W887-1),X886,"")</f>
        <v/>
      </c>
      <c r="AA887" s="0" t="str">
        <f aca="false">IF(AND(C886=C887,W886=W887-1),Y886,"")</f>
        <v/>
      </c>
      <c r="AB887" s="0" t="str">
        <f aca="false">IF(W887=1,"",IF(AND(X887=1,Z887&lt;&gt;1),1,0))</f>
        <v/>
      </c>
      <c r="AC887" s="0" t="str">
        <f aca="false">IF(W887=1,"",IF(AND(Y887=1,AA887&lt;&gt;1),1,0))</f>
        <v/>
      </c>
      <c r="AD887" s="33" t="str">
        <f aca="false">IF(AND(E887&gt;0,W887&lt;1,NOT(AND(C888=C887,W888=W887+1))),INDEX(DATAS,W887+1),"")</f>
        <v/>
      </c>
      <c r="AE887" s="33" t="str">
        <f aca="false">IF(AND(Y887=1,W887&lt;1),IF(AND(C888=C887,W888=W887+1),IF(Y888=1,"",INDEX(DATAS,W887+1)),INDEX(DATAS,W887+1)),"")</f>
        <v/>
      </c>
    </row>
    <row r="888" customFormat="false" ht="15" hidden="false" customHeight="false" outlineLevel="0" collapsed="false">
      <c r="A888" s="33" t="n">
        <v>46309</v>
      </c>
      <c r="B888" s="0" t="n">
        <v>2</v>
      </c>
      <c r="C888" s="0" t="n">
        <v>4853</v>
      </c>
      <c r="D888" s="0" t="n">
        <v>129</v>
      </c>
      <c r="E888" s="0" t="n">
        <v>2</v>
      </c>
      <c r="F888" s="27" t="s">
        <v>691</v>
      </c>
      <c r="G888" s="0" t="n">
        <v>51.7</v>
      </c>
      <c r="H888" s="0" t="n">
        <v>55</v>
      </c>
      <c r="I888" s="27" t="s">
        <v>138</v>
      </c>
      <c r="J888" s="0" t="n">
        <v>66</v>
      </c>
      <c r="K888" s="0" t="n">
        <v>66</v>
      </c>
      <c r="L888" s="0" t="n">
        <v>63</v>
      </c>
      <c r="M888" s="0" t="n">
        <v>491.16</v>
      </c>
      <c r="N888" s="0" t="n">
        <v>55.91</v>
      </c>
      <c r="O888" s="0" t="n">
        <v>35.93</v>
      </c>
      <c r="P888" s="0" t="n">
        <v>3.63</v>
      </c>
      <c r="Q888" s="0" t="n">
        <v>3.62</v>
      </c>
      <c r="R888" s="0" t="n">
        <v>5484</v>
      </c>
      <c r="S888" s="0" t="n">
        <v>10843</v>
      </c>
      <c r="T888" s="0" t="n">
        <v>62.4</v>
      </c>
      <c r="U888" s="0" t="n">
        <v>1190</v>
      </c>
      <c r="V888" s="0" t="n">
        <v>1</v>
      </c>
      <c r="W888" s="27" t="n">
        <f aca="false">MATCH(A888,DATAS,0)</f>
        <v>1</v>
      </c>
      <c r="X888" s="27" t="n">
        <f aca="false">IF(AND(E888&gt;0,OR(AND(B888&gt;=1,B888&lt;=6),B888=10)),1,0)</f>
        <v>1</v>
      </c>
      <c r="Y888" s="27" t="n">
        <f aca="false">IF(AND(E888&gt;0,B888=10),1,0)</f>
        <v>0</v>
      </c>
      <c r="Z888" s="0" t="str">
        <f aca="false">IF(AND(C887=C888,W887=W888-1),X887,"")</f>
        <v/>
      </c>
      <c r="AA888" s="0" t="str">
        <f aca="false">IF(AND(C887=C888,W887=W888-1),Y887,"")</f>
        <v/>
      </c>
      <c r="AB888" s="0" t="str">
        <f aca="false">IF(W888=1,"",IF(AND(X888=1,Z888&lt;&gt;1),1,0))</f>
        <v/>
      </c>
      <c r="AC888" s="0" t="str">
        <f aca="false">IF(W888=1,"",IF(AND(Y888=1,AA888&lt;&gt;1),1,0))</f>
        <v/>
      </c>
      <c r="AD888" s="33" t="str">
        <f aca="false">IF(AND(E888&gt;0,W888&lt;1,NOT(AND(C889=C888,W889=W888+1))),INDEX(DATAS,W888+1),"")</f>
        <v/>
      </c>
      <c r="AE888" s="33" t="str">
        <f aca="false">IF(AND(Y888=1,W888&lt;1),IF(AND(C889=C888,W889=W888+1),IF(Y889=1,"",INDEX(DATAS,W888+1)),INDEX(DATAS,W888+1)),"")</f>
        <v/>
      </c>
    </row>
    <row r="889" customFormat="false" ht="15" hidden="false" customHeight="false" outlineLevel="0" collapsed="false">
      <c r="A889" s="33" t="n">
        <v>46309</v>
      </c>
      <c r="B889" s="0" t="n">
        <v>3</v>
      </c>
      <c r="C889" s="0" t="n">
        <v>4855</v>
      </c>
      <c r="D889" s="0" t="n">
        <v>165</v>
      </c>
      <c r="E889" s="0" t="n">
        <v>2</v>
      </c>
      <c r="F889" s="27" t="s">
        <v>692</v>
      </c>
      <c r="G889" s="0" t="n">
        <v>55.7</v>
      </c>
      <c r="H889" s="0" t="n">
        <v>58</v>
      </c>
      <c r="I889" s="27" t="s">
        <v>138</v>
      </c>
      <c r="J889" s="0" t="n">
        <v>109</v>
      </c>
      <c r="K889" s="0" t="n">
        <v>67</v>
      </c>
      <c r="L889" s="0" t="n">
        <v>56</v>
      </c>
      <c r="M889" s="0" t="n">
        <v>563.29</v>
      </c>
      <c r="N889" s="0" t="n">
        <v>60.67</v>
      </c>
      <c r="O889" s="0" t="n">
        <v>30.52</v>
      </c>
      <c r="P889" s="0" t="n">
        <v>3.57</v>
      </c>
      <c r="Q889" s="0" t="n">
        <v>3.3</v>
      </c>
      <c r="R889" s="0" t="n">
        <v>5066</v>
      </c>
      <c r="S889" s="0" t="n">
        <v>10606</v>
      </c>
      <c r="T889" s="0" t="n">
        <v>58.5</v>
      </c>
      <c r="U889" s="0" t="n">
        <v>1189</v>
      </c>
      <c r="V889" s="0" t="n">
        <v>2</v>
      </c>
      <c r="W889" s="27" t="n">
        <f aca="false">MATCH(A889,DATAS,0)</f>
        <v>1</v>
      </c>
      <c r="X889" s="27" t="n">
        <f aca="false">IF(AND(E889&gt;0,OR(AND(B889&gt;=1,B889&lt;=6),B889=10)),1,0)</f>
        <v>1</v>
      </c>
      <c r="Y889" s="27" t="n">
        <f aca="false">IF(AND(E889&gt;0,B889=10),1,0)</f>
        <v>0</v>
      </c>
      <c r="Z889" s="0" t="str">
        <f aca="false">IF(AND(C888=C889,W888=W889-1),X888,"")</f>
        <v/>
      </c>
      <c r="AA889" s="0" t="str">
        <f aca="false">IF(AND(C888=C889,W888=W889-1),Y888,"")</f>
        <v/>
      </c>
      <c r="AB889" s="0" t="str">
        <f aca="false">IF(W889=1,"",IF(AND(X889=1,Z889&lt;&gt;1),1,0))</f>
        <v/>
      </c>
      <c r="AC889" s="0" t="str">
        <f aca="false">IF(W889=1,"",IF(AND(Y889=1,AA889&lt;&gt;1),1,0))</f>
        <v/>
      </c>
      <c r="AD889" s="33" t="str">
        <f aca="false">IF(AND(E889&gt;0,W889&lt;1,NOT(AND(C890=C889,W890=W889+1))),INDEX(DATAS,W889+1),"")</f>
        <v/>
      </c>
      <c r="AE889" s="33" t="str">
        <f aca="false">IF(AND(Y889=1,W889&lt;1),IF(AND(C890=C889,W890=W889+1),IF(Y890=1,"",INDEX(DATAS,W889+1)),INDEX(DATAS,W889+1)),"")</f>
        <v/>
      </c>
    </row>
    <row r="890" customFormat="false" ht="15" hidden="false" customHeight="false" outlineLevel="0" collapsed="false">
      <c r="A890" s="33" t="n">
        <v>46309</v>
      </c>
      <c r="B890" s="0" t="n">
        <v>2</v>
      </c>
      <c r="C890" s="0" t="n">
        <v>4856</v>
      </c>
      <c r="D890" s="0" t="n">
        <v>16</v>
      </c>
      <c r="E890" s="0" t="n">
        <v>2</v>
      </c>
      <c r="F890" s="27" t="s">
        <v>693</v>
      </c>
      <c r="G890" s="0" t="n">
        <v>44.6</v>
      </c>
      <c r="H890" s="0" t="n">
        <v>47</v>
      </c>
      <c r="I890" s="27" t="s">
        <v>147</v>
      </c>
      <c r="J890" s="0" t="n">
        <v>16</v>
      </c>
      <c r="M890" s="0" t="n">
        <v>878.65</v>
      </c>
      <c r="N890" s="0" t="n">
        <v>34.2</v>
      </c>
      <c r="O890" s="0" t="n">
        <v>27.16</v>
      </c>
      <c r="R890" s="0" t="n">
        <v>4104</v>
      </c>
      <c r="S890" s="0" t="n">
        <v>8251</v>
      </c>
      <c r="U890" s="0" t="n">
        <v>1188</v>
      </c>
      <c r="V890" s="0" t="n">
        <v>0</v>
      </c>
      <c r="W890" s="27" t="n">
        <f aca="false">MATCH(A890,DATAS,0)</f>
        <v>1</v>
      </c>
      <c r="X890" s="27" t="n">
        <f aca="false">IF(AND(E890&gt;0,OR(AND(B890&gt;=1,B890&lt;=6),B890=10)),1,0)</f>
        <v>1</v>
      </c>
      <c r="Y890" s="27" t="n">
        <f aca="false">IF(AND(E890&gt;0,B890=10),1,0)</f>
        <v>0</v>
      </c>
      <c r="Z890" s="0" t="str">
        <f aca="false">IF(AND(C889=C890,W889=W890-1),X889,"")</f>
        <v/>
      </c>
      <c r="AA890" s="0" t="str">
        <f aca="false">IF(AND(C889=C890,W889=W890-1),Y889,"")</f>
        <v/>
      </c>
      <c r="AB890" s="0" t="str">
        <f aca="false">IF(W890=1,"",IF(AND(X890=1,Z890&lt;&gt;1),1,0))</f>
        <v/>
      </c>
      <c r="AC890" s="0" t="str">
        <f aca="false">IF(W890=1,"",IF(AND(Y890=1,AA890&lt;&gt;1),1,0))</f>
        <v/>
      </c>
      <c r="AD890" s="33" t="str">
        <f aca="false">IF(AND(E890&gt;0,W890&lt;1,NOT(AND(C891=C890,W891=W890+1))),INDEX(DATAS,W890+1),"")</f>
        <v/>
      </c>
      <c r="AE890" s="33" t="str">
        <f aca="false">IF(AND(Y890=1,W890&lt;1),IF(AND(C891=C890,W891=W890+1),IF(Y891=1,"",INDEX(DATAS,W890+1)),INDEX(DATAS,W890+1)),"")</f>
        <v/>
      </c>
    </row>
    <row r="891" customFormat="false" ht="15" hidden="false" customHeight="false" outlineLevel="0" collapsed="false">
      <c r="A891" s="33" t="n">
        <v>46309</v>
      </c>
      <c r="B891" s="0" t="n">
        <v>2</v>
      </c>
      <c r="C891" s="0" t="n">
        <v>4857</v>
      </c>
      <c r="D891" s="0" t="n">
        <v>54</v>
      </c>
      <c r="E891" s="0" t="n">
        <v>2</v>
      </c>
      <c r="F891" s="27" t="s">
        <v>693</v>
      </c>
      <c r="G891" s="0" t="n">
        <v>44.7</v>
      </c>
      <c r="H891" s="0" t="n">
        <v>48</v>
      </c>
      <c r="I891" s="27" t="s">
        <v>147</v>
      </c>
      <c r="J891" s="0" t="n">
        <v>54</v>
      </c>
      <c r="M891" s="0" t="n">
        <v>606.56</v>
      </c>
      <c r="N891" s="0" t="n">
        <v>82.56</v>
      </c>
      <c r="O891" s="0" t="n">
        <v>49.86</v>
      </c>
      <c r="P891" s="0" t="n">
        <v>3.77</v>
      </c>
      <c r="Q891" s="0" t="n">
        <v>3.45</v>
      </c>
      <c r="R891" s="0" t="n">
        <v>4547</v>
      </c>
      <c r="S891" s="0" t="n">
        <v>9141</v>
      </c>
      <c r="U891" s="0" t="n">
        <v>1188</v>
      </c>
      <c r="V891" s="0" t="n">
        <v>0</v>
      </c>
      <c r="W891" s="27" t="n">
        <f aca="false">MATCH(A891,DATAS,0)</f>
        <v>1</v>
      </c>
      <c r="X891" s="27" t="n">
        <f aca="false">IF(AND(E891&gt;0,OR(AND(B891&gt;=1,B891&lt;=6),B891=10)),1,0)</f>
        <v>1</v>
      </c>
      <c r="Y891" s="27" t="n">
        <f aca="false">IF(AND(E891&gt;0,B891=10),1,0)</f>
        <v>0</v>
      </c>
      <c r="Z891" s="0" t="str">
        <f aca="false">IF(AND(C890=C891,W890=W891-1),X890,"")</f>
        <v/>
      </c>
      <c r="AA891" s="0" t="str">
        <f aca="false">IF(AND(C890=C891,W890=W891-1),Y890,"")</f>
        <v/>
      </c>
      <c r="AB891" s="0" t="str">
        <f aca="false">IF(W891=1,"",IF(AND(X891=1,Z891&lt;&gt;1),1,0))</f>
        <v/>
      </c>
      <c r="AC891" s="0" t="str">
        <f aca="false">IF(W891=1,"",IF(AND(Y891=1,AA891&lt;&gt;1),1,0))</f>
        <v/>
      </c>
      <c r="AD891" s="33" t="str">
        <f aca="false">IF(AND(E891&gt;0,W891&lt;1,NOT(AND(C892=C891,W892=W891+1))),INDEX(DATAS,W891+1),"")</f>
        <v/>
      </c>
      <c r="AE891" s="33" t="str">
        <f aca="false">IF(AND(Y891=1,W891&lt;1),IF(AND(C892=C891,W892=W891+1),IF(Y892=1,"",INDEX(DATAS,W891+1)),INDEX(DATAS,W891+1)),"")</f>
        <v/>
      </c>
    </row>
    <row r="892" customFormat="false" ht="15" hidden="false" customHeight="false" outlineLevel="0" collapsed="false">
      <c r="A892" s="33" t="n">
        <v>46309</v>
      </c>
      <c r="B892" s="0" t="n">
        <v>4</v>
      </c>
      <c r="C892" s="0" t="n">
        <v>4859</v>
      </c>
      <c r="D892" s="0" t="n">
        <v>185</v>
      </c>
      <c r="E892" s="0" t="n">
        <v>1</v>
      </c>
      <c r="F892" s="27" t="s">
        <v>693</v>
      </c>
      <c r="G892" s="0" t="n">
        <v>59.7</v>
      </c>
      <c r="H892" s="0" t="n">
        <v>60</v>
      </c>
      <c r="I892" s="27" t="s">
        <v>138</v>
      </c>
      <c r="J892" s="0" t="n">
        <v>101</v>
      </c>
      <c r="K892" s="0" t="n">
        <v>66</v>
      </c>
      <c r="L892" s="0" t="n">
        <v>84</v>
      </c>
      <c r="M892" s="0" t="n">
        <v>865.82</v>
      </c>
      <c r="N892" s="0" t="n">
        <v>51.91</v>
      </c>
      <c r="O892" s="0" t="n">
        <v>30.8</v>
      </c>
      <c r="P892" s="0" t="n">
        <v>3.72</v>
      </c>
      <c r="Q892" s="0" t="n">
        <v>3.28</v>
      </c>
      <c r="R892" s="0" t="n">
        <v>5372</v>
      </c>
      <c r="S892" s="0" t="n">
        <v>11562</v>
      </c>
      <c r="T892" s="0" t="n">
        <v>57.15</v>
      </c>
      <c r="U892" s="0" t="n">
        <v>1188</v>
      </c>
      <c r="V892" s="0" t="n">
        <v>2</v>
      </c>
      <c r="W892" s="27" t="n">
        <f aca="false">MATCH(A892,DATAS,0)</f>
        <v>1</v>
      </c>
      <c r="X892" s="27" t="n">
        <f aca="false">IF(AND(E892&gt;0,OR(AND(B892&gt;=1,B892&lt;=6),B892=10)),1,0)</f>
        <v>1</v>
      </c>
      <c r="Y892" s="27" t="n">
        <f aca="false">IF(AND(E892&gt;0,B892=10),1,0)</f>
        <v>0</v>
      </c>
      <c r="Z892" s="0" t="str">
        <f aca="false">IF(AND(C891=C892,W891=W892-1),X891,"")</f>
        <v/>
      </c>
      <c r="AA892" s="0" t="str">
        <f aca="false">IF(AND(C891=C892,W891=W892-1),Y891,"")</f>
        <v/>
      </c>
      <c r="AB892" s="0" t="str">
        <f aca="false">IF(W892=1,"",IF(AND(X892=1,Z892&lt;&gt;1),1,0))</f>
        <v/>
      </c>
      <c r="AC892" s="0" t="str">
        <f aca="false">IF(W892=1,"",IF(AND(Y892=1,AA892&lt;&gt;1),1,0))</f>
        <v/>
      </c>
      <c r="AD892" s="33" t="str">
        <f aca="false">IF(AND(E892&gt;0,W892&lt;1,NOT(AND(C893=C892,W893=W892+1))),INDEX(DATAS,W892+1),"")</f>
        <v/>
      </c>
      <c r="AE892" s="33" t="str">
        <f aca="false">IF(AND(Y892=1,W892&lt;1),IF(AND(C893=C892,W893=W892+1),IF(Y893=1,"",INDEX(DATAS,W892+1)),INDEX(DATAS,W892+1)),"")</f>
        <v/>
      </c>
    </row>
    <row r="893" customFormat="false" ht="15" hidden="false" customHeight="false" outlineLevel="0" collapsed="false">
      <c r="A893" s="33" t="n">
        <v>46309</v>
      </c>
      <c r="B893" s="0" t="n">
        <v>6</v>
      </c>
      <c r="C893" s="0" t="n">
        <v>4860</v>
      </c>
      <c r="D893" s="0" t="n">
        <v>173</v>
      </c>
      <c r="E893" s="0" t="n">
        <v>2</v>
      </c>
      <c r="F893" s="27" t="s">
        <v>694</v>
      </c>
      <c r="G893" s="0" t="n">
        <v>23.5</v>
      </c>
      <c r="H893" s="0" t="n">
        <v>28</v>
      </c>
      <c r="I893" s="27" t="s">
        <v>138</v>
      </c>
      <c r="J893" s="0" t="n">
        <v>117</v>
      </c>
      <c r="K893" s="0" t="n">
        <v>61</v>
      </c>
      <c r="L893" s="0" t="n">
        <v>56</v>
      </c>
      <c r="M893" s="0" t="n">
        <v>555.41</v>
      </c>
      <c r="N893" s="0" t="n">
        <v>65.43</v>
      </c>
      <c r="O893" s="0" t="n">
        <v>35.41</v>
      </c>
      <c r="P893" s="0" t="n">
        <v>5.1</v>
      </c>
      <c r="Q893" s="0" t="n">
        <v>3.6</v>
      </c>
      <c r="R893" s="0" t="n">
        <v>5684</v>
      </c>
      <c r="S893" s="0" t="n">
        <v>10238</v>
      </c>
      <c r="T893" s="0" t="n">
        <v>63.4</v>
      </c>
      <c r="U893" s="0" t="n">
        <v>1187</v>
      </c>
      <c r="V893" s="0" t="n">
        <v>3</v>
      </c>
      <c r="W893" s="27" t="n">
        <f aca="false">MATCH(A893,DATAS,0)</f>
        <v>1</v>
      </c>
      <c r="X893" s="27" t="n">
        <f aca="false">IF(AND(E893&gt;0,OR(AND(B893&gt;=1,B893&lt;=6),B893=10)),1,0)</f>
        <v>1</v>
      </c>
      <c r="Y893" s="27" t="n">
        <f aca="false">IF(AND(E893&gt;0,B893=10),1,0)</f>
        <v>0</v>
      </c>
      <c r="Z893" s="0" t="str">
        <f aca="false">IF(AND(C892=C893,W892=W893-1),X892,"")</f>
        <v/>
      </c>
      <c r="AA893" s="0" t="str">
        <f aca="false">IF(AND(C892=C893,W892=W893-1),Y892,"")</f>
        <v/>
      </c>
      <c r="AB893" s="0" t="str">
        <f aca="false">IF(W893=1,"",IF(AND(X893=1,Z893&lt;&gt;1),1,0))</f>
        <v/>
      </c>
      <c r="AC893" s="0" t="str">
        <f aca="false">IF(W893=1,"",IF(AND(Y893=1,AA893&lt;&gt;1),1,0))</f>
        <v/>
      </c>
      <c r="AD893" s="33" t="str">
        <f aca="false">IF(AND(E893&gt;0,W893&lt;1,NOT(AND(C894=C893,W894=W893+1))),INDEX(DATAS,W893+1),"")</f>
        <v/>
      </c>
      <c r="AE893" s="33" t="str">
        <f aca="false">IF(AND(Y893=1,W893&lt;1),IF(AND(C894=C893,W894=W893+1),IF(Y894=1,"",INDEX(DATAS,W893+1)),INDEX(DATAS,W893+1)),"")</f>
        <v/>
      </c>
    </row>
    <row r="894" customFormat="false" ht="15" hidden="false" customHeight="false" outlineLevel="0" collapsed="false">
      <c r="A894" s="33" t="n">
        <v>46309</v>
      </c>
      <c r="B894" s="0" t="n">
        <v>5</v>
      </c>
      <c r="C894" s="0" t="n">
        <v>4861</v>
      </c>
      <c r="D894" s="0" t="n">
        <v>200</v>
      </c>
      <c r="E894" s="0" t="n">
        <v>2</v>
      </c>
      <c r="F894" s="27" t="s">
        <v>695</v>
      </c>
      <c r="G894" s="0" t="n">
        <v>32.9</v>
      </c>
      <c r="H894" s="0" t="n">
        <v>30</v>
      </c>
      <c r="I894" s="27" t="s">
        <v>138</v>
      </c>
      <c r="J894" s="0" t="n">
        <v>67</v>
      </c>
      <c r="K894" s="0" t="n">
        <v>67</v>
      </c>
      <c r="L894" s="0" t="n">
        <v>133</v>
      </c>
      <c r="M894" s="0" t="n">
        <v>1082.26</v>
      </c>
      <c r="N894" s="0" t="n">
        <v>53.42</v>
      </c>
      <c r="O894" s="0" t="n">
        <v>41.51</v>
      </c>
      <c r="P894" s="0" t="n">
        <v>4.17</v>
      </c>
      <c r="Q894" s="0" t="n">
        <v>3.78</v>
      </c>
      <c r="R894" s="0" t="n">
        <v>3267</v>
      </c>
      <c r="S894" s="0" t="n">
        <v>6839</v>
      </c>
      <c r="T894" s="0" t="n">
        <v>36.25</v>
      </c>
      <c r="U894" s="0" t="n">
        <v>1186</v>
      </c>
      <c r="V894" s="0" t="n">
        <v>1</v>
      </c>
      <c r="W894" s="27" t="n">
        <f aca="false">MATCH(A894,DATAS,0)</f>
        <v>1</v>
      </c>
      <c r="X894" s="27" t="n">
        <f aca="false">IF(AND(E894&gt;0,OR(AND(B894&gt;=1,B894&lt;=6),B894=10)),1,0)</f>
        <v>1</v>
      </c>
      <c r="Y894" s="27" t="n">
        <f aca="false">IF(AND(E894&gt;0,B894=10),1,0)</f>
        <v>0</v>
      </c>
      <c r="Z894" s="0" t="str">
        <f aca="false">IF(AND(C893=C894,W893=W894-1),X893,"")</f>
        <v/>
      </c>
      <c r="AA894" s="0" t="str">
        <f aca="false">IF(AND(C893=C894,W893=W894-1),Y893,"")</f>
        <v/>
      </c>
      <c r="AB894" s="0" t="str">
        <f aca="false">IF(W894=1,"",IF(AND(X894=1,Z894&lt;&gt;1),1,0))</f>
        <v/>
      </c>
      <c r="AC894" s="0" t="str">
        <f aca="false">IF(W894=1,"",IF(AND(Y894=1,AA894&lt;&gt;1),1,0))</f>
        <v/>
      </c>
      <c r="AD894" s="33" t="str">
        <f aca="false">IF(AND(E894&gt;0,W894&lt;1,NOT(AND(C895=C894,W895=W894+1))),INDEX(DATAS,W894+1),"")</f>
        <v/>
      </c>
      <c r="AE894" s="33" t="str">
        <f aca="false">IF(AND(Y894=1,W894&lt;1),IF(AND(C895=C894,W895=W894+1),IF(Y895=1,"",INDEX(DATAS,W894+1)),INDEX(DATAS,W894+1)),"")</f>
        <v/>
      </c>
    </row>
    <row r="895" customFormat="false" ht="15" hidden="false" customHeight="false" outlineLevel="0" collapsed="false">
      <c r="A895" s="33" t="n">
        <v>46309</v>
      </c>
      <c r="B895" s="0" t="n">
        <v>5</v>
      </c>
      <c r="C895" s="0" t="n">
        <v>4862</v>
      </c>
      <c r="D895" s="0" t="n">
        <v>200</v>
      </c>
      <c r="E895" s="0" t="n">
        <v>2</v>
      </c>
      <c r="F895" s="27" t="s">
        <v>695</v>
      </c>
      <c r="G895" s="0" t="n">
        <v>21.2</v>
      </c>
      <c r="H895" s="0" t="n">
        <v>31</v>
      </c>
      <c r="I895" s="27" t="s">
        <v>176</v>
      </c>
      <c r="J895" s="0" t="n">
        <v>200</v>
      </c>
      <c r="K895" s="0" t="n">
        <v>67</v>
      </c>
      <c r="M895" s="0" t="n">
        <v>448.8</v>
      </c>
      <c r="N895" s="0" t="n">
        <v>51.51</v>
      </c>
      <c r="O895" s="0" t="n">
        <v>35.12</v>
      </c>
      <c r="P895" s="0" t="n">
        <v>5.78</v>
      </c>
      <c r="Q895" s="0" t="n">
        <v>3.97</v>
      </c>
      <c r="R895" s="0" t="n">
        <v>4561</v>
      </c>
      <c r="S895" s="0" t="n">
        <v>8781</v>
      </c>
      <c r="T895" s="0" t="n">
        <v>51.1</v>
      </c>
      <c r="U895" s="0" t="n">
        <v>1186</v>
      </c>
      <c r="V895" s="0" t="n">
        <v>3</v>
      </c>
      <c r="W895" s="27" t="n">
        <f aca="false">MATCH(A895,DATAS,0)</f>
        <v>1</v>
      </c>
      <c r="X895" s="27" t="n">
        <f aca="false">IF(AND(E895&gt;0,OR(AND(B895&gt;=1,B895&lt;=6),B895=10)),1,0)</f>
        <v>1</v>
      </c>
      <c r="Y895" s="27" t="n">
        <f aca="false">IF(AND(E895&gt;0,B895=10),1,0)</f>
        <v>0</v>
      </c>
      <c r="Z895" s="0" t="str">
        <f aca="false">IF(AND(C894=C895,W894=W895-1),X894,"")</f>
        <v/>
      </c>
      <c r="AA895" s="0" t="str">
        <f aca="false">IF(AND(C894=C895,W894=W895-1),Y894,"")</f>
        <v/>
      </c>
      <c r="AB895" s="0" t="str">
        <f aca="false">IF(W895=1,"",IF(AND(X895=1,Z895&lt;&gt;1),1,0))</f>
        <v/>
      </c>
      <c r="AC895" s="0" t="str">
        <f aca="false">IF(W895=1,"",IF(AND(Y895=1,AA895&lt;&gt;1),1,0))</f>
        <v/>
      </c>
      <c r="AD895" s="33" t="str">
        <f aca="false">IF(AND(E895&gt;0,W895&lt;1,NOT(AND(C896=C895,W896=W895+1))),INDEX(DATAS,W895+1),"")</f>
        <v/>
      </c>
      <c r="AE895" s="33" t="str">
        <f aca="false">IF(AND(Y895=1,W895&lt;1),IF(AND(C896=C895,W896=W895+1),IF(Y896=1,"",INDEX(DATAS,W895+1)),INDEX(DATAS,W895+1)),"")</f>
        <v/>
      </c>
    </row>
    <row r="896" customFormat="false" ht="15" hidden="false" customHeight="false" outlineLevel="0" collapsed="false">
      <c r="A896" s="33" t="n">
        <v>46309</v>
      </c>
      <c r="B896" s="0" t="n">
        <v>10</v>
      </c>
      <c r="C896" s="0" t="n">
        <v>4863</v>
      </c>
      <c r="D896" s="0" t="n">
        <v>178</v>
      </c>
      <c r="E896" s="0" t="n">
        <v>2</v>
      </c>
      <c r="F896" s="27" t="s">
        <v>696</v>
      </c>
      <c r="H896" s="0" t="n">
        <v>25</v>
      </c>
      <c r="I896" s="27" t="s">
        <v>176</v>
      </c>
      <c r="J896" s="0" t="n">
        <v>178</v>
      </c>
      <c r="K896" s="0" t="n">
        <v>66</v>
      </c>
      <c r="M896" s="0" t="n">
        <v>869.23</v>
      </c>
      <c r="N896" s="0" t="n">
        <v>64.06</v>
      </c>
      <c r="O896" s="0" t="n">
        <v>35.49</v>
      </c>
      <c r="P896" s="0" t="n">
        <v>2.92</v>
      </c>
      <c r="Q896" s="0" t="n">
        <v>3.39</v>
      </c>
      <c r="R896" s="0" t="n">
        <v>5269</v>
      </c>
      <c r="S896" s="0" t="n">
        <v>10783</v>
      </c>
      <c r="T896" s="0" t="n">
        <v>60.2</v>
      </c>
      <c r="U896" s="0" t="n">
        <v>1185</v>
      </c>
      <c r="V896" s="0" t="n">
        <v>4</v>
      </c>
      <c r="W896" s="27" t="n">
        <f aca="false">MATCH(A896,DATAS,0)</f>
        <v>1</v>
      </c>
      <c r="X896" s="27" t="n">
        <f aca="false">IF(AND(E896&gt;0,OR(AND(B896&gt;=1,B896&lt;=6),B896=10)),1,0)</f>
        <v>1</v>
      </c>
      <c r="Y896" s="27" t="n">
        <f aca="false">IF(AND(E896&gt;0,B896=10),1,0)</f>
        <v>1</v>
      </c>
      <c r="Z896" s="0" t="str">
        <f aca="false">IF(AND(C895=C896,W895=W896-1),X895,"")</f>
        <v/>
      </c>
      <c r="AA896" s="0" t="str">
        <f aca="false">IF(AND(C895=C896,W895=W896-1),Y895,"")</f>
        <v/>
      </c>
      <c r="AB896" s="0" t="str">
        <f aca="false">IF(W896=1,"",IF(AND(X896=1,Z896&lt;&gt;1),1,0))</f>
        <v/>
      </c>
      <c r="AC896" s="0" t="str">
        <f aca="false">IF(W896=1,"",IF(AND(Y896=1,AA896&lt;&gt;1),1,0))</f>
        <v/>
      </c>
      <c r="AD896" s="33" t="str">
        <f aca="false">IF(AND(E896&gt;0,W896&lt;1,NOT(AND(C897=C896,W897=W896+1))),INDEX(DATAS,W896+1),"")</f>
        <v/>
      </c>
      <c r="AE896" s="33" t="str">
        <f aca="false">IF(AND(Y896=1,W896&lt;1),IF(AND(C897=C896,W897=W896+1),IF(Y897=1,"",INDEX(DATAS,W896+1)),INDEX(DATAS,W896+1)),"")</f>
        <v/>
      </c>
    </row>
    <row r="897" customFormat="false" ht="15" hidden="false" customHeight="false" outlineLevel="0" collapsed="false">
      <c r="A897" s="33" t="n">
        <v>46309</v>
      </c>
      <c r="B897" s="0" t="n">
        <v>14</v>
      </c>
      <c r="C897" s="0" t="n">
        <v>4865</v>
      </c>
      <c r="D897" s="0" t="n">
        <v>509</v>
      </c>
      <c r="E897" s="0" t="n">
        <v>1</v>
      </c>
      <c r="F897" s="27" t="s">
        <v>696</v>
      </c>
      <c r="I897" s="27" t="s">
        <v>143</v>
      </c>
      <c r="J897" s="0" t="n">
        <v>286</v>
      </c>
      <c r="K897" s="0" t="n">
        <v>62</v>
      </c>
      <c r="L897" s="0" t="n">
        <v>259</v>
      </c>
      <c r="M897" s="0" t="n">
        <v>1666.12</v>
      </c>
      <c r="N897" s="0" t="n">
        <v>50.28</v>
      </c>
      <c r="O897" s="0" t="n">
        <v>49.29</v>
      </c>
      <c r="P897" s="0" t="n">
        <v>4.46</v>
      </c>
      <c r="Q897" s="0" t="n">
        <v>3.64</v>
      </c>
      <c r="R897" s="0" t="n">
        <v>5200</v>
      </c>
      <c r="S897" s="0" t="n">
        <v>10878</v>
      </c>
      <c r="T897" s="0" t="n">
        <v>55.95</v>
      </c>
      <c r="U897" s="0" t="n">
        <v>1185</v>
      </c>
      <c r="V897" s="0" t="n">
        <v>7</v>
      </c>
      <c r="W897" s="27" t="n">
        <f aca="false">MATCH(A897,DATAS,0)</f>
        <v>1</v>
      </c>
      <c r="X897" s="27" t="n">
        <f aca="false">IF(AND(E897&gt;0,OR(AND(B897&gt;=1,B897&lt;=6),B897=10)),1,0)</f>
        <v>0</v>
      </c>
      <c r="Y897" s="27" t="n">
        <f aca="false">IF(AND(E897&gt;0,B897=10),1,0)</f>
        <v>0</v>
      </c>
      <c r="Z897" s="0" t="str">
        <f aca="false">IF(AND(C896=C897,W896=W897-1),X896,"")</f>
        <v/>
      </c>
      <c r="AA897" s="0" t="str">
        <f aca="false">IF(AND(C896=C897,W896=W897-1),Y896,"")</f>
        <v/>
      </c>
      <c r="AB897" s="0" t="str">
        <f aca="false">IF(W897=1,"",IF(AND(X897=1,Z897&lt;&gt;1),1,0))</f>
        <v/>
      </c>
      <c r="AC897" s="0" t="str">
        <f aca="false">IF(W897=1,"",IF(AND(Y897=1,AA897&lt;&gt;1),1,0))</f>
        <v/>
      </c>
      <c r="AD897" s="33" t="str">
        <f aca="false">IF(AND(E897&gt;0,W897&lt;1,NOT(AND(C898=C897,W898=W897+1))),INDEX(DATAS,W897+1),"")</f>
        <v/>
      </c>
      <c r="AE897" s="33" t="str">
        <f aca="false">IF(AND(Y897=1,W897&lt;1),IF(AND(C898=C897,W898=W897+1),IF(Y898=1,"",INDEX(DATAS,W897+1)),INDEX(DATAS,W897+1)),"")</f>
        <v/>
      </c>
    </row>
    <row r="898" customFormat="false" ht="15" hidden="false" customHeight="false" outlineLevel="0" collapsed="false">
      <c r="A898" s="33" t="n">
        <v>46309</v>
      </c>
      <c r="B898" s="0" t="n">
        <v>5</v>
      </c>
      <c r="C898" s="0" t="n">
        <v>4867</v>
      </c>
      <c r="D898" s="0" t="n">
        <v>505</v>
      </c>
      <c r="E898" s="0" t="n">
        <v>1</v>
      </c>
      <c r="F898" s="27" t="s">
        <v>697</v>
      </c>
      <c r="G898" s="0" t="n">
        <v>30.9</v>
      </c>
      <c r="H898" s="0" t="n">
        <v>32</v>
      </c>
      <c r="I898" s="27" t="s">
        <v>168</v>
      </c>
      <c r="J898" s="0" t="n">
        <v>505</v>
      </c>
      <c r="K898" s="0" t="n">
        <v>64</v>
      </c>
      <c r="M898" s="0" t="n">
        <v>820.7</v>
      </c>
      <c r="N898" s="0" t="n">
        <v>64.66</v>
      </c>
      <c r="O898" s="0" t="n">
        <v>30.44</v>
      </c>
      <c r="P898" s="0" t="n">
        <v>6.21</v>
      </c>
      <c r="Q898" s="0" t="n">
        <v>4.54</v>
      </c>
      <c r="R898" s="0" t="n">
        <v>4507</v>
      </c>
      <c r="S898" s="0" t="n">
        <v>9493</v>
      </c>
      <c r="T898" s="0" t="n">
        <v>54.5</v>
      </c>
      <c r="U898" s="0" t="n">
        <v>1183</v>
      </c>
      <c r="V898" s="0" t="n">
        <v>13</v>
      </c>
      <c r="W898" s="27" t="n">
        <f aca="false">MATCH(A898,DATAS,0)</f>
        <v>1</v>
      </c>
      <c r="X898" s="27" t="n">
        <f aca="false">IF(AND(E898&gt;0,OR(AND(B898&gt;=1,B898&lt;=6),B898=10)),1,0)</f>
        <v>1</v>
      </c>
      <c r="Y898" s="27" t="n">
        <f aca="false">IF(AND(E898&gt;0,B898=10),1,0)</f>
        <v>0</v>
      </c>
      <c r="Z898" s="0" t="str">
        <f aca="false">IF(AND(C897=C898,W897=W898-1),X897,"")</f>
        <v/>
      </c>
      <c r="AA898" s="0" t="str">
        <f aca="false">IF(AND(C897=C898,W897=W898-1),Y897,"")</f>
        <v/>
      </c>
      <c r="AB898" s="0" t="str">
        <f aca="false">IF(W898=1,"",IF(AND(X898=1,Z898&lt;&gt;1),1,0))</f>
        <v/>
      </c>
      <c r="AC898" s="0" t="str">
        <f aca="false">IF(W898=1,"",IF(AND(Y898=1,AA898&lt;&gt;1),1,0))</f>
        <v/>
      </c>
      <c r="AD898" s="33" t="str">
        <f aca="false">IF(AND(E898&gt;0,W898&lt;1,NOT(AND(C899=C898,W899=W898+1))),INDEX(DATAS,W898+1),"")</f>
        <v/>
      </c>
      <c r="AE898" s="33" t="str">
        <f aca="false">IF(AND(Y898=1,W898&lt;1),IF(AND(C899=C898,W899=W898+1),IF(Y899=1,"",INDEX(DATAS,W898+1)),INDEX(DATAS,W898+1)),"")</f>
        <v/>
      </c>
    </row>
    <row r="899" customFormat="false" ht="15" hidden="false" customHeight="false" outlineLevel="0" collapsed="false">
      <c r="A899" s="33" t="n">
        <v>46309</v>
      </c>
      <c r="B899" s="0" t="n">
        <v>2</v>
      </c>
      <c r="C899" s="0" t="n">
        <v>4868</v>
      </c>
      <c r="D899" s="0" t="n">
        <v>12</v>
      </c>
      <c r="E899" s="0" t="n">
        <v>2</v>
      </c>
      <c r="F899" s="27" t="s">
        <v>697</v>
      </c>
      <c r="G899" s="0" t="n">
        <v>41.8</v>
      </c>
      <c r="H899" s="0" t="n">
        <v>33</v>
      </c>
      <c r="I899" s="27" t="s">
        <v>147</v>
      </c>
      <c r="J899" s="0" t="n">
        <v>12</v>
      </c>
      <c r="M899" s="0" t="n">
        <v>582.77</v>
      </c>
      <c r="N899" s="0" t="n">
        <v>35.07</v>
      </c>
      <c r="O899" s="0" t="n">
        <v>19.05</v>
      </c>
      <c r="R899" s="0" t="n">
        <v>2426</v>
      </c>
      <c r="S899" s="0" t="n">
        <v>4877</v>
      </c>
      <c r="U899" s="0" t="n">
        <v>1183</v>
      </c>
      <c r="V899" s="0" t="n">
        <v>0</v>
      </c>
      <c r="W899" s="27" t="n">
        <f aca="false">MATCH(A899,DATAS,0)</f>
        <v>1</v>
      </c>
      <c r="X899" s="27" t="n">
        <f aca="false">IF(AND(E899&gt;0,OR(AND(B899&gt;=1,B899&lt;=6),B899=10)),1,0)</f>
        <v>1</v>
      </c>
      <c r="Y899" s="27" t="n">
        <f aca="false">IF(AND(E899&gt;0,B899=10),1,0)</f>
        <v>0</v>
      </c>
      <c r="Z899" s="0" t="str">
        <f aca="false">IF(AND(C898=C899,W898=W899-1),X898,"")</f>
        <v/>
      </c>
      <c r="AA899" s="0" t="str">
        <f aca="false">IF(AND(C898=C899,W898=W899-1),Y898,"")</f>
        <v/>
      </c>
      <c r="AB899" s="0" t="str">
        <f aca="false">IF(W899=1,"",IF(AND(X899=1,Z899&lt;&gt;1),1,0))</f>
        <v/>
      </c>
      <c r="AC899" s="0" t="str">
        <f aca="false">IF(W899=1,"",IF(AND(Y899=1,AA899&lt;&gt;1),1,0))</f>
        <v/>
      </c>
      <c r="AD899" s="33" t="str">
        <f aca="false">IF(AND(E899&gt;0,W899&lt;1,NOT(AND(C900=C899,W900=W899+1))),INDEX(DATAS,W899+1),"")</f>
        <v/>
      </c>
      <c r="AE899" s="33" t="str">
        <f aca="false">IF(AND(Y899=1,W899&lt;1),IF(AND(C900=C899,W900=W899+1),IF(Y900=1,"",INDEX(DATAS,W899+1)),INDEX(DATAS,W899+1)),"")</f>
        <v/>
      </c>
    </row>
    <row r="900" customFormat="false" ht="15" hidden="false" customHeight="false" outlineLevel="0" collapsed="false">
      <c r="A900" s="33" t="n">
        <v>46309</v>
      </c>
      <c r="B900" s="0" t="n">
        <v>5</v>
      </c>
      <c r="C900" s="0" t="n">
        <v>4869</v>
      </c>
      <c r="D900" s="0" t="n">
        <v>187</v>
      </c>
      <c r="E900" s="0" t="n">
        <v>2</v>
      </c>
      <c r="F900" s="27" t="s">
        <v>698</v>
      </c>
      <c r="G900" s="0" t="n">
        <v>30.6</v>
      </c>
      <c r="H900" s="0" t="n">
        <v>31</v>
      </c>
      <c r="I900" s="27" t="s">
        <v>138</v>
      </c>
      <c r="J900" s="0" t="n">
        <v>69</v>
      </c>
      <c r="K900" s="0" t="n">
        <v>76</v>
      </c>
      <c r="L900" s="0" t="n">
        <v>118</v>
      </c>
      <c r="M900" s="0" t="n">
        <v>835.17</v>
      </c>
      <c r="N900" s="0" t="n">
        <v>49.71</v>
      </c>
      <c r="O900" s="0" t="n">
        <v>44.32</v>
      </c>
      <c r="P900" s="0" t="n">
        <v>4.97</v>
      </c>
      <c r="Q900" s="0" t="n">
        <v>3.78</v>
      </c>
      <c r="R900" s="0" t="n">
        <v>3564</v>
      </c>
      <c r="S900" s="0" t="n">
        <v>6628</v>
      </c>
      <c r="T900" s="0" t="n">
        <v>38</v>
      </c>
      <c r="U900" s="0" t="n">
        <v>1182</v>
      </c>
      <c r="V900" s="0" t="n">
        <v>1</v>
      </c>
      <c r="W900" s="27" t="n">
        <f aca="false">MATCH(A900,DATAS,0)</f>
        <v>1</v>
      </c>
      <c r="X900" s="27" t="n">
        <f aca="false">IF(AND(E900&gt;0,OR(AND(B900&gt;=1,B900&lt;=6),B900=10)),1,0)</f>
        <v>1</v>
      </c>
      <c r="Y900" s="27" t="n">
        <f aca="false">IF(AND(E900&gt;0,B900=10),1,0)</f>
        <v>0</v>
      </c>
      <c r="Z900" s="0" t="str">
        <f aca="false">IF(AND(C899=C900,W899=W900-1),X899,"")</f>
        <v/>
      </c>
      <c r="AA900" s="0" t="str">
        <f aca="false">IF(AND(C899=C900,W899=W900-1),Y899,"")</f>
        <v/>
      </c>
      <c r="AB900" s="0" t="str">
        <f aca="false">IF(W900=1,"",IF(AND(X900=1,Z900&lt;&gt;1),1,0))</f>
        <v/>
      </c>
      <c r="AC900" s="0" t="str">
        <f aca="false">IF(W900=1,"",IF(AND(Y900=1,AA900&lt;&gt;1),1,0))</f>
        <v/>
      </c>
      <c r="AD900" s="33" t="str">
        <f aca="false">IF(AND(E900&gt;0,W900&lt;1,NOT(AND(C901=C900,W901=W900+1))),INDEX(DATAS,W900+1),"")</f>
        <v/>
      </c>
      <c r="AE900" s="33" t="str">
        <f aca="false">IF(AND(Y900=1,W900&lt;1),IF(AND(C901=C900,W901=W900+1),IF(Y901=1,"",INDEX(DATAS,W900+1)),INDEX(DATAS,W900+1)),"")</f>
        <v/>
      </c>
    </row>
    <row r="901" customFormat="false" ht="15" hidden="false" customHeight="false" outlineLevel="0" collapsed="false">
      <c r="A901" s="33" t="n">
        <v>46309</v>
      </c>
      <c r="B901" s="0" t="n">
        <v>2</v>
      </c>
      <c r="C901" s="0" t="n">
        <v>4870</v>
      </c>
      <c r="D901" s="0" t="n">
        <v>36</v>
      </c>
      <c r="E901" s="0" t="n">
        <v>2</v>
      </c>
      <c r="F901" s="27" t="s">
        <v>698</v>
      </c>
      <c r="G901" s="0" t="n">
        <v>66.9</v>
      </c>
      <c r="H901" s="0" t="n">
        <v>64</v>
      </c>
      <c r="I901" s="27" t="s">
        <v>147</v>
      </c>
      <c r="J901" s="0" t="n">
        <v>36</v>
      </c>
      <c r="M901" s="0" t="n">
        <v>1029.29</v>
      </c>
      <c r="N901" s="0" t="n">
        <v>43.4</v>
      </c>
      <c r="O901" s="0" t="n">
        <v>23.41</v>
      </c>
      <c r="P901" s="0" t="n">
        <v>5.08</v>
      </c>
      <c r="Q901" s="0" t="n">
        <v>3.43</v>
      </c>
      <c r="R901" s="0" t="n">
        <v>5662</v>
      </c>
      <c r="S901" s="0" t="n">
        <v>11382</v>
      </c>
      <c r="U901" s="0" t="n">
        <v>1182</v>
      </c>
      <c r="V901" s="0" t="n">
        <v>0</v>
      </c>
      <c r="W901" s="27" t="n">
        <f aca="false">MATCH(A901,DATAS,0)</f>
        <v>1</v>
      </c>
      <c r="X901" s="27" t="n">
        <f aca="false">IF(AND(E901&gt;0,OR(AND(B901&gt;=1,B901&lt;=6),B901=10)),1,0)</f>
        <v>1</v>
      </c>
      <c r="Y901" s="27" t="n">
        <f aca="false">IF(AND(E901&gt;0,B901=10),1,0)</f>
        <v>0</v>
      </c>
      <c r="Z901" s="0" t="str">
        <f aca="false">IF(AND(C900=C901,W900=W901-1),X900,"")</f>
        <v/>
      </c>
      <c r="AA901" s="0" t="str">
        <f aca="false">IF(AND(C900=C901,W900=W901-1),Y900,"")</f>
        <v/>
      </c>
      <c r="AB901" s="0" t="str">
        <f aca="false">IF(W901=1,"",IF(AND(X901=1,Z901&lt;&gt;1),1,0))</f>
        <v/>
      </c>
      <c r="AC901" s="0" t="str">
        <f aca="false">IF(W901=1,"",IF(AND(Y901=1,AA901&lt;&gt;1),1,0))</f>
        <v/>
      </c>
      <c r="AD901" s="33" t="str">
        <f aca="false">IF(AND(E901&gt;0,W901&lt;1,NOT(AND(C902=C901,W902=W901+1))),INDEX(DATAS,W901+1),"")</f>
        <v/>
      </c>
      <c r="AE901" s="33" t="str">
        <f aca="false">IF(AND(Y901=1,W901&lt;1),IF(AND(C902=C901,W902=W901+1),IF(Y902=1,"",INDEX(DATAS,W901+1)),INDEX(DATAS,W901+1)),"")</f>
        <v/>
      </c>
    </row>
    <row r="902" customFormat="false" ht="15" hidden="false" customHeight="false" outlineLevel="0" collapsed="false">
      <c r="A902" s="33" t="n">
        <v>46309</v>
      </c>
      <c r="B902" s="0" t="n">
        <v>5</v>
      </c>
      <c r="C902" s="0" t="n">
        <v>4871</v>
      </c>
      <c r="D902" s="0" t="n">
        <v>205</v>
      </c>
      <c r="E902" s="0" t="n">
        <v>2</v>
      </c>
      <c r="F902" s="27" t="s">
        <v>698</v>
      </c>
      <c r="G902" s="0" t="n">
        <v>31.9</v>
      </c>
      <c r="H902" s="0" t="n">
        <v>29</v>
      </c>
      <c r="I902" s="27" t="s">
        <v>138</v>
      </c>
      <c r="J902" s="0" t="n">
        <v>65</v>
      </c>
      <c r="K902" s="0" t="n">
        <v>65</v>
      </c>
      <c r="L902" s="0" t="n">
        <v>140</v>
      </c>
      <c r="M902" s="0" t="n">
        <v>904</v>
      </c>
      <c r="N902" s="0" t="n">
        <v>62.93</v>
      </c>
      <c r="O902" s="0" t="n">
        <v>42</v>
      </c>
      <c r="P902" s="0" t="n">
        <v>5.02</v>
      </c>
      <c r="Q902" s="0" t="n">
        <v>3.55</v>
      </c>
      <c r="R902" s="0" t="n">
        <v>3685</v>
      </c>
      <c r="S902" s="0" t="n">
        <v>6665</v>
      </c>
      <c r="T902" s="0" t="n">
        <v>42.45</v>
      </c>
      <c r="U902" s="0" t="n">
        <v>1182</v>
      </c>
      <c r="V902" s="0" t="n">
        <v>1</v>
      </c>
      <c r="W902" s="27" t="n">
        <f aca="false">MATCH(A902,DATAS,0)</f>
        <v>1</v>
      </c>
      <c r="X902" s="27" t="n">
        <f aca="false">IF(AND(E902&gt;0,OR(AND(B902&gt;=1,B902&lt;=6),B902=10)),1,0)</f>
        <v>1</v>
      </c>
      <c r="Y902" s="27" t="n">
        <f aca="false">IF(AND(E902&gt;0,B902=10),1,0)</f>
        <v>0</v>
      </c>
      <c r="Z902" s="0" t="str">
        <f aca="false">IF(AND(C901=C902,W901=W902-1),X901,"")</f>
        <v/>
      </c>
      <c r="AA902" s="0" t="str">
        <f aca="false">IF(AND(C901=C902,W901=W902-1),Y901,"")</f>
        <v/>
      </c>
      <c r="AB902" s="0" t="str">
        <f aca="false">IF(W902=1,"",IF(AND(X902=1,Z902&lt;&gt;1),1,0))</f>
        <v/>
      </c>
      <c r="AC902" s="0" t="str">
        <f aca="false">IF(W902=1,"",IF(AND(Y902=1,AA902&lt;&gt;1),1,0))</f>
        <v/>
      </c>
      <c r="AD902" s="33" t="str">
        <f aca="false">IF(AND(E902&gt;0,W902&lt;1,NOT(AND(C903=C902,W903=W902+1))),INDEX(DATAS,W902+1),"")</f>
        <v/>
      </c>
      <c r="AE902" s="33" t="str">
        <f aca="false">IF(AND(Y902=1,W902&lt;1),IF(AND(C903=C902,W903=W902+1),IF(Y903=1,"",INDEX(DATAS,W902+1)),INDEX(DATAS,W902+1)),"")</f>
        <v/>
      </c>
    </row>
    <row r="903" customFormat="false" ht="15" hidden="false" customHeight="false" outlineLevel="0" collapsed="false">
      <c r="A903" s="33" t="n">
        <v>46309</v>
      </c>
      <c r="B903" s="0" t="n">
        <v>5</v>
      </c>
      <c r="C903" s="0" t="n">
        <v>4872</v>
      </c>
      <c r="D903" s="0" t="n">
        <v>165</v>
      </c>
      <c r="E903" s="0" t="n">
        <v>2</v>
      </c>
      <c r="F903" s="27" t="s">
        <v>698</v>
      </c>
      <c r="G903" s="0" t="n">
        <v>41.2</v>
      </c>
      <c r="H903" s="0" t="n">
        <v>43</v>
      </c>
      <c r="I903" s="27" t="s">
        <v>138</v>
      </c>
      <c r="J903" s="0" t="n">
        <v>110</v>
      </c>
      <c r="K903" s="0" t="n">
        <v>67</v>
      </c>
      <c r="L903" s="0" t="n">
        <v>55</v>
      </c>
      <c r="M903" s="0" t="n">
        <v>895.62</v>
      </c>
      <c r="N903" s="0" t="n">
        <v>88.35</v>
      </c>
      <c r="O903" s="0" t="n">
        <v>42.83</v>
      </c>
      <c r="P903" s="0" t="n">
        <v>5.19</v>
      </c>
      <c r="Q903" s="0" t="n">
        <v>3.95</v>
      </c>
      <c r="R903" s="0" t="n">
        <v>3880</v>
      </c>
      <c r="S903" s="0" t="n">
        <v>8211</v>
      </c>
      <c r="T903" s="0" t="n">
        <v>44.65</v>
      </c>
      <c r="U903" s="0" t="n">
        <v>1182</v>
      </c>
      <c r="V903" s="0" t="n">
        <v>2</v>
      </c>
      <c r="W903" s="27" t="n">
        <f aca="false">MATCH(A903,DATAS,0)</f>
        <v>1</v>
      </c>
      <c r="X903" s="27" t="n">
        <f aca="false">IF(AND(E903&gt;0,OR(AND(B903&gt;=1,B903&lt;=6),B903=10)),1,0)</f>
        <v>1</v>
      </c>
      <c r="Y903" s="27" t="n">
        <f aca="false">IF(AND(E903&gt;0,B903=10),1,0)</f>
        <v>0</v>
      </c>
      <c r="Z903" s="0" t="str">
        <f aca="false">IF(AND(C902=C903,W902=W903-1),X902,"")</f>
        <v/>
      </c>
      <c r="AA903" s="0" t="str">
        <f aca="false">IF(AND(C902=C903,W902=W903-1),Y902,"")</f>
        <v/>
      </c>
      <c r="AB903" s="0" t="str">
        <f aca="false">IF(W903=1,"",IF(AND(X903=1,Z903&lt;&gt;1),1,0))</f>
        <v/>
      </c>
      <c r="AC903" s="0" t="str">
        <f aca="false">IF(W903=1,"",IF(AND(Y903=1,AA903&lt;&gt;1),1,0))</f>
        <v/>
      </c>
      <c r="AD903" s="33" t="str">
        <f aca="false">IF(AND(E903&gt;0,W903&lt;1,NOT(AND(C904=C903,W904=W903+1))),INDEX(DATAS,W903+1),"")</f>
        <v/>
      </c>
      <c r="AE903" s="33" t="str">
        <f aca="false">IF(AND(Y903=1,W903&lt;1),IF(AND(C904=C903,W904=W903+1),IF(Y904=1,"",INDEX(DATAS,W903+1)),INDEX(DATAS,W903+1)),"")</f>
        <v/>
      </c>
    </row>
    <row r="904" customFormat="false" ht="15" hidden="false" customHeight="false" outlineLevel="0" collapsed="false">
      <c r="A904" s="33" t="n">
        <v>46309</v>
      </c>
      <c r="B904" s="0" t="n">
        <v>5</v>
      </c>
      <c r="C904" s="0" t="n">
        <v>4873</v>
      </c>
      <c r="D904" s="0" t="n">
        <v>448</v>
      </c>
      <c r="E904" s="0" t="n">
        <v>1</v>
      </c>
      <c r="F904" s="27" t="s">
        <v>698</v>
      </c>
      <c r="G904" s="0" t="n">
        <v>40.3</v>
      </c>
      <c r="H904" s="0" t="n">
        <v>38</v>
      </c>
      <c r="I904" s="27" t="s">
        <v>138</v>
      </c>
      <c r="J904" s="0" t="n">
        <v>385</v>
      </c>
      <c r="K904" s="0" t="n">
        <v>63</v>
      </c>
      <c r="L904" s="0" t="n">
        <v>63</v>
      </c>
      <c r="M904" s="0" t="n">
        <v>329.75</v>
      </c>
      <c r="N904" s="0" t="n">
        <v>39.49</v>
      </c>
      <c r="O904" s="0" t="n">
        <v>21.84</v>
      </c>
      <c r="P904" s="0" t="n">
        <v>0</v>
      </c>
      <c r="Q904" s="0" t="n">
        <v>0</v>
      </c>
      <c r="R904" s="0" t="n">
        <v>3976</v>
      </c>
      <c r="S904" s="0" t="n">
        <v>8732</v>
      </c>
      <c r="T904" s="0" t="n">
        <v>44.4</v>
      </c>
      <c r="U904" s="0" t="n">
        <v>1182</v>
      </c>
      <c r="V904" s="0" t="n">
        <v>9</v>
      </c>
      <c r="W904" s="27" t="n">
        <f aca="false">MATCH(A904,DATAS,0)</f>
        <v>1</v>
      </c>
      <c r="X904" s="27" t="n">
        <f aca="false">IF(AND(E904&gt;0,OR(AND(B904&gt;=1,B904&lt;=6),B904=10)),1,0)</f>
        <v>1</v>
      </c>
      <c r="Y904" s="27" t="n">
        <f aca="false">IF(AND(E904&gt;0,B904=10),1,0)</f>
        <v>0</v>
      </c>
      <c r="Z904" s="0" t="str">
        <f aca="false">IF(AND(C903=C904,W903=W904-1),X903,"")</f>
        <v/>
      </c>
      <c r="AA904" s="0" t="str">
        <f aca="false">IF(AND(C903=C904,W903=W904-1),Y903,"")</f>
        <v/>
      </c>
      <c r="AB904" s="0" t="str">
        <f aca="false">IF(W904=1,"",IF(AND(X904=1,Z904&lt;&gt;1),1,0))</f>
        <v/>
      </c>
      <c r="AC904" s="0" t="str">
        <f aca="false">IF(W904=1,"",IF(AND(Y904=1,AA904&lt;&gt;1),1,0))</f>
        <v/>
      </c>
      <c r="AD904" s="33" t="str">
        <f aca="false">IF(AND(E904&gt;0,W904&lt;1,NOT(AND(C905=C904,W905=W904+1))),INDEX(DATAS,W904+1),"")</f>
        <v/>
      </c>
      <c r="AE904" s="33" t="str">
        <f aca="false">IF(AND(Y904=1,W904&lt;1),IF(AND(C905=C904,W905=W904+1),IF(Y905=1,"",INDEX(DATAS,W904+1)),INDEX(DATAS,W904+1)),"")</f>
        <v/>
      </c>
    </row>
    <row r="905" customFormat="false" ht="15" hidden="false" customHeight="false" outlineLevel="0" collapsed="false">
      <c r="A905" s="33" t="n">
        <v>46309</v>
      </c>
      <c r="B905" s="0" t="n">
        <v>2</v>
      </c>
      <c r="C905" s="0" t="n">
        <v>4874</v>
      </c>
      <c r="D905" s="0" t="n">
        <v>195</v>
      </c>
      <c r="E905" s="0" t="n">
        <v>2</v>
      </c>
      <c r="F905" s="27" t="s">
        <v>698</v>
      </c>
      <c r="G905" s="0" t="n">
        <v>48.4</v>
      </c>
      <c r="H905" s="0" t="n">
        <v>51</v>
      </c>
      <c r="I905" s="27" t="s">
        <v>138</v>
      </c>
      <c r="J905" s="0" t="n">
        <v>62</v>
      </c>
      <c r="K905" s="0" t="n">
        <v>62</v>
      </c>
      <c r="L905" s="0" t="n">
        <v>133</v>
      </c>
      <c r="M905" s="0" t="n">
        <v>1006.46</v>
      </c>
      <c r="N905" s="0" t="n">
        <v>60.24</v>
      </c>
      <c r="O905" s="0" t="n">
        <v>47.27</v>
      </c>
      <c r="P905" s="0" t="n">
        <v>3.57</v>
      </c>
      <c r="Q905" s="0" t="n">
        <v>3.88</v>
      </c>
      <c r="R905" s="0" t="n">
        <v>6166</v>
      </c>
      <c r="S905" s="0" t="n">
        <v>11991</v>
      </c>
      <c r="T905" s="0" t="n">
        <v>60.1</v>
      </c>
      <c r="U905" s="0" t="n">
        <v>1182</v>
      </c>
      <c r="V905" s="0" t="n">
        <v>1</v>
      </c>
      <c r="W905" s="27" t="n">
        <f aca="false">MATCH(A905,DATAS,0)</f>
        <v>1</v>
      </c>
      <c r="X905" s="27" t="n">
        <f aca="false">IF(AND(E905&gt;0,OR(AND(B905&gt;=1,B905&lt;=6),B905=10)),1,0)</f>
        <v>1</v>
      </c>
      <c r="Y905" s="27" t="n">
        <f aca="false">IF(AND(E905&gt;0,B905=10),1,0)</f>
        <v>0</v>
      </c>
      <c r="Z905" s="0" t="str">
        <f aca="false">IF(AND(C904=C905,W904=W905-1),X904,"")</f>
        <v/>
      </c>
      <c r="AA905" s="0" t="str">
        <f aca="false">IF(AND(C904=C905,W904=W905-1),Y904,"")</f>
        <v/>
      </c>
      <c r="AB905" s="0" t="str">
        <f aca="false">IF(W905=1,"",IF(AND(X905=1,Z905&lt;&gt;1),1,0))</f>
        <v/>
      </c>
      <c r="AC905" s="0" t="str">
        <f aca="false">IF(W905=1,"",IF(AND(Y905=1,AA905&lt;&gt;1),1,0))</f>
        <v/>
      </c>
      <c r="AD905" s="33" t="str">
        <f aca="false">IF(AND(E905&gt;0,W905&lt;1,NOT(AND(C906=C905,W906=W905+1))),INDEX(DATAS,W905+1),"")</f>
        <v/>
      </c>
      <c r="AE905" s="33" t="str">
        <f aca="false">IF(AND(Y905=1,W905&lt;1),IF(AND(C906=C905,W906=W905+1),IF(Y906=1,"",INDEX(DATAS,W905+1)),INDEX(DATAS,W905+1)),"")</f>
        <v/>
      </c>
    </row>
    <row r="906" customFormat="false" ht="15" hidden="false" customHeight="false" outlineLevel="0" collapsed="false">
      <c r="A906" s="33" t="n">
        <v>46309</v>
      </c>
      <c r="B906" s="0" t="n">
        <v>5</v>
      </c>
      <c r="C906" s="0" t="n">
        <v>4875</v>
      </c>
      <c r="D906" s="0" t="n">
        <v>541</v>
      </c>
      <c r="E906" s="0" t="n">
        <v>1</v>
      </c>
      <c r="F906" s="27" t="s">
        <v>698</v>
      </c>
      <c r="G906" s="0" t="n">
        <v>32</v>
      </c>
      <c r="H906" s="0" t="n">
        <v>36</v>
      </c>
      <c r="I906" s="27" t="s">
        <v>138</v>
      </c>
      <c r="J906" s="0" t="n">
        <v>415</v>
      </c>
      <c r="K906" s="0" t="n">
        <v>65</v>
      </c>
      <c r="L906" s="0" t="n">
        <v>126</v>
      </c>
      <c r="M906" s="0" t="n">
        <v>889.27</v>
      </c>
      <c r="N906" s="0" t="n">
        <v>67.06</v>
      </c>
      <c r="O906" s="0" t="n">
        <v>40.84</v>
      </c>
      <c r="P906" s="0" t="n">
        <v>4.86</v>
      </c>
      <c r="Q906" s="0" t="n">
        <v>4.71</v>
      </c>
      <c r="R906" s="0" t="n">
        <v>4739</v>
      </c>
      <c r="S906" s="0" t="n">
        <v>10183</v>
      </c>
      <c r="T906" s="0" t="n">
        <v>55.8</v>
      </c>
      <c r="U906" s="0" t="n">
        <v>1182</v>
      </c>
      <c r="V906" s="0" t="n">
        <v>11</v>
      </c>
      <c r="W906" s="27" t="n">
        <f aca="false">MATCH(A906,DATAS,0)</f>
        <v>1</v>
      </c>
      <c r="X906" s="27" t="n">
        <f aca="false">IF(AND(E906&gt;0,OR(AND(B906&gt;=1,B906&lt;=6),B906=10)),1,0)</f>
        <v>1</v>
      </c>
      <c r="Y906" s="27" t="n">
        <f aca="false">IF(AND(E906&gt;0,B906=10),1,0)</f>
        <v>0</v>
      </c>
      <c r="Z906" s="0" t="str">
        <f aca="false">IF(AND(C905=C906,W905=W906-1),X905,"")</f>
        <v/>
      </c>
      <c r="AA906" s="0" t="str">
        <f aca="false">IF(AND(C905=C906,W905=W906-1),Y905,"")</f>
        <v/>
      </c>
      <c r="AB906" s="0" t="str">
        <f aca="false">IF(W906=1,"",IF(AND(X906=1,Z906&lt;&gt;1),1,0))</f>
        <v/>
      </c>
      <c r="AC906" s="0" t="str">
        <f aca="false">IF(W906=1,"",IF(AND(Y906=1,AA906&lt;&gt;1),1,0))</f>
        <v/>
      </c>
      <c r="AD906" s="33" t="str">
        <f aca="false">IF(AND(E906&gt;0,W906&lt;1,NOT(AND(C907=C906,W907=W906+1))),INDEX(DATAS,W906+1),"")</f>
        <v/>
      </c>
      <c r="AE906" s="33" t="str">
        <f aca="false">IF(AND(Y906=1,W906&lt;1),IF(AND(C907=C906,W907=W906+1),IF(Y907=1,"",INDEX(DATAS,W906+1)),INDEX(DATAS,W906+1)),"")</f>
        <v/>
      </c>
    </row>
    <row r="907" customFormat="false" ht="15" hidden="false" customHeight="false" outlineLevel="0" collapsed="false">
      <c r="A907" s="33" t="n">
        <v>46309</v>
      </c>
      <c r="B907" s="0" t="n">
        <v>3</v>
      </c>
      <c r="C907" s="0" t="n">
        <v>4876</v>
      </c>
      <c r="D907" s="0" t="n">
        <v>74</v>
      </c>
      <c r="E907" s="0" t="n">
        <v>2</v>
      </c>
      <c r="F907" s="27" t="s">
        <v>699</v>
      </c>
      <c r="G907" s="0" t="n">
        <v>53.4</v>
      </c>
      <c r="H907" s="0" t="n">
        <v>53</v>
      </c>
      <c r="I907" s="27" t="s">
        <v>168</v>
      </c>
      <c r="J907" s="0" t="n">
        <v>74</v>
      </c>
      <c r="K907" s="0" t="n">
        <v>67</v>
      </c>
      <c r="M907" s="0" t="n">
        <v>676.91</v>
      </c>
      <c r="N907" s="0" t="n">
        <v>37.74</v>
      </c>
      <c r="O907" s="0" t="n">
        <v>25.61</v>
      </c>
      <c r="P907" s="0" t="n">
        <v>3.49</v>
      </c>
      <c r="Q907" s="0" t="n">
        <v>3.04</v>
      </c>
      <c r="R907" s="0" t="n">
        <v>5361</v>
      </c>
      <c r="S907" s="0" t="n">
        <v>10776</v>
      </c>
      <c r="U907" s="0" t="n">
        <v>1180</v>
      </c>
      <c r="V907" s="0" t="n">
        <v>1</v>
      </c>
      <c r="W907" s="27" t="n">
        <f aca="false">MATCH(A907,DATAS,0)</f>
        <v>1</v>
      </c>
      <c r="X907" s="27" t="n">
        <f aca="false">IF(AND(E907&gt;0,OR(AND(B907&gt;=1,B907&lt;=6),B907=10)),1,0)</f>
        <v>1</v>
      </c>
      <c r="Y907" s="27" t="n">
        <f aca="false">IF(AND(E907&gt;0,B907=10),1,0)</f>
        <v>0</v>
      </c>
      <c r="Z907" s="0" t="str">
        <f aca="false">IF(AND(C906=C907,W906=W907-1),X906,"")</f>
        <v/>
      </c>
      <c r="AA907" s="0" t="str">
        <f aca="false">IF(AND(C906=C907,W906=W907-1),Y906,"")</f>
        <v/>
      </c>
      <c r="AB907" s="0" t="str">
        <f aca="false">IF(W907=1,"",IF(AND(X907=1,Z907&lt;&gt;1),1,0))</f>
        <v/>
      </c>
      <c r="AC907" s="0" t="str">
        <f aca="false">IF(W907=1,"",IF(AND(Y907=1,AA907&lt;&gt;1),1,0))</f>
        <v/>
      </c>
      <c r="AD907" s="33" t="str">
        <f aca="false">IF(AND(E907&gt;0,W907&lt;1,NOT(AND(C908=C907,W908=W907+1))),INDEX(DATAS,W907+1),"")</f>
        <v/>
      </c>
      <c r="AE907" s="33" t="str">
        <f aca="false">IF(AND(Y907=1,W907&lt;1),IF(AND(C908=C907,W908=W907+1),IF(Y908=1,"",INDEX(DATAS,W907+1)),INDEX(DATAS,W907+1)),"")</f>
        <v/>
      </c>
    </row>
    <row r="908" customFormat="false" ht="15" hidden="false" customHeight="false" outlineLevel="0" collapsed="false">
      <c r="A908" s="33" t="n">
        <v>46309</v>
      </c>
      <c r="B908" s="0" t="n">
        <v>7</v>
      </c>
      <c r="C908" s="0" t="n">
        <v>4877</v>
      </c>
      <c r="D908" s="0" t="n">
        <v>429</v>
      </c>
      <c r="E908" s="0" t="n">
        <v>1</v>
      </c>
      <c r="F908" s="27" t="s">
        <v>700</v>
      </c>
      <c r="I908" s="27" t="s">
        <v>143</v>
      </c>
      <c r="J908" s="0" t="n">
        <v>299</v>
      </c>
      <c r="K908" s="0" t="n">
        <v>59</v>
      </c>
      <c r="L908" s="0" t="n">
        <v>222</v>
      </c>
      <c r="M908" s="0" t="n">
        <v>807.56</v>
      </c>
      <c r="N908" s="0" t="n">
        <v>26.16</v>
      </c>
      <c r="O908" s="0" t="n">
        <v>19.74</v>
      </c>
      <c r="P908" s="0" t="n">
        <v>4.41</v>
      </c>
      <c r="Q908" s="0" t="n">
        <v>3.85</v>
      </c>
      <c r="R908" s="0" t="n">
        <v>2724</v>
      </c>
      <c r="S908" s="0" t="n">
        <v>5687</v>
      </c>
      <c r="T908" s="0" t="n">
        <v>30.55</v>
      </c>
      <c r="U908" s="0" t="n">
        <v>1178</v>
      </c>
      <c r="V908" s="0" t="n">
        <v>6</v>
      </c>
      <c r="W908" s="27" t="n">
        <f aca="false">MATCH(A908,DATAS,0)</f>
        <v>1</v>
      </c>
      <c r="X908" s="27" t="n">
        <f aca="false">IF(AND(E908&gt;0,OR(AND(B908&gt;=1,B908&lt;=6),B908=10)),1,0)</f>
        <v>0</v>
      </c>
      <c r="Y908" s="27" t="n">
        <f aca="false">IF(AND(E908&gt;0,B908=10),1,0)</f>
        <v>0</v>
      </c>
      <c r="Z908" s="0" t="str">
        <f aca="false">IF(AND(C907=C908,W907=W908-1),X907,"")</f>
        <v/>
      </c>
      <c r="AA908" s="0" t="str">
        <f aca="false">IF(AND(C907=C908,W907=W908-1),Y907,"")</f>
        <v/>
      </c>
      <c r="AB908" s="0" t="str">
        <f aca="false">IF(W908=1,"",IF(AND(X908=1,Z908&lt;&gt;1),1,0))</f>
        <v/>
      </c>
      <c r="AC908" s="0" t="str">
        <f aca="false">IF(W908=1,"",IF(AND(Y908=1,AA908&lt;&gt;1),1,0))</f>
        <v/>
      </c>
      <c r="AD908" s="33" t="str">
        <f aca="false">IF(AND(E908&gt;0,W908&lt;1,NOT(AND(C909=C908,W909=W908+1))),INDEX(DATAS,W908+1),"")</f>
        <v/>
      </c>
      <c r="AE908" s="33" t="str">
        <f aca="false">IF(AND(Y908=1,W908&lt;1),IF(AND(C909=C908,W909=W908+1),IF(Y909=1,"",INDEX(DATAS,W908+1)),INDEX(DATAS,W908+1)),"")</f>
        <v/>
      </c>
    </row>
    <row r="909" customFormat="false" ht="15" hidden="false" customHeight="false" outlineLevel="0" collapsed="false">
      <c r="A909" s="33" t="n">
        <v>46309</v>
      </c>
      <c r="B909" s="0" t="n">
        <v>6</v>
      </c>
      <c r="C909" s="0" t="n">
        <v>4878</v>
      </c>
      <c r="D909" s="0" t="n">
        <v>38</v>
      </c>
      <c r="E909" s="0" t="n">
        <v>2</v>
      </c>
      <c r="F909" s="27" t="s">
        <v>701</v>
      </c>
      <c r="G909" s="0" t="n">
        <v>16.9</v>
      </c>
      <c r="H909" s="0" t="n">
        <v>20</v>
      </c>
      <c r="I909" s="27" t="s">
        <v>147</v>
      </c>
      <c r="J909" s="0" t="n">
        <v>38</v>
      </c>
      <c r="M909" s="0" t="n">
        <v>2087.42</v>
      </c>
      <c r="N909" s="0" t="n">
        <v>13.89</v>
      </c>
      <c r="O909" s="0" t="n">
        <v>35.07</v>
      </c>
      <c r="P909" s="0" t="n">
        <v>3.93</v>
      </c>
      <c r="Q909" s="0" t="n">
        <v>3.89</v>
      </c>
      <c r="R909" s="0" t="n">
        <v>1672</v>
      </c>
      <c r="S909" s="0" t="n">
        <v>3362</v>
      </c>
      <c r="U909" s="0" t="n">
        <v>1177</v>
      </c>
      <c r="V909" s="0" t="n">
        <v>0</v>
      </c>
      <c r="W909" s="27" t="n">
        <f aca="false">MATCH(A909,DATAS,0)</f>
        <v>1</v>
      </c>
      <c r="X909" s="27" t="n">
        <f aca="false">IF(AND(E909&gt;0,OR(AND(B909&gt;=1,B909&lt;=6),B909=10)),1,0)</f>
        <v>1</v>
      </c>
      <c r="Y909" s="27" t="n">
        <f aca="false">IF(AND(E909&gt;0,B909=10),1,0)</f>
        <v>0</v>
      </c>
      <c r="Z909" s="0" t="str">
        <f aca="false">IF(AND(C908=C909,W908=W909-1),X908,"")</f>
        <v/>
      </c>
      <c r="AA909" s="0" t="str">
        <f aca="false">IF(AND(C908=C909,W908=W909-1),Y908,"")</f>
        <v/>
      </c>
      <c r="AB909" s="0" t="str">
        <f aca="false">IF(W909=1,"",IF(AND(X909=1,Z909&lt;&gt;1),1,0))</f>
        <v/>
      </c>
      <c r="AC909" s="0" t="str">
        <f aca="false">IF(W909=1,"",IF(AND(Y909=1,AA909&lt;&gt;1),1,0))</f>
        <v/>
      </c>
      <c r="AD909" s="33" t="str">
        <f aca="false">IF(AND(E909&gt;0,W909&lt;1,NOT(AND(C910=C909,W910=W909+1))),INDEX(DATAS,W909+1),"")</f>
        <v/>
      </c>
      <c r="AE909" s="33" t="str">
        <f aca="false">IF(AND(Y909=1,W909&lt;1),IF(AND(C910=C909,W910=W909+1),IF(Y910=1,"",INDEX(DATAS,W909+1)),INDEX(DATAS,W909+1)),"")</f>
        <v/>
      </c>
    </row>
    <row r="910" customFormat="false" ht="15" hidden="false" customHeight="false" outlineLevel="0" collapsed="false">
      <c r="A910" s="33" t="n">
        <v>46309</v>
      </c>
      <c r="B910" s="0" t="n">
        <v>7</v>
      </c>
      <c r="C910" s="0" t="n">
        <v>4879</v>
      </c>
      <c r="D910" s="0" t="n">
        <v>168</v>
      </c>
      <c r="E910" s="0" t="n">
        <v>2</v>
      </c>
      <c r="F910" s="27" t="s">
        <v>701</v>
      </c>
      <c r="I910" s="27" t="s">
        <v>143</v>
      </c>
      <c r="J910" s="0" t="n">
        <v>78</v>
      </c>
      <c r="K910" s="0" t="n">
        <v>78</v>
      </c>
      <c r="L910" s="0" t="n">
        <v>133</v>
      </c>
      <c r="M910" s="0" t="n">
        <v>688.43</v>
      </c>
      <c r="N910" s="0" t="n">
        <v>36.7</v>
      </c>
      <c r="O910" s="0" t="n">
        <v>34.8</v>
      </c>
      <c r="P910" s="0" t="n">
        <v>4.21</v>
      </c>
      <c r="Q910" s="0" t="n">
        <v>3.87</v>
      </c>
      <c r="R910" s="0" t="n">
        <v>3436</v>
      </c>
      <c r="S910" s="0" t="n">
        <v>5937</v>
      </c>
      <c r="T910" s="0" t="n">
        <v>35.5</v>
      </c>
      <c r="U910" s="0" t="n">
        <v>1177</v>
      </c>
      <c r="V910" s="0" t="n">
        <v>1</v>
      </c>
      <c r="W910" s="27" t="n">
        <f aca="false">MATCH(A910,DATAS,0)</f>
        <v>1</v>
      </c>
      <c r="X910" s="27" t="n">
        <f aca="false">IF(AND(E910&gt;0,OR(AND(B910&gt;=1,B910&lt;=6),B910=10)),1,0)</f>
        <v>0</v>
      </c>
      <c r="Y910" s="27" t="n">
        <f aca="false">IF(AND(E910&gt;0,B910=10),1,0)</f>
        <v>0</v>
      </c>
      <c r="Z910" s="0" t="str">
        <f aca="false">IF(AND(C909=C910,W909=W910-1),X909,"")</f>
        <v/>
      </c>
      <c r="AA910" s="0" t="str">
        <f aca="false">IF(AND(C909=C910,W909=W910-1),Y909,"")</f>
        <v/>
      </c>
      <c r="AB910" s="0" t="str">
        <f aca="false">IF(W910=1,"",IF(AND(X910=1,Z910&lt;&gt;1),1,0))</f>
        <v/>
      </c>
      <c r="AC910" s="0" t="str">
        <f aca="false">IF(W910=1,"",IF(AND(Y910=1,AA910&lt;&gt;1),1,0))</f>
        <v/>
      </c>
      <c r="AD910" s="33" t="str">
        <f aca="false">IF(AND(E910&gt;0,W910&lt;1,NOT(AND(C911=C910,W911=W910+1))),INDEX(DATAS,W910+1),"")</f>
        <v/>
      </c>
      <c r="AE910" s="33" t="str">
        <f aca="false">IF(AND(Y910=1,W910&lt;1),IF(AND(C911=C910,W911=W910+1),IF(Y911=1,"",INDEX(DATAS,W910+1)),INDEX(DATAS,W910+1)),"")</f>
        <v/>
      </c>
    </row>
    <row r="911" customFormat="false" ht="15" hidden="false" customHeight="false" outlineLevel="0" collapsed="false">
      <c r="A911" s="33" t="n">
        <v>46309</v>
      </c>
      <c r="B911" s="0" t="n">
        <v>6</v>
      </c>
      <c r="C911" s="0" t="n">
        <v>4881</v>
      </c>
      <c r="D911" s="0" t="n">
        <v>204</v>
      </c>
      <c r="E911" s="0" t="n">
        <v>2</v>
      </c>
      <c r="F911" s="27" t="s">
        <v>701</v>
      </c>
      <c r="G911" s="0" t="n">
        <v>17.2</v>
      </c>
      <c r="H911" s="0" t="n">
        <v>22</v>
      </c>
      <c r="I911" s="27" t="s">
        <v>138</v>
      </c>
      <c r="J911" s="0" t="n">
        <v>152</v>
      </c>
      <c r="K911" s="0" t="n">
        <v>71</v>
      </c>
      <c r="L911" s="0" t="n">
        <v>52</v>
      </c>
      <c r="M911" s="0" t="n">
        <v>888.58</v>
      </c>
      <c r="N911" s="0" t="n">
        <v>66.09</v>
      </c>
      <c r="O911" s="0" t="n">
        <v>37.26</v>
      </c>
      <c r="P911" s="0" t="n">
        <v>4.35</v>
      </c>
      <c r="Q911" s="0" t="n">
        <v>3.8</v>
      </c>
      <c r="R911" s="0" t="n">
        <v>2416</v>
      </c>
      <c r="S911" s="0" t="n">
        <v>4877</v>
      </c>
      <c r="T911" s="0" t="n">
        <v>27.85</v>
      </c>
      <c r="U911" s="0" t="n">
        <v>1177</v>
      </c>
      <c r="V911" s="0" t="n">
        <v>4</v>
      </c>
      <c r="W911" s="27" t="n">
        <f aca="false">MATCH(A911,DATAS,0)</f>
        <v>1</v>
      </c>
      <c r="X911" s="27" t="n">
        <f aca="false">IF(AND(E911&gt;0,OR(AND(B911&gt;=1,B911&lt;=6),B911=10)),1,0)</f>
        <v>1</v>
      </c>
      <c r="Y911" s="27" t="n">
        <f aca="false">IF(AND(E911&gt;0,B911=10),1,0)</f>
        <v>0</v>
      </c>
      <c r="Z911" s="0" t="str">
        <f aca="false">IF(AND(C910=C911,W910=W911-1),X910,"")</f>
        <v/>
      </c>
      <c r="AA911" s="0" t="str">
        <f aca="false">IF(AND(C910=C911,W910=W911-1),Y910,"")</f>
        <v/>
      </c>
      <c r="AB911" s="0" t="str">
        <f aca="false">IF(W911=1,"",IF(AND(X911=1,Z911&lt;&gt;1),1,0))</f>
        <v/>
      </c>
      <c r="AC911" s="0" t="str">
        <f aca="false">IF(W911=1,"",IF(AND(Y911=1,AA911&lt;&gt;1),1,0))</f>
        <v/>
      </c>
      <c r="AD911" s="33" t="str">
        <f aca="false">IF(AND(E911&gt;0,W911&lt;1,NOT(AND(C912=C911,W912=W911+1))),INDEX(DATAS,W911+1),"")</f>
        <v/>
      </c>
      <c r="AE911" s="33" t="str">
        <f aca="false">IF(AND(Y911=1,W911&lt;1),IF(AND(C912=C911,W912=W911+1),IF(Y912=1,"",INDEX(DATAS,W911+1)),INDEX(DATAS,W911+1)),"")</f>
        <v/>
      </c>
    </row>
    <row r="912" customFormat="false" ht="15" hidden="false" customHeight="false" outlineLevel="0" collapsed="false">
      <c r="A912" s="33" t="n">
        <v>46309</v>
      </c>
      <c r="B912" s="0" t="n">
        <v>2</v>
      </c>
      <c r="C912" s="0" t="n">
        <v>4882</v>
      </c>
      <c r="D912" s="0" t="n">
        <v>88</v>
      </c>
      <c r="E912" s="0" t="n">
        <v>2</v>
      </c>
      <c r="F912" s="27" t="s">
        <v>702</v>
      </c>
      <c r="G912" s="0" t="n">
        <v>70</v>
      </c>
      <c r="H912" s="0" t="n">
        <v>72</v>
      </c>
      <c r="I912" s="27" t="s">
        <v>168</v>
      </c>
      <c r="J912" s="0" t="n">
        <v>88</v>
      </c>
      <c r="K912" s="0" t="n">
        <v>67</v>
      </c>
      <c r="M912" s="0" t="n">
        <v>445.32</v>
      </c>
      <c r="N912" s="0" t="n">
        <v>75.31</v>
      </c>
      <c r="O912" s="0" t="n">
        <v>36.23</v>
      </c>
      <c r="P912" s="0" t="n">
        <v>4.11</v>
      </c>
      <c r="Q912" s="0" t="n">
        <v>3.05</v>
      </c>
      <c r="R912" s="0" t="n">
        <v>6388</v>
      </c>
      <c r="S912" s="0" t="n">
        <v>12841</v>
      </c>
      <c r="U912" s="0" t="n">
        <v>1176</v>
      </c>
      <c r="V912" s="0" t="n">
        <v>1</v>
      </c>
      <c r="W912" s="27" t="n">
        <f aca="false">MATCH(A912,DATAS,0)</f>
        <v>1</v>
      </c>
      <c r="X912" s="27" t="n">
        <f aca="false">IF(AND(E912&gt;0,OR(AND(B912&gt;=1,B912&lt;=6),B912=10)),1,0)</f>
        <v>1</v>
      </c>
      <c r="Y912" s="27" t="n">
        <f aca="false">IF(AND(E912&gt;0,B912=10),1,0)</f>
        <v>0</v>
      </c>
      <c r="Z912" s="0" t="str">
        <f aca="false">IF(AND(C911=C912,W911=W912-1),X911,"")</f>
        <v/>
      </c>
      <c r="AA912" s="0" t="str">
        <f aca="false">IF(AND(C911=C912,W911=W912-1),Y911,"")</f>
        <v/>
      </c>
      <c r="AB912" s="0" t="str">
        <f aca="false">IF(W912=1,"",IF(AND(X912=1,Z912&lt;&gt;1),1,0))</f>
        <v/>
      </c>
      <c r="AC912" s="0" t="str">
        <f aca="false">IF(W912=1,"",IF(AND(Y912=1,AA912&lt;&gt;1),1,0))</f>
        <v/>
      </c>
      <c r="AD912" s="33" t="str">
        <f aca="false">IF(AND(E912&gt;0,W912&lt;1,NOT(AND(C913=C912,W913=W912+1))),INDEX(DATAS,W912+1),"")</f>
        <v/>
      </c>
      <c r="AE912" s="33" t="str">
        <f aca="false">IF(AND(Y912=1,W912&lt;1),IF(AND(C913=C912,W913=W912+1),IF(Y913=1,"",INDEX(DATAS,W912+1)),INDEX(DATAS,W912+1)),"")</f>
        <v/>
      </c>
    </row>
    <row r="913" customFormat="false" ht="15" hidden="false" customHeight="false" outlineLevel="0" collapsed="false">
      <c r="A913" s="33" t="n">
        <v>46309</v>
      </c>
      <c r="B913" s="0" t="n">
        <v>5</v>
      </c>
      <c r="C913" s="0" t="n">
        <v>4883</v>
      </c>
      <c r="D913" s="0" t="n">
        <v>138</v>
      </c>
      <c r="E913" s="0" t="n">
        <v>2</v>
      </c>
      <c r="F913" s="27" t="s">
        <v>702</v>
      </c>
      <c r="G913" s="0" t="n">
        <v>36.9</v>
      </c>
      <c r="H913" s="0" t="n">
        <v>36</v>
      </c>
      <c r="I913" s="27" t="s">
        <v>168</v>
      </c>
      <c r="J913" s="0" t="n">
        <v>138</v>
      </c>
      <c r="K913" s="0" t="n">
        <v>68</v>
      </c>
      <c r="M913" s="0" t="n">
        <v>46.61</v>
      </c>
      <c r="N913" s="0" t="n">
        <v>61.2</v>
      </c>
      <c r="O913" s="0" t="n">
        <v>25.21</v>
      </c>
      <c r="P913" s="0" t="n">
        <v>6.38</v>
      </c>
      <c r="Q913" s="0" t="n">
        <v>3.73</v>
      </c>
      <c r="R913" s="0" t="n">
        <v>4444</v>
      </c>
      <c r="S913" s="0" t="n">
        <v>8943</v>
      </c>
      <c r="T913" s="0" t="n">
        <v>47.25</v>
      </c>
      <c r="U913" s="0" t="n">
        <v>1176</v>
      </c>
      <c r="V913" s="0" t="n">
        <v>2</v>
      </c>
      <c r="W913" s="27" t="n">
        <f aca="false">MATCH(A913,DATAS,0)</f>
        <v>1</v>
      </c>
      <c r="X913" s="27" t="n">
        <f aca="false">IF(AND(E913&gt;0,OR(AND(B913&gt;=1,B913&lt;=6),B913=10)),1,0)</f>
        <v>1</v>
      </c>
      <c r="Y913" s="27" t="n">
        <f aca="false">IF(AND(E913&gt;0,B913=10),1,0)</f>
        <v>0</v>
      </c>
      <c r="Z913" s="0" t="str">
        <f aca="false">IF(AND(C912=C913,W912=W913-1),X912,"")</f>
        <v/>
      </c>
      <c r="AA913" s="0" t="str">
        <f aca="false">IF(AND(C912=C913,W912=W913-1),Y912,"")</f>
        <v/>
      </c>
      <c r="AB913" s="0" t="str">
        <f aca="false">IF(W913=1,"",IF(AND(X913=1,Z913&lt;&gt;1),1,0))</f>
        <v/>
      </c>
      <c r="AC913" s="0" t="str">
        <f aca="false">IF(W913=1,"",IF(AND(Y913=1,AA913&lt;&gt;1),1,0))</f>
        <v/>
      </c>
      <c r="AD913" s="33" t="str">
        <f aca="false">IF(AND(E913&gt;0,W913&lt;1,NOT(AND(C914=C913,W914=W913+1))),INDEX(DATAS,W913+1),"")</f>
        <v/>
      </c>
      <c r="AE913" s="33" t="str">
        <f aca="false">IF(AND(Y913=1,W913&lt;1),IF(AND(C914=C913,W914=W913+1),IF(Y914=1,"",INDEX(DATAS,W913+1)),INDEX(DATAS,W913+1)),"")</f>
        <v/>
      </c>
    </row>
    <row r="914" customFormat="false" ht="15" hidden="false" customHeight="false" outlineLevel="0" collapsed="false">
      <c r="A914" s="33" t="n">
        <v>46309</v>
      </c>
      <c r="B914" s="0" t="n">
        <v>2</v>
      </c>
      <c r="C914" s="0" t="n">
        <v>4884</v>
      </c>
      <c r="D914" s="0" t="n">
        <v>212</v>
      </c>
      <c r="E914" s="0" t="n">
        <v>2</v>
      </c>
      <c r="F914" s="27" t="s">
        <v>702</v>
      </c>
      <c r="G914" s="0" t="n">
        <v>47.8</v>
      </c>
      <c r="H914" s="0" t="n">
        <v>47</v>
      </c>
      <c r="I914" s="27" t="s">
        <v>138</v>
      </c>
      <c r="J914" s="0" t="n">
        <v>65</v>
      </c>
      <c r="K914" s="0" t="n">
        <v>65</v>
      </c>
      <c r="L914" s="0" t="n">
        <v>147</v>
      </c>
      <c r="M914" s="0" t="n">
        <v>378.9</v>
      </c>
      <c r="N914" s="0" t="n">
        <v>28.45</v>
      </c>
      <c r="O914" s="0" t="n">
        <v>20.25</v>
      </c>
      <c r="P914" s="0" t="n">
        <v>3.06</v>
      </c>
      <c r="Q914" s="0" t="n">
        <v>3.27</v>
      </c>
      <c r="R914" s="0" t="n">
        <v>4680</v>
      </c>
      <c r="S914" s="0" t="n">
        <v>10350</v>
      </c>
      <c r="T914" s="0" t="n">
        <v>55.75</v>
      </c>
      <c r="U914" s="0" t="n">
        <v>1176</v>
      </c>
      <c r="V914" s="0" t="n">
        <v>1</v>
      </c>
      <c r="W914" s="27" t="n">
        <f aca="false">MATCH(A914,DATAS,0)</f>
        <v>1</v>
      </c>
      <c r="X914" s="27" t="n">
        <f aca="false">IF(AND(E914&gt;0,OR(AND(B914&gt;=1,B914&lt;=6),B914=10)),1,0)</f>
        <v>1</v>
      </c>
      <c r="Y914" s="27" t="n">
        <f aca="false">IF(AND(E914&gt;0,B914=10),1,0)</f>
        <v>0</v>
      </c>
      <c r="Z914" s="0" t="str">
        <f aca="false">IF(AND(C913=C914,W913=W914-1),X913,"")</f>
        <v/>
      </c>
      <c r="AA914" s="0" t="str">
        <f aca="false">IF(AND(C913=C914,W913=W914-1),Y913,"")</f>
        <v/>
      </c>
      <c r="AB914" s="0" t="str">
        <f aca="false">IF(W914=1,"",IF(AND(X914=1,Z914&lt;&gt;1),1,0))</f>
        <v/>
      </c>
      <c r="AC914" s="0" t="str">
        <f aca="false">IF(W914=1,"",IF(AND(Y914=1,AA914&lt;&gt;1),1,0))</f>
        <v/>
      </c>
      <c r="AD914" s="33" t="str">
        <f aca="false">IF(AND(E914&gt;0,W914&lt;1,NOT(AND(C915=C914,W915=W914+1))),INDEX(DATAS,W914+1),"")</f>
        <v/>
      </c>
      <c r="AE914" s="33" t="str">
        <f aca="false">IF(AND(Y914=1,W914&lt;1),IF(AND(C915=C914,W915=W914+1),IF(Y915=1,"",INDEX(DATAS,W914+1)),INDEX(DATAS,W914+1)),"")</f>
        <v/>
      </c>
    </row>
    <row r="915" customFormat="false" ht="15" hidden="false" customHeight="false" outlineLevel="0" collapsed="false">
      <c r="A915" s="33" t="n">
        <v>46309</v>
      </c>
      <c r="B915" s="0" t="n">
        <v>3</v>
      </c>
      <c r="C915" s="0" t="n">
        <v>4886</v>
      </c>
      <c r="D915" s="0" t="n">
        <v>60</v>
      </c>
      <c r="E915" s="0" t="n">
        <v>2</v>
      </c>
      <c r="F915" s="27" t="s">
        <v>703</v>
      </c>
      <c r="G915" s="0" t="n">
        <v>60.7</v>
      </c>
      <c r="H915" s="0" t="n">
        <v>60</v>
      </c>
      <c r="I915" s="27" t="s">
        <v>147</v>
      </c>
      <c r="J915" s="0" t="n">
        <v>60</v>
      </c>
      <c r="M915" s="0" t="n">
        <v>1406.3</v>
      </c>
      <c r="N915" s="0" t="n">
        <v>24.5</v>
      </c>
      <c r="O915" s="0" t="n">
        <v>32.15</v>
      </c>
      <c r="P915" s="0" t="n">
        <v>3.17</v>
      </c>
      <c r="Q915" s="0" t="n">
        <v>2.96</v>
      </c>
      <c r="R915" s="0" t="n">
        <v>5088</v>
      </c>
      <c r="S915" s="0" t="n">
        <v>10229</v>
      </c>
      <c r="U915" s="0" t="n">
        <v>1175</v>
      </c>
      <c r="V915" s="0" t="n">
        <v>0</v>
      </c>
      <c r="W915" s="27" t="n">
        <f aca="false">MATCH(A915,DATAS,0)</f>
        <v>1</v>
      </c>
      <c r="X915" s="27" t="n">
        <f aca="false">IF(AND(E915&gt;0,OR(AND(B915&gt;=1,B915&lt;=6),B915=10)),1,0)</f>
        <v>1</v>
      </c>
      <c r="Y915" s="27" t="n">
        <f aca="false">IF(AND(E915&gt;0,B915=10),1,0)</f>
        <v>0</v>
      </c>
      <c r="Z915" s="0" t="str">
        <f aca="false">IF(AND(C914=C915,W914=W915-1),X914,"")</f>
        <v/>
      </c>
      <c r="AA915" s="0" t="str">
        <f aca="false">IF(AND(C914=C915,W914=W915-1),Y914,"")</f>
        <v/>
      </c>
      <c r="AB915" s="0" t="str">
        <f aca="false">IF(W915=1,"",IF(AND(X915=1,Z915&lt;&gt;1),1,0))</f>
        <v/>
      </c>
      <c r="AC915" s="0" t="str">
        <f aca="false">IF(W915=1,"",IF(AND(Y915=1,AA915&lt;&gt;1),1,0))</f>
        <v/>
      </c>
      <c r="AD915" s="33" t="str">
        <f aca="false">IF(AND(E915&gt;0,W915&lt;1,NOT(AND(C916=C915,W916=W915+1))),INDEX(DATAS,W915+1),"")</f>
        <v/>
      </c>
      <c r="AE915" s="33" t="str">
        <f aca="false">IF(AND(Y915=1,W915&lt;1),IF(AND(C916=C915,W916=W915+1),IF(Y916=1,"",INDEX(DATAS,W915+1)),INDEX(DATAS,W915+1)),"")</f>
        <v/>
      </c>
    </row>
    <row r="916" customFormat="false" ht="15" hidden="false" customHeight="false" outlineLevel="0" collapsed="false">
      <c r="A916" s="33" t="n">
        <v>46309</v>
      </c>
      <c r="B916" s="0" t="n">
        <v>3</v>
      </c>
      <c r="C916" s="0" t="n">
        <v>4888</v>
      </c>
      <c r="D916" s="0" t="n">
        <v>207</v>
      </c>
      <c r="E916" s="0" t="n">
        <v>2</v>
      </c>
      <c r="F916" s="27" t="s">
        <v>704</v>
      </c>
      <c r="G916" s="0" t="n">
        <v>50.8</v>
      </c>
      <c r="H916" s="0" t="n">
        <v>53</v>
      </c>
      <c r="I916" s="27" t="s">
        <v>176</v>
      </c>
      <c r="J916" s="0" t="n">
        <v>207</v>
      </c>
      <c r="K916" s="0" t="n">
        <v>67</v>
      </c>
      <c r="M916" s="0" t="n">
        <v>1218.2</v>
      </c>
      <c r="N916" s="0" t="n">
        <v>35.06</v>
      </c>
      <c r="O916" s="0" t="n">
        <v>33.8</v>
      </c>
      <c r="P916" s="0" t="n">
        <v>2.54</v>
      </c>
      <c r="Q916" s="0" t="n">
        <v>3.55</v>
      </c>
      <c r="R916" s="0" t="n">
        <v>4563</v>
      </c>
      <c r="S916" s="0" t="n">
        <v>10490</v>
      </c>
      <c r="T916" s="0" t="n">
        <v>56.1</v>
      </c>
      <c r="U916" s="0" t="n">
        <v>1174</v>
      </c>
      <c r="V916" s="0" t="n">
        <v>2</v>
      </c>
      <c r="W916" s="27" t="n">
        <f aca="false">MATCH(A916,DATAS,0)</f>
        <v>1</v>
      </c>
      <c r="X916" s="27" t="n">
        <f aca="false">IF(AND(E916&gt;0,OR(AND(B916&gt;=1,B916&lt;=6),B916=10)),1,0)</f>
        <v>1</v>
      </c>
      <c r="Y916" s="27" t="n">
        <f aca="false">IF(AND(E916&gt;0,B916=10),1,0)</f>
        <v>0</v>
      </c>
      <c r="Z916" s="0" t="str">
        <f aca="false">IF(AND(C915=C916,W915=W916-1),X915,"")</f>
        <v/>
      </c>
      <c r="AA916" s="0" t="str">
        <f aca="false">IF(AND(C915=C916,W915=W916-1),Y915,"")</f>
        <v/>
      </c>
      <c r="AB916" s="0" t="str">
        <f aca="false">IF(W916=1,"",IF(AND(X916=1,Z916&lt;&gt;1),1,0))</f>
        <v/>
      </c>
      <c r="AC916" s="0" t="str">
        <f aca="false">IF(W916=1,"",IF(AND(Y916=1,AA916&lt;&gt;1),1,0))</f>
        <v/>
      </c>
      <c r="AD916" s="33" t="str">
        <f aca="false">IF(AND(E916&gt;0,W916&lt;1,NOT(AND(C917=C916,W917=W916+1))),INDEX(DATAS,W916+1),"")</f>
        <v/>
      </c>
      <c r="AE916" s="33" t="str">
        <f aca="false">IF(AND(Y916=1,W916&lt;1),IF(AND(C917=C916,W917=W916+1),IF(Y917=1,"",INDEX(DATAS,W916+1)),INDEX(DATAS,W916+1)),"")</f>
        <v/>
      </c>
    </row>
    <row r="917" customFormat="false" ht="15" hidden="false" customHeight="false" outlineLevel="0" collapsed="false">
      <c r="A917" s="33" t="n">
        <v>46309</v>
      </c>
      <c r="B917" s="0" t="n">
        <v>2</v>
      </c>
      <c r="C917" s="0" t="n">
        <v>4889</v>
      </c>
      <c r="D917" s="0" t="n">
        <v>87</v>
      </c>
      <c r="E917" s="0" t="n">
        <v>2</v>
      </c>
      <c r="F917" s="27" t="s">
        <v>704</v>
      </c>
      <c r="G917" s="0" t="n">
        <v>56.4</v>
      </c>
      <c r="H917" s="0" t="n">
        <v>57</v>
      </c>
      <c r="I917" s="27" t="s">
        <v>168</v>
      </c>
      <c r="J917" s="0" t="n">
        <v>87</v>
      </c>
      <c r="K917" s="0" t="n">
        <v>66</v>
      </c>
      <c r="M917" s="0" t="n">
        <v>1546.13</v>
      </c>
      <c r="N917" s="0" t="n">
        <v>72.19</v>
      </c>
      <c r="O917" s="0" t="n">
        <v>53.53</v>
      </c>
      <c r="P917" s="0" t="n">
        <v>2.84</v>
      </c>
      <c r="Q917" s="0" t="n">
        <v>3.15</v>
      </c>
      <c r="R917" s="0" t="n">
        <v>6091</v>
      </c>
      <c r="S917" s="0" t="n">
        <v>12244</v>
      </c>
      <c r="U917" s="0" t="n">
        <v>1174</v>
      </c>
      <c r="V917" s="0" t="n">
        <v>1</v>
      </c>
      <c r="W917" s="27" t="n">
        <f aca="false">MATCH(A917,DATAS,0)</f>
        <v>1</v>
      </c>
      <c r="X917" s="27" t="n">
        <f aca="false">IF(AND(E917&gt;0,OR(AND(B917&gt;=1,B917&lt;=6),B917=10)),1,0)</f>
        <v>1</v>
      </c>
      <c r="Y917" s="27" t="n">
        <f aca="false">IF(AND(E917&gt;0,B917=10),1,0)</f>
        <v>0</v>
      </c>
      <c r="Z917" s="0" t="str">
        <f aca="false">IF(AND(C916=C917,W916=W917-1),X916,"")</f>
        <v/>
      </c>
      <c r="AA917" s="0" t="str">
        <f aca="false">IF(AND(C916=C917,W916=W917-1),Y916,"")</f>
        <v/>
      </c>
      <c r="AB917" s="0" t="str">
        <f aca="false">IF(W917=1,"",IF(AND(X917=1,Z917&lt;&gt;1),1,0))</f>
        <v/>
      </c>
      <c r="AC917" s="0" t="str">
        <f aca="false">IF(W917=1,"",IF(AND(Y917=1,AA917&lt;&gt;1),1,0))</f>
        <v/>
      </c>
      <c r="AD917" s="33" t="str">
        <f aca="false">IF(AND(E917&gt;0,W917&lt;1,NOT(AND(C918=C917,W918=W917+1))),INDEX(DATAS,W917+1),"")</f>
        <v/>
      </c>
      <c r="AE917" s="33" t="str">
        <f aca="false">IF(AND(Y917=1,W917&lt;1),IF(AND(C918=C917,W918=W917+1),IF(Y918=1,"",INDEX(DATAS,W917+1)),INDEX(DATAS,W917+1)),"")</f>
        <v/>
      </c>
    </row>
    <row r="918" customFormat="false" ht="15" hidden="false" customHeight="false" outlineLevel="0" collapsed="false">
      <c r="A918" s="33" t="n">
        <v>46309</v>
      </c>
      <c r="B918" s="0" t="n">
        <v>5</v>
      </c>
      <c r="C918" s="0" t="n">
        <v>4890</v>
      </c>
      <c r="D918" s="0" t="n">
        <v>495</v>
      </c>
      <c r="E918" s="0" t="n">
        <v>1</v>
      </c>
      <c r="F918" s="27" t="s">
        <v>705</v>
      </c>
      <c r="G918" s="0" t="n">
        <v>37.4</v>
      </c>
      <c r="H918" s="0" t="n">
        <v>35</v>
      </c>
      <c r="I918" s="27" t="s">
        <v>138</v>
      </c>
      <c r="J918" s="0" t="n">
        <v>273</v>
      </c>
      <c r="K918" s="0" t="n">
        <v>61</v>
      </c>
      <c r="L918" s="0" t="n">
        <v>222</v>
      </c>
      <c r="M918" s="0" t="n">
        <v>589.79</v>
      </c>
      <c r="N918" s="0" t="n">
        <v>46.33</v>
      </c>
      <c r="O918" s="0" t="n">
        <v>24.45</v>
      </c>
      <c r="P918" s="0" t="n">
        <v>4.76</v>
      </c>
      <c r="Q918" s="0" t="n">
        <v>3.91</v>
      </c>
      <c r="R918" s="0" t="n">
        <v>4921</v>
      </c>
      <c r="S918" s="0" t="n">
        <v>10050</v>
      </c>
      <c r="T918" s="0" t="n">
        <v>52.7</v>
      </c>
      <c r="U918" s="0" t="n">
        <v>1173</v>
      </c>
      <c r="V918" s="0" t="n">
        <v>5</v>
      </c>
      <c r="W918" s="27" t="n">
        <f aca="false">MATCH(A918,DATAS,0)</f>
        <v>1</v>
      </c>
      <c r="X918" s="27" t="n">
        <f aca="false">IF(AND(E918&gt;0,OR(AND(B918&gt;=1,B918&lt;=6),B918=10)),1,0)</f>
        <v>1</v>
      </c>
      <c r="Y918" s="27" t="n">
        <f aca="false">IF(AND(E918&gt;0,B918=10),1,0)</f>
        <v>0</v>
      </c>
      <c r="Z918" s="0" t="str">
        <f aca="false">IF(AND(C917=C918,W917=W918-1),X917,"")</f>
        <v/>
      </c>
      <c r="AA918" s="0" t="str">
        <f aca="false">IF(AND(C917=C918,W917=W918-1),Y917,"")</f>
        <v/>
      </c>
      <c r="AB918" s="0" t="str">
        <f aca="false">IF(W918=1,"",IF(AND(X918=1,Z918&lt;&gt;1),1,0))</f>
        <v/>
      </c>
      <c r="AC918" s="0" t="str">
        <f aca="false">IF(W918=1,"",IF(AND(Y918=1,AA918&lt;&gt;1),1,0))</f>
        <v/>
      </c>
      <c r="AD918" s="33" t="str">
        <f aca="false">IF(AND(E918&gt;0,W918&lt;1,NOT(AND(C919=C918,W919=W918+1))),INDEX(DATAS,W918+1),"")</f>
        <v/>
      </c>
      <c r="AE918" s="33" t="str">
        <f aca="false">IF(AND(Y918=1,W918&lt;1),IF(AND(C919=C918,W919=W918+1),IF(Y919=1,"",INDEX(DATAS,W918+1)),INDEX(DATAS,W918+1)),"")</f>
        <v/>
      </c>
    </row>
    <row r="919" customFormat="false" ht="15" hidden="false" customHeight="false" outlineLevel="0" collapsed="false">
      <c r="A919" s="33" t="n">
        <v>46309</v>
      </c>
      <c r="B919" s="0" t="n">
        <v>3</v>
      </c>
      <c r="C919" s="0" t="n">
        <v>4891</v>
      </c>
      <c r="D919" s="0" t="n">
        <v>175</v>
      </c>
      <c r="E919" s="0" t="n">
        <v>2</v>
      </c>
      <c r="F919" s="27" t="s">
        <v>706</v>
      </c>
      <c r="G919" s="0" t="n">
        <v>67.2</v>
      </c>
      <c r="H919" s="0" t="n">
        <v>69</v>
      </c>
      <c r="I919" s="27" t="s">
        <v>168</v>
      </c>
      <c r="J919" s="0" t="n">
        <v>175</v>
      </c>
      <c r="K919" s="0" t="n">
        <v>71</v>
      </c>
      <c r="M919" s="0" t="n">
        <v>902.78</v>
      </c>
      <c r="N919" s="0" t="n">
        <v>60.5</v>
      </c>
      <c r="O919" s="0" t="n">
        <v>38</v>
      </c>
      <c r="P919" s="0" t="n">
        <v>4.27</v>
      </c>
      <c r="Q919" s="0" t="n">
        <v>3.12</v>
      </c>
      <c r="R919" s="0" t="n">
        <v>6816</v>
      </c>
      <c r="S919" s="0" t="n">
        <v>13485</v>
      </c>
      <c r="T919" s="0" t="n">
        <v>73.6</v>
      </c>
      <c r="U919" s="0" t="n">
        <v>1172</v>
      </c>
      <c r="V919" s="0" t="n">
        <v>4</v>
      </c>
      <c r="W919" s="27" t="n">
        <f aca="false">MATCH(A919,DATAS,0)</f>
        <v>1</v>
      </c>
      <c r="X919" s="27" t="n">
        <f aca="false">IF(AND(E919&gt;0,OR(AND(B919&gt;=1,B919&lt;=6),B919=10)),1,0)</f>
        <v>1</v>
      </c>
      <c r="Y919" s="27" t="n">
        <f aca="false">IF(AND(E919&gt;0,B919=10),1,0)</f>
        <v>0</v>
      </c>
      <c r="Z919" s="0" t="str">
        <f aca="false">IF(AND(C918=C919,W918=W919-1),X918,"")</f>
        <v/>
      </c>
      <c r="AA919" s="0" t="str">
        <f aca="false">IF(AND(C918=C919,W918=W919-1),Y918,"")</f>
        <v/>
      </c>
      <c r="AB919" s="0" t="str">
        <f aca="false">IF(W919=1,"",IF(AND(X919=1,Z919&lt;&gt;1),1,0))</f>
        <v/>
      </c>
      <c r="AC919" s="0" t="str">
        <f aca="false">IF(W919=1,"",IF(AND(Y919=1,AA919&lt;&gt;1),1,0))</f>
        <v/>
      </c>
      <c r="AD919" s="33" t="str">
        <f aca="false">IF(AND(E919&gt;0,W919&lt;1,NOT(AND(C920=C919,W920=W919+1))),INDEX(DATAS,W919+1),"")</f>
        <v/>
      </c>
      <c r="AE919" s="33" t="str">
        <f aca="false">IF(AND(Y919=1,W919&lt;1),IF(AND(C920=C919,W920=W919+1),IF(Y920=1,"",INDEX(DATAS,W919+1)),INDEX(DATAS,W919+1)),"")</f>
        <v/>
      </c>
    </row>
    <row r="920" customFormat="false" ht="15" hidden="false" customHeight="false" outlineLevel="0" collapsed="false">
      <c r="A920" s="33" t="n">
        <v>46309</v>
      </c>
      <c r="B920" s="0" t="n">
        <v>3</v>
      </c>
      <c r="C920" s="0" t="n">
        <v>4892</v>
      </c>
      <c r="D920" s="0" t="n">
        <v>135</v>
      </c>
      <c r="E920" s="0" t="n">
        <v>2</v>
      </c>
      <c r="F920" s="27" t="s">
        <v>706</v>
      </c>
      <c r="G920" s="0" t="n">
        <v>59.4</v>
      </c>
      <c r="H920" s="0" t="n">
        <v>58</v>
      </c>
      <c r="I920" s="27" t="s">
        <v>168</v>
      </c>
      <c r="J920" s="0" t="n">
        <v>135</v>
      </c>
      <c r="K920" s="0" t="n">
        <v>65</v>
      </c>
      <c r="M920" s="0" t="n">
        <v>471.23</v>
      </c>
      <c r="N920" s="0" t="n">
        <v>40.1</v>
      </c>
      <c r="O920" s="0" t="n">
        <v>35.77</v>
      </c>
      <c r="P920" s="0" t="n">
        <v>0</v>
      </c>
      <c r="Q920" s="0" t="n">
        <v>0</v>
      </c>
      <c r="R920" s="0" t="n">
        <v>5796</v>
      </c>
      <c r="S920" s="0" t="n">
        <v>11753</v>
      </c>
      <c r="T920" s="0" t="n">
        <v>62.2</v>
      </c>
      <c r="U920" s="0" t="n">
        <v>1172</v>
      </c>
      <c r="V920" s="0" t="n">
        <v>3</v>
      </c>
      <c r="W920" s="27" t="n">
        <f aca="false">MATCH(A920,DATAS,0)</f>
        <v>1</v>
      </c>
      <c r="X920" s="27" t="n">
        <f aca="false">IF(AND(E920&gt;0,OR(AND(B920&gt;=1,B920&lt;=6),B920=10)),1,0)</f>
        <v>1</v>
      </c>
      <c r="Y920" s="27" t="n">
        <f aca="false">IF(AND(E920&gt;0,B920=10),1,0)</f>
        <v>0</v>
      </c>
      <c r="Z920" s="0" t="str">
        <f aca="false">IF(AND(C919=C920,W919=W920-1),X919,"")</f>
        <v/>
      </c>
      <c r="AA920" s="0" t="str">
        <f aca="false">IF(AND(C919=C920,W919=W920-1),Y919,"")</f>
        <v/>
      </c>
      <c r="AB920" s="0" t="str">
        <f aca="false">IF(W920=1,"",IF(AND(X920=1,Z920&lt;&gt;1),1,0))</f>
        <v/>
      </c>
      <c r="AC920" s="0" t="str">
        <f aca="false">IF(W920=1,"",IF(AND(Y920=1,AA920&lt;&gt;1),1,0))</f>
        <v/>
      </c>
      <c r="AD920" s="33" t="str">
        <f aca="false">IF(AND(E920&gt;0,W920&lt;1,NOT(AND(C921=C920,W921=W920+1))),INDEX(DATAS,W920+1),"")</f>
        <v/>
      </c>
      <c r="AE920" s="33" t="str">
        <f aca="false">IF(AND(Y920=1,W920&lt;1),IF(AND(C921=C920,W921=W920+1),IF(Y921=1,"",INDEX(DATAS,W920+1)),INDEX(DATAS,W920+1)),"")</f>
        <v/>
      </c>
    </row>
    <row r="921" customFormat="false" ht="15" hidden="false" customHeight="false" outlineLevel="0" collapsed="false">
      <c r="A921" s="33" t="n">
        <v>46309</v>
      </c>
      <c r="B921" s="0" t="n">
        <v>3</v>
      </c>
      <c r="C921" s="0" t="n">
        <v>4894</v>
      </c>
      <c r="D921" s="0" t="n">
        <v>159</v>
      </c>
      <c r="E921" s="0" t="n">
        <v>2</v>
      </c>
      <c r="F921" s="27" t="s">
        <v>707</v>
      </c>
      <c r="G921" s="0" t="n">
        <v>56</v>
      </c>
      <c r="H921" s="0" t="n">
        <v>52</v>
      </c>
      <c r="I921" s="27" t="s">
        <v>138</v>
      </c>
      <c r="J921" s="0" t="n">
        <v>68</v>
      </c>
      <c r="K921" s="0" t="n">
        <v>68</v>
      </c>
      <c r="L921" s="0" t="n">
        <v>91</v>
      </c>
      <c r="M921" s="0" t="n">
        <v>731.97</v>
      </c>
      <c r="N921" s="0" t="n">
        <v>46.34</v>
      </c>
      <c r="O921" s="0" t="n">
        <v>17.68</v>
      </c>
      <c r="P921" s="0" t="n">
        <v>3.48</v>
      </c>
      <c r="Q921" s="0" t="n">
        <v>2.82</v>
      </c>
      <c r="R921" s="0" t="n">
        <v>4552</v>
      </c>
      <c r="S921" s="0" t="n">
        <v>9829</v>
      </c>
      <c r="T921" s="0" t="n">
        <v>46.7</v>
      </c>
      <c r="U921" s="0" t="n">
        <v>1170</v>
      </c>
      <c r="V921" s="0" t="n">
        <v>1</v>
      </c>
      <c r="W921" s="27" t="n">
        <f aca="false">MATCH(A921,DATAS,0)</f>
        <v>1</v>
      </c>
      <c r="X921" s="27" t="n">
        <f aca="false">IF(AND(E921&gt;0,OR(AND(B921&gt;=1,B921&lt;=6),B921=10)),1,0)</f>
        <v>1</v>
      </c>
      <c r="Y921" s="27" t="n">
        <f aca="false">IF(AND(E921&gt;0,B921=10),1,0)</f>
        <v>0</v>
      </c>
      <c r="Z921" s="0" t="str">
        <f aca="false">IF(AND(C920=C921,W920=W921-1),X920,"")</f>
        <v/>
      </c>
      <c r="AA921" s="0" t="str">
        <f aca="false">IF(AND(C920=C921,W920=W921-1),Y920,"")</f>
        <v/>
      </c>
      <c r="AB921" s="0" t="str">
        <f aca="false">IF(W921=1,"",IF(AND(X921=1,Z921&lt;&gt;1),1,0))</f>
        <v/>
      </c>
      <c r="AC921" s="0" t="str">
        <f aca="false">IF(W921=1,"",IF(AND(Y921=1,AA921&lt;&gt;1),1,0))</f>
        <v/>
      </c>
      <c r="AD921" s="33" t="str">
        <f aca="false">IF(AND(E921&gt;0,W921&lt;1,NOT(AND(C922=C921,W922=W921+1))),INDEX(DATAS,W921+1),"")</f>
        <v/>
      </c>
      <c r="AE921" s="33" t="str">
        <f aca="false">IF(AND(Y921=1,W921&lt;1),IF(AND(C922=C921,W922=W921+1),IF(Y922=1,"",INDEX(DATAS,W921+1)),INDEX(DATAS,W921+1)),"")</f>
        <v/>
      </c>
    </row>
    <row r="922" customFormat="false" ht="15" hidden="false" customHeight="false" outlineLevel="0" collapsed="false">
      <c r="A922" s="33" t="n">
        <v>46309</v>
      </c>
      <c r="B922" s="0" t="n">
        <v>5</v>
      </c>
      <c r="C922" s="0" t="n">
        <v>4895</v>
      </c>
      <c r="D922" s="0" t="n">
        <v>216</v>
      </c>
      <c r="E922" s="0" t="n">
        <v>2</v>
      </c>
      <c r="F922" s="27" t="s">
        <v>708</v>
      </c>
      <c r="G922" s="0" t="n">
        <v>39.7</v>
      </c>
      <c r="H922" s="0" t="n">
        <v>35</v>
      </c>
      <c r="I922" s="27" t="s">
        <v>168</v>
      </c>
      <c r="J922" s="0" t="n">
        <v>216</v>
      </c>
      <c r="K922" s="0" t="n">
        <v>69</v>
      </c>
      <c r="M922" s="0" t="n">
        <v>797.71</v>
      </c>
      <c r="N922" s="0" t="n">
        <v>64.45</v>
      </c>
      <c r="O922" s="0" t="n">
        <v>37.69</v>
      </c>
      <c r="P922" s="0" t="n">
        <v>5.73</v>
      </c>
      <c r="Q922" s="0" t="n">
        <v>4.09</v>
      </c>
      <c r="R922" s="0" t="n">
        <v>4409</v>
      </c>
      <c r="S922" s="0" t="n">
        <v>8774</v>
      </c>
      <c r="T922" s="0" t="n">
        <v>48.3</v>
      </c>
      <c r="U922" s="0" t="n">
        <v>1169</v>
      </c>
      <c r="V922" s="0" t="n">
        <v>5</v>
      </c>
      <c r="W922" s="27" t="n">
        <f aca="false">MATCH(A922,DATAS,0)</f>
        <v>1</v>
      </c>
      <c r="X922" s="27" t="n">
        <f aca="false">IF(AND(E922&gt;0,OR(AND(B922&gt;=1,B922&lt;=6),B922=10)),1,0)</f>
        <v>1</v>
      </c>
      <c r="Y922" s="27" t="n">
        <f aca="false">IF(AND(E922&gt;0,B922=10),1,0)</f>
        <v>0</v>
      </c>
      <c r="Z922" s="0" t="str">
        <f aca="false">IF(AND(C921=C922,W921=W922-1),X921,"")</f>
        <v/>
      </c>
      <c r="AA922" s="0" t="str">
        <f aca="false">IF(AND(C921=C922,W921=W922-1),Y921,"")</f>
        <v/>
      </c>
      <c r="AB922" s="0" t="str">
        <f aca="false">IF(W922=1,"",IF(AND(X922=1,Z922&lt;&gt;1),1,0))</f>
        <v/>
      </c>
      <c r="AC922" s="0" t="str">
        <f aca="false">IF(W922=1,"",IF(AND(Y922=1,AA922&lt;&gt;1),1,0))</f>
        <v/>
      </c>
      <c r="AD922" s="33" t="str">
        <f aca="false">IF(AND(E922&gt;0,W922&lt;1,NOT(AND(C923=C922,W923=W922+1))),INDEX(DATAS,W922+1),"")</f>
        <v/>
      </c>
      <c r="AE922" s="33" t="str">
        <f aca="false">IF(AND(Y922=1,W922&lt;1),IF(AND(C923=C922,W923=W922+1),IF(Y923=1,"",INDEX(DATAS,W922+1)),INDEX(DATAS,W922+1)),"")</f>
        <v/>
      </c>
    </row>
    <row r="923" customFormat="false" ht="15" hidden="false" customHeight="false" outlineLevel="0" collapsed="false">
      <c r="A923" s="33" t="n">
        <v>46309</v>
      </c>
      <c r="B923" s="0" t="n">
        <v>2</v>
      </c>
      <c r="C923" s="0" t="n">
        <v>4896</v>
      </c>
      <c r="D923" s="0" t="n">
        <v>154</v>
      </c>
      <c r="E923" s="0" t="n">
        <v>2</v>
      </c>
      <c r="F923" s="27" t="s">
        <v>708</v>
      </c>
      <c r="G923" s="0" t="n">
        <v>57.1</v>
      </c>
      <c r="H923" s="0" t="n">
        <v>58</v>
      </c>
      <c r="I923" s="27" t="s">
        <v>138</v>
      </c>
      <c r="J923" s="0" t="n">
        <v>98</v>
      </c>
      <c r="K923" s="0" t="n">
        <v>63</v>
      </c>
      <c r="L923" s="0" t="n">
        <v>56</v>
      </c>
      <c r="M923" s="0" t="n">
        <v>904.49</v>
      </c>
      <c r="N923" s="0" t="n">
        <v>58.01</v>
      </c>
      <c r="O923" s="0" t="n">
        <v>38.36</v>
      </c>
      <c r="P923" s="0" t="n">
        <v>3.28</v>
      </c>
      <c r="Q923" s="0" t="n">
        <v>3.2</v>
      </c>
      <c r="R923" s="0" t="n">
        <v>5205</v>
      </c>
      <c r="S923" s="0" t="n">
        <v>10814</v>
      </c>
      <c r="T923" s="0" t="n">
        <v>56.3</v>
      </c>
      <c r="U923" s="0" t="n">
        <v>1169</v>
      </c>
      <c r="V923" s="0" t="n">
        <v>2</v>
      </c>
      <c r="W923" s="27" t="n">
        <f aca="false">MATCH(A923,DATAS,0)</f>
        <v>1</v>
      </c>
      <c r="X923" s="27" t="n">
        <f aca="false">IF(AND(E923&gt;0,OR(AND(B923&gt;=1,B923&lt;=6),B923=10)),1,0)</f>
        <v>1</v>
      </c>
      <c r="Y923" s="27" t="n">
        <f aca="false">IF(AND(E923&gt;0,B923=10),1,0)</f>
        <v>0</v>
      </c>
      <c r="Z923" s="0" t="str">
        <f aca="false">IF(AND(C922=C923,W922=W923-1),X922,"")</f>
        <v/>
      </c>
      <c r="AA923" s="0" t="str">
        <f aca="false">IF(AND(C922=C923,W922=W923-1),Y922,"")</f>
        <v/>
      </c>
      <c r="AB923" s="0" t="str">
        <f aca="false">IF(W923=1,"",IF(AND(X923=1,Z923&lt;&gt;1),1,0))</f>
        <v/>
      </c>
      <c r="AC923" s="0" t="str">
        <f aca="false">IF(W923=1,"",IF(AND(Y923=1,AA923&lt;&gt;1),1,0))</f>
        <v/>
      </c>
      <c r="AD923" s="33" t="str">
        <f aca="false">IF(AND(E923&gt;0,W923&lt;1,NOT(AND(C924=C923,W924=W923+1))),INDEX(DATAS,W923+1),"")</f>
        <v/>
      </c>
      <c r="AE923" s="33" t="str">
        <f aca="false">IF(AND(Y923=1,W923&lt;1),IF(AND(C924=C923,W924=W923+1),IF(Y924=1,"",INDEX(DATAS,W923+1)),INDEX(DATAS,W923+1)),"")</f>
        <v/>
      </c>
    </row>
    <row r="924" customFormat="false" ht="15" hidden="false" customHeight="false" outlineLevel="0" collapsed="false">
      <c r="A924" s="33" t="n">
        <v>46309</v>
      </c>
      <c r="B924" s="0" t="n">
        <v>7</v>
      </c>
      <c r="C924" s="0" t="n">
        <v>4897</v>
      </c>
      <c r="D924" s="0" t="n">
        <v>290</v>
      </c>
      <c r="E924" s="0" t="n">
        <v>2</v>
      </c>
      <c r="F924" s="27" t="s">
        <v>709</v>
      </c>
      <c r="G924" s="0" t="n">
        <v>13.9</v>
      </c>
      <c r="H924" s="0" t="n">
        <v>36</v>
      </c>
      <c r="I924" s="27" t="s">
        <v>143</v>
      </c>
      <c r="J924" s="0" t="n">
        <v>67</v>
      </c>
      <c r="K924" s="0" t="n">
        <v>67</v>
      </c>
      <c r="L924" s="0" t="n">
        <v>224</v>
      </c>
      <c r="M924" s="0" t="n">
        <v>631.55</v>
      </c>
      <c r="N924" s="0" t="n">
        <v>37.65</v>
      </c>
      <c r="O924" s="0" t="n">
        <v>32.76</v>
      </c>
      <c r="P924" s="0" t="n">
        <v>4.3</v>
      </c>
      <c r="Q924" s="0" t="n">
        <v>4.03</v>
      </c>
      <c r="R924" s="0" t="n">
        <v>5975</v>
      </c>
      <c r="S924" s="0" t="n">
        <v>12225</v>
      </c>
      <c r="T924" s="0" t="n">
        <v>65.8</v>
      </c>
      <c r="U924" s="0" t="n">
        <v>1168</v>
      </c>
      <c r="V924" s="0" t="n">
        <v>1</v>
      </c>
      <c r="W924" s="27" t="n">
        <f aca="false">MATCH(A924,DATAS,0)</f>
        <v>1</v>
      </c>
      <c r="X924" s="27" t="n">
        <f aca="false">IF(AND(E924&gt;0,OR(AND(B924&gt;=1,B924&lt;=6),B924=10)),1,0)</f>
        <v>0</v>
      </c>
      <c r="Y924" s="27" t="n">
        <f aca="false">IF(AND(E924&gt;0,B924=10),1,0)</f>
        <v>0</v>
      </c>
      <c r="Z924" s="0" t="str">
        <f aca="false">IF(AND(C923=C924,W923=W924-1),X923,"")</f>
        <v/>
      </c>
      <c r="AA924" s="0" t="str">
        <f aca="false">IF(AND(C923=C924,W923=W924-1),Y923,"")</f>
        <v/>
      </c>
      <c r="AB924" s="0" t="str">
        <f aca="false">IF(W924=1,"",IF(AND(X924=1,Z924&lt;&gt;1),1,0))</f>
        <v/>
      </c>
      <c r="AC924" s="0" t="str">
        <f aca="false">IF(W924=1,"",IF(AND(Y924=1,AA924&lt;&gt;1),1,0))</f>
        <v/>
      </c>
      <c r="AD924" s="33" t="str">
        <f aca="false">IF(AND(E924&gt;0,W924&lt;1,NOT(AND(C925=C924,W925=W924+1))),INDEX(DATAS,W924+1),"")</f>
        <v/>
      </c>
      <c r="AE924" s="33" t="str">
        <f aca="false">IF(AND(Y924=1,W924&lt;1),IF(AND(C925=C924,W925=W924+1),IF(Y925=1,"",INDEX(DATAS,W924+1)),INDEX(DATAS,W924+1)),"")</f>
        <v/>
      </c>
    </row>
    <row r="925" customFormat="false" ht="15" hidden="false" customHeight="false" outlineLevel="0" collapsed="false">
      <c r="A925" s="33" t="n">
        <v>46309</v>
      </c>
      <c r="B925" s="0" t="n">
        <v>6</v>
      </c>
      <c r="C925" s="0" t="n">
        <v>4898</v>
      </c>
      <c r="D925" s="0" t="n">
        <v>451</v>
      </c>
      <c r="E925" s="0" t="n">
        <v>1</v>
      </c>
      <c r="F925" s="27" t="s">
        <v>710</v>
      </c>
      <c r="G925" s="0" t="n">
        <v>30.5</v>
      </c>
      <c r="H925" s="0" t="n">
        <v>31</v>
      </c>
      <c r="I925" s="27" t="s">
        <v>151</v>
      </c>
      <c r="J925" s="0" t="n">
        <v>451</v>
      </c>
      <c r="K925" s="0" t="n">
        <v>59</v>
      </c>
      <c r="M925" s="0" t="n">
        <v>560.51</v>
      </c>
      <c r="N925" s="0" t="n">
        <v>67.52</v>
      </c>
      <c r="O925" s="0" t="n">
        <v>36.3</v>
      </c>
      <c r="P925" s="0" t="n">
        <v>5.76</v>
      </c>
      <c r="Q925" s="0" t="n">
        <v>4.09</v>
      </c>
      <c r="R925" s="0" t="n">
        <v>2965</v>
      </c>
      <c r="S925" s="0" t="n">
        <v>6781</v>
      </c>
      <c r="T925" s="0" t="n">
        <v>35.15</v>
      </c>
      <c r="U925" s="0" t="n">
        <v>1167</v>
      </c>
      <c r="V925" s="0" t="n">
        <v>10</v>
      </c>
      <c r="W925" s="27" t="n">
        <f aca="false">MATCH(A925,DATAS,0)</f>
        <v>1</v>
      </c>
      <c r="X925" s="27" t="n">
        <f aca="false">IF(AND(E925&gt;0,OR(AND(B925&gt;=1,B925&lt;=6),B925=10)),1,0)</f>
        <v>1</v>
      </c>
      <c r="Y925" s="27" t="n">
        <f aca="false">IF(AND(E925&gt;0,B925=10),1,0)</f>
        <v>0</v>
      </c>
      <c r="Z925" s="0" t="str">
        <f aca="false">IF(AND(C924=C925,W924=W925-1),X924,"")</f>
        <v/>
      </c>
      <c r="AA925" s="0" t="str">
        <f aca="false">IF(AND(C924=C925,W924=W925-1),Y924,"")</f>
        <v/>
      </c>
      <c r="AB925" s="0" t="str">
        <f aca="false">IF(W925=1,"",IF(AND(X925=1,Z925&lt;&gt;1),1,0))</f>
        <v/>
      </c>
      <c r="AC925" s="0" t="str">
        <f aca="false">IF(W925=1,"",IF(AND(Y925=1,AA925&lt;&gt;1),1,0))</f>
        <v/>
      </c>
      <c r="AD925" s="33" t="str">
        <f aca="false">IF(AND(E925&gt;0,W925&lt;1,NOT(AND(C926=C925,W926=W925+1))),INDEX(DATAS,W925+1),"")</f>
        <v/>
      </c>
      <c r="AE925" s="33" t="str">
        <f aca="false">IF(AND(Y925=1,W925&lt;1),IF(AND(C926=C925,W926=W925+1),IF(Y926=1,"",INDEX(DATAS,W925+1)),INDEX(DATAS,W925+1)),"")</f>
        <v/>
      </c>
    </row>
    <row r="926" customFormat="false" ht="15" hidden="false" customHeight="false" outlineLevel="0" collapsed="false">
      <c r="A926" s="33" t="n">
        <v>46309</v>
      </c>
      <c r="B926" s="0" t="n">
        <v>2</v>
      </c>
      <c r="C926" s="0" t="n">
        <v>4899</v>
      </c>
      <c r="D926" s="0" t="n">
        <v>106</v>
      </c>
      <c r="E926" s="0" t="n">
        <v>2</v>
      </c>
      <c r="F926" s="27" t="s">
        <v>710</v>
      </c>
      <c r="G926" s="0" t="n">
        <v>56</v>
      </c>
      <c r="H926" s="0" t="n">
        <v>56</v>
      </c>
      <c r="I926" s="27" t="s">
        <v>168</v>
      </c>
      <c r="J926" s="0" t="n">
        <v>106</v>
      </c>
      <c r="K926" s="0" t="n">
        <v>64</v>
      </c>
      <c r="M926" s="0" t="n">
        <v>145.29</v>
      </c>
      <c r="N926" s="0" t="n">
        <v>43.03</v>
      </c>
      <c r="O926" s="0" t="n">
        <v>24.76</v>
      </c>
      <c r="P926" s="0" t="n">
        <v>4.16</v>
      </c>
      <c r="Q926" s="0" t="n">
        <v>3.43</v>
      </c>
      <c r="R926" s="0" t="n">
        <v>4492</v>
      </c>
      <c r="S926" s="0" t="n">
        <v>9166</v>
      </c>
      <c r="T926" s="0" t="n">
        <v>49.85</v>
      </c>
      <c r="U926" s="0" t="n">
        <v>1167</v>
      </c>
      <c r="V926" s="0" t="n">
        <v>2</v>
      </c>
      <c r="W926" s="27" t="n">
        <f aca="false">MATCH(A926,DATAS,0)</f>
        <v>1</v>
      </c>
      <c r="X926" s="27" t="n">
        <f aca="false">IF(AND(E926&gt;0,OR(AND(B926&gt;=1,B926&lt;=6),B926=10)),1,0)</f>
        <v>1</v>
      </c>
      <c r="Y926" s="27" t="n">
        <f aca="false">IF(AND(E926&gt;0,B926=10),1,0)</f>
        <v>0</v>
      </c>
      <c r="Z926" s="0" t="str">
        <f aca="false">IF(AND(C925=C926,W925=W926-1),X925,"")</f>
        <v/>
      </c>
      <c r="AA926" s="0" t="str">
        <f aca="false">IF(AND(C925=C926,W925=W926-1),Y925,"")</f>
        <v/>
      </c>
      <c r="AB926" s="0" t="str">
        <f aca="false">IF(W926=1,"",IF(AND(X926=1,Z926&lt;&gt;1),1,0))</f>
        <v/>
      </c>
      <c r="AC926" s="0" t="str">
        <f aca="false">IF(W926=1,"",IF(AND(Y926=1,AA926&lt;&gt;1),1,0))</f>
        <v/>
      </c>
      <c r="AD926" s="33" t="str">
        <f aca="false">IF(AND(E926&gt;0,W926&lt;1,NOT(AND(C927=C926,W927=W926+1))),INDEX(DATAS,W926+1),"")</f>
        <v/>
      </c>
      <c r="AE926" s="33" t="str">
        <f aca="false">IF(AND(Y926=1,W926&lt;1),IF(AND(C927=C926,W927=W926+1),IF(Y927=1,"",INDEX(DATAS,W926+1)),INDEX(DATAS,W926+1)),"")</f>
        <v/>
      </c>
    </row>
    <row r="927" customFormat="false" ht="15" hidden="false" customHeight="false" outlineLevel="0" collapsed="false">
      <c r="A927" s="33" t="n">
        <v>46309</v>
      </c>
      <c r="B927" s="0" t="n">
        <v>6</v>
      </c>
      <c r="C927" s="0" t="n">
        <v>4900</v>
      </c>
      <c r="D927" s="0" t="n">
        <v>211</v>
      </c>
      <c r="E927" s="0" t="n">
        <v>2</v>
      </c>
      <c r="F927" s="27" t="s">
        <v>710</v>
      </c>
      <c r="G927" s="0" t="n">
        <v>30.9</v>
      </c>
      <c r="H927" s="0" t="n">
        <v>27</v>
      </c>
      <c r="I927" s="27" t="s">
        <v>168</v>
      </c>
      <c r="J927" s="0" t="n">
        <v>211</v>
      </c>
      <c r="K927" s="0" t="n">
        <v>64</v>
      </c>
      <c r="M927" s="0" t="n">
        <v>708.22</v>
      </c>
      <c r="N927" s="0" t="n">
        <v>46.18</v>
      </c>
      <c r="O927" s="0" t="n">
        <v>28.6</v>
      </c>
      <c r="P927" s="0" t="n">
        <v>5.3</v>
      </c>
      <c r="Q927" s="0" t="n">
        <v>3.99</v>
      </c>
      <c r="R927" s="0" t="n">
        <v>4564</v>
      </c>
      <c r="S927" s="0" t="n">
        <v>7487</v>
      </c>
      <c r="T927" s="0" t="n">
        <v>55.25</v>
      </c>
      <c r="U927" s="0" t="n">
        <v>1167</v>
      </c>
      <c r="V927" s="0" t="n">
        <v>2</v>
      </c>
      <c r="W927" s="27" t="n">
        <f aca="false">MATCH(A927,DATAS,0)</f>
        <v>1</v>
      </c>
      <c r="X927" s="27" t="n">
        <f aca="false">IF(AND(E927&gt;0,OR(AND(B927&gt;=1,B927&lt;=6),B927=10)),1,0)</f>
        <v>1</v>
      </c>
      <c r="Y927" s="27" t="n">
        <f aca="false">IF(AND(E927&gt;0,B927=10),1,0)</f>
        <v>0</v>
      </c>
      <c r="Z927" s="0" t="str">
        <f aca="false">IF(AND(C926=C927,W926=W927-1),X926,"")</f>
        <v/>
      </c>
      <c r="AA927" s="0" t="str">
        <f aca="false">IF(AND(C926=C927,W926=W927-1),Y926,"")</f>
        <v/>
      </c>
      <c r="AB927" s="0" t="str">
        <f aca="false">IF(W927=1,"",IF(AND(X927=1,Z927&lt;&gt;1),1,0))</f>
        <v/>
      </c>
      <c r="AC927" s="0" t="str">
        <f aca="false">IF(W927=1,"",IF(AND(Y927=1,AA927&lt;&gt;1),1,0))</f>
        <v/>
      </c>
      <c r="AD927" s="33" t="str">
        <f aca="false">IF(AND(E927&gt;0,W927&lt;1,NOT(AND(C928=C927,W928=W927+1))),INDEX(DATAS,W927+1),"")</f>
        <v/>
      </c>
      <c r="AE927" s="33" t="str">
        <f aca="false">IF(AND(Y927=1,W927&lt;1),IF(AND(C928=C927,W928=W927+1),IF(Y928=1,"",INDEX(DATAS,W927+1)),INDEX(DATAS,W927+1)),"")</f>
        <v/>
      </c>
    </row>
    <row r="928" customFormat="false" ht="15" hidden="false" customHeight="false" outlineLevel="0" collapsed="false">
      <c r="A928" s="33" t="n">
        <v>46309</v>
      </c>
      <c r="B928" s="0" t="n">
        <v>3</v>
      </c>
      <c r="C928" s="0" t="n">
        <v>4901</v>
      </c>
      <c r="D928" s="0" t="n">
        <v>94</v>
      </c>
      <c r="E928" s="0" t="n">
        <v>2</v>
      </c>
      <c r="F928" s="27" t="s">
        <v>711</v>
      </c>
      <c r="G928" s="0" t="n">
        <v>52</v>
      </c>
      <c r="H928" s="0" t="n">
        <v>51</v>
      </c>
      <c r="I928" s="27" t="s">
        <v>168</v>
      </c>
      <c r="J928" s="0" t="n">
        <v>94</v>
      </c>
      <c r="K928" s="0" t="n">
        <v>66</v>
      </c>
      <c r="M928" s="0" t="n">
        <v>478.17</v>
      </c>
      <c r="N928" s="0" t="n">
        <v>51.6</v>
      </c>
      <c r="O928" s="0" t="n">
        <v>36.29</v>
      </c>
      <c r="P928" s="0" t="n">
        <v>2.41</v>
      </c>
      <c r="Q928" s="0" t="n">
        <v>3.39</v>
      </c>
      <c r="R928" s="0" t="n">
        <v>4850</v>
      </c>
      <c r="S928" s="0" t="n">
        <v>9749</v>
      </c>
      <c r="T928" s="0" t="n">
        <v>57.1</v>
      </c>
      <c r="U928" s="0" t="n">
        <v>1166</v>
      </c>
      <c r="V928" s="0" t="n">
        <v>2</v>
      </c>
      <c r="W928" s="27" t="n">
        <f aca="false">MATCH(A928,DATAS,0)</f>
        <v>1</v>
      </c>
      <c r="X928" s="27" t="n">
        <f aca="false">IF(AND(E928&gt;0,OR(AND(B928&gt;=1,B928&lt;=6),B928=10)),1,0)</f>
        <v>1</v>
      </c>
      <c r="Y928" s="27" t="n">
        <f aca="false">IF(AND(E928&gt;0,B928=10),1,0)</f>
        <v>0</v>
      </c>
      <c r="Z928" s="0" t="str">
        <f aca="false">IF(AND(C927=C928,W927=W928-1),X927,"")</f>
        <v/>
      </c>
      <c r="AA928" s="0" t="str">
        <f aca="false">IF(AND(C927=C928,W927=W928-1),Y927,"")</f>
        <v/>
      </c>
      <c r="AB928" s="0" t="str">
        <f aca="false">IF(W928=1,"",IF(AND(X928=1,Z928&lt;&gt;1),1,0))</f>
        <v/>
      </c>
      <c r="AC928" s="0" t="str">
        <f aca="false">IF(W928=1,"",IF(AND(Y928=1,AA928&lt;&gt;1),1,0))</f>
        <v/>
      </c>
      <c r="AD928" s="33" t="str">
        <f aca="false">IF(AND(E928&gt;0,W928&lt;1,NOT(AND(C929=C928,W929=W928+1))),INDEX(DATAS,W928+1),"")</f>
        <v/>
      </c>
      <c r="AE928" s="33" t="str">
        <f aca="false">IF(AND(Y928=1,W928&lt;1),IF(AND(C929=C928,W929=W928+1),IF(Y929=1,"",INDEX(DATAS,W928+1)),INDEX(DATAS,W928+1)),"")</f>
        <v/>
      </c>
    </row>
    <row r="929" customFormat="false" ht="15" hidden="false" customHeight="false" outlineLevel="0" collapsed="false">
      <c r="A929" s="33" t="n">
        <v>46309</v>
      </c>
      <c r="B929" s="0" t="n">
        <v>3</v>
      </c>
      <c r="C929" s="0" t="n">
        <v>4903</v>
      </c>
      <c r="D929" s="0" t="n">
        <v>100</v>
      </c>
      <c r="E929" s="0" t="n">
        <v>2</v>
      </c>
      <c r="F929" s="27" t="s">
        <v>712</v>
      </c>
      <c r="G929" s="0" t="n">
        <v>53.9</v>
      </c>
      <c r="H929" s="0" t="n">
        <v>55</v>
      </c>
      <c r="I929" s="27" t="s">
        <v>138</v>
      </c>
      <c r="J929" s="0" t="n">
        <v>65</v>
      </c>
      <c r="K929" s="0" t="n">
        <v>65</v>
      </c>
      <c r="L929" s="0" t="n">
        <v>35</v>
      </c>
      <c r="M929" s="0" t="n">
        <v>1038.43</v>
      </c>
      <c r="N929" s="0" t="n">
        <v>41.05</v>
      </c>
      <c r="O929" s="0" t="n">
        <v>28.47</v>
      </c>
      <c r="P929" s="0" t="n">
        <v>3.58</v>
      </c>
      <c r="Q929" s="0" t="n">
        <v>3.2</v>
      </c>
      <c r="R929" s="0" t="n">
        <v>4734</v>
      </c>
      <c r="S929" s="0" t="n">
        <v>9517</v>
      </c>
      <c r="T929" s="0" t="n">
        <v>51.55</v>
      </c>
      <c r="U929" s="0" t="n">
        <v>1165</v>
      </c>
      <c r="V929" s="0" t="n">
        <v>1</v>
      </c>
      <c r="W929" s="27" t="n">
        <f aca="false">MATCH(A929,DATAS,0)</f>
        <v>1</v>
      </c>
      <c r="X929" s="27" t="n">
        <f aca="false">IF(AND(E929&gt;0,OR(AND(B929&gt;=1,B929&lt;=6),B929=10)),1,0)</f>
        <v>1</v>
      </c>
      <c r="Y929" s="27" t="n">
        <f aca="false">IF(AND(E929&gt;0,B929=10),1,0)</f>
        <v>0</v>
      </c>
      <c r="Z929" s="0" t="str">
        <f aca="false">IF(AND(C928=C929,W928=W929-1),X928,"")</f>
        <v/>
      </c>
      <c r="AA929" s="0" t="str">
        <f aca="false">IF(AND(C928=C929,W928=W929-1),Y928,"")</f>
        <v/>
      </c>
      <c r="AB929" s="0" t="str">
        <f aca="false">IF(W929=1,"",IF(AND(X929=1,Z929&lt;&gt;1),1,0))</f>
        <v/>
      </c>
      <c r="AC929" s="0" t="str">
        <f aca="false">IF(W929=1,"",IF(AND(Y929=1,AA929&lt;&gt;1),1,0))</f>
        <v/>
      </c>
      <c r="AD929" s="33" t="str">
        <f aca="false">IF(AND(E929&gt;0,W929&lt;1,NOT(AND(C930=C929,W930=W929+1))),INDEX(DATAS,W929+1),"")</f>
        <v/>
      </c>
      <c r="AE929" s="33" t="str">
        <f aca="false">IF(AND(Y929=1,W929&lt;1),IF(AND(C930=C929,W930=W929+1),IF(Y930=1,"",INDEX(DATAS,W929+1)),INDEX(DATAS,W929+1)),"")</f>
        <v/>
      </c>
    </row>
    <row r="930" customFormat="false" ht="15" hidden="false" customHeight="false" outlineLevel="0" collapsed="false">
      <c r="A930" s="33" t="n">
        <v>46309</v>
      </c>
      <c r="B930" s="0" t="n">
        <v>3</v>
      </c>
      <c r="C930" s="0" t="n">
        <v>4906</v>
      </c>
      <c r="D930" s="0" t="n">
        <v>57</v>
      </c>
      <c r="E930" s="0" t="n">
        <v>2</v>
      </c>
      <c r="F930" s="27" t="s">
        <v>713</v>
      </c>
      <c r="G930" s="0" t="n">
        <v>48</v>
      </c>
      <c r="H930" s="0" t="n">
        <v>48</v>
      </c>
      <c r="I930" s="27" t="s">
        <v>147</v>
      </c>
      <c r="J930" s="0" t="n">
        <v>57</v>
      </c>
      <c r="M930" s="0" t="n">
        <v>383.12</v>
      </c>
      <c r="N930" s="0" t="n">
        <v>58.65</v>
      </c>
      <c r="O930" s="0" t="n">
        <v>32.95</v>
      </c>
      <c r="P930" s="0" t="n">
        <v>3.51</v>
      </c>
      <c r="Q930" s="0" t="n">
        <v>3.63</v>
      </c>
      <c r="R930" s="0" t="n">
        <v>4150</v>
      </c>
      <c r="S930" s="0" t="n">
        <v>8342</v>
      </c>
      <c r="U930" s="0" t="n">
        <v>1163</v>
      </c>
      <c r="V930" s="0" t="n">
        <v>0</v>
      </c>
      <c r="W930" s="27" t="n">
        <f aca="false">MATCH(A930,DATAS,0)</f>
        <v>1</v>
      </c>
      <c r="X930" s="27" t="n">
        <f aca="false">IF(AND(E930&gt;0,OR(AND(B930&gt;=1,B930&lt;=6),B930=10)),1,0)</f>
        <v>1</v>
      </c>
      <c r="Y930" s="27" t="n">
        <f aca="false">IF(AND(E930&gt;0,B930=10),1,0)</f>
        <v>0</v>
      </c>
      <c r="Z930" s="0" t="str">
        <f aca="false">IF(AND(C929=C930,W929=W930-1),X929,"")</f>
        <v/>
      </c>
      <c r="AA930" s="0" t="str">
        <f aca="false">IF(AND(C929=C930,W929=W930-1),Y929,"")</f>
        <v/>
      </c>
      <c r="AB930" s="0" t="str">
        <f aca="false">IF(W930=1,"",IF(AND(X930=1,Z930&lt;&gt;1),1,0))</f>
        <v/>
      </c>
      <c r="AC930" s="0" t="str">
        <f aca="false">IF(W930=1,"",IF(AND(Y930=1,AA930&lt;&gt;1),1,0))</f>
        <v/>
      </c>
      <c r="AD930" s="33" t="str">
        <f aca="false">IF(AND(E930&gt;0,W930&lt;1,NOT(AND(C931=C930,W931=W930+1))),INDEX(DATAS,W930+1),"")</f>
        <v/>
      </c>
      <c r="AE930" s="33" t="str">
        <f aca="false">IF(AND(Y930=1,W930&lt;1),IF(AND(C931=C930,W931=W930+1),IF(Y931=1,"",INDEX(DATAS,W930+1)),INDEX(DATAS,W930+1)),"")</f>
        <v/>
      </c>
    </row>
    <row r="931" customFormat="false" ht="15" hidden="false" customHeight="false" outlineLevel="0" collapsed="false">
      <c r="A931" s="33" t="n">
        <v>46309</v>
      </c>
      <c r="B931" s="0" t="n">
        <v>6</v>
      </c>
      <c r="C931" s="0" t="n">
        <v>4908</v>
      </c>
      <c r="D931" s="0" t="n">
        <v>516</v>
      </c>
      <c r="E931" s="0" t="n">
        <v>1</v>
      </c>
      <c r="F931" s="27" t="s">
        <v>713</v>
      </c>
      <c r="G931" s="0" t="n">
        <v>23</v>
      </c>
      <c r="H931" s="0" t="n">
        <v>23</v>
      </c>
      <c r="I931" s="27" t="s">
        <v>138</v>
      </c>
      <c r="J931" s="0" t="n">
        <v>436</v>
      </c>
      <c r="K931" s="0" t="n">
        <v>61</v>
      </c>
      <c r="L931" s="0" t="n">
        <v>80</v>
      </c>
      <c r="M931" s="0" t="n">
        <v>548.74</v>
      </c>
      <c r="N931" s="0" t="n">
        <v>60.23</v>
      </c>
      <c r="O931" s="0" t="n">
        <v>37.99</v>
      </c>
      <c r="P931" s="0" t="n">
        <v>6.02</v>
      </c>
      <c r="Q931" s="0" t="n">
        <v>4.98</v>
      </c>
      <c r="R931" s="0" t="n">
        <v>4886</v>
      </c>
      <c r="S931" s="0" t="n">
        <v>9669</v>
      </c>
      <c r="T931" s="0" t="n">
        <v>44.5</v>
      </c>
      <c r="U931" s="0" t="n">
        <v>1163</v>
      </c>
      <c r="V931" s="0" t="n">
        <v>12</v>
      </c>
      <c r="W931" s="27" t="n">
        <f aca="false">MATCH(A931,DATAS,0)</f>
        <v>1</v>
      </c>
      <c r="X931" s="27" t="n">
        <f aca="false">IF(AND(E931&gt;0,OR(AND(B931&gt;=1,B931&lt;=6),B931=10)),1,0)</f>
        <v>1</v>
      </c>
      <c r="Y931" s="27" t="n">
        <f aca="false">IF(AND(E931&gt;0,B931=10),1,0)</f>
        <v>0</v>
      </c>
      <c r="Z931" s="0" t="str">
        <f aca="false">IF(AND(C930=C931,W930=W931-1),X930,"")</f>
        <v/>
      </c>
      <c r="AA931" s="0" t="str">
        <f aca="false">IF(AND(C930=C931,W930=W931-1),Y930,"")</f>
        <v/>
      </c>
      <c r="AB931" s="0" t="str">
        <f aca="false">IF(W931=1,"",IF(AND(X931=1,Z931&lt;&gt;1),1,0))</f>
        <v/>
      </c>
      <c r="AC931" s="0" t="str">
        <f aca="false">IF(W931=1,"",IF(AND(Y931=1,AA931&lt;&gt;1),1,0))</f>
        <v/>
      </c>
      <c r="AD931" s="33" t="str">
        <f aca="false">IF(AND(E931&gt;0,W931&lt;1,NOT(AND(C932=C931,W932=W931+1))),INDEX(DATAS,W931+1),"")</f>
        <v/>
      </c>
      <c r="AE931" s="33" t="str">
        <f aca="false">IF(AND(Y931=1,W931&lt;1),IF(AND(C932=C931,W932=W931+1),IF(Y932=1,"",INDEX(DATAS,W931+1)),INDEX(DATAS,W931+1)),"")</f>
        <v/>
      </c>
    </row>
    <row r="932" customFormat="false" ht="15" hidden="false" customHeight="false" outlineLevel="0" collapsed="false">
      <c r="A932" s="33" t="n">
        <v>46309</v>
      </c>
      <c r="B932" s="0" t="n">
        <v>5</v>
      </c>
      <c r="C932" s="0" t="n">
        <v>4909</v>
      </c>
      <c r="D932" s="0" t="n">
        <v>418</v>
      </c>
      <c r="E932" s="0" t="n">
        <v>1</v>
      </c>
      <c r="F932" s="27" t="s">
        <v>714</v>
      </c>
      <c r="G932" s="0" t="n">
        <v>38.2</v>
      </c>
      <c r="H932" s="0" t="n">
        <v>37</v>
      </c>
      <c r="I932" s="27" t="s">
        <v>176</v>
      </c>
      <c r="J932" s="0" t="n">
        <v>418</v>
      </c>
      <c r="K932" s="0" t="n">
        <v>68</v>
      </c>
      <c r="M932" s="0" t="n">
        <v>905.65</v>
      </c>
      <c r="N932" s="0" t="n">
        <v>38.81</v>
      </c>
      <c r="O932" s="0" t="n">
        <v>33.98</v>
      </c>
      <c r="P932" s="0" t="n">
        <v>5.82</v>
      </c>
      <c r="Q932" s="0" t="n">
        <v>4.38</v>
      </c>
      <c r="R932" s="0" t="n">
        <v>4252</v>
      </c>
      <c r="S932" s="0" t="n">
        <v>9082</v>
      </c>
      <c r="T932" s="0" t="n">
        <v>46.45</v>
      </c>
      <c r="U932" s="0" t="n">
        <v>1162</v>
      </c>
      <c r="V932" s="0" t="n">
        <v>7</v>
      </c>
      <c r="W932" s="27" t="n">
        <f aca="false">MATCH(A932,DATAS,0)</f>
        <v>1</v>
      </c>
      <c r="X932" s="27" t="n">
        <f aca="false">IF(AND(E932&gt;0,OR(AND(B932&gt;=1,B932&lt;=6),B932=10)),1,0)</f>
        <v>1</v>
      </c>
      <c r="Y932" s="27" t="n">
        <f aca="false">IF(AND(E932&gt;0,B932=10),1,0)</f>
        <v>0</v>
      </c>
      <c r="Z932" s="0" t="str">
        <f aca="false">IF(AND(C931=C932,W931=W932-1),X931,"")</f>
        <v/>
      </c>
      <c r="AA932" s="0" t="str">
        <f aca="false">IF(AND(C931=C932,W931=W932-1),Y931,"")</f>
        <v/>
      </c>
      <c r="AB932" s="0" t="str">
        <f aca="false">IF(W932=1,"",IF(AND(X932=1,Z932&lt;&gt;1),1,0))</f>
        <v/>
      </c>
      <c r="AC932" s="0" t="str">
        <f aca="false">IF(W932=1,"",IF(AND(Y932=1,AA932&lt;&gt;1),1,0))</f>
        <v/>
      </c>
      <c r="AD932" s="33" t="str">
        <f aca="false">IF(AND(E932&gt;0,W932&lt;1,NOT(AND(C933=C932,W933=W932+1))),INDEX(DATAS,W932+1),"")</f>
        <v/>
      </c>
      <c r="AE932" s="33" t="str">
        <f aca="false">IF(AND(Y932=1,W932&lt;1),IF(AND(C933=C932,W933=W932+1),IF(Y933=1,"",INDEX(DATAS,W932+1)),INDEX(DATAS,W932+1)),"")</f>
        <v/>
      </c>
    </row>
    <row r="933" customFormat="false" ht="15" hidden="false" customHeight="false" outlineLevel="0" collapsed="false">
      <c r="A933" s="33" t="n">
        <v>46309</v>
      </c>
      <c r="B933" s="0" t="n">
        <v>5</v>
      </c>
      <c r="C933" s="0" t="n">
        <v>4910</v>
      </c>
      <c r="D933" s="0" t="n">
        <v>161</v>
      </c>
      <c r="E933" s="0" t="n">
        <v>2</v>
      </c>
      <c r="F933" s="27" t="s">
        <v>714</v>
      </c>
      <c r="G933" s="0" t="n">
        <v>48.6</v>
      </c>
      <c r="H933" s="0" t="n">
        <v>44</v>
      </c>
      <c r="I933" s="27" t="s">
        <v>168</v>
      </c>
      <c r="J933" s="0" t="n">
        <v>161</v>
      </c>
      <c r="K933" s="0" t="n">
        <v>63</v>
      </c>
      <c r="M933" s="0" t="n">
        <v>773.04</v>
      </c>
      <c r="N933" s="0" t="n">
        <v>37.03</v>
      </c>
      <c r="O933" s="0" t="n">
        <v>49.97</v>
      </c>
      <c r="P933" s="0" t="n">
        <v>3.08</v>
      </c>
      <c r="Q933" s="0" t="n">
        <v>3.79</v>
      </c>
      <c r="R933" s="0" t="n">
        <v>4951</v>
      </c>
      <c r="S933" s="0" t="n">
        <v>9666</v>
      </c>
      <c r="T933" s="0" t="n">
        <v>54.4</v>
      </c>
      <c r="U933" s="0" t="n">
        <v>1162</v>
      </c>
      <c r="V933" s="0" t="n">
        <v>5</v>
      </c>
      <c r="W933" s="27" t="n">
        <f aca="false">MATCH(A933,DATAS,0)</f>
        <v>1</v>
      </c>
      <c r="X933" s="27" t="n">
        <f aca="false">IF(AND(E933&gt;0,OR(AND(B933&gt;=1,B933&lt;=6),B933=10)),1,0)</f>
        <v>1</v>
      </c>
      <c r="Y933" s="27" t="n">
        <f aca="false">IF(AND(E933&gt;0,B933=10),1,0)</f>
        <v>0</v>
      </c>
      <c r="Z933" s="0" t="str">
        <f aca="false">IF(AND(C932=C933,W932=W933-1),X932,"")</f>
        <v/>
      </c>
      <c r="AA933" s="0" t="str">
        <f aca="false">IF(AND(C932=C933,W932=W933-1),Y932,"")</f>
        <v/>
      </c>
      <c r="AB933" s="0" t="str">
        <f aca="false">IF(W933=1,"",IF(AND(X933=1,Z933&lt;&gt;1),1,0))</f>
        <v/>
      </c>
      <c r="AC933" s="0" t="str">
        <f aca="false">IF(W933=1,"",IF(AND(Y933=1,AA933&lt;&gt;1),1,0))</f>
        <v/>
      </c>
      <c r="AD933" s="33" t="str">
        <f aca="false">IF(AND(E933&gt;0,W933&lt;1,NOT(AND(C934=C933,W934=W933+1))),INDEX(DATAS,W933+1),"")</f>
        <v/>
      </c>
      <c r="AE933" s="33" t="str">
        <f aca="false">IF(AND(Y933=1,W933&lt;1),IF(AND(C934=C933,W934=W933+1),IF(Y934=1,"",INDEX(DATAS,W933+1)),INDEX(DATAS,W933+1)),"")</f>
        <v/>
      </c>
    </row>
    <row r="934" customFormat="false" ht="15" hidden="false" customHeight="false" outlineLevel="0" collapsed="false">
      <c r="A934" s="33" t="n">
        <v>46309</v>
      </c>
      <c r="B934" s="0" t="n">
        <v>2</v>
      </c>
      <c r="C934" s="0" t="n">
        <v>4912</v>
      </c>
      <c r="D934" s="0" t="n">
        <v>131</v>
      </c>
      <c r="E934" s="0" t="n">
        <v>2</v>
      </c>
      <c r="F934" s="27" t="s">
        <v>714</v>
      </c>
      <c r="G934" s="0" t="n">
        <v>47.6</v>
      </c>
      <c r="H934" s="0" t="n">
        <v>47</v>
      </c>
      <c r="I934" s="27" t="s">
        <v>176</v>
      </c>
      <c r="J934" s="0" t="n">
        <v>131</v>
      </c>
      <c r="K934" s="0" t="n">
        <v>68</v>
      </c>
      <c r="M934" s="0" t="n">
        <v>398.14</v>
      </c>
      <c r="N934" s="0" t="n">
        <v>72.67</v>
      </c>
      <c r="O934" s="0" t="n">
        <v>31.66</v>
      </c>
      <c r="P934" s="0" t="n">
        <v>4.04</v>
      </c>
      <c r="Q934" s="0" t="n">
        <v>3.28</v>
      </c>
      <c r="R934" s="0" t="n">
        <v>4456</v>
      </c>
      <c r="S934" s="0" t="n">
        <v>8925</v>
      </c>
      <c r="T934" s="0" t="n">
        <v>45.3</v>
      </c>
      <c r="U934" s="0" t="n">
        <v>1162</v>
      </c>
      <c r="V934" s="0" t="n">
        <v>1</v>
      </c>
      <c r="W934" s="27" t="n">
        <f aca="false">MATCH(A934,DATAS,0)</f>
        <v>1</v>
      </c>
      <c r="X934" s="27" t="n">
        <f aca="false">IF(AND(E934&gt;0,OR(AND(B934&gt;=1,B934&lt;=6),B934=10)),1,0)</f>
        <v>1</v>
      </c>
      <c r="Y934" s="27" t="n">
        <f aca="false">IF(AND(E934&gt;0,B934=10),1,0)</f>
        <v>0</v>
      </c>
      <c r="Z934" s="0" t="str">
        <f aca="false">IF(AND(C933=C934,W933=W934-1),X933,"")</f>
        <v/>
      </c>
      <c r="AA934" s="0" t="str">
        <f aca="false">IF(AND(C933=C934,W933=W934-1),Y933,"")</f>
        <v/>
      </c>
      <c r="AB934" s="0" t="str">
        <f aca="false">IF(W934=1,"",IF(AND(X934=1,Z934&lt;&gt;1),1,0))</f>
        <v/>
      </c>
      <c r="AC934" s="0" t="str">
        <f aca="false">IF(W934=1,"",IF(AND(Y934=1,AA934&lt;&gt;1),1,0))</f>
        <v/>
      </c>
      <c r="AD934" s="33" t="str">
        <f aca="false">IF(AND(E934&gt;0,W934&lt;1,NOT(AND(C935=C934,W935=W934+1))),INDEX(DATAS,W934+1),"")</f>
        <v/>
      </c>
      <c r="AE934" s="33" t="str">
        <f aca="false">IF(AND(Y934=1,W934&lt;1),IF(AND(C935=C934,W935=W934+1),IF(Y935=1,"",INDEX(DATAS,W934+1)),INDEX(DATAS,W934+1)),"")</f>
        <v/>
      </c>
    </row>
    <row r="935" customFormat="false" ht="15" hidden="false" customHeight="false" outlineLevel="0" collapsed="false">
      <c r="A935" s="33" t="n">
        <v>46309</v>
      </c>
      <c r="B935" s="0" t="n">
        <v>5</v>
      </c>
      <c r="C935" s="0" t="n">
        <v>4913</v>
      </c>
      <c r="D935" s="0" t="n">
        <v>248</v>
      </c>
      <c r="E935" s="0" t="n">
        <v>2</v>
      </c>
      <c r="F935" s="27" t="s">
        <v>714</v>
      </c>
      <c r="G935" s="0" t="n">
        <v>44.5</v>
      </c>
      <c r="H935" s="0" t="n">
        <v>45</v>
      </c>
      <c r="I935" s="27" t="s">
        <v>138</v>
      </c>
      <c r="J935" s="0" t="n">
        <v>66</v>
      </c>
      <c r="K935" s="0" t="n">
        <v>66</v>
      </c>
      <c r="L935" s="0" t="n">
        <v>182</v>
      </c>
      <c r="M935" s="0" t="n">
        <v>1476.88</v>
      </c>
      <c r="N935" s="0" t="n">
        <v>39.09</v>
      </c>
      <c r="O935" s="0" t="n">
        <v>44.1</v>
      </c>
      <c r="P935" s="0" t="n">
        <v>4.43</v>
      </c>
      <c r="Q935" s="0" t="n">
        <v>3.89</v>
      </c>
      <c r="R935" s="0" t="n">
        <v>4850</v>
      </c>
      <c r="S935" s="0" t="n">
        <v>9939</v>
      </c>
      <c r="T935" s="0" t="n">
        <v>51.35</v>
      </c>
      <c r="U935" s="0" t="n">
        <v>1162</v>
      </c>
      <c r="V935" s="0" t="n">
        <v>1</v>
      </c>
      <c r="W935" s="27" t="n">
        <f aca="false">MATCH(A935,DATAS,0)</f>
        <v>1</v>
      </c>
      <c r="X935" s="27" t="n">
        <f aca="false">IF(AND(E935&gt;0,OR(AND(B935&gt;=1,B935&lt;=6),B935=10)),1,0)</f>
        <v>1</v>
      </c>
      <c r="Y935" s="27" t="n">
        <f aca="false">IF(AND(E935&gt;0,B935=10),1,0)</f>
        <v>0</v>
      </c>
      <c r="Z935" s="0" t="str">
        <f aca="false">IF(AND(C934=C935,W934=W935-1),X934,"")</f>
        <v/>
      </c>
      <c r="AA935" s="0" t="str">
        <f aca="false">IF(AND(C934=C935,W934=W935-1),Y934,"")</f>
        <v/>
      </c>
      <c r="AB935" s="0" t="str">
        <f aca="false">IF(W935=1,"",IF(AND(X935=1,Z935&lt;&gt;1),1,0))</f>
        <v/>
      </c>
      <c r="AC935" s="0" t="str">
        <f aca="false">IF(W935=1,"",IF(AND(Y935=1,AA935&lt;&gt;1),1,0))</f>
        <v/>
      </c>
      <c r="AD935" s="33" t="str">
        <f aca="false">IF(AND(E935&gt;0,W935&lt;1,NOT(AND(C936=C935,W936=W935+1))),INDEX(DATAS,W935+1),"")</f>
        <v/>
      </c>
      <c r="AE935" s="33" t="str">
        <f aca="false">IF(AND(Y935=1,W935&lt;1),IF(AND(C936=C935,W936=W935+1),IF(Y936=1,"",INDEX(DATAS,W935+1)),INDEX(DATAS,W935+1)),"")</f>
        <v/>
      </c>
    </row>
    <row r="936" customFormat="false" ht="15" hidden="false" customHeight="false" outlineLevel="0" collapsed="false">
      <c r="A936" s="33" t="n">
        <v>46309</v>
      </c>
      <c r="B936" s="0" t="n">
        <v>5</v>
      </c>
      <c r="C936" s="0" t="n">
        <v>4914</v>
      </c>
      <c r="D936" s="0" t="n">
        <v>145</v>
      </c>
      <c r="E936" s="0" t="n">
        <v>2</v>
      </c>
      <c r="F936" s="27" t="s">
        <v>715</v>
      </c>
      <c r="G936" s="0" t="n">
        <v>30</v>
      </c>
      <c r="H936" s="0" t="n">
        <v>34</v>
      </c>
      <c r="I936" s="27" t="s">
        <v>138</v>
      </c>
      <c r="J936" s="0" t="n">
        <v>68</v>
      </c>
      <c r="K936" s="0" t="n">
        <v>68</v>
      </c>
      <c r="L936" s="0" t="n">
        <v>77</v>
      </c>
      <c r="M936" s="0" t="n">
        <v>964.62</v>
      </c>
      <c r="N936" s="0" t="n">
        <v>62.07</v>
      </c>
      <c r="O936" s="0" t="n">
        <v>38.84</v>
      </c>
      <c r="P936" s="0" t="n">
        <v>4.88</v>
      </c>
      <c r="Q936" s="0" t="n">
        <v>4.03</v>
      </c>
      <c r="R936" s="0" t="n">
        <v>2912</v>
      </c>
      <c r="S936" s="0" t="n">
        <v>6386</v>
      </c>
      <c r="T936" s="0" t="n">
        <v>35.5</v>
      </c>
      <c r="U936" s="0" t="n">
        <v>1160</v>
      </c>
      <c r="V936" s="0" t="n">
        <v>1</v>
      </c>
      <c r="W936" s="27" t="n">
        <f aca="false">MATCH(A936,DATAS,0)</f>
        <v>1</v>
      </c>
      <c r="X936" s="27" t="n">
        <f aca="false">IF(AND(E936&gt;0,OR(AND(B936&gt;=1,B936&lt;=6),B936=10)),1,0)</f>
        <v>1</v>
      </c>
      <c r="Y936" s="27" t="n">
        <f aca="false">IF(AND(E936&gt;0,B936=10),1,0)</f>
        <v>0</v>
      </c>
      <c r="Z936" s="0" t="str">
        <f aca="false">IF(AND(C935=C936,W935=W936-1),X935,"")</f>
        <v/>
      </c>
      <c r="AA936" s="0" t="str">
        <f aca="false">IF(AND(C935=C936,W935=W936-1),Y935,"")</f>
        <v/>
      </c>
      <c r="AB936" s="0" t="str">
        <f aca="false">IF(W936=1,"",IF(AND(X936=1,Z936&lt;&gt;1),1,0))</f>
        <v/>
      </c>
      <c r="AC936" s="0" t="str">
        <f aca="false">IF(W936=1,"",IF(AND(Y936=1,AA936&lt;&gt;1),1,0))</f>
        <v/>
      </c>
      <c r="AD936" s="33" t="str">
        <f aca="false">IF(AND(E936&gt;0,W936&lt;1,NOT(AND(C937=C936,W937=W936+1))),INDEX(DATAS,W936+1),"")</f>
        <v/>
      </c>
      <c r="AE936" s="33" t="str">
        <f aca="false">IF(AND(Y936=1,W936&lt;1),IF(AND(C937=C936,W937=W936+1),IF(Y937=1,"",INDEX(DATAS,W936+1)),INDEX(DATAS,W936+1)),"")</f>
        <v/>
      </c>
    </row>
    <row r="937" customFormat="false" ht="15" hidden="false" customHeight="false" outlineLevel="0" collapsed="false">
      <c r="A937" s="33" t="n">
        <v>46309</v>
      </c>
      <c r="B937" s="0" t="n">
        <v>2</v>
      </c>
      <c r="C937" s="0" t="n">
        <v>4916</v>
      </c>
      <c r="D937" s="0" t="n">
        <v>55</v>
      </c>
      <c r="E937" s="0" t="n">
        <v>2</v>
      </c>
      <c r="F937" s="27" t="s">
        <v>716</v>
      </c>
      <c r="G937" s="0" t="n">
        <v>34.9</v>
      </c>
      <c r="H937" s="0" t="n">
        <v>49</v>
      </c>
      <c r="I937" s="27" t="s">
        <v>147</v>
      </c>
      <c r="J937" s="0" t="n">
        <v>55</v>
      </c>
      <c r="M937" s="0" t="n">
        <v>517.56</v>
      </c>
      <c r="N937" s="0" t="n">
        <v>52.8</v>
      </c>
      <c r="O937" s="0" t="n">
        <v>33.4</v>
      </c>
      <c r="P937" s="0" t="n">
        <v>3.62</v>
      </c>
      <c r="Q937" s="0" t="n">
        <v>3.68</v>
      </c>
      <c r="R937" s="0" t="n">
        <v>4539</v>
      </c>
      <c r="S937" s="0" t="n">
        <v>9124</v>
      </c>
      <c r="U937" s="0" t="n">
        <v>1159</v>
      </c>
      <c r="V937" s="0" t="n">
        <v>0</v>
      </c>
      <c r="W937" s="27" t="n">
        <f aca="false">MATCH(A937,DATAS,0)</f>
        <v>1</v>
      </c>
      <c r="X937" s="27" t="n">
        <f aca="false">IF(AND(E937&gt;0,OR(AND(B937&gt;=1,B937&lt;=6),B937=10)),1,0)</f>
        <v>1</v>
      </c>
      <c r="Y937" s="27" t="n">
        <f aca="false">IF(AND(E937&gt;0,B937=10),1,0)</f>
        <v>0</v>
      </c>
      <c r="Z937" s="0" t="str">
        <f aca="false">IF(AND(C936=C937,W936=W937-1),X936,"")</f>
        <v/>
      </c>
      <c r="AA937" s="0" t="str">
        <f aca="false">IF(AND(C936=C937,W936=W937-1),Y936,"")</f>
        <v/>
      </c>
      <c r="AB937" s="0" t="str">
        <f aca="false">IF(W937=1,"",IF(AND(X937=1,Z937&lt;&gt;1),1,0))</f>
        <v/>
      </c>
      <c r="AC937" s="0" t="str">
        <f aca="false">IF(W937=1,"",IF(AND(Y937=1,AA937&lt;&gt;1),1,0))</f>
        <v/>
      </c>
      <c r="AD937" s="33" t="str">
        <f aca="false">IF(AND(E937&gt;0,W937&lt;1,NOT(AND(C938=C937,W938=W937+1))),INDEX(DATAS,W937+1),"")</f>
        <v/>
      </c>
      <c r="AE937" s="33" t="str">
        <f aca="false">IF(AND(Y937=1,W937&lt;1),IF(AND(C938=C937,W938=W937+1),IF(Y938=1,"",INDEX(DATAS,W937+1)),INDEX(DATAS,W937+1)),"")</f>
        <v/>
      </c>
    </row>
    <row r="938" customFormat="false" ht="15" hidden="false" customHeight="false" outlineLevel="0" collapsed="false">
      <c r="A938" s="33" t="n">
        <v>46309</v>
      </c>
      <c r="B938" s="0" t="n">
        <v>5</v>
      </c>
      <c r="C938" s="0" t="n">
        <v>4917</v>
      </c>
      <c r="D938" s="0" t="n">
        <v>98</v>
      </c>
      <c r="E938" s="0" t="n">
        <v>2</v>
      </c>
      <c r="F938" s="27" t="s">
        <v>716</v>
      </c>
      <c r="G938" s="0" t="n">
        <v>67.9</v>
      </c>
      <c r="H938" s="0" t="n">
        <v>63</v>
      </c>
      <c r="I938" s="27" t="s">
        <v>168</v>
      </c>
      <c r="J938" s="0" t="n">
        <v>98</v>
      </c>
      <c r="K938" s="0" t="n">
        <v>77</v>
      </c>
      <c r="M938" s="0" t="n">
        <v>1019.4</v>
      </c>
      <c r="N938" s="0" t="n">
        <v>53.19</v>
      </c>
      <c r="O938" s="0" t="n">
        <v>38.5</v>
      </c>
      <c r="P938" s="0" t="n">
        <v>4.93</v>
      </c>
      <c r="Q938" s="0" t="n">
        <v>2.92</v>
      </c>
      <c r="R938" s="0" t="n">
        <v>6075</v>
      </c>
      <c r="S938" s="0" t="n">
        <v>12213</v>
      </c>
      <c r="T938" s="0" t="n">
        <v>68.8</v>
      </c>
      <c r="U938" s="0" t="n">
        <v>1159</v>
      </c>
      <c r="V938" s="0" t="n">
        <v>1</v>
      </c>
      <c r="W938" s="27" t="n">
        <f aca="false">MATCH(A938,DATAS,0)</f>
        <v>1</v>
      </c>
      <c r="X938" s="27" t="n">
        <f aca="false">IF(AND(E938&gt;0,OR(AND(B938&gt;=1,B938&lt;=6),B938=10)),1,0)</f>
        <v>1</v>
      </c>
      <c r="Y938" s="27" t="n">
        <f aca="false">IF(AND(E938&gt;0,B938=10),1,0)</f>
        <v>0</v>
      </c>
      <c r="Z938" s="0" t="str">
        <f aca="false">IF(AND(C937=C938,W937=W938-1),X937,"")</f>
        <v/>
      </c>
      <c r="AA938" s="0" t="str">
        <f aca="false">IF(AND(C937=C938,W937=W938-1),Y937,"")</f>
        <v/>
      </c>
      <c r="AB938" s="0" t="str">
        <f aca="false">IF(W938=1,"",IF(AND(X938=1,Z938&lt;&gt;1),1,0))</f>
        <v/>
      </c>
      <c r="AC938" s="0" t="str">
        <f aca="false">IF(W938=1,"",IF(AND(Y938=1,AA938&lt;&gt;1),1,0))</f>
        <v/>
      </c>
      <c r="AD938" s="33" t="str">
        <f aca="false">IF(AND(E938&gt;0,W938&lt;1,NOT(AND(C939=C938,W939=W938+1))),INDEX(DATAS,W938+1),"")</f>
        <v/>
      </c>
      <c r="AE938" s="33" t="str">
        <f aca="false">IF(AND(Y938=1,W938&lt;1),IF(AND(C939=C938,W939=W938+1),IF(Y939=1,"",INDEX(DATAS,W938+1)),INDEX(DATAS,W938+1)),"")</f>
        <v/>
      </c>
    </row>
    <row r="939" customFormat="false" ht="15" hidden="false" customHeight="false" outlineLevel="0" collapsed="false">
      <c r="A939" s="33" t="n">
        <v>46309</v>
      </c>
      <c r="B939" s="0" t="n">
        <v>5</v>
      </c>
      <c r="C939" s="0" t="n">
        <v>4918</v>
      </c>
      <c r="D939" s="0" t="n">
        <v>147</v>
      </c>
      <c r="E939" s="0" t="n">
        <v>2</v>
      </c>
      <c r="F939" s="27" t="s">
        <v>716</v>
      </c>
      <c r="G939" s="0" t="n">
        <v>21.1</v>
      </c>
      <c r="H939" s="0" t="n">
        <v>21</v>
      </c>
      <c r="I939" s="27" t="s">
        <v>138</v>
      </c>
      <c r="J939" s="0" t="n">
        <v>70</v>
      </c>
      <c r="K939" s="0" t="n">
        <v>70</v>
      </c>
      <c r="L939" s="0" t="n">
        <v>77</v>
      </c>
      <c r="M939" s="0" t="n">
        <v>648.74</v>
      </c>
      <c r="N939" s="0" t="n">
        <v>75.28</v>
      </c>
      <c r="O939" s="0" t="n">
        <v>39.19</v>
      </c>
      <c r="P939" s="0" t="n">
        <v>5.31</v>
      </c>
      <c r="Q939" s="0" t="n">
        <v>4.19</v>
      </c>
      <c r="R939" s="0" t="n">
        <v>2912</v>
      </c>
      <c r="S939" s="0" t="n">
        <v>5845</v>
      </c>
      <c r="T939" s="0" t="n">
        <v>33.35</v>
      </c>
      <c r="U939" s="0" t="n">
        <v>1159</v>
      </c>
      <c r="V939" s="0" t="n">
        <v>1</v>
      </c>
      <c r="W939" s="27" t="n">
        <f aca="false">MATCH(A939,DATAS,0)</f>
        <v>1</v>
      </c>
      <c r="X939" s="27" t="n">
        <f aca="false">IF(AND(E939&gt;0,OR(AND(B939&gt;=1,B939&lt;=6),B939=10)),1,0)</f>
        <v>1</v>
      </c>
      <c r="Y939" s="27" t="n">
        <f aca="false">IF(AND(E939&gt;0,B939=10),1,0)</f>
        <v>0</v>
      </c>
      <c r="Z939" s="0" t="str">
        <f aca="false">IF(AND(C938=C939,W938=W939-1),X938,"")</f>
        <v/>
      </c>
      <c r="AA939" s="0" t="str">
        <f aca="false">IF(AND(C938=C939,W938=W939-1),Y938,"")</f>
        <v/>
      </c>
      <c r="AB939" s="0" t="str">
        <f aca="false">IF(W939=1,"",IF(AND(X939=1,Z939&lt;&gt;1),1,0))</f>
        <v/>
      </c>
      <c r="AC939" s="0" t="str">
        <f aca="false">IF(W939=1,"",IF(AND(Y939=1,AA939&lt;&gt;1),1,0))</f>
        <v/>
      </c>
      <c r="AD939" s="33" t="str">
        <f aca="false">IF(AND(E939&gt;0,W939&lt;1,NOT(AND(C940=C939,W940=W939+1))),INDEX(DATAS,W939+1),"")</f>
        <v/>
      </c>
      <c r="AE939" s="33" t="str">
        <f aca="false">IF(AND(Y939=1,W939&lt;1),IF(AND(C940=C939,W940=W939+1),IF(Y940=1,"",INDEX(DATAS,W939+1)),INDEX(DATAS,W939+1)),"")</f>
        <v/>
      </c>
    </row>
    <row r="940" customFormat="false" ht="15" hidden="false" customHeight="false" outlineLevel="0" collapsed="false">
      <c r="A940" s="33" t="n">
        <v>46309</v>
      </c>
      <c r="B940" s="0" t="n">
        <v>5</v>
      </c>
      <c r="C940" s="0" t="n">
        <v>4919</v>
      </c>
      <c r="D940" s="0" t="n">
        <v>179</v>
      </c>
      <c r="E940" s="0" t="n">
        <v>2</v>
      </c>
      <c r="F940" s="27" t="s">
        <v>716</v>
      </c>
      <c r="G940" s="0" t="n">
        <v>41</v>
      </c>
      <c r="H940" s="0" t="n">
        <v>39</v>
      </c>
      <c r="I940" s="27" t="s">
        <v>176</v>
      </c>
      <c r="J940" s="0" t="n">
        <v>179</v>
      </c>
      <c r="K940" s="0" t="n">
        <v>83</v>
      </c>
      <c r="M940" s="0" t="n">
        <v>-85.71</v>
      </c>
      <c r="N940" s="0" t="n">
        <v>58.77</v>
      </c>
      <c r="O940" s="0" t="n">
        <v>22.34</v>
      </c>
      <c r="P940" s="0" t="n">
        <v>4.91</v>
      </c>
      <c r="Q940" s="0" t="n">
        <v>3.81</v>
      </c>
      <c r="R940" s="0" t="n">
        <v>4356</v>
      </c>
      <c r="S940" s="0" t="n">
        <v>8623</v>
      </c>
      <c r="T940" s="0" t="n">
        <v>51.25</v>
      </c>
      <c r="U940" s="0" t="n">
        <v>1159</v>
      </c>
      <c r="V940" s="0" t="n">
        <v>4</v>
      </c>
      <c r="W940" s="27" t="n">
        <f aca="false">MATCH(A940,DATAS,0)</f>
        <v>1</v>
      </c>
      <c r="X940" s="27" t="n">
        <f aca="false">IF(AND(E940&gt;0,OR(AND(B940&gt;=1,B940&lt;=6),B940=10)),1,0)</f>
        <v>1</v>
      </c>
      <c r="Y940" s="27" t="n">
        <f aca="false">IF(AND(E940&gt;0,B940=10),1,0)</f>
        <v>0</v>
      </c>
      <c r="Z940" s="0" t="str">
        <f aca="false">IF(AND(C939=C940,W939=W940-1),X939,"")</f>
        <v/>
      </c>
      <c r="AA940" s="0" t="str">
        <f aca="false">IF(AND(C939=C940,W939=W940-1),Y939,"")</f>
        <v/>
      </c>
      <c r="AB940" s="0" t="str">
        <f aca="false">IF(W940=1,"",IF(AND(X940=1,Z940&lt;&gt;1),1,0))</f>
        <v/>
      </c>
      <c r="AC940" s="0" t="str">
        <f aca="false">IF(W940=1,"",IF(AND(Y940=1,AA940&lt;&gt;1),1,0))</f>
        <v/>
      </c>
      <c r="AD940" s="33" t="str">
        <f aca="false">IF(AND(E940&gt;0,W940&lt;1,NOT(AND(C941=C940,W941=W940+1))),INDEX(DATAS,W940+1),"")</f>
        <v/>
      </c>
      <c r="AE940" s="33" t="str">
        <f aca="false">IF(AND(Y940=1,W940&lt;1),IF(AND(C941=C940,W941=W940+1),IF(Y941=1,"",INDEX(DATAS,W940+1)),INDEX(DATAS,W940+1)),"")</f>
        <v/>
      </c>
    </row>
    <row r="941" customFormat="false" ht="15" hidden="false" customHeight="false" outlineLevel="0" collapsed="false">
      <c r="A941" s="33" t="n">
        <v>46309</v>
      </c>
      <c r="B941" s="0" t="n">
        <v>3</v>
      </c>
      <c r="C941" s="0" t="n">
        <v>4920</v>
      </c>
      <c r="D941" s="0" t="n">
        <v>5</v>
      </c>
      <c r="E941" s="0" t="n">
        <v>2</v>
      </c>
      <c r="F941" s="27" t="s">
        <v>717</v>
      </c>
      <c r="G941" s="0" t="n">
        <v>41.5</v>
      </c>
      <c r="H941" s="0" t="n">
        <v>31</v>
      </c>
      <c r="I941" s="27" t="s">
        <v>147</v>
      </c>
      <c r="J941" s="0" t="n">
        <v>5</v>
      </c>
      <c r="M941" s="0" t="n">
        <v>1006.91</v>
      </c>
      <c r="N941" s="0" t="n">
        <v>48.48</v>
      </c>
      <c r="O941" s="0" t="n">
        <v>37.09</v>
      </c>
      <c r="R941" s="0" t="n">
        <v>2640</v>
      </c>
      <c r="S941" s="0" t="n">
        <v>5307</v>
      </c>
      <c r="U941" s="0" t="n">
        <v>1158</v>
      </c>
      <c r="V941" s="0" t="n">
        <v>0</v>
      </c>
      <c r="W941" s="27" t="n">
        <f aca="false">MATCH(A941,DATAS,0)</f>
        <v>1</v>
      </c>
      <c r="X941" s="27" t="n">
        <f aca="false">IF(AND(E941&gt;0,OR(AND(B941&gt;=1,B941&lt;=6),B941=10)),1,0)</f>
        <v>1</v>
      </c>
      <c r="Y941" s="27" t="n">
        <f aca="false">IF(AND(E941&gt;0,B941=10),1,0)</f>
        <v>0</v>
      </c>
      <c r="Z941" s="0" t="str">
        <f aca="false">IF(AND(C940=C941,W940=W941-1),X940,"")</f>
        <v/>
      </c>
      <c r="AA941" s="0" t="str">
        <f aca="false">IF(AND(C940=C941,W940=W941-1),Y940,"")</f>
        <v/>
      </c>
      <c r="AB941" s="0" t="str">
        <f aca="false">IF(W941=1,"",IF(AND(X941=1,Z941&lt;&gt;1),1,0))</f>
        <v/>
      </c>
      <c r="AC941" s="0" t="str">
        <f aca="false">IF(W941=1,"",IF(AND(Y941=1,AA941&lt;&gt;1),1,0))</f>
        <v/>
      </c>
      <c r="AD941" s="33" t="str">
        <f aca="false">IF(AND(E941&gt;0,W941&lt;1,NOT(AND(C942=C941,W942=W941+1))),INDEX(DATAS,W941+1),"")</f>
        <v/>
      </c>
      <c r="AE941" s="33" t="str">
        <f aca="false">IF(AND(Y941=1,W941&lt;1),IF(AND(C942=C941,W942=W941+1),IF(Y942=1,"",INDEX(DATAS,W941+1)),INDEX(DATAS,W941+1)),"")</f>
        <v/>
      </c>
    </row>
    <row r="942" customFormat="false" ht="15" hidden="false" customHeight="false" outlineLevel="0" collapsed="false">
      <c r="A942" s="33" t="n">
        <v>46309</v>
      </c>
      <c r="B942" s="0" t="n">
        <v>5</v>
      </c>
      <c r="C942" s="0" t="n">
        <v>4921</v>
      </c>
      <c r="D942" s="0" t="n">
        <v>178</v>
      </c>
      <c r="E942" s="0" t="n">
        <v>2</v>
      </c>
      <c r="F942" s="27" t="s">
        <v>717</v>
      </c>
      <c r="G942" s="0" t="n">
        <v>41.3</v>
      </c>
      <c r="H942" s="0" t="n">
        <v>38</v>
      </c>
      <c r="I942" s="27" t="s">
        <v>138</v>
      </c>
      <c r="J942" s="0" t="n">
        <v>101</v>
      </c>
      <c r="K942" s="0" t="n">
        <v>66</v>
      </c>
      <c r="L942" s="0" t="n">
        <v>77</v>
      </c>
      <c r="M942" s="0" t="n">
        <v>1504.7</v>
      </c>
      <c r="N942" s="0" t="n">
        <v>62.83</v>
      </c>
      <c r="O942" s="0" t="n">
        <v>58.02</v>
      </c>
      <c r="P942" s="0" t="n">
        <v>4.33</v>
      </c>
      <c r="Q942" s="0" t="n">
        <v>3.73</v>
      </c>
      <c r="R942" s="0" t="n">
        <v>5007</v>
      </c>
      <c r="S942" s="0" t="n">
        <v>8788</v>
      </c>
      <c r="T942" s="0" t="n">
        <v>57.75</v>
      </c>
      <c r="U942" s="0" t="n">
        <v>1158</v>
      </c>
      <c r="V942" s="0" t="n">
        <v>2</v>
      </c>
      <c r="W942" s="27" t="n">
        <f aca="false">MATCH(A942,DATAS,0)</f>
        <v>1</v>
      </c>
      <c r="X942" s="27" t="n">
        <f aca="false">IF(AND(E942&gt;0,OR(AND(B942&gt;=1,B942&lt;=6),B942=10)),1,0)</f>
        <v>1</v>
      </c>
      <c r="Y942" s="27" t="n">
        <f aca="false">IF(AND(E942&gt;0,B942=10),1,0)</f>
        <v>0</v>
      </c>
      <c r="Z942" s="0" t="str">
        <f aca="false">IF(AND(C941=C942,W941=W942-1),X941,"")</f>
        <v/>
      </c>
      <c r="AA942" s="0" t="str">
        <f aca="false">IF(AND(C941=C942,W941=W942-1),Y941,"")</f>
        <v/>
      </c>
      <c r="AB942" s="0" t="str">
        <f aca="false">IF(W942=1,"",IF(AND(X942=1,Z942&lt;&gt;1),1,0))</f>
        <v/>
      </c>
      <c r="AC942" s="0" t="str">
        <f aca="false">IF(W942=1,"",IF(AND(Y942=1,AA942&lt;&gt;1),1,0))</f>
        <v/>
      </c>
      <c r="AD942" s="33" t="str">
        <f aca="false">IF(AND(E942&gt;0,W942&lt;1,NOT(AND(C943=C942,W943=W942+1))),INDEX(DATAS,W942+1),"")</f>
        <v/>
      </c>
      <c r="AE942" s="33" t="str">
        <f aca="false">IF(AND(Y942=1,W942&lt;1),IF(AND(C943=C942,W943=W942+1),IF(Y943=1,"",INDEX(DATAS,W942+1)),INDEX(DATAS,W942+1)),"")</f>
        <v/>
      </c>
    </row>
    <row r="943" customFormat="false" ht="15" hidden="false" customHeight="false" outlineLevel="0" collapsed="false">
      <c r="A943" s="33" t="n">
        <v>46309</v>
      </c>
      <c r="B943" s="0" t="n">
        <v>5</v>
      </c>
      <c r="C943" s="0" t="n">
        <v>4922</v>
      </c>
      <c r="D943" s="0" t="n">
        <v>97</v>
      </c>
      <c r="E943" s="0" t="n">
        <v>2</v>
      </c>
      <c r="F943" s="27" t="s">
        <v>717</v>
      </c>
      <c r="G943" s="0" t="n">
        <v>44.1</v>
      </c>
      <c r="H943" s="0" t="n">
        <v>45</v>
      </c>
      <c r="I943" s="27" t="s">
        <v>176</v>
      </c>
      <c r="J943" s="0" t="n">
        <v>97</v>
      </c>
      <c r="K943" s="0" t="n">
        <v>62</v>
      </c>
      <c r="M943" s="0" t="n">
        <v>-79.11</v>
      </c>
      <c r="N943" s="0" t="n">
        <v>36.12</v>
      </c>
      <c r="O943" s="0" t="n">
        <v>17.64</v>
      </c>
      <c r="P943" s="0" t="n">
        <v>3.75</v>
      </c>
      <c r="Q943" s="0" t="n">
        <v>3.82</v>
      </c>
      <c r="R943" s="0" t="n">
        <v>3794</v>
      </c>
      <c r="S943" s="0" t="n">
        <v>7627</v>
      </c>
      <c r="T943" s="0" t="n">
        <v>41.15</v>
      </c>
      <c r="U943" s="0" t="n">
        <v>1158</v>
      </c>
      <c r="V943" s="0" t="n">
        <v>1</v>
      </c>
      <c r="W943" s="27" t="n">
        <f aca="false">MATCH(A943,DATAS,0)</f>
        <v>1</v>
      </c>
      <c r="X943" s="27" t="n">
        <f aca="false">IF(AND(E943&gt;0,OR(AND(B943&gt;=1,B943&lt;=6),B943=10)),1,0)</f>
        <v>1</v>
      </c>
      <c r="Y943" s="27" t="n">
        <f aca="false">IF(AND(E943&gt;0,B943=10),1,0)</f>
        <v>0</v>
      </c>
      <c r="Z943" s="0" t="str">
        <f aca="false">IF(AND(C942=C943,W942=W943-1),X942,"")</f>
        <v/>
      </c>
      <c r="AA943" s="0" t="str">
        <f aca="false">IF(AND(C942=C943,W942=W943-1),Y942,"")</f>
        <v/>
      </c>
      <c r="AB943" s="0" t="str">
        <f aca="false">IF(W943=1,"",IF(AND(X943=1,Z943&lt;&gt;1),1,0))</f>
        <v/>
      </c>
      <c r="AC943" s="0" t="str">
        <f aca="false">IF(W943=1,"",IF(AND(Y943=1,AA943&lt;&gt;1),1,0))</f>
        <v/>
      </c>
      <c r="AD943" s="33" t="str">
        <f aca="false">IF(AND(E943&gt;0,W943&lt;1,NOT(AND(C944=C943,W944=W943+1))),INDEX(DATAS,W943+1),"")</f>
        <v/>
      </c>
      <c r="AE943" s="33" t="str">
        <f aca="false">IF(AND(Y943=1,W943&lt;1),IF(AND(C944=C943,W944=W943+1),IF(Y944=1,"",INDEX(DATAS,W943+1)),INDEX(DATAS,W943+1)),"")</f>
        <v/>
      </c>
    </row>
    <row r="944" customFormat="false" ht="15" hidden="false" customHeight="false" outlineLevel="0" collapsed="false">
      <c r="A944" s="33" t="n">
        <v>46309</v>
      </c>
      <c r="B944" s="0" t="n">
        <v>2</v>
      </c>
      <c r="C944" s="0" t="n">
        <v>4923</v>
      </c>
      <c r="D944" s="0" t="n">
        <v>41</v>
      </c>
      <c r="E944" s="0" t="n">
        <v>2</v>
      </c>
      <c r="F944" s="27" t="s">
        <v>717</v>
      </c>
      <c r="G944" s="0" t="n">
        <v>59.5</v>
      </c>
      <c r="H944" s="0" t="n">
        <v>59</v>
      </c>
      <c r="I944" s="27" t="s">
        <v>147</v>
      </c>
      <c r="J944" s="0" t="n">
        <v>41</v>
      </c>
      <c r="M944" s="0" t="n">
        <v>700.32</v>
      </c>
      <c r="N944" s="0" t="n">
        <v>30.44</v>
      </c>
      <c r="O944" s="0" t="n">
        <v>27.73</v>
      </c>
      <c r="P944" s="0" t="n">
        <v>3.67</v>
      </c>
      <c r="Q944" s="0" t="n">
        <v>3.52</v>
      </c>
      <c r="R944" s="0" t="n">
        <v>5108</v>
      </c>
      <c r="S944" s="0" t="n">
        <v>10269</v>
      </c>
      <c r="U944" s="0" t="n">
        <v>1158</v>
      </c>
      <c r="V944" s="0" t="n">
        <v>0</v>
      </c>
      <c r="W944" s="27" t="n">
        <f aca="false">MATCH(A944,DATAS,0)</f>
        <v>1</v>
      </c>
      <c r="X944" s="27" t="n">
        <f aca="false">IF(AND(E944&gt;0,OR(AND(B944&gt;=1,B944&lt;=6),B944=10)),1,0)</f>
        <v>1</v>
      </c>
      <c r="Y944" s="27" t="n">
        <f aca="false">IF(AND(E944&gt;0,B944=10),1,0)</f>
        <v>0</v>
      </c>
      <c r="Z944" s="0" t="str">
        <f aca="false">IF(AND(C943=C944,W943=W944-1),X943,"")</f>
        <v/>
      </c>
      <c r="AA944" s="0" t="str">
        <f aca="false">IF(AND(C943=C944,W943=W944-1),Y943,"")</f>
        <v/>
      </c>
      <c r="AB944" s="0" t="str">
        <f aca="false">IF(W944=1,"",IF(AND(X944=1,Z944&lt;&gt;1),1,0))</f>
        <v/>
      </c>
      <c r="AC944" s="0" t="str">
        <f aca="false">IF(W944=1,"",IF(AND(Y944=1,AA944&lt;&gt;1),1,0))</f>
        <v/>
      </c>
      <c r="AD944" s="33" t="str">
        <f aca="false">IF(AND(E944&gt;0,W944&lt;1,NOT(AND(C945=C944,W945=W944+1))),INDEX(DATAS,W944+1),"")</f>
        <v/>
      </c>
      <c r="AE944" s="33" t="str">
        <f aca="false">IF(AND(Y944=1,W944&lt;1),IF(AND(C945=C944,W945=W944+1),IF(Y945=1,"",INDEX(DATAS,W944+1)),INDEX(DATAS,W944+1)),"")</f>
        <v/>
      </c>
    </row>
    <row r="945" customFormat="false" ht="15" hidden="false" customHeight="false" outlineLevel="0" collapsed="false">
      <c r="A945" s="33" t="n">
        <v>46309</v>
      </c>
      <c r="B945" s="0" t="n">
        <v>5</v>
      </c>
      <c r="C945" s="0" t="n">
        <v>4924</v>
      </c>
      <c r="D945" s="0" t="n">
        <v>120</v>
      </c>
      <c r="E945" s="0" t="n">
        <v>2</v>
      </c>
      <c r="F945" s="27" t="s">
        <v>718</v>
      </c>
      <c r="G945" s="0" t="n">
        <v>51.1</v>
      </c>
      <c r="H945" s="0" t="n">
        <v>48</v>
      </c>
      <c r="I945" s="27" t="s">
        <v>168</v>
      </c>
      <c r="J945" s="0" t="n">
        <v>120</v>
      </c>
      <c r="K945" s="0" t="n">
        <v>64</v>
      </c>
      <c r="M945" s="0" t="n">
        <v>782.82</v>
      </c>
      <c r="N945" s="0" t="n">
        <v>52.92</v>
      </c>
      <c r="O945" s="0" t="n">
        <v>25.7</v>
      </c>
      <c r="P945" s="0" t="n">
        <v>3.84</v>
      </c>
      <c r="Q945" s="0" t="n">
        <v>3.38</v>
      </c>
      <c r="R945" s="0" t="n">
        <v>5155</v>
      </c>
      <c r="S945" s="0" t="n">
        <v>10362</v>
      </c>
      <c r="T945" s="0" t="n">
        <v>56.2</v>
      </c>
      <c r="U945" s="0" t="n">
        <v>1157</v>
      </c>
      <c r="V945" s="0" t="n">
        <v>2</v>
      </c>
      <c r="W945" s="27" t="n">
        <f aca="false">MATCH(A945,DATAS,0)</f>
        <v>1</v>
      </c>
      <c r="X945" s="27" t="n">
        <f aca="false">IF(AND(E945&gt;0,OR(AND(B945&gt;=1,B945&lt;=6),B945=10)),1,0)</f>
        <v>1</v>
      </c>
      <c r="Y945" s="27" t="n">
        <f aca="false">IF(AND(E945&gt;0,B945=10),1,0)</f>
        <v>0</v>
      </c>
      <c r="Z945" s="0" t="str">
        <f aca="false">IF(AND(C944=C945,W944=W945-1),X944,"")</f>
        <v/>
      </c>
      <c r="AA945" s="0" t="str">
        <f aca="false">IF(AND(C944=C945,W944=W945-1),Y944,"")</f>
        <v/>
      </c>
      <c r="AB945" s="0" t="str">
        <f aca="false">IF(W945=1,"",IF(AND(X945=1,Z945&lt;&gt;1),1,0))</f>
        <v/>
      </c>
      <c r="AC945" s="0" t="str">
        <f aca="false">IF(W945=1,"",IF(AND(Y945=1,AA945&lt;&gt;1),1,0))</f>
        <v/>
      </c>
      <c r="AD945" s="33" t="str">
        <f aca="false">IF(AND(E945&gt;0,W945&lt;1,NOT(AND(C946=C945,W946=W945+1))),INDEX(DATAS,W945+1),"")</f>
        <v/>
      </c>
      <c r="AE945" s="33" t="str">
        <f aca="false">IF(AND(Y945=1,W945&lt;1),IF(AND(C946=C945,W946=W945+1),IF(Y946=1,"",INDEX(DATAS,W945+1)),INDEX(DATAS,W945+1)),"")</f>
        <v/>
      </c>
    </row>
    <row r="946" customFormat="false" ht="15" hidden="false" customHeight="false" outlineLevel="0" collapsed="false">
      <c r="A946" s="33" t="n">
        <v>46309</v>
      </c>
      <c r="B946" s="0" t="n">
        <v>5</v>
      </c>
      <c r="C946" s="0" t="n">
        <v>4925</v>
      </c>
      <c r="D946" s="0" t="n">
        <v>187</v>
      </c>
      <c r="E946" s="0" t="n">
        <v>2</v>
      </c>
      <c r="F946" s="27" t="s">
        <v>718</v>
      </c>
      <c r="G946" s="0" t="n">
        <v>40.6</v>
      </c>
      <c r="H946" s="0" t="n">
        <v>41</v>
      </c>
      <c r="I946" s="27" t="s">
        <v>138</v>
      </c>
      <c r="J946" s="0" t="n">
        <v>76</v>
      </c>
      <c r="K946" s="0" t="n">
        <v>83</v>
      </c>
      <c r="L946" s="0" t="n">
        <v>111</v>
      </c>
      <c r="M946" s="0" t="n">
        <v>502.07</v>
      </c>
      <c r="N946" s="0" t="n">
        <v>46.16</v>
      </c>
      <c r="O946" s="0" t="n">
        <v>20.17</v>
      </c>
      <c r="P946" s="0" t="n">
        <v>5.45</v>
      </c>
      <c r="Q946" s="0" t="n">
        <v>3.44</v>
      </c>
      <c r="R946" s="0" t="n">
        <v>3367</v>
      </c>
      <c r="S946" s="0" t="n">
        <v>7431</v>
      </c>
      <c r="T946" s="0" t="n">
        <v>36.7</v>
      </c>
      <c r="U946" s="0" t="n">
        <v>1157</v>
      </c>
      <c r="V946" s="0" t="n">
        <v>1</v>
      </c>
      <c r="W946" s="27" t="n">
        <f aca="false">MATCH(A946,DATAS,0)</f>
        <v>1</v>
      </c>
      <c r="X946" s="27" t="n">
        <f aca="false">IF(AND(E946&gt;0,OR(AND(B946&gt;=1,B946&lt;=6),B946=10)),1,0)</f>
        <v>1</v>
      </c>
      <c r="Y946" s="27" t="n">
        <f aca="false">IF(AND(E946&gt;0,B946=10),1,0)</f>
        <v>0</v>
      </c>
      <c r="Z946" s="0" t="str">
        <f aca="false">IF(AND(C945=C946,W945=W946-1),X945,"")</f>
        <v/>
      </c>
      <c r="AA946" s="0" t="str">
        <f aca="false">IF(AND(C945=C946,W945=W946-1),Y945,"")</f>
        <v/>
      </c>
      <c r="AB946" s="0" t="str">
        <f aca="false">IF(W946=1,"",IF(AND(X946=1,Z946&lt;&gt;1),1,0))</f>
        <v/>
      </c>
      <c r="AC946" s="0" t="str">
        <f aca="false">IF(W946=1,"",IF(AND(Y946=1,AA946&lt;&gt;1),1,0))</f>
        <v/>
      </c>
      <c r="AD946" s="33" t="str">
        <f aca="false">IF(AND(E946&gt;0,W946&lt;1,NOT(AND(C947=C946,W947=W946+1))),INDEX(DATAS,W946+1),"")</f>
        <v/>
      </c>
      <c r="AE946" s="33" t="str">
        <f aca="false">IF(AND(Y946=1,W946&lt;1),IF(AND(C947=C946,W947=W946+1),IF(Y947=1,"",INDEX(DATAS,W946+1)),INDEX(DATAS,W946+1)),"")</f>
        <v/>
      </c>
    </row>
    <row r="947" customFormat="false" ht="15" hidden="false" customHeight="false" outlineLevel="0" collapsed="false">
      <c r="A947" s="33" t="n">
        <v>46309</v>
      </c>
      <c r="B947" s="0" t="n">
        <v>6</v>
      </c>
      <c r="C947" s="0" t="n">
        <v>4927</v>
      </c>
      <c r="D947" s="0" t="n">
        <v>23</v>
      </c>
      <c r="E947" s="0" t="n">
        <v>2</v>
      </c>
      <c r="F947" s="27" t="s">
        <v>719</v>
      </c>
      <c r="H947" s="0" t="n">
        <v>17</v>
      </c>
      <c r="I947" s="27" t="s">
        <v>147</v>
      </c>
      <c r="J947" s="0" t="n">
        <v>23</v>
      </c>
      <c r="M947" s="0" t="n">
        <v>744.94</v>
      </c>
      <c r="N947" s="0" t="n">
        <v>38.94</v>
      </c>
      <c r="O947" s="0" t="n">
        <v>37.72</v>
      </c>
      <c r="R947" s="0" t="n">
        <v>3824</v>
      </c>
      <c r="S947" s="0" t="n">
        <v>7687</v>
      </c>
      <c r="U947" s="0" t="n">
        <v>1156</v>
      </c>
      <c r="V947" s="0" t="n">
        <v>0</v>
      </c>
      <c r="W947" s="27" t="n">
        <f aca="false">MATCH(A947,DATAS,0)</f>
        <v>1</v>
      </c>
      <c r="X947" s="27" t="n">
        <f aca="false">IF(AND(E947&gt;0,OR(AND(B947&gt;=1,B947&lt;=6),B947=10)),1,0)</f>
        <v>1</v>
      </c>
      <c r="Y947" s="27" t="n">
        <f aca="false">IF(AND(E947&gt;0,B947=10),1,0)</f>
        <v>0</v>
      </c>
      <c r="Z947" s="0" t="str">
        <f aca="false">IF(AND(C946=C947,W946=W947-1),X946,"")</f>
        <v/>
      </c>
      <c r="AA947" s="0" t="str">
        <f aca="false">IF(AND(C946=C947,W946=W947-1),Y946,"")</f>
        <v/>
      </c>
      <c r="AB947" s="0" t="str">
        <f aca="false">IF(W947=1,"",IF(AND(X947=1,Z947&lt;&gt;1),1,0))</f>
        <v/>
      </c>
      <c r="AC947" s="0" t="str">
        <f aca="false">IF(W947=1,"",IF(AND(Y947=1,AA947&lt;&gt;1),1,0))</f>
        <v/>
      </c>
      <c r="AD947" s="33" t="str">
        <f aca="false">IF(AND(E947&gt;0,W947&lt;1,NOT(AND(C948=C947,W948=W947+1))),INDEX(DATAS,W947+1),"")</f>
        <v/>
      </c>
      <c r="AE947" s="33" t="str">
        <f aca="false">IF(AND(Y947=1,W947&lt;1),IF(AND(C948=C947,W948=W947+1),IF(Y948=1,"",INDEX(DATAS,W947+1)),INDEX(DATAS,W947+1)),"")</f>
        <v/>
      </c>
    </row>
    <row r="948" customFormat="false" ht="15" hidden="false" customHeight="false" outlineLevel="0" collapsed="false">
      <c r="A948" s="33" t="n">
        <v>46309</v>
      </c>
      <c r="B948" s="0" t="n">
        <v>2</v>
      </c>
      <c r="C948" s="0" t="n">
        <v>4928</v>
      </c>
      <c r="D948" s="0" t="n">
        <v>143</v>
      </c>
      <c r="E948" s="0" t="n">
        <v>2</v>
      </c>
      <c r="F948" s="27" t="s">
        <v>720</v>
      </c>
      <c r="G948" s="0" t="n">
        <v>59.7</v>
      </c>
      <c r="H948" s="0" t="n">
        <v>55</v>
      </c>
      <c r="I948" s="27" t="s">
        <v>168</v>
      </c>
      <c r="J948" s="0" t="n">
        <v>143</v>
      </c>
      <c r="K948" s="0" t="n">
        <v>66</v>
      </c>
      <c r="M948" s="0" t="n">
        <v>253.79</v>
      </c>
      <c r="N948" s="0" t="n">
        <v>83.52</v>
      </c>
      <c r="O948" s="0" t="n">
        <v>29.13</v>
      </c>
      <c r="P948" s="0" t="n">
        <v>3.64</v>
      </c>
      <c r="Q948" s="0" t="n">
        <v>3.25</v>
      </c>
      <c r="R948" s="0" t="n">
        <v>4982</v>
      </c>
      <c r="S948" s="0" t="n">
        <v>10316</v>
      </c>
      <c r="T948" s="0" t="n">
        <v>52.1</v>
      </c>
      <c r="U948" s="0" t="n">
        <v>1155</v>
      </c>
      <c r="V948" s="0" t="n">
        <v>2</v>
      </c>
      <c r="W948" s="27" t="n">
        <f aca="false">MATCH(A948,DATAS,0)</f>
        <v>1</v>
      </c>
      <c r="X948" s="27" t="n">
        <f aca="false">IF(AND(E948&gt;0,OR(AND(B948&gt;=1,B948&lt;=6),B948=10)),1,0)</f>
        <v>1</v>
      </c>
      <c r="Y948" s="27" t="n">
        <f aca="false">IF(AND(E948&gt;0,B948=10),1,0)</f>
        <v>0</v>
      </c>
      <c r="Z948" s="0" t="str">
        <f aca="false">IF(AND(C947=C948,W947=W948-1),X947,"")</f>
        <v/>
      </c>
      <c r="AA948" s="0" t="str">
        <f aca="false">IF(AND(C947=C948,W947=W948-1),Y947,"")</f>
        <v/>
      </c>
      <c r="AB948" s="0" t="str">
        <f aca="false">IF(W948=1,"",IF(AND(X948=1,Z948&lt;&gt;1),1,0))</f>
        <v/>
      </c>
      <c r="AC948" s="0" t="str">
        <f aca="false">IF(W948=1,"",IF(AND(Y948=1,AA948&lt;&gt;1),1,0))</f>
        <v/>
      </c>
      <c r="AD948" s="33" t="str">
        <f aca="false">IF(AND(E948&gt;0,W948&lt;1,NOT(AND(C949=C948,W949=W948+1))),INDEX(DATAS,W948+1),"")</f>
        <v/>
      </c>
      <c r="AE948" s="33" t="str">
        <f aca="false">IF(AND(Y948=1,W948&lt;1),IF(AND(C949=C948,W949=W948+1),IF(Y949=1,"",INDEX(DATAS,W948+1)),INDEX(DATAS,W948+1)),"")</f>
        <v/>
      </c>
    </row>
    <row r="949" customFormat="false" ht="15" hidden="false" customHeight="false" outlineLevel="0" collapsed="false">
      <c r="A949" s="33" t="n">
        <v>46309</v>
      </c>
      <c r="B949" s="0" t="n">
        <v>5</v>
      </c>
      <c r="C949" s="0" t="n">
        <v>4930</v>
      </c>
      <c r="D949" s="0" t="n">
        <v>144</v>
      </c>
      <c r="E949" s="0" t="n">
        <v>2</v>
      </c>
      <c r="F949" s="27" t="s">
        <v>721</v>
      </c>
      <c r="G949" s="0" t="n">
        <v>36</v>
      </c>
      <c r="H949" s="0" t="n">
        <v>42</v>
      </c>
      <c r="I949" s="27" t="s">
        <v>176</v>
      </c>
      <c r="J949" s="0" t="n">
        <v>144</v>
      </c>
      <c r="K949" s="0" t="n">
        <v>67</v>
      </c>
      <c r="M949" s="0" t="n">
        <v>-94.98</v>
      </c>
      <c r="N949" s="0" t="n">
        <v>46.7</v>
      </c>
      <c r="O949" s="0" t="n">
        <v>8.71</v>
      </c>
      <c r="P949" s="0" t="n">
        <v>3.85</v>
      </c>
      <c r="Q949" s="0" t="n">
        <v>3.29</v>
      </c>
      <c r="R949" s="0" t="n">
        <v>4616</v>
      </c>
      <c r="S949" s="0" t="n">
        <v>9440</v>
      </c>
      <c r="T949" s="0" t="n">
        <v>49.8</v>
      </c>
      <c r="U949" s="0" t="n">
        <v>1153</v>
      </c>
      <c r="V949" s="0" t="n">
        <v>2</v>
      </c>
      <c r="W949" s="27" t="n">
        <f aca="false">MATCH(A949,DATAS,0)</f>
        <v>1</v>
      </c>
      <c r="X949" s="27" t="n">
        <f aca="false">IF(AND(E949&gt;0,OR(AND(B949&gt;=1,B949&lt;=6),B949=10)),1,0)</f>
        <v>1</v>
      </c>
      <c r="Y949" s="27" t="n">
        <f aca="false">IF(AND(E949&gt;0,B949=10),1,0)</f>
        <v>0</v>
      </c>
      <c r="Z949" s="0" t="str">
        <f aca="false">IF(AND(C948=C949,W948=W949-1),X948,"")</f>
        <v/>
      </c>
      <c r="AA949" s="0" t="str">
        <f aca="false">IF(AND(C948=C949,W948=W949-1),Y948,"")</f>
        <v/>
      </c>
      <c r="AB949" s="0" t="str">
        <f aca="false">IF(W949=1,"",IF(AND(X949=1,Z949&lt;&gt;1),1,0))</f>
        <v/>
      </c>
      <c r="AC949" s="0" t="str">
        <f aca="false">IF(W949=1,"",IF(AND(Y949=1,AA949&lt;&gt;1),1,0))</f>
        <v/>
      </c>
      <c r="AD949" s="33" t="str">
        <f aca="false">IF(AND(E949&gt;0,W949&lt;1,NOT(AND(C950=C949,W950=W949+1))),INDEX(DATAS,W949+1),"")</f>
        <v/>
      </c>
      <c r="AE949" s="33" t="str">
        <f aca="false">IF(AND(Y949=1,W949&lt;1),IF(AND(C950=C949,W950=W949+1),IF(Y950=1,"",INDEX(DATAS,W949+1)),INDEX(DATAS,W949+1)),"")</f>
        <v/>
      </c>
    </row>
    <row r="950" customFormat="false" ht="15" hidden="false" customHeight="false" outlineLevel="0" collapsed="false">
      <c r="A950" s="33" t="n">
        <v>46309</v>
      </c>
      <c r="B950" s="0" t="n">
        <v>6</v>
      </c>
      <c r="C950" s="0" t="n">
        <v>4932</v>
      </c>
      <c r="D950" s="0" t="n">
        <v>242</v>
      </c>
      <c r="E950" s="0" t="n">
        <v>2</v>
      </c>
      <c r="F950" s="27" t="s">
        <v>721</v>
      </c>
      <c r="G950" s="0" t="n">
        <v>23.1</v>
      </c>
      <c r="H950" s="0" t="n">
        <v>23</v>
      </c>
      <c r="I950" s="27" t="s">
        <v>138</v>
      </c>
      <c r="J950" s="0" t="n">
        <v>67</v>
      </c>
      <c r="K950" s="0" t="n">
        <v>67</v>
      </c>
      <c r="L950" s="0" t="n">
        <v>175</v>
      </c>
      <c r="M950" s="0" t="n">
        <v>187.08</v>
      </c>
      <c r="N950" s="0" t="n">
        <v>11.43</v>
      </c>
      <c r="O950" s="0" t="n">
        <v>16.92</v>
      </c>
      <c r="P950" s="0" t="n">
        <v>5.47</v>
      </c>
      <c r="Q950" s="0" t="n">
        <v>4.24</v>
      </c>
      <c r="R950" s="0" t="n">
        <v>3133</v>
      </c>
      <c r="S950" s="0" t="n">
        <v>6741</v>
      </c>
      <c r="T950" s="0" t="n">
        <v>41.1</v>
      </c>
      <c r="U950" s="0" t="n">
        <v>1153</v>
      </c>
      <c r="V950" s="0" t="n">
        <v>1</v>
      </c>
      <c r="W950" s="27" t="n">
        <f aca="false">MATCH(A950,DATAS,0)</f>
        <v>1</v>
      </c>
      <c r="X950" s="27" t="n">
        <f aca="false">IF(AND(E950&gt;0,OR(AND(B950&gt;=1,B950&lt;=6),B950=10)),1,0)</f>
        <v>1</v>
      </c>
      <c r="Y950" s="27" t="n">
        <f aca="false">IF(AND(E950&gt;0,B950=10),1,0)</f>
        <v>0</v>
      </c>
      <c r="Z950" s="0" t="str">
        <f aca="false">IF(AND(C949=C950,W949=W950-1),X949,"")</f>
        <v/>
      </c>
      <c r="AA950" s="0" t="str">
        <f aca="false">IF(AND(C949=C950,W949=W950-1),Y949,"")</f>
        <v/>
      </c>
      <c r="AB950" s="0" t="str">
        <f aca="false">IF(W950=1,"",IF(AND(X950=1,Z950&lt;&gt;1),1,0))</f>
        <v/>
      </c>
      <c r="AC950" s="0" t="str">
        <f aca="false">IF(W950=1,"",IF(AND(Y950=1,AA950&lt;&gt;1),1,0))</f>
        <v/>
      </c>
      <c r="AD950" s="33" t="str">
        <f aca="false">IF(AND(E950&gt;0,W950&lt;1,NOT(AND(C951=C950,W951=W950+1))),INDEX(DATAS,W950+1),"")</f>
        <v/>
      </c>
      <c r="AE950" s="33" t="str">
        <f aca="false">IF(AND(Y950=1,W950&lt;1),IF(AND(C951=C950,W951=W950+1),IF(Y951=1,"",INDEX(DATAS,W950+1)),INDEX(DATAS,W950+1)),"")</f>
        <v/>
      </c>
    </row>
    <row r="951" customFormat="false" ht="15" hidden="false" customHeight="false" outlineLevel="0" collapsed="false">
      <c r="A951" s="33" t="n">
        <v>46309</v>
      </c>
      <c r="B951" s="0" t="n">
        <v>14</v>
      </c>
      <c r="C951" s="0" t="n">
        <v>4933</v>
      </c>
      <c r="D951" s="0" t="n">
        <v>393</v>
      </c>
      <c r="E951" s="0" t="n">
        <v>1</v>
      </c>
      <c r="F951" s="27" t="s">
        <v>721</v>
      </c>
      <c r="I951" s="27" t="s">
        <v>143</v>
      </c>
      <c r="J951" s="0" t="n">
        <v>170</v>
      </c>
      <c r="K951" s="0" t="n">
        <v>65</v>
      </c>
      <c r="L951" s="0" t="n">
        <v>259</v>
      </c>
      <c r="M951" s="0" t="n">
        <v>742.65</v>
      </c>
      <c r="N951" s="0" t="n">
        <v>72.82</v>
      </c>
      <c r="O951" s="0" t="n">
        <v>38.36</v>
      </c>
      <c r="P951" s="0" t="n">
        <v>4.84</v>
      </c>
      <c r="Q951" s="0" t="n">
        <v>3.81</v>
      </c>
      <c r="R951" s="0" t="n">
        <v>5011</v>
      </c>
      <c r="S951" s="0" t="n">
        <v>10576</v>
      </c>
      <c r="T951" s="0" t="n">
        <v>54.75</v>
      </c>
      <c r="U951" s="0" t="n">
        <v>1153</v>
      </c>
      <c r="V951" s="0" t="n">
        <v>4</v>
      </c>
      <c r="W951" s="27" t="n">
        <f aca="false">MATCH(A951,DATAS,0)</f>
        <v>1</v>
      </c>
      <c r="X951" s="27" t="n">
        <f aca="false">IF(AND(E951&gt;0,OR(AND(B951&gt;=1,B951&lt;=6),B951=10)),1,0)</f>
        <v>0</v>
      </c>
      <c r="Y951" s="27" t="n">
        <f aca="false">IF(AND(E951&gt;0,B951=10),1,0)</f>
        <v>0</v>
      </c>
      <c r="Z951" s="0" t="str">
        <f aca="false">IF(AND(C950=C951,W950=W951-1),X950,"")</f>
        <v/>
      </c>
      <c r="AA951" s="0" t="str">
        <f aca="false">IF(AND(C950=C951,W950=W951-1),Y950,"")</f>
        <v/>
      </c>
      <c r="AB951" s="0" t="str">
        <f aca="false">IF(W951=1,"",IF(AND(X951=1,Z951&lt;&gt;1),1,0))</f>
        <v/>
      </c>
      <c r="AC951" s="0" t="str">
        <f aca="false">IF(W951=1,"",IF(AND(Y951=1,AA951&lt;&gt;1),1,0))</f>
        <v/>
      </c>
      <c r="AD951" s="33" t="str">
        <f aca="false">IF(AND(E951&gt;0,W951&lt;1,NOT(AND(C952=C951,W952=W951+1))),INDEX(DATAS,W951+1),"")</f>
        <v/>
      </c>
      <c r="AE951" s="33" t="str">
        <f aca="false">IF(AND(Y951=1,W951&lt;1),IF(AND(C952=C951,W952=W951+1),IF(Y952=1,"",INDEX(DATAS,W951+1)),INDEX(DATAS,W951+1)),"")</f>
        <v/>
      </c>
    </row>
    <row r="952" customFormat="false" ht="15" hidden="false" customHeight="false" outlineLevel="0" collapsed="false">
      <c r="A952" s="33" t="n">
        <v>46309</v>
      </c>
      <c r="B952" s="0" t="n">
        <v>2</v>
      </c>
      <c r="C952" s="0" t="n">
        <v>4934</v>
      </c>
      <c r="D952" s="0" t="n">
        <v>174</v>
      </c>
      <c r="E952" s="0" t="n">
        <v>2</v>
      </c>
      <c r="F952" s="27" t="s">
        <v>722</v>
      </c>
      <c r="G952" s="0" t="n">
        <v>45.3</v>
      </c>
      <c r="H952" s="0" t="n">
        <v>49</v>
      </c>
      <c r="I952" s="27" t="s">
        <v>138</v>
      </c>
      <c r="J952" s="0" t="n">
        <v>98</v>
      </c>
      <c r="K952" s="0" t="n">
        <v>76</v>
      </c>
      <c r="L952" s="0" t="n">
        <v>76</v>
      </c>
      <c r="M952" s="0" t="n">
        <v>416.68</v>
      </c>
      <c r="N952" s="0" t="n">
        <v>66.06</v>
      </c>
      <c r="O952" s="0" t="n">
        <v>29.45</v>
      </c>
      <c r="P952" s="0" t="n">
        <v>4.2</v>
      </c>
      <c r="Q952" s="0" t="n">
        <v>3.55</v>
      </c>
      <c r="R952" s="0" t="n">
        <v>4648</v>
      </c>
      <c r="S952" s="0" t="n">
        <v>9730</v>
      </c>
      <c r="T952" s="0" t="n">
        <v>52.35</v>
      </c>
      <c r="U952" s="0" t="n">
        <v>1152</v>
      </c>
      <c r="V952" s="0" t="n">
        <v>2</v>
      </c>
      <c r="W952" s="27" t="n">
        <f aca="false">MATCH(A952,DATAS,0)</f>
        <v>1</v>
      </c>
      <c r="X952" s="27" t="n">
        <f aca="false">IF(AND(E952&gt;0,OR(AND(B952&gt;=1,B952&lt;=6),B952=10)),1,0)</f>
        <v>1</v>
      </c>
      <c r="Y952" s="27" t="n">
        <f aca="false">IF(AND(E952&gt;0,B952=10),1,0)</f>
        <v>0</v>
      </c>
      <c r="Z952" s="0" t="str">
        <f aca="false">IF(AND(C951=C952,W951=W952-1),X951,"")</f>
        <v/>
      </c>
      <c r="AA952" s="0" t="str">
        <f aca="false">IF(AND(C951=C952,W951=W952-1),Y951,"")</f>
        <v/>
      </c>
      <c r="AB952" s="0" t="str">
        <f aca="false">IF(W952=1,"",IF(AND(X952=1,Z952&lt;&gt;1),1,0))</f>
        <v/>
      </c>
      <c r="AC952" s="0" t="str">
        <f aca="false">IF(W952=1,"",IF(AND(Y952=1,AA952&lt;&gt;1),1,0))</f>
        <v/>
      </c>
      <c r="AD952" s="33" t="str">
        <f aca="false">IF(AND(E952&gt;0,W952&lt;1,NOT(AND(C953=C952,W953=W952+1))),INDEX(DATAS,W952+1),"")</f>
        <v/>
      </c>
      <c r="AE952" s="33" t="str">
        <f aca="false">IF(AND(Y952=1,W952&lt;1),IF(AND(C953=C952,W953=W952+1),IF(Y953=1,"",INDEX(DATAS,W952+1)),INDEX(DATAS,W952+1)),"")</f>
        <v/>
      </c>
    </row>
    <row r="953" customFormat="false" ht="15" hidden="false" customHeight="false" outlineLevel="0" collapsed="false">
      <c r="A953" s="33" t="n">
        <v>46309</v>
      </c>
      <c r="B953" s="0" t="n">
        <v>2</v>
      </c>
      <c r="C953" s="0" t="n">
        <v>4936</v>
      </c>
      <c r="D953" s="0" t="n">
        <v>112</v>
      </c>
      <c r="E953" s="0" t="n">
        <v>2</v>
      </c>
      <c r="F953" s="27" t="s">
        <v>722</v>
      </c>
      <c r="G953" s="0" t="n">
        <v>70.4</v>
      </c>
      <c r="H953" s="0" t="n">
        <v>67</v>
      </c>
      <c r="I953" s="27" t="s">
        <v>168</v>
      </c>
      <c r="J953" s="0" t="n">
        <v>112</v>
      </c>
      <c r="K953" s="0" t="n">
        <v>63</v>
      </c>
      <c r="M953" s="0" t="n">
        <v>1168.59</v>
      </c>
      <c r="N953" s="0" t="n">
        <v>69.13</v>
      </c>
      <c r="O953" s="0" t="n">
        <v>50.29</v>
      </c>
      <c r="P953" s="0" t="n">
        <v>3.06</v>
      </c>
      <c r="Q953" s="0" t="n">
        <v>3.36</v>
      </c>
      <c r="R953" s="0" t="n">
        <v>5941</v>
      </c>
      <c r="S953" s="0" t="n">
        <v>12082</v>
      </c>
      <c r="T953" s="0" t="n">
        <v>65.3</v>
      </c>
      <c r="U953" s="0" t="n">
        <v>1152</v>
      </c>
      <c r="V953" s="0" t="n">
        <v>2</v>
      </c>
      <c r="W953" s="27" t="n">
        <f aca="false">MATCH(A953,DATAS,0)</f>
        <v>1</v>
      </c>
      <c r="X953" s="27" t="n">
        <f aca="false">IF(AND(E953&gt;0,OR(AND(B953&gt;=1,B953&lt;=6),B953=10)),1,0)</f>
        <v>1</v>
      </c>
      <c r="Y953" s="27" t="n">
        <f aca="false">IF(AND(E953&gt;0,B953=10),1,0)</f>
        <v>0</v>
      </c>
      <c r="Z953" s="0" t="str">
        <f aca="false">IF(AND(C952=C953,W952=W953-1),X952,"")</f>
        <v/>
      </c>
      <c r="AA953" s="0" t="str">
        <f aca="false">IF(AND(C952=C953,W952=W953-1),Y952,"")</f>
        <v/>
      </c>
      <c r="AB953" s="0" t="str">
        <f aca="false">IF(W953=1,"",IF(AND(X953=1,Z953&lt;&gt;1),1,0))</f>
        <v/>
      </c>
      <c r="AC953" s="0" t="str">
        <f aca="false">IF(W953=1,"",IF(AND(Y953=1,AA953&lt;&gt;1),1,0))</f>
        <v/>
      </c>
      <c r="AD953" s="33" t="str">
        <f aca="false">IF(AND(E953&gt;0,W953&lt;1,NOT(AND(C954=C953,W954=W953+1))),INDEX(DATAS,W953+1),"")</f>
        <v/>
      </c>
      <c r="AE953" s="33" t="str">
        <f aca="false">IF(AND(Y953=1,W953&lt;1),IF(AND(C954=C953,W954=W953+1),IF(Y954=1,"",INDEX(DATAS,W953+1)),INDEX(DATAS,W953+1)),"")</f>
        <v/>
      </c>
    </row>
    <row r="954" customFormat="false" ht="15" hidden="false" customHeight="false" outlineLevel="0" collapsed="false">
      <c r="A954" s="33" t="n">
        <v>46309</v>
      </c>
      <c r="B954" s="0" t="n">
        <v>2</v>
      </c>
      <c r="C954" s="0" t="n">
        <v>4937</v>
      </c>
      <c r="D954" s="0" t="n">
        <v>149</v>
      </c>
      <c r="E954" s="0" t="n">
        <v>2</v>
      </c>
      <c r="F954" s="27" t="s">
        <v>722</v>
      </c>
      <c r="G954" s="0" t="n">
        <v>64.1</v>
      </c>
      <c r="H954" s="0" t="n">
        <v>63</v>
      </c>
      <c r="I954" s="27" t="s">
        <v>138</v>
      </c>
      <c r="J954" s="0" t="n">
        <v>65</v>
      </c>
      <c r="K954" s="0" t="n">
        <v>65</v>
      </c>
      <c r="L954" s="0" t="n">
        <v>84</v>
      </c>
      <c r="M954" s="0" t="n">
        <v>1388.39</v>
      </c>
      <c r="N954" s="0" t="n">
        <v>16.63</v>
      </c>
      <c r="O954" s="0" t="n">
        <v>40.94</v>
      </c>
      <c r="P954" s="0" t="n">
        <v>2.63</v>
      </c>
      <c r="Q954" s="0" t="n">
        <v>3.43</v>
      </c>
      <c r="R954" s="0" t="n">
        <v>6658</v>
      </c>
      <c r="S954" s="0" t="n">
        <v>13130</v>
      </c>
      <c r="T954" s="0" t="n">
        <v>73.6</v>
      </c>
      <c r="U954" s="0" t="n">
        <v>1152</v>
      </c>
      <c r="V954" s="0" t="n">
        <v>1</v>
      </c>
      <c r="W954" s="27" t="n">
        <f aca="false">MATCH(A954,DATAS,0)</f>
        <v>1</v>
      </c>
      <c r="X954" s="27" t="n">
        <f aca="false">IF(AND(E954&gt;0,OR(AND(B954&gt;=1,B954&lt;=6),B954=10)),1,0)</f>
        <v>1</v>
      </c>
      <c r="Y954" s="27" t="n">
        <f aca="false">IF(AND(E954&gt;0,B954=10),1,0)</f>
        <v>0</v>
      </c>
      <c r="Z954" s="0" t="str">
        <f aca="false">IF(AND(C953=C954,W953=W954-1),X953,"")</f>
        <v/>
      </c>
      <c r="AA954" s="0" t="str">
        <f aca="false">IF(AND(C953=C954,W953=W954-1),Y953,"")</f>
        <v/>
      </c>
      <c r="AB954" s="0" t="str">
        <f aca="false">IF(W954=1,"",IF(AND(X954=1,Z954&lt;&gt;1),1,0))</f>
        <v/>
      </c>
      <c r="AC954" s="0" t="str">
        <f aca="false">IF(W954=1,"",IF(AND(Y954=1,AA954&lt;&gt;1),1,0))</f>
        <v/>
      </c>
      <c r="AD954" s="33" t="str">
        <f aca="false">IF(AND(E954&gt;0,W954&lt;1,NOT(AND(C955=C954,W955=W954+1))),INDEX(DATAS,W954+1),"")</f>
        <v/>
      </c>
      <c r="AE954" s="33" t="str">
        <f aca="false">IF(AND(Y954=1,W954&lt;1),IF(AND(C955=C954,W955=W954+1),IF(Y955=1,"",INDEX(DATAS,W954+1)),INDEX(DATAS,W954+1)),"")</f>
        <v/>
      </c>
    </row>
    <row r="955" customFormat="false" ht="15" hidden="false" customHeight="false" outlineLevel="0" collapsed="false">
      <c r="A955" s="33" t="n">
        <v>46309</v>
      </c>
      <c r="B955" s="0" t="n">
        <v>2</v>
      </c>
      <c r="C955" s="0" t="n">
        <v>4938</v>
      </c>
      <c r="D955" s="0" t="n">
        <v>136</v>
      </c>
      <c r="E955" s="0" t="n">
        <v>2</v>
      </c>
      <c r="F955" s="27" t="s">
        <v>723</v>
      </c>
      <c r="G955" s="0" t="n">
        <v>50.9</v>
      </c>
      <c r="H955" s="0" t="n">
        <v>52</v>
      </c>
      <c r="I955" s="27" t="s">
        <v>138</v>
      </c>
      <c r="J955" s="0" t="n">
        <v>90</v>
      </c>
      <c r="K955" s="0" t="n">
        <v>66</v>
      </c>
      <c r="L955" s="0" t="n">
        <v>46</v>
      </c>
      <c r="M955" s="0" t="n">
        <v>-0.82</v>
      </c>
      <c r="N955" s="0" t="n">
        <v>50.9</v>
      </c>
      <c r="O955" s="0" t="n">
        <v>17.5</v>
      </c>
      <c r="P955" s="0" t="n">
        <v>4.11</v>
      </c>
      <c r="Q955" s="0" t="n">
        <v>3.2</v>
      </c>
      <c r="R955" s="0" t="n">
        <v>4927</v>
      </c>
      <c r="S955" s="0" t="n">
        <v>10330</v>
      </c>
      <c r="T955" s="0" t="n">
        <v>57.7</v>
      </c>
      <c r="U955" s="0" t="n">
        <v>1151</v>
      </c>
      <c r="V955" s="0" t="n">
        <v>2</v>
      </c>
      <c r="W955" s="27" t="n">
        <f aca="false">MATCH(A955,DATAS,0)</f>
        <v>1</v>
      </c>
      <c r="X955" s="27" t="n">
        <f aca="false">IF(AND(E955&gt;0,OR(AND(B955&gt;=1,B955&lt;=6),B955=10)),1,0)</f>
        <v>1</v>
      </c>
      <c r="Y955" s="27" t="n">
        <f aca="false">IF(AND(E955&gt;0,B955=10),1,0)</f>
        <v>0</v>
      </c>
      <c r="Z955" s="0" t="str">
        <f aca="false">IF(AND(C954=C955,W954=W955-1),X954,"")</f>
        <v/>
      </c>
      <c r="AA955" s="0" t="str">
        <f aca="false">IF(AND(C954=C955,W954=W955-1),Y954,"")</f>
        <v/>
      </c>
      <c r="AB955" s="0" t="str">
        <f aca="false">IF(W955=1,"",IF(AND(X955=1,Z955&lt;&gt;1),1,0))</f>
        <v/>
      </c>
      <c r="AC955" s="0" t="str">
        <f aca="false">IF(W955=1,"",IF(AND(Y955=1,AA955&lt;&gt;1),1,0))</f>
        <v/>
      </c>
      <c r="AD955" s="33" t="str">
        <f aca="false">IF(AND(E955&gt;0,W955&lt;1,NOT(AND(C956=C955,W956=W955+1))),INDEX(DATAS,W955+1),"")</f>
        <v/>
      </c>
      <c r="AE955" s="33" t="str">
        <f aca="false">IF(AND(Y955=1,W955&lt;1),IF(AND(C956=C955,W956=W955+1),IF(Y956=1,"",INDEX(DATAS,W955+1)),INDEX(DATAS,W955+1)),"")</f>
        <v/>
      </c>
    </row>
    <row r="956" customFormat="false" ht="15" hidden="false" customHeight="false" outlineLevel="0" collapsed="false">
      <c r="A956" s="33" t="n">
        <v>46309</v>
      </c>
      <c r="B956" s="0" t="n">
        <v>2</v>
      </c>
      <c r="C956" s="0" t="n">
        <v>4939</v>
      </c>
      <c r="D956" s="0" t="n">
        <v>116</v>
      </c>
      <c r="E956" s="0" t="n">
        <v>2</v>
      </c>
      <c r="F956" s="27" t="s">
        <v>724</v>
      </c>
      <c r="G956" s="0" t="n">
        <v>54.4</v>
      </c>
      <c r="H956" s="0" t="n">
        <v>54</v>
      </c>
      <c r="I956" s="27" t="s">
        <v>168</v>
      </c>
      <c r="J956" s="0" t="n">
        <v>116</v>
      </c>
      <c r="K956" s="0" t="n">
        <v>67</v>
      </c>
      <c r="M956" s="0" t="n">
        <v>779.17</v>
      </c>
      <c r="N956" s="0" t="n">
        <v>22.9</v>
      </c>
      <c r="O956" s="0" t="n">
        <v>26.56</v>
      </c>
      <c r="P956" s="0" t="n">
        <v>2.82</v>
      </c>
      <c r="Q956" s="0" t="n">
        <v>3.2</v>
      </c>
      <c r="R956" s="0" t="n">
        <v>4738</v>
      </c>
      <c r="S956" s="0" t="n">
        <v>9712</v>
      </c>
      <c r="T956" s="0" t="n">
        <v>55.7</v>
      </c>
      <c r="U956" s="0" t="n">
        <v>1150</v>
      </c>
      <c r="V956" s="0" t="n">
        <v>3</v>
      </c>
      <c r="W956" s="27" t="n">
        <f aca="false">MATCH(A956,DATAS,0)</f>
        <v>1</v>
      </c>
      <c r="X956" s="27" t="n">
        <f aca="false">IF(AND(E956&gt;0,OR(AND(B956&gt;=1,B956&lt;=6),B956=10)),1,0)</f>
        <v>1</v>
      </c>
      <c r="Y956" s="27" t="n">
        <f aca="false">IF(AND(E956&gt;0,B956=10),1,0)</f>
        <v>0</v>
      </c>
      <c r="Z956" s="0" t="str">
        <f aca="false">IF(AND(C955=C956,W955=W956-1),X955,"")</f>
        <v/>
      </c>
      <c r="AA956" s="0" t="str">
        <f aca="false">IF(AND(C955=C956,W955=W956-1),Y955,"")</f>
        <v/>
      </c>
      <c r="AB956" s="0" t="str">
        <f aca="false">IF(W956=1,"",IF(AND(X956=1,Z956&lt;&gt;1),1,0))</f>
        <v/>
      </c>
      <c r="AC956" s="0" t="str">
        <f aca="false">IF(W956=1,"",IF(AND(Y956=1,AA956&lt;&gt;1),1,0))</f>
        <v/>
      </c>
      <c r="AD956" s="33" t="str">
        <f aca="false">IF(AND(E956&gt;0,W956&lt;1,NOT(AND(C957=C956,W957=W956+1))),INDEX(DATAS,W956+1),"")</f>
        <v/>
      </c>
      <c r="AE956" s="33" t="str">
        <f aca="false">IF(AND(Y956=1,W956&lt;1),IF(AND(C957=C956,W957=W956+1),IF(Y957=1,"",INDEX(DATAS,W956+1)),INDEX(DATAS,W956+1)),"")</f>
        <v/>
      </c>
    </row>
    <row r="957" customFormat="false" ht="15" hidden="false" customHeight="false" outlineLevel="0" collapsed="false">
      <c r="A957" s="33" t="n">
        <v>46309</v>
      </c>
      <c r="B957" s="0" t="n">
        <v>5</v>
      </c>
      <c r="C957" s="0" t="n">
        <v>4940</v>
      </c>
      <c r="D957" s="0" t="n">
        <v>140</v>
      </c>
      <c r="E957" s="0" t="n">
        <v>2</v>
      </c>
      <c r="F957" s="27" t="s">
        <v>724</v>
      </c>
      <c r="G957" s="0" t="n">
        <v>42.7</v>
      </c>
      <c r="H957" s="0" t="n">
        <v>41</v>
      </c>
      <c r="I957" s="27" t="s">
        <v>168</v>
      </c>
      <c r="J957" s="0" t="n">
        <v>140</v>
      </c>
      <c r="K957" s="0" t="n">
        <v>63</v>
      </c>
      <c r="M957" s="0" t="n">
        <v>1187.35</v>
      </c>
      <c r="N957" s="0" t="n">
        <v>50.47</v>
      </c>
      <c r="O957" s="0" t="n">
        <v>31.53</v>
      </c>
      <c r="P957" s="0" t="n">
        <v>4.52</v>
      </c>
      <c r="Q957" s="0" t="n">
        <v>3.67</v>
      </c>
      <c r="R957" s="0" t="n">
        <v>3667</v>
      </c>
      <c r="S957" s="0" t="n">
        <v>7477</v>
      </c>
      <c r="T957" s="0" t="n">
        <v>42.8</v>
      </c>
      <c r="U957" s="0" t="n">
        <v>1150</v>
      </c>
      <c r="V957" s="0" t="n">
        <v>2</v>
      </c>
      <c r="W957" s="27" t="n">
        <f aca="false">MATCH(A957,DATAS,0)</f>
        <v>1</v>
      </c>
      <c r="X957" s="27" t="n">
        <f aca="false">IF(AND(E957&gt;0,OR(AND(B957&gt;=1,B957&lt;=6),B957=10)),1,0)</f>
        <v>1</v>
      </c>
      <c r="Y957" s="27" t="n">
        <f aca="false">IF(AND(E957&gt;0,B957=10),1,0)</f>
        <v>0</v>
      </c>
      <c r="Z957" s="0" t="str">
        <f aca="false">IF(AND(C956=C957,W956=W957-1),X956,"")</f>
        <v/>
      </c>
      <c r="AA957" s="0" t="str">
        <f aca="false">IF(AND(C956=C957,W956=W957-1),Y956,"")</f>
        <v/>
      </c>
      <c r="AB957" s="0" t="str">
        <f aca="false">IF(W957=1,"",IF(AND(X957=1,Z957&lt;&gt;1),1,0))</f>
        <v/>
      </c>
      <c r="AC957" s="0" t="str">
        <f aca="false">IF(W957=1,"",IF(AND(Y957=1,AA957&lt;&gt;1),1,0))</f>
        <v/>
      </c>
      <c r="AD957" s="33" t="str">
        <f aca="false">IF(AND(E957&gt;0,W957&lt;1,NOT(AND(C958=C957,W958=W957+1))),INDEX(DATAS,W957+1),"")</f>
        <v/>
      </c>
      <c r="AE957" s="33" t="str">
        <f aca="false">IF(AND(Y957=1,W957&lt;1),IF(AND(C958=C957,W958=W957+1),IF(Y958=1,"",INDEX(DATAS,W957+1)),INDEX(DATAS,W957+1)),"")</f>
        <v/>
      </c>
    </row>
    <row r="958" customFormat="false" ht="15" hidden="false" customHeight="false" outlineLevel="0" collapsed="false">
      <c r="A958" s="33" t="n">
        <v>46309</v>
      </c>
      <c r="B958" s="0" t="n">
        <v>6</v>
      </c>
      <c r="C958" s="0" t="n">
        <v>4941</v>
      </c>
      <c r="D958" s="0" t="n">
        <v>311</v>
      </c>
      <c r="E958" s="0" t="n">
        <v>1</v>
      </c>
      <c r="F958" s="27" t="s">
        <v>724</v>
      </c>
      <c r="G958" s="0" t="n">
        <v>28.1</v>
      </c>
      <c r="H958" s="0" t="n">
        <v>29</v>
      </c>
      <c r="I958" s="27" t="s">
        <v>138</v>
      </c>
      <c r="J958" s="0" t="n">
        <v>157</v>
      </c>
      <c r="K958" s="0" t="n">
        <v>59</v>
      </c>
      <c r="L958" s="0" t="n">
        <v>154</v>
      </c>
      <c r="M958" s="0" t="n">
        <v>926.35</v>
      </c>
      <c r="N958" s="0" t="n">
        <v>70.52</v>
      </c>
      <c r="O958" s="0" t="n">
        <v>45.47</v>
      </c>
      <c r="P958" s="0" t="n">
        <v>5.21</v>
      </c>
      <c r="Q958" s="0" t="n">
        <v>4.35</v>
      </c>
      <c r="R958" s="0" t="n">
        <v>3397</v>
      </c>
      <c r="S958" s="0" t="n">
        <v>7206</v>
      </c>
      <c r="T958" s="0" t="n">
        <v>35.7</v>
      </c>
      <c r="U958" s="0" t="n">
        <v>1150</v>
      </c>
      <c r="V958" s="0" t="n">
        <v>3</v>
      </c>
      <c r="W958" s="27" t="n">
        <f aca="false">MATCH(A958,DATAS,0)</f>
        <v>1</v>
      </c>
      <c r="X958" s="27" t="n">
        <f aca="false">IF(AND(E958&gt;0,OR(AND(B958&gt;=1,B958&lt;=6),B958=10)),1,0)</f>
        <v>1</v>
      </c>
      <c r="Y958" s="27" t="n">
        <f aca="false">IF(AND(E958&gt;0,B958=10),1,0)</f>
        <v>0</v>
      </c>
      <c r="Z958" s="0" t="str">
        <f aca="false">IF(AND(C957=C958,W957=W958-1),X957,"")</f>
        <v/>
      </c>
      <c r="AA958" s="0" t="str">
        <f aca="false">IF(AND(C957=C958,W957=W958-1),Y957,"")</f>
        <v/>
      </c>
      <c r="AB958" s="0" t="str">
        <f aca="false">IF(W958=1,"",IF(AND(X958=1,Z958&lt;&gt;1),1,0))</f>
        <v/>
      </c>
      <c r="AC958" s="0" t="str">
        <f aca="false">IF(W958=1,"",IF(AND(Y958=1,AA958&lt;&gt;1),1,0))</f>
        <v/>
      </c>
      <c r="AD958" s="33" t="str">
        <f aca="false">IF(AND(E958&gt;0,W958&lt;1,NOT(AND(C959=C958,W959=W958+1))),INDEX(DATAS,W958+1),"")</f>
        <v/>
      </c>
      <c r="AE958" s="33" t="str">
        <f aca="false">IF(AND(Y958=1,W958&lt;1),IF(AND(C959=C958,W959=W958+1),IF(Y959=1,"",INDEX(DATAS,W958+1)),INDEX(DATAS,W958+1)),"")</f>
        <v/>
      </c>
    </row>
    <row r="959" customFormat="false" ht="15" hidden="false" customHeight="false" outlineLevel="0" collapsed="false">
      <c r="A959" s="33" t="n">
        <v>46309</v>
      </c>
      <c r="B959" s="0" t="n">
        <v>3</v>
      </c>
      <c r="C959" s="0" t="n">
        <v>4942</v>
      </c>
      <c r="D959" s="0" t="n">
        <v>53</v>
      </c>
      <c r="E959" s="0" t="n">
        <v>2</v>
      </c>
      <c r="F959" s="27" t="s">
        <v>724</v>
      </c>
      <c r="G959" s="0" t="n">
        <v>67.7</v>
      </c>
      <c r="H959" s="0" t="n">
        <v>66</v>
      </c>
      <c r="I959" s="27" t="s">
        <v>147</v>
      </c>
      <c r="J959" s="0" t="n">
        <v>53</v>
      </c>
      <c r="M959" s="0" t="n">
        <v>957.24</v>
      </c>
      <c r="N959" s="0" t="n">
        <v>89.3</v>
      </c>
      <c r="O959" s="0" t="n">
        <v>39.26</v>
      </c>
      <c r="P959" s="0" t="n">
        <v>3.76</v>
      </c>
      <c r="Q959" s="0" t="n">
        <v>3.27</v>
      </c>
      <c r="R959" s="0" t="n">
        <v>5421</v>
      </c>
      <c r="S959" s="0" t="n">
        <v>10897</v>
      </c>
      <c r="U959" s="0" t="n">
        <v>1150</v>
      </c>
      <c r="V959" s="0" t="n">
        <v>0</v>
      </c>
      <c r="W959" s="27" t="n">
        <f aca="false">MATCH(A959,DATAS,0)</f>
        <v>1</v>
      </c>
      <c r="X959" s="27" t="n">
        <f aca="false">IF(AND(E959&gt;0,OR(AND(B959&gt;=1,B959&lt;=6),B959=10)),1,0)</f>
        <v>1</v>
      </c>
      <c r="Y959" s="27" t="n">
        <f aca="false">IF(AND(E959&gt;0,B959=10),1,0)</f>
        <v>0</v>
      </c>
      <c r="Z959" s="0" t="str">
        <f aca="false">IF(AND(C958=C959,W958=W959-1),X958,"")</f>
        <v/>
      </c>
      <c r="AA959" s="0" t="str">
        <f aca="false">IF(AND(C958=C959,W958=W959-1),Y958,"")</f>
        <v/>
      </c>
      <c r="AB959" s="0" t="str">
        <f aca="false">IF(W959=1,"",IF(AND(X959=1,Z959&lt;&gt;1),1,0))</f>
        <v/>
      </c>
      <c r="AC959" s="0" t="str">
        <f aca="false">IF(W959=1,"",IF(AND(Y959=1,AA959&lt;&gt;1),1,0))</f>
        <v/>
      </c>
      <c r="AD959" s="33" t="str">
        <f aca="false">IF(AND(E959&gt;0,W959&lt;1,NOT(AND(C960=C959,W960=W959+1))),INDEX(DATAS,W959+1),"")</f>
        <v/>
      </c>
      <c r="AE959" s="33" t="str">
        <f aca="false">IF(AND(Y959=1,W959&lt;1),IF(AND(C960=C959,W960=W959+1),IF(Y960=1,"",INDEX(DATAS,W959+1)),INDEX(DATAS,W959+1)),"")</f>
        <v/>
      </c>
    </row>
    <row r="960" customFormat="false" ht="15" hidden="false" customHeight="false" outlineLevel="0" collapsed="false">
      <c r="A960" s="33" t="n">
        <v>46309</v>
      </c>
      <c r="B960" s="0" t="n">
        <v>5</v>
      </c>
      <c r="C960" s="0" t="n">
        <v>4943</v>
      </c>
      <c r="D960" s="0" t="n">
        <v>154</v>
      </c>
      <c r="E960" s="0" t="n">
        <v>2</v>
      </c>
      <c r="F960" s="27" t="s">
        <v>725</v>
      </c>
      <c r="G960" s="0" t="n">
        <v>28.9</v>
      </c>
      <c r="H960" s="0" t="n">
        <v>33</v>
      </c>
      <c r="I960" s="27" t="s">
        <v>176</v>
      </c>
      <c r="J960" s="0" t="n">
        <v>154</v>
      </c>
      <c r="K960" s="0" t="n">
        <v>63</v>
      </c>
      <c r="M960" s="0" t="n">
        <v>517.77</v>
      </c>
      <c r="N960" s="0" t="n">
        <v>54.77</v>
      </c>
      <c r="O960" s="0" t="n">
        <v>25.9</v>
      </c>
      <c r="P960" s="0" t="n">
        <v>3.93</v>
      </c>
      <c r="Q960" s="0" t="n">
        <v>3.31</v>
      </c>
      <c r="R960" s="0" t="n">
        <v>4043</v>
      </c>
      <c r="S960" s="0" t="n">
        <v>8160</v>
      </c>
      <c r="T960" s="0" t="n">
        <v>44.6</v>
      </c>
      <c r="U960" s="0" t="n">
        <v>1149</v>
      </c>
      <c r="V960" s="0" t="n">
        <v>3</v>
      </c>
      <c r="W960" s="27" t="n">
        <f aca="false">MATCH(A960,DATAS,0)</f>
        <v>1</v>
      </c>
      <c r="X960" s="27" t="n">
        <f aca="false">IF(AND(E960&gt;0,OR(AND(B960&gt;=1,B960&lt;=6),B960=10)),1,0)</f>
        <v>1</v>
      </c>
      <c r="Y960" s="27" t="n">
        <f aca="false">IF(AND(E960&gt;0,B960=10),1,0)</f>
        <v>0</v>
      </c>
      <c r="Z960" s="0" t="str">
        <f aca="false">IF(AND(C959=C960,W959=W960-1),X959,"")</f>
        <v/>
      </c>
      <c r="AA960" s="0" t="str">
        <f aca="false">IF(AND(C959=C960,W959=W960-1),Y959,"")</f>
        <v/>
      </c>
      <c r="AB960" s="0" t="str">
        <f aca="false">IF(W960=1,"",IF(AND(X960=1,Z960&lt;&gt;1),1,0))</f>
        <v/>
      </c>
      <c r="AC960" s="0" t="str">
        <f aca="false">IF(W960=1,"",IF(AND(Y960=1,AA960&lt;&gt;1),1,0))</f>
        <v/>
      </c>
      <c r="AD960" s="33" t="str">
        <f aca="false">IF(AND(E960&gt;0,W960&lt;1,NOT(AND(C961=C960,W961=W960+1))),INDEX(DATAS,W960+1),"")</f>
        <v/>
      </c>
      <c r="AE960" s="33" t="str">
        <f aca="false">IF(AND(Y960=1,W960&lt;1),IF(AND(C961=C960,W961=W960+1),IF(Y961=1,"",INDEX(DATAS,W960+1)),INDEX(DATAS,W960+1)),"")</f>
        <v/>
      </c>
    </row>
    <row r="961" customFormat="false" ht="15" hidden="false" customHeight="false" outlineLevel="0" collapsed="false">
      <c r="A961" s="33" t="n">
        <v>46309</v>
      </c>
      <c r="B961" s="0" t="n">
        <v>5</v>
      </c>
      <c r="C961" s="0" t="n">
        <v>4944</v>
      </c>
      <c r="D961" s="0" t="n">
        <v>112</v>
      </c>
      <c r="E961" s="0" t="n">
        <v>2</v>
      </c>
      <c r="F961" s="27" t="s">
        <v>726</v>
      </c>
      <c r="G961" s="0" t="n">
        <v>45.8</v>
      </c>
      <c r="H961" s="0" t="n">
        <v>45</v>
      </c>
      <c r="I961" s="27" t="s">
        <v>138</v>
      </c>
      <c r="J961" s="0" t="n">
        <v>63</v>
      </c>
      <c r="K961" s="0" t="n">
        <v>63</v>
      </c>
      <c r="L961" s="0" t="n">
        <v>49</v>
      </c>
      <c r="M961" s="0" t="n">
        <v>140.78</v>
      </c>
      <c r="N961" s="0" t="n">
        <v>58.88</v>
      </c>
      <c r="O961" s="0" t="n">
        <v>28.44</v>
      </c>
      <c r="P961" s="0" t="n">
        <v>5.34</v>
      </c>
      <c r="Q961" s="0" t="n">
        <v>3.66</v>
      </c>
      <c r="R961" s="0" t="n">
        <v>4457</v>
      </c>
      <c r="S961" s="0" t="n">
        <v>9021</v>
      </c>
      <c r="T961" s="0" t="n">
        <v>51.25</v>
      </c>
      <c r="U961" s="0" t="n">
        <v>1148</v>
      </c>
      <c r="V961" s="0" t="n">
        <v>1</v>
      </c>
      <c r="W961" s="27" t="n">
        <f aca="false">MATCH(A961,DATAS,0)</f>
        <v>1</v>
      </c>
      <c r="X961" s="27" t="n">
        <f aca="false">IF(AND(E961&gt;0,OR(AND(B961&gt;=1,B961&lt;=6),B961=10)),1,0)</f>
        <v>1</v>
      </c>
      <c r="Y961" s="27" t="n">
        <f aca="false">IF(AND(E961&gt;0,B961=10),1,0)</f>
        <v>0</v>
      </c>
      <c r="Z961" s="0" t="str">
        <f aca="false">IF(AND(C960=C961,W960=W961-1),X960,"")</f>
        <v/>
      </c>
      <c r="AA961" s="0" t="str">
        <f aca="false">IF(AND(C960=C961,W960=W961-1),Y960,"")</f>
        <v/>
      </c>
      <c r="AB961" s="0" t="str">
        <f aca="false">IF(W961=1,"",IF(AND(X961=1,Z961&lt;&gt;1),1,0))</f>
        <v/>
      </c>
      <c r="AC961" s="0" t="str">
        <f aca="false">IF(W961=1,"",IF(AND(Y961=1,AA961&lt;&gt;1),1,0))</f>
        <v/>
      </c>
      <c r="AD961" s="33" t="str">
        <f aca="false">IF(AND(E961&gt;0,W961&lt;1,NOT(AND(C962=C961,W962=W961+1))),INDEX(DATAS,W961+1),"")</f>
        <v/>
      </c>
      <c r="AE961" s="33" t="str">
        <f aca="false">IF(AND(Y961=1,W961&lt;1),IF(AND(C962=C961,W962=W961+1),IF(Y962=1,"",INDEX(DATAS,W961+1)),INDEX(DATAS,W961+1)),"")</f>
        <v/>
      </c>
    </row>
    <row r="962" customFormat="false" ht="15" hidden="false" customHeight="false" outlineLevel="0" collapsed="false">
      <c r="A962" s="33" t="n">
        <v>46309</v>
      </c>
      <c r="B962" s="0" t="n">
        <v>5</v>
      </c>
      <c r="C962" s="0" t="n">
        <v>4945</v>
      </c>
      <c r="D962" s="0" t="n">
        <v>57</v>
      </c>
      <c r="E962" s="0" t="n">
        <v>2</v>
      </c>
      <c r="F962" s="27" t="s">
        <v>726</v>
      </c>
      <c r="G962" s="0" t="n">
        <v>24.7</v>
      </c>
      <c r="H962" s="0" t="n">
        <v>27</v>
      </c>
      <c r="I962" s="27" t="s">
        <v>147</v>
      </c>
      <c r="J962" s="0" t="n">
        <v>57</v>
      </c>
      <c r="M962" s="0" t="n">
        <v>1086.47</v>
      </c>
      <c r="N962" s="0" t="n">
        <v>81.44</v>
      </c>
      <c r="O962" s="0" t="n">
        <v>55.81</v>
      </c>
      <c r="P962" s="0" t="n">
        <v>4.14</v>
      </c>
      <c r="Q962" s="0" t="n">
        <v>3.86</v>
      </c>
      <c r="R962" s="0" t="n">
        <v>2840</v>
      </c>
      <c r="S962" s="0" t="n">
        <v>5710</v>
      </c>
      <c r="U962" s="0" t="n">
        <v>1148</v>
      </c>
      <c r="V962" s="0" t="n">
        <v>0</v>
      </c>
      <c r="W962" s="27" t="n">
        <f aca="false">MATCH(A962,DATAS,0)</f>
        <v>1</v>
      </c>
      <c r="X962" s="27" t="n">
        <f aca="false">IF(AND(E962&gt;0,OR(AND(B962&gt;=1,B962&lt;=6),B962=10)),1,0)</f>
        <v>1</v>
      </c>
      <c r="Y962" s="27" t="n">
        <f aca="false">IF(AND(E962&gt;0,B962=10),1,0)</f>
        <v>0</v>
      </c>
      <c r="Z962" s="0" t="str">
        <f aca="false">IF(AND(C961=C962,W961=W962-1),X961,"")</f>
        <v/>
      </c>
      <c r="AA962" s="0" t="str">
        <f aca="false">IF(AND(C961=C962,W961=W962-1),Y961,"")</f>
        <v/>
      </c>
      <c r="AB962" s="0" t="str">
        <f aca="false">IF(W962=1,"",IF(AND(X962=1,Z962&lt;&gt;1),1,0))</f>
        <v/>
      </c>
      <c r="AC962" s="0" t="str">
        <f aca="false">IF(W962=1,"",IF(AND(Y962=1,AA962&lt;&gt;1),1,0))</f>
        <v/>
      </c>
      <c r="AD962" s="33" t="str">
        <f aca="false">IF(AND(E962&gt;0,W962&lt;1,NOT(AND(C963=C962,W963=W962+1))),INDEX(DATAS,W962+1),"")</f>
        <v/>
      </c>
      <c r="AE962" s="33" t="str">
        <f aca="false">IF(AND(Y962=1,W962&lt;1),IF(AND(C963=C962,W963=W962+1),IF(Y963=1,"",INDEX(DATAS,W962+1)),INDEX(DATAS,W962+1)),"")</f>
        <v/>
      </c>
    </row>
    <row r="963" customFormat="false" ht="15" hidden="false" customHeight="false" outlineLevel="0" collapsed="false">
      <c r="A963" s="33" t="n">
        <v>46309</v>
      </c>
      <c r="B963" s="0" t="n">
        <v>7</v>
      </c>
      <c r="C963" s="0" t="n">
        <v>4947</v>
      </c>
      <c r="D963" s="0" t="n">
        <v>360</v>
      </c>
      <c r="E963" s="0" t="n">
        <v>1</v>
      </c>
      <c r="F963" s="27" t="s">
        <v>727</v>
      </c>
      <c r="G963" s="0" t="n">
        <v>12.9</v>
      </c>
      <c r="H963" s="0" t="n">
        <v>36</v>
      </c>
      <c r="I963" s="27" t="s">
        <v>143</v>
      </c>
      <c r="J963" s="0" t="n">
        <v>137</v>
      </c>
      <c r="K963" s="0" t="n">
        <v>68</v>
      </c>
      <c r="L963" s="0" t="n">
        <v>224</v>
      </c>
      <c r="M963" s="0" t="n">
        <v>743.5</v>
      </c>
      <c r="N963" s="0" t="n">
        <v>76.09</v>
      </c>
      <c r="O963" s="0" t="n">
        <v>41.73</v>
      </c>
      <c r="P963" s="0" t="n">
        <v>4.1</v>
      </c>
      <c r="Q963" s="0" t="n">
        <v>3.8</v>
      </c>
      <c r="R963" s="0" t="n">
        <v>4378</v>
      </c>
      <c r="S963" s="0" t="n">
        <v>9666</v>
      </c>
      <c r="T963" s="0" t="n">
        <v>51.4</v>
      </c>
      <c r="U963" s="0" t="n">
        <v>1147</v>
      </c>
      <c r="V963" s="0" t="n">
        <v>3</v>
      </c>
      <c r="W963" s="27" t="n">
        <f aca="false">MATCH(A963,DATAS,0)</f>
        <v>1</v>
      </c>
      <c r="X963" s="27" t="n">
        <f aca="false">IF(AND(E963&gt;0,OR(AND(B963&gt;=1,B963&lt;=6),B963=10)),1,0)</f>
        <v>0</v>
      </c>
      <c r="Y963" s="27" t="n">
        <f aca="false">IF(AND(E963&gt;0,B963=10),1,0)</f>
        <v>0</v>
      </c>
      <c r="Z963" s="0" t="str">
        <f aca="false">IF(AND(C962=C963,W962=W963-1),X962,"")</f>
        <v/>
      </c>
      <c r="AA963" s="0" t="str">
        <f aca="false">IF(AND(C962=C963,W962=W963-1),Y962,"")</f>
        <v/>
      </c>
      <c r="AB963" s="0" t="str">
        <f aca="false">IF(W963=1,"",IF(AND(X963=1,Z963&lt;&gt;1),1,0))</f>
        <v/>
      </c>
      <c r="AC963" s="0" t="str">
        <f aca="false">IF(W963=1,"",IF(AND(Y963=1,AA963&lt;&gt;1),1,0))</f>
        <v/>
      </c>
      <c r="AD963" s="33" t="str">
        <f aca="false">IF(AND(E963&gt;0,W963&lt;1,NOT(AND(C964=C963,W964=W963+1))),INDEX(DATAS,W963+1),"")</f>
        <v/>
      </c>
      <c r="AE963" s="33" t="str">
        <f aca="false">IF(AND(Y963=1,W963&lt;1),IF(AND(C964=C963,W964=W963+1),IF(Y964=1,"",INDEX(DATAS,W963+1)),INDEX(DATAS,W963+1)),"")</f>
        <v/>
      </c>
    </row>
    <row r="964" customFormat="false" ht="15" hidden="false" customHeight="false" outlineLevel="0" collapsed="false">
      <c r="A964" s="33" t="n">
        <v>46309</v>
      </c>
      <c r="B964" s="0" t="n">
        <v>2</v>
      </c>
      <c r="C964" s="0" t="n">
        <v>4948</v>
      </c>
      <c r="D964" s="0" t="n">
        <v>96</v>
      </c>
      <c r="E964" s="0" t="n">
        <v>2</v>
      </c>
      <c r="F964" s="27" t="s">
        <v>727</v>
      </c>
      <c r="G964" s="0" t="n">
        <v>45.3</v>
      </c>
      <c r="H964" s="0" t="n">
        <v>60</v>
      </c>
      <c r="I964" s="27" t="s">
        <v>168</v>
      </c>
      <c r="J964" s="0" t="n">
        <v>96</v>
      </c>
      <c r="K964" s="0" t="n">
        <v>68</v>
      </c>
      <c r="M964" s="0" t="n">
        <v>560</v>
      </c>
      <c r="N964" s="0" t="n">
        <v>70.06</v>
      </c>
      <c r="O964" s="0" t="n">
        <v>42.29</v>
      </c>
      <c r="P964" s="0" t="n">
        <v>3.93</v>
      </c>
      <c r="Q964" s="0" t="n">
        <v>3.26</v>
      </c>
      <c r="R964" s="0" t="n">
        <v>5059</v>
      </c>
      <c r="S964" s="0" t="n">
        <v>10169</v>
      </c>
      <c r="T964" s="0" t="n">
        <v>57.5</v>
      </c>
      <c r="U964" s="0" t="n">
        <v>1147</v>
      </c>
      <c r="V964" s="0" t="n">
        <v>1</v>
      </c>
      <c r="W964" s="27" t="n">
        <f aca="false">MATCH(A964,DATAS,0)</f>
        <v>1</v>
      </c>
      <c r="X964" s="27" t="n">
        <f aca="false">IF(AND(E964&gt;0,OR(AND(B964&gt;=1,B964&lt;=6),B964=10)),1,0)</f>
        <v>1</v>
      </c>
      <c r="Y964" s="27" t="n">
        <f aca="false">IF(AND(E964&gt;0,B964=10),1,0)</f>
        <v>0</v>
      </c>
      <c r="Z964" s="0" t="str">
        <f aca="false">IF(AND(C963=C964,W963=W964-1),X963,"")</f>
        <v/>
      </c>
      <c r="AA964" s="0" t="str">
        <f aca="false">IF(AND(C963=C964,W963=W964-1),Y963,"")</f>
        <v/>
      </c>
      <c r="AB964" s="0" t="str">
        <f aca="false">IF(W964=1,"",IF(AND(X964=1,Z964&lt;&gt;1),1,0))</f>
        <v/>
      </c>
      <c r="AC964" s="0" t="str">
        <f aca="false">IF(W964=1,"",IF(AND(Y964=1,AA964&lt;&gt;1),1,0))</f>
        <v/>
      </c>
      <c r="AD964" s="33" t="str">
        <f aca="false">IF(AND(E964&gt;0,W964&lt;1,NOT(AND(C965=C964,W965=W964+1))),INDEX(DATAS,W964+1),"")</f>
        <v/>
      </c>
      <c r="AE964" s="33" t="str">
        <f aca="false">IF(AND(Y964=1,W964&lt;1),IF(AND(C965=C964,W965=W964+1),IF(Y965=1,"",INDEX(DATAS,W964+1)),INDEX(DATAS,W964+1)),"")</f>
        <v/>
      </c>
    </row>
    <row r="965" customFormat="false" ht="15" hidden="false" customHeight="false" outlineLevel="0" collapsed="false">
      <c r="A965" s="33" t="n">
        <v>46309</v>
      </c>
      <c r="B965" s="0" t="n">
        <v>5</v>
      </c>
      <c r="C965" s="0" t="n">
        <v>4949</v>
      </c>
      <c r="D965" s="0" t="n">
        <v>182</v>
      </c>
      <c r="E965" s="0" t="n">
        <v>2</v>
      </c>
      <c r="F965" s="27" t="s">
        <v>727</v>
      </c>
      <c r="G965" s="0" t="n">
        <v>39.2</v>
      </c>
      <c r="H965" s="0" t="n">
        <v>40</v>
      </c>
      <c r="I965" s="27" t="s">
        <v>138</v>
      </c>
      <c r="J965" s="0" t="n">
        <v>98</v>
      </c>
      <c r="K965" s="0" t="n">
        <v>56</v>
      </c>
      <c r="L965" s="0" t="n">
        <v>84</v>
      </c>
      <c r="M965" s="0" t="n">
        <v>-228.95</v>
      </c>
      <c r="N965" s="0" t="n">
        <v>69.21</v>
      </c>
      <c r="O965" s="0" t="n">
        <v>11.47</v>
      </c>
      <c r="P965" s="0" t="n">
        <v>5.71</v>
      </c>
      <c r="Q965" s="0" t="n">
        <v>3.81</v>
      </c>
      <c r="R965" s="0" t="n">
        <v>4206</v>
      </c>
      <c r="S965" s="0" t="n">
        <v>8529</v>
      </c>
      <c r="T965" s="0" t="n">
        <v>45.2</v>
      </c>
      <c r="U965" s="0" t="n">
        <v>1147</v>
      </c>
      <c r="V965" s="0" t="n">
        <v>2</v>
      </c>
      <c r="W965" s="27" t="n">
        <f aca="false">MATCH(A965,DATAS,0)</f>
        <v>1</v>
      </c>
      <c r="X965" s="27" t="n">
        <f aca="false">IF(AND(E965&gt;0,OR(AND(B965&gt;=1,B965&lt;=6),B965=10)),1,0)</f>
        <v>1</v>
      </c>
      <c r="Y965" s="27" t="n">
        <f aca="false">IF(AND(E965&gt;0,B965=10),1,0)</f>
        <v>0</v>
      </c>
      <c r="Z965" s="0" t="str">
        <f aca="false">IF(AND(C964=C965,W964=W965-1),X964,"")</f>
        <v/>
      </c>
      <c r="AA965" s="0" t="str">
        <f aca="false">IF(AND(C964=C965,W964=W965-1),Y964,"")</f>
        <v/>
      </c>
      <c r="AB965" s="0" t="str">
        <f aca="false">IF(W965=1,"",IF(AND(X965=1,Z965&lt;&gt;1),1,0))</f>
        <v/>
      </c>
      <c r="AC965" s="0" t="str">
        <f aca="false">IF(W965=1,"",IF(AND(Y965=1,AA965&lt;&gt;1),1,0))</f>
        <v/>
      </c>
      <c r="AD965" s="33" t="str">
        <f aca="false">IF(AND(E965&gt;0,W965&lt;1,NOT(AND(C966=C965,W966=W965+1))),INDEX(DATAS,W965+1),"")</f>
        <v/>
      </c>
      <c r="AE965" s="33" t="str">
        <f aca="false">IF(AND(Y965=1,W965&lt;1),IF(AND(C966=C965,W966=W965+1),IF(Y966=1,"",INDEX(DATAS,W965+1)),INDEX(DATAS,W965+1)),"")</f>
        <v/>
      </c>
    </row>
    <row r="966" customFormat="false" ht="15" hidden="false" customHeight="false" outlineLevel="0" collapsed="false">
      <c r="A966" s="33" t="n">
        <v>46309</v>
      </c>
      <c r="B966" s="0" t="n">
        <v>5</v>
      </c>
      <c r="C966" s="0" t="n">
        <v>4950</v>
      </c>
      <c r="D966" s="0" t="n">
        <v>91</v>
      </c>
      <c r="E966" s="0" t="n">
        <v>2</v>
      </c>
      <c r="F966" s="27" t="s">
        <v>728</v>
      </c>
      <c r="G966" s="0" t="n">
        <v>42.3</v>
      </c>
      <c r="H966" s="0" t="n">
        <v>38</v>
      </c>
      <c r="I966" s="27" t="s">
        <v>168</v>
      </c>
      <c r="J966" s="0" t="n">
        <v>91</v>
      </c>
      <c r="K966" s="0" t="n">
        <v>70</v>
      </c>
      <c r="M966" s="0" t="n">
        <v>-243.89</v>
      </c>
      <c r="N966" s="0" t="n">
        <v>49.38</v>
      </c>
      <c r="O966" s="0" t="n">
        <v>15.57</v>
      </c>
      <c r="P966" s="0" t="n">
        <v>3.83</v>
      </c>
      <c r="Q966" s="0" t="n">
        <v>3.53</v>
      </c>
      <c r="R966" s="0" t="n">
        <v>3576</v>
      </c>
      <c r="S966" s="0" t="n">
        <v>7188</v>
      </c>
      <c r="T966" s="0" t="n">
        <v>40.85</v>
      </c>
      <c r="U966" s="0" t="n">
        <v>1146</v>
      </c>
      <c r="V966" s="0" t="n">
        <v>1</v>
      </c>
      <c r="W966" s="27" t="n">
        <f aca="false">MATCH(A966,DATAS,0)</f>
        <v>1</v>
      </c>
      <c r="X966" s="27" t="n">
        <f aca="false">IF(AND(E966&gt;0,OR(AND(B966&gt;=1,B966&lt;=6),B966=10)),1,0)</f>
        <v>1</v>
      </c>
      <c r="Y966" s="27" t="n">
        <f aca="false">IF(AND(E966&gt;0,B966=10),1,0)</f>
        <v>0</v>
      </c>
      <c r="Z966" s="0" t="str">
        <f aca="false">IF(AND(C965=C966,W965=W966-1),X965,"")</f>
        <v/>
      </c>
      <c r="AA966" s="0" t="str">
        <f aca="false">IF(AND(C965=C966,W965=W966-1),Y965,"")</f>
        <v/>
      </c>
      <c r="AB966" s="0" t="str">
        <f aca="false">IF(W966=1,"",IF(AND(X966=1,Z966&lt;&gt;1),1,0))</f>
        <v/>
      </c>
      <c r="AC966" s="0" t="str">
        <f aca="false">IF(W966=1,"",IF(AND(Y966=1,AA966&lt;&gt;1),1,0))</f>
        <v/>
      </c>
      <c r="AD966" s="33" t="str">
        <f aca="false">IF(AND(E966&gt;0,W966&lt;1,NOT(AND(C967=C966,W967=W966+1))),INDEX(DATAS,W966+1),"")</f>
        <v/>
      </c>
      <c r="AE966" s="33" t="str">
        <f aca="false">IF(AND(Y966=1,W966&lt;1),IF(AND(C967=C966,W967=W966+1),IF(Y967=1,"",INDEX(DATAS,W966+1)),INDEX(DATAS,W966+1)),"")</f>
        <v/>
      </c>
    </row>
    <row r="967" customFormat="false" ht="15" hidden="false" customHeight="false" outlineLevel="0" collapsed="false">
      <c r="A967" s="33" t="n">
        <v>46309</v>
      </c>
      <c r="B967" s="0" t="n">
        <v>6</v>
      </c>
      <c r="C967" s="0" t="n">
        <v>4951</v>
      </c>
      <c r="D967" s="0" t="n">
        <v>496</v>
      </c>
      <c r="E967" s="0" t="n">
        <v>1</v>
      </c>
      <c r="F967" s="27" t="s">
        <v>728</v>
      </c>
      <c r="G967" s="0" t="n">
        <v>27.4</v>
      </c>
      <c r="H967" s="0" t="n">
        <v>25</v>
      </c>
      <c r="I967" s="27" t="s">
        <v>151</v>
      </c>
      <c r="J967" s="0" t="n">
        <v>496</v>
      </c>
      <c r="K967" s="0" t="n">
        <v>62</v>
      </c>
      <c r="M967" s="0" t="n">
        <v>885.72</v>
      </c>
      <c r="N967" s="0" t="n">
        <v>81.78</v>
      </c>
      <c r="O967" s="0" t="n">
        <v>48.24</v>
      </c>
      <c r="P967" s="0" t="n">
        <v>5.64</v>
      </c>
      <c r="Q967" s="0" t="n">
        <v>4.54</v>
      </c>
      <c r="R967" s="0" t="n">
        <v>4222</v>
      </c>
      <c r="S967" s="0" t="n">
        <v>8965</v>
      </c>
      <c r="T967" s="0" t="n">
        <v>51.2</v>
      </c>
      <c r="U967" s="0" t="n">
        <v>1146</v>
      </c>
      <c r="V967" s="0" t="n">
        <v>11</v>
      </c>
      <c r="W967" s="27" t="n">
        <f aca="false">MATCH(A967,DATAS,0)</f>
        <v>1</v>
      </c>
      <c r="X967" s="27" t="n">
        <f aca="false">IF(AND(E967&gt;0,OR(AND(B967&gt;=1,B967&lt;=6),B967=10)),1,0)</f>
        <v>1</v>
      </c>
      <c r="Y967" s="27" t="n">
        <f aca="false">IF(AND(E967&gt;0,B967=10),1,0)</f>
        <v>0</v>
      </c>
      <c r="Z967" s="0" t="str">
        <f aca="false">IF(AND(C966=C967,W966=W967-1),X966,"")</f>
        <v/>
      </c>
      <c r="AA967" s="0" t="str">
        <f aca="false">IF(AND(C966=C967,W966=W967-1),Y966,"")</f>
        <v/>
      </c>
      <c r="AB967" s="0" t="str">
        <f aca="false">IF(W967=1,"",IF(AND(X967=1,Z967&lt;&gt;1),1,0))</f>
        <v/>
      </c>
      <c r="AC967" s="0" t="str">
        <f aca="false">IF(W967=1,"",IF(AND(Y967=1,AA967&lt;&gt;1),1,0))</f>
        <v/>
      </c>
      <c r="AD967" s="33" t="str">
        <f aca="false">IF(AND(E967&gt;0,W967&lt;1,NOT(AND(C968=C967,W968=W967+1))),INDEX(DATAS,W967+1),"")</f>
        <v/>
      </c>
      <c r="AE967" s="33" t="str">
        <f aca="false">IF(AND(Y967=1,W967&lt;1),IF(AND(C968=C967,W968=W967+1),IF(Y968=1,"",INDEX(DATAS,W967+1)),INDEX(DATAS,W967+1)),"")</f>
        <v/>
      </c>
    </row>
    <row r="968" customFormat="false" ht="15" hidden="false" customHeight="false" outlineLevel="0" collapsed="false">
      <c r="A968" s="33" t="n">
        <v>46309</v>
      </c>
      <c r="B968" s="0" t="n">
        <v>2</v>
      </c>
      <c r="C968" s="0" t="n">
        <v>4952</v>
      </c>
      <c r="D968" s="0" t="n">
        <v>78</v>
      </c>
      <c r="E968" s="0" t="n">
        <v>2</v>
      </c>
      <c r="F968" s="27" t="s">
        <v>728</v>
      </c>
      <c r="G968" s="0" t="n">
        <v>63.5</v>
      </c>
      <c r="H968" s="0" t="n">
        <v>59</v>
      </c>
      <c r="I968" s="27" t="s">
        <v>168</v>
      </c>
      <c r="J968" s="0" t="n">
        <v>78</v>
      </c>
      <c r="K968" s="0" t="n">
        <v>64</v>
      </c>
      <c r="M968" s="0" t="n">
        <v>265.62</v>
      </c>
      <c r="N968" s="0" t="n">
        <v>78.65</v>
      </c>
      <c r="O968" s="0" t="n">
        <v>24.27</v>
      </c>
      <c r="P968" s="0" t="n">
        <v>3.69</v>
      </c>
      <c r="Q968" s="0" t="n">
        <v>3.4</v>
      </c>
      <c r="R968" s="0" t="n">
        <v>5458</v>
      </c>
      <c r="S968" s="0" t="n">
        <v>10972</v>
      </c>
      <c r="U968" s="0" t="n">
        <v>1146</v>
      </c>
      <c r="V968" s="0" t="n">
        <v>1</v>
      </c>
      <c r="W968" s="27" t="n">
        <f aca="false">MATCH(A968,DATAS,0)</f>
        <v>1</v>
      </c>
      <c r="X968" s="27" t="n">
        <f aca="false">IF(AND(E968&gt;0,OR(AND(B968&gt;=1,B968&lt;=6),B968=10)),1,0)</f>
        <v>1</v>
      </c>
      <c r="Y968" s="27" t="n">
        <f aca="false">IF(AND(E968&gt;0,B968=10),1,0)</f>
        <v>0</v>
      </c>
      <c r="Z968" s="0" t="str">
        <f aca="false">IF(AND(C967=C968,W967=W968-1),X967,"")</f>
        <v/>
      </c>
      <c r="AA968" s="0" t="str">
        <f aca="false">IF(AND(C967=C968,W967=W968-1),Y967,"")</f>
        <v/>
      </c>
      <c r="AB968" s="0" t="str">
        <f aca="false">IF(W968=1,"",IF(AND(X968=1,Z968&lt;&gt;1),1,0))</f>
        <v/>
      </c>
      <c r="AC968" s="0" t="str">
        <f aca="false">IF(W968=1,"",IF(AND(Y968=1,AA968&lt;&gt;1),1,0))</f>
        <v/>
      </c>
      <c r="AD968" s="33" t="str">
        <f aca="false">IF(AND(E968&gt;0,W968&lt;1,NOT(AND(C969=C968,W969=W968+1))),INDEX(DATAS,W968+1),"")</f>
        <v/>
      </c>
      <c r="AE968" s="33" t="str">
        <f aca="false">IF(AND(Y968=1,W968&lt;1),IF(AND(C969=C968,W969=W968+1),IF(Y969=1,"",INDEX(DATAS,W968+1)),INDEX(DATAS,W968+1)),"")</f>
        <v/>
      </c>
    </row>
    <row r="969" customFormat="false" ht="15" hidden="false" customHeight="false" outlineLevel="0" collapsed="false">
      <c r="A969" s="33" t="n">
        <v>46309</v>
      </c>
      <c r="B969" s="0" t="n">
        <v>10</v>
      </c>
      <c r="C969" s="0" t="n">
        <v>4953</v>
      </c>
      <c r="D969" s="0" t="n">
        <v>169</v>
      </c>
      <c r="E969" s="0" t="n">
        <v>2</v>
      </c>
      <c r="F969" s="27" t="s">
        <v>728</v>
      </c>
      <c r="G969" s="0" t="n">
        <v>30.1</v>
      </c>
      <c r="H969" s="0" t="n">
        <v>22</v>
      </c>
      <c r="I969" s="27" t="s">
        <v>168</v>
      </c>
      <c r="J969" s="0" t="n">
        <v>169</v>
      </c>
      <c r="K969" s="0" t="n">
        <v>64</v>
      </c>
      <c r="M969" s="0" t="n">
        <v>1514.29</v>
      </c>
      <c r="N969" s="0" t="n">
        <v>63.85</v>
      </c>
      <c r="O969" s="0" t="n">
        <v>46.95</v>
      </c>
      <c r="P969" s="0" t="n">
        <v>3.71</v>
      </c>
      <c r="Q969" s="0" t="n">
        <v>3.26</v>
      </c>
      <c r="R969" s="0" t="n">
        <v>4943</v>
      </c>
      <c r="S969" s="0" t="n">
        <v>10878</v>
      </c>
      <c r="T969" s="0" t="n">
        <v>60.2</v>
      </c>
      <c r="U969" s="0" t="n">
        <v>1146</v>
      </c>
      <c r="V969" s="0" t="n">
        <v>2</v>
      </c>
      <c r="W969" s="27" t="n">
        <f aca="false">MATCH(A969,DATAS,0)</f>
        <v>1</v>
      </c>
      <c r="X969" s="27" t="n">
        <f aca="false">IF(AND(E969&gt;0,OR(AND(B969&gt;=1,B969&lt;=6),B969=10)),1,0)</f>
        <v>1</v>
      </c>
      <c r="Y969" s="27" t="n">
        <f aca="false">IF(AND(E969&gt;0,B969=10),1,0)</f>
        <v>1</v>
      </c>
      <c r="Z969" s="0" t="str">
        <f aca="false">IF(AND(C968=C969,W968=W969-1),X968,"")</f>
        <v/>
      </c>
      <c r="AA969" s="0" t="str">
        <f aca="false">IF(AND(C968=C969,W968=W969-1),Y968,"")</f>
        <v/>
      </c>
      <c r="AB969" s="0" t="str">
        <f aca="false">IF(W969=1,"",IF(AND(X969=1,Z969&lt;&gt;1),1,0))</f>
        <v/>
      </c>
      <c r="AC969" s="0" t="str">
        <f aca="false">IF(W969=1,"",IF(AND(Y969=1,AA969&lt;&gt;1),1,0))</f>
        <v/>
      </c>
      <c r="AD969" s="33" t="str">
        <f aca="false">IF(AND(E969&gt;0,W969&lt;1,NOT(AND(C970=C969,W970=W969+1))),INDEX(DATAS,W969+1),"")</f>
        <v/>
      </c>
      <c r="AE969" s="33" t="str">
        <f aca="false">IF(AND(Y969=1,W969&lt;1),IF(AND(C970=C969,W970=W969+1),IF(Y970=1,"",INDEX(DATAS,W969+1)),INDEX(DATAS,W969+1)),"")</f>
        <v/>
      </c>
    </row>
    <row r="970" customFormat="false" ht="15" hidden="false" customHeight="false" outlineLevel="0" collapsed="false">
      <c r="A970" s="33" t="n">
        <v>46309</v>
      </c>
      <c r="B970" s="0" t="n">
        <v>5</v>
      </c>
      <c r="C970" s="0" t="n">
        <v>4954</v>
      </c>
      <c r="D970" s="0" t="n">
        <v>270</v>
      </c>
      <c r="E970" s="0" t="n">
        <v>2</v>
      </c>
      <c r="F970" s="27" t="s">
        <v>729</v>
      </c>
      <c r="G970" s="0" t="n">
        <v>31.4</v>
      </c>
      <c r="H970" s="0" t="n">
        <v>31</v>
      </c>
      <c r="I970" s="27" t="s">
        <v>168</v>
      </c>
      <c r="J970" s="0" t="n">
        <v>270</v>
      </c>
      <c r="K970" s="0" t="n">
        <v>67</v>
      </c>
      <c r="M970" s="0" t="n">
        <v>-27.31</v>
      </c>
      <c r="N970" s="0" t="n">
        <v>82.53</v>
      </c>
      <c r="O970" s="0" t="n">
        <v>17.9</v>
      </c>
      <c r="P970" s="0" t="n">
        <v>8.03</v>
      </c>
      <c r="Q970" s="0" t="n">
        <v>4.28</v>
      </c>
      <c r="R970" s="0" t="n">
        <v>4178</v>
      </c>
      <c r="S970" s="0" t="n">
        <v>7719</v>
      </c>
      <c r="T970" s="0" t="n">
        <v>44.55</v>
      </c>
      <c r="U970" s="0" t="n">
        <v>1145</v>
      </c>
      <c r="V970" s="0" t="n">
        <v>5</v>
      </c>
      <c r="W970" s="27" t="n">
        <f aca="false">MATCH(A970,DATAS,0)</f>
        <v>1</v>
      </c>
      <c r="X970" s="27" t="n">
        <f aca="false">IF(AND(E970&gt;0,OR(AND(B970&gt;=1,B970&lt;=6),B970=10)),1,0)</f>
        <v>1</v>
      </c>
      <c r="Y970" s="27" t="n">
        <f aca="false">IF(AND(E970&gt;0,B970=10),1,0)</f>
        <v>0</v>
      </c>
      <c r="Z970" s="0" t="str">
        <f aca="false">IF(AND(C969=C970,W969=W970-1),X969,"")</f>
        <v/>
      </c>
      <c r="AA970" s="0" t="str">
        <f aca="false">IF(AND(C969=C970,W969=W970-1),Y969,"")</f>
        <v/>
      </c>
      <c r="AB970" s="0" t="str">
        <f aca="false">IF(W970=1,"",IF(AND(X970=1,Z970&lt;&gt;1),1,0))</f>
        <v/>
      </c>
      <c r="AC970" s="0" t="str">
        <f aca="false">IF(W970=1,"",IF(AND(Y970=1,AA970&lt;&gt;1),1,0))</f>
        <v/>
      </c>
      <c r="AD970" s="33" t="str">
        <f aca="false">IF(AND(E970&gt;0,W970&lt;1,NOT(AND(C971=C970,W971=W970+1))),INDEX(DATAS,W970+1),"")</f>
        <v/>
      </c>
      <c r="AE970" s="33" t="str">
        <f aca="false">IF(AND(Y970=1,W970&lt;1),IF(AND(C971=C970,W971=W970+1),IF(Y971=1,"",INDEX(DATAS,W970+1)),INDEX(DATAS,W970+1)),"")</f>
        <v/>
      </c>
    </row>
    <row r="971" customFormat="false" ht="15" hidden="false" customHeight="false" outlineLevel="0" collapsed="false">
      <c r="A971" s="33" t="n">
        <v>46309</v>
      </c>
      <c r="B971" s="0" t="n">
        <v>2</v>
      </c>
      <c r="C971" s="0" t="n">
        <v>4955</v>
      </c>
      <c r="D971" s="0" t="n">
        <v>140</v>
      </c>
      <c r="E971" s="0" t="n">
        <v>2</v>
      </c>
      <c r="F971" s="27" t="s">
        <v>729</v>
      </c>
      <c r="G971" s="0" t="n">
        <v>49</v>
      </c>
      <c r="H971" s="0" t="n">
        <v>51</v>
      </c>
      <c r="I971" s="27" t="s">
        <v>176</v>
      </c>
      <c r="J971" s="0" t="n">
        <v>140</v>
      </c>
      <c r="K971" s="0" t="n">
        <v>63</v>
      </c>
      <c r="M971" s="0" t="n">
        <v>1603.71</v>
      </c>
      <c r="N971" s="0" t="n">
        <v>28.88</v>
      </c>
      <c r="O971" s="0" t="n">
        <v>37.7</v>
      </c>
      <c r="P971" s="0" t="n">
        <v>3.25</v>
      </c>
      <c r="Q971" s="0" t="n">
        <v>3.03</v>
      </c>
      <c r="R971" s="0" t="n">
        <v>4939</v>
      </c>
      <c r="S971" s="0" t="n">
        <v>10014</v>
      </c>
      <c r="T971" s="0" t="n">
        <v>58.05</v>
      </c>
      <c r="U971" s="0" t="n">
        <v>1145</v>
      </c>
      <c r="V971" s="0" t="n">
        <v>2</v>
      </c>
      <c r="W971" s="27" t="n">
        <f aca="false">MATCH(A971,DATAS,0)</f>
        <v>1</v>
      </c>
      <c r="X971" s="27" t="n">
        <f aca="false">IF(AND(E971&gt;0,OR(AND(B971&gt;=1,B971&lt;=6),B971=10)),1,0)</f>
        <v>1</v>
      </c>
      <c r="Y971" s="27" t="n">
        <f aca="false">IF(AND(E971&gt;0,B971=10),1,0)</f>
        <v>0</v>
      </c>
      <c r="Z971" s="0" t="str">
        <f aca="false">IF(AND(C970=C971,W970=W971-1),X970,"")</f>
        <v/>
      </c>
      <c r="AA971" s="0" t="str">
        <f aca="false">IF(AND(C970=C971,W970=W971-1),Y970,"")</f>
        <v/>
      </c>
      <c r="AB971" s="0" t="str">
        <f aca="false">IF(W971=1,"",IF(AND(X971=1,Z971&lt;&gt;1),1,0))</f>
        <v/>
      </c>
      <c r="AC971" s="0" t="str">
        <f aca="false">IF(W971=1,"",IF(AND(Y971=1,AA971&lt;&gt;1),1,0))</f>
        <v/>
      </c>
      <c r="AD971" s="33" t="str">
        <f aca="false">IF(AND(E971&gt;0,W971&lt;1,NOT(AND(C972=C971,W972=W971+1))),INDEX(DATAS,W971+1),"")</f>
        <v/>
      </c>
      <c r="AE971" s="33" t="str">
        <f aca="false">IF(AND(Y971=1,W971&lt;1),IF(AND(C972=C971,W972=W971+1),IF(Y972=1,"",INDEX(DATAS,W971+1)),INDEX(DATAS,W971+1)),"")</f>
        <v/>
      </c>
    </row>
    <row r="972" customFormat="false" ht="15" hidden="false" customHeight="false" outlineLevel="0" collapsed="false">
      <c r="A972" s="33" t="n">
        <v>46309</v>
      </c>
      <c r="B972" s="0" t="n">
        <v>3</v>
      </c>
      <c r="C972" s="0" t="n">
        <v>4957</v>
      </c>
      <c r="D972" s="0" t="n">
        <v>50</v>
      </c>
      <c r="E972" s="0" t="n">
        <v>2</v>
      </c>
      <c r="F972" s="27" t="s">
        <v>730</v>
      </c>
      <c r="G972" s="0" t="n">
        <v>46.6</v>
      </c>
      <c r="H972" s="0" t="n">
        <v>48</v>
      </c>
      <c r="I972" s="27" t="s">
        <v>147</v>
      </c>
      <c r="J972" s="0" t="n">
        <v>50</v>
      </c>
      <c r="M972" s="0" t="n">
        <v>517.44</v>
      </c>
      <c r="N972" s="0" t="n">
        <v>51.42</v>
      </c>
      <c r="O972" s="0" t="n">
        <v>21.07</v>
      </c>
      <c r="P972" s="0" t="n">
        <v>3.77</v>
      </c>
      <c r="Q972" s="0" t="n">
        <v>3.28</v>
      </c>
      <c r="R972" s="0" t="n">
        <v>4232</v>
      </c>
      <c r="S972" s="0" t="n">
        <v>8507</v>
      </c>
      <c r="U972" s="0" t="n">
        <v>1144</v>
      </c>
      <c r="V972" s="0" t="n">
        <v>0</v>
      </c>
      <c r="W972" s="27" t="n">
        <f aca="false">MATCH(A972,DATAS,0)</f>
        <v>1</v>
      </c>
      <c r="X972" s="27" t="n">
        <f aca="false">IF(AND(E972&gt;0,OR(AND(B972&gt;=1,B972&lt;=6),B972=10)),1,0)</f>
        <v>1</v>
      </c>
      <c r="Y972" s="27" t="n">
        <f aca="false">IF(AND(E972&gt;0,B972=10),1,0)</f>
        <v>0</v>
      </c>
      <c r="Z972" s="0" t="str">
        <f aca="false">IF(AND(C971=C972,W971=W972-1),X971,"")</f>
        <v/>
      </c>
      <c r="AA972" s="0" t="str">
        <f aca="false">IF(AND(C971=C972,W971=W972-1),Y971,"")</f>
        <v/>
      </c>
      <c r="AB972" s="0" t="str">
        <f aca="false">IF(W972=1,"",IF(AND(X972=1,Z972&lt;&gt;1),1,0))</f>
        <v/>
      </c>
      <c r="AC972" s="0" t="str">
        <f aca="false">IF(W972=1,"",IF(AND(Y972=1,AA972&lt;&gt;1),1,0))</f>
        <v/>
      </c>
      <c r="AD972" s="33" t="str">
        <f aca="false">IF(AND(E972&gt;0,W972&lt;1,NOT(AND(C973=C972,W973=W972+1))),INDEX(DATAS,W972+1),"")</f>
        <v/>
      </c>
      <c r="AE972" s="33" t="str">
        <f aca="false">IF(AND(Y972=1,W972&lt;1),IF(AND(C973=C972,W973=W972+1),IF(Y973=1,"",INDEX(DATAS,W972+1)),INDEX(DATAS,W972+1)),"")</f>
        <v/>
      </c>
    </row>
    <row r="973" customFormat="false" ht="15" hidden="false" customHeight="false" outlineLevel="0" collapsed="false">
      <c r="A973" s="33" t="n">
        <v>46309</v>
      </c>
      <c r="B973" s="0" t="n">
        <v>2</v>
      </c>
      <c r="C973" s="0" t="n">
        <v>4958</v>
      </c>
      <c r="D973" s="0" t="n">
        <v>146</v>
      </c>
      <c r="E973" s="0" t="n">
        <v>2</v>
      </c>
      <c r="F973" s="27" t="s">
        <v>731</v>
      </c>
      <c r="G973" s="0" t="n">
        <v>52.4</v>
      </c>
      <c r="H973" s="0" t="n">
        <v>53</v>
      </c>
      <c r="I973" s="27" t="s">
        <v>168</v>
      </c>
      <c r="J973" s="0" t="n">
        <v>146</v>
      </c>
      <c r="K973" s="0" t="n">
        <v>69</v>
      </c>
      <c r="M973" s="0" t="n">
        <v>1152.54</v>
      </c>
      <c r="N973" s="0" t="n">
        <v>43.93</v>
      </c>
      <c r="O973" s="0" t="n">
        <v>33.91</v>
      </c>
      <c r="P973" s="0" t="n">
        <v>2.26</v>
      </c>
      <c r="Q973" s="0" t="n">
        <v>3.26</v>
      </c>
      <c r="R973" s="0" t="n">
        <v>5461</v>
      </c>
      <c r="S973" s="0" t="n">
        <v>10916</v>
      </c>
      <c r="T973" s="0" t="n">
        <v>58.65</v>
      </c>
      <c r="U973" s="0" t="n">
        <v>1142</v>
      </c>
      <c r="V973" s="0" t="n">
        <v>3</v>
      </c>
      <c r="W973" s="27" t="n">
        <f aca="false">MATCH(A973,DATAS,0)</f>
        <v>1</v>
      </c>
      <c r="X973" s="27" t="n">
        <f aca="false">IF(AND(E973&gt;0,OR(AND(B973&gt;=1,B973&lt;=6),B973=10)),1,0)</f>
        <v>1</v>
      </c>
      <c r="Y973" s="27" t="n">
        <f aca="false">IF(AND(E973&gt;0,B973=10),1,0)</f>
        <v>0</v>
      </c>
      <c r="Z973" s="0" t="str">
        <f aca="false">IF(AND(C972=C973,W972=W973-1),X972,"")</f>
        <v/>
      </c>
      <c r="AA973" s="0" t="str">
        <f aca="false">IF(AND(C972=C973,W972=W973-1),Y972,"")</f>
        <v/>
      </c>
      <c r="AB973" s="0" t="str">
        <f aca="false">IF(W973=1,"",IF(AND(X973=1,Z973&lt;&gt;1),1,0))</f>
        <v/>
      </c>
      <c r="AC973" s="0" t="str">
        <f aca="false">IF(W973=1,"",IF(AND(Y973=1,AA973&lt;&gt;1),1,0))</f>
        <v/>
      </c>
      <c r="AD973" s="33" t="str">
        <f aca="false">IF(AND(E973&gt;0,W973&lt;1,NOT(AND(C974=C973,W974=W973+1))),INDEX(DATAS,W973+1),"")</f>
        <v/>
      </c>
      <c r="AE973" s="33" t="str">
        <f aca="false">IF(AND(Y973=1,W973&lt;1),IF(AND(C974=C973,W974=W973+1),IF(Y974=1,"",INDEX(DATAS,W973+1)),INDEX(DATAS,W973+1)),"")</f>
        <v/>
      </c>
    </row>
    <row r="974" customFormat="false" ht="15" hidden="false" customHeight="false" outlineLevel="0" collapsed="false">
      <c r="A974" s="33" t="n">
        <v>46309</v>
      </c>
      <c r="B974" s="0" t="n">
        <v>2</v>
      </c>
      <c r="C974" s="0" t="n">
        <v>4959</v>
      </c>
      <c r="D974" s="0" t="n">
        <v>115</v>
      </c>
      <c r="E974" s="0" t="n">
        <v>2</v>
      </c>
      <c r="F974" s="27" t="s">
        <v>731</v>
      </c>
      <c r="G974" s="0" t="n">
        <v>52.8</v>
      </c>
      <c r="H974" s="0" t="n">
        <v>54</v>
      </c>
      <c r="I974" s="27" t="s">
        <v>138</v>
      </c>
      <c r="J974" s="0" t="n">
        <v>66</v>
      </c>
      <c r="K974" s="0" t="n">
        <v>66</v>
      </c>
      <c r="L974" s="0" t="n">
        <v>49</v>
      </c>
      <c r="M974" s="0" t="n">
        <v>277.73</v>
      </c>
      <c r="N974" s="0" t="n">
        <v>58.6</v>
      </c>
      <c r="O974" s="0" t="n">
        <v>16.4</v>
      </c>
      <c r="P974" s="0" t="n">
        <v>4.4</v>
      </c>
      <c r="Q974" s="0" t="n">
        <v>3.15</v>
      </c>
      <c r="R974" s="0" t="n">
        <v>5087</v>
      </c>
      <c r="S974" s="0" t="n">
        <v>10393</v>
      </c>
      <c r="T974" s="0" t="n">
        <v>55.25</v>
      </c>
      <c r="U974" s="0" t="n">
        <v>1142</v>
      </c>
      <c r="V974" s="0" t="n">
        <v>1</v>
      </c>
      <c r="W974" s="27" t="n">
        <f aca="false">MATCH(A974,DATAS,0)</f>
        <v>1</v>
      </c>
      <c r="X974" s="27" t="n">
        <f aca="false">IF(AND(E974&gt;0,OR(AND(B974&gt;=1,B974&lt;=6),B974=10)),1,0)</f>
        <v>1</v>
      </c>
      <c r="Y974" s="27" t="n">
        <f aca="false">IF(AND(E974&gt;0,B974=10),1,0)</f>
        <v>0</v>
      </c>
      <c r="Z974" s="0" t="str">
        <f aca="false">IF(AND(C973=C974,W973=W974-1),X973,"")</f>
        <v/>
      </c>
      <c r="AA974" s="0" t="str">
        <f aca="false">IF(AND(C973=C974,W973=W974-1),Y973,"")</f>
        <v/>
      </c>
      <c r="AB974" s="0" t="str">
        <f aca="false">IF(W974=1,"",IF(AND(X974=1,Z974&lt;&gt;1),1,0))</f>
        <v/>
      </c>
      <c r="AC974" s="0" t="str">
        <f aca="false">IF(W974=1,"",IF(AND(Y974=1,AA974&lt;&gt;1),1,0))</f>
        <v/>
      </c>
      <c r="AD974" s="33" t="str">
        <f aca="false">IF(AND(E974&gt;0,W974&lt;1,NOT(AND(C975=C974,W975=W974+1))),INDEX(DATAS,W974+1),"")</f>
        <v/>
      </c>
      <c r="AE974" s="33" t="str">
        <f aca="false">IF(AND(Y974=1,W974&lt;1),IF(AND(C975=C974,W975=W974+1),IF(Y975=1,"",INDEX(DATAS,W974+1)),INDEX(DATAS,W974+1)),"")</f>
        <v/>
      </c>
    </row>
    <row r="975" customFormat="false" ht="15" hidden="false" customHeight="false" outlineLevel="0" collapsed="false">
      <c r="A975" s="33" t="n">
        <v>46309</v>
      </c>
      <c r="B975" s="0" t="n">
        <v>3</v>
      </c>
      <c r="C975" s="0" t="n">
        <v>4960</v>
      </c>
      <c r="D975" s="0" t="n">
        <v>118</v>
      </c>
      <c r="E975" s="0" t="n">
        <v>2</v>
      </c>
      <c r="F975" s="27" t="s">
        <v>731</v>
      </c>
      <c r="G975" s="0" t="n">
        <v>65.2</v>
      </c>
      <c r="H975" s="0" t="n">
        <v>67</v>
      </c>
      <c r="I975" s="27" t="s">
        <v>168</v>
      </c>
      <c r="J975" s="0" t="n">
        <v>118</v>
      </c>
      <c r="K975" s="0" t="n">
        <v>63</v>
      </c>
      <c r="M975" s="0" t="n">
        <v>918.83</v>
      </c>
      <c r="N975" s="0" t="n">
        <v>74.84</v>
      </c>
      <c r="O975" s="0" t="n">
        <v>32.3</v>
      </c>
      <c r="P975" s="0" t="n">
        <v>3.88</v>
      </c>
      <c r="Q975" s="0" t="n">
        <v>3.13</v>
      </c>
      <c r="R975" s="0" t="n">
        <v>6287</v>
      </c>
      <c r="S975" s="0" t="n">
        <v>12770</v>
      </c>
      <c r="T975" s="0" t="n">
        <v>66.05</v>
      </c>
      <c r="U975" s="0" t="n">
        <v>1142</v>
      </c>
      <c r="V975" s="0" t="n">
        <v>2</v>
      </c>
      <c r="W975" s="27" t="n">
        <f aca="false">MATCH(A975,DATAS,0)</f>
        <v>1</v>
      </c>
      <c r="X975" s="27" t="n">
        <f aca="false">IF(AND(E975&gt;0,OR(AND(B975&gt;=1,B975&lt;=6),B975=10)),1,0)</f>
        <v>1</v>
      </c>
      <c r="Y975" s="27" t="n">
        <f aca="false">IF(AND(E975&gt;0,B975=10),1,0)</f>
        <v>0</v>
      </c>
      <c r="Z975" s="0" t="str">
        <f aca="false">IF(AND(C974=C975,W974=W975-1),X974,"")</f>
        <v/>
      </c>
      <c r="AA975" s="0" t="str">
        <f aca="false">IF(AND(C974=C975,W974=W975-1),Y974,"")</f>
        <v/>
      </c>
      <c r="AB975" s="0" t="str">
        <f aca="false">IF(W975=1,"",IF(AND(X975=1,Z975&lt;&gt;1),1,0))</f>
        <v/>
      </c>
      <c r="AC975" s="0" t="str">
        <f aca="false">IF(W975=1,"",IF(AND(Y975=1,AA975&lt;&gt;1),1,0))</f>
        <v/>
      </c>
      <c r="AD975" s="33" t="str">
        <f aca="false">IF(AND(E975&gt;0,W975&lt;1,NOT(AND(C976=C975,W976=W975+1))),INDEX(DATAS,W975+1),"")</f>
        <v/>
      </c>
      <c r="AE975" s="33" t="str">
        <f aca="false">IF(AND(Y975=1,W975&lt;1),IF(AND(C976=C975,W976=W975+1),IF(Y976=1,"",INDEX(DATAS,W975+1)),INDEX(DATAS,W975+1)),"")</f>
        <v/>
      </c>
    </row>
    <row r="976" customFormat="false" ht="15" hidden="false" customHeight="false" outlineLevel="0" collapsed="false">
      <c r="A976" s="33" t="n">
        <v>46309</v>
      </c>
      <c r="B976" s="0" t="n">
        <v>4</v>
      </c>
      <c r="C976" s="0" t="n">
        <v>4961</v>
      </c>
      <c r="D976" s="0" t="n">
        <v>343</v>
      </c>
      <c r="E976" s="0" t="n">
        <v>1</v>
      </c>
      <c r="F976" s="27" t="s">
        <v>731</v>
      </c>
      <c r="G976" s="0" t="n">
        <v>39.8</v>
      </c>
      <c r="H976" s="0" t="n">
        <v>41</v>
      </c>
      <c r="I976" s="27" t="s">
        <v>151</v>
      </c>
      <c r="J976" s="0" t="n">
        <v>343</v>
      </c>
      <c r="K976" s="0" t="n">
        <v>64</v>
      </c>
      <c r="M976" s="0" t="n">
        <v>1267.45</v>
      </c>
      <c r="N976" s="0" t="n">
        <v>48.87</v>
      </c>
      <c r="O976" s="0" t="n">
        <v>38.3</v>
      </c>
      <c r="P976" s="0" t="n">
        <v>3.61</v>
      </c>
      <c r="Q976" s="0" t="n">
        <v>3.57</v>
      </c>
      <c r="R976" s="0" t="n">
        <v>4046</v>
      </c>
      <c r="S976" s="0" t="n">
        <v>8149</v>
      </c>
      <c r="T976" s="0" t="n">
        <v>47.9</v>
      </c>
      <c r="U976" s="0" t="n">
        <v>1142</v>
      </c>
      <c r="V976" s="0" t="n">
        <v>2</v>
      </c>
      <c r="W976" s="27" t="n">
        <f aca="false">MATCH(A976,DATAS,0)</f>
        <v>1</v>
      </c>
      <c r="X976" s="27" t="n">
        <f aca="false">IF(AND(E976&gt;0,OR(AND(B976&gt;=1,B976&lt;=6),B976=10)),1,0)</f>
        <v>1</v>
      </c>
      <c r="Y976" s="27" t="n">
        <f aca="false">IF(AND(E976&gt;0,B976=10),1,0)</f>
        <v>0</v>
      </c>
      <c r="Z976" s="0" t="str">
        <f aca="false">IF(AND(C975=C976,W975=W976-1),X975,"")</f>
        <v/>
      </c>
      <c r="AA976" s="0" t="str">
        <f aca="false">IF(AND(C975=C976,W975=W976-1),Y975,"")</f>
        <v/>
      </c>
      <c r="AB976" s="0" t="str">
        <f aca="false">IF(W976=1,"",IF(AND(X976=1,Z976&lt;&gt;1),1,0))</f>
        <v/>
      </c>
      <c r="AC976" s="0" t="str">
        <f aca="false">IF(W976=1,"",IF(AND(Y976=1,AA976&lt;&gt;1),1,0))</f>
        <v/>
      </c>
      <c r="AD976" s="33" t="str">
        <f aca="false">IF(AND(E976&gt;0,W976&lt;1,NOT(AND(C977=C976,W977=W976+1))),INDEX(DATAS,W976+1),"")</f>
        <v/>
      </c>
      <c r="AE976" s="33" t="str">
        <f aca="false">IF(AND(Y976=1,W976&lt;1),IF(AND(C977=C976,W977=W976+1),IF(Y977=1,"",INDEX(DATAS,W976+1)),INDEX(DATAS,W976+1)),"")</f>
        <v/>
      </c>
    </row>
    <row r="977" customFormat="false" ht="15" hidden="false" customHeight="false" outlineLevel="0" collapsed="false">
      <c r="A977" s="33" t="n">
        <v>46309</v>
      </c>
      <c r="B977" s="0" t="n">
        <v>3</v>
      </c>
      <c r="C977" s="0" t="n">
        <v>4962</v>
      </c>
      <c r="D977" s="0" t="n">
        <v>15</v>
      </c>
      <c r="E977" s="0" t="n">
        <v>2</v>
      </c>
      <c r="F977" s="27" t="s">
        <v>731</v>
      </c>
      <c r="G977" s="0" t="n">
        <v>43.3</v>
      </c>
      <c r="H977" s="0" t="n">
        <v>38</v>
      </c>
      <c r="I977" s="27" t="s">
        <v>147</v>
      </c>
      <c r="J977" s="0" t="n">
        <v>15</v>
      </c>
      <c r="M977" s="0" t="n">
        <v>742.92</v>
      </c>
      <c r="N977" s="0" t="n">
        <v>27.12</v>
      </c>
      <c r="O977" s="0" t="n">
        <v>35.43</v>
      </c>
      <c r="R977" s="0" t="n">
        <v>2756</v>
      </c>
      <c r="S977" s="0" t="n">
        <v>5540</v>
      </c>
      <c r="U977" s="0" t="n">
        <v>1142</v>
      </c>
      <c r="V977" s="0" t="n">
        <v>0</v>
      </c>
      <c r="W977" s="27" t="n">
        <f aca="false">MATCH(A977,DATAS,0)</f>
        <v>1</v>
      </c>
      <c r="X977" s="27" t="n">
        <f aca="false">IF(AND(E977&gt;0,OR(AND(B977&gt;=1,B977&lt;=6),B977=10)),1,0)</f>
        <v>1</v>
      </c>
      <c r="Y977" s="27" t="n">
        <f aca="false">IF(AND(E977&gt;0,B977=10),1,0)</f>
        <v>0</v>
      </c>
      <c r="Z977" s="0" t="str">
        <f aca="false">IF(AND(C976=C977,W976=W977-1),X976,"")</f>
        <v/>
      </c>
      <c r="AA977" s="0" t="str">
        <f aca="false">IF(AND(C976=C977,W976=W977-1),Y976,"")</f>
        <v/>
      </c>
      <c r="AB977" s="0" t="str">
        <f aca="false">IF(W977=1,"",IF(AND(X977=1,Z977&lt;&gt;1),1,0))</f>
        <v/>
      </c>
      <c r="AC977" s="0" t="str">
        <f aca="false">IF(W977=1,"",IF(AND(Y977=1,AA977&lt;&gt;1),1,0))</f>
        <v/>
      </c>
      <c r="AD977" s="33" t="str">
        <f aca="false">IF(AND(E977&gt;0,W977&lt;1,NOT(AND(C978=C977,W978=W977+1))),INDEX(DATAS,W977+1),"")</f>
        <v/>
      </c>
      <c r="AE977" s="33" t="str">
        <f aca="false">IF(AND(Y977=1,W977&lt;1),IF(AND(C978=C977,W978=W977+1),IF(Y978=1,"",INDEX(DATAS,W977+1)),INDEX(DATAS,W977+1)),"")</f>
        <v/>
      </c>
    </row>
    <row r="978" customFormat="false" ht="15" hidden="false" customHeight="false" outlineLevel="0" collapsed="false">
      <c r="A978" s="33" t="n">
        <v>46309</v>
      </c>
      <c r="B978" s="0" t="n">
        <v>5</v>
      </c>
      <c r="C978" s="0" t="n">
        <v>4965</v>
      </c>
      <c r="D978" s="0" t="n">
        <v>97</v>
      </c>
      <c r="E978" s="0" t="n">
        <v>2</v>
      </c>
      <c r="F978" s="27" t="s">
        <v>732</v>
      </c>
      <c r="G978" s="0" t="n">
        <v>44.4</v>
      </c>
      <c r="H978" s="0" t="n">
        <v>40</v>
      </c>
      <c r="I978" s="27" t="s">
        <v>168</v>
      </c>
      <c r="J978" s="0" t="n">
        <v>97</v>
      </c>
      <c r="K978" s="0" t="n">
        <v>69</v>
      </c>
      <c r="M978" s="0" t="n">
        <v>728.87</v>
      </c>
      <c r="N978" s="0" t="n">
        <v>50.8</v>
      </c>
      <c r="O978" s="0" t="n">
        <v>34.98</v>
      </c>
      <c r="P978" s="0" t="n">
        <v>3.97</v>
      </c>
      <c r="Q978" s="0" t="n">
        <v>3.44</v>
      </c>
      <c r="R978" s="0" t="n">
        <v>3278</v>
      </c>
      <c r="S978" s="0" t="n">
        <v>6589</v>
      </c>
      <c r="T978" s="0" t="n">
        <v>33.55</v>
      </c>
      <c r="U978" s="0" t="n">
        <v>1140</v>
      </c>
      <c r="V978" s="0" t="n">
        <v>1</v>
      </c>
      <c r="W978" s="27" t="n">
        <f aca="false">MATCH(A978,DATAS,0)</f>
        <v>1</v>
      </c>
      <c r="X978" s="27" t="n">
        <f aca="false">IF(AND(E978&gt;0,OR(AND(B978&gt;=1,B978&lt;=6),B978=10)),1,0)</f>
        <v>1</v>
      </c>
      <c r="Y978" s="27" t="n">
        <f aca="false">IF(AND(E978&gt;0,B978=10),1,0)</f>
        <v>0</v>
      </c>
      <c r="Z978" s="0" t="str">
        <f aca="false">IF(AND(C977=C978,W977=W978-1),X977,"")</f>
        <v/>
      </c>
      <c r="AA978" s="0" t="str">
        <f aca="false">IF(AND(C977=C978,W977=W978-1),Y977,"")</f>
        <v/>
      </c>
      <c r="AB978" s="0" t="str">
        <f aca="false">IF(W978=1,"",IF(AND(X978=1,Z978&lt;&gt;1),1,0))</f>
        <v/>
      </c>
      <c r="AC978" s="0" t="str">
        <f aca="false">IF(W978=1,"",IF(AND(Y978=1,AA978&lt;&gt;1),1,0))</f>
        <v/>
      </c>
      <c r="AD978" s="33" t="str">
        <f aca="false">IF(AND(E978&gt;0,W978&lt;1,NOT(AND(C979=C978,W979=W978+1))),INDEX(DATAS,W978+1),"")</f>
        <v/>
      </c>
      <c r="AE978" s="33" t="str">
        <f aca="false">IF(AND(Y978=1,W978&lt;1),IF(AND(C979=C978,W979=W978+1),IF(Y979=1,"",INDEX(DATAS,W978+1)),INDEX(DATAS,W978+1)),"")</f>
        <v/>
      </c>
    </row>
    <row r="979" customFormat="false" ht="15" hidden="false" customHeight="false" outlineLevel="0" collapsed="false">
      <c r="A979" s="33" t="n">
        <v>46309</v>
      </c>
      <c r="B979" s="0" t="n">
        <v>2</v>
      </c>
      <c r="C979" s="0" t="n">
        <v>4967</v>
      </c>
      <c r="D979" s="0" t="n">
        <v>64</v>
      </c>
      <c r="E979" s="0" t="n">
        <v>2</v>
      </c>
      <c r="F979" s="27" t="s">
        <v>733</v>
      </c>
      <c r="G979" s="0" t="n">
        <v>28.6</v>
      </c>
      <c r="H979" s="0" t="n">
        <v>49</v>
      </c>
      <c r="I979" s="27" t="s">
        <v>168</v>
      </c>
      <c r="J979" s="0" t="n">
        <v>64</v>
      </c>
      <c r="K979" s="0" t="n">
        <v>64</v>
      </c>
      <c r="M979" s="0" t="n">
        <v>808.53</v>
      </c>
      <c r="N979" s="0" t="n">
        <v>51.19</v>
      </c>
      <c r="O979" s="0" t="n">
        <v>34.44</v>
      </c>
      <c r="P979" s="0" t="n">
        <v>3.62</v>
      </c>
      <c r="Q979" s="0" t="n">
        <v>2.96</v>
      </c>
      <c r="R979" s="0" t="n">
        <v>5126</v>
      </c>
      <c r="S979" s="0" t="n">
        <v>10303</v>
      </c>
      <c r="U979" s="0" t="n">
        <v>1139</v>
      </c>
      <c r="V979" s="0" t="n">
        <v>1</v>
      </c>
      <c r="W979" s="27" t="n">
        <f aca="false">MATCH(A979,DATAS,0)</f>
        <v>1</v>
      </c>
      <c r="X979" s="27" t="n">
        <f aca="false">IF(AND(E979&gt;0,OR(AND(B979&gt;=1,B979&lt;=6),B979=10)),1,0)</f>
        <v>1</v>
      </c>
      <c r="Y979" s="27" t="n">
        <f aca="false">IF(AND(E979&gt;0,B979=10),1,0)</f>
        <v>0</v>
      </c>
      <c r="Z979" s="0" t="str">
        <f aca="false">IF(AND(C978=C979,W978=W979-1),X978,"")</f>
        <v/>
      </c>
      <c r="AA979" s="0" t="str">
        <f aca="false">IF(AND(C978=C979,W978=W979-1),Y978,"")</f>
        <v/>
      </c>
      <c r="AB979" s="0" t="str">
        <f aca="false">IF(W979=1,"",IF(AND(X979=1,Z979&lt;&gt;1),1,0))</f>
        <v/>
      </c>
      <c r="AC979" s="0" t="str">
        <f aca="false">IF(W979=1,"",IF(AND(Y979=1,AA979&lt;&gt;1),1,0))</f>
        <v/>
      </c>
      <c r="AD979" s="33" t="str">
        <f aca="false">IF(AND(E979&gt;0,W979&lt;1,NOT(AND(C980=C979,W980=W979+1))),INDEX(DATAS,W979+1),"")</f>
        <v/>
      </c>
      <c r="AE979" s="33" t="str">
        <f aca="false">IF(AND(Y979=1,W979&lt;1),IF(AND(C980=C979,W980=W979+1),IF(Y980=1,"",INDEX(DATAS,W979+1)),INDEX(DATAS,W979+1)),"")</f>
        <v/>
      </c>
    </row>
    <row r="980" customFormat="false" ht="15" hidden="false" customHeight="false" outlineLevel="0" collapsed="false">
      <c r="A980" s="33" t="n">
        <v>46309</v>
      </c>
      <c r="B980" s="0" t="n">
        <v>5</v>
      </c>
      <c r="C980" s="0" t="n">
        <v>4968</v>
      </c>
      <c r="D980" s="0" t="n">
        <v>172</v>
      </c>
      <c r="E980" s="0" t="n">
        <v>2</v>
      </c>
      <c r="F980" s="27" t="s">
        <v>734</v>
      </c>
      <c r="G980" s="0" t="n">
        <v>23.5</v>
      </c>
      <c r="H980" s="0" t="n">
        <v>25</v>
      </c>
      <c r="I980" s="27" t="s">
        <v>138</v>
      </c>
      <c r="J980" s="0" t="n">
        <v>109</v>
      </c>
      <c r="K980" s="0" t="n">
        <v>67</v>
      </c>
      <c r="L980" s="0" t="n">
        <v>63</v>
      </c>
      <c r="M980" s="0" t="n">
        <v>890.36</v>
      </c>
      <c r="N980" s="0" t="n">
        <v>67.39</v>
      </c>
      <c r="O980" s="0" t="n">
        <v>38.16</v>
      </c>
      <c r="P980" s="0" t="n">
        <v>4.93</v>
      </c>
      <c r="Q980" s="0" t="n">
        <v>4.07</v>
      </c>
      <c r="R980" s="0" t="n">
        <v>2487</v>
      </c>
      <c r="S980" s="0" t="n">
        <v>5292</v>
      </c>
      <c r="T980" s="0" t="n">
        <v>27.9</v>
      </c>
      <c r="U980" s="0" t="n">
        <v>1138</v>
      </c>
      <c r="V980" s="0" t="n">
        <v>2</v>
      </c>
      <c r="W980" s="27" t="n">
        <f aca="false">MATCH(A980,DATAS,0)</f>
        <v>1</v>
      </c>
      <c r="X980" s="27" t="n">
        <f aca="false">IF(AND(E980&gt;0,OR(AND(B980&gt;=1,B980&lt;=6),B980=10)),1,0)</f>
        <v>1</v>
      </c>
      <c r="Y980" s="27" t="n">
        <f aca="false">IF(AND(E980&gt;0,B980=10),1,0)</f>
        <v>0</v>
      </c>
      <c r="Z980" s="0" t="str">
        <f aca="false">IF(AND(C979=C980,W979=W980-1),X979,"")</f>
        <v/>
      </c>
      <c r="AA980" s="0" t="str">
        <f aca="false">IF(AND(C979=C980,W979=W980-1),Y979,"")</f>
        <v/>
      </c>
      <c r="AB980" s="0" t="str">
        <f aca="false">IF(W980=1,"",IF(AND(X980=1,Z980&lt;&gt;1),1,0))</f>
        <v/>
      </c>
      <c r="AC980" s="0" t="str">
        <f aca="false">IF(W980=1,"",IF(AND(Y980=1,AA980&lt;&gt;1),1,0))</f>
        <v/>
      </c>
      <c r="AD980" s="33" t="str">
        <f aca="false">IF(AND(E980&gt;0,W980&lt;1,NOT(AND(C981=C980,W981=W980+1))),INDEX(DATAS,W980+1),"")</f>
        <v/>
      </c>
      <c r="AE980" s="33" t="str">
        <f aca="false">IF(AND(Y980=1,W980&lt;1),IF(AND(C981=C980,W981=W980+1),IF(Y981=1,"",INDEX(DATAS,W980+1)),INDEX(DATAS,W980+1)),"")</f>
        <v/>
      </c>
    </row>
    <row r="981" customFormat="false" ht="15" hidden="false" customHeight="false" outlineLevel="0" collapsed="false">
      <c r="A981" s="33" t="n">
        <v>46309</v>
      </c>
      <c r="B981" s="0" t="n">
        <v>6</v>
      </c>
      <c r="C981" s="0" t="n">
        <v>4969</v>
      </c>
      <c r="D981" s="0" t="n">
        <v>31</v>
      </c>
      <c r="E981" s="0" t="n">
        <v>2</v>
      </c>
      <c r="F981" s="27" t="s">
        <v>735</v>
      </c>
      <c r="H981" s="0" t="n">
        <v>19</v>
      </c>
      <c r="I981" s="27" t="s">
        <v>147</v>
      </c>
      <c r="J981" s="0" t="n">
        <v>31</v>
      </c>
      <c r="M981" s="0" t="n">
        <v>1192.64</v>
      </c>
      <c r="N981" s="0" t="n">
        <v>38.56</v>
      </c>
      <c r="O981" s="0" t="n">
        <v>27.78</v>
      </c>
      <c r="P981" s="0" t="n">
        <v>0</v>
      </c>
      <c r="Q981" s="0" t="n">
        <v>0</v>
      </c>
      <c r="R981" s="0" t="n">
        <v>2403</v>
      </c>
      <c r="S981" s="0" t="n">
        <v>4831</v>
      </c>
      <c r="U981" s="0" t="n">
        <v>1137</v>
      </c>
      <c r="V981" s="0" t="n">
        <v>0</v>
      </c>
      <c r="W981" s="27" t="n">
        <f aca="false">MATCH(A981,DATAS,0)</f>
        <v>1</v>
      </c>
      <c r="X981" s="27" t="n">
        <f aca="false">IF(AND(E981&gt;0,OR(AND(B981&gt;=1,B981&lt;=6),B981=10)),1,0)</f>
        <v>1</v>
      </c>
      <c r="Y981" s="27" t="n">
        <f aca="false">IF(AND(E981&gt;0,B981=10),1,0)</f>
        <v>0</v>
      </c>
      <c r="Z981" s="0" t="str">
        <f aca="false">IF(AND(C980=C981,W980=W981-1),X980,"")</f>
        <v/>
      </c>
      <c r="AA981" s="0" t="str">
        <f aca="false">IF(AND(C980=C981,W980=W981-1),Y980,"")</f>
        <v/>
      </c>
      <c r="AB981" s="0" t="str">
        <f aca="false">IF(W981=1,"",IF(AND(X981=1,Z981&lt;&gt;1),1,0))</f>
        <v/>
      </c>
      <c r="AC981" s="0" t="str">
        <f aca="false">IF(W981=1,"",IF(AND(Y981=1,AA981&lt;&gt;1),1,0))</f>
        <v/>
      </c>
      <c r="AD981" s="33" t="str">
        <f aca="false">IF(AND(E981&gt;0,W981&lt;1,NOT(AND(C982=C981,W982=W981+1))),INDEX(DATAS,W981+1),"")</f>
        <v/>
      </c>
      <c r="AE981" s="33" t="str">
        <f aca="false">IF(AND(Y981=1,W981&lt;1),IF(AND(C982=C981,W982=W981+1),IF(Y982=1,"",INDEX(DATAS,W981+1)),INDEX(DATAS,W981+1)),"")</f>
        <v/>
      </c>
    </row>
    <row r="982" customFormat="false" ht="15" hidden="false" customHeight="false" outlineLevel="0" collapsed="false">
      <c r="A982" s="33" t="n">
        <v>46309</v>
      </c>
      <c r="B982" s="0" t="n">
        <v>3</v>
      </c>
      <c r="C982" s="0" t="n">
        <v>4970</v>
      </c>
      <c r="D982" s="0" t="n">
        <v>90</v>
      </c>
      <c r="E982" s="0" t="n">
        <v>2</v>
      </c>
      <c r="F982" s="27" t="s">
        <v>735</v>
      </c>
      <c r="G982" s="0" t="n">
        <v>54.1</v>
      </c>
      <c r="H982" s="0" t="n">
        <v>54</v>
      </c>
      <c r="I982" s="27" t="s">
        <v>168</v>
      </c>
      <c r="J982" s="0" t="n">
        <v>90</v>
      </c>
      <c r="K982" s="0" t="n">
        <v>62</v>
      </c>
      <c r="M982" s="0" t="n">
        <v>982.38</v>
      </c>
      <c r="N982" s="0" t="n">
        <v>42.16</v>
      </c>
      <c r="O982" s="0" t="n">
        <v>37.38</v>
      </c>
      <c r="P982" s="0" t="n">
        <v>4.11</v>
      </c>
      <c r="Q982" s="0" t="n">
        <v>3.8</v>
      </c>
      <c r="R982" s="0" t="n">
        <v>4491</v>
      </c>
      <c r="S982" s="0" t="n">
        <v>9028</v>
      </c>
      <c r="U982" s="0" t="n">
        <v>1137</v>
      </c>
      <c r="V982" s="0" t="n">
        <v>1</v>
      </c>
      <c r="W982" s="27" t="n">
        <f aca="false">MATCH(A982,DATAS,0)</f>
        <v>1</v>
      </c>
      <c r="X982" s="27" t="n">
        <f aca="false">IF(AND(E982&gt;0,OR(AND(B982&gt;=1,B982&lt;=6),B982=10)),1,0)</f>
        <v>1</v>
      </c>
      <c r="Y982" s="27" t="n">
        <f aca="false">IF(AND(E982&gt;0,B982=10),1,0)</f>
        <v>0</v>
      </c>
      <c r="Z982" s="0" t="str">
        <f aca="false">IF(AND(C981=C982,W981=W982-1),X981,"")</f>
        <v/>
      </c>
      <c r="AA982" s="0" t="str">
        <f aca="false">IF(AND(C981=C982,W981=W982-1),Y981,"")</f>
        <v/>
      </c>
      <c r="AB982" s="0" t="str">
        <f aca="false">IF(W982=1,"",IF(AND(X982=1,Z982&lt;&gt;1),1,0))</f>
        <v/>
      </c>
      <c r="AC982" s="0" t="str">
        <f aca="false">IF(W982=1,"",IF(AND(Y982=1,AA982&lt;&gt;1),1,0))</f>
        <v/>
      </c>
      <c r="AD982" s="33" t="str">
        <f aca="false">IF(AND(E982&gt;0,W982&lt;1,NOT(AND(C983=C982,W983=W982+1))),INDEX(DATAS,W982+1),"")</f>
        <v/>
      </c>
      <c r="AE982" s="33" t="str">
        <f aca="false">IF(AND(Y982=1,W982&lt;1),IF(AND(C983=C982,W983=W982+1),IF(Y983=1,"",INDEX(DATAS,W982+1)),INDEX(DATAS,W982+1)),"")</f>
        <v/>
      </c>
    </row>
    <row r="983" customFormat="false" ht="15" hidden="false" customHeight="false" outlineLevel="0" collapsed="false">
      <c r="A983" s="33" t="n">
        <v>46309</v>
      </c>
      <c r="B983" s="0" t="n">
        <v>3</v>
      </c>
      <c r="C983" s="0" t="n">
        <v>4971</v>
      </c>
      <c r="D983" s="0" t="n">
        <v>104</v>
      </c>
      <c r="E983" s="0" t="n">
        <v>2</v>
      </c>
      <c r="F983" s="27" t="s">
        <v>735</v>
      </c>
      <c r="G983" s="0" t="n">
        <v>51.2</v>
      </c>
      <c r="H983" s="0" t="n">
        <v>50</v>
      </c>
      <c r="I983" s="27" t="s">
        <v>138</v>
      </c>
      <c r="J983" s="0" t="n">
        <v>69</v>
      </c>
      <c r="K983" s="0" t="n">
        <v>69</v>
      </c>
      <c r="L983" s="0" t="n">
        <v>35</v>
      </c>
      <c r="M983" s="0" t="n">
        <v>1169.18</v>
      </c>
      <c r="N983" s="0" t="n">
        <v>54.66</v>
      </c>
      <c r="O983" s="0" t="n">
        <v>34.8</v>
      </c>
      <c r="P983" s="0" t="n">
        <v>4.27</v>
      </c>
      <c r="Q983" s="0" t="n">
        <v>3.26</v>
      </c>
      <c r="R983" s="0" t="n">
        <v>4359</v>
      </c>
      <c r="S983" s="0" t="n">
        <v>8819</v>
      </c>
      <c r="T983" s="0" t="n">
        <v>50.55</v>
      </c>
      <c r="U983" s="0" t="n">
        <v>1137</v>
      </c>
      <c r="V983" s="0" t="n">
        <v>1</v>
      </c>
      <c r="W983" s="27" t="n">
        <f aca="false">MATCH(A983,DATAS,0)</f>
        <v>1</v>
      </c>
      <c r="X983" s="27" t="n">
        <f aca="false">IF(AND(E983&gt;0,OR(AND(B983&gt;=1,B983&lt;=6),B983=10)),1,0)</f>
        <v>1</v>
      </c>
      <c r="Y983" s="27" t="n">
        <f aca="false">IF(AND(E983&gt;0,B983=10),1,0)</f>
        <v>0</v>
      </c>
      <c r="Z983" s="0" t="str">
        <f aca="false">IF(AND(C982=C983,W982=W983-1),X982,"")</f>
        <v/>
      </c>
      <c r="AA983" s="0" t="str">
        <f aca="false">IF(AND(C982=C983,W982=W983-1),Y982,"")</f>
        <v/>
      </c>
      <c r="AB983" s="0" t="str">
        <f aca="false">IF(W983=1,"",IF(AND(X983=1,Z983&lt;&gt;1),1,0))</f>
        <v/>
      </c>
      <c r="AC983" s="0" t="str">
        <f aca="false">IF(W983=1,"",IF(AND(Y983=1,AA983&lt;&gt;1),1,0))</f>
        <v/>
      </c>
      <c r="AD983" s="33" t="str">
        <f aca="false">IF(AND(E983&gt;0,W983&lt;1,NOT(AND(C984=C983,W984=W983+1))),INDEX(DATAS,W983+1),"")</f>
        <v/>
      </c>
      <c r="AE983" s="33" t="str">
        <f aca="false">IF(AND(Y983=1,W983&lt;1),IF(AND(C984=C983,W984=W983+1),IF(Y984=1,"",INDEX(DATAS,W983+1)),INDEX(DATAS,W983+1)),"")</f>
        <v/>
      </c>
    </row>
    <row r="984" customFormat="false" ht="15" hidden="false" customHeight="false" outlineLevel="0" collapsed="false">
      <c r="A984" s="33" t="n">
        <v>46309</v>
      </c>
      <c r="B984" s="0" t="n">
        <v>3</v>
      </c>
      <c r="C984" s="0" t="n">
        <v>4972</v>
      </c>
      <c r="D984" s="0" t="n">
        <v>110</v>
      </c>
      <c r="E984" s="0" t="n">
        <v>2</v>
      </c>
      <c r="F984" s="27" t="s">
        <v>736</v>
      </c>
      <c r="G984" s="0" t="n">
        <v>65.3</v>
      </c>
      <c r="H984" s="0" t="n">
        <v>63</v>
      </c>
      <c r="I984" s="27" t="s">
        <v>138</v>
      </c>
      <c r="J984" s="0" t="n">
        <v>68</v>
      </c>
      <c r="K984" s="0" t="n">
        <v>68</v>
      </c>
      <c r="L984" s="0" t="n">
        <v>42</v>
      </c>
      <c r="M984" s="0" t="n">
        <v>1266</v>
      </c>
      <c r="N984" s="0" t="n">
        <v>49.42</v>
      </c>
      <c r="O984" s="0" t="n">
        <v>40.87</v>
      </c>
      <c r="P984" s="0" t="n">
        <v>2.55</v>
      </c>
      <c r="Q984" s="0" t="n">
        <v>3.25</v>
      </c>
      <c r="R984" s="0" t="n">
        <v>5626</v>
      </c>
      <c r="S984" s="0" t="n">
        <v>11418</v>
      </c>
      <c r="T984" s="0" t="n">
        <v>59.55</v>
      </c>
      <c r="U984" s="0" t="n">
        <v>1136</v>
      </c>
      <c r="V984" s="0" t="n">
        <v>1</v>
      </c>
      <c r="W984" s="27" t="n">
        <f aca="false">MATCH(A984,DATAS,0)</f>
        <v>1</v>
      </c>
      <c r="X984" s="27" t="n">
        <f aca="false">IF(AND(E984&gt;0,OR(AND(B984&gt;=1,B984&lt;=6),B984=10)),1,0)</f>
        <v>1</v>
      </c>
      <c r="Y984" s="27" t="n">
        <f aca="false">IF(AND(E984&gt;0,B984=10),1,0)</f>
        <v>0</v>
      </c>
      <c r="Z984" s="0" t="str">
        <f aca="false">IF(AND(C983=C984,W983=W984-1),X983,"")</f>
        <v/>
      </c>
      <c r="AA984" s="0" t="str">
        <f aca="false">IF(AND(C983=C984,W983=W984-1),Y983,"")</f>
        <v/>
      </c>
      <c r="AB984" s="0" t="str">
        <f aca="false">IF(W984=1,"",IF(AND(X984=1,Z984&lt;&gt;1),1,0))</f>
        <v/>
      </c>
      <c r="AC984" s="0" t="str">
        <f aca="false">IF(W984=1,"",IF(AND(Y984=1,AA984&lt;&gt;1),1,0))</f>
        <v/>
      </c>
      <c r="AD984" s="33" t="str">
        <f aca="false">IF(AND(E984&gt;0,W984&lt;1,NOT(AND(C985=C984,W985=W984+1))),INDEX(DATAS,W984+1),"")</f>
        <v/>
      </c>
      <c r="AE984" s="33" t="str">
        <f aca="false">IF(AND(Y984=1,W984&lt;1),IF(AND(C985=C984,W985=W984+1),IF(Y985=1,"",INDEX(DATAS,W984+1)),INDEX(DATAS,W984+1)),"")</f>
        <v/>
      </c>
    </row>
    <row r="985" customFormat="false" ht="15" hidden="false" customHeight="false" outlineLevel="0" collapsed="false">
      <c r="A985" s="33" t="n">
        <v>46309</v>
      </c>
      <c r="B985" s="0" t="n">
        <v>3</v>
      </c>
      <c r="C985" s="0" t="n">
        <v>4973</v>
      </c>
      <c r="D985" s="0" t="n">
        <v>78</v>
      </c>
      <c r="E985" s="0" t="n">
        <v>2</v>
      </c>
      <c r="F985" s="27" t="s">
        <v>736</v>
      </c>
      <c r="G985" s="0" t="n">
        <v>53.6</v>
      </c>
      <c r="H985" s="0" t="n">
        <v>51</v>
      </c>
      <c r="I985" s="27" t="s">
        <v>168</v>
      </c>
      <c r="J985" s="0" t="n">
        <v>78</v>
      </c>
      <c r="K985" s="0" t="n">
        <v>64</v>
      </c>
      <c r="M985" s="0" t="n">
        <v>801.76</v>
      </c>
      <c r="N985" s="0" t="n">
        <v>54.32</v>
      </c>
      <c r="O985" s="0" t="n">
        <v>26.96</v>
      </c>
      <c r="P985" s="0" t="n">
        <v>3.47</v>
      </c>
      <c r="Q985" s="0" t="n">
        <v>3.3</v>
      </c>
      <c r="R985" s="0" t="n">
        <v>4184</v>
      </c>
      <c r="S985" s="0" t="n">
        <v>8411</v>
      </c>
      <c r="U985" s="0" t="n">
        <v>1136</v>
      </c>
      <c r="V985" s="0" t="n">
        <v>1</v>
      </c>
      <c r="W985" s="27" t="n">
        <f aca="false">MATCH(A985,DATAS,0)</f>
        <v>1</v>
      </c>
      <c r="X985" s="27" t="n">
        <f aca="false">IF(AND(E985&gt;0,OR(AND(B985&gt;=1,B985&lt;=6),B985=10)),1,0)</f>
        <v>1</v>
      </c>
      <c r="Y985" s="27" t="n">
        <f aca="false">IF(AND(E985&gt;0,B985=10),1,0)</f>
        <v>0</v>
      </c>
      <c r="Z985" s="0" t="str">
        <f aca="false">IF(AND(C984=C985,W984=W985-1),X984,"")</f>
        <v/>
      </c>
      <c r="AA985" s="0" t="str">
        <f aca="false">IF(AND(C984=C985,W984=W985-1),Y984,"")</f>
        <v/>
      </c>
      <c r="AB985" s="0" t="str">
        <f aca="false">IF(W985=1,"",IF(AND(X985=1,Z985&lt;&gt;1),1,0))</f>
        <v/>
      </c>
      <c r="AC985" s="0" t="str">
        <f aca="false">IF(W985=1,"",IF(AND(Y985=1,AA985&lt;&gt;1),1,0))</f>
        <v/>
      </c>
      <c r="AD985" s="33" t="str">
        <f aca="false">IF(AND(E985&gt;0,W985&lt;1,NOT(AND(C986=C985,W986=W985+1))),INDEX(DATAS,W985+1),"")</f>
        <v/>
      </c>
      <c r="AE985" s="33" t="str">
        <f aca="false">IF(AND(Y985=1,W985&lt;1),IF(AND(C986=C985,W986=W985+1),IF(Y986=1,"",INDEX(DATAS,W985+1)),INDEX(DATAS,W985+1)),"")</f>
        <v/>
      </c>
    </row>
    <row r="986" customFormat="false" ht="15" hidden="false" customHeight="false" outlineLevel="0" collapsed="false">
      <c r="A986" s="33" t="n">
        <v>46309</v>
      </c>
      <c r="B986" s="0" t="n">
        <v>3</v>
      </c>
      <c r="C986" s="0" t="n">
        <v>4975</v>
      </c>
      <c r="D986" s="0" t="n">
        <v>113</v>
      </c>
      <c r="E986" s="0" t="n">
        <v>2</v>
      </c>
      <c r="F986" s="27" t="s">
        <v>737</v>
      </c>
      <c r="G986" s="0" t="n">
        <v>53.9</v>
      </c>
      <c r="H986" s="0" t="n">
        <v>53</v>
      </c>
      <c r="I986" s="27" t="s">
        <v>138</v>
      </c>
      <c r="J986" s="0" t="n">
        <v>64</v>
      </c>
      <c r="K986" s="0" t="n">
        <v>71</v>
      </c>
      <c r="L986" s="0" t="n">
        <v>49</v>
      </c>
      <c r="M986" s="0" t="n">
        <v>862.1</v>
      </c>
      <c r="N986" s="0" t="n">
        <v>15.91</v>
      </c>
      <c r="O986" s="0" t="n">
        <v>27.38</v>
      </c>
      <c r="P986" s="0" t="n">
        <v>3.58</v>
      </c>
      <c r="Q986" s="0" t="n">
        <v>3.57</v>
      </c>
      <c r="R986" s="0" t="n">
        <v>5786</v>
      </c>
      <c r="S986" s="0" t="n">
        <v>11609</v>
      </c>
      <c r="T986" s="0" t="n">
        <v>64.25</v>
      </c>
      <c r="U986" s="0" t="n">
        <v>1132</v>
      </c>
      <c r="V986" s="0" t="n">
        <v>1</v>
      </c>
      <c r="W986" s="27" t="n">
        <f aca="false">MATCH(A986,DATAS,0)</f>
        <v>1</v>
      </c>
      <c r="X986" s="27" t="n">
        <f aca="false">IF(AND(E986&gt;0,OR(AND(B986&gt;=1,B986&lt;=6),B986=10)),1,0)</f>
        <v>1</v>
      </c>
      <c r="Y986" s="27" t="n">
        <f aca="false">IF(AND(E986&gt;0,B986=10),1,0)</f>
        <v>0</v>
      </c>
      <c r="Z986" s="0" t="str">
        <f aca="false">IF(AND(C985=C986,W985=W986-1),X985,"")</f>
        <v/>
      </c>
      <c r="AA986" s="0" t="str">
        <f aca="false">IF(AND(C985=C986,W985=W986-1),Y985,"")</f>
        <v/>
      </c>
      <c r="AB986" s="0" t="str">
        <f aca="false">IF(W986=1,"",IF(AND(X986=1,Z986&lt;&gt;1),1,0))</f>
        <v/>
      </c>
      <c r="AC986" s="0" t="str">
        <f aca="false">IF(W986=1,"",IF(AND(Y986=1,AA986&lt;&gt;1),1,0))</f>
        <v/>
      </c>
      <c r="AD986" s="33" t="str">
        <f aca="false">IF(AND(E986&gt;0,W986&lt;1,NOT(AND(C987=C986,W987=W986+1))),INDEX(DATAS,W986+1),"")</f>
        <v/>
      </c>
      <c r="AE986" s="33" t="str">
        <f aca="false">IF(AND(Y986=1,W986&lt;1),IF(AND(C987=C986,W987=W986+1),IF(Y987=1,"",INDEX(DATAS,W986+1)),INDEX(DATAS,W986+1)),"")</f>
        <v/>
      </c>
    </row>
    <row r="987" customFormat="false" ht="15" hidden="false" customHeight="false" outlineLevel="0" collapsed="false">
      <c r="A987" s="33" t="n">
        <v>46309</v>
      </c>
      <c r="B987" s="0" t="n">
        <v>5</v>
      </c>
      <c r="C987" s="0" t="n">
        <v>4976</v>
      </c>
      <c r="D987" s="0" t="n">
        <v>33</v>
      </c>
      <c r="E987" s="0" t="n">
        <v>2</v>
      </c>
      <c r="F987" s="27" t="s">
        <v>737</v>
      </c>
      <c r="H987" s="0" t="n">
        <v>22</v>
      </c>
      <c r="I987" s="27" t="s">
        <v>147</v>
      </c>
      <c r="J987" s="0" t="n">
        <v>33</v>
      </c>
      <c r="M987" s="0" t="n">
        <v>925.96</v>
      </c>
      <c r="N987" s="0" t="n">
        <v>28.96</v>
      </c>
      <c r="O987" s="0" t="n">
        <v>25.34</v>
      </c>
      <c r="P987" s="0" t="n">
        <v>4.71</v>
      </c>
      <c r="Q987" s="0" t="n">
        <v>4.06</v>
      </c>
      <c r="R987" s="0" t="n">
        <v>2124</v>
      </c>
      <c r="S987" s="0" t="n">
        <v>4270</v>
      </c>
      <c r="U987" s="0" t="n">
        <v>1132</v>
      </c>
      <c r="V987" s="0" t="n">
        <v>0</v>
      </c>
      <c r="W987" s="27" t="n">
        <f aca="false">MATCH(A987,DATAS,0)</f>
        <v>1</v>
      </c>
      <c r="X987" s="27" t="n">
        <f aca="false">IF(AND(E987&gt;0,OR(AND(B987&gt;=1,B987&lt;=6),B987=10)),1,0)</f>
        <v>1</v>
      </c>
      <c r="Y987" s="27" t="n">
        <f aca="false">IF(AND(E987&gt;0,B987=10),1,0)</f>
        <v>0</v>
      </c>
      <c r="Z987" s="0" t="str">
        <f aca="false">IF(AND(C986=C987,W986=W987-1),X986,"")</f>
        <v/>
      </c>
      <c r="AA987" s="0" t="str">
        <f aca="false">IF(AND(C986=C987,W986=W987-1),Y986,"")</f>
        <v/>
      </c>
      <c r="AB987" s="0" t="str">
        <f aca="false">IF(W987=1,"",IF(AND(X987=1,Z987&lt;&gt;1),1,0))</f>
        <v/>
      </c>
      <c r="AC987" s="0" t="str">
        <f aca="false">IF(W987=1,"",IF(AND(Y987=1,AA987&lt;&gt;1),1,0))</f>
        <v/>
      </c>
      <c r="AD987" s="33" t="str">
        <f aca="false">IF(AND(E987&gt;0,W987&lt;1,NOT(AND(C988=C987,W988=W987+1))),INDEX(DATAS,W987+1),"")</f>
        <v/>
      </c>
      <c r="AE987" s="33" t="str">
        <f aca="false">IF(AND(Y987=1,W987&lt;1),IF(AND(C988=C987,W988=W987+1),IF(Y988=1,"",INDEX(DATAS,W987+1)),INDEX(DATAS,W987+1)),"")</f>
        <v/>
      </c>
    </row>
    <row r="988" customFormat="false" ht="15" hidden="false" customHeight="false" outlineLevel="0" collapsed="false">
      <c r="A988" s="33" t="n">
        <v>46309</v>
      </c>
      <c r="B988" s="0" t="n">
        <v>5</v>
      </c>
      <c r="C988" s="0" t="n">
        <v>4977</v>
      </c>
      <c r="D988" s="0" t="n">
        <v>74</v>
      </c>
      <c r="E988" s="0" t="n">
        <v>2</v>
      </c>
      <c r="F988" s="27" t="s">
        <v>738</v>
      </c>
      <c r="G988" s="0" t="n">
        <v>38.4</v>
      </c>
      <c r="H988" s="0" t="n">
        <v>41</v>
      </c>
      <c r="I988" s="27" t="s">
        <v>168</v>
      </c>
      <c r="J988" s="0" t="n">
        <v>74</v>
      </c>
      <c r="K988" s="0" t="n">
        <v>67</v>
      </c>
      <c r="M988" s="0" t="n">
        <v>37.62</v>
      </c>
      <c r="N988" s="0" t="n">
        <v>47.82</v>
      </c>
      <c r="O988" s="0" t="n">
        <v>22.81</v>
      </c>
      <c r="P988" s="0" t="n">
        <v>3.1</v>
      </c>
      <c r="Q988" s="0" t="n">
        <v>3.59</v>
      </c>
      <c r="R988" s="0" t="n">
        <v>3717</v>
      </c>
      <c r="S988" s="0" t="n">
        <v>7472</v>
      </c>
      <c r="U988" s="0" t="n">
        <v>1131</v>
      </c>
      <c r="V988" s="0" t="n">
        <v>1</v>
      </c>
      <c r="W988" s="27" t="n">
        <f aca="false">MATCH(A988,DATAS,0)</f>
        <v>1</v>
      </c>
      <c r="X988" s="27" t="n">
        <f aca="false">IF(AND(E988&gt;0,OR(AND(B988&gt;=1,B988&lt;=6),B988=10)),1,0)</f>
        <v>1</v>
      </c>
      <c r="Y988" s="27" t="n">
        <f aca="false">IF(AND(E988&gt;0,B988=10),1,0)</f>
        <v>0</v>
      </c>
      <c r="Z988" s="0" t="str">
        <f aca="false">IF(AND(C987=C988,W987=W988-1),X987,"")</f>
        <v/>
      </c>
      <c r="AA988" s="0" t="str">
        <f aca="false">IF(AND(C987=C988,W987=W988-1),Y987,"")</f>
        <v/>
      </c>
      <c r="AB988" s="0" t="str">
        <f aca="false">IF(W988=1,"",IF(AND(X988=1,Z988&lt;&gt;1),1,0))</f>
        <v/>
      </c>
      <c r="AC988" s="0" t="str">
        <f aca="false">IF(W988=1,"",IF(AND(Y988=1,AA988&lt;&gt;1),1,0))</f>
        <v/>
      </c>
      <c r="AD988" s="33" t="str">
        <f aca="false">IF(AND(E988&gt;0,W988&lt;1,NOT(AND(C989=C988,W989=W988+1))),INDEX(DATAS,W988+1),"")</f>
        <v/>
      </c>
      <c r="AE988" s="33" t="str">
        <f aca="false">IF(AND(Y988=1,W988&lt;1),IF(AND(C989=C988,W989=W988+1),IF(Y989=1,"",INDEX(DATAS,W988+1)),INDEX(DATAS,W988+1)),"")</f>
        <v/>
      </c>
    </row>
    <row r="989" customFormat="false" ht="15" hidden="false" customHeight="false" outlineLevel="0" collapsed="false">
      <c r="A989" s="33" t="n">
        <v>46309</v>
      </c>
      <c r="B989" s="0" t="n">
        <v>7</v>
      </c>
      <c r="C989" s="0" t="n">
        <v>4978</v>
      </c>
      <c r="D989" s="0" t="n">
        <v>352</v>
      </c>
      <c r="E989" s="0" t="n">
        <v>1</v>
      </c>
      <c r="F989" s="27" t="s">
        <v>738</v>
      </c>
      <c r="I989" s="27" t="s">
        <v>143</v>
      </c>
      <c r="J989" s="0" t="n">
        <v>192</v>
      </c>
      <c r="K989" s="0" t="n">
        <v>66</v>
      </c>
      <c r="L989" s="0" t="n">
        <v>224</v>
      </c>
      <c r="M989" s="0" t="n">
        <v>151.48</v>
      </c>
      <c r="N989" s="0" t="n">
        <v>35.39</v>
      </c>
      <c r="O989" s="0" t="n">
        <v>19.42</v>
      </c>
      <c r="P989" s="0" t="n">
        <v>3.55</v>
      </c>
      <c r="Q989" s="0" t="n">
        <v>3.71</v>
      </c>
      <c r="R989" s="0" t="n">
        <v>4145</v>
      </c>
      <c r="S989" s="0" t="n">
        <v>7893</v>
      </c>
      <c r="T989" s="0" t="n">
        <v>43.1</v>
      </c>
      <c r="U989" s="0" t="n">
        <v>1131</v>
      </c>
      <c r="V989" s="0" t="n">
        <v>4</v>
      </c>
      <c r="W989" s="27" t="n">
        <f aca="false">MATCH(A989,DATAS,0)</f>
        <v>1</v>
      </c>
      <c r="X989" s="27" t="n">
        <f aca="false">IF(AND(E989&gt;0,OR(AND(B989&gt;=1,B989&lt;=6),B989=10)),1,0)</f>
        <v>0</v>
      </c>
      <c r="Y989" s="27" t="n">
        <f aca="false">IF(AND(E989&gt;0,B989=10),1,0)</f>
        <v>0</v>
      </c>
      <c r="Z989" s="0" t="str">
        <f aca="false">IF(AND(C988=C989,W988=W989-1),X988,"")</f>
        <v/>
      </c>
      <c r="AA989" s="0" t="str">
        <f aca="false">IF(AND(C988=C989,W988=W989-1),Y988,"")</f>
        <v/>
      </c>
      <c r="AB989" s="0" t="str">
        <f aca="false">IF(W989=1,"",IF(AND(X989=1,Z989&lt;&gt;1),1,0))</f>
        <v/>
      </c>
      <c r="AC989" s="0" t="str">
        <f aca="false">IF(W989=1,"",IF(AND(Y989=1,AA989&lt;&gt;1),1,0))</f>
        <v/>
      </c>
      <c r="AD989" s="33" t="str">
        <f aca="false">IF(AND(E989&gt;0,W989&lt;1,NOT(AND(C990=C989,W990=W989+1))),INDEX(DATAS,W989+1),"")</f>
        <v/>
      </c>
      <c r="AE989" s="33" t="str">
        <f aca="false">IF(AND(Y989=1,W989&lt;1),IF(AND(C990=C989,W990=W989+1),IF(Y990=1,"",INDEX(DATAS,W989+1)),INDEX(DATAS,W989+1)),"")</f>
        <v/>
      </c>
    </row>
    <row r="990" customFormat="false" ht="15" hidden="false" customHeight="false" outlineLevel="0" collapsed="false">
      <c r="A990" s="33" t="n">
        <v>46309</v>
      </c>
      <c r="B990" s="0" t="n">
        <v>5</v>
      </c>
      <c r="C990" s="0" t="n">
        <v>4979</v>
      </c>
      <c r="D990" s="0" t="n">
        <v>128</v>
      </c>
      <c r="E990" s="0" t="n">
        <v>2</v>
      </c>
      <c r="F990" s="27" t="s">
        <v>739</v>
      </c>
      <c r="G990" s="0" t="n">
        <v>46.8</v>
      </c>
      <c r="H990" s="0" t="n">
        <v>43</v>
      </c>
      <c r="I990" s="27" t="s">
        <v>168</v>
      </c>
      <c r="J990" s="0" t="n">
        <v>128</v>
      </c>
      <c r="K990" s="0" t="n">
        <v>65</v>
      </c>
      <c r="M990" s="0" t="n">
        <v>-139.39</v>
      </c>
      <c r="N990" s="0" t="n">
        <v>50.31</v>
      </c>
      <c r="O990" s="0" t="n">
        <v>21.79</v>
      </c>
      <c r="P990" s="0" t="n">
        <v>5.08</v>
      </c>
      <c r="Q990" s="0" t="n">
        <v>3.98</v>
      </c>
      <c r="R990" s="0" t="n">
        <v>3997</v>
      </c>
      <c r="S990" s="0" t="n">
        <v>8150</v>
      </c>
      <c r="T990" s="0" t="n">
        <v>41.4</v>
      </c>
      <c r="U990" s="0" t="n">
        <v>1130</v>
      </c>
      <c r="V990" s="0" t="n">
        <v>3</v>
      </c>
      <c r="W990" s="27" t="n">
        <f aca="false">MATCH(A990,DATAS,0)</f>
        <v>1</v>
      </c>
      <c r="X990" s="27" t="n">
        <f aca="false">IF(AND(E990&gt;0,OR(AND(B990&gt;=1,B990&lt;=6),B990=10)),1,0)</f>
        <v>1</v>
      </c>
      <c r="Y990" s="27" t="n">
        <f aca="false">IF(AND(E990&gt;0,B990=10),1,0)</f>
        <v>0</v>
      </c>
      <c r="Z990" s="0" t="str">
        <f aca="false">IF(AND(C989=C990,W989=W990-1),X989,"")</f>
        <v/>
      </c>
      <c r="AA990" s="0" t="str">
        <f aca="false">IF(AND(C989=C990,W989=W990-1),Y989,"")</f>
        <v/>
      </c>
      <c r="AB990" s="0" t="str">
        <f aca="false">IF(W990=1,"",IF(AND(X990=1,Z990&lt;&gt;1),1,0))</f>
        <v/>
      </c>
      <c r="AC990" s="0" t="str">
        <f aca="false">IF(W990=1,"",IF(AND(Y990=1,AA990&lt;&gt;1),1,0))</f>
        <v/>
      </c>
      <c r="AD990" s="33" t="str">
        <f aca="false">IF(AND(E990&gt;0,W990&lt;1,NOT(AND(C991=C990,W991=W990+1))),INDEX(DATAS,W990+1),"")</f>
        <v/>
      </c>
      <c r="AE990" s="33" t="str">
        <f aca="false">IF(AND(Y990=1,W990&lt;1),IF(AND(C991=C990,W991=W990+1),IF(Y991=1,"",INDEX(DATAS,W990+1)),INDEX(DATAS,W990+1)),"")</f>
        <v/>
      </c>
    </row>
    <row r="991" customFormat="false" ht="15" hidden="false" customHeight="false" outlineLevel="0" collapsed="false">
      <c r="A991" s="33" t="n">
        <v>46309</v>
      </c>
      <c r="B991" s="0" t="n">
        <v>5</v>
      </c>
      <c r="C991" s="0" t="n">
        <v>4980</v>
      </c>
      <c r="D991" s="0" t="n">
        <v>171</v>
      </c>
      <c r="E991" s="0" t="n">
        <v>2</v>
      </c>
      <c r="F991" s="27" t="s">
        <v>740</v>
      </c>
      <c r="G991" s="0" t="n">
        <v>44.2</v>
      </c>
      <c r="H991" s="0" t="n">
        <v>43</v>
      </c>
      <c r="I991" s="27" t="s">
        <v>168</v>
      </c>
      <c r="J991" s="0" t="n">
        <v>171</v>
      </c>
      <c r="K991" s="0" t="n">
        <v>66</v>
      </c>
      <c r="M991" s="0" t="n">
        <v>943.15</v>
      </c>
      <c r="N991" s="0" t="n">
        <v>41.14</v>
      </c>
      <c r="O991" s="0" t="n">
        <v>42.99</v>
      </c>
      <c r="P991" s="0" t="n">
        <v>3.19</v>
      </c>
      <c r="Q991" s="0" t="n">
        <v>3.94</v>
      </c>
      <c r="R991" s="0" t="n">
        <v>4144</v>
      </c>
      <c r="S991" s="0" t="n">
        <v>8932</v>
      </c>
      <c r="T991" s="0" t="n">
        <v>48.7</v>
      </c>
      <c r="U991" s="0" t="n">
        <v>1129</v>
      </c>
      <c r="V991" s="0" t="n">
        <v>3</v>
      </c>
      <c r="W991" s="27" t="n">
        <f aca="false">MATCH(A991,DATAS,0)</f>
        <v>1</v>
      </c>
      <c r="X991" s="27" t="n">
        <f aca="false">IF(AND(E991&gt;0,OR(AND(B991&gt;=1,B991&lt;=6),B991=10)),1,0)</f>
        <v>1</v>
      </c>
      <c r="Y991" s="27" t="n">
        <f aca="false">IF(AND(E991&gt;0,B991=10),1,0)</f>
        <v>0</v>
      </c>
      <c r="Z991" s="0" t="str">
        <f aca="false">IF(AND(C990=C991,W990=W991-1),X990,"")</f>
        <v/>
      </c>
      <c r="AA991" s="0" t="str">
        <f aca="false">IF(AND(C990=C991,W990=W991-1),Y990,"")</f>
        <v/>
      </c>
      <c r="AB991" s="0" t="str">
        <f aca="false">IF(W991=1,"",IF(AND(X991=1,Z991&lt;&gt;1),1,0))</f>
        <v/>
      </c>
      <c r="AC991" s="0" t="str">
        <f aca="false">IF(W991=1,"",IF(AND(Y991=1,AA991&lt;&gt;1),1,0))</f>
        <v/>
      </c>
      <c r="AD991" s="33" t="str">
        <f aca="false">IF(AND(E991&gt;0,W991&lt;1,NOT(AND(C992=C991,W992=W991+1))),INDEX(DATAS,W991+1),"")</f>
        <v/>
      </c>
      <c r="AE991" s="33" t="str">
        <f aca="false">IF(AND(Y991=1,W991&lt;1),IF(AND(C992=C991,W992=W991+1),IF(Y992=1,"",INDEX(DATAS,W991+1)),INDEX(DATAS,W991+1)),"")</f>
        <v/>
      </c>
    </row>
    <row r="992" customFormat="false" ht="15" hidden="false" customHeight="false" outlineLevel="0" collapsed="false">
      <c r="A992" s="33" t="n">
        <v>46309</v>
      </c>
      <c r="B992" s="0" t="n">
        <v>5</v>
      </c>
      <c r="C992" s="0" t="n">
        <v>4981</v>
      </c>
      <c r="D992" s="0" t="n">
        <v>89</v>
      </c>
      <c r="E992" s="0" t="n">
        <v>2</v>
      </c>
      <c r="F992" s="27" t="s">
        <v>740</v>
      </c>
      <c r="G992" s="0" t="n">
        <v>40.3</v>
      </c>
      <c r="H992" s="0" t="n">
        <v>41</v>
      </c>
      <c r="I992" s="27" t="s">
        <v>168</v>
      </c>
      <c r="J992" s="0" t="n">
        <v>89</v>
      </c>
      <c r="K992" s="0" t="n">
        <v>68</v>
      </c>
      <c r="M992" s="0" t="n">
        <v>1037.47</v>
      </c>
      <c r="N992" s="0" t="n">
        <v>57.61</v>
      </c>
      <c r="O992" s="0" t="n">
        <v>44.24</v>
      </c>
      <c r="P992" s="0" t="n">
        <v>3.16</v>
      </c>
      <c r="Q992" s="0" t="n">
        <v>3.31</v>
      </c>
      <c r="R992" s="0" t="n">
        <v>4189</v>
      </c>
      <c r="S992" s="0" t="n">
        <v>8422</v>
      </c>
      <c r="U992" s="0" t="n">
        <v>1129</v>
      </c>
      <c r="V992" s="0" t="n">
        <v>1</v>
      </c>
      <c r="W992" s="27" t="n">
        <f aca="false">MATCH(A992,DATAS,0)</f>
        <v>1</v>
      </c>
      <c r="X992" s="27" t="n">
        <f aca="false">IF(AND(E992&gt;0,OR(AND(B992&gt;=1,B992&lt;=6),B992=10)),1,0)</f>
        <v>1</v>
      </c>
      <c r="Y992" s="27" t="n">
        <f aca="false">IF(AND(E992&gt;0,B992=10),1,0)</f>
        <v>0</v>
      </c>
      <c r="Z992" s="0" t="str">
        <f aca="false">IF(AND(C991=C992,W991=W992-1),X991,"")</f>
        <v/>
      </c>
      <c r="AA992" s="0" t="str">
        <f aca="false">IF(AND(C991=C992,W991=W992-1),Y991,"")</f>
        <v/>
      </c>
      <c r="AB992" s="0" t="str">
        <f aca="false">IF(W992=1,"",IF(AND(X992=1,Z992&lt;&gt;1),1,0))</f>
        <v/>
      </c>
      <c r="AC992" s="0" t="str">
        <f aca="false">IF(W992=1,"",IF(AND(Y992=1,AA992&lt;&gt;1),1,0))</f>
        <v/>
      </c>
      <c r="AD992" s="33" t="str">
        <f aca="false">IF(AND(E992&gt;0,W992&lt;1,NOT(AND(C993=C992,W993=W992+1))),INDEX(DATAS,W992+1),"")</f>
        <v/>
      </c>
      <c r="AE992" s="33" t="str">
        <f aca="false">IF(AND(Y992=1,W992&lt;1),IF(AND(C993=C992,W993=W992+1),IF(Y993=1,"",INDEX(DATAS,W992+1)),INDEX(DATAS,W992+1)),"")</f>
        <v/>
      </c>
    </row>
    <row r="993" customFormat="false" ht="15" hidden="false" customHeight="false" outlineLevel="0" collapsed="false">
      <c r="A993" s="33" t="n">
        <v>46309</v>
      </c>
      <c r="B993" s="0" t="n">
        <v>5</v>
      </c>
      <c r="C993" s="0" t="n">
        <v>4983</v>
      </c>
      <c r="D993" s="0" t="n">
        <v>111</v>
      </c>
      <c r="E993" s="0" t="n">
        <v>2</v>
      </c>
      <c r="F993" s="27" t="s">
        <v>741</v>
      </c>
      <c r="G993" s="0" t="n">
        <v>44.8</v>
      </c>
      <c r="H993" s="0" t="n">
        <v>43</v>
      </c>
      <c r="I993" s="27" t="s">
        <v>176</v>
      </c>
      <c r="J993" s="0" t="n">
        <v>111</v>
      </c>
      <c r="K993" s="0" t="n">
        <v>69</v>
      </c>
      <c r="M993" s="0" t="n">
        <v>959.55</v>
      </c>
      <c r="N993" s="0" t="n">
        <v>89.25</v>
      </c>
      <c r="O993" s="0" t="n">
        <v>44.89</v>
      </c>
      <c r="P993" s="0" t="n">
        <v>4.73</v>
      </c>
      <c r="Q993" s="0" t="n">
        <v>3.28</v>
      </c>
      <c r="R993" s="0" t="n">
        <v>4082</v>
      </c>
      <c r="S993" s="0" t="n">
        <v>8249</v>
      </c>
      <c r="T993" s="0" t="n">
        <v>42</v>
      </c>
      <c r="U993" s="0" t="n">
        <v>1128</v>
      </c>
      <c r="V993" s="0" t="n">
        <v>1</v>
      </c>
      <c r="W993" s="27" t="n">
        <f aca="false">MATCH(A993,DATAS,0)</f>
        <v>1</v>
      </c>
      <c r="X993" s="27" t="n">
        <f aca="false">IF(AND(E993&gt;0,OR(AND(B993&gt;=1,B993&lt;=6),B993=10)),1,0)</f>
        <v>1</v>
      </c>
      <c r="Y993" s="27" t="n">
        <f aca="false">IF(AND(E993&gt;0,B993=10),1,0)</f>
        <v>0</v>
      </c>
      <c r="Z993" s="0" t="str">
        <f aca="false">IF(AND(C992=C993,W992=W993-1),X992,"")</f>
        <v/>
      </c>
      <c r="AA993" s="0" t="str">
        <f aca="false">IF(AND(C992=C993,W992=W993-1),Y992,"")</f>
        <v/>
      </c>
      <c r="AB993" s="0" t="str">
        <f aca="false">IF(W993=1,"",IF(AND(X993=1,Z993&lt;&gt;1),1,0))</f>
        <v/>
      </c>
      <c r="AC993" s="0" t="str">
        <f aca="false">IF(W993=1,"",IF(AND(Y993=1,AA993&lt;&gt;1),1,0))</f>
        <v/>
      </c>
      <c r="AD993" s="33" t="str">
        <f aca="false">IF(AND(E993&gt;0,W993&lt;1,NOT(AND(C994=C993,W994=W993+1))),INDEX(DATAS,W993+1),"")</f>
        <v/>
      </c>
      <c r="AE993" s="33" t="str">
        <f aca="false">IF(AND(Y993=1,W993&lt;1),IF(AND(C994=C993,W994=W993+1),IF(Y994=1,"",INDEX(DATAS,W993+1)),INDEX(DATAS,W993+1)),"")</f>
        <v/>
      </c>
    </row>
    <row r="994" customFormat="false" ht="15" hidden="false" customHeight="false" outlineLevel="0" collapsed="false">
      <c r="A994" s="33" t="n">
        <v>46309</v>
      </c>
      <c r="B994" s="0" t="n">
        <v>5</v>
      </c>
      <c r="C994" s="0" t="n">
        <v>4984</v>
      </c>
      <c r="D994" s="0" t="n">
        <v>270</v>
      </c>
      <c r="E994" s="0" t="n">
        <v>2</v>
      </c>
      <c r="F994" s="27" t="s">
        <v>742</v>
      </c>
      <c r="G994" s="0" t="n">
        <v>44.5</v>
      </c>
      <c r="H994" s="0" t="n">
        <v>40</v>
      </c>
      <c r="I994" s="27" t="s">
        <v>138</v>
      </c>
      <c r="J994" s="0" t="n">
        <v>67</v>
      </c>
      <c r="K994" s="0" t="n">
        <v>67</v>
      </c>
      <c r="L994" s="0" t="n">
        <v>203</v>
      </c>
      <c r="M994" s="0" t="n">
        <v>581.32</v>
      </c>
      <c r="N994" s="0" t="n">
        <v>50.68</v>
      </c>
      <c r="O994" s="0" t="n">
        <v>26.71</v>
      </c>
      <c r="P994" s="0" t="n">
        <v>4.34</v>
      </c>
      <c r="Q994" s="0" t="n">
        <v>3.76</v>
      </c>
      <c r="R994" s="0" t="n">
        <v>4966</v>
      </c>
      <c r="S994" s="0" t="n">
        <v>10465</v>
      </c>
      <c r="T994" s="0" t="n">
        <v>49.7</v>
      </c>
      <c r="U994" s="0" t="n">
        <v>1127</v>
      </c>
      <c r="V994" s="0" t="n">
        <v>1</v>
      </c>
      <c r="W994" s="27" t="n">
        <f aca="false">MATCH(A994,DATAS,0)</f>
        <v>1</v>
      </c>
      <c r="X994" s="27" t="n">
        <f aca="false">IF(AND(E994&gt;0,OR(AND(B994&gt;=1,B994&lt;=6),B994=10)),1,0)</f>
        <v>1</v>
      </c>
      <c r="Y994" s="27" t="n">
        <f aca="false">IF(AND(E994&gt;0,B994=10),1,0)</f>
        <v>0</v>
      </c>
      <c r="Z994" s="0" t="str">
        <f aca="false">IF(AND(C993=C994,W993=W994-1),X993,"")</f>
        <v/>
      </c>
      <c r="AA994" s="0" t="str">
        <f aca="false">IF(AND(C993=C994,W993=W994-1),Y993,"")</f>
        <v/>
      </c>
      <c r="AB994" s="0" t="str">
        <f aca="false">IF(W994=1,"",IF(AND(X994=1,Z994&lt;&gt;1),1,0))</f>
        <v/>
      </c>
      <c r="AC994" s="0" t="str">
        <f aca="false">IF(W994=1,"",IF(AND(Y994=1,AA994&lt;&gt;1),1,0))</f>
        <v/>
      </c>
      <c r="AD994" s="33" t="str">
        <f aca="false">IF(AND(E994&gt;0,W994&lt;1,NOT(AND(C995=C994,W995=W994+1))),INDEX(DATAS,W994+1),"")</f>
        <v/>
      </c>
      <c r="AE994" s="33" t="str">
        <f aca="false">IF(AND(Y994=1,W994&lt;1),IF(AND(C995=C994,W995=W994+1),IF(Y995=1,"",INDEX(DATAS,W994+1)),INDEX(DATAS,W994+1)),"")</f>
        <v/>
      </c>
    </row>
    <row r="995" customFormat="false" ht="15" hidden="false" customHeight="false" outlineLevel="0" collapsed="false">
      <c r="A995" s="33" t="n">
        <v>46309</v>
      </c>
      <c r="B995" s="0" t="n">
        <v>6</v>
      </c>
      <c r="C995" s="0" t="n">
        <v>4985</v>
      </c>
      <c r="D995" s="0" t="n">
        <v>111</v>
      </c>
      <c r="E995" s="0" t="n">
        <v>2</v>
      </c>
      <c r="F995" s="27" t="s">
        <v>743</v>
      </c>
      <c r="G995" s="0" t="n">
        <v>30.3</v>
      </c>
      <c r="H995" s="0" t="n">
        <v>29</v>
      </c>
      <c r="I995" s="27" t="s">
        <v>168</v>
      </c>
      <c r="J995" s="0" t="n">
        <v>111</v>
      </c>
      <c r="K995" s="0" t="n">
        <v>62</v>
      </c>
      <c r="M995" s="0" t="n">
        <v>853.01</v>
      </c>
      <c r="N995" s="0" t="n">
        <v>79.43</v>
      </c>
      <c r="O995" s="0" t="n">
        <v>47.62</v>
      </c>
      <c r="P995" s="0" t="n">
        <v>4.1</v>
      </c>
      <c r="Q995" s="0" t="n">
        <v>4.24</v>
      </c>
      <c r="R995" s="0" t="n">
        <v>3372</v>
      </c>
      <c r="S995" s="0" t="n">
        <v>6653</v>
      </c>
      <c r="T995" s="0" t="n">
        <v>33.8</v>
      </c>
      <c r="U995" s="0" t="n">
        <v>1126</v>
      </c>
      <c r="V995" s="0" t="n">
        <v>2</v>
      </c>
      <c r="W995" s="27" t="n">
        <f aca="false">MATCH(A995,DATAS,0)</f>
        <v>1</v>
      </c>
      <c r="X995" s="27" t="n">
        <f aca="false">IF(AND(E995&gt;0,OR(AND(B995&gt;=1,B995&lt;=6),B995=10)),1,0)</f>
        <v>1</v>
      </c>
      <c r="Y995" s="27" t="n">
        <f aca="false">IF(AND(E995&gt;0,B995=10),1,0)</f>
        <v>0</v>
      </c>
      <c r="Z995" s="0" t="str">
        <f aca="false">IF(AND(C994=C995,W994=W995-1),X994,"")</f>
        <v/>
      </c>
      <c r="AA995" s="0" t="str">
        <f aca="false">IF(AND(C994=C995,W994=W995-1),Y994,"")</f>
        <v/>
      </c>
      <c r="AB995" s="0" t="str">
        <f aca="false">IF(W995=1,"",IF(AND(X995=1,Z995&lt;&gt;1),1,0))</f>
        <v/>
      </c>
      <c r="AC995" s="0" t="str">
        <f aca="false">IF(W995=1,"",IF(AND(Y995=1,AA995&lt;&gt;1),1,0))</f>
        <v/>
      </c>
      <c r="AD995" s="33" t="str">
        <f aca="false">IF(AND(E995&gt;0,W995&lt;1,NOT(AND(C996=C995,W996=W995+1))),INDEX(DATAS,W995+1),"")</f>
        <v/>
      </c>
      <c r="AE995" s="33" t="str">
        <f aca="false">IF(AND(Y995=1,W995&lt;1),IF(AND(C996=C995,W996=W995+1),IF(Y996=1,"",INDEX(DATAS,W995+1)),INDEX(DATAS,W995+1)),"")</f>
        <v/>
      </c>
    </row>
    <row r="996" customFormat="false" ht="15" hidden="false" customHeight="false" outlineLevel="0" collapsed="false">
      <c r="A996" s="33" t="n">
        <v>46309</v>
      </c>
      <c r="B996" s="0" t="n">
        <v>3</v>
      </c>
      <c r="C996" s="0" t="n">
        <v>4986</v>
      </c>
      <c r="D996" s="0" t="n">
        <v>66</v>
      </c>
      <c r="E996" s="0" t="n">
        <v>2</v>
      </c>
      <c r="F996" s="27" t="s">
        <v>744</v>
      </c>
      <c r="G996" s="0" t="n">
        <v>56.4</v>
      </c>
      <c r="H996" s="0" t="n">
        <v>55</v>
      </c>
      <c r="I996" s="27" t="s">
        <v>176</v>
      </c>
      <c r="J996" s="0" t="n">
        <v>66</v>
      </c>
      <c r="M996" s="0" t="n">
        <v>1589.87</v>
      </c>
      <c r="N996" s="0" t="n">
        <v>48.66</v>
      </c>
      <c r="O996" s="0" t="n">
        <v>46.41</v>
      </c>
      <c r="P996" s="0" t="n">
        <v>3.02</v>
      </c>
      <c r="Q996" s="0" t="n">
        <v>3.65</v>
      </c>
      <c r="R996" s="0" t="n">
        <v>4765</v>
      </c>
      <c r="S996" s="0" t="n">
        <v>9580</v>
      </c>
      <c r="U996" s="0" t="n">
        <v>1125</v>
      </c>
      <c r="V996" s="0" t="n">
        <v>0</v>
      </c>
      <c r="W996" s="27" t="n">
        <f aca="false">MATCH(A996,DATAS,0)</f>
        <v>1</v>
      </c>
      <c r="X996" s="27" t="n">
        <f aca="false">IF(AND(E996&gt;0,OR(AND(B996&gt;=1,B996&lt;=6),B996=10)),1,0)</f>
        <v>1</v>
      </c>
      <c r="Y996" s="27" t="n">
        <f aca="false">IF(AND(E996&gt;0,B996=10),1,0)</f>
        <v>0</v>
      </c>
      <c r="Z996" s="0" t="str">
        <f aca="false">IF(AND(C995=C996,W995=W996-1),X995,"")</f>
        <v/>
      </c>
      <c r="AA996" s="0" t="str">
        <f aca="false">IF(AND(C995=C996,W995=W996-1),Y995,"")</f>
        <v/>
      </c>
      <c r="AB996" s="0" t="str">
        <f aca="false">IF(W996=1,"",IF(AND(X996=1,Z996&lt;&gt;1),1,0))</f>
        <v/>
      </c>
      <c r="AC996" s="0" t="str">
        <f aca="false">IF(W996=1,"",IF(AND(Y996=1,AA996&lt;&gt;1),1,0))</f>
        <v/>
      </c>
      <c r="AD996" s="33" t="str">
        <f aca="false">IF(AND(E996&gt;0,W996&lt;1,NOT(AND(C997=C996,W997=W996+1))),INDEX(DATAS,W996+1),"")</f>
        <v/>
      </c>
      <c r="AE996" s="33" t="str">
        <f aca="false">IF(AND(Y996=1,W996&lt;1),IF(AND(C997=C996,W997=W996+1),IF(Y997=1,"",INDEX(DATAS,W996+1)),INDEX(DATAS,W996+1)),"")</f>
        <v/>
      </c>
    </row>
    <row r="997" customFormat="false" ht="15" hidden="false" customHeight="false" outlineLevel="0" collapsed="false">
      <c r="A997" s="33" t="n">
        <v>46309</v>
      </c>
      <c r="B997" s="0" t="n">
        <v>6</v>
      </c>
      <c r="C997" s="0" t="n">
        <v>4988</v>
      </c>
      <c r="D997" s="0" t="n">
        <v>196</v>
      </c>
      <c r="E997" s="0" t="n">
        <v>2</v>
      </c>
      <c r="F997" s="27" t="s">
        <v>744</v>
      </c>
      <c r="G997" s="0" t="n">
        <v>23.5</v>
      </c>
      <c r="H997" s="0" t="n">
        <v>17</v>
      </c>
      <c r="I997" s="27" t="s">
        <v>138</v>
      </c>
      <c r="J997" s="0" t="n">
        <v>63</v>
      </c>
      <c r="K997" s="0" t="n">
        <v>63</v>
      </c>
      <c r="L997" s="0" t="n">
        <v>133</v>
      </c>
      <c r="M997" s="0" t="n">
        <v>634.62</v>
      </c>
      <c r="N997" s="0" t="n">
        <v>63.46</v>
      </c>
      <c r="O997" s="0" t="n">
        <v>33.79</v>
      </c>
      <c r="P997" s="0" t="n">
        <v>4.56</v>
      </c>
      <c r="Q997" s="0" t="n">
        <v>3.57</v>
      </c>
      <c r="R997" s="0" t="n">
        <v>3839</v>
      </c>
      <c r="S997" s="0" t="n">
        <v>7941</v>
      </c>
      <c r="T997" s="0" t="n">
        <v>44.05</v>
      </c>
      <c r="U997" s="0" t="n">
        <v>1125</v>
      </c>
      <c r="V997" s="0" t="n">
        <v>1</v>
      </c>
      <c r="W997" s="27" t="n">
        <f aca="false">MATCH(A997,DATAS,0)</f>
        <v>1</v>
      </c>
      <c r="X997" s="27" t="n">
        <f aca="false">IF(AND(E997&gt;0,OR(AND(B997&gt;=1,B997&lt;=6),B997=10)),1,0)</f>
        <v>1</v>
      </c>
      <c r="Y997" s="27" t="n">
        <f aca="false">IF(AND(E997&gt;0,B997=10),1,0)</f>
        <v>0</v>
      </c>
      <c r="Z997" s="0" t="str">
        <f aca="false">IF(AND(C996=C997,W996=W997-1),X996,"")</f>
        <v/>
      </c>
      <c r="AA997" s="0" t="str">
        <f aca="false">IF(AND(C996=C997,W996=W997-1),Y996,"")</f>
        <v/>
      </c>
      <c r="AB997" s="0" t="str">
        <f aca="false">IF(W997=1,"",IF(AND(X997=1,Z997&lt;&gt;1),1,0))</f>
        <v/>
      </c>
      <c r="AC997" s="0" t="str">
        <f aca="false">IF(W997=1,"",IF(AND(Y997=1,AA997&lt;&gt;1),1,0))</f>
        <v/>
      </c>
      <c r="AD997" s="33" t="str">
        <f aca="false">IF(AND(E997&gt;0,W997&lt;1,NOT(AND(C998=C997,W998=W997+1))),INDEX(DATAS,W997+1),"")</f>
        <v/>
      </c>
      <c r="AE997" s="33" t="str">
        <f aca="false">IF(AND(Y997=1,W997&lt;1),IF(AND(C998=C997,W998=W997+1),IF(Y998=1,"",INDEX(DATAS,W997+1)),INDEX(DATAS,W997+1)),"")</f>
        <v/>
      </c>
    </row>
    <row r="998" customFormat="false" ht="15" hidden="false" customHeight="false" outlineLevel="0" collapsed="false">
      <c r="A998" s="33" t="n">
        <v>46309</v>
      </c>
      <c r="B998" s="0" t="n">
        <v>5</v>
      </c>
      <c r="C998" s="0" t="n">
        <v>4989</v>
      </c>
      <c r="D998" s="0" t="n">
        <v>111</v>
      </c>
      <c r="E998" s="0" t="n">
        <v>2</v>
      </c>
      <c r="F998" s="27" t="s">
        <v>745</v>
      </c>
      <c r="G998" s="0" t="n">
        <v>46.2</v>
      </c>
      <c r="H998" s="0" t="n">
        <v>44</v>
      </c>
      <c r="I998" s="27" t="s">
        <v>138</v>
      </c>
      <c r="J998" s="0" t="n">
        <v>69</v>
      </c>
      <c r="K998" s="0" t="n">
        <v>69</v>
      </c>
      <c r="L998" s="0" t="n">
        <v>42</v>
      </c>
      <c r="M998" s="0" t="n">
        <v>1179.58</v>
      </c>
      <c r="N998" s="0" t="n">
        <v>79.63</v>
      </c>
      <c r="O998" s="0" t="n">
        <v>55.56</v>
      </c>
      <c r="P998" s="0" t="n">
        <v>4.74</v>
      </c>
      <c r="Q998" s="0" t="n">
        <v>3.74</v>
      </c>
      <c r="R998" s="0" t="n">
        <v>3429</v>
      </c>
      <c r="S998" s="0" t="n">
        <v>7106</v>
      </c>
      <c r="T998" s="0" t="n">
        <v>43.3</v>
      </c>
      <c r="U998" s="0" t="n">
        <v>1124</v>
      </c>
      <c r="V998" s="0" t="n">
        <v>1</v>
      </c>
      <c r="W998" s="27" t="n">
        <f aca="false">MATCH(A998,DATAS,0)</f>
        <v>1</v>
      </c>
      <c r="X998" s="27" t="n">
        <f aca="false">IF(AND(E998&gt;0,OR(AND(B998&gt;=1,B998&lt;=6),B998=10)),1,0)</f>
        <v>1</v>
      </c>
      <c r="Y998" s="27" t="n">
        <f aca="false">IF(AND(E998&gt;0,B998=10),1,0)</f>
        <v>0</v>
      </c>
      <c r="Z998" s="0" t="str">
        <f aca="false">IF(AND(C997=C998,W997=W998-1),X997,"")</f>
        <v/>
      </c>
      <c r="AA998" s="0" t="str">
        <f aca="false">IF(AND(C997=C998,W997=W998-1),Y997,"")</f>
        <v/>
      </c>
      <c r="AB998" s="0" t="str">
        <f aca="false">IF(W998=1,"",IF(AND(X998=1,Z998&lt;&gt;1),1,0))</f>
        <v/>
      </c>
      <c r="AC998" s="0" t="str">
        <f aca="false">IF(W998=1,"",IF(AND(Y998=1,AA998&lt;&gt;1),1,0))</f>
        <v/>
      </c>
      <c r="AD998" s="33" t="str">
        <f aca="false">IF(AND(E998&gt;0,W998&lt;1,NOT(AND(C999=C998,W999=W998+1))),INDEX(DATAS,W998+1),"")</f>
        <v/>
      </c>
      <c r="AE998" s="33" t="str">
        <f aca="false">IF(AND(Y998=1,W998&lt;1),IF(AND(C999=C998,W999=W998+1),IF(Y999=1,"",INDEX(DATAS,W998+1)),INDEX(DATAS,W998+1)),"")</f>
        <v/>
      </c>
    </row>
    <row r="999" customFormat="false" ht="15" hidden="false" customHeight="false" outlineLevel="0" collapsed="false">
      <c r="A999" s="33" t="n">
        <v>46309</v>
      </c>
      <c r="B999" s="0" t="n">
        <v>5</v>
      </c>
      <c r="C999" s="0" t="n">
        <v>4990</v>
      </c>
      <c r="D999" s="0" t="n">
        <v>88</v>
      </c>
      <c r="E999" s="0" t="n">
        <v>2</v>
      </c>
      <c r="F999" s="27" t="s">
        <v>745</v>
      </c>
      <c r="G999" s="0" t="n">
        <v>40.8</v>
      </c>
      <c r="H999" s="0" t="n">
        <v>39</v>
      </c>
      <c r="I999" s="27" t="s">
        <v>168</v>
      </c>
      <c r="J999" s="0" t="n">
        <v>88</v>
      </c>
      <c r="K999" s="0" t="n">
        <v>67</v>
      </c>
      <c r="M999" s="0" t="n">
        <v>703.67</v>
      </c>
      <c r="N999" s="0" t="n">
        <v>78.95</v>
      </c>
      <c r="O999" s="0" t="n">
        <v>35.12</v>
      </c>
      <c r="P999" s="0" t="n">
        <v>4.53</v>
      </c>
      <c r="Q999" s="0" t="n">
        <v>3.45</v>
      </c>
      <c r="R999" s="0" t="n">
        <v>3624</v>
      </c>
      <c r="S999" s="0" t="n">
        <v>7286</v>
      </c>
      <c r="U999" s="0" t="n">
        <v>1124</v>
      </c>
      <c r="V999" s="0" t="n">
        <v>1</v>
      </c>
      <c r="W999" s="27" t="n">
        <f aca="false">MATCH(A999,DATAS,0)</f>
        <v>1</v>
      </c>
      <c r="X999" s="27" t="n">
        <f aca="false">IF(AND(E999&gt;0,OR(AND(B999&gt;=1,B999&lt;=6),B999=10)),1,0)</f>
        <v>1</v>
      </c>
      <c r="Y999" s="27" t="n">
        <f aca="false">IF(AND(E999&gt;0,B999=10),1,0)</f>
        <v>0</v>
      </c>
      <c r="Z999" s="0" t="str">
        <f aca="false">IF(AND(C998=C999,W998=W999-1),X998,"")</f>
        <v/>
      </c>
      <c r="AA999" s="0" t="str">
        <f aca="false">IF(AND(C998=C999,W998=W999-1),Y998,"")</f>
        <v/>
      </c>
      <c r="AB999" s="0" t="str">
        <f aca="false">IF(W999=1,"",IF(AND(X999=1,Z999&lt;&gt;1),1,0))</f>
        <v/>
      </c>
      <c r="AC999" s="0" t="str">
        <f aca="false">IF(W999=1,"",IF(AND(Y999=1,AA999&lt;&gt;1),1,0))</f>
        <v/>
      </c>
      <c r="AD999" s="33" t="str">
        <f aca="false">IF(AND(E999&gt;0,W999&lt;1,NOT(AND(C1000=C999,W1000=W999+1))),INDEX(DATAS,W999+1),"")</f>
        <v/>
      </c>
      <c r="AE999" s="33" t="str">
        <f aca="false">IF(AND(Y999=1,W999&lt;1),IF(AND(C1000=C999,W1000=W999+1),IF(Y1000=1,"",INDEX(DATAS,W999+1)),INDEX(DATAS,W999+1)),"")</f>
        <v/>
      </c>
    </row>
    <row r="1000" customFormat="false" ht="15" hidden="false" customHeight="false" outlineLevel="0" collapsed="false">
      <c r="A1000" s="33" t="n">
        <v>46309</v>
      </c>
      <c r="B1000" s="0" t="n">
        <v>2</v>
      </c>
      <c r="C1000" s="0" t="n">
        <v>4991</v>
      </c>
      <c r="D1000" s="0" t="n">
        <v>125</v>
      </c>
      <c r="E1000" s="0" t="n">
        <v>2</v>
      </c>
      <c r="F1000" s="27" t="s">
        <v>746</v>
      </c>
      <c r="G1000" s="0" t="n">
        <v>47</v>
      </c>
      <c r="H1000" s="0" t="n">
        <v>46</v>
      </c>
      <c r="I1000" s="27" t="s">
        <v>168</v>
      </c>
      <c r="J1000" s="0" t="n">
        <v>125</v>
      </c>
      <c r="K1000" s="0" t="n">
        <v>76</v>
      </c>
      <c r="M1000" s="0" t="n">
        <v>870.89</v>
      </c>
      <c r="N1000" s="0" t="n">
        <v>46.5</v>
      </c>
      <c r="O1000" s="0" t="n">
        <v>35</v>
      </c>
      <c r="P1000" s="0" t="n">
        <v>3.77</v>
      </c>
      <c r="Q1000" s="0" t="n">
        <v>3.16</v>
      </c>
      <c r="R1000" s="0" t="n">
        <v>4492</v>
      </c>
      <c r="S1000" s="0" t="n">
        <v>9131</v>
      </c>
      <c r="T1000" s="0" t="n">
        <v>51.75</v>
      </c>
      <c r="U1000" s="0" t="n">
        <v>1123</v>
      </c>
      <c r="V1000" s="0" t="n">
        <v>3</v>
      </c>
      <c r="W1000" s="27" t="n">
        <f aca="false">MATCH(A1000,DATAS,0)</f>
        <v>1</v>
      </c>
      <c r="X1000" s="27" t="n">
        <f aca="false">IF(AND(E1000&gt;0,OR(AND(B1000&gt;=1,B1000&lt;=6),B1000=10)),1,0)</f>
        <v>1</v>
      </c>
      <c r="Y1000" s="27" t="n">
        <f aca="false">IF(AND(E1000&gt;0,B1000=10),1,0)</f>
        <v>0</v>
      </c>
      <c r="Z1000" s="0" t="str">
        <f aca="false">IF(AND(C999=C1000,W999=W1000-1),X999,"")</f>
        <v/>
      </c>
      <c r="AA1000" s="0" t="str">
        <f aca="false">IF(AND(C999=C1000,W999=W1000-1),Y999,"")</f>
        <v/>
      </c>
      <c r="AB1000" s="0" t="str">
        <f aca="false">IF(W1000=1,"",IF(AND(X1000=1,Z1000&lt;&gt;1),1,0))</f>
        <v/>
      </c>
      <c r="AC1000" s="0" t="str">
        <f aca="false">IF(W1000=1,"",IF(AND(Y1000=1,AA1000&lt;&gt;1),1,0))</f>
        <v/>
      </c>
      <c r="AD1000" s="33" t="str">
        <f aca="false">IF(AND(E1000&gt;0,W1000&lt;1,NOT(AND(C1001=C1000,W1001=W1000+1))),INDEX(DATAS,W1000+1),"")</f>
        <v/>
      </c>
      <c r="AE1000" s="33" t="str">
        <f aca="false">IF(AND(Y1000=1,W1000&lt;1),IF(AND(C1001=C1000,W1001=W1000+1),IF(Y1001=1,"",INDEX(DATAS,W1000+1)),INDEX(DATAS,W1000+1)),"")</f>
        <v/>
      </c>
    </row>
    <row r="1001" customFormat="false" ht="15" hidden="false" customHeight="false" outlineLevel="0" collapsed="false">
      <c r="A1001" s="33" t="n">
        <v>46309</v>
      </c>
      <c r="B1001" s="0" t="n">
        <v>10</v>
      </c>
      <c r="C1001" s="0" t="n">
        <v>4992</v>
      </c>
      <c r="D1001" s="0" t="n">
        <v>84</v>
      </c>
      <c r="E1001" s="0" t="n">
        <v>2</v>
      </c>
      <c r="F1001" s="27" t="s">
        <v>746</v>
      </c>
      <c r="G1001" s="0" t="n">
        <v>4.5</v>
      </c>
      <c r="H1001" s="0" t="n">
        <v>13</v>
      </c>
      <c r="I1001" s="27" t="s">
        <v>176</v>
      </c>
      <c r="J1001" s="0" t="n">
        <v>84</v>
      </c>
      <c r="M1001" s="0" t="n">
        <v>910.29</v>
      </c>
      <c r="N1001" s="0" t="n">
        <v>63.01</v>
      </c>
      <c r="O1001" s="0" t="n">
        <v>30.94</v>
      </c>
      <c r="P1001" s="0" t="n">
        <v>4.51</v>
      </c>
      <c r="Q1001" s="0" t="n">
        <v>3.19</v>
      </c>
      <c r="R1001" s="0" t="n">
        <v>3111</v>
      </c>
      <c r="S1001" s="0" t="n">
        <v>6253</v>
      </c>
      <c r="U1001" s="0" t="n">
        <v>1123</v>
      </c>
      <c r="V1001" s="0" t="n">
        <v>0</v>
      </c>
      <c r="W1001" s="27" t="n">
        <f aca="false">MATCH(A1001,DATAS,0)</f>
        <v>1</v>
      </c>
      <c r="X1001" s="27" t="n">
        <f aca="false">IF(AND(E1001&gt;0,OR(AND(B1001&gt;=1,B1001&lt;=6),B1001=10)),1,0)</f>
        <v>1</v>
      </c>
      <c r="Y1001" s="27" t="n">
        <f aca="false">IF(AND(E1001&gt;0,B1001=10),1,0)</f>
        <v>1</v>
      </c>
      <c r="Z1001" s="0" t="str">
        <f aca="false">IF(AND(C1000=C1001,W1000=W1001-1),X1000,"")</f>
        <v/>
      </c>
      <c r="AA1001" s="0" t="str">
        <f aca="false">IF(AND(C1000=C1001,W1000=W1001-1),Y1000,"")</f>
        <v/>
      </c>
      <c r="AB1001" s="0" t="str">
        <f aca="false">IF(W1001=1,"",IF(AND(X1001=1,Z1001&lt;&gt;1),1,0))</f>
        <v/>
      </c>
      <c r="AC1001" s="0" t="str">
        <f aca="false">IF(W1001=1,"",IF(AND(Y1001=1,AA1001&lt;&gt;1),1,0))</f>
        <v/>
      </c>
      <c r="AD1001" s="33" t="str">
        <f aca="false">IF(AND(E1001&gt;0,W1001&lt;1,NOT(AND(C1002=C1001,W1002=W1001+1))),INDEX(DATAS,W1001+1),"")</f>
        <v/>
      </c>
      <c r="AE1001" s="33" t="str">
        <f aca="false">IF(AND(Y1001=1,W1001&lt;1),IF(AND(C1002=C1001,W1002=W1001+1),IF(Y1002=1,"",INDEX(DATAS,W1001+1)),INDEX(DATAS,W1001+1)),"")</f>
        <v/>
      </c>
    </row>
    <row r="1002" customFormat="false" ht="15" hidden="false" customHeight="false" outlineLevel="0" collapsed="false">
      <c r="A1002" s="33" t="n">
        <v>46309</v>
      </c>
      <c r="B1002" s="0" t="n">
        <v>2</v>
      </c>
      <c r="C1002" s="0" t="n">
        <v>4995</v>
      </c>
      <c r="D1002" s="0" t="n">
        <v>169</v>
      </c>
      <c r="E1002" s="0" t="n">
        <v>2</v>
      </c>
      <c r="F1002" s="27" t="s">
        <v>747</v>
      </c>
      <c r="G1002" s="0" t="n">
        <v>59.1</v>
      </c>
      <c r="H1002" s="0" t="n">
        <v>55</v>
      </c>
      <c r="I1002" s="27" t="s">
        <v>168</v>
      </c>
      <c r="J1002" s="0" t="n">
        <v>169</v>
      </c>
      <c r="K1002" s="0" t="n">
        <v>78</v>
      </c>
      <c r="M1002" s="0" t="n">
        <v>1395.87</v>
      </c>
      <c r="N1002" s="0" t="n">
        <v>64.23</v>
      </c>
      <c r="O1002" s="0" t="n">
        <v>36.03</v>
      </c>
      <c r="P1002" s="0" t="n">
        <v>3.36</v>
      </c>
      <c r="Q1002" s="0" t="n">
        <v>3.17</v>
      </c>
      <c r="R1002" s="0" t="n">
        <v>4631</v>
      </c>
      <c r="S1002" s="0" t="n">
        <v>9949</v>
      </c>
      <c r="T1002" s="0" t="n">
        <v>54.9</v>
      </c>
      <c r="U1002" s="0" t="n">
        <v>1120</v>
      </c>
      <c r="V1002" s="0" t="n">
        <v>3</v>
      </c>
      <c r="W1002" s="27" t="n">
        <f aca="false">MATCH(A1002,DATAS,0)</f>
        <v>1</v>
      </c>
      <c r="X1002" s="27" t="n">
        <f aca="false">IF(AND(E1002&gt;0,OR(AND(B1002&gt;=1,B1002&lt;=6),B1002=10)),1,0)</f>
        <v>1</v>
      </c>
      <c r="Y1002" s="27" t="n">
        <f aca="false">IF(AND(E1002&gt;0,B1002=10),1,0)</f>
        <v>0</v>
      </c>
      <c r="Z1002" s="0" t="str">
        <f aca="false">IF(AND(C1001=C1002,W1001=W1002-1),X1001,"")</f>
        <v/>
      </c>
      <c r="AA1002" s="0" t="str">
        <f aca="false">IF(AND(C1001=C1002,W1001=W1002-1),Y1001,"")</f>
        <v/>
      </c>
      <c r="AB1002" s="0" t="str">
        <f aca="false">IF(W1002=1,"",IF(AND(X1002=1,Z1002&lt;&gt;1),1,0))</f>
        <v/>
      </c>
      <c r="AC1002" s="0" t="str">
        <f aca="false">IF(W1002=1,"",IF(AND(Y1002=1,AA1002&lt;&gt;1),1,0))</f>
        <v/>
      </c>
      <c r="AD1002" s="33" t="str">
        <f aca="false">IF(AND(E1002&gt;0,W1002&lt;1,NOT(AND(C1003=C1002,W1003=W1002+1))),INDEX(DATAS,W1002+1),"")</f>
        <v/>
      </c>
      <c r="AE1002" s="33" t="str">
        <f aca="false">IF(AND(Y1002=1,W1002&lt;1),IF(AND(C1003=C1002,W1003=W1002+1),IF(Y1003=1,"",INDEX(DATAS,W1002+1)),INDEX(DATAS,W1002+1)),"")</f>
        <v/>
      </c>
    </row>
    <row r="1003" customFormat="false" ht="15" hidden="false" customHeight="false" outlineLevel="0" collapsed="false">
      <c r="A1003" s="33" t="n">
        <v>46309</v>
      </c>
      <c r="B1003" s="0" t="n">
        <v>2</v>
      </c>
      <c r="C1003" s="0" t="n">
        <v>4996</v>
      </c>
      <c r="D1003" s="0" t="n">
        <v>153</v>
      </c>
      <c r="E1003" s="0" t="n">
        <v>2</v>
      </c>
      <c r="F1003" s="27" t="s">
        <v>747</v>
      </c>
      <c r="G1003" s="0" t="n">
        <v>54.7</v>
      </c>
      <c r="H1003" s="0" t="n">
        <v>54</v>
      </c>
      <c r="I1003" s="27" t="s">
        <v>176</v>
      </c>
      <c r="J1003" s="0" t="n">
        <v>153</v>
      </c>
      <c r="K1003" s="0" t="n">
        <v>83</v>
      </c>
      <c r="M1003" s="0" t="n">
        <v>1189.59</v>
      </c>
      <c r="N1003" s="0" t="n">
        <v>42.75</v>
      </c>
      <c r="O1003" s="0" t="n">
        <v>29.81</v>
      </c>
      <c r="P1003" s="0" t="n">
        <v>2.74</v>
      </c>
      <c r="Q1003" s="0" t="n">
        <v>2.95</v>
      </c>
      <c r="R1003" s="0" t="n">
        <v>5463</v>
      </c>
      <c r="S1003" s="0" t="n">
        <v>11358</v>
      </c>
      <c r="T1003" s="0" t="n">
        <v>59</v>
      </c>
      <c r="U1003" s="0" t="n">
        <v>1120</v>
      </c>
      <c r="V1003" s="0" t="n">
        <v>3</v>
      </c>
      <c r="W1003" s="27" t="n">
        <f aca="false">MATCH(A1003,DATAS,0)</f>
        <v>1</v>
      </c>
      <c r="X1003" s="27" t="n">
        <f aca="false">IF(AND(E1003&gt;0,OR(AND(B1003&gt;=1,B1003&lt;=6),B1003=10)),1,0)</f>
        <v>1</v>
      </c>
      <c r="Y1003" s="27" t="n">
        <f aca="false">IF(AND(E1003&gt;0,B1003=10),1,0)</f>
        <v>0</v>
      </c>
      <c r="Z1003" s="0" t="str">
        <f aca="false">IF(AND(C1002=C1003,W1002=W1003-1),X1002,"")</f>
        <v/>
      </c>
      <c r="AA1003" s="0" t="str">
        <f aca="false">IF(AND(C1002=C1003,W1002=W1003-1),Y1002,"")</f>
        <v/>
      </c>
      <c r="AB1003" s="0" t="str">
        <f aca="false">IF(W1003=1,"",IF(AND(X1003=1,Z1003&lt;&gt;1),1,0))</f>
        <v/>
      </c>
      <c r="AC1003" s="0" t="str">
        <f aca="false">IF(W1003=1,"",IF(AND(Y1003=1,AA1003&lt;&gt;1),1,0))</f>
        <v/>
      </c>
      <c r="AD1003" s="33" t="str">
        <f aca="false">IF(AND(E1003&gt;0,W1003&lt;1,NOT(AND(C1004=C1003,W1004=W1003+1))),INDEX(DATAS,W1003+1),"")</f>
        <v/>
      </c>
      <c r="AE1003" s="33" t="str">
        <f aca="false">IF(AND(Y1003=1,W1003&lt;1),IF(AND(C1004=C1003,W1004=W1003+1),IF(Y1004=1,"",INDEX(DATAS,W1003+1)),INDEX(DATAS,W1003+1)),"")</f>
        <v/>
      </c>
    </row>
    <row r="1004" customFormat="false" ht="15" hidden="false" customHeight="false" outlineLevel="0" collapsed="false">
      <c r="A1004" s="33" t="n">
        <v>46309</v>
      </c>
      <c r="B1004" s="0" t="n">
        <v>3</v>
      </c>
      <c r="C1004" s="0" t="n">
        <v>4997</v>
      </c>
      <c r="D1004" s="0" t="n">
        <v>127</v>
      </c>
      <c r="E1004" s="0" t="n">
        <v>2</v>
      </c>
      <c r="F1004" s="27" t="s">
        <v>747</v>
      </c>
      <c r="G1004" s="0" t="n">
        <v>53.2</v>
      </c>
      <c r="H1004" s="0" t="n">
        <v>56</v>
      </c>
      <c r="I1004" s="27" t="s">
        <v>176</v>
      </c>
      <c r="J1004" s="0" t="n">
        <v>127</v>
      </c>
      <c r="K1004" s="0" t="n">
        <v>64</v>
      </c>
      <c r="M1004" s="0" t="n">
        <v>430.86</v>
      </c>
      <c r="N1004" s="0" t="n">
        <v>69.71</v>
      </c>
      <c r="O1004" s="0" t="n">
        <v>24.25</v>
      </c>
      <c r="P1004" s="0" t="n">
        <v>3.5</v>
      </c>
      <c r="Q1004" s="0" t="n">
        <v>3.25</v>
      </c>
      <c r="R1004" s="0" t="n">
        <v>4993</v>
      </c>
      <c r="S1004" s="0" t="n">
        <v>10427</v>
      </c>
      <c r="T1004" s="0" t="n">
        <v>51.8</v>
      </c>
      <c r="U1004" s="0" t="n">
        <v>1120</v>
      </c>
      <c r="V1004" s="0" t="n">
        <v>2</v>
      </c>
      <c r="W1004" s="27" t="n">
        <f aca="false">MATCH(A1004,DATAS,0)</f>
        <v>1</v>
      </c>
      <c r="X1004" s="27" t="n">
        <f aca="false">IF(AND(E1004&gt;0,OR(AND(B1004&gt;=1,B1004&lt;=6),B1004=10)),1,0)</f>
        <v>1</v>
      </c>
      <c r="Y1004" s="27" t="n">
        <f aca="false">IF(AND(E1004&gt;0,B1004=10),1,0)</f>
        <v>0</v>
      </c>
      <c r="Z1004" s="0" t="str">
        <f aca="false">IF(AND(C1003=C1004,W1003=W1004-1),X1003,"")</f>
        <v/>
      </c>
      <c r="AA1004" s="0" t="str">
        <f aca="false">IF(AND(C1003=C1004,W1003=W1004-1),Y1003,"")</f>
        <v/>
      </c>
      <c r="AB1004" s="0" t="str">
        <f aca="false">IF(W1004=1,"",IF(AND(X1004=1,Z1004&lt;&gt;1),1,0))</f>
        <v/>
      </c>
      <c r="AC1004" s="0" t="str">
        <f aca="false">IF(W1004=1,"",IF(AND(Y1004=1,AA1004&lt;&gt;1),1,0))</f>
        <v/>
      </c>
      <c r="AD1004" s="33" t="str">
        <f aca="false">IF(AND(E1004&gt;0,W1004&lt;1,NOT(AND(C1005=C1004,W1005=W1004+1))),INDEX(DATAS,W1004+1),"")</f>
        <v/>
      </c>
      <c r="AE1004" s="33" t="str">
        <f aca="false">IF(AND(Y1004=1,W1004&lt;1),IF(AND(C1005=C1004,W1005=W1004+1),IF(Y1005=1,"",INDEX(DATAS,W1004+1)),INDEX(DATAS,W1004+1)),"")</f>
        <v/>
      </c>
    </row>
    <row r="1005" customFormat="false" ht="15" hidden="false" customHeight="false" outlineLevel="0" collapsed="false">
      <c r="A1005" s="33" t="n">
        <v>46309</v>
      </c>
      <c r="B1005" s="0" t="n">
        <v>7</v>
      </c>
      <c r="C1005" s="0" t="n">
        <v>4998</v>
      </c>
      <c r="D1005" s="0" t="n">
        <v>458</v>
      </c>
      <c r="E1005" s="0" t="n">
        <v>1</v>
      </c>
      <c r="F1005" s="27" t="s">
        <v>748</v>
      </c>
      <c r="I1005" s="27" t="s">
        <v>143</v>
      </c>
      <c r="J1005" s="0" t="n">
        <v>368</v>
      </c>
      <c r="K1005" s="0" t="n">
        <v>60</v>
      </c>
      <c r="L1005" s="0" t="n">
        <v>126</v>
      </c>
      <c r="M1005" s="0" t="n">
        <v>925.09</v>
      </c>
      <c r="N1005" s="0" t="n">
        <v>51.8</v>
      </c>
      <c r="O1005" s="0" t="n">
        <v>31.75</v>
      </c>
      <c r="P1005" s="0" t="n">
        <v>4.72</v>
      </c>
      <c r="Q1005" s="0" t="n">
        <v>3.33</v>
      </c>
      <c r="R1005" s="0" t="n">
        <v>4717</v>
      </c>
      <c r="S1005" s="0" t="n">
        <v>10049</v>
      </c>
      <c r="T1005" s="0" t="n">
        <v>53.65</v>
      </c>
      <c r="U1005" s="0" t="n">
        <v>1119</v>
      </c>
      <c r="V1005" s="0" t="n">
        <v>10</v>
      </c>
      <c r="W1005" s="27" t="n">
        <f aca="false">MATCH(A1005,DATAS,0)</f>
        <v>1</v>
      </c>
      <c r="X1005" s="27" t="n">
        <f aca="false">IF(AND(E1005&gt;0,OR(AND(B1005&gt;=1,B1005&lt;=6),B1005=10)),1,0)</f>
        <v>0</v>
      </c>
      <c r="Y1005" s="27" t="n">
        <f aca="false">IF(AND(E1005&gt;0,B1005=10),1,0)</f>
        <v>0</v>
      </c>
      <c r="Z1005" s="0" t="str">
        <f aca="false">IF(AND(C1004=C1005,W1004=W1005-1),X1004,"")</f>
        <v/>
      </c>
      <c r="AA1005" s="0" t="str">
        <f aca="false">IF(AND(C1004=C1005,W1004=W1005-1),Y1004,"")</f>
        <v/>
      </c>
      <c r="AB1005" s="0" t="str">
        <f aca="false">IF(W1005=1,"",IF(AND(X1005=1,Z1005&lt;&gt;1),1,0))</f>
        <v/>
      </c>
      <c r="AC1005" s="0" t="str">
        <f aca="false">IF(W1005=1,"",IF(AND(Y1005=1,AA1005&lt;&gt;1),1,0))</f>
        <v/>
      </c>
      <c r="AD1005" s="33" t="str">
        <f aca="false">IF(AND(E1005&gt;0,W1005&lt;1,NOT(AND(C1006=C1005,W1006=W1005+1))),INDEX(DATAS,W1005+1),"")</f>
        <v/>
      </c>
      <c r="AE1005" s="33" t="str">
        <f aca="false">IF(AND(Y1005=1,W1005&lt;1),IF(AND(C1006=C1005,W1006=W1005+1),IF(Y1006=1,"",INDEX(DATAS,W1005+1)),INDEX(DATAS,W1005+1)),"")</f>
        <v/>
      </c>
    </row>
    <row r="1006" customFormat="false" ht="15" hidden="false" customHeight="false" outlineLevel="0" collapsed="false">
      <c r="A1006" s="33" t="n">
        <v>46309</v>
      </c>
      <c r="B1006" s="0" t="n">
        <v>3</v>
      </c>
      <c r="C1006" s="0" t="n">
        <v>4999</v>
      </c>
      <c r="D1006" s="0" t="n">
        <v>30</v>
      </c>
      <c r="E1006" s="0" t="n">
        <v>2</v>
      </c>
      <c r="F1006" s="27" t="s">
        <v>748</v>
      </c>
      <c r="G1006" s="0" t="n">
        <v>61.9</v>
      </c>
      <c r="H1006" s="0" t="n">
        <v>57</v>
      </c>
      <c r="I1006" s="27" t="s">
        <v>147</v>
      </c>
      <c r="J1006" s="0" t="n">
        <v>30</v>
      </c>
      <c r="M1006" s="0" t="n">
        <v>1544.15</v>
      </c>
      <c r="N1006" s="0" t="n">
        <v>37.68</v>
      </c>
      <c r="O1006" s="0" t="n">
        <v>38.8</v>
      </c>
      <c r="P1006" s="0" t="n">
        <v>4.57</v>
      </c>
      <c r="Q1006" s="0" t="n">
        <v>4.29</v>
      </c>
      <c r="R1006" s="0" t="n">
        <v>4488</v>
      </c>
      <c r="S1006" s="0" t="n">
        <v>9021</v>
      </c>
      <c r="U1006" s="0" t="n">
        <v>1119</v>
      </c>
      <c r="V1006" s="0" t="n">
        <v>0</v>
      </c>
      <c r="W1006" s="27" t="n">
        <f aca="false">MATCH(A1006,DATAS,0)</f>
        <v>1</v>
      </c>
      <c r="X1006" s="27" t="n">
        <f aca="false">IF(AND(E1006&gt;0,OR(AND(B1006&gt;=1,B1006&lt;=6),B1006=10)),1,0)</f>
        <v>1</v>
      </c>
      <c r="Y1006" s="27" t="n">
        <f aca="false">IF(AND(E1006&gt;0,B1006=10),1,0)</f>
        <v>0</v>
      </c>
      <c r="Z1006" s="0" t="str">
        <f aca="false">IF(AND(C1005=C1006,W1005=W1006-1),X1005,"")</f>
        <v/>
      </c>
      <c r="AA1006" s="0" t="str">
        <f aca="false">IF(AND(C1005=C1006,W1005=W1006-1),Y1005,"")</f>
        <v/>
      </c>
      <c r="AB1006" s="0" t="str">
        <f aca="false">IF(W1006=1,"",IF(AND(X1006=1,Z1006&lt;&gt;1),1,0))</f>
        <v/>
      </c>
      <c r="AC1006" s="0" t="str">
        <f aca="false">IF(W1006=1,"",IF(AND(Y1006=1,AA1006&lt;&gt;1),1,0))</f>
        <v/>
      </c>
      <c r="AD1006" s="33" t="str">
        <f aca="false">IF(AND(E1006&gt;0,W1006&lt;1,NOT(AND(C1007=C1006,W1007=W1006+1))),INDEX(DATAS,W1006+1),"")</f>
        <v/>
      </c>
      <c r="AE1006" s="33" t="str">
        <f aca="false">IF(AND(Y1006=1,W1006&lt;1),IF(AND(C1007=C1006,W1007=W1006+1),IF(Y1007=1,"",INDEX(DATAS,W1006+1)),INDEX(DATAS,W1006+1)),"")</f>
        <v/>
      </c>
    </row>
    <row r="1007" customFormat="false" ht="15" hidden="false" customHeight="false" outlineLevel="0" collapsed="false">
      <c r="A1007" s="33" t="n">
        <v>46309</v>
      </c>
      <c r="B1007" s="0" t="n">
        <v>10</v>
      </c>
      <c r="C1007" s="0" t="n">
        <v>5001</v>
      </c>
      <c r="D1007" s="0" t="n">
        <v>15</v>
      </c>
      <c r="E1007" s="0" t="n">
        <v>2</v>
      </c>
      <c r="F1007" s="27" t="s">
        <v>748</v>
      </c>
      <c r="H1007" s="0" t="n">
        <v>19</v>
      </c>
      <c r="I1007" s="27" t="s">
        <v>147</v>
      </c>
      <c r="J1007" s="0" t="n">
        <v>15</v>
      </c>
      <c r="M1007" s="0" t="n">
        <v>584.46</v>
      </c>
      <c r="N1007" s="0" t="n">
        <v>39.9</v>
      </c>
      <c r="O1007" s="0" t="n">
        <v>29.45</v>
      </c>
      <c r="R1007" s="0" t="n">
        <v>1900</v>
      </c>
      <c r="S1007" s="0" t="n">
        <v>3820</v>
      </c>
      <c r="U1007" s="0" t="n">
        <v>1119</v>
      </c>
      <c r="V1007" s="0" t="n">
        <v>0</v>
      </c>
      <c r="W1007" s="27" t="n">
        <f aca="false">MATCH(A1007,DATAS,0)</f>
        <v>1</v>
      </c>
      <c r="X1007" s="27" t="n">
        <f aca="false">IF(AND(E1007&gt;0,OR(AND(B1007&gt;=1,B1007&lt;=6),B1007=10)),1,0)</f>
        <v>1</v>
      </c>
      <c r="Y1007" s="27" t="n">
        <f aca="false">IF(AND(E1007&gt;0,B1007=10),1,0)</f>
        <v>1</v>
      </c>
      <c r="Z1007" s="0" t="str">
        <f aca="false">IF(AND(C1006=C1007,W1006=W1007-1),X1006,"")</f>
        <v/>
      </c>
      <c r="AA1007" s="0" t="str">
        <f aca="false">IF(AND(C1006=C1007,W1006=W1007-1),Y1006,"")</f>
        <v/>
      </c>
      <c r="AB1007" s="0" t="str">
        <f aca="false">IF(W1007=1,"",IF(AND(X1007=1,Z1007&lt;&gt;1),1,0))</f>
        <v/>
      </c>
      <c r="AC1007" s="0" t="str">
        <f aca="false">IF(W1007=1,"",IF(AND(Y1007=1,AA1007&lt;&gt;1),1,0))</f>
        <v/>
      </c>
      <c r="AD1007" s="33" t="str">
        <f aca="false">IF(AND(E1007&gt;0,W1007&lt;1,NOT(AND(C1008=C1007,W1008=W1007+1))),INDEX(DATAS,W1007+1),"")</f>
        <v/>
      </c>
      <c r="AE1007" s="33" t="str">
        <f aca="false">IF(AND(Y1007=1,W1007&lt;1),IF(AND(C1008=C1007,W1008=W1007+1),IF(Y1008=1,"",INDEX(DATAS,W1007+1)),INDEX(DATAS,W1007+1)),"")</f>
        <v/>
      </c>
    </row>
    <row r="1008" customFormat="false" ht="15" hidden="false" customHeight="false" outlineLevel="0" collapsed="false">
      <c r="A1008" s="33" t="n">
        <v>46309</v>
      </c>
      <c r="B1008" s="0" t="n">
        <v>5</v>
      </c>
      <c r="C1008" s="0" t="n">
        <v>5003</v>
      </c>
      <c r="D1008" s="0" t="n">
        <v>66</v>
      </c>
      <c r="E1008" s="0" t="n">
        <v>2</v>
      </c>
      <c r="F1008" s="27" t="s">
        <v>749</v>
      </c>
      <c r="G1008" s="0" t="n">
        <v>35</v>
      </c>
      <c r="H1008" s="0" t="n">
        <v>35</v>
      </c>
      <c r="I1008" s="27" t="s">
        <v>176</v>
      </c>
      <c r="J1008" s="0" t="n">
        <v>66</v>
      </c>
      <c r="M1008" s="0" t="n">
        <v>346.12</v>
      </c>
      <c r="N1008" s="0" t="n">
        <v>52.43</v>
      </c>
      <c r="O1008" s="0" t="n">
        <v>25.62</v>
      </c>
      <c r="P1008" s="0" t="n">
        <v>5.37</v>
      </c>
      <c r="Q1008" s="0" t="n">
        <v>4.2</v>
      </c>
      <c r="R1008" s="0" t="n">
        <v>2995</v>
      </c>
      <c r="S1008" s="0" t="n">
        <v>6020</v>
      </c>
      <c r="U1008" s="0" t="n">
        <v>1118</v>
      </c>
      <c r="V1008" s="0" t="n">
        <v>0</v>
      </c>
      <c r="W1008" s="27" t="n">
        <f aca="false">MATCH(A1008,DATAS,0)</f>
        <v>1</v>
      </c>
      <c r="X1008" s="27" t="n">
        <f aca="false">IF(AND(E1008&gt;0,OR(AND(B1008&gt;=1,B1008&lt;=6),B1008=10)),1,0)</f>
        <v>1</v>
      </c>
      <c r="Y1008" s="27" t="n">
        <f aca="false">IF(AND(E1008&gt;0,B1008=10),1,0)</f>
        <v>0</v>
      </c>
      <c r="Z1008" s="0" t="str">
        <f aca="false">IF(AND(C1007=C1008,W1007=W1008-1),X1007,"")</f>
        <v/>
      </c>
      <c r="AA1008" s="0" t="str">
        <f aca="false">IF(AND(C1007=C1008,W1007=W1008-1),Y1007,"")</f>
        <v/>
      </c>
      <c r="AB1008" s="0" t="str">
        <f aca="false">IF(W1008=1,"",IF(AND(X1008=1,Z1008&lt;&gt;1),1,0))</f>
        <v/>
      </c>
      <c r="AC1008" s="0" t="str">
        <f aca="false">IF(W1008=1,"",IF(AND(Y1008=1,AA1008&lt;&gt;1),1,0))</f>
        <v/>
      </c>
      <c r="AD1008" s="33" t="str">
        <f aca="false">IF(AND(E1008&gt;0,W1008&lt;1,NOT(AND(C1009=C1008,W1009=W1008+1))),INDEX(DATAS,W1008+1),"")</f>
        <v/>
      </c>
      <c r="AE1008" s="33" t="str">
        <f aca="false">IF(AND(Y1008=1,W1008&lt;1),IF(AND(C1009=C1008,W1009=W1008+1),IF(Y1009=1,"",INDEX(DATAS,W1008+1)),INDEX(DATAS,W1008+1)),"")</f>
        <v/>
      </c>
    </row>
    <row r="1009" customFormat="false" ht="15" hidden="false" customHeight="false" outlineLevel="0" collapsed="false">
      <c r="A1009" s="33" t="n">
        <v>46309</v>
      </c>
      <c r="B1009" s="0" t="n">
        <v>2</v>
      </c>
      <c r="C1009" s="0" t="n">
        <v>5004</v>
      </c>
      <c r="D1009" s="0" t="n">
        <v>114</v>
      </c>
      <c r="E1009" s="0" t="n">
        <v>2</v>
      </c>
      <c r="F1009" s="27" t="s">
        <v>750</v>
      </c>
      <c r="G1009" s="0" t="n">
        <v>62.2</v>
      </c>
      <c r="H1009" s="0" t="n">
        <v>62</v>
      </c>
      <c r="I1009" s="27" t="s">
        <v>138</v>
      </c>
      <c r="J1009" s="0" t="n">
        <v>66</v>
      </c>
      <c r="K1009" s="0" t="n">
        <v>66</v>
      </c>
      <c r="L1009" s="0" t="n">
        <v>48</v>
      </c>
      <c r="M1009" s="0" t="n">
        <v>1392.34</v>
      </c>
      <c r="N1009" s="0" t="n">
        <v>31.79</v>
      </c>
      <c r="O1009" s="0" t="n">
        <v>42.08</v>
      </c>
      <c r="P1009" s="0" t="n">
        <v>3.1</v>
      </c>
      <c r="Q1009" s="0" t="n">
        <v>3.14</v>
      </c>
      <c r="R1009" s="0" t="n">
        <v>6155</v>
      </c>
      <c r="S1009" s="0" t="n">
        <v>12442</v>
      </c>
      <c r="T1009" s="0" t="n">
        <v>67.25</v>
      </c>
      <c r="U1009" s="0" t="n">
        <v>1117</v>
      </c>
      <c r="V1009" s="0" t="n">
        <v>1</v>
      </c>
      <c r="W1009" s="27" t="n">
        <f aca="false">MATCH(A1009,DATAS,0)</f>
        <v>1</v>
      </c>
      <c r="X1009" s="27" t="n">
        <f aca="false">IF(AND(E1009&gt;0,OR(AND(B1009&gt;=1,B1009&lt;=6),B1009=10)),1,0)</f>
        <v>1</v>
      </c>
      <c r="Y1009" s="27" t="n">
        <f aca="false">IF(AND(E1009&gt;0,B1009=10),1,0)</f>
        <v>0</v>
      </c>
      <c r="Z1009" s="0" t="str">
        <f aca="false">IF(AND(C1008=C1009,W1008=W1009-1),X1008,"")</f>
        <v/>
      </c>
      <c r="AA1009" s="0" t="str">
        <f aca="false">IF(AND(C1008=C1009,W1008=W1009-1),Y1008,"")</f>
        <v/>
      </c>
      <c r="AB1009" s="0" t="str">
        <f aca="false">IF(W1009=1,"",IF(AND(X1009=1,Z1009&lt;&gt;1),1,0))</f>
        <v/>
      </c>
      <c r="AC1009" s="0" t="str">
        <f aca="false">IF(W1009=1,"",IF(AND(Y1009=1,AA1009&lt;&gt;1),1,0))</f>
        <v/>
      </c>
      <c r="AD1009" s="33" t="str">
        <f aca="false">IF(AND(E1009&gt;0,W1009&lt;1,NOT(AND(C1010=C1009,W1010=W1009+1))),INDEX(DATAS,W1009+1),"")</f>
        <v/>
      </c>
      <c r="AE1009" s="33" t="str">
        <f aca="false">IF(AND(Y1009=1,W1009&lt;1),IF(AND(C1010=C1009,W1010=W1009+1),IF(Y1010=1,"",INDEX(DATAS,W1009+1)),INDEX(DATAS,W1009+1)),"")</f>
        <v/>
      </c>
    </row>
    <row r="1010" customFormat="false" ht="15" hidden="false" customHeight="false" outlineLevel="0" collapsed="false">
      <c r="A1010" s="33" t="n">
        <v>46309</v>
      </c>
      <c r="B1010" s="0" t="n">
        <v>3</v>
      </c>
      <c r="C1010" s="0" t="n">
        <v>5005</v>
      </c>
      <c r="D1010" s="0" t="n">
        <v>32</v>
      </c>
      <c r="E1010" s="0" t="n">
        <v>2</v>
      </c>
      <c r="F1010" s="27" t="s">
        <v>750</v>
      </c>
      <c r="G1010" s="0" t="n">
        <v>59.3</v>
      </c>
      <c r="H1010" s="0" t="n">
        <v>55</v>
      </c>
      <c r="I1010" s="27" t="s">
        <v>147</v>
      </c>
      <c r="J1010" s="0" t="n">
        <v>32</v>
      </c>
      <c r="M1010" s="0" t="n">
        <v>341.82</v>
      </c>
      <c r="N1010" s="0" t="n">
        <v>96.86</v>
      </c>
      <c r="O1010" s="0" t="n">
        <v>36.51</v>
      </c>
      <c r="P1010" s="0" t="n">
        <v>5.33</v>
      </c>
      <c r="Q1010" s="0" t="n">
        <v>4.11</v>
      </c>
      <c r="R1010" s="0" t="n">
        <v>5094</v>
      </c>
      <c r="S1010" s="0" t="n">
        <v>10239</v>
      </c>
      <c r="U1010" s="0" t="n">
        <v>1117</v>
      </c>
      <c r="V1010" s="0" t="n">
        <v>0</v>
      </c>
      <c r="W1010" s="27" t="n">
        <f aca="false">MATCH(A1010,DATAS,0)</f>
        <v>1</v>
      </c>
      <c r="X1010" s="27" t="n">
        <f aca="false">IF(AND(E1010&gt;0,OR(AND(B1010&gt;=1,B1010&lt;=6),B1010=10)),1,0)</f>
        <v>1</v>
      </c>
      <c r="Y1010" s="27" t="n">
        <f aca="false">IF(AND(E1010&gt;0,B1010=10),1,0)</f>
        <v>0</v>
      </c>
      <c r="Z1010" s="0" t="str">
        <f aca="false">IF(AND(C1009=C1010,W1009=W1010-1),X1009,"")</f>
        <v/>
      </c>
      <c r="AA1010" s="0" t="str">
        <f aca="false">IF(AND(C1009=C1010,W1009=W1010-1),Y1009,"")</f>
        <v/>
      </c>
      <c r="AB1010" s="0" t="str">
        <f aca="false">IF(W1010=1,"",IF(AND(X1010=1,Z1010&lt;&gt;1),1,0))</f>
        <v/>
      </c>
      <c r="AC1010" s="0" t="str">
        <f aca="false">IF(W1010=1,"",IF(AND(Y1010=1,AA1010&lt;&gt;1),1,0))</f>
        <v/>
      </c>
      <c r="AD1010" s="33" t="str">
        <f aca="false">IF(AND(E1010&gt;0,W1010&lt;1,NOT(AND(C1011=C1010,W1011=W1010+1))),INDEX(DATAS,W1010+1),"")</f>
        <v/>
      </c>
      <c r="AE1010" s="33" t="str">
        <f aca="false">IF(AND(Y1010=1,W1010&lt;1),IF(AND(C1011=C1010,W1011=W1010+1),IF(Y1011=1,"",INDEX(DATAS,W1010+1)),INDEX(DATAS,W1010+1)),"")</f>
        <v/>
      </c>
    </row>
    <row r="1011" customFormat="false" ht="15" hidden="false" customHeight="false" outlineLevel="0" collapsed="false">
      <c r="A1011" s="33" t="n">
        <v>46309</v>
      </c>
      <c r="B1011" s="0" t="n">
        <v>7</v>
      </c>
      <c r="C1011" s="0" t="n">
        <v>5006</v>
      </c>
      <c r="D1011" s="0" t="n">
        <v>324</v>
      </c>
      <c r="E1011" s="0" t="n">
        <v>1</v>
      </c>
      <c r="F1011" s="27" t="s">
        <v>751</v>
      </c>
      <c r="I1011" s="27" t="s">
        <v>143</v>
      </c>
      <c r="J1011" s="0" t="n">
        <v>101</v>
      </c>
      <c r="K1011" s="0" t="n">
        <v>66</v>
      </c>
      <c r="L1011" s="0" t="n">
        <v>238</v>
      </c>
      <c r="M1011" s="0" t="n">
        <v>702.76</v>
      </c>
      <c r="N1011" s="0" t="n">
        <v>50.8</v>
      </c>
      <c r="O1011" s="0" t="n">
        <v>39.15</v>
      </c>
      <c r="P1011" s="0" t="n">
        <v>4.08</v>
      </c>
      <c r="Q1011" s="0" t="n">
        <v>3.6</v>
      </c>
      <c r="R1011" s="0" t="n">
        <v>4303</v>
      </c>
      <c r="S1011" s="0" t="n">
        <v>9663</v>
      </c>
      <c r="T1011" s="0" t="n">
        <v>50.1</v>
      </c>
      <c r="U1011" s="0" t="n">
        <v>1116</v>
      </c>
      <c r="V1011" s="0" t="n">
        <v>2</v>
      </c>
      <c r="W1011" s="27" t="n">
        <f aca="false">MATCH(A1011,DATAS,0)</f>
        <v>1</v>
      </c>
      <c r="X1011" s="27" t="n">
        <f aca="false">IF(AND(E1011&gt;0,OR(AND(B1011&gt;=1,B1011&lt;=6),B1011=10)),1,0)</f>
        <v>0</v>
      </c>
      <c r="Y1011" s="27" t="n">
        <f aca="false">IF(AND(E1011&gt;0,B1011=10),1,0)</f>
        <v>0</v>
      </c>
      <c r="Z1011" s="0" t="str">
        <f aca="false">IF(AND(C1010=C1011,W1010=W1011-1),X1010,"")</f>
        <v/>
      </c>
      <c r="AA1011" s="0" t="str">
        <f aca="false">IF(AND(C1010=C1011,W1010=W1011-1),Y1010,"")</f>
        <v/>
      </c>
      <c r="AB1011" s="0" t="str">
        <f aca="false">IF(W1011=1,"",IF(AND(X1011=1,Z1011&lt;&gt;1),1,0))</f>
        <v/>
      </c>
      <c r="AC1011" s="0" t="str">
        <f aca="false">IF(W1011=1,"",IF(AND(Y1011=1,AA1011&lt;&gt;1),1,0))</f>
        <v/>
      </c>
      <c r="AD1011" s="33" t="str">
        <f aca="false">IF(AND(E1011&gt;0,W1011&lt;1,NOT(AND(C1012=C1011,W1012=W1011+1))),INDEX(DATAS,W1011+1),"")</f>
        <v/>
      </c>
      <c r="AE1011" s="33" t="str">
        <f aca="false">IF(AND(Y1011=1,W1011&lt;1),IF(AND(C1012=C1011,W1012=W1011+1),IF(Y1012=1,"",INDEX(DATAS,W1011+1)),INDEX(DATAS,W1011+1)),"")</f>
        <v/>
      </c>
    </row>
    <row r="1012" customFormat="false" ht="15" hidden="false" customHeight="false" outlineLevel="0" collapsed="false">
      <c r="A1012" s="33" t="n">
        <v>46309</v>
      </c>
      <c r="B1012" s="0" t="n">
        <v>3</v>
      </c>
      <c r="C1012" s="0" t="n">
        <v>5007</v>
      </c>
      <c r="D1012" s="0" t="n">
        <v>106</v>
      </c>
      <c r="E1012" s="0" t="n">
        <v>2</v>
      </c>
      <c r="F1012" s="27" t="s">
        <v>752</v>
      </c>
      <c r="G1012" s="0" t="n">
        <v>60.6</v>
      </c>
      <c r="H1012" s="0" t="n">
        <v>56</v>
      </c>
      <c r="I1012" s="27" t="s">
        <v>176</v>
      </c>
      <c r="J1012" s="0" t="n">
        <v>106</v>
      </c>
      <c r="K1012" s="0" t="n">
        <v>64</v>
      </c>
      <c r="M1012" s="0" t="n">
        <v>1337.39</v>
      </c>
      <c r="N1012" s="0" t="n">
        <v>35.5</v>
      </c>
      <c r="O1012" s="0" t="n">
        <v>38.3</v>
      </c>
      <c r="P1012" s="0" t="n">
        <v>3.11</v>
      </c>
      <c r="Q1012" s="0" t="n">
        <v>3.29</v>
      </c>
      <c r="R1012" s="0" t="n">
        <v>4971</v>
      </c>
      <c r="S1012" s="0" t="n">
        <v>10076</v>
      </c>
      <c r="T1012" s="0" t="n">
        <v>55.65</v>
      </c>
      <c r="U1012" s="0" t="n">
        <v>1115</v>
      </c>
      <c r="V1012" s="0" t="n">
        <v>1</v>
      </c>
      <c r="W1012" s="27" t="n">
        <f aca="false">MATCH(A1012,DATAS,0)</f>
        <v>1</v>
      </c>
      <c r="X1012" s="27" t="n">
        <f aca="false">IF(AND(E1012&gt;0,OR(AND(B1012&gt;=1,B1012&lt;=6),B1012=10)),1,0)</f>
        <v>1</v>
      </c>
      <c r="Y1012" s="27" t="n">
        <f aca="false">IF(AND(E1012&gt;0,B1012=10),1,0)</f>
        <v>0</v>
      </c>
      <c r="Z1012" s="0" t="str">
        <f aca="false">IF(AND(C1011=C1012,W1011=W1012-1),X1011,"")</f>
        <v/>
      </c>
      <c r="AA1012" s="0" t="str">
        <f aca="false">IF(AND(C1011=C1012,W1011=W1012-1),Y1011,"")</f>
        <v/>
      </c>
      <c r="AB1012" s="0" t="str">
        <f aca="false">IF(W1012=1,"",IF(AND(X1012=1,Z1012&lt;&gt;1),1,0))</f>
        <v/>
      </c>
      <c r="AC1012" s="0" t="str">
        <f aca="false">IF(W1012=1,"",IF(AND(Y1012=1,AA1012&lt;&gt;1),1,0))</f>
        <v/>
      </c>
      <c r="AD1012" s="33" t="str">
        <f aca="false">IF(AND(E1012&gt;0,W1012&lt;1,NOT(AND(C1013=C1012,W1013=W1012+1))),INDEX(DATAS,W1012+1),"")</f>
        <v/>
      </c>
      <c r="AE1012" s="33" t="str">
        <f aca="false">IF(AND(Y1012=1,W1012&lt;1),IF(AND(C1013=C1012,W1013=W1012+1),IF(Y1013=1,"",INDEX(DATAS,W1012+1)),INDEX(DATAS,W1012+1)),"")</f>
        <v/>
      </c>
    </row>
    <row r="1013" customFormat="false" ht="15" hidden="false" customHeight="false" outlineLevel="0" collapsed="false">
      <c r="A1013" s="33" t="n">
        <v>46309</v>
      </c>
      <c r="B1013" s="0" t="n">
        <v>5</v>
      </c>
      <c r="C1013" s="0" t="n">
        <v>5009</v>
      </c>
      <c r="D1013" s="0" t="n">
        <v>93</v>
      </c>
      <c r="E1013" s="0" t="n">
        <v>2</v>
      </c>
      <c r="F1013" s="27" t="s">
        <v>753</v>
      </c>
      <c r="G1013" s="0" t="n">
        <v>48.3</v>
      </c>
      <c r="H1013" s="0" t="n">
        <v>43</v>
      </c>
      <c r="I1013" s="27" t="s">
        <v>151</v>
      </c>
      <c r="J1013" s="0" t="n">
        <v>93</v>
      </c>
      <c r="M1013" s="0" t="n">
        <v>1195</v>
      </c>
      <c r="N1013" s="0" t="n">
        <v>44.88</v>
      </c>
      <c r="O1013" s="0" t="n">
        <v>41.64</v>
      </c>
      <c r="P1013" s="0" t="n">
        <v>4.04</v>
      </c>
      <c r="Q1013" s="0" t="n">
        <v>3.52</v>
      </c>
      <c r="R1013" s="0" t="n">
        <v>3424</v>
      </c>
      <c r="S1013" s="0" t="n">
        <v>6883</v>
      </c>
      <c r="T1013" s="0" t="n">
        <v>35.55</v>
      </c>
      <c r="U1013" s="0" t="n">
        <v>1114</v>
      </c>
      <c r="V1013" s="0" t="n">
        <v>0</v>
      </c>
      <c r="W1013" s="27" t="n">
        <f aca="false">MATCH(A1013,DATAS,0)</f>
        <v>1</v>
      </c>
      <c r="X1013" s="27" t="n">
        <f aca="false">IF(AND(E1013&gt;0,OR(AND(B1013&gt;=1,B1013&lt;=6),B1013=10)),1,0)</f>
        <v>1</v>
      </c>
      <c r="Y1013" s="27" t="n">
        <f aca="false">IF(AND(E1013&gt;0,B1013=10),1,0)</f>
        <v>0</v>
      </c>
      <c r="Z1013" s="0" t="str">
        <f aca="false">IF(AND(C1012=C1013,W1012=W1013-1),X1012,"")</f>
        <v/>
      </c>
      <c r="AA1013" s="0" t="str">
        <f aca="false">IF(AND(C1012=C1013,W1012=W1013-1),Y1012,"")</f>
        <v/>
      </c>
      <c r="AB1013" s="0" t="str">
        <f aca="false">IF(W1013=1,"",IF(AND(X1013=1,Z1013&lt;&gt;1),1,0))</f>
        <v/>
      </c>
      <c r="AC1013" s="0" t="str">
        <f aca="false">IF(W1013=1,"",IF(AND(Y1013=1,AA1013&lt;&gt;1),1,0))</f>
        <v/>
      </c>
      <c r="AD1013" s="33" t="str">
        <f aca="false">IF(AND(E1013&gt;0,W1013&lt;1,NOT(AND(C1014=C1013,W1014=W1013+1))),INDEX(DATAS,W1013+1),"")</f>
        <v/>
      </c>
      <c r="AE1013" s="33" t="str">
        <f aca="false">IF(AND(Y1013=1,W1013&lt;1),IF(AND(C1014=C1013,W1014=W1013+1),IF(Y1014=1,"",INDEX(DATAS,W1013+1)),INDEX(DATAS,W1013+1)),"")</f>
        <v/>
      </c>
    </row>
    <row r="1014" customFormat="false" ht="15" hidden="false" customHeight="false" outlineLevel="0" collapsed="false">
      <c r="A1014" s="33" t="n">
        <v>46309</v>
      </c>
      <c r="B1014" s="0" t="n">
        <v>3</v>
      </c>
      <c r="C1014" s="0" t="n">
        <v>5013</v>
      </c>
      <c r="D1014" s="0" t="n">
        <v>144</v>
      </c>
      <c r="E1014" s="0" t="n">
        <v>2</v>
      </c>
      <c r="F1014" s="27" t="s">
        <v>754</v>
      </c>
      <c r="G1014" s="0" t="n">
        <v>54.3</v>
      </c>
      <c r="H1014" s="0" t="n">
        <v>56</v>
      </c>
      <c r="I1014" s="27" t="s">
        <v>138</v>
      </c>
      <c r="J1014" s="0" t="n">
        <v>67</v>
      </c>
      <c r="K1014" s="0" t="n">
        <v>67</v>
      </c>
      <c r="L1014" s="0" t="n">
        <v>77</v>
      </c>
      <c r="M1014" s="0" t="n">
        <v>693.43</v>
      </c>
      <c r="N1014" s="0" t="n">
        <v>60.61</v>
      </c>
      <c r="O1014" s="0" t="n">
        <v>23.19</v>
      </c>
      <c r="P1014" s="0" t="n">
        <v>3.47</v>
      </c>
      <c r="Q1014" s="0" t="n">
        <v>3.02</v>
      </c>
      <c r="R1014" s="0" t="n">
        <v>4858</v>
      </c>
      <c r="S1014" s="0" t="n">
        <v>10371</v>
      </c>
      <c r="T1014" s="0" t="n">
        <v>55.8</v>
      </c>
      <c r="U1014" s="0" t="n">
        <v>1113</v>
      </c>
      <c r="V1014" s="0" t="n">
        <v>1</v>
      </c>
      <c r="W1014" s="27" t="n">
        <f aca="false">MATCH(A1014,DATAS,0)</f>
        <v>1</v>
      </c>
      <c r="X1014" s="27" t="n">
        <f aca="false">IF(AND(E1014&gt;0,OR(AND(B1014&gt;=1,B1014&lt;=6),B1014=10)),1,0)</f>
        <v>1</v>
      </c>
      <c r="Y1014" s="27" t="n">
        <f aca="false">IF(AND(E1014&gt;0,B1014=10),1,0)</f>
        <v>0</v>
      </c>
      <c r="Z1014" s="0" t="str">
        <f aca="false">IF(AND(C1013=C1014,W1013=W1014-1),X1013,"")</f>
        <v/>
      </c>
      <c r="AA1014" s="0" t="str">
        <f aca="false">IF(AND(C1013=C1014,W1013=W1014-1),Y1013,"")</f>
        <v/>
      </c>
      <c r="AB1014" s="0" t="str">
        <f aca="false">IF(W1014=1,"",IF(AND(X1014=1,Z1014&lt;&gt;1),1,0))</f>
        <v/>
      </c>
      <c r="AC1014" s="0" t="str">
        <f aca="false">IF(W1014=1,"",IF(AND(Y1014=1,AA1014&lt;&gt;1),1,0))</f>
        <v/>
      </c>
      <c r="AD1014" s="33" t="str">
        <f aca="false">IF(AND(E1014&gt;0,W1014&lt;1,NOT(AND(C1015=C1014,W1015=W1014+1))),INDEX(DATAS,W1014+1),"")</f>
        <v/>
      </c>
      <c r="AE1014" s="33" t="str">
        <f aca="false">IF(AND(Y1014=1,W1014&lt;1),IF(AND(C1015=C1014,W1015=W1014+1),IF(Y1015=1,"",INDEX(DATAS,W1014+1)),INDEX(DATAS,W1014+1)),"")</f>
        <v/>
      </c>
    </row>
    <row r="1015" customFormat="false" ht="15" hidden="false" customHeight="false" outlineLevel="0" collapsed="false">
      <c r="A1015" s="33" t="n">
        <v>46309</v>
      </c>
      <c r="B1015" s="0" t="n">
        <v>2</v>
      </c>
      <c r="C1015" s="0" t="n">
        <v>5014</v>
      </c>
      <c r="D1015" s="0" t="n">
        <v>103</v>
      </c>
      <c r="E1015" s="0" t="n">
        <v>2</v>
      </c>
      <c r="F1015" s="27" t="s">
        <v>754</v>
      </c>
      <c r="G1015" s="0" t="n">
        <v>47.9</v>
      </c>
      <c r="H1015" s="0" t="n">
        <v>50</v>
      </c>
      <c r="I1015" s="27" t="s">
        <v>176</v>
      </c>
      <c r="J1015" s="0" t="n">
        <v>103</v>
      </c>
      <c r="K1015" s="0" t="n">
        <v>68</v>
      </c>
      <c r="M1015" s="0" t="n">
        <v>249.52</v>
      </c>
      <c r="N1015" s="0" t="n">
        <v>64.91</v>
      </c>
      <c r="O1015" s="0" t="n">
        <v>32.41</v>
      </c>
      <c r="P1015" s="0" t="n">
        <v>3.91</v>
      </c>
      <c r="Q1015" s="0" t="n">
        <v>3.4</v>
      </c>
      <c r="R1015" s="0" t="n">
        <v>4862</v>
      </c>
      <c r="S1015" s="0" t="n">
        <v>9785</v>
      </c>
      <c r="U1015" s="0" t="n">
        <v>1113</v>
      </c>
      <c r="V1015" s="0" t="n">
        <v>1</v>
      </c>
      <c r="W1015" s="27" t="n">
        <f aca="false">MATCH(A1015,DATAS,0)</f>
        <v>1</v>
      </c>
      <c r="X1015" s="27" t="n">
        <f aca="false">IF(AND(E1015&gt;0,OR(AND(B1015&gt;=1,B1015&lt;=6),B1015=10)),1,0)</f>
        <v>1</v>
      </c>
      <c r="Y1015" s="27" t="n">
        <f aca="false">IF(AND(E1015&gt;0,B1015=10),1,0)</f>
        <v>0</v>
      </c>
      <c r="Z1015" s="0" t="str">
        <f aca="false">IF(AND(C1014=C1015,W1014=W1015-1),X1014,"")</f>
        <v/>
      </c>
      <c r="AA1015" s="0" t="str">
        <f aca="false">IF(AND(C1014=C1015,W1014=W1015-1),Y1014,"")</f>
        <v/>
      </c>
      <c r="AB1015" s="0" t="str">
        <f aca="false">IF(W1015=1,"",IF(AND(X1015=1,Z1015&lt;&gt;1),1,0))</f>
        <v/>
      </c>
      <c r="AC1015" s="0" t="str">
        <f aca="false">IF(W1015=1,"",IF(AND(Y1015=1,AA1015&lt;&gt;1),1,0))</f>
        <v/>
      </c>
      <c r="AD1015" s="33" t="str">
        <f aca="false">IF(AND(E1015&gt;0,W1015&lt;1,NOT(AND(C1016=C1015,W1016=W1015+1))),INDEX(DATAS,W1015+1),"")</f>
        <v/>
      </c>
      <c r="AE1015" s="33" t="str">
        <f aca="false">IF(AND(Y1015=1,W1015&lt;1),IF(AND(C1016=C1015,W1016=W1015+1),IF(Y1016=1,"",INDEX(DATAS,W1015+1)),INDEX(DATAS,W1015+1)),"")</f>
        <v/>
      </c>
    </row>
    <row r="1016" customFormat="false" ht="15" hidden="false" customHeight="false" outlineLevel="0" collapsed="false">
      <c r="A1016" s="33" t="n">
        <v>46309</v>
      </c>
      <c r="B1016" s="0" t="n">
        <v>3</v>
      </c>
      <c r="C1016" s="0" t="n">
        <v>5015</v>
      </c>
      <c r="D1016" s="0" t="n">
        <v>59</v>
      </c>
      <c r="E1016" s="0" t="n">
        <v>2</v>
      </c>
      <c r="F1016" s="27" t="s">
        <v>755</v>
      </c>
      <c r="G1016" s="0" t="n">
        <v>63.2</v>
      </c>
      <c r="H1016" s="0" t="n">
        <v>63</v>
      </c>
      <c r="I1016" s="27" t="s">
        <v>168</v>
      </c>
      <c r="J1016" s="0" t="n">
        <v>59</v>
      </c>
      <c r="K1016" s="0" t="n">
        <v>56</v>
      </c>
      <c r="M1016" s="0" t="n">
        <v>1346.21</v>
      </c>
      <c r="N1016" s="0" t="n">
        <v>43.07</v>
      </c>
      <c r="O1016" s="0" t="n">
        <v>37.02</v>
      </c>
      <c r="P1016" s="0" t="n">
        <v>3.38</v>
      </c>
      <c r="Q1016" s="0" t="n">
        <v>2.87</v>
      </c>
      <c r="R1016" s="0" t="n">
        <v>5694</v>
      </c>
      <c r="S1016" s="0" t="n">
        <v>11446</v>
      </c>
      <c r="U1016" s="0" t="n">
        <v>1112</v>
      </c>
      <c r="V1016" s="0" t="n">
        <v>1</v>
      </c>
      <c r="W1016" s="27" t="n">
        <f aca="false">MATCH(A1016,DATAS,0)</f>
        <v>1</v>
      </c>
      <c r="X1016" s="27" t="n">
        <f aca="false">IF(AND(E1016&gt;0,OR(AND(B1016&gt;=1,B1016&lt;=6),B1016=10)),1,0)</f>
        <v>1</v>
      </c>
      <c r="Y1016" s="27" t="n">
        <f aca="false">IF(AND(E1016&gt;0,B1016=10),1,0)</f>
        <v>0</v>
      </c>
      <c r="Z1016" s="0" t="str">
        <f aca="false">IF(AND(C1015=C1016,W1015=W1016-1),X1015,"")</f>
        <v/>
      </c>
      <c r="AA1016" s="0" t="str">
        <f aca="false">IF(AND(C1015=C1016,W1015=W1016-1),Y1015,"")</f>
        <v/>
      </c>
      <c r="AB1016" s="0" t="str">
        <f aca="false">IF(W1016=1,"",IF(AND(X1016=1,Z1016&lt;&gt;1),1,0))</f>
        <v/>
      </c>
      <c r="AC1016" s="0" t="str">
        <f aca="false">IF(W1016=1,"",IF(AND(Y1016=1,AA1016&lt;&gt;1),1,0))</f>
        <v/>
      </c>
      <c r="AD1016" s="33" t="str">
        <f aca="false">IF(AND(E1016&gt;0,W1016&lt;1,NOT(AND(C1017=C1016,W1017=W1016+1))),INDEX(DATAS,W1016+1),"")</f>
        <v/>
      </c>
      <c r="AE1016" s="33" t="str">
        <f aca="false">IF(AND(Y1016=1,W1016&lt;1),IF(AND(C1017=C1016,W1017=W1016+1),IF(Y1017=1,"",INDEX(DATAS,W1016+1)),INDEX(DATAS,W1016+1)),"")</f>
        <v/>
      </c>
    </row>
    <row r="1017" customFormat="false" ht="15" hidden="false" customHeight="false" outlineLevel="0" collapsed="false">
      <c r="A1017" s="33" t="n">
        <v>46309</v>
      </c>
      <c r="B1017" s="0" t="n">
        <v>10</v>
      </c>
      <c r="C1017" s="0" t="n">
        <v>5016</v>
      </c>
      <c r="D1017" s="0" t="n">
        <v>114</v>
      </c>
      <c r="E1017" s="0" t="n">
        <v>2</v>
      </c>
      <c r="F1017" s="27" t="s">
        <v>755</v>
      </c>
      <c r="G1017" s="0" t="n">
        <v>15.9</v>
      </c>
      <c r="H1017" s="0" t="n">
        <v>22</v>
      </c>
      <c r="I1017" s="27" t="s">
        <v>168</v>
      </c>
      <c r="J1017" s="0" t="n">
        <v>114</v>
      </c>
      <c r="K1017" s="0" t="n">
        <v>93</v>
      </c>
      <c r="M1017" s="0" t="n">
        <v>231.84</v>
      </c>
      <c r="N1017" s="0" t="n">
        <v>33.46</v>
      </c>
      <c r="O1017" s="0" t="n">
        <v>25.06</v>
      </c>
      <c r="P1017" s="0" t="n">
        <v>4.95</v>
      </c>
      <c r="Q1017" s="0" t="n">
        <v>3.58</v>
      </c>
      <c r="R1017" s="0" t="n">
        <v>3346</v>
      </c>
      <c r="S1017" s="0" t="n">
        <v>6642</v>
      </c>
      <c r="T1017" s="0" t="n">
        <v>42.65</v>
      </c>
      <c r="U1017" s="0" t="n">
        <v>1112</v>
      </c>
      <c r="V1017" s="0" t="n">
        <v>1</v>
      </c>
      <c r="W1017" s="27" t="n">
        <f aca="false">MATCH(A1017,DATAS,0)</f>
        <v>1</v>
      </c>
      <c r="X1017" s="27" t="n">
        <f aca="false">IF(AND(E1017&gt;0,OR(AND(B1017&gt;=1,B1017&lt;=6),B1017=10)),1,0)</f>
        <v>1</v>
      </c>
      <c r="Y1017" s="27" t="n">
        <f aca="false">IF(AND(E1017&gt;0,B1017=10),1,0)</f>
        <v>1</v>
      </c>
      <c r="Z1017" s="0" t="str">
        <f aca="false">IF(AND(C1016=C1017,W1016=W1017-1),X1016,"")</f>
        <v/>
      </c>
      <c r="AA1017" s="0" t="str">
        <f aca="false">IF(AND(C1016=C1017,W1016=W1017-1),Y1016,"")</f>
        <v/>
      </c>
      <c r="AB1017" s="0" t="str">
        <f aca="false">IF(W1017=1,"",IF(AND(X1017=1,Z1017&lt;&gt;1),1,0))</f>
        <v/>
      </c>
      <c r="AC1017" s="0" t="str">
        <f aca="false">IF(W1017=1,"",IF(AND(Y1017=1,AA1017&lt;&gt;1),1,0))</f>
        <v/>
      </c>
      <c r="AD1017" s="33" t="str">
        <f aca="false">IF(AND(E1017&gt;0,W1017&lt;1,NOT(AND(C1018=C1017,W1018=W1017+1))),INDEX(DATAS,W1017+1),"")</f>
        <v/>
      </c>
      <c r="AE1017" s="33" t="str">
        <f aca="false">IF(AND(Y1017=1,W1017&lt;1),IF(AND(C1018=C1017,W1018=W1017+1),IF(Y1018=1,"",INDEX(DATAS,W1017+1)),INDEX(DATAS,W1017+1)),"")</f>
        <v/>
      </c>
    </row>
    <row r="1018" customFormat="false" ht="15" hidden="false" customHeight="false" outlineLevel="0" collapsed="false">
      <c r="A1018" s="33" t="n">
        <v>46309</v>
      </c>
      <c r="B1018" s="0" t="n">
        <v>5</v>
      </c>
      <c r="C1018" s="0" t="n">
        <v>5017</v>
      </c>
      <c r="D1018" s="0" t="n">
        <v>144</v>
      </c>
      <c r="E1018" s="0" t="n">
        <v>2</v>
      </c>
      <c r="F1018" s="27" t="s">
        <v>755</v>
      </c>
      <c r="G1018" s="0" t="n">
        <v>43.1</v>
      </c>
      <c r="H1018" s="0" t="n">
        <v>38</v>
      </c>
      <c r="I1018" s="27" t="s">
        <v>168</v>
      </c>
      <c r="J1018" s="0" t="n">
        <v>144</v>
      </c>
      <c r="K1018" s="0" t="n">
        <v>67</v>
      </c>
      <c r="M1018" s="0" t="n">
        <v>137.2</v>
      </c>
      <c r="N1018" s="0" t="n">
        <v>68.56</v>
      </c>
      <c r="O1018" s="0" t="n">
        <v>19.94</v>
      </c>
      <c r="P1018" s="0" t="n">
        <v>5.15</v>
      </c>
      <c r="Q1018" s="0" t="n">
        <v>3.81</v>
      </c>
      <c r="R1018" s="0" t="n">
        <v>2854</v>
      </c>
      <c r="S1018" s="0" t="n">
        <v>6249</v>
      </c>
      <c r="T1018" s="0" t="n">
        <v>40.9</v>
      </c>
      <c r="U1018" s="0" t="n">
        <v>1112</v>
      </c>
      <c r="V1018" s="0" t="n">
        <v>4</v>
      </c>
      <c r="W1018" s="27" t="n">
        <f aca="false">MATCH(A1018,DATAS,0)</f>
        <v>1</v>
      </c>
      <c r="X1018" s="27" t="n">
        <f aca="false">IF(AND(E1018&gt;0,OR(AND(B1018&gt;=1,B1018&lt;=6),B1018=10)),1,0)</f>
        <v>1</v>
      </c>
      <c r="Y1018" s="27" t="n">
        <f aca="false">IF(AND(E1018&gt;0,B1018=10),1,0)</f>
        <v>0</v>
      </c>
      <c r="Z1018" s="0" t="str">
        <f aca="false">IF(AND(C1017=C1018,W1017=W1018-1),X1017,"")</f>
        <v/>
      </c>
      <c r="AA1018" s="0" t="str">
        <f aca="false">IF(AND(C1017=C1018,W1017=W1018-1),Y1017,"")</f>
        <v/>
      </c>
      <c r="AB1018" s="0" t="str">
        <f aca="false">IF(W1018=1,"",IF(AND(X1018=1,Z1018&lt;&gt;1),1,0))</f>
        <v/>
      </c>
      <c r="AC1018" s="0" t="str">
        <f aca="false">IF(W1018=1,"",IF(AND(Y1018=1,AA1018&lt;&gt;1),1,0))</f>
        <v/>
      </c>
      <c r="AD1018" s="33" t="str">
        <f aca="false">IF(AND(E1018&gt;0,W1018&lt;1,NOT(AND(C1019=C1018,W1019=W1018+1))),INDEX(DATAS,W1018+1),"")</f>
        <v/>
      </c>
      <c r="AE1018" s="33" t="str">
        <f aca="false">IF(AND(Y1018=1,W1018&lt;1),IF(AND(C1019=C1018,W1019=W1018+1),IF(Y1019=1,"",INDEX(DATAS,W1018+1)),INDEX(DATAS,W1018+1)),"")</f>
        <v/>
      </c>
    </row>
    <row r="1019" customFormat="false" ht="15" hidden="false" customHeight="false" outlineLevel="0" collapsed="false">
      <c r="A1019" s="33" t="n">
        <v>46309</v>
      </c>
      <c r="B1019" s="0" t="n">
        <v>2</v>
      </c>
      <c r="C1019" s="0" t="n">
        <v>5018</v>
      </c>
      <c r="D1019" s="0" t="n">
        <v>42</v>
      </c>
      <c r="E1019" s="0" t="n">
        <v>2</v>
      </c>
      <c r="F1019" s="27" t="s">
        <v>756</v>
      </c>
      <c r="G1019" s="0" t="n">
        <v>51.4</v>
      </c>
      <c r="H1019" s="0" t="n">
        <v>57</v>
      </c>
      <c r="I1019" s="27" t="s">
        <v>147</v>
      </c>
      <c r="J1019" s="0" t="n">
        <v>42</v>
      </c>
      <c r="M1019" s="0" t="n">
        <v>994.77</v>
      </c>
      <c r="N1019" s="0" t="n">
        <v>24.37</v>
      </c>
      <c r="O1019" s="0" t="n">
        <v>33.12</v>
      </c>
      <c r="P1019" s="0" t="n">
        <v>3.85</v>
      </c>
      <c r="Q1019" s="0" t="n">
        <v>3.42</v>
      </c>
      <c r="R1019" s="0" t="n">
        <v>4929</v>
      </c>
      <c r="S1019" s="0" t="n">
        <v>9908</v>
      </c>
      <c r="U1019" s="0" t="n">
        <v>1110</v>
      </c>
      <c r="V1019" s="0" t="n">
        <v>0</v>
      </c>
      <c r="W1019" s="27" t="n">
        <f aca="false">MATCH(A1019,DATAS,0)</f>
        <v>1</v>
      </c>
      <c r="X1019" s="27" t="n">
        <f aca="false">IF(AND(E1019&gt;0,OR(AND(B1019&gt;=1,B1019&lt;=6),B1019=10)),1,0)</f>
        <v>1</v>
      </c>
      <c r="Y1019" s="27" t="n">
        <f aca="false">IF(AND(E1019&gt;0,B1019=10),1,0)</f>
        <v>0</v>
      </c>
      <c r="Z1019" s="0" t="str">
        <f aca="false">IF(AND(C1018=C1019,W1018=W1019-1),X1018,"")</f>
        <v/>
      </c>
      <c r="AA1019" s="0" t="str">
        <f aca="false">IF(AND(C1018=C1019,W1018=W1019-1),Y1018,"")</f>
        <v/>
      </c>
      <c r="AB1019" s="0" t="str">
        <f aca="false">IF(W1019=1,"",IF(AND(X1019=1,Z1019&lt;&gt;1),1,0))</f>
        <v/>
      </c>
      <c r="AC1019" s="0" t="str">
        <f aca="false">IF(W1019=1,"",IF(AND(Y1019=1,AA1019&lt;&gt;1),1,0))</f>
        <v/>
      </c>
      <c r="AD1019" s="33" t="str">
        <f aca="false">IF(AND(E1019&gt;0,W1019&lt;1,NOT(AND(C1020=C1019,W1020=W1019+1))),INDEX(DATAS,W1019+1),"")</f>
        <v/>
      </c>
      <c r="AE1019" s="33" t="str">
        <f aca="false">IF(AND(Y1019=1,W1019&lt;1),IF(AND(C1020=C1019,W1020=W1019+1),IF(Y1020=1,"",INDEX(DATAS,W1019+1)),INDEX(DATAS,W1019+1)),"")</f>
        <v/>
      </c>
    </row>
    <row r="1020" customFormat="false" ht="15" hidden="false" customHeight="false" outlineLevel="0" collapsed="false">
      <c r="A1020" s="33" t="n">
        <v>46309</v>
      </c>
      <c r="B1020" s="0" t="n">
        <v>5</v>
      </c>
      <c r="C1020" s="0" t="n">
        <v>5019</v>
      </c>
      <c r="D1020" s="0" t="n">
        <v>179</v>
      </c>
      <c r="E1020" s="0" t="n">
        <v>2</v>
      </c>
      <c r="F1020" s="27" t="s">
        <v>756</v>
      </c>
      <c r="G1020" s="0" t="n">
        <v>40.4</v>
      </c>
      <c r="H1020" s="0" t="n">
        <v>38</v>
      </c>
      <c r="I1020" s="27" t="s">
        <v>138</v>
      </c>
      <c r="J1020" s="0" t="n">
        <v>67</v>
      </c>
      <c r="K1020" s="0" t="n">
        <v>67</v>
      </c>
      <c r="L1020" s="0" t="n">
        <v>112</v>
      </c>
      <c r="M1020" s="0" t="n">
        <v>881.85</v>
      </c>
      <c r="N1020" s="0" t="n">
        <v>64.44</v>
      </c>
      <c r="O1020" s="0" t="n">
        <v>42.68</v>
      </c>
      <c r="P1020" s="0" t="n">
        <v>5.35</v>
      </c>
      <c r="Q1020" s="0" t="n">
        <v>4.28</v>
      </c>
      <c r="R1020" s="0" t="n">
        <v>3553</v>
      </c>
      <c r="S1020" s="0" t="n">
        <v>7497</v>
      </c>
      <c r="T1020" s="0" t="n">
        <v>43.4</v>
      </c>
      <c r="U1020" s="0" t="n">
        <v>1110</v>
      </c>
      <c r="V1020" s="0" t="n">
        <v>1</v>
      </c>
      <c r="W1020" s="27" t="n">
        <f aca="false">MATCH(A1020,DATAS,0)</f>
        <v>1</v>
      </c>
      <c r="X1020" s="27" t="n">
        <f aca="false">IF(AND(E1020&gt;0,OR(AND(B1020&gt;=1,B1020&lt;=6),B1020=10)),1,0)</f>
        <v>1</v>
      </c>
      <c r="Y1020" s="27" t="n">
        <f aca="false">IF(AND(E1020&gt;0,B1020=10),1,0)</f>
        <v>0</v>
      </c>
      <c r="Z1020" s="0" t="str">
        <f aca="false">IF(AND(C1019=C1020,W1019=W1020-1),X1019,"")</f>
        <v/>
      </c>
      <c r="AA1020" s="0" t="str">
        <f aca="false">IF(AND(C1019=C1020,W1019=W1020-1),Y1019,"")</f>
        <v/>
      </c>
      <c r="AB1020" s="0" t="str">
        <f aca="false">IF(W1020=1,"",IF(AND(X1020=1,Z1020&lt;&gt;1),1,0))</f>
        <v/>
      </c>
      <c r="AC1020" s="0" t="str">
        <f aca="false">IF(W1020=1,"",IF(AND(Y1020=1,AA1020&lt;&gt;1),1,0))</f>
        <v/>
      </c>
      <c r="AD1020" s="33" t="str">
        <f aca="false">IF(AND(E1020&gt;0,W1020&lt;1,NOT(AND(C1021=C1020,W1021=W1020+1))),INDEX(DATAS,W1020+1),"")</f>
        <v/>
      </c>
      <c r="AE1020" s="33" t="str">
        <f aca="false">IF(AND(Y1020=1,W1020&lt;1),IF(AND(C1021=C1020,W1021=W1020+1),IF(Y1021=1,"",INDEX(DATAS,W1020+1)),INDEX(DATAS,W1020+1)),"")</f>
        <v/>
      </c>
    </row>
    <row r="1021" customFormat="false" ht="15" hidden="false" customHeight="false" outlineLevel="0" collapsed="false">
      <c r="A1021" s="33" t="n">
        <v>46309</v>
      </c>
      <c r="B1021" s="0" t="n">
        <v>7</v>
      </c>
      <c r="C1021" s="0" t="n">
        <v>5020</v>
      </c>
      <c r="D1021" s="0" t="n">
        <v>361</v>
      </c>
      <c r="E1021" s="0" t="n">
        <v>1</v>
      </c>
      <c r="F1021" s="27" t="s">
        <v>756</v>
      </c>
      <c r="I1021" s="27" t="s">
        <v>143</v>
      </c>
      <c r="J1021" s="0" t="n">
        <v>201</v>
      </c>
      <c r="K1021" s="0" t="n">
        <v>61</v>
      </c>
      <c r="L1021" s="0" t="n">
        <v>245</v>
      </c>
      <c r="M1021" s="0" t="n">
        <v>-357.93</v>
      </c>
      <c r="N1021" s="0" t="n">
        <v>70.81</v>
      </c>
      <c r="O1021" s="0" t="n">
        <v>14.63</v>
      </c>
      <c r="P1021" s="0" t="n">
        <v>5.36</v>
      </c>
      <c r="Q1021" s="0" t="n">
        <v>4.29</v>
      </c>
      <c r="R1021" s="0" t="n">
        <v>1797</v>
      </c>
      <c r="S1021" s="0" t="n">
        <v>4377</v>
      </c>
      <c r="T1021" s="0" t="n">
        <v>20.65</v>
      </c>
      <c r="U1021" s="0" t="n">
        <v>1110</v>
      </c>
      <c r="V1021" s="0" t="n">
        <v>4</v>
      </c>
      <c r="W1021" s="27" t="n">
        <f aca="false">MATCH(A1021,DATAS,0)</f>
        <v>1</v>
      </c>
      <c r="X1021" s="27" t="n">
        <f aca="false">IF(AND(E1021&gt;0,OR(AND(B1021&gt;=1,B1021&lt;=6),B1021=10)),1,0)</f>
        <v>0</v>
      </c>
      <c r="Y1021" s="27" t="n">
        <f aca="false">IF(AND(E1021&gt;0,B1021=10),1,0)</f>
        <v>0</v>
      </c>
      <c r="Z1021" s="0" t="str">
        <f aca="false">IF(AND(C1020=C1021,W1020=W1021-1),X1020,"")</f>
        <v/>
      </c>
      <c r="AA1021" s="0" t="str">
        <f aca="false">IF(AND(C1020=C1021,W1020=W1021-1),Y1020,"")</f>
        <v/>
      </c>
      <c r="AB1021" s="0" t="str">
        <f aca="false">IF(W1021=1,"",IF(AND(X1021=1,Z1021&lt;&gt;1),1,0))</f>
        <v/>
      </c>
      <c r="AC1021" s="0" t="str">
        <f aca="false">IF(W1021=1,"",IF(AND(Y1021=1,AA1021&lt;&gt;1),1,0))</f>
        <v/>
      </c>
      <c r="AD1021" s="33" t="str">
        <f aca="false">IF(AND(E1021&gt;0,W1021&lt;1,NOT(AND(C1022=C1021,W1022=W1021+1))),INDEX(DATAS,W1021+1),"")</f>
        <v/>
      </c>
      <c r="AE1021" s="33" t="str">
        <f aca="false">IF(AND(Y1021=1,W1021&lt;1),IF(AND(C1022=C1021,W1022=W1021+1),IF(Y1022=1,"",INDEX(DATAS,W1021+1)),INDEX(DATAS,W1021+1)),"")</f>
        <v/>
      </c>
    </row>
    <row r="1022" customFormat="false" ht="15" hidden="false" customHeight="false" outlineLevel="0" collapsed="false">
      <c r="A1022" s="33" t="n">
        <v>46309</v>
      </c>
      <c r="B1022" s="0" t="n">
        <v>2</v>
      </c>
      <c r="C1022" s="0" t="n">
        <v>5021</v>
      </c>
      <c r="D1022" s="0" t="n">
        <v>100</v>
      </c>
      <c r="E1022" s="0" t="n">
        <v>2</v>
      </c>
      <c r="F1022" s="27" t="s">
        <v>756</v>
      </c>
      <c r="G1022" s="0" t="n">
        <v>65.6</v>
      </c>
      <c r="H1022" s="0" t="n">
        <v>60</v>
      </c>
      <c r="I1022" s="27" t="s">
        <v>176</v>
      </c>
      <c r="J1022" s="0" t="n">
        <v>100</v>
      </c>
      <c r="K1022" s="0" t="n">
        <v>65</v>
      </c>
      <c r="M1022" s="0" t="n">
        <v>1936.88</v>
      </c>
      <c r="N1022" s="0" t="n">
        <v>63.54</v>
      </c>
      <c r="O1022" s="0" t="n">
        <v>56.93</v>
      </c>
      <c r="P1022" s="0" t="n">
        <v>3.27</v>
      </c>
      <c r="Q1022" s="0" t="n">
        <v>3.28</v>
      </c>
      <c r="R1022" s="0" t="n">
        <v>6187</v>
      </c>
      <c r="S1022" s="0" t="n">
        <v>12438</v>
      </c>
      <c r="T1022" s="0" t="n">
        <v>67.35</v>
      </c>
      <c r="U1022" s="0" t="n">
        <v>1110</v>
      </c>
      <c r="V1022" s="0" t="n">
        <v>1</v>
      </c>
      <c r="W1022" s="27" t="n">
        <f aca="false">MATCH(A1022,DATAS,0)</f>
        <v>1</v>
      </c>
      <c r="X1022" s="27" t="n">
        <f aca="false">IF(AND(E1022&gt;0,OR(AND(B1022&gt;=1,B1022&lt;=6),B1022=10)),1,0)</f>
        <v>1</v>
      </c>
      <c r="Y1022" s="27" t="n">
        <f aca="false">IF(AND(E1022&gt;0,B1022=10),1,0)</f>
        <v>0</v>
      </c>
      <c r="Z1022" s="0" t="str">
        <f aca="false">IF(AND(C1021=C1022,W1021=W1022-1),X1021,"")</f>
        <v/>
      </c>
      <c r="AA1022" s="0" t="str">
        <f aca="false">IF(AND(C1021=C1022,W1021=W1022-1),Y1021,"")</f>
        <v/>
      </c>
      <c r="AB1022" s="0" t="str">
        <f aca="false">IF(W1022=1,"",IF(AND(X1022=1,Z1022&lt;&gt;1),1,0))</f>
        <v/>
      </c>
      <c r="AC1022" s="0" t="str">
        <f aca="false">IF(W1022=1,"",IF(AND(Y1022=1,AA1022&lt;&gt;1),1,0))</f>
        <v/>
      </c>
      <c r="AD1022" s="33" t="str">
        <f aca="false">IF(AND(E1022&gt;0,W1022&lt;1,NOT(AND(C1023=C1022,W1023=W1022+1))),INDEX(DATAS,W1022+1),"")</f>
        <v/>
      </c>
      <c r="AE1022" s="33" t="str">
        <f aca="false">IF(AND(Y1022=1,W1022&lt;1),IF(AND(C1023=C1022,W1023=W1022+1),IF(Y1023=1,"",INDEX(DATAS,W1022+1)),INDEX(DATAS,W1022+1)),"")</f>
        <v/>
      </c>
    </row>
    <row r="1023" customFormat="false" ht="15" hidden="false" customHeight="false" outlineLevel="0" collapsed="false">
      <c r="A1023" s="33" t="n">
        <v>46309</v>
      </c>
      <c r="B1023" s="0" t="n">
        <v>3</v>
      </c>
      <c r="C1023" s="0" t="n">
        <v>5023</v>
      </c>
      <c r="D1023" s="0" t="n">
        <v>45</v>
      </c>
      <c r="E1023" s="0" t="n">
        <v>2</v>
      </c>
      <c r="F1023" s="27" t="s">
        <v>756</v>
      </c>
      <c r="G1023" s="0" t="n">
        <v>60.6</v>
      </c>
      <c r="H1023" s="0" t="n">
        <v>59</v>
      </c>
      <c r="I1023" s="27" t="s">
        <v>147</v>
      </c>
      <c r="J1023" s="0" t="n">
        <v>45</v>
      </c>
      <c r="M1023" s="0" t="n">
        <v>151.18</v>
      </c>
      <c r="N1023" s="0" t="n">
        <v>61.46</v>
      </c>
      <c r="O1023" s="0" t="n">
        <v>23.28</v>
      </c>
      <c r="P1023" s="0" t="n">
        <v>5.36</v>
      </c>
      <c r="Q1023" s="0" t="n">
        <v>3.43</v>
      </c>
      <c r="R1023" s="0" t="n">
        <v>4593</v>
      </c>
      <c r="S1023" s="0" t="n">
        <v>9233</v>
      </c>
      <c r="U1023" s="0" t="n">
        <v>1110</v>
      </c>
      <c r="V1023" s="0" t="n">
        <v>0</v>
      </c>
      <c r="W1023" s="27" t="n">
        <f aca="false">MATCH(A1023,DATAS,0)</f>
        <v>1</v>
      </c>
      <c r="X1023" s="27" t="n">
        <f aca="false">IF(AND(E1023&gt;0,OR(AND(B1023&gt;=1,B1023&lt;=6),B1023=10)),1,0)</f>
        <v>1</v>
      </c>
      <c r="Y1023" s="27" t="n">
        <f aca="false">IF(AND(E1023&gt;0,B1023=10),1,0)</f>
        <v>0</v>
      </c>
      <c r="Z1023" s="0" t="str">
        <f aca="false">IF(AND(C1022=C1023,W1022=W1023-1),X1022,"")</f>
        <v/>
      </c>
      <c r="AA1023" s="0" t="str">
        <f aca="false">IF(AND(C1022=C1023,W1022=W1023-1),Y1022,"")</f>
        <v/>
      </c>
      <c r="AB1023" s="0" t="str">
        <f aca="false">IF(W1023=1,"",IF(AND(X1023=1,Z1023&lt;&gt;1),1,0))</f>
        <v/>
      </c>
      <c r="AC1023" s="0" t="str">
        <f aca="false">IF(W1023=1,"",IF(AND(Y1023=1,AA1023&lt;&gt;1),1,0))</f>
        <v/>
      </c>
      <c r="AD1023" s="33" t="str">
        <f aca="false">IF(AND(E1023&gt;0,W1023&lt;1,NOT(AND(C1024=C1023,W1024=W1023+1))),INDEX(DATAS,W1023+1),"")</f>
        <v/>
      </c>
      <c r="AE1023" s="33" t="str">
        <f aca="false">IF(AND(Y1023=1,W1023&lt;1),IF(AND(C1024=C1023,W1024=W1023+1),IF(Y1024=1,"",INDEX(DATAS,W1023+1)),INDEX(DATAS,W1023+1)),"")</f>
        <v/>
      </c>
    </row>
    <row r="1024" customFormat="false" ht="15" hidden="false" customHeight="false" outlineLevel="0" collapsed="false">
      <c r="A1024" s="33" t="n">
        <v>46309</v>
      </c>
      <c r="B1024" s="0" t="n">
        <v>3</v>
      </c>
      <c r="C1024" s="0" t="n">
        <v>5026</v>
      </c>
      <c r="D1024" s="0" t="n">
        <v>92</v>
      </c>
      <c r="E1024" s="0" t="n">
        <v>2</v>
      </c>
      <c r="F1024" s="27" t="s">
        <v>757</v>
      </c>
      <c r="G1024" s="0" t="n">
        <v>55.2</v>
      </c>
      <c r="H1024" s="0" t="n">
        <v>55</v>
      </c>
      <c r="I1024" s="27" t="s">
        <v>168</v>
      </c>
      <c r="J1024" s="0" t="n">
        <v>92</v>
      </c>
      <c r="K1024" s="0" t="n">
        <v>64</v>
      </c>
      <c r="M1024" s="0" t="n">
        <v>748.66</v>
      </c>
      <c r="N1024" s="0" t="n">
        <v>59.37</v>
      </c>
      <c r="O1024" s="0" t="n">
        <v>34.48</v>
      </c>
      <c r="P1024" s="0" t="n">
        <v>2.93</v>
      </c>
      <c r="Q1024" s="0" t="n">
        <v>3.47</v>
      </c>
      <c r="R1024" s="0" t="n">
        <v>4803</v>
      </c>
      <c r="S1024" s="0" t="n">
        <v>9654</v>
      </c>
      <c r="T1024" s="0" t="n">
        <v>55.45</v>
      </c>
      <c r="U1024" s="0" t="n">
        <v>1106</v>
      </c>
      <c r="V1024" s="0" t="n">
        <v>1</v>
      </c>
      <c r="W1024" s="27" t="n">
        <f aca="false">MATCH(A1024,DATAS,0)</f>
        <v>1</v>
      </c>
      <c r="X1024" s="27" t="n">
        <f aca="false">IF(AND(E1024&gt;0,OR(AND(B1024&gt;=1,B1024&lt;=6),B1024=10)),1,0)</f>
        <v>1</v>
      </c>
      <c r="Y1024" s="27" t="n">
        <f aca="false">IF(AND(E1024&gt;0,B1024=10),1,0)</f>
        <v>0</v>
      </c>
      <c r="Z1024" s="0" t="str">
        <f aca="false">IF(AND(C1023=C1024,W1023=W1024-1),X1023,"")</f>
        <v/>
      </c>
      <c r="AA1024" s="0" t="str">
        <f aca="false">IF(AND(C1023=C1024,W1023=W1024-1),Y1023,"")</f>
        <v/>
      </c>
      <c r="AB1024" s="0" t="str">
        <f aca="false">IF(W1024=1,"",IF(AND(X1024=1,Z1024&lt;&gt;1),1,0))</f>
        <v/>
      </c>
      <c r="AC1024" s="0" t="str">
        <f aca="false">IF(W1024=1,"",IF(AND(Y1024=1,AA1024&lt;&gt;1),1,0))</f>
        <v/>
      </c>
      <c r="AD1024" s="33" t="str">
        <f aca="false">IF(AND(E1024&gt;0,W1024&lt;1,NOT(AND(C1025=C1024,W1025=W1024+1))),INDEX(DATAS,W1024+1),"")</f>
        <v/>
      </c>
      <c r="AE1024" s="33" t="str">
        <f aca="false">IF(AND(Y1024=1,W1024&lt;1),IF(AND(C1025=C1024,W1025=W1024+1),IF(Y1025=1,"",INDEX(DATAS,W1024+1)),INDEX(DATAS,W1024+1)),"")</f>
        <v/>
      </c>
    </row>
    <row r="1025" customFormat="false" ht="15" hidden="false" customHeight="false" outlineLevel="0" collapsed="false">
      <c r="A1025" s="33" t="n">
        <v>46309</v>
      </c>
      <c r="B1025" s="0" t="n">
        <v>3</v>
      </c>
      <c r="C1025" s="0" t="n">
        <v>5027</v>
      </c>
      <c r="D1025" s="0" t="n">
        <v>125</v>
      </c>
      <c r="E1025" s="0" t="n">
        <v>2</v>
      </c>
      <c r="F1025" s="27" t="s">
        <v>757</v>
      </c>
      <c r="G1025" s="0" t="n">
        <v>51.7</v>
      </c>
      <c r="H1025" s="0" t="n">
        <v>45</v>
      </c>
      <c r="I1025" s="27" t="s">
        <v>138</v>
      </c>
      <c r="J1025" s="0" t="n">
        <v>69</v>
      </c>
      <c r="K1025" s="0" t="n">
        <v>69</v>
      </c>
      <c r="L1025" s="0" t="n">
        <v>56</v>
      </c>
      <c r="M1025" s="0" t="n">
        <v>818.01</v>
      </c>
      <c r="N1025" s="0" t="n">
        <v>39.72</v>
      </c>
      <c r="O1025" s="0" t="n">
        <v>23.31</v>
      </c>
      <c r="P1025" s="0" t="n">
        <v>3.5</v>
      </c>
      <c r="Q1025" s="0" t="n">
        <v>3.13</v>
      </c>
      <c r="R1025" s="0" t="n">
        <v>4186</v>
      </c>
      <c r="S1025" s="0" t="n">
        <v>8581</v>
      </c>
      <c r="T1025" s="0" t="n">
        <v>45.25</v>
      </c>
      <c r="U1025" s="0" t="n">
        <v>1106</v>
      </c>
      <c r="V1025" s="0" t="n">
        <v>1</v>
      </c>
      <c r="W1025" s="27" t="n">
        <f aca="false">MATCH(A1025,DATAS,0)</f>
        <v>1</v>
      </c>
      <c r="X1025" s="27" t="n">
        <f aca="false">IF(AND(E1025&gt;0,OR(AND(B1025&gt;=1,B1025&lt;=6),B1025=10)),1,0)</f>
        <v>1</v>
      </c>
      <c r="Y1025" s="27" t="n">
        <f aca="false">IF(AND(E1025&gt;0,B1025=10),1,0)</f>
        <v>0</v>
      </c>
      <c r="Z1025" s="0" t="str">
        <f aca="false">IF(AND(C1024=C1025,W1024=W1025-1),X1024,"")</f>
        <v/>
      </c>
      <c r="AA1025" s="0" t="str">
        <f aca="false">IF(AND(C1024=C1025,W1024=W1025-1),Y1024,"")</f>
        <v/>
      </c>
      <c r="AB1025" s="0" t="str">
        <f aca="false">IF(W1025=1,"",IF(AND(X1025=1,Z1025&lt;&gt;1),1,0))</f>
        <v/>
      </c>
      <c r="AC1025" s="0" t="str">
        <f aca="false">IF(W1025=1,"",IF(AND(Y1025=1,AA1025&lt;&gt;1),1,0))</f>
        <v/>
      </c>
      <c r="AD1025" s="33" t="str">
        <f aca="false">IF(AND(E1025&gt;0,W1025&lt;1,NOT(AND(C1026=C1025,W1026=W1025+1))),INDEX(DATAS,W1025+1),"")</f>
        <v/>
      </c>
      <c r="AE1025" s="33" t="str">
        <f aca="false">IF(AND(Y1025=1,W1025&lt;1),IF(AND(C1026=C1025,W1026=W1025+1),IF(Y1026=1,"",INDEX(DATAS,W1025+1)),INDEX(DATAS,W1025+1)),"")</f>
        <v/>
      </c>
    </row>
    <row r="1026" customFormat="false" ht="15" hidden="false" customHeight="false" outlineLevel="0" collapsed="false">
      <c r="A1026" s="33" t="n">
        <v>46309</v>
      </c>
      <c r="B1026" s="0" t="n">
        <v>6</v>
      </c>
      <c r="C1026" s="0" t="n">
        <v>5031</v>
      </c>
      <c r="D1026" s="0" t="n">
        <v>468</v>
      </c>
      <c r="E1026" s="0" t="n">
        <v>1</v>
      </c>
      <c r="F1026" s="27" t="s">
        <v>758</v>
      </c>
      <c r="G1026" s="0" t="n">
        <v>20.1</v>
      </c>
      <c r="H1026" s="0" t="n">
        <v>16</v>
      </c>
      <c r="I1026" s="27" t="s">
        <v>168</v>
      </c>
      <c r="J1026" s="0" t="n">
        <v>468</v>
      </c>
      <c r="K1026" s="0" t="n">
        <v>62</v>
      </c>
      <c r="M1026" s="0" t="n">
        <v>1210.38</v>
      </c>
      <c r="N1026" s="0" t="n">
        <v>37.34</v>
      </c>
      <c r="O1026" s="0" t="n">
        <v>26.7</v>
      </c>
      <c r="P1026" s="0" t="n">
        <v>4.16</v>
      </c>
      <c r="Q1026" s="0" t="n">
        <v>3.77</v>
      </c>
      <c r="R1026" s="0" t="n">
        <v>3683</v>
      </c>
      <c r="S1026" s="0" t="n">
        <v>8224</v>
      </c>
      <c r="T1026" s="0" t="n">
        <v>36.45</v>
      </c>
      <c r="U1026" s="0" t="n">
        <v>1100</v>
      </c>
      <c r="V1026" s="0" t="n">
        <v>8</v>
      </c>
      <c r="W1026" s="27" t="n">
        <f aca="false">MATCH(A1026,DATAS,0)</f>
        <v>1</v>
      </c>
      <c r="X1026" s="27" t="n">
        <f aca="false">IF(AND(E1026&gt;0,OR(AND(B1026&gt;=1,B1026&lt;=6),B1026=10)),1,0)</f>
        <v>1</v>
      </c>
      <c r="Y1026" s="27" t="n">
        <f aca="false">IF(AND(E1026&gt;0,B1026=10),1,0)</f>
        <v>0</v>
      </c>
      <c r="Z1026" s="0" t="str">
        <f aca="false">IF(AND(C1025=C1026,W1025=W1026-1),X1025,"")</f>
        <v/>
      </c>
      <c r="AA1026" s="0" t="str">
        <f aca="false">IF(AND(C1025=C1026,W1025=W1026-1),Y1025,"")</f>
        <v/>
      </c>
      <c r="AB1026" s="0" t="str">
        <f aca="false">IF(W1026=1,"",IF(AND(X1026=1,Z1026&lt;&gt;1),1,0))</f>
        <v/>
      </c>
      <c r="AC1026" s="0" t="str">
        <f aca="false">IF(W1026=1,"",IF(AND(Y1026=1,AA1026&lt;&gt;1),1,0))</f>
        <v/>
      </c>
      <c r="AD1026" s="33" t="str">
        <f aca="false">IF(AND(E1026&gt;0,W1026&lt;1,NOT(AND(C1027=C1026,W1027=W1026+1))),INDEX(DATAS,W1026+1),"")</f>
        <v/>
      </c>
      <c r="AE1026" s="33" t="str">
        <f aca="false">IF(AND(Y1026=1,W1026&lt;1),IF(AND(C1027=C1026,W1027=W1026+1),IF(Y1027=1,"",INDEX(DATAS,W1026+1)),INDEX(DATAS,W1026+1)),"")</f>
        <v/>
      </c>
    </row>
    <row r="1027" customFormat="false" ht="15" hidden="false" customHeight="false" outlineLevel="0" collapsed="false">
      <c r="A1027" s="33" t="n">
        <v>46309</v>
      </c>
      <c r="B1027" s="0" t="n">
        <v>6</v>
      </c>
      <c r="C1027" s="0" t="n">
        <v>5032</v>
      </c>
      <c r="D1027" s="0" t="n">
        <v>104</v>
      </c>
      <c r="E1027" s="0" t="n">
        <v>2</v>
      </c>
      <c r="F1027" s="27" t="s">
        <v>759</v>
      </c>
      <c r="G1027" s="0" t="n">
        <v>10.6</v>
      </c>
      <c r="H1027" s="0" t="n">
        <v>23</v>
      </c>
      <c r="I1027" s="27" t="s">
        <v>176</v>
      </c>
      <c r="J1027" s="0" t="n">
        <v>104</v>
      </c>
      <c r="K1027" s="0" t="n">
        <v>69</v>
      </c>
      <c r="M1027" s="0" t="n">
        <v>1365.73</v>
      </c>
      <c r="N1027" s="0" t="n">
        <v>61.06</v>
      </c>
      <c r="O1027" s="0" t="n">
        <v>45.41</v>
      </c>
      <c r="P1027" s="0" t="n">
        <v>3.79</v>
      </c>
      <c r="Q1027" s="0" t="n">
        <v>3.76</v>
      </c>
      <c r="R1027" s="0" t="n">
        <v>3953</v>
      </c>
      <c r="S1027" s="0" t="n">
        <v>7840</v>
      </c>
      <c r="T1027" s="0" t="n">
        <v>47.05</v>
      </c>
      <c r="U1027" s="0" t="n">
        <v>1099</v>
      </c>
      <c r="V1027" s="0" t="n">
        <v>1</v>
      </c>
      <c r="W1027" s="27" t="n">
        <f aca="false">MATCH(A1027,DATAS,0)</f>
        <v>1</v>
      </c>
      <c r="X1027" s="27" t="n">
        <f aca="false">IF(AND(E1027&gt;0,OR(AND(B1027&gt;=1,B1027&lt;=6),B1027=10)),1,0)</f>
        <v>1</v>
      </c>
      <c r="Y1027" s="27" t="n">
        <f aca="false">IF(AND(E1027&gt;0,B1027=10),1,0)</f>
        <v>0</v>
      </c>
      <c r="Z1027" s="0" t="str">
        <f aca="false">IF(AND(C1026=C1027,W1026=W1027-1),X1026,"")</f>
        <v/>
      </c>
      <c r="AA1027" s="0" t="str">
        <f aca="false">IF(AND(C1026=C1027,W1026=W1027-1),Y1026,"")</f>
        <v/>
      </c>
      <c r="AB1027" s="0" t="str">
        <f aca="false">IF(W1027=1,"",IF(AND(X1027=1,Z1027&lt;&gt;1),1,0))</f>
        <v/>
      </c>
      <c r="AC1027" s="0" t="str">
        <f aca="false">IF(W1027=1,"",IF(AND(Y1027=1,AA1027&lt;&gt;1),1,0))</f>
        <v/>
      </c>
      <c r="AD1027" s="33" t="str">
        <f aca="false">IF(AND(E1027&gt;0,W1027&lt;1,NOT(AND(C1028=C1027,W1028=W1027+1))),INDEX(DATAS,W1027+1),"")</f>
        <v/>
      </c>
      <c r="AE1027" s="33" t="str">
        <f aca="false">IF(AND(Y1027=1,W1027&lt;1),IF(AND(C1028=C1027,W1028=W1027+1),IF(Y1028=1,"",INDEX(DATAS,W1027+1)),INDEX(DATAS,W1027+1)),"")</f>
        <v/>
      </c>
    </row>
    <row r="1028" customFormat="false" ht="15" hidden="false" customHeight="false" outlineLevel="0" collapsed="false">
      <c r="A1028" s="33" t="n">
        <v>46309</v>
      </c>
      <c r="B1028" s="0" t="n">
        <v>3</v>
      </c>
      <c r="C1028" s="0" t="n">
        <v>5033</v>
      </c>
      <c r="D1028" s="0" t="n">
        <v>34</v>
      </c>
      <c r="E1028" s="0" t="n">
        <v>2</v>
      </c>
      <c r="F1028" s="27" t="s">
        <v>759</v>
      </c>
      <c r="G1028" s="0" t="n">
        <v>56.1</v>
      </c>
      <c r="H1028" s="0" t="n">
        <v>55</v>
      </c>
      <c r="I1028" s="27" t="s">
        <v>147</v>
      </c>
      <c r="J1028" s="0" t="n">
        <v>34</v>
      </c>
      <c r="M1028" s="0" t="n">
        <v>786.16</v>
      </c>
      <c r="N1028" s="0" t="n">
        <v>33.47</v>
      </c>
      <c r="O1028" s="0" t="n">
        <v>26.94</v>
      </c>
      <c r="P1028" s="0" t="n">
        <v>4.99</v>
      </c>
      <c r="Q1028" s="0" t="n">
        <v>4.18</v>
      </c>
      <c r="R1028" s="0" t="n">
        <v>4257</v>
      </c>
      <c r="S1028" s="0" t="n">
        <v>8558</v>
      </c>
      <c r="U1028" s="0" t="n">
        <v>1099</v>
      </c>
      <c r="V1028" s="0" t="n">
        <v>0</v>
      </c>
      <c r="W1028" s="27" t="n">
        <f aca="false">MATCH(A1028,DATAS,0)</f>
        <v>1</v>
      </c>
      <c r="X1028" s="27" t="n">
        <f aca="false">IF(AND(E1028&gt;0,OR(AND(B1028&gt;=1,B1028&lt;=6),B1028=10)),1,0)</f>
        <v>1</v>
      </c>
      <c r="Y1028" s="27" t="n">
        <f aca="false">IF(AND(E1028&gt;0,B1028=10),1,0)</f>
        <v>0</v>
      </c>
      <c r="Z1028" s="0" t="str">
        <f aca="false">IF(AND(C1027=C1028,W1027=W1028-1),X1027,"")</f>
        <v/>
      </c>
      <c r="AA1028" s="0" t="str">
        <f aca="false">IF(AND(C1027=C1028,W1027=W1028-1),Y1027,"")</f>
        <v/>
      </c>
      <c r="AB1028" s="0" t="str">
        <f aca="false">IF(W1028=1,"",IF(AND(X1028=1,Z1028&lt;&gt;1),1,0))</f>
        <v/>
      </c>
      <c r="AC1028" s="0" t="str">
        <f aca="false">IF(W1028=1,"",IF(AND(Y1028=1,AA1028&lt;&gt;1),1,0))</f>
        <v/>
      </c>
      <c r="AD1028" s="33" t="str">
        <f aca="false">IF(AND(E1028&gt;0,W1028&lt;1,NOT(AND(C1029=C1028,W1029=W1028+1))),INDEX(DATAS,W1028+1),"")</f>
        <v/>
      </c>
      <c r="AE1028" s="33" t="str">
        <f aca="false">IF(AND(Y1028=1,W1028&lt;1),IF(AND(C1029=C1028,W1029=W1028+1),IF(Y1029=1,"",INDEX(DATAS,W1028+1)),INDEX(DATAS,W1028+1)),"")</f>
        <v/>
      </c>
    </row>
    <row r="1029" customFormat="false" ht="15" hidden="false" customHeight="false" outlineLevel="0" collapsed="false">
      <c r="A1029" s="33" t="n">
        <v>46309</v>
      </c>
      <c r="B1029" s="0" t="n">
        <v>6</v>
      </c>
      <c r="C1029" s="0" t="n">
        <v>5034</v>
      </c>
      <c r="D1029" s="0" t="n">
        <v>463</v>
      </c>
      <c r="E1029" s="0" t="n">
        <v>1</v>
      </c>
      <c r="F1029" s="27" t="s">
        <v>759</v>
      </c>
      <c r="G1029" s="0" t="n">
        <v>39.9</v>
      </c>
      <c r="H1029" s="0" t="n">
        <v>34</v>
      </c>
      <c r="I1029" s="27" t="s">
        <v>151</v>
      </c>
      <c r="J1029" s="0" t="n">
        <v>463</v>
      </c>
      <c r="K1029" s="0" t="n">
        <v>64</v>
      </c>
      <c r="M1029" s="0" t="n">
        <v>300.03</v>
      </c>
      <c r="N1029" s="0" t="n">
        <v>0.75</v>
      </c>
      <c r="O1029" s="0" t="n">
        <v>5.02</v>
      </c>
      <c r="P1029" s="0" t="n">
        <v>4.06</v>
      </c>
      <c r="Q1029" s="0" t="n">
        <v>3.53</v>
      </c>
      <c r="R1029" s="0" t="n">
        <v>3875</v>
      </c>
      <c r="S1029" s="0" t="n">
        <v>8866</v>
      </c>
      <c r="T1029" s="0" t="n">
        <v>47.35</v>
      </c>
      <c r="U1029" s="0" t="n">
        <v>1099</v>
      </c>
      <c r="V1029" s="0" t="n">
        <v>2</v>
      </c>
      <c r="W1029" s="27" t="n">
        <f aca="false">MATCH(A1029,DATAS,0)</f>
        <v>1</v>
      </c>
      <c r="X1029" s="27" t="n">
        <f aca="false">IF(AND(E1029&gt;0,OR(AND(B1029&gt;=1,B1029&lt;=6),B1029=10)),1,0)</f>
        <v>1</v>
      </c>
      <c r="Y1029" s="27" t="n">
        <f aca="false">IF(AND(E1029&gt;0,B1029=10),1,0)</f>
        <v>0</v>
      </c>
      <c r="Z1029" s="0" t="str">
        <f aca="false">IF(AND(C1028=C1029,W1028=W1029-1),X1028,"")</f>
        <v/>
      </c>
      <c r="AA1029" s="0" t="str">
        <f aca="false">IF(AND(C1028=C1029,W1028=W1029-1),Y1028,"")</f>
        <v/>
      </c>
      <c r="AB1029" s="0" t="str">
        <f aca="false">IF(W1029=1,"",IF(AND(X1029=1,Z1029&lt;&gt;1),1,0))</f>
        <v/>
      </c>
      <c r="AC1029" s="0" t="str">
        <f aca="false">IF(W1029=1,"",IF(AND(Y1029=1,AA1029&lt;&gt;1),1,0))</f>
        <v/>
      </c>
      <c r="AD1029" s="33" t="str">
        <f aca="false">IF(AND(E1029&gt;0,W1029&lt;1,NOT(AND(C1030=C1029,W1030=W1029+1))),INDEX(DATAS,W1029+1),"")</f>
        <v/>
      </c>
      <c r="AE1029" s="33" t="str">
        <f aca="false">IF(AND(Y1029=1,W1029&lt;1),IF(AND(C1030=C1029,W1030=W1029+1),IF(Y1030=1,"",INDEX(DATAS,W1029+1)),INDEX(DATAS,W1029+1)),"")</f>
        <v/>
      </c>
    </row>
    <row r="1030" customFormat="false" ht="15" hidden="false" customHeight="false" outlineLevel="0" collapsed="false">
      <c r="A1030" s="33" t="n">
        <v>46309</v>
      </c>
      <c r="B1030" s="0" t="n">
        <v>5</v>
      </c>
      <c r="C1030" s="0" t="n">
        <v>5036</v>
      </c>
      <c r="D1030" s="0" t="n">
        <v>114</v>
      </c>
      <c r="E1030" s="0" t="n">
        <v>2</v>
      </c>
      <c r="F1030" s="27" t="s">
        <v>760</v>
      </c>
      <c r="G1030" s="0" t="n">
        <v>32.9</v>
      </c>
      <c r="H1030" s="0" t="n">
        <v>32</v>
      </c>
      <c r="I1030" s="27" t="s">
        <v>168</v>
      </c>
      <c r="J1030" s="0" t="n">
        <v>114</v>
      </c>
      <c r="K1030" s="0" t="n">
        <v>72</v>
      </c>
      <c r="M1030" s="0" t="n">
        <v>1269.7</v>
      </c>
      <c r="N1030" s="0" t="n">
        <v>70.79</v>
      </c>
      <c r="O1030" s="0" t="n">
        <v>39.48</v>
      </c>
      <c r="P1030" s="0" t="n">
        <v>5.26</v>
      </c>
      <c r="Q1030" s="0" t="n">
        <v>4.22</v>
      </c>
      <c r="R1030" s="0" t="n">
        <v>2697</v>
      </c>
      <c r="S1030" s="0" t="n">
        <v>5564</v>
      </c>
      <c r="T1030" s="0" t="n">
        <v>30.05</v>
      </c>
      <c r="U1030" s="0" t="n">
        <v>1096</v>
      </c>
      <c r="V1030" s="0" t="n">
        <v>2</v>
      </c>
      <c r="W1030" s="27" t="n">
        <f aca="false">MATCH(A1030,DATAS,0)</f>
        <v>1</v>
      </c>
      <c r="X1030" s="27" t="n">
        <f aca="false">IF(AND(E1030&gt;0,OR(AND(B1030&gt;=1,B1030&lt;=6),B1030=10)),1,0)</f>
        <v>1</v>
      </c>
      <c r="Y1030" s="27" t="n">
        <f aca="false">IF(AND(E1030&gt;0,B1030=10),1,0)</f>
        <v>0</v>
      </c>
      <c r="Z1030" s="0" t="str">
        <f aca="false">IF(AND(C1029=C1030,W1029=W1030-1),X1029,"")</f>
        <v/>
      </c>
      <c r="AA1030" s="0" t="str">
        <f aca="false">IF(AND(C1029=C1030,W1029=W1030-1),Y1029,"")</f>
        <v/>
      </c>
      <c r="AB1030" s="0" t="str">
        <f aca="false">IF(W1030=1,"",IF(AND(X1030=1,Z1030&lt;&gt;1),1,0))</f>
        <v/>
      </c>
      <c r="AC1030" s="0" t="str">
        <f aca="false">IF(W1030=1,"",IF(AND(Y1030=1,AA1030&lt;&gt;1),1,0))</f>
        <v/>
      </c>
      <c r="AD1030" s="33" t="str">
        <f aca="false">IF(AND(E1030&gt;0,W1030&lt;1,NOT(AND(C1031=C1030,W1031=W1030+1))),INDEX(DATAS,W1030+1),"")</f>
        <v/>
      </c>
      <c r="AE1030" s="33" t="str">
        <f aca="false">IF(AND(Y1030=1,W1030&lt;1),IF(AND(C1031=C1030,W1031=W1030+1),IF(Y1031=1,"",INDEX(DATAS,W1030+1)),INDEX(DATAS,W1030+1)),"")</f>
        <v/>
      </c>
    </row>
    <row r="1031" customFormat="false" ht="15" hidden="false" customHeight="false" outlineLevel="0" collapsed="false">
      <c r="A1031" s="33" t="n">
        <v>46309</v>
      </c>
      <c r="B1031" s="0" t="n">
        <v>2</v>
      </c>
      <c r="C1031" s="0" t="n">
        <v>5037</v>
      </c>
      <c r="D1031" s="0" t="n">
        <v>24</v>
      </c>
      <c r="E1031" s="0" t="n">
        <v>2</v>
      </c>
      <c r="F1031" s="27" t="s">
        <v>760</v>
      </c>
      <c r="G1031" s="0" t="n">
        <v>41.3</v>
      </c>
      <c r="H1031" s="0" t="n">
        <v>41</v>
      </c>
      <c r="I1031" s="27" t="s">
        <v>147</v>
      </c>
      <c r="J1031" s="0" t="n">
        <v>24</v>
      </c>
      <c r="M1031" s="0" t="n">
        <v>297.71</v>
      </c>
      <c r="N1031" s="0" t="n">
        <v>32.26</v>
      </c>
      <c r="O1031" s="0" t="n">
        <v>22.21</v>
      </c>
      <c r="R1031" s="0" t="n">
        <v>3207</v>
      </c>
      <c r="S1031" s="0" t="n">
        <v>6446</v>
      </c>
      <c r="U1031" s="0" t="n">
        <v>1096</v>
      </c>
      <c r="V1031" s="0" t="n">
        <v>0</v>
      </c>
      <c r="W1031" s="27" t="n">
        <f aca="false">MATCH(A1031,DATAS,0)</f>
        <v>1</v>
      </c>
      <c r="X1031" s="27" t="n">
        <f aca="false">IF(AND(E1031&gt;0,OR(AND(B1031&gt;=1,B1031&lt;=6),B1031=10)),1,0)</f>
        <v>1</v>
      </c>
      <c r="Y1031" s="27" t="n">
        <f aca="false">IF(AND(E1031&gt;0,B1031=10),1,0)</f>
        <v>0</v>
      </c>
      <c r="Z1031" s="0" t="str">
        <f aca="false">IF(AND(C1030=C1031,W1030=W1031-1),X1030,"")</f>
        <v/>
      </c>
      <c r="AA1031" s="0" t="str">
        <f aca="false">IF(AND(C1030=C1031,W1030=W1031-1),Y1030,"")</f>
        <v/>
      </c>
      <c r="AB1031" s="0" t="str">
        <f aca="false">IF(W1031=1,"",IF(AND(X1031=1,Z1031&lt;&gt;1),1,0))</f>
        <v/>
      </c>
      <c r="AC1031" s="0" t="str">
        <f aca="false">IF(W1031=1,"",IF(AND(Y1031=1,AA1031&lt;&gt;1),1,0))</f>
        <v/>
      </c>
      <c r="AD1031" s="33" t="str">
        <f aca="false">IF(AND(E1031&gt;0,W1031&lt;1,NOT(AND(C1032=C1031,W1032=W1031+1))),INDEX(DATAS,W1031+1),"")</f>
        <v/>
      </c>
      <c r="AE1031" s="33" t="str">
        <f aca="false">IF(AND(Y1031=1,W1031&lt;1),IF(AND(C1032=C1031,W1032=W1031+1),IF(Y1032=1,"",INDEX(DATAS,W1031+1)),INDEX(DATAS,W1031+1)),"")</f>
        <v/>
      </c>
    </row>
    <row r="1032" customFormat="false" ht="15" hidden="false" customHeight="false" outlineLevel="0" collapsed="false">
      <c r="A1032" s="33" t="n">
        <v>46309</v>
      </c>
      <c r="B1032" s="0" t="n">
        <v>5</v>
      </c>
      <c r="C1032" s="0" t="n">
        <v>5038</v>
      </c>
      <c r="D1032" s="0" t="n">
        <v>475</v>
      </c>
      <c r="E1032" s="0" t="n">
        <v>1</v>
      </c>
      <c r="F1032" s="27" t="s">
        <v>761</v>
      </c>
      <c r="G1032" s="0" t="n">
        <v>39.7</v>
      </c>
      <c r="H1032" s="0" t="n">
        <v>39</v>
      </c>
      <c r="I1032" s="27" t="s">
        <v>138</v>
      </c>
      <c r="J1032" s="0" t="n">
        <v>300</v>
      </c>
      <c r="K1032" s="0" t="n">
        <v>62</v>
      </c>
      <c r="L1032" s="0" t="n">
        <v>175</v>
      </c>
      <c r="M1032" s="0" t="n">
        <v>1013.17</v>
      </c>
      <c r="N1032" s="0" t="n">
        <v>33.77</v>
      </c>
      <c r="O1032" s="0" t="n">
        <v>34.02</v>
      </c>
      <c r="P1032" s="0" t="n">
        <v>3.9</v>
      </c>
      <c r="Q1032" s="0" t="n">
        <v>3.53</v>
      </c>
      <c r="R1032" s="0" t="n">
        <v>4194</v>
      </c>
      <c r="S1032" s="0" t="n">
        <v>8862</v>
      </c>
      <c r="T1032" s="0" t="n">
        <v>48</v>
      </c>
      <c r="U1032" s="0" t="n">
        <v>1094</v>
      </c>
      <c r="V1032" s="0" t="n">
        <v>7</v>
      </c>
      <c r="W1032" s="27" t="n">
        <f aca="false">MATCH(A1032,DATAS,0)</f>
        <v>1</v>
      </c>
      <c r="X1032" s="27" t="n">
        <f aca="false">IF(AND(E1032&gt;0,OR(AND(B1032&gt;=1,B1032&lt;=6),B1032=10)),1,0)</f>
        <v>1</v>
      </c>
      <c r="Y1032" s="27" t="n">
        <f aca="false">IF(AND(E1032&gt;0,B1032=10),1,0)</f>
        <v>0</v>
      </c>
      <c r="Z1032" s="0" t="str">
        <f aca="false">IF(AND(C1031=C1032,W1031=W1032-1),X1031,"")</f>
        <v/>
      </c>
      <c r="AA1032" s="0" t="str">
        <f aca="false">IF(AND(C1031=C1032,W1031=W1032-1),Y1031,"")</f>
        <v/>
      </c>
      <c r="AB1032" s="0" t="str">
        <f aca="false">IF(W1032=1,"",IF(AND(X1032=1,Z1032&lt;&gt;1),1,0))</f>
        <v/>
      </c>
      <c r="AC1032" s="0" t="str">
        <f aca="false">IF(W1032=1,"",IF(AND(Y1032=1,AA1032&lt;&gt;1),1,0))</f>
        <v/>
      </c>
      <c r="AD1032" s="33" t="str">
        <f aca="false">IF(AND(E1032&gt;0,W1032&lt;1,NOT(AND(C1033=C1032,W1033=W1032+1))),INDEX(DATAS,W1032+1),"")</f>
        <v/>
      </c>
      <c r="AE1032" s="33" t="str">
        <f aca="false">IF(AND(Y1032=1,W1032&lt;1),IF(AND(C1033=C1032,W1033=W1032+1),IF(Y1033=1,"",INDEX(DATAS,W1032+1)),INDEX(DATAS,W1032+1)),"")</f>
        <v/>
      </c>
    </row>
    <row r="1033" customFormat="false" ht="15" hidden="false" customHeight="false" outlineLevel="0" collapsed="false">
      <c r="A1033" s="33" t="n">
        <v>46309</v>
      </c>
      <c r="B1033" s="0" t="n">
        <v>3</v>
      </c>
      <c r="C1033" s="0" t="n">
        <v>5039</v>
      </c>
      <c r="D1033" s="0" t="n">
        <v>109</v>
      </c>
      <c r="E1033" s="0" t="n">
        <v>2</v>
      </c>
      <c r="F1033" s="27" t="s">
        <v>762</v>
      </c>
      <c r="G1033" s="0" t="n">
        <v>50.9</v>
      </c>
      <c r="H1033" s="0" t="n">
        <v>51</v>
      </c>
      <c r="I1033" s="27" t="s">
        <v>138</v>
      </c>
      <c r="J1033" s="0" t="n">
        <v>67</v>
      </c>
      <c r="K1033" s="0" t="n">
        <v>67</v>
      </c>
      <c r="L1033" s="0" t="n">
        <v>42</v>
      </c>
      <c r="M1033" s="0" t="n">
        <v>319.9</v>
      </c>
      <c r="N1033" s="0" t="n">
        <v>39.2</v>
      </c>
      <c r="O1033" s="0" t="n">
        <v>18.83</v>
      </c>
      <c r="P1033" s="0" t="n">
        <v>4.22</v>
      </c>
      <c r="Q1033" s="0" t="n">
        <v>3.22</v>
      </c>
      <c r="R1033" s="0" t="n">
        <v>4668</v>
      </c>
      <c r="S1033" s="0" t="n">
        <v>9460</v>
      </c>
      <c r="T1033" s="0" t="n">
        <v>53.25</v>
      </c>
      <c r="U1033" s="0" t="n">
        <v>1093</v>
      </c>
      <c r="V1033" s="0" t="n">
        <v>1</v>
      </c>
      <c r="W1033" s="27" t="n">
        <f aca="false">MATCH(A1033,DATAS,0)</f>
        <v>1</v>
      </c>
      <c r="X1033" s="27" t="n">
        <f aca="false">IF(AND(E1033&gt;0,OR(AND(B1033&gt;=1,B1033&lt;=6),B1033=10)),1,0)</f>
        <v>1</v>
      </c>
      <c r="Y1033" s="27" t="n">
        <f aca="false">IF(AND(E1033&gt;0,B1033=10),1,0)</f>
        <v>0</v>
      </c>
      <c r="Z1033" s="0" t="str">
        <f aca="false">IF(AND(C1032=C1033,W1032=W1033-1),X1032,"")</f>
        <v/>
      </c>
      <c r="AA1033" s="0" t="str">
        <f aca="false">IF(AND(C1032=C1033,W1032=W1033-1),Y1032,"")</f>
        <v/>
      </c>
      <c r="AB1033" s="0" t="str">
        <f aca="false">IF(W1033=1,"",IF(AND(X1033=1,Z1033&lt;&gt;1),1,0))</f>
        <v/>
      </c>
      <c r="AC1033" s="0" t="str">
        <f aca="false">IF(W1033=1,"",IF(AND(Y1033=1,AA1033&lt;&gt;1),1,0))</f>
        <v/>
      </c>
      <c r="AD1033" s="33" t="str">
        <f aca="false">IF(AND(E1033&gt;0,W1033&lt;1,NOT(AND(C1034=C1033,W1034=W1033+1))),INDEX(DATAS,W1033+1),"")</f>
        <v/>
      </c>
      <c r="AE1033" s="33" t="str">
        <f aca="false">IF(AND(Y1033=1,W1033&lt;1),IF(AND(C1034=C1033,W1034=W1033+1),IF(Y1034=1,"",INDEX(DATAS,W1033+1)),INDEX(DATAS,W1033+1)),"")</f>
        <v/>
      </c>
    </row>
    <row r="1034" customFormat="false" ht="15" hidden="false" customHeight="false" outlineLevel="0" collapsed="false">
      <c r="A1034" s="33" t="n">
        <v>46309</v>
      </c>
      <c r="B1034" s="0" t="n">
        <v>3</v>
      </c>
      <c r="C1034" s="0" t="n">
        <v>5040</v>
      </c>
      <c r="D1034" s="0" t="n">
        <v>115</v>
      </c>
      <c r="E1034" s="0" t="n">
        <v>2</v>
      </c>
      <c r="F1034" s="27" t="s">
        <v>763</v>
      </c>
      <c r="G1034" s="0" t="n">
        <v>53.6</v>
      </c>
      <c r="H1034" s="0" t="n">
        <v>51</v>
      </c>
      <c r="I1034" s="27" t="s">
        <v>168</v>
      </c>
      <c r="J1034" s="0" t="n">
        <v>115</v>
      </c>
      <c r="K1034" s="0" t="n">
        <v>66</v>
      </c>
      <c r="M1034" s="0" t="n">
        <v>792.9</v>
      </c>
      <c r="N1034" s="0" t="n">
        <v>44.78</v>
      </c>
      <c r="O1034" s="0" t="n">
        <v>22.49</v>
      </c>
      <c r="P1034" s="0" t="n">
        <v>5.1</v>
      </c>
      <c r="Q1034" s="0" t="n">
        <v>3.06</v>
      </c>
      <c r="R1034" s="0" t="n">
        <v>5115</v>
      </c>
      <c r="S1034" s="0" t="n">
        <v>10296</v>
      </c>
      <c r="T1034" s="0" t="n">
        <v>56.55</v>
      </c>
      <c r="U1034" s="0" t="n">
        <v>1092</v>
      </c>
      <c r="V1034" s="0" t="n">
        <v>3</v>
      </c>
      <c r="W1034" s="27" t="n">
        <f aca="false">MATCH(A1034,DATAS,0)</f>
        <v>1</v>
      </c>
      <c r="X1034" s="27" t="n">
        <f aca="false">IF(AND(E1034&gt;0,OR(AND(B1034&gt;=1,B1034&lt;=6),B1034=10)),1,0)</f>
        <v>1</v>
      </c>
      <c r="Y1034" s="27" t="n">
        <f aca="false">IF(AND(E1034&gt;0,B1034=10),1,0)</f>
        <v>0</v>
      </c>
      <c r="Z1034" s="0" t="str">
        <f aca="false">IF(AND(C1033=C1034,W1033=W1034-1),X1033,"")</f>
        <v/>
      </c>
      <c r="AA1034" s="0" t="str">
        <f aca="false">IF(AND(C1033=C1034,W1033=W1034-1),Y1033,"")</f>
        <v/>
      </c>
      <c r="AB1034" s="0" t="str">
        <f aca="false">IF(W1034=1,"",IF(AND(X1034=1,Z1034&lt;&gt;1),1,0))</f>
        <v/>
      </c>
      <c r="AC1034" s="0" t="str">
        <f aca="false">IF(W1034=1,"",IF(AND(Y1034=1,AA1034&lt;&gt;1),1,0))</f>
        <v/>
      </c>
      <c r="AD1034" s="33" t="str">
        <f aca="false">IF(AND(E1034&gt;0,W1034&lt;1,NOT(AND(C1035=C1034,W1035=W1034+1))),INDEX(DATAS,W1034+1),"")</f>
        <v/>
      </c>
      <c r="AE1034" s="33" t="str">
        <f aca="false">IF(AND(Y1034=1,W1034&lt;1),IF(AND(C1035=C1034,W1035=W1034+1),IF(Y1035=1,"",INDEX(DATAS,W1034+1)),INDEX(DATAS,W1034+1)),"")</f>
        <v/>
      </c>
    </row>
    <row r="1035" customFormat="false" ht="15" hidden="false" customHeight="false" outlineLevel="0" collapsed="false">
      <c r="A1035" s="33" t="n">
        <v>46309</v>
      </c>
      <c r="B1035" s="0" t="n">
        <v>4</v>
      </c>
      <c r="C1035" s="0" t="n">
        <v>5041</v>
      </c>
      <c r="D1035" s="0" t="n">
        <v>171</v>
      </c>
      <c r="E1035" s="0" t="n">
        <v>1</v>
      </c>
      <c r="F1035" s="27" t="s">
        <v>763</v>
      </c>
      <c r="G1035" s="0" t="n">
        <v>51.7</v>
      </c>
      <c r="H1035" s="0" t="n">
        <v>48</v>
      </c>
      <c r="I1035" s="27" t="s">
        <v>151</v>
      </c>
      <c r="J1035" s="0" t="n">
        <v>171</v>
      </c>
      <c r="K1035" s="0" t="n">
        <v>66</v>
      </c>
      <c r="M1035" s="0" t="n">
        <v>1035.99</v>
      </c>
      <c r="N1035" s="0" t="n">
        <v>74.52</v>
      </c>
      <c r="O1035" s="0" t="n">
        <v>46.72</v>
      </c>
      <c r="P1035" s="0" t="n">
        <v>3.98</v>
      </c>
      <c r="Q1035" s="0" t="n">
        <v>3.33</v>
      </c>
      <c r="R1035" s="0" t="n">
        <v>3721</v>
      </c>
      <c r="S1035" s="0" t="n">
        <v>8735</v>
      </c>
      <c r="T1035" s="0" t="n">
        <v>42.4</v>
      </c>
      <c r="U1035" s="0" t="n">
        <v>1092</v>
      </c>
      <c r="V1035" s="0" t="n">
        <v>1</v>
      </c>
      <c r="W1035" s="27" t="n">
        <f aca="false">MATCH(A1035,DATAS,0)</f>
        <v>1</v>
      </c>
      <c r="X1035" s="27" t="n">
        <f aca="false">IF(AND(E1035&gt;0,OR(AND(B1035&gt;=1,B1035&lt;=6),B1035=10)),1,0)</f>
        <v>1</v>
      </c>
      <c r="Y1035" s="27" t="n">
        <f aca="false">IF(AND(E1035&gt;0,B1035=10),1,0)</f>
        <v>0</v>
      </c>
      <c r="Z1035" s="0" t="str">
        <f aca="false">IF(AND(C1034=C1035,W1034=W1035-1),X1034,"")</f>
        <v/>
      </c>
      <c r="AA1035" s="0" t="str">
        <f aca="false">IF(AND(C1034=C1035,W1034=W1035-1),Y1034,"")</f>
        <v/>
      </c>
      <c r="AB1035" s="0" t="str">
        <f aca="false">IF(W1035=1,"",IF(AND(X1035=1,Z1035&lt;&gt;1),1,0))</f>
        <v/>
      </c>
      <c r="AC1035" s="0" t="str">
        <f aca="false">IF(W1035=1,"",IF(AND(Y1035=1,AA1035&lt;&gt;1),1,0))</f>
        <v/>
      </c>
      <c r="AD1035" s="33" t="str">
        <f aca="false">IF(AND(E1035&gt;0,W1035&lt;1,NOT(AND(C1036=C1035,W1036=W1035+1))),INDEX(DATAS,W1035+1),"")</f>
        <v/>
      </c>
      <c r="AE1035" s="33" t="str">
        <f aca="false">IF(AND(Y1035=1,W1035&lt;1),IF(AND(C1036=C1035,W1036=W1035+1),IF(Y1036=1,"",INDEX(DATAS,W1035+1)),INDEX(DATAS,W1035+1)),"")</f>
        <v/>
      </c>
    </row>
    <row r="1036" customFormat="false" ht="15" hidden="false" customHeight="false" outlineLevel="0" collapsed="false">
      <c r="A1036" s="33" t="n">
        <v>46309</v>
      </c>
      <c r="B1036" s="0" t="n">
        <v>6</v>
      </c>
      <c r="C1036" s="0" t="n">
        <v>5042</v>
      </c>
      <c r="D1036" s="0" t="n">
        <v>429</v>
      </c>
      <c r="E1036" s="0" t="n">
        <v>1</v>
      </c>
      <c r="F1036" s="27" t="s">
        <v>764</v>
      </c>
      <c r="G1036" s="0" t="n">
        <v>20.4</v>
      </c>
      <c r="H1036" s="0" t="n">
        <v>19</v>
      </c>
      <c r="I1036" s="27" t="s">
        <v>168</v>
      </c>
      <c r="J1036" s="0" t="n">
        <v>429</v>
      </c>
      <c r="K1036" s="0" t="n">
        <v>65</v>
      </c>
      <c r="M1036" s="0" t="n">
        <v>1683.34</v>
      </c>
      <c r="N1036" s="0" t="n">
        <v>73.81</v>
      </c>
      <c r="O1036" s="0" t="n">
        <v>66.68</v>
      </c>
      <c r="P1036" s="0" t="n">
        <v>4.94</v>
      </c>
      <c r="Q1036" s="0" t="n">
        <v>4.34</v>
      </c>
      <c r="R1036" s="0" t="n">
        <v>5709</v>
      </c>
      <c r="S1036" s="0" t="n">
        <v>10748</v>
      </c>
      <c r="T1036" s="0" t="n">
        <v>62.8</v>
      </c>
      <c r="U1036" s="0" t="n">
        <v>1091</v>
      </c>
      <c r="V1036" s="0" t="n">
        <v>12</v>
      </c>
      <c r="W1036" s="27" t="n">
        <f aca="false">MATCH(A1036,DATAS,0)</f>
        <v>1</v>
      </c>
      <c r="X1036" s="27" t="n">
        <f aca="false">IF(AND(E1036&gt;0,OR(AND(B1036&gt;=1,B1036&lt;=6),B1036=10)),1,0)</f>
        <v>1</v>
      </c>
      <c r="Y1036" s="27" t="n">
        <f aca="false">IF(AND(E1036&gt;0,B1036=10),1,0)</f>
        <v>0</v>
      </c>
      <c r="Z1036" s="0" t="str">
        <f aca="false">IF(AND(C1035=C1036,W1035=W1036-1),X1035,"")</f>
        <v/>
      </c>
      <c r="AA1036" s="0" t="str">
        <f aca="false">IF(AND(C1035=C1036,W1035=W1036-1),Y1035,"")</f>
        <v/>
      </c>
      <c r="AB1036" s="0" t="str">
        <f aca="false">IF(W1036=1,"",IF(AND(X1036=1,Z1036&lt;&gt;1),1,0))</f>
        <v/>
      </c>
      <c r="AC1036" s="0" t="str">
        <f aca="false">IF(W1036=1,"",IF(AND(Y1036=1,AA1036&lt;&gt;1),1,0))</f>
        <v/>
      </c>
      <c r="AD1036" s="33" t="str">
        <f aca="false">IF(AND(E1036&gt;0,W1036&lt;1,NOT(AND(C1037=C1036,W1037=W1036+1))),INDEX(DATAS,W1036+1),"")</f>
        <v/>
      </c>
      <c r="AE1036" s="33" t="str">
        <f aca="false">IF(AND(Y1036=1,W1036&lt;1),IF(AND(C1037=C1036,W1037=W1036+1),IF(Y1037=1,"",INDEX(DATAS,W1036+1)),INDEX(DATAS,W1036+1)),"")</f>
        <v/>
      </c>
    </row>
    <row r="1037" customFormat="false" ht="15" hidden="false" customHeight="false" outlineLevel="0" collapsed="false">
      <c r="A1037" s="33" t="n">
        <v>46309</v>
      </c>
      <c r="B1037" s="0" t="n">
        <v>3</v>
      </c>
      <c r="C1037" s="0" t="n">
        <v>5043</v>
      </c>
      <c r="D1037" s="0" t="n">
        <v>60</v>
      </c>
      <c r="E1037" s="0" t="n">
        <v>2</v>
      </c>
      <c r="F1037" s="27" t="s">
        <v>764</v>
      </c>
      <c r="G1037" s="0" t="n">
        <v>71.9</v>
      </c>
      <c r="H1037" s="0" t="n">
        <v>67</v>
      </c>
      <c r="I1037" s="27" t="s">
        <v>147</v>
      </c>
      <c r="J1037" s="0" t="n">
        <v>60</v>
      </c>
      <c r="M1037" s="0" t="n">
        <v>466.36</v>
      </c>
      <c r="N1037" s="0" t="n">
        <v>32.08</v>
      </c>
      <c r="O1037" s="0" t="n">
        <v>19.43</v>
      </c>
      <c r="P1037" s="0" t="n">
        <v>2.96</v>
      </c>
      <c r="Q1037" s="0" t="n">
        <v>3.05</v>
      </c>
      <c r="R1037" s="0" t="n">
        <v>5707</v>
      </c>
      <c r="S1037" s="0" t="n">
        <v>11472</v>
      </c>
      <c r="U1037" s="0" t="n">
        <v>1091</v>
      </c>
      <c r="V1037" s="0" t="n">
        <v>0</v>
      </c>
      <c r="W1037" s="27" t="n">
        <f aca="false">MATCH(A1037,DATAS,0)</f>
        <v>1</v>
      </c>
      <c r="X1037" s="27" t="n">
        <f aca="false">IF(AND(E1037&gt;0,OR(AND(B1037&gt;=1,B1037&lt;=6),B1037=10)),1,0)</f>
        <v>1</v>
      </c>
      <c r="Y1037" s="27" t="n">
        <f aca="false">IF(AND(E1037&gt;0,B1037=10),1,0)</f>
        <v>0</v>
      </c>
      <c r="Z1037" s="0" t="str">
        <f aca="false">IF(AND(C1036=C1037,W1036=W1037-1),X1036,"")</f>
        <v/>
      </c>
      <c r="AA1037" s="0" t="str">
        <f aca="false">IF(AND(C1036=C1037,W1036=W1037-1),Y1036,"")</f>
        <v/>
      </c>
      <c r="AB1037" s="0" t="str">
        <f aca="false">IF(W1037=1,"",IF(AND(X1037=1,Z1037&lt;&gt;1),1,0))</f>
        <v/>
      </c>
      <c r="AC1037" s="0" t="str">
        <f aca="false">IF(W1037=1,"",IF(AND(Y1037=1,AA1037&lt;&gt;1),1,0))</f>
        <v/>
      </c>
      <c r="AD1037" s="33" t="str">
        <f aca="false">IF(AND(E1037&gt;0,W1037&lt;1,NOT(AND(C1038=C1037,W1038=W1037+1))),INDEX(DATAS,W1037+1),"")</f>
        <v/>
      </c>
      <c r="AE1037" s="33" t="str">
        <f aca="false">IF(AND(Y1037=1,W1037&lt;1),IF(AND(C1038=C1037,W1038=W1037+1),IF(Y1038=1,"",INDEX(DATAS,W1037+1)),INDEX(DATAS,W1037+1)),"")</f>
        <v/>
      </c>
    </row>
    <row r="1038" customFormat="false" ht="15" hidden="false" customHeight="false" outlineLevel="0" collapsed="false">
      <c r="A1038" s="33" t="n">
        <v>46309</v>
      </c>
      <c r="B1038" s="0" t="n">
        <v>3</v>
      </c>
      <c r="C1038" s="0" t="n">
        <v>5044</v>
      </c>
      <c r="D1038" s="0" t="n">
        <v>111</v>
      </c>
      <c r="E1038" s="0" t="n">
        <v>2</v>
      </c>
      <c r="F1038" s="27" t="s">
        <v>765</v>
      </c>
      <c r="G1038" s="0" t="n">
        <v>65.7</v>
      </c>
      <c r="H1038" s="0" t="n">
        <v>63</v>
      </c>
      <c r="I1038" s="27" t="s">
        <v>138</v>
      </c>
      <c r="J1038" s="0" t="n">
        <v>62</v>
      </c>
      <c r="K1038" s="0" t="n">
        <v>69</v>
      </c>
      <c r="L1038" s="0" t="n">
        <v>49</v>
      </c>
      <c r="M1038" s="0" t="n">
        <v>1672.69</v>
      </c>
      <c r="N1038" s="0" t="n">
        <v>43.31</v>
      </c>
      <c r="O1038" s="0" t="n">
        <v>42.9</v>
      </c>
      <c r="P1038" s="0" t="n">
        <v>3.8</v>
      </c>
      <c r="Q1038" s="0" t="n">
        <v>2.94</v>
      </c>
      <c r="R1038" s="0" t="n">
        <v>5089</v>
      </c>
      <c r="S1038" s="0" t="n">
        <v>10407</v>
      </c>
      <c r="T1038" s="0" t="n">
        <v>59.7</v>
      </c>
      <c r="U1038" s="0" t="n">
        <v>1090</v>
      </c>
      <c r="V1038" s="0" t="n">
        <v>1</v>
      </c>
      <c r="W1038" s="27" t="n">
        <f aca="false">MATCH(A1038,DATAS,0)</f>
        <v>1</v>
      </c>
      <c r="X1038" s="27" t="n">
        <f aca="false">IF(AND(E1038&gt;0,OR(AND(B1038&gt;=1,B1038&lt;=6),B1038=10)),1,0)</f>
        <v>1</v>
      </c>
      <c r="Y1038" s="27" t="n">
        <f aca="false">IF(AND(E1038&gt;0,B1038=10),1,0)</f>
        <v>0</v>
      </c>
      <c r="Z1038" s="0" t="str">
        <f aca="false">IF(AND(C1037=C1038,W1037=W1038-1),X1037,"")</f>
        <v/>
      </c>
      <c r="AA1038" s="0" t="str">
        <f aca="false">IF(AND(C1037=C1038,W1037=W1038-1),Y1037,"")</f>
        <v/>
      </c>
      <c r="AB1038" s="0" t="str">
        <f aca="false">IF(W1038=1,"",IF(AND(X1038=1,Z1038&lt;&gt;1),1,0))</f>
        <v/>
      </c>
      <c r="AC1038" s="0" t="str">
        <f aca="false">IF(W1038=1,"",IF(AND(Y1038=1,AA1038&lt;&gt;1),1,0))</f>
        <v/>
      </c>
      <c r="AD1038" s="33" t="str">
        <f aca="false">IF(AND(E1038&gt;0,W1038&lt;1,NOT(AND(C1039=C1038,W1039=W1038+1))),INDEX(DATAS,W1038+1),"")</f>
        <v/>
      </c>
      <c r="AE1038" s="33" t="str">
        <f aca="false">IF(AND(Y1038=1,W1038&lt;1),IF(AND(C1039=C1038,W1039=W1038+1),IF(Y1039=1,"",INDEX(DATAS,W1038+1)),INDEX(DATAS,W1038+1)),"")</f>
        <v/>
      </c>
    </row>
    <row r="1039" customFormat="false" ht="15" hidden="false" customHeight="false" outlineLevel="0" collapsed="false">
      <c r="A1039" s="33" t="n">
        <v>46309</v>
      </c>
      <c r="B1039" s="0" t="n">
        <v>5</v>
      </c>
      <c r="C1039" s="0" t="n">
        <v>5045</v>
      </c>
      <c r="D1039" s="0" t="n">
        <v>470</v>
      </c>
      <c r="E1039" s="0" t="n">
        <v>1</v>
      </c>
      <c r="F1039" s="27" t="s">
        <v>766</v>
      </c>
      <c r="G1039" s="0" t="n">
        <v>26.7</v>
      </c>
      <c r="H1039" s="0" t="n">
        <v>30</v>
      </c>
      <c r="I1039" s="27" t="s">
        <v>151</v>
      </c>
      <c r="J1039" s="0" t="n">
        <v>470</v>
      </c>
      <c r="K1039" s="0" t="n">
        <v>189</v>
      </c>
      <c r="M1039" s="0" t="n">
        <v>1024.96</v>
      </c>
      <c r="N1039" s="0" t="n">
        <v>55.79</v>
      </c>
      <c r="O1039" s="0" t="n">
        <v>31.82</v>
      </c>
      <c r="P1039" s="0" t="n">
        <v>5.1</v>
      </c>
      <c r="Q1039" s="0" t="n">
        <v>3.99</v>
      </c>
      <c r="R1039" s="0" t="n">
        <v>3351</v>
      </c>
      <c r="S1039" s="0" t="n">
        <v>6788</v>
      </c>
      <c r="T1039" s="0" t="n">
        <v>35.75</v>
      </c>
      <c r="U1039" s="0" t="n">
        <v>1089</v>
      </c>
      <c r="V1039" s="0" t="n">
        <v>9</v>
      </c>
      <c r="W1039" s="27" t="n">
        <f aca="false">MATCH(A1039,DATAS,0)</f>
        <v>1</v>
      </c>
      <c r="X1039" s="27" t="n">
        <f aca="false">IF(AND(E1039&gt;0,OR(AND(B1039&gt;=1,B1039&lt;=6),B1039=10)),1,0)</f>
        <v>1</v>
      </c>
      <c r="Y1039" s="27" t="n">
        <f aca="false">IF(AND(E1039&gt;0,B1039=10),1,0)</f>
        <v>0</v>
      </c>
      <c r="Z1039" s="0" t="str">
        <f aca="false">IF(AND(C1038=C1039,W1038=W1039-1),X1038,"")</f>
        <v/>
      </c>
      <c r="AA1039" s="0" t="str">
        <f aca="false">IF(AND(C1038=C1039,W1038=W1039-1),Y1038,"")</f>
        <v/>
      </c>
      <c r="AB1039" s="0" t="str">
        <f aca="false">IF(W1039=1,"",IF(AND(X1039=1,Z1039&lt;&gt;1),1,0))</f>
        <v/>
      </c>
      <c r="AC1039" s="0" t="str">
        <f aca="false">IF(W1039=1,"",IF(AND(Y1039=1,AA1039&lt;&gt;1),1,0))</f>
        <v/>
      </c>
      <c r="AD1039" s="33" t="str">
        <f aca="false">IF(AND(E1039&gt;0,W1039&lt;1,NOT(AND(C1040=C1039,W1040=W1039+1))),INDEX(DATAS,W1039+1),"")</f>
        <v/>
      </c>
      <c r="AE1039" s="33" t="str">
        <f aca="false">IF(AND(Y1039=1,W1039&lt;1),IF(AND(C1040=C1039,W1040=W1039+1),IF(Y1040=1,"",INDEX(DATAS,W1039+1)),INDEX(DATAS,W1039+1)),"")</f>
        <v/>
      </c>
    </row>
    <row r="1040" customFormat="false" ht="15" hidden="false" customHeight="false" outlineLevel="0" collapsed="false">
      <c r="A1040" s="33" t="n">
        <v>46309</v>
      </c>
      <c r="B1040" s="0" t="n">
        <v>14</v>
      </c>
      <c r="C1040" s="0" t="n">
        <v>5046</v>
      </c>
      <c r="D1040" s="0" t="n">
        <v>323</v>
      </c>
      <c r="E1040" s="0" t="n">
        <v>1</v>
      </c>
      <c r="F1040" s="27" t="s">
        <v>766</v>
      </c>
      <c r="I1040" s="27" t="s">
        <v>143</v>
      </c>
      <c r="J1040" s="0" t="n">
        <v>100</v>
      </c>
      <c r="K1040" s="0" t="n">
        <v>65</v>
      </c>
      <c r="L1040" s="0" t="n">
        <v>273</v>
      </c>
      <c r="M1040" s="0" t="n">
        <v>514.1</v>
      </c>
      <c r="N1040" s="0" t="n">
        <v>60.05</v>
      </c>
      <c r="O1040" s="0" t="n">
        <v>34.89</v>
      </c>
      <c r="P1040" s="0" t="n">
        <v>4.28</v>
      </c>
      <c r="Q1040" s="0" t="n">
        <v>3.72</v>
      </c>
      <c r="R1040" s="0" t="n">
        <v>4414</v>
      </c>
      <c r="S1040" s="0" t="n">
        <v>9637</v>
      </c>
      <c r="T1040" s="0" t="n">
        <v>43.75</v>
      </c>
      <c r="U1040" s="0" t="n">
        <v>1089</v>
      </c>
      <c r="V1040" s="0" t="n">
        <v>2</v>
      </c>
      <c r="W1040" s="27" t="n">
        <f aca="false">MATCH(A1040,DATAS,0)</f>
        <v>1</v>
      </c>
      <c r="X1040" s="27" t="n">
        <f aca="false">IF(AND(E1040&gt;0,OR(AND(B1040&gt;=1,B1040&lt;=6),B1040=10)),1,0)</f>
        <v>0</v>
      </c>
      <c r="Y1040" s="27" t="n">
        <f aca="false">IF(AND(E1040&gt;0,B1040=10),1,0)</f>
        <v>0</v>
      </c>
      <c r="Z1040" s="0" t="str">
        <f aca="false">IF(AND(C1039=C1040,W1039=W1040-1),X1039,"")</f>
        <v/>
      </c>
      <c r="AA1040" s="0" t="str">
        <f aca="false">IF(AND(C1039=C1040,W1039=W1040-1),Y1039,"")</f>
        <v/>
      </c>
      <c r="AB1040" s="0" t="str">
        <f aca="false">IF(W1040=1,"",IF(AND(X1040=1,Z1040&lt;&gt;1),1,0))</f>
        <v/>
      </c>
      <c r="AC1040" s="0" t="str">
        <f aca="false">IF(W1040=1,"",IF(AND(Y1040=1,AA1040&lt;&gt;1),1,0))</f>
        <v/>
      </c>
      <c r="AD1040" s="33" t="str">
        <f aca="false">IF(AND(E1040&gt;0,W1040&lt;1,NOT(AND(C1041=C1040,W1041=W1040+1))),INDEX(DATAS,W1040+1),"")</f>
        <v/>
      </c>
      <c r="AE1040" s="33" t="str">
        <f aca="false">IF(AND(Y1040=1,W1040&lt;1),IF(AND(C1041=C1040,W1041=W1040+1),IF(Y1041=1,"",INDEX(DATAS,W1040+1)),INDEX(DATAS,W1040+1)),"")</f>
        <v/>
      </c>
    </row>
    <row r="1041" customFormat="false" ht="15" hidden="false" customHeight="false" outlineLevel="0" collapsed="false">
      <c r="A1041" s="33" t="n">
        <v>46309</v>
      </c>
      <c r="B1041" s="0" t="n">
        <v>7</v>
      </c>
      <c r="C1041" s="0" t="n">
        <v>5050</v>
      </c>
      <c r="D1041" s="0" t="n">
        <v>323</v>
      </c>
      <c r="E1041" s="0" t="n">
        <v>1</v>
      </c>
      <c r="F1041" s="27" t="s">
        <v>767</v>
      </c>
      <c r="I1041" s="27" t="s">
        <v>143</v>
      </c>
      <c r="J1041" s="0" t="n">
        <v>100</v>
      </c>
      <c r="K1041" s="0" t="n">
        <v>65</v>
      </c>
      <c r="L1041" s="0" t="n">
        <v>231</v>
      </c>
      <c r="M1041" s="0" t="n">
        <v>649.62</v>
      </c>
      <c r="N1041" s="0" t="n">
        <v>68.81</v>
      </c>
      <c r="O1041" s="0" t="n">
        <v>35.82</v>
      </c>
      <c r="P1041" s="0" t="n">
        <v>3.83</v>
      </c>
      <c r="Q1041" s="0" t="n">
        <v>3.79</v>
      </c>
      <c r="R1041" s="0" t="n">
        <v>4358</v>
      </c>
      <c r="S1041" s="0" t="n">
        <v>8769</v>
      </c>
      <c r="T1041" s="0" t="n">
        <v>46.9</v>
      </c>
      <c r="U1041" s="0" t="n">
        <v>1088</v>
      </c>
      <c r="V1041" s="0" t="n">
        <v>2</v>
      </c>
      <c r="W1041" s="27" t="n">
        <f aca="false">MATCH(A1041,DATAS,0)</f>
        <v>1</v>
      </c>
      <c r="X1041" s="27" t="n">
        <f aca="false">IF(AND(E1041&gt;0,OR(AND(B1041&gt;=1,B1041&lt;=6),B1041=10)),1,0)</f>
        <v>0</v>
      </c>
      <c r="Y1041" s="27" t="n">
        <f aca="false">IF(AND(E1041&gt;0,B1041=10),1,0)</f>
        <v>0</v>
      </c>
      <c r="Z1041" s="0" t="str">
        <f aca="false">IF(AND(C1040=C1041,W1040=W1041-1),X1040,"")</f>
        <v/>
      </c>
      <c r="AA1041" s="0" t="str">
        <f aca="false">IF(AND(C1040=C1041,W1040=W1041-1),Y1040,"")</f>
        <v/>
      </c>
      <c r="AB1041" s="0" t="str">
        <f aca="false">IF(W1041=1,"",IF(AND(X1041=1,Z1041&lt;&gt;1),1,0))</f>
        <v/>
      </c>
      <c r="AC1041" s="0" t="str">
        <f aca="false">IF(W1041=1,"",IF(AND(Y1041=1,AA1041&lt;&gt;1),1,0))</f>
        <v/>
      </c>
      <c r="AD1041" s="33" t="str">
        <f aca="false">IF(AND(E1041&gt;0,W1041&lt;1,NOT(AND(C1042=C1041,W1042=W1041+1))),INDEX(DATAS,W1041+1),"")</f>
        <v/>
      </c>
      <c r="AE1041" s="33" t="str">
        <f aca="false">IF(AND(Y1041=1,W1041&lt;1),IF(AND(C1042=C1041,W1042=W1041+1),IF(Y1042=1,"",INDEX(DATAS,W1041+1)),INDEX(DATAS,W1041+1)),"")</f>
        <v/>
      </c>
    </row>
    <row r="1042" customFormat="false" ht="15" hidden="false" customHeight="false" outlineLevel="0" collapsed="false">
      <c r="A1042" s="33" t="n">
        <v>46309</v>
      </c>
      <c r="B1042" s="0" t="n">
        <v>5</v>
      </c>
      <c r="C1042" s="0" t="n">
        <v>5051</v>
      </c>
      <c r="D1042" s="0" t="n">
        <v>389</v>
      </c>
      <c r="E1042" s="0" t="n">
        <v>1</v>
      </c>
      <c r="F1042" s="27" t="s">
        <v>768</v>
      </c>
      <c r="G1042" s="0" t="n">
        <v>39.9</v>
      </c>
      <c r="H1042" s="0" t="n">
        <v>36</v>
      </c>
      <c r="I1042" s="27" t="s">
        <v>168</v>
      </c>
      <c r="J1042" s="0" t="n">
        <v>389</v>
      </c>
      <c r="K1042" s="0" t="n">
        <v>67</v>
      </c>
      <c r="M1042" s="0" t="n">
        <v>852.72</v>
      </c>
      <c r="N1042" s="0" t="n">
        <v>70.65</v>
      </c>
      <c r="O1042" s="0" t="n">
        <v>34.92</v>
      </c>
      <c r="P1042" s="0" t="n">
        <v>4.38</v>
      </c>
      <c r="Q1042" s="0" t="n">
        <v>4.47</v>
      </c>
      <c r="R1042" s="0" t="n">
        <v>4935</v>
      </c>
      <c r="S1042" s="0" t="n">
        <v>10551</v>
      </c>
      <c r="T1042" s="0" t="n">
        <v>55.55</v>
      </c>
      <c r="U1042" s="0" t="n">
        <v>1087</v>
      </c>
      <c r="V1042" s="0" t="n">
        <v>10</v>
      </c>
      <c r="W1042" s="27" t="n">
        <f aca="false">MATCH(A1042,DATAS,0)</f>
        <v>1</v>
      </c>
      <c r="X1042" s="27" t="n">
        <f aca="false">IF(AND(E1042&gt;0,OR(AND(B1042&gt;=1,B1042&lt;=6),B1042=10)),1,0)</f>
        <v>1</v>
      </c>
      <c r="Y1042" s="27" t="n">
        <f aca="false">IF(AND(E1042&gt;0,B1042=10),1,0)</f>
        <v>0</v>
      </c>
      <c r="Z1042" s="0" t="str">
        <f aca="false">IF(AND(C1041=C1042,W1041=W1042-1),X1041,"")</f>
        <v/>
      </c>
      <c r="AA1042" s="0" t="str">
        <f aca="false">IF(AND(C1041=C1042,W1041=W1042-1),Y1041,"")</f>
        <v/>
      </c>
      <c r="AB1042" s="0" t="str">
        <f aca="false">IF(W1042=1,"",IF(AND(X1042=1,Z1042&lt;&gt;1),1,0))</f>
        <v/>
      </c>
      <c r="AC1042" s="0" t="str">
        <f aca="false">IF(W1042=1,"",IF(AND(Y1042=1,AA1042&lt;&gt;1),1,0))</f>
        <v/>
      </c>
      <c r="AD1042" s="33" t="str">
        <f aca="false">IF(AND(E1042&gt;0,W1042&lt;1,NOT(AND(C1043=C1042,W1043=W1042+1))),INDEX(DATAS,W1042+1),"")</f>
        <v/>
      </c>
      <c r="AE1042" s="33" t="str">
        <f aca="false">IF(AND(Y1042=1,W1042&lt;1),IF(AND(C1043=C1042,W1043=W1042+1),IF(Y1043=1,"",INDEX(DATAS,W1042+1)),INDEX(DATAS,W1042+1)),"")</f>
        <v/>
      </c>
    </row>
    <row r="1043" customFormat="false" ht="15" hidden="false" customHeight="false" outlineLevel="0" collapsed="false">
      <c r="A1043" s="33" t="n">
        <v>46309</v>
      </c>
      <c r="B1043" s="0" t="n">
        <v>14</v>
      </c>
      <c r="C1043" s="0" t="n">
        <v>5055</v>
      </c>
      <c r="D1043" s="0" t="n">
        <v>407</v>
      </c>
      <c r="E1043" s="0" t="n">
        <v>1</v>
      </c>
      <c r="F1043" s="27" t="s">
        <v>137</v>
      </c>
      <c r="I1043" s="27" t="s">
        <v>143</v>
      </c>
      <c r="J1043" s="0" t="n">
        <v>184</v>
      </c>
      <c r="K1043" s="0" t="n">
        <v>58</v>
      </c>
      <c r="L1043" s="0" t="n">
        <v>273</v>
      </c>
      <c r="M1043" s="0" t="n">
        <v>1254.4</v>
      </c>
      <c r="N1043" s="0" t="n">
        <v>30.64</v>
      </c>
      <c r="O1043" s="0" t="n">
        <v>33.7</v>
      </c>
      <c r="P1043" s="0" t="n">
        <v>2.88</v>
      </c>
      <c r="Q1043" s="0" t="n">
        <v>3.61</v>
      </c>
      <c r="R1043" s="0" t="n">
        <v>4835</v>
      </c>
      <c r="S1043" s="0" t="n">
        <v>10410</v>
      </c>
      <c r="T1043" s="0" t="n">
        <v>53.15</v>
      </c>
      <c r="U1043" s="0" t="n">
        <v>1082</v>
      </c>
      <c r="V1043" s="0" t="n">
        <v>5</v>
      </c>
      <c r="W1043" s="27" t="n">
        <f aca="false">MATCH(A1043,DATAS,0)</f>
        <v>1</v>
      </c>
      <c r="X1043" s="27" t="n">
        <f aca="false">IF(AND(E1043&gt;0,OR(AND(B1043&gt;=1,B1043&lt;=6),B1043=10)),1,0)</f>
        <v>0</v>
      </c>
      <c r="Y1043" s="27" t="n">
        <f aca="false">IF(AND(E1043&gt;0,B1043=10),1,0)</f>
        <v>0</v>
      </c>
      <c r="Z1043" s="0" t="str">
        <f aca="false">IF(AND(C1042=C1043,W1042=W1043-1),X1042,"")</f>
        <v/>
      </c>
      <c r="AA1043" s="0" t="str">
        <f aca="false">IF(AND(C1042=C1043,W1042=W1043-1),Y1042,"")</f>
        <v/>
      </c>
      <c r="AB1043" s="0" t="str">
        <f aca="false">IF(W1043=1,"",IF(AND(X1043=1,Z1043&lt;&gt;1),1,0))</f>
        <v/>
      </c>
      <c r="AC1043" s="0" t="str">
        <f aca="false">IF(W1043=1,"",IF(AND(Y1043=1,AA1043&lt;&gt;1),1,0))</f>
        <v/>
      </c>
      <c r="AD1043" s="33" t="str">
        <f aca="false">IF(AND(E1043&gt;0,W1043&lt;1,NOT(AND(C1044=C1043,W1044=W1043+1))),INDEX(DATAS,W1043+1),"")</f>
        <v/>
      </c>
      <c r="AE1043" s="33" t="str">
        <f aca="false">IF(AND(Y1043=1,W1043&lt;1),IF(AND(C1044=C1043,W1044=W1043+1),IF(Y1044=1,"",INDEX(DATAS,W1043+1)),INDEX(DATAS,W1043+1)),"")</f>
        <v/>
      </c>
    </row>
    <row r="1044" customFormat="false" ht="15" hidden="false" customHeight="false" outlineLevel="0" collapsed="false">
      <c r="A1044" s="33" t="n">
        <v>46309</v>
      </c>
      <c r="B1044" s="0" t="n">
        <v>6</v>
      </c>
      <c r="C1044" s="0" t="n">
        <v>5056</v>
      </c>
      <c r="D1044" s="0" t="n">
        <v>390</v>
      </c>
      <c r="E1044" s="0" t="n">
        <v>1</v>
      </c>
      <c r="F1044" s="27" t="s">
        <v>137</v>
      </c>
      <c r="G1044" s="0" t="n">
        <v>23.7</v>
      </c>
      <c r="H1044" s="0" t="n">
        <v>23</v>
      </c>
      <c r="I1044" s="27" t="s">
        <v>151</v>
      </c>
      <c r="J1044" s="0" t="n">
        <v>390</v>
      </c>
      <c r="K1044" s="0" t="n">
        <v>68</v>
      </c>
      <c r="M1044" s="0" t="n">
        <v>1319.06</v>
      </c>
      <c r="N1044" s="0" t="n">
        <v>41.35</v>
      </c>
      <c r="O1044" s="0" t="n">
        <v>49.3</v>
      </c>
      <c r="P1044" s="0" t="n">
        <v>4.07</v>
      </c>
      <c r="Q1044" s="0" t="n">
        <v>3.55</v>
      </c>
      <c r="R1044" s="0" t="n">
        <v>4526</v>
      </c>
      <c r="S1044" s="0" t="n">
        <v>10434</v>
      </c>
      <c r="T1044" s="0" t="n">
        <v>53.8</v>
      </c>
      <c r="U1044" s="0" t="n">
        <v>1082</v>
      </c>
      <c r="V1044" s="0" t="n">
        <v>3</v>
      </c>
      <c r="W1044" s="27" t="n">
        <f aca="false">MATCH(A1044,DATAS,0)</f>
        <v>1</v>
      </c>
      <c r="X1044" s="27" t="n">
        <f aca="false">IF(AND(E1044&gt;0,OR(AND(B1044&gt;=1,B1044&lt;=6),B1044=10)),1,0)</f>
        <v>1</v>
      </c>
      <c r="Y1044" s="27" t="n">
        <f aca="false">IF(AND(E1044&gt;0,B1044=10),1,0)</f>
        <v>0</v>
      </c>
      <c r="Z1044" s="0" t="str">
        <f aca="false">IF(AND(C1043=C1044,W1043=W1044-1),X1043,"")</f>
        <v/>
      </c>
      <c r="AA1044" s="0" t="str">
        <f aca="false">IF(AND(C1043=C1044,W1043=W1044-1),Y1043,"")</f>
        <v/>
      </c>
      <c r="AB1044" s="0" t="str">
        <f aca="false">IF(W1044=1,"",IF(AND(X1044=1,Z1044&lt;&gt;1),1,0))</f>
        <v/>
      </c>
      <c r="AC1044" s="0" t="str">
        <f aca="false">IF(W1044=1,"",IF(AND(Y1044=1,AA1044&lt;&gt;1),1,0))</f>
        <v/>
      </c>
      <c r="AD1044" s="33" t="str">
        <f aca="false">IF(AND(E1044&gt;0,W1044&lt;1,NOT(AND(C1045=C1044,W1045=W1044+1))),INDEX(DATAS,W1044+1),"")</f>
        <v/>
      </c>
      <c r="AE1044" s="33" t="str">
        <f aca="false">IF(AND(Y1044=1,W1044&lt;1),IF(AND(C1045=C1044,W1045=W1044+1),IF(Y1045=1,"",INDEX(DATAS,W1044+1)),INDEX(DATAS,W1044+1)),"")</f>
        <v/>
      </c>
    </row>
    <row r="1045" customFormat="false" ht="15" hidden="false" customHeight="false" outlineLevel="0" collapsed="false">
      <c r="A1045" s="33" t="n">
        <v>46309</v>
      </c>
      <c r="B1045" s="0" t="n">
        <v>5</v>
      </c>
      <c r="C1045" s="0" t="n">
        <v>5058</v>
      </c>
      <c r="D1045" s="0" t="n">
        <v>421</v>
      </c>
      <c r="E1045" s="0" t="n">
        <v>1</v>
      </c>
      <c r="F1045" s="27" t="s">
        <v>137</v>
      </c>
      <c r="G1045" s="0" t="n">
        <v>30.5</v>
      </c>
      <c r="H1045" s="0" t="n">
        <v>32</v>
      </c>
      <c r="I1045" s="27" t="s">
        <v>138</v>
      </c>
      <c r="J1045" s="0" t="n">
        <v>344</v>
      </c>
      <c r="K1045" s="0" t="n">
        <v>64</v>
      </c>
      <c r="L1045" s="0" t="n">
        <v>77</v>
      </c>
      <c r="M1045" s="0" t="n">
        <v>323.66</v>
      </c>
      <c r="N1045" s="0" t="n">
        <v>45.79</v>
      </c>
      <c r="O1045" s="0" t="n">
        <v>26.22</v>
      </c>
      <c r="P1045" s="0" t="n">
        <v>5.08</v>
      </c>
      <c r="Q1045" s="0" t="n">
        <v>4.37</v>
      </c>
      <c r="R1045" s="0" t="n">
        <v>4211</v>
      </c>
      <c r="S1045" s="0" t="n">
        <v>8818</v>
      </c>
      <c r="T1045" s="0" t="n">
        <v>47.35</v>
      </c>
      <c r="U1045" s="0" t="n">
        <v>1082</v>
      </c>
      <c r="V1045" s="0" t="n">
        <v>7</v>
      </c>
      <c r="W1045" s="27" t="n">
        <f aca="false">MATCH(A1045,DATAS,0)</f>
        <v>1</v>
      </c>
      <c r="X1045" s="27" t="n">
        <f aca="false">IF(AND(E1045&gt;0,OR(AND(B1045&gt;=1,B1045&lt;=6),B1045=10)),1,0)</f>
        <v>1</v>
      </c>
      <c r="Y1045" s="27" t="n">
        <f aca="false">IF(AND(E1045&gt;0,B1045=10),1,0)</f>
        <v>0</v>
      </c>
      <c r="Z1045" s="0" t="str">
        <f aca="false">IF(AND(C1044=C1045,W1044=W1045-1),X1044,"")</f>
        <v/>
      </c>
      <c r="AA1045" s="0" t="str">
        <f aca="false">IF(AND(C1044=C1045,W1044=W1045-1),Y1044,"")</f>
        <v/>
      </c>
      <c r="AB1045" s="0" t="str">
        <f aca="false">IF(W1045=1,"",IF(AND(X1045=1,Z1045&lt;&gt;1),1,0))</f>
        <v/>
      </c>
      <c r="AC1045" s="0" t="str">
        <f aca="false">IF(W1045=1,"",IF(AND(Y1045=1,AA1045&lt;&gt;1),1,0))</f>
        <v/>
      </c>
      <c r="AD1045" s="33" t="str">
        <f aca="false">IF(AND(E1045&gt;0,W1045&lt;1,NOT(AND(C1046=C1045,W1046=W1045+1))),INDEX(DATAS,W1045+1),"")</f>
        <v/>
      </c>
      <c r="AE1045" s="33" t="str">
        <f aca="false">IF(AND(Y1045=1,W1045&lt;1),IF(AND(C1046=C1045,W1046=W1045+1),IF(Y1046=1,"",INDEX(DATAS,W1045+1)),INDEX(DATAS,W1045+1)),"")</f>
        <v/>
      </c>
    </row>
    <row r="1046" customFormat="false" ht="15" hidden="false" customHeight="false" outlineLevel="0" collapsed="false">
      <c r="A1046" s="33" t="n">
        <v>46309</v>
      </c>
      <c r="B1046" s="0" t="n">
        <v>5</v>
      </c>
      <c r="C1046" s="0" t="n">
        <v>5059</v>
      </c>
      <c r="D1046" s="0" t="n">
        <v>84</v>
      </c>
      <c r="E1046" s="0" t="n">
        <v>2</v>
      </c>
      <c r="F1046" s="27" t="s">
        <v>769</v>
      </c>
      <c r="G1046" s="0" t="n">
        <v>47.4</v>
      </c>
      <c r="H1046" s="0" t="n">
        <v>46</v>
      </c>
      <c r="I1046" s="27" t="s">
        <v>168</v>
      </c>
      <c r="J1046" s="0" t="n">
        <v>84</v>
      </c>
      <c r="K1046" s="0" t="n">
        <v>63</v>
      </c>
      <c r="M1046" s="0" t="n">
        <v>1070.45</v>
      </c>
      <c r="N1046" s="0" t="n">
        <v>64.89</v>
      </c>
      <c r="O1046" s="0" t="n">
        <v>36.37</v>
      </c>
      <c r="P1046" s="0" t="n">
        <v>5</v>
      </c>
      <c r="Q1046" s="0" t="n">
        <v>3.77</v>
      </c>
      <c r="R1046" s="0" t="n">
        <v>3175</v>
      </c>
      <c r="S1046" s="0" t="n">
        <v>6382</v>
      </c>
      <c r="U1046" s="0" t="n">
        <v>1080</v>
      </c>
      <c r="V1046" s="0" t="n">
        <v>1</v>
      </c>
      <c r="W1046" s="27" t="n">
        <f aca="false">MATCH(A1046,DATAS,0)</f>
        <v>1</v>
      </c>
      <c r="X1046" s="27" t="n">
        <f aca="false">IF(AND(E1046&gt;0,OR(AND(B1046&gt;=1,B1046&lt;=6),B1046=10)),1,0)</f>
        <v>1</v>
      </c>
      <c r="Y1046" s="27" t="n">
        <f aca="false">IF(AND(E1046&gt;0,B1046=10),1,0)</f>
        <v>0</v>
      </c>
      <c r="Z1046" s="0" t="str">
        <f aca="false">IF(AND(C1045=C1046,W1045=W1046-1),X1045,"")</f>
        <v/>
      </c>
      <c r="AA1046" s="0" t="str">
        <f aca="false">IF(AND(C1045=C1046,W1045=W1046-1),Y1045,"")</f>
        <v/>
      </c>
      <c r="AB1046" s="0" t="str">
        <f aca="false">IF(W1046=1,"",IF(AND(X1046=1,Z1046&lt;&gt;1),1,0))</f>
        <v/>
      </c>
      <c r="AC1046" s="0" t="str">
        <f aca="false">IF(W1046=1,"",IF(AND(Y1046=1,AA1046&lt;&gt;1),1,0))</f>
        <v/>
      </c>
      <c r="AD1046" s="33" t="str">
        <f aca="false">IF(AND(E1046&gt;0,W1046&lt;1,NOT(AND(C1047=C1046,W1047=W1046+1))),INDEX(DATAS,W1046+1),"")</f>
        <v/>
      </c>
      <c r="AE1046" s="33" t="str">
        <f aca="false">IF(AND(Y1046=1,W1046&lt;1),IF(AND(C1047=C1046,W1047=W1046+1),IF(Y1047=1,"",INDEX(DATAS,W1046+1)),INDEX(DATAS,W1046+1)),"")</f>
        <v/>
      </c>
    </row>
    <row r="1047" customFormat="false" ht="15" hidden="false" customHeight="false" outlineLevel="0" collapsed="false">
      <c r="A1047" s="33" t="n">
        <v>46309</v>
      </c>
      <c r="B1047" s="0" t="n">
        <v>5</v>
      </c>
      <c r="C1047" s="0" t="n">
        <v>5060</v>
      </c>
      <c r="D1047" s="0" t="n">
        <v>134</v>
      </c>
      <c r="E1047" s="0" t="n">
        <v>2</v>
      </c>
      <c r="F1047" s="27" t="s">
        <v>770</v>
      </c>
      <c r="G1047" s="0" t="n">
        <v>45.1</v>
      </c>
      <c r="H1047" s="0" t="n">
        <v>38</v>
      </c>
      <c r="I1047" s="27" t="s">
        <v>176</v>
      </c>
      <c r="J1047" s="0" t="n">
        <v>134</v>
      </c>
      <c r="K1047" s="0" t="n">
        <v>71</v>
      </c>
      <c r="M1047" s="0" t="n">
        <v>470.89</v>
      </c>
      <c r="N1047" s="0" t="n">
        <v>15.8</v>
      </c>
      <c r="O1047" s="0" t="n">
        <v>20.19</v>
      </c>
      <c r="P1047" s="0" t="n">
        <v>3.59</v>
      </c>
      <c r="Q1047" s="0" t="n">
        <v>3.22</v>
      </c>
      <c r="R1047" s="0" t="n">
        <v>3236</v>
      </c>
      <c r="S1047" s="0" t="n">
        <v>6753</v>
      </c>
      <c r="T1047" s="0" t="n">
        <v>38</v>
      </c>
      <c r="U1047" s="0" t="n">
        <v>1079</v>
      </c>
      <c r="V1047" s="0" t="n">
        <v>3</v>
      </c>
      <c r="W1047" s="27" t="n">
        <f aca="false">MATCH(A1047,DATAS,0)</f>
        <v>1</v>
      </c>
      <c r="X1047" s="27" t="n">
        <f aca="false">IF(AND(E1047&gt;0,OR(AND(B1047&gt;=1,B1047&lt;=6),B1047=10)),1,0)</f>
        <v>1</v>
      </c>
      <c r="Y1047" s="27" t="n">
        <f aca="false">IF(AND(E1047&gt;0,B1047=10),1,0)</f>
        <v>0</v>
      </c>
      <c r="Z1047" s="0" t="str">
        <f aca="false">IF(AND(C1046=C1047,W1046=W1047-1),X1046,"")</f>
        <v/>
      </c>
      <c r="AA1047" s="0" t="str">
        <f aca="false">IF(AND(C1046=C1047,W1046=W1047-1),Y1046,"")</f>
        <v/>
      </c>
      <c r="AB1047" s="0" t="str">
        <f aca="false">IF(W1047=1,"",IF(AND(X1047=1,Z1047&lt;&gt;1),1,0))</f>
        <v/>
      </c>
      <c r="AC1047" s="0" t="str">
        <f aca="false">IF(W1047=1,"",IF(AND(Y1047=1,AA1047&lt;&gt;1),1,0))</f>
        <v/>
      </c>
      <c r="AD1047" s="33" t="str">
        <f aca="false">IF(AND(E1047&gt;0,W1047&lt;1,NOT(AND(C1048=C1047,W1048=W1047+1))),INDEX(DATAS,W1047+1),"")</f>
        <v/>
      </c>
      <c r="AE1047" s="33" t="str">
        <f aca="false">IF(AND(Y1047=1,W1047&lt;1),IF(AND(C1048=C1047,W1048=W1047+1),IF(Y1048=1,"",INDEX(DATAS,W1047+1)),INDEX(DATAS,W1047+1)),"")</f>
        <v/>
      </c>
    </row>
    <row r="1048" customFormat="false" ht="15" hidden="false" customHeight="false" outlineLevel="0" collapsed="false">
      <c r="A1048" s="33" t="n">
        <v>46309</v>
      </c>
      <c r="B1048" s="0" t="n">
        <v>2</v>
      </c>
      <c r="C1048" s="0" t="n">
        <v>5061</v>
      </c>
      <c r="D1048" s="0" t="n">
        <v>118</v>
      </c>
      <c r="E1048" s="0" t="n">
        <v>2</v>
      </c>
      <c r="F1048" s="27" t="s">
        <v>770</v>
      </c>
      <c r="G1048" s="0" t="n">
        <v>56.9</v>
      </c>
      <c r="H1048" s="0" t="n">
        <v>58</v>
      </c>
      <c r="I1048" s="27" t="s">
        <v>168</v>
      </c>
      <c r="J1048" s="0" t="n">
        <v>118</v>
      </c>
      <c r="K1048" s="0" t="n">
        <v>70</v>
      </c>
      <c r="M1048" s="0" t="n">
        <v>661.79</v>
      </c>
      <c r="N1048" s="0" t="n">
        <v>59.01</v>
      </c>
      <c r="O1048" s="0" t="n">
        <v>39.73</v>
      </c>
      <c r="P1048" s="0" t="n">
        <v>3.73</v>
      </c>
      <c r="Q1048" s="0" t="n">
        <v>3.42</v>
      </c>
      <c r="R1048" s="0" t="n">
        <v>5377</v>
      </c>
      <c r="S1048" s="0" t="n">
        <v>10932</v>
      </c>
      <c r="T1048" s="0" t="n">
        <v>59.6</v>
      </c>
      <c r="U1048" s="0" t="n">
        <v>1079</v>
      </c>
      <c r="V1048" s="0" t="n">
        <v>2</v>
      </c>
      <c r="W1048" s="27" t="n">
        <f aca="false">MATCH(A1048,DATAS,0)</f>
        <v>1</v>
      </c>
      <c r="X1048" s="27" t="n">
        <f aca="false">IF(AND(E1048&gt;0,OR(AND(B1048&gt;=1,B1048&lt;=6),B1048=10)),1,0)</f>
        <v>1</v>
      </c>
      <c r="Y1048" s="27" t="n">
        <f aca="false">IF(AND(E1048&gt;0,B1048=10),1,0)</f>
        <v>0</v>
      </c>
      <c r="Z1048" s="0" t="str">
        <f aca="false">IF(AND(C1047=C1048,W1047=W1048-1),X1047,"")</f>
        <v/>
      </c>
      <c r="AA1048" s="0" t="str">
        <f aca="false">IF(AND(C1047=C1048,W1047=W1048-1),Y1047,"")</f>
        <v/>
      </c>
      <c r="AB1048" s="0" t="str">
        <f aca="false">IF(W1048=1,"",IF(AND(X1048=1,Z1048&lt;&gt;1),1,0))</f>
        <v/>
      </c>
      <c r="AC1048" s="0" t="str">
        <f aca="false">IF(W1048=1,"",IF(AND(Y1048=1,AA1048&lt;&gt;1),1,0))</f>
        <v/>
      </c>
      <c r="AD1048" s="33" t="str">
        <f aca="false">IF(AND(E1048&gt;0,W1048&lt;1,NOT(AND(C1049=C1048,W1049=W1048+1))),INDEX(DATAS,W1048+1),"")</f>
        <v/>
      </c>
      <c r="AE1048" s="33" t="str">
        <f aca="false">IF(AND(Y1048=1,W1048&lt;1),IF(AND(C1049=C1048,W1049=W1048+1),IF(Y1049=1,"",INDEX(DATAS,W1048+1)),INDEX(DATAS,W1048+1)),"")</f>
        <v/>
      </c>
    </row>
    <row r="1049" customFormat="false" ht="15" hidden="false" customHeight="false" outlineLevel="0" collapsed="false">
      <c r="A1049" s="33" t="n">
        <v>46309</v>
      </c>
      <c r="B1049" s="0" t="n">
        <v>5</v>
      </c>
      <c r="C1049" s="0" t="n">
        <v>5063</v>
      </c>
      <c r="D1049" s="0" t="n">
        <v>421</v>
      </c>
      <c r="E1049" s="0" t="n">
        <v>1</v>
      </c>
      <c r="F1049" s="27" t="s">
        <v>771</v>
      </c>
      <c r="G1049" s="0" t="n">
        <v>35.8</v>
      </c>
      <c r="H1049" s="0" t="n">
        <v>34</v>
      </c>
      <c r="I1049" s="27" t="s">
        <v>138</v>
      </c>
      <c r="J1049" s="0" t="n">
        <v>323</v>
      </c>
      <c r="K1049" s="0" t="n">
        <v>57</v>
      </c>
      <c r="L1049" s="0" t="n">
        <v>98</v>
      </c>
      <c r="M1049" s="0" t="n">
        <v>941.42</v>
      </c>
      <c r="N1049" s="0" t="n">
        <v>47.87</v>
      </c>
      <c r="O1049" s="0" t="n">
        <v>34.1</v>
      </c>
      <c r="P1049" s="0" t="n">
        <v>4.57</v>
      </c>
      <c r="Q1049" s="0" t="n">
        <v>3.88</v>
      </c>
      <c r="R1049" s="0" t="n">
        <v>4235</v>
      </c>
      <c r="S1049" s="0" t="n">
        <v>9132</v>
      </c>
      <c r="T1049" s="0" t="n">
        <v>45.85</v>
      </c>
      <c r="U1049" s="0" t="n">
        <v>1078</v>
      </c>
      <c r="V1049" s="0" t="n">
        <v>4</v>
      </c>
      <c r="W1049" s="27" t="n">
        <f aca="false">MATCH(A1049,DATAS,0)</f>
        <v>1</v>
      </c>
      <c r="X1049" s="27" t="n">
        <f aca="false">IF(AND(E1049&gt;0,OR(AND(B1049&gt;=1,B1049&lt;=6),B1049=10)),1,0)</f>
        <v>1</v>
      </c>
      <c r="Y1049" s="27" t="n">
        <f aca="false">IF(AND(E1049&gt;0,B1049=10),1,0)</f>
        <v>0</v>
      </c>
      <c r="Z1049" s="0" t="str">
        <f aca="false">IF(AND(C1048=C1049,W1048=W1049-1),X1048,"")</f>
        <v/>
      </c>
      <c r="AA1049" s="0" t="str">
        <f aca="false">IF(AND(C1048=C1049,W1048=W1049-1),Y1048,"")</f>
        <v/>
      </c>
      <c r="AB1049" s="0" t="str">
        <f aca="false">IF(W1049=1,"",IF(AND(X1049=1,Z1049&lt;&gt;1),1,0))</f>
        <v/>
      </c>
      <c r="AC1049" s="0" t="str">
        <f aca="false">IF(W1049=1,"",IF(AND(Y1049=1,AA1049&lt;&gt;1),1,0))</f>
        <v/>
      </c>
      <c r="AD1049" s="33" t="str">
        <f aca="false">IF(AND(E1049&gt;0,W1049&lt;1,NOT(AND(C1050=C1049,W1050=W1049+1))),INDEX(DATAS,W1049+1),"")</f>
        <v/>
      </c>
      <c r="AE1049" s="33" t="str">
        <f aca="false">IF(AND(Y1049=1,W1049&lt;1),IF(AND(C1050=C1049,W1050=W1049+1),IF(Y1050=1,"",INDEX(DATAS,W1049+1)),INDEX(DATAS,W1049+1)),"")</f>
        <v/>
      </c>
    </row>
    <row r="1050" customFormat="false" ht="15" hidden="false" customHeight="false" outlineLevel="0" collapsed="false">
      <c r="A1050" s="33" t="n">
        <v>46309</v>
      </c>
      <c r="B1050" s="0" t="n">
        <v>5</v>
      </c>
      <c r="C1050" s="0" t="n">
        <v>5064</v>
      </c>
      <c r="D1050" s="0" t="n">
        <v>87</v>
      </c>
      <c r="E1050" s="0" t="n">
        <v>2</v>
      </c>
      <c r="F1050" s="27" t="s">
        <v>771</v>
      </c>
      <c r="G1050" s="0" t="n">
        <v>38</v>
      </c>
      <c r="H1050" s="0" t="n">
        <v>43</v>
      </c>
      <c r="I1050" s="27" t="s">
        <v>168</v>
      </c>
      <c r="J1050" s="0" t="n">
        <v>87</v>
      </c>
      <c r="K1050" s="0" t="n">
        <v>66</v>
      </c>
      <c r="M1050" s="0" t="n">
        <v>505.47</v>
      </c>
      <c r="N1050" s="0" t="n">
        <v>84.16</v>
      </c>
      <c r="O1050" s="0" t="n">
        <v>27.01</v>
      </c>
      <c r="P1050" s="0" t="n">
        <v>4.17</v>
      </c>
      <c r="Q1050" s="0" t="n">
        <v>3.55</v>
      </c>
      <c r="R1050" s="0" t="n">
        <v>3795</v>
      </c>
      <c r="S1050" s="0" t="n">
        <v>7628</v>
      </c>
      <c r="U1050" s="0" t="n">
        <v>1078</v>
      </c>
      <c r="V1050" s="0" t="n">
        <v>2</v>
      </c>
      <c r="W1050" s="27" t="n">
        <f aca="false">MATCH(A1050,DATAS,0)</f>
        <v>1</v>
      </c>
      <c r="X1050" s="27" t="n">
        <f aca="false">IF(AND(E1050&gt;0,OR(AND(B1050&gt;=1,B1050&lt;=6),B1050=10)),1,0)</f>
        <v>1</v>
      </c>
      <c r="Y1050" s="27" t="n">
        <f aca="false">IF(AND(E1050&gt;0,B1050=10),1,0)</f>
        <v>0</v>
      </c>
      <c r="Z1050" s="0" t="str">
        <f aca="false">IF(AND(C1049=C1050,W1049=W1050-1),X1049,"")</f>
        <v/>
      </c>
      <c r="AA1050" s="0" t="str">
        <f aca="false">IF(AND(C1049=C1050,W1049=W1050-1),Y1049,"")</f>
        <v/>
      </c>
      <c r="AB1050" s="0" t="str">
        <f aca="false">IF(W1050=1,"",IF(AND(X1050=1,Z1050&lt;&gt;1),1,0))</f>
        <v/>
      </c>
      <c r="AC1050" s="0" t="str">
        <f aca="false">IF(W1050=1,"",IF(AND(Y1050=1,AA1050&lt;&gt;1),1,0))</f>
        <v/>
      </c>
      <c r="AD1050" s="33" t="str">
        <f aca="false">IF(AND(E1050&gt;0,W1050&lt;1,NOT(AND(C1051=C1050,W1051=W1050+1))),INDEX(DATAS,W1050+1),"")</f>
        <v/>
      </c>
      <c r="AE1050" s="33" t="str">
        <f aca="false">IF(AND(Y1050=1,W1050&lt;1),IF(AND(C1051=C1050,W1051=W1050+1),IF(Y1051=1,"",INDEX(DATAS,W1050+1)),INDEX(DATAS,W1050+1)),"")</f>
        <v/>
      </c>
    </row>
    <row r="1051" customFormat="false" ht="15" hidden="false" customHeight="false" outlineLevel="0" collapsed="false">
      <c r="A1051" s="33" t="n">
        <v>46309</v>
      </c>
      <c r="B1051" s="0" t="n">
        <v>3</v>
      </c>
      <c r="C1051" s="0" t="n">
        <v>5065</v>
      </c>
      <c r="D1051" s="0" t="n">
        <v>47</v>
      </c>
      <c r="E1051" s="0" t="n">
        <v>2</v>
      </c>
      <c r="F1051" s="27" t="s">
        <v>771</v>
      </c>
      <c r="G1051" s="0" t="n">
        <v>54.4</v>
      </c>
      <c r="H1051" s="0" t="n">
        <v>54</v>
      </c>
      <c r="I1051" s="27" t="s">
        <v>147</v>
      </c>
      <c r="J1051" s="0" t="n">
        <v>47</v>
      </c>
      <c r="M1051" s="0" t="n">
        <v>-163.64</v>
      </c>
      <c r="N1051" s="0" t="n">
        <v>56.29</v>
      </c>
      <c r="O1051" s="0" t="n">
        <v>18.82</v>
      </c>
      <c r="P1051" s="0" t="n">
        <v>3.9</v>
      </c>
      <c r="Q1051" s="0" t="n">
        <v>3.73</v>
      </c>
      <c r="R1051" s="0" t="n">
        <v>4399</v>
      </c>
      <c r="S1051" s="0" t="n">
        <v>8843</v>
      </c>
      <c r="U1051" s="0" t="n">
        <v>1078</v>
      </c>
      <c r="V1051" s="0" t="n">
        <v>0</v>
      </c>
      <c r="W1051" s="27" t="n">
        <f aca="false">MATCH(A1051,DATAS,0)</f>
        <v>1</v>
      </c>
      <c r="X1051" s="27" t="n">
        <f aca="false">IF(AND(E1051&gt;0,OR(AND(B1051&gt;=1,B1051&lt;=6),B1051=10)),1,0)</f>
        <v>1</v>
      </c>
      <c r="Y1051" s="27" t="n">
        <f aca="false">IF(AND(E1051&gt;0,B1051=10),1,0)</f>
        <v>0</v>
      </c>
      <c r="Z1051" s="0" t="str">
        <f aca="false">IF(AND(C1050=C1051,W1050=W1051-1),X1050,"")</f>
        <v/>
      </c>
      <c r="AA1051" s="0" t="str">
        <f aca="false">IF(AND(C1050=C1051,W1050=W1051-1),Y1050,"")</f>
        <v/>
      </c>
      <c r="AB1051" s="0" t="str">
        <f aca="false">IF(W1051=1,"",IF(AND(X1051=1,Z1051&lt;&gt;1),1,0))</f>
        <v/>
      </c>
      <c r="AC1051" s="0" t="str">
        <f aca="false">IF(W1051=1,"",IF(AND(Y1051=1,AA1051&lt;&gt;1),1,0))</f>
        <v/>
      </c>
      <c r="AD1051" s="33" t="str">
        <f aca="false">IF(AND(E1051&gt;0,W1051&lt;1,NOT(AND(C1052=C1051,W1052=W1051+1))),INDEX(DATAS,W1051+1),"")</f>
        <v/>
      </c>
      <c r="AE1051" s="33" t="str">
        <f aca="false">IF(AND(Y1051=1,W1051&lt;1),IF(AND(C1052=C1051,W1052=W1051+1),IF(Y1052=1,"",INDEX(DATAS,W1051+1)),INDEX(DATAS,W1051+1)),"")</f>
        <v/>
      </c>
    </row>
    <row r="1052" customFormat="false" ht="15" hidden="false" customHeight="false" outlineLevel="0" collapsed="false">
      <c r="A1052" s="33" t="n">
        <v>46309</v>
      </c>
      <c r="B1052" s="0" t="n">
        <v>10</v>
      </c>
      <c r="C1052" s="0" t="n">
        <v>5067</v>
      </c>
      <c r="D1052" s="0" t="n">
        <v>62</v>
      </c>
      <c r="E1052" s="0" t="n">
        <v>2</v>
      </c>
      <c r="F1052" s="27" t="s">
        <v>772</v>
      </c>
      <c r="G1052" s="0" t="n">
        <v>49.6</v>
      </c>
      <c r="H1052" s="0" t="n">
        <v>49</v>
      </c>
      <c r="I1052" s="27" t="s">
        <v>147</v>
      </c>
      <c r="J1052" s="0" t="n">
        <v>62</v>
      </c>
      <c r="M1052" s="0" t="n">
        <v>539.56</v>
      </c>
      <c r="N1052" s="0" t="n">
        <v>47.98</v>
      </c>
      <c r="O1052" s="0" t="n">
        <v>40.46</v>
      </c>
      <c r="P1052" s="0" t="n">
        <v>3.17</v>
      </c>
      <c r="Q1052" s="0" t="n">
        <v>3.49</v>
      </c>
      <c r="R1052" s="0" t="n">
        <v>3980</v>
      </c>
      <c r="S1052" s="0" t="n">
        <v>8001</v>
      </c>
      <c r="U1052" s="0" t="n">
        <v>1076</v>
      </c>
      <c r="V1052" s="0" t="n">
        <v>0</v>
      </c>
      <c r="W1052" s="27" t="n">
        <f aca="false">MATCH(A1052,DATAS,0)</f>
        <v>1</v>
      </c>
      <c r="X1052" s="27" t="n">
        <f aca="false">IF(AND(E1052&gt;0,OR(AND(B1052&gt;=1,B1052&lt;=6),B1052=10)),1,0)</f>
        <v>1</v>
      </c>
      <c r="Y1052" s="27" t="n">
        <f aca="false">IF(AND(E1052&gt;0,B1052=10),1,0)</f>
        <v>1</v>
      </c>
      <c r="Z1052" s="0" t="str">
        <f aca="false">IF(AND(C1051=C1052,W1051=W1052-1),X1051,"")</f>
        <v/>
      </c>
      <c r="AA1052" s="0" t="str">
        <f aca="false">IF(AND(C1051=C1052,W1051=W1052-1),Y1051,"")</f>
        <v/>
      </c>
      <c r="AB1052" s="0" t="str">
        <f aca="false">IF(W1052=1,"",IF(AND(X1052=1,Z1052&lt;&gt;1),1,0))</f>
        <v/>
      </c>
      <c r="AC1052" s="0" t="str">
        <f aca="false">IF(W1052=1,"",IF(AND(Y1052=1,AA1052&lt;&gt;1),1,0))</f>
        <v/>
      </c>
      <c r="AD1052" s="33" t="str">
        <f aca="false">IF(AND(E1052&gt;0,W1052&lt;1,NOT(AND(C1053=C1052,W1053=W1052+1))),INDEX(DATAS,W1052+1),"")</f>
        <v/>
      </c>
      <c r="AE1052" s="33" t="str">
        <f aca="false">IF(AND(Y1052=1,W1052&lt;1),IF(AND(C1053=C1052,W1053=W1052+1),IF(Y1053=1,"",INDEX(DATAS,W1052+1)),INDEX(DATAS,W1052+1)),"")</f>
        <v/>
      </c>
    </row>
    <row r="1053" customFormat="false" ht="15" hidden="false" customHeight="false" outlineLevel="0" collapsed="false">
      <c r="A1053" s="33" t="n">
        <v>46309</v>
      </c>
      <c r="B1053" s="0" t="n">
        <v>6</v>
      </c>
      <c r="C1053" s="0" t="n">
        <v>5068</v>
      </c>
      <c r="D1053" s="0" t="n">
        <v>351</v>
      </c>
      <c r="E1053" s="0" t="n">
        <v>1</v>
      </c>
      <c r="F1053" s="27" t="s">
        <v>772</v>
      </c>
      <c r="G1053" s="0" t="n">
        <v>32.5</v>
      </c>
      <c r="H1053" s="0" t="n">
        <v>29</v>
      </c>
      <c r="I1053" s="27" t="s">
        <v>168</v>
      </c>
      <c r="J1053" s="0" t="n">
        <v>351</v>
      </c>
      <c r="K1053" s="0" t="n">
        <v>65</v>
      </c>
      <c r="M1053" s="0" t="n">
        <v>1564.59</v>
      </c>
      <c r="N1053" s="0" t="n">
        <v>55.22</v>
      </c>
      <c r="O1053" s="0" t="n">
        <v>44.59</v>
      </c>
      <c r="P1053" s="0" t="n">
        <v>4.41</v>
      </c>
      <c r="Q1053" s="0" t="n">
        <v>3.66</v>
      </c>
      <c r="R1053" s="0" t="n">
        <v>4164</v>
      </c>
      <c r="S1053" s="0" t="n">
        <v>8984</v>
      </c>
      <c r="T1053" s="0" t="n">
        <v>47.4</v>
      </c>
      <c r="U1053" s="0" t="n">
        <v>1076</v>
      </c>
      <c r="V1053" s="0" t="n">
        <v>9</v>
      </c>
      <c r="W1053" s="27" t="n">
        <f aca="false">MATCH(A1053,DATAS,0)</f>
        <v>1</v>
      </c>
      <c r="X1053" s="27" t="n">
        <f aca="false">IF(AND(E1053&gt;0,OR(AND(B1053&gt;=1,B1053&lt;=6),B1053=10)),1,0)</f>
        <v>1</v>
      </c>
      <c r="Y1053" s="27" t="n">
        <f aca="false">IF(AND(E1053&gt;0,B1053=10),1,0)</f>
        <v>0</v>
      </c>
      <c r="Z1053" s="0" t="str">
        <f aca="false">IF(AND(C1052=C1053,W1052=W1053-1),X1052,"")</f>
        <v/>
      </c>
      <c r="AA1053" s="0" t="str">
        <f aca="false">IF(AND(C1052=C1053,W1052=W1053-1),Y1052,"")</f>
        <v/>
      </c>
      <c r="AB1053" s="0" t="str">
        <f aca="false">IF(W1053=1,"",IF(AND(X1053=1,Z1053&lt;&gt;1),1,0))</f>
        <v/>
      </c>
      <c r="AC1053" s="0" t="str">
        <f aca="false">IF(W1053=1,"",IF(AND(Y1053=1,AA1053&lt;&gt;1),1,0))</f>
        <v/>
      </c>
      <c r="AD1053" s="33" t="str">
        <f aca="false">IF(AND(E1053&gt;0,W1053&lt;1,NOT(AND(C1054=C1053,W1054=W1053+1))),INDEX(DATAS,W1053+1),"")</f>
        <v/>
      </c>
      <c r="AE1053" s="33" t="str">
        <f aca="false">IF(AND(Y1053=1,W1053&lt;1),IF(AND(C1054=C1053,W1054=W1053+1),IF(Y1054=1,"",INDEX(DATAS,W1053+1)),INDEX(DATAS,W1053+1)),"")</f>
        <v/>
      </c>
    </row>
    <row r="1054" customFormat="false" ht="15" hidden="false" customHeight="false" outlineLevel="0" collapsed="false">
      <c r="A1054" s="33" t="n">
        <v>46309</v>
      </c>
      <c r="B1054" s="0" t="n">
        <v>7</v>
      </c>
      <c r="C1054" s="0" t="n">
        <v>5069</v>
      </c>
      <c r="D1054" s="0" t="n">
        <v>23</v>
      </c>
      <c r="E1054" s="0" t="n">
        <v>2</v>
      </c>
      <c r="F1054" s="27" t="s">
        <v>773</v>
      </c>
      <c r="I1054" s="27" t="s">
        <v>477</v>
      </c>
      <c r="J1054" s="0" t="n">
        <v>23</v>
      </c>
      <c r="K1054" s="0" t="n">
        <v>113</v>
      </c>
      <c r="M1054" s="0" t="n">
        <v>1272.65</v>
      </c>
      <c r="N1054" s="0" t="n">
        <v>21.63</v>
      </c>
      <c r="O1054" s="0" t="n">
        <v>39.03</v>
      </c>
      <c r="P1054" s="0" t="n">
        <v>0</v>
      </c>
      <c r="Q1054" s="0" t="n">
        <v>0</v>
      </c>
      <c r="R1054" s="0" t="n">
        <v>1305</v>
      </c>
      <c r="S1054" s="0" t="n">
        <v>2624</v>
      </c>
      <c r="U1054" s="0" t="n">
        <v>1075</v>
      </c>
      <c r="V1054" s="0" t="n">
        <v>1</v>
      </c>
      <c r="W1054" s="27" t="n">
        <f aca="false">MATCH(A1054,DATAS,0)</f>
        <v>1</v>
      </c>
      <c r="X1054" s="27" t="n">
        <f aca="false">IF(AND(E1054&gt;0,OR(AND(B1054&gt;=1,B1054&lt;=6),B1054=10)),1,0)</f>
        <v>0</v>
      </c>
      <c r="Y1054" s="27" t="n">
        <f aca="false">IF(AND(E1054&gt;0,B1054=10),1,0)</f>
        <v>0</v>
      </c>
      <c r="Z1054" s="0" t="str">
        <f aca="false">IF(AND(C1053=C1054,W1053=W1054-1),X1053,"")</f>
        <v/>
      </c>
      <c r="AA1054" s="0" t="str">
        <f aca="false">IF(AND(C1053=C1054,W1053=W1054-1),Y1053,"")</f>
        <v/>
      </c>
      <c r="AB1054" s="0" t="str">
        <f aca="false">IF(W1054=1,"",IF(AND(X1054=1,Z1054&lt;&gt;1),1,0))</f>
        <v/>
      </c>
      <c r="AC1054" s="0" t="str">
        <f aca="false">IF(W1054=1,"",IF(AND(Y1054=1,AA1054&lt;&gt;1),1,0))</f>
        <v/>
      </c>
      <c r="AD1054" s="33" t="str">
        <f aca="false">IF(AND(E1054&gt;0,W1054&lt;1,NOT(AND(C1055=C1054,W1055=W1054+1))),INDEX(DATAS,W1054+1),"")</f>
        <v/>
      </c>
      <c r="AE1054" s="33" t="str">
        <f aca="false">IF(AND(Y1054=1,W1054&lt;1),IF(AND(C1055=C1054,W1055=W1054+1),IF(Y1055=1,"",INDEX(DATAS,W1054+1)),INDEX(DATAS,W1054+1)),"")</f>
        <v/>
      </c>
    </row>
    <row r="1055" customFormat="false" ht="15" hidden="false" customHeight="false" outlineLevel="0" collapsed="false">
      <c r="A1055" s="33" t="n">
        <v>46309</v>
      </c>
      <c r="B1055" s="0" t="n">
        <v>2</v>
      </c>
      <c r="C1055" s="0" t="n">
        <v>5070</v>
      </c>
      <c r="D1055" s="0" t="n">
        <v>87</v>
      </c>
      <c r="E1055" s="0" t="n">
        <v>2</v>
      </c>
      <c r="F1055" s="27" t="s">
        <v>773</v>
      </c>
      <c r="G1055" s="0" t="n">
        <v>45.3</v>
      </c>
      <c r="H1055" s="0" t="n">
        <v>48</v>
      </c>
      <c r="I1055" s="27" t="s">
        <v>168</v>
      </c>
      <c r="J1055" s="0" t="n">
        <v>87</v>
      </c>
      <c r="K1055" s="0" t="n">
        <v>66</v>
      </c>
      <c r="M1055" s="0" t="n">
        <v>428.64</v>
      </c>
      <c r="N1055" s="0" t="n">
        <v>45.06</v>
      </c>
      <c r="O1055" s="0" t="n">
        <v>37.36</v>
      </c>
      <c r="P1055" s="0" t="n">
        <v>3.79</v>
      </c>
      <c r="Q1055" s="0" t="n">
        <v>3.2</v>
      </c>
      <c r="R1055" s="0" t="n">
        <v>5072</v>
      </c>
      <c r="S1055" s="0" t="n">
        <v>10195</v>
      </c>
      <c r="U1055" s="0" t="n">
        <v>1075</v>
      </c>
      <c r="V1055" s="0" t="n">
        <v>1</v>
      </c>
      <c r="W1055" s="27" t="n">
        <f aca="false">MATCH(A1055,DATAS,0)</f>
        <v>1</v>
      </c>
      <c r="X1055" s="27" t="n">
        <f aca="false">IF(AND(E1055&gt;0,OR(AND(B1055&gt;=1,B1055&lt;=6),B1055=10)),1,0)</f>
        <v>1</v>
      </c>
      <c r="Y1055" s="27" t="n">
        <f aca="false">IF(AND(E1055&gt;0,B1055=10),1,0)</f>
        <v>0</v>
      </c>
      <c r="Z1055" s="0" t="str">
        <f aca="false">IF(AND(C1054=C1055,W1054=W1055-1),X1054,"")</f>
        <v/>
      </c>
      <c r="AA1055" s="0" t="str">
        <f aca="false">IF(AND(C1054=C1055,W1054=W1055-1),Y1054,"")</f>
        <v/>
      </c>
      <c r="AB1055" s="0" t="str">
        <f aca="false">IF(W1055=1,"",IF(AND(X1055=1,Z1055&lt;&gt;1),1,0))</f>
        <v/>
      </c>
      <c r="AC1055" s="0" t="str">
        <f aca="false">IF(W1055=1,"",IF(AND(Y1055=1,AA1055&lt;&gt;1),1,0))</f>
        <v/>
      </c>
      <c r="AD1055" s="33" t="str">
        <f aca="false">IF(AND(E1055&gt;0,W1055&lt;1,NOT(AND(C1056=C1055,W1056=W1055+1))),INDEX(DATAS,W1055+1),"")</f>
        <v/>
      </c>
      <c r="AE1055" s="33" t="str">
        <f aca="false">IF(AND(Y1055=1,W1055&lt;1),IF(AND(C1056=C1055,W1056=W1055+1),IF(Y1056=1,"",INDEX(DATAS,W1055+1)),INDEX(DATAS,W1055+1)),"")</f>
        <v/>
      </c>
    </row>
    <row r="1056" customFormat="false" ht="15" hidden="false" customHeight="false" outlineLevel="0" collapsed="false">
      <c r="A1056" s="33" t="n">
        <v>46309</v>
      </c>
      <c r="B1056" s="0" t="n">
        <v>4</v>
      </c>
      <c r="C1056" s="0" t="n">
        <v>5071</v>
      </c>
      <c r="D1056" s="0" t="n">
        <v>295</v>
      </c>
      <c r="E1056" s="0" t="n">
        <v>1</v>
      </c>
      <c r="F1056" s="27" t="s">
        <v>773</v>
      </c>
      <c r="G1056" s="0" t="n">
        <v>45.5</v>
      </c>
      <c r="H1056" s="0" t="n">
        <v>45</v>
      </c>
      <c r="I1056" s="27" t="s">
        <v>138</v>
      </c>
      <c r="J1056" s="0" t="n">
        <v>194</v>
      </c>
      <c r="K1056" s="0" t="n">
        <v>64</v>
      </c>
      <c r="L1056" s="0" t="n">
        <v>101</v>
      </c>
      <c r="M1056" s="0" t="n">
        <v>608.74</v>
      </c>
      <c r="N1056" s="0" t="n">
        <v>81.51</v>
      </c>
      <c r="O1056" s="0" t="n">
        <v>31.67</v>
      </c>
      <c r="P1056" s="0" t="n">
        <v>3.48</v>
      </c>
      <c r="Q1056" s="0" t="n">
        <v>3.85</v>
      </c>
      <c r="R1056" s="0" t="n">
        <v>4274</v>
      </c>
      <c r="S1056" s="0" t="n">
        <v>9519</v>
      </c>
      <c r="T1056" s="0" t="n">
        <v>46.65</v>
      </c>
      <c r="U1056" s="0" t="n">
        <v>1075</v>
      </c>
      <c r="V1056" s="0" t="n">
        <v>5</v>
      </c>
      <c r="W1056" s="27" t="n">
        <f aca="false">MATCH(A1056,DATAS,0)</f>
        <v>1</v>
      </c>
      <c r="X1056" s="27" t="n">
        <f aca="false">IF(AND(E1056&gt;0,OR(AND(B1056&gt;=1,B1056&lt;=6),B1056=10)),1,0)</f>
        <v>1</v>
      </c>
      <c r="Y1056" s="27" t="n">
        <f aca="false">IF(AND(E1056&gt;0,B1056=10),1,0)</f>
        <v>0</v>
      </c>
      <c r="Z1056" s="0" t="str">
        <f aca="false">IF(AND(C1055=C1056,W1055=W1056-1),X1055,"")</f>
        <v/>
      </c>
      <c r="AA1056" s="0" t="str">
        <f aca="false">IF(AND(C1055=C1056,W1055=W1056-1),Y1055,"")</f>
        <v/>
      </c>
      <c r="AB1056" s="0" t="str">
        <f aca="false">IF(W1056=1,"",IF(AND(X1056=1,Z1056&lt;&gt;1),1,0))</f>
        <v/>
      </c>
      <c r="AC1056" s="0" t="str">
        <f aca="false">IF(W1056=1,"",IF(AND(Y1056=1,AA1056&lt;&gt;1),1,0))</f>
        <v/>
      </c>
      <c r="AD1056" s="33" t="str">
        <f aca="false">IF(AND(E1056&gt;0,W1056&lt;1,NOT(AND(C1057=C1056,W1057=W1056+1))),INDEX(DATAS,W1056+1),"")</f>
        <v/>
      </c>
      <c r="AE1056" s="33" t="str">
        <f aca="false">IF(AND(Y1056=1,W1056&lt;1),IF(AND(C1057=C1056,W1057=W1056+1),IF(Y1057=1,"",INDEX(DATAS,W1056+1)),INDEX(DATAS,W1056+1)),"")</f>
        <v/>
      </c>
    </row>
    <row r="1057" customFormat="false" ht="15" hidden="false" customHeight="false" outlineLevel="0" collapsed="false">
      <c r="A1057" s="33" t="n">
        <v>46309</v>
      </c>
      <c r="B1057" s="0" t="n">
        <v>7</v>
      </c>
      <c r="C1057" s="0" t="n">
        <v>5072</v>
      </c>
      <c r="D1057" s="0" t="n">
        <v>369</v>
      </c>
      <c r="E1057" s="0" t="n">
        <v>1</v>
      </c>
      <c r="F1057" s="27" t="s">
        <v>773</v>
      </c>
      <c r="I1057" s="27" t="s">
        <v>143</v>
      </c>
      <c r="J1057" s="0" t="n">
        <v>148</v>
      </c>
      <c r="K1057" s="0" t="n">
        <v>69</v>
      </c>
      <c r="L1057" s="0" t="n">
        <v>243</v>
      </c>
      <c r="M1057" s="0" t="n">
        <v>256.5</v>
      </c>
      <c r="N1057" s="0" t="n">
        <v>54.64</v>
      </c>
      <c r="O1057" s="0" t="n">
        <v>39.26</v>
      </c>
      <c r="P1057" s="0" t="n">
        <v>5.15</v>
      </c>
      <c r="Q1057" s="0" t="n">
        <v>4.69</v>
      </c>
      <c r="R1057" s="0" t="n">
        <v>4079</v>
      </c>
      <c r="S1057" s="0" t="n">
        <v>8710</v>
      </c>
      <c r="T1057" s="0" t="n">
        <v>46.45</v>
      </c>
      <c r="U1057" s="0" t="n">
        <v>1075</v>
      </c>
      <c r="V1057" s="0" t="n">
        <v>4</v>
      </c>
      <c r="W1057" s="27" t="n">
        <f aca="false">MATCH(A1057,DATAS,0)</f>
        <v>1</v>
      </c>
      <c r="X1057" s="27" t="n">
        <f aca="false">IF(AND(E1057&gt;0,OR(AND(B1057&gt;=1,B1057&lt;=6),B1057=10)),1,0)</f>
        <v>0</v>
      </c>
      <c r="Y1057" s="27" t="n">
        <f aca="false">IF(AND(E1057&gt;0,B1057=10),1,0)</f>
        <v>0</v>
      </c>
      <c r="Z1057" s="0" t="str">
        <f aca="false">IF(AND(C1056=C1057,W1056=W1057-1),X1056,"")</f>
        <v/>
      </c>
      <c r="AA1057" s="0" t="str">
        <f aca="false">IF(AND(C1056=C1057,W1056=W1057-1),Y1056,"")</f>
        <v/>
      </c>
      <c r="AB1057" s="0" t="str">
        <f aca="false">IF(W1057=1,"",IF(AND(X1057=1,Z1057&lt;&gt;1),1,0))</f>
        <v/>
      </c>
      <c r="AC1057" s="0" t="str">
        <f aca="false">IF(W1057=1,"",IF(AND(Y1057=1,AA1057&lt;&gt;1),1,0))</f>
        <v/>
      </c>
      <c r="AD1057" s="33" t="str">
        <f aca="false">IF(AND(E1057&gt;0,W1057&lt;1,NOT(AND(C1058=C1057,W1058=W1057+1))),INDEX(DATAS,W1057+1),"")</f>
        <v/>
      </c>
      <c r="AE1057" s="33" t="str">
        <f aca="false">IF(AND(Y1057=1,W1057&lt;1),IF(AND(C1058=C1057,W1058=W1057+1),IF(Y1058=1,"",INDEX(DATAS,W1057+1)),INDEX(DATAS,W1057+1)),"")</f>
        <v/>
      </c>
    </row>
    <row r="1058" customFormat="false" ht="15" hidden="false" customHeight="false" outlineLevel="0" collapsed="false">
      <c r="A1058" s="33" t="n">
        <v>46309</v>
      </c>
      <c r="B1058" s="0" t="n">
        <v>4</v>
      </c>
      <c r="C1058" s="0" t="n">
        <v>5074</v>
      </c>
      <c r="D1058" s="0" t="n">
        <v>245</v>
      </c>
      <c r="E1058" s="0" t="n">
        <v>1</v>
      </c>
      <c r="F1058" s="27" t="s">
        <v>774</v>
      </c>
      <c r="G1058" s="0" t="n">
        <v>45.6</v>
      </c>
      <c r="H1058" s="0" t="n">
        <v>46</v>
      </c>
      <c r="I1058" s="27" t="s">
        <v>151</v>
      </c>
      <c r="J1058" s="0" t="n">
        <v>245</v>
      </c>
      <c r="M1058" s="0" t="n">
        <v>224.68</v>
      </c>
      <c r="N1058" s="0" t="n">
        <v>41.18</v>
      </c>
      <c r="O1058" s="0" t="n">
        <v>26.06</v>
      </c>
      <c r="P1058" s="0" t="n">
        <v>3.4</v>
      </c>
      <c r="Q1058" s="0" t="n">
        <v>3.73</v>
      </c>
      <c r="R1058" s="0" t="n">
        <v>3436</v>
      </c>
      <c r="S1058" s="0" t="n">
        <v>7902</v>
      </c>
      <c r="T1058" s="0" t="n">
        <v>41.15</v>
      </c>
      <c r="U1058" s="0" t="n">
        <v>1073</v>
      </c>
      <c r="V1058" s="0" t="n">
        <v>0</v>
      </c>
      <c r="W1058" s="27" t="n">
        <f aca="false">MATCH(A1058,DATAS,0)</f>
        <v>1</v>
      </c>
      <c r="X1058" s="27" t="n">
        <f aca="false">IF(AND(E1058&gt;0,OR(AND(B1058&gt;=1,B1058&lt;=6),B1058=10)),1,0)</f>
        <v>1</v>
      </c>
      <c r="Y1058" s="27" t="n">
        <f aca="false">IF(AND(E1058&gt;0,B1058=10),1,0)</f>
        <v>0</v>
      </c>
      <c r="Z1058" s="0" t="str">
        <f aca="false">IF(AND(C1057=C1058,W1057=W1058-1),X1057,"")</f>
        <v/>
      </c>
      <c r="AA1058" s="0" t="str">
        <f aca="false">IF(AND(C1057=C1058,W1057=W1058-1),Y1057,"")</f>
        <v/>
      </c>
      <c r="AB1058" s="0" t="str">
        <f aca="false">IF(W1058=1,"",IF(AND(X1058=1,Z1058&lt;&gt;1),1,0))</f>
        <v/>
      </c>
      <c r="AC1058" s="0" t="str">
        <f aca="false">IF(W1058=1,"",IF(AND(Y1058=1,AA1058&lt;&gt;1),1,0))</f>
        <v/>
      </c>
      <c r="AD1058" s="33" t="str">
        <f aca="false">IF(AND(E1058&gt;0,W1058&lt;1,NOT(AND(C1059=C1058,W1059=W1058+1))),INDEX(DATAS,W1058+1),"")</f>
        <v/>
      </c>
      <c r="AE1058" s="33" t="str">
        <f aca="false">IF(AND(Y1058=1,W1058&lt;1),IF(AND(C1059=C1058,W1059=W1058+1),IF(Y1059=1,"",INDEX(DATAS,W1058+1)),INDEX(DATAS,W1058+1)),"")</f>
        <v/>
      </c>
    </row>
    <row r="1059" customFormat="false" ht="15" hidden="false" customHeight="false" outlineLevel="0" collapsed="false">
      <c r="A1059" s="33" t="n">
        <v>46309</v>
      </c>
      <c r="B1059" s="0" t="n">
        <v>5</v>
      </c>
      <c r="C1059" s="0" t="n">
        <v>5075</v>
      </c>
      <c r="D1059" s="0" t="n">
        <v>436</v>
      </c>
      <c r="E1059" s="0" t="n">
        <v>1</v>
      </c>
      <c r="F1059" s="27" t="s">
        <v>774</v>
      </c>
      <c r="G1059" s="0" t="n">
        <v>43.4</v>
      </c>
      <c r="H1059" s="0" t="n">
        <v>43</v>
      </c>
      <c r="I1059" s="27" t="s">
        <v>138</v>
      </c>
      <c r="J1059" s="0" t="n">
        <v>282</v>
      </c>
      <c r="K1059" s="0" t="n">
        <v>65</v>
      </c>
      <c r="L1059" s="0" t="n">
        <v>154</v>
      </c>
      <c r="M1059" s="0" t="n">
        <v>755.42</v>
      </c>
      <c r="N1059" s="0" t="n">
        <v>66.02</v>
      </c>
      <c r="O1059" s="0" t="n">
        <v>46.97</v>
      </c>
      <c r="P1059" s="0" t="n">
        <v>4.21</v>
      </c>
      <c r="Q1059" s="0" t="n">
        <v>4.13</v>
      </c>
      <c r="R1059" s="0" t="n">
        <v>4218</v>
      </c>
      <c r="S1059" s="0" t="n">
        <v>9154</v>
      </c>
      <c r="T1059" s="0" t="n">
        <v>45.6</v>
      </c>
      <c r="U1059" s="0" t="n">
        <v>1073</v>
      </c>
      <c r="V1059" s="0" t="n">
        <v>7</v>
      </c>
      <c r="W1059" s="27" t="n">
        <f aca="false">MATCH(A1059,DATAS,0)</f>
        <v>1</v>
      </c>
      <c r="X1059" s="27" t="n">
        <f aca="false">IF(AND(E1059&gt;0,OR(AND(B1059&gt;=1,B1059&lt;=6),B1059=10)),1,0)</f>
        <v>1</v>
      </c>
      <c r="Y1059" s="27" t="n">
        <f aca="false">IF(AND(E1059&gt;0,B1059=10),1,0)</f>
        <v>0</v>
      </c>
      <c r="Z1059" s="0" t="str">
        <f aca="false">IF(AND(C1058=C1059,W1058=W1059-1),X1058,"")</f>
        <v/>
      </c>
      <c r="AA1059" s="0" t="str">
        <f aca="false">IF(AND(C1058=C1059,W1058=W1059-1),Y1058,"")</f>
        <v/>
      </c>
      <c r="AB1059" s="0" t="str">
        <f aca="false">IF(W1059=1,"",IF(AND(X1059=1,Z1059&lt;&gt;1),1,0))</f>
        <v/>
      </c>
      <c r="AC1059" s="0" t="str">
        <f aca="false">IF(W1059=1,"",IF(AND(Y1059=1,AA1059&lt;&gt;1),1,0))</f>
        <v/>
      </c>
      <c r="AD1059" s="33" t="str">
        <f aca="false">IF(AND(E1059&gt;0,W1059&lt;1,NOT(AND(C1060=C1059,W1060=W1059+1))),INDEX(DATAS,W1059+1),"")</f>
        <v/>
      </c>
      <c r="AE1059" s="33" t="str">
        <f aca="false">IF(AND(Y1059=1,W1059&lt;1),IF(AND(C1060=C1059,W1060=W1059+1),IF(Y1060=1,"",INDEX(DATAS,W1059+1)),INDEX(DATAS,W1059+1)),"")</f>
        <v/>
      </c>
    </row>
    <row r="1060" customFormat="false" ht="15" hidden="false" customHeight="false" outlineLevel="0" collapsed="false">
      <c r="A1060" s="33" t="n">
        <v>46309</v>
      </c>
      <c r="B1060" s="0" t="n">
        <v>10</v>
      </c>
      <c r="C1060" s="0" t="n">
        <v>5076</v>
      </c>
      <c r="D1060" s="0" t="n">
        <v>311</v>
      </c>
      <c r="E1060" s="0" t="n">
        <v>1</v>
      </c>
      <c r="F1060" s="27" t="s">
        <v>775</v>
      </c>
      <c r="G1060" s="0" t="n">
        <v>25</v>
      </c>
      <c r="H1060" s="0" t="n">
        <v>26</v>
      </c>
      <c r="I1060" s="27" t="s">
        <v>151</v>
      </c>
      <c r="J1060" s="0" t="n">
        <v>311</v>
      </c>
      <c r="K1060" s="0" t="n">
        <v>66</v>
      </c>
      <c r="M1060" s="0" t="n">
        <v>1168.54</v>
      </c>
      <c r="N1060" s="0" t="n">
        <v>33.72</v>
      </c>
      <c r="O1060" s="0" t="n">
        <v>45.34</v>
      </c>
      <c r="P1060" s="0" t="n">
        <v>4.68</v>
      </c>
      <c r="Q1060" s="0" t="n">
        <v>3.66</v>
      </c>
      <c r="R1060" s="0" t="n">
        <v>2393</v>
      </c>
      <c r="S1060" s="0" t="n">
        <v>5186</v>
      </c>
      <c r="T1060" s="0" t="n">
        <v>24.15</v>
      </c>
      <c r="U1060" s="0" t="n">
        <v>1072</v>
      </c>
      <c r="V1060" s="0" t="n">
        <v>3</v>
      </c>
      <c r="W1060" s="27" t="n">
        <f aca="false">MATCH(A1060,DATAS,0)</f>
        <v>1</v>
      </c>
      <c r="X1060" s="27" t="n">
        <f aca="false">IF(AND(E1060&gt;0,OR(AND(B1060&gt;=1,B1060&lt;=6),B1060=10)),1,0)</f>
        <v>1</v>
      </c>
      <c r="Y1060" s="27" t="n">
        <f aca="false">IF(AND(E1060&gt;0,B1060=10),1,0)</f>
        <v>1</v>
      </c>
      <c r="Z1060" s="0" t="str">
        <f aca="false">IF(AND(C1059=C1060,W1059=W1060-1),X1059,"")</f>
        <v/>
      </c>
      <c r="AA1060" s="0" t="str">
        <f aca="false">IF(AND(C1059=C1060,W1059=W1060-1),Y1059,"")</f>
        <v/>
      </c>
      <c r="AB1060" s="0" t="str">
        <f aca="false">IF(W1060=1,"",IF(AND(X1060=1,Z1060&lt;&gt;1),1,0))</f>
        <v/>
      </c>
      <c r="AC1060" s="0" t="str">
        <f aca="false">IF(W1060=1,"",IF(AND(Y1060=1,AA1060&lt;&gt;1),1,0))</f>
        <v/>
      </c>
      <c r="AD1060" s="33" t="str">
        <f aca="false">IF(AND(E1060&gt;0,W1060&lt;1,NOT(AND(C1061=C1060,W1061=W1060+1))),INDEX(DATAS,W1060+1),"")</f>
        <v/>
      </c>
      <c r="AE1060" s="33" t="str">
        <f aca="false">IF(AND(Y1060=1,W1060&lt;1),IF(AND(C1061=C1060,W1061=W1060+1),IF(Y1061=1,"",INDEX(DATAS,W1060+1)),INDEX(DATAS,W1060+1)),"")</f>
        <v/>
      </c>
    </row>
    <row r="1061" customFormat="false" ht="15" hidden="false" customHeight="false" outlineLevel="0" collapsed="false">
      <c r="A1061" s="33" t="n">
        <v>46309</v>
      </c>
      <c r="B1061" s="0" t="n">
        <v>6</v>
      </c>
      <c r="C1061" s="0" t="n">
        <v>5077</v>
      </c>
      <c r="D1061" s="0" t="n">
        <v>413</v>
      </c>
      <c r="E1061" s="0" t="n">
        <v>1</v>
      </c>
      <c r="F1061" s="27" t="s">
        <v>775</v>
      </c>
      <c r="G1061" s="0" t="n">
        <v>24.7</v>
      </c>
      <c r="H1061" s="0" t="n">
        <v>24</v>
      </c>
      <c r="I1061" s="27" t="s">
        <v>138</v>
      </c>
      <c r="J1061" s="0" t="n">
        <v>343</v>
      </c>
      <c r="K1061" s="0" t="n">
        <v>63</v>
      </c>
      <c r="L1061" s="0" t="n">
        <v>70</v>
      </c>
      <c r="M1061" s="0" t="n">
        <v>1138.86</v>
      </c>
      <c r="N1061" s="0" t="n">
        <v>53.9</v>
      </c>
      <c r="O1061" s="0" t="n">
        <v>30.73</v>
      </c>
      <c r="P1061" s="0" t="n">
        <v>5.42</v>
      </c>
      <c r="Q1061" s="0" t="n">
        <v>4.2</v>
      </c>
      <c r="R1061" s="0" t="n">
        <v>3772</v>
      </c>
      <c r="S1061" s="0" t="n">
        <v>7622</v>
      </c>
      <c r="T1061" s="0" t="n">
        <v>44.45</v>
      </c>
      <c r="U1061" s="0" t="n">
        <v>1072</v>
      </c>
      <c r="V1061" s="0" t="n">
        <v>7</v>
      </c>
      <c r="W1061" s="27" t="n">
        <f aca="false">MATCH(A1061,DATAS,0)</f>
        <v>1</v>
      </c>
      <c r="X1061" s="27" t="n">
        <f aca="false">IF(AND(E1061&gt;0,OR(AND(B1061&gt;=1,B1061&lt;=6),B1061=10)),1,0)</f>
        <v>1</v>
      </c>
      <c r="Y1061" s="27" t="n">
        <f aca="false">IF(AND(E1061&gt;0,B1061=10),1,0)</f>
        <v>0</v>
      </c>
      <c r="Z1061" s="0" t="str">
        <f aca="false">IF(AND(C1060=C1061,W1060=W1061-1),X1060,"")</f>
        <v/>
      </c>
      <c r="AA1061" s="0" t="str">
        <f aca="false">IF(AND(C1060=C1061,W1060=W1061-1),Y1060,"")</f>
        <v/>
      </c>
      <c r="AB1061" s="0" t="str">
        <f aca="false">IF(W1061=1,"",IF(AND(X1061=1,Z1061&lt;&gt;1),1,0))</f>
        <v/>
      </c>
      <c r="AC1061" s="0" t="str">
        <f aca="false">IF(W1061=1,"",IF(AND(Y1061=1,AA1061&lt;&gt;1),1,0))</f>
        <v/>
      </c>
      <c r="AD1061" s="33" t="str">
        <f aca="false">IF(AND(E1061&gt;0,W1061&lt;1,NOT(AND(C1062=C1061,W1062=W1061+1))),INDEX(DATAS,W1061+1),"")</f>
        <v/>
      </c>
      <c r="AE1061" s="33" t="str">
        <f aca="false">IF(AND(Y1061=1,W1061&lt;1),IF(AND(C1062=C1061,W1062=W1061+1),IF(Y1062=1,"",INDEX(DATAS,W1061+1)),INDEX(DATAS,W1061+1)),"")</f>
        <v/>
      </c>
    </row>
    <row r="1062" customFormat="false" ht="15" hidden="false" customHeight="false" outlineLevel="0" collapsed="false">
      <c r="A1062" s="33" t="n">
        <v>46309</v>
      </c>
      <c r="B1062" s="0" t="n">
        <v>5</v>
      </c>
      <c r="C1062" s="0" t="n">
        <v>5078</v>
      </c>
      <c r="D1062" s="0" t="n">
        <v>98</v>
      </c>
      <c r="E1062" s="0" t="n">
        <v>2</v>
      </c>
      <c r="F1062" s="27" t="s">
        <v>775</v>
      </c>
      <c r="G1062" s="0" t="n">
        <v>50.2</v>
      </c>
      <c r="H1062" s="0" t="n">
        <v>45</v>
      </c>
      <c r="I1062" s="27" t="s">
        <v>138</v>
      </c>
      <c r="J1062" s="0" t="n">
        <v>63</v>
      </c>
      <c r="K1062" s="0" t="n">
        <v>63</v>
      </c>
      <c r="L1062" s="0" t="n">
        <v>35</v>
      </c>
      <c r="M1062" s="0" t="n">
        <v>186.31</v>
      </c>
      <c r="N1062" s="0" t="n">
        <v>75.15</v>
      </c>
      <c r="O1062" s="0" t="n">
        <v>21.91</v>
      </c>
      <c r="P1062" s="0" t="n">
        <v>5.9</v>
      </c>
      <c r="Q1062" s="0" t="n">
        <v>3.48</v>
      </c>
      <c r="R1062" s="0" t="n">
        <v>4438</v>
      </c>
      <c r="S1062" s="0" t="n">
        <v>8922</v>
      </c>
      <c r="T1062" s="0" t="n">
        <v>46.25</v>
      </c>
      <c r="U1062" s="0" t="n">
        <v>1072</v>
      </c>
      <c r="V1062" s="0" t="n">
        <v>1</v>
      </c>
      <c r="W1062" s="27" t="n">
        <f aca="false">MATCH(A1062,DATAS,0)</f>
        <v>1</v>
      </c>
      <c r="X1062" s="27" t="n">
        <f aca="false">IF(AND(E1062&gt;0,OR(AND(B1062&gt;=1,B1062&lt;=6),B1062=10)),1,0)</f>
        <v>1</v>
      </c>
      <c r="Y1062" s="27" t="n">
        <f aca="false">IF(AND(E1062&gt;0,B1062=10),1,0)</f>
        <v>0</v>
      </c>
      <c r="Z1062" s="0" t="str">
        <f aca="false">IF(AND(C1061=C1062,W1061=W1062-1),X1061,"")</f>
        <v/>
      </c>
      <c r="AA1062" s="0" t="str">
        <f aca="false">IF(AND(C1061=C1062,W1061=W1062-1),Y1061,"")</f>
        <v/>
      </c>
      <c r="AB1062" s="0" t="str">
        <f aca="false">IF(W1062=1,"",IF(AND(X1062=1,Z1062&lt;&gt;1),1,0))</f>
        <v/>
      </c>
      <c r="AC1062" s="0" t="str">
        <f aca="false">IF(W1062=1,"",IF(AND(Y1062=1,AA1062&lt;&gt;1),1,0))</f>
        <v/>
      </c>
      <c r="AD1062" s="33" t="str">
        <f aca="false">IF(AND(E1062&gt;0,W1062&lt;1,NOT(AND(C1063=C1062,W1063=W1062+1))),INDEX(DATAS,W1062+1),"")</f>
        <v/>
      </c>
      <c r="AE1062" s="33" t="str">
        <f aca="false">IF(AND(Y1062=1,W1062&lt;1),IF(AND(C1063=C1062,W1063=W1062+1),IF(Y1063=1,"",INDEX(DATAS,W1062+1)),INDEX(DATAS,W1062+1)),"")</f>
        <v/>
      </c>
    </row>
    <row r="1063" customFormat="false" ht="15" hidden="false" customHeight="false" outlineLevel="0" collapsed="false">
      <c r="A1063" s="33" t="n">
        <v>46309</v>
      </c>
      <c r="B1063" s="0" t="n">
        <v>5</v>
      </c>
      <c r="C1063" s="0" t="n">
        <v>5079</v>
      </c>
      <c r="D1063" s="0" t="n">
        <v>64</v>
      </c>
      <c r="E1063" s="0" t="n">
        <v>2</v>
      </c>
      <c r="F1063" s="27" t="s">
        <v>776</v>
      </c>
      <c r="G1063" s="0" t="n">
        <v>45</v>
      </c>
      <c r="H1063" s="0" t="n">
        <v>40</v>
      </c>
      <c r="I1063" s="27" t="s">
        <v>147</v>
      </c>
      <c r="J1063" s="0" t="n">
        <v>64</v>
      </c>
      <c r="M1063" s="0" t="n">
        <v>-36.02</v>
      </c>
      <c r="N1063" s="0" t="n">
        <v>12.31</v>
      </c>
      <c r="O1063" s="0" t="n">
        <v>19.9</v>
      </c>
      <c r="P1063" s="0" t="n">
        <v>2.77</v>
      </c>
      <c r="Q1063" s="0" t="n">
        <v>3.28</v>
      </c>
      <c r="R1063" s="0" t="n">
        <v>4270</v>
      </c>
      <c r="S1063" s="0" t="n">
        <v>8584</v>
      </c>
      <c r="U1063" s="0" t="n">
        <v>1070</v>
      </c>
      <c r="V1063" s="0" t="n">
        <v>0</v>
      </c>
      <c r="W1063" s="27" t="n">
        <f aca="false">MATCH(A1063,DATAS,0)</f>
        <v>1</v>
      </c>
      <c r="X1063" s="27" t="n">
        <f aca="false">IF(AND(E1063&gt;0,OR(AND(B1063&gt;=1,B1063&lt;=6),B1063=10)),1,0)</f>
        <v>1</v>
      </c>
      <c r="Y1063" s="27" t="n">
        <f aca="false">IF(AND(E1063&gt;0,B1063=10),1,0)</f>
        <v>0</v>
      </c>
      <c r="Z1063" s="0" t="str">
        <f aca="false">IF(AND(C1062=C1063,W1062=W1063-1),X1062,"")</f>
        <v/>
      </c>
      <c r="AA1063" s="0" t="str">
        <f aca="false">IF(AND(C1062=C1063,W1062=W1063-1),Y1062,"")</f>
        <v/>
      </c>
      <c r="AB1063" s="0" t="str">
        <f aca="false">IF(W1063=1,"",IF(AND(X1063=1,Z1063&lt;&gt;1),1,0))</f>
        <v/>
      </c>
      <c r="AC1063" s="0" t="str">
        <f aca="false">IF(W1063=1,"",IF(AND(Y1063=1,AA1063&lt;&gt;1),1,0))</f>
        <v/>
      </c>
      <c r="AD1063" s="33" t="str">
        <f aca="false">IF(AND(E1063&gt;0,W1063&lt;1,NOT(AND(C1064=C1063,W1064=W1063+1))),INDEX(DATAS,W1063+1),"")</f>
        <v/>
      </c>
      <c r="AE1063" s="33" t="str">
        <f aca="false">IF(AND(Y1063=1,W1063&lt;1),IF(AND(C1064=C1063,W1064=W1063+1),IF(Y1064=1,"",INDEX(DATAS,W1063+1)),INDEX(DATAS,W1063+1)),"")</f>
        <v/>
      </c>
    </row>
    <row r="1064" customFormat="false" ht="15" hidden="false" customHeight="false" outlineLevel="0" collapsed="false">
      <c r="A1064" s="33" t="n">
        <v>46309</v>
      </c>
      <c r="B1064" s="0" t="n">
        <v>14</v>
      </c>
      <c r="C1064" s="0" t="n">
        <v>5081</v>
      </c>
      <c r="D1064" s="0" t="n">
        <v>361</v>
      </c>
      <c r="E1064" s="0" t="n">
        <v>1</v>
      </c>
      <c r="F1064" s="27" t="s">
        <v>776</v>
      </c>
      <c r="I1064" s="27" t="s">
        <v>143</v>
      </c>
      <c r="J1064" s="0" t="n">
        <v>138</v>
      </c>
      <c r="K1064" s="0" t="n">
        <v>68</v>
      </c>
      <c r="L1064" s="0" t="n">
        <v>273</v>
      </c>
      <c r="M1064" s="0" t="n">
        <v>2.71</v>
      </c>
      <c r="N1064" s="0" t="n">
        <v>68.72</v>
      </c>
      <c r="O1064" s="0" t="n">
        <v>23.64</v>
      </c>
      <c r="P1064" s="0" t="n">
        <v>6.66</v>
      </c>
      <c r="Q1064" s="0" t="n">
        <v>3.94</v>
      </c>
      <c r="R1064" s="0" t="n">
        <v>3473</v>
      </c>
      <c r="S1064" s="0" t="n">
        <v>7577</v>
      </c>
      <c r="T1064" s="0" t="n">
        <v>35.85</v>
      </c>
      <c r="U1064" s="0" t="n">
        <v>1070</v>
      </c>
      <c r="V1064" s="0" t="n">
        <v>3</v>
      </c>
      <c r="W1064" s="27" t="n">
        <f aca="false">MATCH(A1064,DATAS,0)</f>
        <v>1</v>
      </c>
      <c r="X1064" s="27" t="n">
        <f aca="false">IF(AND(E1064&gt;0,OR(AND(B1064&gt;=1,B1064&lt;=6),B1064=10)),1,0)</f>
        <v>0</v>
      </c>
      <c r="Y1064" s="27" t="n">
        <f aca="false">IF(AND(E1064&gt;0,B1064=10),1,0)</f>
        <v>0</v>
      </c>
      <c r="Z1064" s="0" t="str">
        <f aca="false">IF(AND(C1063=C1064,W1063=W1064-1),X1063,"")</f>
        <v/>
      </c>
      <c r="AA1064" s="0" t="str">
        <f aca="false">IF(AND(C1063=C1064,W1063=W1064-1),Y1063,"")</f>
        <v/>
      </c>
      <c r="AB1064" s="0" t="str">
        <f aca="false">IF(W1064=1,"",IF(AND(X1064=1,Z1064&lt;&gt;1),1,0))</f>
        <v/>
      </c>
      <c r="AC1064" s="0" t="str">
        <f aca="false">IF(W1064=1,"",IF(AND(Y1064=1,AA1064&lt;&gt;1),1,0))</f>
        <v/>
      </c>
      <c r="AD1064" s="33" t="str">
        <f aca="false">IF(AND(E1064&gt;0,W1064&lt;1,NOT(AND(C1065=C1064,W1065=W1064+1))),INDEX(DATAS,W1064+1),"")</f>
        <v/>
      </c>
      <c r="AE1064" s="33" t="str">
        <f aca="false">IF(AND(Y1064=1,W1064&lt;1),IF(AND(C1065=C1064,W1065=W1064+1),IF(Y1065=1,"",INDEX(DATAS,W1064+1)),INDEX(DATAS,W1064+1)),"")</f>
        <v/>
      </c>
    </row>
    <row r="1065" customFormat="false" ht="15" hidden="false" customHeight="false" outlineLevel="0" collapsed="false">
      <c r="A1065" s="33" t="n">
        <v>46309</v>
      </c>
      <c r="B1065" s="0" t="n">
        <v>5</v>
      </c>
      <c r="C1065" s="0" t="n">
        <v>5082</v>
      </c>
      <c r="D1065" s="0" t="n">
        <v>97</v>
      </c>
      <c r="E1065" s="0" t="n">
        <v>2</v>
      </c>
      <c r="F1065" s="27" t="s">
        <v>777</v>
      </c>
      <c r="G1065" s="0" t="n">
        <v>44</v>
      </c>
      <c r="H1065" s="0" t="n">
        <v>41</v>
      </c>
      <c r="I1065" s="27" t="s">
        <v>138</v>
      </c>
      <c r="J1065" s="0" t="n">
        <v>62</v>
      </c>
      <c r="K1065" s="0" t="n">
        <v>62</v>
      </c>
      <c r="L1065" s="0" t="n">
        <v>35</v>
      </c>
      <c r="M1065" s="0" t="n">
        <v>-471.42</v>
      </c>
      <c r="N1065" s="0" t="n">
        <v>83.17</v>
      </c>
      <c r="O1065" s="0" t="n">
        <v>22.6</v>
      </c>
      <c r="P1065" s="0" t="n">
        <v>4.59</v>
      </c>
      <c r="Q1065" s="0" t="n">
        <v>3.92</v>
      </c>
      <c r="R1065" s="0" t="n">
        <v>3680</v>
      </c>
      <c r="S1065" s="0" t="n">
        <v>7397</v>
      </c>
      <c r="T1065" s="0" t="n">
        <v>39.25</v>
      </c>
      <c r="U1065" s="0" t="n">
        <v>1069</v>
      </c>
      <c r="V1065" s="0" t="n">
        <v>1</v>
      </c>
      <c r="W1065" s="27" t="n">
        <f aca="false">MATCH(A1065,DATAS,0)</f>
        <v>1</v>
      </c>
      <c r="X1065" s="27" t="n">
        <f aca="false">IF(AND(E1065&gt;0,OR(AND(B1065&gt;=1,B1065&lt;=6),B1065=10)),1,0)</f>
        <v>1</v>
      </c>
      <c r="Y1065" s="27" t="n">
        <f aca="false">IF(AND(E1065&gt;0,B1065=10),1,0)</f>
        <v>0</v>
      </c>
      <c r="Z1065" s="0" t="str">
        <f aca="false">IF(AND(C1064=C1065,W1064=W1065-1),X1064,"")</f>
        <v/>
      </c>
      <c r="AA1065" s="0" t="str">
        <f aca="false">IF(AND(C1064=C1065,W1064=W1065-1),Y1064,"")</f>
        <v/>
      </c>
      <c r="AB1065" s="0" t="str">
        <f aca="false">IF(W1065=1,"",IF(AND(X1065=1,Z1065&lt;&gt;1),1,0))</f>
        <v/>
      </c>
      <c r="AC1065" s="0" t="str">
        <f aca="false">IF(W1065=1,"",IF(AND(Y1065=1,AA1065&lt;&gt;1),1,0))</f>
        <v/>
      </c>
      <c r="AD1065" s="33" t="str">
        <f aca="false">IF(AND(E1065&gt;0,W1065&lt;1,NOT(AND(C1066=C1065,W1066=W1065+1))),INDEX(DATAS,W1065+1),"")</f>
        <v/>
      </c>
      <c r="AE1065" s="33" t="str">
        <f aca="false">IF(AND(Y1065=1,W1065&lt;1),IF(AND(C1066=C1065,W1066=W1065+1),IF(Y1066=1,"",INDEX(DATAS,W1065+1)),INDEX(DATAS,W1065+1)),"")</f>
        <v/>
      </c>
    </row>
    <row r="1066" customFormat="false" ht="15" hidden="false" customHeight="false" outlineLevel="0" collapsed="false">
      <c r="A1066" s="33" t="n">
        <v>46309</v>
      </c>
      <c r="B1066" s="0" t="n">
        <v>3</v>
      </c>
      <c r="C1066" s="0" t="n">
        <v>5083</v>
      </c>
      <c r="D1066" s="0" t="n">
        <v>109</v>
      </c>
      <c r="E1066" s="0" t="n">
        <v>2</v>
      </c>
      <c r="F1066" s="27" t="s">
        <v>777</v>
      </c>
      <c r="G1066" s="0" t="n">
        <v>56.6</v>
      </c>
      <c r="H1066" s="0" t="n">
        <v>65</v>
      </c>
      <c r="I1066" s="27" t="s">
        <v>176</v>
      </c>
      <c r="J1066" s="0" t="n">
        <v>109</v>
      </c>
      <c r="K1066" s="0" t="n">
        <v>67</v>
      </c>
      <c r="M1066" s="0" t="n">
        <v>917.25</v>
      </c>
      <c r="N1066" s="0" t="n">
        <v>40.95</v>
      </c>
      <c r="O1066" s="0" t="n">
        <v>36.17</v>
      </c>
      <c r="P1066" s="0" t="n">
        <v>3.59</v>
      </c>
      <c r="Q1066" s="0" t="n">
        <v>3.09</v>
      </c>
      <c r="R1066" s="0" t="n">
        <v>6448</v>
      </c>
      <c r="S1066" s="0" t="n">
        <v>13038</v>
      </c>
      <c r="T1066" s="0" t="n">
        <v>72.95</v>
      </c>
      <c r="U1066" s="0" t="n">
        <v>1069</v>
      </c>
      <c r="V1066" s="0" t="n">
        <v>1</v>
      </c>
      <c r="W1066" s="27" t="n">
        <f aca="false">MATCH(A1066,DATAS,0)</f>
        <v>1</v>
      </c>
      <c r="X1066" s="27" t="n">
        <f aca="false">IF(AND(E1066&gt;0,OR(AND(B1066&gt;=1,B1066&lt;=6),B1066=10)),1,0)</f>
        <v>1</v>
      </c>
      <c r="Y1066" s="27" t="n">
        <f aca="false">IF(AND(E1066&gt;0,B1066=10),1,0)</f>
        <v>0</v>
      </c>
      <c r="Z1066" s="0" t="str">
        <f aca="false">IF(AND(C1065=C1066,W1065=W1066-1),X1065,"")</f>
        <v/>
      </c>
      <c r="AA1066" s="0" t="str">
        <f aca="false">IF(AND(C1065=C1066,W1065=W1066-1),Y1065,"")</f>
        <v/>
      </c>
      <c r="AB1066" s="0" t="str">
        <f aca="false">IF(W1066=1,"",IF(AND(X1066=1,Z1066&lt;&gt;1),1,0))</f>
        <v/>
      </c>
      <c r="AC1066" s="0" t="str">
        <f aca="false">IF(W1066=1,"",IF(AND(Y1066=1,AA1066&lt;&gt;1),1,0))</f>
        <v/>
      </c>
      <c r="AD1066" s="33" t="str">
        <f aca="false">IF(AND(E1066&gt;0,W1066&lt;1,NOT(AND(C1067=C1066,W1067=W1066+1))),INDEX(DATAS,W1066+1),"")</f>
        <v/>
      </c>
      <c r="AE1066" s="33" t="str">
        <f aca="false">IF(AND(Y1066=1,W1066&lt;1),IF(AND(C1067=C1066,W1067=W1066+1),IF(Y1067=1,"",INDEX(DATAS,W1066+1)),INDEX(DATAS,W1066+1)),"")</f>
        <v/>
      </c>
    </row>
    <row r="1067" customFormat="false" ht="15" hidden="false" customHeight="false" outlineLevel="0" collapsed="false">
      <c r="A1067" s="33" t="n">
        <v>46309</v>
      </c>
      <c r="B1067" s="0" t="n">
        <v>5</v>
      </c>
      <c r="C1067" s="0" t="n">
        <v>5085</v>
      </c>
      <c r="D1067" s="0" t="n">
        <v>145</v>
      </c>
      <c r="E1067" s="0" t="n">
        <v>2</v>
      </c>
      <c r="F1067" s="27" t="s">
        <v>777</v>
      </c>
      <c r="G1067" s="0" t="n">
        <v>51.9</v>
      </c>
      <c r="H1067" s="0" t="n">
        <v>48</v>
      </c>
      <c r="I1067" s="27" t="s">
        <v>138</v>
      </c>
      <c r="J1067" s="0" t="n">
        <v>68</v>
      </c>
      <c r="K1067" s="0" t="n">
        <v>68</v>
      </c>
      <c r="L1067" s="0" t="n">
        <v>77</v>
      </c>
      <c r="M1067" s="0" t="n">
        <v>618.99</v>
      </c>
      <c r="N1067" s="0" t="n">
        <v>65.2</v>
      </c>
      <c r="O1067" s="0" t="n">
        <v>24.79</v>
      </c>
      <c r="P1067" s="0" t="n">
        <v>4.83</v>
      </c>
      <c r="Q1067" s="0" t="n">
        <v>3.41</v>
      </c>
      <c r="R1067" s="0" t="n">
        <v>4471</v>
      </c>
      <c r="S1067" s="0" t="n">
        <v>9244</v>
      </c>
      <c r="T1067" s="0" t="n">
        <v>49.7</v>
      </c>
      <c r="U1067" s="0" t="n">
        <v>1069</v>
      </c>
      <c r="V1067" s="0" t="n">
        <v>1</v>
      </c>
      <c r="W1067" s="27" t="n">
        <f aca="false">MATCH(A1067,DATAS,0)</f>
        <v>1</v>
      </c>
      <c r="X1067" s="27" t="n">
        <f aca="false">IF(AND(E1067&gt;0,OR(AND(B1067&gt;=1,B1067&lt;=6),B1067=10)),1,0)</f>
        <v>1</v>
      </c>
      <c r="Y1067" s="27" t="n">
        <f aca="false">IF(AND(E1067&gt;0,B1067=10),1,0)</f>
        <v>0</v>
      </c>
      <c r="Z1067" s="0" t="str">
        <f aca="false">IF(AND(C1066=C1067,W1066=W1067-1),X1066,"")</f>
        <v/>
      </c>
      <c r="AA1067" s="0" t="str">
        <f aca="false">IF(AND(C1066=C1067,W1066=W1067-1),Y1066,"")</f>
        <v/>
      </c>
      <c r="AB1067" s="0" t="str">
        <f aca="false">IF(W1067=1,"",IF(AND(X1067=1,Z1067&lt;&gt;1),1,0))</f>
        <v/>
      </c>
      <c r="AC1067" s="0" t="str">
        <f aca="false">IF(W1067=1,"",IF(AND(Y1067=1,AA1067&lt;&gt;1),1,0))</f>
        <v/>
      </c>
      <c r="AD1067" s="33" t="str">
        <f aca="false">IF(AND(E1067&gt;0,W1067&lt;1,NOT(AND(C1068=C1067,W1068=W1067+1))),INDEX(DATAS,W1067+1),"")</f>
        <v/>
      </c>
      <c r="AE1067" s="33" t="str">
        <f aca="false">IF(AND(Y1067=1,W1067&lt;1),IF(AND(C1068=C1067,W1068=W1067+1),IF(Y1068=1,"",INDEX(DATAS,W1067+1)),INDEX(DATAS,W1067+1)),"")</f>
        <v/>
      </c>
    </row>
    <row r="1068" customFormat="false" ht="15" hidden="false" customHeight="false" outlineLevel="0" collapsed="false">
      <c r="A1068" s="33" t="n">
        <v>46309</v>
      </c>
      <c r="B1068" s="0" t="n">
        <v>2</v>
      </c>
      <c r="C1068" s="0" t="n">
        <v>5088</v>
      </c>
      <c r="D1068" s="0" t="n">
        <v>55</v>
      </c>
      <c r="E1068" s="0" t="n">
        <v>2</v>
      </c>
      <c r="F1068" s="27" t="s">
        <v>778</v>
      </c>
      <c r="G1068" s="0" t="n">
        <v>46.8</v>
      </c>
      <c r="H1068" s="0" t="n">
        <v>50</v>
      </c>
      <c r="I1068" s="27" t="s">
        <v>147</v>
      </c>
      <c r="J1068" s="0" t="n">
        <v>55</v>
      </c>
      <c r="M1068" s="0" t="n">
        <v>573.22</v>
      </c>
      <c r="N1068" s="0" t="n">
        <v>64.79</v>
      </c>
      <c r="O1068" s="0" t="n">
        <v>26.35</v>
      </c>
      <c r="P1068" s="0" t="n">
        <v>3.96</v>
      </c>
      <c r="Q1068" s="0" t="n">
        <v>2.78</v>
      </c>
      <c r="R1068" s="0" t="n">
        <v>4132</v>
      </c>
      <c r="S1068" s="0" t="n">
        <v>8306</v>
      </c>
      <c r="U1068" s="0" t="n">
        <v>1068</v>
      </c>
      <c r="V1068" s="0" t="n">
        <v>0</v>
      </c>
      <c r="W1068" s="27" t="n">
        <f aca="false">MATCH(A1068,DATAS,0)</f>
        <v>1</v>
      </c>
      <c r="X1068" s="27" t="n">
        <f aca="false">IF(AND(E1068&gt;0,OR(AND(B1068&gt;=1,B1068&lt;=6),B1068=10)),1,0)</f>
        <v>1</v>
      </c>
      <c r="Y1068" s="27" t="n">
        <f aca="false">IF(AND(E1068&gt;0,B1068=10),1,0)</f>
        <v>0</v>
      </c>
      <c r="Z1068" s="0" t="str">
        <f aca="false">IF(AND(C1067=C1068,W1067=W1068-1),X1067,"")</f>
        <v/>
      </c>
      <c r="AA1068" s="0" t="str">
        <f aca="false">IF(AND(C1067=C1068,W1067=W1068-1),Y1067,"")</f>
        <v/>
      </c>
      <c r="AB1068" s="0" t="str">
        <f aca="false">IF(W1068=1,"",IF(AND(X1068=1,Z1068&lt;&gt;1),1,0))</f>
        <v/>
      </c>
      <c r="AC1068" s="0" t="str">
        <f aca="false">IF(W1068=1,"",IF(AND(Y1068=1,AA1068&lt;&gt;1),1,0))</f>
        <v/>
      </c>
      <c r="AD1068" s="33" t="str">
        <f aca="false">IF(AND(E1068&gt;0,W1068&lt;1,NOT(AND(C1069=C1068,W1069=W1068+1))),INDEX(DATAS,W1068+1),"")</f>
        <v/>
      </c>
      <c r="AE1068" s="33" t="str">
        <f aca="false">IF(AND(Y1068=1,W1068&lt;1),IF(AND(C1069=C1068,W1069=W1068+1),IF(Y1069=1,"",INDEX(DATAS,W1068+1)),INDEX(DATAS,W1068+1)),"")</f>
        <v/>
      </c>
    </row>
    <row r="1069" customFormat="false" ht="15" hidden="false" customHeight="false" outlineLevel="0" collapsed="false">
      <c r="A1069" s="33" t="n">
        <v>46309</v>
      </c>
      <c r="B1069" s="0" t="n">
        <v>5</v>
      </c>
      <c r="C1069" s="0" t="n">
        <v>5089</v>
      </c>
      <c r="D1069" s="0" t="n">
        <v>64</v>
      </c>
      <c r="E1069" s="0" t="n">
        <v>2</v>
      </c>
      <c r="F1069" s="27" t="s">
        <v>778</v>
      </c>
      <c r="G1069" s="0" t="n">
        <v>41.8</v>
      </c>
      <c r="H1069" s="0" t="n">
        <v>38</v>
      </c>
      <c r="I1069" s="27" t="s">
        <v>147</v>
      </c>
      <c r="J1069" s="0" t="n">
        <v>64</v>
      </c>
      <c r="M1069" s="0" t="n">
        <v>394.83</v>
      </c>
      <c r="N1069" s="0" t="n">
        <v>58.46</v>
      </c>
      <c r="O1069" s="0" t="n">
        <v>31.93</v>
      </c>
      <c r="P1069" s="0" t="n">
        <v>3.78</v>
      </c>
      <c r="Q1069" s="0" t="n">
        <v>3.32</v>
      </c>
      <c r="R1069" s="0" t="n">
        <v>2917</v>
      </c>
      <c r="S1069" s="0" t="n">
        <v>5863</v>
      </c>
      <c r="U1069" s="0" t="n">
        <v>1068</v>
      </c>
      <c r="V1069" s="0" t="n">
        <v>0</v>
      </c>
      <c r="W1069" s="27" t="n">
        <f aca="false">MATCH(A1069,DATAS,0)</f>
        <v>1</v>
      </c>
      <c r="X1069" s="27" t="n">
        <f aca="false">IF(AND(E1069&gt;0,OR(AND(B1069&gt;=1,B1069&lt;=6),B1069=10)),1,0)</f>
        <v>1</v>
      </c>
      <c r="Y1069" s="27" t="n">
        <f aca="false">IF(AND(E1069&gt;0,B1069=10),1,0)</f>
        <v>0</v>
      </c>
      <c r="Z1069" s="0" t="str">
        <f aca="false">IF(AND(C1068=C1069,W1068=W1069-1),X1068,"")</f>
        <v/>
      </c>
      <c r="AA1069" s="0" t="str">
        <f aca="false">IF(AND(C1068=C1069,W1068=W1069-1),Y1068,"")</f>
        <v/>
      </c>
      <c r="AB1069" s="0" t="str">
        <f aca="false">IF(W1069=1,"",IF(AND(X1069=1,Z1069&lt;&gt;1),1,0))</f>
        <v/>
      </c>
      <c r="AC1069" s="0" t="str">
        <f aca="false">IF(W1069=1,"",IF(AND(Y1069=1,AA1069&lt;&gt;1),1,0))</f>
        <v/>
      </c>
      <c r="AD1069" s="33" t="str">
        <f aca="false">IF(AND(E1069&gt;0,W1069&lt;1,NOT(AND(C1070=C1069,W1070=W1069+1))),INDEX(DATAS,W1069+1),"")</f>
        <v/>
      </c>
      <c r="AE1069" s="33" t="str">
        <f aca="false">IF(AND(Y1069=1,W1069&lt;1),IF(AND(C1070=C1069,W1070=W1069+1),IF(Y1070=1,"",INDEX(DATAS,W1069+1)),INDEX(DATAS,W1069+1)),"")</f>
        <v/>
      </c>
    </row>
    <row r="1070" customFormat="false" ht="15" hidden="false" customHeight="false" outlineLevel="0" collapsed="false">
      <c r="A1070" s="33" t="n">
        <v>46309</v>
      </c>
      <c r="B1070" s="0" t="n">
        <v>6</v>
      </c>
      <c r="C1070" s="0" t="n">
        <v>5090</v>
      </c>
      <c r="D1070" s="0" t="n">
        <v>13</v>
      </c>
      <c r="E1070" s="0" t="n">
        <v>2</v>
      </c>
      <c r="F1070" s="27" t="s">
        <v>778</v>
      </c>
      <c r="G1070" s="0" t="n">
        <v>25.5</v>
      </c>
      <c r="H1070" s="0" t="n">
        <v>28</v>
      </c>
      <c r="I1070" s="27" t="s">
        <v>147</v>
      </c>
      <c r="J1070" s="0" t="n">
        <v>13</v>
      </c>
      <c r="M1070" s="0" t="n">
        <v>978.96</v>
      </c>
      <c r="N1070" s="0" t="n">
        <v>55.83</v>
      </c>
      <c r="O1070" s="0" t="n">
        <v>32.31</v>
      </c>
      <c r="R1070" s="0" t="n">
        <v>2415</v>
      </c>
      <c r="S1070" s="0" t="n">
        <v>4855</v>
      </c>
      <c r="U1070" s="0" t="n">
        <v>1068</v>
      </c>
      <c r="V1070" s="0" t="n">
        <v>0</v>
      </c>
      <c r="W1070" s="27" t="n">
        <f aca="false">MATCH(A1070,DATAS,0)</f>
        <v>1</v>
      </c>
      <c r="X1070" s="27" t="n">
        <f aca="false">IF(AND(E1070&gt;0,OR(AND(B1070&gt;=1,B1070&lt;=6),B1070=10)),1,0)</f>
        <v>1</v>
      </c>
      <c r="Y1070" s="27" t="n">
        <f aca="false">IF(AND(E1070&gt;0,B1070=10),1,0)</f>
        <v>0</v>
      </c>
      <c r="Z1070" s="0" t="str">
        <f aca="false">IF(AND(C1069=C1070,W1069=W1070-1),X1069,"")</f>
        <v/>
      </c>
      <c r="AA1070" s="0" t="str">
        <f aca="false">IF(AND(C1069=C1070,W1069=W1070-1),Y1069,"")</f>
        <v/>
      </c>
      <c r="AB1070" s="0" t="str">
        <f aca="false">IF(W1070=1,"",IF(AND(X1070=1,Z1070&lt;&gt;1),1,0))</f>
        <v/>
      </c>
      <c r="AC1070" s="0" t="str">
        <f aca="false">IF(W1070=1,"",IF(AND(Y1070=1,AA1070&lt;&gt;1),1,0))</f>
        <v/>
      </c>
      <c r="AD1070" s="33" t="str">
        <f aca="false">IF(AND(E1070&gt;0,W1070&lt;1,NOT(AND(C1071=C1070,W1071=W1070+1))),INDEX(DATAS,W1070+1),"")</f>
        <v/>
      </c>
      <c r="AE1070" s="33" t="str">
        <f aca="false">IF(AND(Y1070=1,W1070&lt;1),IF(AND(C1071=C1070,W1071=W1070+1),IF(Y1071=1,"",INDEX(DATAS,W1070+1)),INDEX(DATAS,W1070+1)),"")</f>
        <v/>
      </c>
    </row>
    <row r="1071" customFormat="false" ht="15" hidden="false" customHeight="false" outlineLevel="0" collapsed="false">
      <c r="A1071" s="33" t="n">
        <v>46309</v>
      </c>
      <c r="B1071" s="0" t="n">
        <v>2</v>
      </c>
      <c r="C1071" s="0" t="n">
        <v>5092</v>
      </c>
      <c r="D1071" s="0" t="n">
        <v>15</v>
      </c>
      <c r="E1071" s="0" t="n">
        <v>2</v>
      </c>
      <c r="F1071" s="27" t="s">
        <v>779</v>
      </c>
      <c r="G1071" s="0" t="n">
        <v>51</v>
      </c>
      <c r="H1071" s="0" t="n">
        <v>43</v>
      </c>
      <c r="I1071" s="27" t="s">
        <v>147</v>
      </c>
      <c r="J1071" s="0" t="n">
        <v>15</v>
      </c>
      <c r="M1071" s="0" t="n">
        <v>721.12</v>
      </c>
      <c r="N1071" s="0" t="n">
        <v>42.06</v>
      </c>
      <c r="O1071" s="0" t="n">
        <v>35.03</v>
      </c>
      <c r="R1071" s="0" t="n">
        <v>3101</v>
      </c>
      <c r="S1071" s="0" t="n">
        <v>6233</v>
      </c>
      <c r="U1071" s="0" t="n">
        <v>1067</v>
      </c>
      <c r="V1071" s="0" t="n">
        <v>0</v>
      </c>
      <c r="W1071" s="27" t="n">
        <f aca="false">MATCH(A1071,DATAS,0)</f>
        <v>1</v>
      </c>
      <c r="X1071" s="27" t="n">
        <f aca="false">IF(AND(E1071&gt;0,OR(AND(B1071&gt;=1,B1071&lt;=6),B1071=10)),1,0)</f>
        <v>1</v>
      </c>
      <c r="Y1071" s="27" t="n">
        <f aca="false">IF(AND(E1071&gt;0,B1071=10),1,0)</f>
        <v>0</v>
      </c>
      <c r="Z1071" s="0" t="str">
        <f aca="false">IF(AND(C1070=C1071,W1070=W1071-1),X1070,"")</f>
        <v/>
      </c>
      <c r="AA1071" s="0" t="str">
        <f aca="false">IF(AND(C1070=C1071,W1070=W1071-1),Y1070,"")</f>
        <v/>
      </c>
      <c r="AB1071" s="0" t="str">
        <f aca="false">IF(W1071=1,"",IF(AND(X1071=1,Z1071&lt;&gt;1),1,0))</f>
        <v/>
      </c>
      <c r="AC1071" s="0" t="str">
        <f aca="false">IF(W1071=1,"",IF(AND(Y1071=1,AA1071&lt;&gt;1),1,0))</f>
        <v/>
      </c>
      <c r="AD1071" s="33" t="str">
        <f aca="false">IF(AND(E1071&gt;0,W1071&lt;1,NOT(AND(C1072=C1071,W1072=W1071+1))),INDEX(DATAS,W1071+1),"")</f>
        <v/>
      </c>
      <c r="AE1071" s="33" t="str">
        <f aca="false">IF(AND(Y1071=1,W1071&lt;1),IF(AND(C1072=C1071,W1072=W1071+1),IF(Y1072=1,"",INDEX(DATAS,W1071+1)),INDEX(DATAS,W1071+1)),"")</f>
        <v/>
      </c>
    </row>
    <row r="1072" customFormat="false" ht="15" hidden="false" customHeight="false" outlineLevel="0" collapsed="false">
      <c r="A1072" s="33" t="n">
        <v>46309</v>
      </c>
      <c r="B1072" s="0" t="n">
        <v>3</v>
      </c>
      <c r="C1072" s="0" t="n">
        <v>5093</v>
      </c>
      <c r="D1072" s="0" t="n">
        <v>26</v>
      </c>
      <c r="E1072" s="0" t="n">
        <v>2</v>
      </c>
      <c r="F1072" s="27" t="s">
        <v>779</v>
      </c>
      <c r="G1072" s="0" t="n">
        <v>36.7</v>
      </c>
      <c r="H1072" s="0" t="n">
        <v>34</v>
      </c>
      <c r="I1072" s="27" t="s">
        <v>147</v>
      </c>
      <c r="J1072" s="0" t="n">
        <v>26</v>
      </c>
      <c r="M1072" s="0" t="n">
        <v>968.85</v>
      </c>
      <c r="N1072" s="0" t="n">
        <v>41.43</v>
      </c>
      <c r="O1072" s="0" t="n">
        <v>35.34</v>
      </c>
      <c r="R1072" s="0" t="n">
        <v>2165</v>
      </c>
      <c r="S1072" s="0" t="n">
        <v>4352</v>
      </c>
      <c r="U1072" s="0" t="n">
        <v>1067</v>
      </c>
      <c r="V1072" s="0" t="n">
        <v>0</v>
      </c>
      <c r="W1072" s="27" t="n">
        <f aca="false">MATCH(A1072,DATAS,0)</f>
        <v>1</v>
      </c>
      <c r="X1072" s="27" t="n">
        <f aca="false">IF(AND(E1072&gt;0,OR(AND(B1072&gt;=1,B1072&lt;=6),B1072=10)),1,0)</f>
        <v>1</v>
      </c>
      <c r="Y1072" s="27" t="n">
        <f aca="false">IF(AND(E1072&gt;0,B1072=10),1,0)</f>
        <v>0</v>
      </c>
      <c r="Z1072" s="0" t="str">
        <f aca="false">IF(AND(C1071=C1072,W1071=W1072-1),X1071,"")</f>
        <v/>
      </c>
      <c r="AA1072" s="0" t="str">
        <f aca="false">IF(AND(C1071=C1072,W1071=W1072-1),Y1071,"")</f>
        <v/>
      </c>
      <c r="AB1072" s="0" t="str">
        <f aca="false">IF(W1072=1,"",IF(AND(X1072=1,Z1072&lt;&gt;1),1,0))</f>
        <v/>
      </c>
      <c r="AC1072" s="0" t="str">
        <f aca="false">IF(W1072=1,"",IF(AND(Y1072=1,AA1072&lt;&gt;1),1,0))</f>
        <v/>
      </c>
      <c r="AD1072" s="33" t="str">
        <f aca="false">IF(AND(E1072&gt;0,W1072&lt;1,NOT(AND(C1073=C1072,W1073=W1072+1))),INDEX(DATAS,W1072+1),"")</f>
        <v/>
      </c>
      <c r="AE1072" s="33" t="str">
        <f aca="false">IF(AND(Y1072=1,W1072&lt;1),IF(AND(C1073=C1072,W1073=W1072+1),IF(Y1073=1,"",INDEX(DATAS,W1072+1)),INDEX(DATAS,W1072+1)),"")</f>
        <v/>
      </c>
    </row>
    <row r="1073" customFormat="false" ht="15" hidden="false" customHeight="false" outlineLevel="0" collapsed="false">
      <c r="A1073" s="33" t="n">
        <v>46309</v>
      </c>
      <c r="B1073" s="0" t="n">
        <v>5</v>
      </c>
      <c r="C1073" s="0" t="n">
        <v>5094</v>
      </c>
      <c r="D1073" s="0" t="n">
        <v>113</v>
      </c>
      <c r="E1073" s="0" t="n">
        <v>2</v>
      </c>
      <c r="F1073" s="27" t="s">
        <v>779</v>
      </c>
      <c r="G1073" s="0" t="n">
        <v>39.8</v>
      </c>
      <c r="H1073" s="0" t="n">
        <v>39</v>
      </c>
      <c r="I1073" s="27" t="s">
        <v>168</v>
      </c>
      <c r="J1073" s="0" t="n">
        <v>113</v>
      </c>
      <c r="K1073" s="0" t="n">
        <v>64</v>
      </c>
      <c r="M1073" s="0" t="n">
        <v>554.65</v>
      </c>
      <c r="N1073" s="0" t="n">
        <v>62.66</v>
      </c>
      <c r="O1073" s="0" t="n">
        <v>34.44</v>
      </c>
      <c r="P1073" s="0" t="n">
        <v>3.8</v>
      </c>
      <c r="Q1073" s="0" t="n">
        <v>3.53</v>
      </c>
      <c r="R1073" s="0" t="n">
        <v>3921</v>
      </c>
      <c r="S1073" s="0" t="n">
        <v>7924</v>
      </c>
      <c r="T1073" s="0" t="n">
        <v>44.65</v>
      </c>
      <c r="U1073" s="0" t="n">
        <v>1067</v>
      </c>
      <c r="V1073" s="0" t="n">
        <v>2</v>
      </c>
      <c r="W1073" s="27" t="n">
        <f aca="false">MATCH(A1073,DATAS,0)</f>
        <v>1</v>
      </c>
      <c r="X1073" s="27" t="n">
        <f aca="false">IF(AND(E1073&gt;0,OR(AND(B1073&gt;=1,B1073&lt;=6),B1073=10)),1,0)</f>
        <v>1</v>
      </c>
      <c r="Y1073" s="27" t="n">
        <f aca="false">IF(AND(E1073&gt;0,B1073=10),1,0)</f>
        <v>0</v>
      </c>
      <c r="Z1073" s="0" t="str">
        <f aca="false">IF(AND(C1072=C1073,W1072=W1073-1),X1072,"")</f>
        <v/>
      </c>
      <c r="AA1073" s="0" t="str">
        <f aca="false">IF(AND(C1072=C1073,W1072=W1073-1),Y1072,"")</f>
        <v/>
      </c>
      <c r="AB1073" s="0" t="str">
        <f aca="false">IF(W1073=1,"",IF(AND(X1073=1,Z1073&lt;&gt;1),1,0))</f>
        <v/>
      </c>
      <c r="AC1073" s="0" t="str">
        <f aca="false">IF(W1073=1,"",IF(AND(Y1073=1,AA1073&lt;&gt;1),1,0))</f>
        <v/>
      </c>
      <c r="AD1073" s="33" t="str">
        <f aca="false">IF(AND(E1073&gt;0,W1073&lt;1,NOT(AND(C1074=C1073,W1074=W1073+1))),INDEX(DATAS,W1073+1),"")</f>
        <v/>
      </c>
      <c r="AE1073" s="33" t="str">
        <f aca="false">IF(AND(Y1073=1,W1073&lt;1),IF(AND(C1074=C1073,W1074=W1073+1),IF(Y1074=1,"",INDEX(DATAS,W1073+1)),INDEX(DATAS,W1073+1)),"")</f>
        <v/>
      </c>
    </row>
    <row r="1074" customFormat="false" ht="15" hidden="false" customHeight="false" outlineLevel="0" collapsed="false">
      <c r="A1074" s="33" t="n">
        <v>46309</v>
      </c>
      <c r="B1074" s="0" t="n">
        <v>14</v>
      </c>
      <c r="C1074" s="0" t="n">
        <v>5095</v>
      </c>
      <c r="D1074" s="0" t="n">
        <v>361</v>
      </c>
      <c r="E1074" s="0" t="n">
        <v>1</v>
      </c>
      <c r="F1074" s="27" t="s">
        <v>779</v>
      </c>
      <c r="I1074" s="27" t="s">
        <v>143</v>
      </c>
      <c r="J1074" s="0" t="n">
        <v>138</v>
      </c>
      <c r="K1074" s="0" t="n">
        <v>68</v>
      </c>
      <c r="L1074" s="0" t="n">
        <v>273</v>
      </c>
      <c r="M1074" s="0" t="n">
        <v>429.8</v>
      </c>
      <c r="N1074" s="0" t="n">
        <v>64.64</v>
      </c>
      <c r="O1074" s="0" t="n">
        <v>20.39</v>
      </c>
      <c r="P1074" s="0" t="n">
        <v>5.12</v>
      </c>
      <c r="Q1074" s="0" t="n">
        <v>3.64</v>
      </c>
      <c r="R1074" s="0" t="n">
        <v>3842</v>
      </c>
      <c r="S1074" s="0" t="n">
        <v>8853</v>
      </c>
      <c r="T1074" s="0" t="n">
        <v>40.7</v>
      </c>
      <c r="U1074" s="0" t="n">
        <v>1067</v>
      </c>
      <c r="V1074" s="0" t="n">
        <v>3</v>
      </c>
      <c r="W1074" s="27" t="n">
        <f aca="false">MATCH(A1074,DATAS,0)</f>
        <v>1</v>
      </c>
      <c r="X1074" s="27" t="n">
        <f aca="false">IF(AND(E1074&gt;0,OR(AND(B1074&gt;=1,B1074&lt;=6),B1074=10)),1,0)</f>
        <v>0</v>
      </c>
      <c r="Y1074" s="27" t="n">
        <f aca="false">IF(AND(E1074&gt;0,B1074=10),1,0)</f>
        <v>0</v>
      </c>
      <c r="Z1074" s="0" t="str">
        <f aca="false">IF(AND(C1073=C1074,W1073=W1074-1),X1073,"")</f>
        <v/>
      </c>
      <c r="AA1074" s="0" t="str">
        <f aca="false">IF(AND(C1073=C1074,W1073=W1074-1),Y1073,"")</f>
        <v/>
      </c>
      <c r="AB1074" s="0" t="str">
        <f aca="false">IF(W1074=1,"",IF(AND(X1074=1,Z1074&lt;&gt;1),1,0))</f>
        <v/>
      </c>
      <c r="AC1074" s="0" t="str">
        <f aca="false">IF(W1074=1,"",IF(AND(Y1074=1,AA1074&lt;&gt;1),1,0))</f>
        <v/>
      </c>
      <c r="AD1074" s="33" t="str">
        <f aca="false">IF(AND(E1074&gt;0,W1074&lt;1,NOT(AND(C1075=C1074,W1075=W1074+1))),INDEX(DATAS,W1074+1),"")</f>
        <v/>
      </c>
      <c r="AE1074" s="33" t="str">
        <f aca="false">IF(AND(Y1074=1,W1074&lt;1),IF(AND(C1075=C1074,W1075=W1074+1),IF(Y1075=1,"",INDEX(DATAS,W1074+1)),INDEX(DATAS,W1074+1)),"")</f>
        <v/>
      </c>
    </row>
    <row r="1075" customFormat="false" ht="15" hidden="false" customHeight="false" outlineLevel="0" collapsed="false">
      <c r="A1075" s="33" t="n">
        <v>46309</v>
      </c>
      <c r="B1075" s="0" t="n">
        <v>5</v>
      </c>
      <c r="C1075" s="0" t="n">
        <v>5096</v>
      </c>
      <c r="D1075" s="0" t="n">
        <v>391</v>
      </c>
      <c r="E1075" s="0" t="n">
        <v>1</v>
      </c>
      <c r="F1075" s="27" t="s">
        <v>779</v>
      </c>
      <c r="G1075" s="0" t="n">
        <v>40.2</v>
      </c>
      <c r="H1075" s="0" t="n">
        <v>40</v>
      </c>
      <c r="I1075" s="27" t="s">
        <v>138</v>
      </c>
      <c r="J1075" s="0" t="n">
        <v>206</v>
      </c>
      <c r="K1075" s="0" t="n">
        <v>76</v>
      </c>
      <c r="L1075" s="0" t="n">
        <v>185</v>
      </c>
      <c r="M1075" s="0" t="n">
        <v>1106.73</v>
      </c>
      <c r="N1075" s="0" t="n">
        <v>63.03</v>
      </c>
      <c r="O1075" s="0" t="n">
        <v>36.48</v>
      </c>
      <c r="P1075" s="0" t="n">
        <v>3.34</v>
      </c>
      <c r="Q1075" s="0" t="n">
        <v>3.81</v>
      </c>
      <c r="R1075" s="0" t="n">
        <v>4662</v>
      </c>
      <c r="S1075" s="0" t="n">
        <v>10030</v>
      </c>
      <c r="T1075" s="0" t="n">
        <v>51.2</v>
      </c>
      <c r="U1075" s="0" t="n">
        <v>1067</v>
      </c>
      <c r="V1075" s="0" t="n">
        <v>5</v>
      </c>
      <c r="W1075" s="27" t="n">
        <f aca="false">MATCH(A1075,DATAS,0)</f>
        <v>1</v>
      </c>
      <c r="X1075" s="27" t="n">
        <f aca="false">IF(AND(E1075&gt;0,OR(AND(B1075&gt;=1,B1075&lt;=6),B1075=10)),1,0)</f>
        <v>1</v>
      </c>
      <c r="Y1075" s="27" t="n">
        <f aca="false">IF(AND(E1075&gt;0,B1075=10),1,0)</f>
        <v>0</v>
      </c>
      <c r="Z1075" s="0" t="str">
        <f aca="false">IF(AND(C1074=C1075,W1074=W1075-1),X1074,"")</f>
        <v/>
      </c>
      <c r="AA1075" s="0" t="str">
        <f aca="false">IF(AND(C1074=C1075,W1074=W1075-1),Y1074,"")</f>
        <v/>
      </c>
      <c r="AB1075" s="0" t="str">
        <f aca="false">IF(W1075=1,"",IF(AND(X1075=1,Z1075&lt;&gt;1),1,0))</f>
        <v/>
      </c>
      <c r="AC1075" s="0" t="str">
        <f aca="false">IF(W1075=1,"",IF(AND(Y1075=1,AA1075&lt;&gt;1),1,0))</f>
        <v/>
      </c>
      <c r="AD1075" s="33" t="str">
        <f aca="false">IF(AND(E1075&gt;0,W1075&lt;1,NOT(AND(C1076=C1075,W1076=W1075+1))),INDEX(DATAS,W1075+1),"")</f>
        <v/>
      </c>
      <c r="AE1075" s="33" t="str">
        <f aca="false">IF(AND(Y1075=1,W1075&lt;1),IF(AND(C1076=C1075,W1076=W1075+1),IF(Y1076=1,"",INDEX(DATAS,W1075+1)),INDEX(DATAS,W1075+1)),"")</f>
        <v/>
      </c>
    </row>
    <row r="1076" customFormat="false" ht="15" hidden="false" customHeight="false" outlineLevel="0" collapsed="false">
      <c r="A1076" s="33" t="n">
        <v>46309</v>
      </c>
      <c r="B1076" s="0" t="n">
        <v>4</v>
      </c>
      <c r="C1076" s="0" t="n">
        <v>5098</v>
      </c>
      <c r="D1076" s="0" t="n">
        <v>350</v>
      </c>
      <c r="E1076" s="0" t="n">
        <v>1</v>
      </c>
      <c r="F1076" s="27" t="s">
        <v>780</v>
      </c>
      <c r="G1076" s="0" t="n">
        <v>34.1</v>
      </c>
      <c r="H1076" s="0" t="n">
        <v>37</v>
      </c>
      <c r="I1076" s="27" t="s">
        <v>176</v>
      </c>
      <c r="J1076" s="0" t="n">
        <v>350</v>
      </c>
      <c r="K1076" s="0" t="n">
        <v>64</v>
      </c>
      <c r="M1076" s="0" t="n">
        <v>36.78</v>
      </c>
      <c r="N1076" s="0" t="n">
        <v>70.56</v>
      </c>
      <c r="O1076" s="0" t="n">
        <v>28.87</v>
      </c>
      <c r="P1076" s="0" t="n">
        <v>5.85</v>
      </c>
      <c r="Q1076" s="0" t="n">
        <v>3.99</v>
      </c>
      <c r="R1076" s="0" t="n">
        <v>4132</v>
      </c>
      <c r="S1076" s="0" t="n">
        <v>8430</v>
      </c>
      <c r="T1076" s="0" t="n">
        <v>43.45</v>
      </c>
      <c r="U1076" s="0" t="n">
        <v>1066</v>
      </c>
      <c r="V1076" s="0" t="n">
        <v>5</v>
      </c>
      <c r="W1076" s="27" t="n">
        <f aca="false">MATCH(A1076,DATAS,0)</f>
        <v>1</v>
      </c>
      <c r="X1076" s="27" t="n">
        <f aca="false">IF(AND(E1076&gt;0,OR(AND(B1076&gt;=1,B1076&lt;=6),B1076=10)),1,0)</f>
        <v>1</v>
      </c>
      <c r="Y1076" s="27" t="n">
        <f aca="false">IF(AND(E1076&gt;0,B1076=10),1,0)</f>
        <v>0</v>
      </c>
      <c r="Z1076" s="0" t="str">
        <f aca="false">IF(AND(C1075=C1076,W1075=W1076-1),X1075,"")</f>
        <v/>
      </c>
      <c r="AA1076" s="0" t="str">
        <f aca="false">IF(AND(C1075=C1076,W1075=W1076-1),Y1075,"")</f>
        <v/>
      </c>
      <c r="AB1076" s="0" t="str">
        <f aca="false">IF(W1076=1,"",IF(AND(X1076=1,Z1076&lt;&gt;1),1,0))</f>
        <v/>
      </c>
      <c r="AC1076" s="0" t="str">
        <f aca="false">IF(W1076=1,"",IF(AND(Y1076=1,AA1076&lt;&gt;1),1,0))</f>
        <v/>
      </c>
      <c r="AD1076" s="33" t="str">
        <f aca="false">IF(AND(E1076&gt;0,W1076&lt;1,NOT(AND(C1077=C1076,W1077=W1076+1))),INDEX(DATAS,W1076+1),"")</f>
        <v/>
      </c>
      <c r="AE1076" s="33" t="str">
        <f aca="false">IF(AND(Y1076=1,W1076&lt;1),IF(AND(C1077=C1076,W1077=W1076+1),IF(Y1077=1,"",INDEX(DATAS,W1076+1)),INDEX(DATAS,W1076+1)),"")</f>
        <v/>
      </c>
    </row>
    <row r="1077" customFormat="false" ht="15" hidden="false" customHeight="false" outlineLevel="0" collapsed="false">
      <c r="A1077" s="33" t="n">
        <v>46309</v>
      </c>
      <c r="B1077" s="0" t="n">
        <v>4</v>
      </c>
      <c r="C1077" s="0" t="n">
        <v>5099</v>
      </c>
      <c r="D1077" s="0" t="n">
        <v>311</v>
      </c>
      <c r="E1077" s="0" t="n">
        <v>1</v>
      </c>
      <c r="F1077" s="27" t="s">
        <v>781</v>
      </c>
      <c r="G1077" s="0" t="n">
        <v>39.1</v>
      </c>
      <c r="H1077" s="0" t="n">
        <v>43</v>
      </c>
      <c r="I1077" s="27" t="s">
        <v>138</v>
      </c>
      <c r="J1077" s="0" t="n">
        <v>115</v>
      </c>
      <c r="K1077" s="0" t="n">
        <v>66</v>
      </c>
      <c r="L1077" s="0" t="n">
        <v>196</v>
      </c>
      <c r="M1077" s="0" t="n">
        <v>687.66</v>
      </c>
      <c r="N1077" s="0" t="n">
        <v>78.74</v>
      </c>
      <c r="O1077" s="0" t="n">
        <v>32.95</v>
      </c>
      <c r="P1077" s="0" t="n">
        <v>4.98</v>
      </c>
      <c r="Q1077" s="0" t="n">
        <v>3.49</v>
      </c>
      <c r="R1077" s="0" t="n">
        <v>3828</v>
      </c>
      <c r="S1077" s="0" t="n">
        <v>7960</v>
      </c>
      <c r="T1077" s="0" t="n">
        <v>39.85</v>
      </c>
      <c r="U1077" s="0" t="n">
        <v>1065</v>
      </c>
      <c r="V1077" s="0" t="n">
        <v>2</v>
      </c>
      <c r="W1077" s="27" t="n">
        <f aca="false">MATCH(A1077,DATAS,0)</f>
        <v>1</v>
      </c>
      <c r="X1077" s="27" t="n">
        <f aca="false">IF(AND(E1077&gt;0,OR(AND(B1077&gt;=1,B1077&lt;=6),B1077=10)),1,0)</f>
        <v>1</v>
      </c>
      <c r="Y1077" s="27" t="n">
        <f aca="false">IF(AND(E1077&gt;0,B1077=10),1,0)</f>
        <v>0</v>
      </c>
      <c r="Z1077" s="0" t="str">
        <f aca="false">IF(AND(C1076=C1077,W1076=W1077-1),X1076,"")</f>
        <v/>
      </c>
      <c r="AA1077" s="0" t="str">
        <f aca="false">IF(AND(C1076=C1077,W1076=W1077-1),Y1076,"")</f>
        <v/>
      </c>
      <c r="AB1077" s="0" t="str">
        <f aca="false">IF(W1077=1,"",IF(AND(X1077=1,Z1077&lt;&gt;1),1,0))</f>
        <v/>
      </c>
      <c r="AC1077" s="0" t="str">
        <f aca="false">IF(W1077=1,"",IF(AND(Y1077=1,AA1077&lt;&gt;1),1,0))</f>
        <v/>
      </c>
      <c r="AD1077" s="33" t="str">
        <f aca="false">IF(AND(E1077&gt;0,W1077&lt;1,NOT(AND(C1078=C1077,W1078=W1077+1))),INDEX(DATAS,W1077+1),"")</f>
        <v/>
      </c>
      <c r="AE1077" s="33" t="str">
        <f aca="false">IF(AND(Y1077=1,W1077&lt;1),IF(AND(C1078=C1077,W1078=W1077+1),IF(Y1078=1,"",INDEX(DATAS,W1077+1)),INDEX(DATAS,W1077+1)),"")</f>
        <v/>
      </c>
    </row>
    <row r="1078" customFormat="false" ht="15" hidden="false" customHeight="false" outlineLevel="0" collapsed="false">
      <c r="A1078" s="33" t="n">
        <v>46309</v>
      </c>
      <c r="B1078" s="0" t="n">
        <v>5</v>
      </c>
      <c r="C1078" s="0" t="n">
        <v>5102</v>
      </c>
      <c r="D1078" s="0" t="n">
        <v>443</v>
      </c>
      <c r="E1078" s="0" t="n">
        <v>1</v>
      </c>
      <c r="F1078" s="27" t="s">
        <v>781</v>
      </c>
      <c r="G1078" s="0" t="n">
        <v>31.5</v>
      </c>
      <c r="H1078" s="0" t="n">
        <v>23</v>
      </c>
      <c r="I1078" s="27" t="s">
        <v>138</v>
      </c>
      <c r="J1078" s="0" t="n">
        <v>290</v>
      </c>
      <c r="K1078" s="0" t="n">
        <v>65</v>
      </c>
      <c r="L1078" s="0" t="n">
        <v>153</v>
      </c>
      <c r="M1078" s="0" t="n">
        <v>809.34</v>
      </c>
      <c r="N1078" s="0" t="n">
        <v>66.23</v>
      </c>
      <c r="O1078" s="0" t="n">
        <v>32.33</v>
      </c>
      <c r="P1078" s="0" t="n">
        <v>4.76</v>
      </c>
      <c r="Q1078" s="0" t="n">
        <v>4.12</v>
      </c>
      <c r="R1078" s="0" t="n">
        <v>3489</v>
      </c>
      <c r="S1078" s="0" t="n">
        <v>6596</v>
      </c>
      <c r="T1078" s="0" t="n">
        <v>38.5</v>
      </c>
      <c r="U1078" s="0" t="n">
        <v>1065</v>
      </c>
      <c r="V1078" s="0" t="n">
        <v>3</v>
      </c>
      <c r="W1078" s="27" t="n">
        <f aca="false">MATCH(A1078,DATAS,0)</f>
        <v>1</v>
      </c>
      <c r="X1078" s="27" t="n">
        <f aca="false">IF(AND(E1078&gt;0,OR(AND(B1078&gt;=1,B1078&lt;=6),B1078=10)),1,0)</f>
        <v>1</v>
      </c>
      <c r="Y1078" s="27" t="n">
        <f aca="false">IF(AND(E1078&gt;0,B1078=10),1,0)</f>
        <v>0</v>
      </c>
      <c r="Z1078" s="0" t="str">
        <f aca="false">IF(AND(C1077=C1078,W1077=W1078-1),X1077,"")</f>
        <v/>
      </c>
      <c r="AA1078" s="0" t="str">
        <f aca="false">IF(AND(C1077=C1078,W1077=W1078-1),Y1077,"")</f>
        <v/>
      </c>
      <c r="AB1078" s="0" t="str">
        <f aca="false">IF(W1078=1,"",IF(AND(X1078=1,Z1078&lt;&gt;1),1,0))</f>
        <v/>
      </c>
      <c r="AC1078" s="0" t="str">
        <f aca="false">IF(W1078=1,"",IF(AND(Y1078=1,AA1078&lt;&gt;1),1,0))</f>
        <v/>
      </c>
      <c r="AD1078" s="33" t="str">
        <f aca="false">IF(AND(E1078&gt;0,W1078&lt;1,NOT(AND(C1079=C1078,W1079=W1078+1))),INDEX(DATAS,W1078+1),"")</f>
        <v/>
      </c>
      <c r="AE1078" s="33" t="str">
        <f aca="false">IF(AND(Y1078=1,W1078&lt;1),IF(AND(C1079=C1078,W1079=W1078+1),IF(Y1079=1,"",INDEX(DATAS,W1078+1)),INDEX(DATAS,W1078+1)),"")</f>
        <v/>
      </c>
    </row>
    <row r="1079" customFormat="false" ht="15" hidden="false" customHeight="false" outlineLevel="0" collapsed="false">
      <c r="A1079" s="33" t="n">
        <v>46309</v>
      </c>
      <c r="B1079" s="0" t="n">
        <v>4</v>
      </c>
      <c r="C1079" s="0" t="n">
        <v>5103</v>
      </c>
      <c r="D1079" s="0" t="n">
        <v>350</v>
      </c>
      <c r="E1079" s="0" t="n">
        <v>1</v>
      </c>
      <c r="F1079" s="27" t="s">
        <v>782</v>
      </c>
      <c r="G1079" s="0" t="n">
        <v>53.9</v>
      </c>
      <c r="H1079" s="0" t="n">
        <v>49</v>
      </c>
      <c r="I1079" s="27" t="s">
        <v>138</v>
      </c>
      <c r="J1079" s="0" t="n">
        <v>147</v>
      </c>
      <c r="K1079" s="0" t="n">
        <v>64</v>
      </c>
      <c r="L1079" s="0" t="n">
        <v>203</v>
      </c>
      <c r="M1079" s="0" t="n">
        <v>1203.35</v>
      </c>
      <c r="N1079" s="0" t="n">
        <v>70.52</v>
      </c>
      <c r="O1079" s="0" t="n">
        <v>46.94</v>
      </c>
      <c r="P1079" s="0" t="n">
        <v>3.26</v>
      </c>
      <c r="Q1079" s="0" t="n">
        <v>3.75</v>
      </c>
      <c r="R1079" s="0" t="n">
        <v>4737</v>
      </c>
      <c r="S1079" s="0" t="n">
        <v>10257</v>
      </c>
      <c r="T1079" s="0" t="n">
        <v>50.6</v>
      </c>
      <c r="U1079" s="0" t="n">
        <v>1064</v>
      </c>
      <c r="V1079" s="0" t="n">
        <v>3</v>
      </c>
      <c r="W1079" s="27" t="n">
        <f aca="false">MATCH(A1079,DATAS,0)</f>
        <v>1</v>
      </c>
      <c r="X1079" s="27" t="n">
        <f aca="false">IF(AND(E1079&gt;0,OR(AND(B1079&gt;=1,B1079&lt;=6),B1079=10)),1,0)</f>
        <v>1</v>
      </c>
      <c r="Y1079" s="27" t="n">
        <f aca="false">IF(AND(E1079&gt;0,B1079=10),1,0)</f>
        <v>0</v>
      </c>
      <c r="Z1079" s="0" t="str">
        <f aca="false">IF(AND(C1078=C1079,W1078=W1079-1),X1078,"")</f>
        <v/>
      </c>
      <c r="AA1079" s="0" t="str">
        <f aca="false">IF(AND(C1078=C1079,W1078=W1079-1),Y1078,"")</f>
        <v/>
      </c>
      <c r="AB1079" s="0" t="str">
        <f aca="false">IF(W1079=1,"",IF(AND(X1079=1,Z1079&lt;&gt;1),1,0))</f>
        <v/>
      </c>
      <c r="AC1079" s="0" t="str">
        <f aca="false">IF(W1079=1,"",IF(AND(Y1079=1,AA1079&lt;&gt;1),1,0))</f>
        <v/>
      </c>
      <c r="AD1079" s="33" t="str">
        <f aca="false">IF(AND(E1079&gt;0,W1079&lt;1,NOT(AND(C1080=C1079,W1080=W1079+1))),INDEX(DATAS,W1079+1),"")</f>
        <v/>
      </c>
      <c r="AE1079" s="33" t="str">
        <f aca="false">IF(AND(Y1079=1,W1079&lt;1),IF(AND(C1080=C1079,W1080=W1079+1),IF(Y1080=1,"",INDEX(DATAS,W1079+1)),INDEX(DATAS,W1079+1)),"")</f>
        <v/>
      </c>
    </row>
    <row r="1080" customFormat="false" ht="15" hidden="false" customHeight="false" outlineLevel="0" collapsed="false">
      <c r="A1080" s="33" t="n">
        <v>46309</v>
      </c>
      <c r="B1080" s="0" t="n">
        <v>1</v>
      </c>
      <c r="C1080" s="0" t="n">
        <v>5104</v>
      </c>
      <c r="D1080" s="0" t="n">
        <v>19</v>
      </c>
      <c r="E1080" s="0" t="n">
        <v>1</v>
      </c>
      <c r="F1080" s="27" t="s">
        <v>782</v>
      </c>
      <c r="G1080" s="0" t="n">
        <v>49.2</v>
      </c>
      <c r="H1080" s="0" t="n">
        <v>46</v>
      </c>
      <c r="I1080" s="27" t="s">
        <v>147</v>
      </c>
      <c r="J1080" s="0" t="n">
        <v>19</v>
      </c>
      <c r="M1080" s="0" t="n">
        <v>745.76</v>
      </c>
      <c r="N1080" s="0" t="n">
        <v>43.51</v>
      </c>
      <c r="O1080" s="0" t="n">
        <v>39.87</v>
      </c>
      <c r="R1080" s="0" t="n">
        <v>3733</v>
      </c>
      <c r="S1080" s="0" t="n">
        <v>7505</v>
      </c>
      <c r="U1080" s="0" t="n">
        <v>1064</v>
      </c>
      <c r="V1080" s="0" t="n">
        <v>0</v>
      </c>
      <c r="W1080" s="27" t="n">
        <f aca="false">MATCH(A1080,DATAS,0)</f>
        <v>1</v>
      </c>
      <c r="X1080" s="27" t="n">
        <f aca="false">IF(AND(E1080&gt;0,OR(AND(B1080&gt;=1,B1080&lt;=6),B1080=10)),1,0)</f>
        <v>1</v>
      </c>
      <c r="Y1080" s="27" t="n">
        <f aca="false">IF(AND(E1080&gt;0,B1080=10),1,0)</f>
        <v>0</v>
      </c>
      <c r="Z1080" s="0" t="str">
        <f aca="false">IF(AND(C1079=C1080,W1079=W1080-1),X1079,"")</f>
        <v/>
      </c>
      <c r="AA1080" s="0" t="str">
        <f aca="false">IF(AND(C1079=C1080,W1079=W1080-1),Y1079,"")</f>
        <v/>
      </c>
      <c r="AB1080" s="0" t="str">
        <f aca="false">IF(W1080=1,"",IF(AND(X1080=1,Z1080&lt;&gt;1),1,0))</f>
        <v/>
      </c>
      <c r="AC1080" s="0" t="str">
        <f aca="false">IF(W1080=1,"",IF(AND(Y1080=1,AA1080&lt;&gt;1),1,0))</f>
        <v/>
      </c>
      <c r="AD1080" s="33" t="str">
        <f aca="false">IF(AND(E1080&gt;0,W1080&lt;1,NOT(AND(C1081=C1080,W1081=W1080+1))),INDEX(DATAS,W1080+1),"")</f>
        <v/>
      </c>
      <c r="AE1080" s="33" t="str">
        <f aca="false">IF(AND(Y1080=1,W1080&lt;1),IF(AND(C1081=C1080,W1081=W1080+1),IF(Y1081=1,"",INDEX(DATAS,W1080+1)),INDEX(DATAS,W1080+1)),"")</f>
        <v/>
      </c>
    </row>
    <row r="1081" customFormat="false" ht="15" hidden="false" customHeight="false" outlineLevel="0" collapsed="false">
      <c r="A1081" s="33" t="n">
        <v>46309</v>
      </c>
      <c r="B1081" s="0" t="n">
        <v>5</v>
      </c>
      <c r="C1081" s="0" t="n">
        <v>5106</v>
      </c>
      <c r="D1081" s="0" t="n">
        <v>66</v>
      </c>
      <c r="E1081" s="0" t="n">
        <v>2</v>
      </c>
      <c r="F1081" s="27" t="s">
        <v>783</v>
      </c>
      <c r="G1081" s="0" t="n">
        <v>40</v>
      </c>
      <c r="H1081" s="0" t="n">
        <v>41</v>
      </c>
      <c r="I1081" s="27" t="s">
        <v>176</v>
      </c>
      <c r="J1081" s="0" t="n">
        <v>66</v>
      </c>
      <c r="M1081" s="0" t="n">
        <v>-116.63</v>
      </c>
      <c r="N1081" s="0" t="n">
        <v>60.01</v>
      </c>
      <c r="O1081" s="0" t="n">
        <v>20.72</v>
      </c>
      <c r="P1081" s="0" t="n">
        <v>4.46</v>
      </c>
      <c r="Q1081" s="0" t="n">
        <v>3.86</v>
      </c>
      <c r="R1081" s="0" t="n">
        <v>3214</v>
      </c>
      <c r="S1081" s="0" t="n">
        <v>6462</v>
      </c>
      <c r="U1081" s="0" t="n">
        <v>1063</v>
      </c>
      <c r="V1081" s="0" t="n">
        <v>0</v>
      </c>
      <c r="W1081" s="27" t="n">
        <f aca="false">MATCH(A1081,DATAS,0)</f>
        <v>1</v>
      </c>
      <c r="X1081" s="27" t="n">
        <f aca="false">IF(AND(E1081&gt;0,OR(AND(B1081&gt;=1,B1081&lt;=6),B1081=10)),1,0)</f>
        <v>1</v>
      </c>
      <c r="Y1081" s="27" t="n">
        <f aca="false">IF(AND(E1081&gt;0,B1081=10),1,0)</f>
        <v>0</v>
      </c>
      <c r="Z1081" s="0" t="str">
        <f aca="false">IF(AND(C1080=C1081,W1080=W1081-1),X1080,"")</f>
        <v/>
      </c>
      <c r="AA1081" s="0" t="str">
        <f aca="false">IF(AND(C1080=C1081,W1080=W1081-1),Y1080,"")</f>
        <v/>
      </c>
      <c r="AB1081" s="0" t="str">
        <f aca="false">IF(W1081=1,"",IF(AND(X1081=1,Z1081&lt;&gt;1),1,0))</f>
        <v/>
      </c>
      <c r="AC1081" s="0" t="str">
        <f aca="false">IF(W1081=1,"",IF(AND(Y1081=1,AA1081&lt;&gt;1),1,0))</f>
        <v/>
      </c>
      <c r="AD1081" s="33" t="str">
        <f aca="false">IF(AND(E1081&gt;0,W1081&lt;1,NOT(AND(C1082=C1081,W1082=W1081+1))),INDEX(DATAS,W1081+1),"")</f>
        <v/>
      </c>
      <c r="AE1081" s="33" t="str">
        <f aca="false">IF(AND(Y1081=1,W1081&lt;1),IF(AND(C1082=C1081,W1082=W1081+1),IF(Y1082=1,"",INDEX(DATAS,W1081+1)),INDEX(DATAS,W1081+1)),"")</f>
        <v/>
      </c>
    </row>
    <row r="1082" customFormat="false" ht="15" hidden="false" customHeight="false" outlineLevel="0" collapsed="false">
      <c r="A1082" s="33" t="n">
        <v>46309</v>
      </c>
      <c r="B1082" s="0" t="n">
        <v>5</v>
      </c>
      <c r="C1082" s="0" t="n">
        <v>5108</v>
      </c>
      <c r="D1082" s="0" t="n">
        <v>392</v>
      </c>
      <c r="E1082" s="0" t="n">
        <v>1</v>
      </c>
      <c r="F1082" s="27" t="s">
        <v>784</v>
      </c>
      <c r="G1082" s="0" t="n">
        <v>42.5</v>
      </c>
      <c r="H1082" s="0" t="n">
        <v>38</v>
      </c>
      <c r="I1082" s="27" t="s">
        <v>138</v>
      </c>
      <c r="J1082" s="0" t="n">
        <v>238</v>
      </c>
      <c r="K1082" s="0" t="n">
        <v>63</v>
      </c>
      <c r="L1082" s="0" t="n">
        <v>154</v>
      </c>
      <c r="M1082" s="0" t="n">
        <v>956.65</v>
      </c>
      <c r="N1082" s="0" t="n">
        <v>78.76</v>
      </c>
      <c r="O1082" s="0" t="n">
        <v>48.78</v>
      </c>
      <c r="P1082" s="0" t="n">
        <v>5.42</v>
      </c>
      <c r="Q1082" s="0" t="n">
        <v>4.01</v>
      </c>
      <c r="R1082" s="0" t="n">
        <v>3969</v>
      </c>
      <c r="S1082" s="0" t="n">
        <v>8026</v>
      </c>
      <c r="T1082" s="0" t="n">
        <v>42.05</v>
      </c>
      <c r="U1082" s="0" t="n">
        <v>1062</v>
      </c>
      <c r="V1082" s="0" t="n">
        <v>6</v>
      </c>
      <c r="W1082" s="27" t="n">
        <f aca="false">MATCH(A1082,DATAS,0)</f>
        <v>1</v>
      </c>
      <c r="X1082" s="27" t="n">
        <f aca="false">IF(AND(E1082&gt;0,OR(AND(B1082&gt;=1,B1082&lt;=6),B1082=10)),1,0)</f>
        <v>1</v>
      </c>
      <c r="Y1082" s="27" t="n">
        <f aca="false">IF(AND(E1082&gt;0,B1082=10),1,0)</f>
        <v>0</v>
      </c>
      <c r="Z1082" s="0" t="str">
        <f aca="false">IF(AND(C1081=C1082,W1081=W1082-1),X1081,"")</f>
        <v/>
      </c>
      <c r="AA1082" s="0" t="str">
        <f aca="false">IF(AND(C1081=C1082,W1081=W1082-1),Y1081,"")</f>
        <v/>
      </c>
      <c r="AB1082" s="0" t="str">
        <f aca="false">IF(W1082=1,"",IF(AND(X1082=1,Z1082&lt;&gt;1),1,0))</f>
        <v/>
      </c>
      <c r="AC1082" s="0" t="str">
        <f aca="false">IF(W1082=1,"",IF(AND(Y1082=1,AA1082&lt;&gt;1),1,0))</f>
        <v/>
      </c>
      <c r="AD1082" s="33" t="str">
        <f aca="false">IF(AND(E1082&gt;0,W1082&lt;1,NOT(AND(C1083=C1082,W1083=W1082+1))),INDEX(DATAS,W1082+1),"")</f>
        <v/>
      </c>
      <c r="AE1082" s="33" t="str">
        <f aca="false">IF(AND(Y1082=1,W1082&lt;1),IF(AND(C1083=C1082,W1083=W1082+1),IF(Y1083=1,"",INDEX(DATAS,W1082+1)),INDEX(DATAS,W1082+1)),"")</f>
        <v/>
      </c>
    </row>
    <row r="1083" customFormat="false" ht="15" hidden="false" customHeight="false" outlineLevel="0" collapsed="false">
      <c r="A1083" s="33" t="n">
        <v>46309</v>
      </c>
      <c r="B1083" s="0" t="n">
        <v>6</v>
      </c>
      <c r="C1083" s="0" t="n">
        <v>5109</v>
      </c>
      <c r="D1083" s="0" t="n">
        <v>376</v>
      </c>
      <c r="E1083" s="0" t="n">
        <v>1</v>
      </c>
      <c r="F1083" s="27" t="s">
        <v>785</v>
      </c>
      <c r="G1083" s="0" t="n">
        <v>29</v>
      </c>
      <c r="H1083" s="0" t="n">
        <v>28</v>
      </c>
      <c r="I1083" s="27" t="s">
        <v>138</v>
      </c>
      <c r="J1083" s="0" t="n">
        <v>292</v>
      </c>
      <c r="K1083" s="0" t="n">
        <v>68</v>
      </c>
      <c r="L1083" s="0" t="n">
        <v>84</v>
      </c>
      <c r="M1083" s="0" t="n">
        <v>769.4</v>
      </c>
      <c r="N1083" s="0" t="n">
        <v>55.55</v>
      </c>
      <c r="O1083" s="0" t="n">
        <v>34.89</v>
      </c>
      <c r="P1083" s="0" t="n">
        <v>8.74</v>
      </c>
      <c r="Q1083" s="0" t="n">
        <v>5.67</v>
      </c>
      <c r="R1083" s="0" t="n">
        <v>4340</v>
      </c>
      <c r="S1083" s="0" t="n">
        <v>8220</v>
      </c>
      <c r="T1083" s="0" t="n">
        <v>47.05</v>
      </c>
      <c r="U1083" s="0" t="n">
        <v>1061</v>
      </c>
      <c r="V1083" s="0" t="n">
        <v>6</v>
      </c>
      <c r="W1083" s="27" t="n">
        <f aca="false">MATCH(A1083,DATAS,0)</f>
        <v>1</v>
      </c>
      <c r="X1083" s="27" t="n">
        <f aca="false">IF(AND(E1083&gt;0,OR(AND(B1083&gt;=1,B1083&lt;=6),B1083=10)),1,0)</f>
        <v>1</v>
      </c>
      <c r="Y1083" s="27" t="n">
        <f aca="false">IF(AND(E1083&gt;0,B1083=10),1,0)</f>
        <v>0</v>
      </c>
      <c r="Z1083" s="0" t="str">
        <f aca="false">IF(AND(C1082=C1083,W1082=W1083-1),X1082,"")</f>
        <v/>
      </c>
      <c r="AA1083" s="0" t="str">
        <f aca="false">IF(AND(C1082=C1083,W1082=W1083-1),Y1082,"")</f>
        <v/>
      </c>
      <c r="AB1083" s="0" t="str">
        <f aca="false">IF(W1083=1,"",IF(AND(X1083=1,Z1083&lt;&gt;1),1,0))</f>
        <v/>
      </c>
      <c r="AC1083" s="0" t="str">
        <f aca="false">IF(W1083=1,"",IF(AND(Y1083=1,AA1083&lt;&gt;1),1,0))</f>
        <v/>
      </c>
      <c r="AD1083" s="33" t="str">
        <f aca="false">IF(AND(E1083&gt;0,W1083&lt;1,NOT(AND(C1084=C1083,W1084=W1083+1))),INDEX(DATAS,W1083+1),"")</f>
        <v/>
      </c>
      <c r="AE1083" s="33" t="str">
        <f aca="false">IF(AND(Y1083=1,W1083&lt;1),IF(AND(C1084=C1083,W1084=W1083+1),IF(Y1084=1,"",INDEX(DATAS,W1083+1)),INDEX(DATAS,W1083+1)),"")</f>
        <v/>
      </c>
    </row>
    <row r="1084" customFormat="false" ht="15" hidden="false" customHeight="false" outlineLevel="0" collapsed="false">
      <c r="A1084" s="33" t="n">
        <v>46309</v>
      </c>
      <c r="B1084" s="0" t="n">
        <v>5</v>
      </c>
      <c r="C1084" s="0" t="n">
        <v>5111</v>
      </c>
      <c r="D1084" s="0" t="n">
        <v>438</v>
      </c>
      <c r="E1084" s="0" t="n">
        <v>1</v>
      </c>
      <c r="F1084" s="27" t="s">
        <v>785</v>
      </c>
      <c r="G1084" s="0" t="n">
        <v>26.8</v>
      </c>
      <c r="H1084" s="0" t="n">
        <v>33</v>
      </c>
      <c r="I1084" s="27" t="s">
        <v>138</v>
      </c>
      <c r="J1084" s="0" t="n">
        <v>354</v>
      </c>
      <c r="K1084" s="0" t="n">
        <v>60</v>
      </c>
      <c r="L1084" s="0" t="n">
        <v>84</v>
      </c>
      <c r="M1084" s="0" t="n">
        <v>837.56</v>
      </c>
      <c r="N1084" s="0" t="n">
        <v>79.41</v>
      </c>
      <c r="O1084" s="0" t="n">
        <v>41.79</v>
      </c>
      <c r="P1084" s="0" t="n">
        <v>5.8</v>
      </c>
      <c r="Q1084" s="0" t="n">
        <v>5.05</v>
      </c>
      <c r="R1084" s="0" t="n">
        <v>4336</v>
      </c>
      <c r="S1084" s="0" t="n">
        <v>7797</v>
      </c>
      <c r="T1084" s="0" t="n">
        <v>46.8</v>
      </c>
      <c r="U1084" s="0" t="n">
        <v>1061</v>
      </c>
      <c r="V1084" s="0" t="n">
        <v>8</v>
      </c>
      <c r="W1084" s="27" t="n">
        <f aca="false">MATCH(A1084,DATAS,0)</f>
        <v>1</v>
      </c>
      <c r="X1084" s="27" t="n">
        <f aca="false">IF(AND(E1084&gt;0,OR(AND(B1084&gt;=1,B1084&lt;=6),B1084=10)),1,0)</f>
        <v>1</v>
      </c>
      <c r="Y1084" s="27" t="n">
        <f aca="false">IF(AND(E1084&gt;0,B1084=10),1,0)</f>
        <v>0</v>
      </c>
      <c r="Z1084" s="0" t="str">
        <f aca="false">IF(AND(C1083=C1084,W1083=W1084-1),X1083,"")</f>
        <v/>
      </c>
      <c r="AA1084" s="0" t="str">
        <f aca="false">IF(AND(C1083=C1084,W1083=W1084-1),Y1083,"")</f>
        <v/>
      </c>
      <c r="AB1084" s="0" t="str">
        <f aca="false">IF(W1084=1,"",IF(AND(X1084=1,Z1084&lt;&gt;1),1,0))</f>
        <v/>
      </c>
      <c r="AC1084" s="0" t="str">
        <f aca="false">IF(W1084=1,"",IF(AND(Y1084=1,AA1084&lt;&gt;1),1,0))</f>
        <v/>
      </c>
      <c r="AD1084" s="33" t="str">
        <f aca="false">IF(AND(E1084&gt;0,W1084&lt;1,NOT(AND(C1085=C1084,W1085=W1084+1))),INDEX(DATAS,W1084+1),"")</f>
        <v/>
      </c>
      <c r="AE1084" s="33" t="str">
        <f aca="false">IF(AND(Y1084=1,W1084&lt;1),IF(AND(C1085=C1084,W1085=W1084+1),IF(Y1085=1,"",INDEX(DATAS,W1084+1)),INDEX(DATAS,W1084+1)),"")</f>
        <v/>
      </c>
    </row>
    <row r="1085" customFormat="false" ht="15" hidden="false" customHeight="false" outlineLevel="0" collapsed="false">
      <c r="A1085" s="33" t="n">
        <v>46309</v>
      </c>
      <c r="B1085" s="0" t="n">
        <v>7</v>
      </c>
      <c r="C1085" s="0" t="n">
        <v>5112</v>
      </c>
      <c r="D1085" s="0" t="n">
        <v>398</v>
      </c>
      <c r="E1085" s="0" t="n">
        <v>1</v>
      </c>
      <c r="F1085" s="27" t="s">
        <v>786</v>
      </c>
      <c r="G1085" s="0" t="n">
        <v>7.1</v>
      </c>
      <c r="H1085" s="0" t="n">
        <v>12</v>
      </c>
      <c r="I1085" s="27" t="s">
        <v>143</v>
      </c>
      <c r="J1085" s="0" t="n">
        <v>203</v>
      </c>
      <c r="K1085" s="0" t="n">
        <v>63</v>
      </c>
      <c r="L1085" s="0" t="n">
        <v>196</v>
      </c>
      <c r="M1085" s="0" t="n">
        <v>-532.85</v>
      </c>
      <c r="N1085" s="0" t="n">
        <v>48.26</v>
      </c>
      <c r="O1085" s="0" t="n">
        <v>6.52</v>
      </c>
      <c r="P1085" s="0" t="n">
        <v>6.39</v>
      </c>
      <c r="Q1085" s="0" t="n">
        <v>5.08</v>
      </c>
      <c r="R1085" s="0" t="n">
        <v>3604</v>
      </c>
      <c r="S1085" s="0" t="n">
        <v>7157</v>
      </c>
      <c r="T1085" s="0" t="n">
        <v>35.6</v>
      </c>
      <c r="U1085" s="0" t="n">
        <v>1060</v>
      </c>
      <c r="V1085" s="0" t="n">
        <v>4</v>
      </c>
      <c r="W1085" s="27" t="n">
        <f aca="false">MATCH(A1085,DATAS,0)</f>
        <v>1</v>
      </c>
      <c r="X1085" s="27" t="n">
        <f aca="false">IF(AND(E1085&gt;0,OR(AND(B1085&gt;=1,B1085&lt;=6),B1085=10)),1,0)</f>
        <v>0</v>
      </c>
      <c r="Y1085" s="27" t="n">
        <f aca="false">IF(AND(E1085&gt;0,B1085=10),1,0)</f>
        <v>0</v>
      </c>
      <c r="Z1085" s="0" t="str">
        <f aca="false">IF(AND(C1084=C1085,W1084=W1085-1),X1084,"")</f>
        <v/>
      </c>
      <c r="AA1085" s="0" t="str">
        <f aca="false">IF(AND(C1084=C1085,W1084=W1085-1),Y1084,"")</f>
        <v/>
      </c>
      <c r="AB1085" s="0" t="str">
        <f aca="false">IF(W1085=1,"",IF(AND(X1085=1,Z1085&lt;&gt;1),1,0))</f>
        <v/>
      </c>
      <c r="AC1085" s="0" t="str">
        <f aca="false">IF(W1085=1,"",IF(AND(Y1085=1,AA1085&lt;&gt;1),1,0))</f>
        <v/>
      </c>
      <c r="AD1085" s="33" t="str">
        <f aca="false">IF(AND(E1085&gt;0,W1085&lt;1,NOT(AND(C1086=C1085,W1086=W1085+1))),INDEX(DATAS,W1085+1),"")</f>
        <v/>
      </c>
      <c r="AE1085" s="33" t="str">
        <f aca="false">IF(AND(Y1085=1,W1085&lt;1),IF(AND(C1086=C1085,W1086=W1085+1),IF(Y1086=1,"",INDEX(DATAS,W1085+1)),INDEX(DATAS,W1085+1)),"")</f>
        <v/>
      </c>
    </row>
    <row r="1086" customFormat="false" ht="15" hidden="false" customHeight="false" outlineLevel="0" collapsed="false">
      <c r="A1086" s="33" t="n">
        <v>46309</v>
      </c>
      <c r="B1086" s="0" t="n">
        <v>6</v>
      </c>
      <c r="C1086" s="0" t="n">
        <v>5114</v>
      </c>
      <c r="D1086" s="0" t="n">
        <v>431</v>
      </c>
      <c r="E1086" s="0" t="n">
        <v>1</v>
      </c>
      <c r="F1086" s="27" t="s">
        <v>787</v>
      </c>
      <c r="G1086" s="0" t="n">
        <v>23.9</v>
      </c>
      <c r="H1086" s="0" t="n">
        <v>20</v>
      </c>
      <c r="I1086" s="27" t="s">
        <v>138</v>
      </c>
      <c r="J1086" s="0" t="n">
        <v>375</v>
      </c>
      <c r="K1086" s="0" t="n">
        <v>60</v>
      </c>
      <c r="L1086" s="0" t="n">
        <v>56</v>
      </c>
      <c r="M1086" s="0" t="n">
        <v>781.29</v>
      </c>
      <c r="N1086" s="0" t="n">
        <v>58.53</v>
      </c>
      <c r="O1086" s="0" t="n">
        <v>35.4</v>
      </c>
      <c r="P1086" s="0" t="n">
        <v>5.69</v>
      </c>
      <c r="Q1086" s="0" t="n">
        <v>4.04</v>
      </c>
      <c r="R1086" s="0" t="n">
        <v>3829</v>
      </c>
      <c r="S1086" s="0" t="n">
        <v>6868</v>
      </c>
      <c r="T1086" s="0" t="n">
        <v>41.4</v>
      </c>
      <c r="U1086" s="0" t="n">
        <v>1059</v>
      </c>
      <c r="V1086" s="0" t="n">
        <v>10</v>
      </c>
      <c r="W1086" s="27" t="n">
        <f aca="false">MATCH(A1086,DATAS,0)</f>
        <v>1</v>
      </c>
      <c r="X1086" s="27" t="n">
        <f aca="false">IF(AND(E1086&gt;0,OR(AND(B1086&gt;=1,B1086&lt;=6),B1086=10)),1,0)</f>
        <v>1</v>
      </c>
      <c r="Y1086" s="27" t="n">
        <f aca="false">IF(AND(E1086&gt;0,B1086=10),1,0)</f>
        <v>0</v>
      </c>
      <c r="Z1086" s="0" t="str">
        <f aca="false">IF(AND(C1085=C1086,W1085=W1086-1),X1085,"")</f>
        <v/>
      </c>
      <c r="AA1086" s="0" t="str">
        <f aca="false">IF(AND(C1085=C1086,W1085=W1086-1),Y1085,"")</f>
        <v/>
      </c>
      <c r="AB1086" s="0" t="str">
        <f aca="false">IF(W1086=1,"",IF(AND(X1086=1,Z1086&lt;&gt;1),1,0))</f>
        <v/>
      </c>
      <c r="AC1086" s="0" t="str">
        <f aca="false">IF(W1086=1,"",IF(AND(Y1086=1,AA1086&lt;&gt;1),1,0))</f>
        <v/>
      </c>
      <c r="AD1086" s="33" t="str">
        <f aca="false">IF(AND(E1086&gt;0,W1086&lt;1,NOT(AND(C1087=C1086,W1087=W1086+1))),INDEX(DATAS,W1086+1),"")</f>
        <v/>
      </c>
      <c r="AE1086" s="33" t="str">
        <f aca="false">IF(AND(Y1086=1,W1086&lt;1),IF(AND(C1087=C1086,W1087=W1086+1),IF(Y1087=1,"",INDEX(DATAS,W1086+1)),INDEX(DATAS,W1086+1)),"")</f>
        <v/>
      </c>
    </row>
    <row r="1087" customFormat="false" ht="15" hidden="false" customHeight="false" outlineLevel="0" collapsed="false">
      <c r="A1087" s="33" t="n">
        <v>46309</v>
      </c>
      <c r="B1087" s="0" t="n">
        <v>5</v>
      </c>
      <c r="C1087" s="0" t="n">
        <v>5115</v>
      </c>
      <c r="D1087" s="0" t="n">
        <v>154</v>
      </c>
      <c r="E1087" s="0" t="n">
        <v>2</v>
      </c>
      <c r="F1087" s="27" t="s">
        <v>788</v>
      </c>
      <c r="G1087" s="0" t="n">
        <v>44.9</v>
      </c>
      <c r="H1087" s="0" t="n">
        <v>42</v>
      </c>
      <c r="I1087" s="27" t="s">
        <v>138</v>
      </c>
      <c r="J1087" s="0" t="n">
        <v>84</v>
      </c>
      <c r="K1087" s="0" t="n">
        <v>84</v>
      </c>
      <c r="L1087" s="0" t="n">
        <v>70</v>
      </c>
      <c r="M1087" s="0" t="n">
        <v>949.67</v>
      </c>
      <c r="N1087" s="0" t="n">
        <v>31.69</v>
      </c>
      <c r="O1087" s="0" t="n">
        <v>32.84</v>
      </c>
      <c r="P1087" s="0" t="n">
        <v>3.1</v>
      </c>
      <c r="Q1087" s="0" t="n">
        <v>4.05</v>
      </c>
      <c r="R1087" s="0" t="n">
        <v>3848</v>
      </c>
      <c r="S1087" s="0" t="n">
        <v>8004</v>
      </c>
      <c r="T1087" s="0" t="n">
        <v>39.65</v>
      </c>
      <c r="U1087" s="0" t="n">
        <v>1058</v>
      </c>
      <c r="V1087" s="0" t="n">
        <v>1</v>
      </c>
      <c r="W1087" s="27" t="n">
        <f aca="false">MATCH(A1087,DATAS,0)</f>
        <v>1</v>
      </c>
      <c r="X1087" s="27" t="n">
        <f aca="false">IF(AND(E1087&gt;0,OR(AND(B1087&gt;=1,B1087&lt;=6),B1087=10)),1,0)</f>
        <v>1</v>
      </c>
      <c r="Y1087" s="27" t="n">
        <f aca="false">IF(AND(E1087&gt;0,B1087=10),1,0)</f>
        <v>0</v>
      </c>
      <c r="Z1087" s="0" t="str">
        <f aca="false">IF(AND(C1086=C1087,W1086=W1087-1),X1086,"")</f>
        <v/>
      </c>
      <c r="AA1087" s="0" t="str">
        <f aca="false">IF(AND(C1086=C1087,W1086=W1087-1),Y1086,"")</f>
        <v/>
      </c>
      <c r="AB1087" s="0" t="str">
        <f aca="false">IF(W1087=1,"",IF(AND(X1087=1,Z1087&lt;&gt;1),1,0))</f>
        <v/>
      </c>
      <c r="AC1087" s="0" t="str">
        <f aca="false">IF(W1087=1,"",IF(AND(Y1087=1,AA1087&lt;&gt;1),1,0))</f>
        <v/>
      </c>
      <c r="AD1087" s="33" t="str">
        <f aca="false">IF(AND(E1087&gt;0,W1087&lt;1,NOT(AND(C1088=C1087,W1088=W1087+1))),INDEX(DATAS,W1087+1),"")</f>
        <v/>
      </c>
      <c r="AE1087" s="33" t="str">
        <f aca="false">IF(AND(Y1087=1,W1087&lt;1),IF(AND(C1088=C1087,W1088=W1087+1),IF(Y1088=1,"",INDEX(DATAS,W1087+1)),INDEX(DATAS,W1087+1)),"")</f>
        <v/>
      </c>
    </row>
    <row r="1088" customFormat="false" ht="15" hidden="false" customHeight="false" outlineLevel="0" collapsed="false">
      <c r="A1088" s="33" t="n">
        <v>46309</v>
      </c>
      <c r="B1088" s="0" t="n">
        <v>3</v>
      </c>
      <c r="C1088" s="0" t="n">
        <v>5116</v>
      </c>
      <c r="D1088" s="0" t="n">
        <v>54</v>
      </c>
      <c r="E1088" s="0" t="n">
        <v>2</v>
      </c>
      <c r="F1088" s="27" t="s">
        <v>788</v>
      </c>
      <c r="G1088" s="0" t="n">
        <v>61.8</v>
      </c>
      <c r="H1088" s="0" t="n">
        <v>55</v>
      </c>
      <c r="I1088" s="27" t="s">
        <v>147</v>
      </c>
      <c r="J1088" s="0" t="n">
        <v>54</v>
      </c>
      <c r="M1088" s="0" t="n">
        <v>677.55</v>
      </c>
      <c r="N1088" s="0" t="n">
        <v>32.14</v>
      </c>
      <c r="O1088" s="0" t="n">
        <v>27.51</v>
      </c>
      <c r="P1088" s="0" t="n">
        <v>3.49</v>
      </c>
      <c r="Q1088" s="0" t="n">
        <v>3.22</v>
      </c>
      <c r="R1088" s="0" t="n">
        <v>5511</v>
      </c>
      <c r="S1088" s="0" t="n">
        <v>11079</v>
      </c>
      <c r="U1088" s="0" t="n">
        <v>1058</v>
      </c>
      <c r="V1088" s="0" t="n">
        <v>0</v>
      </c>
      <c r="W1088" s="27" t="n">
        <f aca="false">MATCH(A1088,DATAS,0)</f>
        <v>1</v>
      </c>
      <c r="X1088" s="27" t="n">
        <f aca="false">IF(AND(E1088&gt;0,OR(AND(B1088&gt;=1,B1088&lt;=6),B1088=10)),1,0)</f>
        <v>1</v>
      </c>
      <c r="Y1088" s="27" t="n">
        <f aca="false">IF(AND(E1088&gt;0,B1088=10),1,0)</f>
        <v>0</v>
      </c>
      <c r="Z1088" s="0" t="str">
        <f aca="false">IF(AND(C1087=C1088,W1087=W1088-1),X1087,"")</f>
        <v/>
      </c>
      <c r="AA1088" s="0" t="str">
        <f aca="false">IF(AND(C1087=C1088,W1087=W1088-1),Y1087,"")</f>
        <v/>
      </c>
      <c r="AB1088" s="0" t="str">
        <f aca="false">IF(W1088=1,"",IF(AND(X1088=1,Z1088&lt;&gt;1),1,0))</f>
        <v/>
      </c>
      <c r="AC1088" s="0" t="str">
        <f aca="false">IF(W1088=1,"",IF(AND(Y1088=1,AA1088&lt;&gt;1),1,0))</f>
        <v/>
      </c>
      <c r="AD1088" s="33" t="str">
        <f aca="false">IF(AND(E1088&gt;0,W1088&lt;1,NOT(AND(C1089=C1088,W1089=W1088+1))),INDEX(DATAS,W1088+1),"")</f>
        <v/>
      </c>
      <c r="AE1088" s="33" t="str">
        <f aca="false">IF(AND(Y1088=1,W1088&lt;1),IF(AND(C1089=C1088,W1089=W1088+1),IF(Y1089=1,"",INDEX(DATAS,W1088+1)),INDEX(DATAS,W1088+1)),"")</f>
        <v/>
      </c>
    </row>
    <row r="1089" customFormat="false" ht="15" hidden="false" customHeight="false" outlineLevel="0" collapsed="false">
      <c r="A1089" s="33" t="n">
        <v>46309</v>
      </c>
      <c r="B1089" s="0" t="n">
        <v>7</v>
      </c>
      <c r="C1089" s="0" t="n">
        <v>5118</v>
      </c>
      <c r="D1089" s="0" t="n">
        <v>292</v>
      </c>
      <c r="E1089" s="0" t="n">
        <v>1</v>
      </c>
      <c r="F1089" s="27" t="s">
        <v>788</v>
      </c>
      <c r="I1089" s="27" t="s">
        <v>143</v>
      </c>
      <c r="J1089" s="0" t="n">
        <v>69</v>
      </c>
      <c r="K1089" s="0" t="n">
        <v>69</v>
      </c>
      <c r="L1089" s="0" t="n">
        <v>231</v>
      </c>
      <c r="M1089" s="0" t="n">
        <v>637.43</v>
      </c>
      <c r="N1089" s="0" t="n">
        <v>40.05</v>
      </c>
      <c r="O1089" s="0" t="n">
        <v>27.96</v>
      </c>
      <c r="P1089" s="0" t="n">
        <v>4.31</v>
      </c>
      <c r="Q1089" s="0" t="n">
        <v>3.78</v>
      </c>
      <c r="R1089" s="0" t="n">
        <v>4332</v>
      </c>
      <c r="S1089" s="0" t="n">
        <v>8925</v>
      </c>
      <c r="T1089" s="0" t="n">
        <v>45.25</v>
      </c>
      <c r="U1089" s="0" t="n">
        <v>1058</v>
      </c>
      <c r="V1089" s="0" t="n">
        <v>1</v>
      </c>
      <c r="W1089" s="27" t="n">
        <f aca="false">MATCH(A1089,DATAS,0)</f>
        <v>1</v>
      </c>
      <c r="X1089" s="27" t="n">
        <f aca="false">IF(AND(E1089&gt;0,OR(AND(B1089&gt;=1,B1089&lt;=6),B1089=10)),1,0)</f>
        <v>0</v>
      </c>
      <c r="Y1089" s="27" t="n">
        <f aca="false">IF(AND(E1089&gt;0,B1089=10),1,0)</f>
        <v>0</v>
      </c>
      <c r="Z1089" s="0" t="str">
        <f aca="false">IF(AND(C1088=C1089,W1088=W1089-1),X1088,"")</f>
        <v/>
      </c>
      <c r="AA1089" s="0" t="str">
        <f aca="false">IF(AND(C1088=C1089,W1088=W1089-1),Y1088,"")</f>
        <v/>
      </c>
      <c r="AB1089" s="0" t="str">
        <f aca="false">IF(W1089=1,"",IF(AND(X1089=1,Z1089&lt;&gt;1),1,0))</f>
        <v/>
      </c>
      <c r="AC1089" s="0" t="str">
        <f aca="false">IF(W1089=1,"",IF(AND(Y1089=1,AA1089&lt;&gt;1),1,0))</f>
        <v/>
      </c>
      <c r="AD1089" s="33" t="str">
        <f aca="false">IF(AND(E1089&gt;0,W1089&lt;1,NOT(AND(C1090=C1089,W1090=W1089+1))),INDEX(DATAS,W1089+1),"")</f>
        <v/>
      </c>
      <c r="AE1089" s="33" t="str">
        <f aca="false">IF(AND(Y1089=1,W1089&lt;1),IF(AND(C1090=C1089,W1090=W1089+1),IF(Y1090=1,"",INDEX(DATAS,W1089+1)),INDEX(DATAS,W1089+1)),"")</f>
        <v/>
      </c>
    </row>
    <row r="1090" customFormat="false" ht="15" hidden="false" customHeight="false" outlineLevel="0" collapsed="false">
      <c r="A1090" s="33" t="n">
        <v>46309</v>
      </c>
      <c r="B1090" s="0" t="n">
        <v>7</v>
      </c>
      <c r="C1090" s="0" t="n">
        <v>5119</v>
      </c>
      <c r="D1090" s="0" t="n">
        <v>333</v>
      </c>
      <c r="E1090" s="0" t="n">
        <v>1</v>
      </c>
      <c r="F1090" s="27" t="s">
        <v>788</v>
      </c>
      <c r="I1090" s="27" t="s">
        <v>143</v>
      </c>
      <c r="J1090" s="0" t="n">
        <v>110</v>
      </c>
      <c r="K1090" s="0" t="n">
        <v>69</v>
      </c>
      <c r="L1090" s="0" t="n">
        <v>252</v>
      </c>
      <c r="M1090" s="0" t="n">
        <v>928.48</v>
      </c>
      <c r="N1090" s="0" t="n">
        <v>53.86</v>
      </c>
      <c r="O1090" s="0" t="n">
        <v>39.29</v>
      </c>
      <c r="P1090" s="0" t="n">
        <v>3.65</v>
      </c>
      <c r="Q1090" s="0" t="n">
        <v>3.58</v>
      </c>
      <c r="R1090" s="0" t="n">
        <v>4093</v>
      </c>
      <c r="S1090" s="0" t="n">
        <v>8409</v>
      </c>
      <c r="T1090" s="0" t="n">
        <v>38.1</v>
      </c>
      <c r="U1090" s="0" t="n">
        <v>1058</v>
      </c>
      <c r="V1090" s="0" t="n">
        <v>2</v>
      </c>
      <c r="W1090" s="27" t="n">
        <f aca="false">MATCH(A1090,DATAS,0)</f>
        <v>1</v>
      </c>
      <c r="X1090" s="27" t="n">
        <f aca="false">IF(AND(E1090&gt;0,OR(AND(B1090&gt;=1,B1090&lt;=6),B1090=10)),1,0)</f>
        <v>0</v>
      </c>
      <c r="Y1090" s="27" t="n">
        <f aca="false">IF(AND(E1090&gt;0,B1090=10),1,0)</f>
        <v>0</v>
      </c>
      <c r="Z1090" s="0" t="str">
        <f aca="false">IF(AND(C1089=C1090,W1089=W1090-1),X1089,"")</f>
        <v/>
      </c>
      <c r="AA1090" s="0" t="str">
        <f aca="false">IF(AND(C1089=C1090,W1089=W1090-1),Y1089,"")</f>
        <v/>
      </c>
      <c r="AB1090" s="0" t="str">
        <f aca="false">IF(W1090=1,"",IF(AND(X1090=1,Z1090&lt;&gt;1),1,0))</f>
        <v/>
      </c>
      <c r="AC1090" s="0" t="str">
        <f aca="false">IF(W1090=1,"",IF(AND(Y1090=1,AA1090&lt;&gt;1),1,0))</f>
        <v/>
      </c>
      <c r="AD1090" s="33" t="str">
        <f aca="false">IF(AND(E1090&gt;0,W1090&lt;1,NOT(AND(C1091=C1090,W1091=W1090+1))),INDEX(DATAS,W1090+1),"")</f>
        <v/>
      </c>
      <c r="AE1090" s="33" t="str">
        <f aca="false">IF(AND(Y1090=1,W1090&lt;1),IF(AND(C1091=C1090,W1091=W1090+1),IF(Y1091=1,"",INDEX(DATAS,W1090+1)),INDEX(DATAS,W1090+1)),"")</f>
        <v/>
      </c>
    </row>
    <row r="1091" customFormat="false" ht="15" hidden="false" customHeight="false" outlineLevel="0" collapsed="false">
      <c r="A1091" s="33" t="n">
        <v>46309</v>
      </c>
      <c r="B1091" s="0" t="n">
        <v>4</v>
      </c>
      <c r="C1091" s="0" t="n">
        <v>5122</v>
      </c>
      <c r="D1091" s="0" t="n">
        <v>347</v>
      </c>
      <c r="E1091" s="0" t="n">
        <v>1</v>
      </c>
      <c r="F1091" s="27" t="s">
        <v>789</v>
      </c>
      <c r="G1091" s="0" t="n">
        <v>33.6</v>
      </c>
      <c r="H1091" s="0" t="n">
        <v>37</v>
      </c>
      <c r="I1091" s="27" t="s">
        <v>176</v>
      </c>
      <c r="J1091" s="0" t="n">
        <v>347</v>
      </c>
      <c r="K1091" s="0" t="n">
        <v>68</v>
      </c>
      <c r="M1091" s="0" t="n">
        <v>314.58</v>
      </c>
      <c r="N1091" s="0" t="n">
        <v>43.22</v>
      </c>
      <c r="O1091" s="0" t="n">
        <v>20.54</v>
      </c>
      <c r="P1091" s="0" t="n">
        <v>3.55</v>
      </c>
      <c r="Q1091" s="0" t="n">
        <v>3.94</v>
      </c>
      <c r="R1091" s="0" t="n">
        <v>4660</v>
      </c>
      <c r="S1091" s="0" t="n">
        <v>9328</v>
      </c>
      <c r="T1091" s="0" t="n">
        <v>50.35</v>
      </c>
      <c r="U1091" s="0" t="n">
        <v>1057</v>
      </c>
      <c r="V1091" s="0" t="n">
        <v>6</v>
      </c>
      <c r="W1091" s="27" t="n">
        <f aca="false">MATCH(A1091,DATAS,0)</f>
        <v>1</v>
      </c>
      <c r="X1091" s="27" t="n">
        <f aca="false">IF(AND(E1091&gt;0,OR(AND(B1091&gt;=1,B1091&lt;=6),B1091=10)),1,0)</f>
        <v>1</v>
      </c>
      <c r="Y1091" s="27" t="n">
        <f aca="false">IF(AND(E1091&gt;0,B1091=10),1,0)</f>
        <v>0</v>
      </c>
      <c r="Z1091" s="0" t="str">
        <f aca="false">IF(AND(C1090=C1091,W1090=W1091-1),X1090,"")</f>
        <v/>
      </c>
      <c r="AA1091" s="0" t="str">
        <f aca="false">IF(AND(C1090=C1091,W1090=W1091-1),Y1090,"")</f>
        <v/>
      </c>
      <c r="AB1091" s="0" t="str">
        <f aca="false">IF(W1091=1,"",IF(AND(X1091=1,Z1091&lt;&gt;1),1,0))</f>
        <v/>
      </c>
      <c r="AC1091" s="0" t="str">
        <f aca="false">IF(W1091=1,"",IF(AND(Y1091=1,AA1091&lt;&gt;1),1,0))</f>
        <v/>
      </c>
      <c r="AD1091" s="33" t="str">
        <f aca="false">IF(AND(E1091&gt;0,W1091&lt;1,NOT(AND(C1092=C1091,W1092=W1091+1))),INDEX(DATAS,W1091+1),"")</f>
        <v/>
      </c>
      <c r="AE1091" s="33" t="str">
        <f aca="false">IF(AND(Y1091=1,W1091&lt;1),IF(AND(C1092=C1091,W1092=W1091+1),IF(Y1092=1,"",INDEX(DATAS,W1091+1)),INDEX(DATAS,W1091+1)),"")</f>
        <v/>
      </c>
    </row>
    <row r="1092" customFormat="false" ht="15" hidden="false" customHeight="false" outlineLevel="0" collapsed="false">
      <c r="A1092" s="33" t="n">
        <v>46309</v>
      </c>
      <c r="B1092" s="0" t="n">
        <v>5</v>
      </c>
      <c r="C1092" s="0" t="n">
        <v>5123</v>
      </c>
      <c r="D1092" s="0" t="n">
        <v>109</v>
      </c>
      <c r="E1092" s="0" t="n">
        <v>2</v>
      </c>
      <c r="F1092" s="27" t="s">
        <v>790</v>
      </c>
      <c r="G1092" s="0" t="n">
        <v>16.6</v>
      </c>
      <c r="H1092" s="0" t="n">
        <v>25</v>
      </c>
      <c r="I1092" s="27" t="s">
        <v>138</v>
      </c>
      <c r="J1092" s="0" t="n">
        <v>67</v>
      </c>
      <c r="K1092" s="0" t="n">
        <v>67</v>
      </c>
      <c r="L1092" s="0" t="n">
        <v>42</v>
      </c>
      <c r="M1092" s="0" t="n">
        <v>173.11</v>
      </c>
      <c r="N1092" s="0" t="n">
        <v>80.95</v>
      </c>
      <c r="O1092" s="0" t="n">
        <v>26.43</v>
      </c>
      <c r="P1092" s="0" t="n">
        <v>5.51</v>
      </c>
      <c r="Q1092" s="0" t="n">
        <v>3.97</v>
      </c>
      <c r="R1092" s="0" t="n">
        <v>3056</v>
      </c>
      <c r="S1092" s="0" t="n">
        <v>6079</v>
      </c>
      <c r="T1092" s="0" t="n">
        <v>36.95</v>
      </c>
      <c r="U1092" s="0" t="n">
        <v>1056</v>
      </c>
      <c r="V1092" s="0" t="n">
        <v>1</v>
      </c>
      <c r="W1092" s="27" t="n">
        <f aca="false">MATCH(A1092,DATAS,0)</f>
        <v>1</v>
      </c>
      <c r="X1092" s="27" t="n">
        <f aca="false">IF(AND(E1092&gt;0,OR(AND(B1092&gt;=1,B1092&lt;=6),B1092=10)),1,0)</f>
        <v>1</v>
      </c>
      <c r="Y1092" s="27" t="n">
        <f aca="false">IF(AND(E1092&gt;0,B1092=10),1,0)</f>
        <v>0</v>
      </c>
      <c r="Z1092" s="0" t="str">
        <f aca="false">IF(AND(C1091=C1092,W1091=W1092-1),X1091,"")</f>
        <v/>
      </c>
      <c r="AA1092" s="0" t="str">
        <f aca="false">IF(AND(C1091=C1092,W1091=W1092-1),Y1091,"")</f>
        <v/>
      </c>
      <c r="AB1092" s="0" t="str">
        <f aca="false">IF(W1092=1,"",IF(AND(X1092=1,Z1092&lt;&gt;1),1,0))</f>
        <v/>
      </c>
      <c r="AC1092" s="0" t="str">
        <f aca="false">IF(W1092=1,"",IF(AND(Y1092=1,AA1092&lt;&gt;1),1,0))</f>
        <v/>
      </c>
      <c r="AD1092" s="33" t="str">
        <f aca="false">IF(AND(E1092&gt;0,W1092&lt;1,NOT(AND(C1093=C1092,W1093=W1092+1))),INDEX(DATAS,W1092+1),"")</f>
        <v/>
      </c>
      <c r="AE1092" s="33" t="str">
        <f aca="false">IF(AND(Y1092=1,W1092&lt;1),IF(AND(C1093=C1092,W1093=W1092+1),IF(Y1093=1,"",INDEX(DATAS,W1092+1)),INDEX(DATAS,W1092+1)),"")</f>
        <v/>
      </c>
    </row>
    <row r="1093" customFormat="false" ht="15" hidden="false" customHeight="false" outlineLevel="0" collapsed="false">
      <c r="A1093" s="33" t="n">
        <v>46309</v>
      </c>
      <c r="B1093" s="0" t="n">
        <v>2</v>
      </c>
      <c r="C1093" s="0" t="n">
        <v>5124</v>
      </c>
      <c r="D1093" s="0" t="n">
        <v>18</v>
      </c>
      <c r="E1093" s="0" t="n">
        <v>2</v>
      </c>
      <c r="F1093" s="27" t="s">
        <v>790</v>
      </c>
      <c r="G1093" s="0" t="n">
        <v>53.6</v>
      </c>
      <c r="H1093" s="0" t="n">
        <v>48</v>
      </c>
      <c r="I1093" s="27" t="s">
        <v>147</v>
      </c>
      <c r="J1093" s="0" t="n">
        <v>18</v>
      </c>
      <c r="M1093" s="0" t="n">
        <v>-134.84</v>
      </c>
      <c r="N1093" s="0" t="n">
        <v>58.77</v>
      </c>
      <c r="O1093" s="0" t="n">
        <v>27.97</v>
      </c>
      <c r="R1093" s="0" t="n">
        <v>3398</v>
      </c>
      <c r="S1093" s="0" t="n">
        <v>6831</v>
      </c>
      <c r="U1093" s="0" t="n">
        <v>1056</v>
      </c>
      <c r="V1093" s="0" t="n">
        <v>0</v>
      </c>
      <c r="W1093" s="27" t="n">
        <f aca="false">MATCH(A1093,DATAS,0)</f>
        <v>1</v>
      </c>
      <c r="X1093" s="27" t="n">
        <f aca="false">IF(AND(E1093&gt;0,OR(AND(B1093&gt;=1,B1093&lt;=6),B1093=10)),1,0)</f>
        <v>1</v>
      </c>
      <c r="Y1093" s="27" t="n">
        <f aca="false">IF(AND(E1093&gt;0,B1093=10),1,0)</f>
        <v>0</v>
      </c>
      <c r="Z1093" s="0" t="str">
        <f aca="false">IF(AND(C1092=C1093,W1092=W1093-1),X1092,"")</f>
        <v/>
      </c>
      <c r="AA1093" s="0" t="str">
        <f aca="false">IF(AND(C1092=C1093,W1092=W1093-1),Y1092,"")</f>
        <v/>
      </c>
      <c r="AB1093" s="0" t="str">
        <f aca="false">IF(W1093=1,"",IF(AND(X1093=1,Z1093&lt;&gt;1),1,0))</f>
        <v/>
      </c>
      <c r="AC1093" s="0" t="str">
        <f aca="false">IF(W1093=1,"",IF(AND(Y1093=1,AA1093&lt;&gt;1),1,0))</f>
        <v/>
      </c>
      <c r="AD1093" s="33" t="str">
        <f aca="false">IF(AND(E1093&gt;0,W1093&lt;1,NOT(AND(C1094=C1093,W1094=W1093+1))),INDEX(DATAS,W1093+1),"")</f>
        <v/>
      </c>
      <c r="AE1093" s="33" t="str">
        <f aca="false">IF(AND(Y1093=1,W1093&lt;1),IF(AND(C1094=C1093,W1094=W1093+1),IF(Y1094=1,"",INDEX(DATAS,W1093+1)),INDEX(DATAS,W1093+1)),"")</f>
        <v/>
      </c>
    </row>
    <row r="1094" customFormat="false" ht="15" hidden="false" customHeight="false" outlineLevel="0" collapsed="false">
      <c r="A1094" s="33" t="n">
        <v>46309</v>
      </c>
      <c r="B1094" s="0" t="n">
        <v>6</v>
      </c>
      <c r="C1094" s="0" t="n">
        <v>5125</v>
      </c>
      <c r="D1094" s="0" t="n">
        <v>311</v>
      </c>
      <c r="E1094" s="0" t="n">
        <v>1</v>
      </c>
      <c r="F1094" s="27" t="s">
        <v>791</v>
      </c>
      <c r="G1094" s="0" t="n">
        <v>31.4</v>
      </c>
      <c r="H1094" s="0" t="n">
        <v>28</v>
      </c>
      <c r="I1094" s="27" t="s">
        <v>151</v>
      </c>
      <c r="J1094" s="0" t="n">
        <v>311</v>
      </c>
      <c r="K1094" s="0" t="n">
        <v>66</v>
      </c>
      <c r="M1094" s="0" t="n">
        <v>1270.51</v>
      </c>
      <c r="N1094" s="0" t="n">
        <v>41.97</v>
      </c>
      <c r="O1094" s="0" t="n">
        <v>27.21</v>
      </c>
      <c r="P1094" s="0" t="n">
        <v>2.81</v>
      </c>
      <c r="Q1094" s="0" t="n">
        <v>3.41</v>
      </c>
      <c r="R1094" s="0" t="n">
        <v>2822</v>
      </c>
      <c r="S1094" s="0" t="n">
        <v>6754</v>
      </c>
      <c r="T1094" s="0" t="n">
        <v>29.25</v>
      </c>
      <c r="U1094" s="0" t="n">
        <v>1055</v>
      </c>
      <c r="V1094" s="0" t="n">
        <v>2</v>
      </c>
      <c r="W1094" s="27" t="n">
        <f aca="false">MATCH(A1094,DATAS,0)</f>
        <v>1</v>
      </c>
      <c r="X1094" s="27" t="n">
        <f aca="false">IF(AND(E1094&gt;0,OR(AND(B1094&gt;=1,B1094&lt;=6),B1094=10)),1,0)</f>
        <v>1</v>
      </c>
      <c r="Y1094" s="27" t="n">
        <f aca="false">IF(AND(E1094&gt;0,B1094=10),1,0)</f>
        <v>0</v>
      </c>
      <c r="Z1094" s="0" t="str">
        <f aca="false">IF(AND(C1093=C1094,W1093=W1094-1),X1093,"")</f>
        <v/>
      </c>
      <c r="AA1094" s="0" t="str">
        <f aca="false">IF(AND(C1093=C1094,W1093=W1094-1),Y1093,"")</f>
        <v/>
      </c>
      <c r="AB1094" s="0" t="str">
        <f aca="false">IF(W1094=1,"",IF(AND(X1094=1,Z1094&lt;&gt;1),1,0))</f>
        <v/>
      </c>
      <c r="AC1094" s="0" t="str">
        <f aca="false">IF(W1094=1,"",IF(AND(Y1094=1,AA1094&lt;&gt;1),1,0))</f>
        <v/>
      </c>
      <c r="AD1094" s="33" t="str">
        <f aca="false">IF(AND(E1094&gt;0,W1094&lt;1,NOT(AND(C1095=C1094,W1095=W1094+1))),INDEX(DATAS,W1094+1),"")</f>
        <v/>
      </c>
      <c r="AE1094" s="33" t="str">
        <f aca="false">IF(AND(Y1094=1,W1094&lt;1),IF(AND(C1095=C1094,W1095=W1094+1),IF(Y1095=1,"",INDEX(DATAS,W1094+1)),INDEX(DATAS,W1094+1)),"")</f>
        <v/>
      </c>
    </row>
    <row r="1095" customFormat="false" ht="15" hidden="false" customHeight="false" outlineLevel="0" collapsed="false">
      <c r="A1095" s="33" t="n">
        <v>46309</v>
      </c>
      <c r="B1095" s="0" t="n">
        <v>4</v>
      </c>
      <c r="C1095" s="0" t="n">
        <v>5126</v>
      </c>
      <c r="D1095" s="0" t="n">
        <v>141</v>
      </c>
      <c r="E1095" s="0" t="n">
        <v>1</v>
      </c>
      <c r="F1095" s="27" t="s">
        <v>791</v>
      </c>
      <c r="G1095" s="0" t="n">
        <v>34.8</v>
      </c>
      <c r="H1095" s="0" t="n">
        <v>35</v>
      </c>
      <c r="I1095" s="27" t="s">
        <v>176</v>
      </c>
      <c r="J1095" s="0" t="n">
        <v>141</v>
      </c>
      <c r="K1095" s="0" t="n">
        <v>64</v>
      </c>
      <c r="M1095" s="0" t="n">
        <v>862.41</v>
      </c>
      <c r="N1095" s="0" t="n">
        <v>56.06</v>
      </c>
      <c r="O1095" s="0" t="n">
        <v>34.71</v>
      </c>
      <c r="P1095" s="0" t="n">
        <v>4.06</v>
      </c>
      <c r="Q1095" s="0" t="n">
        <v>3.54</v>
      </c>
      <c r="R1095" s="0" t="n">
        <v>3593</v>
      </c>
      <c r="S1095" s="0" t="n">
        <v>7302</v>
      </c>
      <c r="T1095" s="0" t="n">
        <v>37.1</v>
      </c>
      <c r="U1095" s="0" t="n">
        <v>1055</v>
      </c>
      <c r="V1095" s="0" t="n">
        <v>2</v>
      </c>
      <c r="W1095" s="27" t="n">
        <f aca="false">MATCH(A1095,DATAS,0)</f>
        <v>1</v>
      </c>
      <c r="X1095" s="27" t="n">
        <f aca="false">IF(AND(E1095&gt;0,OR(AND(B1095&gt;=1,B1095&lt;=6),B1095=10)),1,0)</f>
        <v>1</v>
      </c>
      <c r="Y1095" s="27" t="n">
        <f aca="false">IF(AND(E1095&gt;0,B1095=10),1,0)</f>
        <v>0</v>
      </c>
      <c r="Z1095" s="0" t="str">
        <f aca="false">IF(AND(C1094=C1095,W1094=W1095-1),X1094,"")</f>
        <v/>
      </c>
      <c r="AA1095" s="0" t="str">
        <f aca="false">IF(AND(C1094=C1095,W1094=W1095-1),Y1094,"")</f>
        <v/>
      </c>
      <c r="AB1095" s="0" t="str">
        <f aca="false">IF(W1095=1,"",IF(AND(X1095=1,Z1095&lt;&gt;1),1,0))</f>
        <v/>
      </c>
      <c r="AC1095" s="0" t="str">
        <f aca="false">IF(W1095=1,"",IF(AND(Y1095=1,AA1095&lt;&gt;1),1,0))</f>
        <v/>
      </c>
      <c r="AD1095" s="33" t="str">
        <f aca="false">IF(AND(E1095&gt;0,W1095&lt;1,NOT(AND(C1096=C1095,W1096=W1095+1))),INDEX(DATAS,W1095+1),"")</f>
        <v/>
      </c>
      <c r="AE1095" s="33" t="str">
        <f aca="false">IF(AND(Y1095=1,W1095&lt;1),IF(AND(C1096=C1095,W1096=W1095+1),IF(Y1096=1,"",INDEX(DATAS,W1095+1)),INDEX(DATAS,W1095+1)),"")</f>
        <v/>
      </c>
    </row>
    <row r="1096" customFormat="false" ht="15" hidden="false" customHeight="false" outlineLevel="0" collapsed="false">
      <c r="A1096" s="33" t="n">
        <v>46309</v>
      </c>
      <c r="B1096" s="0" t="n">
        <v>7</v>
      </c>
      <c r="C1096" s="0" t="n">
        <v>5127</v>
      </c>
      <c r="D1096" s="0" t="n">
        <v>345</v>
      </c>
      <c r="E1096" s="0" t="n">
        <v>1</v>
      </c>
      <c r="F1096" s="27" t="s">
        <v>791</v>
      </c>
      <c r="I1096" s="27" t="s">
        <v>143</v>
      </c>
      <c r="J1096" s="0" t="n">
        <v>122</v>
      </c>
      <c r="K1096" s="0" t="n">
        <v>67</v>
      </c>
      <c r="L1096" s="0" t="n">
        <v>231</v>
      </c>
      <c r="M1096" s="0" t="n">
        <v>1397.44</v>
      </c>
      <c r="N1096" s="0" t="n">
        <v>44.11</v>
      </c>
      <c r="O1096" s="0" t="n">
        <v>43.81</v>
      </c>
      <c r="P1096" s="0" t="n">
        <v>3.31</v>
      </c>
      <c r="Q1096" s="0" t="n">
        <v>3.47</v>
      </c>
      <c r="R1096" s="0" t="n">
        <v>4925</v>
      </c>
      <c r="S1096" s="0" t="n">
        <v>10680</v>
      </c>
      <c r="T1096" s="0" t="n">
        <v>53.1</v>
      </c>
      <c r="U1096" s="0" t="n">
        <v>1055</v>
      </c>
      <c r="V1096" s="0" t="n">
        <v>2</v>
      </c>
      <c r="W1096" s="27" t="n">
        <f aca="false">MATCH(A1096,DATAS,0)</f>
        <v>1</v>
      </c>
      <c r="X1096" s="27" t="n">
        <f aca="false">IF(AND(E1096&gt;0,OR(AND(B1096&gt;=1,B1096&lt;=6),B1096=10)),1,0)</f>
        <v>0</v>
      </c>
      <c r="Y1096" s="27" t="n">
        <f aca="false">IF(AND(E1096&gt;0,B1096=10),1,0)</f>
        <v>0</v>
      </c>
      <c r="Z1096" s="0" t="str">
        <f aca="false">IF(AND(C1095=C1096,W1095=W1096-1),X1095,"")</f>
        <v/>
      </c>
      <c r="AA1096" s="0" t="str">
        <f aca="false">IF(AND(C1095=C1096,W1095=W1096-1),Y1095,"")</f>
        <v/>
      </c>
      <c r="AB1096" s="0" t="str">
        <f aca="false">IF(W1096=1,"",IF(AND(X1096=1,Z1096&lt;&gt;1),1,0))</f>
        <v/>
      </c>
      <c r="AC1096" s="0" t="str">
        <f aca="false">IF(W1096=1,"",IF(AND(Y1096=1,AA1096&lt;&gt;1),1,0))</f>
        <v/>
      </c>
      <c r="AD1096" s="33" t="str">
        <f aca="false">IF(AND(E1096&gt;0,W1096&lt;1,NOT(AND(C1097=C1096,W1097=W1096+1))),INDEX(DATAS,W1096+1),"")</f>
        <v/>
      </c>
      <c r="AE1096" s="33" t="str">
        <f aca="false">IF(AND(Y1096=1,W1096&lt;1),IF(AND(C1097=C1096,W1097=W1096+1),IF(Y1097=1,"",INDEX(DATAS,W1096+1)),INDEX(DATAS,W1096+1)),"")</f>
        <v/>
      </c>
    </row>
    <row r="1097" customFormat="false" ht="15" hidden="false" customHeight="false" outlineLevel="0" collapsed="false">
      <c r="A1097" s="33" t="n">
        <v>46309</v>
      </c>
      <c r="B1097" s="0" t="n">
        <v>6</v>
      </c>
      <c r="C1097" s="0" t="n">
        <v>5128</v>
      </c>
      <c r="D1097" s="0" t="n">
        <v>415</v>
      </c>
      <c r="E1097" s="0" t="n">
        <v>1</v>
      </c>
      <c r="F1097" s="27" t="s">
        <v>792</v>
      </c>
      <c r="G1097" s="0" t="n">
        <v>25.5</v>
      </c>
      <c r="H1097" s="0" t="n">
        <v>22</v>
      </c>
      <c r="I1097" s="27" t="s">
        <v>138</v>
      </c>
      <c r="J1097" s="0" t="n">
        <v>282</v>
      </c>
      <c r="K1097" s="0" t="n">
        <v>65</v>
      </c>
      <c r="L1097" s="0" t="n">
        <v>133</v>
      </c>
      <c r="M1097" s="0" t="n">
        <v>182.69</v>
      </c>
      <c r="N1097" s="0" t="n">
        <v>68.6</v>
      </c>
      <c r="O1097" s="0" t="n">
        <v>26.24</v>
      </c>
      <c r="P1097" s="0" t="n">
        <v>6.97</v>
      </c>
      <c r="Q1097" s="0" t="n">
        <v>4.94</v>
      </c>
      <c r="R1097" s="0" t="n">
        <v>3787</v>
      </c>
      <c r="S1097" s="0" t="n">
        <v>7009</v>
      </c>
      <c r="T1097" s="0" t="n">
        <v>42.8</v>
      </c>
      <c r="U1097" s="0" t="n">
        <v>1054</v>
      </c>
      <c r="V1097" s="0" t="n">
        <v>7</v>
      </c>
      <c r="W1097" s="27" t="n">
        <f aca="false">MATCH(A1097,DATAS,0)</f>
        <v>1</v>
      </c>
      <c r="X1097" s="27" t="n">
        <f aca="false">IF(AND(E1097&gt;0,OR(AND(B1097&gt;=1,B1097&lt;=6),B1097=10)),1,0)</f>
        <v>1</v>
      </c>
      <c r="Y1097" s="27" t="n">
        <f aca="false">IF(AND(E1097&gt;0,B1097=10),1,0)</f>
        <v>0</v>
      </c>
      <c r="Z1097" s="0" t="str">
        <f aca="false">IF(AND(C1096=C1097,W1096=W1097-1),X1096,"")</f>
        <v/>
      </c>
      <c r="AA1097" s="0" t="str">
        <f aca="false">IF(AND(C1096=C1097,W1096=W1097-1),Y1096,"")</f>
        <v/>
      </c>
      <c r="AB1097" s="0" t="str">
        <f aca="false">IF(W1097=1,"",IF(AND(X1097=1,Z1097&lt;&gt;1),1,0))</f>
        <v/>
      </c>
      <c r="AC1097" s="0" t="str">
        <f aca="false">IF(W1097=1,"",IF(AND(Y1097=1,AA1097&lt;&gt;1),1,0))</f>
        <v/>
      </c>
      <c r="AD1097" s="33" t="str">
        <f aca="false">IF(AND(E1097&gt;0,W1097&lt;1,NOT(AND(C1098=C1097,W1098=W1097+1))),INDEX(DATAS,W1097+1),"")</f>
        <v/>
      </c>
      <c r="AE1097" s="33" t="str">
        <f aca="false">IF(AND(Y1097=1,W1097&lt;1),IF(AND(C1098=C1097,W1098=W1097+1),IF(Y1098=1,"",INDEX(DATAS,W1097+1)),INDEX(DATAS,W1097+1)),"")</f>
        <v/>
      </c>
    </row>
    <row r="1098" customFormat="false" ht="15" hidden="false" customHeight="false" outlineLevel="0" collapsed="false">
      <c r="A1098" s="33" t="n">
        <v>46309</v>
      </c>
      <c r="B1098" s="0" t="n">
        <v>5</v>
      </c>
      <c r="C1098" s="0" t="n">
        <v>5129</v>
      </c>
      <c r="D1098" s="0" t="n">
        <v>417</v>
      </c>
      <c r="E1098" s="0" t="n">
        <v>1</v>
      </c>
      <c r="F1098" s="27" t="s">
        <v>793</v>
      </c>
      <c r="G1098" s="0" t="n">
        <v>21.9</v>
      </c>
      <c r="H1098" s="0" t="n">
        <v>21</v>
      </c>
      <c r="I1098" s="27" t="s">
        <v>138</v>
      </c>
      <c r="J1098" s="0" t="n">
        <v>200</v>
      </c>
      <c r="K1098" s="0" t="n">
        <v>67</v>
      </c>
      <c r="L1098" s="0" t="n">
        <v>217</v>
      </c>
      <c r="M1098" s="0" t="n">
        <v>1030.88</v>
      </c>
      <c r="N1098" s="0" t="n">
        <v>48.11</v>
      </c>
      <c r="O1098" s="0" t="n">
        <v>28.06</v>
      </c>
      <c r="P1098" s="0" t="n">
        <v>5.43</v>
      </c>
      <c r="Q1098" s="0" t="n">
        <v>4.15</v>
      </c>
      <c r="R1098" s="0" t="n">
        <v>3849</v>
      </c>
      <c r="S1098" s="0" t="n">
        <v>9000</v>
      </c>
      <c r="T1098" s="0" t="n">
        <v>46.3</v>
      </c>
      <c r="U1098" s="0" t="n">
        <v>1053</v>
      </c>
      <c r="V1098" s="0" t="n">
        <v>5</v>
      </c>
      <c r="W1098" s="27" t="n">
        <f aca="false">MATCH(A1098,DATAS,0)</f>
        <v>1</v>
      </c>
      <c r="X1098" s="27" t="n">
        <f aca="false">IF(AND(E1098&gt;0,OR(AND(B1098&gt;=1,B1098&lt;=6),B1098=10)),1,0)</f>
        <v>1</v>
      </c>
      <c r="Y1098" s="27" t="n">
        <f aca="false">IF(AND(E1098&gt;0,B1098=10),1,0)</f>
        <v>0</v>
      </c>
      <c r="Z1098" s="0" t="str">
        <f aca="false">IF(AND(C1097=C1098,W1097=W1098-1),X1097,"")</f>
        <v/>
      </c>
      <c r="AA1098" s="0" t="str">
        <f aca="false">IF(AND(C1097=C1098,W1097=W1098-1),Y1097,"")</f>
        <v/>
      </c>
      <c r="AB1098" s="0" t="str">
        <f aca="false">IF(W1098=1,"",IF(AND(X1098=1,Z1098&lt;&gt;1),1,0))</f>
        <v/>
      </c>
      <c r="AC1098" s="0" t="str">
        <f aca="false">IF(W1098=1,"",IF(AND(Y1098=1,AA1098&lt;&gt;1),1,0))</f>
        <v/>
      </c>
      <c r="AD1098" s="33" t="str">
        <f aca="false">IF(AND(E1098&gt;0,W1098&lt;1,NOT(AND(C1099=C1098,W1099=W1098+1))),INDEX(DATAS,W1098+1),"")</f>
        <v/>
      </c>
      <c r="AE1098" s="33" t="str">
        <f aca="false">IF(AND(Y1098=1,W1098&lt;1),IF(AND(C1099=C1098,W1099=W1098+1),IF(Y1099=1,"",INDEX(DATAS,W1098+1)),INDEX(DATAS,W1098+1)),"")</f>
        <v/>
      </c>
    </row>
    <row r="1099" customFormat="false" ht="15" hidden="false" customHeight="false" outlineLevel="0" collapsed="false">
      <c r="A1099" s="33" t="n">
        <v>46309</v>
      </c>
      <c r="B1099" s="0" t="n">
        <v>4</v>
      </c>
      <c r="C1099" s="0" t="n">
        <v>5130</v>
      </c>
      <c r="D1099" s="0" t="n">
        <v>319</v>
      </c>
      <c r="E1099" s="0" t="n">
        <v>1</v>
      </c>
      <c r="F1099" s="27" t="s">
        <v>793</v>
      </c>
      <c r="G1099" s="0" t="n">
        <v>30.9</v>
      </c>
      <c r="H1099" s="0" t="n">
        <v>30</v>
      </c>
      <c r="I1099" s="27" t="s">
        <v>138</v>
      </c>
      <c r="J1099" s="0" t="n">
        <v>229</v>
      </c>
      <c r="K1099" s="0" t="n">
        <v>60</v>
      </c>
      <c r="L1099" s="0" t="n">
        <v>90</v>
      </c>
      <c r="M1099" s="0" t="n">
        <v>393.2</v>
      </c>
      <c r="N1099" s="0" t="n">
        <v>62.53</v>
      </c>
      <c r="O1099" s="0" t="n">
        <v>46.63</v>
      </c>
      <c r="P1099" s="0" t="n">
        <v>3.74</v>
      </c>
      <c r="Q1099" s="0" t="n">
        <v>4.37</v>
      </c>
      <c r="R1099" s="0" t="n">
        <v>4127</v>
      </c>
      <c r="S1099" s="0" t="n">
        <v>8147</v>
      </c>
      <c r="T1099" s="0" t="n">
        <v>44.5</v>
      </c>
      <c r="U1099" s="0" t="n">
        <v>1053</v>
      </c>
      <c r="V1099" s="0" t="n">
        <v>6</v>
      </c>
      <c r="W1099" s="27" t="n">
        <f aca="false">MATCH(A1099,DATAS,0)</f>
        <v>1</v>
      </c>
      <c r="X1099" s="27" t="n">
        <f aca="false">IF(AND(E1099&gt;0,OR(AND(B1099&gt;=1,B1099&lt;=6),B1099=10)),1,0)</f>
        <v>1</v>
      </c>
      <c r="Y1099" s="27" t="n">
        <f aca="false">IF(AND(E1099&gt;0,B1099=10),1,0)</f>
        <v>0</v>
      </c>
      <c r="Z1099" s="0" t="str">
        <f aca="false">IF(AND(C1098=C1099,W1098=W1099-1),X1098,"")</f>
        <v/>
      </c>
      <c r="AA1099" s="0" t="str">
        <f aca="false">IF(AND(C1098=C1099,W1098=W1099-1),Y1098,"")</f>
        <v/>
      </c>
      <c r="AB1099" s="0" t="str">
        <f aca="false">IF(W1099=1,"",IF(AND(X1099=1,Z1099&lt;&gt;1),1,0))</f>
        <v/>
      </c>
      <c r="AC1099" s="0" t="str">
        <f aca="false">IF(W1099=1,"",IF(AND(Y1099=1,AA1099&lt;&gt;1),1,0))</f>
        <v/>
      </c>
      <c r="AD1099" s="33" t="str">
        <f aca="false">IF(AND(E1099&gt;0,W1099&lt;1,NOT(AND(C1100=C1099,W1100=W1099+1))),INDEX(DATAS,W1099+1),"")</f>
        <v/>
      </c>
      <c r="AE1099" s="33" t="str">
        <f aca="false">IF(AND(Y1099=1,W1099&lt;1),IF(AND(C1100=C1099,W1100=W1099+1),IF(Y1100=1,"",INDEX(DATAS,W1099+1)),INDEX(DATAS,W1099+1)),"")</f>
        <v/>
      </c>
    </row>
    <row r="1100" customFormat="false" ht="15" hidden="false" customHeight="false" outlineLevel="0" collapsed="false">
      <c r="A1100" s="33" t="n">
        <v>46309</v>
      </c>
      <c r="B1100" s="0" t="n">
        <v>5</v>
      </c>
      <c r="C1100" s="0" t="n">
        <v>5131</v>
      </c>
      <c r="D1100" s="0" t="n">
        <v>379</v>
      </c>
      <c r="E1100" s="0" t="n">
        <v>1</v>
      </c>
      <c r="F1100" s="27" t="s">
        <v>794</v>
      </c>
      <c r="G1100" s="0" t="n">
        <v>40.8</v>
      </c>
      <c r="H1100" s="0" t="n">
        <v>36</v>
      </c>
      <c r="I1100" s="27" t="s">
        <v>168</v>
      </c>
      <c r="J1100" s="0" t="n">
        <v>379</v>
      </c>
      <c r="K1100" s="0" t="n">
        <v>64</v>
      </c>
      <c r="M1100" s="0" t="n">
        <v>529.73</v>
      </c>
      <c r="N1100" s="0" t="n">
        <v>58.24</v>
      </c>
      <c r="O1100" s="0" t="n">
        <v>35.93</v>
      </c>
      <c r="P1100" s="0" t="n">
        <v>3.81</v>
      </c>
      <c r="Q1100" s="0" t="n">
        <v>4.12</v>
      </c>
      <c r="R1100" s="0" t="n">
        <v>4592</v>
      </c>
      <c r="S1100" s="0" t="n">
        <v>8846</v>
      </c>
      <c r="T1100" s="0" t="n">
        <v>47.9</v>
      </c>
      <c r="U1100" s="0" t="n">
        <v>1052</v>
      </c>
      <c r="V1100" s="0" t="n">
        <v>9</v>
      </c>
      <c r="W1100" s="27" t="n">
        <f aca="false">MATCH(A1100,DATAS,0)</f>
        <v>1</v>
      </c>
      <c r="X1100" s="27" t="n">
        <f aca="false">IF(AND(E1100&gt;0,OR(AND(B1100&gt;=1,B1100&lt;=6),B1100=10)),1,0)</f>
        <v>1</v>
      </c>
      <c r="Y1100" s="27" t="n">
        <f aca="false">IF(AND(E1100&gt;0,B1100=10),1,0)</f>
        <v>0</v>
      </c>
      <c r="Z1100" s="0" t="str">
        <f aca="false">IF(AND(C1099=C1100,W1099=W1100-1),X1099,"")</f>
        <v/>
      </c>
      <c r="AA1100" s="0" t="str">
        <f aca="false">IF(AND(C1099=C1100,W1099=W1100-1),Y1099,"")</f>
        <v/>
      </c>
      <c r="AB1100" s="0" t="str">
        <f aca="false">IF(W1100=1,"",IF(AND(X1100=1,Z1100&lt;&gt;1),1,0))</f>
        <v/>
      </c>
      <c r="AC1100" s="0" t="str">
        <f aca="false">IF(W1100=1,"",IF(AND(Y1100=1,AA1100&lt;&gt;1),1,0))</f>
        <v/>
      </c>
      <c r="AD1100" s="33" t="str">
        <f aca="false">IF(AND(E1100&gt;0,W1100&lt;1,NOT(AND(C1101=C1100,W1101=W1100+1))),INDEX(DATAS,W1100+1),"")</f>
        <v/>
      </c>
      <c r="AE1100" s="33" t="str">
        <f aca="false">IF(AND(Y1100=1,W1100&lt;1),IF(AND(C1101=C1100,W1101=W1100+1),IF(Y1101=1,"",INDEX(DATAS,W1100+1)),INDEX(DATAS,W1100+1)),"")</f>
        <v/>
      </c>
    </row>
    <row r="1101" customFormat="false" ht="15" hidden="false" customHeight="false" outlineLevel="0" collapsed="false">
      <c r="A1101" s="33" t="n">
        <v>46309</v>
      </c>
      <c r="B1101" s="0" t="n">
        <v>14</v>
      </c>
      <c r="C1101" s="0" t="n">
        <v>5132</v>
      </c>
      <c r="D1101" s="0" t="n">
        <v>327</v>
      </c>
      <c r="E1101" s="0" t="n">
        <v>1</v>
      </c>
      <c r="F1101" s="27" t="s">
        <v>794</v>
      </c>
      <c r="I1101" s="27" t="s">
        <v>143</v>
      </c>
      <c r="J1101" s="0" t="n">
        <v>104</v>
      </c>
      <c r="K1101" s="0" t="n">
        <v>70</v>
      </c>
      <c r="L1101" s="0" t="n">
        <v>266</v>
      </c>
      <c r="M1101" s="0" t="n">
        <v>1003.35</v>
      </c>
      <c r="N1101" s="0" t="n">
        <v>41.41</v>
      </c>
      <c r="O1101" s="0" t="n">
        <v>38.68</v>
      </c>
      <c r="P1101" s="0" t="n">
        <v>4.46</v>
      </c>
      <c r="Q1101" s="0" t="n">
        <v>3.53</v>
      </c>
      <c r="R1101" s="0" t="n">
        <v>4472</v>
      </c>
      <c r="S1101" s="0" t="n">
        <v>9092</v>
      </c>
      <c r="T1101" s="0" t="n">
        <v>47.25</v>
      </c>
      <c r="U1101" s="0" t="n">
        <v>1052</v>
      </c>
      <c r="V1101" s="0" t="n">
        <v>2</v>
      </c>
      <c r="W1101" s="27" t="n">
        <f aca="false">MATCH(A1101,DATAS,0)</f>
        <v>1</v>
      </c>
      <c r="X1101" s="27" t="n">
        <f aca="false">IF(AND(E1101&gt;0,OR(AND(B1101&gt;=1,B1101&lt;=6),B1101=10)),1,0)</f>
        <v>0</v>
      </c>
      <c r="Y1101" s="27" t="n">
        <f aca="false">IF(AND(E1101&gt;0,B1101=10),1,0)</f>
        <v>0</v>
      </c>
      <c r="Z1101" s="0" t="str">
        <f aca="false">IF(AND(C1100=C1101,W1100=W1101-1),X1100,"")</f>
        <v/>
      </c>
      <c r="AA1101" s="0" t="str">
        <f aca="false">IF(AND(C1100=C1101,W1100=W1101-1),Y1100,"")</f>
        <v/>
      </c>
      <c r="AB1101" s="0" t="str">
        <f aca="false">IF(W1101=1,"",IF(AND(X1101=1,Z1101&lt;&gt;1),1,0))</f>
        <v/>
      </c>
      <c r="AC1101" s="0" t="str">
        <f aca="false">IF(W1101=1,"",IF(AND(Y1101=1,AA1101&lt;&gt;1),1,0))</f>
        <v/>
      </c>
      <c r="AD1101" s="33" t="str">
        <f aca="false">IF(AND(E1101&gt;0,W1101&lt;1,NOT(AND(C1102=C1101,W1102=W1101+1))),INDEX(DATAS,W1101+1),"")</f>
        <v/>
      </c>
      <c r="AE1101" s="33" t="str">
        <f aca="false">IF(AND(Y1101=1,W1101&lt;1),IF(AND(C1102=C1101,W1102=W1101+1),IF(Y1102=1,"",INDEX(DATAS,W1101+1)),INDEX(DATAS,W1101+1)),"")</f>
        <v/>
      </c>
    </row>
    <row r="1102" customFormat="false" ht="15" hidden="false" customHeight="false" outlineLevel="0" collapsed="false">
      <c r="A1102" s="33" t="n">
        <v>46309</v>
      </c>
      <c r="B1102" s="0" t="n">
        <v>3</v>
      </c>
      <c r="C1102" s="0" t="n">
        <v>5133</v>
      </c>
      <c r="D1102" s="0" t="n">
        <v>15</v>
      </c>
      <c r="E1102" s="0" t="n">
        <v>2</v>
      </c>
      <c r="F1102" s="27" t="s">
        <v>795</v>
      </c>
      <c r="G1102" s="0" t="n">
        <v>16.9</v>
      </c>
      <c r="H1102" s="0" t="n">
        <v>23</v>
      </c>
      <c r="I1102" s="27" t="s">
        <v>147</v>
      </c>
      <c r="J1102" s="0" t="n">
        <v>15</v>
      </c>
      <c r="M1102" s="0" t="n">
        <v>1103.89</v>
      </c>
      <c r="N1102" s="0" t="n">
        <v>94.67</v>
      </c>
      <c r="O1102" s="0" t="n">
        <v>55.8</v>
      </c>
      <c r="R1102" s="0" t="n">
        <v>2982</v>
      </c>
      <c r="S1102" s="0" t="n">
        <v>5995</v>
      </c>
      <c r="U1102" s="0" t="n">
        <v>1051</v>
      </c>
      <c r="V1102" s="0" t="n">
        <v>0</v>
      </c>
      <c r="W1102" s="27" t="n">
        <f aca="false">MATCH(A1102,DATAS,0)</f>
        <v>1</v>
      </c>
      <c r="X1102" s="27" t="n">
        <f aca="false">IF(AND(E1102&gt;0,OR(AND(B1102&gt;=1,B1102&lt;=6),B1102=10)),1,0)</f>
        <v>1</v>
      </c>
      <c r="Y1102" s="27" t="n">
        <f aca="false">IF(AND(E1102&gt;0,B1102=10),1,0)</f>
        <v>0</v>
      </c>
      <c r="Z1102" s="0" t="str">
        <f aca="false">IF(AND(C1101=C1102,W1101=W1102-1),X1101,"")</f>
        <v/>
      </c>
      <c r="AA1102" s="0" t="str">
        <f aca="false">IF(AND(C1101=C1102,W1101=W1102-1),Y1101,"")</f>
        <v/>
      </c>
      <c r="AB1102" s="0" t="str">
        <f aca="false">IF(W1102=1,"",IF(AND(X1102=1,Z1102&lt;&gt;1),1,0))</f>
        <v/>
      </c>
      <c r="AC1102" s="0" t="str">
        <f aca="false">IF(W1102=1,"",IF(AND(Y1102=1,AA1102&lt;&gt;1),1,0))</f>
        <v/>
      </c>
      <c r="AD1102" s="33" t="str">
        <f aca="false">IF(AND(E1102&gt;0,W1102&lt;1,NOT(AND(C1103=C1102,W1103=W1102+1))),INDEX(DATAS,W1102+1),"")</f>
        <v/>
      </c>
      <c r="AE1102" s="33" t="str">
        <f aca="false">IF(AND(Y1102=1,W1102&lt;1),IF(AND(C1103=C1102,W1103=W1102+1),IF(Y1103=1,"",INDEX(DATAS,W1102+1)),INDEX(DATAS,W1102+1)),"")</f>
        <v/>
      </c>
    </row>
    <row r="1103" customFormat="false" ht="15" hidden="false" customHeight="false" outlineLevel="0" collapsed="false">
      <c r="A1103" s="33" t="n">
        <v>46309</v>
      </c>
      <c r="B1103" s="0" t="n">
        <v>3</v>
      </c>
      <c r="C1103" s="0" t="n">
        <v>5135</v>
      </c>
      <c r="D1103" s="0" t="n">
        <v>36</v>
      </c>
      <c r="E1103" s="0" t="n">
        <v>2</v>
      </c>
      <c r="F1103" s="27" t="s">
        <v>795</v>
      </c>
      <c r="G1103" s="0" t="n">
        <v>56.4</v>
      </c>
      <c r="H1103" s="0" t="n">
        <v>55</v>
      </c>
      <c r="I1103" s="27" t="s">
        <v>147</v>
      </c>
      <c r="J1103" s="0" t="n">
        <v>36</v>
      </c>
      <c r="M1103" s="0" t="n">
        <v>325.4</v>
      </c>
      <c r="N1103" s="0" t="n">
        <v>54.54</v>
      </c>
      <c r="O1103" s="0" t="n">
        <v>36.9</v>
      </c>
      <c r="P1103" s="0" t="n">
        <v>4.67</v>
      </c>
      <c r="Q1103" s="0" t="n">
        <v>4.55</v>
      </c>
      <c r="R1103" s="0" t="n">
        <v>3703</v>
      </c>
      <c r="S1103" s="0" t="n">
        <v>7445</v>
      </c>
      <c r="U1103" s="0" t="n">
        <v>1051</v>
      </c>
      <c r="V1103" s="0" t="n">
        <v>0</v>
      </c>
      <c r="W1103" s="27" t="n">
        <f aca="false">MATCH(A1103,DATAS,0)</f>
        <v>1</v>
      </c>
      <c r="X1103" s="27" t="n">
        <f aca="false">IF(AND(E1103&gt;0,OR(AND(B1103&gt;=1,B1103&lt;=6),B1103=10)),1,0)</f>
        <v>1</v>
      </c>
      <c r="Y1103" s="27" t="n">
        <f aca="false">IF(AND(E1103&gt;0,B1103=10),1,0)</f>
        <v>0</v>
      </c>
      <c r="Z1103" s="0" t="str">
        <f aca="false">IF(AND(C1102=C1103,W1102=W1103-1),X1102,"")</f>
        <v/>
      </c>
      <c r="AA1103" s="0" t="str">
        <f aca="false">IF(AND(C1102=C1103,W1102=W1103-1),Y1102,"")</f>
        <v/>
      </c>
      <c r="AB1103" s="0" t="str">
        <f aca="false">IF(W1103=1,"",IF(AND(X1103=1,Z1103&lt;&gt;1),1,0))</f>
        <v/>
      </c>
      <c r="AC1103" s="0" t="str">
        <f aca="false">IF(W1103=1,"",IF(AND(Y1103=1,AA1103&lt;&gt;1),1,0))</f>
        <v/>
      </c>
      <c r="AD1103" s="33" t="str">
        <f aca="false">IF(AND(E1103&gt;0,W1103&lt;1,NOT(AND(C1104=C1103,W1104=W1103+1))),INDEX(DATAS,W1103+1),"")</f>
        <v/>
      </c>
      <c r="AE1103" s="33" t="str">
        <f aca="false">IF(AND(Y1103=1,W1103&lt;1),IF(AND(C1104=C1103,W1104=W1103+1),IF(Y1104=1,"",INDEX(DATAS,W1103+1)),INDEX(DATAS,W1103+1)),"")</f>
        <v/>
      </c>
    </row>
    <row r="1104" customFormat="false" ht="15" hidden="false" customHeight="false" outlineLevel="0" collapsed="false">
      <c r="A1104" s="33" t="n">
        <v>46309</v>
      </c>
      <c r="B1104" s="0" t="n">
        <v>4</v>
      </c>
      <c r="C1104" s="0" t="n">
        <v>5136</v>
      </c>
      <c r="D1104" s="0" t="n">
        <v>325</v>
      </c>
      <c r="E1104" s="0" t="n">
        <v>1</v>
      </c>
      <c r="F1104" s="27" t="s">
        <v>795</v>
      </c>
      <c r="G1104" s="0" t="n">
        <v>35.2</v>
      </c>
      <c r="H1104" s="0" t="n">
        <v>34</v>
      </c>
      <c r="I1104" s="27" t="s">
        <v>168</v>
      </c>
      <c r="J1104" s="0" t="n">
        <v>325</v>
      </c>
      <c r="K1104" s="0" t="n">
        <v>66</v>
      </c>
      <c r="M1104" s="0" t="n">
        <v>-515.28</v>
      </c>
      <c r="N1104" s="0" t="n">
        <v>22.7</v>
      </c>
      <c r="O1104" s="0" t="n">
        <v>5.41</v>
      </c>
      <c r="P1104" s="0" t="n">
        <v>5.83</v>
      </c>
      <c r="Q1104" s="0" t="n">
        <v>4.31</v>
      </c>
      <c r="R1104" s="0" t="n">
        <v>3558</v>
      </c>
      <c r="S1104" s="0" t="n">
        <v>7467</v>
      </c>
      <c r="T1104" s="0" t="n">
        <v>39.5</v>
      </c>
      <c r="U1104" s="0" t="n">
        <v>1051</v>
      </c>
      <c r="V1104" s="0" t="n">
        <v>7</v>
      </c>
      <c r="W1104" s="27" t="n">
        <f aca="false">MATCH(A1104,DATAS,0)</f>
        <v>1</v>
      </c>
      <c r="X1104" s="27" t="n">
        <f aca="false">IF(AND(E1104&gt;0,OR(AND(B1104&gt;=1,B1104&lt;=6),B1104=10)),1,0)</f>
        <v>1</v>
      </c>
      <c r="Y1104" s="27" t="n">
        <f aca="false">IF(AND(E1104&gt;0,B1104=10),1,0)</f>
        <v>0</v>
      </c>
      <c r="Z1104" s="0" t="str">
        <f aca="false">IF(AND(C1103=C1104,W1103=W1104-1),X1103,"")</f>
        <v/>
      </c>
      <c r="AA1104" s="0" t="str">
        <f aca="false">IF(AND(C1103=C1104,W1103=W1104-1),Y1103,"")</f>
        <v/>
      </c>
      <c r="AB1104" s="0" t="str">
        <f aca="false">IF(W1104=1,"",IF(AND(X1104=1,Z1104&lt;&gt;1),1,0))</f>
        <v/>
      </c>
      <c r="AC1104" s="0" t="str">
        <f aca="false">IF(W1104=1,"",IF(AND(Y1104=1,AA1104&lt;&gt;1),1,0))</f>
        <v/>
      </c>
      <c r="AD1104" s="33" t="str">
        <f aca="false">IF(AND(E1104&gt;0,W1104&lt;1,NOT(AND(C1105=C1104,W1105=W1104+1))),INDEX(DATAS,W1104+1),"")</f>
        <v/>
      </c>
      <c r="AE1104" s="33" t="str">
        <f aca="false">IF(AND(Y1104=1,W1104&lt;1),IF(AND(C1105=C1104,W1105=W1104+1),IF(Y1105=1,"",INDEX(DATAS,W1104+1)),INDEX(DATAS,W1104+1)),"")</f>
        <v/>
      </c>
    </row>
    <row r="1105" customFormat="false" ht="15" hidden="false" customHeight="false" outlineLevel="0" collapsed="false">
      <c r="A1105" s="33" t="n">
        <v>46309</v>
      </c>
      <c r="B1105" s="0" t="n">
        <v>4</v>
      </c>
      <c r="C1105" s="0" t="n">
        <v>5139</v>
      </c>
      <c r="D1105" s="0" t="n">
        <v>234</v>
      </c>
      <c r="E1105" s="0" t="n">
        <v>1</v>
      </c>
      <c r="F1105" s="27" t="s">
        <v>796</v>
      </c>
      <c r="G1105" s="0" t="n">
        <v>56.7</v>
      </c>
      <c r="H1105" s="0" t="n">
        <v>60</v>
      </c>
      <c r="I1105" s="27" t="s">
        <v>168</v>
      </c>
      <c r="J1105" s="0" t="n">
        <v>234</v>
      </c>
      <c r="K1105" s="0" t="n">
        <v>66</v>
      </c>
      <c r="M1105" s="0" t="n">
        <v>1063.68</v>
      </c>
      <c r="N1105" s="0" t="n">
        <v>37.86</v>
      </c>
      <c r="O1105" s="0" t="n">
        <v>38.28</v>
      </c>
      <c r="P1105" s="0" t="n">
        <v>3.3</v>
      </c>
      <c r="Q1105" s="0" t="n">
        <v>3.28</v>
      </c>
      <c r="R1105" s="0" t="n">
        <v>4967</v>
      </c>
      <c r="S1105" s="0" t="n">
        <v>11179</v>
      </c>
      <c r="T1105" s="0" t="n">
        <v>58.45</v>
      </c>
      <c r="U1105" s="0" t="n">
        <v>1049</v>
      </c>
      <c r="V1105" s="0" t="n">
        <v>5</v>
      </c>
      <c r="W1105" s="27" t="n">
        <f aca="false">MATCH(A1105,DATAS,0)</f>
        <v>1</v>
      </c>
      <c r="X1105" s="27" t="n">
        <f aca="false">IF(AND(E1105&gt;0,OR(AND(B1105&gt;=1,B1105&lt;=6),B1105=10)),1,0)</f>
        <v>1</v>
      </c>
      <c r="Y1105" s="27" t="n">
        <f aca="false">IF(AND(E1105&gt;0,B1105=10),1,0)</f>
        <v>0</v>
      </c>
      <c r="Z1105" s="0" t="str">
        <f aca="false">IF(AND(C1104=C1105,W1104=W1105-1),X1104,"")</f>
        <v/>
      </c>
      <c r="AA1105" s="0" t="str">
        <f aca="false">IF(AND(C1104=C1105,W1104=W1105-1),Y1104,"")</f>
        <v/>
      </c>
      <c r="AB1105" s="0" t="str">
        <f aca="false">IF(W1105=1,"",IF(AND(X1105=1,Z1105&lt;&gt;1),1,0))</f>
        <v/>
      </c>
      <c r="AC1105" s="0" t="str">
        <f aca="false">IF(W1105=1,"",IF(AND(Y1105=1,AA1105&lt;&gt;1),1,0))</f>
        <v/>
      </c>
      <c r="AD1105" s="33" t="str">
        <f aca="false">IF(AND(E1105&gt;0,W1105&lt;1,NOT(AND(C1106=C1105,W1106=W1105+1))),INDEX(DATAS,W1105+1),"")</f>
        <v/>
      </c>
      <c r="AE1105" s="33" t="str">
        <f aca="false">IF(AND(Y1105=1,W1105&lt;1),IF(AND(C1106=C1105,W1106=W1105+1),IF(Y1106=1,"",INDEX(DATAS,W1105+1)),INDEX(DATAS,W1105+1)),"")</f>
        <v/>
      </c>
    </row>
    <row r="1106" customFormat="false" ht="15" hidden="false" customHeight="false" outlineLevel="0" collapsed="false">
      <c r="A1106" s="33" t="n">
        <v>46309</v>
      </c>
      <c r="B1106" s="0" t="n">
        <v>2</v>
      </c>
      <c r="C1106" s="0" t="n">
        <v>5140</v>
      </c>
      <c r="D1106" s="0" t="n">
        <v>77</v>
      </c>
      <c r="E1106" s="0" t="n">
        <v>2</v>
      </c>
      <c r="F1106" s="27" t="s">
        <v>796</v>
      </c>
      <c r="G1106" s="0" t="n">
        <v>49.1</v>
      </c>
      <c r="H1106" s="0" t="n">
        <v>52</v>
      </c>
      <c r="I1106" s="27" t="s">
        <v>168</v>
      </c>
      <c r="J1106" s="0" t="n">
        <v>77</v>
      </c>
      <c r="K1106" s="0" t="n">
        <v>63</v>
      </c>
      <c r="M1106" s="0" t="n">
        <v>786.44</v>
      </c>
      <c r="N1106" s="0" t="n">
        <v>63.08</v>
      </c>
      <c r="O1106" s="0" t="n">
        <v>41.11</v>
      </c>
      <c r="P1106" s="0" t="n">
        <v>3.16</v>
      </c>
      <c r="Q1106" s="0" t="n">
        <v>3.4</v>
      </c>
      <c r="R1106" s="0" t="n">
        <v>3941</v>
      </c>
      <c r="S1106" s="0" t="n">
        <v>7922</v>
      </c>
      <c r="U1106" s="0" t="n">
        <v>1049</v>
      </c>
      <c r="V1106" s="0" t="n">
        <v>1</v>
      </c>
      <c r="W1106" s="27" t="n">
        <f aca="false">MATCH(A1106,DATAS,0)</f>
        <v>1</v>
      </c>
      <c r="X1106" s="27" t="n">
        <f aca="false">IF(AND(E1106&gt;0,OR(AND(B1106&gt;=1,B1106&lt;=6),B1106=10)),1,0)</f>
        <v>1</v>
      </c>
      <c r="Y1106" s="27" t="n">
        <f aca="false">IF(AND(E1106&gt;0,B1106=10),1,0)</f>
        <v>0</v>
      </c>
      <c r="Z1106" s="0" t="str">
        <f aca="false">IF(AND(C1105=C1106,W1105=W1106-1),X1105,"")</f>
        <v/>
      </c>
      <c r="AA1106" s="0" t="str">
        <f aca="false">IF(AND(C1105=C1106,W1105=W1106-1),Y1105,"")</f>
        <v/>
      </c>
      <c r="AB1106" s="0" t="str">
        <f aca="false">IF(W1106=1,"",IF(AND(X1106=1,Z1106&lt;&gt;1),1,0))</f>
        <v/>
      </c>
      <c r="AC1106" s="0" t="str">
        <f aca="false">IF(W1106=1,"",IF(AND(Y1106=1,AA1106&lt;&gt;1),1,0))</f>
        <v/>
      </c>
      <c r="AD1106" s="33" t="str">
        <f aca="false">IF(AND(E1106&gt;0,W1106&lt;1,NOT(AND(C1107=C1106,W1107=W1106+1))),INDEX(DATAS,W1106+1),"")</f>
        <v/>
      </c>
      <c r="AE1106" s="33" t="str">
        <f aca="false">IF(AND(Y1106=1,W1106&lt;1),IF(AND(C1107=C1106,W1107=W1106+1),IF(Y1107=1,"",INDEX(DATAS,W1106+1)),INDEX(DATAS,W1106+1)),"")</f>
        <v/>
      </c>
    </row>
    <row r="1107" customFormat="false" ht="15" hidden="false" customHeight="false" outlineLevel="0" collapsed="false">
      <c r="A1107" s="33" t="n">
        <v>46309</v>
      </c>
      <c r="B1107" s="0" t="n">
        <v>5</v>
      </c>
      <c r="C1107" s="0" t="n">
        <v>5141</v>
      </c>
      <c r="D1107" s="0" t="n">
        <v>416</v>
      </c>
      <c r="E1107" s="0" t="n">
        <v>1</v>
      </c>
      <c r="F1107" s="27" t="s">
        <v>796</v>
      </c>
      <c r="G1107" s="0" t="n">
        <v>25.7</v>
      </c>
      <c r="H1107" s="0" t="n">
        <v>24</v>
      </c>
      <c r="I1107" s="27" t="s">
        <v>138</v>
      </c>
      <c r="J1107" s="0" t="n">
        <v>297</v>
      </c>
      <c r="K1107" s="0" t="n">
        <v>66</v>
      </c>
      <c r="L1107" s="0" t="n">
        <v>119</v>
      </c>
      <c r="M1107" s="0" t="n">
        <v>796.49</v>
      </c>
      <c r="N1107" s="0" t="n">
        <v>38.45</v>
      </c>
      <c r="O1107" s="0" t="n">
        <v>43.43</v>
      </c>
      <c r="P1107" s="0" t="n">
        <v>6.04</v>
      </c>
      <c r="Q1107" s="0" t="n">
        <v>4.14</v>
      </c>
      <c r="R1107" s="0" t="n">
        <v>4024</v>
      </c>
      <c r="S1107" s="0" t="n">
        <v>8797</v>
      </c>
      <c r="T1107" s="0" t="n">
        <v>47.1</v>
      </c>
      <c r="U1107" s="0" t="n">
        <v>1049</v>
      </c>
      <c r="V1107" s="0" t="n">
        <v>4</v>
      </c>
      <c r="W1107" s="27" t="n">
        <f aca="false">MATCH(A1107,DATAS,0)</f>
        <v>1</v>
      </c>
      <c r="X1107" s="27" t="n">
        <f aca="false">IF(AND(E1107&gt;0,OR(AND(B1107&gt;=1,B1107&lt;=6),B1107=10)),1,0)</f>
        <v>1</v>
      </c>
      <c r="Y1107" s="27" t="n">
        <f aca="false">IF(AND(E1107&gt;0,B1107=10),1,0)</f>
        <v>0</v>
      </c>
      <c r="Z1107" s="0" t="str">
        <f aca="false">IF(AND(C1106=C1107,W1106=W1107-1),X1106,"")</f>
        <v/>
      </c>
      <c r="AA1107" s="0" t="str">
        <f aca="false">IF(AND(C1106=C1107,W1106=W1107-1),Y1106,"")</f>
        <v/>
      </c>
      <c r="AB1107" s="0" t="str">
        <f aca="false">IF(W1107=1,"",IF(AND(X1107=1,Z1107&lt;&gt;1),1,0))</f>
        <v/>
      </c>
      <c r="AC1107" s="0" t="str">
        <f aca="false">IF(W1107=1,"",IF(AND(Y1107=1,AA1107&lt;&gt;1),1,0))</f>
        <v/>
      </c>
      <c r="AD1107" s="33" t="str">
        <f aca="false">IF(AND(E1107&gt;0,W1107&lt;1,NOT(AND(C1108=C1107,W1108=W1107+1))),INDEX(DATAS,W1107+1),"")</f>
        <v/>
      </c>
      <c r="AE1107" s="33" t="str">
        <f aca="false">IF(AND(Y1107=1,W1107&lt;1),IF(AND(C1108=C1107,W1108=W1107+1),IF(Y1108=1,"",INDEX(DATAS,W1107+1)),INDEX(DATAS,W1107+1)),"")</f>
        <v/>
      </c>
    </row>
    <row r="1108" customFormat="false" ht="15" hidden="false" customHeight="false" outlineLevel="0" collapsed="false">
      <c r="A1108" s="33" t="n">
        <v>46309</v>
      </c>
      <c r="B1108" s="0" t="n">
        <v>3</v>
      </c>
      <c r="C1108" s="0" t="n">
        <v>5142</v>
      </c>
      <c r="D1108" s="0" t="n">
        <v>62</v>
      </c>
      <c r="E1108" s="0" t="n">
        <v>2</v>
      </c>
      <c r="F1108" s="27" t="s">
        <v>797</v>
      </c>
      <c r="G1108" s="0" t="n">
        <v>56.2</v>
      </c>
      <c r="H1108" s="0" t="n">
        <v>61</v>
      </c>
      <c r="I1108" s="27" t="s">
        <v>147</v>
      </c>
      <c r="J1108" s="0" t="n">
        <v>62</v>
      </c>
      <c r="M1108" s="0" t="n">
        <v>1357.26</v>
      </c>
      <c r="N1108" s="0" t="n">
        <v>50.68</v>
      </c>
      <c r="O1108" s="0" t="n">
        <v>37.7</v>
      </c>
      <c r="P1108" s="0" t="n">
        <v>3.91</v>
      </c>
      <c r="Q1108" s="0" t="n">
        <v>3.27</v>
      </c>
      <c r="R1108" s="0" t="n">
        <v>5082</v>
      </c>
      <c r="S1108" s="0" t="n">
        <v>10216</v>
      </c>
      <c r="U1108" s="0" t="n">
        <v>1048</v>
      </c>
      <c r="V1108" s="0" t="n">
        <v>0</v>
      </c>
      <c r="W1108" s="27" t="n">
        <f aca="false">MATCH(A1108,DATAS,0)</f>
        <v>1</v>
      </c>
      <c r="X1108" s="27" t="n">
        <f aca="false">IF(AND(E1108&gt;0,OR(AND(B1108&gt;=1,B1108&lt;=6),B1108=10)),1,0)</f>
        <v>1</v>
      </c>
      <c r="Y1108" s="27" t="n">
        <f aca="false">IF(AND(E1108&gt;0,B1108=10),1,0)</f>
        <v>0</v>
      </c>
      <c r="Z1108" s="0" t="str">
        <f aca="false">IF(AND(C1107=C1108,W1107=W1108-1),X1107,"")</f>
        <v/>
      </c>
      <c r="AA1108" s="0" t="str">
        <f aca="false">IF(AND(C1107=C1108,W1107=W1108-1),Y1107,"")</f>
        <v/>
      </c>
      <c r="AB1108" s="0" t="str">
        <f aca="false">IF(W1108=1,"",IF(AND(X1108=1,Z1108&lt;&gt;1),1,0))</f>
        <v/>
      </c>
      <c r="AC1108" s="0" t="str">
        <f aca="false">IF(W1108=1,"",IF(AND(Y1108=1,AA1108&lt;&gt;1),1,0))</f>
        <v/>
      </c>
      <c r="AD1108" s="33" t="str">
        <f aca="false">IF(AND(E1108&gt;0,W1108&lt;1,NOT(AND(C1109=C1108,W1109=W1108+1))),INDEX(DATAS,W1108+1),"")</f>
        <v/>
      </c>
      <c r="AE1108" s="33" t="str">
        <f aca="false">IF(AND(Y1108=1,W1108&lt;1),IF(AND(C1109=C1108,W1109=W1108+1),IF(Y1109=1,"",INDEX(DATAS,W1108+1)),INDEX(DATAS,W1108+1)),"")</f>
        <v/>
      </c>
    </row>
    <row r="1109" customFormat="false" ht="15" hidden="false" customHeight="false" outlineLevel="0" collapsed="false">
      <c r="A1109" s="33" t="n">
        <v>46309</v>
      </c>
      <c r="B1109" s="0" t="n">
        <v>3</v>
      </c>
      <c r="C1109" s="0" t="n">
        <v>5143</v>
      </c>
      <c r="D1109" s="0" t="n">
        <v>74</v>
      </c>
      <c r="E1109" s="0" t="n">
        <v>2</v>
      </c>
      <c r="F1109" s="27" t="s">
        <v>797</v>
      </c>
      <c r="G1109" s="0" t="n">
        <v>53.5</v>
      </c>
      <c r="H1109" s="0" t="n">
        <v>53</v>
      </c>
      <c r="I1109" s="27" t="s">
        <v>168</v>
      </c>
      <c r="J1109" s="0" t="n">
        <v>74</v>
      </c>
      <c r="K1109" s="0" t="n">
        <v>67</v>
      </c>
      <c r="M1109" s="0" t="n">
        <v>299.44</v>
      </c>
      <c r="N1109" s="0" t="n">
        <v>33.93</v>
      </c>
      <c r="O1109" s="0" t="n">
        <v>14.74</v>
      </c>
      <c r="P1109" s="0" t="n">
        <v>3.99</v>
      </c>
      <c r="Q1109" s="0" t="n">
        <v>3.02</v>
      </c>
      <c r="R1109" s="0" t="n">
        <v>4518</v>
      </c>
      <c r="S1109" s="0" t="n">
        <v>9081</v>
      </c>
      <c r="U1109" s="0" t="n">
        <v>1048</v>
      </c>
      <c r="V1109" s="0" t="n">
        <v>1</v>
      </c>
      <c r="W1109" s="27" t="n">
        <f aca="false">MATCH(A1109,DATAS,0)</f>
        <v>1</v>
      </c>
      <c r="X1109" s="27" t="n">
        <f aca="false">IF(AND(E1109&gt;0,OR(AND(B1109&gt;=1,B1109&lt;=6),B1109=10)),1,0)</f>
        <v>1</v>
      </c>
      <c r="Y1109" s="27" t="n">
        <f aca="false">IF(AND(E1109&gt;0,B1109=10),1,0)</f>
        <v>0</v>
      </c>
      <c r="Z1109" s="0" t="str">
        <f aca="false">IF(AND(C1108=C1109,W1108=W1109-1),X1108,"")</f>
        <v/>
      </c>
      <c r="AA1109" s="0" t="str">
        <f aca="false">IF(AND(C1108=C1109,W1108=W1109-1),Y1108,"")</f>
        <v/>
      </c>
      <c r="AB1109" s="0" t="str">
        <f aca="false">IF(W1109=1,"",IF(AND(X1109=1,Z1109&lt;&gt;1),1,0))</f>
        <v/>
      </c>
      <c r="AC1109" s="0" t="str">
        <f aca="false">IF(W1109=1,"",IF(AND(Y1109=1,AA1109&lt;&gt;1),1,0))</f>
        <v/>
      </c>
      <c r="AD1109" s="33" t="str">
        <f aca="false">IF(AND(E1109&gt;0,W1109&lt;1,NOT(AND(C1110=C1109,W1110=W1109+1))),INDEX(DATAS,W1109+1),"")</f>
        <v/>
      </c>
      <c r="AE1109" s="33" t="str">
        <f aca="false">IF(AND(Y1109=1,W1109&lt;1),IF(AND(C1110=C1109,W1110=W1109+1),IF(Y1110=1,"",INDEX(DATAS,W1109+1)),INDEX(DATAS,W1109+1)),"")</f>
        <v/>
      </c>
    </row>
    <row r="1110" customFormat="false" ht="15" hidden="false" customHeight="false" outlineLevel="0" collapsed="false">
      <c r="A1110" s="33" t="n">
        <v>46309</v>
      </c>
      <c r="B1110" s="0" t="n">
        <v>6</v>
      </c>
      <c r="C1110" s="0" t="n">
        <v>5144</v>
      </c>
      <c r="D1110" s="0" t="n">
        <v>421</v>
      </c>
      <c r="E1110" s="0" t="n">
        <v>1</v>
      </c>
      <c r="F1110" s="27" t="s">
        <v>798</v>
      </c>
      <c r="H1110" s="0" t="n">
        <v>20</v>
      </c>
      <c r="I1110" s="27" t="s">
        <v>138</v>
      </c>
      <c r="J1110" s="0" t="n">
        <v>246</v>
      </c>
      <c r="K1110" s="0" t="n">
        <v>57</v>
      </c>
      <c r="L1110" s="0" t="n">
        <v>175</v>
      </c>
      <c r="M1110" s="0" t="n">
        <v>738.88</v>
      </c>
      <c r="N1110" s="0" t="n">
        <v>19.81</v>
      </c>
      <c r="O1110" s="0" t="n">
        <v>28</v>
      </c>
      <c r="P1110" s="0" t="n">
        <v>5.05</v>
      </c>
      <c r="Q1110" s="0" t="n">
        <v>3.72</v>
      </c>
      <c r="R1110" s="0" t="n">
        <v>3633</v>
      </c>
      <c r="S1110" s="0" t="n">
        <v>8319</v>
      </c>
      <c r="T1110" s="0" t="n">
        <v>40.15</v>
      </c>
      <c r="U1110" s="0" t="n">
        <v>1047</v>
      </c>
      <c r="V1110" s="0" t="n">
        <v>6</v>
      </c>
      <c r="W1110" s="27" t="n">
        <f aca="false">MATCH(A1110,DATAS,0)</f>
        <v>1</v>
      </c>
      <c r="X1110" s="27" t="n">
        <f aca="false">IF(AND(E1110&gt;0,OR(AND(B1110&gt;=1,B1110&lt;=6),B1110=10)),1,0)</f>
        <v>1</v>
      </c>
      <c r="Y1110" s="27" t="n">
        <f aca="false">IF(AND(E1110&gt;0,B1110=10),1,0)</f>
        <v>0</v>
      </c>
      <c r="Z1110" s="0" t="str">
        <f aca="false">IF(AND(C1109=C1110,W1109=W1110-1),X1109,"")</f>
        <v/>
      </c>
      <c r="AA1110" s="0" t="str">
        <f aca="false">IF(AND(C1109=C1110,W1109=W1110-1),Y1109,"")</f>
        <v/>
      </c>
      <c r="AB1110" s="0" t="str">
        <f aca="false">IF(W1110=1,"",IF(AND(X1110=1,Z1110&lt;&gt;1),1,0))</f>
        <v/>
      </c>
      <c r="AC1110" s="0" t="str">
        <f aca="false">IF(W1110=1,"",IF(AND(Y1110=1,AA1110&lt;&gt;1),1,0))</f>
        <v/>
      </c>
      <c r="AD1110" s="33" t="str">
        <f aca="false">IF(AND(E1110&gt;0,W1110&lt;1,NOT(AND(C1111=C1110,W1111=W1110+1))),INDEX(DATAS,W1110+1),"")</f>
        <v/>
      </c>
      <c r="AE1110" s="33" t="str">
        <f aca="false">IF(AND(Y1110=1,W1110&lt;1),IF(AND(C1111=C1110,W1111=W1110+1),IF(Y1111=1,"",INDEX(DATAS,W1110+1)),INDEX(DATAS,W1110+1)),"")</f>
        <v/>
      </c>
    </row>
    <row r="1111" customFormat="false" ht="15" hidden="false" customHeight="false" outlineLevel="0" collapsed="false">
      <c r="A1111" s="33" t="n">
        <v>46309</v>
      </c>
      <c r="B1111" s="0" t="n">
        <v>6</v>
      </c>
      <c r="C1111" s="0" t="n">
        <v>5146</v>
      </c>
      <c r="D1111" s="0" t="n">
        <v>415</v>
      </c>
      <c r="E1111" s="0" t="n">
        <v>1</v>
      </c>
      <c r="F1111" s="27" t="s">
        <v>798</v>
      </c>
      <c r="G1111" s="0" t="n">
        <v>19.9</v>
      </c>
      <c r="H1111" s="0" t="n">
        <v>20</v>
      </c>
      <c r="I1111" s="27" t="s">
        <v>176</v>
      </c>
      <c r="J1111" s="0" t="n">
        <v>415</v>
      </c>
      <c r="K1111" s="0" t="n">
        <v>65</v>
      </c>
      <c r="M1111" s="0" t="n">
        <v>308.08</v>
      </c>
      <c r="N1111" s="0" t="n">
        <v>44.18</v>
      </c>
      <c r="O1111" s="0" t="n">
        <v>26.25</v>
      </c>
      <c r="P1111" s="0" t="n">
        <v>6.09</v>
      </c>
      <c r="Q1111" s="0" t="n">
        <v>4.37</v>
      </c>
      <c r="R1111" s="0" t="n">
        <v>3518</v>
      </c>
      <c r="S1111" s="0" t="n">
        <v>6788</v>
      </c>
      <c r="T1111" s="0" t="n">
        <v>37.6</v>
      </c>
      <c r="U1111" s="0" t="n">
        <v>1047</v>
      </c>
      <c r="V1111" s="0" t="n">
        <v>6</v>
      </c>
      <c r="W1111" s="27" t="n">
        <f aca="false">MATCH(A1111,DATAS,0)</f>
        <v>1</v>
      </c>
      <c r="X1111" s="27" t="n">
        <f aca="false">IF(AND(E1111&gt;0,OR(AND(B1111&gt;=1,B1111&lt;=6),B1111=10)),1,0)</f>
        <v>1</v>
      </c>
      <c r="Y1111" s="27" t="n">
        <f aca="false">IF(AND(E1111&gt;0,B1111=10),1,0)</f>
        <v>0</v>
      </c>
      <c r="Z1111" s="0" t="str">
        <f aca="false">IF(AND(C1110=C1111,W1110=W1111-1),X1110,"")</f>
        <v/>
      </c>
      <c r="AA1111" s="0" t="str">
        <f aca="false">IF(AND(C1110=C1111,W1110=W1111-1),Y1110,"")</f>
        <v/>
      </c>
      <c r="AB1111" s="0" t="str">
        <f aca="false">IF(W1111=1,"",IF(AND(X1111=1,Z1111&lt;&gt;1),1,0))</f>
        <v/>
      </c>
      <c r="AC1111" s="0" t="str">
        <f aca="false">IF(W1111=1,"",IF(AND(Y1111=1,AA1111&lt;&gt;1),1,0))</f>
        <v/>
      </c>
      <c r="AD1111" s="33" t="str">
        <f aca="false">IF(AND(E1111&gt;0,W1111&lt;1,NOT(AND(C1112=C1111,W1112=W1111+1))),INDEX(DATAS,W1111+1),"")</f>
        <v/>
      </c>
      <c r="AE1111" s="33" t="str">
        <f aca="false">IF(AND(Y1111=1,W1111&lt;1),IF(AND(C1112=C1111,W1112=W1111+1),IF(Y1112=1,"",INDEX(DATAS,W1111+1)),INDEX(DATAS,W1111+1)),"")</f>
        <v/>
      </c>
    </row>
    <row r="1112" customFormat="false" ht="15" hidden="false" customHeight="false" outlineLevel="0" collapsed="false">
      <c r="A1112" s="33" t="n">
        <v>46309</v>
      </c>
      <c r="B1112" s="0" t="n">
        <v>7</v>
      </c>
      <c r="C1112" s="0" t="n">
        <v>5147</v>
      </c>
      <c r="D1112" s="0" t="n">
        <v>219</v>
      </c>
      <c r="E1112" s="0" t="n">
        <v>1</v>
      </c>
      <c r="F1112" s="27" t="s">
        <v>798</v>
      </c>
      <c r="I1112" s="27" t="s">
        <v>143</v>
      </c>
      <c r="J1112" s="0" t="n">
        <v>100</v>
      </c>
      <c r="K1112" s="0" t="n">
        <v>65</v>
      </c>
      <c r="L1112" s="0" t="n">
        <v>238</v>
      </c>
      <c r="M1112" s="0" t="n">
        <v>505.23</v>
      </c>
      <c r="N1112" s="0" t="n">
        <v>62.26</v>
      </c>
      <c r="O1112" s="0" t="n">
        <v>32.69</v>
      </c>
      <c r="P1112" s="0" t="n">
        <v>4.53</v>
      </c>
      <c r="Q1112" s="0" t="n">
        <v>3.67</v>
      </c>
      <c r="R1112" s="0" t="n">
        <v>4025</v>
      </c>
      <c r="S1112" s="0" t="n">
        <v>8247</v>
      </c>
      <c r="T1112" s="0" t="n">
        <v>41.4</v>
      </c>
      <c r="U1112" s="0" t="n">
        <v>1047</v>
      </c>
      <c r="V1112" s="0" t="n">
        <v>2</v>
      </c>
      <c r="W1112" s="27" t="n">
        <f aca="false">MATCH(A1112,DATAS,0)</f>
        <v>1</v>
      </c>
      <c r="X1112" s="27" t="n">
        <f aca="false">IF(AND(E1112&gt;0,OR(AND(B1112&gt;=1,B1112&lt;=6),B1112=10)),1,0)</f>
        <v>0</v>
      </c>
      <c r="Y1112" s="27" t="n">
        <f aca="false">IF(AND(E1112&gt;0,B1112=10),1,0)</f>
        <v>0</v>
      </c>
      <c r="Z1112" s="0" t="str">
        <f aca="false">IF(AND(C1111=C1112,W1111=W1112-1),X1111,"")</f>
        <v/>
      </c>
      <c r="AA1112" s="0" t="str">
        <f aca="false">IF(AND(C1111=C1112,W1111=W1112-1),Y1111,"")</f>
        <v/>
      </c>
      <c r="AB1112" s="0" t="str">
        <f aca="false">IF(W1112=1,"",IF(AND(X1112=1,Z1112&lt;&gt;1),1,0))</f>
        <v/>
      </c>
      <c r="AC1112" s="0" t="str">
        <f aca="false">IF(W1112=1,"",IF(AND(Y1112=1,AA1112&lt;&gt;1),1,0))</f>
        <v/>
      </c>
      <c r="AD1112" s="33" t="str">
        <f aca="false">IF(AND(E1112&gt;0,W1112&lt;1,NOT(AND(C1113=C1112,W1113=W1112+1))),INDEX(DATAS,W1112+1),"")</f>
        <v/>
      </c>
      <c r="AE1112" s="33" t="str">
        <f aca="false">IF(AND(Y1112=1,W1112&lt;1),IF(AND(C1113=C1112,W1113=W1112+1),IF(Y1113=1,"",INDEX(DATAS,W1112+1)),INDEX(DATAS,W1112+1)),"")</f>
        <v/>
      </c>
    </row>
    <row r="1113" customFormat="false" ht="15" hidden="false" customHeight="false" outlineLevel="0" collapsed="false">
      <c r="A1113" s="33" t="n">
        <v>46309</v>
      </c>
      <c r="B1113" s="0" t="n">
        <v>3</v>
      </c>
      <c r="C1113" s="0" t="n">
        <v>5149</v>
      </c>
      <c r="D1113" s="0" t="n">
        <v>90</v>
      </c>
      <c r="E1113" s="0" t="n">
        <v>2</v>
      </c>
      <c r="F1113" s="27" t="s">
        <v>799</v>
      </c>
      <c r="G1113" s="0" t="n">
        <v>61</v>
      </c>
      <c r="H1113" s="0" t="n">
        <v>59</v>
      </c>
      <c r="I1113" s="27" t="s">
        <v>168</v>
      </c>
      <c r="J1113" s="0" t="n">
        <v>90</v>
      </c>
      <c r="K1113" s="0" t="n">
        <v>62</v>
      </c>
      <c r="M1113" s="0" t="n">
        <v>534.94</v>
      </c>
      <c r="N1113" s="0" t="n">
        <v>87.09</v>
      </c>
      <c r="O1113" s="0" t="n">
        <v>46.6</v>
      </c>
      <c r="P1113" s="0" t="n">
        <v>3.71</v>
      </c>
      <c r="Q1113" s="0" t="n">
        <v>3.58</v>
      </c>
      <c r="R1113" s="0" t="n">
        <v>5218</v>
      </c>
      <c r="S1113" s="0" t="n">
        <v>10490</v>
      </c>
      <c r="U1113" s="0" t="n">
        <v>1045</v>
      </c>
      <c r="V1113" s="0" t="n">
        <v>1</v>
      </c>
      <c r="W1113" s="27" t="n">
        <f aca="false">MATCH(A1113,DATAS,0)</f>
        <v>1</v>
      </c>
      <c r="X1113" s="27" t="n">
        <f aca="false">IF(AND(E1113&gt;0,OR(AND(B1113&gt;=1,B1113&lt;=6),B1113=10)),1,0)</f>
        <v>1</v>
      </c>
      <c r="Y1113" s="27" t="n">
        <f aca="false">IF(AND(E1113&gt;0,B1113=10),1,0)</f>
        <v>0</v>
      </c>
      <c r="Z1113" s="0" t="str">
        <f aca="false">IF(AND(C1112=C1113,W1112=W1113-1),X1112,"")</f>
        <v/>
      </c>
      <c r="AA1113" s="0" t="str">
        <f aca="false">IF(AND(C1112=C1113,W1112=W1113-1),Y1112,"")</f>
        <v/>
      </c>
      <c r="AB1113" s="0" t="str">
        <f aca="false">IF(W1113=1,"",IF(AND(X1113=1,Z1113&lt;&gt;1),1,0))</f>
        <v/>
      </c>
      <c r="AC1113" s="0" t="str">
        <f aca="false">IF(W1113=1,"",IF(AND(Y1113=1,AA1113&lt;&gt;1),1,0))</f>
        <v/>
      </c>
      <c r="AD1113" s="33" t="str">
        <f aca="false">IF(AND(E1113&gt;0,W1113&lt;1,NOT(AND(C1114=C1113,W1114=W1113+1))),INDEX(DATAS,W1113+1),"")</f>
        <v/>
      </c>
      <c r="AE1113" s="33" t="str">
        <f aca="false">IF(AND(Y1113=1,W1113&lt;1),IF(AND(C1114=C1113,W1114=W1113+1),IF(Y1114=1,"",INDEX(DATAS,W1113+1)),INDEX(DATAS,W1113+1)),"")</f>
        <v/>
      </c>
    </row>
    <row r="1114" customFormat="false" ht="15" hidden="false" customHeight="false" outlineLevel="0" collapsed="false">
      <c r="A1114" s="33" t="n">
        <v>46309</v>
      </c>
      <c r="B1114" s="0" t="n">
        <v>7</v>
      </c>
      <c r="C1114" s="0" t="n">
        <v>5150</v>
      </c>
      <c r="D1114" s="0" t="n">
        <v>291</v>
      </c>
      <c r="E1114" s="0" t="n">
        <v>1</v>
      </c>
      <c r="F1114" s="27" t="s">
        <v>799</v>
      </c>
      <c r="I1114" s="27" t="s">
        <v>143</v>
      </c>
      <c r="J1114" s="0" t="n">
        <v>68</v>
      </c>
      <c r="K1114" s="0" t="n">
        <v>68</v>
      </c>
      <c r="L1114" s="0" t="n">
        <v>238</v>
      </c>
      <c r="M1114" s="0" t="n">
        <v>260.29</v>
      </c>
      <c r="N1114" s="0" t="n">
        <v>52.57</v>
      </c>
      <c r="O1114" s="0" t="n">
        <v>11.85</v>
      </c>
      <c r="P1114" s="0" t="n">
        <v>3.76</v>
      </c>
      <c r="Q1114" s="0" t="n">
        <v>3.29</v>
      </c>
      <c r="R1114" s="0" t="n">
        <v>3868</v>
      </c>
      <c r="S1114" s="0" t="n">
        <v>8904</v>
      </c>
      <c r="T1114" s="0" t="n">
        <v>40.55</v>
      </c>
      <c r="U1114" s="0" t="n">
        <v>1045</v>
      </c>
      <c r="V1114" s="0" t="n">
        <v>1</v>
      </c>
      <c r="W1114" s="27" t="n">
        <f aca="false">MATCH(A1114,DATAS,0)</f>
        <v>1</v>
      </c>
      <c r="X1114" s="27" t="n">
        <f aca="false">IF(AND(E1114&gt;0,OR(AND(B1114&gt;=1,B1114&lt;=6),B1114=10)),1,0)</f>
        <v>0</v>
      </c>
      <c r="Y1114" s="27" t="n">
        <f aca="false">IF(AND(E1114&gt;0,B1114=10),1,0)</f>
        <v>0</v>
      </c>
      <c r="Z1114" s="0" t="str">
        <f aca="false">IF(AND(C1113=C1114,W1113=W1114-1),X1113,"")</f>
        <v/>
      </c>
      <c r="AA1114" s="0" t="str">
        <f aca="false">IF(AND(C1113=C1114,W1113=W1114-1),Y1113,"")</f>
        <v/>
      </c>
      <c r="AB1114" s="0" t="str">
        <f aca="false">IF(W1114=1,"",IF(AND(X1114=1,Z1114&lt;&gt;1),1,0))</f>
        <v/>
      </c>
      <c r="AC1114" s="0" t="str">
        <f aca="false">IF(W1114=1,"",IF(AND(Y1114=1,AA1114&lt;&gt;1),1,0))</f>
        <v/>
      </c>
      <c r="AD1114" s="33" t="str">
        <f aca="false">IF(AND(E1114&gt;0,W1114&lt;1,NOT(AND(C1115=C1114,W1115=W1114+1))),INDEX(DATAS,W1114+1),"")</f>
        <v/>
      </c>
      <c r="AE1114" s="33" t="str">
        <f aca="false">IF(AND(Y1114=1,W1114&lt;1),IF(AND(C1115=C1114,W1115=W1114+1),IF(Y1115=1,"",INDEX(DATAS,W1114+1)),INDEX(DATAS,W1114+1)),"")</f>
        <v/>
      </c>
    </row>
    <row r="1115" customFormat="false" ht="15" hidden="false" customHeight="false" outlineLevel="0" collapsed="false">
      <c r="A1115" s="33" t="n">
        <v>46309</v>
      </c>
      <c r="B1115" s="0" t="n">
        <v>4</v>
      </c>
      <c r="C1115" s="0" t="n">
        <v>5151</v>
      </c>
      <c r="D1115" s="0" t="n">
        <v>252</v>
      </c>
      <c r="E1115" s="0" t="n">
        <v>1</v>
      </c>
      <c r="F1115" s="27" t="s">
        <v>799</v>
      </c>
      <c r="G1115" s="0" t="n">
        <v>53.1</v>
      </c>
      <c r="H1115" s="0" t="n">
        <v>51</v>
      </c>
      <c r="I1115" s="27" t="s">
        <v>138</v>
      </c>
      <c r="J1115" s="0" t="n">
        <v>140</v>
      </c>
      <c r="K1115" s="0" t="n">
        <v>63</v>
      </c>
      <c r="L1115" s="0" t="n">
        <v>112</v>
      </c>
      <c r="M1115" s="0" t="n">
        <v>777.75</v>
      </c>
      <c r="N1115" s="0" t="n">
        <v>23.93</v>
      </c>
      <c r="O1115" s="0" t="n">
        <v>39.99</v>
      </c>
      <c r="P1115" s="0" t="n">
        <v>3.13</v>
      </c>
      <c r="Q1115" s="0" t="n">
        <v>3.63</v>
      </c>
      <c r="R1115" s="0" t="n">
        <v>4283</v>
      </c>
      <c r="S1115" s="0" t="n">
        <v>10167</v>
      </c>
      <c r="T1115" s="0" t="n">
        <v>44.05</v>
      </c>
      <c r="U1115" s="0" t="n">
        <v>1045</v>
      </c>
      <c r="V1115" s="0" t="n">
        <v>4</v>
      </c>
      <c r="W1115" s="27" t="n">
        <f aca="false">MATCH(A1115,DATAS,0)</f>
        <v>1</v>
      </c>
      <c r="X1115" s="27" t="n">
        <f aca="false">IF(AND(E1115&gt;0,OR(AND(B1115&gt;=1,B1115&lt;=6),B1115=10)),1,0)</f>
        <v>1</v>
      </c>
      <c r="Y1115" s="27" t="n">
        <f aca="false">IF(AND(E1115&gt;0,B1115=10),1,0)</f>
        <v>0</v>
      </c>
      <c r="Z1115" s="0" t="str">
        <f aca="false">IF(AND(C1114=C1115,W1114=W1115-1),X1114,"")</f>
        <v/>
      </c>
      <c r="AA1115" s="0" t="str">
        <f aca="false">IF(AND(C1114=C1115,W1114=W1115-1),Y1114,"")</f>
        <v/>
      </c>
      <c r="AB1115" s="0" t="str">
        <f aca="false">IF(W1115=1,"",IF(AND(X1115=1,Z1115&lt;&gt;1),1,0))</f>
        <v/>
      </c>
      <c r="AC1115" s="0" t="str">
        <f aca="false">IF(W1115=1,"",IF(AND(Y1115=1,AA1115&lt;&gt;1),1,0))</f>
        <v/>
      </c>
      <c r="AD1115" s="33" t="str">
        <f aca="false">IF(AND(E1115&gt;0,W1115&lt;1,NOT(AND(C1116=C1115,W1116=W1115+1))),INDEX(DATAS,W1115+1),"")</f>
        <v/>
      </c>
      <c r="AE1115" s="33" t="str">
        <f aca="false">IF(AND(Y1115=1,W1115&lt;1),IF(AND(C1116=C1115,W1116=W1115+1),IF(Y1116=1,"",INDEX(DATAS,W1115+1)),INDEX(DATAS,W1115+1)),"")</f>
        <v/>
      </c>
    </row>
    <row r="1116" customFormat="false" ht="15" hidden="false" customHeight="false" outlineLevel="0" collapsed="false">
      <c r="A1116" s="33" t="n">
        <v>46309</v>
      </c>
      <c r="B1116" s="0" t="n">
        <v>7</v>
      </c>
      <c r="C1116" s="0" t="n">
        <v>5152</v>
      </c>
      <c r="D1116" s="0" t="n">
        <v>384</v>
      </c>
      <c r="E1116" s="0" t="n">
        <v>1</v>
      </c>
      <c r="F1116" s="27" t="s">
        <v>799</v>
      </c>
      <c r="I1116" s="27" t="s">
        <v>143</v>
      </c>
      <c r="J1116" s="0" t="n">
        <v>160</v>
      </c>
      <c r="K1116" s="0" t="n">
        <v>62</v>
      </c>
      <c r="L1116" s="0" t="n">
        <v>252</v>
      </c>
      <c r="M1116" s="0" t="n">
        <v>670.12</v>
      </c>
      <c r="N1116" s="0" t="n">
        <v>48.35</v>
      </c>
      <c r="O1116" s="0" t="n">
        <v>21.25</v>
      </c>
      <c r="P1116" s="0" t="n">
        <v>4.83</v>
      </c>
      <c r="Q1116" s="0" t="n">
        <v>3.49</v>
      </c>
      <c r="R1116" s="0" t="n">
        <v>5043</v>
      </c>
      <c r="S1116" s="0" t="n">
        <v>10064</v>
      </c>
      <c r="T1116" s="0" t="n">
        <v>56.3</v>
      </c>
      <c r="U1116" s="0" t="n">
        <v>1045</v>
      </c>
      <c r="V1116" s="0" t="n">
        <v>4</v>
      </c>
      <c r="W1116" s="27" t="n">
        <f aca="false">MATCH(A1116,DATAS,0)</f>
        <v>1</v>
      </c>
      <c r="X1116" s="27" t="n">
        <f aca="false">IF(AND(E1116&gt;0,OR(AND(B1116&gt;=1,B1116&lt;=6),B1116=10)),1,0)</f>
        <v>0</v>
      </c>
      <c r="Y1116" s="27" t="n">
        <f aca="false">IF(AND(E1116&gt;0,B1116=10),1,0)</f>
        <v>0</v>
      </c>
      <c r="Z1116" s="0" t="str">
        <f aca="false">IF(AND(C1115=C1116,W1115=W1116-1),X1115,"")</f>
        <v/>
      </c>
      <c r="AA1116" s="0" t="str">
        <f aca="false">IF(AND(C1115=C1116,W1115=W1116-1),Y1115,"")</f>
        <v/>
      </c>
      <c r="AB1116" s="0" t="str">
        <f aca="false">IF(W1116=1,"",IF(AND(X1116=1,Z1116&lt;&gt;1),1,0))</f>
        <v/>
      </c>
      <c r="AC1116" s="0" t="str">
        <f aca="false">IF(W1116=1,"",IF(AND(Y1116=1,AA1116&lt;&gt;1),1,0))</f>
        <v/>
      </c>
      <c r="AD1116" s="33" t="str">
        <f aca="false">IF(AND(E1116&gt;0,W1116&lt;1,NOT(AND(C1117=C1116,W1117=W1116+1))),INDEX(DATAS,W1116+1),"")</f>
        <v/>
      </c>
      <c r="AE1116" s="33" t="str">
        <f aca="false">IF(AND(Y1116=1,W1116&lt;1),IF(AND(C1117=C1116,W1117=W1116+1),IF(Y1117=1,"",INDEX(DATAS,W1116+1)),INDEX(DATAS,W1116+1)),"")</f>
        <v/>
      </c>
    </row>
    <row r="1117" customFormat="false" ht="15" hidden="false" customHeight="false" outlineLevel="0" collapsed="false">
      <c r="A1117" s="33" t="n">
        <v>46309</v>
      </c>
      <c r="B1117" s="0" t="n">
        <v>2</v>
      </c>
      <c r="C1117" s="0" t="n">
        <v>5155</v>
      </c>
      <c r="D1117" s="0" t="n">
        <v>74</v>
      </c>
      <c r="E1117" s="0" t="n">
        <v>2</v>
      </c>
      <c r="F1117" s="27" t="s">
        <v>800</v>
      </c>
      <c r="G1117" s="0" t="n">
        <v>49.3</v>
      </c>
      <c r="H1117" s="0" t="n">
        <v>49</v>
      </c>
      <c r="I1117" s="27" t="s">
        <v>176</v>
      </c>
      <c r="J1117" s="0" t="n">
        <v>74</v>
      </c>
      <c r="M1117" s="0" t="n">
        <v>309.1</v>
      </c>
      <c r="N1117" s="0" t="n">
        <v>53.65</v>
      </c>
      <c r="O1117" s="0" t="n">
        <v>26.43</v>
      </c>
      <c r="P1117" s="0" t="n">
        <v>3.14</v>
      </c>
      <c r="Q1117" s="0" t="n">
        <v>3.07</v>
      </c>
      <c r="R1117" s="0" t="n">
        <v>4678</v>
      </c>
      <c r="S1117" s="0" t="n">
        <v>9404</v>
      </c>
      <c r="U1117" s="0" t="n">
        <v>1044</v>
      </c>
      <c r="V1117" s="0" t="n">
        <v>0</v>
      </c>
      <c r="W1117" s="27" t="n">
        <f aca="false">MATCH(A1117,DATAS,0)</f>
        <v>1</v>
      </c>
      <c r="X1117" s="27" t="n">
        <f aca="false">IF(AND(E1117&gt;0,OR(AND(B1117&gt;=1,B1117&lt;=6),B1117=10)),1,0)</f>
        <v>1</v>
      </c>
      <c r="Y1117" s="27" t="n">
        <f aca="false">IF(AND(E1117&gt;0,B1117=10),1,0)</f>
        <v>0</v>
      </c>
      <c r="Z1117" s="0" t="str">
        <f aca="false">IF(AND(C1116=C1117,W1116=W1117-1),X1116,"")</f>
        <v/>
      </c>
      <c r="AA1117" s="0" t="str">
        <f aca="false">IF(AND(C1116=C1117,W1116=W1117-1),Y1116,"")</f>
        <v/>
      </c>
      <c r="AB1117" s="0" t="str">
        <f aca="false">IF(W1117=1,"",IF(AND(X1117=1,Z1117&lt;&gt;1),1,0))</f>
        <v/>
      </c>
      <c r="AC1117" s="0" t="str">
        <f aca="false">IF(W1117=1,"",IF(AND(Y1117=1,AA1117&lt;&gt;1),1,0))</f>
        <v/>
      </c>
      <c r="AD1117" s="33" t="str">
        <f aca="false">IF(AND(E1117&gt;0,W1117&lt;1,NOT(AND(C1118=C1117,W1118=W1117+1))),INDEX(DATAS,W1117+1),"")</f>
        <v/>
      </c>
      <c r="AE1117" s="33" t="str">
        <f aca="false">IF(AND(Y1117=1,W1117&lt;1),IF(AND(C1118=C1117,W1118=W1117+1),IF(Y1118=1,"",INDEX(DATAS,W1117+1)),INDEX(DATAS,W1117+1)),"")</f>
        <v/>
      </c>
    </row>
    <row r="1118" customFormat="false" ht="15" hidden="false" customHeight="false" outlineLevel="0" collapsed="false">
      <c r="A1118" s="33" t="n">
        <v>46309</v>
      </c>
      <c r="B1118" s="0" t="n">
        <v>3</v>
      </c>
      <c r="C1118" s="0" t="n">
        <v>5156</v>
      </c>
      <c r="D1118" s="0" t="n">
        <v>60</v>
      </c>
      <c r="E1118" s="0" t="n">
        <v>2</v>
      </c>
      <c r="F1118" s="27" t="s">
        <v>800</v>
      </c>
      <c r="G1118" s="0" t="n">
        <v>59.4</v>
      </c>
      <c r="H1118" s="0" t="n">
        <v>55</v>
      </c>
      <c r="I1118" s="27" t="s">
        <v>147</v>
      </c>
      <c r="J1118" s="0" t="n">
        <v>60</v>
      </c>
      <c r="M1118" s="0" t="n">
        <v>828.85</v>
      </c>
      <c r="N1118" s="0" t="n">
        <v>86.22</v>
      </c>
      <c r="O1118" s="0" t="n">
        <v>41.96</v>
      </c>
      <c r="P1118" s="0" t="n">
        <v>4.5</v>
      </c>
      <c r="Q1118" s="0" t="n">
        <v>3.37</v>
      </c>
      <c r="R1118" s="0" t="n">
        <v>4653</v>
      </c>
      <c r="S1118" s="0" t="n">
        <v>9354</v>
      </c>
      <c r="U1118" s="0" t="n">
        <v>1044</v>
      </c>
      <c r="V1118" s="0" t="n">
        <v>0</v>
      </c>
      <c r="W1118" s="27" t="n">
        <f aca="false">MATCH(A1118,DATAS,0)</f>
        <v>1</v>
      </c>
      <c r="X1118" s="27" t="n">
        <f aca="false">IF(AND(E1118&gt;0,OR(AND(B1118&gt;=1,B1118&lt;=6),B1118=10)),1,0)</f>
        <v>1</v>
      </c>
      <c r="Y1118" s="27" t="n">
        <f aca="false">IF(AND(E1118&gt;0,B1118=10),1,0)</f>
        <v>0</v>
      </c>
      <c r="Z1118" s="0" t="str">
        <f aca="false">IF(AND(C1117=C1118,W1117=W1118-1),X1117,"")</f>
        <v/>
      </c>
      <c r="AA1118" s="0" t="str">
        <f aca="false">IF(AND(C1117=C1118,W1117=W1118-1),Y1117,"")</f>
        <v/>
      </c>
      <c r="AB1118" s="0" t="str">
        <f aca="false">IF(W1118=1,"",IF(AND(X1118=1,Z1118&lt;&gt;1),1,0))</f>
        <v/>
      </c>
      <c r="AC1118" s="0" t="str">
        <f aca="false">IF(W1118=1,"",IF(AND(Y1118=1,AA1118&lt;&gt;1),1,0))</f>
        <v/>
      </c>
      <c r="AD1118" s="33" t="str">
        <f aca="false">IF(AND(E1118&gt;0,W1118&lt;1,NOT(AND(C1119=C1118,W1119=W1118+1))),INDEX(DATAS,W1118+1),"")</f>
        <v/>
      </c>
      <c r="AE1118" s="33" t="str">
        <f aca="false">IF(AND(Y1118=1,W1118&lt;1),IF(AND(C1119=C1118,W1119=W1118+1),IF(Y1119=1,"",INDEX(DATAS,W1118+1)),INDEX(DATAS,W1118+1)),"")</f>
        <v/>
      </c>
    </row>
    <row r="1119" customFormat="false" ht="15" hidden="false" customHeight="false" outlineLevel="0" collapsed="false">
      <c r="A1119" s="33" t="n">
        <v>46309</v>
      </c>
      <c r="B1119" s="0" t="n">
        <v>14</v>
      </c>
      <c r="C1119" s="0" t="n">
        <v>5157</v>
      </c>
      <c r="D1119" s="0" t="n">
        <v>290</v>
      </c>
      <c r="E1119" s="0" t="n">
        <v>1</v>
      </c>
      <c r="F1119" s="27" t="s">
        <v>800</v>
      </c>
      <c r="I1119" s="27" t="s">
        <v>143</v>
      </c>
      <c r="J1119" s="0" t="n">
        <v>67</v>
      </c>
      <c r="K1119" s="0" t="n">
        <v>67</v>
      </c>
      <c r="L1119" s="0" t="n">
        <v>266</v>
      </c>
      <c r="M1119" s="0" t="n">
        <v>728.9</v>
      </c>
      <c r="N1119" s="0" t="n">
        <v>45.67</v>
      </c>
      <c r="O1119" s="0" t="n">
        <v>38.08</v>
      </c>
      <c r="P1119" s="0" t="n">
        <v>3.42</v>
      </c>
      <c r="Q1119" s="0" t="n">
        <v>3.52</v>
      </c>
      <c r="R1119" s="0" t="n">
        <v>3726</v>
      </c>
      <c r="S1119" s="0" t="n">
        <v>8348</v>
      </c>
      <c r="T1119" s="0" t="n">
        <v>39.15</v>
      </c>
      <c r="U1119" s="0" t="n">
        <v>1044</v>
      </c>
      <c r="V1119" s="0" t="n">
        <v>1</v>
      </c>
      <c r="W1119" s="27" t="n">
        <f aca="false">MATCH(A1119,DATAS,0)</f>
        <v>1</v>
      </c>
      <c r="X1119" s="27" t="n">
        <f aca="false">IF(AND(E1119&gt;0,OR(AND(B1119&gt;=1,B1119&lt;=6),B1119=10)),1,0)</f>
        <v>0</v>
      </c>
      <c r="Y1119" s="27" t="n">
        <f aca="false">IF(AND(E1119&gt;0,B1119=10),1,0)</f>
        <v>0</v>
      </c>
      <c r="Z1119" s="0" t="str">
        <f aca="false">IF(AND(C1118=C1119,W1118=W1119-1),X1118,"")</f>
        <v/>
      </c>
      <c r="AA1119" s="0" t="str">
        <f aca="false">IF(AND(C1118=C1119,W1118=W1119-1),Y1118,"")</f>
        <v/>
      </c>
      <c r="AB1119" s="0" t="str">
        <f aca="false">IF(W1119=1,"",IF(AND(X1119=1,Z1119&lt;&gt;1),1,0))</f>
        <v/>
      </c>
      <c r="AC1119" s="0" t="str">
        <f aca="false">IF(W1119=1,"",IF(AND(Y1119=1,AA1119&lt;&gt;1),1,0))</f>
        <v/>
      </c>
      <c r="AD1119" s="33" t="str">
        <f aca="false">IF(AND(E1119&gt;0,W1119&lt;1,NOT(AND(C1120=C1119,W1120=W1119+1))),INDEX(DATAS,W1119+1),"")</f>
        <v/>
      </c>
      <c r="AE1119" s="33" t="str">
        <f aca="false">IF(AND(Y1119=1,W1119&lt;1),IF(AND(C1120=C1119,W1120=W1119+1),IF(Y1120=1,"",INDEX(DATAS,W1119+1)),INDEX(DATAS,W1119+1)),"")</f>
        <v/>
      </c>
    </row>
    <row r="1120" customFormat="false" ht="15" hidden="false" customHeight="false" outlineLevel="0" collapsed="false">
      <c r="A1120" s="33" t="n">
        <v>46309</v>
      </c>
      <c r="B1120" s="0" t="n">
        <v>7</v>
      </c>
      <c r="C1120" s="0" t="n">
        <v>5158</v>
      </c>
      <c r="D1120" s="0" t="n">
        <v>321</v>
      </c>
      <c r="E1120" s="0" t="n">
        <v>1</v>
      </c>
      <c r="F1120" s="27" t="s">
        <v>801</v>
      </c>
      <c r="I1120" s="27" t="s">
        <v>143</v>
      </c>
      <c r="J1120" s="0" t="n">
        <v>96</v>
      </c>
      <c r="K1120" s="0" t="n">
        <v>77</v>
      </c>
      <c r="L1120" s="0" t="n">
        <v>240</v>
      </c>
      <c r="M1120" s="0" t="n">
        <v>1446.4</v>
      </c>
      <c r="N1120" s="0" t="n">
        <v>71.69</v>
      </c>
      <c r="O1120" s="0" t="n">
        <v>56.7</v>
      </c>
      <c r="P1120" s="0" t="n">
        <v>3.97</v>
      </c>
      <c r="Q1120" s="0" t="n">
        <v>4.25</v>
      </c>
      <c r="R1120" s="0" t="n">
        <v>4791</v>
      </c>
      <c r="S1120" s="0" t="n">
        <v>10391</v>
      </c>
      <c r="T1120" s="0" t="n">
        <v>51.35</v>
      </c>
      <c r="U1120" s="0" t="n">
        <v>1043</v>
      </c>
      <c r="V1120" s="0" t="n">
        <v>2</v>
      </c>
      <c r="W1120" s="27" t="n">
        <f aca="false">MATCH(A1120,DATAS,0)</f>
        <v>1</v>
      </c>
      <c r="X1120" s="27" t="n">
        <f aca="false">IF(AND(E1120&gt;0,OR(AND(B1120&gt;=1,B1120&lt;=6),B1120=10)),1,0)</f>
        <v>0</v>
      </c>
      <c r="Y1120" s="27" t="n">
        <f aca="false">IF(AND(E1120&gt;0,B1120=10),1,0)</f>
        <v>0</v>
      </c>
      <c r="Z1120" s="0" t="str">
        <f aca="false">IF(AND(C1119=C1120,W1119=W1120-1),X1119,"")</f>
        <v/>
      </c>
      <c r="AA1120" s="0" t="str">
        <f aca="false">IF(AND(C1119=C1120,W1119=W1120-1),Y1119,"")</f>
        <v/>
      </c>
      <c r="AB1120" s="0" t="str">
        <f aca="false">IF(W1120=1,"",IF(AND(X1120=1,Z1120&lt;&gt;1),1,0))</f>
        <v/>
      </c>
      <c r="AC1120" s="0" t="str">
        <f aca="false">IF(W1120=1,"",IF(AND(Y1120=1,AA1120&lt;&gt;1),1,0))</f>
        <v/>
      </c>
      <c r="AD1120" s="33" t="str">
        <f aca="false">IF(AND(E1120&gt;0,W1120&lt;1,NOT(AND(C1121=C1120,W1121=W1120+1))),INDEX(DATAS,W1120+1),"")</f>
        <v/>
      </c>
      <c r="AE1120" s="33" t="str">
        <f aca="false">IF(AND(Y1120=1,W1120&lt;1),IF(AND(C1121=C1120,W1121=W1120+1),IF(Y1121=1,"",INDEX(DATAS,W1120+1)),INDEX(DATAS,W1120+1)),"")</f>
        <v/>
      </c>
    </row>
    <row r="1121" customFormat="false" ht="15" hidden="false" customHeight="false" outlineLevel="0" collapsed="false">
      <c r="A1121" s="33" t="n">
        <v>46309</v>
      </c>
      <c r="B1121" s="0" t="n">
        <v>5</v>
      </c>
      <c r="C1121" s="0" t="n">
        <v>5159</v>
      </c>
      <c r="D1121" s="0" t="n">
        <v>353</v>
      </c>
      <c r="E1121" s="0" t="n">
        <v>1</v>
      </c>
      <c r="F1121" s="27" t="s">
        <v>801</v>
      </c>
      <c r="G1121" s="0" t="n">
        <v>45.6</v>
      </c>
      <c r="H1121" s="0" t="n">
        <v>40</v>
      </c>
      <c r="I1121" s="27" t="s">
        <v>138</v>
      </c>
      <c r="J1121" s="0" t="n">
        <v>227</v>
      </c>
      <c r="K1121" s="0" t="n">
        <v>67</v>
      </c>
      <c r="L1121" s="0" t="n">
        <v>126</v>
      </c>
      <c r="M1121" s="0" t="n">
        <v>252.6</v>
      </c>
      <c r="N1121" s="0" t="n">
        <v>77.83</v>
      </c>
      <c r="O1121" s="0" t="n">
        <v>32.62</v>
      </c>
      <c r="P1121" s="0" t="n">
        <v>4.42</v>
      </c>
      <c r="Q1121" s="0" t="n">
        <v>3.78</v>
      </c>
      <c r="R1121" s="0" t="n">
        <v>3953</v>
      </c>
      <c r="S1121" s="0" t="n">
        <v>8986</v>
      </c>
      <c r="T1121" s="0" t="n">
        <v>42.5</v>
      </c>
      <c r="U1121" s="0" t="n">
        <v>1043</v>
      </c>
      <c r="V1121" s="0" t="n">
        <v>6</v>
      </c>
      <c r="W1121" s="27" t="n">
        <f aca="false">MATCH(A1121,DATAS,0)</f>
        <v>1</v>
      </c>
      <c r="X1121" s="27" t="n">
        <f aca="false">IF(AND(E1121&gt;0,OR(AND(B1121&gt;=1,B1121&lt;=6),B1121=10)),1,0)</f>
        <v>1</v>
      </c>
      <c r="Y1121" s="27" t="n">
        <f aca="false">IF(AND(E1121&gt;0,B1121=10),1,0)</f>
        <v>0</v>
      </c>
      <c r="Z1121" s="0" t="str">
        <f aca="false">IF(AND(C1120=C1121,W1120=W1121-1),X1120,"")</f>
        <v/>
      </c>
      <c r="AA1121" s="0" t="str">
        <f aca="false">IF(AND(C1120=C1121,W1120=W1121-1),Y1120,"")</f>
        <v/>
      </c>
      <c r="AB1121" s="0" t="str">
        <f aca="false">IF(W1121=1,"",IF(AND(X1121=1,Z1121&lt;&gt;1),1,0))</f>
        <v/>
      </c>
      <c r="AC1121" s="0" t="str">
        <f aca="false">IF(W1121=1,"",IF(AND(Y1121=1,AA1121&lt;&gt;1),1,0))</f>
        <v/>
      </c>
      <c r="AD1121" s="33" t="str">
        <f aca="false">IF(AND(E1121&gt;0,W1121&lt;1,NOT(AND(C1122=C1121,W1122=W1121+1))),INDEX(DATAS,W1121+1),"")</f>
        <v/>
      </c>
      <c r="AE1121" s="33" t="str">
        <f aca="false">IF(AND(Y1121=1,W1121&lt;1),IF(AND(C1122=C1121,W1122=W1121+1),IF(Y1122=1,"",INDEX(DATAS,W1121+1)),INDEX(DATAS,W1121+1)),"")</f>
        <v/>
      </c>
    </row>
    <row r="1122" customFormat="false" ht="15" hidden="false" customHeight="false" outlineLevel="0" collapsed="false">
      <c r="A1122" s="33" t="n">
        <v>46309</v>
      </c>
      <c r="B1122" s="0" t="n">
        <v>5</v>
      </c>
      <c r="C1122" s="0" t="n">
        <v>5160</v>
      </c>
      <c r="D1122" s="0" t="n">
        <v>357</v>
      </c>
      <c r="E1122" s="0" t="n">
        <v>1</v>
      </c>
      <c r="F1122" s="27" t="s">
        <v>802</v>
      </c>
      <c r="G1122" s="0" t="n">
        <v>40</v>
      </c>
      <c r="H1122" s="0" t="n">
        <v>41</v>
      </c>
      <c r="I1122" s="27" t="s">
        <v>138</v>
      </c>
      <c r="J1122" s="0" t="n">
        <v>301</v>
      </c>
      <c r="K1122" s="0" t="n">
        <v>64</v>
      </c>
      <c r="L1122" s="0" t="n">
        <v>56</v>
      </c>
      <c r="M1122" s="0" t="n">
        <v>366.64</v>
      </c>
      <c r="N1122" s="0" t="n">
        <v>43.6</v>
      </c>
      <c r="O1122" s="0" t="n">
        <v>16.51</v>
      </c>
      <c r="P1122" s="0" t="n">
        <v>5.45</v>
      </c>
      <c r="Q1122" s="0" t="n">
        <v>4.08</v>
      </c>
      <c r="R1122" s="0" t="n">
        <v>4052</v>
      </c>
      <c r="S1122" s="0" t="n">
        <v>9095</v>
      </c>
      <c r="T1122" s="0" t="n">
        <v>45.05</v>
      </c>
      <c r="U1122" s="0" t="n">
        <v>1042</v>
      </c>
      <c r="V1122" s="0" t="n">
        <v>7</v>
      </c>
      <c r="W1122" s="27" t="n">
        <f aca="false">MATCH(A1122,DATAS,0)</f>
        <v>1</v>
      </c>
      <c r="X1122" s="27" t="n">
        <f aca="false">IF(AND(E1122&gt;0,OR(AND(B1122&gt;=1,B1122&lt;=6),B1122=10)),1,0)</f>
        <v>1</v>
      </c>
      <c r="Y1122" s="27" t="n">
        <f aca="false">IF(AND(E1122&gt;0,B1122=10),1,0)</f>
        <v>0</v>
      </c>
      <c r="Z1122" s="0" t="str">
        <f aca="false">IF(AND(C1121=C1122,W1121=W1122-1),X1121,"")</f>
        <v/>
      </c>
      <c r="AA1122" s="0" t="str">
        <f aca="false">IF(AND(C1121=C1122,W1121=W1122-1),Y1121,"")</f>
        <v/>
      </c>
      <c r="AB1122" s="0" t="str">
        <f aca="false">IF(W1122=1,"",IF(AND(X1122=1,Z1122&lt;&gt;1),1,0))</f>
        <v/>
      </c>
      <c r="AC1122" s="0" t="str">
        <f aca="false">IF(W1122=1,"",IF(AND(Y1122=1,AA1122&lt;&gt;1),1,0))</f>
        <v/>
      </c>
      <c r="AD1122" s="33" t="str">
        <f aca="false">IF(AND(E1122&gt;0,W1122&lt;1,NOT(AND(C1123=C1122,W1123=W1122+1))),INDEX(DATAS,W1122+1),"")</f>
        <v/>
      </c>
      <c r="AE1122" s="33" t="str">
        <f aca="false">IF(AND(Y1122=1,W1122&lt;1),IF(AND(C1123=C1122,W1123=W1122+1),IF(Y1123=1,"",INDEX(DATAS,W1122+1)),INDEX(DATAS,W1122+1)),"")</f>
        <v/>
      </c>
    </row>
    <row r="1123" customFormat="false" ht="15" hidden="false" customHeight="false" outlineLevel="0" collapsed="false">
      <c r="A1123" s="33" t="n">
        <v>46309</v>
      </c>
      <c r="B1123" s="0" t="n">
        <v>4</v>
      </c>
      <c r="C1123" s="0" t="n">
        <v>5161</v>
      </c>
      <c r="D1123" s="0" t="n">
        <v>234</v>
      </c>
      <c r="E1123" s="0" t="n">
        <v>1</v>
      </c>
      <c r="F1123" s="27" t="s">
        <v>803</v>
      </c>
      <c r="G1123" s="0" t="n">
        <v>45.1</v>
      </c>
      <c r="H1123" s="0" t="n">
        <v>46</v>
      </c>
      <c r="I1123" s="27" t="s">
        <v>138</v>
      </c>
      <c r="J1123" s="0" t="n">
        <v>101</v>
      </c>
      <c r="K1123" s="0" t="n">
        <v>66</v>
      </c>
      <c r="L1123" s="0" t="n">
        <v>133</v>
      </c>
      <c r="M1123" s="0" t="n">
        <v>149.04</v>
      </c>
      <c r="N1123" s="0" t="n">
        <v>76.38</v>
      </c>
      <c r="O1123" s="0" t="n">
        <v>31.23</v>
      </c>
      <c r="P1123" s="0" t="n">
        <v>3.93</v>
      </c>
      <c r="Q1123" s="0" t="n">
        <v>3.67</v>
      </c>
      <c r="R1123" s="0" t="n">
        <v>4075</v>
      </c>
      <c r="S1123" s="0" t="n">
        <v>8770</v>
      </c>
      <c r="T1123" s="0" t="n">
        <v>45.95</v>
      </c>
      <c r="U1123" s="0" t="n">
        <v>1041</v>
      </c>
      <c r="V1123" s="0" t="n">
        <v>2</v>
      </c>
      <c r="W1123" s="27" t="n">
        <f aca="false">MATCH(A1123,DATAS,0)</f>
        <v>1</v>
      </c>
      <c r="X1123" s="27" t="n">
        <f aca="false">IF(AND(E1123&gt;0,OR(AND(B1123&gt;=1,B1123&lt;=6),B1123=10)),1,0)</f>
        <v>1</v>
      </c>
      <c r="Y1123" s="27" t="n">
        <f aca="false">IF(AND(E1123&gt;0,B1123=10),1,0)</f>
        <v>0</v>
      </c>
      <c r="Z1123" s="0" t="str">
        <f aca="false">IF(AND(C1122=C1123,W1122=W1123-1),X1122,"")</f>
        <v/>
      </c>
      <c r="AA1123" s="0" t="str">
        <f aca="false">IF(AND(C1122=C1123,W1122=W1123-1),Y1122,"")</f>
        <v/>
      </c>
      <c r="AB1123" s="0" t="str">
        <f aca="false">IF(W1123=1,"",IF(AND(X1123=1,Z1123&lt;&gt;1),1,0))</f>
        <v/>
      </c>
      <c r="AC1123" s="0" t="str">
        <f aca="false">IF(W1123=1,"",IF(AND(Y1123=1,AA1123&lt;&gt;1),1,0))</f>
        <v/>
      </c>
      <c r="AD1123" s="33" t="str">
        <f aca="false">IF(AND(E1123&gt;0,W1123&lt;1,NOT(AND(C1124=C1123,W1124=W1123+1))),INDEX(DATAS,W1123+1),"")</f>
        <v/>
      </c>
      <c r="AE1123" s="33" t="str">
        <f aca="false">IF(AND(Y1123=1,W1123&lt;1),IF(AND(C1124=C1123,W1124=W1123+1),IF(Y1124=1,"",INDEX(DATAS,W1123+1)),INDEX(DATAS,W1123+1)),"")</f>
        <v/>
      </c>
    </row>
    <row r="1124" customFormat="false" ht="15" hidden="false" customHeight="false" outlineLevel="0" collapsed="false">
      <c r="A1124" s="33" t="n">
        <v>46309</v>
      </c>
      <c r="B1124" s="0" t="n">
        <v>5</v>
      </c>
      <c r="C1124" s="0" t="n">
        <v>5162</v>
      </c>
      <c r="D1124" s="0" t="n">
        <v>368</v>
      </c>
      <c r="E1124" s="0" t="n">
        <v>1</v>
      </c>
      <c r="F1124" s="27" t="s">
        <v>803</v>
      </c>
      <c r="G1124" s="0" t="n">
        <v>41.8</v>
      </c>
      <c r="H1124" s="0" t="n">
        <v>36</v>
      </c>
      <c r="I1124" s="27" t="s">
        <v>176</v>
      </c>
      <c r="J1124" s="0" t="n">
        <v>368</v>
      </c>
      <c r="K1124" s="0" t="n">
        <v>68</v>
      </c>
      <c r="M1124" s="0" t="n">
        <v>690.53</v>
      </c>
      <c r="N1124" s="0" t="n">
        <v>26.41</v>
      </c>
      <c r="O1124" s="0" t="n">
        <v>28.03</v>
      </c>
      <c r="P1124" s="0" t="n">
        <v>4.52</v>
      </c>
      <c r="Q1124" s="0" t="n">
        <v>4.25</v>
      </c>
      <c r="R1124" s="0" t="n">
        <v>4912</v>
      </c>
      <c r="S1124" s="0" t="n">
        <v>9857</v>
      </c>
      <c r="T1124" s="0" t="n">
        <v>49.65</v>
      </c>
      <c r="U1124" s="0" t="n">
        <v>1041</v>
      </c>
      <c r="V1124" s="0" t="n">
        <v>3</v>
      </c>
      <c r="W1124" s="27" t="n">
        <f aca="false">MATCH(A1124,DATAS,0)</f>
        <v>1</v>
      </c>
      <c r="X1124" s="27" t="n">
        <f aca="false">IF(AND(E1124&gt;0,OR(AND(B1124&gt;=1,B1124&lt;=6),B1124=10)),1,0)</f>
        <v>1</v>
      </c>
      <c r="Y1124" s="27" t="n">
        <f aca="false">IF(AND(E1124&gt;0,B1124=10),1,0)</f>
        <v>0</v>
      </c>
      <c r="Z1124" s="0" t="str">
        <f aca="false">IF(AND(C1123=C1124,W1123=W1124-1),X1123,"")</f>
        <v/>
      </c>
      <c r="AA1124" s="0" t="str">
        <f aca="false">IF(AND(C1123=C1124,W1123=W1124-1),Y1123,"")</f>
        <v/>
      </c>
      <c r="AB1124" s="0" t="str">
        <f aca="false">IF(W1124=1,"",IF(AND(X1124=1,Z1124&lt;&gt;1),1,0))</f>
        <v/>
      </c>
      <c r="AC1124" s="0" t="str">
        <f aca="false">IF(W1124=1,"",IF(AND(Y1124=1,AA1124&lt;&gt;1),1,0))</f>
        <v/>
      </c>
      <c r="AD1124" s="33" t="str">
        <f aca="false">IF(AND(E1124&gt;0,W1124&lt;1,NOT(AND(C1125=C1124,W1125=W1124+1))),INDEX(DATAS,W1124+1),"")</f>
        <v/>
      </c>
      <c r="AE1124" s="33" t="str">
        <f aca="false">IF(AND(Y1124=1,W1124&lt;1),IF(AND(C1125=C1124,W1125=W1124+1),IF(Y1125=1,"",INDEX(DATAS,W1124+1)),INDEX(DATAS,W1124+1)),"")</f>
        <v/>
      </c>
    </row>
    <row r="1125" customFormat="false" ht="15" hidden="false" customHeight="false" outlineLevel="0" collapsed="false">
      <c r="A1125" s="33" t="n">
        <v>46309</v>
      </c>
      <c r="B1125" s="0" t="n">
        <v>7</v>
      </c>
      <c r="C1125" s="0" t="n">
        <v>5163</v>
      </c>
      <c r="D1125" s="0" t="n">
        <v>405</v>
      </c>
      <c r="E1125" s="0" t="n">
        <v>1</v>
      </c>
      <c r="F1125" s="27" t="s">
        <v>803</v>
      </c>
      <c r="I1125" s="27" t="s">
        <v>143</v>
      </c>
      <c r="J1125" s="0" t="n">
        <v>182</v>
      </c>
      <c r="K1125" s="0" t="n">
        <v>63</v>
      </c>
      <c r="L1125" s="0" t="n">
        <v>231</v>
      </c>
      <c r="M1125" s="0" t="n">
        <v>27.45</v>
      </c>
      <c r="N1125" s="0" t="n">
        <v>78.14</v>
      </c>
      <c r="O1125" s="0" t="n">
        <v>25.41</v>
      </c>
      <c r="P1125" s="0" t="n">
        <v>5.64</v>
      </c>
      <c r="Q1125" s="0" t="n">
        <v>4.23</v>
      </c>
      <c r="R1125" s="0" t="n">
        <v>3246</v>
      </c>
      <c r="S1125" s="0" t="n">
        <v>6379</v>
      </c>
      <c r="T1125" s="0" t="n">
        <v>36.85</v>
      </c>
      <c r="U1125" s="0" t="n">
        <v>1041</v>
      </c>
      <c r="V1125" s="0" t="n">
        <v>4</v>
      </c>
      <c r="W1125" s="27" t="n">
        <f aca="false">MATCH(A1125,DATAS,0)</f>
        <v>1</v>
      </c>
      <c r="X1125" s="27" t="n">
        <f aca="false">IF(AND(E1125&gt;0,OR(AND(B1125&gt;=1,B1125&lt;=6),B1125=10)),1,0)</f>
        <v>0</v>
      </c>
      <c r="Y1125" s="27" t="n">
        <f aca="false">IF(AND(E1125&gt;0,B1125=10),1,0)</f>
        <v>0</v>
      </c>
      <c r="Z1125" s="0" t="str">
        <f aca="false">IF(AND(C1124=C1125,W1124=W1125-1),X1124,"")</f>
        <v/>
      </c>
      <c r="AA1125" s="0" t="str">
        <f aca="false">IF(AND(C1124=C1125,W1124=W1125-1),Y1124,"")</f>
        <v/>
      </c>
      <c r="AB1125" s="0" t="str">
        <f aca="false">IF(W1125=1,"",IF(AND(X1125=1,Z1125&lt;&gt;1),1,0))</f>
        <v/>
      </c>
      <c r="AC1125" s="0" t="str">
        <f aca="false">IF(W1125=1,"",IF(AND(Y1125=1,AA1125&lt;&gt;1),1,0))</f>
        <v/>
      </c>
      <c r="AD1125" s="33" t="str">
        <f aca="false">IF(AND(E1125&gt;0,W1125&lt;1,NOT(AND(C1126=C1125,W1126=W1125+1))),INDEX(DATAS,W1125+1),"")</f>
        <v/>
      </c>
      <c r="AE1125" s="33" t="str">
        <f aca="false">IF(AND(Y1125=1,W1125&lt;1),IF(AND(C1126=C1125,W1126=W1125+1),IF(Y1126=1,"",INDEX(DATAS,W1125+1)),INDEX(DATAS,W1125+1)),"")</f>
        <v/>
      </c>
    </row>
    <row r="1126" customFormat="false" ht="15" hidden="false" customHeight="false" outlineLevel="0" collapsed="false">
      <c r="A1126" s="33" t="n">
        <v>46309</v>
      </c>
      <c r="B1126" s="0" t="n">
        <v>2</v>
      </c>
      <c r="C1126" s="0" t="n">
        <v>5166</v>
      </c>
      <c r="D1126" s="0" t="n">
        <v>411</v>
      </c>
      <c r="E1126" s="0" t="n">
        <v>1</v>
      </c>
      <c r="F1126" s="27" t="s">
        <v>804</v>
      </c>
      <c r="G1126" s="0" t="n">
        <v>44.9</v>
      </c>
      <c r="H1126" s="0" t="n">
        <v>48</v>
      </c>
      <c r="I1126" s="27" t="s">
        <v>138</v>
      </c>
      <c r="J1126" s="0" t="n">
        <v>285</v>
      </c>
      <c r="K1126" s="0" t="n">
        <v>68</v>
      </c>
      <c r="L1126" s="0" t="n">
        <v>126</v>
      </c>
      <c r="M1126" s="0" t="n">
        <v>585.55</v>
      </c>
      <c r="N1126" s="0" t="n">
        <v>38.3</v>
      </c>
      <c r="O1126" s="0" t="n">
        <v>25.5</v>
      </c>
      <c r="P1126" s="0" t="n">
        <v>4</v>
      </c>
      <c r="Q1126" s="0" t="n">
        <v>3.83</v>
      </c>
      <c r="R1126" s="0" t="n">
        <v>4269</v>
      </c>
      <c r="S1126" s="0" t="n">
        <v>9329</v>
      </c>
      <c r="T1126" s="0" t="n">
        <v>46.7</v>
      </c>
      <c r="U1126" s="0" t="n">
        <v>1039</v>
      </c>
      <c r="V1126" s="0" t="n">
        <v>6</v>
      </c>
      <c r="W1126" s="27" t="n">
        <f aca="false">MATCH(A1126,DATAS,0)</f>
        <v>1</v>
      </c>
      <c r="X1126" s="27" t="n">
        <f aca="false">IF(AND(E1126&gt;0,OR(AND(B1126&gt;=1,B1126&lt;=6),B1126=10)),1,0)</f>
        <v>1</v>
      </c>
      <c r="Y1126" s="27" t="n">
        <f aca="false">IF(AND(E1126&gt;0,B1126=10),1,0)</f>
        <v>0</v>
      </c>
      <c r="Z1126" s="0" t="str">
        <f aca="false">IF(AND(C1125=C1126,W1125=W1126-1),X1125,"")</f>
        <v/>
      </c>
      <c r="AA1126" s="0" t="str">
        <f aca="false">IF(AND(C1125=C1126,W1125=W1126-1),Y1125,"")</f>
        <v/>
      </c>
      <c r="AB1126" s="0" t="str">
        <f aca="false">IF(W1126=1,"",IF(AND(X1126=1,Z1126&lt;&gt;1),1,0))</f>
        <v/>
      </c>
      <c r="AC1126" s="0" t="str">
        <f aca="false">IF(W1126=1,"",IF(AND(Y1126=1,AA1126&lt;&gt;1),1,0))</f>
        <v/>
      </c>
      <c r="AD1126" s="33" t="str">
        <f aca="false">IF(AND(E1126&gt;0,W1126&lt;1,NOT(AND(C1127=C1126,W1127=W1126+1))),INDEX(DATAS,W1126+1),"")</f>
        <v/>
      </c>
      <c r="AE1126" s="33" t="str">
        <f aca="false">IF(AND(Y1126=1,W1126&lt;1),IF(AND(C1127=C1126,W1127=W1126+1),IF(Y1127=1,"",INDEX(DATAS,W1126+1)),INDEX(DATAS,W1126+1)),"")</f>
        <v/>
      </c>
    </row>
    <row r="1127" customFormat="false" ht="15" hidden="false" customHeight="false" outlineLevel="0" collapsed="false">
      <c r="A1127" s="33" t="n">
        <v>46309</v>
      </c>
      <c r="B1127" s="0" t="n">
        <v>5</v>
      </c>
      <c r="C1127" s="0" t="n">
        <v>5167</v>
      </c>
      <c r="D1127" s="0" t="n">
        <v>393</v>
      </c>
      <c r="E1127" s="0" t="n">
        <v>1</v>
      </c>
      <c r="F1127" s="27" t="s">
        <v>804</v>
      </c>
      <c r="G1127" s="0" t="n">
        <v>39.7</v>
      </c>
      <c r="H1127" s="0" t="n">
        <v>39</v>
      </c>
      <c r="I1127" s="27" t="s">
        <v>138</v>
      </c>
      <c r="J1127" s="0" t="n">
        <v>190</v>
      </c>
      <c r="K1127" s="0" t="n">
        <v>64</v>
      </c>
      <c r="L1127" s="0" t="n">
        <v>203</v>
      </c>
      <c r="M1127" s="0" t="n">
        <v>871.55</v>
      </c>
      <c r="N1127" s="0" t="n">
        <v>33.43</v>
      </c>
      <c r="O1127" s="0" t="n">
        <v>41.26</v>
      </c>
      <c r="P1127" s="0" t="n">
        <v>4</v>
      </c>
      <c r="Q1127" s="0" t="n">
        <v>4.36</v>
      </c>
      <c r="R1127" s="0" t="n">
        <v>4570</v>
      </c>
      <c r="S1127" s="0" t="n">
        <v>10055</v>
      </c>
      <c r="T1127" s="0" t="n">
        <v>50.45</v>
      </c>
      <c r="U1127" s="0" t="n">
        <v>1039</v>
      </c>
      <c r="V1127" s="0" t="n">
        <v>4</v>
      </c>
      <c r="W1127" s="27" t="n">
        <f aca="false">MATCH(A1127,DATAS,0)</f>
        <v>1</v>
      </c>
      <c r="X1127" s="27" t="n">
        <f aca="false">IF(AND(E1127&gt;0,OR(AND(B1127&gt;=1,B1127&lt;=6),B1127=10)),1,0)</f>
        <v>1</v>
      </c>
      <c r="Y1127" s="27" t="n">
        <f aca="false">IF(AND(E1127&gt;0,B1127=10),1,0)</f>
        <v>0</v>
      </c>
      <c r="Z1127" s="0" t="str">
        <f aca="false">IF(AND(C1126=C1127,W1126=W1127-1),X1126,"")</f>
        <v/>
      </c>
      <c r="AA1127" s="0" t="str">
        <f aca="false">IF(AND(C1126=C1127,W1126=W1127-1),Y1126,"")</f>
        <v/>
      </c>
      <c r="AB1127" s="0" t="str">
        <f aca="false">IF(W1127=1,"",IF(AND(X1127=1,Z1127&lt;&gt;1),1,0))</f>
        <v/>
      </c>
      <c r="AC1127" s="0" t="str">
        <f aca="false">IF(W1127=1,"",IF(AND(Y1127=1,AA1127&lt;&gt;1),1,0))</f>
        <v/>
      </c>
      <c r="AD1127" s="33" t="str">
        <f aca="false">IF(AND(E1127&gt;0,W1127&lt;1,NOT(AND(C1128=C1127,W1128=W1127+1))),INDEX(DATAS,W1127+1),"")</f>
        <v/>
      </c>
      <c r="AE1127" s="33" t="str">
        <f aca="false">IF(AND(Y1127=1,W1127&lt;1),IF(AND(C1128=C1127,W1128=W1127+1),IF(Y1128=1,"",INDEX(DATAS,W1127+1)),INDEX(DATAS,W1127+1)),"")</f>
        <v/>
      </c>
    </row>
    <row r="1128" customFormat="false" ht="15" hidden="false" customHeight="false" outlineLevel="0" collapsed="false">
      <c r="A1128" s="33" t="n">
        <v>46309</v>
      </c>
      <c r="B1128" s="0" t="n">
        <v>3</v>
      </c>
      <c r="C1128" s="0" t="n">
        <v>5168</v>
      </c>
      <c r="D1128" s="0" t="n">
        <v>72</v>
      </c>
      <c r="E1128" s="0" t="n">
        <v>2</v>
      </c>
      <c r="F1128" s="27" t="s">
        <v>804</v>
      </c>
      <c r="G1128" s="0" t="n">
        <v>61.8</v>
      </c>
      <c r="H1128" s="0" t="n">
        <v>56</v>
      </c>
      <c r="I1128" s="27" t="s">
        <v>176</v>
      </c>
      <c r="J1128" s="0" t="n">
        <v>72</v>
      </c>
      <c r="M1128" s="0" t="n">
        <v>86.34</v>
      </c>
      <c r="N1128" s="0" t="n">
        <v>62.21</v>
      </c>
      <c r="O1128" s="0" t="n">
        <v>23.42</v>
      </c>
      <c r="P1128" s="0" t="n">
        <v>4.45</v>
      </c>
      <c r="Q1128" s="0" t="n">
        <v>3.33</v>
      </c>
      <c r="R1128" s="0" t="n">
        <v>5077</v>
      </c>
      <c r="S1128" s="0" t="n">
        <v>10205</v>
      </c>
      <c r="U1128" s="0" t="n">
        <v>1039</v>
      </c>
      <c r="V1128" s="0" t="n">
        <v>0</v>
      </c>
      <c r="W1128" s="27" t="n">
        <f aca="false">MATCH(A1128,DATAS,0)</f>
        <v>1</v>
      </c>
      <c r="X1128" s="27" t="n">
        <f aca="false">IF(AND(E1128&gt;0,OR(AND(B1128&gt;=1,B1128&lt;=6),B1128=10)),1,0)</f>
        <v>1</v>
      </c>
      <c r="Y1128" s="27" t="n">
        <f aca="false">IF(AND(E1128&gt;0,B1128=10),1,0)</f>
        <v>0</v>
      </c>
      <c r="Z1128" s="0" t="str">
        <f aca="false">IF(AND(C1127=C1128,W1127=W1128-1),X1127,"")</f>
        <v/>
      </c>
      <c r="AA1128" s="0" t="str">
        <f aca="false">IF(AND(C1127=C1128,W1127=W1128-1),Y1127,"")</f>
        <v/>
      </c>
      <c r="AB1128" s="0" t="str">
        <f aca="false">IF(W1128=1,"",IF(AND(X1128=1,Z1128&lt;&gt;1),1,0))</f>
        <v/>
      </c>
      <c r="AC1128" s="0" t="str">
        <f aca="false">IF(W1128=1,"",IF(AND(Y1128=1,AA1128&lt;&gt;1),1,0))</f>
        <v/>
      </c>
      <c r="AD1128" s="33" t="str">
        <f aca="false">IF(AND(E1128&gt;0,W1128&lt;1,NOT(AND(C1129=C1128,W1129=W1128+1))),INDEX(DATAS,W1128+1),"")</f>
        <v/>
      </c>
      <c r="AE1128" s="33" t="str">
        <f aca="false">IF(AND(Y1128=1,W1128&lt;1),IF(AND(C1129=C1128,W1129=W1128+1),IF(Y1129=1,"",INDEX(DATAS,W1128+1)),INDEX(DATAS,W1128+1)),"")</f>
        <v/>
      </c>
    </row>
    <row r="1129" customFormat="false" ht="15" hidden="false" customHeight="false" outlineLevel="0" collapsed="false">
      <c r="A1129" s="33" t="n">
        <v>46309</v>
      </c>
      <c r="B1129" s="0" t="n">
        <v>4</v>
      </c>
      <c r="C1129" s="0" t="n">
        <v>5170</v>
      </c>
      <c r="D1129" s="0" t="n">
        <v>351</v>
      </c>
      <c r="E1129" s="0" t="n">
        <v>1</v>
      </c>
      <c r="F1129" s="27" t="s">
        <v>804</v>
      </c>
      <c r="G1129" s="0" t="n">
        <v>40.9</v>
      </c>
      <c r="H1129" s="0" t="n">
        <v>40</v>
      </c>
      <c r="I1129" s="27" t="s">
        <v>138</v>
      </c>
      <c r="J1129" s="0" t="n">
        <v>129</v>
      </c>
      <c r="K1129" s="0" t="n">
        <v>72</v>
      </c>
      <c r="L1129" s="0" t="n">
        <v>222</v>
      </c>
      <c r="M1129" s="0" t="n">
        <v>264.55</v>
      </c>
      <c r="N1129" s="0" t="n">
        <v>54.25</v>
      </c>
      <c r="O1129" s="0" t="n">
        <v>27.12</v>
      </c>
      <c r="P1129" s="0" t="n">
        <v>3.43</v>
      </c>
      <c r="Q1129" s="0" t="n">
        <v>3.6</v>
      </c>
      <c r="R1129" s="0" t="n">
        <v>3483</v>
      </c>
      <c r="S1129" s="0" t="n">
        <v>8266</v>
      </c>
      <c r="T1129" s="0" t="n">
        <v>42.05</v>
      </c>
      <c r="U1129" s="0" t="n">
        <v>1039</v>
      </c>
      <c r="V1129" s="0" t="n">
        <v>3</v>
      </c>
      <c r="W1129" s="27" t="n">
        <f aca="false">MATCH(A1129,DATAS,0)</f>
        <v>1</v>
      </c>
      <c r="X1129" s="27" t="n">
        <f aca="false">IF(AND(E1129&gt;0,OR(AND(B1129&gt;=1,B1129&lt;=6),B1129=10)),1,0)</f>
        <v>1</v>
      </c>
      <c r="Y1129" s="27" t="n">
        <f aca="false">IF(AND(E1129&gt;0,B1129=10),1,0)</f>
        <v>0</v>
      </c>
      <c r="Z1129" s="0" t="str">
        <f aca="false">IF(AND(C1128=C1129,W1128=W1129-1),X1128,"")</f>
        <v/>
      </c>
      <c r="AA1129" s="0" t="str">
        <f aca="false">IF(AND(C1128=C1129,W1128=W1129-1),Y1128,"")</f>
        <v/>
      </c>
      <c r="AB1129" s="0" t="str">
        <f aca="false">IF(W1129=1,"",IF(AND(X1129=1,Z1129&lt;&gt;1),1,0))</f>
        <v/>
      </c>
      <c r="AC1129" s="0" t="str">
        <f aca="false">IF(W1129=1,"",IF(AND(Y1129=1,AA1129&lt;&gt;1),1,0))</f>
        <v/>
      </c>
      <c r="AD1129" s="33" t="str">
        <f aca="false">IF(AND(E1129&gt;0,W1129&lt;1,NOT(AND(C1130=C1129,W1130=W1129+1))),INDEX(DATAS,W1129+1),"")</f>
        <v/>
      </c>
      <c r="AE1129" s="33" t="str">
        <f aca="false">IF(AND(Y1129=1,W1129&lt;1),IF(AND(C1130=C1129,W1130=W1129+1),IF(Y1130=1,"",INDEX(DATAS,W1129+1)),INDEX(DATAS,W1129+1)),"")</f>
        <v/>
      </c>
    </row>
    <row r="1130" customFormat="false" ht="15" hidden="false" customHeight="false" outlineLevel="0" collapsed="false">
      <c r="A1130" s="33" t="n">
        <v>46309</v>
      </c>
      <c r="B1130" s="0" t="n">
        <v>7</v>
      </c>
      <c r="C1130" s="0" t="n">
        <v>5171</v>
      </c>
      <c r="D1130" s="0" t="n">
        <v>324</v>
      </c>
      <c r="E1130" s="0" t="n">
        <v>1</v>
      </c>
      <c r="F1130" s="27" t="s">
        <v>804</v>
      </c>
      <c r="I1130" s="27" t="s">
        <v>143</v>
      </c>
      <c r="J1130" s="0" t="n">
        <v>100</v>
      </c>
      <c r="K1130" s="0" t="n">
        <v>66</v>
      </c>
      <c r="L1130" s="0" t="n">
        <v>252</v>
      </c>
      <c r="M1130" s="0" t="n">
        <v>56.29</v>
      </c>
      <c r="N1130" s="0" t="n">
        <v>44.61</v>
      </c>
      <c r="O1130" s="0" t="n">
        <v>19.43</v>
      </c>
      <c r="P1130" s="0" t="n">
        <v>4.95</v>
      </c>
      <c r="Q1130" s="0" t="n">
        <v>3.97</v>
      </c>
      <c r="R1130" s="0" t="n">
        <v>3809</v>
      </c>
      <c r="S1130" s="0" t="n">
        <v>8339</v>
      </c>
      <c r="T1130" s="0" t="n">
        <v>42.65</v>
      </c>
      <c r="U1130" s="0" t="n">
        <v>1039</v>
      </c>
      <c r="V1130" s="0" t="n">
        <v>2</v>
      </c>
      <c r="W1130" s="27" t="n">
        <f aca="false">MATCH(A1130,DATAS,0)</f>
        <v>1</v>
      </c>
      <c r="X1130" s="27" t="n">
        <f aca="false">IF(AND(E1130&gt;0,OR(AND(B1130&gt;=1,B1130&lt;=6),B1130=10)),1,0)</f>
        <v>0</v>
      </c>
      <c r="Y1130" s="27" t="n">
        <f aca="false">IF(AND(E1130&gt;0,B1130=10),1,0)</f>
        <v>0</v>
      </c>
      <c r="Z1130" s="0" t="str">
        <f aca="false">IF(AND(C1129=C1130,W1129=W1130-1),X1129,"")</f>
        <v/>
      </c>
      <c r="AA1130" s="0" t="str">
        <f aca="false">IF(AND(C1129=C1130,W1129=W1130-1),Y1129,"")</f>
        <v/>
      </c>
      <c r="AB1130" s="0" t="str">
        <f aca="false">IF(W1130=1,"",IF(AND(X1130=1,Z1130&lt;&gt;1),1,0))</f>
        <v/>
      </c>
      <c r="AC1130" s="0" t="str">
        <f aca="false">IF(W1130=1,"",IF(AND(Y1130=1,AA1130&lt;&gt;1),1,0))</f>
        <v/>
      </c>
      <c r="AD1130" s="33" t="str">
        <f aca="false">IF(AND(E1130&gt;0,W1130&lt;1,NOT(AND(C1131=C1130,W1131=W1130+1))),INDEX(DATAS,W1130+1),"")</f>
        <v/>
      </c>
      <c r="AE1130" s="33" t="str">
        <f aca="false">IF(AND(Y1130=1,W1130&lt;1),IF(AND(C1131=C1130,W1131=W1130+1),IF(Y1131=1,"",INDEX(DATAS,W1130+1)),INDEX(DATAS,W1130+1)),"")</f>
        <v/>
      </c>
    </row>
    <row r="1131" customFormat="false" ht="15" hidden="false" customHeight="false" outlineLevel="0" collapsed="false">
      <c r="A1131" s="33" t="n">
        <v>46309</v>
      </c>
      <c r="B1131" s="0" t="n">
        <v>3</v>
      </c>
      <c r="C1131" s="0" t="n">
        <v>5173</v>
      </c>
      <c r="D1131" s="0" t="n">
        <v>51</v>
      </c>
      <c r="E1131" s="0" t="n">
        <v>2</v>
      </c>
      <c r="F1131" s="27" t="s">
        <v>804</v>
      </c>
      <c r="G1131" s="0" t="n">
        <v>64.4</v>
      </c>
      <c r="H1131" s="0" t="n">
        <v>64</v>
      </c>
      <c r="I1131" s="27" t="s">
        <v>147</v>
      </c>
      <c r="J1131" s="0" t="n">
        <v>51</v>
      </c>
      <c r="M1131" s="0" t="n">
        <v>1103.15</v>
      </c>
      <c r="N1131" s="0" t="n">
        <v>45.67</v>
      </c>
      <c r="O1131" s="0" t="n">
        <v>34.39</v>
      </c>
      <c r="P1131" s="0" t="n">
        <v>2.74</v>
      </c>
      <c r="Q1131" s="0" t="n">
        <v>3.29</v>
      </c>
      <c r="R1131" s="0" t="n">
        <v>5262</v>
      </c>
      <c r="S1131" s="0" t="n">
        <v>10578</v>
      </c>
      <c r="U1131" s="0" t="n">
        <v>1039</v>
      </c>
      <c r="V1131" s="0" t="n">
        <v>0</v>
      </c>
      <c r="W1131" s="27" t="n">
        <f aca="false">MATCH(A1131,DATAS,0)</f>
        <v>1</v>
      </c>
      <c r="X1131" s="27" t="n">
        <f aca="false">IF(AND(E1131&gt;0,OR(AND(B1131&gt;=1,B1131&lt;=6),B1131=10)),1,0)</f>
        <v>1</v>
      </c>
      <c r="Y1131" s="27" t="n">
        <f aca="false">IF(AND(E1131&gt;0,B1131=10),1,0)</f>
        <v>0</v>
      </c>
      <c r="Z1131" s="0" t="str">
        <f aca="false">IF(AND(C1130=C1131,W1130=W1131-1),X1130,"")</f>
        <v/>
      </c>
      <c r="AA1131" s="0" t="str">
        <f aca="false">IF(AND(C1130=C1131,W1130=W1131-1),Y1130,"")</f>
        <v/>
      </c>
      <c r="AB1131" s="0" t="str">
        <f aca="false">IF(W1131=1,"",IF(AND(X1131=1,Z1131&lt;&gt;1),1,0))</f>
        <v/>
      </c>
      <c r="AC1131" s="0" t="str">
        <f aca="false">IF(W1131=1,"",IF(AND(Y1131=1,AA1131&lt;&gt;1),1,0))</f>
        <v/>
      </c>
      <c r="AD1131" s="33" t="str">
        <f aca="false">IF(AND(E1131&gt;0,W1131&lt;1,NOT(AND(C1132=C1131,W1132=W1131+1))),INDEX(DATAS,W1131+1),"")</f>
        <v/>
      </c>
      <c r="AE1131" s="33" t="str">
        <f aca="false">IF(AND(Y1131=1,W1131&lt;1),IF(AND(C1132=C1131,W1132=W1131+1),IF(Y1132=1,"",INDEX(DATAS,W1131+1)),INDEX(DATAS,W1131+1)),"")</f>
        <v/>
      </c>
    </row>
    <row r="1132" customFormat="false" ht="15" hidden="false" customHeight="false" outlineLevel="0" collapsed="false">
      <c r="A1132" s="33" t="n">
        <v>46309</v>
      </c>
      <c r="B1132" s="0" t="n">
        <v>3</v>
      </c>
      <c r="C1132" s="0" t="n">
        <v>5174</v>
      </c>
      <c r="D1132" s="0" t="n">
        <v>70</v>
      </c>
      <c r="E1132" s="0" t="n">
        <v>2</v>
      </c>
      <c r="F1132" s="27" t="s">
        <v>804</v>
      </c>
      <c r="G1132" s="0" t="n">
        <v>60.3</v>
      </c>
      <c r="H1132" s="0" t="n">
        <v>54</v>
      </c>
      <c r="I1132" s="27" t="s">
        <v>168</v>
      </c>
      <c r="J1132" s="0" t="n">
        <v>70</v>
      </c>
      <c r="K1132" s="0" t="n">
        <v>63</v>
      </c>
      <c r="M1132" s="0" t="n">
        <v>1336.71</v>
      </c>
      <c r="N1132" s="0" t="n">
        <v>53.11</v>
      </c>
      <c r="O1132" s="0" t="n">
        <v>38.85</v>
      </c>
      <c r="P1132" s="0" t="n">
        <v>3.03</v>
      </c>
      <c r="Q1132" s="0" t="n">
        <v>3.07</v>
      </c>
      <c r="R1132" s="0" t="n">
        <v>5024</v>
      </c>
      <c r="S1132" s="0" t="n">
        <v>10100</v>
      </c>
      <c r="U1132" s="0" t="n">
        <v>1039</v>
      </c>
      <c r="V1132" s="0" t="n">
        <v>1</v>
      </c>
      <c r="W1132" s="27" t="n">
        <f aca="false">MATCH(A1132,DATAS,0)</f>
        <v>1</v>
      </c>
      <c r="X1132" s="27" t="n">
        <f aca="false">IF(AND(E1132&gt;0,OR(AND(B1132&gt;=1,B1132&lt;=6),B1132=10)),1,0)</f>
        <v>1</v>
      </c>
      <c r="Y1132" s="27" t="n">
        <f aca="false">IF(AND(E1132&gt;0,B1132=10),1,0)</f>
        <v>0</v>
      </c>
      <c r="Z1132" s="0" t="str">
        <f aca="false">IF(AND(C1131=C1132,W1131=W1132-1),X1131,"")</f>
        <v/>
      </c>
      <c r="AA1132" s="0" t="str">
        <f aca="false">IF(AND(C1131=C1132,W1131=W1132-1),Y1131,"")</f>
        <v/>
      </c>
      <c r="AB1132" s="0" t="str">
        <f aca="false">IF(W1132=1,"",IF(AND(X1132=1,Z1132&lt;&gt;1),1,0))</f>
        <v/>
      </c>
      <c r="AC1132" s="0" t="str">
        <f aca="false">IF(W1132=1,"",IF(AND(Y1132=1,AA1132&lt;&gt;1),1,0))</f>
        <v/>
      </c>
      <c r="AD1132" s="33" t="str">
        <f aca="false">IF(AND(E1132&gt;0,W1132&lt;1,NOT(AND(C1133=C1132,W1133=W1132+1))),INDEX(DATAS,W1132+1),"")</f>
        <v/>
      </c>
      <c r="AE1132" s="33" t="str">
        <f aca="false">IF(AND(Y1132=1,W1132&lt;1),IF(AND(C1133=C1132,W1133=W1132+1),IF(Y1133=1,"",INDEX(DATAS,W1132+1)),INDEX(DATAS,W1132+1)),"")</f>
        <v/>
      </c>
    </row>
    <row r="1133" customFormat="false" ht="15" hidden="false" customHeight="false" outlineLevel="0" collapsed="false">
      <c r="A1133" s="33" t="n">
        <v>46309</v>
      </c>
      <c r="B1133" s="0" t="n">
        <v>4</v>
      </c>
      <c r="C1133" s="0" t="n">
        <v>5175</v>
      </c>
      <c r="D1133" s="0" t="n">
        <v>322</v>
      </c>
      <c r="E1133" s="0" t="n">
        <v>1</v>
      </c>
      <c r="F1133" s="27" t="s">
        <v>805</v>
      </c>
      <c r="G1133" s="0" t="n">
        <v>53.5</v>
      </c>
      <c r="H1133" s="0" t="n">
        <v>51</v>
      </c>
      <c r="I1133" s="27" t="s">
        <v>138</v>
      </c>
      <c r="J1133" s="0" t="n">
        <v>287</v>
      </c>
      <c r="K1133" s="0" t="n">
        <v>63</v>
      </c>
      <c r="L1133" s="0" t="n">
        <v>35</v>
      </c>
      <c r="M1133" s="0" t="n">
        <v>369.22</v>
      </c>
      <c r="N1133" s="0" t="n">
        <v>65.73</v>
      </c>
      <c r="O1133" s="0" t="n">
        <v>22.49</v>
      </c>
      <c r="P1133" s="0" t="n">
        <v>3.75</v>
      </c>
      <c r="Q1133" s="0" t="n">
        <v>3.74</v>
      </c>
      <c r="R1133" s="0" t="n">
        <v>4237</v>
      </c>
      <c r="S1133" s="0" t="n">
        <v>8448</v>
      </c>
      <c r="T1133" s="0" t="n">
        <v>57.8</v>
      </c>
      <c r="U1133" s="0" t="n">
        <v>1038</v>
      </c>
      <c r="V1133" s="0" t="n">
        <v>5</v>
      </c>
      <c r="W1133" s="27" t="n">
        <f aca="false">MATCH(A1133,DATAS,0)</f>
        <v>1</v>
      </c>
      <c r="X1133" s="27" t="n">
        <f aca="false">IF(AND(E1133&gt;0,OR(AND(B1133&gt;=1,B1133&lt;=6),B1133=10)),1,0)</f>
        <v>1</v>
      </c>
      <c r="Y1133" s="27" t="n">
        <f aca="false">IF(AND(E1133&gt;0,B1133=10),1,0)</f>
        <v>0</v>
      </c>
      <c r="Z1133" s="0" t="str">
        <f aca="false">IF(AND(C1132=C1133,W1132=W1133-1),X1132,"")</f>
        <v/>
      </c>
      <c r="AA1133" s="0" t="str">
        <f aca="false">IF(AND(C1132=C1133,W1132=W1133-1),Y1132,"")</f>
        <v/>
      </c>
      <c r="AB1133" s="0" t="str">
        <f aca="false">IF(W1133=1,"",IF(AND(X1133=1,Z1133&lt;&gt;1),1,0))</f>
        <v/>
      </c>
      <c r="AC1133" s="0" t="str">
        <f aca="false">IF(W1133=1,"",IF(AND(Y1133=1,AA1133&lt;&gt;1),1,0))</f>
        <v/>
      </c>
      <c r="AD1133" s="33" t="str">
        <f aca="false">IF(AND(E1133&gt;0,W1133&lt;1,NOT(AND(C1134=C1133,W1134=W1133+1))),INDEX(DATAS,W1133+1),"")</f>
        <v/>
      </c>
      <c r="AE1133" s="33" t="str">
        <f aca="false">IF(AND(Y1133=1,W1133&lt;1),IF(AND(C1134=C1133,W1134=W1133+1),IF(Y1134=1,"",INDEX(DATAS,W1133+1)),INDEX(DATAS,W1133+1)),"")</f>
        <v/>
      </c>
    </row>
    <row r="1134" customFormat="false" ht="15" hidden="false" customHeight="false" outlineLevel="0" collapsed="false">
      <c r="A1134" s="33" t="n">
        <v>46309</v>
      </c>
      <c r="B1134" s="0" t="n">
        <v>4</v>
      </c>
      <c r="C1134" s="0" t="n">
        <v>5176</v>
      </c>
      <c r="D1134" s="0" t="n">
        <v>319</v>
      </c>
      <c r="E1134" s="0" t="n">
        <v>1</v>
      </c>
      <c r="F1134" s="27" t="s">
        <v>806</v>
      </c>
      <c r="G1134" s="0" t="n">
        <v>40.1</v>
      </c>
      <c r="H1134" s="0" t="n">
        <v>40</v>
      </c>
      <c r="I1134" s="27" t="s">
        <v>138</v>
      </c>
      <c r="J1134" s="0" t="n">
        <v>102</v>
      </c>
      <c r="K1134" s="0" t="n">
        <v>67</v>
      </c>
      <c r="L1134" s="0" t="n">
        <v>217</v>
      </c>
      <c r="M1134" s="0" t="n">
        <v>243.2</v>
      </c>
      <c r="N1134" s="0" t="n">
        <v>58.66</v>
      </c>
      <c r="O1134" s="0" t="n">
        <v>27.3</v>
      </c>
      <c r="P1134" s="0" t="n">
        <v>3.41</v>
      </c>
      <c r="Q1134" s="0" t="n">
        <v>3.68</v>
      </c>
      <c r="R1134" s="0" t="n">
        <v>4019</v>
      </c>
      <c r="S1134" s="0" t="n">
        <v>9243</v>
      </c>
      <c r="T1134" s="0" t="n">
        <v>44.9</v>
      </c>
      <c r="U1134" s="0" t="n">
        <v>1037</v>
      </c>
      <c r="V1134" s="0" t="n">
        <v>2</v>
      </c>
      <c r="W1134" s="27" t="n">
        <f aca="false">MATCH(A1134,DATAS,0)</f>
        <v>1</v>
      </c>
      <c r="X1134" s="27" t="n">
        <f aca="false">IF(AND(E1134&gt;0,OR(AND(B1134&gt;=1,B1134&lt;=6),B1134=10)),1,0)</f>
        <v>1</v>
      </c>
      <c r="Y1134" s="27" t="n">
        <f aca="false">IF(AND(E1134&gt;0,B1134=10),1,0)</f>
        <v>0</v>
      </c>
      <c r="Z1134" s="0" t="str">
        <f aca="false">IF(AND(C1133=C1134,W1133=W1134-1),X1133,"")</f>
        <v/>
      </c>
      <c r="AA1134" s="0" t="str">
        <f aca="false">IF(AND(C1133=C1134,W1133=W1134-1),Y1133,"")</f>
        <v/>
      </c>
      <c r="AB1134" s="0" t="str">
        <f aca="false">IF(W1134=1,"",IF(AND(X1134=1,Z1134&lt;&gt;1),1,0))</f>
        <v/>
      </c>
      <c r="AC1134" s="0" t="str">
        <f aca="false">IF(W1134=1,"",IF(AND(Y1134=1,AA1134&lt;&gt;1),1,0))</f>
        <v/>
      </c>
      <c r="AD1134" s="33" t="str">
        <f aca="false">IF(AND(E1134&gt;0,W1134&lt;1,NOT(AND(C1135=C1134,W1135=W1134+1))),INDEX(DATAS,W1134+1),"")</f>
        <v/>
      </c>
      <c r="AE1134" s="33" t="str">
        <f aca="false">IF(AND(Y1134=1,W1134&lt;1),IF(AND(C1135=C1134,W1135=W1134+1),IF(Y1135=1,"",INDEX(DATAS,W1134+1)),INDEX(DATAS,W1134+1)),"")</f>
        <v/>
      </c>
    </row>
    <row r="1135" customFormat="false" ht="15" hidden="false" customHeight="false" outlineLevel="0" collapsed="false">
      <c r="A1135" s="33" t="n">
        <v>46309</v>
      </c>
      <c r="B1135" s="0" t="n">
        <v>3</v>
      </c>
      <c r="C1135" s="0" t="n">
        <v>5177</v>
      </c>
      <c r="D1135" s="0" t="n">
        <v>70</v>
      </c>
      <c r="E1135" s="0" t="n">
        <v>2</v>
      </c>
      <c r="F1135" s="27" t="s">
        <v>806</v>
      </c>
      <c r="G1135" s="0" t="n">
        <v>50.6</v>
      </c>
      <c r="H1135" s="0" t="n">
        <v>47</v>
      </c>
      <c r="I1135" s="27" t="s">
        <v>168</v>
      </c>
      <c r="J1135" s="0" t="n">
        <v>70</v>
      </c>
      <c r="K1135" s="0" t="n">
        <v>63</v>
      </c>
      <c r="M1135" s="0" t="n">
        <v>332.48</v>
      </c>
      <c r="N1135" s="0" t="n">
        <v>13.71</v>
      </c>
      <c r="O1135" s="0" t="n">
        <v>16.09</v>
      </c>
      <c r="P1135" s="0" t="n">
        <v>4.34</v>
      </c>
      <c r="Q1135" s="0" t="n">
        <v>3.02</v>
      </c>
      <c r="R1135" s="0" t="n">
        <v>4420</v>
      </c>
      <c r="S1135" s="0" t="n">
        <v>8886</v>
      </c>
      <c r="U1135" s="0" t="n">
        <v>1037</v>
      </c>
      <c r="V1135" s="0" t="n">
        <v>1</v>
      </c>
      <c r="W1135" s="27" t="n">
        <f aca="false">MATCH(A1135,DATAS,0)</f>
        <v>1</v>
      </c>
      <c r="X1135" s="27" t="n">
        <f aca="false">IF(AND(E1135&gt;0,OR(AND(B1135&gt;=1,B1135&lt;=6),B1135=10)),1,0)</f>
        <v>1</v>
      </c>
      <c r="Y1135" s="27" t="n">
        <f aca="false">IF(AND(E1135&gt;0,B1135=10),1,0)</f>
        <v>0</v>
      </c>
      <c r="Z1135" s="0" t="str">
        <f aca="false">IF(AND(C1134=C1135,W1134=W1135-1),X1134,"")</f>
        <v/>
      </c>
      <c r="AA1135" s="0" t="str">
        <f aca="false">IF(AND(C1134=C1135,W1134=W1135-1),Y1134,"")</f>
        <v/>
      </c>
      <c r="AB1135" s="0" t="str">
        <f aca="false">IF(W1135=1,"",IF(AND(X1135=1,Z1135&lt;&gt;1),1,0))</f>
        <v/>
      </c>
      <c r="AC1135" s="0" t="str">
        <f aca="false">IF(W1135=1,"",IF(AND(Y1135=1,AA1135&lt;&gt;1),1,0))</f>
        <v/>
      </c>
      <c r="AD1135" s="33" t="str">
        <f aca="false">IF(AND(E1135&gt;0,W1135&lt;1,NOT(AND(C1136=C1135,W1136=W1135+1))),INDEX(DATAS,W1135+1),"")</f>
        <v/>
      </c>
      <c r="AE1135" s="33" t="str">
        <f aca="false">IF(AND(Y1135=1,W1135&lt;1),IF(AND(C1136=C1135,W1136=W1135+1),IF(Y1136=1,"",INDEX(DATAS,W1135+1)),INDEX(DATAS,W1135+1)),"")</f>
        <v/>
      </c>
    </row>
    <row r="1136" customFormat="false" ht="15" hidden="false" customHeight="false" outlineLevel="0" collapsed="false">
      <c r="A1136" s="33" t="n">
        <v>46309</v>
      </c>
      <c r="B1136" s="0" t="n">
        <v>14</v>
      </c>
      <c r="C1136" s="0" t="n">
        <v>5179</v>
      </c>
      <c r="D1136" s="0" t="n">
        <v>330</v>
      </c>
      <c r="E1136" s="0" t="n">
        <v>1</v>
      </c>
      <c r="F1136" s="27" t="s">
        <v>807</v>
      </c>
      <c r="I1136" s="27" t="s">
        <v>143</v>
      </c>
      <c r="J1136" s="0" t="n">
        <v>107</v>
      </c>
      <c r="K1136" s="0" t="n">
        <v>65</v>
      </c>
      <c r="L1136" s="0" t="n">
        <v>266</v>
      </c>
      <c r="M1136" s="0" t="n">
        <v>483.7</v>
      </c>
      <c r="N1136" s="0" t="n">
        <v>33.79</v>
      </c>
      <c r="O1136" s="0" t="n">
        <v>26.84</v>
      </c>
      <c r="P1136" s="0" t="n">
        <v>4.41</v>
      </c>
      <c r="Q1136" s="0" t="n">
        <v>3.79</v>
      </c>
      <c r="R1136" s="0" t="n">
        <v>3132</v>
      </c>
      <c r="S1136" s="0" t="n">
        <v>7367</v>
      </c>
      <c r="T1136" s="0" t="n">
        <v>25.9</v>
      </c>
      <c r="U1136" s="0" t="n">
        <v>1036</v>
      </c>
      <c r="V1136" s="0" t="n">
        <v>2</v>
      </c>
      <c r="W1136" s="27" t="n">
        <f aca="false">MATCH(A1136,DATAS,0)</f>
        <v>1</v>
      </c>
      <c r="X1136" s="27" t="n">
        <f aca="false">IF(AND(E1136&gt;0,OR(AND(B1136&gt;=1,B1136&lt;=6),B1136=10)),1,0)</f>
        <v>0</v>
      </c>
      <c r="Y1136" s="27" t="n">
        <f aca="false">IF(AND(E1136&gt;0,B1136=10),1,0)</f>
        <v>0</v>
      </c>
      <c r="Z1136" s="0" t="str">
        <f aca="false">IF(AND(C1135=C1136,W1135=W1136-1),X1135,"")</f>
        <v/>
      </c>
      <c r="AA1136" s="0" t="str">
        <f aca="false">IF(AND(C1135=C1136,W1135=W1136-1),Y1135,"")</f>
        <v/>
      </c>
      <c r="AB1136" s="0" t="str">
        <f aca="false">IF(W1136=1,"",IF(AND(X1136=1,Z1136&lt;&gt;1),1,0))</f>
        <v/>
      </c>
      <c r="AC1136" s="0" t="str">
        <f aca="false">IF(W1136=1,"",IF(AND(Y1136=1,AA1136&lt;&gt;1),1,0))</f>
        <v/>
      </c>
      <c r="AD1136" s="33" t="str">
        <f aca="false">IF(AND(E1136&gt;0,W1136&lt;1,NOT(AND(C1137=C1136,W1137=W1136+1))),INDEX(DATAS,W1136+1),"")</f>
        <v/>
      </c>
      <c r="AE1136" s="33" t="str">
        <f aca="false">IF(AND(Y1136=1,W1136&lt;1),IF(AND(C1137=C1136,W1137=W1136+1),IF(Y1137=1,"",INDEX(DATAS,W1136+1)),INDEX(DATAS,W1136+1)),"")</f>
        <v/>
      </c>
    </row>
    <row r="1137" customFormat="false" ht="15" hidden="false" customHeight="false" outlineLevel="0" collapsed="false">
      <c r="A1137" s="33" t="n">
        <v>46309</v>
      </c>
      <c r="B1137" s="0" t="n">
        <v>4</v>
      </c>
      <c r="C1137" s="0" t="n">
        <v>5180</v>
      </c>
      <c r="D1137" s="0" t="n">
        <v>347</v>
      </c>
      <c r="E1137" s="0" t="n">
        <v>1</v>
      </c>
      <c r="F1137" s="27" t="s">
        <v>807</v>
      </c>
      <c r="G1137" s="0" t="n">
        <v>30.9</v>
      </c>
      <c r="H1137" s="0" t="n">
        <v>33</v>
      </c>
      <c r="I1137" s="27" t="s">
        <v>138</v>
      </c>
      <c r="J1137" s="0" t="n">
        <v>221</v>
      </c>
      <c r="K1137" s="0" t="n">
        <v>74</v>
      </c>
      <c r="L1137" s="0" t="n">
        <v>126</v>
      </c>
      <c r="M1137" s="0" t="n">
        <v>1215.69</v>
      </c>
      <c r="N1137" s="0" t="n">
        <v>27.97</v>
      </c>
      <c r="O1137" s="0" t="n">
        <v>43.02</v>
      </c>
      <c r="P1137" s="0" t="n">
        <v>4.02</v>
      </c>
      <c r="Q1137" s="0" t="n">
        <v>3.59</v>
      </c>
      <c r="R1137" s="0" t="n">
        <v>4169</v>
      </c>
      <c r="S1137" s="0" t="n">
        <v>9734</v>
      </c>
      <c r="T1137" s="0" t="n">
        <v>43.3</v>
      </c>
      <c r="U1137" s="0" t="n">
        <v>1036</v>
      </c>
      <c r="V1137" s="0" t="n">
        <v>5</v>
      </c>
      <c r="W1137" s="27" t="n">
        <f aca="false">MATCH(A1137,DATAS,0)</f>
        <v>1</v>
      </c>
      <c r="X1137" s="27" t="n">
        <f aca="false">IF(AND(E1137&gt;0,OR(AND(B1137&gt;=1,B1137&lt;=6),B1137=10)),1,0)</f>
        <v>1</v>
      </c>
      <c r="Y1137" s="27" t="n">
        <f aca="false">IF(AND(E1137&gt;0,B1137=10),1,0)</f>
        <v>0</v>
      </c>
      <c r="Z1137" s="0" t="str">
        <f aca="false">IF(AND(C1136=C1137,W1136=W1137-1),X1136,"")</f>
        <v/>
      </c>
      <c r="AA1137" s="0" t="str">
        <f aca="false">IF(AND(C1136=C1137,W1136=W1137-1),Y1136,"")</f>
        <v/>
      </c>
      <c r="AB1137" s="0" t="str">
        <f aca="false">IF(W1137=1,"",IF(AND(X1137=1,Z1137&lt;&gt;1),1,0))</f>
        <v/>
      </c>
      <c r="AC1137" s="0" t="str">
        <f aca="false">IF(W1137=1,"",IF(AND(Y1137=1,AA1137&lt;&gt;1),1,0))</f>
        <v/>
      </c>
      <c r="AD1137" s="33" t="str">
        <f aca="false">IF(AND(E1137&gt;0,W1137&lt;1,NOT(AND(C1138=C1137,W1138=W1137+1))),INDEX(DATAS,W1137+1),"")</f>
        <v/>
      </c>
      <c r="AE1137" s="33" t="str">
        <f aca="false">IF(AND(Y1137=1,W1137&lt;1),IF(AND(C1138=C1137,W1138=W1137+1),IF(Y1138=1,"",INDEX(DATAS,W1137+1)),INDEX(DATAS,W1137+1)),"")</f>
        <v/>
      </c>
    </row>
    <row r="1138" customFormat="false" ht="15" hidden="false" customHeight="false" outlineLevel="0" collapsed="false">
      <c r="A1138" s="33" t="n">
        <v>46309</v>
      </c>
      <c r="B1138" s="0" t="n">
        <v>5</v>
      </c>
      <c r="C1138" s="0" t="n">
        <v>5181</v>
      </c>
      <c r="D1138" s="0" t="n">
        <v>416</v>
      </c>
      <c r="E1138" s="0" t="n">
        <v>1</v>
      </c>
      <c r="F1138" s="27" t="s">
        <v>807</v>
      </c>
      <c r="G1138" s="0" t="n">
        <v>41.6</v>
      </c>
      <c r="H1138" s="0" t="n">
        <v>41</v>
      </c>
      <c r="I1138" s="27" t="s">
        <v>138</v>
      </c>
      <c r="J1138" s="0" t="n">
        <v>300</v>
      </c>
      <c r="K1138" s="0" t="n">
        <v>66</v>
      </c>
      <c r="L1138" s="0" t="n">
        <v>116</v>
      </c>
      <c r="M1138" s="0" t="n">
        <v>357.04</v>
      </c>
      <c r="N1138" s="0" t="n">
        <v>37.04</v>
      </c>
      <c r="O1138" s="0" t="n">
        <v>5.89</v>
      </c>
      <c r="P1138" s="0" t="n">
        <v>3.84</v>
      </c>
      <c r="Q1138" s="0" t="n">
        <v>3.45</v>
      </c>
      <c r="R1138" s="0" t="n">
        <v>4060</v>
      </c>
      <c r="S1138" s="0" t="n">
        <v>8840</v>
      </c>
      <c r="T1138" s="0" t="n">
        <v>45.45</v>
      </c>
      <c r="U1138" s="0" t="n">
        <v>1036</v>
      </c>
      <c r="V1138" s="0" t="n">
        <v>7</v>
      </c>
      <c r="W1138" s="27" t="n">
        <f aca="false">MATCH(A1138,DATAS,0)</f>
        <v>1</v>
      </c>
      <c r="X1138" s="27" t="n">
        <f aca="false">IF(AND(E1138&gt;0,OR(AND(B1138&gt;=1,B1138&lt;=6),B1138=10)),1,0)</f>
        <v>1</v>
      </c>
      <c r="Y1138" s="27" t="n">
        <f aca="false">IF(AND(E1138&gt;0,B1138=10),1,0)</f>
        <v>0</v>
      </c>
      <c r="Z1138" s="0" t="str">
        <f aca="false">IF(AND(C1137=C1138,W1137=W1138-1),X1137,"")</f>
        <v/>
      </c>
      <c r="AA1138" s="0" t="str">
        <f aca="false">IF(AND(C1137=C1138,W1137=W1138-1),Y1137,"")</f>
        <v/>
      </c>
      <c r="AB1138" s="0" t="str">
        <f aca="false">IF(W1138=1,"",IF(AND(X1138=1,Z1138&lt;&gt;1),1,0))</f>
        <v/>
      </c>
      <c r="AC1138" s="0" t="str">
        <f aca="false">IF(W1138=1,"",IF(AND(Y1138=1,AA1138&lt;&gt;1),1,0))</f>
        <v/>
      </c>
      <c r="AD1138" s="33" t="str">
        <f aca="false">IF(AND(E1138&gt;0,W1138&lt;1,NOT(AND(C1139=C1138,W1139=W1138+1))),INDEX(DATAS,W1138+1),"")</f>
        <v/>
      </c>
      <c r="AE1138" s="33" t="str">
        <f aca="false">IF(AND(Y1138=1,W1138&lt;1),IF(AND(C1139=C1138,W1139=W1138+1),IF(Y1139=1,"",INDEX(DATAS,W1138+1)),INDEX(DATAS,W1138+1)),"")</f>
        <v/>
      </c>
    </row>
    <row r="1139" customFormat="false" ht="15" hidden="false" customHeight="false" outlineLevel="0" collapsed="false">
      <c r="A1139" s="33" t="n">
        <v>46309</v>
      </c>
      <c r="B1139" s="0" t="n">
        <v>2</v>
      </c>
      <c r="C1139" s="0" t="n">
        <v>5183</v>
      </c>
      <c r="D1139" s="0" t="n">
        <v>36</v>
      </c>
      <c r="E1139" s="0" t="n">
        <v>2</v>
      </c>
      <c r="F1139" s="27" t="s">
        <v>808</v>
      </c>
      <c r="G1139" s="0" t="n">
        <v>57.8</v>
      </c>
      <c r="H1139" s="0" t="n">
        <v>53</v>
      </c>
      <c r="I1139" s="27" t="s">
        <v>147</v>
      </c>
      <c r="J1139" s="0" t="n">
        <v>36</v>
      </c>
      <c r="M1139" s="0" t="n">
        <v>725.11</v>
      </c>
      <c r="N1139" s="0" t="n">
        <v>31.77</v>
      </c>
      <c r="O1139" s="0" t="n">
        <v>31.75</v>
      </c>
      <c r="P1139" s="0" t="n">
        <v>4.39</v>
      </c>
      <c r="Q1139" s="0" t="n">
        <v>4.22</v>
      </c>
      <c r="R1139" s="0" t="n">
        <v>4307</v>
      </c>
      <c r="S1139" s="0" t="n">
        <v>8658</v>
      </c>
      <c r="U1139" s="0" t="n">
        <v>1035</v>
      </c>
      <c r="V1139" s="0" t="n">
        <v>0</v>
      </c>
      <c r="W1139" s="27" t="n">
        <f aca="false">MATCH(A1139,DATAS,0)</f>
        <v>1</v>
      </c>
      <c r="X1139" s="27" t="n">
        <f aca="false">IF(AND(E1139&gt;0,OR(AND(B1139&gt;=1,B1139&lt;=6),B1139=10)),1,0)</f>
        <v>1</v>
      </c>
      <c r="Y1139" s="27" t="n">
        <f aca="false">IF(AND(E1139&gt;0,B1139=10),1,0)</f>
        <v>0</v>
      </c>
      <c r="Z1139" s="0" t="str">
        <f aca="false">IF(AND(C1138=C1139,W1138=W1139-1),X1138,"")</f>
        <v/>
      </c>
      <c r="AA1139" s="0" t="str">
        <f aca="false">IF(AND(C1138=C1139,W1138=W1139-1),Y1138,"")</f>
        <v/>
      </c>
      <c r="AB1139" s="0" t="str">
        <f aca="false">IF(W1139=1,"",IF(AND(X1139=1,Z1139&lt;&gt;1),1,0))</f>
        <v/>
      </c>
      <c r="AC1139" s="0" t="str">
        <f aca="false">IF(W1139=1,"",IF(AND(Y1139=1,AA1139&lt;&gt;1),1,0))</f>
        <v/>
      </c>
      <c r="AD1139" s="33" t="str">
        <f aca="false">IF(AND(E1139&gt;0,W1139&lt;1,NOT(AND(C1140=C1139,W1140=W1139+1))),INDEX(DATAS,W1139+1),"")</f>
        <v/>
      </c>
      <c r="AE1139" s="33" t="str">
        <f aca="false">IF(AND(Y1139=1,W1139&lt;1),IF(AND(C1140=C1139,W1140=W1139+1),IF(Y1140=1,"",INDEX(DATAS,W1139+1)),INDEX(DATAS,W1139+1)),"")</f>
        <v/>
      </c>
    </row>
    <row r="1140" customFormat="false" ht="15" hidden="false" customHeight="false" outlineLevel="0" collapsed="false">
      <c r="A1140" s="33" t="n">
        <v>46309</v>
      </c>
      <c r="B1140" s="0" t="n">
        <v>3</v>
      </c>
      <c r="C1140" s="0" t="n">
        <v>5184</v>
      </c>
      <c r="D1140" s="0" t="n">
        <v>2</v>
      </c>
      <c r="E1140" s="0" t="n">
        <v>2</v>
      </c>
      <c r="F1140" s="27" t="s">
        <v>808</v>
      </c>
      <c r="G1140" s="0" t="n">
        <v>6.7</v>
      </c>
      <c r="H1140" s="0" t="n">
        <v>4</v>
      </c>
      <c r="I1140" s="27" t="s">
        <v>147</v>
      </c>
      <c r="J1140" s="0" t="n">
        <v>2</v>
      </c>
      <c r="M1140" s="0" t="n">
        <v>278.54</v>
      </c>
      <c r="N1140" s="0" t="n">
        <v>84.39</v>
      </c>
      <c r="O1140" s="0" t="n">
        <v>42.83</v>
      </c>
      <c r="R1140" s="0" t="n">
        <v>498</v>
      </c>
      <c r="S1140" s="0" t="n">
        <v>1001</v>
      </c>
      <c r="U1140" s="0" t="n">
        <v>1035</v>
      </c>
      <c r="V1140" s="0" t="n">
        <v>0</v>
      </c>
      <c r="W1140" s="27" t="n">
        <f aca="false">MATCH(A1140,DATAS,0)</f>
        <v>1</v>
      </c>
      <c r="X1140" s="27" t="n">
        <f aca="false">IF(AND(E1140&gt;0,OR(AND(B1140&gt;=1,B1140&lt;=6),B1140=10)),1,0)</f>
        <v>1</v>
      </c>
      <c r="Y1140" s="27" t="n">
        <f aca="false">IF(AND(E1140&gt;0,B1140=10),1,0)</f>
        <v>0</v>
      </c>
      <c r="Z1140" s="0" t="str">
        <f aca="false">IF(AND(C1139=C1140,W1139=W1140-1),X1139,"")</f>
        <v/>
      </c>
      <c r="AA1140" s="0" t="str">
        <f aca="false">IF(AND(C1139=C1140,W1139=W1140-1),Y1139,"")</f>
        <v/>
      </c>
      <c r="AB1140" s="0" t="str">
        <f aca="false">IF(W1140=1,"",IF(AND(X1140=1,Z1140&lt;&gt;1),1,0))</f>
        <v/>
      </c>
      <c r="AC1140" s="0" t="str">
        <f aca="false">IF(W1140=1,"",IF(AND(Y1140=1,AA1140&lt;&gt;1),1,0))</f>
        <v/>
      </c>
      <c r="AD1140" s="33" t="str">
        <f aca="false">IF(AND(E1140&gt;0,W1140&lt;1,NOT(AND(C1141=C1140,W1141=W1140+1))),INDEX(DATAS,W1140+1),"")</f>
        <v/>
      </c>
      <c r="AE1140" s="33" t="str">
        <f aca="false">IF(AND(Y1140=1,W1140&lt;1),IF(AND(C1141=C1140,W1141=W1140+1),IF(Y1141=1,"",INDEX(DATAS,W1140+1)),INDEX(DATAS,W1140+1)),"")</f>
        <v/>
      </c>
    </row>
    <row r="1141" customFormat="false" ht="15" hidden="false" customHeight="false" outlineLevel="0" collapsed="false">
      <c r="A1141" s="33" t="n">
        <v>46309</v>
      </c>
      <c r="B1141" s="0" t="n">
        <v>2</v>
      </c>
      <c r="C1141" s="0" t="n">
        <v>5185</v>
      </c>
      <c r="D1141" s="0" t="n">
        <v>150</v>
      </c>
      <c r="E1141" s="0" t="n">
        <v>2</v>
      </c>
      <c r="F1141" s="27" t="s">
        <v>808</v>
      </c>
      <c r="G1141" s="0" t="n">
        <v>49</v>
      </c>
      <c r="H1141" s="0" t="n">
        <v>48</v>
      </c>
      <c r="I1141" s="27" t="s">
        <v>138</v>
      </c>
      <c r="J1141" s="0" t="n">
        <v>66</v>
      </c>
      <c r="K1141" s="0" t="n">
        <v>66</v>
      </c>
      <c r="L1141" s="0" t="n">
        <v>84</v>
      </c>
      <c r="M1141" s="0" t="n">
        <v>840.23</v>
      </c>
      <c r="N1141" s="0" t="n">
        <v>71.16</v>
      </c>
      <c r="O1141" s="0" t="n">
        <v>37.6</v>
      </c>
      <c r="P1141" s="0" t="n">
        <v>3.23</v>
      </c>
      <c r="Q1141" s="0" t="n">
        <v>3.56</v>
      </c>
      <c r="R1141" s="0" t="n">
        <v>5039</v>
      </c>
      <c r="S1141" s="0" t="n">
        <v>9915</v>
      </c>
      <c r="T1141" s="0" t="n">
        <v>53.75</v>
      </c>
      <c r="U1141" s="0" t="n">
        <v>1035</v>
      </c>
      <c r="V1141" s="0" t="n">
        <v>1</v>
      </c>
      <c r="W1141" s="27" t="n">
        <f aca="false">MATCH(A1141,DATAS,0)</f>
        <v>1</v>
      </c>
      <c r="X1141" s="27" t="n">
        <f aca="false">IF(AND(E1141&gt;0,OR(AND(B1141&gt;=1,B1141&lt;=6),B1141=10)),1,0)</f>
        <v>1</v>
      </c>
      <c r="Y1141" s="27" t="n">
        <f aca="false">IF(AND(E1141&gt;0,B1141=10),1,0)</f>
        <v>0</v>
      </c>
      <c r="Z1141" s="0" t="str">
        <f aca="false">IF(AND(C1140=C1141,W1140=W1141-1),X1140,"")</f>
        <v/>
      </c>
      <c r="AA1141" s="0" t="str">
        <f aca="false">IF(AND(C1140=C1141,W1140=W1141-1),Y1140,"")</f>
        <v/>
      </c>
      <c r="AB1141" s="0" t="str">
        <f aca="false">IF(W1141=1,"",IF(AND(X1141=1,Z1141&lt;&gt;1),1,0))</f>
        <v/>
      </c>
      <c r="AC1141" s="0" t="str">
        <f aca="false">IF(W1141=1,"",IF(AND(Y1141=1,AA1141&lt;&gt;1),1,0))</f>
        <v/>
      </c>
      <c r="AD1141" s="33" t="str">
        <f aca="false">IF(AND(E1141&gt;0,W1141&lt;1,NOT(AND(C1142=C1141,W1142=W1141+1))),INDEX(DATAS,W1141+1),"")</f>
        <v/>
      </c>
      <c r="AE1141" s="33" t="str">
        <f aca="false">IF(AND(Y1141=1,W1141&lt;1),IF(AND(C1142=C1141,W1142=W1141+1),IF(Y1142=1,"",INDEX(DATAS,W1141+1)),INDEX(DATAS,W1141+1)),"")</f>
        <v/>
      </c>
    </row>
    <row r="1142" customFormat="false" ht="15" hidden="false" customHeight="false" outlineLevel="0" collapsed="false">
      <c r="A1142" s="33" t="n">
        <v>46309</v>
      </c>
      <c r="B1142" s="0" t="n">
        <v>2</v>
      </c>
      <c r="C1142" s="0" t="n">
        <v>5186</v>
      </c>
      <c r="D1142" s="0" t="n">
        <v>82</v>
      </c>
      <c r="E1142" s="0" t="n">
        <v>2</v>
      </c>
      <c r="F1142" s="27" t="s">
        <v>809</v>
      </c>
      <c r="G1142" s="0" t="n">
        <v>41.7</v>
      </c>
      <c r="H1142" s="0" t="n">
        <v>48</v>
      </c>
      <c r="I1142" s="27" t="s">
        <v>168</v>
      </c>
      <c r="J1142" s="0" t="n">
        <v>82</v>
      </c>
      <c r="K1142" s="0" t="n">
        <v>68</v>
      </c>
      <c r="M1142" s="0" t="n">
        <v>906.28</v>
      </c>
      <c r="N1142" s="0" t="n">
        <v>65.77</v>
      </c>
      <c r="O1142" s="0" t="n">
        <v>35.33</v>
      </c>
      <c r="P1142" s="0" t="n">
        <v>4.8</v>
      </c>
      <c r="Q1142" s="0" t="n">
        <v>3.34</v>
      </c>
      <c r="R1142" s="0" t="n">
        <v>4264</v>
      </c>
      <c r="S1142" s="0" t="n">
        <v>8572</v>
      </c>
      <c r="U1142" s="0" t="n">
        <v>1033</v>
      </c>
      <c r="V1142" s="0" t="n">
        <v>1</v>
      </c>
      <c r="W1142" s="27" t="n">
        <f aca="false">MATCH(A1142,DATAS,0)</f>
        <v>1</v>
      </c>
      <c r="X1142" s="27" t="n">
        <f aca="false">IF(AND(E1142&gt;0,OR(AND(B1142&gt;=1,B1142&lt;=6),B1142=10)),1,0)</f>
        <v>1</v>
      </c>
      <c r="Y1142" s="27" t="n">
        <f aca="false">IF(AND(E1142&gt;0,B1142=10),1,0)</f>
        <v>0</v>
      </c>
      <c r="Z1142" s="0" t="str">
        <f aca="false">IF(AND(C1141=C1142,W1141=W1142-1),X1141,"")</f>
        <v/>
      </c>
      <c r="AA1142" s="0" t="str">
        <f aca="false">IF(AND(C1141=C1142,W1141=W1142-1),Y1141,"")</f>
        <v/>
      </c>
      <c r="AB1142" s="0" t="str">
        <f aca="false">IF(W1142=1,"",IF(AND(X1142=1,Z1142&lt;&gt;1),1,0))</f>
        <v/>
      </c>
      <c r="AC1142" s="0" t="str">
        <f aca="false">IF(W1142=1,"",IF(AND(Y1142=1,AA1142&lt;&gt;1),1,0))</f>
        <v/>
      </c>
      <c r="AD1142" s="33" t="str">
        <f aca="false">IF(AND(E1142&gt;0,W1142&lt;1,NOT(AND(C1143=C1142,W1143=W1142+1))),INDEX(DATAS,W1142+1),"")</f>
        <v/>
      </c>
      <c r="AE1142" s="33" t="str">
        <f aca="false">IF(AND(Y1142=1,W1142&lt;1),IF(AND(C1143=C1142,W1143=W1142+1),IF(Y1143=1,"",INDEX(DATAS,W1142+1)),INDEX(DATAS,W1142+1)),"")</f>
        <v/>
      </c>
    </row>
    <row r="1143" customFormat="false" ht="15" hidden="false" customHeight="false" outlineLevel="0" collapsed="false">
      <c r="A1143" s="33" t="n">
        <v>46309</v>
      </c>
      <c r="B1143" s="0" t="n">
        <v>5</v>
      </c>
      <c r="C1143" s="0" t="n">
        <v>5187</v>
      </c>
      <c r="D1143" s="0" t="n">
        <v>416</v>
      </c>
      <c r="E1143" s="0" t="n">
        <v>1</v>
      </c>
      <c r="F1143" s="27" t="s">
        <v>809</v>
      </c>
      <c r="G1143" s="0" t="n">
        <v>38.7</v>
      </c>
      <c r="H1143" s="0" t="n">
        <v>36</v>
      </c>
      <c r="I1143" s="27" t="s">
        <v>138</v>
      </c>
      <c r="J1143" s="0" t="n">
        <v>335</v>
      </c>
      <c r="K1143" s="0" t="n">
        <v>66</v>
      </c>
      <c r="L1143" s="0" t="n">
        <v>81</v>
      </c>
      <c r="M1143" s="0" t="n">
        <v>445.7</v>
      </c>
      <c r="N1143" s="0" t="n">
        <v>60.56</v>
      </c>
      <c r="O1143" s="0" t="n">
        <v>32.22</v>
      </c>
      <c r="P1143" s="0" t="n">
        <v>5.05</v>
      </c>
      <c r="Q1143" s="0" t="n">
        <v>3.9</v>
      </c>
      <c r="R1143" s="0" t="n">
        <v>4430</v>
      </c>
      <c r="S1143" s="0" t="n">
        <v>9004</v>
      </c>
      <c r="T1143" s="0" t="n">
        <v>46.85</v>
      </c>
      <c r="U1143" s="0" t="n">
        <v>1033</v>
      </c>
      <c r="V1143" s="0" t="n">
        <v>9</v>
      </c>
      <c r="W1143" s="27" t="n">
        <f aca="false">MATCH(A1143,DATAS,0)</f>
        <v>1</v>
      </c>
      <c r="X1143" s="27" t="n">
        <f aca="false">IF(AND(E1143&gt;0,OR(AND(B1143&gt;=1,B1143&lt;=6),B1143=10)),1,0)</f>
        <v>1</v>
      </c>
      <c r="Y1143" s="27" t="n">
        <f aca="false">IF(AND(E1143&gt;0,B1143=10),1,0)</f>
        <v>0</v>
      </c>
      <c r="Z1143" s="0" t="str">
        <f aca="false">IF(AND(C1142=C1143,W1142=W1143-1),X1142,"")</f>
        <v/>
      </c>
      <c r="AA1143" s="0" t="str">
        <f aca="false">IF(AND(C1142=C1143,W1142=W1143-1),Y1142,"")</f>
        <v/>
      </c>
      <c r="AB1143" s="0" t="str">
        <f aca="false">IF(W1143=1,"",IF(AND(X1143=1,Z1143&lt;&gt;1),1,0))</f>
        <v/>
      </c>
      <c r="AC1143" s="0" t="str">
        <f aca="false">IF(W1143=1,"",IF(AND(Y1143=1,AA1143&lt;&gt;1),1,0))</f>
        <v/>
      </c>
      <c r="AD1143" s="33" t="str">
        <f aca="false">IF(AND(E1143&gt;0,W1143&lt;1,NOT(AND(C1144=C1143,W1144=W1143+1))),INDEX(DATAS,W1143+1),"")</f>
        <v/>
      </c>
      <c r="AE1143" s="33" t="str">
        <f aca="false">IF(AND(Y1143=1,W1143&lt;1),IF(AND(C1144=C1143,W1144=W1143+1),IF(Y1144=1,"",INDEX(DATAS,W1143+1)),INDEX(DATAS,W1143+1)),"")</f>
        <v/>
      </c>
    </row>
    <row r="1144" customFormat="false" ht="15" hidden="false" customHeight="false" outlineLevel="0" collapsed="false">
      <c r="A1144" s="33" t="n">
        <v>46309</v>
      </c>
      <c r="B1144" s="0" t="n">
        <v>5</v>
      </c>
      <c r="C1144" s="0" t="n">
        <v>5189</v>
      </c>
      <c r="D1144" s="0" t="n">
        <v>412</v>
      </c>
      <c r="E1144" s="0" t="n">
        <v>1</v>
      </c>
      <c r="F1144" s="27" t="s">
        <v>809</v>
      </c>
      <c r="G1144" s="0" t="n">
        <v>35.5</v>
      </c>
      <c r="H1144" s="0" t="n">
        <v>26</v>
      </c>
      <c r="I1144" s="27" t="s">
        <v>138</v>
      </c>
      <c r="J1144" s="0" t="n">
        <v>328</v>
      </c>
      <c r="K1144" s="0" t="n">
        <v>69</v>
      </c>
      <c r="L1144" s="0" t="n">
        <v>84</v>
      </c>
      <c r="M1144" s="0" t="n">
        <v>631.37</v>
      </c>
      <c r="N1144" s="0" t="n">
        <v>29.77</v>
      </c>
      <c r="O1144" s="0" t="n">
        <v>21.08</v>
      </c>
      <c r="P1144" s="0" t="n">
        <v>5.59</v>
      </c>
      <c r="Q1144" s="0" t="n">
        <v>4.15</v>
      </c>
      <c r="R1144" s="0" t="n">
        <v>4986</v>
      </c>
      <c r="S1144" s="0" t="n">
        <v>10505</v>
      </c>
      <c r="T1144" s="0" t="n">
        <v>56.4</v>
      </c>
      <c r="U1144" s="0" t="n">
        <v>1033</v>
      </c>
      <c r="V1144" s="0" t="n">
        <v>5</v>
      </c>
      <c r="W1144" s="27" t="n">
        <f aca="false">MATCH(A1144,DATAS,0)</f>
        <v>1</v>
      </c>
      <c r="X1144" s="27" t="n">
        <f aca="false">IF(AND(E1144&gt;0,OR(AND(B1144&gt;=1,B1144&lt;=6),B1144=10)),1,0)</f>
        <v>1</v>
      </c>
      <c r="Y1144" s="27" t="n">
        <f aca="false">IF(AND(E1144&gt;0,B1144=10),1,0)</f>
        <v>0</v>
      </c>
      <c r="Z1144" s="0" t="str">
        <f aca="false">IF(AND(C1143=C1144,W1143=W1144-1),X1143,"")</f>
        <v/>
      </c>
      <c r="AA1144" s="0" t="str">
        <f aca="false">IF(AND(C1143=C1144,W1143=W1144-1),Y1143,"")</f>
        <v/>
      </c>
      <c r="AB1144" s="0" t="str">
        <f aca="false">IF(W1144=1,"",IF(AND(X1144=1,Z1144&lt;&gt;1),1,0))</f>
        <v/>
      </c>
      <c r="AC1144" s="0" t="str">
        <f aca="false">IF(W1144=1,"",IF(AND(Y1144=1,AA1144&lt;&gt;1),1,0))</f>
        <v/>
      </c>
      <c r="AD1144" s="33" t="str">
        <f aca="false">IF(AND(E1144&gt;0,W1144&lt;1,NOT(AND(C1145=C1144,W1145=W1144+1))),INDEX(DATAS,W1144+1),"")</f>
        <v/>
      </c>
      <c r="AE1144" s="33" t="str">
        <f aca="false">IF(AND(Y1144=1,W1144&lt;1),IF(AND(C1145=C1144,W1145=W1144+1),IF(Y1145=1,"",INDEX(DATAS,W1144+1)),INDEX(DATAS,W1144+1)),"")</f>
        <v/>
      </c>
    </row>
    <row r="1145" customFormat="false" ht="15" hidden="false" customHeight="false" outlineLevel="0" collapsed="false">
      <c r="A1145" s="33" t="n">
        <v>46309</v>
      </c>
      <c r="B1145" s="0" t="n">
        <v>4</v>
      </c>
      <c r="C1145" s="0" t="n">
        <v>5191</v>
      </c>
      <c r="D1145" s="0" t="n">
        <v>322</v>
      </c>
      <c r="E1145" s="0" t="n">
        <v>1</v>
      </c>
      <c r="F1145" s="27" t="s">
        <v>810</v>
      </c>
      <c r="G1145" s="0" t="n">
        <v>44.6</v>
      </c>
      <c r="H1145" s="0" t="n">
        <v>43</v>
      </c>
      <c r="I1145" s="27" t="s">
        <v>138</v>
      </c>
      <c r="J1145" s="0" t="n">
        <v>119</v>
      </c>
      <c r="K1145" s="0" t="n">
        <v>63</v>
      </c>
      <c r="L1145" s="0" t="n">
        <v>203</v>
      </c>
      <c r="M1145" s="0" t="n">
        <v>16.07</v>
      </c>
      <c r="N1145" s="0" t="n">
        <v>71.75</v>
      </c>
      <c r="O1145" s="0" t="n">
        <v>34.8</v>
      </c>
      <c r="P1145" s="0" t="n">
        <v>4.77</v>
      </c>
      <c r="Q1145" s="0" t="n">
        <v>3.8</v>
      </c>
      <c r="R1145" s="0" t="n">
        <v>3295</v>
      </c>
      <c r="S1145" s="0" t="n">
        <v>7659</v>
      </c>
      <c r="T1145" s="0" t="n">
        <v>32.55</v>
      </c>
      <c r="U1145" s="0" t="n">
        <v>1032</v>
      </c>
      <c r="V1145" s="0" t="n">
        <v>3</v>
      </c>
      <c r="W1145" s="27" t="n">
        <f aca="false">MATCH(A1145,DATAS,0)</f>
        <v>1</v>
      </c>
      <c r="X1145" s="27" t="n">
        <f aca="false">IF(AND(E1145&gt;0,OR(AND(B1145&gt;=1,B1145&lt;=6),B1145=10)),1,0)</f>
        <v>1</v>
      </c>
      <c r="Y1145" s="27" t="n">
        <f aca="false">IF(AND(E1145&gt;0,B1145=10),1,0)</f>
        <v>0</v>
      </c>
      <c r="Z1145" s="0" t="str">
        <f aca="false">IF(AND(C1144=C1145,W1144=W1145-1),X1144,"")</f>
        <v/>
      </c>
      <c r="AA1145" s="0" t="str">
        <f aca="false">IF(AND(C1144=C1145,W1144=W1145-1),Y1144,"")</f>
        <v/>
      </c>
      <c r="AB1145" s="0" t="str">
        <f aca="false">IF(W1145=1,"",IF(AND(X1145=1,Z1145&lt;&gt;1),1,0))</f>
        <v/>
      </c>
      <c r="AC1145" s="0" t="str">
        <f aca="false">IF(W1145=1,"",IF(AND(Y1145=1,AA1145&lt;&gt;1),1,0))</f>
        <v/>
      </c>
      <c r="AD1145" s="33" t="str">
        <f aca="false">IF(AND(E1145&gt;0,W1145&lt;1,NOT(AND(C1146=C1145,W1146=W1145+1))),INDEX(DATAS,W1145+1),"")</f>
        <v/>
      </c>
      <c r="AE1145" s="33" t="str">
        <f aca="false">IF(AND(Y1145=1,W1145&lt;1),IF(AND(C1146=C1145,W1146=W1145+1),IF(Y1146=1,"",INDEX(DATAS,W1145+1)),INDEX(DATAS,W1145+1)),"")</f>
        <v/>
      </c>
    </row>
    <row r="1146" customFormat="false" ht="15" hidden="false" customHeight="false" outlineLevel="0" collapsed="false">
      <c r="A1146" s="33" t="n">
        <v>46309</v>
      </c>
      <c r="B1146" s="0" t="n">
        <v>5</v>
      </c>
      <c r="C1146" s="0" t="n">
        <v>5192</v>
      </c>
      <c r="D1146" s="0" t="n">
        <v>92</v>
      </c>
      <c r="E1146" s="0" t="n">
        <v>2</v>
      </c>
      <c r="F1146" s="27" t="s">
        <v>811</v>
      </c>
      <c r="G1146" s="0" t="n">
        <v>33.7</v>
      </c>
      <c r="H1146" s="0" t="n">
        <v>29</v>
      </c>
      <c r="I1146" s="27" t="s">
        <v>168</v>
      </c>
      <c r="J1146" s="0" t="n">
        <v>92</v>
      </c>
      <c r="K1146" s="0" t="n">
        <v>64</v>
      </c>
      <c r="M1146" s="0" t="n">
        <v>1481.05</v>
      </c>
      <c r="N1146" s="0" t="n">
        <v>57.99</v>
      </c>
      <c r="O1146" s="0" t="n">
        <v>39.38</v>
      </c>
      <c r="P1146" s="0" t="n">
        <v>4.26</v>
      </c>
      <c r="Q1146" s="0" t="n">
        <v>3.56</v>
      </c>
      <c r="R1146" s="0" t="n">
        <v>3731</v>
      </c>
      <c r="S1146" s="0" t="n">
        <v>7501</v>
      </c>
      <c r="T1146" s="0" t="n">
        <v>47</v>
      </c>
      <c r="U1146" s="0" t="n">
        <v>1030</v>
      </c>
      <c r="V1146" s="0" t="n">
        <v>1</v>
      </c>
      <c r="W1146" s="27" t="n">
        <f aca="false">MATCH(A1146,DATAS,0)</f>
        <v>1</v>
      </c>
      <c r="X1146" s="27" t="n">
        <f aca="false">IF(AND(E1146&gt;0,OR(AND(B1146&gt;=1,B1146&lt;=6),B1146=10)),1,0)</f>
        <v>1</v>
      </c>
      <c r="Y1146" s="27" t="n">
        <f aca="false">IF(AND(E1146&gt;0,B1146=10),1,0)</f>
        <v>0</v>
      </c>
      <c r="Z1146" s="0" t="str">
        <f aca="false">IF(AND(C1145=C1146,W1145=W1146-1),X1145,"")</f>
        <v/>
      </c>
      <c r="AA1146" s="0" t="str">
        <f aca="false">IF(AND(C1145=C1146,W1145=W1146-1),Y1145,"")</f>
        <v/>
      </c>
      <c r="AB1146" s="0" t="str">
        <f aca="false">IF(W1146=1,"",IF(AND(X1146=1,Z1146&lt;&gt;1),1,0))</f>
        <v/>
      </c>
      <c r="AC1146" s="0" t="str">
        <f aca="false">IF(W1146=1,"",IF(AND(Y1146=1,AA1146&lt;&gt;1),1,0))</f>
        <v/>
      </c>
      <c r="AD1146" s="33" t="str">
        <f aca="false">IF(AND(E1146&gt;0,W1146&lt;1,NOT(AND(C1147=C1146,W1147=W1146+1))),INDEX(DATAS,W1146+1),"")</f>
        <v/>
      </c>
      <c r="AE1146" s="33" t="str">
        <f aca="false">IF(AND(Y1146=1,W1146&lt;1),IF(AND(C1147=C1146,W1147=W1146+1),IF(Y1147=1,"",INDEX(DATAS,W1146+1)),INDEX(DATAS,W1146+1)),"")</f>
        <v/>
      </c>
    </row>
    <row r="1147" customFormat="false" ht="15" hidden="false" customHeight="false" outlineLevel="0" collapsed="false">
      <c r="A1147" s="33" t="n">
        <v>46309</v>
      </c>
      <c r="B1147" s="0" t="n">
        <v>7</v>
      </c>
      <c r="C1147" s="0" t="n">
        <v>5194</v>
      </c>
      <c r="D1147" s="0" t="n">
        <v>335</v>
      </c>
      <c r="E1147" s="0" t="n">
        <v>1</v>
      </c>
      <c r="F1147" s="27" t="s">
        <v>812</v>
      </c>
      <c r="I1147" s="27" t="s">
        <v>143</v>
      </c>
      <c r="J1147" s="0" t="n">
        <v>113</v>
      </c>
      <c r="K1147" s="0" t="n">
        <v>64</v>
      </c>
      <c r="L1147" s="0" t="n">
        <v>251</v>
      </c>
      <c r="M1147" s="0" t="n">
        <v>15.03</v>
      </c>
      <c r="N1147" s="0" t="n">
        <v>72.86</v>
      </c>
      <c r="O1147" s="0" t="n">
        <v>31.54</v>
      </c>
      <c r="P1147" s="0" t="n">
        <v>7.55</v>
      </c>
      <c r="Q1147" s="0" t="n">
        <v>4.31</v>
      </c>
      <c r="R1147" s="0" t="n">
        <v>3528</v>
      </c>
      <c r="S1147" s="0" t="n">
        <v>6554</v>
      </c>
      <c r="T1147" s="0" t="n">
        <v>35.7</v>
      </c>
      <c r="U1147" s="0" t="n">
        <v>1028</v>
      </c>
      <c r="V1147" s="0" t="n">
        <v>3</v>
      </c>
      <c r="W1147" s="27" t="n">
        <f aca="false">MATCH(A1147,DATAS,0)</f>
        <v>1</v>
      </c>
      <c r="X1147" s="27" t="n">
        <f aca="false">IF(AND(E1147&gt;0,OR(AND(B1147&gt;=1,B1147&lt;=6),B1147=10)),1,0)</f>
        <v>0</v>
      </c>
      <c r="Y1147" s="27" t="n">
        <f aca="false">IF(AND(E1147&gt;0,B1147=10),1,0)</f>
        <v>0</v>
      </c>
      <c r="Z1147" s="0" t="str">
        <f aca="false">IF(AND(C1146=C1147,W1146=W1147-1),X1146,"")</f>
        <v/>
      </c>
      <c r="AA1147" s="0" t="str">
        <f aca="false">IF(AND(C1146=C1147,W1146=W1147-1),Y1146,"")</f>
        <v/>
      </c>
      <c r="AB1147" s="0" t="str">
        <f aca="false">IF(W1147=1,"",IF(AND(X1147=1,Z1147&lt;&gt;1),1,0))</f>
        <v/>
      </c>
      <c r="AC1147" s="0" t="str">
        <f aca="false">IF(W1147=1,"",IF(AND(Y1147=1,AA1147&lt;&gt;1),1,0))</f>
        <v/>
      </c>
      <c r="AD1147" s="33" t="str">
        <f aca="false">IF(AND(E1147&gt;0,W1147&lt;1,NOT(AND(C1148=C1147,W1148=W1147+1))),INDEX(DATAS,W1147+1),"")</f>
        <v/>
      </c>
      <c r="AE1147" s="33" t="str">
        <f aca="false">IF(AND(Y1147=1,W1147&lt;1),IF(AND(C1148=C1147,W1148=W1147+1),IF(Y1148=1,"",INDEX(DATAS,W1147+1)),INDEX(DATAS,W1147+1)),"")</f>
        <v/>
      </c>
    </row>
    <row r="1148" customFormat="false" ht="15" hidden="false" customHeight="false" outlineLevel="0" collapsed="false">
      <c r="A1148" s="33" t="n">
        <v>46309</v>
      </c>
      <c r="B1148" s="0" t="n">
        <v>14</v>
      </c>
      <c r="C1148" s="0" t="n">
        <v>5195</v>
      </c>
      <c r="D1148" s="0" t="n">
        <v>288</v>
      </c>
      <c r="E1148" s="0" t="n">
        <v>1</v>
      </c>
      <c r="F1148" s="27" t="s">
        <v>812</v>
      </c>
      <c r="I1148" s="27" t="s">
        <v>143</v>
      </c>
      <c r="J1148" s="0" t="n">
        <v>65</v>
      </c>
      <c r="K1148" s="0" t="n">
        <v>72</v>
      </c>
      <c r="L1148" s="0" t="n">
        <v>266</v>
      </c>
      <c r="M1148" s="0" t="n">
        <v>-33.96</v>
      </c>
      <c r="N1148" s="0" t="n">
        <v>73.58</v>
      </c>
      <c r="O1148" s="0" t="n">
        <v>24.46</v>
      </c>
      <c r="P1148" s="0" t="n">
        <v>5.37</v>
      </c>
      <c r="Q1148" s="0" t="n">
        <v>3.78</v>
      </c>
      <c r="R1148" s="0" t="n">
        <v>4054</v>
      </c>
      <c r="S1148" s="0" t="n">
        <v>8840</v>
      </c>
      <c r="T1148" s="0" t="n">
        <v>44.65</v>
      </c>
      <c r="U1148" s="0" t="n">
        <v>1028</v>
      </c>
      <c r="V1148" s="0" t="n">
        <v>1</v>
      </c>
      <c r="W1148" s="27" t="n">
        <f aca="false">MATCH(A1148,DATAS,0)</f>
        <v>1</v>
      </c>
      <c r="X1148" s="27" t="n">
        <f aca="false">IF(AND(E1148&gt;0,OR(AND(B1148&gt;=1,B1148&lt;=6),B1148=10)),1,0)</f>
        <v>0</v>
      </c>
      <c r="Y1148" s="27" t="n">
        <f aca="false">IF(AND(E1148&gt;0,B1148=10),1,0)</f>
        <v>0</v>
      </c>
      <c r="Z1148" s="0" t="str">
        <f aca="false">IF(AND(C1147=C1148,W1147=W1148-1),X1147,"")</f>
        <v/>
      </c>
      <c r="AA1148" s="0" t="str">
        <f aca="false">IF(AND(C1147=C1148,W1147=W1148-1),Y1147,"")</f>
        <v/>
      </c>
      <c r="AB1148" s="0" t="str">
        <f aca="false">IF(W1148=1,"",IF(AND(X1148=1,Z1148&lt;&gt;1),1,0))</f>
        <v/>
      </c>
      <c r="AC1148" s="0" t="str">
        <f aca="false">IF(W1148=1,"",IF(AND(Y1148=1,AA1148&lt;&gt;1),1,0))</f>
        <v/>
      </c>
      <c r="AD1148" s="33" t="str">
        <f aca="false">IF(AND(E1148&gt;0,W1148&lt;1,NOT(AND(C1149=C1148,W1149=W1148+1))),INDEX(DATAS,W1148+1),"")</f>
        <v/>
      </c>
      <c r="AE1148" s="33" t="str">
        <f aca="false">IF(AND(Y1148=1,W1148&lt;1),IF(AND(C1149=C1148,W1149=W1148+1),IF(Y1149=1,"",INDEX(DATAS,W1148+1)),INDEX(DATAS,W1148+1)),"")</f>
        <v/>
      </c>
    </row>
    <row r="1149" customFormat="false" ht="15" hidden="false" customHeight="false" outlineLevel="0" collapsed="false">
      <c r="A1149" s="33" t="n">
        <v>46309</v>
      </c>
      <c r="B1149" s="0" t="n">
        <v>4</v>
      </c>
      <c r="C1149" s="0" t="n">
        <v>5196</v>
      </c>
      <c r="D1149" s="0" t="n">
        <v>174</v>
      </c>
      <c r="E1149" s="0" t="n">
        <v>1</v>
      </c>
      <c r="F1149" s="27" t="s">
        <v>812</v>
      </c>
      <c r="G1149" s="0" t="n">
        <v>39.5</v>
      </c>
      <c r="H1149" s="0" t="n">
        <v>41</v>
      </c>
      <c r="I1149" s="27" t="s">
        <v>138</v>
      </c>
      <c r="J1149" s="0" t="n">
        <v>97</v>
      </c>
      <c r="K1149" s="0" t="n">
        <v>62</v>
      </c>
      <c r="L1149" s="0" t="n">
        <v>77</v>
      </c>
      <c r="M1149" s="0" t="n">
        <v>-123.78</v>
      </c>
      <c r="N1149" s="0" t="n">
        <v>46.87</v>
      </c>
      <c r="O1149" s="0" t="n">
        <v>22.79</v>
      </c>
      <c r="P1149" s="0" t="n">
        <v>3.73</v>
      </c>
      <c r="Q1149" s="0" t="n">
        <v>3.52</v>
      </c>
      <c r="R1149" s="0" t="n">
        <v>3562</v>
      </c>
      <c r="S1149" s="0" t="n">
        <v>7962</v>
      </c>
      <c r="T1149" s="0" t="n">
        <v>42.6</v>
      </c>
      <c r="U1149" s="0" t="n">
        <v>1028</v>
      </c>
      <c r="V1149" s="0" t="n">
        <v>2</v>
      </c>
      <c r="W1149" s="27" t="n">
        <f aca="false">MATCH(A1149,DATAS,0)</f>
        <v>1</v>
      </c>
      <c r="X1149" s="27" t="n">
        <f aca="false">IF(AND(E1149&gt;0,OR(AND(B1149&gt;=1,B1149&lt;=6),B1149=10)),1,0)</f>
        <v>1</v>
      </c>
      <c r="Y1149" s="27" t="n">
        <f aca="false">IF(AND(E1149&gt;0,B1149=10),1,0)</f>
        <v>0</v>
      </c>
      <c r="Z1149" s="0" t="str">
        <f aca="false">IF(AND(C1148=C1149,W1148=W1149-1),X1148,"")</f>
        <v/>
      </c>
      <c r="AA1149" s="0" t="str">
        <f aca="false">IF(AND(C1148=C1149,W1148=W1149-1),Y1148,"")</f>
        <v/>
      </c>
      <c r="AB1149" s="0" t="str">
        <f aca="false">IF(W1149=1,"",IF(AND(X1149=1,Z1149&lt;&gt;1),1,0))</f>
        <v/>
      </c>
      <c r="AC1149" s="0" t="str">
        <f aca="false">IF(W1149=1,"",IF(AND(Y1149=1,AA1149&lt;&gt;1),1,0))</f>
        <v/>
      </c>
      <c r="AD1149" s="33" t="str">
        <f aca="false">IF(AND(E1149&gt;0,W1149&lt;1,NOT(AND(C1150=C1149,W1150=W1149+1))),INDEX(DATAS,W1149+1),"")</f>
        <v/>
      </c>
      <c r="AE1149" s="33" t="str">
        <f aca="false">IF(AND(Y1149=1,W1149&lt;1),IF(AND(C1150=C1149,W1150=W1149+1),IF(Y1150=1,"",INDEX(DATAS,W1149+1)),INDEX(DATAS,W1149+1)),"")</f>
        <v/>
      </c>
    </row>
    <row r="1150" customFormat="false" ht="15" hidden="false" customHeight="false" outlineLevel="0" collapsed="false">
      <c r="A1150" s="33" t="n">
        <v>46309</v>
      </c>
      <c r="B1150" s="0" t="n">
        <v>4</v>
      </c>
      <c r="C1150" s="0" t="n">
        <v>5197</v>
      </c>
      <c r="D1150" s="0" t="n">
        <v>338</v>
      </c>
      <c r="E1150" s="0" t="n">
        <v>1</v>
      </c>
      <c r="F1150" s="27" t="s">
        <v>812</v>
      </c>
      <c r="G1150" s="0" t="n">
        <v>41.3</v>
      </c>
      <c r="H1150" s="0" t="n">
        <v>44</v>
      </c>
      <c r="I1150" s="27" t="s">
        <v>138</v>
      </c>
      <c r="J1150" s="0" t="n">
        <v>160</v>
      </c>
      <c r="K1150" s="0" t="n">
        <v>65</v>
      </c>
      <c r="L1150" s="0" t="n">
        <v>178</v>
      </c>
      <c r="M1150" s="0" t="n">
        <v>1523.13</v>
      </c>
      <c r="N1150" s="0" t="n">
        <v>29.58</v>
      </c>
      <c r="O1150" s="0" t="n">
        <v>44.97</v>
      </c>
      <c r="P1150" s="0" t="n">
        <v>3.6</v>
      </c>
      <c r="Q1150" s="0" t="n">
        <v>3.64</v>
      </c>
      <c r="R1150" s="0" t="n">
        <v>4518</v>
      </c>
      <c r="S1150" s="0" t="n">
        <v>9281</v>
      </c>
      <c r="T1150" s="0" t="n">
        <v>49.35</v>
      </c>
      <c r="U1150" s="0" t="n">
        <v>1028</v>
      </c>
      <c r="V1150" s="0" t="n">
        <v>4</v>
      </c>
      <c r="W1150" s="27" t="n">
        <f aca="false">MATCH(A1150,DATAS,0)</f>
        <v>1</v>
      </c>
      <c r="X1150" s="27" t="n">
        <f aca="false">IF(AND(E1150&gt;0,OR(AND(B1150&gt;=1,B1150&lt;=6),B1150=10)),1,0)</f>
        <v>1</v>
      </c>
      <c r="Y1150" s="27" t="n">
        <f aca="false">IF(AND(E1150&gt;0,B1150=10),1,0)</f>
        <v>0</v>
      </c>
      <c r="Z1150" s="0" t="str">
        <f aca="false">IF(AND(C1149=C1150,W1149=W1150-1),X1149,"")</f>
        <v/>
      </c>
      <c r="AA1150" s="0" t="str">
        <f aca="false">IF(AND(C1149=C1150,W1149=W1150-1),Y1149,"")</f>
        <v/>
      </c>
      <c r="AB1150" s="0" t="str">
        <f aca="false">IF(W1150=1,"",IF(AND(X1150=1,Z1150&lt;&gt;1),1,0))</f>
        <v/>
      </c>
      <c r="AC1150" s="0" t="str">
        <f aca="false">IF(W1150=1,"",IF(AND(Y1150=1,AA1150&lt;&gt;1),1,0))</f>
        <v/>
      </c>
      <c r="AD1150" s="33" t="str">
        <f aca="false">IF(AND(E1150&gt;0,W1150&lt;1,NOT(AND(C1151=C1150,W1151=W1150+1))),INDEX(DATAS,W1150+1),"")</f>
        <v/>
      </c>
      <c r="AE1150" s="33" t="str">
        <f aca="false">IF(AND(Y1150=1,W1150&lt;1),IF(AND(C1151=C1150,W1151=W1150+1),IF(Y1151=1,"",INDEX(DATAS,W1150+1)),INDEX(DATAS,W1150+1)),"")</f>
        <v/>
      </c>
    </row>
    <row r="1151" customFormat="false" ht="15" hidden="false" customHeight="false" outlineLevel="0" collapsed="false">
      <c r="A1151" s="33" t="n">
        <v>46309</v>
      </c>
      <c r="B1151" s="0" t="n">
        <v>5</v>
      </c>
      <c r="C1151" s="0" t="n">
        <v>5199</v>
      </c>
      <c r="D1151" s="0" t="n">
        <v>74</v>
      </c>
      <c r="E1151" s="0" t="n">
        <v>2</v>
      </c>
      <c r="F1151" s="27" t="s">
        <v>813</v>
      </c>
      <c r="G1151" s="0" t="n">
        <v>42.8</v>
      </c>
      <c r="H1151" s="0" t="n">
        <v>38</v>
      </c>
      <c r="I1151" s="27" t="s">
        <v>168</v>
      </c>
      <c r="J1151" s="0" t="n">
        <v>74</v>
      </c>
      <c r="K1151" s="0" t="n">
        <v>67</v>
      </c>
      <c r="M1151" s="0" t="n">
        <v>643.33</v>
      </c>
      <c r="N1151" s="0" t="n">
        <v>37.07</v>
      </c>
      <c r="O1151" s="0" t="n">
        <v>29.54</v>
      </c>
      <c r="P1151" s="0" t="n">
        <v>3.68</v>
      </c>
      <c r="Q1151" s="0" t="n">
        <v>3.75</v>
      </c>
      <c r="R1151" s="0" t="n">
        <v>3163</v>
      </c>
      <c r="S1151" s="0" t="n">
        <v>6359</v>
      </c>
      <c r="U1151" s="0" t="n">
        <v>1027</v>
      </c>
      <c r="V1151" s="0" t="n">
        <v>1</v>
      </c>
      <c r="W1151" s="27" t="n">
        <f aca="false">MATCH(A1151,DATAS,0)</f>
        <v>1</v>
      </c>
      <c r="X1151" s="27" t="n">
        <f aca="false">IF(AND(E1151&gt;0,OR(AND(B1151&gt;=1,B1151&lt;=6),B1151=10)),1,0)</f>
        <v>1</v>
      </c>
      <c r="Y1151" s="27" t="n">
        <f aca="false">IF(AND(E1151&gt;0,B1151=10),1,0)</f>
        <v>0</v>
      </c>
      <c r="Z1151" s="0" t="str">
        <f aca="false">IF(AND(C1150=C1151,W1150=W1151-1),X1150,"")</f>
        <v/>
      </c>
      <c r="AA1151" s="0" t="str">
        <f aca="false">IF(AND(C1150=C1151,W1150=W1151-1),Y1150,"")</f>
        <v/>
      </c>
      <c r="AB1151" s="0" t="str">
        <f aca="false">IF(W1151=1,"",IF(AND(X1151=1,Z1151&lt;&gt;1),1,0))</f>
        <v/>
      </c>
      <c r="AC1151" s="0" t="str">
        <f aca="false">IF(W1151=1,"",IF(AND(Y1151=1,AA1151&lt;&gt;1),1,0))</f>
        <v/>
      </c>
      <c r="AD1151" s="33" t="str">
        <f aca="false">IF(AND(E1151&gt;0,W1151&lt;1,NOT(AND(C1152=C1151,W1152=W1151+1))),INDEX(DATAS,W1151+1),"")</f>
        <v/>
      </c>
      <c r="AE1151" s="33" t="str">
        <f aca="false">IF(AND(Y1151=1,W1151&lt;1),IF(AND(C1152=C1151,W1152=W1151+1),IF(Y1152=1,"",INDEX(DATAS,W1151+1)),INDEX(DATAS,W1151+1)),"")</f>
        <v/>
      </c>
    </row>
    <row r="1152" customFormat="false" ht="15" hidden="false" customHeight="false" outlineLevel="0" collapsed="false">
      <c r="A1152" s="33" t="n">
        <v>46309</v>
      </c>
      <c r="B1152" s="0" t="n">
        <v>7</v>
      </c>
      <c r="C1152" s="0" t="n">
        <v>5200</v>
      </c>
      <c r="D1152" s="0" t="n">
        <v>296</v>
      </c>
      <c r="E1152" s="0" t="n">
        <v>1</v>
      </c>
      <c r="F1152" s="27" t="s">
        <v>814</v>
      </c>
      <c r="G1152" s="0" t="n">
        <v>0.6</v>
      </c>
      <c r="H1152" s="0" t="n">
        <v>0</v>
      </c>
      <c r="I1152" s="27" t="s">
        <v>143</v>
      </c>
      <c r="J1152" s="0" t="n">
        <v>68</v>
      </c>
      <c r="K1152" s="0" t="n">
        <v>68</v>
      </c>
      <c r="L1152" s="0" t="n">
        <v>278</v>
      </c>
      <c r="M1152" s="0" t="n">
        <v>906.46</v>
      </c>
      <c r="N1152" s="0" t="n">
        <v>-4.66</v>
      </c>
      <c r="O1152" s="0" t="n">
        <v>27.35</v>
      </c>
      <c r="P1152" s="0" t="n">
        <v>2.97</v>
      </c>
      <c r="Q1152" s="0" t="n">
        <v>3.37</v>
      </c>
      <c r="R1152" s="0" t="n">
        <v>4380</v>
      </c>
      <c r="S1152" s="0" t="n">
        <v>9828</v>
      </c>
      <c r="T1152" s="0" t="n">
        <v>47.95</v>
      </c>
      <c r="U1152" s="0" t="n">
        <v>1026</v>
      </c>
      <c r="V1152" s="0" t="n">
        <v>1</v>
      </c>
      <c r="W1152" s="27" t="n">
        <f aca="false">MATCH(A1152,DATAS,0)</f>
        <v>1</v>
      </c>
      <c r="X1152" s="27" t="n">
        <f aca="false">IF(AND(E1152&gt;0,OR(AND(B1152&gt;=1,B1152&lt;=6),B1152=10)),1,0)</f>
        <v>0</v>
      </c>
      <c r="Y1152" s="27" t="n">
        <f aca="false">IF(AND(E1152&gt;0,B1152=10),1,0)</f>
        <v>0</v>
      </c>
      <c r="Z1152" s="0" t="str">
        <f aca="false">IF(AND(C1151=C1152,W1151=W1152-1),X1151,"")</f>
        <v/>
      </c>
      <c r="AA1152" s="0" t="str">
        <f aca="false">IF(AND(C1151=C1152,W1151=W1152-1),Y1151,"")</f>
        <v/>
      </c>
      <c r="AB1152" s="0" t="str">
        <f aca="false">IF(W1152=1,"",IF(AND(X1152=1,Z1152&lt;&gt;1),1,0))</f>
        <v/>
      </c>
      <c r="AC1152" s="0" t="str">
        <f aca="false">IF(W1152=1,"",IF(AND(Y1152=1,AA1152&lt;&gt;1),1,0))</f>
        <v/>
      </c>
      <c r="AD1152" s="33" t="str">
        <f aca="false">IF(AND(E1152&gt;0,W1152&lt;1,NOT(AND(C1153=C1152,W1153=W1152+1))),INDEX(DATAS,W1152+1),"")</f>
        <v/>
      </c>
      <c r="AE1152" s="33" t="str">
        <f aca="false">IF(AND(Y1152=1,W1152&lt;1),IF(AND(C1153=C1152,W1153=W1152+1),IF(Y1153=1,"",INDEX(DATAS,W1152+1)),INDEX(DATAS,W1152+1)),"")</f>
        <v/>
      </c>
    </row>
    <row r="1153" customFormat="false" ht="15" hidden="false" customHeight="false" outlineLevel="0" collapsed="false">
      <c r="A1153" s="33" t="n">
        <v>46309</v>
      </c>
      <c r="B1153" s="0" t="n">
        <v>4</v>
      </c>
      <c r="C1153" s="0" t="n">
        <v>5202</v>
      </c>
      <c r="D1153" s="0" t="n">
        <v>312</v>
      </c>
      <c r="E1153" s="0" t="n">
        <v>1</v>
      </c>
      <c r="F1153" s="27" t="s">
        <v>814</v>
      </c>
      <c r="G1153" s="0" t="n">
        <v>45.6</v>
      </c>
      <c r="H1153" s="0" t="n">
        <v>43</v>
      </c>
      <c r="I1153" s="27" t="s">
        <v>138</v>
      </c>
      <c r="J1153" s="0" t="n">
        <v>242</v>
      </c>
      <c r="K1153" s="0" t="n">
        <v>67</v>
      </c>
      <c r="L1153" s="0" t="n">
        <v>70</v>
      </c>
      <c r="M1153" s="0" t="n">
        <v>503.27</v>
      </c>
      <c r="N1153" s="0" t="n">
        <v>61.39</v>
      </c>
      <c r="O1153" s="0" t="n">
        <v>30.41</v>
      </c>
      <c r="P1153" s="0" t="n">
        <v>3.37</v>
      </c>
      <c r="Q1153" s="0" t="n">
        <v>3.48</v>
      </c>
      <c r="R1153" s="0" t="n">
        <v>4402</v>
      </c>
      <c r="S1153" s="0" t="n">
        <v>8842</v>
      </c>
      <c r="T1153" s="0" t="n">
        <v>45.2</v>
      </c>
      <c r="U1153" s="0" t="n">
        <v>1026</v>
      </c>
      <c r="V1153" s="0" t="n">
        <v>6</v>
      </c>
      <c r="W1153" s="27" t="n">
        <f aca="false">MATCH(A1153,DATAS,0)</f>
        <v>1</v>
      </c>
      <c r="X1153" s="27" t="n">
        <f aca="false">IF(AND(E1153&gt;0,OR(AND(B1153&gt;=1,B1153&lt;=6),B1153=10)),1,0)</f>
        <v>1</v>
      </c>
      <c r="Y1153" s="27" t="n">
        <f aca="false">IF(AND(E1153&gt;0,B1153=10),1,0)</f>
        <v>0</v>
      </c>
      <c r="Z1153" s="0" t="str">
        <f aca="false">IF(AND(C1152=C1153,W1152=W1153-1),X1152,"")</f>
        <v/>
      </c>
      <c r="AA1153" s="0" t="str">
        <f aca="false">IF(AND(C1152=C1153,W1152=W1153-1),Y1152,"")</f>
        <v/>
      </c>
      <c r="AB1153" s="0" t="str">
        <f aca="false">IF(W1153=1,"",IF(AND(X1153=1,Z1153&lt;&gt;1),1,0))</f>
        <v/>
      </c>
      <c r="AC1153" s="0" t="str">
        <f aca="false">IF(W1153=1,"",IF(AND(Y1153=1,AA1153&lt;&gt;1),1,0))</f>
        <v/>
      </c>
      <c r="AD1153" s="33" t="str">
        <f aca="false">IF(AND(E1153&gt;0,W1153&lt;1,NOT(AND(C1154=C1153,W1154=W1153+1))),INDEX(DATAS,W1153+1),"")</f>
        <v/>
      </c>
      <c r="AE1153" s="33" t="str">
        <f aca="false">IF(AND(Y1153=1,W1153&lt;1),IF(AND(C1154=C1153,W1154=W1153+1),IF(Y1154=1,"",INDEX(DATAS,W1153+1)),INDEX(DATAS,W1153+1)),"")</f>
        <v/>
      </c>
    </row>
    <row r="1154" customFormat="false" ht="15" hidden="false" customHeight="false" outlineLevel="0" collapsed="false">
      <c r="A1154" s="33" t="n">
        <v>46309</v>
      </c>
      <c r="B1154" s="0" t="n">
        <v>4</v>
      </c>
      <c r="C1154" s="0" t="n">
        <v>5203</v>
      </c>
      <c r="D1154" s="0" t="n">
        <v>189</v>
      </c>
      <c r="E1154" s="0" t="n">
        <v>1</v>
      </c>
      <c r="F1154" s="27" t="s">
        <v>814</v>
      </c>
      <c r="G1154" s="0" t="n">
        <v>57.3</v>
      </c>
      <c r="H1154" s="0" t="n">
        <v>56</v>
      </c>
      <c r="I1154" s="27" t="s">
        <v>138</v>
      </c>
      <c r="J1154" s="0" t="n">
        <v>63</v>
      </c>
      <c r="K1154" s="0" t="n">
        <v>63</v>
      </c>
      <c r="L1154" s="0" t="n">
        <v>126</v>
      </c>
      <c r="M1154" s="0" t="n">
        <v>449.4</v>
      </c>
      <c r="N1154" s="0" t="n">
        <v>69.44</v>
      </c>
      <c r="O1154" s="0" t="n">
        <v>29.1</v>
      </c>
      <c r="P1154" s="0" t="n">
        <v>3.92</v>
      </c>
      <c r="Q1154" s="0" t="n">
        <v>3.14</v>
      </c>
      <c r="R1154" s="0" t="n">
        <v>4843</v>
      </c>
      <c r="S1154" s="0" t="n">
        <v>10628</v>
      </c>
      <c r="T1154" s="0" t="n">
        <v>52.9</v>
      </c>
      <c r="U1154" s="0" t="n">
        <v>1026</v>
      </c>
      <c r="V1154" s="0" t="n">
        <v>1</v>
      </c>
      <c r="W1154" s="27" t="n">
        <f aca="false">MATCH(A1154,DATAS,0)</f>
        <v>1</v>
      </c>
      <c r="X1154" s="27" t="n">
        <f aca="false">IF(AND(E1154&gt;0,OR(AND(B1154&gt;=1,B1154&lt;=6),B1154=10)),1,0)</f>
        <v>1</v>
      </c>
      <c r="Y1154" s="27" t="n">
        <f aca="false">IF(AND(E1154&gt;0,B1154=10),1,0)</f>
        <v>0</v>
      </c>
      <c r="Z1154" s="0" t="str">
        <f aca="false">IF(AND(C1153=C1154,W1153=W1154-1),X1153,"")</f>
        <v/>
      </c>
      <c r="AA1154" s="0" t="str">
        <f aca="false">IF(AND(C1153=C1154,W1153=W1154-1),Y1153,"")</f>
        <v/>
      </c>
      <c r="AB1154" s="0" t="str">
        <f aca="false">IF(W1154=1,"",IF(AND(X1154=1,Z1154&lt;&gt;1),1,0))</f>
        <v/>
      </c>
      <c r="AC1154" s="0" t="str">
        <f aca="false">IF(W1154=1,"",IF(AND(Y1154=1,AA1154&lt;&gt;1),1,0))</f>
        <v/>
      </c>
      <c r="AD1154" s="33" t="str">
        <f aca="false">IF(AND(E1154&gt;0,W1154&lt;1,NOT(AND(C1155=C1154,W1155=W1154+1))),INDEX(DATAS,W1154+1),"")</f>
        <v/>
      </c>
      <c r="AE1154" s="33" t="str">
        <f aca="false">IF(AND(Y1154=1,W1154&lt;1),IF(AND(C1155=C1154,W1155=W1154+1),IF(Y1155=1,"",INDEX(DATAS,W1154+1)),INDEX(DATAS,W1154+1)),"")</f>
        <v/>
      </c>
    </row>
    <row r="1155" customFormat="false" ht="15" hidden="false" customHeight="false" outlineLevel="0" collapsed="false">
      <c r="A1155" s="33" t="n">
        <v>46309</v>
      </c>
      <c r="B1155" s="0" t="n">
        <v>6</v>
      </c>
      <c r="C1155" s="0" t="n">
        <v>5205</v>
      </c>
      <c r="D1155" s="0" t="n">
        <v>311</v>
      </c>
      <c r="E1155" s="0" t="n">
        <v>1</v>
      </c>
      <c r="F1155" s="27" t="s">
        <v>815</v>
      </c>
      <c r="G1155" s="0" t="n">
        <v>31.5</v>
      </c>
      <c r="H1155" s="0" t="n">
        <v>30</v>
      </c>
      <c r="I1155" s="27" t="s">
        <v>151</v>
      </c>
      <c r="J1155" s="0" t="n">
        <v>311</v>
      </c>
      <c r="K1155" s="0" t="n">
        <v>66</v>
      </c>
      <c r="M1155" s="0" t="n">
        <v>1452.69</v>
      </c>
      <c r="N1155" s="0" t="n">
        <v>48.12</v>
      </c>
      <c r="O1155" s="0" t="n">
        <v>39.89</v>
      </c>
      <c r="P1155" s="0" t="n">
        <v>2.69</v>
      </c>
      <c r="Q1155" s="0" t="n">
        <v>3.75</v>
      </c>
      <c r="R1155" s="0" t="n">
        <v>2657</v>
      </c>
      <c r="S1155" s="0" t="n">
        <v>6047</v>
      </c>
      <c r="T1155" s="0" t="n">
        <v>29.4</v>
      </c>
      <c r="U1155" s="0" t="n">
        <v>1024</v>
      </c>
      <c r="V1155" s="0" t="n">
        <v>2</v>
      </c>
      <c r="W1155" s="27" t="n">
        <f aca="false">MATCH(A1155,DATAS,0)</f>
        <v>1</v>
      </c>
      <c r="X1155" s="27" t="n">
        <f aca="false">IF(AND(E1155&gt;0,OR(AND(B1155&gt;=1,B1155&lt;=6),B1155=10)),1,0)</f>
        <v>1</v>
      </c>
      <c r="Y1155" s="27" t="n">
        <f aca="false">IF(AND(E1155&gt;0,B1155=10),1,0)</f>
        <v>0</v>
      </c>
      <c r="Z1155" s="0" t="str">
        <f aca="false">IF(AND(C1154=C1155,W1154=W1155-1),X1154,"")</f>
        <v/>
      </c>
      <c r="AA1155" s="0" t="str">
        <f aca="false">IF(AND(C1154=C1155,W1154=W1155-1),Y1154,"")</f>
        <v/>
      </c>
      <c r="AB1155" s="0" t="str">
        <f aca="false">IF(W1155=1,"",IF(AND(X1155=1,Z1155&lt;&gt;1),1,0))</f>
        <v/>
      </c>
      <c r="AC1155" s="0" t="str">
        <f aca="false">IF(W1155=1,"",IF(AND(Y1155=1,AA1155&lt;&gt;1),1,0))</f>
        <v/>
      </c>
      <c r="AD1155" s="33" t="str">
        <f aca="false">IF(AND(E1155&gt;0,W1155&lt;1,NOT(AND(C1156=C1155,W1156=W1155+1))),INDEX(DATAS,W1155+1),"")</f>
        <v/>
      </c>
      <c r="AE1155" s="33" t="str">
        <f aca="false">IF(AND(Y1155=1,W1155&lt;1),IF(AND(C1156=C1155,W1156=W1155+1),IF(Y1156=1,"",INDEX(DATAS,W1155+1)),INDEX(DATAS,W1155+1)),"")</f>
        <v/>
      </c>
    </row>
    <row r="1156" customFormat="false" ht="15" hidden="false" customHeight="false" outlineLevel="0" collapsed="false">
      <c r="A1156" s="33" t="n">
        <v>46309</v>
      </c>
      <c r="B1156" s="0" t="n">
        <v>2</v>
      </c>
      <c r="C1156" s="0" t="n">
        <v>5206</v>
      </c>
      <c r="D1156" s="0" t="n">
        <v>73</v>
      </c>
      <c r="E1156" s="0" t="n">
        <v>2</v>
      </c>
      <c r="F1156" s="27" t="s">
        <v>816</v>
      </c>
      <c r="G1156" s="0" t="n">
        <v>54.2</v>
      </c>
      <c r="H1156" s="0" t="n">
        <v>49</v>
      </c>
      <c r="I1156" s="27" t="s">
        <v>168</v>
      </c>
      <c r="J1156" s="0" t="n">
        <v>73</v>
      </c>
      <c r="K1156" s="0" t="n">
        <v>66</v>
      </c>
      <c r="M1156" s="0" t="n">
        <v>1089.44</v>
      </c>
      <c r="N1156" s="0" t="n">
        <v>35.5</v>
      </c>
      <c r="O1156" s="0" t="n">
        <v>33.19</v>
      </c>
      <c r="P1156" s="0" t="n">
        <v>2.56</v>
      </c>
      <c r="Q1156" s="0" t="n">
        <v>3.22</v>
      </c>
      <c r="R1156" s="0" t="n">
        <v>4658</v>
      </c>
      <c r="S1156" s="0" t="n">
        <v>9364</v>
      </c>
      <c r="U1156" s="0" t="n">
        <v>1022</v>
      </c>
      <c r="V1156" s="0" t="n">
        <v>1</v>
      </c>
      <c r="W1156" s="27" t="n">
        <f aca="false">MATCH(A1156,DATAS,0)</f>
        <v>1</v>
      </c>
      <c r="X1156" s="27" t="n">
        <f aca="false">IF(AND(E1156&gt;0,OR(AND(B1156&gt;=1,B1156&lt;=6),B1156=10)),1,0)</f>
        <v>1</v>
      </c>
      <c r="Y1156" s="27" t="n">
        <f aca="false">IF(AND(E1156&gt;0,B1156=10),1,0)</f>
        <v>0</v>
      </c>
      <c r="Z1156" s="0" t="str">
        <f aca="false">IF(AND(C1155=C1156,W1155=W1156-1),X1155,"")</f>
        <v/>
      </c>
      <c r="AA1156" s="0" t="str">
        <f aca="false">IF(AND(C1155=C1156,W1155=W1156-1),Y1155,"")</f>
        <v/>
      </c>
      <c r="AB1156" s="0" t="str">
        <f aca="false">IF(W1156=1,"",IF(AND(X1156=1,Z1156&lt;&gt;1),1,0))</f>
        <v/>
      </c>
      <c r="AC1156" s="0" t="str">
        <f aca="false">IF(W1156=1,"",IF(AND(Y1156=1,AA1156&lt;&gt;1),1,0))</f>
        <v/>
      </c>
      <c r="AD1156" s="33" t="str">
        <f aca="false">IF(AND(E1156&gt;0,W1156&lt;1,NOT(AND(C1157=C1156,W1157=W1156+1))),INDEX(DATAS,W1156+1),"")</f>
        <v/>
      </c>
      <c r="AE1156" s="33" t="str">
        <f aca="false">IF(AND(Y1156=1,W1156&lt;1),IF(AND(C1157=C1156,W1157=W1156+1),IF(Y1157=1,"",INDEX(DATAS,W1156+1)),INDEX(DATAS,W1156+1)),"")</f>
        <v/>
      </c>
    </row>
    <row r="1157" customFormat="false" ht="15" hidden="false" customHeight="false" outlineLevel="0" collapsed="false">
      <c r="A1157" s="33" t="n">
        <v>46309</v>
      </c>
      <c r="B1157" s="0" t="n">
        <v>7</v>
      </c>
      <c r="C1157" s="0" t="n">
        <v>5207</v>
      </c>
      <c r="D1157" s="0" t="n">
        <v>312</v>
      </c>
      <c r="E1157" s="0" t="n">
        <v>1</v>
      </c>
      <c r="F1157" s="27" t="s">
        <v>817</v>
      </c>
      <c r="I1157" s="27" t="s">
        <v>143</v>
      </c>
      <c r="J1157" s="0" t="n">
        <v>89</v>
      </c>
      <c r="K1157" s="0" t="n">
        <v>68</v>
      </c>
      <c r="L1157" s="0" t="n">
        <v>252</v>
      </c>
      <c r="M1157" s="0" t="n">
        <v>825.53</v>
      </c>
      <c r="N1157" s="0" t="n">
        <v>47.92</v>
      </c>
      <c r="O1157" s="0" t="n">
        <v>33.67</v>
      </c>
      <c r="P1157" s="0" t="n">
        <v>2.93</v>
      </c>
      <c r="Q1157" s="0" t="n">
        <v>3.5</v>
      </c>
      <c r="R1157" s="0" t="n">
        <v>3965</v>
      </c>
      <c r="S1157" s="0" t="n">
        <v>8659</v>
      </c>
      <c r="T1157" s="0" t="n">
        <v>42.05</v>
      </c>
      <c r="U1157" s="0" t="n">
        <v>1018</v>
      </c>
      <c r="V1157" s="0" t="n">
        <v>2</v>
      </c>
      <c r="W1157" s="27" t="n">
        <f aca="false">MATCH(A1157,DATAS,0)</f>
        <v>1</v>
      </c>
      <c r="X1157" s="27" t="n">
        <f aca="false">IF(AND(E1157&gt;0,OR(AND(B1157&gt;=1,B1157&lt;=6),B1157=10)),1,0)</f>
        <v>0</v>
      </c>
      <c r="Y1157" s="27" t="n">
        <f aca="false">IF(AND(E1157&gt;0,B1157=10),1,0)</f>
        <v>0</v>
      </c>
      <c r="Z1157" s="0" t="str">
        <f aca="false">IF(AND(C1156=C1157,W1156=W1157-1),X1156,"")</f>
        <v/>
      </c>
      <c r="AA1157" s="0" t="str">
        <f aca="false">IF(AND(C1156=C1157,W1156=W1157-1),Y1156,"")</f>
        <v/>
      </c>
      <c r="AB1157" s="0" t="str">
        <f aca="false">IF(W1157=1,"",IF(AND(X1157=1,Z1157&lt;&gt;1),1,0))</f>
        <v/>
      </c>
      <c r="AC1157" s="0" t="str">
        <f aca="false">IF(W1157=1,"",IF(AND(Y1157=1,AA1157&lt;&gt;1),1,0))</f>
        <v/>
      </c>
      <c r="AD1157" s="33" t="str">
        <f aca="false">IF(AND(E1157&gt;0,W1157&lt;1,NOT(AND(C1158=C1157,W1158=W1157+1))),INDEX(DATAS,W1157+1),"")</f>
        <v/>
      </c>
      <c r="AE1157" s="33" t="str">
        <f aca="false">IF(AND(Y1157=1,W1157&lt;1),IF(AND(C1158=C1157,W1158=W1157+1),IF(Y1158=1,"",INDEX(DATAS,W1157+1)),INDEX(DATAS,W1157+1)),"")</f>
        <v/>
      </c>
    </row>
    <row r="1158" customFormat="false" ht="15" hidden="false" customHeight="false" outlineLevel="0" collapsed="false">
      <c r="A1158" s="33" t="n">
        <v>46309</v>
      </c>
      <c r="B1158" s="0" t="n">
        <v>2</v>
      </c>
      <c r="C1158" s="0" t="n">
        <v>5209</v>
      </c>
      <c r="D1158" s="0" t="n">
        <v>12</v>
      </c>
      <c r="E1158" s="0" t="n">
        <v>2</v>
      </c>
      <c r="F1158" s="27" t="s">
        <v>817</v>
      </c>
      <c r="G1158" s="0" t="n">
        <v>4.1</v>
      </c>
      <c r="H1158" s="0" t="n">
        <v>14</v>
      </c>
      <c r="I1158" s="27" t="s">
        <v>147</v>
      </c>
      <c r="J1158" s="0" t="n">
        <v>12</v>
      </c>
      <c r="M1158" s="0" t="n">
        <v>1169.21</v>
      </c>
      <c r="N1158" s="0" t="n">
        <v>5.39</v>
      </c>
      <c r="O1158" s="0" t="n">
        <v>25.27</v>
      </c>
      <c r="R1158" s="0" t="n">
        <v>782</v>
      </c>
      <c r="S1158" s="0" t="n">
        <v>1572</v>
      </c>
      <c r="U1158" s="0" t="n">
        <v>1018</v>
      </c>
      <c r="V1158" s="0" t="n">
        <v>0</v>
      </c>
      <c r="W1158" s="27" t="n">
        <f aca="false">MATCH(A1158,DATAS,0)</f>
        <v>1</v>
      </c>
      <c r="X1158" s="27" t="n">
        <f aca="false">IF(AND(E1158&gt;0,OR(AND(B1158&gt;=1,B1158&lt;=6),B1158=10)),1,0)</f>
        <v>1</v>
      </c>
      <c r="Y1158" s="27" t="n">
        <f aca="false">IF(AND(E1158&gt;0,B1158=10),1,0)</f>
        <v>0</v>
      </c>
      <c r="Z1158" s="0" t="str">
        <f aca="false">IF(AND(C1157=C1158,W1157=W1158-1),X1157,"")</f>
        <v/>
      </c>
      <c r="AA1158" s="0" t="str">
        <f aca="false">IF(AND(C1157=C1158,W1157=W1158-1),Y1157,"")</f>
        <v/>
      </c>
      <c r="AB1158" s="0" t="str">
        <f aca="false">IF(W1158=1,"",IF(AND(X1158=1,Z1158&lt;&gt;1),1,0))</f>
        <v/>
      </c>
      <c r="AC1158" s="0" t="str">
        <f aca="false">IF(W1158=1,"",IF(AND(Y1158=1,AA1158&lt;&gt;1),1,0))</f>
        <v/>
      </c>
      <c r="AD1158" s="33" t="str">
        <f aca="false">IF(AND(E1158&gt;0,W1158&lt;1,NOT(AND(C1159=C1158,W1159=W1158+1))),INDEX(DATAS,W1158+1),"")</f>
        <v/>
      </c>
      <c r="AE1158" s="33" t="str">
        <f aca="false">IF(AND(Y1158=1,W1158&lt;1),IF(AND(C1159=C1158,W1159=W1158+1),IF(Y1159=1,"",INDEX(DATAS,W1158+1)),INDEX(DATAS,W1158+1)),"")</f>
        <v/>
      </c>
    </row>
    <row r="1159" customFormat="false" ht="15" hidden="false" customHeight="false" outlineLevel="0" collapsed="false">
      <c r="A1159" s="33" t="n">
        <v>46309</v>
      </c>
      <c r="B1159" s="0" t="n">
        <v>4</v>
      </c>
      <c r="C1159" s="0" t="n">
        <v>5210</v>
      </c>
      <c r="D1159" s="0" t="n">
        <v>347</v>
      </c>
      <c r="E1159" s="0" t="n">
        <v>1</v>
      </c>
      <c r="F1159" s="27" t="s">
        <v>817</v>
      </c>
      <c r="G1159" s="0" t="n">
        <v>48.1</v>
      </c>
      <c r="H1159" s="0" t="n">
        <v>52</v>
      </c>
      <c r="I1159" s="27" t="s">
        <v>138</v>
      </c>
      <c r="J1159" s="0" t="n">
        <v>222</v>
      </c>
      <c r="K1159" s="0" t="n">
        <v>74</v>
      </c>
      <c r="L1159" s="0" t="n">
        <v>125</v>
      </c>
      <c r="M1159" s="0" t="n">
        <v>1503.6</v>
      </c>
      <c r="N1159" s="0" t="n">
        <v>46.15</v>
      </c>
      <c r="O1159" s="0" t="n">
        <v>51.88</v>
      </c>
      <c r="P1159" s="0" t="n">
        <v>2.93</v>
      </c>
      <c r="Q1159" s="0" t="n">
        <v>3.52</v>
      </c>
      <c r="R1159" s="0" t="n">
        <v>4680</v>
      </c>
      <c r="S1159" s="0" t="n">
        <v>10136</v>
      </c>
      <c r="T1159" s="0" t="n">
        <v>48</v>
      </c>
      <c r="U1159" s="0" t="n">
        <v>1018</v>
      </c>
      <c r="V1159" s="0" t="n">
        <v>6</v>
      </c>
      <c r="W1159" s="27" t="n">
        <f aca="false">MATCH(A1159,DATAS,0)</f>
        <v>1</v>
      </c>
      <c r="X1159" s="27" t="n">
        <f aca="false">IF(AND(E1159&gt;0,OR(AND(B1159&gt;=1,B1159&lt;=6),B1159=10)),1,0)</f>
        <v>1</v>
      </c>
      <c r="Y1159" s="27" t="n">
        <f aca="false">IF(AND(E1159&gt;0,B1159=10),1,0)</f>
        <v>0</v>
      </c>
      <c r="Z1159" s="0" t="str">
        <f aca="false">IF(AND(C1158=C1159,W1158=W1159-1),X1158,"")</f>
        <v/>
      </c>
      <c r="AA1159" s="0" t="str">
        <f aca="false">IF(AND(C1158=C1159,W1158=W1159-1),Y1158,"")</f>
        <v/>
      </c>
      <c r="AB1159" s="0" t="str">
        <f aca="false">IF(W1159=1,"",IF(AND(X1159=1,Z1159&lt;&gt;1),1,0))</f>
        <v/>
      </c>
      <c r="AC1159" s="0" t="str">
        <f aca="false">IF(W1159=1,"",IF(AND(Y1159=1,AA1159&lt;&gt;1),1,0))</f>
        <v/>
      </c>
      <c r="AD1159" s="33" t="str">
        <f aca="false">IF(AND(E1159&gt;0,W1159&lt;1,NOT(AND(C1160=C1159,W1160=W1159+1))),INDEX(DATAS,W1159+1),"")</f>
        <v/>
      </c>
      <c r="AE1159" s="33" t="str">
        <f aca="false">IF(AND(Y1159=1,W1159&lt;1),IF(AND(C1160=C1159,W1160=W1159+1),IF(Y1160=1,"",INDEX(DATAS,W1159+1)),INDEX(DATAS,W1159+1)),"")</f>
        <v/>
      </c>
    </row>
    <row r="1160" customFormat="false" ht="15" hidden="false" customHeight="false" outlineLevel="0" collapsed="false">
      <c r="A1160" s="33" t="n">
        <v>46309</v>
      </c>
      <c r="B1160" s="0" t="n">
        <v>2</v>
      </c>
      <c r="C1160" s="0" t="n">
        <v>5211</v>
      </c>
      <c r="D1160" s="0" t="n">
        <v>51</v>
      </c>
      <c r="E1160" s="0" t="n">
        <v>2</v>
      </c>
      <c r="F1160" s="27" t="s">
        <v>818</v>
      </c>
      <c r="G1160" s="0" t="n">
        <v>57.8</v>
      </c>
      <c r="H1160" s="0" t="n">
        <v>59</v>
      </c>
      <c r="I1160" s="27" t="s">
        <v>147</v>
      </c>
      <c r="J1160" s="0" t="n">
        <v>51</v>
      </c>
      <c r="M1160" s="0" t="n">
        <v>816.11</v>
      </c>
      <c r="N1160" s="0" t="n">
        <v>46.4</v>
      </c>
      <c r="O1160" s="0" t="n">
        <v>35.73</v>
      </c>
      <c r="P1160" s="0" t="n">
        <v>3.85</v>
      </c>
      <c r="Q1160" s="0" t="n">
        <v>3.45</v>
      </c>
      <c r="R1160" s="0" t="n">
        <v>4704</v>
      </c>
      <c r="S1160" s="0" t="n">
        <v>9456</v>
      </c>
      <c r="U1160" s="0" t="n">
        <v>1017</v>
      </c>
      <c r="V1160" s="0" t="n">
        <v>0</v>
      </c>
      <c r="W1160" s="27" t="n">
        <f aca="false">MATCH(A1160,DATAS,0)</f>
        <v>1</v>
      </c>
      <c r="X1160" s="27" t="n">
        <f aca="false">IF(AND(E1160&gt;0,OR(AND(B1160&gt;=1,B1160&lt;=6),B1160=10)),1,0)</f>
        <v>1</v>
      </c>
      <c r="Y1160" s="27" t="n">
        <f aca="false">IF(AND(E1160&gt;0,B1160=10),1,0)</f>
        <v>0</v>
      </c>
      <c r="Z1160" s="0" t="str">
        <f aca="false">IF(AND(C1159=C1160,W1159=W1160-1),X1159,"")</f>
        <v/>
      </c>
      <c r="AA1160" s="0" t="str">
        <f aca="false">IF(AND(C1159=C1160,W1159=W1160-1),Y1159,"")</f>
        <v/>
      </c>
      <c r="AB1160" s="0" t="str">
        <f aca="false">IF(W1160=1,"",IF(AND(X1160=1,Z1160&lt;&gt;1),1,0))</f>
        <v/>
      </c>
      <c r="AC1160" s="0" t="str">
        <f aca="false">IF(W1160=1,"",IF(AND(Y1160=1,AA1160&lt;&gt;1),1,0))</f>
        <v/>
      </c>
      <c r="AD1160" s="33" t="str">
        <f aca="false">IF(AND(E1160&gt;0,W1160&lt;1,NOT(AND(C1161=C1160,W1161=W1160+1))),INDEX(DATAS,W1160+1),"")</f>
        <v/>
      </c>
      <c r="AE1160" s="33" t="str">
        <f aca="false">IF(AND(Y1160=1,W1160&lt;1),IF(AND(C1161=C1160,W1161=W1160+1),IF(Y1161=1,"",INDEX(DATAS,W1160+1)),INDEX(DATAS,W1160+1)),"")</f>
        <v/>
      </c>
    </row>
    <row r="1161" customFormat="false" ht="15" hidden="false" customHeight="false" outlineLevel="0" collapsed="false">
      <c r="A1161" s="33" t="n">
        <v>46309</v>
      </c>
      <c r="B1161" s="0" t="n">
        <v>7</v>
      </c>
      <c r="C1161" s="0" t="n">
        <v>5212</v>
      </c>
      <c r="D1161" s="0" t="n">
        <v>328</v>
      </c>
      <c r="E1161" s="0" t="n">
        <v>1</v>
      </c>
      <c r="F1161" s="27" t="s">
        <v>819</v>
      </c>
      <c r="I1161" s="27" t="s">
        <v>143</v>
      </c>
      <c r="J1161" s="0" t="n">
        <v>105</v>
      </c>
      <c r="K1161" s="0" t="n">
        <v>70</v>
      </c>
      <c r="L1161" s="0" t="n">
        <v>231</v>
      </c>
      <c r="M1161" s="0" t="n">
        <v>575.16</v>
      </c>
      <c r="N1161" s="0" t="n">
        <v>44.23</v>
      </c>
      <c r="O1161" s="0" t="n">
        <v>26.67</v>
      </c>
      <c r="P1161" s="0" t="n">
        <v>3.69</v>
      </c>
      <c r="Q1161" s="0" t="n">
        <v>3.71</v>
      </c>
      <c r="R1161" s="0" t="n">
        <v>4649</v>
      </c>
      <c r="S1161" s="0" t="n">
        <v>9863</v>
      </c>
      <c r="T1161" s="0" t="n">
        <v>46.05</v>
      </c>
      <c r="U1161" s="0" t="n">
        <v>1015</v>
      </c>
      <c r="V1161" s="0" t="n">
        <v>2</v>
      </c>
      <c r="W1161" s="27" t="n">
        <f aca="false">MATCH(A1161,DATAS,0)</f>
        <v>1</v>
      </c>
      <c r="X1161" s="27" t="n">
        <f aca="false">IF(AND(E1161&gt;0,OR(AND(B1161&gt;=1,B1161&lt;=6),B1161=10)),1,0)</f>
        <v>0</v>
      </c>
      <c r="Y1161" s="27" t="n">
        <f aca="false">IF(AND(E1161&gt;0,B1161=10),1,0)</f>
        <v>0</v>
      </c>
      <c r="Z1161" s="0" t="str">
        <f aca="false">IF(AND(C1160=C1161,W1160=W1161-1),X1160,"")</f>
        <v/>
      </c>
      <c r="AA1161" s="0" t="str">
        <f aca="false">IF(AND(C1160=C1161,W1160=W1161-1),Y1160,"")</f>
        <v/>
      </c>
      <c r="AB1161" s="0" t="str">
        <f aca="false">IF(W1161=1,"",IF(AND(X1161=1,Z1161&lt;&gt;1),1,0))</f>
        <v/>
      </c>
      <c r="AC1161" s="0" t="str">
        <f aca="false">IF(W1161=1,"",IF(AND(Y1161=1,AA1161&lt;&gt;1),1,0))</f>
        <v/>
      </c>
      <c r="AD1161" s="33" t="str">
        <f aca="false">IF(AND(E1161&gt;0,W1161&lt;1,NOT(AND(C1162=C1161,W1162=W1161+1))),INDEX(DATAS,W1161+1),"")</f>
        <v/>
      </c>
      <c r="AE1161" s="33" t="str">
        <f aca="false">IF(AND(Y1161=1,W1161&lt;1),IF(AND(C1162=C1161,W1162=W1161+1),IF(Y1162=1,"",INDEX(DATAS,W1161+1)),INDEX(DATAS,W1161+1)),"")</f>
        <v/>
      </c>
    </row>
    <row r="1162" customFormat="false" ht="15" hidden="false" customHeight="false" outlineLevel="0" collapsed="false">
      <c r="A1162" s="33" t="n">
        <v>46309</v>
      </c>
      <c r="B1162" s="0" t="n">
        <v>3</v>
      </c>
      <c r="C1162" s="0" t="n">
        <v>5213</v>
      </c>
      <c r="D1162" s="0" t="n">
        <v>81</v>
      </c>
      <c r="E1162" s="0" t="n">
        <v>2</v>
      </c>
      <c r="F1162" s="27" t="s">
        <v>819</v>
      </c>
      <c r="G1162" s="0" t="n">
        <v>54.3</v>
      </c>
      <c r="H1162" s="0" t="n">
        <v>49</v>
      </c>
      <c r="I1162" s="27" t="s">
        <v>168</v>
      </c>
      <c r="J1162" s="0" t="n">
        <v>81</v>
      </c>
      <c r="K1162" s="0" t="n">
        <v>67</v>
      </c>
      <c r="M1162" s="0" t="n">
        <v>490.79</v>
      </c>
      <c r="N1162" s="0" t="n">
        <v>64.38</v>
      </c>
      <c r="O1162" s="0" t="n">
        <v>28.33</v>
      </c>
      <c r="P1162" s="0" t="n">
        <v>4.59</v>
      </c>
      <c r="Q1162" s="0" t="n">
        <v>3.35</v>
      </c>
      <c r="R1162" s="0" t="n">
        <v>4136</v>
      </c>
      <c r="S1162" s="0" t="n">
        <v>8314</v>
      </c>
      <c r="U1162" s="0" t="n">
        <v>1015</v>
      </c>
      <c r="V1162" s="0" t="n">
        <v>1</v>
      </c>
      <c r="W1162" s="27" t="n">
        <f aca="false">MATCH(A1162,DATAS,0)</f>
        <v>1</v>
      </c>
      <c r="X1162" s="27" t="n">
        <f aca="false">IF(AND(E1162&gt;0,OR(AND(B1162&gt;=1,B1162&lt;=6),B1162=10)),1,0)</f>
        <v>1</v>
      </c>
      <c r="Y1162" s="27" t="n">
        <f aca="false">IF(AND(E1162&gt;0,B1162=10),1,0)</f>
        <v>0</v>
      </c>
      <c r="Z1162" s="0" t="str">
        <f aca="false">IF(AND(C1161=C1162,W1161=W1162-1),X1161,"")</f>
        <v/>
      </c>
      <c r="AA1162" s="0" t="str">
        <f aca="false">IF(AND(C1161=C1162,W1161=W1162-1),Y1161,"")</f>
        <v/>
      </c>
      <c r="AB1162" s="0" t="str">
        <f aca="false">IF(W1162=1,"",IF(AND(X1162=1,Z1162&lt;&gt;1),1,0))</f>
        <v/>
      </c>
      <c r="AC1162" s="0" t="str">
        <f aca="false">IF(W1162=1,"",IF(AND(Y1162=1,AA1162&lt;&gt;1),1,0))</f>
        <v/>
      </c>
      <c r="AD1162" s="33" t="str">
        <f aca="false">IF(AND(E1162&gt;0,W1162&lt;1,NOT(AND(C1163=C1162,W1163=W1162+1))),INDEX(DATAS,W1162+1),"")</f>
        <v/>
      </c>
      <c r="AE1162" s="33" t="str">
        <f aca="false">IF(AND(Y1162=1,W1162&lt;1),IF(AND(C1163=C1162,W1163=W1162+1),IF(Y1163=1,"",INDEX(DATAS,W1162+1)),INDEX(DATAS,W1162+1)),"")</f>
        <v/>
      </c>
    </row>
    <row r="1163" customFormat="false" ht="15" hidden="false" customHeight="false" outlineLevel="0" collapsed="false">
      <c r="A1163" s="33" t="n">
        <v>46309</v>
      </c>
      <c r="B1163" s="0" t="n">
        <v>2</v>
      </c>
      <c r="C1163" s="0" t="n">
        <v>5214</v>
      </c>
      <c r="D1163" s="0" t="n">
        <v>15</v>
      </c>
      <c r="E1163" s="0" t="n">
        <v>2</v>
      </c>
      <c r="F1163" s="27" t="s">
        <v>820</v>
      </c>
      <c r="G1163" s="0" t="n">
        <v>48.6</v>
      </c>
      <c r="H1163" s="0" t="n">
        <v>44</v>
      </c>
      <c r="I1163" s="27" t="s">
        <v>147</v>
      </c>
      <c r="J1163" s="0" t="n">
        <v>15</v>
      </c>
      <c r="M1163" s="0" t="n">
        <v>395.36</v>
      </c>
      <c r="N1163" s="0" t="n">
        <v>45.83</v>
      </c>
      <c r="O1163" s="0" t="n">
        <v>37.01</v>
      </c>
      <c r="R1163" s="0" t="n">
        <v>3617</v>
      </c>
      <c r="S1163" s="0" t="n">
        <v>7272</v>
      </c>
      <c r="U1163" s="0" t="n">
        <v>1014</v>
      </c>
      <c r="V1163" s="0" t="n">
        <v>0</v>
      </c>
      <c r="W1163" s="27" t="n">
        <f aca="false">MATCH(A1163,DATAS,0)</f>
        <v>1</v>
      </c>
      <c r="X1163" s="27" t="n">
        <f aca="false">IF(AND(E1163&gt;0,OR(AND(B1163&gt;=1,B1163&lt;=6),B1163=10)),1,0)</f>
        <v>1</v>
      </c>
      <c r="Y1163" s="27" t="n">
        <f aca="false">IF(AND(E1163&gt;0,B1163=10),1,0)</f>
        <v>0</v>
      </c>
      <c r="Z1163" s="0" t="str">
        <f aca="false">IF(AND(C1162=C1163,W1162=W1163-1),X1162,"")</f>
        <v/>
      </c>
      <c r="AA1163" s="0" t="str">
        <f aca="false">IF(AND(C1162=C1163,W1162=W1163-1),Y1162,"")</f>
        <v/>
      </c>
      <c r="AB1163" s="0" t="str">
        <f aca="false">IF(W1163=1,"",IF(AND(X1163=1,Z1163&lt;&gt;1),1,0))</f>
        <v/>
      </c>
      <c r="AC1163" s="0" t="str">
        <f aca="false">IF(W1163=1,"",IF(AND(Y1163=1,AA1163&lt;&gt;1),1,0))</f>
        <v/>
      </c>
      <c r="AD1163" s="33" t="str">
        <f aca="false">IF(AND(E1163&gt;0,W1163&lt;1,NOT(AND(C1164=C1163,W1164=W1163+1))),INDEX(DATAS,W1163+1),"")</f>
        <v/>
      </c>
      <c r="AE1163" s="33" t="str">
        <f aca="false">IF(AND(Y1163=1,W1163&lt;1),IF(AND(C1164=C1163,W1164=W1163+1),IF(Y1164=1,"",INDEX(DATAS,W1163+1)),INDEX(DATAS,W1163+1)),"")</f>
        <v/>
      </c>
    </row>
    <row r="1164" customFormat="false" ht="15" hidden="false" customHeight="false" outlineLevel="0" collapsed="false">
      <c r="A1164" s="33" t="n">
        <v>46309</v>
      </c>
      <c r="B1164" s="0" t="n">
        <v>7</v>
      </c>
      <c r="C1164" s="0" t="n">
        <v>5215</v>
      </c>
      <c r="D1164" s="0" t="n">
        <v>288</v>
      </c>
      <c r="E1164" s="0" t="n">
        <v>1</v>
      </c>
      <c r="F1164" s="27" t="s">
        <v>820</v>
      </c>
      <c r="G1164" s="0" t="n">
        <v>9.3</v>
      </c>
      <c r="H1164" s="0" t="n">
        <v>31</v>
      </c>
      <c r="I1164" s="27" t="s">
        <v>143</v>
      </c>
      <c r="J1164" s="0" t="n">
        <v>65</v>
      </c>
      <c r="K1164" s="0" t="n">
        <v>65</v>
      </c>
      <c r="L1164" s="0" t="n">
        <v>224</v>
      </c>
      <c r="M1164" s="0" t="n">
        <v>378.71</v>
      </c>
      <c r="N1164" s="0" t="n">
        <v>81.66</v>
      </c>
      <c r="O1164" s="0" t="n">
        <v>35.42</v>
      </c>
      <c r="P1164" s="0" t="n">
        <v>4.46</v>
      </c>
      <c r="Q1164" s="0" t="n">
        <v>3.94</v>
      </c>
      <c r="R1164" s="0" t="n">
        <v>4155</v>
      </c>
      <c r="S1164" s="0" t="n">
        <v>9225</v>
      </c>
      <c r="T1164" s="0" t="n">
        <v>42.7</v>
      </c>
      <c r="U1164" s="0" t="n">
        <v>1014</v>
      </c>
      <c r="V1164" s="0" t="n">
        <v>1</v>
      </c>
      <c r="W1164" s="27" t="n">
        <f aca="false">MATCH(A1164,DATAS,0)</f>
        <v>1</v>
      </c>
      <c r="X1164" s="27" t="n">
        <f aca="false">IF(AND(E1164&gt;0,OR(AND(B1164&gt;=1,B1164&lt;=6),B1164=10)),1,0)</f>
        <v>0</v>
      </c>
      <c r="Y1164" s="27" t="n">
        <f aca="false">IF(AND(E1164&gt;0,B1164=10),1,0)</f>
        <v>0</v>
      </c>
      <c r="Z1164" s="0" t="str">
        <f aca="false">IF(AND(C1163=C1164,W1163=W1164-1),X1163,"")</f>
        <v/>
      </c>
      <c r="AA1164" s="0" t="str">
        <f aca="false">IF(AND(C1163=C1164,W1163=W1164-1),Y1163,"")</f>
        <v/>
      </c>
      <c r="AB1164" s="0" t="str">
        <f aca="false">IF(W1164=1,"",IF(AND(X1164=1,Z1164&lt;&gt;1),1,0))</f>
        <v/>
      </c>
      <c r="AC1164" s="0" t="str">
        <f aca="false">IF(W1164=1,"",IF(AND(Y1164=1,AA1164&lt;&gt;1),1,0))</f>
        <v/>
      </c>
      <c r="AD1164" s="33" t="str">
        <f aca="false">IF(AND(E1164&gt;0,W1164&lt;1,NOT(AND(C1165=C1164,W1165=W1164+1))),INDEX(DATAS,W1164+1),"")</f>
        <v/>
      </c>
      <c r="AE1164" s="33" t="str">
        <f aca="false">IF(AND(Y1164=1,W1164&lt;1),IF(AND(C1165=C1164,W1165=W1164+1),IF(Y1165=1,"",INDEX(DATAS,W1164+1)),INDEX(DATAS,W1164+1)),"")</f>
        <v/>
      </c>
    </row>
    <row r="1165" customFormat="false" ht="15" hidden="false" customHeight="false" outlineLevel="0" collapsed="false">
      <c r="A1165" s="33" t="n">
        <v>46309</v>
      </c>
      <c r="B1165" s="0" t="n">
        <v>7</v>
      </c>
      <c r="C1165" s="0" t="n">
        <v>5216</v>
      </c>
      <c r="D1165" s="0" t="n">
        <v>351</v>
      </c>
      <c r="E1165" s="0" t="n">
        <v>1</v>
      </c>
      <c r="F1165" s="27" t="s">
        <v>820</v>
      </c>
      <c r="G1165" s="0" t="n">
        <v>34</v>
      </c>
      <c r="H1165" s="0" t="n">
        <v>36</v>
      </c>
      <c r="I1165" s="27" t="s">
        <v>143</v>
      </c>
      <c r="J1165" s="0" t="n">
        <v>126</v>
      </c>
      <c r="K1165" s="0" t="n">
        <v>66</v>
      </c>
      <c r="L1165" s="0" t="n">
        <v>226</v>
      </c>
      <c r="M1165" s="0" t="n">
        <v>52.11</v>
      </c>
      <c r="N1165" s="0" t="n">
        <v>39.62</v>
      </c>
      <c r="O1165" s="0" t="n">
        <v>18.14</v>
      </c>
      <c r="P1165" s="0" t="n">
        <v>3.69</v>
      </c>
      <c r="Q1165" s="0" t="n">
        <v>3.58</v>
      </c>
      <c r="R1165" s="0" t="n">
        <v>4176</v>
      </c>
      <c r="S1165" s="0" t="n">
        <v>9217</v>
      </c>
      <c r="T1165" s="0" t="n">
        <v>43.9</v>
      </c>
      <c r="U1165" s="0" t="n">
        <v>1014</v>
      </c>
      <c r="V1165" s="0" t="n">
        <v>3</v>
      </c>
      <c r="W1165" s="27" t="n">
        <f aca="false">MATCH(A1165,DATAS,0)</f>
        <v>1</v>
      </c>
      <c r="X1165" s="27" t="n">
        <f aca="false">IF(AND(E1165&gt;0,OR(AND(B1165&gt;=1,B1165&lt;=6),B1165=10)),1,0)</f>
        <v>0</v>
      </c>
      <c r="Y1165" s="27" t="n">
        <f aca="false">IF(AND(E1165&gt;0,B1165=10),1,0)</f>
        <v>0</v>
      </c>
      <c r="Z1165" s="0" t="str">
        <f aca="false">IF(AND(C1164=C1165,W1164=W1165-1),X1164,"")</f>
        <v/>
      </c>
      <c r="AA1165" s="0" t="str">
        <f aca="false">IF(AND(C1164=C1165,W1164=W1165-1),Y1164,"")</f>
        <v/>
      </c>
      <c r="AB1165" s="0" t="str">
        <f aca="false">IF(W1165=1,"",IF(AND(X1165=1,Z1165&lt;&gt;1),1,0))</f>
        <v/>
      </c>
      <c r="AC1165" s="0" t="str">
        <f aca="false">IF(W1165=1,"",IF(AND(Y1165=1,AA1165&lt;&gt;1),1,0))</f>
        <v/>
      </c>
      <c r="AD1165" s="33" t="str">
        <f aca="false">IF(AND(E1165&gt;0,W1165&lt;1,NOT(AND(C1166=C1165,W1166=W1165+1))),INDEX(DATAS,W1165+1),"")</f>
        <v/>
      </c>
      <c r="AE1165" s="33" t="str">
        <f aca="false">IF(AND(Y1165=1,W1165&lt;1),IF(AND(C1166=C1165,W1166=W1165+1),IF(Y1166=1,"",INDEX(DATAS,W1165+1)),INDEX(DATAS,W1165+1)),"")</f>
        <v/>
      </c>
    </row>
    <row r="1166" customFormat="false" ht="15" hidden="false" customHeight="false" outlineLevel="0" collapsed="false">
      <c r="A1166" s="33" t="n">
        <v>46309</v>
      </c>
      <c r="B1166" s="0" t="n">
        <v>5</v>
      </c>
      <c r="C1166" s="0" t="n">
        <v>5217</v>
      </c>
      <c r="D1166" s="0" t="n">
        <v>46</v>
      </c>
      <c r="E1166" s="0" t="n">
        <v>2</v>
      </c>
      <c r="F1166" s="27" t="s">
        <v>820</v>
      </c>
      <c r="G1166" s="0" t="n">
        <v>33.9</v>
      </c>
      <c r="H1166" s="0" t="n">
        <v>39</v>
      </c>
      <c r="I1166" s="27" t="s">
        <v>147</v>
      </c>
      <c r="J1166" s="0" t="n">
        <v>46</v>
      </c>
      <c r="M1166" s="0" t="n">
        <v>164.92</v>
      </c>
      <c r="N1166" s="0" t="n">
        <v>71.99</v>
      </c>
      <c r="O1166" s="0" t="n">
        <v>28.02</v>
      </c>
      <c r="P1166" s="0" t="n">
        <v>4.18</v>
      </c>
      <c r="Q1166" s="0" t="n">
        <v>4</v>
      </c>
      <c r="R1166" s="0" t="n">
        <v>3245</v>
      </c>
      <c r="S1166" s="0" t="n">
        <v>6523</v>
      </c>
      <c r="U1166" s="0" t="n">
        <v>1014</v>
      </c>
      <c r="V1166" s="0" t="n">
        <v>0</v>
      </c>
      <c r="W1166" s="27" t="n">
        <f aca="false">MATCH(A1166,DATAS,0)</f>
        <v>1</v>
      </c>
      <c r="X1166" s="27" t="n">
        <f aca="false">IF(AND(E1166&gt;0,OR(AND(B1166&gt;=1,B1166&lt;=6),B1166=10)),1,0)</f>
        <v>1</v>
      </c>
      <c r="Y1166" s="27" t="n">
        <f aca="false">IF(AND(E1166&gt;0,B1166=10),1,0)</f>
        <v>0</v>
      </c>
      <c r="Z1166" s="0" t="str">
        <f aca="false">IF(AND(C1165=C1166,W1165=W1166-1),X1165,"")</f>
        <v/>
      </c>
      <c r="AA1166" s="0" t="str">
        <f aca="false">IF(AND(C1165=C1166,W1165=W1166-1),Y1165,"")</f>
        <v/>
      </c>
      <c r="AB1166" s="0" t="str">
        <f aca="false">IF(W1166=1,"",IF(AND(X1166=1,Z1166&lt;&gt;1),1,0))</f>
        <v/>
      </c>
      <c r="AC1166" s="0" t="str">
        <f aca="false">IF(W1166=1,"",IF(AND(Y1166=1,AA1166&lt;&gt;1),1,0))</f>
        <v/>
      </c>
      <c r="AD1166" s="33" t="str">
        <f aca="false">IF(AND(E1166&gt;0,W1166&lt;1,NOT(AND(C1167=C1166,W1167=W1166+1))),INDEX(DATAS,W1166+1),"")</f>
        <v/>
      </c>
      <c r="AE1166" s="33" t="str">
        <f aca="false">IF(AND(Y1166=1,W1166&lt;1),IF(AND(C1167=C1166,W1167=W1166+1),IF(Y1167=1,"",INDEX(DATAS,W1166+1)),INDEX(DATAS,W1166+1)),"")</f>
        <v/>
      </c>
    </row>
    <row r="1167" customFormat="false" ht="15" hidden="false" customHeight="false" outlineLevel="0" collapsed="false">
      <c r="A1167" s="33" t="n">
        <v>46309</v>
      </c>
      <c r="B1167" s="0" t="n">
        <v>7</v>
      </c>
      <c r="C1167" s="0" t="n">
        <v>5218</v>
      </c>
      <c r="D1167" s="0" t="n">
        <v>311</v>
      </c>
      <c r="E1167" s="0" t="n">
        <v>1</v>
      </c>
      <c r="F1167" s="27" t="s">
        <v>821</v>
      </c>
      <c r="I1167" s="27" t="s">
        <v>143</v>
      </c>
      <c r="J1167" s="0" t="n">
        <v>86</v>
      </c>
      <c r="K1167" s="0" t="n">
        <v>67</v>
      </c>
      <c r="L1167" s="0" t="n">
        <v>240</v>
      </c>
      <c r="M1167" s="0" t="n">
        <v>528.84</v>
      </c>
      <c r="N1167" s="0" t="n">
        <v>54.35</v>
      </c>
      <c r="O1167" s="0" t="n">
        <v>31.42</v>
      </c>
      <c r="P1167" s="0" t="n">
        <v>5.07</v>
      </c>
      <c r="Q1167" s="0" t="n">
        <v>3.88</v>
      </c>
      <c r="R1167" s="0" t="n">
        <v>4218</v>
      </c>
      <c r="S1167" s="0" t="n">
        <v>8427</v>
      </c>
      <c r="T1167" s="0" t="n">
        <v>44</v>
      </c>
      <c r="U1167" s="0" t="n">
        <v>1013</v>
      </c>
      <c r="V1167" s="0" t="n">
        <v>2</v>
      </c>
      <c r="W1167" s="27" t="n">
        <f aca="false">MATCH(A1167,DATAS,0)</f>
        <v>1</v>
      </c>
      <c r="X1167" s="27" t="n">
        <f aca="false">IF(AND(E1167&gt;0,OR(AND(B1167&gt;=1,B1167&lt;=6),B1167=10)),1,0)</f>
        <v>0</v>
      </c>
      <c r="Y1167" s="27" t="n">
        <f aca="false">IF(AND(E1167&gt;0,B1167=10),1,0)</f>
        <v>0</v>
      </c>
      <c r="Z1167" s="0" t="str">
        <f aca="false">IF(AND(C1166=C1167,W1166=W1167-1),X1166,"")</f>
        <v/>
      </c>
      <c r="AA1167" s="0" t="str">
        <f aca="false">IF(AND(C1166=C1167,W1166=W1167-1),Y1166,"")</f>
        <v/>
      </c>
      <c r="AB1167" s="0" t="str">
        <f aca="false">IF(W1167=1,"",IF(AND(X1167=1,Z1167&lt;&gt;1),1,0))</f>
        <v/>
      </c>
      <c r="AC1167" s="0" t="str">
        <f aca="false">IF(W1167=1,"",IF(AND(Y1167=1,AA1167&lt;&gt;1),1,0))</f>
        <v/>
      </c>
      <c r="AD1167" s="33" t="str">
        <f aca="false">IF(AND(E1167&gt;0,W1167&lt;1,NOT(AND(C1168=C1167,W1168=W1167+1))),INDEX(DATAS,W1167+1),"")</f>
        <v/>
      </c>
      <c r="AE1167" s="33" t="str">
        <f aca="false">IF(AND(Y1167=1,W1167&lt;1),IF(AND(C1168=C1167,W1168=W1167+1),IF(Y1168=1,"",INDEX(DATAS,W1167+1)),INDEX(DATAS,W1167+1)),"")</f>
        <v/>
      </c>
    </row>
    <row r="1168" customFormat="false" ht="15" hidden="false" customHeight="false" outlineLevel="0" collapsed="false">
      <c r="A1168" s="33" t="n">
        <v>46309</v>
      </c>
      <c r="B1168" s="0" t="n">
        <v>4</v>
      </c>
      <c r="C1168" s="0" t="n">
        <v>5219</v>
      </c>
      <c r="D1168" s="0" t="n">
        <v>287</v>
      </c>
      <c r="E1168" s="0" t="n">
        <v>1</v>
      </c>
      <c r="F1168" s="27" t="s">
        <v>822</v>
      </c>
      <c r="G1168" s="0" t="n">
        <v>41.8</v>
      </c>
      <c r="H1168" s="0" t="n">
        <v>42</v>
      </c>
      <c r="I1168" s="27" t="s">
        <v>176</v>
      </c>
      <c r="J1168" s="0" t="n">
        <v>287</v>
      </c>
      <c r="K1168" s="0" t="n">
        <v>63</v>
      </c>
      <c r="M1168" s="0" t="n">
        <v>1074.6</v>
      </c>
      <c r="N1168" s="0" t="n">
        <v>81.89</v>
      </c>
      <c r="O1168" s="0" t="n">
        <v>49.98</v>
      </c>
      <c r="P1168" s="0" t="n">
        <v>4.33</v>
      </c>
      <c r="Q1168" s="0" t="n">
        <v>3.74</v>
      </c>
      <c r="R1168" s="0" t="n">
        <v>5073</v>
      </c>
      <c r="S1168" s="0" t="n">
        <v>9665</v>
      </c>
      <c r="T1168" s="0" t="n">
        <v>49.65</v>
      </c>
      <c r="U1168" s="0" t="n">
        <v>1011</v>
      </c>
      <c r="V1168" s="0" t="n">
        <v>5</v>
      </c>
      <c r="W1168" s="27" t="n">
        <f aca="false">MATCH(A1168,DATAS,0)</f>
        <v>1</v>
      </c>
      <c r="X1168" s="27" t="n">
        <f aca="false">IF(AND(E1168&gt;0,OR(AND(B1168&gt;=1,B1168&lt;=6),B1168=10)),1,0)</f>
        <v>1</v>
      </c>
      <c r="Y1168" s="27" t="n">
        <f aca="false">IF(AND(E1168&gt;0,B1168=10),1,0)</f>
        <v>0</v>
      </c>
      <c r="Z1168" s="0" t="str">
        <f aca="false">IF(AND(C1167=C1168,W1167=W1168-1),X1167,"")</f>
        <v/>
      </c>
      <c r="AA1168" s="0" t="str">
        <f aca="false">IF(AND(C1167=C1168,W1167=W1168-1),Y1167,"")</f>
        <v/>
      </c>
      <c r="AB1168" s="0" t="str">
        <f aca="false">IF(W1168=1,"",IF(AND(X1168=1,Z1168&lt;&gt;1),1,0))</f>
        <v/>
      </c>
      <c r="AC1168" s="0" t="str">
        <f aca="false">IF(W1168=1,"",IF(AND(Y1168=1,AA1168&lt;&gt;1),1,0))</f>
        <v/>
      </c>
      <c r="AD1168" s="33" t="str">
        <f aca="false">IF(AND(E1168&gt;0,W1168&lt;1,NOT(AND(C1169=C1168,W1169=W1168+1))),INDEX(DATAS,W1168+1),"")</f>
        <v/>
      </c>
      <c r="AE1168" s="33" t="str">
        <f aca="false">IF(AND(Y1168=1,W1168&lt;1),IF(AND(C1169=C1168,W1169=W1168+1),IF(Y1169=1,"",INDEX(DATAS,W1168+1)),INDEX(DATAS,W1168+1)),"")</f>
        <v/>
      </c>
    </row>
    <row r="1169" customFormat="false" ht="15" hidden="false" customHeight="false" outlineLevel="0" collapsed="false">
      <c r="A1169" s="33" t="n">
        <v>46309</v>
      </c>
      <c r="B1169" s="0" t="n">
        <v>5</v>
      </c>
      <c r="C1169" s="0" t="n">
        <v>5220</v>
      </c>
      <c r="D1169" s="0" t="n">
        <v>392</v>
      </c>
      <c r="E1169" s="0" t="n">
        <v>1</v>
      </c>
      <c r="F1169" s="27" t="s">
        <v>823</v>
      </c>
      <c r="G1169" s="0" t="n">
        <v>39.8</v>
      </c>
      <c r="H1169" s="0" t="n">
        <v>32</v>
      </c>
      <c r="I1169" s="27" t="s">
        <v>138</v>
      </c>
      <c r="J1169" s="0" t="n">
        <v>210</v>
      </c>
      <c r="K1169" s="0" t="n">
        <v>63</v>
      </c>
      <c r="L1169" s="0" t="n">
        <v>182</v>
      </c>
      <c r="M1169" s="0" t="n">
        <v>244.13</v>
      </c>
      <c r="N1169" s="0" t="n">
        <v>38.99</v>
      </c>
      <c r="O1169" s="0" t="n">
        <v>15.67</v>
      </c>
      <c r="P1169" s="0" t="n">
        <v>5.48</v>
      </c>
      <c r="Q1169" s="0" t="n">
        <v>3.76</v>
      </c>
      <c r="R1169" s="0" t="n">
        <v>1807</v>
      </c>
      <c r="S1169" s="0" t="n">
        <v>5164</v>
      </c>
      <c r="T1169" s="0" t="n">
        <v>24.15</v>
      </c>
      <c r="U1169" s="0" t="n">
        <v>1010</v>
      </c>
      <c r="V1169" s="0" t="n">
        <v>6</v>
      </c>
      <c r="W1169" s="27" t="n">
        <f aca="false">MATCH(A1169,DATAS,0)</f>
        <v>1</v>
      </c>
      <c r="X1169" s="27" t="n">
        <f aca="false">IF(AND(E1169&gt;0,OR(AND(B1169&gt;=1,B1169&lt;=6),B1169=10)),1,0)</f>
        <v>1</v>
      </c>
      <c r="Y1169" s="27" t="n">
        <f aca="false">IF(AND(E1169&gt;0,B1169=10),1,0)</f>
        <v>0</v>
      </c>
      <c r="Z1169" s="0" t="str">
        <f aca="false">IF(AND(C1168=C1169,W1168=W1169-1),X1168,"")</f>
        <v/>
      </c>
      <c r="AA1169" s="0" t="str">
        <f aca="false">IF(AND(C1168=C1169,W1168=W1169-1),Y1168,"")</f>
        <v/>
      </c>
      <c r="AB1169" s="0" t="str">
        <f aca="false">IF(W1169=1,"",IF(AND(X1169=1,Z1169&lt;&gt;1),1,0))</f>
        <v/>
      </c>
      <c r="AC1169" s="0" t="str">
        <f aca="false">IF(W1169=1,"",IF(AND(Y1169=1,AA1169&lt;&gt;1),1,0))</f>
        <v/>
      </c>
      <c r="AD1169" s="33" t="str">
        <f aca="false">IF(AND(E1169&gt;0,W1169&lt;1,NOT(AND(C1170=C1169,W1170=W1169+1))),INDEX(DATAS,W1169+1),"")</f>
        <v/>
      </c>
      <c r="AE1169" s="33" t="str">
        <f aca="false">IF(AND(Y1169=1,W1169&lt;1),IF(AND(C1170=C1169,W1170=W1169+1),IF(Y1170=1,"",INDEX(DATAS,W1169+1)),INDEX(DATAS,W1169+1)),"")</f>
        <v/>
      </c>
    </row>
    <row r="1170" customFormat="false" ht="15" hidden="false" customHeight="false" outlineLevel="0" collapsed="false">
      <c r="A1170" s="33" t="n">
        <v>46309</v>
      </c>
      <c r="B1170" s="0" t="n">
        <v>4</v>
      </c>
      <c r="C1170" s="0" t="n">
        <v>5221</v>
      </c>
      <c r="D1170" s="0" t="n">
        <v>302</v>
      </c>
      <c r="E1170" s="0" t="n">
        <v>1</v>
      </c>
      <c r="F1170" s="27" t="s">
        <v>823</v>
      </c>
      <c r="G1170" s="0" t="n">
        <v>39.8</v>
      </c>
      <c r="H1170" s="0" t="n">
        <v>38</v>
      </c>
      <c r="I1170" s="27" t="s">
        <v>168</v>
      </c>
      <c r="J1170" s="0" t="n">
        <v>302</v>
      </c>
      <c r="K1170" s="0" t="n">
        <v>78</v>
      </c>
      <c r="M1170" s="0" t="n">
        <v>797.69</v>
      </c>
      <c r="N1170" s="0" t="n">
        <v>65.41</v>
      </c>
      <c r="O1170" s="0" t="n">
        <v>37.28</v>
      </c>
      <c r="P1170" s="0" t="n">
        <v>2.74</v>
      </c>
      <c r="Q1170" s="0" t="n">
        <v>3.67</v>
      </c>
      <c r="R1170" s="0" t="n">
        <v>4094</v>
      </c>
      <c r="S1170" s="0" t="n">
        <v>8342</v>
      </c>
      <c r="T1170" s="0" t="n">
        <v>41.9</v>
      </c>
      <c r="U1170" s="0" t="n">
        <v>1010</v>
      </c>
      <c r="V1170" s="0" t="n">
        <v>6</v>
      </c>
      <c r="W1170" s="27" t="n">
        <f aca="false">MATCH(A1170,DATAS,0)</f>
        <v>1</v>
      </c>
      <c r="X1170" s="27" t="n">
        <f aca="false">IF(AND(E1170&gt;0,OR(AND(B1170&gt;=1,B1170&lt;=6),B1170=10)),1,0)</f>
        <v>1</v>
      </c>
      <c r="Y1170" s="27" t="n">
        <f aca="false">IF(AND(E1170&gt;0,B1170=10),1,0)</f>
        <v>0</v>
      </c>
      <c r="Z1170" s="0" t="str">
        <f aca="false">IF(AND(C1169=C1170,W1169=W1170-1),X1169,"")</f>
        <v/>
      </c>
      <c r="AA1170" s="0" t="str">
        <f aca="false">IF(AND(C1169=C1170,W1169=W1170-1),Y1169,"")</f>
        <v/>
      </c>
      <c r="AB1170" s="0" t="str">
        <f aca="false">IF(W1170=1,"",IF(AND(X1170=1,Z1170&lt;&gt;1),1,0))</f>
        <v/>
      </c>
      <c r="AC1170" s="0" t="str">
        <f aca="false">IF(W1170=1,"",IF(AND(Y1170=1,AA1170&lt;&gt;1),1,0))</f>
        <v/>
      </c>
      <c r="AD1170" s="33" t="str">
        <f aca="false">IF(AND(E1170&gt;0,W1170&lt;1,NOT(AND(C1171=C1170,W1171=W1170+1))),INDEX(DATAS,W1170+1),"")</f>
        <v/>
      </c>
      <c r="AE1170" s="33" t="str">
        <f aca="false">IF(AND(Y1170=1,W1170&lt;1),IF(AND(C1171=C1170,W1171=W1170+1),IF(Y1171=1,"",INDEX(DATAS,W1170+1)),INDEX(DATAS,W1170+1)),"")</f>
        <v/>
      </c>
    </row>
    <row r="1171" customFormat="false" ht="15" hidden="false" customHeight="false" outlineLevel="0" collapsed="false">
      <c r="A1171" s="33" t="n">
        <v>46309</v>
      </c>
      <c r="B1171" s="0" t="n">
        <v>5</v>
      </c>
      <c r="C1171" s="0" t="n">
        <v>5222</v>
      </c>
      <c r="D1171" s="0" t="n">
        <v>361</v>
      </c>
      <c r="E1171" s="0" t="n">
        <v>1</v>
      </c>
      <c r="F1171" s="27" t="s">
        <v>823</v>
      </c>
      <c r="G1171" s="0" t="n">
        <v>40</v>
      </c>
      <c r="H1171" s="0" t="n">
        <v>35</v>
      </c>
      <c r="I1171" s="27" t="s">
        <v>138</v>
      </c>
      <c r="J1171" s="0" t="n">
        <v>235</v>
      </c>
      <c r="K1171" s="0" t="n">
        <v>68</v>
      </c>
      <c r="L1171" s="0" t="n">
        <v>126</v>
      </c>
      <c r="M1171" s="0" t="n">
        <v>746.39</v>
      </c>
      <c r="N1171" s="0" t="n">
        <v>33.2</v>
      </c>
      <c r="O1171" s="0" t="n">
        <v>31.17</v>
      </c>
      <c r="P1171" s="0" t="n">
        <v>3.57</v>
      </c>
      <c r="Q1171" s="0" t="n">
        <v>3.4</v>
      </c>
      <c r="R1171" s="0" t="n">
        <v>4064</v>
      </c>
      <c r="S1171" s="0" t="n">
        <v>9178</v>
      </c>
      <c r="T1171" s="0" t="n">
        <v>48.9</v>
      </c>
      <c r="U1171" s="0" t="n">
        <v>1010</v>
      </c>
      <c r="V1171" s="0" t="n">
        <v>6</v>
      </c>
      <c r="W1171" s="27" t="n">
        <f aca="false">MATCH(A1171,DATAS,0)</f>
        <v>1</v>
      </c>
      <c r="X1171" s="27" t="n">
        <f aca="false">IF(AND(E1171&gt;0,OR(AND(B1171&gt;=1,B1171&lt;=6),B1171=10)),1,0)</f>
        <v>1</v>
      </c>
      <c r="Y1171" s="27" t="n">
        <f aca="false">IF(AND(E1171&gt;0,B1171=10),1,0)</f>
        <v>0</v>
      </c>
      <c r="Z1171" s="0" t="str">
        <f aca="false">IF(AND(C1170=C1171,W1170=W1171-1),X1170,"")</f>
        <v/>
      </c>
      <c r="AA1171" s="0" t="str">
        <f aca="false">IF(AND(C1170=C1171,W1170=W1171-1),Y1170,"")</f>
        <v/>
      </c>
      <c r="AB1171" s="0" t="str">
        <f aca="false">IF(W1171=1,"",IF(AND(X1171=1,Z1171&lt;&gt;1),1,0))</f>
        <v/>
      </c>
      <c r="AC1171" s="0" t="str">
        <f aca="false">IF(W1171=1,"",IF(AND(Y1171=1,AA1171&lt;&gt;1),1,0))</f>
        <v/>
      </c>
      <c r="AD1171" s="33" t="str">
        <f aca="false">IF(AND(E1171&gt;0,W1171&lt;1,NOT(AND(C1172=C1171,W1172=W1171+1))),INDEX(DATAS,W1171+1),"")</f>
        <v/>
      </c>
      <c r="AE1171" s="33" t="str">
        <f aca="false">IF(AND(Y1171=1,W1171&lt;1),IF(AND(C1172=C1171,W1172=W1171+1),IF(Y1172=1,"",INDEX(DATAS,W1171+1)),INDEX(DATAS,W1171+1)),"")</f>
        <v/>
      </c>
    </row>
    <row r="1172" customFormat="false" ht="15" hidden="false" customHeight="false" outlineLevel="0" collapsed="false">
      <c r="A1172" s="33" t="n">
        <v>46309</v>
      </c>
      <c r="B1172" s="0" t="n">
        <v>7</v>
      </c>
      <c r="C1172" s="0" t="n">
        <v>5223</v>
      </c>
      <c r="D1172" s="0" t="n">
        <v>379</v>
      </c>
      <c r="E1172" s="0" t="n">
        <v>1</v>
      </c>
      <c r="F1172" s="27" t="s">
        <v>824</v>
      </c>
      <c r="I1172" s="27" t="s">
        <v>143</v>
      </c>
      <c r="J1172" s="0" t="n">
        <v>159</v>
      </c>
      <c r="K1172" s="0" t="n">
        <v>65</v>
      </c>
      <c r="L1172" s="0" t="n">
        <v>235</v>
      </c>
      <c r="M1172" s="0" t="n">
        <v>1089.95</v>
      </c>
      <c r="N1172" s="0" t="n">
        <v>33.95</v>
      </c>
      <c r="O1172" s="0" t="n">
        <v>37.61</v>
      </c>
      <c r="P1172" s="0" t="n">
        <v>3.87</v>
      </c>
      <c r="Q1172" s="0" t="n">
        <v>3.98</v>
      </c>
      <c r="R1172" s="0" t="n">
        <v>3820</v>
      </c>
      <c r="S1172" s="0" t="n">
        <v>9202</v>
      </c>
      <c r="T1172" s="0" t="n">
        <v>43.4</v>
      </c>
      <c r="U1172" s="0" t="n">
        <v>1009</v>
      </c>
      <c r="V1172" s="0" t="n">
        <v>4</v>
      </c>
      <c r="W1172" s="27" t="n">
        <f aca="false">MATCH(A1172,DATAS,0)</f>
        <v>1</v>
      </c>
      <c r="X1172" s="27" t="n">
        <f aca="false">IF(AND(E1172&gt;0,OR(AND(B1172&gt;=1,B1172&lt;=6),B1172=10)),1,0)</f>
        <v>0</v>
      </c>
      <c r="Y1172" s="27" t="n">
        <f aca="false">IF(AND(E1172&gt;0,B1172=10),1,0)</f>
        <v>0</v>
      </c>
      <c r="Z1172" s="0" t="str">
        <f aca="false">IF(AND(C1171=C1172,W1171=W1172-1),X1171,"")</f>
        <v/>
      </c>
      <c r="AA1172" s="0" t="str">
        <f aca="false">IF(AND(C1171=C1172,W1171=W1172-1),Y1171,"")</f>
        <v/>
      </c>
      <c r="AB1172" s="0" t="str">
        <f aca="false">IF(W1172=1,"",IF(AND(X1172=1,Z1172&lt;&gt;1),1,0))</f>
        <v/>
      </c>
      <c r="AC1172" s="0" t="str">
        <f aca="false">IF(W1172=1,"",IF(AND(Y1172=1,AA1172&lt;&gt;1),1,0))</f>
        <v/>
      </c>
      <c r="AD1172" s="33" t="str">
        <f aca="false">IF(AND(E1172&gt;0,W1172&lt;1,NOT(AND(C1173=C1172,W1173=W1172+1))),INDEX(DATAS,W1172+1),"")</f>
        <v/>
      </c>
      <c r="AE1172" s="33" t="str">
        <f aca="false">IF(AND(Y1172=1,W1172&lt;1),IF(AND(C1173=C1172,W1173=W1172+1),IF(Y1173=1,"",INDEX(DATAS,W1172+1)),INDEX(DATAS,W1172+1)),"")</f>
        <v/>
      </c>
    </row>
    <row r="1173" customFormat="false" ht="15" hidden="false" customHeight="false" outlineLevel="0" collapsed="false">
      <c r="A1173" s="33" t="n">
        <v>46309</v>
      </c>
      <c r="B1173" s="0" t="n">
        <v>2</v>
      </c>
      <c r="C1173" s="0" t="n">
        <v>5224</v>
      </c>
      <c r="D1173" s="0" t="n">
        <v>24</v>
      </c>
      <c r="E1173" s="0" t="n">
        <v>2</v>
      </c>
      <c r="F1173" s="27" t="s">
        <v>824</v>
      </c>
      <c r="G1173" s="0" t="n">
        <v>49.9</v>
      </c>
      <c r="H1173" s="0" t="n">
        <v>46</v>
      </c>
      <c r="I1173" s="27" t="s">
        <v>147</v>
      </c>
      <c r="J1173" s="0" t="n">
        <v>24</v>
      </c>
      <c r="M1173" s="0" t="n">
        <v>429.64</v>
      </c>
      <c r="N1173" s="0" t="n">
        <v>89.57</v>
      </c>
      <c r="O1173" s="0" t="n">
        <v>31.74</v>
      </c>
      <c r="R1173" s="0" t="n">
        <v>3448</v>
      </c>
      <c r="S1173" s="0" t="n">
        <v>6931</v>
      </c>
      <c r="U1173" s="0" t="n">
        <v>1009</v>
      </c>
      <c r="V1173" s="0" t="n">
        <v>0</v>
      </c>
      <c r="W1173" s="27" t="n">
        <f aca="false">MATCH(A1173,DATAS,0)</f>
        <v>1</v>
      </c>
      <c r="X1173" s="27" t="n">
        <f aca="false">IF(AND(E1173&gt;0,OR(AND(B1173&gt;=1,B1173&lt;=6),B1173=10)),1,0)</f>
        <v>1</v>
      </c>
      <c r="Y1173" s="27" t="n">
        <f aca="false">IF(AND(E1173&gt;0,B1173=10),1,0)</f>
        <v>0</v>
      </c>
      <c r="Z1173" s="0" t="str">
        <f aca="false">IF(AND(C1172=C1173,W1172=W1173-1),X1172,"")</f>
        <v/>
      </c>
      <c r="AA1173" s="0" t="str">
        <f aca="false">IF(AND(C1172=C1173,W1172=W1173-1),Y1172,"")</f>
        <v/>
      </c>
      <c r="AB1173" s="0" t="str">
        <f aca="false">IF(W1173=1,"",IF(AND(X1173=1,Z1173&lt;&gt;1),1,0))</f>
        <v/>
      </c>
      <c r="AC1173" s="0" t="str">
        <f aca="false">IF(W1173=1,"",IF(AND(Y1173=1,AA1173&lt;&gt;1),1,0))</f>
        <v/>
      </c>
      <c r="AD1173" s="33" t="str">
        <f aca="false">IF(AND(E1173&gt;0,W1173&lt;1,NOT(AND(C1174=C1173,W1174=W1173+1))),INDEX(DATAS,W1173+1),"")</f>
        <v/>
      </c>
      <c r="AE1173" s="33" t="str">
        <f aca="false">IF(AND(Y1173=1,W1173&lt;1),IF(AND(C1174=C1173,W1174=W1173+1),IF(Y1174=1,"",INDEX(DATAS,W1173+1)),INDEX(DATAS,W1173+1)),"")</f>
        <v/>
      </c>
    </row>
    <row r="1174" customFormat="false" ht="15" hidden="false" customHeight="false" outlineLevel="0" collapsed="false">
      <c r="A1174" s="33" t="n">
        <v>46309</v>
      </c>
      <c r="B1174" s="0" t="n">
        <v>4</v>
      </c>
      <c r="C1174" s="0" t="n">
        <v>5225</v>
      </c>
      <c r="D1174" s="0" t="n">
        <v>350</v>
      </c>
      <c r="E1174" s="0" t="n">
        <v>1</v>
      </c>
      <c r="F1174" s="27" t="s">
        <v>824</v>
      </c>
      <c r="G1174" s="0" t="n">
        <v>48</v>
      </c>
      <c r="H1174" s="0" t="n">
        <v>49</v>
      </c>
      <c r="I1174" s="27" t="s">
        <v>168</v>
      </c>
      <c r="J1174" s="0" t="n">
        <v>350</v>
      </c>
      <c r="K1174" s="0" t="n">
        <v>64</v>
      </c>
      <c r="M1174" s="0" t="n">
        <v>1418.84</v>
      </c>
      <c r="N1174" s="0" t="n">
        <v>42.54</v>
      </c>
      <c r="O1174" s="0" t="n">
        <v>35.55</v>
      </c>
      <c r="P1174" s="0" t="n">
        <v>3.81</v>
      </c>
      <c r="Q1174" s="0" t="n">
        <v>3.53</v>
      </c>
      <c r="R1174" s="0" t="n">
        <v>4570</v>
      </c>
      <c r="S1174" s="0" t="n">
        <v>9870</v>
      </c>
      <c r="T1174" s="0" t="n">
        <v>44.9</v>
      </c>
      <c r="U1174" s="0" t="n">
        <v>1009</v>
      </c>
      <c r="V1174" s="0" t="n">
        <v>10</v>
      </c>
      <c r="W1174" s="27" t="n">
        <f aca="false">MATCH(A1174,DATAS,0)</f>
        <v>1</v>
      </c>
      <c r="X1174" s="27" t="n">
        <f aca="false">IF(AND(E1174&gt;0,OR(AND(B1174&gt;=1,B1174&lt;=6),B1174=10)),1,0)</f>
        <v>1</v>
      </c>
      <c r="Y1174" s="27" t="n">
        <f aca="false">IF(AND(E1174&gt;0,B1174=10),1,0)</f>
        <v>0</v>
      </c>
      <c r="Z1174" s="0" t="str">
        <f aca="false">IF(AND(C1173=C1174,W1173=W1174-1),X1173,"")</f>
        <v/>
      </c>
      <c r="AA1174" s="0" t="str">
        <f aca="false">IF(AND(C1173=C1174,W1173=W1174-1),Y1173,"")</f>
        <v/>
      </c>
      <c r="AB1174" s="0" t="str">
        <f aca="false">IF(W1174=1,"",IF(AND(X1174=1,Z1174&lt;&gt;1),1,0))</f>
        <v/>
      </c>
      <c r="AC1174" s="0" t="str">
        <f aca="false">IF(W1174=1,"",IF(AND(Y1174=1,AA1174&lt;&gt;1),1,0))</f>
        <v/>
      </c>
      <c r="AD1174" s="33" t="str">
        <f aca="false">IF(AND(E1174&gt;0,W1174&lt;1,NOT(AND(C1175=C1174,W1175=W1174+1))),INDEX(DATAS,W1174+1),"")</f>
        <v/>
      </c>
      <c r="AE1174" s="33" t="str">
        <f aca="false">IF(AND(Y1174=1,W1174&lt;1),IF(AND(C1175=C1174,W1175=W1174+1),IF(Y1175=1,"",INDEX(DATAS,W1174+1)),INDEX(DATAS,W1174+1)),"")</f>
        <v/>
      </c>
    </row>
    <row r="1175" customFormat="false" ht="15" hidden="false" customHeight="false" outlineLevel="0" collapsed="false">
      <c r="A1175" s="33" t="n">
        <v>46309</v>
      </c>
      <c r="B1175" s="0" t="n">
        <v>4</v>
      </c>
      <c r="C1175" s="0" t="n">
        <v>5226</v>
      </c>
      <c r="D1175" s="0" t="n">
        <v>297</v>
      </c>
      <c r="E1175" s="0" t="n">
        <v>1</v>
      </c>
      <c r="F1175" s="27" t="s">
        <v>825</v>
      </c>
      <c r="G1175" s="0" t="n">
        <v>48.8</v>
      </c>
      <c r="H1175" s="0" t="n">
        <v>52</v>
      </c>
      <c r="I1175" s="27" t="s">
        <v>138</v>
      </c>
      <c r="J1175" s="0" t="n">
        <v>122</v>
      </c>
      <c r="K1175" s="0" t="n">
        <v>52</v>
      </c>
      <c r="L1175" s="0" t="n">
        <v>175</v>
      </c>
      <c r="M1175" s="0" t="n">
        <v>425.22</v>
      </c>
      <c r="N1175" s="0" t="n">
        <v>86.62</v>
      </c>
      <c r="O1175" s="0" t="n">
        <v>27.62</v>
      </c>
      <c r="P1175" s="0" t="n">
        <v>4.94</v>
      </c>
      <c r="Q1175" s="0" t="n">
        <v>3.54</v>
      </c>
      <c r="R1175" s="0" t="n">
        <v>4346</v>
      </c>
      <c r="S1175" s="0" t="n">
        <v>9374</v>
      </c>
      <c r="T1175" s="0" t="n">
        <v>44.55</v>
      </c>
      <c r="U1175" s="0" t="n">
        <v>1008</v>
      </c>
      <c r="V1175" s="0" t="n">
        <v>4</v>
      </c>
      <c r="W1175" s="27" t="n">
        <f aca="false">MATCH(A1175,DATAS,0)</f>
        <v>1</v>
      </c>
      <c r="X1175" s="27" t="n">
        <f aca="false">IF(AND(E1175&gt;0,OR(AND(B1175&gt;=1,B1175&lt;=6),B1175=10)),1,0)</f>
        <v>1</v>
      </c>
      <c r="Y1175" s="27" t="n">
        <f aca="false">IF(AND(E1175&gt;0,B1175=10),1,0)</f>
        <v>0</v>
      </c>
      <c r="Z1175" s="0" t="str">
        <f aca="false">IF(AND(C1174=C1175,W1174=W1175-1),X1174,"")</f>
        <v/>
      </c>
      <c r="AA1175" s="0" t="str">
        <f aca="false">IF(AND(C1174=C1175,W1174=W1175-1),Y1174,"")</f>
        <v/>
      </c>
      <c r="AB1175" s="0" t="str">
        <f aca="false">IF(W1175=1,"",IF(AND(X1175=1,Z1175&lt;&gt;1),1,0))</f>
        <v/>
      </c>
      <c r="AC1175" s="0" t="str">
        <f aca="false">IF(W1175=1,"",IF(AND(Y1175=1,AA1175&lt;&gt;1),1,0))</f>
        <v/>
      </c>
      <c r="AD1175" s="33" t="str">
        <f aca="false">IF(AND(E1175&gt;0,W1175&lt;1,NOT(AND(C1176=C1175,W1176=W1175+1))),INDEX(DATAS,W1175+1),"")</f>
        <v/>
      </c>
      <c r="AE1175" s="33" t="str">
        <f aca="false">IF(AND(Y1175=1,W1175&lt;1),IF(AND(C1176=C1175,W1176=W1175+1),IF(Y1176=1,"",INDEX(DATAS,W1175+1)),INDEX(DATAS,W1175+1)),"")</f>
        <v/>
      </c>
    </row>
    <row r="1176" customFormat="false" ht="15" hidden="false" customHeight="false" outlineLevel="0" collapsed="false">
      <c r="A1176" s="33" t="n">
        <v>46309</v>
      </c>
      <c r="B1176" s="0" t="n">
        <v>10</v>
      </c>
      <c r="C1176" s="0" t="n">
        <v>5227</v>
      </c>
      <c r="D1176" s="0" t="n">
        <v>11</v>
      </c>
      <c r="E1176" s="0" t="n">
        <v>2</v>
      </c>
      <c r="F1176" s="27" t="s">
        <v>826</v>
      </c>
      <c r="G1176" s="0" t="n">
        <v>23</v>
      </c>
      <c r="H1176" s="0" t="n">
        <v>22</v>
      </c>
      <c r="I1176" s="27" t="s">
        <v>147</v>
      </c>
      <c r="J1176" s="0" t="n">
        <v>11</v>
      </c>
      <c r="M1176" s="0" t="n">
        <v>588.28</v>
      </c>
      <c r="N1176" s="0" t="n">
        <v>85.47</v>
      </c>
      <c r="O1176" s="0" t="n">
        <v>43.18</v>
      </c>
      <c r="R1176" s="0" t="n">
        <v>1659</v>
      </c>
      <c r="S1176" s="0" t="n">
        <v>3335</v>
      </c>
      <c r="U1176" s="0" t="n">
        <v>1007</v>
      </c>
      <c r="V1176" s="0" t="n">
        <v>0</v>
      </c>
      <c r="W1176" s="27" t="n">
        <f aca="false">MATCH(A1176,DATAS,0)</f>
        <v>1</v>
      </c>
      <c r="X1176" s="27" t="n">
        <f aca="false">IF(AND(E1176&gt;0,OR(AND(B1176&gt;=1,B1176&lt;=6),B1176=10)),1,0)</f>
        <v>1</v>
      </c>
      <c r="Y1176" s="27" t="n">
        <f aca="false">IF(AND(E1176&gt;0,B1176=10),1,0)</f>
        <v>1</v>
      </c>
      <c r="Z1176" s="0" t="str">
        <f aca="false">IF(AND(C1175=C1176,W1175=W1176-1),X1175,"")</f>
        <v/>
      </c>
      <c r="AA1176" s="0" t="str">
        <f aca="false">IF(AND(C1175=C1176,W1175=W1176-1),Y1175,"")</f>
        <v/>
      </c>
      <c r="AB1176" s="0" t="str">
        <f aca="false">IF(W1176=1,"",IF(AND(X1176=1,Z1176&lt;&gt;1),1,0))</f>
        <v/>
      </c>
      <c r="AC1176" s="0" t="str">
        <f aca="false">IF(W1176=1,"",IF(AND(Y1176=1,AA1176&lt;&gt;1),1,0))</f>
        <v/>
      </c>
      <c r="AD1176" s="33" t="str">
        <f aca="false">IF(AND(E1176&gt;0,W1176&lt;1,NOT(AND(C1177=C1176,W1177=W1176+1))),INDEX(DATAS,W1176+1),"")</f>
        <v/>
      </c>
      <c r="AE1176" s="33" t="str">
        <f aca="false">IF(AND(Y1176=1,W1176&lt;1),IF(AND(C1177=C1176,W1177=W1176+1),IF(Y1177=1,"",INDEX(DATAS,W1176+1)),INDEX(DATAS,W1176+1)),"")</f>
        <v/>
      </c>
    </row>
    <row r="1177" customFormat="false" ht="15" hidden="false" customHeight="false" outlineLevel="0" collapsed="false">
      <c r="A1177" s="33" t="n">
        <v>46309</v>
      </c>
      <c r="B1177" s="0" t="n">
        <v>14</v>
      </c>
      <c r="C1177" s="0" t="n">
        <v>5228</v>
      </c>
      <c r="D1177" s="0" t="n">
        <v>287</v>
      </c>
      <c r="E1177" s="0" t="n">
        <v>1</v>
      </c>
      <c r="F1177" s="27" t="s">
        <v>826</v>
      </c>
      <c r="I1177" s="27" t="s">
        <v>143</v>
      </c>
      <c r="J1177" s="0" t="n">
        <v>64</v>
      </c>
      <c r="K1177" s="0" t="n">
        <v>64</v>
      </c>
      <c r="L1177" s="0" t="n">
        <v>238</v>
      </c>
      <c r="M1177" s="0" t="n">
        <v>445.46</v>
      </c>
      <c r="N1177" s="0" t="n">
        <v>72.1</v>
      </c>
      <c r="O1177" s="0" t="n">
        <v>18.49</v>
      </c>
      <c r="P1177" s="0" t="n">
        <v>4.39</v>
      </c>
      <c r="Q1177" s="0" t="n">
        <v>3.4</v>
      </c>
      <c r="R1177" s="0" t="n">
        <v>3658</v>
      </c>
      <c r="S1177" s="0" t="n">
        <v>7961</v>
      </c>
      <c r="T1177" s="0" t="n">
        <v>40.7</v>
      </c>
      <c r="U1177" s="0" t="n">
        <v>1007</v>
      </c>
      <c r="V1177" s="0" t="n">
        <v>1</v>
      </c>
      <c r="W1177" s="27" t="n">
        <f aca="false">MATCH(A1177,DATAS,0)</f>
        <v>1</v>
      </c>
      <c r="X1177" s="27" t="n">
        <f aca="false">IF(AND(E1177&gt;0,OR(AND(B1177&gt;=1,B1177&lt;=6),B1177=10)),1,0)</f>
        <v>0</v>
      </c>
      <c r="Y1177" s="27" t="n">
        <f aca="false">IF(AND(E1177&gt;0,B1177=10),1,0)</f>
        <v>0</v>
      </c>
      <c r="Z1177" s="0" t="str">
        <f aca="false">IF(AND(C1176=C1177,W1176=W1177-1),X1176,"")</f>
        <v/>
      </c>
      <c r="AA1177" s="0" t="str">
        <f aca="false">IF(AND(C1176=C1177,W1176=W1177-1),Y1176,"")</f>
        <v/>
      </c>
      <c r="AB1177" s="0" t="str">
        <f aca="false">IF(W1177=1,"",IF(AND(X1177=1,Z1177&lt;&gt;1),1,0))</f>
        <v/>
      </c>
      <c r="AC1177" s="0" t="str">
        <f aca="false">IF(W1177=1,"",IF(AND(Y1177=1,AA1177&lt;&gt;1),1,0))</f>
        <v/>
      </c>
      <c r="AD1177" s="33" t="str">
        <f aca="false">IF(AND(E1177&gt;0,W1177&lt;1,NOT(AND(C1178=C1177,W1178=W1177+1))),INDEX(DATAS,W1177+1),"")</f>
        <v/>
      </c>
      <c r="AE1177" s="33" t="str">
        <f aca="false">IF(AND(Y1177=1,W1177&lt;1),IF(AND(C1178=C1177,W1178=W1177+1),IF(Y1178=1,"",INDEX(DATAS,W1177+1)),INDEX(DATAS,W1177+1)),"")</f>
        <v/>
      </c>
    </row>
    <row r="1178" customFormat="false" ht="15" hidden="false" customHeight="false" outlineLevel="0" collapsed="false">
      <c r="A1178" s="33" t="n">
        <v>46309</v>
      </c>
      <c r="B1178" s="0" t="n">
        <v>5</v>
      </c>
      <c r="C1178" s="0" t="n">
        <v>5229</v>
      </c>
      <c r="D1178" s="0" t="n">
        <v>373</v>
      </c>
      <c r="E1178" s="0" t="n">
        <v>1</v>
      </c>
      <c r="F1178" s="27" t="s">
        <v>826</v>
      </c>
      <c r="G1178" s="0" t="n">
        <v>45.8</v>
      </c>
      <c r="H1178" s="0" t="n">
        <v>41</v>
      </c>
      <c r="I1178" s="27" t="s">
        <v>138</v>
      </c>
      <c r="J1178" s="0" t="n">
        <v>228</v>
      </c>
      <c r="K1178" s="0" t="n">
        <v>65</v>
      </c>
      <c r="L1178" s="0" t="n">
        <v>145</v>
      </c>
      <c r="M1178" s="0" t="n">
        <v>802.16</v>
      </c>
      <c r="N1178" s="0" t="n">
        <v>63.33</v>
      </c>
      <c r="O1178" s="0" t="n">
        <v>38.99</v>
      </c>
      <c r="P1178" s="0" t="n">
        <v>3.57</v>
      </c>
      <c r="Q1178" s="0" t="n">
        <v>3.56</v>
      </c>
      <c r="R1178" s="0" t="n">
        <v>3717</v>
      </c>
      <c r="S1178" s="0" t="n">
        <v>8917</v>
      </c>
      <c r="T1178" s="0" t="n">
        <v>41.05</v>
      </c>
      <c r="U1178" s="0" t="n">
        <v>1007</v>
      </c>
      <c r="V1178" s="0" t="n">
        <v>6</v>
      </c>
      <c r="W1178" s="27" t="n">
        <f aca="false">MATCH(A1178,DATAS,0)</f>
        <v>1</v>
      </c>
      <c r="X1178" s="27" t="n">
        <f aca="false">IF(AND(E1178&gt;0,OR(AND(B1178&gt;=1,B1178&lt;=6),B1178=10)),1,0)</f>
        <v>1</v>
      </c>
      <c r="Y1178" s="27" t="n">
        <f aca="false">IF(AND(E1178&gt;0,B1178=10),1,0)</f>
        <v>0</v>
      </c>
      <c r="Z1178" s="0" t="str">
        <f aca="false">IF(AND(C1177=C1178,W1177=W1178-1),X1177,"")</f>
        <v/>
      </c>
      <c r="AA1178" s="0" t="str">
        <f aca="false">IF(AND(C1177=C1178,W1177=W1178-1),Y1177,"")</f>
        <v/>
      </c>
      <c r="AB1178" s="0" t="str">
        <f aca="false">IF(W1178=1,"",IF(AND(X1178=1,Z1178&lt;&gt;1),1,0))</f>
        <v/>
      </c>
      <c r="AC1178" s="0" t="str">
        <f aca="false">IF(W1178=1,"",IF(AND(Y1178=1,AA1178&lt;&gt;1),1,0))</f>
        <v/>
      </c>
      <c r="AD1178" s="33" t="str">
        <f aca="false">IF(AND(E1178&gt;0,W1178&lt;1,NOT(AND(C1179=C1178,W1179=W1178+1))),INDEX(DATAS,W1178+1),"")</f>
        <v/>
      </c>
      <c r="AE1178" s="33" t="str">
        <f aca="false">IF(AND(Y1178=1,W1178&lt;1),IF(AND(C1179=C1178,W1179=W1178+1),IF(Y1179=1,"",INDEX(DATAS,W1178+1)),INDEX(DATAS,W1178+1)),"")</f>
        <v/>
      </c>
    </row>
    <row r="1179" customFormat="false" ht="15" hidden="false" customHeight="false" outlineLevel="0" collapsed="false">
      <c r="A1179" s="33" t="n">
        <v>46309</v>
      </c>
      <c r="B1179" s="0" t="n">
        <v>4</v>
      </c>
      <c r="C1179" s="0" t="n">
        <v>5230</v>
      </c>
      <c r="D1179" s="0" t="n">
        <v>276</v>
      </c>
      <c r="E1179" s="0" t="n">
        <v>1</v>
      </c>
      <c r="F1179" s="27" t="s">
        <v>826</v>
      </c>
      <c r="G1179" s="0" t="n">
        <v>46.5</v>
      </c>
      <c r="H1179" s="0" t="n">
        <v>48</v>
      </c>
      <c r="I1179" s="27" t="s">
        <v>168</v>
      </c>
      <c r="J1179" s="0" t="n">
        <v>276</v>
      </c>
      <c r="K1179" s="0" t="n">
        <v>73</v>
      </c>
      <c r="M1179" s="0" t="n">
        <v>447.35</v>
      </c>
      <c r="N1179" s="0" t="n">
        <v>86.51</v>
      </c>
      <c r="O1179" s="0" t="n">
        <v>41.97</v>
      </c>
      <c r="P1179" s="0" t="n">
        <v>3.35</v>
      </c>
      <c r="Q1179" s="0" t="n">
        <v>3.62</v>
      </c>
      <c r="R1179" s="0" t="n">
        <v>4192</v>
      </c>
      <c r="S1179" s="0" t="n">
        <v>8679</v>
      </c>
      <c r="T1179" s="0" t="n">
        <v>41.7</v>
      </c>
      <c r="U1179" s="0" t="n">
        <v>1007</v>
      </c>
      <c r="V1179" s="0" t="n">
        <v>7</v>
      </c>
      <c r="W1179" s="27" t="n">
        <f aca="false">MATCH(A1179,DATAS,0)</f>
        <v>1</v>
      </c>
      <c r="X1179" s="27" t="n">
        <f aca="false">IF(AND(E1179&gt;0,OR(AND(B1179&gt;=1,B1179&lt;=6),B1179=10)),1,0)</f>
        <v>1</v>
      </c>
      <c r="Y1179" s="27" t="n">
        <f aca="false">IF(AND(E1179&gt;0,B1179=10),1,0)</f>
        <v>0</v>
      </c>
      <c r="Z1179" s="0" t="str">
        <f aca="false">IF(AND(C1178=C1179,W1178=W1179-1),X1178,"")</f>
        <v/>
      </c>
      <c r="AA1179" s="0" t="str">
        <f aca="false">IF(AND(C1178=C1179,W1178=W1179-1),Y1178,"")</f>
        <v/>
      </c>
      <c r="AB1179" s="0" t="str">
        <f aca="false">IF(W1179=1,"",IF(AND(X1179=1,Z1179&lt;&gt;1),1,0))</f>
        <v/>
      </c>
      <c r="AC1179" s="0" t="str">
        <f aca="false">IF(W1179=1,"",IF(AND(Y1179=1,AA1179&lt;&gt;1),1,0))</f>
        <v/>
      </c>
      <c r="AD1179" s="33" t="str">
        <f aca="false">IF(AND(E1179&gt;0,W1179&lt;1,NOT(AND(C1180=C1179,W1180=W1179+1))),INDEX(DATAS,W1179+1),"")</f>
        <v/>
      </c>
      <c r="AE1179" s="33" t="str">
        <f aca="false">IF(AND(Y1179=1,W1179&lt;1),IF(AND(C1180=C1179,W1180=W1179+1),IF(Y1180=1,"",INDEX(DATAS,W1179+1)),INDEX(DATAS,W1179+1)),"")</f>
        <v/>
      </c>
    </row>
    <row r="1180" customFormat="false" ht="15" hidden="false" customHeight="false" outlineLevel="0" collapsed="false">
      <c r="A1180" s="33" t="n">
        <v>46309</v>
      </c>
      <c r="B1180" s="0" t="n">
        <v>7</v>
      </c>
      <c r="C1180" s="0" t="n">
        <v>5231</v>
      </c>
      <c r="D1180" s="0" t="n">
        <v>373</v>
      </c>
      <c r="E1180" s="0" t="n">
        <v>1</v>
      </c>
      <c r="F1180" s="27" t="s">
        <v>826</v>
      </c>
      <c r="I1180" s="27" t="s">
        <v>143</v>
      </c>
      <c r="J1180" s="0" t="n">
        <v>150</v>
      </c>
      <c r="K1180" s="0" t="n">
        <v>66</v>
      </c>
      <c r="L1180" s="0" t="n">
        <v>238</v>
      </c>
      <c r="M1180" s="0" t="n">
        <v>740.63</v>
      </c>
      <c r="N1180" s="0" t="n">
        <v>17.4</v>
      </c>
      <c r="O1180" s="0" t="n">
        <v>25.58</v>
      </c>
      <c r="P1180" s="0" t="n">
        <v>5.37</v>
      </c>
      <c r="Q1180" s="0" t="n">
        <v>3.71</v>
      </c>
      <c r="R1180" s="0" t="n">
        <v>3769</v>
      </c>
      <c r="S1180" s="0" t="n">
        <v>8287</v>
      </c>
      <c r="T1180" s="0" t="n">
        <v>46.7</v>
      </c>
      <c r="U1180" s="0" t="n">
        <v>1007</v>
      </c>
      <c r="V1180" s="0" t="n">
        <v>4</v>
      </c>
      <c r="W1180" s="27" t="n">
        <f aca="false">MATCH(A1180,DATAS,0)</f>
        <v>1</v>
      </c>
      <c r="X1180" s="27" t="n">
        <f aca="false">IF(AND(E1180&gt;0,OR(AND(B1180&gt;=1,B1180&lt;=6),B1180=10)),1,0)</f>
        <v>0</v>
      </c>
      <c r="Y1180" s="27" t="n">
        <f aca="false">IF(AND(E1180&gt;0,B1180=10),1,0)</f>
        <v>0</v>
      </c>
      <c r="Z1180" s="0" t="str">
        <f aca="false">IF(AND(C1179=C1180,W1179=W1180-1),X1179,"")</f>
        <v/>
      </c>
      <c r="AA1180" s="0" t="str">
        <f aca="false">IF(AND(C1179=C1180,W1179=W1180-1),Y1179,"")</f>
        <v/>
      </c>
      <c r="AB1180" s="0" t="str">
        <f aca="false">IF(W1180=1,"",IF(AND(X1180=1,Z1180&lt;&gt;1),1,0))</f>
        <v/>
      </c>
      <c r="AC1180" s="0" t="str">
        <f aca="false">IF(W1180=1,"",IF(AND(Y1180=1,AA1180&lt;&gt;1),1,0))</f>
        <v/>
      </c>
      <c r="AD1180" s="33" t="str">
        <f aca="false">IF(AND(E1180&gt;0,W1180&lt;1,NOT(AND(C1181=C1180,W1181=W1180+1))),INDEX(DATAS,W1180+1),"")</f>
        <v/>
      </c>
      <c r="AE1180" s="33" t="str">
        <f aca="false">IF(AND(Y1180=1,W1180&lt;1),IF(AND(C1181=C1180,W1181=W1180+1),IF(Y1181=1,"",INDEX(DATAS,W1180+1)),INDEX(DATAS,W1180+1)),"")</f>
        <v/>
      </c>
    </row>
    <row r="1181" customFormat="false" ht="15" hidden="false" customHeight="false" outlineLevel="0" collapsed="false">
      <c r="A1181" s="33" t="n">
        <v>46309</v>
      </c>
      <c r="B1181" s="0" t="n">
        <v>5</v>
      </c>
      <c r="C1181" s="0" t="n">
        <v>5232</v>
      </c>
      <c r="D1181" s="0" t="n">
        <v>381</v>
      </c>
      <c r="E1181" s="0" t="n">
        <v>1</v>
      </c>
      <c r="F1181" s="27" t="s">
        <v>827</v>
      </c>
      <c r="G1181" s="0" t="n">
        <v>37.1</v>
      </c>
      <c r="H1181" s="0" t="n">
        <v>33</v>
      </c>
      <c r="I1181" s="27" t="s">
        <v>138</v>
      </c>
      <c r="J1181" s="0" t="n">
        <v>332</v>
      </c>
      <c r="K1181" s="0" t="n">
        <v>66</v>
      </c>
      <c r="L1181" s="0" t="n">
        <v>49</v>
      </c>
      <c r="M1181" s="0" t="n">
        <v>493.39</v>
      </c>
      <c r="N1181" s="0" t="n">
        <v>66.4</v>
      </c>
      <c r="O1181" s="0" t="n">
        <v>32.08</v>
      </c>
      <c r="P1181" s="0" t="n">
        <v>5.16</v>
      </c>
      <c r="Q1181" s="0" t="n">
        <v>4.17</v>
      </c>
      <c r="R1181" s="0" t="n">
        <v>4616</v>
      </c>
      <c r="S1181" s="0" t="n">
        <v>9550</v>
      </c>
      <c r="T1181" s="0" t="n">
        <v>51.3</v>
      </c>
      <c r="U1181" s="0" t="n">
        <v>1006</v>
      </c>
      <c r="V1181" s="0" t="n">
        <v>7</v>
      </c>
      <c r="W1181" s="27" t="n">
        <f aca="false">MATCH(A1181,DATAS,0)</f>
        <v>1</v>
      </c>
      <c r="X1181" s="27" t="n">
        <f aca="false">IF(AND(E1181&gt;0,OR(AND(B1181&gt;=1,B1181&lt;=6),B1181=10)),1,0)</f>
        <v>1</v>
      </c>
      <c r="Y1181" s="27" t="n">
        <f aca="false">IF(AND(E1181&gt;0,B1181=10),1,0)</f>
        <v>0</v>
      </c>
      <c r="Z1181" s="0" t="str">
        <f aca="false">IF(AND(C1180=C1181,W1180=W1181-1),X1180,"")</f>
        <v/>
      </c>
      <c r="AA1181" s="0" t="str">
        <f aca="false">IF(AND(C1180=C1181,W1180=W1181-1),Y1180,"")</f>
        <v/>
      </c>
      <c r="AB1181" s="0" t="str">
        <f aca="false">IF(W1181=1,"",IF(AND(X1181=1,Z1181&lt;&gt;1),1,0))</f>
        <v/>
      </c>
      <c r="AC1181" s="0" t="str">
        <f aca="false">IF(W1181=1,"",IF(AND(Y1181=1,AA1181&lt;&gt;1),1,0))</f>
        <v/>
      </c>
      <c r="AD1181" s="33" t="str">
        <f aca="false">IF(AND(E1181&gt;0,W1181&lt;1,NOT(AND(C1182=C1181,W1182=W1181+1))),INDEX(DATAS,W1181+1),"")</f>
        <v/>
      </c>
      <c r="AE1181" s="33" t="str">
        <f aca="false">IF(AND(Y1181=1,W1181&lt;1),IF(AND(C1182=C1181,W1182=W1181+1),IF(Y1182=1,"",INDEX(DATAS,W1181+1)),INDEX(DATAS,W1181+1)),"")</f>
        <v/>
      </c>
    </row>
    <row r="1182" customFormat="false" ht="15" hidden="false" customHeight="false" outlineLevel="0" collapsed="false">
      <c r="A1182" s="33" t="n">
        <v>46309</v>
      </c>
      <c r="B1182" s="0" t="n">
        <v>5</v>
      </c>
      <c r="C1182" s="0" t="n">
        <v>5233</v>
      </c>
      <c r="D1182" s="0" t="n">
        <v>371</v>
      </c>
      <c r="E1182" s="0" t="n">
        <v>1</v>
      </c>
      <c r="F1182" s="27" t="s">
        <v>827</v>
      </c>
      <c r="G1182" s="0" t="n">
        <v>54.7</v>
      </c>
      <c r="H1182" s="0" t="n">
        <v>49</v>
      </c>
      <c r="I1182" s="27" t="s">
        <v>138</v>
      </c>
      <c r="J1182" s="0" t="n">
        <v>322</v>
      </c>
      <c r="K1182" s="0" t="n">
        <v>63</v>
      </c>
      <c r="L1182" s="0" t="n">
        <v>49</v>
      </c>
      <c r="M1182" s="0" t="n">
        <v>423.11</v>
      </c>
      <c r="N1182" s="0" t="n">
        <v>73.11</v>
      </c>
      <c r="O1182" s="0" t="n">
        <v>41.92</v>
      </c>
      <c r="P1182" s="0" t="n">
        <v>3.78</v>
      </c>
      <c r="Q1182" s="0" t="n">
        <v>3.97</v>
      </c>
      <c r="R1182" s="0" t="n">
        <v>5494</v>
      </c>
      <c r="S1182" s="0" t="n">
        <v>10917</v>
      </c>
      <c r="T1182" s="0" t="n">
        <v>57.35</v>
      </c>
      <c r="U1182" s="0" t="n">
        <v>1006</v>
      </c>
      <c r="V1182" s="0" t="n">
        <v>8</v>
      </c>
      <c r="W1182" s="27" t="n">
        <f aca="false">MATCH(A1182,DATAS,0)</f>
        <v>1</v>
      </c>
      <c r="X1182" s="27" t="n">
        <f aca="false">IF(AND(E1182&gt;0,OR(AND(B1182&gt;=1,B1182&lt;=6),B1182=10)),1,0)</f>
        <v>1</v>
      </c>
      <c r="Y1182" s="27" t="n">
        <f aca="false">IF(AND(E1182&gt;0,B1182=10),1,0)</f>
        <v>0</v>
      </c>
      <c r="Z1182" s="0" t="str">
        <f aca="false">IF(AND(C1181=C1182,W1181=W1182-1),X1181,"")</f>
        <v/>
      </c>
      <c r="AA1182" s="0" t="str">
        <f aca="false">IF(AND(C1181=C1182,W1181=W1182-1),Y1181,"")</f>
        <v/>
      </c>
      <c r="AB1182" s="0" t="str">
        <f aca="false">IF(W1182=1,"",IF(AND(X1182=1,Z1182&lt;&gt;1),1,0))</f>
        <v/>
      </c>
      <c r="AC1182" s="0" t="str">
        <f aca="false">IF(W1182=1,"",IF(AND(Y1182=1,AA1182&lt;&gt;1),1,0))</f>
        <v/>
      </c>
      <c r="AD1182" s="33" t="str">
        <f aca="false">IF(AND(E1182&gt;0,W1182&lt;1,NOT(AND(C1183=C1182,W1183=W1182+1))),INDEX(DATAS,W1182+1),"")</f>
        <v/>
      </c>
      <c r="AE1182" s="33" t="str">
        <f aca="false">IF(AND(Y1182=1,W1182&lt;1),IF(AND(C1183=C1182,W1183=W1182+1),IF(Y1183=1,"",INDEX(DATAS,W1182+1)),INDEX(DATAS,W1182+1)),"")</f>
        <v/>
      </c>
    </row>
    <row r="1183" customFormat="false" ht="15" hidden="false" customHeight="false" outlineLevel="0" collapsed="false">
      <c r="A1183" s="33" t="n">
        <v>46309</v>
      </c>
      <c r="B1183" s="0" t="n">
        <v>5</v>
      </c>
      <c r="C1183" s="0" t="n">
        <v>5235</v>
      </c>
      <c r="D1183" s="0" t="n">
        <v>46</v>
      </c>
      <c r="E1183" s="0" t="n">
        <v>2</v>
      </c>
      <c r="F1183" s="27" t="s">
        <v>828</v>
      </c>
      <c r="G1183" s="0" t="n">
        <v>41.1</v>
      </c>
      <c r="H1183" s="0" t="n">
        <v>42</v>
      </c>
      <c r="I1183" s="27" t="s">
        <v>147</v>
      </c>
      <c r="J1183" s="0" t="n">
        <v>46</v>
      </c>
      <c r="M1183" s="0" t="n">
        <v>425.16</v>
      </c>
      <c r="N1183" s="0" t="n">
        <v>89.41</v>
      </c>
      <c r="O1183" s="0" t="n">
        <v>43.97</v>
      </c>
      <c r="P1183" s="0" t="n">
        <v>3.65</v>
      </c>
      <c r="Q1183" s="0" t="n">
        <v>4.16</v>
      </c>
      <c r="R1183" s="0" t="n">
        <v>3371</v>
      </c>
      <c r="S1183" s="0" t="n">
        <v>6776</v>
      </c>
      <c r="U1183" s="0" t="n">
        <v>1005</v>
      </c>
      <c r="V1183" s="0" t="n">
        <v>0</v>
      </c>
      <c r="W1183" s="27" t="n">
        <f aca="false">MATCH(A1183,DATAS,0)</f>
        <v>1</v>
      </c>
      <c r="X1183" s="27" t="n">
        <f aca="false">IF(AND(E1183&gt;0,OR(AND(B1183&gt;=1,B1183&lt;=6),B1183=10)),1,0)</f>
        <v>1</v>
      </c>
      <c r="Y1183" s="27" t="n">
        <f aca="false">IF(AND(E1183&gt;0,B1183=10),1,0)</f>
        <v>0</v>
      </c>
      <c r="Z1183" s="0" t="str">
        <f aca="false">IF(AND(C1182=C1183,W1182=W1183-1),X1182,"")</f>
        <v/>
      </c>
      <c r="AA1183" s="0" t="str">
        <f aca="false">IF(AND(C1182=C1183,W1182=W1183-1),Y1182,"")</f>
        <v/>
      </c>
      <c r="AB1183" s="0" t="str">
        <f aca="false">IF(W1183=1,"",IF(AND(X1183=1,Z1183&lt;&gt;1),1,0))</f>
        <v/>
      </c>
      <c r="AC1183" s="0" t="str">
        <f aca="false">IF(W1183=1,"",IF(AND(Y1183=1,AA1183&lt;&gt;1),1,0))</f>
        <v/>
      </c>
      <c r="AD1183" s="33" t="str">
        <f aca="false">IF(AND(E1183&gt;0,W1183&lt;1,NOT(AND(C1184=C1183,W1184=W1183+1))),INDEX(DATAS,W1183+1),"")</f>
        <v/>
      </c>
      <c r="AE1183" s="33" t="str">
        <f aca="false">IF(AND(Y1183=1,W1183&lt;1),IF(AND(C1184=C1183,W1184=W1183+1),IF(Y1184=1,"",INDEX(DATAS,W1183+1)),INDEX(DATAS,W1183+1)),"")</f>
        <v/>
      </c>
    </row>
    <row r="1184" customFormat="false" ht="15" hidden="false" customHeight="false" outlineLevel="0" collapsed="false">
      <c r="A1184" s="33" t="n">
        <v>46309</v>
      </c>
      <c r="B1184" s="0" t="n">
        <v>4</v>
      </c>
      <c r="C1184" s="0" t="n">
        <v>5236</v>
      </c>
      <c r="D1184" s="0" t="n">
        <v>325</v>
      </c>
      <c r="E1184" s="0" t="n">
        <v>1</v>
      </c>
      <c r="F1184" s="27" t="s">
        <v>828</v>
      </c>
      <c r="G1184" s="0" t="n">
        <v>49.6</v>
      </c>
      <c r="H1184" s="0" t="n">
        <v>47</v>
      </c>
      <c r="I1184" s="27" t="s">
        <v>138</v>
      </c>
      <c r="J1184" s="0" t="n">
        <v>192</v>
      </c>
      <c r="K1184" s="0" t="n">
        <v>66</v>
      </c>
      <c r="L1184" s="0" t="n">
        <v>133</v>
      </c>
      <c r="M1184" s="0" t="n">
        <v>892.09</v>
      </c>
      <c r="N1184" s="0" t="n">
        <v>66.69</v>
      </c>
      <c r="O1184" s="0" t="n">
        <v>42.81</v>
      </c>
      <c r="P1184" s="0" t="n">
        <v>3.57</v>
      </c>
      <c r="Q1184" s="0" t="n">
        <v>3.71</v>
      </c>
      <c r="R1184" s="0" t="n">
        <v>4778</v>
      </c>
      <c r="S1184" s="0" t="n">
        <v>9470</v>
      </c>
      <c r="T1184" s="0" t="n">
        <v>49.3</v>
      </c>
      <c r="U1184" s="0" t="n">
        <v>1005</v>
      </c>
      <c r="V1184" s="0" t="n">
        <v>4</v>
      </c>
      <c r="W1184" s="27" t="n">
        <f aca="false">MATCH(A1184,DATAS,0)</f>
        <v>1</v>
      </c>
      <c r="X1184" s="27" t="n">
        <f aca="false">IF(AND(E1184&gt;0,OR(AND(B1184&gt;=1,B1184&lt;=6),B1184=10)),1,0)</f>
        <v>1</v>
      </c>
      <c r="Y1184" s="27" t="n">
        <f aca="false">IF(AND(E1184&gt;0,B1184=10),1,0)</f>
        <v>0</v>
      </c>
      <c r="Z1184" s="0" t="str">
        <f aca="false">IF(AND(C1183=C1184,W1183=W1184-1),X1183,"")</f>
        <v/>
      </c>
      <c r="AA1184" s="0" t="str">
        <f aca="false">IF(AND(C1183=C1184,W1183=W1184-1),Y1183,"")</f>
        <v/>
      </c>
      <c r="AB1184" s="0" t="str">
        <f aca="false">IF(W1184=1,"",IF(AND(X1184=1,Z1184&lt;&gt;1),1,0))</f>
        <v/>
      </c>
      <c r="AC1184" s="0" t="str">
        <f aca="false">IF(W1184=1,"",IF(AND(Y1184=1,AA1184&lt;&gt;1),1,0))</f>
        <v/>
      </c>
      <c r="AD1184" s="33" t="str">
        <f aca="false">IF(AND(E1184&gt;0,W1184&lt;1,NOT(AND(C1185=C1184,W1185=W1184+1))),INDEX(DATAS,W1184+1),"")</f>
        <v/>
      </c>
      <c r="AE1184" s="33" t="str">
        <f aca="false">IF(AND(Y1184=1,W1184&lt;1),IF(AND(C1185=C1184,W1185=W1184+1),IF(Y1185=1,"",INDEX(DATAS,W1184+1)),INDEX(DATAS,W1184+1)),"")</f>
        <v/>
      </c>
    </row>
    <row r="1185" customFormat="false" ht="15" hidden="false" customHeight="false" outlineLevel="0" collapsed="false">
      <c r="A1185" s="33" t="n">
        <v>46309</v>
      </c>
      <c r="B1185" s="0" t="n">
        <v>4</v>
      </c>
      <c r="C1185" s="0" t="n">
        <v>5238</v>
      </c>
      <c r="D1185" s="0" t="n">
        <v>327</v>
      </c>
      <c r="E1185" s="0" t="n">
        <v>1</v>
      </c>
      <c r="F1185" s="27" t="s">
        <v>828</v>
      </c>
      <c r="G1185" s="0" t="n">
        <v>47.5</v>
      </c>
      <c r="H1185" s="0" t="n">
        <v>48</v>
      </c>
      <c r="I1185" s="27" t="s">
        <v>138</v>
      </c>
      <c r="J1185" s="0" t="n">
        <v>278</v>
      </c>
      <c r="K1185" s="0" t="n">
        <v>68</v>
      </c>
      <c r="L1185" s="0" t="n">
        <v>49</v>
      </c>
      <c r="M1185" s="0" t="n">
        <v>1064.77</v>
      </c>
      <c r="N1185" s="0" t="n">
        <v>77.62</v>
      </c>
      <c r="O1185" s="0" t="n">
        <v>37.86</v>
      </c>
      <c r="P1185" s="0" t="n">
        <v>3.26</v>
      </c>
      <c r="Q1185" s="0" t="n">
        <v>3.51</v>
      </c>
      <c r="R1185" s="0" t="n">
        <v>4887</v>
      </c>
      <c r="S1185" s="0" t="n">
        <v>10529</v>
      </c>
      <c r="T1185" s="0" t="n">
        <v>55.55</v>
      </c>
      <c r="U1185" s="0" t="n">
        <v>1005</v>
      </c>
      <c r="V1185" s="0" t="n">
        <v>7</v>
      </c>
      <c r="W1185" s="27" t="n">
        <f aca="false">MATCH(A1185,DATAS,0)</f>
        <v>1</v>
      </c>
      <c r="X1185" s="27" t="n">
        <f aca="false">IF(AND(E1185&gt;0,OR(AND(B1185&gt;=1,B1185&lt;=6),B1185=10)),1,0)</f>
        <v>1</v>
      </c>
      <c r="Y1185" s="27" t="n">
        <f aca="false">IF(AND(E1185&gt;0,B1185=10),1,0)</f>
        <v>0</v>
      </c>
      <c r="Z1185" s="0" t="str">
        <f aca="false">IF(AND(C1184=C1185,W1184=W1185-1),X1184,"")</f>
        <v/>
      </c>
      <c r="AA1185" s="0" t="str">
        <f aca="false">IF(AND(C1184=C1185,W1184=W1185-1),Y1184,"")</f>
        <v/>
      </c>
      <c r="AB1185" s="0" t="str">
        <f aca="false">IF(W1185=1,"",IF(AND(X1185=1,Z1185&lt;&gt;1),1,0))</f>
        <v/>
      </c>
      <c r="AC1185" s="0" t="str">
        <f aca="false">IF(W1185=1,"",IF(AND(Y1185=1,AA1185&lt;&gt;1),1,0))</f>
        <v/>
      </c>
      <c r="AD1185" s="33" t="str">
        <f aca="false">IF(AND(E1185&gt;0,W1185&lt;1,NOT(AND(C1186=C1185,W1186=W1185+1))),INDEX(DATAS,W1185+1),"")</f>
        <v/>
      </c>
      <c r="AE1185" s="33" t="str">
        <f aca="false">IF(AND(Y1185=1,W1185&lt;1),IF(AND(C1186=C1185,W1186=W1185+1),IF(Y1186=1,"",INDEX(DATAS,W1185+1)),INDEX(DATAS,W1185+1)),"")</f>
        <v/>
      </c>
    </row>
    <row r="1186" customFormat="false" ht="15" hidden="false" customHeight="false" outlineLevel="0" collapsed="false">
      <c r="A1186" s="33" t="n">
        <v>46309</v>
      </c>
      <c r="B1186" s="0" t="n">
        <v>2</v>
      </c>
      <c r="C1186" s="0" t="n">
        <v>5239</v>
      </c>
      <c r="D1186" s="0" t="n">
        <v>12</v>
      </c>
      <c r="E1186" s="0" t="n">
        <v>2</v>
      </c>
      <c r="F1186" s="27" t="s">
        <v>828</v>
      </c>
      <c r="G1186" s="0" t="n">
        <v>34.1</v>
      </c>
      <c r="H1186" s="0" t="n">
        <v>38</v>
      </c>
      <c r="I1186" s="27" t="s">
        <v>147</v>
      </c>
      <c r="J1186" s="0" t="n">
        <v>12</v>
      </c>
      <c r="M1186" s="0" t="n">
        <v>654.09</v>
      </c>
      <c r="N1186" s="0" t="n">
        <v>41.36</v>
      </c>
      <c r="O1186" s="0" t="n">
        <v>38.03</v>
      </c>
      <c r="R1186" s="0" t="n">
        <v>3077</v>
      </c>
      <c r="S1186" s="0" t="n">
        <v>6186</v>
      </c>
      <c r="U1186" s="0" t="n">
        <v>1005</v>
      </c>
      <c r="V1186" s="0" t="n">
        <v>0</v>
      </c>
      <c r="W1186" s="27" t="n">
        <f aca="false">MATCH(A1186,DATAS,0)</f>
        <v>1</v>
      </c>
      <c r="X1186" s="27" t="n">
        <f aca="false">IF(AND(E1186&gt;0,OR(AND(B1186&gt;=1,B1186&lt;=6),B1186=10)),1,0)</f>
        <v>1</v>
      </c>
      <c r="Y1186" s="27" t="n">
        <f aca="false">IF(AND(E1186&gt;0,B1186=10),1,0)</f>
        <v>0</v>
      </c>
      <c r="Z1186" s="0" t="str">
        <f aca="false">IF(AND(C1185=C1186,W1185=W1186-1),X1185,"")</f>
        <v/>
      </c>
      <c r="AA1186" s="0" t="str">
        <f aca="false">IF(AND(C1185=C1186,W1185=W1186-1),Y1185,"")</f>
        <v/>
      </c>
      <c r="AB1186" s="0" t="str">
        <f aca="false">IF(W1186=1,"",IF(AND(X1186=1,Z1186&lt;&gt;1),1,0))</f>
        <v/>
      </c>
      <c r="AC1186" s="0" t="str">
        <f aca="false">IF(W1186=1,"",IF(AND(Y1186=1,AA1186&lt;&gt;1),1,0))</f>
        <v/>
      </c>
      <c r="AD1186" s="33" t="str">
        <f aca="false">IF(AND(E1186&gt;0,W1186&lt;1,NOT(AND(C1187=C1186,W1187=W1186+1))),INDEX(DATAS,W1186+1),"")</f>
        <v/>
      </c>
      <c r="AE1186" s="33" t="str">
        <f aca="false">IF(AND(Y1186=1,W1186&lt;1),IF(AND(C1187=C1186,W1187=W1186+1),IF(Y1187=1,"",INDEX(DATAS,W1186+1)),INDEX(DATAS,W1186+1)),"")</f>
        <v/>
      </c>
    </row>
    <row r="1187" customFormat="false" ht="15" hidden="false" customHeight="false" outlineLevel="0" collapsed="false">
      <c r="A1187" s="33" t="n">
        <v>46309</v>
      </c>
      <c r="B1187" s="0" t="n">
        <v>2</v>
      </c>
      <c r="C1187" s="0" t="n">
        <v>5240</v>
      </c>
      <c r="D1187" s="0" t="n">
        <v>19</v>
      </c>
      <c r="E1187" s="0" t="n">
        <v>2</v>
      </c>
      <c r="F1187" s="27" t="s">
        <v>829</v>
      </c>
      <c r="G1187" s="0" t="n">
        <v>41.8</v>
      </c>
      <c r="H1187" s="0" t="n">
        <v>41</v>
      </c>
      <c r="I1187" s="27" t="s">
        <v>147</v>
      </c>
      <c r="J1187" s="0" t="n">
        <v>19</v>
      </c>
      <c r="M1187" s="0" t="n">
        <v>218.15</v>
      </c>
      <c r="N1187" s="0" t="n">
        <v>66.27</v>
      </c>
      <c r="O1187" s="0" t="n">
        <v>35.83</v>
      </c>
      <c r="R1187" s="0" t="n">
        <v>2790</v>
      </c>
      <c r="S1187" s="0" t="n">
        <v>5609</v>
      </c>
      <c r="U1187" s="0" t="n">
        <v>1004</v>
      </c>
      <c r="V1187" s="0" t="n">
        <v>0</v>
      </c>
      <c r="W1187" s="27" t="n">
        <f aca="false">MATCH(A1187,DATAS,0)</f>
        <v>1</v>
      </c>
      <c r="X1187" s="27" t="n">
        <f aca="false">IF(AND(E1187&gt;0,OR(AND(B1187&gt;=1,B1187&lt;=6),B1187=10)),1,0)</f>
        <v>1</v>
      </c>
      <c r="Y1187" s="27" t="n">
        <f aca="false">IF(AND(E1187&gt;0,B1187=10),1,0)</f>
        <v>0</v>
      </c>
      <c r="Z1187" s="0" t="str">
        <f aca="false">IF(AND(C1186=C1187,W1186=W1187-1),X1186,"")</f>
        <v/>
      </c>
      <c r="AA1187" s="0" t="str">
        <f aca="false">IF(AND(C1186=C1187,W1186=W1187-1),Y1186,"")</f>
        <v/>
      </c>
      <c r="AB1187" s="0" t="str">
        <f aca="false">IF(W1187=1,"",IF(AND(X1187=1,Z1187&lt;&gt;1),1,0))</f>
        <v/>
      </c>
      <c r="AC1187" s="0" t="str">
        <f aca="false">IF(W1187=1,"",IF(AND(Y1187=1,AA1187&lt;&gt;1),1,0))</f>
        <v/>
      </c>
      <c r="AD1187" s="33" t="str">
        <f aca="false">IF(AND(E1187&gt;0,W1187&lt;1,NOT(AND(C1188=C1187,W1188=W1187+1))),INDEX(DATAS,W1187+1),"")</f>
        <v/>
      </c>
      <c r="AE1187" s="33" t="str">
        <f aca="false">IF(AND(Y1187=1,W1187&lt;1),IF(AND(C1188=C1187,W1188=W1187+1),IF(Y1188=1,"",INDEX(DATAS,W1187+1)),INDEX(DATAS,W1187+1)),"")</f>
        <v/>
      </c>
    </row>
    <row r="1188" customFormat="false" ht="15" hidden="false" customHeight="false" outlineLevel="0" collapsed="false">
      <c r="A1188" s="33" t="n">
        <v>46309</v>
      </c>
      <c r="B1188" s="0" t="n">
        <v>3</v>
      </c>
      <c r="C1188" s="0" t="n">
        <v>5241</v>
      </c>
      <c r="D1188" s="0" t="n">
        <v>42</v>
      </c>
      <c r="E1188" s="0" t="n">
        <v>2</v>
      </c>
      <c r="F1188" s="27" t="s">
        <v>829</v>
      </c>
      <c r="G1188" s="0" t="n">
        <v>52.5</v>
      </c>
      <c r="H1188" s="0" t="n">
        <v>51</v>
      </c>
      <c r="I1188" s="27" t="s">
        <v>147</v>
      </c>
      <c r="J1188" s="0" t="n">
        <v>42</v>
      </c>
      <c r="M1188" s="0" t="n">
        <v>885.91</v>
      </c>
      <c r="N1188" s="0" t="n">
        <v>46.75</v>
      </c>
      <c r="O1188" s="0" t="n">
        <v>28.93</v>
      </c>
      <c r="P1188" s="0" t="n">
        <v>3.33</v>
      </c>
      <c r="Q1188" s="0" t="n">
        <v>3.54</v>
      </c>
      <c r="R1188" s="0" t="n">
        <v>4937</v>
      </c>
      <c r="S1188" s="0" t="n">
        <v>9925</v>
      </c>
      <c r="U1188" s="0" t="n">
        <v>1004</v>
      </c>
      <c r="V1188" s="0" t="n">
        <v>0</v>
      </c>
      <c r="W1188" s="27" t="n">
        <f aca="false">MATCH(A1188,DATAS,0)</f>
        <v>1</v>
      </c>
      <c r="X1188" s="27" t="n">
        <f aca="false">IF(AND(E1188&gt;0,OR(AND(B1188&gt;=1,B1188&lt;=6),B1188=10)),1,0)</f>
        <v>1</v>
      </c>
      <c r="Y1188" s="27" t="n">
        <f aca="false">IF(AND(E1188&gt;0,B1188=10),1,0)</f>
        <v>0</v>
      </c>
      <c r="Z1188" s="0" t="str">
        <f aca="false">IF(AND(C1187=C1188,W1187=W1188-1),X1187,"")</f>
        <v/>
      </c>
      <c r="AA1188" s="0" t="str">
        <f aca="false">IF(AND(C1187=C1188,W1187=W1188-1),Y1187,"")</f>
        <v/>
      </c>
      <c r="AB1188" s="0" t="str">
        <f aca="false">IF(W1188=1,"",IF(AND(X1188=1,Z1188&lt;&gt;1),1,0))</f>
        <v/>
      </c>
      <c r="AC1188" s="0" t="str">
        <f aca="false">IF(W1188=1,"",IF(AND(Y1188=1,AA1188&lt;&gt;1),1,0))</f>
        <v/>
      </c>
      <c r="AD1188" s="33" t="str">
        <f aca="false">IF(AND(E1188&gt;0,W1188&lt;1,NOT(AND(C1189=C1188,W1189=W1188+1))),INDEX(DATAS,W1188+1),"")</f>
        <v/>
      </c>
      <c r="AE1188" s="33" t="str">
        <f aca="false">IF(AND(Y1188=1,W1188&lt;1),IF(AND(C1189=C1188,W1189=W1188+1),IF(Y1189=1,"",INDEX(DATAS,W1188+1)),INDEX(DATAS,W1188+1)),"")</f>
        <v/>
      </c>
    </row>
    <row r="1189" customFormat="false" ht="15" hidden="false" customHeight="false" outlineLevel="0" collapsed="false">
      <c r="A1189" s="33" t="n">
        <v>46309</v>
      </c>
      <c r="B1189" s="0" t="n">
        <v>4</v>
      </c>
      <c r="C1189" s="0" t="n">
        <v>5243</v>
      </c>
      <c r="D1189" s="0" t="n">
        <v>329</v>
      </c>
      <c r="E1189" s="0" t="n">
        <v>1</v>
      </c>
      <c r="F1189" s="27" t="s">
        <v>830</v>
      </c>
      <c r="G1189" s="0" t="n">
        <v>39.3</v>
      </c>
      <c r="H1189" s="0" t="n">
        <v>36</v>
      </c>
      <c r="I1189" s="27" t="s">
        <v>168</v>
      </c>
      <c r="J1189" s="0" t="n">
        <v>329</v>
      </c>
      <c r="K1189" s="0" t="n">
        <v>63</v>
      </c>
      <c r="M1189" s="0" t="n">
        <v>635.41</v>
      </c>
      <c r="N1189" s="0" t="n">
        <v>82.33</v>
      </c>
      <c r="O1189" s="0" t="n">
        <v>40.62</v>
      </c>
      <c r="P1189" s="0" t="n">
        <v>3.63</v>
      </c>
      <c r="Q1189" s="0" t="n">
        <v>3.78</v>
      </c>
      <c r="R1189" s="0" t="n">
        <v>4086</v>
      </c>
      <c r="S1189" s="0" t="n">
        <v>7142</v>
      </c>
      <c r="T1189" s="0" t="n">
        <v>45.25</v>
      </c>
      <c r="U1189" s="0" t="n">
        <v>1002</v>
      </c>
      <c r="V1189" s="0" t="n">
        <v>8</v>
      </c>
      <c r="W1189" s="27" t="n">
        <f aca="false">MATCH(A1189,DATAS,0)</f>
        <v>1</v>
      </c>
      <c r="X1189" s="27" t="n">
        <f aca="false">IF(AND(E1189&gt;0,OR(AND(B1189&gt;=1,B1189&lt;=6),B1189=10)),1,0)</f>
        <v>1</v>
      </c>
      <c r="Y1189" s="27" t="n">
        <f aca="false">IF(AND(E1189&gt;0,B1189=10),1,0)</f>
        <v>0</v>
      </c>
      <c r="Z1189" s="0" t="str">
        <f aca="false">IF(AND(C1188=C1189,W1188=W1189-1),X1188,"")</f>
        <v/>
      </c>
      <c r="AA1189" s="0" t="str">
        <f aca="false">IF(AND(C1188=C1189,W1188=W1189-1),Y1188,"")</f>
        <v/>
      </c>
      <c r="AB1189" s="0" t="str">
        <f aca="false">IF(W1189=1,"",IF(AND(X1189=1,Z1189&lt;&gt;1),1,0))</f>
        <v/>
      </c>
      <c r="AC1189" s="0" t="str">
        <f aca="false">IF(W1189=1,"",IF(AND(Y1189=1,AA1189&lt;&gt;1),1,0))</f>
        <v/>
      </c>
      <c r="AD1189" s="33" t="str">
        <f aca="false">IF(AND(E1189&gt;0,W1189&lt;1,NOT(AND(C1190=C1189,W1190=W1189+1))),INDEX(DATAS,W1189+1),"")</f>
        <v/>
      </c>
      <c r="AE1189" s="33" t="str">
        <f aca="false">IF(AND(Y1189=1,W1189&lt;1),IF(AND(C1190=C1189,W1190=W1189+1),IF(Y1190=1,"",INDEX(DATAS,W1189+1)),INDEX(DATAS,W1189+1)),"")</f>
        <v/>
      </c>
    </row>
    <row r="1190" customFormat="false" ht="15" hidden="false" customHeight="false" outlineLevel="0" collapsed="false">
      <c r="A1190" s="33" t="n">
        <v>46309</v>
      </c>
      <c r="B1190" s="0" t="n">
        <v>5</v>
      </c>
      <c r="C1190" s="0" t="n">
        <v>5244</v>
      </c>
      <c r="D1190" s="0" t="n">
        <v>222</v>
      </c>
      <c r="E1190" s="0" t="n">
        <v>1</v>
      </c>
      <c r="F1190" s="27" t="s">
        <v>830</v>
      </c>
      <c r="G1190" s="0" t="n">
        <v>43.6</v>
      </c>
      <c r="H1190" s="0" t="n">
        <v>40</v>
      </c>
      <c r="I1190" s="27" t="s">
        <v>138</v>
      </c>
      <c r="J1190" s="0" t="n">
        <v>68</v>
      </c>
      <c r="K1190" s="0" t="n">
        <v>68</v>
      </c>
      <c r="L1190" s="0" t="n">
        <v>154</v>
      </c>
      <c r="M1190" s="0" t="n">
        <v>1011.48</v>
      </c>
      <c r="N1190" s="0" t="n">
        <v>28.59</v>
      </c>
      <c r="O1190" s="0" t="n">
        <v>33.99</v>
      </c>
      <c r="P1190" s="0" t="n">
        <v>4.29</v>
      </c>
      <c r="Q1190" s="0" t="n">
        <v>3.12</v>
      </c>
      <c r="R1190" s="0" t="n">
        <v>3992</v>
      </c>
      <c r="S1190" s="0" t="n">
        <v>8848</v>
      </c>
      <c r="T1190" s="0" t="n">
        <v>46.2</v>
      </c>
      <c r="U1190" s="0" t="n">
        <v>1002</v>
      </c>
      <c r="V1190" s="0" t="n">
        <v>1</v>
      </c>
      <c r="W1190" s="27" t="n">
        <f aca="false">MATCH(A1190,DATAS,0)</f>
        <v>1</v>
      </c>
      <c r="X1190" s="27" t="n">
        <f aca="false">IF(AND(E1190&gt;0,OR(AND(B1190&gt;=1,B1190&lt;=6),B1190=10)),1,0)</f>
        <v>1</v>
      </c>
      <c r="Y1190" s="27" t="n">
        <f aca="false">IF(AND(E1190&gt;0,B1190=10),1,0)</f>
        <v>0</v>
      </c>
      <c r="Z1190" s="0" t="str">
        <f aca="false">IF(AND(C1189=C1190,W1189=W1190-1),X1189,"")</f>
        <v/>
      </c>
      <c r="AA1190" s="0" t="str">
        <f aca="false">IF(AND(C1189=C1190,W1189=W1190-1),Y1189,"")</f>
        <v/>
      </c>
      <c r="AB1190" s="0" t="str">
        <f aca="false">IF(W1190=1,"",IF(AND(X1190=1,Z1190&lt;&gt;1),1,0))</f>
        <v/>
      </c>
      <c r="AC1190" s="0" t="str">
        <f aca="false">IF(W1190=1,"",IF(AND(Y1190=1,AA1190&lt;&gt;1),1,0))</f>
        <v/>
      </c>
      <c r="AD1190" s="33" t="str">
        <f aca="false">IF(AND(E1190&gt;0,W1190&lt;1,NOT(AND(C1191=C1190,W1191=W1190+1))),INDEX(DATAS,W1190+1),"")</f>
        <v/>
      </c>
      <c r="AE1190" s="33" t="str">
        <f aca="false">IF(AND(Y1190=1,W1190&lt;1),IF(AND(C1191=C1190,W1191=W1190+1),IF(Y1191=1,"",INDEX(DATAS,W1190+1)),INDEX(DATAS,W1190+1)),"")</f>
        <v/>
      </c>
    </row>
    <row r="1191" customFormat="false" ht="15" hidden="false" customHeight="false" outlineLevel="0" collapsed="false">
      <c r="A1191" s="33" t="n">
        <v>46309</v>
      </c>
      <c r="B1191" s="0" t="n">
        <v>5</v>
      </c>
      <c r="C1191" s="0" t="n">
        <v>5245</v>
      </c>
      <c r="D1191" s="0" t="n">
        <v>370</v>
      </c>
      <c r="E1191" s="0" t="n">
        <v>1</v>
      </c>
      <c r="F1191" s="27" t="s">
        <v>831</v>
      </c>
      <c r="G1191" s="0" t="n">
        <v>32.8</v>
      </c>
      <c r="H1191" s="0" t="n">
        <v>29</v>
      </c>
      <c r="I1191" s="27" t="s">
        <v>138</v>
      </c>
      <c r="J1191" s="0" t="n">
        <v>167</v>
      </c>
      <c r="K1191" s="0" t="n">
        <v>70</v>
      </c>
      <c r="L1191" s="0" t="n">
        <v>203</v>
      </c>
      <c r="M1191" s="0" t="n">
        <v>1575.81</v>
      </c>
      <c r="N1191" s="0" t="n">
        <v>31.44</v>
      </c>
      <c r="O1191" s="0" t="n">
        <v>47.99</v>
      </c>
      <c r="P1191" s="0" t="n">
        <v>2.92</v>
      </c>
      <c r="Q1191" s="0" t="n">
        <v>4.02</v>
      </c>
      <c r="R1191" s="0" t="n">
        <v>4468</v>
      </c>
      <c r="S1191" s="0" t="n">
        <v>9147</v>
      </c>
      <c r="T1191" s="0" t="n">
        <v>49.45</v>
      </c>
      <c r="U1191" s="0" t="n">
        <v>1000</v>
      </c>
      <c r="V1191" s="0" t="n">
        <v>5</v>
      </c>
      <c r="W1191" s="27" t="n">
        <f aca="false">MATCH(A1191,DATAS,0)</f>
        <v>1</v>
      </c>
      <c r="X1191" s="27" t="n">
        <f aca="false">IF(AND(E1191&gt;0,OR(AND(B1191&gt;=1,B1191&lt;=6),B1191=10)),1,0)</f>
        <v>1</v>
      </c>
      <c r="Y1191" s="27" t="n">
        <f aca="false">IF(AND(E1191&gt;0,B1191=10),1,0)</f>
        <v>0</v>
      </c>
      <c r="Z1191" s="0" t="str">
        <f aca="false">IF(AND(C1190=C1191,W1190=W1191-1),X1190,"")</f>
        <v/>
      </c>
      <c r="AA1191" s="0" t="str">
        <f aca="false">IF(AND(C1190=C1191,W1190=W1191-1),Y1190,"")</f>
        <v/>
      </c>
      <c r="AB1191" s="0" t="str">
        <f aca="false">IF(W1191=1,"",IF(AND(X1191=1,Z1191&lt;&gt;1),1,0))</f>
        <v/>
      </c>
      <c r="AC1191" s="0" t="str">
        <f aca="false">IF(W1191=1,"",IF(AND(Y1191=1,AA1191&lt;&gt;1),1,0))</f>
        <v/>
      </c>
      <c r="AD1191" s="33" t="str">
        <f aca="false">IF(AND(E1191&gt;0,W1191&lt;1,NOT(AND(C1192=C1191,W1192=W1191+1))),INDEX(DATAS,W1191+1),"")</f>
        <v/>
      </c>
      <c r="AE1191" s="33" t="str">
        <f aca="false">IF(AND(Y1191=1,W1191&lt;1),IF(AND(C1192=C1191,W1192=W1191+1),IF(Y1192=1,"",INDEX(DATAS,W1191+1)),INDEX(DATAS,W1191+1)),"")</f>
        <v/>
      </c>
    </row>
    <row r="1192" customFormat="false" ht="15" hidden="false" customHeight="false" outlineLevel="0" collapsed="false">
      <c r="A1192" s="33" t="n">
        <v>46309</v>
      </c>
      <c r="B1192" s="0" t="n">
        <v>4</v>
      </c>
      <c r="C1192" s="0" t="n">
        <v>5246</v>
      </c>
      <c r="D1192" s="0" t="n">
        <v>287</v>
      </c>
      <c r="E1192" s="0" t="n">
        <v>1</v>
      </c>
      <c r="F1192" s="27" t="s">
        <v>831</v>
      </c>
      <c r="G1192" s="0" t="n">
        <v>39.3</v>
      </c>
      <c r="H1192" s="0" t="n">
        <v>39</v>
      </c>
      <c r="I1192" s="27" t="s">
        <v>138</v>
      </c>
      <c r="J1192" s="0" t="n">
        <v>70</v>
      </c>
      <c r="K1192" s="0" t="n">
        <v>70</v>
      </c>
      <c r="L1192" s="0" t="n">
        <v>217</v>
      </c>
      <c r="M1192" s="0" t="n">
        <v>948.64</v>
      </c>
      <c r="N1192" s="0" t="n">
        <v>74.7</v>
      </c>
      <c r="O1192" s="0" t="n">
        <v>39.77</v>
      </c>
      <c r="P1192" s="0" t="n">
        <v>4.79</v>
      </c>
      <c r="Q1192" s="0" t="n">
        <v>3.64</v>
      </c>
      <c r="R1192" s="0" t="n">
        <v>5086</v>
      </c>
      <c r="S1192" s="0" t="n">
        <v>10061</v>
      </c>
      <c r="T1192" s="0" t="n">
        <v>54.65</v>
      </c>
      <c r="U1192" s="0" t="n">
        <v>1000</v>
      </c>
      <c r="V1192" s="0" t="n">
        <v>1</v>
      </c>
      <c r="W1192" s="27" t="n">
        <f aca="false">MATCH(A1192,DATAS,0)</f>
        <v>1</v>
      </c>
      <c r="X1192" s="27" t="n">
        <f aca="false">IF(AND(E1192&gt;0,OR(AND(B1192&gt;=1,B1192&lt;=6),B1192=10)),1,0)</f>
        <v>1</v>
      </c>
      <c r="Y1192" s="27" t="n">
        <f aca="false">IF(AND(E1192&gt;0,B1192=10),1,0)</f>
        <v>0</v>
      </c>
      <c r="Z1192" s="0" t="str">
        <f aca="false">IF(AND(C1191=C1192,W1191=W1192-1),X1191,"")</f>
        <v/>
      </c>
      <c r="AA1192" s="0" t="str">
        <f aca="false">IF(AND(C1191=C1192,W1191=W1192-1),Y1191,"")</f>
        <v/>
      </c>
      <c r="AB1192" s="0" t="str">
        <f aca="false">IF(W1192=1,"",IF(AND(X1192=1,Z1192&lt;&gt;1),1,0))</f>
        <v/>
      </c>
      <c r="AC1192" s="0" t="str">
        <f aca="false">IF(W1192=1,"",IF(AND(Y1192=1,AA1192&lt;&gt;1),1,0))</f>
        <v/>
      </c>
      <c r="AD1192" s="33" t="str">
        <f aca="false">IF(AND(E1192&gt;0,W1192&lt;1,NOT(AND(C1193=C1192,W1193=W1192+1))),INDEX(DATAS,W1192+1),"")</f>
        <v/>
      </c>
      <c r="AE1192" s="33" t="str">
        <f aca="false">IF(AND(Y1192=1,W1192&lt;1),IF(AND(C1193=C1192,W1193=W1192+1),IF(Y1193=1,"",INDEX(DATAS,W1192+1)),INDEX(DATAS,W1192+1)),"")</f>
        <v/>
      </c>
    </row>
    <row r="1193" customFormat="false" ht="15" hidden="false" customHeight="false" outlineLevel="0" collapsed="false">
      <c r="A1193" s="33" t="n">
        <v>46309</v>
      </c>
      <c r="B1193" s="0" t="n">
        <v>4</v>
      </c>
      <c r="C1193" s="0" t="n">
        <v>5248</v>
      </c>
      <c r="D1193" s="0" t="n">
        <v>233</v>
      </c>
      <c r="E1193" s="0" t="n">
        <v>1</v>
      </c>
      <c r="F1193" s="27" t="s">
        <v>832</v>
      </c>
      <c r="G1193" s="0" t="n">
        <v>32.6</v>
      </c>
      <c r="H1193" s="0" t="n">
        <v>36</v>
      </c>
      <c r="I1193" s="27" t="s">
        <v>138</v>
      </c>
      <c r="J1193" s="0" t="n">
        <v>65</v>
      </c>
      <c r="K1193" s="0" t="n">
        <v>65</v>
      </c>
      <c r="L1193" s="0" t="n">
        <v>168</v>
      </c>
      <c r="M1193" s="0" t="n">
        <v>424.61</v>
      </c>
      <c r="N1193" s="0" t="n">
        <v>73.01</v>
      </c>
      <c r="O1193" s="0" t="n">
        <v>25.38</v>
      </c>
      <c r="P1193" s="0" t="n">
        <v>3.2</v>
      </c>
      <c r="Q1193" s="0" t="n">
        <v>3.79</v>
      </c>
      <c r="R1193" s="0" t="n">
        <v>4754</v>
      </c>
      <c r="S1193" s="0" t="n">
        <v>9756</v>
      </c>
      <c r="T1193" s="0" t="n">
        <v>53.95</v>
      </c>
      <c r="U1193" s="0" t="n">
        <v>998</v>
      </c>
      <c r="V1193" s="0" t="n">
        <v>1</v>
      </c>
      <c r="W1193" s="27" t="n">
        <f aca="false">MATCH(A1193,DATAS,0)</f>
        <v>1</v>
      </c>
      <c r="X1193" s="27" t="n">
        <f aca="false">IF(AND(E1193&gt;0,OR(AND(B1193&gt;=1,B1193&lt;=6),B1193=10)),1,0)</f>
        <v>1</v>
      </c>
      <c r="Y1193" s="27" t="n">
        <f aca="false">IF(AND(E1193&gt;0,B1193=10),1,0)</f>
        <v>0</v>
      </c>
      <c r="Z1193" s="0" t="str">
        <f aca="false">IF(AND(C1192=C1193,W1192=W1193-1),X1192,"")</f>
        <v/>
      </c>
      <c r="AA1193" s="0" t="str">
        <f aca="false">IF(AND(C1192=C1193,W1192=W1193-1),Y1192,"")</f>
        <v/>
      </c>
      <c r="AB1193" s="0" t="str">
        <f aca="false">IF(W1193=1,"",IF(AND(X1193=1,Z1193&lt;&gt;1),1,0))</f>
        <v/>
      </c>
      <c r="AC1193" s="0" t="str">
        <f aca="false">IF(W1193=1,"",IF(AND(Y1193=1,AA1193&lt;&gt;1),1,0))</f>
        <v/>
      </c>
      <c r="AD1193" s="33" t="str">
        <f aca="false">IF(AND(E1193&gt;0,W1193&lt;1,NOT(AND(C1194=C1193,W1194=W1193+1))),INDEX(DATAS,W1193+1),"")</f>
        <v/>
      </c>
      <c r="AE1193" s="33" t="str">
        <f aca="false">IF(AND(Y1193=1,W1193&lt;1),IF(AND(C1194=C1193,W1194=W1193+1),IF(Y1194=1,"",INDEX(DATAS,W1193+1)),INDEX(DATAS,W1193+1)),"")</f>
        <v/>
      </c>
    </row>
    <row r="1194" customFormat="false" ht="15" hidden="false" customHeight="false" outlineLevel="0" collapsed="false">
      <c r="A1194" s="33" t="n">
        <v>46309</v>
      </c>
      <c r="B1194" s="0" t="n">
        <v>6</v>
      </c>
      <c r="C1194" s="0" t="n">
        <v>5249</v>
      </c>
      <c r="D1194" s="0" t="n">
        <v>32</v>
      </c>
      <c r="E1194" s="0" t="n">
        <v>2</v>
      </c>
      <c r="F1194" s="27" t="s">
        <v>832</v>
      </c>
      <c r="G1194" s="0" t="n">
        <v>34.1</v>
      </c>
      <c r="H1194" s="0" t="n">
        <v>24</v>
      </c>
      <c r="I1194" s="27" t="s">
        <v>147</v>
      </c>
      <c r="J1194" s="0" t="n">
        <v>32</v>
      </c>
      <c r="M1194" s="0" t="n">
        <v>267.95</v>
      </c>
      <c r="N1194" s="0" t="n">
        <v>45.65</v>
      </c>
      <c r="O1194" s="0" t="n">
        <v>25.45</v>
      </c>
      <c r="P1194" s="0" t="n">
        <v>4.92</v>
      </c>
      <c r="Q1194" s="0" t="n">
        <v>4.58</v>
      </c>
      <c r="R1194" s="0" t="n">
        <v>2699</v>
      </c>
      <c r="S1194" s="0" t="n">
        <v>5425</v>
      </c>
      <c r="U1194" s="0" t="n">
        <v>998</v>
      </c>
      <c r="V1194" s="0" t="n">
        <v>0</v>
      </c>
      <c r="W1194" s="27" t="n">
        <f aca="false">MATCH(A1194,DATAS,0)</f>
        <v>1</v>
      </c>
      <c r="X1194" s="27" t="n">
        <f aca="false">IF(AND(E1194&gt;0,OR(AND(B1194&gt;=1,B1194&lt;=6),B1194=10)),1,0)</f>
        <v>1</v>
      </c>
      <c r="Y1194" s="27" t="n">
        <f aca="false">IF(AND(E1194&gt;0,B1194=10),1,0)</f>
        <v>0</v>
      </c>
      <c r="Z1194" s="0" t="str">
        <f aca="false">IF(AND(C1193=C1194,W1193=W1194-1),X1193,"")</f>
        <v/>
      </c>
      <c r="AA1194" s="0" t="str">
        <f aca="false">IF(AND(C1193=C1194,W1193=W1194-1),Y1193,"")</f>
        <v/>
      </c>
      <c r="AB1194" s="0" t="str">
        <f aca="false">IF(W1194=1,"",IF(AND(X1194=1,Z1194&lt;&gt;1),1,0))</f>
        <v/>
      </c>
      <c r="AC1194" s="0" t="str">
        <f aca="false">IF(W1194=1,"",IF(AND(Y1194=1,AA1194&lt;&gt;1),1,0))</f>
        <v/>
      </c>
      <c r="AD1194" s="33" t="str">
        <f aca="false">IF(AND(E1194&gt;0,W1194&lt;1,NOT(AND(C1195=C1194,W1195=W1194+1))),INDEX(DATAS,W1194+1),"")</f>
        <v/>
      </c>
      <c r="AE1194" s="33" t="str">
        <f aca="false">IF(AND(Y1194=1,W1194&lt;1),IF(AND(C1195=C1194,W1195=W1194+1),IF(Y1195=1,"",INDEX(DATAS,W1194+1)),INDEX(DATAS,W1194+1)),"")</f>
        <v/>
      </c>
    </row>
    <row r="1195" customFormat="false" ht="15" hidden="false" customHeight="false" outlineLevel="0" collapsed="false">
      <c r="A1195" s="33" t="n">
        <v>46309</v>
      </c>
      <c r="B1195" s="0" t="n">
        <v>5</v>
      </c>
      <c r="C1195" s="0" t="n">
        <v>5250</v>
      </c>
      <c r="D1195" s="0" t="n">
        <v>379</v>
      </c>
      <c r="E1195" s="0" t="n">
        <v>1</v>
      </c>
      <c r="F1195" s="27" t="s">
        <v>832</v>
      </c>
      <c r="G1195" s="0" t="n">
        <v>37.5</v>
      </c>
      <c r="H1195" s="0" t="n">
        <v>34</v>
      </c>
      <c r="I1195" s="27" t="s">
        <v>168</v>
      </c>
      <c r="J1195" s="0" t="n">
        <v>379</v>
      </c>
      <c r="K1195" s="0" t="n">
        <v>64</v>
      </c>
      <c r="M1195" s="0" t="n">
        <v>1000.39</v>
      </c>
      <c r="N1195" s="0" t="n">
        <v>52.82</v>
      </c>
      <c r="O1195" s="0" t="n">
        <v>32.2</v>
      </c>
      <c r="P1195" s="0" t="n">
        <v>4.6</v>
      </c>
      <c r="Q1195" s="0" t="n">
        <v>4.02</v>
      </c>
      <c r="R1195" s="0" t="n">
        <v>4290</v>
      </c>
      <c r="S1195" s="0" t="n">
        <v>8311</v>
      </c>
      <c r="T1195" s="0" t="n">
        <v>43.85</v>
      </c>
      <c r="U1195" s="0" t="n">
        <v>998</v>
      </c>
      <c r="V1195" s="0" t="n">
        <v>9</v>
      </c>
      <c r="W1195" s="27" t="n">
        <f aca="false">MATCH(A1195,DATAS,0)</f>
        <v>1</v>
      </c>
      <c r="X1195" s="27" t="n">
        <f aca="false">IF(AND(E1195&gt;0,OR(AND(B1195&gt;=1,B1195&lt;=6),B1195=10)),1,0)</f>
        <v>1</v>
      </c>
      <c r="Y1195" s="27" t="n">
        <f aca="false">IF(AND(E1195&gt;0,B1195=10),1,0)</f>
        <v>0</v>
      </c>
      <c r="Z1195" s="0" t="str">
        <f aca="false">IF(AND(C1194=C1195,W1194=W1195-1),X1194,"")</f>
        <v/>
      </c>
      <c r="AA1195" s="0" t="str">
        <f aca="false">IF(AND(C1194=C1195,W1194=W1195-1),Y1194,"")</f>
        <v/>
      </c>
      <c r="AB1195" s="0" t="str">
        <f aca="false">IF(W1195=1,"",IF(AND(X1195=1,Z1195&lt;&gt;1),1,0))</f>
        <v/>
      </c>
      <c r="AC1195" s="0" t="str">
        <f aca="false">IF(W1195=1,"",IF(AND(Y1195=1,AA1195&lt;&gt;1),1,0))</f>
        <v/>
      </c>
      <c r="AD1195" s="33" t="str">
        <f aca="false">IF(AND(E1195&gt;0,W1195&lt;1,NOT(AND(C1196=C1195,W1196=W1195+1))),INDEX(DATAS,W1195+1),"")</f>
        <v/>
      </c>
      <c r="AE1195" s="33" t="str">
        <f aca="false">IF(AND(Y1195=1,W1195&lt;1),IF(AND(C1196=C1195,W1196=W1195+1),IF(Y1196=1,"",INDEX(DATAS,W1195+1)),INDEX(DATAS,W1195+1)),"")</f>
        <v/>
      </c>
    </row>
    <row r="1196" customFormat="false" ht="15" hidden="false" customHeight="false" outlineLevel="0" collapsed="false">
      <c r="A1196" s="33" t="n">
        <v>46309</v>
      </c>
      <c r="B1196" s="0" t="n">
        <v>6</v>
      </c>
      <c r="C1196" s="0" t="n">
        <v>5251</v>
      </c>
      <c r="D1196" s="0" t="n">
        <v>371</v>
      </c>
      <c r="E1196" s="0" t="n">
        <v>1</v>
      </c>
      <c r="F1196" s="27" t="s">
        <v>832</v>
      </c>
      <c r="G1196" s="0" t="n">
        <v>14.3</v>
      </c>
      <c r="H1196" s="0" t="n">
        <v>17</v>
      </c>
      <c r="I1196" s="27" t="s">
        <v>138</v>
      </c>
      <c r="J1196" s="0" t="n">
        <v>238</v>
      </c>
      <c r="K1196" s="0" t="n">
        <v>63</v>
      </c>
      <c r="L1196" s="0" t="n">
        <v>133</v>
      </c>
      <c r="M1196" s="0" t="n">
        <v>1214.46</v>
      </c>
      <c r="N1196" s="0" t="n">
        <v>61.47</v>
      </c>
      <c r="O1196" s="0" t="n">
        <v>40.44</v>
      </c>
      <c r="P1196" s="0" t="n">
        <v>3.87</v>
      </c>
      <c r="Q1196" s="0" t="n">
        <v>3.4</v>
      </c>
      <c r="R1196" s="0" t="n">
        <v>4268</v>
      </c>
      <c r="S1196" s="0" t="n">
        <v>9537</v>
      </c>
      <c r="T1196" s="0" t="n">
        <v>44.2</v>
      </c>
      <c r="U1196" s="0" t="n">
        <v>998</v>
      </c>
      <c r="V1196" s="0" t="n">
        <v>6</v>
      </c>
      <c r="W1196" s="27" t="n">
        <f aca="false">MATCH(A1196,DATAS,0)</f>
        <v>1</v>
      </c>
      <c r="X1196" s="27" t="n">
        <f aca="false">IF(AND(E1196&gt;0,OR(AND(B1196&gt;=1,B1196&lt;=6),B1196=10)),1,0)</f>
        <v>1</v>
      </c>
      <c r="Y1196" s="27" t="n">
        <f aca="false">IF(AND(E1196&gt;0,B1196=10),1,0)</f>
        <v>0</v>
      </c>
      <c r="Z1196" s="0" t="str">
        <f aca="false">IF(AND(C1195=C1196,W1195=W1196-1),X1195,"")</f>
        <v/>
      </c>
      <c r="AA1196" s="0" t="str">
        <f aca="false">IF(AND(C1195=C1196,W1195=W1196-1),Y1195,"")</f>
        <v/>
      </c>
      <c r="AB1196" s="0" t="str">
        <f aca="false">IF(W1196=1,"",IF(AND(X1196=1,Z1196&lt;&gt;1),1,0))</f>
        <v/>
      </c>
      <c r="AC1196" s="0" t="str">
        <f aca="false">IF(W1196=1,"",IF(AND(Y1196=1,AA1196&lt;&gt;1),1,0))</f>
        <v/>
      </c>
      <c r="AD1196" s="33" t="str">
        <f aca="false">IF(AND(E1196&gt;0,W1196&lt;1,NOT(AND(C1197=C1196,W1197=W1196+1))),INDEX(DATAS,W1196+1),"")</f>
        <v/>
      </c>
      <c r="AE1196" s="33" t="str">
        <f aca="false">IF(AND(Y1196=1,W1196&lt;1),IF(AND(C1197=C1196,W1197=W1196+1),IF(Y1197=1,"",INDEX(DATAS,W1196+1)),INDEX(DATAS,W1196+1)),"")</f>
        <v/>
      </c>
    </row>
    <row r="1197" customFormat="false" ht="15" hidden="false" customHeight="false" outlineLevel="0" collapsed="false">
      <c r="A1197" s="33" t="n">
        <v>46309</v>
      </c>
      <c r="B1197" s="0" t="n">
        <v>3</v>
      </c>
      <c r="C1197" s="0" t="n">
        <v>5252</v>
      </c>
      <c r="D1197" s="0" t="n">
        <v>28</v>
      </c>
      <c r="E1197" s="0" t="n">
        <v>2</v>
      </c>
      <c r="F1197" s="27" t="s">
        <v>833</v>
      </c>
      <c r="G1197" s="0" t="n">
        <v>51.6</v>
      </c>
      <c r="H1197" s="0" t="n">
        <v>48</v>
      </c>
      <c r="I1197" s="27" t="s">
        <v>147</v>
      </c>
      <c r="J1197" s="0" t="n">
        <v>28</v>
      </c>
      <c r="M1197" s="0" t="n">
        <v>152.9</v>
      </c>
      <c r="N1197" s="0" t="n">
        <v>50.73</v>
      </c>
      <c r="O1197" s="0" t="n">
        <v>26.7</v>
      </c>
      <c r="P1197" s="0" t="n">
        <v>3.84</v>
      </c>
      <c r="Q1197" s="0" t="n">
        <v>5.85</v>
      </c>
      <c r="R1197" s="0" t="n">
        <v>3793</v>
      </c>
      <c r="S1197" s="0" t="n">
        <v>7624</v>
      </c>
      <c r="U1197" s="0" t="n">
        <v>999</v>
      </c>
      <c r="V1197" s="0" t="n">
        <v>0</v>
      </c>
      <c r="W1197" s="27" t="n">
        <f aca="false">MATCH(A1197,DATAS,0)</f>
        <v>1</v>
      </c>
      <c r="X1197" s="27" t="n">
        <f aca="false">IF(AND(E1197&gt;0,OR(AND(B1197&gt;=1,B1197&lt;=6),B1197=10)),1,0)</f>
        <v>1</v>
      </c>
      <c r="Y1197" s="27" t="n">
        <f aca="false">IF(AND(E1197&gt;0,B1197=10),1,0)</f>
        <v>0</v>
      </c>
      <c r="Z1197" s="0" t="str">
        <f aca="false">IF(AND(C1196=C1197,W1196=W1197-1),X1196,"")</f>
        <v/>
      </c>
      <c r="AA1197" s="0" t="str">
        <f aca="false">IF(AND(C1196=C1197,W1196=W1197-1),Y1196,"")</f>
        <v/>
      </c>
      <c r="AB1197" s="0" t="str">
        <f aca="false">IF(W1197=1,"",IF(AND(X1197=1,Z1197&lt;&gt;1),1,0))</f>
        <v/>
      </c>
      <c r="AC1197" s="0" t="str">
        <f aca="false">IF(W1197=1,"",IF(AND(Y1197=1,AA1197&lt;&gt;1),1,0))</f>
        <v/>
      </c>
      <c r="AD1197" s="33" t="str">
        <f aca="false">IF(AND(E1197&gt;0,W1197&lt;1,NOT(AND(C1198=C1197,W1198=W1197+1))),INDEX(DATAS,W1197+1),"")</f>
        <v/>
      </c>
      <c r="AE1197" s="33" t="str">
        <f aca="false">IF(AND(Y1197=1,W1197&lt;1),IF(AND(C1198=C1197,W1198=W1197+1),IF(Y1198=1,"",INDEX(DATAS,W1197+1)),INDEX(DATAS,W1197+1)),"")</f>
        <v/>
      </c>
    </row>
    <row r="1198" customFormat="false" ht="15" hidden="false" customHeight="false" outlineLevel="0" collapsed="false">
      <c r="A1198" s="33" t="n">
        <v>46309</v>
      </c>
      <c r="B1198" s="0" t="n">
        <v>2</v>
      </c>
      <c r="C1198" s="0" t="n">
        <v>5253</v>
      </c>
      <c r="D1198" s="0" t="n">
        <v>11</v>
      </c>
      <c r="E1198" s="0" t="n">
        <v>2</v>
      </c>
      <c r="F1198" s="27" t="s">
        <v>833</v>
      </c>
      <c r="G1198" s="0" t="n">
        <v>32.3</v>
      </c>
      <c r="H1198" s="0" t="n">
        <v>26</v>
      </c>
      <c r="I1198" s="27" t="s">
        <v>147</v>
      </c>
      <c r="J1198" s="0" t="n">
        <v>11</v>
      </c>
      <c r="M1198" s="0" t="n">
        <v>1359.96</v>
      </c>
      <c r="N1198" s="0" t="n">
        <v>74.03</v>
      </c>
      <c r="O1198" s="0" t="n">
        <v>32.4</v>
      </c>
      <c r="R1198" s="0" t="n">
        <v>1490</v>
      </c>
      <c r="S1198" s="0" t="n">
        <v>2995</v>
      </c>
      <c r="U1198" s="0" t="n">
        <v>999</v>
      </c>
      <c r="V1198" s="0" t="n">
        <v>0</v>
      </c>
      <c r="W1198" s="27" t="n">
        <f aca="false">MATCH(A1198,DATAS,0)</f>
        <v>1</v>
      </c>
      <c r="X1198" s="27" t="n">
        <f aca="false">IF(AND(E1198&gt;0,OR(AND(B1198&gt;=1,B1198&lt;=6),B1198=10)),1,0)</f>
        <v>1</v>
      </c>
      <c r="Y1198" s="27" t="n">
        <f aca="false">IF(AND(E1198&gt;0,B1198=10),1,0)</f>
        <v>0</v>
      </c>
      <c r="Z1198" s="0" t="str">
        <f aca="false">IF(AND(C1197=C1198,W1197=W1198-1),X1197,"")</f>
        <v/>
      </c>
      <c r="AA1198" s="0" t="str">
        <f aca="false">IF(AND(C1197=C1198,W1197=W1198-1),Y1197,"")</f>
        <v/>
      </c>
      <c r="AB1198" s="0" t="str">
        <f aca="false">IF(W1198=1,"",IF(AND(X1198=1,Z1198&lt;&gt;1),1,0))</f>
        <v/>
      </c>
      <c r="AC1198" s="0" t="str">
        <f aca="false">IF(W1198=1,"",IF(AND(Y1198=1,AA1198&lt;&gt;1),1,0))</f>
        <v/>
      </c>
      <c r="AD1198" s="33" t="str">
        <f aca="false">IF(AND(E1198&gt;0,W1198&lt;1,NOT(AND(C1199=C1198,W1199=W1198+1))),INDEX(DATAS,W1198+1),"")</f>
        <v/>
      </c>
      <c r="AE1198" s="33" t="str">
        <f aca="false">IF(AND(Y1198=1,W1198&lt;1),IF(AND(C1199=C1198,W1199=W1198+1),IF(Y1199=1,"",INDEX(DATAS,W1198+1)),INDEX(DATAS,W1198+1)),"")</f>
        <v/>
      </c>
    </row>
    <row r="1199" customFormat="false" ht="15" hidden="false" customHeight="false" outlineLevel="0" collapsed="false">
      <c r="A1199" s="33" t="n">
        <v>46309</v>
      </c>
      <c r="B1199" s="0" t="n">
        <v>4</v>
      </c>
      <c r="C1199" s="0" t="n">
        <v>5255</v>
      </c>
      <c r="D1199" s="0" t="n">
        <v>244</v>
      </c>
      <c r="E1199" s="0" t="n">
        <v>1</v>
      </c>
      <c r="F1199" s="27" t="s">
        <v>834</v>
      </c>
      <c r="G1199" s="0" t="n">
        <v>59.2</v>
      </c>
      <c r="H1199" s="0" t="n">
        <v>59</v>
      </c>
      <c r="I1199" s="27" t="s">
        <v>138</v>
      </c>
      <c r="J1199" s="0" t="n">
        <v>118</v>
      </c>
      <c r="K1199" s="0" t="n">
        <v>69</v>
      </c>
      <c r="L1199" s="0" t="n">
        <v>126</v>
      </c>
      <c r="M1199" s="0" t="n">
        <v>1043.84</v>
      </c>
      <c r="N1199" s="0" t="n">
        <v>65</v>
      </c>
      <c r="O1199" s="0" t="n">
        <v>34.19</v>
      </c>
      <c r="P1199" s="0" t="n">
        <v>3.95</v>
      </c>
      <c r="Q1199" s="0" t="n">
        <v>3.21</v>
      </c>
      <c r="R1199" s="0" t="n">
        <v>4153</v>
      </c>
      <c r="S1199" s="0" t="n">
        <v>9396</v>
      </c>
      <c r="T1199" s="0" t="n">
        <v>43.75</v>
      </c>
      <c r="U1199" s="0" t="n">
        <v>997</v>
      </c>
      <c r="V1199" s="0" t="n">
        <v>2</v>
      </c>
      <c r="W1199" s="27" t="n">
        <f aca="false">MATCH(A1199,DATAS,0)</f>
        <v>1</v>
      </c>
      <c r="X1199" s="27" t="n">
        <f aca="false">IF(AND(E1199&gt;0,OR(AND(B1199&gt;=1,B1199&lt;=6),B1199=10)),1,0)</f>
        <v>1</v>
      </c>
      <c r="Y1199" s="27" t="n">
        <f aca="false">IF(AND(E1199&gt;0,B1199=10),1,0)</f>
        <v>0</v>
      </c>
      <c r="Z1199" s="0" t="str">
        <f aca="false">IF(AND(C1198=C1199,W1198=W1199-1),X1198,"")</f>
        <v/>
      </c>
      <c r="AA1199" s="0" t="str">
        <f aca="false">IF(AND(C1198=C1199,W1198=W1199-1),Y1198,"")</f>
        <v/>
      </c>
      <c r="AB1199" s="0" t="str">
        <f aca="false">IF(W1199=1,"",IF(AND(X1199=1,Z1199&lt;&gt;1),1,0))</f>
        <v/>
      </c>
      <c r="AC1199" s="0" t="str">
        <f aca="false">IF(W1199=1,"",IF(AND(Y1199=1,AA1199&lt;&gt;1),1,0))</f>
        <v/>
      </c>
      <c r="AD1199" s="33" t="str">
        <f aca="false">IF(AND(E1199&gt;0,W1199&lt;1,NOT(AND(C1200=C1199,W1200=W1199+1))),INDEX(DATAS,W1199+1),"")</f>
        <v/>
      </c>
      <c r="AE1199" s="33" t="str">
        <f aca="false">IF(AND(Y1199=1,W1199&lt;1),IF(AND(C1200=C1199,W1200=W1199+1),IF(Y1200=1,"",INDEX(DATAS,W1199+1)),INDEX(DATAS,W1199+1)),"")</f>
        <v/>
      </c>
    </row>
    <row r="1200" customFormat="false" ht="15" hidden="false" customHeight="false" outlineLevel="0" collapsed="false">
      <c r="A1200" s="33" t="n">
        <v>46309</v>
      </c>
      <c r="B1200" s="0" t="n">
        <v>4</v>
      </c>
      <c r="C1200" s="0" t="n">
        <v>5256</v>
      </c>
      <c r="D1200" s="0" t="n">
        <v>229</v>
      </c>
      <c r="E1200" s="0" t="n">
        <v>1</v>
      </c>
      <c r="F1200" s="27" t="s">
        <v>835</v>
      </c>
      <c r="G1200" s="0" t="n">
        <v>47.5</v>
      </c>
      <c r="H1200" s="0" t="n">
        <v>47</v>
      </c>
      <c r="I1200" s="27" t="s">
        <v>138</v>
      </c>
      <c r="J1200" s="0" t="n">
        <v>68</v>
      </c>
      <c r="K1200" s="0" t="n">
        <v>68</v>
      </c>
      <c r="L1200" s="0" t="n">
        <v>161</v>
      </c>
      <c r="M1200" s="0" t="n">
        <v>1057.62</v>
      </c>
      <c r="N1200" s="0" t="n">
        <v>41.06</v>
      </c>
      <c r="O1200" s="0" t="n">
        <v>44.08</v>
      </c>
      <c r="P1200" s="0" t="n">
        <v>3.62</v>
      </c>
      <c r="Q1200" s="0" t="n">
        <v>3.64</v>
      </c>
      <c r="R1200" s="0" t="n">
        <v>4864</v>
      </c>
      <c r="S1200" s="0" t="n">
        <v>10576</v>
      </c>
      <c r="T1200" s="0" t="n">
        <v>55.55</v>
      </c>
      <c r="U1200" s="0" t="n">
        <v>994</v>
      </c>
      <c r="V1200" s="0" t="n">
        <v>1</v>
      </c>
      <c r="W1200" s="27" t="n">
        <f aca="false">MATCH(A1200,DATAS,0)</f>
        <v>1</v>
      </c>
      <c r="X1200" s="27" t="n">
        <f aca="false">IF(AND(E1200&gt;0,OR(AND(B1200&gt;=1,B1200&lt;=6),B1200=10)),1,0)</f>
        <v>1</v>
      </c>
      <c r="Y1200" s="27" t="n">
        <f aca="false">IF(AND(E1200&gt;0,B1200=10),1,0)</f>
        <v>0</v>
      </c>
      <c r="Z1200" s="0" t="str">
        <f aca="false">IF(AND(C1199=C1200,W1199=W1200-1),X1199,"")</f>
        <v/>
      </c>
      <c r="AA1200" s="0" t="str">
        <f aca="false">IF(AND(C1199=C1200,W1199=W1200-1),Y1199,"")</f>
        <v/>
      </c>
      <c r="AB1200" s="0" t="str">
        <f aca="false">IF(W1200=1,"",IF(AND(X1200=1,Z1200&lt;&gt;1),1,0))</f>
        <v/>
      </c>
      <c r="AC1200" s="0" t="str">
        <f aca="false">IF(W1200=1,"",IF(AND(Y1200=1,AA1200&lt;&gt;1),1,0))</f>
        <v/>
      </c>
      <c r="AD1200" s="33" t="str">
        <f aca="false">IF(AND(E1200&gt;0,W1200&lt;1,NOT(AND(C1201=C1200,W1201=W1200+1))),INDEX(DATAS,W1200+1),"")</f>
        <v/>
      </c>
      <c r="AE1200" s="33" t="str">
        <f aca="false">IF(AND(Y1200=1,W1200&lt;1),IF(AND(C1201=C1200,W1201=W1200+1),IF(Y1201=1,"",INDEX(DATAS,W1200+1)),INDEX(DATAS,W1200+1)),"")</f>
        <v/>
      </c>
    </row>
    <row r="1201" customFormat="false" ht="15" hidden="false" customHeight="false" outlineLevel="0" collapsed="false">
      <c r="A1201" s="33" t="n">
        <v>46309</v>
      </c>
      <c r="B1201" s="0" t="n">
        <v>4</v>
      </c>
      <c r="C1201" s="0" t="n">
        <v>5259</v>
      </c>
      <c r="D1201" s="0" t="n">
        <v>347</v>
      </c>
      <c r="E1201" s="0" t="n">
        <v>1</v>
      </c>
      <c r="F1201" s="27" t="s">
        <v>835</v>
      </c>
      <c r="G1201" s="0" t="n">
        <v>41.2</v>
      </c>
      <c r="H1201" s="0" t="n">
        <v>41</v>
      </c>
      <c r="I1201" s="27" t="s">
        <v>138</v>
      </c>
      <c r="J1201" s="0" t="n">
        <v>263</v>
      </c>
      <c r="K1201" s="0" t="n">
        <v>68</v>
      </c>
      <c r="L1201" s="0" t="n">
        <v>84</v>
      </c>
      <c r="M1201" s="0" t="n">
        <v>310.62</v>
      </c>
      <c r="N1201" s="0" t="n">
        <v>29.29</v>
      </c>
      <c r="O1201" s="0" t="n">
        <v>21.1</v>
      </c>
      <c r="P1201" s="0" t="n">
        <v>4.53</v>
      </c>
      <c r="Q1201" s="0" t="n">
        <v>3.5</v>
      </c>
      <c r="R1201" s="0" t="n">
        <v>3612</v>
      </c>
      <c r="S1201" s="0" t="n">
        <v>7851</v>
      </c>
      <c r="T1201" s="0" t="n">
        <v>37.9</v>
      </c>
      <c r="U1201" s="0" t="n">
        <v>994</v>
      </c>
      <c r="V1201" s="0" t="n">
        <v>6</v>
      </c>
      <c r="W1201" s="27" t="n">
        <f aca="false">MATCH(A1201,DATAS,0)</f>
        <v>1</v>
      </c>
      <c r="X1201" s="27" t="n">
        <f aca="false">IF(AND(E1201&gt;0,OR(AND(B1201&gt;=1,B1201&lt;=6),B1201=10)),1,0)</f>
        <v>1</v>
      </c>
      <c r="Y1201" s="27" t="n">
        <f aca="false">IF(AND(E1201&gt;0,B1201=10),1,0)</f>
        <v>0</v>
      </c>
      <c r="Z1201" s="0" t="str">
        <f aca="false">IF(AND(C1200=C1201,W1200=W1201-1),X1200,"")</f>
        <v/>
      </c>
      <c r="AA1201" s="0" t="str">
        <f aca="false">IF(AND(C1200=C1201,W1200=W1201-1),Y1200,"")</f>
        <v/>
      </c>
      <c r="AB1201" s="0" t="str">
        <f aca="false">IF(W1201=1,"",IF(AND(X1201=1,Z1201&lt;&gt;1),1,0))</f>
        <v/>
      </c>
      <c r="AC1201" s="0" t="str">
        <f aca="false">IF(W1201=1,"",IF(AND(Y1201=1,AA1201&lt;&gt;1),1,0))</f>
        <v/>
      </c>
      <c r="AD1201" s="33" t="str">
        <f aca="false">IF(AND(E1201&gt;0,W1201&lt;1,NOT(AND(C1202=C1201,W1202=W1201+1))),INDEX(DATAS,W1201+1),"")</f>
        <v/>
      </c>
      <c r="AE1201" s="33" t="str">
        <f aca="false">IF(AND(Y1201=1,W1201&lt;1),IF(AND(C1202=C1201,W1202=W1201+1),IF(Y1202=1,"",INDEX(DATAS,W1201+1)),INDEX(DATAS,W1201+1)),"")</f>
        <v/>
      </c>
    </row>
    <row r="1202" customFormat="false" ht="15" hidden="false" customHeight="false" outlineLevel="0" collapsed="false">
      <c r="A1202" s="33" t="n">
        <v>46309</v>
      </c>
      <c r="B1202" s="0" t="n">
        <v>4</v>
      </c>
      <c r="C1202" s="0" t="n">
        <v>5260</v>
      </c>
      <c r="D1202" s="0" t="n">
        <v>283</v>
      </c>
      <c r="E1202" s="0" t="n">
        <v>1</v>
      </c>
      <c r="F1202" s="27" t="s">
        <v>836</v>
      </c>
      <c r="G1202" s="0" t="n">
        <v>35.2</v>
      </c>
      <c r="H1202" s="0" t="n">
        <v>32</v>
      </c>
      <c r="I1202" s="27" t="s">
        <v>138</v>
      </c>
      <c r="J1202" s="0" t="n">
        <v>134</v>
      </c>
      <c r="K1202" s="0" t="n">
        <v>66</v>
      </c>
      <c r="L1202" s="0" t="n">
        <v>149</v>
      </c>
      <c r="M1202" s="0" t="n">
        <v>450.42</v>
      </c>
      <c r="N1202" s="0" t="n">
        <v>73.4</v>
      </c>
      <c r="O1202" s="0" t="n">
        <v>28.74</v>
      </c>
      <c r="P1202" s="0" t="n">
        <v>5.12</v>
      </c>
      <c r="Q1202" s="0" t="n">
        <v>4.13</v>
      </c>
      <c r="R1202" s="0" t="n">
        <v>4569</v>
      </c>
      <c r="S1202" s="0" t="n">
        <v>8596</v>
      </c>
      <c r="T1202" s="0" t="n">
        <v>46.95</v>
      </c>
      <c r="U1202" s="0" t="n">
        <v>993</v>
      </c>
      <c r="V1202" s="0" t="n">
        <v>3</v>
      </c>
      <c r="W1202" s="27" t="n">
        <f aca="false">MATCH(A1202,DATAS,0)</f>
        <v>1</v>
      </c>
      <c r="X1202" s="27" t="n">
        <f aca="false">IF(AND(E1202&gt;0,OR(AND(B1202&gt;=1,B1202&lt;=6),B1202=10)),1,0)</f>
        <v>1</v>
      </c>
      <c r="Y1202" s="27" t="n">
        <f aca="false">IF(AND(E1202&gt;0,B1202=10),1,0)</f>
        <v>0</v>
      </c>
      <c r="Z1202" s="0" t="str">
        <f aca="false">IF(AND(C1201=C1202,W1201=W1202-1),X1201,"")</f>
        <v/>
      </c>
      <c r="AA1202" s="0" t="str">
        <f aca="false">IF(AND(C1201=C1202,W1201=W1202-1),Y1201,"")</f>
        <v/>
      </c>
      <c r="AB1202" s="0" t="str">
        <f aca="false">IF(W1202=1,"",IF(AND(X1202=1,Z1202&lt;&gt;1),1,0))</f>
        <v/>
      </c>
      <c r="AC1202" s="0" t="str">
        <f aca="false">IF(W1202=1,"",IF(AND(Y1202=1,AA1202&lt;&gt;1),1,0))</f>
        <v/>
      </c>
      <c r="AD1202" s="33" t="str">
        <f aca="false">IF(AND(E1202&gt;0,W1202&lt;1,NOT(AND(C1203=C1202,W1203=W1202+1))),INDEX(DATAS,W1202+1),"")</f>
        <v/>
      </c>
      <c r="AE1202" s="33" t="str">
        <f aca="false">IF(AND(Y1202=1,W1202&lt;1),IF(AND(C1203=C1202,W1203=W1202+1),IF(Y1203=1,"",INDEX(DATAS,W1202+1)),INDEX(DATAS,W1202+1)),"")</f>
        <v/>
      </c>
    </row>
    <row r="1203" customFormat="false" ht="15" hidden="false" customHeight="false" outlineLevel="0" collapsed="false">
      <c r="A1203" s="33" t="n">
        <v>46309</v>
      </c>
      <c r="B1203" s="0" t="n">
        <v>7</v>
      </c>
      <c r="C1203" s="0" t="n">
        <v>5261</v>
      </c>
      <c r="D1203" s="0" t="n">
        <v>357</v>
      </c>
      <c r="E1203" s="0" t="n">
        <v>1</v>
      </c>
      <c r="F1203" s="27" t="s">
        <v>836</v>
      </c>
      <c r="G1203" s="0" t="n">
        <v>12.2</v>
      </c>
      <c r="H1203" s="0" t="n">
        <v>34</v>
      </c>
      <c r="I1203" s="27" t="s">
        <v>143</v>
      </c>
      <c r="J1203" s="0" t="n">
        <v>134</v>
      </c>
      <c r="K1203" s="0" t="n">
        <v>65</v>
      </c>
      <c r="L1203" s="0" t="n">
        <v>224</v>
      </c>
      <c r="M1203" s="0" t="n">
        <v>463.51</v>
      </c>
      <c r="N1203" s="0" t="n">
        <v>56.41</v>
      </c>
      <c r="O1203" s="0" t="n">
        <v>26.82</v>
      </c>
      <c r="P1203" s="0" t="n">
        <v>3.27</v>
      </c>
      <c r="Q1203" s="0" t="n">
        <v>3.8</v>
      </c>
      <c r="R1203" s="0" t="n">
        <v>3841</v>
      </c>
      <c r="S1203" s="0" t="n">
        <v>8402</v>
      </c>
      <c r="T1203" s="0" t="n">
        <v>42.85</v>
      </c>
      <c r="U1203" s="0" t="n">
        <v>993</v>
      </c>
      <c r="V1203" s="0" t="n">
        <v>2</v>
      </c>
      <c r="W1203" s="27" t="n">
        <f aca="false">MATCH(A1203,DATAS,0)</f>
        <v>1</v>
      </c>
      <c r="X1203" s="27" t="n">
        <f aca="false">IF(AND(E1203&gt;0,OR(AND(B1203&gt;=1,B1203&lt;=6),B1203=10)),1,0)</f>
        <v>0</v>
      </c>
      <c r="Y1203" s="27" t="n">
        <f aca="false">IF(AND(E1203&gt;0,B1203=10),1,0)</f>
        <v>0</v>
      </c>
      <c r="Z1203" s="0" t="str">
        <f aca="false">IF(AND(C1202=C1203,W1202=W1203-1),X1202,"")</f>
        <v/>
      </c>
      <c r="AA1203" s="0" t="str">
        <f aca="false">IF(AND(C1202=C1203,W1202=W1203-1),Y1202,"")</f>
        <v/>
      </c>
      <c r="AB1203" s="0" t="str">
        <f aca="false">IF(W1203=1,"",IF(AND(X1203=1,Z1203&lt;&gt;1),1,0))</f>
        <v/>
      </c>
      <c r="AC1203" s="0" t="str">
        <f aca="false">IF(W1203=1,"",IF(AND(Y1203=1,AA1203&lt;&gt;1),1,0))</f>
        <v/>
      </c>
      <c r="AD1203" s="33" t="str">
        <f aca="false">IF(AND(E1203&gt;0,W1203&lt;1,NOT(AND(C1204=C1203,W1204=W1203+1))),INDEX(DATAS,W1203+1),"")</f>
        <v/>
      </c>
      <c r="AE1203" s="33" t="str">
        <f aca="false">IF(AND(Y1203=1,W1203&lt;1),IF(AND(C1204=C1203,W1204=W1203+1),IF(Y1204=1,"",INDEX(DATAS,W1203+1)),INDEX(DATAS,W1203+1)),"")</f>
        <v/>
      </c>
    </row>
    <row r="1204" customFormat="false" ht="15" hidden="false" customHeight="false" outlineLevel="0" collapsed="false">
      <c r="A1204" s="33" t="n">
        <v>46309</v>
      </c>
      <c r="B1204" s="0" t="n">
        <v>6</v>
      </c>
      <c r="C1204" s="0" t="n">
        <v>5262</v>
      </c>
      <c r="D1204" s="0" t="n">
        <v>285</v>
      </c>
      <c r="E1204" s="0" t="n">
        <v>1</v>
      </c>
      <c r="F1204" s="27" t="s">
        <v>836</v>
      </c>
      <c r="G1204" s="0" t="n">
        <v>52.2</v>
      </c>
      <c r="H1204" s="0" t="n">
        <v>48</v>
      </c>
      <c r="I1204" s="27" t="s">
        <v>138</v>
      </c>
      <c r="J1204" s="0" t="n">
        <v>89</v>
      </c>
      <c r="K1204" s="0" t="n">
        <v>89</v>
      </c>
      <c r="L1204" s="0" t="n">
        <v>196</v>
      </c>
      <c r="M1204" s="0" t="n">
        <v>633.78</v>
      </c>
      <c r="N1204" s="0" t="n">
        <v>52.92</v>
      </c>
      <c r="O1204" s="0" t="n">
        <v>29.71</v>
      </c>
      <c r="P1204" s="0" t="n">
        <v>3.92</v>
      </c>
      <c r="Q1204" s="0" t="n">
        <v>3.29</v>
      </c>
      <c r="R1204" s="0" t="n">
        <v>4548</v>
      </c>
      <c r="S1204" s="0" t="n">
        <v>9649</v>
      </c>
      <c r="T1204" s="0" t="n">
        <v>46.9</v>
      </c>
      <c r="U1204" s="0" t="n">
        <v>993</v>
      </c>
      <c r="V1204" s="0" t="n">
        <v>1</v>
      </c>
      <c r="W1204" s="27" t="n">
        <f aca="false">MATCH(A1204,DATAS,0)</f>
        <v>1</v>
      </c>
      <c r="X1204" s="27" t="n">
        <f aca="false">IF(AND(E1204&gt;0,OR(AND(B1204&gt;=1,B1204&lt;=6),B1204=10)),1,0)</f>
        <v>1</v>
      </c>
      <c r="Y1204" s="27" t="n">
        <f aca="false">IF(AND(E1204&gt;0,B1204=10),1,0)</f>
        <v>0</v>
      </c>
      <c r="Z1204" s="0" t="str">
        <f aca="false">IF(AND(C1203=C1204,W1203=W1204-1),X1203,"")</f>
        <v/>
      </c>
      <c r="AA1204" s="0" t="str">
        <f aca="false">IF(AND(C1203=C1204,W1203=W1204-1),Y1203,"")</f>
        <v/>
      </c>
      <c r="AB1204" s="0" t="str">
        <f aca="false">IF(W1204=1,"",IF(AND(X1204=1,Z1204&lt;&gt;1),1,0))</f>
        <v/>
      </c>
      <c r="AC1204" s="0" t="str">
        <f aca="false">IF(W1204=1,"",IF(AND(Y1204=1,AA1204&lt;&gt;1),1,0))</f>
        <v/>
      </c>
      <c r="AD1204" s="33" t="str">
        <f aca="false">IF(AND(E1204&gt;0,W1204&lt;1,NOT(AND(C1205=C1204,W1205=W1204+1))),INDEX(DATAS,W1204+1),"")</f>
        <v/>
      </c>
      <c r="AE1204" s="33" t="str">
        <f aca="false">IF(AND(Y1204=1,W1204&lt;1),IF(AND(C1205=C1204,W1205=W1204+1),IF(Y1205=1,"",INDEX(DATAS,W1204+1)),INDEX(DATAS,W1204+1)),"")</f>
        <v/>
      </c>
    </row>
    <row r="1205" customFormat="false" ht="15" hidden="false" customHeight="false" outlineLevel="0" collapsed="false">
      <c r="A1205" s="33" t="n">
        <v>46309</v>
      </c>
      <c r="B1205" s="0" t="n">
        <v>4</v>
      </c>
      <c r="C1205" s="0" t="n">
        <v>5263</v>
      </c>
      <c r="D1205" s="0" t="n">
        <v>318</v>
      </c>
      <c r="E1205" s="0" t="n">
        <v>1</v>
      </c>
      <c r="F1205" s="27" t="s">
        <v>836</v>
      </c>
      <c r="G1205" s="0" t="n">
        <v>37.4</v>
      </c>
      <c r="H1205" s="0" t="n">
        <v>36</v>
      </c>
      <c r="I1205" s="27" t="s">
        <v>138</v>
      </c>
      <c r="J1205" s="0" t="n">
        <v>255</v>
      </c>
      <c r="K1205" s="0" t="n">
        <v>66</v>
      </c>
      <c r="L1205" s="0" t="n">
        <v>63</v>
      </c>
      <c r="M1205" s="0" t="n">
        <v>1111.02</v>
      </c>
      <c r="N1205" s="0" t="n">
        <v>47.47</v>
      </c>
      <c r="O1205" s="0" t="n">
        <v>50.33</v>
      </c>
      <c r="P1205" s="0" t="n">
        <v>4.34</v>
      </c>
      <c r="Q1205" s="0" t="n">
        <v>3.92</v>
      </c>
      <c r="R1205" s="0" t="n">
        <v>4074</v>
      </c>
      <c r="S1205" s="0" t="n">
        <v>8130</v>
      </c>
      <c r="T1205" s="0" t="n">
        <v>43.85</v>
      </c>
      <c r="U1205" s="0" t="n">
        <v>993</v>
      </c>
      <c r="V1205" s="0" t="n">
        <v>6</v>
      </c>
      <c r="W1205" s="27" t="n">
        <f aca="false">MATCH(A1205,DATAS,0)</f>
        <v>1</v>
      </c>
      <c r="X1205" s="27" t="n">
        <f aca="false">IF(AND(E1205&gt;0,OR(AND(B1205&gt;=1,B1205&lt;=6),B1205=10)),1,0)</f>
        <v>1</v>
      </c>
      <c r="Y1205" s="27" t="n">
        <f aca="false">IF(AND(E1205&gt;0,B1205=10),1,0)</f>
        <v>0</v>
      </c>
      <c r="Z1205" s="0" t="str">
        <f aca="false">IF(AND(C1204=C1205,W1204=W1205-1),X1204,"")</f>
        <v/>
      </c>
      <c r="AA1205" s="0" t="str">
        <f aca="false">IF(AND(C1204=C1205,W1204=W1205-1),Y1204,"")</f>
        <v/>
      </c>
      <c r="AB1205" s="0" t="str">
        <f aca="false">IF(W1205=1,"",IF(AND(X1205=1,Z1205&lt;&gt;1),1,0))</f>
        <v/>
      </c>
      <c r="AC1205" s="0" t="str">
        <f aca="false">IF(W1205=1,"",IF(AND(Y1205=1,AA1205&lt;&gt;1),1,0))</f>
        <v/>
      </c>
      <c r="AD1205" s="33" t="str">
        <f aca="false">IF(AND(E1205&gt;0,W1205&lt;1,NOT(AND(C1206=C1205,W1206=W1205+1))),INDEX(DATAS,W1205+1),"")</f>
        <v/>
      </c>
      <c r="AE1205" s="33" t="str">
        <f aca="false">IF(AND(Y1205=1,W1205&lt;1),IF(AND(C1206=C1205,W1206=W1205+1),IF(Y1206=1,"",INDEX(DATAS,W1205+1)),INDEX(DATAS,W1205+1)),"")</f>
        <v/>
      </c>
    </row>
    <row r="1206" customFormat="false" ht="15" hidden="false" customHeight="false" outlineLevel="0" collapsed="false">
      <c r="A1206" s="33" t="n">
        <v>46309</v>
      </c>
      <c r="B1206" s="0" t="n">
        <v>4</v>
      </c>
      <c r="C1206" s="0" t="n">
        <v>5266</v>
      </c>
      <c r="D1206" s="0" t="n">
        <v>313</v>
      </c>
      <c r="E1206" s="0" t="n">
        <v>1</v>
      </c>
      <c r="F1206" s="27" t="s">
        <v>836</v>
      </c>
      <c r="G1206" s="0" t="n">
        <v>36</v>
      </c>
      <c r="H1206" s="0" t="n">
        <v>38</v>
      </c>
      <c r="I1206" s="27" t="s">
        <v>138</v>
      </c>
      <c r="J1206" s="0" t="n">
        <v>243</v>
      </c>
      <c r="K1206" s="0" t="n">
        <v>68</v>
      </c>
      <c r="L1206" s="0" t="n">
        <v>70</v>
      </c>
      <c r="M1206" s="0" t="n">
        <v>593.14</v>
      </c>
      <c r="N1206" s="0" t="n">
        <v>50.16</v>
      </c>
      <c r="O1206" s="0" t="n">
        <v>34.84</v>
      </c>
      <c r="P1206" s="0" t="n">
        <v>3.58</v>
      </c>
      <c r="Q1206" s="0" t="n">
        <v>4.29</v>
      </c>
      <c r="R1206" s="0" t="n">
        <v>4283</v>
      </c>
      <c r="S1206" s="0" t="n">
        <v>9045</v>
      </c>
      <c r="T1206" s="0" t="n">
        <v>43.4</v>
      </c>
      <c r="U1206" s="0" t="n">
        <v>993</v>
      </c>
      <c r="V1206" s="0" t="n">
        <v>5</v>
      </c>
      <c r="W1206" s="27" t="n">
        <f aca="false">MATCH(A1206,DATAS,0)</f>
        <v>1</v>
      </c>
      <c r="X1206" s="27" t="n">
        <f aca="false">IF(AND(E1206&gt;0,OR(AND(B1206&gt;=1,B1206&lt;=6),B1206=10)),1,0)</f>
        <v>1</v>
      </c>
      <c r="Y1206" s="27" t="n">
        <f aca="false">IF(AND(E1206&gt;0,B1206=10),1,0)</f>
        <v>0</v>
      </c>
      <c r="Z1206" s="0" t="str">
        <f aca="false">IF(AND(C1205=C1206,W1205=W1206-1),X1205,"")</f>
        <v/>
      </c>
      <c r="AA1206" s="0" t="str">
        <f aca="false">IF(AND(C1205=C1206,W1205=W1206-1),Y1205,"")</f>
        <v/>
      </c>
      <c r="AB1206" s="0" t="str">
        <f aca="false">IF(W1206=1,"",IF(AND(X1206=1,Z1206&lt;&gt;1),1,0))</f>
        <v/>
      </c>
      <c r="AC1206" s="0" t="str">
        <f aca="false">IF(W1206=1,"",IF(AND(Y1206=1,AA1206&lt;&gt;1),1,0))</f>
        <v/>
      </c>
      <c r="AD1206" s="33" t="str">
        <f aca="false">IF(AND(E1206&gt;0,W1206&lt;1,NOT(AND(C1207=C1206,W1207=W1206+1))),INDEX(DATAS,W1206+1),"")</f>
        <v/>
      </c>
      <c r="AE1206" s="33" t="str">
        <f aca="false">IF(AND(Y1206=1,W1206&lt;1),IF(AND(C1207=C1206,W1207=W1206+1),IF(Y1207=1,"",INDEX(DATAS,W1206+1)),INDEX(DATAS,W1206+1)),"")</f>
        <v/>
      </c>
    </row>
    <row r="1207" customFormat="false" ht="15" hidden="false" customHeight="false" outlineLevel="0" collapsed="false">
      <c r="A1207" s="33" t="n">
        <v>46309</v>
      </c>
      <c r="B1207" s="0" t="n">
        <v>7</v>
      </c>
      <c r="C1207" s="0" t="n">
        <v>5267</v>
      </c>
      <c r="D1207" s="0" t="n">
        <v>288</v>
      </c>
      <c r="E1207" s="0" t="n">
        <v>1</v>
      </c>
      <c r="F1207" s="27" t="s">
        <v>837</v>
      </c>
      <c r="I1207" s="27" t="s">
        <v>143</v>
      </c>
      <c r="J1207" s="0" t="n">
        <v>65</v>
      </c>
      <c r="K1207" s="0" t="n">
        <v>65</v>
      </c>
      <c r="L1207" s="0" t="n">
        <v>231</v>
      </c>
      <c r="M1207" s="0" t="n">
        <v>309.98</v>
      </c>
      <c r="N1207" s="0" t="n">
        <v>70.92</v>
      </c>
      <c r="O1207" s="0" t="n">
        <v>25.65</v>
      </c>
      <c r="P1207" s="0" t="n">
        <v>4.86</v>
      </c>
      <c r="Q1207" s="0" t="n">
        <v>3.76</v>
      </c>
      <c r="R1207" s="0" t="n">
        <v>4405</v>
      </c>
      <c r="S1207" s="0" t="n">
        <v>9520</v>
      </c>
      <c r="T1207" s="0" t="n">
        <v>46.7</v>
      </c>
      <c r="U1207" s="0" t="n">
        <v>991</v>
      </c>
      <c r="V1207" s="0" t="n">
        <v>1</v>
      </c>
      <c r="W1207" s="27" t="n">
        <f aca="false">MATCH(A1207,DATAS,0)</f>
        <v>1</v>
      </c>
      <c r="X1207" s="27" t="n">
        <f aca="false">IF(AND(E1207&gt;0,OR(AND(B1207&gt;=1,B1207&lt;=6),B1207=10)),1,0)</f>
        <v>0</v>
      </c>
      <c r="Y1207" s="27" t="n">
        <f aca="false">IF(AND(E1207&gt;0,B1207=10),1,0)</f>
        <v>0</v>
      </c>
      <c r="Z1207" s="0" t="str">
        <f aca="false">IF(AND(C1206=C1207,W1206=W1207-1),X1206,"")</f>
        <v/>
      </c>
      <c r="AA1207" s="0" t="str">
        <f aca="false">IF(AND(C1206=C1207,W1206=W1207-1),Y1206,"")</f>
        <v/>
      </c>
      <c r="AB1207" s="0" t="str">
        <f aca="false">IF(W1207=1,"",IF(AND(X1207=1,Z1207&lt;&gt;1),1,0))</f>
        <v/>
      </c>
      <c r="AC1207" s="0" t="str">
        <f aca="false">IF(W1207=1,"",IF(AND(Y1207=1,AA1207&lt;&gt;1),1,0))</f>
        <v/>
      </c>
      <c r="AD1207" s="33" t="str">
        <f aca="false">IF(AND(E1207&gt;0,W1207&lt;1,NOT(AND(C1208=C1207,W1208=W1207+1))),INDEX(DATAS,W1207+1),"")</f>
        <v/>
      </c>
      <c r="AE1207" s="33" t="str">
        <f aca="false">IF(AND(Y1207=1,W1207&lt;1),IF(AND(C1208=C1207,W1208=W1207+1),IF(Y1208=1,"",INDEX(DATAS,W1207+1)),INDEX(DATAS,W1207+1)),"")</f>
        <v/>
      </c>
    </row>
    <row r="1208" customFormat="false" ht="15" hidden="false" customHeight="false" outlineLevel="0" collapsed="false">
      <c r="A1208" s="33" t="n">
        <v>46309</v>
      </c>
      <c r="B1208" s="0" t="n">
        <v>5</v>
      </c>
      <c r="C1208" s="0" t="n">
        <v>5270</v>
      </c>
      <c r="D1208" s="0" t="n">
        <v>364</v>
      </c>
      <c r="E1208" s="0" t="n">
        <v>1</v>
      </c>
      <c r="F1208" s="27" t="s">
        <v>838</v>
      </c>
      <c r="G1208" s="0" t="n">
        <v>42.9</v>
      </c>
      <c r="H1208" s="0" t="n">
        <v>43</v>
      </c>
      <c r="I1208" s="27" t="s">
        <v>138</v>
      </c>
      <c r="J1208" s="0" t="n">
        <v>168</v>
      </c>
      <c r="K1208" s="0" t="n">
        <v>64</v>
      </c>
      <c r="L1208" s="0" t="n">
        <v>196</v>
      </c>
      <c r="M1208" s="0" t="n">
        <v>479.99</v>
      </c>
      <c r="N1208" s="0" t="n">
        <v>57.77</v>
      </c>
      <c r="O1208" s="0" t="n">
        <v>41.28</v>
      </c>
      <c r="P1208" s="0" t="n">
        <v>4.15</v>
      </c>
      <c r="Q1208" s="0" t="n">
        <v>3.84</v>
      </c>
      <c r="R1208" s="0" t="n">
        <v>4499</v>
      </c>
      <c r="S1208" s="0" t="n">
        <v>9317</v>
      </c>
      <c r="T1208" s="0" t="n">
        <v>52.25</v>
      </c>
      <c r="U1208" s="0" t="n">
        <v>989</v>
      </c>
      <c r="V1208" s="0" t="n">
        <v>4</v>
      </c>
      <c r="W1208" s="27" t="n">
        <f aca="false">MATCH(A1208,DATAS,0)</f>
        <v>1</v>
      </c>
      <c r="X1208" s="27" t="n">
        <f aca="false">IF(AND(E1208&gt;0,OR(AND(B1208&gt;=1,B1208&lt;=6),B1208=10)),1,0)</f>
        <v>1</v>
      </c>
      <c r="Y1208" s="27" t="n">
        <f aca="false">IF(AND(E1208&gt;0,B1208=10),1,0)</f>
        <v>0</v>
      </c>
      <c r="Z1208" s="0" t="str">
        <f aca="false">IF(AND(C1207=C1208,W1207=W1208-1),X1207,"")</f>
        <v/>
      </c>
      <c r="AA1208" s="0" t="str">
        <f aca="false">IF(AND(C1207=C1208,W1207=W1208-1),Y1207,"")</f>
        <v/>
      </c>
      <c r="AB1208" s="0" t="str">
        <f aca="false">IF(W1208=1,"",IF(AND(X1208=1,Z1208&lt;&gt;1),1,0))</f>
        <v/>
      </c>
      <c r="AC1208" s="0" t="str">
        <f aca="false">IF(W1208=1,"",IF(AND(Y1208=1,AA1208&lt;&gt;1),1,0))</f>
        <v/>
      </c>
      <c r="AD1208" s="33" t="str">
        <f aca="false">IF(AND(E1208&gt;0,W1208&lt;1,NOT(AND(C1209=C1208,W1209=W1208+1))),INDEX(DATAS,W1208+1),"")</f>
        <v/>
      </c>
      <c r="AE1208" s="33" t="str">
        <f aca="false">IF(AND(Y1208=1,W1208&lt;1),IF(AND(C1209=C1208,W1209=W1208+1),IF(Y1209=1,"",INDEX(DATAS,W1208+1)),INDEX(DATAS,W1208+1)),"")</f>
        <v/>
      </c>
    </row>
    <row r="1209" customFormat="false" ht="15" hidden="false" customHeight="false" outlineLevel="0" collapsed="false">
      <c r="A1209" s="33" t="n">
        <v>46309</v>
      </c>
      <c r="B1209" s="0" t="n">
        <v>7</v>
      </c>
      <c r="C1209" s="0" t="n">
        <v>5272</v>
      </c>
      <c r="D1209" s="0" t="n">
        <v>323</v>
      </c>
      <c r="E1209" s="0" t="n">
        <v>1</v>
      </c>
      <c r="F1209" s="27" t="s">
        <v>839</v>
      </c>
      <c r="G1209" s="0" t="n">
        <v>11.8</v>
      </c>
      <c r="H1209" s="0" t="n">
        <v>33</v>
      </c>
      <c r="I1209" s="27" t="s">
        <v>143</v>
      </c>
      <c r="J1209" s="0" t="n">
        <v>100</v>
      </c>
      <c r="K1209" s="0" t="n">
        <v>65</v>
      </c>
      <c r="L1209" s="0" t="n">
        <v>224</v>
      </c>
      <c r="M1209" s="0" t="n">
        <v>1028.17</v>
      </c>
      <c r="N1209" s="0" t="n">
        <v>44.7</v>
      </c>
      <c r="O1209" s="0" t="n">
        <v>34.02</v>
      </c>
      <c r="P1209" s="0" t="n">
        <v>3.77</v>
      </c>
      <c r="Q1209" s="0" t="n">
        <v>3.61</v>
      </c>
      <c r="R1209" s="0" t="n">
        <v>4485</v>
      </c>
      <c r="S1209" s="0" t="n">
        <v>9561</v>
      </c>
      <c r="T1209" s="0" t="n">
        <v>45.95</v>
      </c>
      <c r="U1209" s="0" t="n">
        <v>987</v>
      </c>
      <c r="V1209" s="0" t="n">
        <v>2</v>
      </c>
      <c r="W1209" s="27" t="n">
        <f aca="false">MATCH(A1209,DATAS,0)</f>
        <v>1</v>
      </c>
      <c r="X1209" s="27" t="n">
        <f aca="false">IF(AND(E1209&gt;0,OR(AND(B1209&gt;=1,B1209&lt;=6),B1209=10)),1,0)</f>
        <v>0</v>
      </c>
      <c r="Y1209" s="27" t="n">
        <f aca="false">IF(AND(E1209&gt;0,B1209=10),1,0)</f>
        <v>0</v>
      </c>
      <c r="Z1209" s="0" t="str">
        <f aca="false">IF(AND(C1208=C1209,W1208=W1209-1),X1208,"")</f>
        <v/>
      </c>
      <c r="AA1209" s="0" t="str">
        <f aca="false">IF(AND(C1208=C1209,W1208=W1209-1),Y1208,"")</f>
        <v/>
      </c>
      <c r="AB1209" s="0" t="str">
        <f aca="false">IF(W1209=1,"",IF(AND(X1209=1,Z1209&lt;&gt;1),1,0))</f>
        <v/>
      </c>
      <c r="AC1209" s="0" t="str">
        <f aca="false">IF(W1209=1,"",IF(AND(Y1209=1,AA1209&lt;&gt;1),1,0))</f>
        <v/>
      </c>
      <c r="AD1209" s="33" t="str">
        <f aca="false">IF(AND(E1209&gt;0,W1209&lt;1,NOT(AND(C1210=C1209,W1210=W1209+1))),INDEX(DATAS,W1209+1),"")</f>
        <v/>
      </c>
      <c r="AE1209" s="33" t="str">
        <f aca="false">IF(AND(Y1209=1,W1209&lt;1),IF(AND(C1210=C1209,W1210=W1209+1),IF(Y1210=1,"",INDEX(DATAS,W1209+1)),INDEX(DATAS,W1209+1)),"")</f>
        <v/>
      </c>
    </row>
    <row r="1210" customFormat="false" ht="15" hidden="false" customHeight="false" outlineLevel="0" collapsed="false">
      <c r="A1210" s="33" t="n">
        <v>46309</v>
      </c>
      <c r="B1210" s="0" t="n">
        <v>4</v>
      </c>
      <c r="C1210" s="0" t="n">
        <v>5273</v>
      </c>
      <c r="D1210" s="0" t="n">
        <v>264</v>
      </c>
      <c r="E1210" s="0" t="n">
        <v>1</v>
      </c>
      <c r="F1210" s="27" t="s">
        <v>839</v>
      </c>
      <c r="G1210" s="0" t="n">
        <v>24.6</v>
      </c>
      <c r="H1210" s="0" t="n">
        <v>45</v>
      </c>
      <c r="I1210" s="27" t="s">
        <v>138</v>
      </c>
      <c r="J1210" s="0" t="n">
        <v>113</v>
      </c>
      <c r="K1210" s="0" t="n">
        <v>61</v>
      </c>
      <c r="L1210" s="0" t="n">
        <v>151</v>
      </c>
      <c r="M1210" s="0" t="n">
        <v>1085.01</v>
      </c>
      <c r="N1210" s="0" t="n">
        <v>39.12</v>
      </c>
      <c r="O1210" s="0" t="n">
        <v>34.1</v>
      </c>
      <c r="P1210" s="0" t="n">
        <v>2.82</v>
      </c>
      <c r="Q1210" s="0" t="n">
        <v>3.51</v>
      </c>
      <c r="R1210" s="0" t="n">
        <v>3779</v>
      </c>
      <c r="S1210" s="0" t="n">
        <v>9449</v>
      </c>
      <c r="T1210" s="0" t="n">
        <v>37.5</v>
      </c>
      <c r="U1210" s="0" t="n">
        <v>987</v>
      </c>
      <c r="V1210" s="0" t="n">
        <v>4</v>
      </c>
      <c r="W1210" s="27" t="n">
        <f aca="false">MATCH(A1210,DATAS,0)</f>
        <v>1</v>
      </c>
      <c r="X1210" s="27" t="n">
        <f aca="false">IF(AND(E1210&gt;0,OR(AND(B1210&gt;=1,B1210&lt;=6),B1210=10)),1,0)</f>
        <v>1</v>
      </c>
      <c r="Y1210" s="27" t="n">
        <f aca="false">IF(AND(E1210&gt;0,B1210=10),1,0)</f>
        <v>0</v>
      </c>
      <c r="Z1210" s="0" t="str">
        <f aca="false">IF(AND(C1209=C1210,W1209=W1210-1),X1209,"")</f>
        <v/>
      </c>
      <c r="AA1210" s="0" t="str">
        <f aca="false">IF(AND(C1209=C1210,W1209=W1210-1),Y1209,"")</f>
        <v/>
      </c>
      <c r="AB1210" s="0" t="str">
        <f aca="false">IF(W1210=1,"",IF(AND(X1210=1,Z1210&lt;&gt;1),1,0))</f>
        <v/>
      </c>
      <c r="AC1210" s="0" t="str">
        <f aca="false">IF(W1210=1,"",IF(AND(Y1210=1,AA1210&lt;&gt;1),1,0))</f>
        <v/>
      </c>
      <c r="AD1210" s="33" t="str">
        <f aca="false">IF(AND(E1210&gt;0,W1210&lt;1,NOT(AND(C1211=C1210,W1211=W1210+1))),INDEX(DATAS,W1210+1),"")</f>
        <v/>
      </c>
      <c r="AE1210" s="33" t="str">
        <f aca="false">IF(AND(Y1210=1,W1210&lt;1),IF(AND(C1211=C1210,W1211=W1210+1),IF(Y1211=1,"",INDEX(DATAS,W1210+1)),INDEX(DATAS,W1210+1)),"")</f>
        <v/>
      </c>
    </row>
    <row r="1211" customFormat="false" ht="15" hidden="false" customHeight="false" outlineLevel="0" collapsed="false">
      <c r="A1211" s="33" t="n">
        <v>46309</v>
      </c>
      <c r="B1211" s="0" t="n">
        <v>6</v>
      </c>
      <c r="C1211" s="0" t="n">
        <v>5274</v>
      </c>
      <c r="D1211" s="0" t="n">
        <v>354</v>
      </c>
      <c r="E1211" s="0" t="n">
        <v>1</v>
      </c>
      <c r="F1211" s="27" t="s">
        <v>839</v>
      </c>
      <c r="H1211" s="0" t="n">
        <v>18</v>
      </c>
      <c r="I1211" s="27" t="s">
        <v>168</v>
      </c>
      <c r="J1211" s="0" t="n">
        <v>354</v>
      </c>
      <c r="K1211" s="0" t="n">
        <v>68</v>
      </c>
      <c r="M1211" s="0" t="n">
        <v>1220.99</v>
      </c>
      <c r="N1211" s="0" t="n">
        <v>71.58</v>
      </c>
      <c r="O1211" s="0" t="n">
        <v>45.37</v>
      </c>
      <c r="P1211" s="0" t="n">
        <v>5.96</v>
      </c>
      <c r="Q1211" s="0" t="n">
        <v>4.35</v>
      </c>
      <c r="R1211" s="0" t="n">
        <v>3429</v>
      </c>
      <c r="S1211" s="0" t="n">
        <v>6737</v>
      </c>
      <c r="T1211" s="0" t="n">
        <v>32.65</v>
      </c>
      <c r="U1211" s="0" t="n">
        <v>987</v>
      </c>
      <c r="V1211" s="0" t="n">
        <v>7</v>
      </c>
      <c r="W1211" s="27" t="n">
        <f aca="false">MATCH(A1211,DATAS,0)</f>
        <v>1</v>
      </c>
      <c r="X1211" s="27" t="n">
        <f aca="false">IF(AND(E1211&gt;0,OR(AND(B1211&gt;=1,B1211&lt;=6),B1211=10)),1,0)</f>
        <v>1</v>
      </c>
      <c r="Y1211" s="27" t="n">
        <f aca="false">IF(AND(E1211&gt;0,B1211=10),1,0)</f>
        <v>0</v>
      </c>
      <c r="Z1211" s="0" t="str">
        <f aca="false">IF(AND(C1210=C1211,W1210=W1211-1),X1210,"")</f>
        <v/>
      </c>
      <c r="AA1211" s="0" t="str">
        <f aca="false">IF(AND(C1210=C1211,W1210=W1211-1),Y1210,"")</f>
        <v/>
      </c>
      <c r="AB1211" s="0" t="str">
        <f aca="false">IF(W1211=1,"",IF(AND(X1211=1,Z1211&lt;&gt;1),1,0))</f>
        <v/>
      </c>
      <c r="AC1211" s="0" t="str">
        <f aca="false">IF(W1211=1,"",IF(AND(Y1211=1,AA1211&lt;&gt;1),1,0))</f>
        <v/>
      </c>
      <c r="AD1211" s="33" t="str">
        <f aca="false">IF(AND(E1211&gt;0,W1211&lt;1,NOT(AND(C1212=C1211,W1212=W1211+1))),INDEX(DATAS,W1211+1),"")</f>
        <v/>
      </c>
      <c r="AE1211" s="33" t="str">
        <f aca="false">IF(AND(Y1211=1,W1211&lt;1),IF(AND(C1212=C1211,W1212=W1211+1),IF(Y1212=1,"",INDEX(DATAS,W1211+1)),INDEX(DATAS,W1211+1)),"")</f>
        <v/>
      </c>
    </row>
    <row r="1212" customFormat="false" ht="15" hidden="false" customHeight="false" outlineLevel="0" collapsed="false">
      <c r="A1212" s="33" t="n">
        <v>46309</v>
      </c>
      <c r="B1212" s="0" t="n">
        <v>4</v>
      </c>
      <c r="C1212" s="0" t="n">
        <v>5275</v>
      </c>
      <c r="D1212" s="0" t="n">
        <v>297</v>
      </c>
      <c r="E1212" s="0" t="n">
        <v>1</v>
      </c>
      <c r="F1212" s="27" t="s">
        <v>839</v>
      </c>
      <c r="G1212" s="0" t="n">
        <v>53.1</v>
      </c>
      <c r="H1212" s="0" t="n">
        <v>50</v>
      </c>
      <c r="I1212" s="27" t="s">
        <v>138</v>
      </c>
      <c r="J1212" s="0" t="n">
        <v>185</v>
      </c>
      <c r="K1212" s="0" t="n">
        <v>59</v>
      </c>
      <c r="L1212" s="0" t="n">
        <v>112</v>
      </c>
      <c r="M1212" s="0" t="n">
        <v>1026.21</v>
      </c>
      <c r="N1212" s="0" t="n">
        <v>63.52</v>
      </c>
      <c r="O1212" s="0" t="n">
        <v>36.6</v>
      </c>
      <c r="P1212" s="0" t="n">
        <v>3.5</v>
      </c>
      <c r="Q1212" s="0" t="n">
        <v>3.07</v>
      </c>
      <c r="R1212" s="0" t="n">
        <v>5372</v>
      </c>
      <c r="S1212" s="0" t="n">
        <v>11564</v>
      </c>
      <c r="T1212" s="0" t="n">
        <v>58.65</v>
      </c>
      <c r="U1212" s="0" t="n">
        <v>987</v>
      </c>
      <c r="V1212" s="0" t="n">
        <v>4</v>
      </c>
      <c r="W1212" s="27" t="n">
        <f aca="false">MATCH(A1212,DATAS,0)</f>
        <v>1</v>
      </c>
      <c r="X1212" s="27" t="n">
        <f aca="false">IF(AND(E1212&gt;0,OR(AND(B1212&gt;=1,B1212&lt;=6),B1212=10)),1,0)</f>
        <v>1</v>
      </c>
      <c r="Y1212" s="27" t="n">
        <f aca="false">IF(AND(E1212&gt;0,B1212=10),1,0)</f>
        <v>0</v>
      </c>
      <c r="Z1212" s="0" t="str">
        <f aca="false">IF(AND(C1211=C1212,W1211=W1212-1),X1211,"")</f>
        <v/>
      </c>
      <c r="AA1212" s="0" t="str">
        <f aca="false">IF(AND(C1211=C1212,W1211=W1212-1),Y1211,"")</f>
        <v/>
      </c>
      <c r="AB1212" s="0" t="str">
        <f aca="false">IF(W1212=1,"",IF(AND(X1212=1,Z1212&lt;&gt;1),1,0))</f>
        <v/>
      </c>
      <c r="AC1212" s="0" t="str">
        <f aca="false">IF(W1212=1,"",IF(AND(Y1212=1,AA1212&lt;&gt;1),1,0))</f>
        <v/>
      </c>
      <c r="AD1212" s="33" t="str">
        <f aca="false">IF(AND(E1212&gt;0,W1212&lt;1,NOT(AND(C1213=C1212,W1213=W1212+1))),INDEX(DATAS,W1212+1),"")</f>
        <v/>
      </c>
      <c r="AE1212" s="33" t="str">
        <f aca="false">IF(AND(Y1212=1,W1212&lt;1),IF(AND(C1213=C1212,W1213=W1212+1),IF(Y1213=1,"",INDEX(DATAS,W1212+1)),INDEX(DATAS,W1212+1)),"")</f>
        <v/>
      </c>
    </row>
    <row r="1213" customFormat="false" ht="15" hidden="false" customHeight="false" outlineLevel="0" collapsed="false">
      <c r="A1213" s="33" t="n">
        <v>46309</v>
      </c>
      <c r="B1213" s="0" t="n">
        <v>7</v>
      </c>
      <c r="C1213" s="0" t="n">
        <v>5276</v>
      </c>
      <c r="D1213" s="0" t="n">
        <v>330</v>
      </c>
      <c r="E1213" s="0" t="n">
        <v>1</v>
      </c>
      <c r="F1213" s="27" t="s">
        <v>839</v>
      </c>
      <c r="I1213" s="27" t="s">
        <v>143</v>
      </c>
      <c r="J1213" s="0" t="n">
        <v>100</v>
      </c>
      <c r="K1213" s="0" t="n">
        <v>66</v>
      </c>
      <c r="L1213" s="0" t="n">
        <v>245</v>
      </c>
      <c r="M1213" s="0" t="n">
        <v>390.79</v>
      </c>
      <c r="N1213" s="0" t="n">
        <v>64.27</v>
      </c>
      <c r="O1213" s="0" t="n">
        <v>22</v>
      </c>
      <c r="P1213" s="0" t="n">
        <v>4.35</v>
      </c>
      <c r="Q1213" s="0" t="n">
        <v>3.33</v>
      </c>
      <c r="R1213" s="0" t="n">
        <v>4152</v>
      </c>
      <c r="S1213" s="0" t="n">
        <v>9816</v>
      </c>
      <c r="T1213" s="0" t="n">
        <v>45.95</v>
      </c>
      <c r="U1213" s="0" t="n">
        <v>987</v>
      </c>
      <c r="V1213" s="0" t="n">
        <v>2</v>
      </c>
      <c r="W1213" s="27" t="n">
        <f aca="false">MATCH(A1213,DATAS,0)</f>
        <v>1</v>
      </c>
      <c r="X1213" s="27" t="n">
        <f aca="false">IF(AND(E1213&gt;0,OR(AND(B1213&gt;=1,B1213&lt;=6),B1213=10)),1,0)</f>
        <v>0</v>
      </c>
      <c r="Y1213" s="27" t="n">
        <f aca="false">IF(AND(E1213&gt;0,B1213=10),1,0)</f>
        <v>0</v>
      </c>
      <c r="Z1213" s="0" t="str">
        <f aca="false">IF(AND(C1212=C1213,W1212=W1213-1),X1212,"")</f>
        <v/>
      </c>
      <c r="AA1213" s="0" t="str">
        <f aca="false">IF(AND(C1212=C1213,W1212=W1213-1),Y1212,"")</f>
        <v/>
      </c>
      <c r="AB1213" s="0" t="str">
        <f aca="false">IF(W1213=1,"",IF(AND(X1213=1,Z1213&lt;&gt;1),1,0))</f>
        <v/>
      </c>
      <c r="AC1213" s="0" t="str">
        <f aca="false">IF(W1213=1,"",IF(AND(Y1213=1,AA1213&lt;&gt;1),1,0))</f>
        <v/>
      </c>
      <c r="AD1213" s="33" t="str">
        <f aca="false">IF(AND(E1213&gt;0,W1213&lt;1,NOT(AND(C1214=C1213,W1214=W1213+1))),INDEX(DATAS,W1213+1),"")</f>
        <v/>
      </c>
      <c r="AE1213" s="33" t="str">
        <f aca="false">IF(AND(Y1213=1,W1213&lt;1),IF(AND(C1214=C1213,W1214=W1213+1),IF(Y1214=1,"",INDEX(DATAS,W1213+1)),INDEX(DATAS,W1213+1)),"")</f>
        <v/>
      </c>
    </row>
    <row r="1214" customFormat="false" ht="15" hidden="false" customHeight="false" outlineLevel="0" collapsed="false">
      <c r="A1214" s="33" t="n">
        <v>46309</v>
      </c>
      <c r="B1214" s="0" t="n">
        <v>14</v>
      </c>
      <c r="C1214" s="0" t="n">
        <v>5277</v>
      </c>
      <c r="D1214" s="0" t="n">
        <v>320</v>
      </c>
      <c r="E1214" s="0" t="n">
        <v>1</v>
      </c>
      <c r="F1214" s="27" t="s">
        <v>839</v>
      </c>
      <c r="I1214" s="27" t="s">
        <v>143</v>
      </c>
      <c r="J1214" s="0" t="n">
        <v>92</v>
      </c>
      <c r="K1214" s="0" t="n">
        <v>70</v>
      </c>
      <c r="L1214" s="0" t="n">
        <v>264</v>
      </c>
      <c r="M1214" s="0" t="n">
        <v>736.61</v>
      </c>
      <c r="N1214" s="0" t="n">
        <v>60.9</v>
      </c>
      <c r="O1214" s="0" t="n">
        <v>37.71</v>
      </c>
      <c r="P1214" s="0" t="n">
        <v>5.18</v>
      </c>
      <c r="Q1214" s="0" t="n">
        <v>4.03</v>
      </c>
      <c r="R1214" s="0" t="n">
        <v>3303</v>
      </c>
      <c r="S1214" s="0" t="n">
        <v>7531</v>
      </c>
      <c r="T1214" s="0" t="n">
        <v>36.65</v>
      </c>
      <c r="U1214" s="0" t="n">
        <v>987</v>
      </c>
      <c r="V1214" s="0" t="n">
        <v>2</v>
      </c>
      <c r="W1214" s="27" t="n">
        <f aca="false">MATCH(A1214,DATAS,0)</f>
        <v>1</v>
      </c>
      <c r="X1214" s="27" t="n">
        <f aca="false">IF(AND(E1214&gt;0,OR(AND(B1214&gt;=1,B1214&lt;=6),B1214=10)),1,0)</f>
        <v>0</v>
      </c>
      <c r="Y1214" s="27" t="n">
        <f aca="false">IF(AND(E1214&gt;0,B1214=10),1,0)</f>
        <v>0</v>
      </c>
      <c r="Z1214" s="0" t="str">
        <f aca="false">IF(AND(C1213=C1214,W1213=W1214-1),X1213,"")</f>
        <v/>
      </c>
      <c r="AA1214" s="0" t="str">
        <f aca="false">IF(AND(C1213=C1214,W1213=W1214-1),Y1213,"")</f>
        <v/>
      </c>
      <c r="AB1214" s="0" t="str">
        <f aca="false">IF(W1214=1,"",IF(AND(X1214=1,Z1214&lt;&gt;1),1,0))</f>
        <v/>
      </c>
      <c r="AC1214" s="0" t="str">
        <f aca="false">IF(W1214=1,"",IF(AND(Y1214=1,AA1214&lt;&gt;1),1,0))</f>
        <v/>
      </c>
      <c r="AD1214" s="33" t="str">
        <f aca="false">IF(AND(E1214&gt;0,W1214&lt;1,NOT(AND(C1215=C1214,W1215=W1214+1))),INDEX(DATAS,W1214+1),"")</f>
        <v/>
      </c>
      <c r="AE1214" s="33" t="str">
        <f aca="false">IF(AND(Y1214=1,W1214&lt;1),IF(AND(C1215=C1214,W1215=W1214+1),IF(Y1215=1,"",INDEX(DATAS,W1214+1)),INDEX(DATAS,W1214+1)),"")</f>
        <v/>
      </c>
    </row>
    <row r="1215" customFormat="false" ht="15" hidden="false" customHeight="false" outlineLevel="0" collapsed="false">
      <c r="A1215" s="33" t="n">
        <v>46309</v>
      </c>
      <c r="B1215" s="0" t="n">
        <v>6</v>
      </c>
      <c r="C1215" s="0" t="n">
        <v>5278</v>
      </c>
      <c r="D1215" s="0" t="n">
        <v>24</v>
      </c>
      <c r="E1215" s="0" t="n">
        <v>2</v>
      </c>
      <c r="F1215" s="27" t="s">
        <v>840</v>
      </c>
      <c r="G1215" s="0" t="n">
        <v>21.4</v>
      </c>
      <c r="H1215" s="0" t="n">
        <v>18</v>
      </c>
      <c r="I1215" s="27" t="s">
        <v>147</v>
      </c>
      <c r="J1215" s="0" t="n">
        <v>24</v>
      </c>
      <c r="M1215" s="0" t="n">
        <v>997.32</v>
      </c>
      <c r="N1215" s="0" t="n">
        <v>88.28</v>
      </c>
      <c r="O1215" s="0" t="n">
        <v>40.94</v>
      </c>
      <c r="R1215" s="0" t="n">
        <v>1270</v>
      </c>
      <c r="S1215" s="0" t="n">
        <v>2553</v>
      </c>
      <c r="U1215" s="0" t="n">
        <v>986</v>
      </c>
      <c r="V1215" s="0" t="n">
        <v>0</v>
      </c>
      <c r="W1215" s="27" t="n">
        <f aca="false">MATCH(A1215,DATAS,0)</f>
        <v>1</v>
      </c>
      <c r="X1215" s="27" t="n">
        <f aca="false">IF(AND(E1215&gt;0,OR(AND(B1215&gt;=1,B1215&lt;=6),B1215=10)),1,0)</f>
        <v>1</v>
      </c>
      <c r="Y1215" s="27" t="n">
        <f aca="false">IF(AND(E1215&gt;0,B1215=10),1,0)</f>
        <v>0</v>
      </c>
      <c r="Z1215" s="0" t="str">
        <f aca="false">IF(AND(C1214=C1215,W1214=W1215-1),X1214,"")</f>
        <v/>
      </c>
      <c r="AA1215" s="0" t="str">
        <f aca="false">IF(AND(C1214=C1215,W1214=W1215-1),Y1214,"")</f>
        <v/>
      </c>
      <c r="AB1215" s="0" t="str">
        <f aca="false">IF(W1215=1,"",IF(AND(X1215=1,Z1215&lt;&gt;1),1,0))</f>
        <v/>
      </c>
      <c r="AC1215" s="0" t="str">
        <f aca="false">IF(W1215=1,"",IF(AND(Y1215=1,AA1215&lt;&gt;1),1,0))</f>
        <v/>
      </c>
      <c r="AD1215" s="33" t="str">
        <f aca="false">IF(AND(E1215&gt;0,W1215&lt;1,NOT(AND(C1216=C1215,W1216=W1215+1))),INDEX(DATAS,W1215+1),"")</f>
        <v/>
      </c>
      <c r="AE1215" s="33" t="str">
        <f aca="false">IF(AND(Y1215=1,W1215&lt;1),IF(AND(C1216=C1215,W1216=W1215+1),IF(Y1216=1,"",INDEX(DATAS,W1215+1)),INDEX(DATAS,W1215+1)),"")</f>
        <v/>
      </c>
    </row>
    <row r="1216" customFormat="false" ht="15" hidden="false" customHeight="false" outlineLevel="0" collapsed="false">
      <c r="A1216" s="33" t="n">
        <v>46309</v>
      </c>
      <c r="B1216" s="0" t="n">
        <v>7</v>
      </c>
      <c r="C1216" s="0" t="n">
        <v>5279</v>
      </c>
      <c r="D1216" s="0" t="n">
        <v>316</v>
      </c>
      <c r="E1216" s="0" t="n">
        <v>1</v>
      </c>
      <c r="F1216" s="27" t="s">
        <v>841</v>
      </c>
      <c r="I1216" s="27" t="s">
        <v>143</v>
      </c>
      <c r="J1216" s="0" t="n">
        <v>93</v>
      </c>
      <c r="K1216" s="0" t="n">
        <v>72</v>
      </c>
      <c r="L1216" s="0" t="n">
        <v>252</v>
      </c>
      <c r="M1216" s="0" t="n">
        <v>569.22</v>
      </c>
      <c r="N1216" s="0" t="n">
        <v>73.86</v>
      </c>
      <c r="O1216" s="0" t="n">
        <v>37.57</v>
      </c>
      <c r="P1216" s="0" t="n">
        <v>4.97</v>
      </c>
      <c r="Q1216" s="0" t="n">
        <v>3.87</v>
      </c>
      <c r="R1216" s="0" t="n">
        <v>3402</v>
      </c>
      <c r="S1216" s="0" t="n">
        <v>8013</v>
      </c>
      <c r="T1216" s="0" t="n">
        <v>37.5</v>
      </c>
      <c r="U1216" s="0" t="n">
        <v>985</v>
      </c>
      <c r="V1216" s="0" t="n">
        <v>2</v>
      </c>
      <c r="W1216" s="27" t="n">
        <f aca="false">MATCH(A1216,DATAS,0)</f>
        <v>1</v>
      </c>
      <c r="X1216" s="27" t="n">
        <f aca="false">IF(AND(E1216&gt;0,OR(AND(B1216&gt;=1,B1216&lt;=6),B1216=10)),1,0)</f>
        <v>0</v>
      </c>
      <c r="Y1216" s="27" t="n">
        <f aca="false">IF(AND(E1216&gt;0,B1216=10),1,0)</f>
        <v>0</v>
      </c>
      <c r="Z1216" s="0" t="str">
        <f aca="false">IF(AND(C1215=C1216,W1215=W1216-1),X1215,"")</f>
        <v/>
      </c>
      <c r="AA1216" s="0" t="str">
        <f aca="false">IF(AND(C1215=C1216,W1215=W1216-1),Y1215,"")</f>
        <v/>
      </c>
      <c r="AB1216" s="0" t="str">
        <f aca="false">IF(W1216=1,"",IF(AND(X1216=1,Z1216&lt;&gt;1),1,0))</f>
        <v/>
      </c>
      <c r="AC1216" s="0" t="str">
        <f aca="false">IF(W1216=1,"",IF(AND(Y1216=1,AA1216&lt;&gt;1),1,0))</f>
        <v/>
      </c>
      <c r="AD1216" s="33" t="str">
        <f aca="false">IF(AND(E1216&gt;0,W1216&lt;1,NOT(AND(C1217=C1216,W1217=W1216+1))),INDEX(DATAS,W1216+1),"")</f>
        <v/>
      </c>
      <c r="AE1216" s="33" t="str">
        <f aca="false">IF(AND(Y1216=1,W1216&lt;1),IF(AND(C1217=C1216,W1217=W1216+1),IF(Y1217=1,"",INDEX(DATAS,W1216+1)),INDEX(DATAS,W1216+1)),"")</f>
        <v/>
      </c>
    </row>
    <row r="1217" customFormat="false" ht="15" hidden="false" customHeight="false" outlineLevel="0" collapsed="false">
      <c r="A1217" s="33" t="n">
        <v>46309</v>
      </c>
      <c r="B1217" s="0" t="n">
        <v>4</v>
      </c>
      <c r="C1217" s="0" t="n">
        <v>5280</v>
      </c>
      <c r="D1217" s="0" t="n">
        <v>333</v>
      </c>
      <c r="E1217" s="0" t="n">
        <v>1</v>
      </c>
      <c r="F1217" s="27" t="s">
        <v>842</v>
      </c>
      <c r="G1217" s="0" t="n">
        <v>40</v>
      </c>
      <c r="H1217" s="0" t="n">
        <v>40</v>
      </c>
      <c r="I1217" s="27" t="s">
        <v>138</v>
      </c>
      <c r="J1217" s="0" t="n">
        <v>111</v>
      </c>
      <c r="K1217" s="0" t="n">
        <v>67</v>
      </c>
      <c r="L1217" s="0" t="n">
        <v>222</v>
      </c>
      <c r="M1217" s="0" t="n">
        <v>869.25</v>
      </c>
      <c r="N1217" s="0" t="n">
        <v>69.48</v>
      </c>
      <c r="O1217" s="0" t="n">
        <v>28.68</v>
      </c>
      <c r="P1217" s="0" t="n">
        <v>3.56</v>
      </c>
      <c r="Q1217" s="0" t="n">
        <v>3.56</v>
      </c>
      <c r="R1217" s="0" t="n">
        <v>4076</v>
      </c>
      <c r="S1217" s="0" t="n">
        <v>8955</v>
      </c>
      <c r="T1217" s="0" t="n">
        <v>48.1</v>
      </c>
      <c r="U1217" s="0" t="n">
        <v>984</v>
      </c>
      <c r="V1217" s="0" t="n">
        <v>3</v>
      </c>
      <c r="W1217" s="27" t="n">
        <f aca="false">MATCH(A1217,DATAS,0)</f>
        <v>1</v>
      </c>
      <c r="X1217" s="27" t="n">
        <f aca="false">IF(AND(E1217&gt;0,OR(AND(B1217&gt;=1,B1217&lt;=6),B1217=10)),1,0)</f>
        <v>1</v>
      </c>
      <c r="Y1217" s="27" t="n">
        <f aca="false">IF(AND(E1217&gt;0,B1217=10),1,0)</f>
        <v>0</v>
      </c>
      <c r="Z1217" s="0" t="str">
        <f aca="false">IF(AND(C1216=C1217,W1216=W1217-1),X1216,"")</f>
        <v/>
      </c>
      <c r="AA1217" s="0" t="str">
        <f aca="false">IF(AND(C1216=C1217,W1216=W1217-1),Y1216,"")</f>
        <v/>
      </c>
      <c r="AB1217" s="0" t="str">
        <f aca="false">IF(W1217=1,"",IF(AND(X1217=1,Z1217&lt;&gt;1),1,0))</f>
        <v/>
      </c>
      <c r="AC1217" s="0" t="str">
        <f aca="false">IF(W1217=1,"",IF(AND(Y1217=1,AA1217&lt;&gt;1),1,0))</f>
        <v/>
      </c>
      <c r="AD1217" s="33" t="str">
        <f aca="false">IF(AND(E1217&gt;0,W1217&lt;1,NOT(AND(C1218=C1217,W1218=W1217+1))),INDEX(DATAS,W1217+1),"")</f>
        <v/>
      </c>
      <c r="AE1217" s="33" t="str">
        <f aca="false">IF(AND(Y1217=1,W1217&lt;1),IF(AND(C1218=C1217,W1218=W1217+1),IF(Y1218=1,"",INDEX(DATAS,W1217+1)),INDEX(DATAS,W1217+1)),"")</f>
        <v/>
      </c>
    </row>
    <row r="1218" customFormat="false" ht="15" hidden="false" customHeight="false" outlineLevel="0" collapsed="false">
      <c r="A1218" s="33" t="n">
        <v>46309</v>
      </c>
      <c r="B1218" s="0" t="n">
        <v>4</v>
      </c>
      <c r="C1218" s="0" t="n">
        <v>5282</v>
      </c>
      <c r="D1218" s="0" t="n">
        <v>294</v>
      </c>
      <c r="E1218" s="0" t="n">
        <v>1</v>
      </c>
      <c r="F1218" s="27" t="s">
        <v>842</v>
      </c>
      <c r="G1218" s="0" t="n">
        <v>45.2</v>
      </c>
      <c r="H1218" s="0" t="n">
        <v>49</v>
      </c>
      <c r="I1218" s="27" t="s">
        <v>138</v>
      </c>
      <c r="J1218" s="0" t="n">
        <v>245</v>
      </c>
      <c r="K1218" s="0" t="n">
        <v>63</v>
      </c>
      <c r="L1218" s="0" t="n">
        <v>49</v>
      </c>
      <c r="M1218" s="0" t="n">
        <v>1204.37</v>
      </c>
      <c r="N1218" s="0" t="n">
        <v>29.29</v>
      </c>
      <c r="O1218" s="0" t="n">
        <v>34.97</v>
      </c>
      <c r="P1218" s="0" t="n">
        <v>3.01</v>
      </c>
      <c r="Q1218" s="0" t="n">
        <v>3.57</v>
      </c>
      <c r="R1218" s="0" t="n">
        <v>4256</v>
      </c>
      <c r="S1218" s="0" t="n">
        <v>9258</v>
      </c>
      <c r="T1218" s="0" t="n">
        <v>46.65</v>
      </c>
      <c r="U1218" s="0" t="n">
        <v>984</v>
      </c>
      <c r="V1218" s="0" t="n">
        <v>8</v>
      </c>
      <c r="W1218" s="27" t="n">
        <f aca="false">MATCH(A1218,DATAS,0)</f>
        <v>1</v>
      </c>
      <c r="X1218" s="27" t="n">
        <f aca="false">IF(AND(E1218&gt;0,OR(AND(B1218&gt;=1,B1218&lt;=6),B1218=10)),1,0)</f>
        <v>1</v>
      </c>
      <c r="Y1218" s="27" t="n">
        <f aca="false">IF(AND(E1218&gt;0,B1218=10),1,0)</f>
        <v>0</v>
      </c>
      <c r="Z1218" s="0" t="str">
        <f aca="false">IF(AND(C1217=C1218,W1217=W1218-1),X1217,"")</f>
        <v/>
      </c>
      <c r="AA1218" s="0" t="str">
        <f aca="false">IF(AND(C1217=C1218,W1217=W1218-1),Y1217,"")</f>
        <v/>
      </c>
      <c r="AB1218" s="0" t="str">
        <f aca="false">IF(W1218=1,"",IF(AND(X1218=1,Z1218&lt;&gt;1),1,0))</f>
        <v/>
      </c>
      <c r="AC1218" s="0" t="str">
        <f aca="false">IF(W1218=1,"",IF(AND(Y1218=1,AA1218&lt;&gt;1),1,0))</f>
        <v/>
      </c>
      <c r="AD1218" s="33" t="str">
        <f aca="false">IF(AND(E1218&gt;0,W1218&lt;1,NOT(AND(C1219=C1218,W1219=W1218+1))),INDEX(DATAS,W1218+1),"")</f>
        <v/>
      </c>
      <c r="AE1218" s="33" t="str">
        <f aca="false">IF(AND(Y1218=1,W1218&lt;1),IF(AND(C1219=C1218,W1219=W1218+1),IF(Y1219=1,"",INDEX(DATAS,W1218+1)),INDEX(DATAS,W1218+1)),"")</f>
        <v/>
      </c>
    </row>
    <row r="1219" customFormat="false" ht="15" hidden="false" customHeight="false" outlineLevel="0" collapsed="false">
      <c r="A1219" s="33" t="n">
        <v>46309</v>
      </c>
      <c r="B1219" s="0" t="n">
        <v>4</v>
      </c>
      <c r="C1219" s="0" t="n">
        <v>5283</v>
      </c>
      <c r="D1219" s="0" t="n">
        <v>221</v>
      </c>
      <c r="E1219" s="0" t="n">
        <v>1</v>
      </c>
      <c r="F1219" s="27" t="s">
        <v>843</v>
      </c>
      <c r="G1219" s="0" t="n">
        <v>47.7</v>
      </c>
      <c r="H1219" s="0" t="n">
        <v>49</v>
      </c>
      <c r="I1219" s="27" t="s">
        <v>138</v>
      </c>
      <c r="J1219" s="0" t="n">
        <v>67</v>
      </c>
      <c r="K1219" s="0" t="n">
        <v>67</v>
      </c>
      <c r="L1219" s="0" t="n">
        <v>154</v>
      </c>
      <c r="M1219" s="0" t="n">
        <v>780.61</v>
      </c>
      <c r="N1219" s="0" t="n">
        <v>70.54</v>
      </c>
      <c r="O1219" s="0" t="n">
        <v>41.9</v>
      </c>
      <c r="P1219" s="0" t="n">
        <v>3.38</v>
      </c>
      <c r="Q1219" s="0" t="n">
        <v>3.91</v>
      </c>
      <c r="R1219" s="0" t="n">
        <v>5347</v>
      </c>
      <c r="S1219" s="0" t="n">
        <v>10658</v>
      </c>
      <c r="T1219" s="0" t="n">
        <v>60.95</v>
      </c>
      <c r="U1219" s="0" t="n">
        <v>983</v>
      </c>
      <c r="V1219" s="0" t="n">
        <v>1</v>
      </c>
      <c r="W1219" s="27" t="n">
        <f aca="false">MATCH(A1219,DATAS,0)</f>
        <v>1</v>
      </c>
      <c r="X1219" s="27" t="n">
        <f aca="false">IF(AND(E1219&gt;0,OR(AND(B1219&gt;=1,B1219&lt;=6),B1219=10)),1,0)</f>
        <v>1</v>
      </c>
      <c r="Y1219" s="27" t="n">
        <f aca="false">IF(AND(E1219&gt;0,B1219=10),1,0)</f>
        <v>0</v>
      </c>
      <c r="Z1219" s="0" t="str">
        <f aca="false">IF(AND(C1218=C1219,W1218=W1219-1),X1218,"")</f>
        <v/>
      </c>
      <c r="AA1219" s="0" t="str">
        <f aca="false">IF(AND(C1218=C1219,W1218=W1219-1),Y1218,"")</f>
        <v/>
      </c>
      <c r="AB1219" s="0" t="str">
        <f aca="false">IF(W1219=1,"",IF(AND(X1219=1,Z1219&lt;&gt;1),1,0))</f>
        <v/>
      </c>
      <c r="AC1219" s="0" t="str">
        <f aca="false">IF(W1219=1,"",IF(AND(Y1219=1,AA1219&lt;&gt;1),1,0))</f>
        <v/>
      </c>
      <c r="AD1219" s="33" t="str">
        <f aca="false">IF(AND(E1219&gt;0,W1219&lt;1,NOT(AND(C1220=C1219,W1220=W1219+1))),INDEX(DATAS,W1219+1),"")</f>
        <v/>
      </c>
      <c r="AE1219" s="33" t="str">
        <f aca="false">IF(AND(Y1219=1,W1219&lt;1),IF(AND(C1220=C1219,W1220=W1219+1),IF(Y1220=1,"",INDEX(DATAS,W1219+1)),INDEX(DATAS,W1219+1)),"")</f>
        <v/>
      </c>
    </row>
    <row r="1220" customFormat="false" ht="15" hidden="false" customHeight="false" outlineLevel="0" collapsed="false">
      <c r="A1220" s="33" t="n">
        <v>46309</v>
      </c>
      <c r="B1220" s="0" t="n">
        <v>10</v>
      </c>
      <c r="C1220" s="0" t="n">
        <v>5284</v>
      </c>
      <c r="D1220" s="0" t="n">
        <v>352</v>
      </c>
      <c r="E1220" s="0" t="n">
        <v>1</v>
      </c>
      <c r="F1220" s="27" t="s">
        <v>843</v>
      </c>
      <c r="H1220" s="0" t="n">
        <v>14</v>
      </c>
      <c r="I1220" s="27" t="s">
        <v>138</v>
      </c>
      <c r="J1220" s="0" t="n">
        <v>170</v>
      </c>
      <c r="K1220" s="0" t="n">
        <v>66</v>
      </c>
      <c r="L1220" s="0" t="n">
        <v>182</v>
      </c>
      <c r="M1220" s="0" t="n">
        <v>1144.07</v>
      </c>
      <c r="N1220" s="0" t="n">
        <v>21.03</v>
      </c>
      <c r="O1220" s="0" t="n">
        <v>35.15</v>
      </c>
      <c r="P1220" s="0" t="n">
        <v>4.05</v>
      </c>
      <c r="Q1220" s="0" t="n">
        <v>3.94</v>
      </c>
      <c r="R1220" s="0" t="n">
        <v>3597</v>
      </c>
      <c r="S1220" s="0" t="n">
        <v>8227</v>
      </c>
      <c r="T1220" s="0" t="n">
        <v>42.9</v>
      </c>
      <c r="U1220" s="0" t="n">
        <v>983</v>
      </c>
      <c r="V1220" s="0" t="n">
        <v>3</v>
      </c>
      <c r="W1220" s="27" t="n">
        <f aca="false">MATCH(A1220,DATAS,0)</f>
        <v>1</v>
      </c>
      <c r="X1220" s="27" t="n">
        <f aca="false">IF(AND(E1220&gt;0,OR(AND(B1220&gt;=1,B1220&lt;=6),B1220=10)),1,0)</f>
        <v>1</v>
      </c>
      <c r="Y1220" s="27" t="n">
        <f aca="false">IF(AND(E1220&gt;0,B1220=10),1,0)</f>
        <v>1</v>
      </c>
      <c r="Z1220" s="0" t="str">
        <f aca="false">IF(AND(C1219=C1220,W1219=W1220-1),X1219,"")</f>
        <v/>
      </c>
      <c r="AA1220" s="0" t="str">
        <f aca="false">IF(AND(C1219=C1220,W1219=W1220-1),Y1219,"")</f>
        <v/>
      </c>
      <c r="AB1220" s="0" t="str">
        <f aca="false">IF(W1220=1,"",IF(AND(X1220=1,Z1220&lt;&gt;1),1,0))</f>
        <v/>
      </c>
      <c r="AC1220" s="0" t="str">
        <f aca="false">IF(W1220=1,"",IF(AND(Y1220=1,AA1220&lt;&gt;1),1,0))</f>
        <v/>
      </c>
      <c r="AD1220" s="33" t="str">
        <f aca="false">IF(AND(E1220&gt;0,W1220&lt;1,NOT(AND(C1221=C1220,W1221=W1220+1))),INDEX(DATAS,W1220+1),"")</f>
        <v/>
      </c>
      <c r="AE1220" s="33" t="str">
        <f aca="false">IF(AND(Y1220=1,W1220&lt;1),IF(AND(C1221=C1220,W1221=W1220+1),IF(Y1221=1,"",INDEX(DATAS,W1220+1)),INDEX(DATAS,W1220+1)),"")</f>
        <v/>
      </c>
    </row>
    <row r="1221" customFormat="false" ht="15" hidden="false" customHeight="false" outlineLevel="0" collapsed="false">
      <c r="A1221" s="33" t="n">
        <v>46309</v>
      </c>
      <c r="B1221" s="0" t="n">
        <v>6</v>
      </c>
      <c r="C1221" s="0" t="n">
        <v>5285</v>
      </c>
      <c r="D1221" s="0" t="n">
        <v>374</v>
      </c>
      <c r="E1221" s="0" t="n">
        <v>1</v>
      </c>
      <c r="F1221" s="27" t="s">
        <v>843</v>
      </c>
      <c r="G1221" s="0" t="n">
        <v>22.1</v>
      </c>
      <c r="H1221" s="0" t="n">
        <v>18</v>
      </c>
      <c r="I1221" s="27" t="s">
        <v>138</v>
      </c>
      <c r="J1221" s="0" t="n">
        <v>164</v>
      </c>
      <c r="K1221" s="0" t="n">
        <v>66</v>
      </c>
      <c r="L1221" s="0" t="n">
        <v>210</v>
      </c>
      <c r="M1221" s="0" t="n">
        <v>927.62</v>
      </c>
      <c r="N1221" s="0" t="n">
        <v>52.43</v>
      </c>
      <c r="O1221" s="0" t="n">
        <v>33.93</v>
      </c>
      <c r="P1221" s="0" t="n">
        <v>3.19</v>
      </c>
      <c r="Q1221" s="0" t="n">
        <v>4.03</v>
      </c>
      <c r="R1221" s="0" t="n">
        <v>3545</v>
      </c>
      <c r="S1221" s="0" t="n">
        <v>8144</v>
      </c>
      <c r="T1221" s="0" t="n">
        <v>38.6</v>
      </c>
      <c r="U1221" s="0" t="n">
        <v>983</v>
      </c>
      <c r="V1221" s="0" t="n">
        <v>4</v>
      </c>
      <c r="W1221" s="27" t="n">
        <f aca="false">MATCH(A1221,DATAS,0)</f>
        <v>1</v>
      </c>
      <c r="X1221" s="27" t="n">
        <f aca="false">IF(AND(E1221&gt;0,OR(AND(B1221&gt;=1,B1221&lt;=6),B1221=10)),1,0)</f>
        <v>1</v>
      </c>
      <c r="Y1221" s="27" t="n">
        <f aca="false">IF(AND(E1221&gt;0,B1221=10),1,0)</f>
        <v>0</v>
      </c>
      <c r="Z1221" s="0" t="str">
        <f aca="false">IF(AND(C1220=C1221,W1220=W1221-1),X1220,"")</f>
        <v/>
      </c>
      <c r="AA1221" s="0" t="str">
        <f aca="false">IF(AND(C1220=C1221,W1220=W1221-1),Y1220,"")</f>
        <v/>
      </c>
      <c r="AB1221" s="0" t="str">
        <f aca="false">IF(W1221=1,"",IF(AND(X1221=1,Z1221&lt;&gt;1),1,0))</f>
        <v/>
      </c>
      <c r="AC1221" s="0" t="str">
        <f aca="false">IF(W1221=1,"",IF(AND(Y1221=1,AA1221&lt;&gt;1),1,0))</f>
        <v/>
      </c>
      <c r="AD1221" s="33" t="str">
        <f aca="false">IF(AND(E1221&gt;0,W1221&lt;1,NOT(AND(C1222=C1221,W1222=W1221+1))),INDEX(DATAS,W1221+1),"")</f>
        <v/>
      </c>
      <c r="AE1221" s="33" t="str">
        <f aca="false">IF(AND(Y1221=1,W1221&lt;1),IF(AND(C1222=C1221,W1222=W1221+1),IF(Y1222=1,"",INDEX(DATAS,W1221+1)),INDEX(DATAS,W1221+1)),"")</f>
        <v/>
      </c>
    </row>
    <row r="1222" customFormat="false" ht="15" hidden="false" customHeight="false" outlineLevel="0" collapsed="false">
      <c r="A1222" s="33" t="n">
        <v>46309</v>
      </c>
      <c r="B1222" s="0" t="n">
        <v>4</v>
      </c>
      <c r="C1222" s="0" t="n">
        <v>5286</v>
      </c>
      <c r="D1222" s="0" t="n">
        <v>342</v>
      </c>
      <c r="E1222" s="0" t="n">
        <v>1</v>
      </c>
      <c r="F1222" s="27" t="s">
        <v>843</v>
      </c>
      <c r="G1222" s="0" t="n">
        <v>34.4</v>
      </c>
      <c r="H1222" s="0" t="n">
        <v>35</v>
      </c>
      <c r="I1222" s="27" t="s">
        <v>138</v>
      </c>
      <c r="J1222" s="0" t="n">
        <v>181</v>
      </c>
      <c r="K1222" s="0" t="n">
        <v>69</v>
      </c>
      <c r="L1222" s="0" t="n">
        <v>161</v>
      </c>
      <c r="M1222" s="0" t="n">
        <v>937.99</v>
      </c>
      <c r="N1222" s="0" t="n">
        <v>65.59</v>
      </c>
      <c r="O1222" s="0" t="n">
        <v>43.03</v>
      </c>
      <c r="P1222" s="0" t="n">
        <v>4.09</v>
      </c>
      <c r="Q1222" s="0" t="n">
        <v>3.78</v>
      </c>
      <c r="R1222" s="0" t="n">
        <v>3397</v>
      </c>
      <c r="S1222" s="0" t="n">
        <v>7110</v>
      </c>
      <c r="T1222" s="0" t="n">
        <v>35.2</v>
      </c>
      <c r="U1222" s="0" t="n">
        <v>983</v>
      </c>
      <c r="V1222" s="0" t="n">
        <v>4</v>
      </c>
      <c r="W1222" s="27" t="n">
        <f aca="false">MATCH(A1222,DATAS,0)</f>
        <v>1</v>
      </c>
      <c r="X1222" s="27" t="n">
        <f aca="false">IF(AND(E1222&gt;0,OR(AND(B1222&gt;=1,B1222&lt;=6),B1222=10)),1,0)</f>
        <v>1</v>
      </c>
      <c r="Y1222" s="27" t="n">
        <f aca="false">IF(AND(E1222&gt;0,B1222=10),1,0)</f>
        <v>0</v>
      </c>
      <c r="Z1222" s="0" t="str">
        <f aca="false">IF(AND(C1221=C1222,W1221=W1222-1),X1221,"")</f>
        <v/>
      </c>
      <c r="AA1222" s="0" t="str">
        <f aca="false">IF(AND(C1221=C1222,W1221=W1222-1),Y1221,"")</f>
        <v/>
      </c>
      <c r="AB1222" s="0" t="str">
        <f aca="false">IF(W1222=1,"",IF(AND(X1222=1,Z1222&lt;&gt;1),1,0))</f>
        <v/>
      </c>
      <c r="AC1222" s="0" t="str">
        <f aca="false">IF(W1222=1,"",IF(AND(Y1222=1,AA1222&lt;&gt;1),1,0))</f>
        <v/>
      </c>
      <c r="AD1222" s="33" t="str">
        <f aca="false">IF(AND(E1222&gt;0,W1222&lt;1,NOT(AND(C1223=C1222,W1223=W1222+1))),INDEX(DATAS,W1222+1),"")</f>
        <v/>
      </c>
      <c r="AE1222" s="33" t="str">
        <f aca="false">IF(AND(Y1222=1,W1222&lt;1),IF(AND(C1223=C1222,W1223=W1222+1),IF(Y1223=1,"",INDEX(DATAS,W1222+1)),INDEX(DATAS,W1222+1)),"")</f>
        <v/>
      </c>
    </row>
    <row r="1223" customFormat="false" ht="15" hidden="false" customHeight="false" outlineLevel="0" collapsed="false">
      <c r="A1223" s="33" t="n">
        <v>46309</v>
      </c>
      <c r="B1223" s="0" t="n">
        <v>10</v>
      </c>
      <c r="C1223" s="0" t="n">
        <v>5287</v>
      </c>
      <c r="D1223" s="0" t="n">
        <v>246</v>
      </c>
      <c r="E1223" s="0" t="n">
        <v>1</v>
      </c>
      <c r="F1223" s="27" t="s">
        <v>844</v>
      </c>
      <c r="G1223" s="0" t="n">
        <v>31</v>
      </c>
      <c r="H1223" s="0" t="n">
        <v>31</v>
      </c>
      <c r="I1223" s="27" t="s">
        <v>138</v>
      </c>
      <c r="J1223" s="0" t="n">
        <v>148</v>
      </c>
      <c r="K1223" s="0" t="n">
        <v>71</v>
      </c>
      <c r="L1223" s="0" t="n">
        <v>98</v>
      </c>
      <c r="M1223" s="0" t="n">
        <v>528.89</v>
      </c>
      <c r="N1223" s="0" t="n">
        <v>51.31</v>
      </c>
      <c r="O1223" s="0" t="n">
        <v>25.28</v>
      </c>
      <c r="P1223" s="0" t="n">
        <v>3.33</v>
      </c>
      <c r="Q1223" s="0" t="n">
        <v>3.46</v>
      </c>
      <c r="R1223" s="0" t="n">
        <v>3084</v>
      </c>
      <c r="S1223" s="0" t="n">
        <v>7238</v>
      </c>
      <c r="T1223" s="0" t="n">
        <v>26.8</v>
      </c>
      <c r="U1223" s="0" t="n">
        <v>982</v>
      </c>
      <c r="V1223" s="0" t="n">
        <v>3</v>
      </c>
      <c r="W1223" s="27" t="n">
        <f aca="false">MATCH(A1223,DATAS,0)</f>
        <v>1</v>
      </c>
      <c r="X1223" s="27" t="n">
        <f aca="false">IF(AND(E1223&gt;0,OR(AND(B1223&gt;=1,B1223&lt;=6),B1223=10)),1,0)</f>
        <v>1</v>
      </c>
      <c r="Y1223" s="27" t="n">
        <f aca="false">IF(AND(E1223&gt;0,B1223=10),1,0)</f>
        <v>1</v>
      </c>
      <c r="Z1223" s="0" t="str">
        <f aca="false">IF(AND(C1222=C1223,W1222=W1223-1),X1222,"")</f>
        <v/>
      </c>
      <c r="AA1223" s="0" t="str">
        <f aca="false">IF(AND(C1222=C1223,W1222=W1223-1),Y1222,"")</f>
        <v/>
      </c>
      <c r="AB1223" s="0" t="str">
        <f aca="false">IF(W1223=1,"",IF(AND(X1223=1,Z1223&lt;&gt;1),1,0))</f>
        <v/>
      </c>
      <c r="AC1223" s="0" t="str">
        <f aca="false">IF(W1223=1,"",IF(AND(Y1223=1,AA1223&lt;&gt;1),1,0))</f>
        <v/>
      </c>
      <c r="AD1223" s="33" t="str">
        <f aca="false">IF(AND(E1223&gt;0,W1223&lt;1,NOT(AND(C1224=C1223,W1224=W1223+1))),INDEX(DATAS,W1223+1),"")</f>
        <v/>
      </c>
      <c r="AE1223" s="33" t="str">
        <f aca="false">IF(AND(Y1223=1,W1223&lt;1),IF(AND(C1224=C1223,W1224=W1223+1),IF(Y1224=1,"",INDEX(DATAS,W1223+1)),INDEX(DATAS,W1223+1)),"")</f>
        <v/>
      </c>
    </row>
    <row r="1224" customFormat="false" ht="15" hidden="false" customHeight="false" outlineLevel="0" collapsed="false">
      <c r="A1224" s="33" t="n">
        <v>46309</v>
      </c>
      <c r="B1224" s="0" t="n">
        <v>4</v>
      </c>
      <c r="C1224" s="0" t="n">
        <v>5290</v>
      </c>
      <c r="D1224" s="0" t="n">
        <v>345</v>
      </c>
      <c r="E1224" s="0" t="n">
        <v>1</v>
      </c>
      <c r="F1224" s="27" t="s">
        <v>844</v>
      </c>
      <c r="G1224" s="0" t="n">
        <v>37.9</v>
      </c>
      <c r="H1224" s="0" t="n">
        <v>36</v>
      </c>
      <c r="I1224" s="27" t="s">
        <v>138</v>
      </c>
      <c r="J1224" s="0" t="n">
        <v>227</v>
      </c>
      <c r="K1224" s="0" t="n">
        <v>72</v>
      </c>
      <c r="L1224" s="0" t="n">
        <v>118</v>
      </c>
      <c r="M1224" s="0" t="n">
        <v>264.86</v>
      </c>
      <c r="N1224" s="0" t="n">
        <v>60.86</v>
      </c>
      <c r="O1224" s="0" t="n">
        <v>39.25</v>
      </c>
      <c r="P1224" s="0" t="n">
        <v>4</v>
      </c>
      <c r="Q1224" s="0" t="n">
        <v>3.7</v>
      </c>
      <c r="R1224" s="0" t="n">
        <v>3605</v>
      </c>
      <c r="S1224" s="0" t="n">
        <v>8588</v>
      </c>
      <c r="T1224" s="0" t="n">
        <v>36.85</v>
      </c>
      <c r="U1224" s="0" t="n">
        <v>982</v>
      </c>
      <c r="V1224" s="0" t="n">
        <v>4</v>
      </c>
      <c r="W1224" s="27" t="n">
        <f aca="false">MATCH(A1224,DATAS,0)</f>
        <v>1</v>
      </c>
      <c r="X1224" s="27" t="n">
        <f aca="false">IF(AND(E1224&gt;0,OR(AND(B1224&gt;=1,B1224&lt;=6),B1224=10)),1,0)</f>
        <v>1</v>
      </c>
      <c r="Y1224" s="27" t="n">
        <f aca="false">IF(AND(E1224&gt;0,B1224=10),1,0)</f>
        <v>0</v>
      </c>
      <c r="Z1224" s="0" t="str">
        <f aca="false">IF(AND(C1223=C1224,W1223=W1224-1),X1223,"")</f>
        <v/>
      </c>
      <c r="AA1224" s="0" t="str">
        <f aca="false">IF(AND(C1223=C1224,W1223=W1224-1),Y1223,"")</f>
        <v/>
      </c>
      <c r="AB1224" s="0" t="str">
        <f aca="false">IF(W1224=1,"",IF(AND(X1224=1,Z1224&lt;&gt;1),1,0))</f>
        <v/>
      </c>
      <c r="AC1224" s="0" t="str">
        <f aca="false">IF(W1224=1,"",IF(AND(Y1224=1,AA1224&lt;&gt;1),1,0))</f>
        <v/>
      </c>
      <c r="AD1224" s="33" t="str">
        <f aca="false">IF(AND(E1224&gt;0,W1224&lt;1,NOT(AND(C1225=C1224,W1225=W1224+1))),INDEX(DATAS,W1224+1),"")</f>
        <v/>
      </c>
      <c r="AE1224" s="33" t="str">
        <f aca="false">IF(AND(Y1224=1,W1224&lt;1),IF(AND(C1225=C1224,W1225=W1224+1),IF(Y1225=1,"",INDEX(DATAS,W1224+1)),INDEX(DATAS,W1224+1)),"")</f>
        <v/>
      </c>
    </row>
    <row r="1225" customFormat="false" ht="15" hidden="false" customHeight="false" outlineLevel="0" collapsed="false">
      <c r="A1225" s="33" t="n">
        <v>46309</v>
      </c>
      <c r="B1225" s="0" t="n">
        <v>3</v>
      </c>
      <c r="C1225" s="0" t="n">
        <v>5291</v>
      </c>
      <c r="D1225" s="0" t="n">
        <v>24</v>
      </c>
      <c r="E1225" s="0" t="n">
        <v>2</v>
      </c>
      <c r="F1225" s="27" t="s">
        <v>845</v>
      </c>
      <c r="G1225" s="0" t="n">
        <v>54.6</v>
      </c>
      <c r="H1225" s="0" t="n">
        <v>53</v>
      </c>
      <c r="I1225" s="27" t="s">
        <v>147</v>
      </c>
      <c r="J1225" s="0" t="n">
        <v>24</v>
      </c>
      <c r="M1225" s="0" t="n">
        <v>347.94</v>
      </c>
      <c r="N1225" s="0" t="n">
        <v>28.46</v>
      </c>
      <c r="O1225" s="0" t="n">
        <v>20.35</v>
      </c>
      <c r="R1225" s="0" t="n">
        <v>5386</v>
      </c>
      <c r="S1225" s="0" t="n">
        <v>10827</v>
      </c>
      <c r="U1225" s="0" t="n">
        <v>981</v>
      </c>
      <c r="V1225" s="0" t="n">
        <v>0</v>
      </c>
      <c r="W1225" s="27" t="n">
        <f aca="false">MATCH(A1225,DATAS,0)</f>
        <v>1</v>
      </c>
      <c r="X1225" s="27" t="n">
        <f aca="false">IF(AND(E1225&gt;0,OR(AND(B1225&gt;=1,B1225&lt;=6),B1225=10)),1,0)</f>
        <v>1</v>
      </c>
      <c r="Y1225" s="27" t="n">
        <f aca="false">IF(AND(E1225&gt;0,B1225=10),1,0)</f>
        <v>0</v>
      </c>
      <c r="Z1225" s="0" t="str">
        <f aca="false">IF(AND(C1224=C1225,W1224=W1225-1),X1224,"")</f>
        <v/>
      </c>
      <c r="AA1225" s="0" t="str">
        <f aca="false">IF(AND(C1224=C1225,W1224=W1225-1),Y1224,"")</f>
        <v/>
      </c>
      <c r="AB1225" s="0" t="str">
        <f aca="false">IF(W1225=1,"",IF(AND(X1225=1,Z1225&lt;&gt;1),1,0))</f>
        <v/>
      </c>
      <c r="AC1225" s="0" t="str">
        <f aca="false">IF(W1225=1,"",IF(AND(Y1225=1,AA1225&lt;&gt;1),1,0))</f>
        <v/>
      </c>
      <c r="AD1225" s="33" t="str">
        <f aca="false">IF(AND(E1225&gt;0,W1225&lt;1,NOT(AND(C1226=C1225,W1226=W1225+1))),INDEX(DATAS,W1225+1),"")</f>
        <v/>
      </c>
      <c r="AE1225" s="33" t="str">
        <f aca="false">IF(AND(Y1225=1,W1225&lt;1),IF(AND(C1226=C1225,W1226=W1225+1),IF(Y1226=1,"",INDEX(DATAS,W1225+1)),INDEX(DATAS,W1225+1)),"")</f>
        <v/>
      </c>
    </row>
    <row r="1226" customFormat="false" ht="15" hidden="false" customHeight="false" outlineLevel="0" collapsed="false">
      <c r="A1226" s="33" t="n">
        <v>46309</v>
      </c>
      <c r="B1226" s="0" t="n">
        <v>7</v>
      </c>
      <c r="C1226" s="0" t="n">
        <v>5292</v>
      </c>
      <c r="D1226" s="0" t="n">
        <v>330</v>
      </c>
      <c r="E1226" s="0" t="n">
        <v>1</v>
      </c>
      <c r="F1226" s="27" t="s">
        <v>845</v>
      </c>
      <c r="I1226" s="27" t="s">
        <v>143</v>
      </c>
      <c r="J1226" s="0" t="n">
        <v>107</v>
      </c>
      <c r="K1226" s="0" t="n">
        <v>72</v>
      </c>
      <c r="L1226" s="0" t="n">
        <v>238</v>
      </c>
      <c r="M1226" s="0" t="n">
        <v>580.01</v>
      </c>
      <c r="N1226" s="0" t="n">
        <v>69.54</v>
      </c>
      <c r="O1226" s="0" t="n">
        <v>32.47</v>
      </c>
      <c r="P1226" s="0" t="n">
        <v>3.27</v>
      </c>
      <c r="Q1226" s="0" t="n">
        <v>3.89</v>
      </c>
      <c r="R1226" s="0" t="n">
        <v>4289</v>
      </c>
      <c r="S1226" s="0" t="n">
        <v>9656</v>
      </c>
      <c r="T1226" s="0" t="n">
        <v>46.55</v>
      </c>
      <c r="U1226" s="0" t="n">
        <v>981</v>
      </c>
      <c r="V1226" s="0" t="n">
        <v>2</v>
      </c>
      <c r="W1226" s="27" t="n">
        <f aca="false">MATCH(A1226,DATAS,0)</f>
        <v>1</v>
      </c>
      <c r="X1226" s="27" t="n">
        <f aca="false">IF(AND(E1226&gt;0,OR(AND(B1226&gt;=1,B1226&lt;=6),B1226=10)),1,0)</f>
        <v>0</v>
      </c>
      <c r="Y1226" s="27" t="n">
        <f aca="false">IF(AND(E1226&gt;0,B1226=10),1,0)</f>
        <v>0</v>
      </c>
      <c r="Z1226" s="0" t="str">
        <f aca="false">IF(AND(C1225=C1226,W1225=W1226-1),X1225,"")</f>
        <v/>
      </c>
      <c r="AA1226" s="0" t="str">
        <f aca="false">IF(AND(C1225=C1226,W1225=W1226-1),Y1225,"")</f>
        <v/>
      </c>
      <c r="AB1226" s="0" t="str">
        <f aca="false">IF(W1226=1,"",IF(AND(X1226=1,Z1226&lt;&gt;1),1,0))</f>
        <v/>
      </c>
      <c r="AC1226" s="0" t="str">
        <f aca="false">IF(W1226=1,"",IF(AND(Y1226=1,AA1226&lt;&gt;1),1,0))</f>
        <v/>
      </c>
      <c r="AD1226" s="33" t="str">
        <f aca="false">IF(AND(E1226&gt;0,W1226&lt;1,NOT(AND(C1227=C1226,W1227=W1226+1))),INDEX(DATAS,W1226+1),"")</f>
        <v/>
      </c>
      <c r="AE1226" s="33" t="str">
        <f aca="false">IF(AND(Y1226=1,W1226&lt;1),IF(AND(C1227=C1226,W1227=W1226+1),IF(Y1227=1,"",INDEX(DATAS,W1226+1)),INDEX(DATAS,W1226+1)),"")</f>
        <v/>
      </c>
    </row>
    <row r="1227" customFormat="false" ht="15" hidden="false" customHeight="false" outlineLevel="0" collapsed="false">
      <c r="A1227" s="33" t="n">
        <v>46309</v>
      </c>
      <c r="B1227" s="0" t="n">
        <v>2</v>
      </c>
      <c r="C1227" s="0" t="n">
        <v>5293</v>
      </c>
      <c r="D1227" s="0" t="n">
        <v>18</v>
      </c>
      <c r="E1227" s="0" t="n">
        <v>2</v>
      </c>
      <c r="F1227" s="27" t="s">
        <v>845</v>
      </c>
      <c r="G1227" s="0" t="n">
        <v>57.9</v>
      </c>
      <c r="H1227" s="0" t="n">
        <v>53</v>
      </c>
      <c r="I1227" s="27" t="s">
        <v>147</v>
      </c>
      <c r="J1227" s="0" t="n">
        <v>18</v>
      </c>
      <c r="M1227" s="0" t="n">
        <v>544.39</v>
      </c>
      <c r="N1227" s="0" t="n">
        <v>86.25</v>
      </c>
      <c r="O1227" s="0" t="n">
        <v>39.07</v>
      </c>
      <c r="R1227" s="0" t="n">
        <v>4035</v>
      </c>
      <c r="S1227" s="0" t="n">
        <v>8112</v>
      </c>
      <c r="U1227" s="0" t="n">
        <v>981</v>
      </c>
      <c r="V1227" s="0" t="n">
        <v>0</v>
      </c>
      <c r="W1227" s="27" t="n">
        <f aca="false">MATCH(A1227,DATAS,0)</f>
        <v>1</v>
      </c>
      <c r="X1227" s="27" t="n">
        <f aca="false">IF(AND(E1227&gt;0,OR(AND(B1227&gt;=1,B1227&lt;=6),B1227=10)),1,0)</f>
        <v>1</v>
      </c>
      <c r="Y1227" s="27" t="n">
        <f aca="false">IF(AND(E1227&gt;0,B1227=10),1,0)</f>
        <v>0</v>
      </c>
      <c r="Z1227" s="0" t="str">
        <f aca="false">IF(AND(C1226=C1227,W1226=W1227-1),X1226,"")</f>
        <v/>
      </c>
      <c r="AA1227" s="0" t="str">
        <f aca="false">IF(AND(C1226=C1227,W1226=W1227-1),Y1226,"")</f>
        <v/>
      </c>
      <c r="AB1227" s="0" t="str">
        <f aca="false">IF(W1227=1,"",IF(AND(X1227=1,Z1227&lt;&gt;1),1,0))</f>
        <v/>
      </c>
      <c r="AC1227" s="0" t="str">
        <f aca="false">IF(W1227=1,"",IF(AND(Y1227=1,AA1227&lt;&gt;1),1,0))</f>
        <v/>
      </c>
      <c r="AD1227" s="33" t="str">
        <f aca="false">IF(AND(E1227&gt;0,W1227&lt;1,NOT(AND(C1228=C1227,W1228=W1227+1))),INDEX(DATAS,W1227+1),"")</f>
        <v/>
      </c>
      <c r="AE1227" s="33" t="str">
        <f aca="false">IF(AND(Y1227=1,W1227&lt;1),IF(AND(C1228=C1227,W1228=W1227+1),IF(Y1228=1,"",INDEX(DATAS,W1227+1)),INDEX(DATAS,W1227+1)),"")</f>
        <v/>
      </c>
    </row>
    <row r="1228" customFormat="false" ht="15" hidden="false" customHeight="false" outlineLevel="0" collapsed="false">
      <c r="A1228" s="33" t="n">
        <v>46309</v>
      </c>
      <c r="B1228" s="0" t="n">
        <v>4</v>
      </c>
      <c r="C1228" s="0" t="n">
        <v>5295</v>
      </c>
      <c r="D1228" s="0" t="n">
        <v>248</v>
      </c>
      <c r="E1228" s="0" t="n">
        <v>1</v>
      </c>
      <c r="F1228" s="27" t="s">
        <v>845</v>
      </c>
      <c r="G1228" s="0" t="n">
        <v>54</v>
      </c>
      <c r="H1228" s="0" t="n">
        <v>54</v>
      </c>
      <c r="I1228" s="27" t="s">
        <v>138</v>
      </c>
      <c r="J1228" s="0" t="n">
        <v>101</v>
      </c>
      <c r="K1228" s="0" t="n">
        <v>66</v>
      </c>
      <c r="L1228" s="0" t="n">
        <v>147</v>
      </c>
      <c r="M1228" s="0" t="n">
        <v>1106.62</v>
      </c>
      <c r="N1228" s="0" t="n">
        <v>50.62</v>
      </c>
      <c r="O1228" s="0" t="n">
        <v>37.07</v>
      </c>
      <c r="P1228" s="0" t="n">
        <v>3.43</v>
      </c>
      <c r="Q1228" s="0" t="n">
        <v>3.13</v>
      </c>
      <c r="R1228" s="0" t="n">
        <v>4873</v>
      </c>
      <c r="S1228" s="0" t="n">
        <v>10787</v>
      </c>
      <c r="T1228" s="0" t="n">
        <v>52.05</v>
      </c>
      <c r="U1228" s="0" t="n">
        <v>981</v>
      </c>
      <c r="V1228" s="0" t="n">
        <v>2</v>
      </c>
      <c r="W1228" s="27" t="n">
        <f aca="false">MATCH(A1228,DATAS,0)</f>
        <v>1</v>
      </c>
      <c r="X1228" s="27" t="n">
        <f aca="false">IF(AND(E1228&gt;0,OR(AND(B1228&gt;=1,B1228&lt;=6),B1228=10)),1,0)</f>
        <v>1</v>
      </c>
      <c r="Y1228" s="27" t="n">
        <f aca="false">IF(AND(E1228&gt;0,B1228=10),1,0)</f>
        <v>0</v>
      </c>
      <c r="Z1228" s="0" t="str">
        <f aca="false">IF(AND(C1227=C1228,W1227=W1228-1),X1227,"")</f>
        <v/>
      </c>
      <c r="AA1228" s="0" t="str">
        <f aca="false">IF(AND(C1227=C1228,W1227=W1228-1),Y1227,"")</f>
        <v/>
      </c>
      <c r="AB1228" s="0" t="str">
        <f aca="false">IF(W1228=1,"",IF(AND(X1228=1,Z1228&lt;&gt;1),1,0))</f>
        <v/>
      </c>
      <c r="AC1228" s="0" t="str">
        <f aca="false">IF(W1228=1,"",IF(AND(Y1228=1,AA1228&lt;&gt;1),1,0))</f>
        <v/>
      </c>
      <c r="AD1228" s="33" t="str">
        <f aca="false">IF(AND(E1228&gt;0,W1228&lt;1,NOT(AND(C1229=C1228,W1229=W1228+1))),INDEX(DATAS,W1228+1),"")</f>
        <v/>
      </c>
      <c r="AE1228" s="33" t="str">
        <f aca="false">IF(AND(Y1228=1,W1228&lt;1),IF(AND(C1229=C1228,W1229=W1228+1),IF(Y1229=1,"",INDEX(DATAS,W1228+1)),INDEX(DATAS,W1228+1)),"")</f>
        <v/>
      </c>
    </row>
    <row r="1229" customFormat="false" ht="15" hidden="false" customHeight="false" outlineLevel="0" collapsed="false">
      <c r="A1229" s="33" t="n">
        <v>46309</v>
      </c>
      <c r="B1229" s="0" t="n">
        <v>4</v>
      </c>
      <c r="C1229" s="0" t="n">
        <v>5297</v>
      </c>
      <c r="D1229" s="0" t="n">
        <v>157</v>
      </c>
      <c r="E1229" s="0" t="n">
        <v>1</v>
      </c>
      <c r="F1229" s="27" t="s">
        <v>846</v>
      </c>
      <c r="G1229" s="0" t="n">
        <v>51.8</v>
      </c>
      <c r="H1229" s="0" t="n">
        <v>52</v>
      </c>
      <c r="I1229" s="27" t="s">
        <v>168</v>
      </c>
      <c r="J1229" s="0" t="n">
        <v>157</v>
      </c>
      <c r="K1229" s="0" t="n">
        <v>66</v>
      </c>
      <c r="M1229" s="0" t="n">
        <v>2225.83</v>
      </c>
      <c r="N1229" s="0" t="n">
        <v>42.69</v>
      </c>
      <c r="O1229" s="0" t="n">
        <v>47.57</v>
      </c>
      <c r="P1229" s="0" t="n">
        <v>3.18</v>
      </c>
      <c r="Q1229" s="0" t="n">
        <v>3.3</v>
      </c>
      <c r="R1229" s="0" t="n">
        <v>5429</v>
      </c>
      <c r="S1229" s="0" t="n">
        <v>10793</v>
      </c>
      <c r="T1229" s="0" t="n">
        <v>56.6</v>
      </c>
      <c r="U1229" s="0" t="n">
        <v>980</v>
      </c>
      <c r="V1229" s="0" t="n">
        <v>3</v>
      </c>
      <c r="W1229" s="27" t="n">
        <f aca="false">MATCH(A1229,DATAS,0)</f>
        <v>1</v>
      </c>
      <c r="X1229" s="27" t="n">
        <f aca="false">IF(AND(E1229&gt;0,OR(AND(B1229&gt;=1,B1229&lt;=6),B1229=10)),1,0)</f>
        <v>1</v>
      </c>
      <c r="Y1229" s="27" t="n">
        <f aca="false">IF(AND(E1229&gt;0,B1229=10),1,0)</f>
        <v>0</v>
      </c>
      <c r="Z1229" s="0" t="str">
        <f aca="false">IF(AND(C1228=C1229,W1228=W1229-1),X1228,"")</f>
        <v/>
      </c>
      <c r="AA1229" s="0" t="str">
        <f aca="false">IF(AND(C1228=C1229,W1228=W1229-1),Y1228,"")</f>
        <v/>
      </c>
      <c r="AB1229" s="0" t="str">
        <f aca="false">IF(W1229=1,"",IF(AND(X1229=1,Z1229&lt;&gt;1),1,0))</f>
        <v/>
      </c>
      <c r="AC1229" s="0" t="str">
        <f aca="false">IF(W1229=1,"",IF(AND(Y1229=1,AA1229&lt;&gt;1),1,0))</f>
        <v/>
      </c>
      <c r="AD1229" s="33" t="str">
        <f aca="false">IF(AND(E1229&gt;0,W1229&lt;1,NOT(AND(C1230=C1229,W1230=W1229+1))),INDEX(DATAS,W1229+1),"")</f>
        <v/>
      </c>
      <c r="AE1229" s="33" t="str">
        <f aca="false">IF(AND(Y1229=1,W1229&lt;1),IF(AND(C1230=C1229,W1230=W1229+1),IF(Y1230=1,"",INDEX(DATAS,W1229+1)),INDEX(DATAS,W1229+1)),"")</f>
        <v/>
      </c>
    </row>
    <row r="1230" customFormat="false" ht="15" hidden="false" customHeight="false" outlineLevel="0" collapsed="false">
      <c r="A1230" s="33" t="n">
        <v>46309</v>
      </c>
      <c r="B1230" s="0" t="n">
        <v>7</v>
      </c>
      <c r="C1230" s="0" t="n">
        <v>5298</v>
      </c>
      <c r="D1230" s="0" t="n">
        <v>320</v>
      </c>
      <c r="E1230" s="0" t="n">
        <v>1</v>
      </c>
      <c r="F1230" s="27" t="s">
        <v>846</v>
      </c>
      <c r="I1230" s="27" t="s">
        <v>143</v>
      </c>
      <c r="J1230" s="0" t="n">
        <v>92</v>
      </c>
      <c r="K1230" s="0" t="n">
        <v>76</v>
      </c>
      <c r="L1230" s="0" t="n">
        <v>243</v>
      </c>
      <c r="M1230" s="0" t="n">
        <v>377.91</v>
      </c>
      <c r="N1230" s="0" t="n">
        <v>61.57</v>
      </c>
      <c r="O1230" s="0" t="n">
        <v>23.27</v>
      </c>
      <c r="P1230" s="0" t="n">
        <v>3.64</v>
      </c>
      <c r="Q1230" s="0" t="n">
        <v>3.32</v>
      </c>
      <c r="R1230" s="0" t="n">
        <v>4735</v>
      </c>
      <c r="S1230" s="0" t="n">
        <v>10007</v>
      </c>
      <c r="T1230" s="0" t="n">
        <v>53.85</v>
      </c>
      <c r="U1230" s="0" t="n">
        <v>980</v>
      </c>
      <c r="V1230" s="0" t="n">
        <v>2</v>
      </c>
      <c r="W1230" s="27" t="n">
        <f aca="false">MATCH(A1230,DATAS,0)</f>
        <v>1</v>
      </c>
      <c r="X1230" s="27" t="n">
        <f aca="false">IF(AND(E1230&gt;0,OR(AND(B1230&gt;=1,B1230&lt;=6),B1230=10)),1,0)</f>
        <v>0</v>
      </c>
      <c r="Y1230" s="27" t="n">
        <f aca="false">IF(AND(E1230&gt;0,B1230=10),1,0)</f>
        <v>0</v>
      </c>
      <c r="Z1230" s="0" t="str">
        <f aca="false">IF(AND(C1229=C1230,W1229=W1230-1),X1229,"")</f>
        <v/>
      </c>
      <c r="AA1230" s="0" t="str">
        <f aca="false">IF(AND(C1229=C1230,W1229=W1230-1),Y1229,"")</f>
        <v/>
      </c>
      <c r="AB1230" s="0" t="str">
        <f aca="false">IF(W1230=1,"",IF(AND(X1230=1,Z1230&lt;&gt;1),1,0))</f>
        <v/>
      </c>
      <c r="AC1230" s="0" t="str">
        <f aca="false">IF(W1230=1,"",IF(AND(Y1230=1,AA1230&lt;&gt;1),1,0))</f>
        <v/>
      </c>
      <c r="AD1230" s="33" t="str">
        <f aca="false">IF(AND(E1230&gt;0,W1230&lt;1,NOT(AND(C1231=C1230,W1231=W1230+1))),INDEX(DATAS,W1230+1),"")</f>
        <v/>
      </c>
      <c r="AE1230" s="33" t="str">
        <f aca="false">IF(AND(Y1230=1,W1230&lt;1),IF(AND(C1231=C1230,W1231=W1230+1),IF(Y1231=1,"",INDEX(DATAS,W1230+1)),INDEX(DATAS,W1230+1)),"")</f>
        <v/>
      </c>
    </row>
    <row r="1231" customFormat="false" ht="15" hidden="false" customHeight="false" outlineLevel="0" collapsed="false">
      <c r="A1231" s="33" t="n">
        <v>46309</v>
      </c>
      <c r="B1231" s="0" t="n">
        <v>7</v>
      </c>
      <c r="C1231" s="0" t="n">
        <v>5299</v>
      </c>
      <c r="D1231" s="0" t="n">
        <v>287</v>
      </c>
      <c r="E1231" s="0" t="n">
        <v>1</v>
      </c>
      <c r="F1231" s="27" t="s">
        <v>846</v>
      </c>
      <c r="I1231" s="27" t="s">
        <v>143</v>
      </c>
      <c r="J1231" s="0" t="n">
        <v>64</v>
      </c>
      <c r="K1231" s="0" t="n">
        <v>64</v>
      </c>
      <c r="L1231" s="0" t="n">
        <v>231</v>
      </c>
      <c r="M1231" s="0" t="n">
        <v>807.85</v>
      </c>
      <c r="N1231" s="0" t="n">
        <v>63.98</v>
      </c>
      <c r="O1231" s="0" t="n">
        <v>30.12</v>
      </c>
      <c r="P1231" s="0" t="n">
        <v>3.61</v>
      </c>
      <c r="Q1231" s="0" t="n">
        <v>3.47</v>
      </c>
      <c r="R1231" s="0" t="n">
        <v>4468</v>
      </c>
      <c r="S1231" s="0" t="n">
        <v>9664</v>
      </c>
      <c r="T1231" s="0" t="n">
        <v>46.4</v>
      </c>
      <c r="U1231" s="0" t="n">
        <v>980</v>
      </c>
      <c r="V1231" s="0" t="n">
        <v>1</v>
      </c>
      <c r="W1231" s="27" t="n">
        <f aca="false">MATCH(A1231,DATAS,0)</f>
        <v>1</v>
      </c>
      <c r="X1231" s="27" t="n">
        <f aca="false">IF(AND(E1231&gt;0,OR(AND(B1231&gt;=1,B1231&lt;=6),B1231=10)),1,0)</f>
        <v>0</v>
      </c>
      <c r="Y1231" s="27" t="n">
        <f aca="false">IF(AND(E1231&gt;0,B1231=10),1,0)</f>
        <v>0</v>
      </c>
      <c r="Z1231" s="0" t="str">
        <f aca="false">IF(AND(C1230=C1231,W1230=W1231-1),X1230,"")</f>
        <v/>
      </c>
      <c r="AA1231" s="0" t="str">
        <f aca="false">IF(AND(C1230=C1231,W1230=W1231-1),Y1230,"")</f>
        <v/>
      </c>
      <c r="AB1231" s="0" t="str">
        <f aca="false">IF(W1231=1,"",IF(AND(X1231=1,Z1231&lt;&gt;1),1,0))</f>
        <v/>
      </c>
      <c r="AC1231" s="0" t="str">
        <f aca="false">IF(W1231=1,"",IF(AND(Y1231=1,AA1231&lt;&gt;1),1,0))</f>
        <v/>
      </c>
      <c r="AD1231" s="33" t="str">
        <f aca="false">IF(AND(E1231&gt;0,W1231&lt;1,NOT(AND(C1232=C1231,W1232=W1231+1))),INDEX(DATAS,W1231+1),"")</f>
        <v/>
      </c>
      <c r="AE1231" s="33" t="str">
        <f aca="false">IF(AND(Y1231=1,W1231&lt;1),IF(AND(C1232=C1231,W1232=W1231+1),IF(Y1232=1,"",INDEX(DATAS,W1231+1)),INDEX(DATAS,W1231+1)),"")</f>
        <v/>
      </c>
    </row>
    <row r="1232" customFormat="false" ht="15" hidden="false" customHeight="false" outlineLevel="0" collapsed="false">
      <c r="A1232" s="33" t="n">
        <v>46309</v>
      </c>
      <c r="B1232" s="0" t="n">
        <v>7</v>
      </c>
      <c r="C1232" s="0" t="n">
        <v>5301</v>
      </c>
      <c r="D1232" s="0" t="n">
        <v>333</v>
      </c>
      <c r="E1232" s="0" t="n">
        <v>1</v>
      </c>
      <c r="F1232" s="27" t="s">
        <v>847</v>
      </c>
      <c r="I1232" s="27" t="s">
        <v>143</v>
      </c>
      <c r="J1232" s="0" t="n">
        <v>105</v>
      </c>
      <c r="K1232" s="0" t="n">
        <v>82</v>
      </c>
      <c r="L1232" s="0" t="n">
        <v>243</v>
      </c>
      <c r="M1232" s="0" t="n">
        <v>437.05</v>
      </c>
      <c r="N1232" s="0" t="n">
        <v>91.99</v>
      </c>
      <c r="O1232" s="0" t="n">
        <v>28.75</v>
      </c>
      <c r="P1232" s="0" t="n">
        <v>5.65</v>
      </c>
      <c r="Q1232" s="0" t="n">
        <v>3.75</v>
      </c>
      <c r="R1232" s="0" t="n">
        <v>4138</v>
      </c>
      <c r="S1232" s="0" t="n">
        <v>8910</v>
      </c>
      <c r="T1232" s="0" t="n">
        <v>49</v>
      </c>
      <c r="U1232" s="0" t="n">
        <v>978</v>
      </c>
      <c r="V1232" s="0" t="n">
        <v>2</v>
      </c>
      <c r="W1232" s="27" t="n">
        <f aca="false">MATCH(A1232,DATAS,0)</f>
        <v>1</v>
      </c>
      <c r="X1232" s="27" t="n">
        <f aca="false">IF(AND(E1232&gt;0,OR(AND(B1232&gt;=1,B1232&lt;=6),B1232=10)),1,0)</f>
        <v>0</v>
      </c>
      <c r="Y1232" s="27" t="n">
        <f aca="false">IF(AND(E1232&gt;0,B1232=10),1,0)</f>
        <v>0</v>
      </c>
      <c r="Z1232" s="0" t="str">
        <f aca="false">IF(AND(C1231=C1232,W1231=W1232-1),X1231,"")</f>
        <v/>
      </c>
      <c r="AA1232" s="0" t="str">
        <f aca="false">IF(AND(C1231=C1232,W1231=W1232-1),Y1231,"")</f>
        <v/>
      </c>
      <c r="AB1232" s="0" t="str">
        <f aca="false">IF(W1232=1,"",IF(AND(X1232=1,Z1232&lt;&gt;1),1,0))</f>
        <v/>
      </c>
      <c r="AC1232" s="0" t="str">
        <f aca="false">IF(W1232=1,"",IF(AND(Y1232=1,AA1232&lt;&gt;1),1,0))</f>
        <v/>
      </c>
      <c r="AD1232" s="33" t="str">
        <f aca="false">IF(AND(E1232&gt;0,W1232&lt;1,NOT(AND(C1233=C1232,W1233=W1232+1))),INDEX(DATAS,W1232+1),"")</f>
        <v/>
      </c>
      <c r="AE1232" s="33" t="str">
        <f aca="false">IF(AND(Y1232=1,W1232&lt;1),IF(AND(C1233=C1232,W1233=W1232+1),IF(Y1233=1,"",INDEX(DATAS,W1232+1)),INDEX(DATAS,W1232+1)),"")</f>
        <v/>
      </c>
    </row>
    <row r="1233" customFormat="false" ht="15" hidden="false" customHeight="false" outlineLevel="0" collapsed="false">
      <c r="A1233" s="33" t="n">
        <v>46309</v>
      </c>
      <c r="B1233" s="0" t="n">
        <v>3</v>
      </c>
      <c r="C1233" s="0" t="n">
        <v>5302</v>
      </c>
      <c r="D1233" s="0" t="n">
        <v>18</v>
      </c>
      <c r="E1233" s="0" t="n">
        <v>2</v>
      </c>
      <c r="F1233" s="27" t="s">
        <v>847</v>
      </c>
      <c r="G1233" s="0" t="n">
        <v>49.9</v>
      </c>
      <c r="H1233" s="0" t="n">
        <v>48</v>
      </c>
      <c r="I1233" s="27" t="s">
        <v>147</v>
      </c>
      <c r="J1233" s="0" t="n">
        <v>18</v>
      </c>
      <c r="M1233" s="0" t="n">
        <v>342.98</v>
      </c>
      <c r="N1233" s="0" t="n">
        <v>44.2</v>
      </c>
      <c r="O1233" s="0" t="n">
        <v>22.75</v>
      </c>
      <c r="R1233" s="0" t="n">
        <v>3593</v>
      </c>
      <c r="S1233" s="0" t="n">
        <v>7222</v>
      </c>
      <c r="U1233" s="0" t="n">
        <v>978</v>
      </c>
      <c r="V1233" s="0" t="n">
        <v>0</v>
      </c>
      <c r="W1233" s="27" t="n">
        <f aca="false">MATCH(A1233,DATAS,0)</f>
        <v>1</v>
      </c>
      <c r="X1233" s="27" t="n">
        <f aca="false">IF(AND(E1233&gt;0,OR(AND(B1233&gt;=1,B1233&lt;=6),B1233=10)),1,0)</f>
        <v>1</v>
      </c>
      <c r="Y1233" s="27" t="n">
        <f aca="false">IF(AND(E1233&gt;0,B1233=10),1,0)</f>
        <v>0</v>
      </c>
      <c r="Z1233" s="0" t="str">
        <f aca="false">IF(AND(C1232=C1233,W1232=W1233-1),X1232,"")</f>
        <v/>
      </c>
      <c r="AA1233" s="0" t="str">
        <f aca="false">IF(AND(C1232=C1233,W1232=W1233-1),Y1232,"")</f>
        <v/>
      </c>
      <c r="AB1233" s="0" t="str">
        <f aca="false">IF(W1233=1,"",IF(AND(X1233=1,Z1233&lt;&gt;1),1,0))</f>
        <v/>
      </c>
      <c r="AC1233" s="0" t="str">
        <f aca="false">IF(W1233=1,"",IF(AND(Y1233=1,AA1233&lt;&gt;1),1,0))</f>
        <v/>
      </c>
      <c r="AD1233" s="33" t="str">
        <f aca="false">IF(AND(E1233&gt;0,W1233&lt;1,NOT(AND(C1234=C1233,W1234=W1233+1))),INDEX(DATAS,W1233+1),"")</f>
        <v/>
      </c>
      <c r="AE1233" s="33" t="str">
        <f aca="false">IF(AND(Y1233=1,W1233&lt;1),IF(AND(C1234=C1233,W1234=W1233+1),IF(Y1234=1,"",INDEX(DATAS,W1233+1)),INDEX(DATAS,W1233+1)),"")</f>
        <v/>
      </c>
    </row>
    <row r="1234" customFormat="false" ht="15" hidden="false" customHeight="false" outlineLevel="0" collapsed="false">
      <c r="A1234" s="33" t="n">
        <v>46309</v>
      </c>
      <c r="B1234" s="0" t="n">
        <v>3</v>
      </c>
      <c r="C1234" s="0" t="n">
        <v>5303</v>
      </c>
      <c r="D1234" s="0" t="n">
        <v>72</v>
      </c>
      <c r="E1234" s="0" t="n">
        <v>2</v>
      </c>
      <c r="F1234" s="27" t="s">
        <v>847</v>
      </c>
      <c r="G1234" s="0" t="n">
        <v>53</v>
      </c>
      <c r="H1234" s="0" t="n">
        <v>50</v>
      </c>
      <c r="I1234" s="27" t="s">
        <v>168</v>
      </c>
      <c r="J1234" s="0" t="n">
        <v>72</v>
      </c>
      <c r="K1234" s="0" t="n">
        <v>65</v>
      </c>
      <c r="M1234" s="0" t="n">
        <v>530.38</v>
      </c>
      <c r="N1234" s="0" t="n">
        <v>68.94</v>
      </c>
      <c r="O1234" s="0" t="n">
        <v>32.7</v>
      </c>
      <c r="P1234" s="0" t="n">
        <v>4.09</v>
      </c>
      <c r="Q1234" s="0" t="n">
        <v>3.33</v>
      </c>
      <c r="R1234" s="0" t="n">
        <v>4216</v>
      </c>
      <c r="S1234" s="0" t="n">
        <v>8475</v>
      </c>
      <c r="U1234" s="0" t="n">
        <v>978</v>
      </c>
      <c r="V1234" s="0" t="n">
        <v>1</v>
      </c>
      <c r="W1234" s="27" t="n">
        <f aca="false">MATCH(A1234,DATAS,0)</f>
        <v>1</v>
      </c>
      <c r="X1234" s="27" t="n">
        <f aca="false">IF(AND(E1234&gt;0,OR(AND(B1234&gt;=1,B1234&lt;=6),B1234=10)),1,0)</f>
        <v>1</v>
      </c>
      <c r="Y1234" s="27" t="n">
        <f aca="false">IF(AND(E1234&gt;0,B1234=10),1,0)</f>
        <v>0</v>
      </c>
      <c r="Z1234" s="0" t="str">
        <f aca="false">IF(AND(C1233=C1234,W1233=W1234-1),X1233,"")</f>
        <v/>
      </c>
      <c r="AA1234" s="0" t="str">
        <f aca="false">IF(AND(C1233=C1234,W1233=W1234-1),Y1233,"")</f>
        <v/>
      </c>
      <c r="AB1234" s="0" t="str">
        <f aca="false">IF(W1234=1,"",IF(AND(X1234=1,Z1234&lt;&gt;1),1,0))</f>
        <v/>
      </c>
      <c r="AC1234" s="0" t="str">
        <f aca="false">IF(W1234=1,"",IF(AND(Y1234=1,AA1234&lt;&gt;1),1,0))</f>
        <v/>
      </c>
      <c r="AD1234" s="33" t="str">
        <f aca="false">IF(AND(E1234&gt;0,W1234&lt;1,NOT(AND(C1235=C1234,W1235=W1234+1))),INDEX(DATAS,W1234+1),"")</f>
        <v/>
      </c>
      <c r="AE1234" s="33" t="str">
        <f aca="false">IF(AND(Y1234=1,W1234&lt;1),IF(AND(C1235=C1234,W1235=W1234+1),IF(Y1235=1,"",INDEX(DATAS,W1234+1)),INDEX(DATAS,W1234+1)),"")</f>
        <v/>
      </c>
    </row>
    <row r="1235" customFormat="false" ht="15" hidden="false" customHeight="false" outlineLevel="0" collapsed="false">
      <c r="A1235" s="33" t="n">
        <v>46309</v>
      </c>
      <c r="B1235" s="0" t="n">
        <v>3</v>
      </c>
      <c r="C1235" s="0" t="n">
        <v>5304</v>
      </c>
      <c r="D1235" s="0" t="n">
        <v>14</v>
      </c>
      <c r="E1235" s="0" t="n">
        <v>2</v>
      </c>
      <c r="F1235" s="27" t="s">
        <v>847</v>
      </c>
      <c r="G1235" s="0" t="n">
        <v>40.4</v>
      </c>
      <c r="H1235" s="0" t="n">
        <v>32</v>
      </c>
      <c r="I1235" s="27" t="s">
        <v>147</v>
      </c>
      <c r="J1235" s="0" t="n">
        <v>14</v>
      </c>
      <c r="M1235" s="0" t="n">
        <v>2553.83</v>
      </c>
      <c r="N1235" s="0" t="n">
        <v>41.74</v>
      </c>
      <c r="O1235" s="0" t="n">
        <v>57.81</v>
      </c>
      <c r="R1235" s="0" t="n">
        <v>2668</v>
      </c>
      <c r="S1235" s="0" t="n">
        <v>5363</v>
      </c>
      <c r="U1235" s="0" t="n">
        <v>978</v>
      </c>
      <c r="V1235" s="0" t="n">
        <v>0</v>
      </c>
      <c r="W1235" s="27" t="n">
        <f aca="false">MATCH(A1235,DATAS,0)</f>
        <v>1</v>
      </c>
      <c r="X1235" s="27" t="n">
        <f aca="false">IF(AND(E1235&gt;0,OR(AND(B1235&gt;=1,B1235&lt;=6),B1235=10)),1,0)</f>
        <v>1</v>
      </c>
      <c r="Y1235" s="27" t="n">
        <f aca="false">IF(AND(E1235&gt;0,B1235=10),1,0)</f>
        <v>0</v>
      </c>
      <c r="Z1235" s="0" t="str">
        <f aca="false">IF(AND(C1234=C1235,W1234=W1235-1),X1234,"")</f>
        <v/>
      </c>
      <c r="AA1235" s="0" t="str">
        <f aca="false">IF(AND(C1234=C1235,W1234=W1235-1),Y1234,"")</f>
        <v/>
      </c>
      <c r="AB1235" s="0" t="str">
        <f aca="false">IF(W1235=1,"",IF(AND(X1235=1,Z1235&lt;&gt;1),1,0))</f>
        <v/>
      </c>
      <c r="AC1235" s="0" t="str">
        <f aca="false">IF(W1235=1,"",IF(AND(Y1235=1,AA1235&lt;&gt;1),1,0))</f>
        <v/>
      </c>
      <c r="AD1235" s="33" t="str">
        <f aca="false">IF(AND(E1235&gt;0,W1235&lt;1,NOT(AND(C1236=C1235,W1236=W1235+1))),INDEX(DATAS,W1235+1),"")</f>
        <v/>
      </c>
      <c r="AE1235" s="33" t="str">
        <f aca="false">IF(AND(Y1235=1,W1235&lt;1),IF(AND(C1236=C1235,W1236=W1235+1),IF(Y1236=1,"",INDEX(DATAS,W1235+1)),INDEX(DATAS,W1235+1)),"")</f>
        <v/>
      </c>
    </row>
    <row r="1236" customFormat="false" ht="15" hidden="false" customHeight="false" outlineLevel="0" collapsed="false">
      <c r="A1236" s="33" t="n">
        <v>46309</v>
      </c>
      <c r="B1236" s="0" t="n">
        <v>5</v>
      </c>
      <c r="C1236" s="0" t="n">
        <v>5305</v>
      </c>
      <c r="D1236" s="0" t="n">
        <v>364</v>
      </c>
      <c r="E1236" s="0" t="n">
        <v>1</v>
      </c>
      <c r="F1236" s="27" t="s">
        <v>848</v>
      </c>
      <c r="G1236" s="0" t="n">
        <v>43.7</v>
      </c>
      <c r="H1236" s="0" t="n">
        <v>43</v>
      </c>
      <c r="I1236" s="27" t="s">
        <v>138</v>
      </c>
      <c r="J1236" s="0" t="n">
        <v>224</v>
      </c>
      <c r="K1236" s="0" t="n">
        <v>71</v>
      </c>
      <c r="L1236" s="0" t="n">
        <v>140</v>
      </c>
      <c r="M1236" s="0" t="n">
        <v>526.37</v>
      </c>
      <c r="N1236" s="0" t="n">
        <v>39.09</v>
      </c>
      <c r="O1236" s="0" t="n">
        <v>34.08</v>
      </c>
      <c r="P1236" s="0" t="n">
        <v>3.36</v>
      </c>
      <c r="Q1236" s="0" t="n">
        <v>3.78</v>
      </c>
      <c r="R1236" s="0" t="n">
        <v>4277</v>
      </c>
      <c r="S1236" s="0" t="n">
        <v>9345</v>
      </c>
      <c r="T1236" s="0" t="n">
        <v>46.35</v>
      </c>
      <c r="U1236" s="0" t="n">
        <v>977</v>
      </c>
      <c r="V1236" s="0" t="n">
        <v>6</v>
      </c>
      <c r="W1236" s="27" t="n">
        <f aca="false">MATCH(A1236,DATAS,0)</f>
        <v>1</v>
      </c>
      <c r="X1236" s="27" t="n">
        <f aca="false">IF(AND(E1236&gt;0,OR(AND(B1236&gt;=1,B1236&lt;=6),B1236=10)),1,0)</f>
        <v>1</v>
      </c>
      <c r="Y1236" s="27" t="n">
        <f aca="false">IF(AND(E1236&gt;0,B1236=10),1,0)</f>
        <v>0</v>
      </c>
      <c r="Z1236" s="0" t="str">
        <f aca="false">IF(AND(C1235=C1236,W1235=W1236-1),X1235,"")</f>
        <v/>
      </c>
      <c r="AA1236" s="0" t="str">
        <f aca="false">IF(AND(C1235=C1236,W1235=W1236-1),Y1235,"")</f>
        <v/>
      </c>
      <c r="AB1236" s="0" t="str">
        <f aca="false">IF(W1236=1,"",IF(AND(X1236=1,Z1236&lt;&gt;1),1,0))</f>
        <v/>
      </c>
      <c r="AC1236" s="0" t="str">
        <f aca="false">IF(W1236=1,"",IF(AND(Y1236=1,AA1236&lt;&gt;1),1,0))</f>
        <v/>
      </c>
      <c r="AD1236" s="33" t="str">
        <f aca="false">IF(AND(E1236&gt;0,W1236&lt;1,NOT(AND(C1237=C1236,W1237=W1236+1))),INDEX(DATAS,W1236+1),"")</f>
        <v/>
      </c>
      <c r="AE1236" s="33" t="str">
        <f aca="false">IF(AND(Y1236=1,W1236&lt;1),IF(AND(C1237=C1236,W1237=W1236+1),IF(Y1237=1,"",INDEX(DATAS,W1236+1)),INDEX(DATAS,W1236+1)),"")</f>
        <v/>
      </c>
    </row>
    <row r="1237" customFormat="false" ht="15" hidden="false" customHeight="false" outlineLevel="0" collapsed="false">
      <c r="A1237" s="33" t="n">
        <v>46309</v>
      </c>
      <c r="B1237" s="0" t="n">
        <v>7</v>
      </c>
      <c r="C1237" s="0" t="n">
        <v>5306</v>
      </c>
      <c r="D1237" s="0" t="n">
        <v>324</v>
      </c>
      <c r="E1237" s="0" t="n">
        <v>1</v>
      </c>
      <c r="F1237" s="27" t="s">
        <v>849</v>
      </c>
      <c r="G1237" s="0" t="n">
        <v>15.6</v>
      </c>
      <c r="H1237" s="0" t="n">
        <v>35</v>
      </c>
      <c r="I1237" s="27" t="s">
        <v>143</v>
      </c>
      <c r="J1237" s="0" t="n">
        <v>101</v>
      </c>
      <c r="K1237" s="0" t="n">
        <v>66</v>
      </c>
      <c r="L1237" s="0" t="n">
        <v>224</v>
      </c>
      <c r="M1237" s="0" t="n">
        <v>1148.6</v>
      </c>
      <c r="N1237" s="0" t="n">
        <v>51.33</v>
      </c>
      <c r="O1237" s="0" t="n">
        <v>26.38</v>
      </c>
      <c r="P1237" s="0" t="n">
        <v>3.54</v>
      </c>
      <c r="Q1237" s="0" t="n">
        <v>3.26</v>
      </c>
      <c r="R1237" s="0" t="n">
        <v>4807</v>
      </c>
      <c r="S1237" s="0" t="n">
        <v>10133</v>
      </c>
      <c r="T1237" s="0" t="n">
        <v>51.1</v>
      </c>
      <c r="U1237" s="0" t="n">
        <v>975</v>
      </c>
      <c r="V1237" s="0" t="n">
        <v>2</v>
      </c>
      <c r="W1237" s="27" t="n">
        <f aca="false">MATCH(A1237,DATAS,0)</f>
        <v>1</v>
      </c>
      <c r="X1237" s="27" t="n">
        <f aca="false">IF(AND(E1237&gt;0,OR(AND(B1237&gt;=1,B1237&lt;=6),B1237=10)),1,0)</f>
        <v>0</v>
      </c>
      <c r="Y1237" s="27" t="n">
        <f aca="false">IF(AND(E1237&gt;0,B1237=10),1,0)</f>
        <v>0</v>
      </c>
      <c r="Z1237" s="0" t="str">
        <f aca="false">IF(AND(C1236=C1237,W1236=W1237-1),X1236,"")</f>
        <v/>
      </c>
      <c r="AA1237" s="0" t="str">
        <f aca="false">IF(AND(C1236=C1237,W1236=W1237-1),Y1236,"")</f>
        <v/>
      </c>
      <c r="AB1237" s="0" t="str">
        <f aca="false">IF(W1237=1,"",IF(AND(X1237=1,Z1237&lt;&gt;1),1,0))</f>
        <v/>
      </c>
      <c r="AC1237" s="0" t="str">
        <f aca="false">IF(W1237=1,"",IF(AND(Y1237=1,AA1237&lt;&gt;1),1,0))</f>
        <v/>
      </c>
      <c r="AD1237" s="33" t="str">
        <f aca="false">IF(AND(E1237&gt;0,W1237&lt;1,NOT(AND(C1238=C1237,W1238=W1237+1))),INDEX(DATAS,W1237+1),"")</f>
        <v/>
      </c>
      <c r="AE1237" s="33" t="str">
        <f aca="false">IF(AND(Y1237=1,W1237&lt;1),IF(AND(C1238=C1237,W1238=W1237+1),IF(Y1238=1,"",INDEX(DATAS,W1237+1)),INDEX(DATAS,W1237+1)),"")</f>
        <v/>
      </c>
    </row>
    <row r="1238" customFormat="false" ht="15" hidden="false" customHeight="false" outlineLevel="0" collapsed="false">
      <c r="A1238" s="33" t="n">
        <v>46309</v>
      </c>
      <c r="B1238" s="0" t="n">
        <v>5</v>
      </c>
      <c r="C1238" s="0" t="n">
        <v>5307</v>
      </c>
      <c r="D1238" s="0" t="n">
        <v>357</v>
      </c>
      <c r="E1238" s="0" t="n">
        <v>1</v>
      </c>
      <c r="F1238" s="27" t="s">
        <v>848</v>
      </c>
      <c r="G1238" s="0" t="n">
        <v>43.3</v>
      </c>
      <c r="H1238" s="0" t="n">
        <v>42</v>
      </c>
      <c r="I1238" s="27" t="s">
        <v>138</v>
      </c>
      <c r="J1238" s="0" t="n">
        <v>193</v>
      </c>
      <c r="K1238" s="0" t="n">
        <v>64</v>
      </c>
      <c r="L1238" s="0" t="n">
        <v>164</v>
      </c>
      <c r="M1238" s="0" t="n">
        <v>698.73</v>
      </c>
      <c r="N1238" s="0" t="n">
        <v>50.7</v>
      </c>
      <c r="O1238" s="0" t="n">
        <v>29.73</v>
      </c>
      <c r="P1238" s="0" t="n">
        <v>3.53</v>
      </c>
      <c r="Q1238" s="0" t="n">
        <v>3.57</v>
      </c>
      <c r="R1238" s="0" t="n">
        <v>4322</v>
      </c>
      <c r="S1238" s="0" t="n">
        <v>9524</v>
      </c>
      <c r="T1238" s="0" t="n">
        <v>46.55</v>
      </c>
      <c r="U1238" s="0" t="n">
        <v>977</v>
      </c>
      <c r="V1238" s="0" t="n">
        <v>6</v>
      </c>
      <c r="W1238" s="27" t="n">
        <f aca="false">MATCH(A1238,DATAS,0)</f>
        <v>1</v>
      </c>
      <c r="X1238" s="27" t="n">
        <f aca="false">IF(AND(E1238&gt;0,OR(AND(B1238&gt;=1,B1238&lt;=6),B1238=10)),1,0)</f>
        <v>1</v>
      </c>
      <c r="Y1238" s="27" t="n">
        <f aca="false">IF(AND(E1238&gt;0,B1238=10),1,0)</f>
        <v>0</v>
      </c>
      <c r="Z1238" s="0" t="str">
        <f aca="false">IF(AND(C1237=C1238,W1237=W1238-1),X1237,"")</f>
        <v/>
      </c>
      <c r="AA1238" s="0" t="str">
        <f aca="false">IF(AND(C1237=C1238,W1237=W1238-1),Y1237,"")</f>
        <v/>
      </c>
      <c r="AB1238" s="0" t="str">
        <f aca="false">IF(W1238=1,"",IF(AND(X1238=1,Z1238&lt;&gt;1),1,0))</f>
        <v/>
      </c>
      <c r="AC1238" s="0" t="str">
        <f aca="false">IF(W1238=1,"",IF(AND(Y1238=1,AA1238&lt;&gt;1),1,0))</f>
        <v/>
      </c>
      <c r="AD1238" s="33" t="str">
        <f aca="false">IF(AND(E1238&gt;0,W1238&lt;1,NOT(AND(C1239=C1238,W1239=W1238+1))),INDEX(DATAS,W1238+1),"")</f>
        <v/>
      </c>
      <c r="AE1238" s="33" t="str">
        <f aca="false">IF(AND(Y1238=1,W1238&lt;1),IF(AND(C1239=C1238,W1239=W1238+1),IF(Y1239=1,"",INDEX(DATAS,W1238+1)),INDEX(DATAS,W1238+1)),"")</f>
        <v/>
      </c>
    </row>
    <row r="1239" customFormat="false" ht="15" hidden="false" customHeight="false" outlineLevel="0" collapsed="false">
      <c r="A1239" s="33" t="n">
        <v>46309</v>
      </c>
      <c r="B1239" s="0" t="n">
        <v>7</v>
      </c>
      <c r="C1239" s="0" t="n">
        <v>5308</v>
      </c>
      <c r="D1239" s="0" t="n">
        <v>296</v>
      </c>
      <c r="E1239" s="0" t="n">
        <v>1</v>
      </c>
      <c r="F1239" s="27" t="s">
        <v>848</v>
      </c>
      <c r="I1239" s="27" t="s">
        <v>143</v>
      </c>
      <c r="J1239" s="0" t="n">
        <v>73</v>
      </c>
      <c r="K1239" s="0" t="n">
        <v>73</v>
      </c>
      <c r="L1239" s="0" t="n">
        <v>273</v>
      </c>
      <c r="M1239" s="0" t="n">
        <v>513.64</v>
      </c>
      <c r="N1239" s="0" t="n">
        <v>39.23</v>
      </c>
      <c r="O1239" s="0" t="n">
        <v>19.5</v>
      </c>
      <c r="P1239" s="0" t="n">
        <v>3.69</v>
      </c>
      <c r="Q1239" s="0" t="n">
        <v>3.68</v>
      </c>
      <c r="R1239" s="0" t="n">
        <v>3844</v>
      </c>
      <c r="S1239" s="0" t="n">
        <v>8220</v>
      </c>
      <c r="T1239" s="0" t="n">
        <v>41.05</v>
      </c>
      <c r="U1239" s="0" t="n">
        <v>977</v>
      </c>
      <c r="V1239" s="0" t="n">
        <v>1</v>
      </c>
      <c r="W1239" s="27" t="n">
        <f aca="false">MATCH(A1239,DATAS,0)</f>
        <v>1</v>
      </c>
      <c r="X1239" s="27" t="n">
        <f aca="false">IF(AND(E1239&gt;0,OR(AND(B1239&gt;=1,B1239&lt;=6),B1239=10)),1,0)</f>
        <v>0</v>
      </c>
      <c r="Y1239" s="27" t="n">
        <f aca="false">IF(AND(E1239&gt;0,B1239=10),1,0)</f>
        <v>0</v>
      </c>
      <c r="Z1239" s="0" t="str">
        <f aca="false">IF(AND(C1238=C1239,W1238=W1239-1),X1238,"")</f>
        <v/>
      </c>
      <c r="AA1239" s="0" t="str">
        <f aca="false">IF(AND(C1238=C1239,W1238=W1239-1),Y1238,"")</f>
        <v/>
      </c>
      <c r="AB1239" s="0" t="str">
        <f aca="false">IF(W1239=1,"",IF(AND(X1239=1,Z1239&lt;&gt;1),1,0))</f>
        <v/>
      </c>
      <c r="AC1239" s="0" t="str">
        <f aca="false">IF(W1239=1,"",IF(AND(Y1239=1,AA1239&lt;&gt;1),1,0))</f>
        <v/>
      </c>
      <c r="AD1239" s="33" t="str">
        <f aca="false">IF(AND(E1239&gt;0,W1239&lt;1,NOT(AND(C1240=C1239,W1240=W1239+1))),INDEX(DATAS,W1239+1),"")</f>
        <v/>
      </c>
      <c r="AE1239" s="33" t="str">
        <f aca="false">IF(AND(Y1239=1,W1239&lt;1),IF(AND(C1240=C1239,W1240=W1239+1),IF(Y1240=1,"",INDEX(DATAS,W1239+1)),INDEX(DATAS,W1239+1)),"")</f>
        <v/>
      </c>
    </row>
    <row r="1240" customFormat="false" ht="15" hidden="false" customHeight="false" outlineLevel="0" collapsed="false">
      <c r="A1240" s="33" t="n">
        <v>46309</v>
      </c>
      <c r="B1240" s="0" t="n">
        <v>4</v>
      </c>
      <c r="C1240" s="0" t="n">
        <v>5309</v>
      </c>
      <c r="D1240" s="0" t="n">
        <v>322</v>
      </c>
      <c r="E1240" s="0" t="n">
        <v>1</v>
      </c>
      <c r="F1240" s="27" t="s">
        <v>848</v>
      </c>
      <c r="G1240" s="0" t="n">
        <v>45.5</v>
      </c>
      <c r="H1240" s="0" t="n">
        <v>45</v>
      </c>
      <c r="I1240" s="27" t="s">
        <v>138</v>
      </c>
      <c r="J1240" s="0" t="n">
        <v>119</v>
      </c>
      <c r="K1240" s="0" t="n">
        <v>63</v>
      </c>
      <c r="L1240" s="0" t="n">
        <v>203</v>
      </c>
      <c r="M1240" s="0" t="n">
        <v>596.4</v>
      </c>
      <c r="N1240" s="0" t="n">
        <v>70.81</v>
      </c>
      <c r="O1240" s="0" t="n">
        <v>29.8</v>
      </c>
      <c r="P1240" s="0" t="n">
        <v>3.34</v>
      </c>
      <c r="Q1240" s="0" t="n">
        <v>3.68</v>
      </c>
      <c r="R1240" s="0" t="n">
        <v>4538</v>
      </c>
      <c r="S1240" s="0" t="n">
        <v>9594</v>
      </c>
      <c r="T1240" s="0" t="n">
        <v>44.5</v>
      </c>
      <c r="U1240" s="0" t="n">
        <v>977</v>
      </c>
      <c r="V1240" s="0" t="n">
        <v>3</v>
      </c>
      <c r="W1240" s="27" t="n">
        <f aca="false">MATCH(A1240,DATAS,0)</f>
        <v>1</v>
      </c>
      <c r="X1240" s="27" t="n">
        <f aca="false">IF(AND(E1240&gt;0,OR(AND(B1240&gt;=1,B1240&lt;=6),B1240=10)),1,0)</f>
        <v>1</v>
      </c>
      <c r="Y1240" s="27" t="n">
        <f aca="false">IF(AND(E1240&gt;0,B1240=10),1,0)</f>
        <v>0</v>
      </c>
      <c r="Z1240" s="0" t="str">
        <f aca="false">IF(AND(C1239=C1240,W1239=W1240-1),X1239,"")</f>
        <v/>
      </c>
      <c r="AA1240" s="0" t="str">
        <f aca="false">IF(AND(C1239=C1240,W1239=W1240-1),Y1239,"")</f>
        <v/>
      </c>
      <c r="AB1240" s="0" t="str">
        <f aca="false">IF(W1240=1,"",IF(AND(X1240=1,Z1240&lt;&gt;1),1,0))</f>
        <v/>
      </c>
      <c r="AC1240" s="0" t="str">
        <f aca="false">IF(W1240=1,"",IF(AND(Y1240=1,AA1240&lt;&gt;1),1,0))</f>
        <v/>
      </c>
      <c r="AD1240" s="33" t="str">
        <f aca="false">IF(AND(E1240&gt;0,W1240&lt;1,NOT(AND(C1241=C1240,W1241=W1240+1))),INDEX(DATAS,W1240+1),"")</f>
        <v/>
      </c>
      <c r="AE1240" s="33" t="str">
        <f aca="false">IF(AND(Y1240=1,W1240&lt;1),IF(AND(C1241=C1240,W1241=W1240+1),IF(Y1241=1,"",INDEX(DATAS,W1240+1)),INDEX(DATAS,W1240+1)),"")</f>
        <v/>
      </c>
    </row>
    <row r="1241" customFormat="false" ht="15" hidden="false" customHeight="false" outlineLevel="0" collapsed="false">
      <c r="A1241" s="33" t="n">
        <v>46309</v>
      </c>
      <c r="B1241" s="0" t="n">
        <v>4</v>
      </c>
      <c r="C1241" s="0" t="n">
        <v>5310</v>
      </c>
      <c r="D1241" s="0" t="n">
        <v>273</v>
      </c>
      <c r="E1241" s="0" t="n">
        <v>1</v>
      </c>
      <c r="F1241" s="27" t="s">
        <v>848</v>
      </c>
      <c r="G1241" s="0" t="n">
        <v>34.4</v>
      </c>
      <c r="H1241" s="0" t="n">
        <v>48</v>
      </c>
      <c r="I1241" s="27" t="s">
        <v>138</v>
      </c>
      <c r="J1241" s="0" t="n">
        <v>129</v>
      </c>
      <c r="K1241" s="0" t="n">
        <v>63</v>
      </c>
      <c r="L1241" s="0" t="n">
        <v>144</v>
      </c>
      <c r="M1241" s="0" t="n">
        <v>1230.69</v>
      </c>
      <c r="N1241" s="0" t="n">
        <v>26.06</v>
      </c>
      <c r="O1241" s="0" t="n">
        <v>27.59</v>
      </c>
      <c r="P1241" s="0" t="n">
        <v>3.71</v>
      </c>
      <c r="Q1241" s="0" t="n">
        <v>3.31</v>
      </c>
      <c r="R1241" s="0" t="n">
        <v>4333</v>
      </c>
      <c r="S1241" s="0" t="n">
        <v>10150</v>
      </c>
      <c r="T1241" s="0" t="n">
        <v>47.4</v>
      </c>
      <c r="U1241" s="0" t="n">
        <v>977</v>
      </c>
      <c r="V1241" s="0" t="n">
        <v>3</v>
      </c>
      <c r="W1241" s="27" t="n">
        <f aca="false">MATCH(A1241,DATAS,0)</f>
        <v>1</v>
      </c>
      <c r="X1241" s="27" t="n">
        <f aca="false">IF(AND(E1241&gt;0,OR(AND(B1241&gt;=1,B1241&lt;=6),B1241=10)),1,0)</f>
        <v>1</v>
      </c>
      <c r="Y1241" s="27" t="n">
        <f aca="false">IF(AND(E1241&gt;0,B1241=10),1,0)</f>
        <v>0</v>
      </c>
      <c r="Z1241" s="0" t="str">
        <f aca="false">IF(AND(C1240=C1241,W1240=W1241-1),X1240,"")</f>
        <v/>
      </c>
      <c r="AA1241" s="0" t="str">
        <f aca="false">IF(AND(C1240=C1241,W1240=W1241-1),Y1240,"")</f>
        <v/>
      </c>
      <c r="AB1241" s="0" t="str">
        <f aca="false">IF(W1241=1,"",IF(AND(X1241=1,Z1241&lt;&gt;1),1,0))</f>
        <v/>
      </c>
      <c r="AC1241" s="0" t="str">
        <f aca="false">IF(W1241=1,"",IF(AND(Y1241=1,AA1241&lt;&gt;1),1,0))</f>
        <v/>
      </c>
      <c r="AD1241" s="33" t="str">
        <f aca="false">IF(AND(E1241&gt;0,W1241&lt;1,NOT(AND(C1242=C1241,W1242=W1241+1))),INDEX(DATAS,W1241+1),"")</f>
        <v/>
      </c>
      <c r="AE1241" s="33" t="str">
        <f aca="false">IF(AND(Y1241=1,W1241&lt;1),IF(AND(C1242=C1241,W1242=W1241+1),IF(Y1242=1,"",INDEX(DATAS,W1241+1)),INDEX(DATAS,W1241+1)),"")</f>
        <v/>
      </c>
    </row>
    <row r="1242" customFormat="false" ht="15" hidden="false" customHeight="false" outlineLevel="0" collapsed="false">
      <c r="A1242" s="33" t="n">
        <v>46309</v>
      </c>
      <c r="B1242" s="0" t="n">
        <v>2</v>
      </c>
      <c r="C1242" s="0" t="n">
        <v>5311</v>
      </c>
      <c r="D1242" s="0" t="n">
        <v>15</v>
      </c>
      <c r="E1242" s="0" t="n">
        <v>2</v>
      </c>
      <c r="F1242" s="27" t="s">
        <v>848</v>
      </c>
      <c r="G1242" s="0" t="n">
        <v>47.4</v>
      </c>
      <c r="H1242" s="0" t="n">
        <v>43</v>
      </c>
      <c r="I1242" s="27" t="s">
        <v>147</v>
      </c>
      <c r="J1242" s="0" t="n">
        <v>15</v>
      </c>
      <c r="M1242" s="0" t="n">
        <v>313.66</v>
      </c>
      <c r="N1242" s="0" t="n">
        <v>34.25</v>
      </c>
      <c r="O1242" s="0" t="n">
        <v>24.05</v>
      </c>
      <c r="R1242" s="0" t="n">
        <v>3546</v>
      </c>
      <c r="S1242" s="0" t="n">
        <v>7127</v>
      </c>
      <c r="U1242" s="0" t="n">
        <v>977</v>
      </c>
      <c r="V1242" s="0" t="n">
        <v>0</v>
      </c>
      <c r="W1242" s="27" t="n">
        <f aca="false">MATCH(A1242,DATAS,0)</f>
        <v>1</v>
      </c>
      <c r="X1242" s="27" t="n">
        <f aca="false">IF(AND(E1242&gt;0,OR(AND(B1242&gt;=1,B1242&lt;=6),B1242=10)),1,0)</f>
        <v>1</v>
      </c>
      <c r="Y1242" s="27" t="n">
        <f aca="false">IF(AND(E1242&gt;0,B1242=10),1,0)</f>
        <v>0</v>
      </c>
      <c r="Z1242" s="0" t="str">
        <f aca="false">IF(AND(C1241=C1242,W1241=W1242-1),X1241,"")</f>
        <v/>
      </c>
      <c r="AA1242" s="0" t="str">
        <f aca="false">IF(AND(C1241=C1242,W1241=W1242-1),Y1241,"")</f>
        <v/>
      </c>
      <c r="AB1242" s="0" t="str">
        <f aca="false">IF(W1242=1,"",IF(AND(X1242=1,Z1242&lt;&gt;1),1,0))</f>
        <v/>
      </c>
      <c r="AC1242" s="0" t="str">
        <f aca="false">IF(W1242=1,"",IF(AND(Y1242=1,AA1242&lt;&gt;1),1,0))</f>
        <v/>
      </c>
      <c r="AD1242" s="33" t="str">
        <f aca="false">IF(AND(E1242&gt;0,W1242&lt;1,NOT(AND(C1243=C1242,W1243=W1242+1))),INDEX(DATAS,W1242+1),"")</f>
        <v/>
      </c>
      <c r="AE1242" s="33" t="str">
        <f aca="false">IF(AND(Y1242=1,W1242&lt;1),IF(AND(C1243=C1242,W1243=W1242+1),IF(Y1243=1,"",INDEX(DATAS,W1242+1)),INDEX(DATAS,W1242+1)),"")</f>
        <v/>
      </c>
    </row>
    <row r="1243" customFormat="false" ht="15" hidden="false" customHeight="false" outlineLevel="0" collapsed="false">
      <c r="A1243" s="33" t="n">
        <v>46309</v>
      </c>
      <c r="B1243" s="0" t="n">
        <v>4</v>
      </c>
      <c r="C1243" s="0" t="n">
        <v>5312</v>
      </c>
      <c r="D1243" s="0" t="n">
        <v>294</v>
      </c>
      <c r="E1243" s="0" t="n">
        <v>1</v>
      </c>
      <c r="F1243" s="27" t="s">
        <v>850</v>
      </c>
      <c r="G1243" s="0" t="n">
        <v>45.3</v>
      </c>
      <c r="H1243" s="0" t="n">
        <v>44</v>
      </c>
      <c r="I1243" s="27" t="s">
        <v>138</v>
      </c>
      <c r="J1243" s="0" t="n">
        <v>213</v>
      </c>
      <c r="K1243" s="0" t="n">
        <v>63</v>
      </c>
      <c r="L1243" s="0" t="n">
        <v>81</v>
      </c>
      <c r="M1243" s="0" t="n">
        <v>1301.55</v>
      </c>
      <c r="N1243" s="0" t="n">
        <v>28.17</v>
      </c>
      <c r="O1243" s="0" t="n">
        <v>38.55</v>
      </c>
      <c r="P1243" s="0" t="n">
        <v>2.84</v>
      </c>
      <c r="Q1243" s="0" t="n">
        <v>3.73</v>
      </c>
      <c r="R1243" s="0" t="n">
        <v>4659</v>
      </c>
      <c r="S1243" s="0" t="n">
        <v>10144</v>
      </c>
      <c r="T1243" s="0" t="n">
        <v>49.8</v>
      </c>
      <c r="U1243" s="0" t="n">
        <v>976</v>
      </c>
      <c r="V1243" s="0" t="n">
        <v>6</v>
      </c>
      <c r="W1243" s="27" t="n">
        <f aca="false">MATCH(A1243,DATAS,0)</f>
        <v>1</v>
      </c>
      <c r="X1243" s="27" t="n">
        <f aca="false">IF(AND(E1243&gt;0,OR(AND(B1243&gt;=1,B1243&lt;=6),B1243=10)),1,0)</f>
        <v>1</v>
      </c>
      <c r="Y1243" s="27" t="n">
        <f aca="false">IF(AND(E1243&gt;0,B1243=10),1,0)</f>
        <v>0</v>
      </c>
      <c r="Z1243" s="0" t="str">
        <f aca="false">IF(AND(C1242=C1243,W1242=W1243-1),X1242,"")</f>
        <v/>
      </c>
      <c r="AA1243" s="0" t="str">
        <f aca="false">IF(AND(C1242=C1243,W1242=W1243-1),Y1242,"")</f>
        <v/>
      </c>
      <c r="AB1243" s="0" t="str">
        <f aca="false">IF(W1243=1,"",IF(AND(X1243=1,Z1243&lt;&gt;1),1,0))</f>
        <v/>
      </c>
      <c r="AC1243" s="0" t="str">
        <f aca="false">IF(W1243=1,"",IF(AND(Y1243=1,AA1243&lt;&gt;1),1,0))</f>
        <v/>
      </c>
      <c r="AD1243" s="33" t="str">
        <f aca="false">IF(AND(E1243&gt;0,W1243&lt;1,NOT(AND(C1244=C1243,W1244=W1243+1))),INDEX(DATAS,W1243+1),"")</f>
        <v/>
      </c>
      <c r="AE1243" s="33" t="str">
        <f aca="false">IF(AND(Y1243=1,W1243&lt;1),IF(AND(C1244=C1243,W1244=W1243+1),IF(Y1244=1,"",INDEX(DATAS,W1243+1)),INDEX(DATAS,W1243+1)),"")</f>
        <v/>
      </c>
    </row>
    <row r="1244" customFormat="false" ht="15" hidden="false" customHeight="false" outlineLevel="0" collapsed="false">
      <c r="A1244" s="33" t="n">
        <v>46309</v>
      </c>
      <c r="B1244" s="0" t="n">
        <v>7</v>
      </c>
      <c r="C1244" s="0" t="n">
        <v>5313</v>
      </c>
      <c r="D1244" s="0" t="n">
        <v>347</v>
      </c>
      <c r="E1244" s="0" t="n">
        <v>1</v>
      </c>
      <c r="F1244" s="27" t="s">
        <v>851</v>
      </c>
      <c r="I1244" s="27" t="s">
        <v>143</v>
      </c>
      <c r="J1244" s="0" t="n">
        <v>124</v>
      </c>
      <c r="K1244" s="0" t="n">
        <v>69</v>
      </c>
      <c r="L1244" s="0" t="n">
        <v>238</v>
      </c>
      <c r="M1244" s="0" t="n">
        <v>151.6</v>
      </c>
      <c r="N1244" s="0" t="n">
        <v>57.28</v>
      </c>
      <c r="O1244" s="0" t="n">
        <v>19.64</v>
      </c>
      <c r="P1244" s="0" t="n">
        <v>3.4</v>
      </c>
      <c r="Q1244" s="0" t="n">
        <v>3.65</v>
      </c>
      <c r="R1244" s="0" t="n">
        <v>3804</v>
      </c>
      <c r="S1244" s="0" t="n">
        <v>8592</v>
      </c>
      <c r="T1244" s="0" t="n">
        <v>41.8</v>
      </c>
      <c r="U1244" s="0" t="n">
        <v>974</v>
      </c>
      <c r="V1244" s="0" t="n">
        <v>3</v>
      </c>
      <c r="W1244" s="27" t="n">
        <f aca="false">MATCH(A1244,DATAS,0)</f>
        <v>1</v>
      </c>
      <c r="X1244" s="27" t="n">
        <f aca="false">IF(AND(E1244&gt;0,OR(AND(B1244&gt;=1,B1244&lt;=6),B1244=10)),1,0)</f>
        <v>0</v>
      </c>
      <c r="Y1244" s="27" t="n">
        <f aca="false">IF(AND(E1244&gt;0,B1244=10),1,0)</f>
        <v>0</v>
      </c>
      <c r="Z1244" s="0" t="str">
        <f aca="false">IF(AND(C1243=C1244,W1243=W1244-1),X1243,"")</f>
        <v/>
      </c>
      <c r="AA1244" s="0" t="str">
        <f aca="false">IF(AND(C1243=C1244,W1243=W1244-1),Y1243,"")</f>
        <v/>
      </c>
      <c r="AB1244" s="0" t="str">
        <f aca="false">IF(W1244=1,"",IF(AND(X1244=1,Z1244&lt;&gt;1),1,0))</f>
        <v/>
      </c>
      <c r="AC1244" s="0" t="str">
        <f aca="false">IF(W1244=1,"",IF(AND(Y1244=1,AA1244&lt;&gt;1),1,0))</f>
        <v/>
      </c>
      <c r="AD1244" s="33" t="str">
        <f aca="false">IF(AND(E1244&gt;0,W1244&lt;1,NOT(AND(C1245=C1244,W1245=W1244+1))),INDEX(DATAS,W1244+1),"")</f>
        <v/>
      </c>
      <c r="AE1244" s="33" t="str">
        <f aca="false">IF(AND(Y1244=1,W1244&lt;1),IF(AND(C1245=C1244,W1245=W1244+1),IF(Y1245=1,"",INDEX(DATAS,W1244+1)),INDEX(DATAS,W1244+1)),"")</f>
        <v/>
      </c>
    </row>
    <row r="1245" customFormat="false" ht="15" hidden="false" customHeight="false" outlineLevel="0" collapsed="false">
      <c r="A1245" s="33" t="n">
        <v>46309</v>
      </c>
      <c r="B1245" s="0" t="n">
        <v>4</v>
      </c>
      <c r="C1245" s="0" t="n">
        <v>5314</v>
      </c>
      <c r="D1245" s="0" t="n">
        <v>349</v>
      </c>
      <c r="E1245" s="0" t="n">
        <v>1</v>
      </c>
      <c r="F1245" s="27" t="s">
        <v>851</v>
      </c>
      <c r="G1245" s="0" t="n">
        <v>43.2</v>
      </c>
      <c r="H1245" s="0" t="n">
        <v>42</v>
      </c>
      <c r="I1245" s="27" t="s">
        <v>168</v>
      </c>
      <c r="J1245" s="0" t="n">
        <v>349</v>
      </c>
      <c r="K1245" s="0" t="n">
        <v>70</v>
      </c>
      <c r="M1245" s="0" t="n">
        <v>610.49</v>
      </c>
      <c r="N1245" s="0" t="n">
        <v>43.3</v>
      </c>
      <c r="O1245" s="0" t="n">
        <v>31.43</v>
      </c>
      <c r="P1245" s="0" t="n">
        <v>3.36</v>
      </c>
      <c r="Q1245" s="0" t="n">
        <v>3.65</v>
      </c>
      <c r="R1245" s="0" t="n">
        <v>4203</v>
      </c>
      <c r="S1245" s="0" t="n">
        <v>8910</v>
      </c>
      <c r="T1245" s="0" t="n">
        <v>46.35</v>
      </c>
      <c r="U1245" s="0" t="n">
        <v>974</v>
      </c>
      <c r="V1245" s="0" t="n">
        <v>3</v>
      </c>
      <c r="W1245" s="27" t="n">
        <f aca="false">MATCH(A1245,DATAS,0)</f>
        <v>1</v>
      </c>
      <c r="X1245" s="27" t="n">
        <f aca="false">IF(AND(E1245&gt;0,OR(AND(B1245&gt;=1,B1245&lt;=6),B1245=10)),1,0)</f>
        <v>1</v>
      </c>
      <c r="Y1245" s="27" t="n">
        <f aca="false">IF(AND(E1245&gt;0,B1245=10),1,0)</f>
        <v>0</v>
      </c>
      <c r="Z1245" s="0" t="str">
        <f aca="false">IF(AND(C1244=C1245,W1244=W1245-1),X1244,"")</f>
        <v/>
      </c>
      <c r="AA1245" s="0" t="str">
        <f aca="false">IF(AND(C1244=C1245,W1244=W1245-1),Y1244,"")</f>
        <v/>
      </c>
      <c r="AB1245" s="0" t="str">
        <f aca="false">IF(W1245=1,"",IF(AND(X1245=1,Z1245&lt;&gt;1),1,0))</f>
        <v/>
      </c>
      <c r="AC1245" s="0" t="str">
        <f aca="false">IF(W1245=1,"",IF(AND(Y1245=1,AA1245&lt;&gt;1),1,0))</f>
        <v/>
      </c>
      <c r="AD1245" s="33" t="str">
        <f aca="false">IF(AND(E1245&gt;0,W1245&lt;1,NOT(AND(C1246=C1245,W1246=W1245+1))),INDEX(DATAS,W1245+1),"")</f>
        <v/>
      </c>
      <c r="AE1245" s="33" t="str">
        <f aca="false">IF(AND(Y1245=1,W1245&lt;1),IF(AND(C1246=C1245,W1246=W1245+1),IF(Y1246=1,"",INDEX(DATAS,W1245+1)),INDEX(DATAS,W1245+1)),"")</f>
        <v/>
      </c>
    </row>
    <row r="1246" customFormat="false" ht="15" hidden="false" customHeight="false" outlineLevel="0" collapsed="false">
      <c r="A1246" s="33" t="n">
        <v>46309</v>
      </c>
      <c r="B1246" s="0" t="n">
        <v>4</v>
      </c>
      <c r="C1246" s="0" t="n">
        <v>5315</v>
      </c>
      <c r="D1246" s="0" t="n">
        <v>329</v>
      </c>
      <c r="E1246" s="0" t="n">
        <v>1</v>
      </c>
      <c r="F1246" s="27" t="s">
        <v>851</v>
      </c>
      <c r="G1246" s="0" t="n">
        <v>42</v>
      </c>
      <c r="H1246" s="0" t="n">
        <v>44</v>
      </c>
      <c r="I1246" s="27" t="s">
        <v>138</v>
      </c>
      <c r="J1246" s="0" t="n">
        <v>134</v>
      </c>
      <c r="K1246" s="0" t="n">
        <v>63</v>
      </c>
      <c r="L1246" s="0" t="n">
        <v>195</v>
      </c>
      <c r="M1246" s="0" t="n">
        <v>1105.99</v>
      </c>
      <c r="N1246" s="0" t="n">
        <v>49.47</v>
      </c>
      <c r="O1246" s="0" t="n">
        <v>50.81</v>
      </c>
      <c r="P1246" s="0" t="n">
        <v>4.17</v>
      </c>
      <c r="Q1246" s="0" t="n">
        <v>3.67</v>
      </c>
      <c r="R1246" s="0" t="n">
        <v>4282</v>
      </c>
      <c r="S1246" s="0" t="n">
        <v>9522</v>
      </c>
      <c r="T1246" s="0" t="n">
        <v>44.55</v>
      </c>
      <c r="U1246" s="0" t="n">
        <v>974</v>
      </c>
      <c r="V1246" s="0" t="n">
        <v>3</v>
      </c>
      <c r="W1246" s="27" t="n">
        <f aca="false">MATCH(A1246,DATAS,0)</f>
        <v>1</v>
      </c>
      <c r="X1246" s="27" t="n">
        <f aca="false">IF(AND(E1246&gt;0,OR(AND(B1246&gt;=1,B1246&lt;=6),B1246=10)),1,0)</f>
        <v>1</v>
      </c>
      <c r="Y1246" s="27" t="n">
        <f aca="false">IF(AND(E1246&gt;0,B1246=10),1,0)</f>
        <v>0</v>
      </c>
      <c r="Z1246" s="0" t="str">
        <f aca="false">IF(AND(C1245=C1246,W1245=W1246-1),X1245,"")</f>
        <v/>
      </c>
      <c r="AA1246" s="0" t="str">
        <f aca="false">IF(AND(C1245=C1246,W1245=W1246-1),Y1245,"")</f>
        <v/>
      </c>
      <c r="AB1246" s="0" t="str">
        <f aca="false">IF(W1246=1,"",IF(AND(X1246=1,Z1246&lt;&gt;1),1,0))</f>
        <v/>
      </c>
      <c r="AC1246" s="0" t="str">
        <f aca="false">IF(W1246=1,"",IF(AND(Y1246=1,AA1246&lt;&gt;1),1,0))</f>
        <v/>
      </c>
      <c r="AD1246" s="33" t="str">
        <f aca="false">IF(AND(E1246&gt;0,W1246&lt;1,NOT(AND(C1247=C1246,W1247=W1246+1))),INDEX(DATAS,W1246+1),"")</f>
        <v/>
      </c>
      <c r="AE1246" s="33" t="str">
        <f aca="false">IF(AND(Y1246=1,W1246&lt;1),IF(AND(C1247=C1246,W1247=W1246+1),IF(Y1247=1,"",INDEX(DATAS,W1246+1)),INDEX(DATAS,W1246+1)),"")</f>
        <v/>
      </c>
    </row>
    <row r="1247" customFormat="false" ht="15" hidden="false" customHeight="false" outlineLevel="0" collapsed="false">
      <c r="A1247" s="33" t="n">
        <v>46309</v>
      </c>
      <c r="B1247" s="0" t="n">
        <v>4</v>
      </c>
      <c r="C1247" s="0" t="n">
        <v>5316</v>
      </c>
      <c r="D1247" s="0" t="n">
        <v>321</v>
      </c>
      <c r="E1247" s="0" t="n">
        <v>1</v>
      </c>
      <c r="F1247" s="27" t="s">
        <v>851</v>
      </c>
      <c r="G1247" s="0" t="n">
        <v>23.2</v>
      </c>
      <c r="H1247" s="0" t="n">
        <v>23</v>
      </c>
      <c r="I1247" s="27" t="s">
        <v>138</v>
      </c>
      <c r="J1247" s="0" t="n">
        <v>153</v>
      </c>
      <c r="K1247" s="0" t="n">
        <v>76</v>
      </c>
      <c r="L1247" s="0" t="n">
        <v>168</v>
      </c>
      <c r="M1247" s="0" t="n">
        <v>89.61</v>
      </c>
      <c r="N1247" s="0" t="n">
        <v>42.13</v>
      </c>
      <c r="O1247" s="0" t="n">
        <v>19.03</v>
      </c>
      <c r="P1247" s="0" t="n">
        <v>3.75</v>
      </c>
      <c r="Q1247" s="0" t="n">
        <v>3.75</v>
      </c>
      <c r="R1247" s="0" t="n">
        <v>2302</v>
      </c>
      <c r="S1247" s="0" t="n">
        <v>4974</v>
      </c>
      <c r="T1247" s="0" t="n">
        <v>24.4</v>
      </c>
      <c r="U1247" s="0" t="n">
        <v>974</v>
      </c>
      <c r="V1247" s="0" t="n">
        <v>3</v>
      </c>
      <c r="W1247" s="27" t="n">
        <f aca="false">MATCH(A1247,DATAS,0)</f>
        <v>1</v>
      </c>
      <c r="X1247" s="27" t="n">
        <f aca="false">IF(AND(E1247&gt;0,OR(AND(B1247&gt;=1,B1247&lt;=6),B1247=10)),1,0)</f>
        <v>1</v>
      </c>
      <c r="Y1247" s="27" t="n">
        <f aca="false">IF(AND(E1247&gt;0,B1247=10),1,0)</f>
        <v>0</v>
      </c>
      <c r="Z1247" s="0" t="str">
        <f aca="false">IF(AND(C1246=C1247,W1246=W1247-1),X1246,"")</f>
        <v/>
      </c>
      <c r="AA1247" s="0" t="str">
        <f aca="false">IF(AND(C1246=C1247,W1246=W1247-1),Y1246,"")</f>
        <v/>
      </c>
      <c r="AB1247" s="0" t="str">
        <f aca="false">IF(W1247=1,"",IF(AND(X1247=1,Z1247&lt;&gt;1),1,0))</f>
        <v/>
      </c>
      <c r="AC1247" s="0" t="str">
        <f aca="false">IF(W1247=1,"",IF(AND(Y1247=1,AA1247&lt;&gt;1),1,0))</f>
        <v/>
      </c>
      <c r="AD1247" s="33" t="str">
        <f aca="false">IF(AND(E1247&gt;0,W1247&lt;1,NOT(AND(C1248=C1247,W1248=W1247+1))),INDEX(DATAS,W1247+1),"")</f>
        <v/>
      </c>
      <c r="AE1247" s="33" t="str">
        <f aca="false">IF(AND(Y1247=1,W1247&lt;1),IF(AND(C1248=C1247,W1248=W1247+1),IF(Y1248=1,"",INDEX(DATAS,W1247+1)),INDEX(DATAS,W1247+1)),"")</f>
        <v/>
      </c>
    </row>
    <row r="1248" customFormat="false" ht="15" hidden="false" customHeight="false" outlineLevel="0" collapsed="false">
      <c r="A1248" s="33" t="n">
        <v>46309</v>
      </c>
      <c r="B1248" s="0" t="n">
        <v>7</v>
      </c>
      <c r="C1248" s="0" t="n">
        <v>5317</v>
      </c>
      <c r="D1248" s="0" t="n">
        <v>323</v>
      </c>
      <c r="E1248" s="0" t="n">
        <v>1</v>
      </c>
      <c r="F1248" s="27" t="s">
        <v>851</v>
      </c>
      <c r="G1248" s="0" t="n">
        <v>10.6</v>
      </c>
      <c r="H1248" s="0" t="n">
        <v>34</v>
      </c>
      <c r="I1248" s="27" t="s">
        <v>143</v>
      </c>
      <c r="J1248" s="0" t="n">
        <v>100</v>
      </c>
      <c r="K1248" s="0" t="n">
        <v>65</v>
      </c>
      <c r="L1248" s="0" t="n">
        <v>224</v>
      </c>
      <c r="M1248" s="0" t="n">
        <v>464.55</v>
      </c>
      <c r="N1248" s="0" t="n">
        <v>56.34</v>
      </c>
      <c r="O1248" s="0" t="n">
        <v>32.57</v>
      </c>
      <c r="P1248" s="0" t="n">
        <v>3.35</v>
      </c>
      <c r="Q1248" s="0" t="n">
        <v>3.83</v>
      </c>
      <c r="R1248" s="0" t="n">
        <v>3880</v>
      </c>
      <c r="S1248" s="0" t="n">
        <v>8497</v>
      </c>
      <c r="T1248" s="0" t="n">
        <v>43.85</v>
      </c>
      <c r="U1248" s="0" t="n">
        <v>974</v>
      </c>
      <c r="V1248" s="0" t="n">
        <v>2</v>
      </c>
      <c r="W1248" s="27" t="n">
        <f aca="false">MATCH(A1248,DATAS,0)</f>
        <v>1</v>
      </c>
      <c r="X1248" s="27" t="n">
        <f aca="false">IF(AND(E1248&gt;0,OR(AND(B1248&gt;=1,B1248&lt;=6),B1248=10)),1,0)</f>
        <v>0</v>
      </c>
      <c r="Y1248" s="27" t="n">
        <f aca="false">IF(AND(E1248&gt;0,B1248=10),1,0)</f>
        <v>0</v>
      </c>
      <c r="Z1248" s="0" t="str">
        <f aca="false">IF(AND(C1247=C1248,W1247=W1248-1),X1247,"")</f>
        <v/>
      </c>
      <c r="AA1248" s="0" t="str">
        <f aca="false">IF(AND(C1247=C1248,W1247=W1248-1),Y1247,"")</f>
        <v/>
      </c>
      <c r="AB1248" s="0" t="str">
        <f aca="false">IF(W1248=1,"",IF(AND(X1248=1,Z1248&lt;&gt;1),1,0))</f>
        <v/>
      </c>
      <c r="AC1248" s="0" t="str">
        <f aca="false">IF(W1248=1,"",IF(AND(Y1248=1,AA1248&lt;&gt;1),1,0))</f>
        <v/>
      </c>
      <c r="AD1248" s="33" t="str">
        <f aca="false">IF(AND(E1248&gt;0,W1248&lt;1,NOT(AND(C1249=C1248,W1249=W1248+1))),INDEX(DATAS,W1248+1),"")</f>
        <v/>
      </c>
      <c r="AE1248" s="33" t="str">
        <f aca="false">IF(AND(Y1248=1,W1248&lt;1),IF(AND(C1249=C1248,W1249=W1248+1),IF(Y1249=1,"",INDEX(DATAS,W1248+1)),INDEX(DATAS,W1248+1)),"")</f>
        <v/>
      </c>
    </row>
    <row r="1249" customFormat="false" ht="15" hidden="false" customHeight="false" outlineLevel="0" collapsed="false">
      <c r="A1249" s="33" t="n">
        <v>46309</v>
      </c>
      <c r="B1249" s="0" t="n">
        <v>14</v>
      </c>
      <c r="C1249" s="0" t="n">
        <v>5318</v>
      </c>
      <c r="D1249" s="0" t="n">
        <v>288</v>
      </c>
      <c r="E1249" s="0" t="n">
        <v>1</v>
      </c>
      <c r="F1249" s="27" t="s">
        <v>852</v>
      </c>
      <c r="I1249" s="27" t="s">
        <v>143</v>
      </c>
      <c r="J1249" s="0" t="n">
        <v>65</v>
      </c>
      <c r="K1249" s="0" t="n">
        <v>65</v>
      </c>
      <c r="L1249" s="0" t="n">
        <v>273</v>
      </c>
      <c r="M1249" s="0" t="n">
        <v>772.52</v>
      </c>
      <c r="N1249" s="0" t="n">
        <v>51.03</v>
      </c>
      <c r="O1249" s="0" t="n">
        <v>40.78</v>
      </c>
      <c r="P1249" s="0" t="n">
        <v>5.22</v>
      </c>
      <c r="Q1249" s="0" t="n">
        <v>3.85</v>
      </c>
      <c r="R1249" s="0" t="n">
        <v>3517</v>
      </c>
      <c r="S1249" s="0" t="n">
        <v>7636</v>
      </c>
      <c r="T1249" s="0" t="n">
        <v>35.7</v>
      </c>
      <c r="U1249" s="0" t="n">
        <v>973</v>
      </c>
      <c r="V1249" s="0" t="n">
        <v>1</v>
      </c>
      <c r="W1249" s="27" t="n">
        <f aca="false">MATCH(A1249,DATAS,0)</f>
        <v>1</v>
      </c>
      <c r="X1249" s="27" t="n">
        <f aca="false">IF(AND(E1249&gt;0,OR(AND(B1249&gt;=1,B1249&lt;=6),B1249=10)),1,0)</f>
        <v>0</v>
      </c>
      <c r="Y1249" s="27" t="n">
        <f aca="false">IF(AND(E1249&gt;0,B1249=10),1,0)</f>
        <v>0</v>
      </c>
      <c r="Z1249" s="0" t="str">
        <f aca="false">IF(AND(C1248=C1249,W1248=W1249-1),X1248,"")</f>
        <v/>
      </c>
      <c r="AA1249" s="0" t="str">
        <f aca="false">IF(AND(C1248=C1249,W1248=W1249-1),Y1248,"")</f>
        <v/>
      </c>
      <c r="AB1249" s="0" t="str">
        <f aca="false">IF(W1249=1,"",IF(AND(X1249=1,Z1249&lt;&gt;1),1,0))</f>
        <v/>
      </c>
      <c r="AC1249" s="0" t="str">
        <f aca="false">IF(W1249=1,"",IF(AND(Y1249=1,AA1249&lt;&gt;1),1,0))</f>
        <v/>
      </c>
      <c r="AD1249" s="33" t="str">
        <f aca="false">IF(AND(E1249&gt;0,W1249&lt;1,NOT(AND(C1250=C1249,W1250=W1249+1))),INDEX(DATAS,W1249+1),"")</f>
        <v/>
      </c>
      <c r="AE1249" s="33" t="str">
        <f aca="false">IF(AND(Y1249=1,W1249&lt;1),IF(AND(C1250=C1249,W1250=W1249+1),IF(Y1250=1,"",INDEX(DATAS,W1249+1)),INDEX(DATAS,W1249+1)),"")</f>
        <v/>
      </c>
    </row>
    <row r="1250" customFormat="false" ht="15" hidden="false" customHeight="false" outlineLevel="0" collapsed="false">
      <c r="A1250" s="33" t="n">
        <v>46309</v>
      </c>
      <c r="B1250" s="0" t="n">
        <v>5</v>
      </c>
      <c r="C1250" s="0" t="n">
        <v>5319</v>
      </c>
      <c r="D1250" s="0" t="n">
        <v>274</v>
      </c>
      <c r="E1250" s="0" t="n">
        <v>1</v>
      </c>
      <c r="F1250" s="27" t="s">
        <v>852</v>
      </c>
      <c r="G1250" s="0" t="n">
        <v>34</v>
      </c>
      <c r="H1250" s="0" t="n">
        <v>34</v>
      </c>
      <c r="I1250" s="27" t="s">
        <v>138</v>
      </c>
      <c r="J1250" s="0" t="n">
        <v>106</v>
      </c>
      <c r="K1250" s="0" t="n">
        <v>64</v>
      </c>
      <c r="L1250" s="0" t="n">
        <v>168</v>
      </c>
      <c r="M1250" s="0" t="n">
        <v>341.77</v>
      </c>
      <c r="N1250" s="0" t="n">
        <v>63.33</v>
      </c>
      <c r="O1250" s="0" t="n">
        <v>28.72</v>
      </c>
      <c r="P1250" s="0" t="n">
        <v>4.04</v>
      </c>
      <c r="Q1250" s="0" t="n">
        <v>3.82</v>
      </c>
      <c r="R1250" s="0" t="n">
        <v>4452</v>
      </c>
      <c r="S1250" s="0" t="n">
        <v>9203</v>
      </c>
      <c r="T1250" s="0" t="n">
        <v>40.95</v>
      </c>
      <c r="U1250" s="0" t="n">
        <v>973</v>
      </c>
      <c r="V1250" s="0" t="n">
        <v>2</v>
      </c>
      <c r="W1250" s="27" t="n">
        <f aca="false">MATCH(A1250,DATAS,0)</f>
        <v>1</v>
      </c>
      <c r="X1250" s="27" t="n">
        <f aca="false">IF(AND(E1250&gt;0,OR(AND(B1250&gt;=1,B1250&lt;=6),B1250=10)),1,0)</f>
        <v>1</v>
      </c>
      <c r="Y1250" s="27" t="n">
        <f aca="false">IF(AND(E1250&gt;0,B1250=10),1,0)</f>
        <v>0</v>
      </c>
      <c r="Z1250" s="0" t="str">
        <f aca="false">IF(AND(C1249=C1250,W1249=W1250-1),X1249,"")</f>
        <v/>
      </c>
      <c r="AA1250" s="0" t="str">
        <f aca="false">IF(AND(C1249=C1250,W1249=W1250-1),Y1249,"")</f>
        <v/>
      </c>
      <c r="AB1250" s="0" t="str">
        <f aca="false">IF(W1250=1,"",IF(AND(X1250=1,Z1250&lt;&gt;1),1,0))</f>
        <v/>
      </c>
      <c r="AC1250" s="0" t="str">
        <f aca="false">IF(W1250=1,"",IF(AND(Y1250=1,AA1250&lt;&gt;1),1,0))</f>
        <v/>
      </c>
      <c r="AD1250" s="33" t="str">
        <f aca="false">IF(AND(E1250&gt;0,W1250&lt;1,NOT(AND(C1251=C1250,W1251=W1250+1))),INDEX(DATAS,W1250+1),"")</f>
        <v/>
      </c>
      <c r="AE1250" s="33" t="str">
        <f aca="false">IF(AND(Y1250=1,W1250&lt;1),IF(AND(C1251=C1250,W1251=W1250+1),IF(Y1251=1,"",INDEX(DATAS,W1250+1)),INDEX(DATAS,W1250+1)),"")</f>
        <v/>
      </c>
    </row>
    <row r="1251" customFormat="false" ht="15" hidden="false" customHeight="false" outlineLevel="0" collapsed="false">
      <c r="A1251" s="33" t="n">
        <v>46309</v>
      </c>
      <c r="B1251" s="0" t="n">
        <v>7</v>
      </c>
      <c r="C1251" s="0" t="n">
        <v>5320</v>
      </c>
      <c r="D1251" s="0" t="n">
        <v>332</v>
      </c>
      <c r="E1251" s="0" t="n">
        <v>1</v>
      </c>
      <c r="F1251" s="27" t="s">
        <v>852</v>
      </c>
      <c r="I1251" s="27" t="s">
        <v>143</v>
      </c>
      <c r="J1251" s="0" t="n">
        <v>110</v>
      </c>
      <c r="K1251" s="0" t="n">
        <v>75</v>
      </c>
      <c r="L1251" s="0" t="n">
        <v>238</v>
      </c>
      <c r="M1251" s="0" t="n">
        <v>574.48</v>
      </c>
      <c r="N1251" s="0" t="n">
        <v>16.61</v>
      </c>
      <c r="O1251" s="0" t="n">
        <v>33</v>
      </c>
      <c r="P1251" s="0" t="n">
        <v>3.47</v>
      </c>
      <c r="Q1251" s="0" t="n">
        <v>3.79</v>
      </c>
      <c r="R1251" s="0" t="n">
        <v>4216</v>
      </c>
      <c r="S1251" s="0" t="n">
        <v>9650</v>
      </c>
      <c r="T1251" s="0" t="n">
        <v>46.5</v>
      </c>
      <c r="U1251" s="0" t="n">
        <v>973</v>
      </c>
      <c r="V1251" s="0" t="n">
        <v>2</v>
      </c>
      <c r="W1251" s="27" t="n">
        <f aca="false">MATCH(A1251,DATAS,0)</f>
        <v>1</v>
      </c>
      <c r="X1251" s="27" t="n">
        <f aca="false">IF(AND(E1251&gt;0,OR(AND(B1251&gt;=1,B1251&lt;=6),B1251=10)),1,0)</f>
        <v>0</v>
      </c>
      <c r="Y1251" s="27" t="n">
        <f aca="false">IF(AND(E1251&gt;0,B1251=10),1,0)</f>
        <v>0</v>
      </c>
      <c r="Z1251" s="0" t="str">
        <f aca="false">IF(AND(C1250=C1251,W1250=W1251-1),X1250,"")</f>
        <v/>
      </c>
      <c r="AA1251" s="0" t="str">
        <f aca="false">IF(AND(C1250=C1251,W1250=W1251-1),Y1250,"")</f>
        <v/>
      </c>
      <c r="AB1251" s="0" t="str">
        <f aca="false">IF(W1251=1,"",IF(AND(X1251=1,Z1251&lt;&gt;1),1,0))</f>
        <v/>
      </c>
      <c r="AC1251" s="0" t="str">
        <f aca="false">IF(W1251=1,"",IF(AND(Y1251=1,AA1251&lt;&gt;1),1,0))</f>
        <v/>
      </c>
      <c r="AD1251" s="33" t="str">
        <f aca="false">IF(AND(E1251&gt;0,W1251&lt;1,NOT(AND(C1252=C1251,W1252=W1251+1))),INDEX(DATAS,W1251+1),"")</f>
        <v/>
      </c>
      <c r="AE1251" s="33" t="str">
        <f aca="false">IF(AND(Y1251=1,W1251&lt;1),IF(AND(C1252=C1251,W1252=W1251+1),IF(Y1252=1,"",INDEX(DATAS,W1251+1)),INDEX(DATAS,W1251+1)),"")</f>
        <v/>
      </c>
    </row>
    <row r="1252" customFormat="false" ht="15" hidden="false" customHeight="false" outlineLevel="0" collapsed="false">
      <c r="A1252" s="33" t="n">
        <v>46309</v>
      </c>
      <c r="B1252" s="0" t="n">
        <v>4</v>
      </c>
      <c r="C1252" s="0" t="n">
        <v>5321</v>
      </c>
      <c r="D1252" s="0" t="n">
        <v>313</v>
      </c>
      <c r="E1252" s="0" t="n">
        <v>1</v>
      </c>
      <c r="F1252" s="27" t="s">
        <v>852</v>
      </c>
      <c r="G1252" s="0" t="n">
        <v>47.2</v>
      </c>
      <c r="H1252" s="0" t="n">
        <v>46</v>
      </c>
      <c r="I1252" s="27" t="s">
        <v>138</v>
      </c>
      <c r="J1252" s="0" t="n">
        <v>131</v>
      </c>
      <c r="K1252" s="0" t="n">
        <v>68</v>
      </c>
      <c r="L1252" s="0" t="n">
        <v>182</v>
      </c>
      <c r="M1252" s="0" t="n">
        <v>1216.91</v>
      </c>
      <c r="N1252" s="0" t="n">
        <v>43.15</v>
      </c>
      <c r="O1252" s="0" t="n">
        <v>36.23</v>
      </c>
      <c r="P1252" s="0" t="n">
        <v>3.53</v>
      </c>
      <c r="Q1252" s="0" t="n">
        <v>3.68</v>
      </c>
      <c r="R1252" s="0" t="n">
        <v>5352</v>
      </c>
      <c r="S1252" s="0" t="n">
        <v>11063</v>
      </c>
      <c r="T1252" s="0" t="n">
        <v>61.25</v>
      </c>
      <c r="U1252" s="0" t="n">
        <v>973</v>
      </c>
      <c r="V1252" s="0" t="n">
        <v>4</v>
      </c>
      <c r="W1252" s="27" t="n">
        <f aca="false">MATCH(A1252,DATAS,0)</f>
        <v>1</v>
      </c>
      <c r="X1252" s="27" t="n">
        <f aca="false">IF(AND(E1252&gt;0,OR(AND(B1252&gt;=1,B1252&lt;=6),B1252=10)),1,0)</f>
        <v>1</v>
      </c>
      <c r="Y1252" s="27" t="n">
        <f aca="false">IF(AND(E1252&gt;0,B1252=10),1,0)</f>
        <v>0</v>
      </c>
      <c r="Z1252" s="0" t="str">
        <f aca="false">IF(AND(C1251=C1252,W1251=W1252-1),X1251,"")</f>
        <v/>
      </c>
      <c r="AA1252" s="0" t="str">
        <f aca="false">IF(AND(C1251=C1252,W1251=W1252-1),Y1251,"")</f>
        <v/>
      </c>
      <c r="AB1252" s="0" t="str">
        <f aca="false">IF(W1252=1,"",IF(AND(X1252=1,Z1252&lt;&gt;1),1,0))</f>
        <v/>
      </c>
      <c r="AC1252" s="0" t="str">
        <f aca="false">IF(W1252=1,"",IF(AND(Y1252=1,AA1252&lt;&gt;1),1,0))</f>
        <v/>
      </c>
      <c r="AD1252" s="33" t="str">
        <f aca="false">IF(AND(E1252&gt;0,W1252&lt;1,NOT(AND(C1253=C1252,W1253=W1252+1))),INDEX(DATAS,W1252+1),"")</f>
        <v/>
      </c>
      <c r="AE1252" s="33" t="str">
        <f aca="false">IF(AND(Y1252=1,W1252&lt;1),IF(AND(C1253=C1252,W1253=W1252+1),IF(Y1253=1,"",INDEX(DATAS,W1252+1)),INDEX(DATAS,W1252+1)),"")</f>
        <v/>
      </c>
    </row>
    <row r="1253" customFormat="false" ht="15" hidden="false" customHeight="false" outlineLevel="0" collapsed="false">
      <c r="A1253" s="33" t="n">
        <v>46309</v>
      </c>
      <c r="B1253" s="0" t="n">
        <v>4</v>
      </c>
      <c r="C1253" s="0" t="n">
        <v>5323</v>
      </c>
      <c r="D1253" s="0" t="n">
        <v>246</v>
      </c>
      <c r="E1253" s="0" t="n">
        <v>1</v>
      </c>
      <c r="F1253" s="27" t="s">
        <v>852</v>
      </c>
      <c r="G1253" s="0" t="n">
        <v>59.2</v>
      </c>
      <c r="H1253" s="0" t="n">
        <v>56</v>
      </c>
      <c r="I1253" s="27" t="s">
        <v>138</v>
      </c>
      <c r="J1253" s="0" t="n">
        <v>64</v>
      </c>
      <c r="K1253" s="0" t="n">
        <v>64</v>
      </c>
      <c r="L1253" s="0" t="n">
        <v>182</v>
      </c>
      <c r="M1253" s="0" t="n">
        <v>936.49</v>
      </c>
      <c r="N1253" s="0" t="n">
        <v>51.68</v>
      </c>
      <c r="O1253" s="0" t="n">
        <v>35.16</v>
      </c>
      <c r="P1253" s="0" t="n">
        <v>3.3</v>
      </c>
      <c r="Q1253" s="0" t="n">
        <v>3.38</v>
      </c>
      <c r="R1253" s="0" t="n">
        <v>5053</v>
      </c>
      <c r="S1253" s="0" t="n">
        <v>11305</v>
      </c>
      <c r="T1253" s="0" t="n">
        <v>52.7</v>
      </c>
      <c r="U1253" s="0" t="n">
        <v>973</v>
      </c>
      <c r="V1253" s="0" t="n">
        <v>1</v>
      </c>
      <c r="W1253" s="27" t="n">
        <f aca="false">MATCH(A1253,DATAS,0)</f>
        <v>1</v>
      </c>
      <c r="X1253" s="27" t="n">
        <f aca="false">IF(AND(E1253&gt;0,OR(AND(B1253&gt;=1,B1253&lt;=6),B1253=10)),1,0)</f>
        <v>1</v>
      </c>
      <c r="Y1253" s="27" t="n">
        <f aca="false">IF(AND(E1253&gt;0,B1253=10),1,0)</f>
        <v>0</v>
      </c>
      <c r="Z1253" s="0" t="str">
        <f aca="false">IF(AND(C1252=C1253,W1252=W1253-1),X1252,"")</f>
        <v/>
      </c>
      <c r="AA1253" s="0" t="str">
        <f aca="false">IF(AND(C1252=C1253,W1252=W1253-1),Y1252,"")</f>
        <v/>
      </c>
      <c r="AB1253" s="0" t="str">
        <f aca="false">IF(W1253=1,"",IF(AND(X1253=1,Z1253&lt;&gt;1),1,0))</f>
        <v/>
      </c>
      <c r="AC1253" s="0" t="str">
        <f aca="false">IF(W1253=1,"",IF(AND(Y1253=1,AA1253&lt;&gt;1),1,0))</f>
        <v/>
      </c>
      <c r="AD1253" s="33" t="str">
        <f aca="false">IF(AND(E1253&gt;0,W1253&lt;1,NOT(AND(C1254=C1253,W1254=W1253+1))),INDEX(DATAS,W1253+1),"")</f>
        <v/>
      </c>
      <c r="AE1253" s="33" t="str">
        <f aca="false">IF(AND(Y1253=1,W1253&lt;1),IF(AND(C1254=C1253,W1254=W1253+1),IF(Y1254=1,"",INDEX(DATAS,W1253+1)),INDEX(DATAS,W1253+1)),"")</f>
        <v/>
      </c>
    </row>
    <row r="1254" customFormat="false" ht="15" hidden="false" customHeight="false" outlineLevel="0" collapsed="false">
      <c r="A1254" s="33" t="n">
        <v>46309</v>
      </c>
      <c r="B1254" s="0" t="n">
        <v>5</v>
      </c>
      <c r="C1254" s="0" t="n">
        <v>5324</v>
      </c>
      <c r="D1254" s="0" t="n">
        <v>326</v>
      </c>
      <c r="E1254" s="0" t="n">
        <v>1</v>
      </c>
      <c r="F1254" s="27" t="s">
        <v>853</v>
      </c>
      <c r="G1254" s="0" t="n">
        <v>48.4</v>
      </c>
      <c r="H1254" s="0" t="n">
        <v>45</v>
      </c>
      <c r="I1254" s="27" t="s">
        <v>138</v>
      </c>
      <c r="J1254" s="0" t="n">
        <v>242</v>
      </c>
      <c r="K1254" s="0" t="n">
        <v>67</v>
      </c>
      <c r="L1254" s="0" t="n">
        <v>84</v>
      </c>
      <c r="M1254" s="0" t="n">
        <v>808.3</v>
      </c>
      <c r="N1254" s="0" t="n">
        <v>45.05</v>
      </c>
      <c r="O1254" s="0" t="n">
        <v>23.33</v>
      </c>
      <c r="P1254" s="0" t="n">
        <v>3.93</v>
      </c>
      <c r="Q1254" s="0" t="n">
        <v>3.44</v>
      </c>
      <c r="R1254" s="0" t="n">
        <v>4568</v>
      </c>
      <c r="S1254" s="0" t="n">
        <v>10114</v>
      </c>
      <c r="T1254" s="0" t="n">
        <v>50.9</v>
      </c>
      <c r="U1254" s="0" t="n">
        <v>972</v>
      </c>
      <c r="V1254" s="0" t="n">
        <v>6</v>
      </c>
      <c r="W1254" s="27" t="n">
        <f aca="false">MATCH(A1254,DATAS,0)</f>
        <v>1</v>
      </c>
      <c r="X1254" s="27" t="n">
        <f aca="false">IF(AND(E1254&gt;0,OR(AND(B1254&gt;=1,B1254&lt;=6),B1254=10)),1,0)</f>
        <v>1</v>
      </c>
      <c r="Y1254" s="27" t="n">
        <f aca="false">IF(AND(E1254&gt;0,B1254=10),1,0)</f>
        <v>0</v>
      </c>
      <c r="Z1254" s="0" t="str">
        <f aca="false">IF(AND(C1253=C1254,W1253=W1254-1),X1253,"")</f>
        <v/>
      </c>
      <c r="AA1254" s="0" t="str">
        <f aca="false">IF(AND(C1253=C1254,W1253=W1254-1),Y1253,"")</f>
        <v/>
      </c>
      <c r="AB1254" s="0" t="str">
        <f aca="false">IF(W1254=1,"",IF(AND(X1254=1,Z1254&lt;&gt;1),1,0))</f>
        <v/>
      </c>
      <c r="AC1254" s="0" t="str">
        <f aca="false">IF(W1254=1,"",IF(AND(Y1254=1,AA1254&lt;&gt;1),1,0))</f>
        <v/>
      </c>
      <c r="AD1254" s="33" t="str">
        <f aca="false">IF(AND(E1254&gt;0,W1254&lt;1,NOT(AND(C1255=C1254,W1255=W1254+1))),INDEX(DATAS,W1254+1),"")</f>
        <v/>
      </c>
      <c r="AE1254" s="33" t="str">
        <f aca="false">IF(AND(Y1254=1,W1254&lt;1),IF(AND(C1255=C1254,W1255=W1254+1),IF(Y1255=1,"",INDEX(DATAS,W1254+1)),INDEX(DATAS,W1254+1)),"")</f>
        <v/>
      </c>
    </row>
    <row r="1255" customFormat="false" ht="15" hidden="false" customHeight="false" outlineLevel="0" collapsed="false">
      <c r="A1255" s="33" t="n">
        <v>46309</v>
      </c>
      <c r="B1255" s="0" t="n">
        <v>4</v>
      </c>
      <c r="C1255" s="0" t="n">
        <v>5327</v>
      </c>
      <c r="D1255" s="0" t="n">
        <v>325</v>
      </c>
      <c r="E1255" s="0" t="n">
        <v>1</v>
      </c>
      <c r="F1255" s="27" t="s">
        <v>850</v>
      </c>
      <c r="G1255" s="0" t="n">
        <v>39.6</v>
      </c>
      <c r="H1255" s="0" t="n">
        <v>39</v>
      </c>
      <c r="I1255" s="27" t="s">
        <v>138</v>
      </c>
      <c r="J1255" s="0" t="n">
        <v>199</v>
      </c>
      <c r="K1255" s="0" t="n">
        <v>66</v>
      </c>
      <c r="L1255" s="0" t="n">
        <v>126</v>
      </c>
      <c r="P1255" s="0" t="n">
        <v>3.75</v>
      </c>
      <c r="Q1255" s="0" t="n">
        <v>3.76</v>
      </c>
      <c r="R1255" s="0" t="n">
        <v>3169</v>
      </c>
      <c r="S1255" s="0" t="n">
        <v>6653</v>
      </c>
      <c r="T1255" s="0" t="n">
        <v>36.55</v>
      </c>
      <c r="U1255" s="0" t="n">
        <v>976</v>
      </c>
      <c r="V1255" s="0" t="n">
        <v>5</v>
      </c>
      <c r="W1255" s="27" t="n">
        <f aca="false">MATCH(A1255,DATAS,0)</f>
        <v>1</v>
      </c>
      <c r="X1255" s="27" t="n">
        <f aca="false">IF(AND(E1255&gt;0,OR(AND(B1255&gt;=1,B1255&lt;=6),B1255=10)),1,0)</f>
        <v>1</v>
      </c>
      <c r="Y1255" s="27" t="n">
        <f aca="false">IF(AND(E1255&gt;0,B1255=10),1,0)</f>
        <v>0</v>
      </c>
      <c r="Z1255" s="0" t="str">
        <f aca="false">IF(AND(C1254=C1255,W1254=W1255-1),X1254,"")</f>
        <v/>
      </c>
      <c r="AA1255" s="0" t="str">
        <f aca="false">IF(AND(C1254=C1255,W1254=W1255-1),Y1254,"")</f>
        <v/>
      </c>
      <c r="AB1255" s="0" t="str">
        <f aca="false">IF(W1255=1,"",IF(AND(X1255=1,Z1255&lt;&gt;1),1,0))</f>
        <v/>
      </c>
      <c r="AC1255" s="0" t="str">
        <f aca="false">IF(W1255=1,"",IF(AND(Y1255=1,AA1255&lt;&gt;1),1,0))</f>
        <v/>
      </c>
      <c r="AD1255" s="33" t="str">
        <f aca="false">IF(AND(E1255&gt;0,W1255&lt;1,NOT(AND(C1256=C1255,W1256=W1255+1))),INDEX(DATAS,W1255+1),"")</f>
        <v/>
      </c>
      <c r="AE1255" s="33" t="str">
        <f aca="false">IF(AND(Y1255=1,W1255&lt;1),IF(AND(C1256=C1255,W1256=W1255+1),IF(Y1256=1,"",INDEX(DATAS,W1255+1)),INDEX(DATAS,W1255+1)),"")</f>
        <v/>
      </c>
    </row>
    <row r="1256" customFormat="false" ht="15" hidden="false" customHeight="false" outlineLevel="0" collapsed="false">
      <c r="A1256" s="33" t="n">
        <v>46309</v>
      </c>
      <c r="B1256" s="0" t="n">
        <v>4</v>
      </c>
      <c r="C1256" s="0" t="n">
        <v>5328</v>
      </c>
      <c r="D1256" s="0" t="n">
        <v>252</v>
      </c>
      <c r="E1256" s="0" t="n">
        <v>1</v>
      </c>
      <c r="F1256" s="27" t="s">
        <v>853</v>
      </c>
      <c r="G1256" s="0" t="n">
        <v>51.1</v>
      </c>
      <c r="H1256" s="0" t="n">
        <v>53</v>
      </c>
      <c r="I1256" s="27" t="s">
        <v>138</v>
      </c>
      <c r="J1256" s="0" t="n">
        <v>126</v>
      </c>
      <c r="K1256" s="0" t="n">
        <v>63</v>
      </c>
      <c r="L1256" s="0" t="n">
        <v>126</v>
      </c>
      <c r="M1256" s="0" t="n">
        <v>793.51</v>
      </c>
      <c r="N1256" s="0" t="n">
        <v>67.01</v>
      </c>
      <c r="O1256" s="0" t="n">
        <v>41.88</v>
      </c>
      <c r="P1256" s="0" t="n">
        <v>3.64</v>
      </c>
      <c r="Q1256" s="0" t="n">
        <v>3.59</v>
      </c>
      <c r="R1256" s="0" t="n">
        <v>4651</v>
      </c>
      <c r="S1256" s="0" t="n">
        <v>9776</v>
      </c>
      <c r="T1256" s="0" t="n">
        <v>49.4</v>
      </c>
      <c r="U1256" s="0" t="n">
        <v>972</v>
      </c>
      <c r="V1256" s="0" t="n">
        <v>4</v>
      </c>
      <c r="W1256" s="27" t="n">
        <f aca="false">MATCH(A1256,DATAS,0)</f>
        <v>1</v>
      </c>
      <c r="X1256" s="27" t="n">
        <f aca="false">IF(AND(E1256&gt;0,OR(AND(B1256&gt;=1,B1256&lt;=6),B1256=10)),1,0)</f>
        <v>1</v>
      </c>
      <c r="Y1256" s="27" t="n">
        <f aca="false">IF(AND(E1256&gt;0,B1256=10),1,0)</f>
        <v>0</v>
      </c>
      <c r="Z1256" s="0" t="str">
        <f aca="false">IF(AND(C1255=C1256,W1255=W1256-1),X1255,"")</f>
        <v/>
      </c>
      <c r="AA1256" s="0" t="str">
        <f aca="false">IF(AND(C1255=C1256,W1255=W1256-1),Y1255,"")</f>
        <v/>
      </c>
      <c r="AB1256" s="0" t="str">
        <f aca="false">IF(W1256=1,"",IF(AND(X1256=1,Z1256&lt;&gt;1),1,0))</f>
        <v/>
      </c>
      <c r="AC1256" s="0" t="str">
        <f aca="false">IF(W1256=1,"",IF(AND(Y1256=1,AA1256&lt;&gt;1),1,0))</f>
        <v/>
      </c>
      <c r="AD1256" s="33" t="str">
        <f aca="false">IF(AND(E1256&gt;0,W1256&lt;1,NOT(AND(C1257=C1256,W1257=W1256+1))),INDEX(DATAS,W1256+1),"")</f>
        <v/>
      </c>
      <c r="AE1256" s="33" t="str">
        <f aca="false">IF(AND(Y1256=1,W1256&lt;1),IF(AND(C1257=C1256,W1257=W1256+1),IF(Y1257=1,"",INDEX(DATAS,W1256+1)),INDEX(DATAS,W1256+1)),"")</f>
        <v/>
      </c>
    </row>
    <row r="1257" customFormat="false" ht="15" hidden="false" customHeight="false" outlineLevel="0" collapsed="false">
      <c r="A1257" s="33" t="n">
        <v>46309</v>
      </c>
      <c r="B1257" s="0" t="n">
        <v>7</v>
      </c>
      <c r="C1257" s="0" t="n">
        <v>5329</v>
      </c>
      <c r="D1257" s="0" t="n">
        <v>288</v>
      </c>
      <c r="E1257" s="0" t="n">
        <v>1</v>
      </c>
      <c r="F1257" s="27" t="s">
        <v>853</v>
      </c>
      <c r="I1257" s="27" t="s">
        <v>143</v>
      </c>
      <c r="J1257" s="0" t="n">
        <v>65</v>
      </c>
      <c r="K1257" s="0" t="n">
        <v>65</v>
      </c>
      <c r="L1257" s="0" t="n">
        <v>238</v>
      </c>
      <c r="M1257" s="0" t="n">
        <v>532.12</v>
      </c>
      <c r="N1257" s="0" t="n">
        <v>48.6</v>
      </c>
      <c r="O1257" s="0" t="n">
        <v>21.53</v>
      </c>
      <c r="P1257" s="0" t="n">
        <v>4.15</v>
      </c>
      <c r="Q1257" s="0" t="n">
        <v>3.52</v>
      </c>
      <c r="R1257" s="0" t="n">
        <v>3765</v>
      </c>
      <c r="S1257" s="0" t="n">
        <v>8686</v>
      </c>
      <c r="T1257" s="0" t="n">
        <v>42.2</v>
      </c>
      <c r="U1257" s="0" t="n">
        <v>972</v>
      </c>
      <c r="V1257" s="0" t="n">
        <v>1</v>
      </c>
      <c r="W1257" s="27" t="n">
        <f aca="false">MATCH(A1257,DATAS,0)</f>
        <v>1</v>
      </c>
      <c r="X1257" s="27" t="n">
        <f aca="false">IF(AND(E1257&gt;0,OR(AND(B1257&gt;=1,B1257&lt;=6),B1257=10)),1,0)</f>
        <v>0</v>
      </c>
      <c r="Y1257" s="27" t="n">
        <f aca="false">IF(AND(E1257&gt;0,B1257=10),1,0)</f>
        <v>0</v>
      </c>
      <c r="Z1257" s="0" t="str">
        <f aca="false">IF(AND(C1256=C1257,W1256=W1257-1),X1256,"")</f>
        <v/>
      </c>
      <c r="AA1257" s="0" t="str">
        <f aca="false">IF(AND(C1256=C1257,W1256=W1257-1),Y1256,"")</f>
        <v/>
      </c>
      <c r="AB1257" s="0" t="str">
        <f aca="false">IF(W1257=1,"",IF(AND(X1257=1,Z1257&lt;&gt;1),1,0))</f>
        <v/>
      </c>
      <c r="AC1257" s="0" t="str">
        <f aca="false">IF(W1257=1,"",IF(AND(Y1257=1,AA1257&lt;&gt;1),1,0))</f>
        <v/>
      </c>
      <c r="AD1257" s="33" t="str">
        <f aca="false">IF(AND(E1257&gt;0,W1257&lt;1,NOT(AND(C1258=C1257,W1258=W1257+1))),INDEX(DATAS,W1257+1),"")</f>
        <v/>
      </c>
      <c r="AE1257" s="33" t="str">
        <f aca="false">IF(AND(Y1257=1,W1257&lt;1),IF(AND(C1258=C1257,W1258=W1257+1),IF(Y1258=1,"",INDEX(DATAS,W1257+1)),INDEX(DATAS,W1257+1)),"")</f>
        <v/>
      </c>
    </row>
    <row r="1258" customFormat="false" ht="15" hidden="false" customHeight="false" outlineLevel="0" collapsed="false">
      <c r="A1258" s="33" t="n">
        <v>46309</v>
      </c>
      <c r="B1258" s="0" t="n">
        <v>4</v>
      </c>
      <c r="C1258" s="0" t="n">
        <v>5330</v>
      </c>
      <c r="D1258" s="0" t="n">
        <v>279</v>
      </c>
      <c r="E1258" s="0" t="n">
        <v>1</v>
      </c>
      <c r="F1258" s="27" t="s">
        <v>854</v>
      </c>
      <c r="G1258" s="0" t="n">
        <v>49.4</v>
      </c>
      <c r="H1258" s="0" t="n">
        <v>50</v>
      </c>
      <c r="I1258" s="27" t="s">
        <v>138</v>
      </c>
      <c r="J1258" s="0" t="n">
        <v>244</v>
      </c>
      <c r="K1258" s="0" t="n">
        <v>69</v>
      </c>
      <c r="L1258" s="0" t="n">
        <v>35</v>
      </c>
      <c r="M1258" s="0" t="n">
        <v>1545.12</v>
      </c>
      <c r="N1258" s="0" t="n">
        <v>73.19</v>
      </c>
      <c r="O1258" s="0" t="n">
        <v>50.71</v>
      </c>
      <c r="P1258" s="0" t="n">
        <v>3.56</v>
      </c>
      <c r="Q1258" s="0" t="n">
        <v>3.56</v>
      </c>
      <c r="R1258" s="0" t="n">
        <v>4244</v>
      </c>
      <c r="S1258" s="0" t="n">
        <v>9144</v>
      </c>
      <c r="T1258" s="0" t="n">
        <v>47.4</v>
      </c>
      <c r="U1258" s="0" t="n">
        <v>971</v>
      </c>
      <c r="V1258" s="0" t="n">
        <v>6</v>
      </c>
      <c r="W1258" s="27" t="n">
        <f aca="false">MATCH(A1258,DATAS,0)</f>
        <v>1</v>
      </c>
      <c r="X1258" s="27" t="n">
        <f aca="false">IF(AND(E1258&gt;0,OR(AND(B1258&gt;=1,B1258&lt;=6),B1258=10)),1,0)</f>
        <v>1</v>
      </c>
      <c r="Y1258" s="27" t="n">
        <f aca="false">IF(AND(E1258&gt;0,B1258=10),1,0)</f>
        <v>0</v>
      </c>
      <c r="Z1258" s="0" t="str">
        <f aca="false">IF(AND(C1257=C1258,W1257=W1258-1),X1257,"")</f>
        <v/>
      </c>
      <c r="AA1258" s="0" t="str">
        <f aca="false">IF(AND(C1257=C1258,W1257=W1258-1),Y1257,"")</f>
        <v/>
      </c>
      <c r="AB1258" s="0" t="str">
        <f aca="false">IF(W1258=1,"",IF(AND(X1258=1,Z1258&lt;&gt;1),1,0))</f>
        <v/>
      </c>
      <c r="AC1258" s="0" t="str">
        <f aca="false">IF(W1258=1,"",IF(AND(Y1258=1,AA1258&lt;&gt;1),1,0))</f>
        <v/>
      </c>
      <c r="AD1258" s="33" t="str">
        <f aca="false">IF(AND(E1258&gt;0,W1258&lt;1,NOT(AND(C1259=C1258,W1259=W1258+1))),INDEX(DATAS,W1258+1),"")</f>
        <v/>
      </c>
      <c r="AE1258" s="33" t="str">
        <f aca="false">IF(AND(Y1258=1,W1258&lt;1),IF(AND(C1259=C1258,W1259=W1258+1),IF(Y1259=1,"",INDEX(DATAS,W1258+1)),INDEX(DATAS,W1258+1)),"")</f>
        <v/>
      </c>
    </row>
    <row r="1259" customFormat="false" ht="15" hidden="false" customHeight="false" outlineLevel="0" collapsed="false">
      <c r="A1259" s="33" t="n">
        <v>46309</v>
      </c>
      <c r="B1259" s="0" t="n">
        <v>4</v>
      </c>
      <c r="C1259" s="0" t="n">
        <v>5331</v>
      </c>
      <c r="D1259" s="0" t="n">
        <v>123</v>
      </c>
      <c r="E1259" s="0" t="n">
        <v>1</v>
      </c>
      <c r="F1259" s="27" t="s">
        <v>854</v>
      </c>
      <c r="G1259" s="0" t="n">
        <v>51</v>
      </c>
      <c r="H1259" s="0" t="n">
        <v>53</v>
      </c>
      <c r="I1259" s="27" t="s">
        <v>138</v>
      </c>
      <c r="J1259" s="0" t="n">
        <v>88</v>
      </c>
      <c r="K1259" s="0" t="n">
        <v>67</v>
      </c>
      <c r="L1259" s="0" t="n">
        <v>35</v>
      </c>
      <c r="M1259" s="0" t="n">
        <v>1240.05</v>
      </c>
      <c r="N1259" s="0" t="n">
        <v>75.64</v>
      </c>
      <c r="O1259" s="0" t="n">
        <v>48.98</v>
      </c>
      <c r="P1259" s="0" t="n">
        <v>4.85</v>
      </c>
      <c r="Q1259" s="0" t="n">
        <v>2.92</v>
      </c>
      <c r="R1259" s="0" t="n">
        <v>5314</v>
      </c>
      <c r="S1259" s="0" t="n">
        <v>10829</v>
      </c>
      <c r="T1259" s="0" t="n">
        <v>57.1</v>
      </c>
      <c r="U1259" s="0" t="n">
        <v>971</v>
      </c>
      <c r="V1259" s="0" t="n">
        <v>2</v>
      </c>
      <c r="W1259" s="27" t="n">
        <f aca="false">MATCH(A1259,DATAS,0)</f>
        <v>1</v>
      </c>
      <c r="X1259" s="27" t="n">
        <f aca="false">IF(AND(E1259&gt;0,OR(AND(B1259&gt;=1,B1259&lt;=6),B1259=10)),1,0)</f>
        <v>1</v>
      </c>
      <c r="Y1259" s="27" t="n">
        <f aca="false">IF(AND(E1259&gt;0,B1259=10),1,0)</f>
        <v>0</v>
      </c>
      <c r="Z1259" s="0" t="str">
        <f aca="false">IF(AND(C1258=C1259,W1258=W1259-1),X1258,"")</f>
        <v/>
      </c>
      <c r="AA1259" s="0" t="str">
        <f aca="false">IF(AND(C1258=C1259,W1258=W1259-1),Y1258,"")</f>
        <v/>
      </c>
      <c r="AB1259" s="0" t="str">
        <f aca="false">IF(W1259=1,"",IF(AND(X1259=1,Z1259&lt;&gt;1),1,0))</f>
        <v/>
      </c>
      <c r="AC1259" s="0" t="str">
        <f aca="false">IF(W1259=1,"",IF(AND(Y1259=1,AA1259&lt;&gt;1),1,0))</f>
        <v/>
      </c>
      <c r="AD1259" s="33" t="str">
        <f aca="false">IF(AND(E1259&gt;0,W1259&lt;1,NOT(AND(C1260=C1259,W1260=W1259+1))),INDEX(DATAS,W1259+1),"")</f>
        <v/>
      </c>
      <c r="AE1259" s="33" t="str">
        <f aca="false">IF(AND(Y1259=1,W1259&lt;1),IF(AND(C1260=C1259,W1260=W1259+1),IF(Y1260=1,"",INDEX(DATAS,W1259+1)),INDEX(DATAS,W1259+1)),"")</f>
        <v/>
      </c>
    </row>
    <row r="1260" customFormat="false" ht="15" hidden="false" customHeight="false" outlineLevel="0" collapsed="false">
      <c r="A1260" s="33" t="n">
        <v>46309</v>
      </c>
      <c r="B1260" s="0" t="n">
        <v>4</v>
      </c>
      <c r="C1260" s="0" t="n">
        <v>5332</v>
      </c>
      <c r="D1260" s="0" t="n">
        <v>238</v>
      </c>
      <c r="E1260" s="0" t="n">
        <v>1</v>
      </c>
      <c r="F1260" s="27" t="s">
        <v>854</v>
      </c>
      <c r="G1260" s="0" t="n">
        <v>38.2</v>
      </c>
      <c r="H1260" s="0" t="n">
        <v>38</v>
      </c>
      <c r="I1260" s="27" t="s">
        <v>138</v>
      </c>
      <c r="J1260" s="0" t="n">
        <v>86</v>
      </c>
      <c r="K1260" s="0" t="n">
        <v>63</v>
      </c>
      <c r="L1260" s="0" t="n">
        <v>152</v>
      </c>
      <c r="M1260" s="0" t="n">
        <v>729.15</v>
      </c>
      <c r="N1260" s="0" t="n">
        <v>42.78</v>
      </c>
      <c r="O1260" s="0" t="n">
        <v>31.68</v>
      </c>
      <c r="P1260" s="0" t="n">
        <v>3</v>
      </c>
      <c r="Q1260" s="0" t="n">
        <v>3.64</v>
      </c>
      <c r="R1260" s="0" t="n">
        <v>3907</v>
      </c>
      <c r="S1260" s="0" t="n">
        <v>8955</v>
      </c>
      <c r="T1260" s="0" t="n">
        <v>47.95</v>
      </c>
      <c r="U1260" s="0" t="n">
        <v>971</v>
      </c>
      <c r="V1260" s="0" t="n">
        <v>2</v>
      </c>
      <c r="W1260" s="27" t="n">
        <f aca="false">MATCH(A1260,DATAS,0)</f>
        <v>1</v>
      </c>
      <c r="X1260" s="27" t="n">
        <f aca="false">IF(AND(E1260&gt;0,OR(AND(B1260&gt;=1,B1260&lt;=6),B1260=10)),1,0)</f>
        <v>1</v>
      </c>
      <c r="Y1260" s="27" t="n">
        <f aca="false">IF(AND(E1260&gt;0,B1260=10),1,0)</f>
        <v>0</v>
      </c>
      <c r="Z1260" s="0" t="str">
        <f aca="false">IF(AND(C1259=C1260,W1259=W1260-1),X1259,"")</f>
        <v/>
      </c>
      <c r="AA1260" s="0" t="str">
        <f aca="false">IF(AND(C1259=C1260,W1259=W1260-1),Y1259,"")</f>
        <v/>
      </c>
      <c r="AB1260" s="0" t="str">
        <f aca="false">IF(W1260=1,"",IF(AND(X1260=1,Z1260&lt;&gt;1),1,0))</f>
        <v/>
      </c>
      <c r="AC1260" s="0" t="str">
        <f aca="false">IF(W1260=1,"",IF(AND(Y1260=1,AA1260&lt;&gt;1),1,0))</f>
        <v/>
      </c>
      <c r="AD1260" s="33" t="str">
        <f aca="false">IF(AND(E1260&gt;0,W1260&lt;1,NOT(AND(C1261=C1260,W1261=W1260+1))),INDEX(DATAS,W1260+1),"")</f>
        <v/>
      </c>
      <c r="AE1260" s="33" t="str">
        <f aca="false">IF(AND(Y1260=1,W1260&lt;1),IF(AND(C1261=C1260,W1261=W1260+1),IF(Y1261=1,"",INDEX(DATAS,W1260+1)),INDEX(DATAS,W1260+1)),"")</f>
        <v/>
      </c>
    </row>
    <row r="1261" customFormat="false" ht="15" hidden="false" customHeight="false" outlineLevel="0" collapsed="false">
      <c r="A1261" s="33" t="n">
        <v>46309</v>
      </c>
      <c r="B1261" s="0" t="n">
        <v>4</v>
      </c>
      <c r="C1261" s="0" t="n">
        <v>5333</v>
      </c>
      <c r="D1261" s="0" t="n">
        <v>302</v>
      </c>
      <c r="E1261" s="0" t="n">
        <v>1</v>
      </c>
      <c r="F1261" s="27" t="s">
        <v>854</v>
      </c>
      <c r="G1261" s="0" t="n">
        <v>61.7</v>
      </c>
      <c r="H1261" s="0" t="n">
        <v>60</v>
      </c>
      <c r="I1261" s="27" t="s">
        <v>176</v>
      </c>
      <c r="J1261" s="0" t="n">
        <v>302</v>
      </c>
      <c r="K1261" s="0" t="n">
        <v>64</v>
      </c>
      <c r="M1261" s="0" t="n">
        <v>2080.79</v>
      </c>
      <c r="N1261" s="0" t="n">
        <v>44.8</v>
      </c>
      <c r="O1261" s="0" t="n">
        <v>44.21</v>
      </c>
      <c r="P1261" s="0" t="n">
        <v>3</v>
      </c>
      <c r="Q1261" s="0" t="n">
        <v>2.83</v>
      </c>
      <c r="R1261" s="0" t="n">
        <v>5775</v>
      </c>
      <c r="S1261" s="0" t="n">
        <v>11584</v>
      </c>
      <c r="T1261" s="0" t="n">
        <v>66.3</v>
      </c>
      <c r="U1261" s="0" t="n">
        <v>971</v>
      </c>
      <c r="V1261" s="0" t="n">
        <v>6</v>
      </c>
      <c r="W1261" s="27" t="n">
        <f aca="false">MATCH(A1261,DATAS,0)</f>
        <v>1</v>
      </c>
      <c r="X1261" s="27" t="n">
        <f aca="false">IF(AND(E1261&gt;0,OR(AND(B1261&gt;=1,B1261&lt;=6),B1261=10)),1,0)</f>
        <v>1</v>
      </c>
      <c r="Y1261" s="27" t="n">
        <f aca="false">IF(AND(E1261&gt;0,B1261=10),1,0)</f>
        <v>0</v>
      </c>
      <c r="Z1261" s="0" t="str">
        <f aca="false">IF(AND(C1260=C1261,W1260=W1261-1),X1260,"")</f>
        <v/>
      </c>
      <c r="AA1261" s="0" t="str">
        <f aca="false">IF(AND(C1260=C1261,W1260=W1261-1),Y1260,"")</f>
        <v/>
      </c>
      <c r="AB1261" s="0" t="str">
        <f aca="false">IF(W1261=1,"",IF(AND(X1261=1,Z1261&lt;&gt;1),1,0))</f>
        <v/>
      </c>
      <c r="AC1261" s="0" t="str">
        <f aca="false">IF(W1261=1,"",IF(AND(Y1261=1,AA1261&lt;&gt;1),1,0))</f>
        <v/>
      </c>
      <c r="AD1261" s="33" t="str">
        <f aca="false">IF(AND(E1261&gt;0,W1261&lt;1,NOT(AND(C1262=C1261,W1262=W1261+1))),INDEX(DATAS,W1261+1),"")</f>
        <v/>
      </c>
      <c r="AE1261" s="33" t="str">
        <f aca="false">IF(AND(Y1261=1,W1261&lt;1),IF(AND(C1262=C1261,W1262=W1261+1),IF(Y1262=1,"",INDEX(DATAS,W1261+1)),INDEX(DATAS,W1261+1)),"")</f>
        <v/>
      </c>
    </row>
    <row r="1262" customFormat="false" ht="15" hidden="false" customHeight="false" outlineLevel="0" collapsed="false">
      <c r="A1262" s="33" t="n">
        <v>46309</v>
      </c>
      <c r="B1262" s="0" t="n">
        <v>2</v>
      </c>
      <c r="C1262" s="0" t="n">
        <v>5334</v>
      </c>
      <c r="D1262" s="0" t="n">
        <v>20</v>
      </c>
      <c r="E1262" s="0" t="n">
        <v>2</v>
      </c>
      <c r="F1262" s="27" t="s">
        <v>854</v>
      </c>
      <c r="G1262" s="0" t="n">
        <v>47</v>
      </c>
      <c r="H1262" s="0" t="n">
        <v>41</v>
      </c>
      <c r="I1262" s="27" t="s">
        <v>147</v>
      </c>
      <c r="J1262" s="0" t="n">
        <v>20</v>
      </c>
      <c r="M1262" s="0" t="n">
        <v>928.25</v>
      </c>
      <c r="N1262" s="0" t="n">
        <v>74.37</v>
      </c>
      <c r="O1262" s="0" t="n">
        <v>35.17</v>
      </c>
      <c r="R1262" s="0" t="n">
        <v>3002</v>
      </c>
      <c r="S1262" s="0" t="n">
        <v>6034</v>
      </c>
      <c r="U1262" s="0" t="n">
        <v>971</v>
      </c>
      <c r="V1262" s="0" t="n">
        <v>0</v>
      </c>
      <c r="W1262" s="27" t="n">
        <f aca="false">MATCH(A1262,DATAS,0)</f>
        <v>1</v>
      </c>
      <c r="X1262" s="27" t="n">
        <f aca="false">IF(AND(E1262&gt;0,OR(AND(B1262&gt;=1,B1262&lt;=6),B1262=10)),1,0)</f>
        <v>1</v>
      </c>
      <c r="Y1262" s="27" t="n">
        <f aca="false">IF(AND(E1262&gt;0,B1262=10),1,0)</f>
        <v>0</v>
      </c>
      <c r="Z1262" s="0" t="str">
        <f aca="false">IF(AND(C1261=C1262,W1261=W1262-1),X1261,"")</f>
        <v/>
      </c>
      <c r="AA1262" s="0" t="str">
        <f aca="false">IF(AND(C1261=C1262,W1261=W1262-1),Y1261,"")</f>
        <v/>
      </c>
      <c r="AB1262" s="0" t="str">
        <f aca="false">IF(W1262=1,"",IF(AND(X1262=1,Z1262&lt;&gt;1),1,0))</f>
        <v/>
      </c>
      <c r="AC1262" s="0" t="str">
        <f aca="false">IF(W1262=1,"",IF(AND(Y1262=1,AA1262&lt;&gt;1),1,0))</f>
        <v/>
      </c>
      <c r="AD1262" s="33" t="str">
        <f aca="false">IF(AND(E1262&gt;0,W1262&lt;1,NOT(AND(C1263=C1262,W1263=W1262+1))),INDEX(DATAS,W1262+1),"")</f>
        <v/>
      </c>
      <c r="AE1262" s="33" t="str">
        <f aca="false">IF(AND(Y1262=1,W1262&lt;1),IF(AND(C1263=C1262,W1263=W1262+1),IF(Y1263=1,"",INDEX(DATAS,W1262+1)),INDEX(DATAS,W1262+1)),"")</f>
        <v/>
      </c>
    </row>
    <row r="1263" customFormat="false" ht="15" hidden="false" customHeight="false" outlineLevel="0" collapsed="false">
      <c r="A1263" s="33" t="n">
        <v>46309</v>
      </c>
      <c r="B1263" s="0" t="n">
        <v>4</v>
      </c>
      <c r="C1263" s="0" t="n">
        <v>5335</v>
      </c>
      <c r="D1263" s="0" t="n">
        <v>275</v>
      </c>
      <c r="E1263" s="0" t="n">
        <v>1</v>
      </c>
      <c r="F1263" s="27" t="s">
        <v>855</v>
      </c>
      <c r="G1263" s="0" t="n">
        <v>44.2</v>
      </c>
      <c r="H1263" s="0" t="n">
        <v>46</v>
      </c>
      <c r="I1263" s="27" t="s">
        <v>138</v>
      </c>
      <c r="J1263" s="0" t="n">
        <v>107</v>
      </c>
      <c r="K1263" s="0" t="n">
        <v>79</v>
      </c>
      <c r="L1263" s="0" t="n">
        <v>168</v>
      </c>
      <c r="M1263" s="0" t="n">
        <v>351.46</v>
      </c>
      <c r="N1263" s="0" t="n">
        <v>16.11</v>
      </c>
      <c r="O1263" s="0" t="n">
        <v>17.42</v>
      </c>
      <c r="P1263" s="0" t="n">
        <v>2.88</v>
      </c>
      <c r="Q1263" s="0" t="n">
        <v>3.45</v>
      </c>
      <c r="R1263" s="0" t="n">
        <v>3729</v>
      </c>
      <c r="S1263" s="0" t="n">
        <v>8360</v>
      </c>
      <c r="T1263" s="0" t="n">
        <v>41.35</v>
      </c>
      <c r="U1263" s="0" t="n">
        <v>968</v>
      </c>
      <c r="V1263" s="0" t="n">
        <v>2</v>
      </c>
      <c r="W1263" s="27" t="n">
        <f aca="false">MATCH(A1263,DATAS,0)</f>
        <v>1</v>
      </c>
      <c r="X1263" s="27" t="n">
        <f aca="false">IF(AND(E1263&gt;0,OR(AND(B1263&gt;=1,B1263&lt;=6),B1263=10)),1,0)</f>
        <v>1</v>
      </c>
      <c r="Y1263" s="27" t="n">
        <f aca="false">IF(AND(E1263&gt;0,B1263=10),1,0)</f>
        <v>0</v>
      </c>
      <c r="Z1263" s="0" t="str">
        <f aca="false">IF(AND(C1262=C1263,W1262=W1263-1),X1262,"")</f>
        <v/>
      </c>
      <c r="AA1263" s="0" t="str">
        <f aca="false">IF(AND(C1262=C1263,W1262=W1263-1),Y1262,"")</f>
        <v/>
      </c>
      <c r="AB1263" s="0" t="str">
        <f aca="false">IF(W1263=1,"",IF(AND(X1263=1,Z1263&lt;&gt;1),1,0))</f>
        <v/>
      </c>
      <c r="AC1263" s="0" t="str">
        <f aca="false">IF(W1263=1,"",IF(AND(Y1263=1,AA1263&lt;&gt;1),1,0))</f>
        <v/>
      </c>
      <c r="AD1263" s="33" t="str">
        <f aca="false">IF(AND(E1263&gt;0,W1263&lt;1,NOT(AND(C1264=C1263,W1264=W1263+1))),INDEX(DATAS,W1263+1),"")</f>
        <v/>
      </c>
      <c r="AE1263" s="33" t="str">
        <f aca="false">IF(AND(Y1263=1,W1263&lt;1),IF(AND(C1264=C1263,W1264=W1263+1),IF(Y1264=1,"",INDEX(DATAS,W1263+1)),INDEX(DATAS,W1263+1)),"")</f>
        <v/>
      </c>
    </row>
    <row r="1264" customFormat="false" ht="15" hidden="false" customHeight="false" outlineLevel="0" collapsed="false">
      <c r="A1264" s="33" t="n">
        <v>46309</v>
      </c>
      <c r="B1264" s="0" t="n">
        <v>9</v>
      </c>
      <c r="C1264" s="0" t="n">
        <v>5337</v>
      </c>
      <c r="D1264" s="0" t="n">
        <v>294</v>
      </c>
      <c r="E1264" s="0" t="n">
        <v>1</v>
      </c>
      <c r="F1264" s="27" t="s">
        <v>855</v>
      </c>
      <c r="I1264" s="27" t="s">
        <v>143</v>
      </c>
      <c r="J1264" s="0" t="n">
        <v>71</v>
      </c>
      <c r="K1264" s="0" t="n">
        <v>71</v>
      </c>
      <c r="L1264" s="0" t="n">
        <v>273</v>
      </c>
      <c r="M1264" s="0" t="n">
        <v>1058.39</v>
      </c>
      <c r="N1264" s="0" t="n">
        <v>60.65</v>
      </c>
      <c r="O1264" s="0" t="n">
        <v>44.09</v>
      </c>
      <c r="P1264" s="0" t="n">
        <v>3.13</v>
      </c>
      <c r="Q1264" s="0" t="n">
        <v>3.59</v>
      </c>
      <c r="R1264" s="0" t="n">
        <v>4717</v>
      </c>
      <c r="S1264" s="0" t="n">
        <v>10567</v>
      </c>
      <c r="T1264" s="0" t="n">
        <v>50.45</v>
      </c>
      <c r="U1264" s="0" t="n">
        <v>968</v>
      </c>
      <c r="V1264" s="0" t="n">
        <v>1</v>
      </c>
      <c r="W1264" s="27" t="n">
        <f aca="false">MATCH(A1264,DATAS,0)</f>
        <v>1</v>
      </c>
      <c r="X1264" s="27" t="n">
        <f aca="false">IF(AND(E1264&gt;0,OR(AND(B1264&gt;=1,B1264&lt;=6),B1264=10)),1,0)</f>
        <v>0</v>
      </c>
      <c r="Y1264" s="27" t="n">
        <f aca="false">IF(AND(E1264&gt;0,B1264=10),1,0)</f>
        <v>0</v>
      </c>
      <c r="Z1264" s="0" t="str">
        <f aca="false">IF(AND(C1263=C1264,W1263=W1264-1),X1263,"")</f>
        <v/>
      </c>
      <c r="AA1264" s="0" t="str">
        <f aca="false">IF(AND(C1263=C1264,W1263=W1264-1),Y1263,"")</f>
        <v/>
      </c>
      <c r="AB1264" s="0" t="str">
        <f aca="false">IF(W1264=1,"",IF(AND(X1264=1,Z1264&lt;&gt;1),1,0))</f>
        <v/>
      </c>
      <c r="AC1264" s="0" t="str">
        <f aca="false">IF(W1264=1,"",IF(AND(Y1264=1,AA1264&lt;&gt;1),1,0))</f>
        <v/>
      </c>
      <c r="AD1264" s="33" t="str">
        <f aca="false">IF(AND(E1264&gt;0,W1264&lt;1,NOT(AND(C1265=C1264,W1265=W1264+1))),INDEX(DATAS,W1264+1),"")</f>
        <v/>
      </c>
      <c r="AE1264" s="33" t="str">
        <f aca="false">IF(AND(Y1264=1,W1264&lt;1),IF(AND(C1265=C1264,W1265=W1264+1),IF(Y1265=1,"",INDEX(DATAS,W1264+1)),INDEX(DATAS,W1264+1)),"")</f>
        <v/>
      </c>
    </row>
    <row r="1265" customFormat="false" ht="15" hidden="false" customHeight="false" outlineLevel="0" collapsed="false">
      <c r="A1265" s="33" t="n">
        <v>46309</v>
      </c>
      <c r="B1265" s="0" t="n">
        <v>4</v>
      </c>
      <c r="C1265" s="0" t="n">
        <v>5338</v>
      </c>
      <c r="D1265" s="0" t="n">
        <v>339</v>
      </c>
      <c r="E1265" s="0" t="n">
        <v>1</v>
      </c>
      <c r="F1265" s="27" t="s">
        <v>855</v>
      </c>
      <c r="G1265" s="0" t="n">
        <v>45.3</v>
      </c>
      <c r="H1265" s="0" t="n">
        <v>43</v>
      </c>
      <c r="I1265" s="27" t="s">
        <v>168</v>
      </c>
      <c r="J1265" s="0" t="n">
        <v>339</v>
      </c>
      <c r="K1265" s="0" t="n">
        <v>66</v>
      </c>
      <c r="M1265" s="0" t="n">
        <v>1375.2</v>
      </c>
      <c r="N1265" s="0" t="n">
        <v>50.12</v>
      </c>
      <c r="O1265" s="0" t="n">
        <v>41.14</v>
      </c>
      <c r="P1265" s="0" t="n">
        <v>4.24</v>
      </c>
      <c r="Q1265" s="0" t="n">
        <v>3.72</v>
      </c>
      <c r="R1265" s="0" t="n">
        <v>3230</v>
      </c>
      <c r="S1265" s="0" t="n">
        <v>7046</v>
      </c>
      <c r="T1265" s="0" t="n">
        <v>35.5</v>
      </c>
      <c r="U1265" s="0" t="n">
        <v>968</v>
      </c>
      <c r="V1265" s="0" t="n">
        <v>7</v>
      </c>
      <c r="W1265" s="27" t="n">
        <f aca="false">MATCH(A1265,DATAS,0)</f>
        <v>1</v>
      </c>
      <c r="X1265" s="27" t="n">
        <f aca="false">IF(AND(E1265&gt;0,OR(AND(B1265&gt;=1,B1265&lt;=6),B1265=10)),1,0)</f>
        <v>1</v>
      </c>
      <c r="Y1265" s="27" t="n">
        <f aca="false">IF(AND(E1265&gt;0,B1265=10),1,0)</f>
        <v>0</v>
      </c>
      <c r="Z1265" s="0" t="str">
        <f aca="false">IF(AND(C1264=C1265,W1264=W1265-1),X1264,"")</f>
        <v/>
      </c>
      <c r="AA1265" s="0" t="str">
        <f aca="false">IF(AND(C1264=C1265,W1264=W1265-1),Y1264,"")</f>
        <v/>
      </c>
      <c r="AB1265" s="0" t="str">
        <f aca="false">IF(W1265=1,"",IF(AND(X1265=1,Z1265&lt;&gt;1),1,0))</f>
        <v/>
      </c>
      <c r="AC1265" s="0" t="str">
        <f aca="false">IF(W1265=1,"",IF(AND(Y1265=1,AA1265&lt;&gt;1),1,0))</f>
        <v/>
      </c>
      <c r="AD1265" s="33" t="str">
        <f aca="false">IF(AND(E1265&gt;0,W1265&lt;1,NOT(AND(C1266=C1265,W1266=W1265+1))),INDEX(DATAS,W1265+1),"")</f>
        <v/>
      </c>
      <c r="AE1265" s="33" t="str">
        <f aca="false">IF(AND(Y1265=1,W1265&lt;1),IF(AND(C1266=C1265,W1266=W1265+1),IF(Y1266=1,"",INDEX(DATAS,W1265+1)),INDEX(DATAS,W1265+1)),"")</f>
        <v/>
      </c>
    </row>
    <row r="1266" customFormat="false" ht="15" hidden="false" customHeight="false" outlineLevel="0" collapsed="false">
      <c r="A1266" s="33" t="n">
        <v>46309</v>
      </c>
      <c r="B1266" s="0" t="n">
        <v>1</v>
      </c>
      <c r="C1266" s="0" t="n">
        <v>5339</v>
      </c>
      <c r="D1266" s="0" t="n">
        <v>110</v>
      </c>
      <c r="E1266" s="0" t="n">
        <v>1</v>
      </c>
      <c r="F1266" s="27" t="s">
        <v>855</v>
      </c>
      <c r="G1266" s="0" t="n">
        <v>57.1</v>
      </c>
      <c r="H1266" s="0" t="n">
        <v>54</v>
      </c>
      <c r="I1266" s="27" t="s">
        <v>138</v>
      </c>
      <c r="J1266" s="0" t="n">
        <v>68</v>
      </c>
      <c r="K1266" s="0" t="n">
        <v>68</v>
      </c>
      <c r="L1266" s="0" t="n">
        <v>42</v>
      </c>
      <c r="M1266" s="0" t="n">
        <v>1420.55</v>
      </c>
      <c r="N1266" s="0" t="n">
        <v>75.21</v>
      </c>
      <c r="O1266" s="0" t="n">
        <v>30.4</v>
      </c>
      <c r="P1266" s="0" t="n">
        <v>3.87</v>
      </c>
      <c r="Q1266" s="0" t="n">
        <v>2.72</v>
      </c>
      <c r="R1266" s="0" t="n">
        <v>5198</v>
      </c>
      <c r="S1266" s="0" t="n">
        <v>10553</v>
      </c>
      <c r="T1266" s="0" t="n">
        <v>60.6</v>
      </c>
      <c r="U1266" s="0" t="n">
        <v>968</v>
      </c>
      <c r="V1266" s="0" t="n">
        <v>1</v>
      </c>
      <c r="W1266" s="27" t="n">
        <f aca="false">MATCH(A1266,DATAS,0)</f>
        <v>1</v>
      </c>
      <c r="X1266" s="27" t="n">
        <f aca="false">IF(AND(E1266&gt;0,OR(AND(B1266&gt;=1,B1266&lt;=6),B1266=10)),1,0)</f>
        <v>1</v>
      </c>
      <c r="Y1266" s="27" t="n">
        <f aca="false">IF(AND(E1266&gt;0,B1266=10),1,0)</f>
        <v>0</v>
      </c>
      <c r="Z1266" s="0" t="str">
        <f aca="false">IF(AND(C1265=C1266,W1265=W1266-1),X1265,"")</f>
        <v/>
      </c>
      <c r="AA1266" s="0" t="str">
        <f aca="false">IF(AND(C1265=C1266,W1265=W1266-1),Y1265,"")</f>
        <v/>
      </c>
      <c r="AB1266" s="0" t="str">
        <f aca="false">IF(W1266=1,"",IF(AND(X1266=1,Z1266&lt;&gt;1),1,0))</f>
        <v/>
      </c>
      <c r="AC1266" s="0" t="str">
        <f aca="false">IF(W1266=1,"",IF(AND(Y1266=1,AA1266&lt;&gt;1),1,0))</f>
        <v/>
      </c>
      <c r="AD1266" s="33" t="str">
        <f aca="false">IF(AND(E1266&gt;0,W1266&lt;1,NOT(AND(C1267=C1266,W1267=W1266+1))),INDEX(DATAS,W1266+1),"")</f>
        <v/>
      </c>
      <c r="AE1266" s="33" t="str">
        <f aca="false">IF(AND(Y1266=1,W1266&lt;1),IF(AND(C1267=C1266,W1267=W1266+1),IF(Y1267=1,"",INDEX(DATAS,W1266+1)),INDEX(DATAS,W1266+1)),"")</f>
        <v/>
      </c>
    </row>
    <row r="1267" customFormat="false" ht="15" hidden="false" customHeight="false" outlineLevel="0" collapsed="false">
      <c r="A1267" s="33" t="n">
        <v>46309</v>
      </c>
      <c r="B1267" s="0" t="n">
        <v>6</v>
      </c>
      <c r="C1267" s="0" t="n">
        <v>5340</v>
      </c>
      <c r="D1267" s="0" t="n">
        <v>331</v>
      </c>
      <c r="E1267" s="0" t="n">
        <v>1</v>
      </c>
      <c r="F1267" s="27" t="s">
        <v>856</v>
      </c>
      <c r="H1267" s="0" t="n">
        <v>27</v>
      </c>
      <c r="I1267" s="27" t="s">
        <v>138</v>
      </c>
      <c r="J1267" s="0" t="n">
        <v>104</v>
      </c>
      <c r="K1267" s="0" t="n">
        <v>65</v>
      </c>
      <c r="L1267" s="0" t="n">
        <v>227</v>
      </c>
      <c r="M1267" s="0" t="n">
        <v>491.21</v>
      </c>
      <c r="N1267" s="0" t="n">
        <v>39.87</v>
      </c>
      <c r="O1267" s="0" t="n">
        <v>24.07</v>
      </c>
      <c r="P1267" s="0" t="n">
        <v>4.5</v>
      </c>
      <c r="Q1267" s="0" t="n">
        <v>3.55</v>
      </c>
      <c r="R1267" s="0" t="n">
        <v>4117</v>
      </c>
      <c r="S1267" s="0" t="n">
        <v>8840</v>
      </c>
      <c r="T1267" s="0" t="n">
        <v>46.95</v>
      </c>
      <c r="U1267" s="0" t="n">
        <v>966</v>
      </c>
      <c r="V1267" s="0" t="n">
        <v>3</v>
      </c>
      <c r="W1267" s="27" t="n">
        <f aca="false">MATCH(A1267,DATAS,0)</f>
        <v>1</v>
      </c>
      <c r="X1267" s="27" t="n">
        <f aca="false">IF(AND(E1267&gt;0,OR(AND(B1267&gt;=1,B1267&lt;=6),B1267=10)),1,0)</f>
        <v>1</v>
      </c>
      <c r="Y1267" s="27" t="n">
        <f aca="false">IF(AND(E1267&gt;0,B1267=10),1,0)</f>
        <v>0</v>
      </c>
      <c r="Z1267" s="0" t="str">
        <f aca="false">IF(AND(C1266=C1267,W1266=W1267-1),X1266,"")</f>
        <v/>
      </c>
      <c r="AA1267" s="0" t="str">
        <f aca="false">IF(AND(C1266=C1267,W1266=W1267-1),Y1266,"")</f>
        <v/>
      </c>
      <c r="AB1267" s="0" t="str">
        <f aca="false">IF(W1267=1,"",IF(AND(X1267=1,Z1267&lt;&gt;1),1,0))</f>
        <v/>
      </c>
      <c r="AC1267" s="0" t="str">
        <f aca="false">IF(W1267=1,"",IF(AND(Y1267=1,AA1267&lt;&gt;1),1,0))</f>
        <v/>
      </c>
      <c r="AD1267" s="33" t="str">
        <f aca="false">IF(AND(E1267&gt;0,W1267&lt;1,NOT(AND(C1268=C1267,W1268=W1267+1))),INDEX(DATAS,W1267+1),"")</f>
        <v/>
      </c>
      <c r="AE1267" s="33" t="str">
        <f aca="false">IF(AND(Y1267=1,W1267&lt;1),IF(AND(C1268=C1267,W1268=W1267+1),IF(Y1268=1,"",INDEX(DATAS,W1267+1)),INDEX(DATAS,W1267+1)),"")</f>
        <v/>
      </c>
    </row>
    <row r="1268" customFormat="false" ht="15" hidden="false" customHeight="false" outlineLevel="0" collapsed="false">
      <c r="A1268" s="33" t="n">
        <v>46309</v>
      </c>
      <c r="B1268" s="0" t="n">
        <v>7</v>
      </c>
      <c r="C1268" s="0" t="n">
        <v>5342</v>
      </c>
      <c r="D1268" s="0" t="n">
        <v>284</v>
      </c>
      <c r="E1268" s="0" t="n">
        <v>1</v>
      </c>
      <c r="F1268" s="27" t="s">
        <v>857</v>
      </c>
      <c r="I1268" s="27" t="s">
        <v>143</v>
      </c>
      <c r="J1268" s="0" t="n">
        <v>61</v>
      </c>
      <c r="K1268" s="0" t="n">
        <v>61</v>
      </c>
      <c r="L1268" s="0" t="n">
        <v>245</v>
      </c>
      <c r="M1268" s="0" t="n">
        <v>1093.43</v>
      </c>
      <c r="N1268" s="0" t="n">
        <v>60.18</v>
      </c>
      <c r="O1268" s="0" t="n">
        <v>24.39</v>
      </c>
      <c r="P1268" s="0" t="n">
        <v>3.13</v>
      </c>
      <c r="Q1268" s="0" t="n">
        <v>3.37</v>
      </c>
      <c r="R1268" s="0" t="n">
        <v>4263</v>
      </c>
      <c r="S1268" s="0" t="n">
        <v>9433</v>
      </c>
      <c r="T1268" s="0" t="n">
        <v>47.7</v>
      </c>
      <c r="U1268" s="0" t="n">
        <v>965</v>
      </c>
      <c r="V1268" s="0" t="n">
        <v>1</v>
      </c>
      <c r="W1268" s="27" t="n">
        <f aca="false">MATCH(A1268,DATAS,0)</f>
        <v>1</v>
      </c>
      <c r="X1268" s="27" t="n">
        <f aca="false">IF(AND(E1268&gt;0,OR(AND(B1268&gt;=1,B1268&lt;=6),B1268=10)),1,0)</f>
        <v>0</v>
      </c>
      <c r="Y1268" s="27" t="n">
        <f aca="false">IF(AND(E1268&gt;0,B1268=10),1,0)</f>
        <v>0</v>
      </c>
      <c r="Z1268" s="0" t="str">
        <f aca="false">IF(AND(C1267=C1268,W1267=W1268-1),X1267,"")</f>
        <v/>
      </c>
      <c r="AA1268" s="0" t="str">
        <f aca="false">IF(AND(C1267=C1268,W1267=W1268-1),Y1267,"")</f>
        <v/>
      </c>
      <c r="AB1268" s="0" t="str">
        <f aca="false">IF(W1268=1,"",IF(AND(X1268=1,Z1268&lt;&gt;1),1,0))</f>
        <v/>
      </c>
      <c r="AC1268" s="0" t="str">
        <f aca="false">IF(W1268=1,"",IF(AND(Y1268=1,AA1268&lt;&gt;1),1,0))</f>
        <v/>
      </c>
      <c r="AD1268" s="33" t="str">
        <f aca="false">IF(AND(E1268&gt;0,W1268&lt;1,NOT(AND(C1269=C1268,W1269=W1268+1))),INDEX(DATAS,W1268+1),"")</f>
        <v/>
      </c>
      <c r="AE1268" s="33" t="str">
        <f aca="false">IF(AND(Y1268=1,W1268&lt;1),IF(AND(C1269=C1268,W1269=W1268+1),IF(Y1269=1,"",INDEX(DATAS,W1268+1)),INDEX(DATAS,W1268+1)),"")</f>
        <v/>
      </c>
    </row>
    <row r="1269" customFormat="false" ht="15" hidden="false" customHeight="false" outlineLevel="0" collapsed="false">
      <c r="A1269" s="33" t="n">
        <v>46309</v>
      </c>
      <c r="B1269" s="0" t="n">
        <v>4</v>
      </c>
      <c r="C1269" s="0" t="n">
        <v>5343</v>
      </c>
      <c r="D1269" s="0" t="n">
        <v>277</v>
      </c>
      <c r="E1269" s="0" t="n">
        <v>1</v>
      </c>
      <c r="F1269" s="27" t="s">
        <v>857</v>
      </c>
      <c r="G1269" s="0" t="n">
        <v>38.7</v>
      </c>
      <c r="H1269" s="0" t="n">
        <v>39</v>
      </c>
      <c r="I1269" s="27" t="s">
        <v>176</v>
      </c>
      <c r="J1269" s="0" t="n">
        <v>277</v>
      </c>
      <c r="K1269" s="0" t="n">
        <v>67</v>
      </c>
      <c r="M1269" s="0" t="n">
        <v>282.63</v>
      </c>
      <c r="N1269" s="0" t="n">
        <v>83.54</v>
      </c>
      <c r="O1269" s="0" t="n">
        <v>40.08</v>
      </c>
      <c r="P1269" s="0" t="n">
        <v>4.3</v>
      </c>
      <c r="Q1269" s="0" t="n">
        <v>3.71</v>
      </c>
      <c r="R1269" s="0" t="n">
        <v>4347</v>
      </c>
      <c r="S1269" s="0" t="n">
        <v>8195</v>
      </c>
      <c r="T1269" s="0" t="n">
        <v>44.3</v>
      </c>
      <c r="U1269" s="0" t="n">
        <v>965</v>
      </c>
      <c r="V1269" s="0" t="n">
        <v>6</v>
      </c>
      <c r="W1269" s="27" t="n">
        <f aca="false">MATCH(A1269,DATAS,0)</f>
        <v>1</v>
      </c>
      <c r="X1269" s="27" t="n">
        <f aca="false">IF(AND(E1269&gt;0,OR(AND(B1269&gt;=1,B1269&lt;=6),B1269=10)),1,0)</f>
        <v>1</v>
      </c>
      <c r="Y1269" s="27" t="n">
        <f aca="false">IF(AND(E1269&gt;0,B1269=10),1,0)</f>
        <v>0</v>
      </c>
      <c r="Z1269" s="0" t="str">
        <f aca="false">IF(AND(C1268=C1269,W1268=W1269-1),X1268,"")</f>
        <v/>
      </c>
      <c r="AA1269" s="0" t="str">
        <f aca="false">IF(AND(C1268=C1269,W1268=W1269-1),Y1268,"")</f>
        <v/>
      </c>
      <c r="AB1269" s="0" t="str">
        <f aca="false">IF(W1269=1,"",IF(AND(X1269=1,Z1269&lt;&gt;1),1,0))</f>
        <v/>
      </c>
      <c r="AC1269" s="0" t="str">
        <f aca="false">IF(W1269=1,"",IF(AND(Y1269=1,AA1269&lt;&gt;1),1,0))</f>
        <v/>
      </c>
      <c r="AD1269" s="33" t="str">
        <f aca="false">IF(AND(E1269&gt;0,W1269&lt;1,NOT(AND(C1270=C1269,W1270=W1269+1))),INDEX(DATAS,W1269+1),"")</f>
        <v/>
      </c>
      <c r="AE1269" s="33" t="str">
        <f aca="false">IF(AND(Y1269=1,W1269&lt;1),IF(AND(C1270=C1269,W1270=W1269+1),IF(Y1270=1,"",INDEX(DATAS,W1269+1)),INDEX(DATAS,W1269+1)),"")</f>
        <v/>
      </c>
    </row>
    <row r="1270" customFormat="false" ht="15" hidden="false" customHeight="false" outlineLevel="0" collapsed="false">
      <c r="A1270" s="33" t="n">
        <v>46309</v>
      </c>
      <c r="B1270" s="0" t="n">
        <v>4</v>
      </c>
      <c r="C1270" s="0" t="n">
        <v>5344</v>
      </c>
      <c r="D1270" s="0" t="n">
        <v>323</v>
      </c>
      <c r="E1270" s="0" t="n">
        <v>1</v>
      </c>
      <c r="F1270" s="27" t="s">
        <v>857</v>
      </c>
      <c r="G1270" s="0" t="n">
        <v>39.9</v>
      </c>
      <c r="H1270" s="0" t="n">
        <v>42</v>
      </c>
      <c r="I1270" s="27" t="s">
        <v>138</v>
      </c>
      <c r="J1270" s="0" t="n">
        <v>141</v>
      </c>
      <c r="K1270" s="0" t="n">
        <v>64</v>
      </c>
      <c r="L1270" s="0" t="n">
        <v>182</v>
      </c>
      <c r="M1270" s="0" t="n">
        <v>415.09</v>
      </c>
      <c r="N1270" s="0" t="n">
        <v>87.04</v>
      </c>
      <c r="O1270" s="0" t="n">
        <v>32.45</v>
      </c>
      <c r="P1270" s="0" t="n">
        <v>3.91</v>
      </c>
      <c r="Q1270" s="0" t="n">
        <v>3.74</v>
      </c>
      <c r="R1270" s="0" t="n">
        <v>3946</v>
      </c>
      <c r="S1270" s="0" t="n">
        <v>8298</v>
      </c>
      <c r="T1270" s="0" t="n">
        <v>44.25</v>
      </c>
      <c r="U1270" s="0" t="n">
        <v>965</v>
      </c>
      <c r="V1270" s="0" t="n">
        <v>3</v>
      </c>
      <c r="W1270" s="27" t="n">
        <f aca="false">MATCH(A1270,DATAS,0)</f>
        <v>1</v>
      </c>
      <c r="X1270" s="27" t="n">
        <f aca="false">IF(AND(E1270&gt;0,OR(AND(B1270&gt;=1,B1270&lt;=6),B1270=10)),1,0)</f>
        <v>1</v>
      </c>
      <c r="Y1270" s="27" t="n">
        <f aca="false">IF(AND(E1270&gt;0,B1270=10),1,0)</f>
        <v>0</v>
      </c>
      <c r="Z1270" s="0" t="str">
        <f aca="false">IF(AND(C1269=C1270,W1269=W1270-1),X1269,"")</f>
        <v/>
      </c>
      <c r="AA1270" s="0" t="str">
        <f aca="false">IF(AND(C1269=C1270,W1269=W1270-1),Y1269,"")</f>
        <v/>
      </c>
      <c r="AB1270" s="0" t="str">
        <f aca="false">IF(W1270=1,"",IF(AND(X1270=1,Z1270&lt;&gt;1),1,0))</f>
        <v/>
      </c>
      <c r="AC1270" s="0" t="str">
        <f aca="false">IF(W1270=1,"",IF(AND(Y1270=1,AA1270&lt;&gt;1),1,0))</f>
        <v/>
      </c>
      <c r="AD1270" s="33" t="str">
        <f aca="false">IF(AND(E1270&gt;0,W1270&lt;1,NOT(AND(C1271=C1270,W1271=W1270+1))),INDEX(DATAS,W1270+1),"")</f>
        <v/>
      </c>
      <c r="AE1270" s="33" t="str">
        <f aca="false">IF(AND(Y1270=1,W1270&lt;1),IF(AND(C1271=C1270,W1271=W1270+1),IF(Y1271=1,"",INDEX(DATAS,W1270+1)),INDEX(DATAS,W1270+1)),"")</f>
        <v/>
      </c>
    </row>
    <row r="1271" customFormat="false" ht="15" hidden="false" customHeight="false" outlineLevel="0" collapsed="false">
      <c r="A1271" s="33" t="n">
        <v>46309</v>
      </c>
      <c r="B1271" s="0" t="n">
        <v>8</v>
      </c>
      <c r="C1271" s="0" t="n">
        <v>5345</v>
      </c>
      <c r="E1271" s="0" t="n">
        <v>0</v>
      </c>
      <c r="F1271" s="27" t="s">
        <v>857</v>
      </c>
      <c r="I1271" s="27" t="s">
        <v>138</v>
      </c>
      <c r="L1271" s="0" t="n">
        <v>156</v>
      </c>
      <c r="M1271" s="0" t="n">
        <v>324.8</v>
      </c>
      <c r="N1271" s="0" t="n">
        <v>75.41</v>
      </c>
      <c r="O1271" s="0" t="n">
        <v>41.88</v>
      </c>
      <c r="U1271" s="0" t="n">
        <v>965</v>
      </c>
      <c r="V1271" s="0" t="n">
        <v>7</v>
      </c>
      <c r="W1271" s="27" t="n">
        <f aca="false">MATCH(A1271,DATAS,0)</f>
        <v>1</v>
      </c>
      <c r="X1271" s="27" t="n">
        <f aca="false">IF(AND(E1271&gt;0,OR(AND(B1271&gt;=1,B1271&lt;=6),B1271=10)),1,0)</f>
        <v>0</v>
      </c>
      <c r="Y1271" s="27" t="n">
        <f aca="false">IF(AND(E1271&gt;0,B1271=10),1,0)</f>
        <v>0</v>
      </c>
      <c r="Z1271" s="0" t="str">
        <f aca="false">IF(AND(C1270=C1271,W1270=W1271-1),X1270,"")</f>
        <v/>
      </c>
      <c r="AA1271" s="0" t="str">
        <f aca="false">IF(AND(C1270=C1271,W1270=W1271-1),Y1270,"")</f>
        <v/>
      </c>
      <c r="AB1271" s="0" t="str">
        <f aca="false">IF(W1271=1,"",IF(AND(X1271=1,Z1271&lt;&gt;1),1,0))</f>
        <v/>
      </c>
      <c r="AC1271" s="0" t="str">
        <f aca="false">IF(W1271=1,"",IF(AND(Y1271=1,AA1271&lt;&gt;1),1,0))</f>
        <v/>
      </c>
      <c r="AD1271" s="33" t="str">
        <f aca="false">IF(AND(E1271&gt;0,W1271&lt;1,NOT(AND(C1272=C1271,W1272=W1271+1))),INDEX(DATAS,W1271+1),"")</f>
        <v/>
      </c>
      <c r="AE1271" s="33" t="str">
        <f aca="false">IF(AND(Y1271=1,W1271&lt;1),IF(AND(C1272=C1271,W1272=W1271+1),IF(Y1272=1,"",INDEX(DATAS,W1271+1)),INDEX(DATAS,W1271+1)),"")</f>
        <v/>
      </c>
    </row>
    <row r="1272" customFormat="false" ht="15" hidden="false" customHeight="false" outlineLevel="0" collapsed="false">
      <c r="A1272" s="33" t="n">
        <v>46309</v>
      </c>
      <c r="B1272" s="0" t="n">
        <v>4</v>
      </c>
      <c r="C1272" s="0" t="n">
        <v>5346</v>
      </c>
      <c r="D1272" s="0" t="n">
        <v>323</v>
      </c>
      <c r="E1272" s="0" t="n">
        <v>1</v>
      </c>
      <c r="F1272" s="27" t="s">
        <v>858</v>
      </c>
      <c r="G1272" s="0" t="n">
        <v>39.6</v>
      </c>
      <c r="H1272" s="0" t="n">
        <v>40</v>
      </c>
      <c r="I1272" s="27" t="s">
        <v>138</v>
      </c>
      <c r="J1272" s="0" t="n">
        <v>239</v>
      </c>
      <c r="K1272" s="0" t="n">
        <v>64</v>
      </c>
      <c r="L1272" s="0" t="n">
        <v>84</v>
      </c>
      <c r="M1272" s="0" t="n">
        <v>-622.89</v>
      </c>
      <c r="N1272" s="0" t="n">
        <v>64.25</v>
      </c>
      <c r="O1272" s="0" t="n">
        <v>13.44</v>
      </c>
      <c r="P1272" s="0" t="n">
        <v>3.97</v>
      </c>
      <c r="Q1272" s="0" t="n">
        <v>3.79</v>
      </c>
      <c r="R1272" s="0" t="n">
        <v>3529</v>
      </c>
      <c r="S1272" s="0" t="n">
        <v>6345</v>
      </c>
      <c r="T1272" s="0" t="n">
        <v>41.3</v>
      </c>
      <c r="U1272" s="0" t="n">
        <v>964</v>
      </c>
      <c r="V1272" s="0" t="n">
        <v>6</v>
      </c>
      <c r="W1272" s="27" t="n">
        <f aca="false">MATCH(A1272,DATAS,0)</f>
        <v>1</v>
      </c>
      <c r="X1272" s="27" t="n">
        <f aca="false">IF(AND(E1272&gt;0,OR(AND(B1272&gt;=1,B1272&lt;=6),B1272=10)),1,0)</f>
        <v>1</v>
      </c>
      <c r="Y1272" s="27" t="n">
        <f aca="false">IF(AND(E1272&gt;0,B1272=10),1,0)</f>
        <v>0</v>
      </c>
      <c r="Z1272" s="0" t="str">
        <f aca="false">IF(AND(C1271=C1272,W1271=W1272-1),X1271,"")</f>
        <v/>
      </c>
      <c r="AA1272" s="0" t="str">
        <f aca="false">IF(AND(C1271=C1272,W1271=W1272-1),Y1271,"")</f>
        <v/>
      </c>
      <c r="AB1272" s="0" t="str">
        <f aca="false">IF(W1272=1,"",IF(AND(X1272=1,Z1272&lt;&gt;1),1,0))</f>
        <v/>
      </c>
      <c r="AC1272" s="0" t="str">
        <f aca="false">IF(W1272=1,"",IF(AND(Y1272=1,AA1272&lt;&gt;1),1,0))</f>
        <v/>
      </c>
      <c r="AD1272" s="33" t="str">
        <f aca="false">IF(AND(E1272&gt;0,W1272&lt;1,NOT(AND(C1273=C1272,W1273=W1272+1))),INDEX(DATAS,W1272+1),"")</f>
        <v/>
      </c>
      <c r="AE1272" s="33" t="str">
        <f aca="false">IF(AND(Y1272=1,W1272&lt;1),IF(AND(C1273=C1272,W1273=W1272+1),IF(Y1273=1,"",INDEX(DATAS,W1272+1)),INDEX(DATAS,W1272+1)),"")</f>
        <v/>
      </c>
    </row>
    <row r="1273" customFormat="false" ht="15" hidden="false" customHeight="false" outlineLevel="0" collapsed="false">
      <c r="A1273" s="33" t="n">
        <v>46309</v>
      </c>
      <c r="B1273" s="0" t="n">
        <v>7</v>
      </c>
      <c r="C1273" s="0" t="n">
        <v>5347</v>
      </c>
      <c r="D1273" s="0" t="n">
        <v>325</v>
      </c>
      <c r="E1273" s="0" t="n">
        <v>1</v>
      </c>
      <c r="F1273" s="27" t="s">
        <v>858</v>
      </c>
      <c r="I1273" s="27" t="s">
        <v>143</v>
      </c>
      <c r="J1273" s="0" t="n">
        <v>123</v>
      </c>
      <c r="K1273" s="0" t="n">
        <v>67</v>
      </c>
      <c r="L1273" s="0" t="n">
        <v>217</v>
      </c>
      <c r="M1273" s="0" t="n">
        <v>759.52</v>
      </c>
      <c r="N1273" s="0" t="n">
        <v>71.67</v>
      </c>
      <c r="O1273" s="0" t="n">
        <v>37.99</v>
      </c>
      <c r="P1273" s="0" t="n">
        <v>5.11</v>
      </c>
      <c r="Q1273" s="0" t="n">
        <v>4.32</v>
      </c>
      <c r="R1273" s="0" t="n">
        <v>4120</v>
      </c>
      <c r="S1273" s="0" t="n">
        <v>8379</v>
      </c>
      <c r="T1273" s="0" t="n">
        <v>41.6</v>
      </c>
      <c r="U1273" s="0" t="n">
        <v>964</v>
      </c>
      <c r="V1273" s="0" t="n">
        <v>2</v>
      </c>
      <c r="W1273" s="27" t="n">
        <f aca="false">MATCH(A1273,DATAS,0)</f>
        <v>1</v>
      </c>
      <c r="X1273" s="27" t="n">
        <f aca="false">IF(AND(E1273&gt;0,OR(AND(B1273&gt;=1,B1273&lt;=6),B1273=10)),1,0)</f>
        <v>0</v>
      </c>
      <c r="Y1273" s="27" t="n">
        <f aca="false">IF(AND(E1273&gt;0,B1273=10),1,0)</f>
        <v>0</v>
      </c>
      <c r="Z1273" s="0" t="str">
        <f aca="false">IF(AND(C1272=C1273,W1272=W1273-1),X1272,"")</f>
        <v/>
      </c>
      <c r="AA1273" s="0" t="str">
        <f aca="false">IF(AND(C1272=C1273,W1272=W1273-1),Y1272,"")</f>
        <v/>
      </c>
      <c r="AB1273" s="0" t="str">
        <f aca="false">IF(W1273=1,"",IF(AND(X1273=1,Z1273&lt;&gt;1),1,0))</f>
        <v/>
      </c>
      <c r="AC1273" s="0" t="str">
        <f aca="false">IF(W1273=1,"",IF(AND(Y1273=1,AA1273&lt;&gt;1),1,0))</f>
        <v/>
      </c>
      <c r="AD1273" s="33" t="str">
        <f aca="false">IF(AND(E1273&gt;0,W1273&lt;1,NOT(AND(C1274=C1273,W1274=W1273+1))),INDEX(DATAS,W1273+1),"")</f>
        <v/>
      </c>
      <c r="AE1273" s="33" t="str">
        <f aca="false">IF(AND(Y1273=1,W1273&lt;1),IF(AND(C1274=C1273,W1274=W1273+1),IF(Y1274=1,"",INDEX(DATAS,W1273+1)),INDEX(DATAS,W1273+1)),"")</f>
        <v/>
      </c>
    </row>
    <row r="1274" customFormat="false" ht="15" hidden="false" customHeight="false" outlineLevel="0" collapsed="false">
      <c r="A1274" s="33" t="n">
        <v>46309</v>
      </c>
      <c r="B1274" s="0" t="n">
        <v>7</v>
      </c>
      <c r="C1274" s="0" t="n">
        <v>5350</v>
      </c>
      <c r="D1274" s="0" t="n">
        <v>292</v>
      </c>
      <c r="E1274" s="0" t="n">
        <v>1</v>
      </c>
      <c r="F1274" s="27" t="s">
        <v>859</v>
      </c>
      <c r="I1274" s="27" t="s">
        <v>143</v>
      </c>
      <c r="J1274" s="0" t="n">
        <v>69</v>
      </c>
      <c r="K1274" s="0" t="n">
        <v>69</v>
      </c>
      <c r="L1274" s="0" t="n">
        <v>245</v>
      </c>
      <c r="M1274" s="0" t="n">
        <v>208.56</v>
      </c>
      <c r="N1274" s="0" t="n">
        <v>58.52</v>
      </c>
      <c r="O1274" s="0" t="n">
        <v>21.93</v>
      </c>
      <c r="P1274" s="0" t="n">
        <v>3.9</v>
      </c>
      <c r="Q1274" s="0" t="n">
        <v>3.66</v>
      </c>
      <c r="R1274" s="0" t="n">
        <v>4077</v>
      </c>
      <c r="S1274" s="0" t="n">
        <v>8148</v>
      </c>
      <c r="T1274" s="0" t="n">
        <v>42.95</v>
      </c>
      <c r="U1274" s="0" t="n">
        <v>963</v>
      </c>
      <c r="V1274" s="0" t="n">
        <v>1</v>
      </c>
      <c r="W1274" s="27" t="n">
        <f aca="false">MATCH(A1274,DATAS,0)</f>
        <v>1</v>
      </c>
      <c r="X1274" s="27" t="n">
        <f aca="false">IF(AND(E1274&gt;0,OR(AND(B1274&gt;=1,B1274&lt;=6),B1274=10)),1,0)</f>
        <v>0</v>
      </c>
      <c r="Y1274" s="27" t="n">
        <f aca="false">IF(AND(E1274&gt;0,B1274=10),1,0)</f>
        <v>0</v>
      </c>
      <c r="Z1274" s="0" t="str">
        <f aca="false">IF(AND(C1273=C1274,W1273=W1274-1),X1273,"")</f>
        <v/>
      </c>
      <c r="AA1274" s="0" t="str">
        <f aca="false">IF(AND(C1273=C1274,W1273=W1274-1),Y1273,"")</f>
        <v/>
      </c>
      <c r="AB1274" s="0" t="str">
        <f aca="false">IF(W1274=1,"",IF(AND(X1274=1,Z1274&lt;&gt;1),1,0))</f>
        <v/>
      </c>
      <c r="AC1274" s="0" t="str">
        <f aca="false">IF(W1274=1,"",IF(AND(Y1274=1,AA1274&lt;&gt;1),1,0))</f>
        <v/>
      </c>
      <c r="AD1274" s="33" t="str">
        <f aca="false">IF(AND(E1274&gt;0,W1274&lt;1,NOT(AND(C1275=C1274,W1275=W1274+1))),INDEX(DATAS,W1274+1),"")</f>
        <v/>
      </c>
      <c r="AE1274" s="33" t="str">
        <f aca="false">IF(AND(Y1274=1,W1274&lt;1),IF(AND(C1275=C1274,W1275=W1274+1),IF(Y1275=1,"",INDEX(DATAS,W1274+1)),INDEX(DATAS,W1274+1)),"")</f>
        <v/>
      </c>
    </row>
    <row r="1275" customFormat="false" ht="15" hidden="false" customHeight="false" outlineLevel="0" collapsed="false">
      <c r="A1275" s="33" t="n">
        <v>46309</v>
      </c>
      <c r="B1275" s="0" t="n">
        <v>4</v>
      </c>
      <c r="C1275" s="0" t="n">
        <v>5351</v>
      </c>
      <c r="D1275" s="0" t="n">
        <v>185</v>
      </c>
      <c r="E1275" s="0" t="n">
        <v>1</v>
      </c>
      <c r="F1275" s="27" t="s">
        <v>859</v>
      </c>
      <c r="G1275" s="0" t="n">
        <v>57.1</v>
      </c>
      <c r="H1275" s="0" t="n">
        <v>55</v>
      </c>
      <c r="I1275" s="27" t="s">
        <v>138</v>
      </c>
      <c r="J1275" s="0" t="n">
        <v>66</v>
      </c>
      <c r="K1275" s="0" t="n">
        <v>66</v>
      </c>
      <c r="L1275" s="0" t="n">
        <v>119</v>
      </c>
      <c r="M1275" s="0" t="n">
        <v>1327.3</v>
      </c>
      <c r="N1275" s="0" t="n">
        <v>31.32</v>
      </c>
      <c r="O1275" s="0" t="n">
        <v>32.03</v>
      </c>
      <c r="P1275" s="0" t="n">
        <v>2.1</v>
      </c>
      <c r="Q1275" s="0" t="n">
        <v>3.4</v>
      </c>
      <c r="R1275" s="0" t="n">
        <v>4732</v>
      </c>
      <c r="S1275" s="0" t="n">
        <v>10713</v>
      </c>
      <c r="T1275" s="0" t="n">
        <v>54.35</v>
      </c>
      <c r="U1275" s="0" t="n">
        <v>963</v>
      </c>
      <c r="V1275" s="0" t="n">
        <v>1</v>
      </c>
      <c r="W1275" s="27" t="n">
        <f aca="false">MATCH(A1275,DATAS,0)</f>
        <v>1</v>
      </c>
      <c r="X1275" s="27" t="n">
        <f aca="false">IF(AND(E1275&gt;0,OR(AND(B1275&gt;=1,B1275&lt;=6),B1275=10)),1,0)</f>
        <v>1</v>
      </c>
      <c r="Y1275" s="27" t="n">
        <f aca="false">IF(AND(E1275&gt;0,B1275=10),1,0)</f>
        <v>0</v>
      </c>
      <c r="Z1275" s="0" t="str">
        <f aca="false">IF(AND(C1274=C1275,W1274=W1275-1),X1274,"")</f>
        <v/>
      </c>
      <c r="AA1275" s="0" t="str">
        <f aca="false">IF(AND(C1274=C1275,W1274=W1275-1),Y1274,"")</f>
        <v/>
      </c>
      <c r="AB1275" s="0" t="str">
        <f aca="false">IF(W1275=1,"",IF(AND(X1275=1,Z1275&lt;&gt;1),1,0))</f>
        <v/>
      </c>
      <c r="AC1275" s="0" t="str">
        <f aca="false">IF(W1275=1,"",IF(AND(Y1275=1,AA1275&lt;&gt;1),1,0))</f>
        <v/>
      </c>
      <c r="AD1275" s="33" t="str">
        <f aca="false">IF(AND(E1275&gt;0,W1275&lt;1,NOT(AND(C1276=C1275,W1276=W1275+1))),INDEX(DATAS,W1275+1),"")</f>
        <v/>
      </c>
      <c r="AE1275" s="33" t="str">
        <f aca="false">IF(AND(Y1275=1,W1275&lt;1),IF(AND(C1276=C1275,W1276=W1275+1),IF(Y1276=1,"",INDEX(DATAS,W1275+1)),INDEX(DATAS,W1275+1)),"")</f>
        <v/>
      </c>
    </row>
    <row r="1276" customFormat="false" ht="15" hidden="false" customHeight="false" outlineLevel="0" collapsed="false">
      <c r="A1276" s="33" t="n">
        <v>46309</v>
      </c>
      <c r="B1276" s="0" t="n">
        <v>4</v>
      </c>
      <c r="C1276" s="0" t="n">
        <v>5352</v>
      </c>
      <c r="D1276" s="0" t="n">
        <v>319</v>
      </c>
      <c r="E1276" s="0" t="n">
        <v>1</v>
      </c>
      <c r="F1276" s="27" t="s">
        <v>860</v>
      </c>
      <c r="G1276" s="0" t="n">
        <v>40.4</v>
      </c>
      <c r="H1276" s="0" t="n">
        <v>35</v>
      </c>
      <c r="I1276" s="27" t="s">
        <v>138</v>
      </c>
      <c r="J1276" s="0" t="n">
        <v>144</v>
      </c>
      <c r="K1276" s="0" t="n">
        <v>67</v>
      </c>
      <c r="L1276" s="0" t="n">
        <v>175</v>
      </c>
      <c r="M1276" s="0" t="n">
        <v>291.52</v>
      </c>
      <c r="N1276" s="0" t="n">
        <v>50.23</v>
      </c>
      <c r="O1276" s="0" t="n">
        <v>17.35</v>
      </c>
      <c r="P1276" s="0" t="n">
        <v>3.99</v>
      </c>
      <c r="Q1276" s="0" t="n">
        <v>3.5</v>
      </c>
      <c r="R1276" s="0" t="n">
        <v>3755</v>
      </c>
      <c r="S1276" s="0" t="n">
        <v>8157</v>
      </c>
      <c r="T1276" s="0" t="n">
        <v>39.55</v>
      </c>
      <c r="U1276" s="0" t="n">
        <v>962</v>
      </c>
      <c r="V1276" s="0" t="n">
        <v>3</v>
      </c>
      <c r="W1276" s="27" t="n">
        <f aca="false">MATCH(A1276,DATAS,0)</f>
        <v>1</v>
      </c>
      <c r="X1276" s="27" t="n">
        <f aca="false">IF(AND(E1276&gt;0,OR(AND(B1276&gt;=1,B1276&lt;=6),B1276=10)),1,0)</f>
        <v>1</v>
      </c>
      <c r="Y1276" s="27" t="n">
        <f aca="false">IF(AND(E1276&gt;0,B1276=10),1,0)</f>
        <v>0</v>
      </c>
      <c r="Z1276" s="0" t="str">
        <f aca="false">IF(AND(C1275=C1276,W1275=W1276-1),X1275,"")</f>
        <v/>
      </c>
      <c r="AA1276" s="0" t="str">
        <f aca="false">IF(AND(C1275=C1276,W1275=W1276-1),Y1275,"")</f>
        <v/>
      </c>
      <c r="AB1276" s="0" t="str">
        <f aca="false">IF(W1276=1,"",IF(AND(X1276=1,Z1276&lt;&gt;1),1,0))</f>
        <v/>
      </c>
      <c r="AC1276" s="0" t="str">
        <f aca="false">IF(W1276=1,"",IF(AND(Y1276=1,AA1276&lt;&gt;1),1,0))</f>
        <v/>
      </c>
      <c r="AD1276" s="33" t="str">
        <f aca="false">IF(AND(E1276&gt;0,W1276&lt;1,NOT(AND(C1277=C1276,W1277=W1276+1))),INDEX(DATAS,W1276+1),"")</f>
        <v/>
      </c>
      <c r="AE1276" s="33" t="str">
        <f aca="false">IF(AND(Y1276=1,W1276&lt;1),IF(AND(C1277=C1276,W1277=W1276+1),IF(Y1277=1,"",INDEX(DATAS,W1276+1)),INDEX(DATAS,W1276+1)),"")</f>
        <v/>
      </c>
    </row>
    <row r="1277" customFormat="false" ht="15" hidden="false" customHeight="false" outlineLevel="0" collapsed="false">
      <c r="A1277" s="33" t="n">
        <v>46309</v>
      </c>
      <c r="B1277" s="0" t="n">
        <v>4</v>
      </c>
      <c r="C1277" s="0" t="n">
        <v>5353</v>
      </c>
      <c r="D1277" s="0" t="n">
        <v>182</v>
      </c>
      <c r="E1277" s="0" t="n">
        <v>1</v>
      </c>
      <c r="F1277" s="27" t="s">
        <v>861</v>
      </c>
      <c r="G1277" s="0" t="n">
        <v>37.9</v>
      </c>
      <c r="H1277" s="0" t="n">
        <v>39</v>
      </c>
      <c r="I1277" s="27" t="s">
        <v>138</v>
      </c>
      <c r="J1277" s="0" t="n">
        <v>63</v>
      </c>
      <c r="K1277" s="0" t="n">
        <v>63</v>
      </c>
      <c r="L1277" s="0" t="n">
        <v>119</v>
      </c>
      <c r="M1277" s="0" t="n">
        <v>1036.52</v>
      </c>
      <c r="N1277" s="0" t="n">
        <v>49.27</v>
      </c>
      <c r="O1277" s="0" t="n">
        <v>37</v>
      </c>
      <c r="P1277" s="0" t="n">
        <v>4.1</v>
      </c>
      <c r="Q1277" s="0" t="n">
        <v>3.22</v>
      </c>
      <c r="R1277" s="0" t="n">
        <v>2989</v>
      </c>
      <c r="S1277" s="0" t="n">
        <v>6985</v>
      </c>
      <c r="T1277" s="0" t="n">
        <v>34.6</v>
      </c>
      <c r="U1277" s="0" t="n">
        <v>961</v>
      </c>
      <c r="V1277" s="0" t="n">
        <v>1</v>
      </c>
      <c r="W1277" s="27" t="n">
        <f aca="false">MATCH(A1277,DATAS,0)</f>
        <v>1</v>
      </c>
      <c r="X1277" s="27" t="n">
        <f aca="false">IF(AND(E1277&gt;0,OR(AND(B1277&gt;=1,B1277&lt;=6),B1277=10)),1,0)</f>
        <v>1</v>
      </c>
      <c r="Y1277" s="27" t="n">
        <f aca="false">IF(AND(E1277&gt;0,B1277=10),1,0)</f>
        <v>0</v>
      </c>
      <c r="Z1277" s="0" t="str">
        <f aca="false">IF(AND(C1276=C1277,W1276=W1277-1),X1276,"")</f>
        <v/>
      </c>
      <c r="AA1277" s="0" t="str">
        <f aca="false">IF(AND(C1276=C1277,W1276=W1277-1),Y1276,"")</f>
        <v/>
      </c>
      <c r="AB1277" s="0" t="str">
        <f aca="false">IF(W1277=1,"",IF(AND(X1277=1,Z1277&lt;&gt;1),1,0))</f>
        <v/>
      </c>
      <c r="AC1277" s="0" t="str">
        <f aca="false">IF(W1277=1,"",IF(AND(Y1277=1,AA1277&lt;&gt;1),1,0))</f>
        <v/>
      </c>
      <c r="AD1277" s="33" t="str">
        <f aca="false">IF(AND(E1277&gt;0,W1277&lt;1,NOT(AND(C1278=C1277,W1278=W1277+1))),INDEX(DATAS,W1277+1),"")</f>
        <v/>
      </c>
      <c r="AE1277" s="33" t="str">
        <f aca="false">IF(AND(Y1277=1,W1277&lt;1),IF(AND(C1278=C1277,W1278=W1277+1),IF(Y1278=1,"",INDEX(DATAS,W1277+1)),INDEX(DATAS,W1277+1)),"")</f>
        <v/>
      </c>
    </row>
    <row r="1278" customFormat="false" ht="15" hidden="false" customHeight="false" outlineLevel="0" collapsed="false">
      <c r="A1278" s="33" t="n">
        <v>46309</v>
      </c>
      <c r="B1278" s="0" t="n">
        <v>4</v>
      </c>
      <c r="C1278" s="0" t="n">
        <v>5354</v>
      </c>
      <c r="D1278" s="0" t="n">
        <v>241</v>
      </c>
      <c r="E1278" s="0" t="n">
        <v>1</v>
      </c>
      <c r="F1278" s="27" t="s">
        <v>861</v>
      </c>
      <c r="G1278" s="0" t="n">
        <v>49.5</v>
      </c>
      <c r="H1278" s="0" t="n">
        <v>46</v>
      </c>
      <c r="I1278" s="27" t="s">
        <v>138</v>
      </c>
      <c r="J1278" s="0" t="n">
        <v>90</v>
      </c>
      <c r="K1278" s="0" t="n">
        <v>66</v>
      </c>
      <c r="L1278" s="0" t="n">
        <v>151</v>
      </c>
      <c r="M1278" s="0" t="n">
        <v>279.48</v>
      </c>
      <c r="N1278" s="0" t="n">
        <v>65.64</v>
      </c>
      <c r="O1278" s="0" t="n">
        <v>30.43</v>
      </c>
      <c r="P1278" s="0" t="n">
        <v>4.27</v>
      </c>
      <c r="Q1278" s="0" t="n">
        <v>3.46</v>
      </c>
      <c r="R1278" s="0" t="n">
        <v>4448</v>
      </c>
      <c r="S1278" s="0" t="n">
        <v>9937</v>
      </c>
      <c r="T1278" s="0" t="n">
        <v>48.65</v>
      </c>
      <c r="U1278" s="0" t="n">
        <v>961</v>
      </c>
      <c r="V1278" s="0" t="n">
        <v>2</v>
      </c>
      <c r="W1278" s="27" t="n">
        <f aca="false">MATCH(A1278,DATAS,0)</f>
        <v>1</v>
      </c>
      <c r="X1278" s="27" t="n">
        <f aca="false">IF(AND(E1278&gt;0,OR(AND(B1278&gt;=1,B1278&lt;=6),B1278=10)),1,0)</f>
        <v>1</v>
      </c>
      <c r="Y1278" s="27" t="n">
        <f aca="false">IF(AND(E1278&gt;0,B1278=10),1,0)</f>
        <v>0</v>
      </c>
      <c r="Z1278" s="0" t="str">
        <f aca="false">IF(AND(C1277=C1278,W1277=W1278-1),X1277,"")</f>
        <v/>
      </c>
      <c r="AA1278" s="0" t="str">
        <f aca="false">IF(AND(C1277=C1278,W1277=W1278-1),Y1277,"")</f>
        <v/>
      </c>
      <c r="AB1278" s="0" t="str">
        <f aca="false">IF(W1278=1,"",IF(AND(X1278=1,Z1278&lt;&gt;1),1,0))</f>
        <v/>
      </c>
      <c r="AC1278" s="0" t="str">
        <f aca="false">IF(W1278=1,"",IF(AND(Y1278=1,AA1278&lt;&gt;1),1,0))</f>
        <v/>
      </c>
      <c r="AD1278" s="33" t="str">
        <f aca="false">IF(AND(E1278&gt;0,W1278&lt;1,NOT(AND(C1279=C1278,W1279=W1278+1))),INDEX(DATAS,W1278+1),"")</f>
        <v/>
      </c>
      <c r="AE1278" s="33" t="str">
        <f aca="false">IF(AND(Y1278=1,W1278&lt;1),IF(AND(C1279=C1278,W1279=W1278+1),IF(Y1279=1,"",INDEX(DATAS,W1278+1)),INDEX(DATAS,W1278+1)),"")</f>
        <v/>
      </c>
    </row>
    <row r="1279" customFormat="false" ht="15" hidden="false" customHeight="false" outlineLevel="0" collapsed="false">
      <c r="A1279" s="33" t="n">
        <v>46309</v>
      </c>
      <c r="B1279" s="0" t="n">
        <v>4</v>
      </c>
      <c r="C1279" s="0" t="n">
        <v>5355</v>
      </c>
      <c r="D1279" s="0" t="n">
        <v>240</v>
      </c>
      <c r="E1279" s="0" t="n">
        <v>1</v>
      </c>
      <c r="F1279" s="27" t="s">
        <v>861</v>
      </c>
      <c r="G1279" s="0" t="n">
        <v>73.9</v>
      </c>
      <c r="H1279" s="0" t="n">
        <v>75</v>
      </c>
      <c r="I1279" s="27" t="s">
        <v>138</v>
      </c>
      <c r="J1279" s="0" t="n">
        <v>170</v>
      </c>
      <c r="K1279" s="0" t="n">
        <v>65</v>
      </c>
      <c r="L1279" s="0" t="n">
        <v>70</v>
      </c>
      <c r="M1279" s="0" t="n">
        <v>1681.03</v>
      </c>
      <c r="N1279" s="0" t="n">
        <v>70.99</v>
      </c>
      <c r="O1279" s="0" t="n">
        <v>43.68</v>
      </c>
      <c r="P1279" s="0" t="n">
        <v>2.95</v>
      </c>
      <c r="Q1279" s="0" t="n">
        <v>3.25</v>
      </c>
      <c r="R1279" s="0" t="n">
        <v>5686</v>
      </c>
      <c r="S1279" s="0" t="n">
        <v>12656</v>
      </c>
      <c r="T1279" s="0" t="n">
        <v>63.25</v>
      </c>
      <c r="U1279" s="0" t="n">
        <v>961</v>
      </c>
      <c r="V1279" s="0" t="n">
        <v>3</v>
      </c>
      <c r="W1279" s="27" t="n">
        <f aca="false">MATCH(A1279,DATAS,0)</f>
        <v>1</v>
      </c>
      <c r="X1279" s="27" t="n">
        <f aca="false">IF(AND(E1279&gt;0,OR(AND(B1279&gt;=1,B1279&lt;=6),B1279=10)),1,0)</f>
        <v>1</v>
      </c>
      <c r="Y1279" s="27" t="n">
        <f aca="false">IF(AND(E1279&gt;0,B1279=10),1,0)</f>
        <v>0</v>
      </c>
      <c r="Z1279" s="0" t="str">
        <f aca="false">IF(AND(C1278=C1279,W1278=W1279-1),X1278,"")</f>
        <v/>
      </c>
      <c r="AA1279" s="0" t="str">
        <f aca="false">IF(AND(C1278=C1279,W1278=W1279-1),Y1278,"")</f>
        <v/>
      </c>
      <c r="AB1279" s="0" t="str">
        <f aca="false">IF(W1279=1,"",IF(AND(X1279=1,Z1279&lt;&gt;1),1,0))</f>
        <v/>
      </c>
      <c r="AC1279" s="0" t="str">
        <f aca="false">IF(W1279=1,"",IF(AND(Y1279=1,AA1279&lt;&gt;1),1,0))</f>
        <v/>
      </c>
      <c r="AD1279" s="33" t="str">
        <f aca="false">IF(AND(E1279&gt;0,W1279&lt;1,NOT(AND(C1280=C1279,W1280=W1279+1))),INDEX(DATAS,W1279+1),"")</f>
        <v/>
      </c>
      <c r="AE1279" s="33" t="str">
        <f aca="false">IF(AND(Y1279=1,W1279&lt;1),IF(AND(C1280=C1279,W1280=W1279+1),IF(Y1280=1,"",INDEX(DATAS,W1279+1)),INDEX(DATAS,W1279+1)),"")</f>
        <v/>
      </c>
    </row>
    <row r="1280" customFormat="false" ht="15" hidden="false" customHeight="false" outlineLevel="0" collapsed="false">
      <c r="A1280" s="33" t="n">
        <v>46309</v>
      </c>
      <c r="B1280" s="0" t="n">
        <v>5</v>
      </c>
      <c r="C1280" s="0" t="n">
        <v>5356</v>
      </c>
      <c r="D1280" s="0" t="n">
        <v>311</v>
      </c>
      <c r="E1280" s="0" t="n">
        <v>1</v>
      </c>
      <c r="F1280" s="27" t="s">
        <v>861</v>
      </c>
      <c r="G1280" s="0" t="n">
        <v>34.3</v>
      </c>
      <c r="H1280" s="0" t="n">
        <v>34</v>
      </c>
      <c r="I1280" s="27" t="s">
        <v>176</v>
      </c>
      <c r="J1280" s="0" t="n">
        <v>311</v>
      </c>
      <c r="K1280" s="0" t="n">
        <v>66</v>
      </c>
      <c r="M1280" s="0" t="n">
        <v>837.78</v>
      </c>
      <c r="N1280" s="0" t="n">
        <v>64.64</v>
      </c>
      <c r="O1280" s="0" t="n">
        <v>29.85</v>
      </c>
      <c r="P1280" s="0" t="n">
        <v>3.49</v>
      </c>
      <c r="Q1280" s="0" t="n">
        <v>3.27</v>
      </c>
      <c r="R1280" s="0" t="n">
        <v>4357</v>
      </c>
      <c r="S1280" s="0" t="n">
        <v>9028</v>
      </c>
      <c r="T1280" s="0" t="n">
        <v>44.5</v>
      </c>
      <c r="U1280" s="0" t="n">
        <v>961</v>
      </c>
      <c r="V1280" s="0" t="n">
        <v>8</v>
      </c>
      <c r="W1280" s="27" t="n">
        <f aca="false">MATCH(A1280,DATAS,0)</f>
        <v>1</v>
      </c>
      <c r="X1280" s="27" t="n">
        <f aca="false">IF(AND(E1280&gt;0,OR(AND(B1280&gt;=1,B1280&lt;=6),B1280=10)),1,0)</f>
        <v>1</v>
      </c>
      <c r="Y1280" s="27" t="n">
        <f aca="false">IF(AND(E1280&gt;0,B1280=10),1,0)</f>
        <v>0</v>
      </c>
      <c r="Z1280" s="0" t="str">
        <f aca="false">IF(AND(C1279=C1280,W1279=W1280-1),X1279,"")</f>
        <v/>
      </c>
      <c r="AA1280" s="0" t="str">
        <f aca="false">IF(AND(C1279=C1280,W1279=W1280-1),Y1279,"")</f>
        <v/>
      </c>
      <c r="AB1280" s="0" t="str">
        <f aca="false">IF(W1280=1,"",IF(AND(X1280=1,Z1280&lt;&gt;1),1,0))</f>
        <v/>
      </c>
      <c r="AC1280" s="0" t="str">
        <f aca="false">IF(W1280=1,"",IF(AND(Y1280=1,AA1280&lt;&gt;1),1,0))</f>
        <v/>
      </c>
      <c r="AD1280" s="33" t="str">
        <f aca="false">IF(AND(E1280&gt;0,W1280&lt;1,NOT(AND(C1281=C1280,W1281=W1280+1))),INDEX(DATAS,W1280+1),"")</f>
        <v/>
      </c>
      <c r="AE1280" s="33" t="str">
        <f aca="false">IF(AND(Y1280=1,W1280&lt;1),IF(AND(C1281=C1280,W1281=W1280+1),IF(Y1281=1,"",INDEX(DATAS,W1280+1)),INDEX(DATAS,W1280+1)),"")</f>
        <v/>
      </c>
    </row>
    <row r="1281" customFormat="false" ht="15" hidden="false" customHeight="false" outlineLevel="0" collapsed="false">
      <c r="A1281" s="33" t="n">
        <v>46309</v>
      </c>
      <c r="B1281" s="0" t="n">
        <v>4</v>
      </c>
      <c r="C1281" s="0" t="n">
        <v>5357</v>
      </c>
      <c r="D1281" s="0" t="n">
        <v>281</v>
      </c>
      <c r="E1281" s="0" t="n">
        <v>1</v>
      </c>
      <c r="F1281" s="27" t="s">
        <v>861</v>
      </c>
      <c r="G1281" s="0" t="n">
        <v>46.7</v>
      </c>
      <c r="H1281" s="0" t="n">
        <v>48</v>
      </c>
      <c r="I1281" s="27" t="s">
        <v>138</v>
      </c>
      <c r="J1281" s="0" t="n">
        <v>64</v>
      </c>
      <c r="K1281" s="0" t="n">
        <v>64</v>
      </c>
      <c r="L1281" s="0" t="n">
        <v>217</v>
      </c>
      <c r="M1281" s="0" t="n">
        <v>506</v>
      </c>
      <c r="N1281" s="0" t="n">
        <v>86.33</v>
      </c>
      <c r="O1281" s="0" t="n">
        <v>26.89</v>
      </c>
      <c r="P1281" s="0" t="n">
        <v>4.49</v>
      </c>
      <c r="Q1281" s="0" t="n">
        <v>3.34</v>
      </c>
      <c r="R1281" s="0" t="n">
        <v>4231</v>
      </c>
      <c r="S1281" s="0" t="n">
        <v>9445</v>
      </c>
      <c r="T1281" s="0" t="n">
        <v>45.75</v>
      </c>
      <c r="U1281" s="0" t="n">
        <v>961</v>
      </c>
      <c r="V1281" s="0" t="n">
        <v>1</v>
      </c>
      <c r="W1281" s="27" t="n">
        <f aca="false">MATCH(A1281,DATAS,0)</f>
        <v>1</v>
      </c>
      <c r="X1281" s="27" t="n">
        <f aca="false">IF(AND(E1281&gt;0,OR(AND(B1281&gt;=1,B1281&lt;=6),B1281=10)),1,0)</f>
        <v>1</v>
      </c>
      <c r="Y1281" s="27" t="n">
        <f aca="false">IF(AND(E1281&gt;0,B1281=10),1,0)</f>
        <v>0</v>
      </c>
      <c r="Z1281" s="0" t="str">
        <f aca="false">IF(AND(C1280=C1281,W1280=W1281-1),X1280,"")</f>
        <v/>
      </c>
      <c r="AA1281" s="0" t="str">
        <f aca="false">IF(AND(C1280=C1281,W1280=W1281-1),Y1280,"")</f>
        <v/>
      </c>
      <c r="AB1281" s="0" t="str">
        <f aca="false">IF(W1281=1,"",IF(AND(X1281=1,Z1281&lt;&gt;1),1,0))</f>
        <v/>
      </c>
      <c r="AC1281" s="0" t="str">
        <f aca="false">IF(W1281=1,"",IF(AND(Y1281=1,AA1281&lt;&gt;1),1,0))</f>
        <v/>
      </c>
      <c r="AD1281" s="33" t="str">
        <f aca="false">IF(AND(E1281&gt;0,W1281&lt;1,NOT(AND(C1282=C1281,W1282=W1281+1))),INDEX(DATAS,W1281+1),"")</f>
        <v/>
      </c>
      <c r="AE1281" s="33" t="str">
        <f aca="false">IF(AND(Y1281=1,W1281&lt;1),IF(AND(C1282=C1281,W1282=W1281+1),IF(Y1282=1,"",INDEX(DATAS,W1281+1)),INDEX(DATAS,W1281+1)),"")</f>
        <v/>
      </c>
    </row>
    <row r="1282" customFormat="false" ht="15" hidden="false" customHeight="false" outlineLevel="0" collapsed="false">
      <c r="A1282" s="33" t="n">
        <v>46309</v>
      </c>
      <c r="B1282" s="0" t="n">
        <v>4</v>
      </c>
      <c r="C1282" s="0" t="n">
        <v>5359</v>
      </c>
      <c r="D1282" s="0" t="n">
        <v>256</v>
      </c>
      <c r="E1282" s="0" t="n">
        <v>1</v>
      </c>
      <c r="F1282" s="27" t="s">
        <v>862</v>
      </c>
      <c r="G1282" s="0" t="n">
        <v>42.2</v>
      </c>
      <c r="H1282" s="0" t="n">
        <v>41</v>
      </c>
      <c r="I1282" s="27" t="s">
        <v>138</v>
      </c>
      <c r="J1282" s="0" t="n">
        <v>67</v>
      </c>
      <c r="K1282" s="0" t="n">
        <v>67</v>
      </c>
      <c r="L1282" s="0" t="n">
        <v>189</v>
      </c>
      <c r="M1282" s="0" t="n">
        <v>1057.55</v>
      </c>
      <c r="N1282" s="0" t="n">
        <v>44.97</v>
      </c>
      <c r="O1282" s="0" t="n">
        <v>34.01</v>
      </c>
      <c r="P1282" s="0" t="n">
        <v>3.34</v>
      </c>
      <c r="Q1282" s="0" t="n">
        <v>3.52</v>
      </c>
      <c r="R1282" s="0" t="n">
        <v>4896</v>
      </c>
      <c r="S1282" s="0" t="n">
        <v>10917</v>
      </c>
      <c r="T1282" s="0" t="n">
        <v>59.3</v>
      </c>
      <c r="U1282" s="0" t="n">
        <v>960</v>
      </c>
      <c r="V1282" s="0" t="n">
        <v>1</v>
      </c>
      <c r="W1282" s="27" t="n">
        <f aca="false">MATCH(A1282,DATAS,0)</f>
        <v>1</v>
      </c>
      <c r="X1282" s="27" t="n">
        <f aca="false">IF(AND(E1282&gt;0,OR(AND(B1282&gt;=1,B1282&lt;=6),B1282=10)),1,0)</f>
        <v>1</v>
      </c>
      <c r="Y1282" s="27" t="n">
        <f aca="false">IF(AND(E1282&gt;0,B1282=10),1,0)</f>
        <v>0</v>
      </c>
      <c r="Z1282" s="0" t="str">
        <f aca="false">IF(AND(C1281=C1282,W1281=W1282-1),X1281,"")</f>
        <v/>
      </c>
      <c r="AA1282" s="0" t="str">
        <f aca="false">IF(AND(C1281=C1282,W1281=W1282-1),Y1281,"")</f>
        <v/>
      </c>
      <c r="AB1282" s="0" t="str">
        <f aca="false">IF(W1282=1,"",IF(AND(X1282=1,Z1282&lt;&gt;1),1,0))</f>
        <v/>
      </c>
      <c r="AC1282" s="0" t="str">
        <f aca="false">IF(W1282=1,"",IF(AND(Y1282=1,AA1282&lt;&gt;1),1,0))</f>
        <v/>
      </c>
      <c r="AD1282" s="33" t="str">
        <f aca="false">IF(AND(E1282&gt;0,W1282&lt;1,NOT(AND(C1283=C1282,W1283=W1282+1))),INDEX(DATAS,W1282+1),"")</f>
        <v/>
      </c>
      <c r="AE1282" s="33" t="str">
        <f aca="false">IF(AND(Y1282=1,W1282&lt;1),IF(AND(C1283=C1282,W1283=W1282+1),IF(Y1283=1,"",INDEX(DATAS,W1282+1)),INDEX(DATAS,W1282+1)),"")</f>
        <v/>
      </c>
    </row>
    <row r="1283" customFormat="false" ht="15" hidden="false" customHeight="false" outlineLevel="0" collapsed="false">
      <c r="A1283" s="33" t="n">
        <v>46309</v>
      </c>
      <c r="B1283" s="0" t="n">
        <v>4</v>
      </c>
      <c r="C1283" s="0" t="n">
        <v>5360</v>
      </c>
      <c r="D1283" s="0" t="n">
        <v>343</v>
      </c>
      <c r="E1283" s="0" t="n">
        <v>1</v>
      </c>
      <c r="F1283" s="27" t="s">
        <v>863</v>
      </c>
      <c r="G1283" s="0" t="n">
        <v>37.3</v>
      </c>
      <c r="H1283" s="0" t="n">
        <v>38</v>
      </c>
      <c r="I1283" s="27" t="s">
        <v>176</v>
      </c>
      <c r="J1283" s="0" t="n">
        <v>343</v>
      </c>
      <c r="K1283" s="0" t="n">
        <v>77</v>
      </c>
      <c r="M1283" s="0" t="n">
        <v>651.86</v>
      </c>
      <c r="N1283" s="0" t="n">
        <v>32.55</v>
      </c>
      <c r="O1283" s="0" t="n">
        <v>35.75</v>
      </c>
      <c r="P1283" s="0" t="n">
        <v>3.52</v>
      </c>
      <c r="Q1283" s="0" t="n">
        <v>4.25</v>
      </c>
      <c r="R1283" s="0" t="n">
        <v>3706</v>
      </c>
      <c r="S1283" s="0" t="n">
        <v>7943</v>
      </c>
      <c r="T1283" s="0" t="n">
        <v>40.1</v>
      </c>
      <c r="U1283" s="0" t="n">
        <v>959</v>
      </c>
      <c r="V1283" s="0" t="n">
        <v>7</v>
      </c>
      <c r="W1283" s="27" t="n">
        <f aca="false">MATCH(A1283,DATAS,0)</f>
        <v>1</v>
      </c>
      <c r="X1283" s="27" t="n">
        <f aca="false">IF(AND(E1283&gt;0,OR(AND(B1283&gt;=1,B1283&lt;=6),B1283=10)),1,0)</f>
        <v>1</v>
      </c>
      <c r="Y1283" s="27" t="n">
        <f aca="false">IF(AND(E1283&gt;0,B1283=10),1,0)</f>
        <v>0</v>
      </c>
      <c r="Z1283" s="0" t="str">
        <f aca="false">IF(AND(C1282=C1283,W1282=W1283-1),X1282,"")</f>
        <v/>
      </c>
      <c r="AA1283" s="0" t="str">
        <f aca="false">IF(AND(C1282=C1283,W1282=W1283-1),Y1282,"")</f>
        <v/>
      </c>
      <c r="AB1283" s="0" t="str">
        <f aca="false">IF(W1283=1,"",IF(AND(X1283=1,Z1283&lt;&gt;1),1,0))</f>
        <v/>
      </c>
      <c r="AC1283" s="0" t="str">
        <f aca="false">IF(W1283=1,"",IF(AND(Y1283=1,AA1283&lt;&gt;1),1,0))</f>
        <v/>
      </c>
      <c r="AD1283" s="33" t="str">
        <f aca="false">IF(AND(E1283&gt;0,W1283&lt;1,NOT(AND(C1284=C1283,W1284=W1283+1))),INDEX(DATAS,W1283+1),"")</f>
        <v/>
      </c>
      <c r="AE1283" s="33" t="str">
        <f aca="false">IF(AND(Y1283=1,W1283&lt;1),IF(AND(C1284=C1283,W1284=W1283+1),IF(Y1284=1,"",INDEX(DATAS,W1283+1)),INDEX(DATAS,W1283+1)),"")</f>
        <v/>
      </c>
    </row>
    <row r="1284" customFormat="false" ht="15" hidden="false" customHeight="false" outlineLevel="0" collapsed="false">
      <c r="A1284" s="33" t="n">
        <v>46309</v>
      </c>
      <c r="B1284" s="0" t="n">
        <v>6</v>
      </c>
      <c r="C1284" s="0" t="n">
        <v>5361</v>
      </c>
      <c r="D1284" s="0" t="n">
        <v>370</v>
      </c>
      <c r="E1284" s="0" t="n">
        <v>1</v>
      </c>
      <c r="F1284" s="27" t="s">
        <v>863</v>
      </c>
      <c r="G1284" s="0" t="n">
        <v>32</v>
      </c>
      <c r="H1284" s="0" t="n">
        <v>29</v>
      </c>
      <c r="I1284" s="27" t="s">
        <v>151</v>
      </c>
      <c r="J1284" s="0" t="n">
        <v>370</v>
      </c>
      <c r="K1284" s="0" t="n">
        <v>70</v>
      </c>
      <c r="M1284" s="0" t="n">
        <v>1572.99</v>
      </c>
      <c r="N1284" s="0" t="n">
        <v>27.39</v>
      </c>
      <c r="O1284" s="0" t="n">
        <v>51.99</v>
      </c>
      <c r="P1284" s="0" t="n">
        <v>5.07</v>
      </c>
      <c r="Q1284" s="0" t="n">
        <v>3.77</v>
      </c>
      <c r="R1284" s="0" t="n">
        <v>2626</v>
      </c>
      <c r="S1284" s="0" t="n">
        <v>6100</v>
      </c>
      <c r="T1284" s="0" t="n">
        <v>30</v>
      </c>
      <c r="U1284" s="0" t="n">
        <v>959</v>
      </c>
      <c r="V1284" s="0" t="n">
        <v>6</v>
      </c>
      <c r="W1284" s="27" t="n">
        <f aca="false">MATCH(A1284,DATAS,0)</f>
        <v>1</v>
      </c>
      <c r="X1284" s="27" t="n">
        <f aca="false">IF(AND(E1284&gt;0,OR(AND(B1284&gt;=1,B1284&lt;=6),B1284=10)),1,0)</f>
        <v>1</v>
      </c>
      <c r="Y1284" s="27" t="n">
        <f aca="false">IF(AND(E1284&gt;0,B1284=10),1,0)</f>
        <v>0</v>
      </c>
      <c r="Z1284" s="0" t="str">
        <f aca="false">IF(AND(C1283=C1284,W1283=W1284-1),X1283,"")</f>
        <v/>
      </c>
      <c r="AA1284" s="0" t="str">
        <f aca="false">IF(AND(C1283=C1284,W1283=W1284-1),Y1283,"")</f>
        <v/>
      </c>
      <c r="AB1284" s="0" t="str">
        <f aca="false">IF(W1284=1,"",IF(AND(X1284=1,Z1284&lt;&gt;1),1,0))</f>
        <v/>
      </c>
      <c r="AC1284" s="0" t="str">
        <f aca="false">IF(W1284=1,"",IF(AND(Y1284=1,AA1284&lt;&gt;1),1,0))</f>
        <v/>
      </c>
      <c r="AD1284" s="33" t="str">
        <f aca="false">IF(AND(E1284&gt;0,W1284&lt;1,NOT(AND(C1285=C1284,W1285=W1284+1))),INDEX(DATAS,W1284+1),"")</f>
        <v/>
      </c>
      <c r="AE1284" s="33" t="str">
        <f aca="false">IF(AND(Y1284=1,W1284&lt;1),IF(AND(C1285=C1284,W1285=W1284+1),IF(Y1285=1,"",INDEX(DATAS,W1284+1)),INDEX(DATAS,W1284+1)),"")</f>
        <v/>
      </c>
    </row>
    <row r="1285" customFormat="false" ht="15" hidden="false" customHeight="false" outlineLevel="0" collapsed="false">
      <c r="A1285" s="33" t="n">
        <v>46309</v>
      </c>
      <c r="B1285" s="0" t="n">
        <v>4</v>
      </c>
      <c r="C1285" s="0" t="n">
        <v>5362</v>
      </c>
      <c r="D1285" s="0" t="n">
        <v>283</v>
      </c>
      <c r="E1285" s="0" t="n">
        <v>1</v>
      </c>
      <c r="F1285" s="27" t="s">
        <v>863</v>
      </c>
      <c r="G1285" s="0" t="n">
        <v>44.2</v>
      </c>
      <c r="H1285" s="0" t="n">
        <v>44</v>
      </c>
      <c r="I1285" s="27" t="s">
        <v>138</v>
      </c>
      <c r="J1285" s="0" t="n">
        <v>199</v>
      </c>
      <c r="K1285" s="0" t="n">
        <v>66</v>
      </c>
      <c r="L1285" s="0" t="n">
        <v>84</v>
      </c>
      <c r="M1285" s="0" t="n">
        <v>274.94</v>
      </c>
      <c r="N1285" s="0" t="n">
        <v>65.42</v>
      </c>
      <c r="O1285" s="0" t="n">
        <v>40.84</v>
      </c>
      <c r="P1285" s="0" t="n">
        <v>3.92</v>
      </c>
      <c r="Q1285" s="0" t="n">
        <v>3.91</v>
      </c>
      <c r="R1285" s="0" t="n">
        <v>4286</v>
      </c>
      <c r="S1285" s="0" t="n">
        <v>9451</v>
      </c>
      <c r="T1285" s="0" t="n">
        <v>45.35</v>
      </c>
      <c r="U1285" s="0" t="n">
        <v>959</v>
      </c>
      <c r="V1285" s="0" t="n">
        <v>4</v>
      </c>
      <c r="W1285" s="27" t="n">
        <f aca="false">MATCH(A1285,DATAS,0)</f>
        <v>1</v>
      </c>
      <c r="X1285" s="27" t="n">
        <f aca="false">IF(AND(E1285&gt;0,OR(AND(B1285&gt;=1,B1285&lt;=6),B1285=10)),1,0)</f>
        <v>1</v>
      </c>
      <c r="Y1285" s="27" t="n">
        <f aca="false">IF(AND(E1285&gt;0,B1285=10),1,0)</f>
        <v>0</v>
      </c>
      <c r="Z1285" s="0" t="str">
        <f aca="false">IF(AND(C1284=C1285,W1284=W1285-1),X1284,"")</f>
        <v/>
      </c>
      <c r="AA1285" s="0" t="str">
        <f aca="false">IF(AND(C1284=C1285,W1284=W1285-1),Y1284,"")</f>
        <v/>
      </c>
      <c r="AB1285" s="0" t="str">
        <f aca="false">IF(W1285=1,"",IF(AND(X1285=1,Z1285&lt;&gt;1),1,0))</f>
        <v/>
      </c>
      <c r="AC1285" s="0" t="str">
        <f aca="false">IF(W1285=1,"",IF(AND(Y1285=1,AA1285&lt;&gt;1),1,0))</f>
        <v/>
      </c>
      <c r="AD1285" s="33" t="str">
        <f aca="false">IF(AND(E1285&gt;0,W1285&lt;1,NOT(AND(C1286=C1285,W1286=W1285+1))),INDEX(DATAS,W1285+1),"")</f>
        <v/>
      </c>
      <c r="AE1285" s="33" t="str">
        <f aca="false">IF(AND(Y1285=1,W1285&lt;1),IF(AND(C1286=C1285,W1286=W1285+1),IF(Y1286=1,"",INDEX(DATAS,W1285+1)),INDEX(DATAS,W1285+1)),"")</f>
        <v/>
      </c>
    </row>
    <row r="1286" customFormat="false" ht="15" hidden="false" customHeight="false" outlineLevel="0" collapsed="false">
      <c r="A1286" s="33" t="n">
        <v>46309</v>
      </c>
      <c r="B1286" s="0" t="n">
        <v>4</v>
      </c>
      <c r="C1286" s="0" t="n">
        <v>5365</v>
      </c>
      <c r="D1286" s="0" t="n">
        <v>309</v>
      </c>
      <c r="E1286" s="0" t="n">
        <v>1</v>
      </c>
      <c r="F1286" s="27" t="s">
        <v>864</v>
      </c>
      <c r="G1286" s="0" t="n">
        <v>61.9</v>
      </c>
      <c r="H1286" s="0" t="n">
        <v>57</v>
      </c>
      <c r="I1286" s="27" t="s">
        <v>168</v>
      </c>
      <c r="J1286" s="0" t="n">
        <v>309</v>
      </c>
      <c r="K1286" s="0" t="n">
        <v>64</v>
      </c>
      <c r="M1286" s="0" t="n">
        <v>1661.85</v>
      </c>
      <c r="N1286" s="0" t="n">
        <v>68.4</v>
      </c>
      <c r="O1286" s="0" t="n">
        <v>47.19</v>
      </c>
      <c r="P1286" s="0" t="n">
        <v>3.25</v>
      </c>
      <c r="Q1286" s="0" t="n">
        <v>3.58</v>
      </c>
      <c r="R1286" s="0" t="n">
        <v>4754</v>
      </c>
      <c r="S1286" s="0" t="n">
        <v>10751</v>
      </c>
      <c r="T1286" s="0" t="n">
        <v>49.9</v>
      </c>
      <c r="U1286" s="0" t="n">
        <v>957</v>
      </c>
      <c r="V1286" s="0" t="n">
        <v>10</v>
      </c>
      <c r="W1286" s="27" t="n">
        <f aca="false">MATCH(A1286,DATAS,0)</f>
        <v>1</v>
      </c>
      <c r="X1286" s="27" t="n">
        <f aca="false">IF(AND(E1286&gt;0,OR(AND(B1286&gt;=1,B1286&lt;=6),B1286=10)),1,0)</f>
        <v>1</v>
      </c>
      <c r="Y1286" s="27" t="n">
        <f aca="false">IF(AND(E1286&gt;0,B1286=10),1,0)</f>
        <v>0</v>
      </c>
      <c r="Z1286" s="0" t="str">
        <f aca="false">IF(AND(C1285=C1286,W1285=W1286-1),X1285,"")</f>
        <v/>
      </c>
      <c r="AA1286" s="0" t="str">
        <f aca="false">IF(AND(C1285=C1286,W1285=W1286-1),Y1285,"")</f>
        <v/>
      </c>
      <c r="AB1286" s="0" t="str">
        <f aca="false">IF(W1286=1,"",IF(AND(X1286=1,Z1286&lt;&gt;1),1,0))</f>
        <v/>
      </c>
      <c r="AC1286" s="0" t="str">
        <f aca="false">IF(W1286=1,"",IF(AND(Y1286=1,AA1286&lt;&gt;1),1,0))</f>
        <v/>
      </c>
      <c r="AD1286" s="33" t="str">
        <f aca="false">IF(AND(E1286&gt;0,W1286&lt;1,NOT(AND(C1287=C1286,W1287=W1286+1))),INDEX(DATAS,W1286+1),"")</f>
        <v/>
      </c>
      <c r="AE1286" s="33" t="str">
        <f aca="false">IF(AND(Y1286=1,W1286&lt;1),IF(AND(C1287=C1286,W1287=W1286+1),IF(Y1287=1,"",INDEX(DATAS,W1286+1)),INDEX(DATAS,W1286+1)),"")</f>
        <v/>
      </c>
    </row>
    <row r="1287" customFormat="false" ht="15" hidden="false" customHeight="false" outlineLevel="0" collapsed="false">
      <c r="A1287" s="33" t="n">
        <v>46309</v>
      </c>
      <c r="B1287" s="0" t="n">
        <v>4</v>
      </c>
      <c r="C1287" s="0" t="n">
        <v>5366</v>
      </c>
      <c r="D1287" s="0" t="n">
        <v>305</v>
      </c>
      <c r="E1287" s="0" t="n">
        <v>1</v>
      </c>
      <c r="F1287" s="27" t="s">
        <v>864</v>
      </c>
      <c r="G1287" s="0" t="n">
        <v>42.3</v>
      </c>
      <c r="H1287" s="0" t="n">
        <v>42</v>
      </c>
      <c r="I1287" s="27" t="s">
        <v>138</v>
      </c>
      <c r="J1287" s="0" t="n">
        <v>151</v>
      </c>
      <c r="K1287" s="0" t="n">
        <v>60</v>
      </c>
      <c r="L1287" s="0" t="n">
        <v>154</v>
      </c>
      <c r="M1287" s="0" t="n">
        <v>772.25</v>
      </c>
      <c r="N1287" s="0" t="n">
        <v>63.04</v>
      </c>
      <c r="O1287" s="0" t="n">
        <v>34.08</v>
      </c>
      <c r="P1287" s="0" t="n">
        <v>4.21</v>
      </c>
      <c r="Q1287" s="0" t="n">
        <v>3.85</v>
      </c>
      <c r="R1287" s="0" t="n">
        <v>4981</v>
      </c>
      <c r="S1287" s="0" t="n">
        <v>9906</v>
      </c>
      <c r="T1287" s="0" t="n">
        <v>52.3</v>
      </c>
      <c r="U1287" s="0" t="n">
        <v>957</v>
      </c>
      <c r="V1287" s="0" t="n">
        <v>4</v>
      </c>
      <c r="W1287" s="27" t="n">
        <f aca="false">MATCH(A1287,DATAS,0)</f>
        <v>1</v>
      </c>
      <c r="X1287" s="27" t="n">
        <f aca="false">IF(AND(E1287&gt;0,OR(AND(B1287&gt;=1,B1287&lt;=6),B1287=10)),1,0)</f>
        <v>1</v>
      </c>
      <c r="Y1287" s="27" t="n">
        <f aca="false">IF(AND(E1287&gt;0,B1287=10),1,0)</f>
        <v>0</v>
      </c>
      <c r="Z1287" s="0" t="str">
        <f aca="false">IF(AND(C1286=C1287,W1286=W1287-1),X1286,"")</f>
        <v/>
      </c>
      <c r="AA1287" s="0" t="str">
        <f aca="false">IF(AND(C1286=C1287,W1286=W1287-1),Y1286,"")</f>
        <v/>
      </c>
      <c r="AB1287" s="0" t="str">
        <f aca="false">IF(W1287=1,"",IF(AND(X1287=1,Z1287&lt;&gt;1),1,0))</f>
        <v/>
      </c>
      <c r="AC1287" s="0" t="str">
        <f aca="false">IF(W1287=1,"",IF(AND(Y1287=1,AA1287&lt;&gt;1),1,0))</f>
        <v/>
      </c>
      <c r="AD1287" s="33" t="str">
        <f aca="false">IF(AND(E1287&gt;0,W1287&lt;1,NOT(AND(C1288=C1287,W1288=W1287+1))),INDEX(DATAS,W1287+1),"")</f>
        <v/>
      </c>
      <c r="AE1287" s="33" t="str">
        <f aca="false">IF(AND(Y1287=1,W1287&lt;1),IF(AND(C1288=C1287,W1288=W1287+1),IF(Y1288=1,"",INDEX(DATAS,W1287+1)),INDEX(DATAS,W1287+1)),"")</f>
        <v/>
      </c>
    </row>
    <row r="1288" customFormat="false" ht="15" hidden="false" customHeight="false" outlineLevel="0" collapsed="false">
      <c r="A1288" s="33" t="n">
        <v>46309</v>
      </c>
      <c r="B1288" s="0" t="n">
        <v>4</v>
      </c>
      <c r="C1288" s="0" t="n">
        <v>5367</v>
      </c>
      <c r="D1288" s="0" t="n">
        <v>303</v>
      </c>
      <c r="E1288" s="0" t="n">
        <v>1</v>
      </c>
      <c r="F1288" s="27" t="s">
        <v>864</v>
      </c>
      <c r="G1288" s="0" t="n">
        <v>50.1</v>
      </c>
      <c r="H1288" s="0" t="n">
        <v>48</v>
      </c>
      <c r="I1288" s="27" t="s">
        <v>168</v>
      </c>
      <c r="J1288" s="0" t="n">
        <v>303</v>
      </c>
      <c r="K1288" s="0" t="n">
        <v>65</v>
      </c>
      <c r="M1288" s="0" t="n">
        <v>1250.69</v>
      </c>
      <c r="N1288" s="0" t="n">
        <v>58.85</v>
      </c>
      <c r="O1288" s="0" t="n">
        <v>53.74</v>
      </c>
      <c r="P1288" s="0" t="n">
        <v>3.37</v>
      </c>
      <c r="Q1288" s="0" t="n">
        <v>3.81</v>
      </c>
      <c r="R1288" s="0" t="n">
        <v>4322</v>
      </c>
      <c r="S1288" s="0" t="n">
        <v>9740</v>
      </c>
      <c r="T1288" s="0" t="n">
        <v>46.45</v>
      </c>
      <c r="U1288" s="0" t="n">
        <v>957</v>
      </c>
      <c r="V1288" s="0" t="n">
        <v>10</v>
      </c>
      <c r="W1288" s="27" t="n">
        <f aca="false">MATCH(A1288,DATAS,0)</f>
        <v>1</v>
      </c>
      <c r="X1288" s="27" t="n">
        <f aca="false">IF(AND(E1288&gt;0,OR(AND(B1288&gt;=1,B1288&lt;=6),B1288=10)),1,0)</f>
        <v>1</v>
      </c>
      <c r="Y1288" s="27" t="n">
        <f aca="false">IF(AND(E1288&gt;0,B1288=10),1,0)</f>
        <v>0</v>
      </c>
      <c r="Z1288" s="0" t="str">
        <f aca="false">IF(AND(C1287=C1288,W1287=W1288-1),X1287,"")</f>
        <v/>
      </c>
      <c r="AA1288" s="0" t="str">
        <f aca="false">IF(AND(C1287=C1288,W1287=W1288-1),Y1287,"")</f>
        <v/>
      </c>
      <c r="AB1288" s="0" t="str">
        <f aca="false">IF(W1288=1,"",IF(AND(X1288=1,Z1288&lt;&gt;1),1,0))</f>
        <v/>
      </c>
      <c r="AC1288" s="0" t="str">
        <f aca="false">IF(W1288=1,"",IF(AND(Y1288=1,AA1288&lt;&gt;1),1,0))</f>
        <v/>
      </c>
      <c r="AD1288" s="33" t="str">
        <f aca="false">IF(AND(E1288&gt;0,W1288&lt;1,NOT(AND(C1289=C1288,W1289=W1288+1))),INDEX(DATAS,W1288+1),"")</f>
        <v/>
      </c>
      <c r="AE1288" s="33" t="str">
        <f aca="false">IF(AND(Y1288=1,W1288&lt;1),IF(AND(C1289=C1288,W1289=W1288+1),IF(Y1289=1,"",INDEX(DATAS,W1288+1)),INDEX(DATAS,W1288+1)),"")</f>
        <v/>
      </c>
    </row>
    <row r="1289" customFormat="false" ht="15" hidden="false" customHeight="false" outlineLevel="0" collapsed="false">
      <c r="A1289" s="33" t="n">
        <v>46309</v>
      </c>
      <c r="B1289" s="0" t="n">
        <v>4</v>
      </c>
      <c r="C1289" s="0" t="n">
        <v>5368</v>
      </c>
      <c r="D1289" s="0" t="n">
        <v>336</v>
      </c>
      <c r="E1289" s="0" t="n">
        <v>1</v>
      </c>
      <c r="F1289" s="27" t="s">
        <v>865</v>
      </c>
      <c r="G1289" s="0" t="n">
        <v>44.9</v>
      </c>
      <c r="H1289" s="0" t="n">
        <v>47</v>
      </c>
      <c r="I1289" s="27" t="s">
        <v>138</v>
      </c>
      <c r="J1289" s="0" t="n">
        <v>210</v>
      </c>
      <c r="K1289" s="0" t="n">
        <v>77</v>
      </c>
      <c r="L1289" s="0" t="n">
        <v>126</v>
      </c>
      <c r="M1289" s="0" t="n">
        <v>829.7</v>
      </c>
      <c r="N1289" s="0" t="n">
        <v>22.72</v>
      </c>
      <c r="O1289" s="0" t="n">
        <v>23.91</v>
      </c>
      <c r="P1289" s="0" t="n">
        <v>2.64</v>
      </c>
      <c r="Q1289" s="0" t="n">
        <v>3.8</v>
      </c>
      <c r="R1289" s="0" t="n">
        <v>4660</v>
      </c>
      <c r="S1289" s="0" t="n">
        <v>10446</v>
      </c>
      <c r="T1289" s="0" t="n">
        <v>50.65</v>
      </c>
      <c r="U1289" s="0" t="n">
        <v>955</v>
      </c>
      <c r="V1289" s="0" t="n">
        <v>6</v>
      </c>
      <c r="W1289" s="27" t="n">
        <f aca="false">MATCH(A1289,DATAS,0)</f>
        <v>1</v>
      </c>
      <c r="X1289" s="27" t="n">
        <f aca="false">IF(AND(E1289&gt;0,OR(AND(B1289&gt;=1,B1289&lt;=6),B1289=10)),1,0)</f>
        <v>1</v>
      </c>
      <c r="Y1289" s="27" t="n">
        <f aca="false">IF(AND(E1289&gt;0,B1289=10),1,0)</f>
        <v>0</v>
      </c>
      <c r="Z1289" s="0" t="str">
        <f aca="false">IF(AND(C1288=C1289,W1288=W1289-1),X1288,"")</f>
        <v/>
      </c>
      <c r="AA1289" s="0" t="str">
        <f aca="false">IF(AND(C1288=C1289,W1288=W1289-1),Y1288,"")</f>
        <v/>
      </c>
      <c r="AB1289" s="0" t="str">
        <f aca="false">IF(W1289=1,"",IF(AND(X1289=1,Z1289&lt;&gt;1),1,0))</f>
        <v/>
      </c>
      <c r="AC1289" s="0" t="str">
        <f aca="false">IF(W1289=1,"",IF(AND(Y1289=1,AA1289&lt;&gt;1),1,0))</f>
        <v/>
      </c>
      <c r="AD1289" s="33" t="str">
        <f aca="false">IF(AND(E1289&gt;0,W1289&lt;1,NOT(AND(C1290=C1289,W1290=W1289+1))),INDEX(DATAS,W1289+1),"")</f>
        <v/>
      </c>
      <c r="AE1289" s="33" t="str">
        <f aca="false">IF(AND(Y1289=1,W1289&lt;1),IF(AND(C1290=C1289,W1290=W1289+1),IF(Y1290=1,"",INDEX(DATAS,W1289+1)),INDEX(DATAS,W1289+1)),"")</f>
        <v/>
      </c>
    </row>
    <row r="1290" customFormat="false" ht="15" hidden="false" customHeight="false" outlineLevel="0" collapsed="false">
      <c r="A1290" s="33" t="n">
        <v>46309</v>
      </c>
      <c r="B1290" s="0" t="n">
        <v>4</v>
      </c>
      <c r="C1290" s="0" t="n">
        <v>5369</v>
      </c>
      <c r="D1290" s="0" t="n">
        <v>329</v>
      </c>
      <c r="E1290" s="0" t="n">
        <v>1</v>
      </c>
      <c r="F1290" s="27" t="s">
        <v>866</v>
      </c>
      <c r="G1290" s="0" t="n">
        <v>3.5</v>
      </c>
      <c r="H1290" s="0" t="n">
        <v>28</v>
      </c>
      <c r="I1290" s="27" t="s">
        <v>138</v>
      </c>
      <c r="J1290" s="0" t="n">
        <v>161</v>
      </c>
      <c r="K1290" s="0" t="n">
        <v>63</v>
      </c>
      <c r="L1290" s="0" t="n">
        <v>168</v>
      </c>
      <c r="M1290" s="0" t="n">
        <v>1136.93</v>
      </c>
      <c r="N1290" s="0" t="n">
        <v>54.96</v>
      </c>
      <c r="O1290" s="0" t="n">
        <v>43.91</v>
      </c>
      <c r="P1290" s="0" t="n">
        <v>3.15</v>
      </c>
      <c r="Q1290" s="0" t="n">
        <v>3.58</v>
      </c>
      <c r="R1290" s="0" t="n">
        <v>5261</v>
      </c>
      <c r="S1290" s="0" t="n">
        <v>11457</v>
      </c>
      <c r="T1290" s="0" t="n">
        <v>60.4</v>
      </c>
      <c r="U1290" s="0" t="n">
        <v>954</v>
      </c>
      <c r="V1290" s="0" t="n">
        <v>5</v>
      </c>
      <c r="W1290" s="27" t="n">
        <f aca="false">MATCH(A1290,DATAS,0)</f>
        <v>1</v>
      </c>
      <c r="X1290" s="27" t="n">
        <f aca="false">IF(AND(E1290&gt;0,OR(AND(B1290&gt;=1,B1290&lt;=6),B1290=10)),1,0)</f>
        <v>1</v>
      </c>
      <c r="Y1290" s="27" t="n">
        <f aca="false">IF(AND(E1290&gt;0,B1290=10),1,0)</f>
        <v>0</v>
      </c>
      <c r="Z1290" s="0" t="str">
        <f aca="false">IF(AND(C1289=C1290,W1289=W1290-1),X1289,"")</f>
        <v/>
      </c>
      <c r="AA1290" s="0" t="str">
        <f aca="false">IF(AND(C1289=C1290,W1289=W1290-1),Y1289,"")</f>
        <v/>
      </c>
      <c r="AB1290" s="0" t="str">
        <f aca="false">IF(W1290=1,"",IF(AND(X1290=1,Z1290&lt;&gt;1),1,0))</f>
        <v/>
      </c>
      <c r="AC1290" s="0" t="str">
        <f aca="false">IF(W1290=1,"",IF(AND(Y1290=1,AA1290&lt;&gt;1),1,0))</f>
        <v/>
      </c>
      <c r="AD1290" s="33" t="str">
        <f aca="false">IF(AND(E1290&gt;0,W1290&lt;1,NOT(AND(C1291=C1290,W1291=W1290+1))),INDEX(DATAS,W1290+1),"")</f>
        <v/>
      </c>
      <c r="AE1290" s="33" t="str">
        <f aca="false">IF(AND(Y1290=1,W1290&lt;1),IF(AND(C1291=C1290,W1291=W1290+1),IF(Y1291=1,"",INDEX(DATAS,W1290+1)),INDEX(DATAS,W1290+1)),"")</f>
        <v/>
      </c>
    </row>
    <row r="1291" customFormat="false" ht="15" hidden="false" customHeight="false" outlineLevel="0" collapsed="false">
      <c r="A1291" s="33" t="n">
        <v>46309</v>
      </c>
      <c r="B1291" s="0" t="n">
        <v>4</v>
      </c>
      <c r="C1291" s="0" t="n">
        <v>5370</v>
      </c>
      <c r="D1291" s="0" t="n">
        <v>259</v>
      </c>
      <c r="E1291" s="0" t="n">
        <v>1</v>
      </c>
      <c r="F1291" s="27" t="s">
        <v>866</v>
      </c>
      <c r="G1291" s="0" t="n">
        <v>42</v>
      </c>
      <c r="H1291" s="0" t="n">
        <v>42</v>
      </c>
      <c r="I1291" s="27" t="s">
        <v>138</v>
      </c>
      <c r="J1291" s="0" t="n">
        <v>109</v>
      </c>
      <c r="K1291" s="0" t="n">
        <v>63</v>
      </c>
      <c r="L1291" s="0" t="n">
        <v>150</v>
      </c>
      <c r="M1291" s="0" t="n">
        <v>557.34</v>
      </c>
      <c r="N1291" s="0" t="n">
        <v>38.41</v>
      </c>
      <c r="O1291" s="0" t="n">
        <v>23.91</v>
      </c>
      <c r="P1291" s="0" t="n">
        <v>4</v>
      </c>
      <c r="Q1291" s="0" t="n">
        <v>3.43</v>
      </c>
      <c r="R1291" s="0" t="n">
        <v>4281</v>
      </c>
      <c r="S1291" s="0" t="n">
        <v>8964</v>
      </c>
      <c r="T1291" s="0" t="n">
        <v>42.5</v>
      </c>
      <c r="U1291" s="0" t="n">
        <v>954</v>
      </c>
      <c r="V1291" s="0" t="n">
        <v>3</v>
      </c>
      <c r="W1291" s="27" t="n">
        <f aca="false">MATCH(A1291,DATAS,0)</f>
        <v>1</v>
      </c>
      <c r="X1291" s="27" t="n">
        <f aca="false">IF(AND(E1291&gt;0,OR(AND(B1291&gt;=1,B1291&lt;=6),B1291=10)),1,0)</f>
        <v>1</v>
      </c>
      <c r="Y1291" s="27" t="n">
        <f aca="false">IF(AND(E1291&gt;0,B1291=10),1,0)</f>
        <v>0</v>
      </c>
      <c r="Z1291" s="0" t="str">
        <f aca="false">IF(AND(C1290=C1291,W1290=W1291-1),X1290,"")</f>
        <v/>
      </c>
      <c r="AA1291" s="0" t="str">
        <f aca="false">IF(AND(C1290=C1291,W1290=W1291-1),Y1290,"")</f>
        <v/>
      </c>
      <c r="AB1291" s="0" t="str">
        <f aca="false">IF(W1291=1,"",IF(AND(X1291=1,Z1291&lt;&gt;1),1,0))</f>
        <v/>
      </c>
      <c r="AC1291" s="0" t="str">
        <f aca="false">IF(W1291=1,"",IF(AND(Y1291=1,AA1291&lt;&gt;1),1,0))</f>
        <v/>
      </c>
      <c r="AD1291" s="33" t="str">
        <f aca="false">IF(AND(E1291&gt;0,W1291&lt;1,NOT(AND(C1292=C1291,W1292=W1291+1))),INDEX(DATAS,W1291+1),"")</f>
        <v/>
      </c>
      <c r="AE1291" s="33" t="str">
        <f aca="false">IF(AND(Y1291=1,W1291&lt;1),IF(AND(C1292=C1291,W1292=W1291+1),IF(Y1292=1,"",INDEX(DATAS,W1291+1)),INDEX(DATAS,W1291+1)),"")</f>
        <v/>
      </c>
    </row>
    <row r="1292" customFormat="false" ht="15" hidden="false" customHeight="false" outlineLevel="0" collapsed="false">
      <c r="A1292" s="33" t="n">
        <v>46309</v>
      </c>
      <c r="B1292" s="0" t="n">
        <v>6</v>
      </c>
      <c r="C1292" s="0" t="n">
        <v>5371</v>
      </c>
      <c r="D1292" s="0" t="n">
        <v>147</v>
      </c>
      <c r="E1292" s="0" t="n">
        <v>1</v>
      </c>
      <c r="F1292" s="27" t="s">
        <v>867</v>
      </c>
      <c r="G1292" s="0" t="n">
        <v>22.7</v>
      </c>
      <c r="H1292" s="0" t="n">
        <v>26</v>
      </c>
      <c r="I1292" s="27" t="s">
        <v>168</v>
      </c>
      <c r="J1292" s="0" t="n">
        <v>147</v>
      </c>
      <c r="K1292" s="0" t="n">
        <v>63</v>
      </c>
      <c r="M1292" s="0" t="n">
        <v>308.77</v>
      </c>
      <c r="N1292" s="0" t="n">
        <v>42.36</v>
      </c>
      <c r="O1292" s="0" t="n">
        <v>19.31</v>
      </c>
      <c r="P1292" s="0" t="n">
        <v>4.25</v>
      </c>
      <c r="Q1292" s="0" t="n">
        <v>3.42</v>
      </c>
      <c r="R1292" s="0" t="n">
        <v>2323</v>
      </c>
      <c r="S1292" s="0" t="n">
        <v>4854</v>
      </c>
      <c r="T1292" s="0" t="n">
        <v>26.45</v>
      </c>
      <c r="U1292" s="0" t="n">
        <v>953</v>
      </c>
      <c r="V1292" s="0" t="n">
        <v>4</v>
      </c>
      <c r="W1292" s="27" t="n">
        <f aca="false">MATCH(A1292,DATAS,0)</f>
        <v>1</v>
      </c>
      <c r="X1292" s="27" t="n">
        <f aca="false">IF(AND(E1292&gt;0,OR(AND(B1292&gt;=1,B1292&lt;=6),B1292=10)),1,0)</f>
        <v>1</v>
      </c>
      <c r="Y1292" s="27" t="n">
        <f aca="false">IF(AND(E1292&gt;0,B1292=10),1,0)</f>
        <v>0</v>
      </c>
      <c r="Z1292" s="0" t="str">
        <f aca="false">IF(AND(C1291=C1292,W1291=W1292-1),X1291,"")</f>
        <v/>
      </c>
      <c r="AA1292" s="0" t="str">
        <f aca="false">IF(AND(C1291=C1292,W1291=W1292-1),Y1291,"")</f>
        <v/>
      </c>
      <c r="AB1292" s="0" t="str">
        <f aca="false">IF(W1292=1,"",IF(AND(X1292=1,Z1292&lt;&gt;1),1,0))</f>
        <v/>
      </c>
      <c r="AC1292" s="0" t="str">
        <f aca="false">IF(W1292=1,"",IF(AND(Y1292=1,AA1292&lt;&gt;1),1,0))</f>
        <v/>
      </c>
      <c r="AD1292" s="33" t="str">
        <f aca="false">IF(AND(E1292&gt;0,W1292&lt;1,NOT(AND(C1293=C1292,W1293=W1292+1))),INDEX(DATAS,W1292+1),"")</f>
        <v/>
      </c>
      <c r="AE1292" s="33" t="str">
        <f aca="false">IF(AND(Y1292=1,W1292&lt;1),IF(AND(C1293=C1292,W1293=W1292+1),IF(Y1293=1,"",INDEX(DATAS,W1292+1)),INDEX(DATAS,W1292+1)),"")</f>
        <v/>
      </c>
    </row>
    <row r="1293" customFormat="false" ht="15" hidden="false" customHeight="false" outlineLevel="0" collapsed="false">
      <c r="A1293" s="33" t="n">
        <v>46309</v>
      </c>
      <c r="B1293" s="0" t="n">
        <v>4</v>
      </c>
      <c r="C1293" s="0" t="n">
        <v>5372</v>
      </c>
      <c r="D1293" s="0" t="n">
        <v>329</v>
      </c>
      <c r="E1293" s="0" t="n">
        <v>1</v>
      </c>
      <c r="F1293" s="27" t="s">
        <v>867</v>
      </c>
      <c r="G1293" s="0" t="n">
        <v>46.2</v>
      </c>
      <c r="H1293" s="0" t="n">
        <v>48</v>
      </c>
      <c r="I1293" s="27" t="s">
        <v>138</v>
      </c>
      <c r="J1293" s="0" t="n">
        <v>154</v>
      </c>
      <c r="K1293" s="0" t="n">
        <v>70</v>
      </c>
      <c r="L1293" s="0" t="n">
        <v>175</v>
      </c>
      <c r="M1293" s="0" t="n">
        <v>819.71</v>
      </c>
      <c r="N1293" s="0" t="n">
        <v>51.07</v>
      </c>
      <c r="O1293" s="0" t="n">
        <v>30.74</v>
      </c>
      <c r="P1293" s="0" t="n">
        <v>3.22</v>
      </c>
      <c r="Q1293" s="0" t="n">
        <v>3.55</v>
      </c>
      <c r="R1293" s="0" t="n">
        <v>3711</v>
      </c>
      <c r="S1293" s="0" t="n">
        <v>8625</v>
      </c>
      <c r="T1293" s="0" t="n">
        <v>41.8</v>
      </c>
      <c r="U1293" s="0" t="n">
        <v>953</v>
      </c>
      <c r="V1293" s="0" t="n">
        <v>3</v>
      </c>
      <c r="W1293" s="27" t="n">
        <f aca="false">MATCH(A1293,DATAS,0)</f>
        <v>1</v>
      </c>
      <c r="X1293" s="27" t="n">
        <f aca="false">IF(AND(E1293&gt;0,OR(AND(B1293&gt;=1,B1293&lt;=6),B1293=10)),1,0)</f>
        <v>1</v>
      </c>
      <c r="Y1293" s="27" t="n">
        <f aca="false">IF(AND(E1293&gt;0,B1293=10),1,0)</f>
        <v>0</v>
      </c>
      <c r="Z1293" s="0" t="str">
        <f aca="false">IF(AND(C1292=C1293,W1292=W1293-1),X1292,"")</f>
        <v/>
      </c>
      <c r="AA1293" s="0" t="str">
        <f aca="false">IF(AND(C1292=C1293,W1292=W1293-1),Y1292,"")</f>
        <v/>
      </c>
      <c r="AB1293" s="0" t="str">
        <f aca="false">IF(W1293=1,"",IF(AND(X1293=1,Z1293&lt;&gt;1),1,0))</f>
        <v/>
      </c>
      <c r="AC1293" s="0" t="str">
        <f aca="false">IF(W1293=1,"",IF(AND(Y1293=1,AA1293&lt;&gt;1),1,0))</f>
        <v/>
      </c>
      <c r="AD1293" s="33" t="str">
        <f aca="false">IF(AND(E1293&gt;0,W1293&lt;1,NOT(AND(C1294=C1293,W1294=W1293+1))),INDEX(DATAS,W1293+1),"")</f>
        <v/>
      </c>
      <c r="AE1293" s="33" t="str">
        <f aca="false">IF(AND(Y1293=1,W1293&lt;1),IF(AND(C1294=C1293,W1294=W1293+1),IF(Y1294=1,"",INDEX(DATAS,W1293+1)),INDEX(DATAS,W1293+1)),"")</f>
        <v/>
      </c>
    </row>
    <row r="1294" customFormat="false" ht="15" hidden="false" customHeight="false" outlineLevel="0" collapsed="false">
      <c r="A1294" s="33" t="n">
        <v>46309</v>
      </c>
      <c r="B1294" s="0" t="n">
        <v>4</v>
      </c>
      <c r="C1294" s="0" t="n">
        <v>5374</v>
      </c>
      <c r="D1294" s="0" t="n">
        <v>238</v>
      </c>
      <c r="E1294" s="0" t="n">
        <v>1</v>
      </c>
      <c r="F1294" s="27" t="s">
        <v>867</v>
      </c>
      <c r="G1294" s="0" t="n">
        <v>57.9</v>
      </c>
      <c r="H1294" s="0" t="n">
        <v>60</v>
      </c>
      <c r="I1294" s="27" t="s">
        <v>138</v>
      </c>
      <c r="J1294" s="0" t="n">
        <v>122</v>
      </c>
      <c r="K1294" s="0" t="n">
        <v>63</v>
      </c>
      <c r="L1294" s="0" t="n">
        <v>116</v>
      </c>
      <c r="M1294" s="0" t="n">
        <v>1765.5</v>
      </c>
      <c r="N1294" s="0" t="n">
        <v>46.76</v>
      </c>
      <c r="O1294" s="0" t="n">
        <v>51.19</v>
      </c>
      <c r="P1294" s="0" t="n">
        <v>4.18</v>
      </c>
      <c r="Q1294" s="0" t="n">
        <v>3.53</v>
      </c>
      <c r="R1294" s="0" t="n">
        <v>4302</v>
      </c>
      <c r="S1294" s="0" t="n">
        <v>10842</v>
      </c>
      <c r="T1294" s="0" t="n">
        <v>47.3</v>
      </c>
      <c r="U1294" s="0" t="n">
        <v>953</v>
      </c>
      <c r="V1294" s="0" t="n">
        <v>3</v>
      </c>
      <c r="W1294" s="27" t="n">
        <f aca="false">MATCH(A1294,DATAS,0)</f>
        <v>1</v>
      </c>
      <c r="X1294" s="27" t="n">
        <f aca="false">IF(AND(E1294&gt;0,OR(AND(B1294&gt;=1,B1294&lt;=6),B1294=10)),1,0)</f>
        <v>1</v>
      </c>
      <c r="Y1294" s="27" t="n">
        <f aca="false">IF(AND(E1294&gt;0,B1294=10),1,0)</f>
        <v>0</v>
      </c>
      <c r="Z1294" s="0" t="str">
        <f aca="false">IF(AND(C1293=C1294,W1293=W1294-1),X1293,"")</f>
        <v/>
      </c>
      <c r="AA1294" s="0" t="str">
        <f aca="false">IF(AND(C1293=C1294,W1293=W1294-1),Y1293,"")</f>
        <v/>
      </c>
      <c r="AB1294" s="0" t="str">
        <f aca="false">IF(W1294=1,"",IF(AND(X1294=1,Z1294&lt;&gt;1),1,0))</f>
        <v/>
      </c>
      <c r="AC1294" s="0" t="str">
        <f aca="false">IF(W1294=1,"",IF(AND(Y1294=1,AA1294&lt;&gt;1),1,0))</f>
        <v/>
      </c>
      <c r="AD1294" s="33" t="str">
        <f aca="false">IF(AND(E1294&gt;0,W1294&lt;1,NOT(AND(C1295=C1294,W1295=W1294+1))),INDEX(DATAS,W1294+1),"")</f>
        <v/>
      </c>
      <c r="AE1294" s="33" t="str">
        <f aca="false">IF(AND(Y1294=1,W1294&lt;1),IF(AND(C1295=C1294,W1295=W1294+1),IF(Y1295=1,"",INDEX(DATAS,W1294+1)),INDEX(DATAS,W1294+1)),"")</f>
        <v/>
      </c>
    </row>
    <row r="1295" customFormat="false" ht="15" hidden="false" customHeight="false" outlineLevel="0" collapsed="false">
      <c r="A1295" s="33" t="n">
        <v>46309</v>
      </c>
      <c r="B1295" s="0" t="n">
        <v>5</v>
      </c>
      <c r="C1295" s="0" t="n">
        <v>5376</v>
      </c>
      <c r="D1295" s="0" t="n">
        <v>331</v>
      </c>
      <c r="E1295" s="0" t="n">
        <v>1</v>
      </c>
      <c r="F1295" s="27" t="s">
        <v>868</v>
      </c>
      <c r="G1295" s="0" t="n">
        <v>39.8</v>
      </c>
      <c r="H1295" s="0" t="n">
        <v>36</v>
      </c>
      <c r="I1295" s="27" t="s">
        <v>168</v>
      </c>
      <c r="J1295" s="0" t="n">
        <v>331</v>
      </c>
      <c r="K1295" s="0" t="n">
        <v>65</v>
      </c>
      <c r="M1295" s="0" t="n">
        <v>14.12</v>
      </c>
      <c r="N1295" s="0" t="n">
        <v>33.84</v>
      </c>
      <c r="O1295" s="0" t="n">
        <v>22.6</v>
      </c>
      <c r="P1295" s="0" t="n">
        <v>3.33</v>
      </c>
      <c r="Q1295" s="0" t="n">
        <v>3.88</v>
      </c>
      <c r="R1295" s="0" t="n">
        <v>3056</v>
      </c>
      <c r="S1295" s="0" t="n">
        <v>6675</v>
      </c>
      <c r="T1295" s="0" t="n">
        <v>33.35</v>
      </c>
      <c r="U1295" s="0" t="n">
        <v>952</v>
      </c>
      <c r="V1295" s="0" t="n">
        <v>7</v>
      </c>
      <c r="W1295" s="27" t="n">
        <f aca="false">MATCH(A1295,DATAS,0)</f>
        <v>1</v>
      </c>
      <c r="X1295" s="27" t="n">
        <f aca="false">IF(AND(E1295&gt;0,OR(AND(B1295&gt;=1,B1295&lt;=6),B1295=10)),1,0)</f>
        <v>1</v>
      </c>
      <c r="Y1295" s="27" t="n">
        <f aca="false">IF(AND(E1295&gt;0,B1295=10),1,0)</f>
        <v>0</v>
      </c>
      <c r="Z1295" s="0" t="str">
        <f aca="false">IF(AND(C1294=C1295,W1294=W1295-1),X1294,"")</f>
        <v/>
      </c>
      <c r="AA1295" s="0" t="str">
        <f aca="false">IF(AND(C1294=C1295,W1294=W1295-1),Y1294,"")</f>
        <v/>
      </c>
      <c r="AB1295" s="0" t="str">
        <f aca="false">IF(W1295=1,"",IF(AND(X1295=1,Z1295&lt;&gt;1),1,0))</f>
        <v/>
      </c>
      <c r="AC1295" s="0" t="str">
        <f aca="false">IF(W1295=1,"",IF(AND(Y1295=1,AA1295&lt;&gt;1),1,0))</f>
        <v/>
      </c>
      <c r="AD1295" s="33" t="str">
        <f aca="false">IF(AND(E1295&gt;0,W1295&lt;1,NOT(AND(C1296=C1295,W1296=W1295+1))),INDEX(DATAS,W1295+1),"")</f>
        <v/>
      </c>
      <c r="AE1295" s="33" t="str">
        <f aca="false">IF(AND(Y1295=1,W1295&lt;1),IF(AND(C1296=C1295,W1296=W1295+1),IF(Y1296=1,"",INDEX(DATAS,W1295+1)),INDEX(DATAS,W1295+1)),"")</f>
        <v/>
      </c>
    </row>
    <row r="1296" customFormat="false" ht="15" hidden="false" customHeight="false" outlineLevel="0" collapsed="false">
      <c r="A1296" s="33" t="n">
        <v>46309</v>
      </c>
      <c r="B1296" s="0" t="n">
        <v>4</v>
      </c>
      <c r="C1296" s="0" t="n">
        <v>5377</v>
      </c>
      <c r="D1296" s="0" t="n">
        <v>189</v>
      </c>
      <c r="E1296" s="0" t="n">
        <v>1</v>
      </c>
      <c r="F1296" s="27" t="s">
        <v>869</v>
      </c>
      <c r="G1296" s="0" t="n">
        <v>49.3</v>
      </c>
      <c r="H1296" s="0" t="n">
        <v>50</v>
      </c>
      <c r="I1296" s="27" t="s">
        <v>138</v>
      </c>
      <c r="J1296" s="0" t="n">
        <v>63</v>
      </c>
      <c r="K1296" s="0" t="n">
        <v>63</v>
      </c>
      <c r="L1296" s="0" t="n">
        <v>126</v>
      </c>
      <c r="M1296" s="0" t="n">
        <v>836.58</v>
      </c>
      <c r="N1296" s="0" t="n">
        <v>18.49</v>
      </c>
      <c r="O1296" s="0" t="n">
        <v>37.43</v>
      </c>
      <c r="P1296" s="0" t="n">
        <v>2.75</v>
      </c>
      <c r="Q1296" s="0" t="n">
        <v>3.34</v>
      </c>
      <c r="R1296" s="0" t="n">
        <v>4466</v>
      </c>
      <c r="S1296" s="0" t="n">
        <v>9748</v>
      </c>
      <c r="T1296" s="0" t="n">
        <v>47.6</v>
      </c>
      <c r="U1296" s="0" t="n">
        <v>951</v>
      </c>
      <c r="V1296" s="0" t="n">
        <v>1</v>
      </c>
      <c r="W1296" s="27" t="n">
        <f aca="false">MATCH(A1296,DATAS,0)</f>
        <v>1</v>
      </c>
      <c r="X1296" s="27" t="n">
        <f aca="false">IF(AND(E1296&gt;0,OR(AND(B1296&gt;=1,B1296&lt;=6),B1296=10)),1,0)</f>
        <v>1</v>
      </c>
      <c r="Y1296" s="27" t="n">
        <f aca="false">IF(AND(E1296&gt;0,B1296=10),1,0)</f>
        <v>0</v>
      </c>
      <c r="Z1296" s="0" t="str">
        <f aca="false">IF(AND(C1295=C1296,W1295=W1296-1),X1295,"")</f>
        <v/>
      </c>
      <c r="AA1296" s="0" t="str">
        <f aca="false">IF(AND(C1295=C1296,W1295=W1296-1),Y1295,"")</f>
        <v/>
      </c>
      <c r="AB1296" s="0" t="str">
        <f aca="false">IF(W1296=1,"",IF(AND(X1296=1,Z1296&lt;&gt;1),1,0))</f>
        <v/>
      </c>
      <c r="AC1296" s="0" t="str">
        <f aca="false">IF(W1296=1,"",IF(AND(Y1296=1,AA1296&lt;&gt;1),1,0))</f>
        <v/>
      </c>
      <c r="AD1296" s="33" t="str">
        <f aca="false">IF(AND(E1296&gt;0,W1296&lt;1,NOT(AND(C1297=C1296,W1297=W1296+1))),INDEX(DATAS,W1296+1),"")</f>
        <v/>
      </c>
      <c r="AE1296" s="33" t="str">
        <f aca="false">IF(AND(Y1296=1,W1296&lt;1),IF(AND(C1297=C1296,W1297=W1296+1),IF(Y1297=1,"",INDEX(DATAS,W1296+1)),INDEX(DATAS,W1296+1)),"")</f>
        <v/>
      </c>
    </row>
    <row r="1297" customFormat="false" ht="15" hidden="false" customHeight="false" outlineLevel="0" collapsed="false">
      <c r="A1297" s="33" t="n">
        <v>46309</v>
      </c>
      <c r="B1297" s="0" t="n">
        <v>4</v>
      </c>
      <c r="C1297" s="0" t="n">
        <v>5378</v>
      </c>
      <c r="D1297" s="0" t="n">
        <v>329</v>
      </c>
      <c r="E1297" s="0" t="n">
        <v>1</v>
      </c>
      <c r="F1297" s="27" t="s">
        <v>869</v>
      </c>
      <c r="G1297" s="0" t="n">
        <v>44.4</v>
      </c>
      <c r="H1297" s="0" t="n">
        <v>43</v>
      </c>
      <c r="I1297" s="27" t="s">
        <v>138</v>
      </c>
      <c r="J1297" s="0" t="n">
        <v>196</v>
      </c>
      <c r="K1297" s="0" t="n">
        <v>63</v>
      </c>
      <c r="L1297" s="0" t="n">
        <v>133</v>
      </c>
      <c r="M1297" s="0" t="n">
        <v>67.17</v>
      </c>
      <c r="N1297" s="0" t="n">
        <v>34.64</v>
      </c>
      <c r="O1297" s="0" t="n">
        <v>9.67</v>
      </c>
      <c r="P1297" s="0" t="n">
        <v>2.75</v>
      </c>
      <c r="Q1297" s="0" t="n">
        <v>3.28</v>
      </c>
      <c r="R1297" s="0" t="n">
        <v>4366</v>
      </c>
      <c r="S1297" s="0" t="n">
        <v>8795</v>
      </c>
      <c r="T1297" s="0" t="n">
        <v>53.1</v>
      </c>
      <c r="U1297" s="0" t="n">
        <v>951</v>
      </c>
      <c r="V1297" s="0" t="n">
        <v>5</v>
      </c>
      <c r="W1297" s="27" t="n">
        <f aca="false">MATCH(A1297,DATAS,0)</f>
        <v>1</v>
      </c>
      <c r="X1297" s="27" t="n">
        <f aca="false">IF(AND(E1297&gt;0,OR(AND(B1297&gt;=1,B1297&lt;=6),B1297=10)),1,0)</f>
        <v>1</v>
      </c>
      <c r="Y1297" s="27" t="n">
        <f aca="false">IF(AND(E1297&gt;0,B1297=10),1,0)</f>
        <v>0</v>
      </c>
      <c r="Z1297" s="0" t="str">
        <f aca="false">IF(AND(C1296=C1297,W1296=W1297-1),X1296,"")</f>
        <v/>
      </c>
      <c r="AA1297" s="0" t="str">
        <f aca="false">IF(AND(C1296=C1297,W1296=W1297-1),Y1296,"")</f>
        <v/>
      </c>
      <c r="AB1297" s="0" t="str">
        <f aca="false">IF(W1297=1,"",IF(AND(X1297=1,Z1297&lt;&gt;1),1,0))</f>
        <v/>
      </c>
      <c r="AC1297" s="0" t="str">
        <f aca="false">IF(W1297=1,"",IF(AND(Y1297=1,AA1297&lt;&gt;1),1,0))</f>
        <v/>
      </c>
      <c r="AD1297" s="33" t="str">
        <f aca="false">IF(AND(E1297&gt;0,W1297&lt;1,NOT(AND(C1298=C1297,W1298=W1297+1))),INDEX(DATAS,W1297+1),"")</f>
        <v/>
      </c>
      <c r="AE1297" s="33" t="str">
        <f aca="false">IF(AND(Y1297=1,W1297&lt;1),IF(AND(C1298=C1297,W1298=W1297+1),IF(Y1298=1,"",INDEX(DATAS,W1297+1)),INDEX(DATAS,W1297+1)),"")</f>
        <v/>
      </c>
    </row>
    <row r="1298" customFormat="false" ht="15" hidden="false" customHeight="false" outlineLevel="0" collapsed="false">
      <c r="A1298" s="33" t="n">
        <v>46309</v>
      </c>
      <c r="B1298" s="0" t="n">
        <v>10</v>
      </c>
      <c r="C1298" s="0" t="n">
        <v>5381</v>
      </c>
      <c r="D1298" s="0" t="n">
        <v>284</v>
      </c>
      <c r="E1298" s="0" t="n">
        <v>1</v>
      </c>
      <c r="F1298" s="27" t="s">
        <v>870</v>
      </c>
      <c r="G1298" s="0" t="n">
        <v>14.6</v>
      </c>
      <c r="H1298" s="0" t="n">
        <v>16</v>
      </c>
      <c r="I1298" s="27" t="s">
        <v>138</v>
      </c>
      <c r="J1298" s="0" t="n">
        <v>249</v>
      </c>
      <c r="K1298" s="0" t="n">
        <v>67</v>
      </c>
      <c r="L1298" s="0" t="n">
        <v>35</v>
      </c>
      <c r="M1298" s="0" t="n">
        <v>734.06</v>
      </c>
      <c r="N1298" s="0" t="n">
        <v>30.46</v>
      </c>
      <c r="O1298" s="0" t="n">
        <v>32.97</v>
      </c>
      <c r="P1298" s="0" t="n">
        <v>3.63</v>
      </c>
      <c r="Q1298" s="0" t="n">
        <v>3.53</v>
      </c>
      <c r="R1298" s="0" t="n">
        <v>3899</v>
      </c>
      <c r="S1298" s="0" t="n">
        <v>9350</v>
      </c>
      <c r="T1298" s="0" t="n">
        <v>40</v>
      </c>
      <c r="U1298" s="0" t="n">
        <v>950</v>
      </c>
      <c r="V1298" s="0" t="n">
        <v>7</v>
      </c>
      <c r="W1298" s="27" t="n">
        <f aca="false">MATCH(A1298,DATAS,0)</f>
        <v>1</v>
      </c>
      <c r="X1298" s="27" t="n">
        <f aca="false">IF(AND(E1298&gt;0,OR(AND(B1298&gt;=1,B1298&lt;=6),B1298=10)),1,0)</f>
        <v>1</v>
      </c>
      <c r="Y1298" s="27" t="n">
        <f aca="false">IF(AND(E1298&gt;0,B1298=10),1,0)</f>
        <v>1</v>
      </c>
      <c r="Z1298" s="0" t="str">
        <f aca="false">IF(AND(C1297=C1298,W1297=W1298-1),X1297,"")</f>
        <v/>
      </c>
      <c r="AA1298" s="0" t="str">
        <f aca="false">IF(AND(C1297=C1298,W1297=W1298-1),Y1297,"")</f>
        <v/>
      </c>
      <c r="AB1298" s="0" t="str">
        <f aca="false">IF(W1298=1,"",IF(AND(X1298=1,Z1298&lt;&gt;1),1,0))</f>
        <v/>
      </c>
      <c r="AC1298" s="0" t="str">
        <f aca="false">IF(W1298=1,"",IF(AND(Y1298=1,AA1298&lt;&gt;1),1,0))</f>
        <v/>
      </c>
      <c r="AD1298" s="33" t="str">
        <f aca="false">IF(AND(E1298&gt;0,W1298&lt;1,NOT(AND(C1299=C1298,W1299=W1298+1))),INDEX(DATAS,W1298+1),"")</f>
        <v/>
      </c>
      <c r="AE1298" s="33" t="str">
        <f aca="false">IF(AND(Y1298=1,W1298&lt;1),IF(AND(C1299=C1298,W1299=W1298+1),IF(Y1299=1,"",INDEX(DATAS,W1298+1)),INDEX(DATAS,W1298+1)),"")</f>
        <v/>
      </c>
    </row>
    <row r="1299" customFormat="false" ht="15" hidden="false" customHeight="false" outlineLevel="0" collapsed="false">
      <c r="A1299" s="33" t="n">
        <v>46309</v>
      </c>
      <c r="B1299" s="0" t="n">
        <v>4</v>
      </c>
      <c r="C1299" s="0" t="n">
        <v>5382</v>
      </c>
      <c r="D1299" s="0" t="n">
        <v>218</v>
      </c>
      <c r="E1299" s="0" t="n">
        <v>1</v>
      </c>
      <c r="F1299" s="27" t="s">
        <v>871</v>
      </c>
      <c r="G1299" s="0" t="n">
        <v>43.1</v>
      </c>
      <c r="H1299" s="0" t="n">
        <v>48</v>
      </c>
      <c r="I1299" s="27" t="s">
        <v>138</v>
      </c>
      <c r="J1299" s="0" t="n">
        <v>64</v>
      </c>
      <c r="K1299" s="0" t="n">
        <v>64</v>
      </c>
      <c r="L1299" s="0" t="n">
        <v>154</v>
      </c>
      <c r="M1299" s="0" t="n">
        <v>704.9</v>
      </c>
      <c r="N1299" s="0" t="n">
        <v>49.23</v>
      </c>
      <c r="O1299" s="0" t="n">
        <v>33.41</v>
      </c>
      <c r="P1299" s="0" t="n">
        <v>3.28</v>
      </c>
      <c r="Q1299" s="0" t="n">
        <v>3.44</v>
      </c>
      <c r="R1299" s="0" t="n">
        <v>4687</v>
      </c>
      <c r="S1299" s="0" t="n">
        <v>11016</v>
      </c>
      <c r="T1299" s="0" t="n">
        <v>55.65</v>
      </c>
      <c r="U1299" s="0" t="n">
        <v>948</v>
      </c>
      <c r="V1299" s="0" t="n">
        <v>1</v>
      </c>
      <c r="W1299" s="27" t="n">
        <f aca="false">MATCH(A1299,DATAS,0)</f>
        <v>1</v>
      </c>
      <c r="X1299" s="27" t="n">
        <f aca="false">IF(AND(E1299&gt;0,OR(AND(B1299&gt;=1,B1299&lt;=6),B1299=10)),1,0)</f>
        <v>1</v>
      </c>
      <c r="Y1299" s="27" t="n">
        <f aca="false">IF(AND(E1299&gt;0,B1299=10),1,0)</f>
        <v>0</v>
      </c>
      <c r="Z1299" s="0" t="str">
        <f aca="false">IF(AND(C1298=C1299,W1298=W1299-1),X1298,"")</f>
        <v/>
      </c>
      <c r="AA1299" s="0" t="str">
        <f aca="false">IF(AND(C1298=C1299,W1298=W1299-1),Y1298,"")</f>
        <v/>
      </c>
      <c r="AB1299" s="0" t="str">
        <f aca="false">IF(W1299=1,"",IF(AND(X1299=1,Z1299&lt;&gt;1),1,0))</f>
        <v/>
      </c>
      <c r="AC1299" s="0" t="str">
        <f aca="false">IF(W1299=1,"",IF(AND(Y1299=1,AA1299&lt;&gt;1),1,0))</f>
        <v/>
      </c>
      <c r="AD1299" s="33" t="str">
        <f aca="false">IF(AND(E1299&gt;0,W1299&lt;1,NOT(AND(C1300=C1299,W1300=W1299+1))),INDEX(DATAS,W1299+1),"")</f>
        <v/>
      </c>
      <c r="AE1299" s="33" t="str">
        <f aca="false">IF(AND(Y1299=1,W1299&lt;1),IF(AND(C1300=C1299,W1300=W1299+1),IF(Y1300=1,"",INDEX(DATAS,W1299+1)),INDEX(DATAS,W1299+1)),"")</f>
        <v/>
      </c>
    </row>
    <row r="1300" customFormat="false" ht="15" hidden="false" customHeight="false" outlineLevel="0" collapsed="false">
      <c r="A1300" s="33" t="n">
        <v>46309</v>
      </c>
      <c r="B1300" s="0" t="n">
        <v>4</v>
      </c>
      <c r="C1300" s="0" t="n">
        <v>5383</v>
      </c>
      <c r="D1300" s="0" t="n">
        <v>311</v>
      </c>
      <c r="E1300" s="0" t="n">
        <v>1</v>
      </c>
      <c r="F1300" s="27" t="s">
        <v>872</v>
      </c>
      <c r="G1300" s="0" t="n">
        <v>44.2</v>
      </c>
      <c r="H1300" s="0" t="n">
        <v>45</v>
      </c>
      <c r="I1300" s="27" t="s">
        <v>138</v>
      </c>
      <c r="J1300" s="0" t="n">
        <v>101</v>
      </c>
      <c r="K1300" s="0" t="n">
        <v>66</v>
      </c>
      <c r="L1300" s="0" t="n">
        <v>210</v>
      </c>
      <c r="M1300" s="0" t="n">
        <v>324.93</v>
      </c>
      <c r="N1300" s="0" t="n">
        <v>29.43</v>
      </c>
      <c r="O1300" s="0" t="n">
        <v>17.03</v>
      </c>
      <c r="P1300" s="0" t="n">
        <v>3.79</v>
      </c>
      <c r="Q1300" s="0" t="n">
        <v>3.51</v>
      </c>
      <c r="R1300" s="0" t="n">
        <v>3800</v>
      </c>
      <c r="S1300" s="0" t="n">
        <v>8373</v>
      </c>
      <c r="T1300" s="0" t="n">
        <v>41.6</v>
      </c>
      <c r="U1300" s="0" t="n">
        <v>949</v>
      </c>
      <c r="V1300" s="0" t="n">
        <v>2</v>
      </c>
      <c r="W1300" s="27" t="n">
        <f aca="false">MATCH(A1300,DATAS,0)</f>
        <v>1</v>
      </c>
      <c r="X1300" s="27" t="n">
        <f aca="false">IF(AND(E1300&gt;0,OR(AND(B1300&gt;=1,B1300&lt;=6),B1300=10)),1,0)</f>
        <v>1</v>
      </c>
      <c r="Y1300" s="27" t="n">
        <f aca="false">IF(AND(E1300&gt;0,B1300=10),1,0)</f>
        <v>0</v>
      </c>
      <c r="Z1300" s="0" t="str">
        <f aca="false">IF(AND(C1299=C1300,W1299=W1300-1),X1299,"")</f>
        <v/>
      </c>
      <c r="AA1300" s="0" t="str">
        <f aca="false">IF(AND(C1299=C1300,W1299=W1300-1),Y1299,"")</f>
        <v/>
      </c>
      <c r="AB1300" s="0" t="str">
        <f aca="false">IF(W1300=1,"",IF(AND(X1300=1,Z1300&lt;&gt;1),1,0))</f>
        <v/>
      </c>
      <c r="AC1300" s="0" t="str">
        <f aca="false">IF(W1300=1,"",IF(AND(Y1300=1,AA1300&lt;&gt;1),1,0))</f>
        <v/>
      </c>
      <c r="AD1300" s="33" t="str">
        <f aca="false">IF(AND(E1300&gt;0,W1300&lt;1,NOT(AND(C1301=C1300,W1301=W1300+1))),INDEX(DATAS,W1300+1),"")</f>
        <v/>
      </c>
      <c r="AE1300" s="33" t="str">
        <f aca="false">IF(AND(Y1300=1,W1300&lt;1),IF(AND(C1301=C1300,W1301=W1300+1),IF(Y1301=1,"",INDEX(DATAS,W1300+1)),INDEX(DATAS,W1300+1)),"")</f>
        <v/>
      </c>
    </row>
    <row r="1301" customFormat="false" ht="15" hidden="false" customHeight="false" outlineLevel="0" collapsed="false">
      <c r="A1301" s="33" t="n">
        <v>46309</v>
      </c>
      <c r="B1301" s="0" t="n">
        <v>4</v>
      </c>
      <c r="C1301" s="0" t="n">
        <v>5384</v>
      </c>
      <c r="D1301" s="0" t="n">
        <v>315</v>
      </c>
      <c r="E1301" s="0" t="n">
        <v>1</v>
      </c>
      <c r="F1301" s="27" t="s">
        <v>871</v>
      </c>
      <c r="G1301" s="0" t="n">
        <v>34</v>
      </c>
      <c r="H1301" s="0" t="n">
        <v>36</v>
      </c>
      <c r="I1301" s="27" t="s">
        <v>168</v>
      </c>
      <c r="J1301" s="0" t="n">
        <v>315</v>
      </c>
      <c r="K1301" s="0" t="n">
        <v>70</v>
      </c>
      <c r="M1301" s="0" t="n">
        <v>-153.15</v>
      </c>
      <c r="N1301" s="0" t="n">
        <v>81.13</v>
      </c>
      <c r="O1301" s="0" t="n">
        <v>24.11</v>
      </c>
      <c r="P1301" s="0" t="n">
        <v>5.36</v>
      </c>
      <c r="Q1301" s="0" t="n">
        <v>4.02</v>
      </c>
      <c r="R1301" s="0" t="n">
        <v>3634</v>
      </c>
      <c r="S1301" s="0" t="n">
        <v>7587</v>
      </c>
      <c r="T1301" s="0" t="n">
        <v>42.35</v>
      </c>
      <c r="U1301" s="0" t="n">
        <v>948</v>
      </c>
      <c r="V1301" s="0" t="n">
        <v>7</v>
      </c>
      <c r="W1301" s="27" t="n">
        <f aca="false">MATCH(A1301,DATAS,0)</f>
        <v>1</v>
      </c>
      <c r="X1301" s="27" t="n">
        <f aca="false">IF(AND(E1301&gt;0,OR(AND(B1301&gt;=1,B1301&lt;=6),B1301=10)),1,0)</f>
        <v>1</v>
      </c>
      <c r="Y1301" s="27" t="n">
        <f aca="false">IF(AND(E1301&gt;0,B1301=10),1,0)</f>
        <v>0</v>
      </c>
      <c r="Z1301" s="0" t="str">
        <f aca="false">IF(AND(C1300=C1301,W1300=W1301-1),X1300,"")</f>
        <v/>
      </c>
      <c r="AA1301" s="0" t="str">
        <f aca="false">IF(AND(C1300=C1301,W1300=W1301-1),Y1300,"")</f>
        <v/>
      </c>
      <c r="AB1301" s="0" t="str">
        <f aca="false">IF(W1301=1,"",IF(AND(X1301=1,Z1301&lt;&gt;1),1,0))</f>
        <v/>
      </c>
      <c r="AC1301" s="0" t="str">
        <f aca="false">IF(W1301=1,"",IF(AND(Y1301=1,AA1301&lt;&gt;1),1,0))</f>
        <v/>
      </c>
      <c r="AD1301" s="33" t="str">
        <f aca="false">IF(AND(E1301&gt;0,W1301&lt;1,NOT(AND(C1302=C1301,W1302=W1301+1))),INDEX(DATAS,W1301+1),"")</f>
        <v/>
      </c>
      <c r="AE1301" s="33" t="str">
        <f aca="false">IF(AND(Y1301=1,W1301&lt;1),IF(AND(C1302=C1301,W1302=W1301+1),IF(Y1302=1,"",INDEX(DATAS,W1301+1)),INDEX(DATAS,W1301+1)),"")</f>
        <v/>
      </c>
    </row>
    <row r="1302" customFormat="false" ht="15" hidden="false" customHeight="false" outlineLevel="0" collapsed="false">
      <c r="A1302" s="33" t="n">
        <v>46309</v>
      </c>
      <c r="B1302" s="0" t="n">
        <v>7</v>
      </c>
      <c r="C1302" s="0" t="n">
        <v>5385</v>
      </c>
      <c r="D1302" s="0" t="n">
        <v>310</v>
      </c>
      <c r="E1302" s="0" t="n">
        <v>1</v>
      </c>
      <c r="F1302" s="27" t="s">
        <v>871</v>
      </c>
      <c r="G1302" s="0" t="n">
        <v>14</v>
      </c>
      <c r="H1302" s="0" t="n">
        <v>42</v>
      </c>
      <c r="I1302" s="27" t="s">
        <v>143</v>
      </c>
      <c r="J1302" s="0" t="n">
        <v>88</v>
      </c>
      <c r="K1302" s="0" t="n">
        <v>66</v>
      </c>
      <c r="L1302" s="0" t="n">
        <v>223</v>
      </c>
      <c r="M1302" s="0" t="n">
        <v>209.99</v>
      </c>
      <c r="N1302" s="0" t="n">
        <v>61</v>
      </c>
      <c r="O1302" s="0" t="n">
        <v>28.39</v>
      </c>
      <c r="P1302" s="0" t="n">
        <v>3.8</v>
      </c>
      <c r="Q1302" s="0" t="n">
        <v>3.84</v>
      </c>
      <c r="R1302" s="0" t="n">
        <v>4080</v>
      </c>
      <c r="S1302" s="0" t="n">
        <v>9125</v>
      </c>
      <c r="T1302" s="0" t="n">
        <v>42.5</v>
      </c>
      <c r="U1302" s="0" t="n">
        <v>948</v>
      </c>
      <c r="V1302" s="0" t="n">
        <v>2</v>
      </c>
      <c r="W1302" s="27" t="n">
        <f aca="false">MATCH(A1302,DATAS,0)</f>
        <v>1</v>
      </c>
      <c r="X1302" s="27" t="n">
        <f aca="false">IF(AND(E1302&gt;0,OR(AND(B1302&gt;=1,B1302&lt;=6),B1302=10)),1,0)</f>
        <v>0</v>
      </c>
      <c r="Y1302" s="27" t="n">
        <f aca="false">IF(AND(E1302&gt;0,B1302=10),1,0)</f>
        <v>0</v>
      </c>
      <c r="Z1302" s="0" t="str">
        <f aca="false">IF(AND(C1301=C1302,W1301=W1302-1),X1301,"")</f>
        <v/>
      </c>
      <c r="AA1302" s="0" t="str">
        <f aca="false">IF(AND(C1301=C1302,W1301=W1302-1),Y1301,"")</f>
        <v/>
      </c>
      <c r="AB1302" s="0" t="str">
        <f aca="false">IF(W1302=1,"",IF(AND(X1302=1,Z1302&lt;&gt;1),1,0))</f>
        <v/>
      </c>
      <c r="AC1302" s="0" t="str">
        <f aca="false">IF(W1302=1,"",IF(AND(Y1302=1,AA1302&lt;&gt;1),1,0))</f>
        <v/>
      </c>
      <c r="AD1302" s="33" t="str">
        <f aca="false">IF(AND(E1302&gt;0,W1302&lt;1,NOT(AND(C1303=C1302,W1303=W1302+1))),INDEX(DATAS,W1302+1),"")</f>
        <v/>
      </c>
      <c r="AE1302" s="33" t="str">
        <f aca="false">IF(AND(Y1302=1,W1302&lt;1),IF(AND(C1303=C1302,W1303=W1302+1),IF(Y1303=1,"",INDEX(DATAS,W1302+1)),INDEX(DATAS,W1302+1)),"")</f>
        <v/>
      </c>
    </row>
    <row r="1303" customFormat="false" ht="15" hidden="false" customHeight="false" outlineLevel="0" collapsed="false">
      <c r="A1303" s="33" t="n">
        <v>46309</v>
      </c>
      <c r="B1303" s="0" t="n">
        <v>4</v>
      </c>
      <c r="C1303" s="0" t="n">
        <v>5386</v>
      </c>
      <c r="D1303" s="0" t="n">
        <v>305</v>
      </c>
      <c r="E1303" s="0" t="n">
        <v>1</v>
      </c>
      <c r="F1303" s="27" t="s">
        <v>871</v>
      </c>
      <c r="G1303" s="0" t="n">
        <v>38.7</v>
      </c>
      <c r="H1303" s="0" t="n">
        <v>38</v>
      </c>
      <c r="I1303" s="27" t="s">
        <v>138</v>
      </c>
      <c r="J1303" s="0" t="n">
        <v>172</v>
      </c>
      <c r="K1303" s="0" t="n">
        <v>67</v>
      </c>
      <c r="L1303" s="0" t="n">
        <v>133</v>
      </c>
      <c r="M1303" s="0" t="n">
        <v>1448.19</v>
      </c>
      <c r="N1303" s="0" t="n">
        <v>28.03</v>
      </c>
      <c r="O1303" s="0" t="n">
        <v>38.58</v>
      </c>
      <c r="P1303" s="0" t="n">
        <v>2.99</v>
      </c>
      <c r="Q1303" s="0" t="n">
        <v>3.69</v>
      </c>
      <c r="R1303" s="0" t="n">
        <v>5172</v>
      </c>
      <c r="S1303" s="0" t="n">
        <v>10640</v>
      </c>
      <c r="T1303" s="0" t="n">
        <v>56.95</v>
      </c>
      <c r="U1303" s="0" t="n">
        <v>948</v>
      </c>
      <c r="V1303" s="0" t="n">
        <v>4</v>
      </c>
      <c r="W1303" s="27" t="n">
        <f aca="false">MATCH(A1303,DATAS,0)</f>
        <v>1</v>
      </c>
      <c r="X1303" s="27" t="n">
        <f aca="false">IF(AND(E1303&gt;0,OR(AND(B1303&gt;=1,B1303&lt;=6),B1303=10)),1,0)</f>
        <v>1</v>
      </c>
      <c r="Y1303" s="27" t="n">
        <f aca="false">IF(AND(E1303&gt;0,B1303=10),1,0)</f>
        <v>0</v>
      </c>
      <c r="Z1303" s="0" t="str">
        <f aca="false">IF(AND(C1302=C1303,W1302=W1303-1),X1302,"")</f>
        <v/>
      </c>
      <c r="AA1303" s="0" t="str">
        <f aca="false">IF(AND(C1302=C1303,W1302=W1303-1),Y1302,"")</f>
        <v/>
      </c>
      <c r="AB1303" s="0" t="str">
        <f aca="false">IF(W1303=1,"",IF(AND(X1303=1,Z1303&lt;&gt;1),1,0))</f>
        <v/>
      </c>
      <c r="AC1303" s="0" t="str">
        <f aca="false">IF(W1303=1,"",IF(AND(Y1303=1,AA1303&lt;&gt;1),1,0))</f>
        <v/>
      </c>
      <c r="AD1303" s="33" t="str">
        <f aca="false">IF(AND(E1303&gt;0,W1303&lt;1,NOT(AND(C1304=C1303,W1304=W1303+1))),INDEX(DATAS,W1303+1),"")</f>
        <v/>
      </c>
      <c r="AE1303" s="33" t="str">
        <f aca="false">IF(AND(Y1303=1,W1303&lt;1),IF(AND(C1304=C1303,W1304=W1303+1),IF(Y1304=1,"",INDEX(DATAS,W1303+1)),INDEX(DATAS,W1303+1)),"")</f>
        <v/>
      </c>
    </row>
    <row r="1304" customFormat="false" ht="15" hidden="false" customHeight="false" outlineLevel="0" collapsed="false">
      <c r="A1304" s="33" t="n">
        <v>46309</v>
      </c>
      <c r="B1304" s="0" t="n">
        <v>4</v>
      </c>
      <c r="C1304" s="0" t="n">
        <v>5387</v>
      </c>
      <c r="D1304" s="0" t="n">
        <v>234</v>
      </c>
      <c r="E1304" s="0" t="n">
        <v>1</v>
      </c>
      <c r="F1304" s="27" t="s">
        <v>871</v>
      </c>
      <c r="G1304" s="0" t="n">
        <v>47.8</v>
      </c>
      <c r="H1304" s="0" t="n">
        <v>46</v>
      </c>
      <c r="I1304" s="27" t="s">
        <v>138</v>
      </c>
      <c r="J1304" s="0" t="n">
        <v>91</v>
      </c>
      <c r="K1304" s="0" t="n">
        <v>66</v>
      </c>
      <c r="L1304" s="0" t="n">
        <v>143</v>
      </c>
      <c r="M1304" s="0" t="n">
        <v>829.27</v>
      </c>
      <c r="N1304" s="0" t="n">
        <v>32.26</v>
      </c>
      <c r="O1304" s="0" t="n">
        <v>33.31</v>
      </c>
      <c r="P1304" s="0" t="n">
        <v>3.6</v>
      </c>
      <c r="Q1304" s="0" t="n">
        <v>3.46</v>
      </c>
      <c r="R1304" s="0" t="n">
        <v>3723</v>
      </c>
      <c r="S1304" s="0" t="n">
        <v>9339</v>
      </c>
      <c r="T1304" s="0" t="n">
        <v>41.85</v>
      </c>
      <c r="U1304" s="0" t="n">
        <v>948</v>
      </c>
      <c r="V1304" s="0" t="n">
        <v>2</v>
      </c>
      <c r="W1304" s="27" t="n">
        <f aca="false">MATCH(A1304,DATAS,0)</f>
        <v>1</v>
      </c>
      <c r="X1304" s="27" t="n">
        <f aca="false">IF(AND(E1304&gt;0,OR(AND(B1304&gt;=1,B1304&lt;=6),B1304=10)),1,0)</f>
        <v>1</v>
      </c>
      <c r="Y1304" s="27" t="n">
        <f aca="false">IF(AND(E1304&gt;0,B1304=10),1,0)</f>
        <v>0</v>
      </c>
      <c r="Z1304" s="0" t="str">
        <f aca="false">IF(AND(C1303=C1304,W1303=W1304-1),X1303,"")</f>
        <v/>
      </c>
      <c r="AA1304" s="0" t="str">
        <f aca="false">IF(AND(C1303=C1304,W1303=W1304-1),Y1303,"")</f>
        <v/>
      </c>
      <c r="AB1304" s="0" t="str">
        <f aca="false">IF(W1304=1,"",IF(AND(X1304=1,Z1304&lt;&gt;1),1,0))</f>
        <v/>
      </c>
      <c r="AC1304" s="0" t="str">
        <f aca="false">IF(W1304=1,"",IF(AND(Y1304=1,AA1304&lt;&gt;1),1,0))</f>
        <v/>
      </c>
      <c r="AD1304" s="33" t="str">
        <f aca="false">IF(AND(E1304&gt;0,W1304&lt;1,NOT(AND(C1305=C1304,W1305=W1304+1))),INDEX(DATAS,W1304+1),"")</f>
        <v/>
      </c>
      <c r="AE1304" s="33" t="str">
        <f aca="false">IF(AND(Y1304=1,W1304&lt;1),IF(AND(C1305=C1304,W1305=W1304+1),IF(Y1305=1,"",INDEX(DATAS,W1304+1)),INDEX(DATAS,W1304+1)),"")</f>
        <v/>
      </c>
    </row>
    <row r="1305" customFormat="false" ht="15" hidden="false" customHeight="false" outlineLevel="0" collapsed="false">
      <c r="A1305" s="33" t="n">
        <v>46309</v>
      </c>
      <c r="B1305" s="0" t="n">
        <v>4</v>
      </c>
      <c r="C1305" s="0" t="n">
        <v>5388</v>
      </c>
      <c r="D1305" s="0" t="n">
        <v>240</v>
      </c>
      <c r="E1305" s="0" t="n">
        <v>1</v>
      </c>
      <c r="F1305" s="27" t="s">
        <v>871</v>
      </c>
      <c r="G1305" s="0" t="n">
        <v>44.9</v>
      </c>
      <c r="H1305" s="0" t="n">
        <v>40</v>
      </c>
      <c r="I1305" s="27" t="s">
        <v>138</v>
      </c>
      <c r="J1305" s="0" t="n">
        <v>65</v>
      </c>
      <c r="K1305" s="0" t="n">
        <v>65</v>
      </c>
      <c r="L1305" s="0" t="n">
        <v>175</v>
      </c>
      <c r="M1305" s="0" t="n">
        <v>249.82</v>
      </c>
      <c r="N1305" s="0" t="n">
        <v>60.36</v>
      </c>
      <c r="O1305" s="0" t="n">
        <v>24.57</v>
      </c>
      <c r="P1305" s="0" t="n">
        <v>3.64</v>
      </c>
      <c r="Q1305" s="0" t="n">
        <v>3.61</v>
      </c>
      <c r="R1305" s="0" t="n">
        <v>3754</v>
      </c>
      <c r="S1305" s="0" t="n">
        <v>8513</v>
      </c>
      <c r="T1305" s="0" t="n">
        <v>44.45</v>
      </c>
      <c r="U1305" s="0" t="n">
        <v>948</v>
      </c>
      <c r="V1305" s="0" t="n">
        <v>1</v>
      </c>
      <c r="W1305" s="27" t="n">
        <f aca="false">MATCH(A1305,DATAS,0)</f>
        <v>1</v>
      </c>
      <c r="X1305" s="27" t="n">
        <f aca="false">IF(AND(E1305&gt;0,OR(AND(B1305&gt;=1,B1305&lt;=6),B1305=10)),1,0)</f>
        <v>1</v>
      </c>
      <c r="Y1305" s="27" t="n">
        <f aca="false">IF(AND(E1305&gt;0,B1305=10),1,0)</f>
        <v>0</v>
      </c>
      <c r="Z1305" s="0" t="str">
        <f aca="false">IF(AND(C1304=C1305,W1304=W1305-1),X1304,"")</f>
        <v/>
      </c>
      <c r="AA1305" s="0" t="str">
        <f aca="false">IF(AND(C1304=C1305,W1304=W1305-1),Y1304,"")</f>
        <v/>
      </c>
      <c r="AB1305" s="0" t="str">
        <f aca="false">IF(W1305=1,"",IF(AND(X1305=1,Z1305&lt;&gt;1),1,0))</f>
        <v/>
      </c>
      <c r="AC1305" s="0" t="str">
        <f aca="false">IF(W1305=1,"",IF(AND(Y1305=1,AA1305&lt;&gt;1),1,0))</f>
        <v/>
      </c>
      <c r="AD1305" s="33" t="str">
        <f aca="false">IF(AND(E1305&gt;0,W1305&lt;1,NOT(AND(C1306=C1305,W1306=W1305+1))),INDEX(DATAS,W1305+1),"")</f>
        <v/>
      </c>
      <c r="AE1305" s="33" t="str">
        <f aca="false">IF(AND(Y1305=1,W1305&lt;1),IF(AND(C1306=C1305,W1306=W1305+1),IF(Y1306=1,"",INDEX(DATAS,W1305+1)),INDEX(DATAS,W1305+1)),"")</f>
        <v/>
      </c>
    </row>
    <row r="1306" customFormat="false" ht="15" hidden="false" customHeight="false" outlineLevel="0" collapsed="false">
      <c r="A1306" s="33" t="n">
        <v>46309</v>
      </c>
      <c r="B1306" s="0" t="n">
        <v>4</v>
      </c>
      <c r="C1306" s="0" t="n">
        <v>5389</v>
      </c>
      <c r="D1306" s="0" t="n">
        <v>253</v>
      </c>
      <c r="E1306" s="0" t="n">
        <v>1</v>
      </c>
      <c r="F1306" s="27" t="s">
        <v>873</v>
      </c>
      <c r="G1306" s="0" t="n">
        <v>33.2</v>
      </c>
      <c r="H1306" s="0" t="n">
        <v>32</v>
      </c>
      <c r="I1306" s="27" t="s">
        <v>168</v>
      </c>
      <c r="J1306" s="0" t="n">
        <v>253</v>
      </c>
      <c r="K1306" s="0" t="n">
        <v>36</v>
      </c>
      <c r="M1306" s="0" t="n">
        <v>949.13</v>
      </c>
      <c r="N1306" s="0" t="n">
        <v>83.57</v>
      </c>
      <c r="O1306" s="0" t="n">
        <v>33.54</v>
      </c>
      <c r="P1306" s="0" t="n">
        <v>4.38</v>
      </c>
      <c r="Q1306" s="0" t="n">
        <v>3.66</v>
      </c>
      <c r="R1306" s="0" t="n">
        <v>3898</v>
      </c>
      <c r="S1306" s="0" t="n">
        <v>8202</v>
      </c>
      <c r="T1306" s="0" t="n">
        <v>43.1</v>
      </c>
      <c r="U1306" s="0" t="n">
        <v>947</v>
      </c>
      <c r="V1306" s="0" t="n">
        <v>8</v>
      </c>
      <c r="W1306" s="27" t="n">
        <f aca="false">MATCH(A1306,DATAS,0)</f>
        <v>1</v>
      </c>
      <c r="X1306" s="27" t="n">
        <f aca="false">IF(AND(E1306&gt;0,OR(AND(B1306&gt;=1,B1306&lt;=6),B1306=10)),1,0)</f>
        <v>1</v>
      </c>
      <c r="Y1306" s="27" t="n">
        <f aca="false">IF(AND(E1306&gt;0,B1306=10),1,0)</f>
        <v>0</v>
      </c>
      <c r="Z1306" s="0" t="str">
        <f aca="false">IF(AND(C1305=C1306,W1305=W1306-1),X1305,"")</f>
        <v/>
      </c>
      <c r="AA1306" s="0" t="str">
        <f aca="false">IF(AND(C1305=C1306,W1305=W1306-1),Y1305,"")</f>
        <v/>
      </c>
      <c r="AB1306" s="0" t="str">
        <f aca="false">IF(W1306=1,"",IF(AND(X1306=1,Z1306&lt;&gt;1),1,0))</f>
        <v/>
      </c>
      <c r="AC1306" s="0" t="str">
        <f aca="false">IF(W1306=1,"",IF(AND(Y1306=1,AA1306&lt;&gt;1),1,0))</f>
        <v/>
      </c>
      <c r="AD1306" s="33" t="str">
        <f aca="false">IF(AND(E1306&gt;0,W1306&lt;1,NOT(AND(C1307=C1306,W1307=W1306+1))),INDEX(DATAS,W1306+1),"")</f>
        <v/>
      </c>
      <c r="AE1306" s="33" t="str">
        <f aca="false">IF(AND(Y1306=1,W1306&lt;1),IF(AND(C1307=C1306,W1307=W1306+1),IF(Y1307=1,"",INDEX(DATAS,W1306+1)),INDEX(DATAS,W1306+1)),"")</f>
        <v/>
      </c>
    </row>
    <row r="1307" customFormat="false" ht="15" hidden="false" customHeight="false" outlineLevel="0" collapsed="false">
      <c r="A1307" s="33" t="n">
        <v>46309</v>
      </c>
      <c r="B1307" s="0" t="n">
        <v>4</v>
      </c>
      <c r="C1307" s="0" t="n">
        <v>5392</v>
      </c>
      <c r="D1307" s="0" t="n">
        <v>258</v>
      </c>
      <c r="E1307" s="0" t="n">
        <v>1</v>
      </c>
      <c r="F1307" s="27" t="s">
        <v>874</v>
      </c>
      <c r="G1307" s="0" t="n">
        <v>54.7</v>
      </c>
      <c r="H1307" s="0" t="n">
        <v>53</v>
      </c>
      <c r="I1307" s="27" t="s">
        <v>138</v>
      </c>
      <c r="J1307" s="0" t="n">
        <v>188</v>
      </c>
      <c r="K1307" s="0" t="n">
        <v>69</v>
      </c>
      <c r="L1307" s="0" t="n">
        <v>70</v>
      </c>
      <c r="M1307" s="0" t="n">
        <v>1169.37</v>
      </c>
      <c r="N1307" s="0" t="n">
        <v>73.96</v>
      </c>
      <c r="O1307" s="0" t="n">
        <v>36.78</v>
      </c>
      <c r="P1307" s="0" t="n">
        <v>3.89</v>
      </c>
      <c r="Q1307" s="0" t="n">
        <v>3.42</v>
      </c>
      <c r="R1307" s="0" t="n">
        <v>4303</v>
      </c>
      <c r="S1307" s="0" t="n">
        <v>10157</v>
      </c>
      <c r="T1307" s="0" t="n">
        <v>38.85</v>
      </c>
      <c r="U1307" s="0" t="n">
        <v>945</v>
      </c>
      <c r="V1307" s="0" t="n">
        <v>4</v>
      </c>
      <c r="W1307" s="27" t="n">
        <f aca="false">MATCH(A1307,DATAS,0)</f>
        <v>1</v>
      </c>
      <c r="X1307" s="27" t="n">
        <f aca="false">IF(AND(E1307&gt;0,OR(AND(B1307&gt;=1,B1307&lt;=6),B1307=10)),1,0)</f>
        <v>1</v>
      </c>
      <c r="Y1307" s="27" t="n">
        <f aca="false">IF(AND(E1307&gt;0,B1307=10),1,0)</f>
        <v>0</v>
      </c>
      <c r="Z1307" s="0" t="str">
        <f aca="false">IF(AND(C1306=C1307,W1306=W1307-1),X1306,"")</f>
        <v/>
      </c>
      <c r="AA1307" s="0" t="str">
        <f aca="false">IF(AND(C1306=C1307,W1306=W1307-1),Y1306,"")</f>
        <v/>
      </c>
      <c r="AB1307" s="0" t="str">
        <f aca="false">IF(W1307=1,"",IF(AND(X1307=1,Z1307&lt;&gt;1),1,0))</f>
        <v/>
      </c>
      <c r="AC1307" s="0" t="str">
        <f aca="false">IF(W1307=1,"",IF(AND(Y1307=1,AA1307&lt;&gt;1),1,0))</f>
        <v/>
      </c>
      <c r="AD1307" s="33" t="str">
        <f aca="false">IF(AND(E1307&gt;0,W1307&lt;1,NOT(AND(C1308=C1307,W1308=W1307+1))),INDEX(DATAS,W1307+1),"")</f>
        <v/>
      </c>
      <c r="AE1307" s="33" t="str">
        <f aca="false">IF(AND(Y1307=1,W1307&lt;1),IF(AND(C1308=C1307,W1308=W1307+1),IF(Y1308=1,"",INDEX(DATAS,W1307+1)),INDEX(DATAS,W1307+1)),"")</f>
        <v/>
      </c>
    </row>
    <row r="1308" customFormat="false" ht="15" hidden="false" customHeight="false" outlineLevel="0" collapsed="false">
      <c r="A1308" s="33" t="n">
        <v>46309</v>
      </c>
      <c r="B1308" s="0" t="n">
        <v>4</v>
      </c>
      <c r="C1308" s="0" t="n">
        <v>5393</v>
      </c>
      <c r="D1308" s="0" t="n">
        <v>270</v>
      </c>
      <c r="E1308" s="0" t="n">
        <v>1</v>
      </c>
      <c r="F1308" s="27" t="s">
        <v>875</v>
      </c>
      <c r="G1308" s="0" t="n">
        <v>42</v>
      </c>
      <c r="H1308" s="0" t="n">
        <v>42</v>
      </c>
      <c r="I1308" s="27" t="s">
        <v>138</v>
      </c>
      <c r="J1308" s="0" t="n">
        <v>186</v>
      </c>
      <c r="K1308" s="0" t="n">
        <v>67</v>
      </c>
      <c r="L1308" s="0" t="n">
        <v>84</v>
      </c>
      <c r="M1308" s="0" t="n">
        <v>821.52</v>
      </c>
      <c r="N1308" s="0" t="n">
        <v>73.66</v>
      </c>
      <c r="O1308" s="0" t="n">
        <v>34.48</v>
      </c>
      <c r="P1308" s="0" t="n">
        <v>3.85</v>
      </c>
      <c r="Q1308" s="0" t="n">
        <v>3.1</v>
      </c>
      <c r="R1308" s="0" t="n">
        <v>4283</v>
      </c>
      <c r="S1308" s="0" t="n">
        <v>9310</v>
      </c>
      <c r="T1308" s="0" t="n">
        <v>46.45</v>
      </c>
      <c r="U1308" s="0" t="n">
        <v>944</v>
      </c>
      <c r="V1308" s="0" t="n">
        <v>3</v>
      </c>
      <c r="W1308" s="27" t="n">
        <f aca="false">MATCH(A1308,DATAS,0)</f>
        <v>1</v>
      </c>
      <c r="X1308" s="27" t="n">
        <f aca="false">IF(AND(E1308&gt;0,OR(AND(B1308&gt;=1,B1308&lt;=6),B1308=10)),1,0)</f>
        <v>1</v>
      </c>
      <c r="Y1308" s="27" t="n">
        <f aca="false">IF(AND(E1308&gt;0,B1308=10),1,0)</f>
        <v>0</v>
      </c>
      <c r="Z1308" s="0" t="str">
        <f aca="false">IF(AND(C1307=C1308,W1307=W1308-1),X1307,"")</f>
        <v/>
      </c>
      <c r="AA1308" s="0" t="str">
        <f aca="false">IF(AND(C1307=C1308,W1307=W1308-1),Y1307,"")</f>
        <v/>
      </c>
      <c r="AB1308" s="0" t="str">
        <f aca="false">IF(W1308=1,"",IF(AND(X1308=1,Z1308&lt;&gt;1),1,0))</f>
        <v/>
      </c>
      <c r="AC1308" s="0" t="str">
        <f aca="false">IF(W1308=1,"",IF(AND(Y1308=1,AA1308&lt;&gt;1),1,0))</f>
        <v/>
      </c>
      <c r="AD1308" s="33" t="str">
        <f aca="false">IF(AND(E1308&gt;0,W1308&lt;1,NOT(AND(C1309=C1308,W1309=W1308+1))),INDEX(DATAS,W1308+1),"")</f>
        <v/>
      </c>
      <c r="AE1308" s="33" t="str">
        <f aca="false">IF(AND(Y1308=1,W1308&lt;1),IF(AND(C1309=C1308,W1309=W1308+1),IF(Y1309=1,"",INDEX(DATAS,W1308+1)),INDEX(DATAS,W1308+1)),"")</f>
        <v/>
      </c>
    </row>
    <row r="1309" customFormat="false" ht="15" hidden="false" customHeight="false" outlineLevel="0" collapsed="false">
      <c r="A1309" s="33" t="n">
        <v>46309</v>
      </c>
      <c r="B1309" s="0" t="n">
        <v>4</v>
      </c>
      <c r="C1309" s="0" t="n">
        <v>5394</v>
      </c>
      <c r="D1309" s="0" t="n">
        <v>254</v>
      </c>
      <c r="E1309" s="0" t="n">
        <v>1</v>
      </c>
      <c r="F1309" s="27" t="s">
        <v>874</v>
      </c>
      <c r="G1309" s="0" t="n">
        <v>41.6</v>
      </c>
      <c r="H1309" s="0" t="n">
        <v>44</v>
      </c>
      <c r="I1309" s="27" t="s">
        <v>138</v>
      </c>
      <c r="J1309" s="0" t="n">
        <v>121</v>
      </c>
      <c r="K1309" s="0" t="n">
        <v>86</v>
      </c>
      <c r="L1309" s="0" t="n">
        <v>133</v>
      </c>
      <c r="M1309" s="0" t="n">
        <v>554.24</v>
      </c>
      <c r="N1309" s="0" t="n">
        <v>14.35</v>
      </c>
      <c r="O1309" s="0" t="n">
        <v>23.52</v>
      </c>
      <c r="P1309" s="0" t="n">
        <v>3.06</v>
      </c>
      <c r="Q1309" s="0" t="n">
        <v>3.66</v>
      </c>
      <c r="R1309" s="0" t="n">
        <v>3528</v>
      </c>
      <c r="S1309" s="0" t="n">
        <v>7935</v>
      </c>
      <c r="T1309" s="0" t="n">
        <v>39.95</v>
      </c>
      <c r="U1309" s="0" t="n">
        <v>945</v>
      </c>
      <c r="V1309" s="0" t="n">
        <v>2</v>
      </c>
      <c r="W1309" s="27" t="n">
        <f aca="false">MATCH(A1309,DATAS,0)</f>
        <v>1</v>
      </c>
      <c r="X1309" s="27" t="n">
        <f aca="false">IF(AND(E1309&gt;0,OR(AND(B1309&gt;=1,B1309&lt;=6),B1309=10)),1,0)</f>
        <v>1</v>
      </c>
      <c r="Y1309" s="27" t="n">
        <f aca="false">IF(AND(E1309&gt;0,B1309=10),1,0)</f>
        <v>0</v>
      </c>
      <c r="Z1309" s="0" t="str">
        <f aca="false">IF(AND(C1308=C1309,W1308=W1309-1),X1308,"")</f>
        <v/>
      </c>
      <c r="AA1309" s="0" t="str">
        <f aca="false">IF(AND(C1308=C1309,W1308=W1309-1),Y1308,"")</f>
        <v/>
      </c>
      <c r="AB1309" s="0" t="str">
        <f aca="false">IF(W1309=1,"",IF(AND(X1309=1,Z1309&lt;&gt;1),1,0))</f>
        <v/>
      </c>
      <c r="AC1309" s="0" t="str">
        <f aca="false">IF(W1309=1,"",IF(AND(Y1309=1,AA1309&lt;&gt;1),1,0))</f>
        <v/>
      </c>
      <c r="AD1309" s="33" t="str">
        <f aca="false">IF(AND(E1309&gt;0,W1309&lt;1,NOT(AND(C1310=C1309,W1310=W1309+1))),INDEX(DATAS,W1309+1),"")</f>
        <v/>
      </c>
      <c r="AE1309" s="33" t="str">
        <f aca="false">IF(AND(Y1309=1,W1309&lt;1),IF(AND(C1310=C1309,W1310=W1309+1),IF(Y1310=1,"",INDEX(DATAS,W1309+1)),INDEX(DATAS,W1309+1)),"")</f>
        <v/>
      </c>
    </row>
    <row r="1310" customFormat="false" ht="15" hidden="false" customHeight="false" outlineLevel="0" collapsed="false">
      <c r="A1310" s="33" t="n">
        <v>46309</v>
      </c>
      <c r="B1310" s="0" t="n">
        <v>7</v>
      </c>
      <c r="C1310" s="0" t="n">
        <v>5395</v>
      </c>
      <c r="D1310" s="0" t="n">
        <v>290</v>
      </c>
      <c r="E1310" s="0" t="n">
        <v>1</v>
      </c>
      <c r="F1310" s="27" t="s">
        <v>874</v>
      </c>
      <c r="I1310" s="27" t="s">
        <v>143</v>
      </c>
      <c r="J1310" s="0" t="n">
        <v>67</v>
      </c>
      <c r="K1310" s="0" t="n">
        <v>67</v>
      </c>
      <c r="L1310" s="0" t="n">
        <v>238</v>
      </c>
      <c r="M1310" s="0" t="n">
        <v>314.14</v>
      </c>
      <c r="N1310" s="0" t="n">
        <v>59.22</v>
      </c>
      <c r="O1310" s="0" t="n">
        <v>26.02</v>
      </c>
      <c r="P1310" s="0" t="n">
        <v>5.85</v>
      </c>
      <c r="Q1310" s="0" t="n">
        <v>3.78</v>
      </c>
      <c r="R1310" s="0" t="n">
        <v>3480</v>
      </c>
      <c r="S1310" s="0" t="n">
        <v>7212</v>
      </c>
      <c r="T1310" s="0" t="n">
        <v>37.1</v>
      </c>
      <c r="U1310" s="0" t="n">
        <v>945</v>
      </c>
      <c r="V1310" s="0" t="n">
        <v>1</v>
      </c>
      <c r="W1310" s="27" t="n">
        <f aca="false">MATCH(A1310,DATAS,0)</f>
        <v>1</v>
      </c>
      <c r="X1310" s="27" t="n">
        <f aca="false">IF(AND(E1310&gt;0,OR(AND(B1310&gt;=1,B1310&lt;=6),B1310=10)),1,0)</f>
        <v>0</v>
      </c>
      <c r="Y1310" s="27" t="n">
        <f aca="false">IF(AND(E1310&gt;0,B1310=10),1,0)</f>
        <v>0</v>
      </c>
      <c r="Z1310" s="0" t="str">
        <f aca="false">IF(AND(C1309=C1310,W1309=W1310-1),X1309,"")</f>
        <v/>
      </c>
      <c r="AA1310" s="0" t="str">
        <f aca="false">IF(AND(C1309=C1310,W1309=W1310-1),Y1309,"")</f>
        <v/>
      </c>
      <c r="AB1310" s="0" t="str">
        <f aca="false">IF(W1310=1,"",IF(AND(X1310=1,Z1310&lt;&gt;1),1,0))</f>
        <v/>
      </c>
      <c r="AC1310" s="0" t="str">
        <f aca="false">IF(W1310=1,"",IF(AND(Y1310=1,AA1310&lt;&gt;1),1,0))</f>
        <v/>
      </c>
      <c r="AD1310" s="33" t="str">
        <f aca="false">IF(AND(E1310&gt;0,W1310&lt;1,NOT(AND(C1311=C1310,W1311=W1310+1))),INDEX(DATAS,W1310+1),"")</f>
        <v/>
      </c>
      <c r="AE1310" s="33" t="str">
        <f aca="false">IF(AND(Y1310=1,W1310&lt;1),IF(AND(C1311=C1310,W1311=W1310+1),IF(Y1311=1,"",INDEX(DATAS,W1310+1)),INDEX(DATAS,W1310+1)),"")</f>
        <v/>
      </c>
    </row>
    <row r="1311" customFormat="false" ht="15" hidden="false" customHeight="false" outlineLevel="0" collapsed="false">
      <c r="A1311" s="33" t="n">
        <v>46309</v>
      </c>
      <c r="B1311" s="0" t="n">
        <v>4</v>
      </c>
      <c r="C1311" s="0" t="n">
        <v>5396</v>
      </c>
      <c r="D1311" s="0" t="n">
        <v>256</v>
      </c>
      <c r="E1311" s="0" t="n">
        <v>1</v>
      </c>
      <c r="F1311" s="27" t="s">
        <v>874</v>
      </c>
      <c r="G1311" s="0" t="n">
        <v>48.3</v>
      </c>
      <c r="H1311" s="0" t="n">
        <v>48</v>
      </c>
      <c r="I1311" s="27" t="s">
        <v>138</v>
      </c>
      <c r="J1311" s="0" t="n">
        <v>158</v>
      </c>
      <c r="K1311" s="0" t="n">
        <v>67</v>
      </c>
      <c r="L1311" s="0" t="n">
        <v>98</v>
      </c>
      <c r="M1311" s="0" t="n">
        <v>359.99</v>
      </c>
      <c r="N1311" s="0" t="n">
        <v>61.04</v>
      </c>
      <c r="O1311" s="0" t="n">
        <v>27.58</v>
      </c>
      <c r="P1311" s="0" t="n">
        <v>3.39</v>
      </c>
      <c r="Q1311" s="0" t="n">
        <v>3.68</v>
      </c>
      <c r="R1311" s="0" t="n">
        <v>3918</v>
      </c>
      <c r="S1311" s="0" t="n">
        <v>8964</v>
      </c>
      <c r="T1311" s="0" t="n">
        <v>39.85</v>
      </c>
      <c r="U1311" s="0" t="n">
        <v>945</v>
      </c>
      <c r="V1311" s="0" t="n">
        <v>4</v>
      </c>
      <c r="W1311" s="27" t="n">
        <f aca="false">MATCH(A1311,DATAS,0)</f>
        <v>1</v>
      </c>
      <c r="X1311" s="27" t="n">
        <f aca="false">IF(AND(E1311&gt;0,OR(AND(B1311&gt;=1,B1311&lt;=6),B1311=10)),1,0)</f>
        <v>1</v>
      </c>
      <c r="Y1311" s="27" t="n">
        <f aca="false">IF(AND(E1311&gt;0,B1311=10),1,0)</f>
        <v>0</v>
      </c>
      <c r="Z1311" s="0" t="str">
        <f aca="false">IF(AND(C1310=C1311,W1310=W1311-1),X1310,"")</f>
        <v/>
      </c>
      <c r="AA1311" s="0" t="str">
        <f aca="false">IF(AND(C1310=C1311,W1310=W1311-1),Y1310,"")</f>
        <v/>
      </c>
      <c r="AB1311" s="0" t="str">
        <f aca="false">IF(W1311=1,"",IF(AND(X1311=1,Z1311&lt;&gt;1),1,0))</f>
        <v/>
      </c>
      <c r="AC1311" s="0" t="str">
        <f aca="false">IF(W1311=1,"",IF(AND(Y1311=1,AA1311&lt;&gt;1),1,0))</f>
        <v/>
      </c>
      <c r="AD1311" s="33" t="str">
        <f aca="false">IF(AND(E1311&gt;0,W1311&lt;1,NOT(AND(C1312=C1311,W1312=W1311+1))),INDEX(DATAS,W1311+1),"")</f>
        <v/>
      </c>
      <c r="AE1311" s="33" t="str">
        <f aca="false">IF(AND(Y1311=1,W1311&lt;1),IF(AND(C1312=C1311,W1312=W1311+1),IF(Y1312=1,"",INDEX(DATAS,W1311+1)),INDEX(DATAS,W1311+1)),"")</f>
        <v/>
      </c>
    </row>
    <row r="1312" customFormat="false" ht="15" hidden="false" customHeight="false" outlineLevel="0" collapsed="false">
      <c r="A1312" s="33" t="n">
        <v>46309</v>
      </c>
      <c r="B1312" s="0" t="n">
        <v>4</v>
      </c>
      <c r="C1312" s="0" t="n">
        <v>5397</v>
      </c>
      <c r="D1312" s="0" t="n">
        <v>292</v>
      </c>
      <c r="E1312" s="0" t="n">
        <v>1</v>
      </c>
      <c r="F1312" s="27" t="s">
        <v>874</v>
      </c>
      <c r="G1312" s="0" t="n">
        <v>43.8</v>
      </c>
      <c r="H1312" s="0" t="n">
        <v>44</v>
      </c>
      <c r="I1312" s="27" t="s">
        <v>138</v>
      </c>
      <c r="J1312" s="0" t="n">
        <v>75</v>
      </c>
      <c r="K1312" s="0" t="n">
        <v>75</v>
      </c>
      <c r="L1312" s="0" t="n">
        <v>217</v>
      </c>
      <c r="M1312" s="0" t="n">
        <v>1273.61</v>
      </c>
      <c r="N1312" s="0" t="n">
        <v>56.15</v>
      </c>
      <c r="O1312" s="0" t="n">
        <v>45.4</v>
      </c>
      <c r="P1312" s="0" t="n">
        <v>0</v>
      </c>
      <c r="Q1312" s="0" t="n">
        <v>0</v>
      </c>
      <c r="R1312" s="0" t="n">
        <v>4628</v>
      </c>
      <c r="S1312" s="0" t="n">
        <v>10472</v>
      </c>
      <c r="T1312" s="0" t="n">
        <v>50.1</v>
      </c>
      <c r="U1312" s="0" t="n">
        <v>945</v>
      </c>
      <c r="V1312" s="0" t="n">
        <v>1</v>
      </c>
      <c r="W1312" s="27" t="n">
        <f aca="false">MATCH(A1312,DATAS,0)</f>
        <v>1</v>
      </c>
      <c r="X1312" s="27" t="n">
        <f aca="false">IF(AND(E1312&gt;0,OR(AND(B1312&gt;=1,B1312&lt;=6),B1312=10)),1,0)</f>
        <v>1</v>
      </c>
      <c r="Y1312" s="27" t="n">
        <f aca="false">IF(AND(E1312&gt;0,B1312=10),1,0)</f>
        <v>0</v>
      </c>
      <c r="Z1312" s="0" t="str">
        <f aca="false">IF(AND(C1311=C1312,W1311=W1312-1),X1311,"")</f>
        <v/>
      </c>
      <c r="AA1312" s="0" t="str">
        <f aca="false">IF(AND(C1311=C1312,W1311=W1312-1),Y1311,"")</f>
        <v/>
      </c>
      <c r="AB1312" s="0" t="str">
        <f aca="false">IF(W1312=1,"",IF(AND(X1312=1,Z1312&lt;&gt;1),1,0))</f>
        <v/>
      </c>
      <c r="AC1312" s="0" t="str">
        <f aca="false">IF(W1312=1,"",IF(AND(Y1312=1,AA1312&lt;&gt;1),1,0))</f>
        <v/>
      </c>
      <c r="AD1312" s="33" t="str">
        <f aca="false">IF(AND(E1312&gt;0,W1312&lt;1,NOT(AND(C1313=C1312,W1313=W1312+1))),INDEX(DATAS,W1312+1),"")</f>
        <v/>
      </c>
      <c r="AE1312" s="33" t="str">
        <f aca="false">IF(AND(Y1312=1,W1312&lt;1),IF(AND(C1313=C1312,W1313=W1312+1),IF(Y1313=1,"",INDEX(DATAS,W1312+1)),INDEX(DATAS,W1312+1)),"")</f>
        <v/>
      </c>
    </row>
    <row r="1313" customFormat="false" ht="15" hidden="false" customHeight="false" outlineLevel="0" collapsed="false">
      <c r="A1313" s="33" t="n">
        <v>46309</v>
      </c>
      <c r="B1313" s="0" t="n">
        <v>4</v>
      </c>
      <c r="C1313" s="0" t="n">
        <v>5398</v>
      </c>
      <c r="D1313" s="0" t="n">
        <v>298</v>
      </c>
      <c r="E1313" s="0" t="n">
        <v>1</v>
      </c>
      <c r="F1313" s="27" t="s">
        <v>875</v>
      </c>
      <c r="G1313" s="0" t="n">
        <v>44.7</v>
      </c>
      <c r="H1313" s="0" t="n">
        <v>42</v>
      </c>
      <c r="I1313" s="27" t="s">
        <v>138</v>
      </c>
      <c r="J1313" s="0" t="n">
        <v>95</v>
      </c>
      <c r="K1313" s="0" t="n">
        <v>60</v>
      </c>
      <c r="L1313" s="0" t="n">
        <v>203</v>
      </c>
      <c r="M1313" s="0" t="n">
        <v>540.06</v>
      </c>
      <c r="N1313" s="0" t="n">
        <v>78.01</v>
      </c>
      <c r="O1313" s="0" t="n">
        <v>33.53</v>
      </c>
      <c r="P1313" s="0" t="n">
        <v>4.22</v>
      </c>
      <c r="Q1313" s="0" t="n">
        <v>3.77</v>
      </c>
      <c r="R1313" s="0" t="n">
        <v>4634</v>
      </c>
      <c r="S1313" s="0" t="n">
        <v>10110</v>
      </c>
      <c r="T1313" s="0" t="n">
        <v>49.05</v>
      </c>
      <c r="U1313" s="0" t="n">
        <v>944</v>
      </c>
      <c r="V1313" s="0" t="n">
        <v>2</v>
      </c>
      <c r="W1313" s="27" t="n">
        <f aca="false">MATCH(A1313,DATAS,0)</f>
        <v>1</v>
      </c>
      <c r="X1313" s="27" t="n">
        <f aca="false">IF(AND(E1313&gt;0,OR(AND(B1313&gt;=1,B1313&lt;=6),B1313=10)),1,0)</f>
        <v>1</v>
      </c>
      <c r="Y1313" s="27" t="n">
        <f aca="false">IF(AND(E1313&gt;0,B1313=10),1,0)</f>
        <v>0</v>
      </c>
      <c r="Z1313" s="0" t="str">
        <f aca="false">IF(AND(C1312=C1313,W1312=W1313-1),X1312,"")</f>
        <v/>
      </c>
      <c r="AA1313" s="0" t="str">
        <f aca="false">IF(AND(C1312=C1313,W1312=W1313-1),Y1312,"")</f>
        <v/>
      </c>
      <c r="AB1313" s="0" t="str">
        <f aca="false">IF(W1313=1,"",IF(AND(X1313=1,Z1313&lt;&gt;1),1,0))</f>
        <v/>
      </c>
      <c r="AC1313" s="0" t="str">
        <f aca="false">IF(W1313=1,"",IF(AND(Y1313=1,AA1313&lt;&gt;1),1,0))</f>
        <v/>
      </c>
      <c r="AD1313" s="33" t="str">
        <f aca="false">IF(AND(E1313&gt;0,W1313&lt;1,NOT(AND(C1314=C1313,W1314=W1313+1))),INDEX(DATAS,W1313+1),"")</f>
        <v/>
      </c>
      <c r="AE1313" s="33" t="str">
        <f aca="false">IF(AND(Y1313=1,W1313&lt;1),IF(AND(C1314=C1313,W1314=W1313+1),IF(Y1314=1,"",INDEX(DATAS,W1313+1)),INDEX(DATAS,W1313+1)),"")</f>
        <v/>
      </c>
    </row>
    <row r="1314" customFormat="false" ht="15" hidden="false" customHeight="false" outlineLevel="0" collapsed="false">
      <c r="A1314" s="33" t="n">
        <v>46309</v>
      </c>
      <c r="B1314" s="0" t="n">
        <v>7</v>
      </c>
      <c r="C1314" s="0" t="n">
        <v>5399</v>
      </c>
      <c r="D1314" s="0" t="n">
        <v>287</v>
      </c>
      <c r="E1314" s="0" t="n">
        <v>1</v>
      </c>
      <c r="F1314" s="27" t="s">
        <v>875</v>
      </c>
      <c r="G1314" s="0" t="n">
        <v>11.9</v>
      </c>
      <c r="H1314" s="0" t="n">
        <v>34</v>
      </c>
      <c r="I1314" s="27" t="s">
        <v>143</v>
      </c>
      <c r="J1314" s="0" t="n">
        <v>64</v>
      </c>
      <c r="K1314" s="0" t="n">
        <v>64</v>
      </c>
      <c r="L1314" s="0" t="n">
        <v>224</v>
      </c>
      <c r="M1314" s="0" t="n">
        <v>838.89</v>
      </c>
      <c r="N1314" s="0" t="n">
        <v>69.74</v>
      </c>
      <c r="O1314" s="0" t="n">
        <v>41.79</v>
      </c>
      <c r="P1314" s="0" t="n">
        <v>3.84</v>
      </c>
      <c r="Q1314" s="0" t="n">
        <v>3.79</v>
      </c>
      <c r="R1314" s="0" t="n">
        <v>4114</v>
      </c>
      <c r="S1314" s="0" t="n">
        <v>9179</v>
      </c>
      <c r="T1314" s="0" t="n">
        <v>41.3</v>
      </c>
      <c r="U1314" s="0" t="n">
        <v>944</v>
      </c>
      <c r="V1314" s="0" t="n">
        <v>1</v>
      </c>
      <c r="W1314" s="27" t="n">
        <f aca="false">MATCH(A1314,DATAS,0)</f>
        <v>1</v>
      </c>
      <c r="X1314" s="27" t="n">
        <f aca="false">IF(AND(E1314&gt;0,OR(AND(B1314&gt;=1,B1314&lt;=6),B1314=10)),1,0)</f>
        <v>0</v>
      </c>
      <c r="Y1314" s="27" t="n">
        <f aca="false">IF(AND(E1314&gt;0,B1314=10),1,0)</f>
        <v>0</v>
      </c>
      <c r="Z1314" s="0" t="str">
        <f aca="false">IF(AND(C1313=C1314,W1313=W1314-1),X1313,"")</f>
        <v/>
      </c>
      <c r="AA1314" s="0" t="str">
        <f aca="false">IF(AND(C1313=C1314,W1313=W1314-1),Y1313,"")</f>
        <v/>
      </c>
      <c r="AB1314" s="0" t="str">
        <f aca="false">IF(W1314=1,"",IF(AND(X1314=1,Z1314&lt;&gt;1),1,0))</f>
        <v/>
      </c>
      <c r="AC1314" s="0" t="str">
        <f aca="false">IF(W1314=1,"",IF(AND(Y1314=1,AA1314&lt;&gt;1),1,0))</f>
        <v/>
      </c>
      <c r="AD1314" s="33" t="str">
        <f aca="false">IF(AND(E1314&gt;0,W1314&lt;1,NOT(AND(C1315=C1314,W1315=W1314+1))),INDEX(DATAS,W1314+1),"")</f>
        <v/>
      </c>
      <c r="AE1314" s="33" t="str">
        <f aca="false">IF(AND(Y1314=1,W1314&lt;1),IF(AND(C1315=C1314,W1315=W1314+1),IF(Y1315=1,"",INDEX(DATAS,W1314+1)),INDEX(DATAS,W1314+1)),"")</f>
        <v/>
      </c>
    </row>
    <row r="1315" customFormat="false" ht="15" hidden="false" customHeight="false" outlineLevel="0" collapsed="false">
      <c r="A1315" s="33" t="n">
        <v>46309</v>
      </c>
      <c r="B1315" s="0" t="n">
        <v>4</v>
      </c>
      <c r="C1315" s="0" t="n">
        <v>5400</v>
      </c>
      <c r="D1315" s="0" t="n">
        <v>286</v>
      </c>
      <c r="E1315" s="0" t="n">
        <v>1</v>
      </c>
      <c r="F1315" s="27" t="s">
        <v>875</v>
      </c>
      <c r="G1315" s="0" t="n">
        <v>50.1</v>
      </c>
      <c r="H1315" s="0" t="n">
        <v>49</v>
      </c>
      <c r="I1315" s="27" t="s">
        <v>176</v>
      </c>
      <c r="J1315" s="0" t="n">
        <v>286</v>
      </c>
      <c r="K1315" s="0" t="n">
        <v>62</v>
      </c>
      <c r="M1315" s="0" t="n">
        <v>770.74</v>
      </c>
      <c r="N1315" s="0" t="n">
        <v>58.44</v>
      </c>
      <c r="O1315" s="0" t="n">
        <v>32.52</v>
      </c>
      <c r="P1315" s="0" t="n">
        <v>4.05</v>
      </c>
      <c r="Q1315" s="0" t="n">
        <v>3.75</v>
      </c>
      <c r="R1315" s="0" t="n">
        <v>4798</v>
      </c>
      <c r="S1315" s="0" t="n">
        <v>10364</v>
      </c>
      <c r="T1315" s="0" t="n">
        <v>51.8</v>
      </c>
      <c r="U1315" s="0" t="n">
        <v>944</v>
      </c>
      <c r="V1315" s="0" t="n">
        <v>6</v>
      </c>
      <c r="W1315" s="27" t="n">
        <f aca="false">MATCH(A1315,DATAS,0)</f>
        <v>1</v>
      </c>
      <c r="X1315" s="27" t="n">
        <f aca="false">IF(AND(E1315&gt;0,OR(AND(B1315&gt;=1,B1315&lt;=6),B1315=10)),1,0)</f>
        <v>1</v>
      </c>
      <c r="Y1315" s="27" t="n">
        <f aca="false">IF(AND(E1315&gt;0,B1315=10),1,0)</f>
        <v>0</v>
      </c>
      <c r="Z1315" s="0" t="str">
        <f aca="false">IF(AND(C1314=C1315,W1314=W1315-1),X1314,"")</f>
        <v/>
      </c>
      <c r="AA1315" s="0" t="str">
        <f aca="false">IF(AND(C1314=C1315,W1314=W1315-1),Y1314,"")</f>
        <v/>
      </c>
      <c r="AB1315" s="0" t="str">
        <f aca="false">IF(W1315=1,"",IF(AND(X1315=1,Z1315&lt;&gt;1),1,0))</f>
        <v/>
      </c>
      <c r="AC1315" s="0" t="str">
        <f aca="false">IF(W1315=1,"",IF(AND(Y1315=1,AA1315&lt;&gt;1),1,0))</f>
        <v/>
      </c>
      <c r="AD1315" s="33" t="str">
        <f aca="false">IF(AND(E1315&gt;0,W1315&lt;1,NOT(AND(C1316=C1315,W1316=W1315+1))),INDEX(DATAS,W1315+1),"")</f>
        <v/>
      </c>
      <c r="AE1315" s="33" t="str">
        <f aca="false">IF(AND(Y1315=1,W1315&lt;1),IF(AND(C1316=C1315,W1316=W1315+1),IF(Y1316=1,"",INDEX(DATAS,W1315+1)),INDEX(DATAS,W1315+1)),"")</f>
        <v/>
      </c>
    </row>
    <row r="1316" customFormat="false" ht="15" hidden="false" customHeight="false" outlineLevel="0" collapsed="false">
      <c r="A1316" s="33" t="n">
        <v>46309</v>
      </c>
      <c r="B1316" s="0" t="n">
        <v>4</v>
      </c>
      <c r="C1316" s="0" t="n">
        <v>5401</v>
      </c>
      <c r="D1316" s="0" t="n">
        <v>297</v>
      </c>
      <c r="E1316" s="0" t="n">
        <v>1</v>
      </c>
      <c r="F1316" s="27" t="s">
        <v>876</v>
      </c>
      <c r="G1316" s="0" t="n">
        <v>53.3</v>
      </c>
      <c r="H1316" s="0" t="n">
        <v>49</v>
      </c>
      <c r="I1316" s="27" t="s">
        <v>138</v>
      </c>
      <c r="J1316" s="0" t="n">
        <v>122</v>
      </c>
      <c r="K1316" s="0" t="n">
        <v>66</v>
      </c>
      <c r="L1316" s="0" t="n">
        <v>175</v>
      </c>
      <c r="M1316" s="0" t="n">
        <v>1694.28</v>
      </c>
      <c r="N1316" s="0" t="n">
        <v>65.41</v>
      </c>
      <c r="O1316" s="0" t="n">
        <v>55.36</v>
      </c>
      <c r="P1316" s="0" t="n">
        <v>3.37</v>
      </c>
      <c r="Q1316" s="0" t="n">
        <v>4.05</v>
      </c>
      <c r="R1316" s="0" t="n">
        <v>4896</v>
      </c>
      <c r="S1316" s="0" t="n">
        <v>10799</v>
      </c>
      <c r="T1316" s="0" t="n">
        <v>52.4</v>
      </c>
      <c r="U1316" s="0" t="n">
        <v>942</v>
      </c>
      <c r="V1316" s="0" t="n">
        <v>3</v>
      </c>
      <c r="W1316" s="27" t="n">
        <f aca="false">MATCH(A1316,DATAS,0)</f>
        <v>1</v>
      </c>
      <c r="X1316" s="27" t="n">
        <f aca="false">IF(AND(E1316&gt;0,OR(AND(B1316&gt;=1,B1316&lt;=6),B1316=10)),1,0)</f>
        <v>1</v>
      </c>
      <c r="Y1316" s="27" t="n">
        <f aca="false">IF(AND(E1316&gt;0,B1316=10),1,0)</f>
        <v>0</v>
      </c>
      <c r="Z1316" s="0" t="str">
        <f aca="false">IF(AND(C1315=C1316,W1315=W1316-1),X1315,"")</f>
        <v/>
      </c>
      <c r="AA1316" s="0" t="str">
        <f aca="false">IF(AND(C1315=C1316,W1315=W1316-1),Y1315,"")</f>
        <v/>
      </c>
      <c r="AB1316" s="0" t="str">
        <f aca="false">IF(W1316=1,"",IF(AND(X1316=1,Z1316&lt;&gt;1),1,0))</f>
        <v/>
      </c>
      <c r="AC1316" s="0" t="str">
        <f aca="false">IF(W1316=1,"",IF(AND(Y1316=1,AA1316&lt;&gt;1),1,0))</f>
        <v/>
      </c>
      <c r="AD1316" s="33" t="str">
        <f aca="false">IF(AND(E1316&gt;0,W1316&lt;1,NOT(AND(C1317=C1316,W1317=W1316+1))),INDEX(DATAS,W1316+1),"")</f>
        <v/>
      </c>
      <c r="AE1316" s="33" t="str">
        <f aca="false">IF(AND(Y1316=1,W1316&lt;1),IF(AND(C1317=C1316,W1317=W1316+1),IF(Y1317=1,"",INDEX(DATAS,W1316+1)),INDEX(DATAS,W1316+1)),"")</f>
        <v/>
      </c>
    </row>
    <row r="1317" customFormat="false" ht="15" hidden="false" customHeight="false" outlineLevel="0" collapsed="false">
      <c r="A1317" s="33" t="n">
        <v>46309</v>
      </c>
      <c r="B1317" s="0" t="n">
        <v>4</v>
      </c>
      <c r="C1317" s="0" t="n">
        <v>5403</v>
      </c>
      <c r="D1317" s="0" t="n">
        <v>309</v>
      </c>
      <c r="E1317" s="0" t="n">
        <v>1</v>
      </c>
      <c r="F1317" s="27" t="s">
        <v>876</v>
      </c>
      <c r="G1317" s="0" t="n">
        <v>36.1</v>
      </c>
      <c r="H1317" s="0" t="n">
        <v>36</v>
      </c>
      <c r="I1317" s="27" t="s">
        <v>138</v>
      </c>
      <c r="J1317" s="0" t="n">
        <v>176</v>
      </c>
      <c r="K1317" s="0" t="n">
        <v>71</v>
      </c>
      <c r="L1317" s="0" t="n">
        <v>133</v>
      </c>
      <c r="M1317" s="0" t="n">
        <v>317.31</v>
      </c>
      <c r="N1317" s="0" t="n">
        <v>30.04</v>
      </c>
      <c r="O1317" s="0" t="n">
        <v>19.27</v>
      </c>
      <c r="P1317" s="0" t="n">
        <v>3.85</v>
      </c>
      <c r="Q1317" s="0" t="n">
        <v>3.8</v>
      </c>
      <c r="R1317" s="0" t="n">
        <v>2341</v>
      </c>
      <c r="S1317" s="0" t="n">
        <v>5711</v>
      </c>
      <c r="T1317" s="0" t="n">
        <v>26.75</v>
      </c>
      <c r="U1317" s="0" t="n">
        <v>942</v>
      </c>
      <c r="V1317" s="0" t="n">
        <v>5</v>
      </c>
      <c r="W1317" s="27" t="n">
        <f aca="false">MATCH(A1317,DATAS,0)</f>
        <v>1</v>
      </c>
      <c r="X1317" s="27" t="n">
        <f aca="false">IF(AND(E1317&gt;0,OR(AND(B1317&gt;=1,B1317&lt;=6),B1317=10)),1,0)</f>
        <v>1</v>
      </c>
      <c r="Y1317" s="27" t="n">
        <f aca="false">IF(AND(E1317&gt;0,B1317=10),1,0)</f>
        <v>0</v>
      </c>
      <c r="Z1317" s="0" t="str">
        <f aca="false">IF(AND(C1316=C1317,W1316=W1317-1),X1316,"")</f>
        <v/>
      </c>
      <c r="AA1317" s="0" t="str">
        <f aca="false">IF(AND(C1316=C1317,W1316=W1317-1),Y1316,"")</f>
        <v/>
      </c>
      <c r="AB1317" s="0" t="str">
        <f aca="false">IF(W1317=1,"",IF(AND(X1317=1,Z1317&lt;&gt;1),1,0))</f>
        <v/>
      </c>
      <c r="AC1317" s="0" t="str">
        <f aca="false">IF(W1317=1,"",IF(AND(Y1317=1,AA1317&lt;&gt;1),1,0))</f>
        <v/>
      </c>
      <c r="AD1317" s="33" t="str">
        <f aca="false">IF(AND(E1317&gt;0,W1317&lt;1,NOT(AND(C1318=C1317,W1318=W1317+1))),INDEX(DATAS,W1317+1),"")</f>
        <v/>
      </c>
      <c r="AE1317" s="33" t="str">
        <f aca="false">IF(AND(Y1317=1,W1317&lt;1),IF(AND(C1318=C1317,W1318=W1317+1),IF(Y1318=1,"",INDEX(DATAS,W1317+1)),INDEX(DATAS,W1317+1)),"")</f>
        <v/>
      </c>
    </row>
    <row r="1318" customFormat="false" ht="15" hidden="false" customHeight="false" outlineLevel="0" collapsed="false">
      <c r="A1318" s="33" t="n">
        <v>46309</v>
      </c>
      <c r="B1318" s="0" t="n">
        <v>3</v>
      </c>
      <c r="C1318" s="0" t="n">
        <v>5404</v>
      </c>
      <c r="D1318" s="0" t="n">
        <v>37</v>
      </c>
      <c r="E1318" s="0" t="n">
        <v>2</v>
      </c>
      <c r="F1318" s="27" t="s">
        <v>877</v>
      </c>
      <c r="G1318" s="0" t="n">
        <v>50.6</v>
      </c>
      <c r="H1318" s="0" t="n">
        <v>50</v>
      </c>
      <c r="I1318" s="27" t="s">
        <v>147</v>
      </c>
      <c r="J1318" s="0" t="n">
        <v>37</v>
      </c>
      <c r="M1318" s="0" t="n">
        <v>603.79</v>
      </c>
      <c r="N1318" s="0" t="n">
        <v>40.61</v>
      </c>
      <c r="O1318" s="0" t="n">
        <v>37.2</v>
      </c>
      <c r="P1318" s="0" t="n">
        <v>4.58</v>
      </c>
      <c r="Q1318" s="0" t="n">
        <v>3.89</v>
      </c>
      <c r="R1318" s="0" t="n">
        <v>4259</v>
      </c>
      <c r="S1318" s="0" t="n">
        <v>8562</v>
      </c>
      <c r="U1318" s="0" t="n">
        <v>941</v>
      </c>
      <c r="V1318" s="0" t="n">
        <v>0</v>
      </c>
      <c r="W1318" s="27" t="n">
        <f aca="false">MATCH(A1318,DATAS,0)</f>
        <v>1</v>
      </c>
      <c r="X1318" s="27" t="n">
        <f aca="false">IF(AND(E1318&gt;0,OR(AND(B1318&gt;=1,B1318&lt;=6),B1318=10)),1,0)</f>
        <v>1</v>
      </c>
      <c r="Y1318" s="27" t="n">
        <f aca="false">IF(AND(E1318&gt;0,B1318=10),1,0)</f>
        <v>0</v>
      </c>
      <c r="Z1318" s="0" t="str">
        <f aca="false">IF(AND(C1317=C1318,W1317=W1318-1),X1317,"")</f>
        <v/>
      </c>
      <c r="AA1318" s="0" t="str">
        <f aca="false">IF(AND(C1317=C1318,W1317=W1318-1),Y1317,"")</f>
        <v/>
      </c>
      <c r="AB1318" s="0" t="str">
        <f aca="false">IF(W1318=1,"",IF(AND(X1318=1,Z1318&lt;&gt;1),1,0))</f>
        <v/>
      </c>
      <c r="AC1318" s="0" t="str">
        <f aca="false">IF(W1318=1,"",IF(AND(Y1318=1,AA1318&lt;&gt;1),1,0))</f>
        <v/>
      </c>
      <c r="AD1318" s="33" t="str">
        <f aca="false">IF(AND(E1318&gt;0,W1318&lt;1,NOT(AND(C1319=C1318,W1319=W1318+1))),INDEX(DATAS,W1318+1),"")</f>
        <v/>
      </c>
      <c r="AE1318" s="33" t="str">
        <f aca="false">IF(AND(Y1318=1,W1318&lt;1),IF(AND(C1319=C1318,W1319=W1318+1),IF(Y1319=1,"",INDEX(DATAS,W1318+1)),INDEX(DATAS,W1318+1)),"")</f>
        <v/>
      </c>
    </row>
    <row r="1319" customFormat="false" ht="15" hidden="false" customHeight="false" outlineLevel="0" collapsed="false">
      <c r="A1319" s="33" t="n">
        <v>46309</v>
      </c>
      <c r="B1319" s="0" t="n">
        <v>4</v>
      </c>
      <c r="C1319" s="0" t="n">
        <v>5406</v>
      </c>
      <c r="D1319" s="0" t="n">
        <v>259</v>
      </c>
      <c r="E1319" s="0" t="n">
        <v>1</v>
      </c>
      <c r="F1319" s="27" t="s">
        <v>878</v>
      </c>
      <c r="G1319" s="0" t="n">
        <v>40.5</v>
      </c>
      <c r="H1319" s="0" t="n">
        <v>42</v>
      </c>
      <c r="I1319" s="27" t="s">
        <v>138</v>
      </c>
      <c r="J1319" s="0" t="n">
        <v>133</v>
      </c>
      <c r="K1319" s="0" t="n">
        <v>91</v>
      </c>
      <c r="L1319" s="0" t="n">
        <v>126</v>
      </c>
      <c r="M1319" s="0" t="n">
        <v>868.58</v>
      </c>
      <c r="N1319" s="0" t="n">
        <v>26.75</v>
      </c>
      <c r="O1319" s="0" t="n">
        <v>37.91</v>
      </c>
      <c r="P1319" s="0" t="n">
        <v>3.53</v>
      </c>
      <c r="Q1319" s="0" t="n">
        <v>3.65</v>
      </c>
      <c r="R1319" s="0" t="n">
        <v>3714</v>
      </c>
      <c r="S1319" s="0" t="n">
        <v>8307</v>
      </c>
      <c r="T1319" s="0" t="n">
        <v>38.8</v>
      </c>
      <c r="U1319" s="0" t="n">
        <v>940</v>
      </c>
      <c r="V1319" s="0" t="n">
        <v>2</v>
      </c>
      <c r="W1319" s="27" t="n">
        <f aca="false">MATCH(A1319,DATAS,0)</f>
        <v>1</v>
      </c>
      <c r="X1319" s="27" t="n">
        <f aca="false">IF(AND(E1319&gt;0,OR(AND(B1319&gt;=1,B1319&lt;=6),B1319=10)),1,0)</f>
        <v>1</v>
      </c>
      <c r="Y1319" s="27" t="n">
        <f aca="false">IF(AND(E1319&gt;0,B1319=10),1,0)</f>
        <v>0</v>
      </c>
      <c r="Z1319" s="0" t="str">
        <f aca="false">IF(AND(C1318=C1319,W1318=W1319-1),X1318,"")</f>
        <v/>
      </c>
      <c r="AA1319" s="0" t="str">
        <f aca="false">IF(AND(C1318=C1319,W1318=W1319-1),Y1318,"")</f>
        <v/>
      </c>
      <c r="AB1319" s="0" t="str">
        <f aca="false">IF(W1319=1,"",IF(AND(X1319=1,Z1319&lt;&gt;1),1,0))</f>
        <v/>
      </c>
      <c r="AC1319" s="0" t="str">
        <f aca="false">IF(W1319=1,"",IF(AND(Y1319=1,AA1319&lt;&gt;1),1,0))</f>
        <v/>
      </c>
      <c r="AD1319" s="33" t="str">
        <f aca="false">IF(AND(E1319&gt;0,W1319&lt;1,NOT(AND(C1320=C1319,W1320=W1319+1))),INDEX(DATAS,W1319+1),"")</f>
        <v/>
      </c>
      <c r="AE1319" s="33" t="str">
        <f aca="false">IF(AND(Y1319=1,W1319&lt;1),IF(AND(C1320=C1319,W1320=W1319+1),IF(Y1320=1,"",INDEX(DATAS,W1319+1)),INDEX(DATAS,W1319+1)),"")</f>
        <v/>
      </c>
    </row>
    <row r="1320" customFormat="false" ht="15" hidden="false" customHeight="false" outlineLevel="0" collapsed="false">
      <c r="A1320" s="33" t="n">
        <v>46309</v>
      </c>
      <c r="B1320" s="0" t="n">
        <v>4</v>
      </c>
      <c r="C1320" s="0" t="n">
        <v>5407</v>
      </c>
      <c r="D1320" s="0" t="n">
        <v>279</v>
      </c>
      <c r="E1320" s="0" t="n">
        <v>1</v>
      </c>
      <c r="F1320" s="27" t="s">
        <v>878</v>
      </c>
      <c r="G1320" s="0" t="n">
        <v>40.5</v>
      </c>
      <c r="H1320" s="0" t="n">
        <v>41</v>
      </c>
      <c r="I1320" s="27" t="s">
        <v>138</v>
      </c>
      <c r="J1320" s="0" t="n">
        <v>69</v>
      </c>
      <c r="K1320" s="0" t="n">
        <v>69</v>
      </c>
      <c r="L1320" s="0" t="n">
        <v>210</v>
      </c>
      <c r="M1320" s="0" t="n">
        <v>823.69</v>
      </c>
      <c r="N1320" s="0" t="n">
        <v>69.94</v>
      </c>
      <c r="O1320" s="0" t="n">
        <v>40.5</v>
      </c>
      <c r="P1320" s="0" t="n">
        <v>4.27</v>
      </c>
      <c r="Q1320" s="0" t="n">
        <v>3.73</v>
      </c>
      <c r="R1320" s="0" t="n">
        <v>3724</v>
      </c>
      <c r="S1320" s="0" t="n">
        <v>8377</v>
      </c>
      <c r="T1320" s="0" t="n">
        <v>36.2</v>
      </c>
      <c r="U1320" s="0" t="n">
        <v>940</v>
      </c>
      <c r="V1320" s="0" t="n">
        <v>1</v>
      </c>
      <c r="W1320" s="27" t="n">
        <f aca="false">MATCH(A1320,DATAS,0)</f>
        <v>1</v>
      </c>
      <c r="X1320" s="27" t="n">
        <f aca="false">IF(AND(E1320&gt;0,OR(AND(B1320&gt;=1,B1320&lt;=6),B1320=10)),1,0)</f>
        <v>1</v>
      </c>
      <c r="Y1320" s="27" t="n">
        <f aca="false">IF(AND(E1320&gt;0,B1320=10),1,0)</f>
        <v>0</v>
      </c>
      <c r="Z1320" s="0" t="str">
        <f aca="false">IF(AND(C1319=C1320,W1319=W1320-1),X1319,"")</f>
        <v/>
      </c>
      <c r="AA1320" s="0" t="str">
        <f aca="false">IF(AND(C1319=C1320,W1319=W1320-1),Y1319,"")</f>
        <v/>
      </c>
      <c r="AB1320" s="0" t="str">
        <f aca="false">IF(W1320=1,"",IF(AND(X1320=1,Z1320&lt;&gt;1),1,0))</f>
        <v/>
      </c>
      <c r="AC1320" s="0" t="str">
        <f aca="false">IF(W1320=1,"",IF(AND(Y1320=1,AA1320&lt;&gt;1),1,0))</f>
        <v/>
      </c>
      <c r="AD1320" s="33" t="str">
        <f aca="false">IF(AND(E1320&gt;0,W1320&lt;1,NOT(AND(C1321=C1320,W1321=W1320+1))),INDEX(DATAS,W1320+1),"")</f>
        <v/>
      </c>
      <c r="AE1320" s="33" t="str">
        <f aca="false">IF(AND(Y1320=1,W1320&lt;1),IF(AND(C1321=C1320,W1321=W1320+1),IF(Y1321=1,"",INDEX(DATAS,W1320+1)),INDEX(DATAS,W1320+1)),"")</f>
        <v/>
      </c>
    </row>
    <row r="1321" customFormat="false" ht="15" hidden="false" customHeight="false" outlineLevel="0" collapsed="false">
      <c r="A1321" s="33" t="n">
        <v>46309</v>
      </c>
      <c r="B1321" s="0" t="n">
        <v>4</v>
      </c>
      <c r="C1321" s="0" t="n">
        <v>5408</v>
      </c>
      <c r="D1321" s="0" t="n">
        <v>314</v>
      </c>
      <c r="E1321" s="0" t="n">
        <v>1</v>
      </c>
      <c r="F1321" s="27" t="s">
        <v>879</v>
      </c>
      <c r="G1321" s="0" t="n">
        <v>53.5</v>
      </c>
      <c r="H1321" s="0" t="n">
        <v>53</v>
      </c>
      <c r="I1321" s="27" t="s">
        <v>138</v>
      </c>
      <c r="J1321" s="0" t="n">
        <v>146</v>
      </c>
      <c r="K1321" s="0" t="n">
        <v>69</v>
      </c>
      <c r="L1321" s="0" t="n">
        <v>168</v>
      </c>
      <c r="M1321" s="0" t="n">
        <v>1688.13</v>
      </c>
      <c r="N1321" s="0" t="n">
        <v>66.35</v>
      </c>
      <c r="O1321" s="0" t="n">
        <v>48.94</v>
      </c>
      <c r="P1321" s="0" t="n">
        <v>3.19</v>
      </c>
      <c r="Q1321" s="0" t="n">
        <v>3.37</v>
      </c>
      <c r="R1321" s="0" t="n">
        <v>4384</v>
      </c>
      <c r="S1321" s="0" t="n">
        <v>9588</v>
      </c>
      <c r="T1321" s="0" t="n">
        <v>49.35</v>
      </c>
      <c r="U1321" s="0" t="n">
        <v>939</v>
      </c>
      <c r="V1321" s="0" t="n">
        <v>4</v>
      </c>
      <c r="W1321" s="27" t="n">
        <f aca="false">MATCH(A1321,DATAS,0)</f>
        <v>1</v>
      </c>
      <c r="X1321" s="27" t="n">
        <f aca="false">IF(AND(E1321&gt;0,OR(AND(B1321&gt;=1,B1321&lt;=6),B1321=10)),1,0)</f>
        <v>1</v>
      </c>
      <c r="Y1321" s="27" t="n">
        <f aca="false">IF(AND(E1321&gt;0,B1321=10),1,0)</f>
        <v>0</v>
      </c>
      <c r="Z1321" s="0" t="str">
        <f aca="false">IF(AND(C1320=C1321,W1320=W1321-1),X1320,"")</f>
        <v/>
      </c>
      <c r="AA1321" s="0" t="str">
        <f aca="false">IF(AND(C1320=C1321,W1320=W1321-1),Y1320,"")</f>
        <v/>
      </c>
      <c r="AB1321" s="0" t="str">
        <f aca="false">IF(W1321=1,"",IF(AND(X1321=1,Z1321&lt;&gt;1),1,0))</f>
        <v/>
      </c>
      <c r="AC1321" s="0" t="str">
        <f aca="false">IF(W1321=1,"",IF(AND(Y1321=1,AA1321&lt;&gt;1),1,0))</f>
        <v/>
      </c>
      <c r="AD1321" s="33" t="str">
        <f aca="false">IF(AND(E1321&gt;0,W1321&lt;1,NOT(AND(C1322=C1321,W1322=W1321+1))),INDEX(DATAS,W1321+1),"")</f>
        <v/>
      </c>
      <c r="AE1321" s="33" t="str">
        <f aca="false">IF(AND(Y1321=1,W1321&lt;1),IF(AND(C1322=C1321,W1322=W1321+1),IF(Y1322=1,"",INDEX(DATAS,W1321+1)),INDEX(DATAS,W1321+1)),"")</f>
        <v/>
      </c>
    </row>
    <row r="1322" customFormat="false" ht="15" hidden="false" customHeight="false" outlineLevel="0" collapsed="false">
      <c r="A1322" s="33" t="n">
        <v>46309</v>
      </c>
      <c r="B1322" s="0" t="n">
        <v>7</v>
      </c>
      <c r="C1322" s="0" t="n">
        <v>5409</v>
      </c>
      <c r="D1322" s="0" t="n">
        <v>288</v>
      </c>
      <c r="E1322" s="0" t="n">
        <v>1</v>
      </c>
      <c r="F1322" s="27" t="s">
        <v>879</v>
      </c>
      <c r="I1322" s="27" t="s">
        <v>143</v>
      </c>
      <c r="J1322" s="0" t="n">
        <v>65</v>
      </c>
      <c r="K1322" s="0" t="n">
        <v>65</v>
      </c>
      <c r="L1322" s="0" t="n">
        <v>252</v>
      </c>
      <c r="M1322" s="0" t="n">
        <v>969.72</v>
      </c>
      <c r="N1322" s="0" t="n">
        <v>29.72</v>
      </c>
      <c r="O1322" s="0" t="n">
        <v>29.7</v>
      </c>
      <c r="P1322" s="0" t="n">
        <v>4.45</v>
      </c>
      <c r="Q1322" s="0" t="n">
        <v>3.35</v>
      </c>
      <c r="R1322" s="0" t="n">
        <v>4014</v>
      </c>
      <c r="S1322" s="0" t="n">
        <v>9137</v>
      </c>
      <c r="T1322" s="0" t="n">
        <v>42.45</v>
      </c>
      <c r="U1322" s="0" t="n">
        <v>939</v>
      </c>
      <c r="V1322" s="0" t="n">
        <v>1</v>
      </c>
      <c r="W1322" s="27" t="n">
        <f aca="false">MATCH(A1322,DATAS,0)</f>
        <v>1</v>
      </c>
      <c r="X1322" s="27" t="n">
        <f aca="false">IF(AND(E1322&gt;0,OR(AND(B1322&gt;=1,B1322&lt;=6),B1322=10)),1,0)</f>
        <v>0</v>
      </c>
      <c r="Y1322" s="27" t="n">
        <f aca="false">IF(AND(E1322&gt;0,B1322=10),1,0)</f>
        <v>0</v>
      </c>
      <c r="Z1322" s="0" t="str">
        <f aca="false">IF(AND(C1321=C1322,W1321=W1322-1),X1321,"")</f>
        <v/>
      </c>
      <c r="AA1322" s="0" t="str">
        <f aca="false">IF(AND(C1321=C1322,W1321=W1322-1),Y1321,"")</f>
        <v/>
      </c>
      <c r="AB1322" s="0" t="str">
        <f aca="false">IF(W1322=1,"",IF(AND(X1322=1,Z1322&lt;&gt;1),1,0))</f>
        <v/>
      </c>
      <c r="AC1322" s="0" t="str">
        <f aca="false">IF(W1322=1,"",IF(AND(Y1322=1,AA1322&lt;&gt;1),1,0))</f>
        <v/>
      </c>
      <c r="AD1322" s="33" t="str">
        <f aca="false">IF(AND(E1322&gt;0,W1322&lt;1,NOT(AND(C1323=C1322,W1323=W1322+1))),INDEX(DATAS,W1322+1),"")</f>
        <v/>
      </c>
      <c r="AE1322" s="33" t="str">
        <f aca="false">IF(AND(Y1322=1,W1322&lt;1),IF(AND(C1323=C1322,W1323=W1322+1),IF(Y1323=1,"",INDEX(DATAS,W1322+1)),INDEX(DATAS,W1322+1)),"")</f>
        <v/>
      </c>
    </row>
    <row r="1323" customFormat="false" ht="15" hidden="false" customHeight="false" outlineLevel="0" collapsed="false">
      <c r="A1323" s="33" t="n">
        <v>46309</v>
      </c>
      <c r="B1323" s="0" t="n">
        <v>5</v>
      </c>
      <c r="C1323" s="0" t="n">
        <v>5410</v>
      </c>
      <c r="D1323" s="0" t="n">
        <v>289</v>
      </c>
      <c r="E1323" s="0" t="n">
        <v>1</v>
      </c>
      <c r="F1323" s="27" t="s">
        <v>880</v>
      </c>
      <c r="G1323" s="0" t="n">
        <v>44.7</v>
      </c>
      <c r="H1323" s="0" t="n">
        <v>42</v>
      </c>
      <c r="I1323" s="27" t="s">
        <v>176</v>
      </c>
      <c r="J1323" s="0" t="n">
        <v>289</v>
      </c>
      <c r="K1323" s="0" t="n">
        <v>65</v>
      </c>
      <c r="M1323" s="0" t="n">
        <v>1271.11</v>
      </c>
      <c r="N1323" s="0" t="n">
        <v>73.05</v>
      </c>
      <c r="O1323" s="0" t="n">
        <v>44.55</v>
      </c>
      <c r="P1323" s="0" t="n">
        <v>3.46</v>
      </c>
      <c r="Q1323" s="0" t="n">
        <v>3.84</v>
      </c>
      <c r="R1323" s="0" t="n">
        <v>4886</v>
      </c>
      <c r="S1323" s="0" t="n">
        <v>10079</v>
      </c>
      <c r="T1323" s="0" t="n">
        <v>46.05</v>
      </c>
      <c r="U1323" s="0" t="n">
        <v>938</v>
      </c>
      <c r="V1323" s="0" t="n">
        <v>5</v>
      </c>
      <c r="W1323" s="27" t="n">
        <f aca="false">MATCH(A1323,DATAS,0)</f>
        <v>1</v>
      </c>
      <c r="X1323" s="27" t="n">
        <f aca="false">IF(AND(E1323&gt;0,OR(AND(B1323&gt;=1,B1323&lt;=6),B1323=10)),1,0)</f>
        <v>1</v>
      </c>
      <c r="Y1323" s="27" t="n">
        <f aca="false">IF(AND(E1323&gt;0,B1323=10),1,0)</f>
        <v>0</v>
      </c>
      <c r="Z1323" s="0" t="str">
        <f aca="false">IF(AND(C1322=C1323,W1322=W1323-1),X1322,"")</f>
        <v/>
      </c>
      <c r="AA1323" s="0" t="str">
        <f aca="false">IF(AND(C1322=C1323,W1322=W1323-1),Y1322,"")</f>
        <v/>
      </c>
      <c r="AB1323" s="0" t="str">
        <f aca="false">IF(W1323=1,"",IF(AND(X1323=1,Z1323&lt;&gt;1),1,0))</f>
        <v/>
      </c>
      <c r="AC1323" s="0" t="str">
        <f aca="false">IF(W1323=1,"",IF(AND(Y1323=1,AA1323&lt;&gt;1),1,0))</f>
        <v/>
      </c>
      <c r="AD1323" s="33" t="str">
        <f aca="false">IF(AND(E1323&gt;0,W1323&lt;1,NOT(AND(C1324=C1323,W1324=W1323+1))),INDEX(DATAS,W1323+1),"")</f>
        <v/>
      </c>
      <c r="AE1323" s="33" t="str">
        <f aca="false">IF(AND(Y1323=1,W1323&lt;1),IF(AND(C1324=C1323,W1324=W1323+1),IF(Y1324=1,"",INDEX(DATAS,W1323+1)),INDEX(DATAS,W1323+1)),"")</f>
        <v/>
      </c>
    </row>
    <row r="1324" customFormat="false" ht="15" hidden="false" customHeight="false" outlineLevel="0" collapsed="false">
      <c r="A1324" s="33" t="n">
        <v>46309</v>
      </c>
      <c r="B1324" s="0" t="n">
        <v>4</v>
      </c>
      <c r="C1324" s="0" t="n">
        <v>5411</v>
      </c>
      <c r="D1324" s="0" t="n">
        <v>288</v>
      </c>
      <c r="E1324" s="0" t="n">
        <v>1</v>
      </c>
      <c r="F1324" s="27" t="s">
        <v>881</v>
      </c>
      <c r="G1324" s="0" t="n">
        <v>34.4</v>
      </c>
      <c r="H1324" s="0" t="n">
        <v>36</v>
      </c>
      <c r="I1324" s="27" t="s">
        <v>138</v>
      </c>
      <c r="J1324" s="0" t="n">
        <v>169</v>
      </c>
      <c r="K1324" s="0" t="n">
        <v>64</v>
      </c>
      <c r="L1324" s="0" t="n">
        <v>119</v>
      </c>
      <c r="M1324" s="0" t="n">
        <v>676.06</v>
      </c>
      <c r="N1324" s="0" t="n">
        <v>28.12</v>
      </c>
      <c r="O1324" s="0" t="n">
        <v>17.01</v>
      </c>
      <c r="P1324" s="0" t="n">
        <v>2.97</v>
      </c>
      <c r="Q1324" s="0" t="n">
        <v>3.29</v>
      </c>
      <c r="R1324" s="0" t="n">
        <v>4279</v>
      </c>
      <c r="S1324" s="0" t="n">
        <v>8758</v>
      </c>
      <c r="T1324" s="0" t="n">
        <v>44.6</v>
      </c>
      <c r="U1324" s="0" t="n">
        <v>937</v>
      </c>
      <c r="V1324" s="0" t="n">
        <v>4</v>
      </c>
      <c r="W1324" s="27" t="n">
        <f aca="false">MATCH(A1324,DATAS,0)</f>
        <v>1</v>
      </c>
      <c r="X1324" s="27" t="n">
        <f aca="false">IF(AND(E1324&gt;0,OR(AND(B1324&gt;=1,B1324&lt;=6),B1324=10)),1,0)</f>
        <v>1</v>
      </c>
      <c r="Y1324" s="27" t="n">
        <f aca="false">IF(AND(E1324&gt;0,B1324=10),1,0)</f>
        <v>0</v>
      </c>
      <c r="Z1324" s="0" t="str">
        <f aca="false">IF(AND(C1323=C1324,W1323=W1324-1),X1323,"")</f>
        <v/>
      </c>
      <c r="AA1324" s="0" t="str">
        <f aca="false">IF(AND(C1323=C1324,W1323=W1324-1),Y1323,"")</f>
        <v/>
      </c>
      <c r="AB1324" s="0" t="str">
        <f aca="false">IF(W1324=1,"",IF(AND(X1324=1,Z1324&lt;&gt;1),1,0))</f>
        <v/>
      </c>
      <c r="AC1324" s="0" t="str">
        <f aca="false">IF(W1324=1,"",IF(AND(Y1324=1,AA1324&lt;&gt;1),1,0))</f>
        <v/>
      </c>
      <c r="AD1324" s="33" t="str">
        <f aca="false">IF(AND(E1324&gt;0,W1324&lt;1,NOT(AND(C1325=C1324,W1325=W1324+1))),INDEX(DATAS,W1324+1),"")</f>
        <v/>
      </c>
      <c r="AE1324" s="33" t="str">
        <f aca="false">IF(AND(Y1324=1,W1324&lt;1),IF(AND(C1325=C1324,W1325=W1324+1),IF(Y1325=1,"",INDEX(DATAS,W1324+1)),INDEX(DATAS,W1324+1)),"")</f>
        <v/>
      </c>
    </row>
    <row r="1325" customFormat="false" ht="15" hidden="false" customHeight="false" outlineLevel="0" collapsed="false">
      <c r="A1325" s="33" t="n">
        <v>46309</v>
      </c>
      <c r="B1325" s="0" t="n">
        <v>4</v>
      </c>
      <c r="C1325" s="0" t="n">
        <v>5412</v>
      </c>
      <c r="D1325" s="0" t="n">
        <v>315</v>
      </c>
      <c r="E1325" s="0" t="n">
        <v>1</v>
      </c>
      <c r="F1325" s="27" t="s">
        <v>881</v>
      </c>
      <c r="G1325" s="0" t="n">
        <v>51.4</v>
      </c>
      <c r="H1325" s="0" t="n">
        <v>51</v>
      </c>
      <c r="I1325" s="27" t="s">
        <v>138</v>
      </c>
      <c r="J1325" s="0" t="n">
        <v>252</v>
      </c>
      <c r="K1325" s="0" t="n">
        <v>63</v>
      </c>
      <c r="L1325" s="0" t="n">
        <v>63</v>
      </c>
      <c r="M1325" s="0" t="n">
        <v>1605.31</v>
      </c>
      <c r="N1325" s="0" t="n">
        <v>54.72</v>
      </c>
      <c r="O1325" s="0" t="n">
        <v>49.8</v>
      </c>
      <c r="P1325" s="0" t="n">
        <v>3.04</v>
      </c>
      <c r="Q1325" s="0" t="n">
        <v>3.65</v>
      </c>
      <c r="R1325" s="0" t="n">
        <v>4322</v>
      </c>
      <c r="S1325" s="0" t="n">
        <v>10098</v>
      </c>
      <c r="T1325" s="0" t="n">
        <v>41.75</v>
      </c>
      <c r="U1325" s="0" t="n">
        <v>937</v>
      </c>
      <c r="V1325" s="0" t="n">
        <v>8</v>
      </c>
      <c r="W1325" s="27" t="n">
        <f aca="false">MATCH(A1325,DATAS,0)</f>
        <v>1</v>
      </c>
      <c r="X1325" s="27" t="n">
        <f aca="false">IF(AND(E1325&gt;0,OR(AND(B1325&gt;=1,B1325&lt;=6),B1325=10)),1,0)</f>
        <v>1</v>
      </c>
      <c r="Y1325" s="27" t="n">
        <f aca="false">IF(AND(E1325&gt;0,B1325=10),1,0)</f>
        <v>0</v>
      </c>
      <c r="Z1325" s="0" t="str">
        <f aca="false">IF(AND(C1324=C1325,W1324=W1325-1),X1324,"")</f>
        <v/>
      </c>
      <c r="AA1325" s="0" t="str">
        <f aca="false">IF(AND(C1324=C1325,W1324=W1325-1),Y1324,"")</f>
        <v/>
      </c>
      <c r="AB1325" s="0" t="str">
        <f aca="false">IF(W1325=1,"",IF(AND(X1325=1,Z1325&lt;&gt;1),1,0))</f>
        <v/>
      </c>
      <c r="AC1325" s="0" t="str">
        <f aca="false">IF(W1325=1,"",IF(AND(Y1325=1,AA1325&lt;&gt;1),1,0))</f>
        <v/>
      </c>
      <c r="AD1325" s="33" t="str">
        <f aca="false">IF(AND(E1325&gt;0,W1325&lt;1,NOT(AND(C1326=C1325,W1326=W1325+1))),INDEX(DATAS,W1325+1),"")</f>
        <v/>
      </c>
      <c r="AE1325" s="33" t="str">
        <f aca="false">IF(AND(Y1325=1,W1325&lt;1),IF(AND(C1326=C1325,W1326=W1325+1),IF(Y1326=1,"",INDEX(DATAS,W1325+1)),INDEX(DATAS,W1325+1)),"")</f>
        <v/>
      </c>
    </row>
    <row r="1326" customFormat="false" ht="15" hidden="false" customHeight="false" outlineLevel="0" collapsed="false">
      <c r="A1326" s="33" t="n">
        <v>46309</v>
      </c>
      <c r="B1326" s="0" t="n">
        <v>4</v>
      </c>
      <c r="C1326" s="0" t="n">
        <v>5413</v>
      </c>
      <c r="D1326" s="0" t="n">
        <v>313</v>
      </c>
      <c r="E1326" s="0" t="n">
        <v>1</v>
      </c>
      <c r="F1326" s="27" t="s">
        <v>882</v>
      </c>
      <c r="G1326" s="0" t="n">
        <v>39.5</v>
      </c>
      <c r="H1326" s="0" t="n">
        <v>39</v>
      </c>
      <c r="I1326" s="27" t="s">
        <v>138</v>
      </c>
      <c r="J1326" s="0" t="n">
        <v>111</v>
      </c>
      <c r="K1326" s="0" t="n">
        <v>68</v>
      </c>
      <c r="L1326" s="0" t="n">
        <v>202</v>
      </c>
      <c r="M1326" s="0" t="n">
        <v>626.95</v>
      </c>
      <c r="N1326" s="0" t="n">
        <v>80.51</v>
      </c>
      <c r="O1326" s="0" t="n">
        <v>33.55</v>
      </c>
      <c r="P1326" s="0" t="n">
        <v>3.53</v>
      </c>
      <c r="Q1326" s="0" t="n">
        <v>3.81</v>
      </c>
      <c r="R1326" s="0" t="n">
        <v>4160</v>
      </c>
      <c r="S1326" s="0" t="n">
        <v>8583</v>
      </c>
      <c r="T1326" s="0" t="n">
        <v>44.9</v>
      </c>
      <c r="U1326" s="0" t="n">
        <v>936</v>
      </c>
      <c r="V1326" s="0" t="n">
        <v>3</v>
      </c>
      <c r="W1326" s="27" t="n">
        <f aca="false">MATCH(A1326,DATAS,0)</f>
        <v>1</v>
      </c>
      <c r="X1326" s="27" t="n">
        <f aca="false">IF(AND(E1326&gt;0,OR(AND(B1326&gt;=1,B1326&lt;=6),B1326=10)),1,0)</f>
        <v>1</v>
      </c>
      <c r="Y1326" s="27" t="n">
        <f aca="false">IF(AND(E1326&gt;0,B1326=10),1,0)</f>
        <v>0</v>
      </c>
      <c r="Z1326" s="0" t="str">
        <f aca="false">IF(AND(C1325=C1326,W1325=W1326-1),X1325,"")</f>
        <v/>
      </c>
      <c r="AA1326" s="0" t="str">
        <f aca="false">IF(AND(C1325=C1326,W1325=W1326-1),Y1325,"")</f>
        <v/>
      </c>
      <c r="AB1326" s="0" t="str">
        <f aca="false">IF(W1326=1,"",IF(AND(X1326=1,Z1326&lt;&gt;1),1,0))</f>
        <v/>
      </c>
      <c r="AC1326" s="0" t="str">
        <f aca="false">IF(W1326=1,"",IF(AND(Y1326=1,AA1326&lt;&gt;1),1,0))</f>
        <v/>
      </c>
      <c r="AD1326" s="33" t="str">
        <f aca="false">IF(AND(E1326&gt;0,W1326&lt;1,NOT(AND(C1327=C1326,W1327=W1326+1))),INDEX(DATAS,W1326+1),"")</f>
        <v/>
      </c>
      <c r="AE1326" s="33" t="str">
        <f aca="false">IF(AND(Y1326=1,W1326&lt;1),IF(AND(C1327=C1326,W1327=W1326+1),IF(Y1327=1,"",INDEX(DATAS,W1326+1)),INDEX(DATAS,W1326+1)),"")</f>
        <v/>
      </c>
    </row>
    <row r="1327" customFormat="false" ht="15" hidden="false" customHeight="false" outlineLevel="0" collapsed="false">
      <c r="A1327" s="33" t="n">
        <v>46309</v>
      </c>
      <c r="B1327" s="0" t="n">
        <v>4</v>
      </c>
      <c r="C1327" s="0" t="n">
        <v>5414</v>
      </c>
      <c r="D1327" s="0" t="n">
        <v>308</v>
      </c>
      <c r="E1327" s="0" t="n">
        <v>1</v>
      </c>
      <c r="F1327" s="27" t="s">
        <v>883</v>
      </c>
      <c r="G1327" s="0" t="n">
        <v>50.6</v>
      </c>
      <c r="H1327" s="0" t="n">
        <v>51</v>
      </c>
      <c r="I1327" s="27" t="s">
        <v>176</v>
      </c>
      <c r="J1327" s="0" t="n">
        <v>308</v>
      </c>
      <c r="K1327" s="0" t="n">
        <v>63</v>
      </c>
      <c r="M1327" s="0" t="n">
        <v>1270.29</v>
      </c>
      <c r="N1327" s="0" t="n">
        <v>56.33</v>
      </c>
      <c r="O1327" s="0" t="n">
        <v>40.52</v>
      </c>
      <c r="P1327" s="0" t="n">
        <v>4.18</v>
      </c>
      <c r="Q1327" s="0" t="n">
        <v>3.36</v>
      </c>
      <c r="R1327" s="0" t="n">
        <v>3803</v>
      </c>
      <c r="S1327" s="0" t="n">
        <v>9061</v>
      </c>
      <c r="T1327" s="0" t="n">
        <v>43.1</v>
      </c>
      <c r="U1327" s="0" t="n">
        <v>935</v>
      </c>
      <c r="V1327" s="0" t="n">
        <v>7</v>
      </c>
      <c r="W1327" s="27" t="n">
        <f aca="false">MATCH(A1327,DATAS,0)</f>
        <v>1</v>
      </c>
      <c r="X1327" s="27" t="n">
        <f aca="false">IF(AND(E1327&gt;0,OR(AND(B1327&gt;=1,B1327&lt;=6),B1327=10)),1,0)</f>
        <v>1</v>
      </c>
      <c r="Y1327" s="27" t="n">
        <f aca="false">IF(AND(E1327&gt;0,B1327=10),1,0)</f>
        <v>0</v>
      </c>
      <c r="Z1327" s="0" t="str">
        <f aca="false">IF(AND(C1326=C1327,W1326=W1327-1),X1326,"")</f>
        <v/>
      </c>
      <c r="AA1327" s="0" t="str">
        <f aca="false">IF(AND(C1326=C1327,W1326=W1327-1),Y1326,"")</f>
        <v/>
      </c>
      <c r="AB1327" s="0" t="str">
        <f aca="false">IF(W1327=1,"",IF(AND(X1327=1,Z1327&lt;&gt;1),1,0))</f>
        <v/>
      </c>
      <c r="AC1327" s="0" t="str">
        <f aca="false">IF(W1327=1,"",IF(AND(Y1327=1,AA1327&lt;&gt;1),1,0))</f>
        <v/>
      </c>
      <c r="AD1327" s="33" t="str">
        <f aca="false">IF(AND(E1327&gt;0,W1327&lt;1,NOT(AND(C1328=C1327,W1328=W1327+1))),INDEX(DATAS,W1327+1),"")</f>
        <v/>
      </c>
      <c r="AE1327" s="33" t="str">
        <f aca="false">IF(AND(Y1327=1,W1327&lt;1),IF(AND(C1328=C1327,W1328=W1327+1),IF(Y1328=1,"",INDEX(DATAS,W1327+1)),INDEX(DATAS,W1327+1)),"")</f>
        <v/>
      </c>
    </row>
    <row r="1328" customFormat="false" ht="15" hidden="false" customHeight="false" outlineLevel="0" collapsed="false">
      <c r="A1328" s="33" t="n">
        <v>46309</v>
      </c>
      <c r="B1328" s="0" t="n">
        <v>4</v>
      </c>
      <c r="C1328" s="0" t="n">
        <v>5416</v>
      </c>
      <c r="D1328" s="0" t="n">
        <v>318</v>
      </c>
      <c r="E1328" s="0" t="n">
        <v>1</v>
      </c>
      <c r="F1328" s="27" t="s">
        <v>884</v>
      </c>
      <c r="G1328" s="0" t="n">
        <v>46.9</v>
      </c>
      <c r="H1328" s="0" t="n">
        <v>47</v>
      </c>
      <c r="I1328" s="27" t="s">
        <v>138</v>
      </c>
      <c r="J1328" s="0" t="n">
        <v>157</v>
      </c>
      <c r="K1328" s="0" t="n">
        <v>73</v>
      </c>
      <c r="L1328" s="0" t="n">
        <v>161</v>
      </c>
      <c r="M1328" s="0" t="n">
        <v>1016.36</v>
      </c>
      <c r="N1328" s="0" t="n">
        <v>35.99</v>
      </c>
      <c r="O1328" s="0" t="n">
        <v>32.85</v>
      </c>
      <c r="P1328" s="0" t="n">
        <v>3.18</v>
      </c>
      <c r="Q1328" s="0" t="n">
        <v>3.5</v>
      </c>
      <c r="R1328" s="0" t="n">
        <v>4005</v>
      </c>
      <c r="S1328" s="0" t="n">
        <v>8826</v>
      </c>
      <c r="T1328" s="0" t="n">
        <v>42.95</v>
      </c>
      <c r="U1328" s="0" t="n">
        <v>934</v>
      </c>
      <c r="V1328" s="0" t="n">
        <v>3</v>
      </c>
      <c r="W1328" s="27" t="n">
        <f aca="false">MATCH(A1328,DATAS,0)</f>
        <v>1</v>
      </c>
      <c r="X1328" s="27" t="n">
        <f aca="false">IF(AND(E1328&gt;0,OR(AND(B1328&gt;=1,B1328&lt;=6),B1328=10)),1,0)</f>
        <v>1</v>
      </c>
      <c r="Y1328" s="27" t="n">
        <f aca="false">IF(AND(E1328&gt;0,B1328=10),1,0)</f>
        <v>0</v>
      </c>
      <c r="Z1328" s="0" t="str">
        <f aca="false">IF(AND(C1327=C1328,W1327=W1328-1),X1327,"")</f>
        <v/>
      </c>
      <c r="AA1328" s="0" t="str">
        <f aca="false">IF(AND(C1327=C1328,W1327=W1328-1),Y1327,"")</f>
        <v/>
      </c>
      <c r="AB1328" s="0" t="str">
        <f aca="false">IF(W1328=1,"",IF(AND(X1328=1,Z1328&lt;&gt;1),1,0))</f>
        <v/>
      </c>
      <c r="AC1328" s="0" t="str">
        <f aca="false">IF(W1328=1,"",IF(AND(Y1328=1,AA1328&lt;&gt;1),1,0))</f>
        <v/>
      </c>
      <c r="AD1328" s="33" t="str">
        <f aca="false">IF(AND(E1328&gt;0,W1328&lt;1,NOT(AND(C1329=C1328,W1329=W1328+1))),INDEX(DATAS,W1328+1),"")</f>
        <v/>
      </c>
      <c r="AE1328" s="33" t="str">
        <f aca="false">IF(AND(Y1328=1,W1328&lt;1),IF(AND(C1329=C1328,W1329=W1328+1),IF(Y1329=1,"",INDEX(DATAS,W1328+1)),INDEX(DATAS,W1328+1)),"")</f>
        <v/>
      </c>
    </row>
    <row r="1329" customFormat="false" ht="15" hidden="false" customHeight="false" outlineLevel="0" collapsed="false">
      <c r="A1329" s="33" t="n">
        <v>46309</v>
      </c>
      <c r="B1329" s="0" t="n">
        <v>4</v>
      </c>
      <c r="C1329" s="0" t="n">
        <v>5417</v>
      </c>
      <c r="D1329" s="0" t="n">
        <v>235</v>
      </c>
      <c r="E1329" s="0" t="n">
        <v>1</v>
      </c>
      <c r="F1329" s="27" t="s">
        <v>884</v>
      </c>
      <c r="G1329" s="0" t="n">
        <v>60.9</v>
      </c>
      <c r="H1329" s="0" t="n">
        <v>59</v>
      </c>
      <c r="I1329" s="27" t="s">
        <v>138</v>
      </c>
      <c r="J1329" s="0" t="n">
        <v>189</v>
      </c>
      <c r="K1329" s="0" t="n">
        <v>67</v>
      </c>
      <c r="L1329" s="0" t="n">
        <v>46</v>
      </c>
      <c r="M1329" s="0" t="n">
        <v>1112.87</v>
      </c>
      <c r="N1329" s="0" t="n">
        <v>58.05</v>
      </c>
      <c r="O1329" s="0" t="n">
        <v>39.5</v>
      </c>
      <c r="P1329" s="0" t="n">
        <v>3.08</v>
      </c>
      <c r="Q1329" s="0" t="n">
        <v>3.45</v>
      </c>
      <c r="R1329" s="0" t="n">
        <v>5002</v>
      </c>
      <c r="S1329" s="0" t="n">
        <v>11277</v>
      </c>
      <c r="T1329" s="0" t="n">
        <v>57.85</v>
      </c>
      <c r="U1329" s="0" t="n">
        <v>934</v>
      </c>
      <c r="V1329" s="0" t="n">
        <v>3</v>
      </c>
      <c r="W1329" s="27" t="n">
        <f aca="false">MATCH(A1329,DATAS,0)</f>
        <v>1</v>
      </c>
      <c r="X1329" s="27" t="n">
        <f aca="false">IF(AND(E1329&gt;0,OR(AND(B1329&gt;=1,B1329&lt;=6),B1329=10)),1,0)</f>
        <v>1</v>
      </c>
      <c r="Y1329" s="27" t="n">
        <f aca="false">IF(AND(E1329&gt;0,B1329=10),1,0)</f>
        <v>0</v>
      </c>
      <c r="Z1329" s="0" t="str">
        <f aca="false">IF(AND(C1328=C1329,W1328=W1329-1),X1328,"")</f>
        <v/>
      </c>
      <c r="AA1329" s="0" t="str">
        <f aca="false">IF(AND(C1328=C1329,W1328=W1329-1),Y1328,"")</f>
        <v/>
      </c>
      <c r="AB1329" s="0" t="str">
        <f aca="false">IF(W1329=1,"",IF(AND(X1329=1,Z1329&lt;&gt;1),1,0))</f>
        <v/>
      </c>
      <c r="AC1329" s="0" t="str">
        <f aca="false">IF(W1329=1,"",IF(AND(Y1329=1,AA1329&lt;&gt;1),1,0))</f>
        <v/>
      </c>
      <c r="AD1329" s="33" t="str">
        <f aca="false">IF(AND(E1329&gt;0,W1329&lt;1,NOT(AND(C1330=C1329,W1330=W1329+1))),INDEX(DATAS,W1329+1),"")</f>
        <v/>
      </c>
      <c r="AE1329" s="33" t="str">
        <f aca="false">IF(AND(Y1329=1,W1329&lt;1),IF(AND(C1330=C1329,W1330=W1329+1),IF(Y1330=1,"",INDEX(DATAS,W1329+1)),INDEX(DATAS,W1329+1)),"")</f>
        <v/>
      </c>
    </row>
    <row r="1330" customFormat="false" ht="15" hidden="false" customHeight="false" outlineLevel="0" collapsed="false">
      <c r="A1330" s="33" t="n">
        <v>46309</v>
      </c>
      <c r="B1330" s="0" t="n">
        <v>4</v>
      </c>
      <c r="C1330" s="0" t="n">
        <v>5418</v>
      </c>
      <c r="D1330" s="0" t="n">
        <v>281</v>
      </c>
      <c r="E1330" s="0" t="n">
        <v>1</v>
      </c>
      <c r="F1330" s="27" t="s">
        <v>884</v>
      </c>
      <c r="G1330" s="0" t="n">
        <v>32.4</v>
      </c>
      <c r="H1330" s="0" t="n">
        <v>34</v>
      </c>
      <c r="I1330" s="27" t="s">
        <v>138</v>
      </c>
      <c r="J1330" s="0" t="n">
        <v>64</v>
      </c>
      <c r="K1330" s="0" t="n">
        <v>71</v>
      </c>
      <c r="L1330" s="0" t="n">
        <v>217</v>
      </c>
      <c r="M1330" s="0" t="n">
        <v>676.64</v>
      </c>
      <c r="N1330" s="0" t="n">
        <v>63.72</v>
      </c>
      <c r="O1330" s="0" t="n">
        <v>32.04</v>
      </c>
      <c r="P1330" s="0" t="n">
        <v>4.52</v>
      </c>
      <c r="Q1330" s="0" t="n">
        <v>3.46</v>
      </c>
      <c r="R1330" s="0" t="n">
        <v>3052</v>
      </c>
      <c r="S1330" s="0" t="n">
        <v>6594</v>
      </c>
      <c r="T1330" s="0" t="n">
        <v>30.55</v>
      </c>
      <c r="U1330" s="0" t="n">
        <v>934</v>
      </c>
      <c r="V1330" s="0" t="n">
        <v>1</v>
      </c>
      <c r="W1330" s="27" t="n">
        <f aca="false">MATCH(A1330,DATAS,0)</f>
        <v>1</v>
      </c>
      <c r="X1330" s="27" t="n">
        <f aca="false">IF(AND(E1330&gt;0,OR(AND(B1330&gt;=1,B1330&lt;=6),B1330=10)),1,0)</f>
        <v>1</v>
      </c>
      <c r="Y1330" s="27" t="n">
        <f aca="false">IF(AND(E1330&gt;0,B1330=10),1,0)</f>
        <v>0</v>
      </c>
      <c r="Z1330" s="0" t="str">
        <f aca="false">IF(AND(C1329=C1330,W1329=W1330-1),X1329,"")</f>
        <v/>
      </c>
      <c r="AA1330" s="0" t="str">
        <f aca="false">IF(AND(C1329=C1330,W1329=W1330-1),Y1329,"")</f>
        <v/>
      </c>
      <c r="AB1330" s="0" t="str">
        <f aca="false">IF(W1330=1,"",IF(AND(X1330=1,Z1330&lt;&gt;1),1,0))</f>
        <v/>
      </c>
      <c r="AC1330" s="0" t="str">
        <f aca="false">IF(W1330=1,"",IF(AND(Y1330=1,AA1330&lt;&gt;1),1,0))</f>
        <v/>
      </c>
      <c r="AD1330" s="33" t="str">
        <f aca="false">IF(AND(E1330&gt;0,W1330&lt;1,NOT(AND(C1331=C1330,W1331=W1330+1))),INDEX(DATAS,W1330+1),"")</f>
        <v/>
      </c>
      <c r="AE1330" s="33" t="str">
        <f aca="false">IF(AND(Y1330=1,W1330&lt;1),IF(AND(C1331=C1330,W1331=W1330+1),IF(Y1331=1,"",INDEX(DATAS,W1330+1)),INDEX(DATAS,W1330+1)),"")</f>
        <v/>
      </c>
    </row>
    <row r="1331" customFormat="false" ht="15" hidden="false" customHeight="false" outlineLevel="0" collapsed="false">
      <c r="A1331" s="33" t="n">
        <v>46309</v>
      </c>
      <c r="B1331" s="0" t="n">
        <v>4</v>
      </c>
      <c r="C1331" s="0" t="n">
        <v>5419</v>
      </c>
      <c r="D1331" s="0" t="n">
        <v>313</v>
      </c>
      <c r="E1331" s="0" t="n">
        <v>1</v>
      </c>
      <c r="F1331" s="27" t="s">
        <v>884</v>
      </c>
      <c r="G1331" s="0" t="n">
        <v>37.5</v>
      </c>
      <c r="H1331" s="0" t="n">
        <v>40</v>
      </c>
      <c r="I1331" s="27" t="s">
        <v>138</v>
      </c>
      <c r="J1331" s="0" t="n">
        <v>103</v>
      </c>
      <c r="K1331" s="0" t="n">
        <v>68</v>
      </c>
      <c r="L1331" s="0" t="n">
        <v>210</v>
      </c>
      <c r="M1331" s="0" t="n">
        <v>34.84</v>
      </c>
      <c r="N1331" s="0" t="n">
        <v>82.49</v>
      </c>
      <c r="O1331" s="0" t="n">
        <v>25.29</v>
      </c>
      <c r="P1331" s="0" t="n">
        <v>4.62</v>
      </c>
      <c r="Q1331" s="0" t="n">
        <v>3.88</v>
      </c>
      <c r="R1331" s="0" t="n">
        <v>3692</v>
      </c>
      <c r="S1331" s="0" t="n">
        <v>7518</v>
      </c>
      <c r="T1331" s="0" t="n">
        <v>38.7</v>
      </c>
      <c r="U1331" s="0" t="n">
        <v>934</v>
      </c>
      <c r="V1331" s="0" t="n">
        <v>2</v>
      </c>
      <c r="W1331" s="27" t="n">
        <f aca="false">MATCH(A1331,DATAS,0)</f>
        <v>1</v>
      </c>
      <c r="X1331" s="27" t="n">
        <f aca="false">IF(AND(E1331&gt;0,OR(AND(B1331&gt;=1,B1331&lt;=6),B1331=10)),1,0)</f>
        <v>1</v>
      </c>
      <c r="Y1331" s="27" t="n">
        <f aca="false">IF(AND(E1331&gt;0,B1331=10),1,0)</f>
        <v>0</v>
      </c>
      <c r="Z1331" s="0" t="str">
        <f aca="false">IF(AND(C1330=C1331,W1330=W1331-1),X1330,"")</f>
        <v/>
      </c>
      <c r="AA1331" s="0" t="str">
        <f aca="false">IF(AND(C1330=C1331,W1330=W1331-1),Y1330,"")</f>
        <v/>
      </c>
      <c r="AB1331" s="0" t="str">
        <f aca="false">IF(W1331=1,"",IF(AND(X1331=1,Z1331&lt;&gt;1),1,0))</f>
        <v/>
      </c>
      <c r="AC1331" s="0" t="str">
        <f aca="false">IF(W1331=1,"",IF(AND(Y1331=1,AA1331&lt;&gt;1),1,0))</f>
        <v/>
      </c>
      <c r="AD1331" s="33" t="str">
        <f aca="false">IF(AND(E1331&gt;0,W1331&lt;1,NOT(AND(C1332=C1331,W1332=W1331+1))),INDEX(DATAS,W1331+1),"")</f>
        <v/>
      </c>
      <c r="AE1331" s="33" t="str">
        <f aca="false">IF(AND(Y1331=1,W1331&lt;1),IF(AND(C1332=C1331,W1332=W1331+1),IF(Y1332=1,"",INDEX(DATAS,W1331+1)),INDEX(DATAS,W1331+1)),"")</f>
        <v/>
      </c>
    </row>
    <row r="1332" customFormat="false" ht="15" hidden="false" customHeight="false" outlineLevel="0" collapsed="false">
      <c r="A1332" s="33" t="n">
        <v>46309</v>
      </c>
      <c r="B1332" s="0" t="n">
        <v>4</v>
      </c>
      <c r="C1332" s="0" t="n">
        <v>5420</v>
      </c>
      <c r="D1332" s="0" t="n">
        <v>237</v>
      </c>
      <c r="E1332" s="0" t="n">
        <v>1</v>
      </c>
      <c r="F1332" s="27" t="s">
        <v>885</v>
      </c>
      <c r="G1332" s="0" t="n">
        <v>44.4</v>
      </c>
      <c r="H1332" s="0" t="n">
        <v>46</v>
      </c>
      <c r="I1332" s="27" t="s">
        <v>138</v>
      </c>
      <c r="J1332" s="0" t="n">
        <v>112</v>
      </c>
      <c r="K1332" s="0" t="n">
        <v>69</v>
      </c>
      <c r="L1332" s="0" t="n">
        <v>125</v>
      </c>
      <c r="M1332" s="0" t="n">
        <v>731.01</v>
      </c>
      <c r="N1332" s="0" t="n">
        <v>49.12</v>
      </c>
      <c r="O1332" s="0" t="n">
        <v>43.76</v>
      </c>
      <c r="P1332" s="0" t="n">
        <v>3.41</v>
      </c>
      <c r="Q1332" s="0" t="n">
        <v>3.88</v>
      </c>
      <c r="R1332" s="0" t="n">
        <v>4826</v>
      </c>
      <c r="S1332" s="0" t="n">
        <v>10371</v>
      </c>
      <c r="T1332" s="0" t="n">
        <v>55.45</v>
      </c>
      <c r="U1332" s="0" t="n">
        <v>933</v>
      </c>
      <c r="V1332" s="0" t="n">
        <v>3</v>
      </c>
      <c r="W1332" s="27" t="n">
        <f aca="false">MATCH(A1332,DATAS,0)</f>
        <v>1</v>
      </c>
      <c r="X1332" s="27" t="n">
        <f aca="false">IF(AND(E1332&gt;0,OR(AND(B1332&gt;=1,B1332&lt;=6),B1332=10)),1,0)</f>
        <v>1</v>
      </c>
      <c r="Y1332" s="27" t="n">
        <f aca="false">IF(AND(E1332&gt;0,B1332=10),1,0)</f>
        <v>0</v>
      </c>
      <c r="Z1332" s="0" t="str">
        <f aca="false">IF(AND(C1331=C1332,W1331=W1332-1),X1331,"")</f>
        <v/>
      </c>
      <c r="AA1332" s="0" t="str">
        <f aca="false">IF(AND(C1331=C1332,W1331=W1332-1),Y1331,"")</f>
        <v/>
      </c>
      <c r="AB1332" s="0" t="str">
        <f aca="false">IF(W1332=1,"",IF(AND(X1332=1,Z1332&lt;&gt;1),1,0))</f>
        <v/>
      </c>
      <c r="AC1332" s="0" t="str">
        <f aca="false">IF(W1332=1,"",IF(AND(Y1332=1,AA1332&lt;&gt;1),1,0))</f>
        <v/>
      </c>
      <c r="AD1332" s="33" t="str">
        <f aca="false">IF(AND(E1332&gt;0,W1332&lt;1,NOT(AND(C1333=C1332,W1333=W1332+1))),INDEX(DATAS,W1332+1),"")</f>
        <v/>
      </c>
      <c r="AE1332" s="33" t="str">
        <f aca="false">IF(AND(Y1332=1,W1332&lt;1),IF(AND(C1333=C1332,W1333=W1332+1),IF(Y1333=1,"",INDEX(DATAS,W1332+1)),INDEX(DATAS,W1332+1)),"")</f>
        <v/>
      </c>
    </row>
    <row r="1333" customFormat="false" ht="15" hidden="false" customHeight="false" outlineLevel="0" collapsed="false">
      <c r="A1333" s="33" t="n">
        <v>46309</v>
      </c>
      <c r="B1333" s="0" t="n">
        <v>4</v>
      </c>
      <c r="C1333" s="0" t="n">
        <v>5421</v>
      </c>
      <c r="D1333" s="0" t="n">
        <v>305</v>
      </c>
      <c r="E1333" s="0" t="n">
        <v>1</v>
      </c>
      <c r="F1333" s="27" t="s">
        <v>885</v>
      </c>
      <c r="G1333" s="0" t="n">
        <v>35.3</v>
      </c>
      <c r="H1333" s="0" t="n">
        <v>39</v>
      </c>
      <c r="I1333" s="27" t="s">
        <v>138</v>
      </c>
      <c r="J1333" s="0" t="n">
        <v>172</v>
      </c>
      <c r="K1333" s="0" t="n">
        <v>60</v>
      </c>
      <c r="L1333" s="0" t="n">
        <v>133</v>
      </c>
      <c r="M1333" s="0" t="n">
        <v>-110.15</v>
      </c>
      <c r="N1333" s="0" t="n">
        <v>79.12</v>
      </c>
      <c r="O1333" s="0" t="n">
        <v>24.76</v>
      </c>
      <c r="P1333" s="0" t="n">
        <v>4.53</v>
      </c>
      <c r="Q1333" s="0" t="n">
        <v>3.79</v>
      </c>
      <c r="R1333" s="0" t="n">
        <v>4272</v>
      </c>
      <c r="S1333" s="0" t="n">
        <v>8930</v>
      </c>
      <c r="T1333" s="0" t="n">
        <v>46.65</v>
      </c>
      <c r="U1333" s="0" t="n">
        <v>933</v>
      </c>
      <c r="V1333" s="0" t="n">
        <v>4</v>
      </c>
      <c r="W1333" s="27" t="n">
        <f aca="false">MATCH(A1333,DATAS,0)</f>
        <v>1</v>
      </c>
      <c r="X1333" s="27" t="n">
        <f aca="false">IF(AND(E1333&gt;0,OR(AND(B1333&gt;=1,B1333&lt;=6),B1333=10)),1,0)</f>
        <v>1</v>
      </c>
      <c r="Y1333" s="27" t="n">
        <f aca="false">IF(AND(E1333&gt;0,B1333=10),1,0)</f>
        <v>0</v>
      </c>
      <c r="Z1333" s="0" t="str">
        <f aca="false">IF(AND(C1332=C1333,W1332=W1333-1),X1332,"")</f>
        <v/>
      </c>
      <c r="AA1333" s="0" t="str">
        <f aca="false">IF(AND(C1332=C1333,W1332=W1333-1),Y1332,"")</f>
        <v/>
      </c>
      <c r="AB1333" s="0" t="str">
        <f aca="false">IF(W1333=1,"",IF(AND(X1333=1,Z1333&lt;&gt;1),1,0))</f>
        <v/>
      </c>
      <c r="AC1333" s="0" t="str">
        <f aca="false">IF(W1333=1,"",IF(AND(Y1333=1,AA1333&lt;&gt;1),1,0))</f>
        <v/>
      </c>
      <c r="AD1333" s="33" t="str">
        <f aca="false">IF(AND(E1333&gt;0,W1333&lt;1,NOT(AND(C1334=C1333,W1334=W1333+1))),INDEX(DATAS,W1333+1),"")</f>
        <v/>
      </c>
      <c r="AE1333" s="33" t="str">
        <f aca="false">IF(AND(Y1333=1,W1333&lt;1),IF(AND(C1334=C1333,W1334=W1333+1),IF(Y1334=1,"",INDEX(DATAS,W1333+1)),INDEX(DATAS,W1333+1)),"")</f>
        <v/>
      </c>
    </row>
    <row r="1334" customFormat="false" ht="15" hidden="false" customHeight="false" outlineLevel="0" collapsed="false">
      <c r="A1334" s="33" t="n">
        <v>46309</v>
      </c>
      <c r="B1334" s="0" t="n">
        <v>7</v>
      </c>
      <c r="C1334" s="0" t="n">
        <v>5422</v>
      </c>
      <c r="D1334" s="0" t="n">
        <v>289</v>
      </c>
      <c r="E1334" s="0" t="n">
        <v>1</v>
      </c>
      <c r="F1334" s="27" t="s">
        <v>885</v>
      </c>
      <c r="I1334" s="27" t="s">
        <v>143</v>
      </c>
      <c r="J1334" s="0" t="n">
        <v>66</v>
      </c>
      <c r="K1334" s="0" t="n">
        <v>66</v>
      </c>
      <c r="L1334" s="0" t="n">
        <v>245</v>
      </c>
      <c r="M1334" s="0" t="n">
        <v>149.34</v>
      </c>
      <c r="N1334" s="0" t="n">
        <v>82.7</v>
      </c>
      <c r="O1334" s="0" t="n">
        <v>30.99</v>
      </c>
      <c r="P1334" s="0" t="n">
        <v>4.22</v>
      </c>
      <c r="Q1334" s="0" t="n">
        <v>4.76</v>
      </c>
      <c r="R1334" s="0" t="n">
        <v>4160</v>
      </c>
      <c r="S1334" s="0" t="n">
        <v>8399</v>
      </c>
      <c r="T1334" s="0" t="n">
        <v>44.4</v>
      </c>
      <c r="U1334" s="0" t="n">
        <v>933</v>
      </c>
      <c r="V1334" s="0" t="n">
        <v>1</v>
      </c>
      <c r="W1334" s="27" t="n">
        <f aca="false">MATCH(A1334,DATAS,0)</f>
        <v>1</v>
      </c>
      <c r="X1334" s="27" t="n">
        <f aca="false">IF(AND(E1334&gt;0,OR(AND(B1334&gt;=1,B1334&lt;=6),B1334=10)),1,0)</f>
        <v>0</v>
      </c>
      <c r="Y1334" s="27" t="n">
        <f aca="false">IF(AND(E1334&gt;0,B1334=10),1,0)</f>
        <v>0</v>
      </c>
      <c r="Z1334" s="0" t="str">
        <f aca="false">IF(AND(C1333=C1334,W1333=W1334-1),X1333,"")</f>
        <v/>
      </c>
      <c r="AA1334" s="0" t="str">
        <f aca="false">IF(AND(C1333=C1334,W1333=W1334-1),Y1333,"")</f>
        <v/>
      </c>
      <c r="AB1334" s="0" t="str">
        <f aca="false">IF(W1334=1,"",IF(AND(X1334=1,Z1334&lt;&gt;1),1,0))</f>
        <v/>
      </c>
      <c r="AC1334" s="0" t="str">
        <f aca="false">IF(W1334=1,"",IF(AND(Y1334=1,AA1334&lt;&gt;1),1,0))</f>
        <v/>
      </c>
      <c r="AD1334" s="33" t="str">
        <f aca="false">IF(AND(E1334&gt;0,W1334&lt;1,NOT(AND(C1335=C1334,W1335=W1334+1))),INDEX(DATAS,W1334+1),"")</f>
        <v/>
      </c>
      <c r="AE1334" s="33" t="str">
        <f aca="false">IF(AND(Y1334=1,W1334&lt;1),IF(AND(C1335=C1334,W1335=W1334+1),IF(Y1335=1,"",INDEX(DATAS,W1334+1)),INDEX(DATAS,W1334+1)),"")</f>
        <v/>
      </c>
    </row>
    <row r="1335" customFormat="false" ht="15" hidden="false" customHeight="false" outlineLevel="0" collapsed="false">
      <c r="A1335" s="33" t="n">
        <v>46309</v>
      </c>
      <c r="B1335" s="0" t="n">
        <v>7</v>
      </c>
      <c r="C1335" s="0" t="n">
        <v>5423</v>
      </c>
      <c r="D1335" s="0" t="n">
        <v>287</v>
      </c>
      <c r="E1335" s="0" t="n">
        <v>1</v>
      </c>
      <c r="F1335" s="27" t="s">
        <v>886</v>
      </c>
      <c r="I1335" s="27" t="s">
        <v>143</v>
      </c>
      <c r="J1335" s="0" t="n">
        <v>64</v>
      </c>
      <c r="K1335" s="0" t="n">
        <v>64</v>
      </c>
      <c r="L1335" s="0" t="n">
        <v>245</v>
      </c>
      <c r="M1335" s="0" t="n">
        <v>1020.9</v>
      </c>
      <c r="N1335" s="0" t="n">
        <v>49.04</v>
      </c>
      <c r="O1335" s="0" t="n">
        <v>34.96</v>
      </c>
      <c r="P1335" s="0" t="n">
        <v>5.01</v>
      </c>
      <c r="Q1335" s="0" t="n">
        <v>3.39</v>
      </c>
      <c r="R1335" s="0" t="n">
        <v>3994</v>
      </c>
      <c r="S1335" s="0" t="n">
        <v>9852</v>
      </c>
      <c r="T1335" s="0" t="n">
        <v>46</v>
      </c>
      <c r="U1335" s="0" t="n">
        <v>932</v>
      </c>
      <c r="V1335" s="0" t="n">
        <v>1</v>
      </c>
      <c r="W1335" s="27" t="n">
        <f aca="false">MATCH(A1335,DATAS,0)</f>
        <v>1</v>
      </c>
      <c r="X1335" s="27" t="n">
        <f aca="false">IF(AND(E1335&gt;0,OR(AND(B1335&gt;=1,B1335&lt;=6),B1335=10)),1,0)</f>
        <v>0</v>
      </c>
      <c r="Y1335" s="27" t="n">
        <f aca="false">IF(AND(E1335&gt;0,B1335=10),1,0)</f>
        <v>0</v>
      </c>
      <c r="Z1335" s="0" t="str">
        <f aca="false">IF(AND(C1334=C1335,W1334=W1335-1),X1334,"")</f>
        <v/>
      </c>
      <c r="AA1335" s="0" t="str">
        <f aca="false">IF(AND(C1334=C1335,W1334=W1335-1),Y1334,"")</f>
        <v/>
      </c>
      <c r="AB1335" s="0" t="str">
        <f aca="false">IF(W1335=1,"",IF(AND(X1335=1,Z1335&lt;&gt;1),1,0))</f>
        <v/>
      </c>
      <c r="AC1335" s="0" t="str">
        <f aca="false">IF(W1335=1,"",IF(AND(Y1335=1,AA1335&lt;&gt;1),1,0))</f>
        <v/>
      </c>
      <c r="AD1335" s="33" t="str">
        <f aca="false">IF(AND(E1335&gt;0,W1335&lt;1,NOT(AND(C1336=C1335,W1336=W1335+1))),INDEX(DATAS,W1335+1),"")</f>
        <v/>
      </c>
      <c r="AE1335" s="33" t="str">
        <f aca="false">IF(AND(Y1335=1,W1335&lt;1),IF(AND(C1336=C1335,W1336=W1335+1),IF(Y1336=1,"",INDEX(DATAS,W1335+1)),INDEX(DATAS,W1335+1)),"")</f>
        <v/>
      </c>
    </row>
    <row r="1336" customFormat="false" ht="15" hidden="false" customHeight="false" outlineLevel="0" collapsed="false">
      <c r="A1336" s="33" t="n">
        <v>46309</v>
      </c>
      <c r="B1336" s="0" t="n">
        <v>4</v>
      </c>
      <c r="C1336" s="0" t="n">
        <v>5424</v>
      </c>
      <c r="D1336" s="0" t="n">
        <v>250</v>
      </c>
      <c r="E1336" s="0" t="n">
        <v>1</v>
      </c>
      <c r="F1336" s="27" t="s">
        <v>886</v>
      </c>
      <c r="G1336" s="0" t="n">
        <v>34.9</v>
      </c>
      <c r="H1336" s="0" t="n">
        <v>37</v>
      </c>
      <c r="I1336" s="27" t="s">
        <v>138</v>
      </c>
      <c r="J1336" s="0" t="n">
        <v>208</v>
      </c>
      <c r="K1336" s="0" t="n">
        <v>68</v>
      </c>
      <c r="L1336" s="0" t="n">
        <v>42</v>
      </c>
      <c r="M1336" s="0" t="n">
        <v>142.64</v>
      </c>
      <c r="N1336" s="0" t="n">
        <v>50.94</v>
      </c>
      <c r="O1336" s="0" t="n">
        <v>21.6</v>
      </c>
      <c r="P1336" s="0" t="n">
        <v>4.08</v>
      </c>
      <c r="Q1336" s="0" t="n">
        <v>3.49</v>
      </c>
      <c r="R1336" s="0" t="n">
        <v>3400</v>
      </c>
      <c r="S1336" s="0" t="n">
        <v>8307</v>
      </c>
      <c r="T1336" s="0" t="n">
        <v>35.5</v>
      </c>
      <c r="U1336" s="0" t="n">
        <v>932</v>
      </c>
      <c r="V1336" s="0" t="n">
        <v>4</v>
      </c>
      <c r="W1336" s="27" t="n">
        <f aca="false">MATCH(A1336,DATAS,0)</f>
        <v>1</v>
      </c>
      <c r="X1336" s="27" t="n">
        <f aca="false">IF(AND(E1336&gt;0,OR(AND(B1336&gt;=1,B1336&lt;=6),B1336=10)),1,0)</f>
        <v>1</v>
      </c>
      <c r="Y1336" s="27" t="n">
        <f aca="false">IF(AND(E1336&gt;0,B1336=10),1,0)</f>
        <v>0</v>
      </c>
      <c r="Z1336" s="0" t="str">
        <f aca="false">IF(AND(C1335=C1336,W1335=W1336-1),X1335,"")</f>
        <v/>
      </c>
      <c r="AA1336" s="0" t="str">
        <f aca="false">IF(AND(C1335=C1336,W1335=W1336-1),Y1335,"")</f>
        <v/>
      </c>
      <c r="AB1336" s="0" t="str">
        <f aca="false">IF(W1336=1,"",IF(AND(X1336=1,Z1336&lt;&gt;1),1,0))</f>
        <v/>
      </c>
      <c r="AC1336" s="0" t="str">
        <f aca="false">IF(W1336=1,"",IF(AND(Y1336=1,AA1336&lt;&gt;1),1,0))</f>
        <v/>
      </c>
      <c r="AD1336" s="33" t="str">
        <f aca="false">IF(AND(E1336&gt;0,W1336&lt;1,NOT(AND(C1337=C1336,W1337=W1336+1))),INDEX(DATAS,W1336+1),"")</f>
        <v/>
      </c>
      <c r="AE1336" s="33" t="str">
        <f aca="false">IF(AND(Y1336=1,W1336&lt;1),IF(AND(C1337=C1336,W1337=W1336+1),IF(Y1337=1,"",INDEX(DATAS,W1336+1)),INDEX(DATAS,W1336+1)),"")</f>
        <v/>
      </c>
    </row>
    <row r="1337" customFormat="false" ht="15" hidden="false" customHeight="false" outlineLevel="0" collapsed="false">
      <c r="A1337" s="33" t="n">
        <v>46309</v>
      </c>
      <c r="B1337" s="0" t="n">
        <v>4</v>
      </c>
      <c r="C1337" s="0" t="n">
        <v>5425</v>
      </c>
      <c r="D1337" s="0" t="n">
        <v>144</v>
      </c>
      <c r="E1337" s="0" t="n">
        <v>1</v>
      </c>
      <c r="F1337" s="27" t="s">
        <v>887</v>
      </c>
      <c r="G1337" s="0" t="n">
        <v>29.8</v>
      </c>
      <c r="H1337" s="0" t="n">
        <v>32</v>
      </c>
      <c r="I1337" s="27" t="s">
        <v>168</v>
      </c>
      <c r="J1337" s="0" t="n">
        <v>144</v>
      </c>
      <c r="K1337" s="0" t="n">
        <v>67</v>
      </c>
      <c r="M1337" s="0" t="n">
        <v>929.8</v>
      </c>
      <c r="N1337" s="0" t="n">
        <v>27.36</v>
      </c>
      <c r="O1337" s="0" t="n">
        <v>33.04</v>
      </c>
      <c r="P1337" s="0" t="n">
        <v>3.04</v>
      </c>
      <c r="Q1337" s="0" t="n">
        <v>3.15</v>
      </c>
      <c r="R1337" s="0" t="n">
        <v>2867</v>
      </c>
      <c r="S1337" s="0" t="n">
        <v>5975</v>
      </c>
      <c r="T1337" s="0" t="n">
        <v>32.65</v>
      </c>
      <c r="U1337" s="0" t="n">
        <v>931</v>
      </c>
      <c r="V1337" s="0" t="n">
        <v>3</v>
      </c>
      <c r="W1337" s="27" t="n">
        <f aca="false">MATCH(A1337,DATAS,0)</f>
        <v>1</v>
      </c>
      <c r="X1337" s="27" t="n">
        <f aca="false">IF(AND(E1337&gt;0,OR(AND(B1337&gt;=1,B1337&lt;=6),B1337=10)),1,0)</f>
        <v>1</v>
      </c>
      <c r="Y1337" s="27" t="n">
        <f aca="false">IF(AND(E1337&gt;0,B1337=10),1,0)</f>
        <v>0</v>
      </c>
      <c r="Z1337" s="0" t="str">
        <f aca="false">IF(AND(C1336=C1337,W1336=W1337-1),X1336,"")</f>
        <v/>
      </c>
      <c r="AA1337" s="0" t="str">
        <f aca="false">IF(AND(C1336=C1337,W1336=W1337-1),Y1336,"")</f>
        <v/>
      </c>
      <c r="AB1337" s="0" t="str">
        <f aca="false">IF(W1337=1,"",IF(AND(X1337=1,Z1337&lt;&gt;1),1,0))</f>
        <v/>
      </c>
      <c r="AC1337" s="0" t="str">
        <f aca="false">IF(W1337=1,"",IF(AND(Y1337=1,AA1337&lt;&gt;1),1,0))</f>
        <v/>
      </c>
      <c r="AD1337" s="33" t="str">
        <f aca="false">IF(AND(E1337&gt;0,W1337&lt;1,NOT(AND(C1338=C1337,W1338=W1337+1))),INDEX(DATAS,W1337+1),"")</f>
        <v/>
      </c>
      <c r="AE1337" s="33" t="str">
        <f aca="false">IF(AND(Y1337=1,W1337&lt;1),IF(AND(C1338=C1337,W1338=W1337+1),IF(Y1338=1,"",INDEX(DATAS,W1337+1)),INDEX(DATAS,W1337+1)),"")</f>
        <v/>
      </c>
    </row>
    <row r="1338" customFormat="false" ht="15" hidden="false" customHeight="false" outlineLevel="0" collapsed="false">
      <c r="A1338" s="33" t="n">
        <v>46309</v>
      </c>
      <c r="B1338" s="0" t="n">
        <v>4</v>
      </c>
      <c r="C1338" s="0" t="n">
        <v>5426</v>
      </c>
      <c r="D1338" s="0" t="n">
        <v>273</v>
      </c>
      <c r="E1338" s="0" t="n">
        <v>1</v>
      </c>
      <c r="F1338" s="27" t="s">
        <v>887</v>
      </c>
      <c r="G1338" s="0" t="n">
        <v>29.3</v>
      </c>
      <c r="H1338" s="0" t="n">
        <v>29</v>
      </c>
      <c r="I1338" s="27" t="s">
        <v>138</v>
      </c>
      <c r="J1338" s="0" t="n">
        <v>63</v>
      </c>
      <c r="K1338" s="0" t="n">
        <v>63</v>
      </c>
      <c r="L1338" s="0" t="n">
        <v>210</v>
      </c>
      <c r="M1338" s="0" t="n">
        <v>836.45</v>
      </c>
      <c r="N1338" s="0" t="n">
        <v>44.36</v>
      </c>
      <c r="O1338" s="0" t="n">
        <v>23.32</v>
      </c>
      <c r="P1338" s="0" t="n">
        <v>5.28</v>
      </c>
      <c r="Q1338" s="0" t="n">
        <v>2.9</v>
      </c>
      <c r="R1338" s="0" t="n">
        <v>4123</v>
      </c>
      <c r="S1338" s="0" t="n">
        <v>9081</v>
      </c>
      <c r="T1338" s="0" t="n">
        <v>43.7</v>
      </c>
      <c r="U1338" s="0" t="n">
        <v>931</v>
      </c>
      <c r="V1338" s="0" t="n">
        <v>1</v>
      </c>
      <c r="W1338" s="27" t="n">
        <f aca="false">MATCH(A1338,DATAS,0)</f>
        <v>1</v>
      </c>
      <c r="X1338" s="27" t="n">
        <f aca="false">IF(AND(E1338&gt;0,OR(AND(B1338&gt;=1,B1338&lt;=6),B1338=10)),1,0)</f>
        <v>1</v>
      </c>
      <c r="Y1338" s="27" t="n">
        <f aca="false">IF(AND(E1338&gt;0,B1338=10),1,0)</f>
        <v>0</v>
      </c>
      <c r="Z1338" s="0" t="str">
        <f aca="false">IF(AND(C1337=C1338,W1337=W1338-1),X1337,"")</f>
        <v/>
      </c>
      <c r="AA1338" s="0" t="str">
        <f aca="false">IF(AND(C1337=C1338,W1337=W1338-1),Y1337,"")</f>
        <v/>
      </c>
      <c r="AB1338" s="0" t="str">
        <f aca="false">IF(W1338=1,"",IF(AND(X1338=1,Z1338&lt;&gt;1),1,0))</f>
        <v/>
      </c>
      <c r="AC1338" s="0" t="str">
        <f aca="false">IF(W1338=1,"",IF(AND(Y1338=1,AA1338&lt;&gt;1),1,0))</f>
        <v/>
      </c>
      <c r="AD1338" s="33" t="str">
        <f aca="false">IF(AND(E1338&gt;0,W1338&lt;1,NOT(AND(C1339=C1338,W1339=W1338+1))),INDEX(DATAS,W1338+1),"")</f>
        <v/>
      </c>
      <c r="AE1338" s="33" t="str">
        <f aca="false">IF(AND(Y1338=1,W1338&lt;1),IF(AND(C1339=C1338,W1339=W1338+1),IF(Y1339=1,"",INDEX(DATAS,W1338+1)),INDEX(DATAS,W1338+1)),"")</f>
        <v/>
      </c>
    </row>
    <row r="1339" customFormat="false" ht="15" hidden="false" customHeight="false" outlineLevel="0" collapsed="false">
      <c r="A1339" s="33" t="n">
        <v>46309</v>
      </c>
      <c r="B1339" s="0" t="n">
        <v>7</v>
      </c>
      <c r="C1339" s="0" t="n">
        <v>5427</v>
      </c>
      <c r="D1339" s="0" t="n">
        <v>288</v>
      </c>
      <c r="E1339" s="0" t="n">
        <v>1</v>
      </c>
      <c r="F1339" s="27" t="s">
        <v>887</v>
      </c>
      <c r="I1339" s="27" t="s">
        <v>143</v>
      </c>
      <c r="J1339" s="0" t="n">
        <v>86</v>
      </c>
      <c r="K1339" s="0" t="n">
        <v>86</v>
      </c>
      <c r="L1339" s="0" t="n">
        <v>231</v>
      </c>
      <c r="M1339" s="0" t="n">
        <v>1678.72</v>
      </c>
      <c r="N1339" s="0" t="n">
        <v>63.56</v>
      </c>
      <c r="O1339" s="0" t="n">
        <v>38.39</v>
      </c>
      <c r="P1339" s="0" t="n">
        <v>4.73</v>
      </c>
      <c r="Q1339" s="0" t="n">
        <v>3.36</v>
      </c>
      <c r="R1339" s="0" t="n">
        <v>1066</v>
      </c>
      <c r="S1339" s="0" t="n">
        <v>3002</v>
      </c>
      <c r="T1339" s="0" t="n">
        <v>10.45</v>
      </c>
      <c r="U1339" s="0" t="n">
        <v>931</v>
      </c>
      <c r="V1339" s="0" t="n">
        <v>1</v>
      </c>
      <c r="W1339" s="27" t="n">
        <f aca="false">MATCH(A1339,DATAS,0)</f>
        <v>1</v>
      </c>
      <c r="X1339" s="27" t="n">
        <f aca="false">IF(AND(E1339&gt;0,OR(AND(B1339&gt;=1,B1339&lt;=6),B1339=10)),1,0)</f>
        <v>0</v>
      </c>
      <c r="Y1339" s="27" t="n">
        <f aca="false">IF(AND(E1339&gt;0,B1339=10),1,0)</f>
        <v>0</v>
      </c>
      <c r="Z1339" s="0" t="str">
        <f aca="false">IF(AND(C1338=C1339,W1338=W1339-1),X1338,"")</f>
        <v/>
      </c>
      <c r="AA1339" s="0" t="str">
        <f aca="false">IF(AND(C1338=C1339,W1338=W1339-1),Y1338,"")</f>
        <v/>
      </c>
      <c r="AB1339" s="0" t="str">
        <f aca="false">IF(W1339=1,"",IF(AND(X1339=1,Z1339&lt;&gt;1),1,0))</f>
        <v/>
      </c>
      <c r="AC1339" s="0" t="str">
        <f aca="false">IF(W1339=1,"",IF(AND(Y1339=1,AA1339&lt;&gt;1),1,0))</f>
        <v/>
      </c>
      <c r="AD1339" s="33" t="str">
        <f aca="false">IF(AND(E1339&gt;0,W1339&lt;1,NOT(AND(C1340=C1339,W1340=W1339+1))),INDEX(DATAS,W1339+1),"")</f>
        <v/>
      </c>
      <c r="AE1339" s="33" t="str">
        <f aca="false">IF(AND(Y1339=1,W1339&lt;1),IF(AND(C1340=C1339,W1340=W1339+1),IF(Y1340=1,"",INDEX(DATAS,W1339+1)),INDEX(DATAS,W1339+1)),"")</f>
        <v/>
      </c>
    </row>
    <row r="1340" customFormat="false" ht="15" hidden="false" customHeight="false" outlineLevel="0" collapsed="false">
      <c r="A1340" s="33" t="n">
        <v>46309</v>
      </c>
      <c r="B1340" s="0" t="n">
        <v>4</v>
      </c>
      <c r="C1340" s="0" t="n">
        <v>5428</v>
      </c>
      <c r="D1340" s="0" t="n">
        <v>247</v>
      </c>
      <c r="E1340" s="0" t="n">
        <v>1</v>
      </c>
      <c r="F1340" s="27" t="s">
        <v>887</v>
      </c>
      <c r="G1340" s="0" t="n">
        <v>39.6</v>
      </c>
      <c r="H1340" s="0" t="n">
        <v>39</v>
      </c>
      <c r="I1340" s="27" t="s">
        <v>138</v>
      </c>
      <c r="J1340" s="0" t="n">
        <v>65</v>
      </c>
      <c r="K1340" s="0" t="n">
        <v>65</v>
      </c>
      <c r="L1340" s="0" t="n">
        <v>182</v>
      </c>
      <c r="M1340" s="0" t="n">
        <v>1035.57</v>
      </c>
      <c r="N1340" s="0" t="n">
        <v>78.61</v>
      </c>
      <c r="O1340" s="0" t="n">
        <v>37.5</v>
      </c>
      <c r="P1340" s="0" t="n">
        <v>4.51</v>
      </c>
      <c r="Q1340" s="0" t="n">
        <v>3.53</v>
      </c>
      <c r="R1340" s="0" t="n">
        <v>3444</v>
      </c>
      <c r="S1340" s="0" t="n">
        <v>7248</v>
      </c>
      <c r="T1340" s="0" t="n">
        <v>36.35</v>
      </c>
      <c r="U1340" s="0" t="n">
        <v>931</v>
      </c>
      <c r="V1340" s="0" t="n">
        <v>1</v>
      </c>
      <c r="W1340" s="27" t="n">
        <f aca="false">MATCH(A1340,DATAS,0)</f>
        <v>1</v>
      </c>
      <c r="X1340" s="27" t="n">
        <f aca="false">IF(AND(E1340&gt;0,OR(AND(B1340&gt;=1,B1340&lt;=6),B1340=10)),1,0)</f>
        <v>1</v>
      </c>
      <c r="Y1340" s="27" t="n">
        <f aca="false">IF(AND(E1340&gt;0,B1340=10),1,0)</f>
        <v>0</v>
      </c>
      <c r="Z1340" s="0" t="str">
        <f aca="false">IF(AND(C1339=C1340,W1339=W1340-1),X1339,"")</f>
        <v/>
      </c>
      <c r="AA1340" s="0" t="str">
        <f aca="false">IF(AND(C1339=C1340,W1339=W1340-1),Y1339,"")</f>
        <v/>
      </c>
      <c r="AB1340" s="0" t="str">
        <f aca="false">IF(W1340=1,"",IF(AND(X1340=1,Z1340&lt;&gt;1),1,0))</f>
        <v/>
      </c>
      <c r="AC1340" s="0" t="str">
        <f aca="false">IF(W1340=1,"",IF(AND(Y1340=1,AA1340&lt;&gt;1),1,0))</f>
        <v/>
      </c>
      <c r="AD1340" s="33" t="str">
        <f aca="false">IF(AND(E1340&gt;0,W1340&lt;1,NOT(AND(C1341=C1340,W1341=W1340+1))),INDEX(DATAS,W1340+1),"")</f>
        <v/>
      </c>
      <c r="AE1340" s="33" t="str">
        <f aca="false">IF(AND(Y1340=1,W1340&lt;1),IF(AND(C1341=C1340,W1341=W1340+1),IF(Y1341=1,"",INDEX(DATAS,W1340+1)),INDEX(DATAS,W1340+1)),"")</f>
        <v/>
      </c>
    </row>
    <row r="1341" customFormat="false" ht="15" hidden="false" customHeight="false" outlineLevel="0" collapsed="false">
      <c r="A1341" s="33" t="n">
        <v>46309</v>
      </c>
      <c r="B1341" s="0" t="n">
        <v>4</v>
      </c>
      <c r="C1341" s="0" t="n">
        <v>5429</v>
      </c>
      <c r="D1341" s="0" t="n">
        <v>258</v>
      </c>
      <c r="E1341" s="0" t="n">
        <v>1</v>
      </c>
      <c r="F1341" s="27" t="s">
        <v>888</v>
      </c>
      <c r="G1341" s="0" t="n">
        <v>32.1</v>
      </c>
      <c r="H1341" s="0" t="n">
        <v>38</v>
      </c>
      <c r="I1341" s="27" t="s">
        <v>138</v>
      </c>
      <c r="J1341" s="0" t="n">
        <v>146</v>
      </c>
      <c r="K1341" s="0" t="n">
        <v>73</v>
      </c>
      <c r="L1341" s="0" t="n">
        <v>112</v>
      </c>
      <c r="M1341" s="0" t="n">
        <v>155.74</v>
      </c>
      <c r="N1341" s="0" t="n">
        <v>18.76</v>
      </c>
      <c r="O1341" s="0" t="n">
        <v>22.47</v>
      </c>
      <c r="P1341" s="0" t="n">
        <v>3.71</v>
      </c>
      <c r="Q1341" s="0" t="n">
        <v>3.87</v>
      </c>
      <c r="R1341" s="0" t="n">
        <v>3107</v>
      </c>
      <c r="S1341" s="0" t="n">
        <v>7368</v>
      </c>
      <c r="T1341" s="0" t="n">
        <v>32.3</v>
      </c>
      <c r="U1341" s="0" t="n">
        <v>930</v>
      </c>
      <c r="V1341" s="0" t="n">
        <v>3</v>
      </c>
      <c r="W1341" s="27" t="n">
        <f aca="false">MATCH(A1341,DATAS,0)</f>
        <v>1</v>
      </c>
      <c r="X1341" s="27" t="n">
        <f aca="false">IF(AND(E1341&gt;0,OR(AND(B1341&gt;=1,B1341&lt;=6),B1341=10)),1,0)</f>
        <v>1</v>
      </c>
      <c r="Y1341" s="27" t="n">
        <f aca="false">IF(AND(E1341&gt;0,B1341=10),1,0)</f>
        <v>0</v>
      </c>
      <c r="Z1341" s="0" t="str">
        <f aca="false">IF(AND(C1340=C1341,W1340=W1341-1),X1340,"")</f>
        <v/>
      </c>
      <c r="AA1341" s="0" t="str">
        <f aca="false">IF(AND(C1340=C1341,W1340=W1341-1),Y1340,"")</f>
        <v/>
      </c>
      <c r="AB1341" s="0" t="str">
        <f aca="false">IF(W1341=1,"",IF(AND(X1341=1,Z1341&lt;&gt;1),1,0))</f>
        <v/>
      </c>
      <c r="AC1341" s="0" t="str">
        <f aca="false">IF(W1341=1,"",IF(AND(Y1341=1,AA1341&lt;&gt;1),1,0))</f>
        <v/>
      </c>
      <c r="AD1341" s="33" t="str">
        <f aca="false">IF(AND(E1341&gt;0,W1341&lt;1,NOT(AND(C1342=C1341,W1342=W1341+1))),INDEX(DATAS,W1341+1),"")</f>
        <v/>
      </c>
      <c r="AE1341" s="33" t="str">
        <f aca="false">IF(AND(Y1341=1,W1341&lt;1),IF(AND(C1342=C1341,W1342=W1341+1),IF(Y1342=1,"",INDEX(DATAS,W1341+1)),INDEX(DATAS,W1341+1)),"")</f>
        <v/>
      </c>
    </row>
    <row r="1342" customFormat="false" ht="15" hidden="false" customHeight="false" outlineLevel="0" collapsed="false">
      <c r="A1342" s="33" t="n">
        <v>46309</v>
      </c>
      <c r="B1342" s="0" t="n">
        <v>4</v>
      </c>
      <c r="C1342" s="0" t="n">
        <v>5430</v>
      </c>
      <c r="D1342" s="0" t="n">
        <v>184</v>
      </c>
      <c r="E1342" s="0" t="n">
        <v>1</v>
      </c>
      <c r="F1342" s="27" t="s">
        <v>888</v>
      </c>
      <c r="G1342" s="0" t="n">
        <v>48.4</v>
      </c>
      <c r="H1342" s="0" t="n">
        <v>46</v>
      </c>
      <c r="I1342" s="27" t="s">
        <v>138</v>
      </c>
      <c r="J1342" s="0" t="n">
        <v>65</v>
      </c>
      <c r="K1342" s="0" t="n">
        <v>65</v>
      </c>
      <c r="L1342" s="0" t="n">
        <v>119</v>
      </c>
      <c r="M1342" s="0" t="n">
        <v>732.78</v>
      </c>
      <c r="N1342" s="0" t="n">
        <v>74.15</v>
      </c>
      <c r="O1342" s="0" t="n">
        <v>39.61</v>
      </c>
      <c r="P1342" s="0" t="n">
        <v>3.67</v>
      </c>
      <c r="Q1342" s="0" t="n">
        <v>3.7</v>
      </c>
      <c r="R1342" s="0" t="n">
        <v>4119</v>
      </c>
      <c r="S1342" s="0" t="n">
        <v>9128</v>
      </c>
      <c r="T1342" s="0" t="n">
        <v>42.25</v>
      </c>
      <c r="U1342" s="0" t="n">
        <v>930</v>
      </c>
      <c r="V1342" s="0" t="n">
        <v>1</v>
      </c>
      <c r="W1342" s="27" t="n">
        <f aca="false">MATCH(A1342,DATAS,0)</f>
        <v>1</v>
      </c>
      <c r="X1342" s="27" t="n">
        <f aca="false">IF(AND(E1342&gt;0,OR(AND(B1342&gt;=1,B1342&lt;=6),B1342=10)),1,0)</f>
        <v>1</v>
      </c>
      <c r="Y1342" s="27" t="n">
        <f aca="false">IF(AND(E1342&gt;0,B1342=10),1,0)</f>
        <v>0</v>
      </c>
      <c r="Z1342" s="0" t="str">
        <f aca="false">IF(AND(C1341=C1342,W1341=W1342-1),X1341,"")</f>
        <v/>
      </c>
      <c r="AA1342" s="0" t="str">
        <f aca="false">IF(AND(C1341=C1342,W1341=W1342-1),Y1341,"")</f>
        <v/>
      </c>
      <c r="AB1342" s="0" t="str">
        <f aca="false">IF(W1342=1,"",IF(AND(X1342=1,Z1342&lt;&gt;1),1,0))</f>
        <v/>
      </c>
      <c r="AC1342" s="0" t="str">
        <f aca="false">IF(W1342=1,"",IF(AND(Y1342=1,AA1342&lt;&gt;1),1,0))</f>
        <v/>
      </c>
      <c r="AD1342" s="33" t="str">
        <f aca="false">IF(AND(E1342&gt;0,W1342&lt;1,NOT(AND(C1343=C1342,W1343=W1342+1))),INDEX(DATAS,W1342+1),"")</f>
        <v/>
      </c>
      <c r="AE1342" s="33" t="str">
        <f aca="false">IF(AND(Y1342=1,W1342&lt;1),IF(AND(C1343=C1342,W1343=W1342+1),IF(Y1343=1,"",INDEX(DATAS,W1342+1)),INDEX(DATAS,W1342+1)),"")</f>
        <v/>
      </c>
    </row>
    <row r="1343" customFormat="false" ht="15" hidden="false" customHeight="false" outlineLevel="0" collapsed="false">
      <c r="A1343" s="33" t="n">
        <v>46309</v>
      </c>
      <c r="B1343" s="0" t="n">
        <v>7</v>
      </c>
      <c r="C1343" s="0" t="n">
        <v>5432</v>
      </c>
      <c r="D1343" s="0" t="n">
        <v>295</v>
      </c>
      <c r="E1343" s="0" t="n">
        <v>1</v>
      </c>
      <c r="F1343" s="27" t="s">
        <v>888</v>
      </c>
      <c r="G1343" s="0" t="n">
        <v>12.6</v>
      </c>
      <c r="H1343" s="0" t="n">
        <v>37</v>
      </c>
      <c r="I1343" s="27" t="s">
        <v>143</v>
      </c>
      <c r="J1343" s="0" t="n">
        <v>72</v>
      </c>
      <c r="K1343" s="0" t="n">
        <v>72</v>
      </c>
      <c r="L1343" s="0" t="n">
        <v>224</v>
      </c>
      <c r="M1343" s="0" t="n">
        <v>820.94</v>
      </c>
      <c r="N1343" s="0" t="n">
        <v>84.09</v>
      </c>
      <c r="O1343" s="0" t="n">
        <v>37.29</v>
      </c>
      <c r="P1343" s="0" t="n">
        <v>3.55</v>
      </c>
      <c r="Q1343" s="0" t="n">
        <v>3.4</v>
      </c>
      <c r="R1343" s="0" t="n">
        <v>4171</v>
      </c>
      <c r="S1343" s="0" t="n">
        <v>9525</v>
      </c>
      <c r="T1343" s="0" t="n">
        <v>43.35</v>
      </c>
      <c r="U1343" s="0" t="n">
        <v>930</v>
      </c>
      <c r="V1343" s="0" t="n">
        <v>1</v>
      </c>
      <c r="W1343" s="27" t="n">
        <f aca="false">MATCH(A1343,DATAS,0)</f>
        <v>1</v>
      </c>
      <c r="X1343" s="27" t="n">
        <f aca="false">IF(AND(E1343&gt;0,OR(AND(B1343&gt;=1,B1343&lt;=6),B1343=10)),1,0)</f>
        <v>0</v>
      </c>
      <c r="Y1343" s="27" t="n">
        <f aca="false">IF(AND(E1343&gt;0,B1343=10),1,0)</f>
        <v>0</v>
      </c>
      <c r="Z1343" s="0" t="str">
        <f aca="false">IF(AND(C1342=C1343,W1342=W1343-1),X1342,"")</f>
        <v/>
      </c>
      <c r="AA1343" s="0" t="str">
        <f aca="false">IF(AND(C1342=C1343,W1342=W1343-1),Y1342,"")</f>
        <v/>
      </c>
      <c r="AB1343" s="0" t="str">
        <f aca="false">IF(W1343=1,"",IF(AND(X1343=1,Z1343&lt;&gt;1),1,0))</f>
        <v/>
      </c>
      <c r="AC1343" s="0" t="str">
        <f aca="false">IF(W1343=1,"",IF(AND(Y1343=1,AA1343&lt;&gt;1),1,0))</f>
        <v/>
      </c>
      <c r="AD1343" s="33" t="str">
        <f aca="false">IF(AND(E1343&gt;0,W1343&lt;1,NOT(AND(C1344=C1343,W1344=W1343+1))),INDEX(DATAS,W1343+1),"")</f>
        <v/>
      </c>
      <c r="AE1343" s="33" t="str">
        <f aca="false">IF(AND(Y1343=1,W1343&lt;1),IF(AND(C1344=C1343,W1344=W1343+1),IF(Y1344=1,"",INDEX(DATAS,W1343+1)),INDEX(DATAS,W1343+1)),"")</f>
        <v/>
      </c>
    </row>
    <row r="1344" customFormat="false" ht="15" hidden="false" customHeight="false" outlineLevel="0" collapsed="false">
      <c r="A1344" s="33" t="n">
        <v>46309</v>
      </c>
      <c r="B1344" s="0" t="n">
        <v>5</v>
      </c>
      <c r="C1344" s="0" t="n">
        <v>5433</v>
      </c>
      <c r="D1344" s="0" t="n">
        <v>277</v>
      </c>
      <c r="E1344" s="0" t="n">
        <v>1</v>
      </c>
      <c r="F1344" s="27" t="s">
        <v>888</v>
      </c>
      <c r="G1344" s="0" t="n">
        <v>40.4</v>
      </c>
      <c r="H1344" s="0" t="n">
        <v>38</v>
      </c>
      <c r="I1344" s="27" t="s">
        <v>138</v>
      </c>
      <c r="J1344" s="0" t="n">
        <v>67</v>
      </c>
      <c r="K1344" s="0" t="n">
        <v>67</v>
      </c>
      <c r="L1344" s="0" t="n">
        <v>210</v>
      </c>
      <c r="M1344" s="0" t="n">
        <v>973.89</v>
      </c>
      <c r="N1344" s="0" t="n">
        <v>19.11</v>
      </c>
      <c r="O1344" s="0" t="n">
        <v>25.35</v>
      </c>
      <c r="P1344" s="0" t="n">
        <v>2.97</v>
      </c>
      <c r="Q1344" s="0" t="n">
        <v>3.81</v>
      </c>
      <c r="R1344" s="0" t="n">
        <v>3868</v>
      </c>
      <c r="S1344" s="0" t="n">
        <v>9343</v>
      </c>
      <c r="T1344" s="0" t="n">
        <v>31.6</v>
      </c>
      <c r="U1344" s="0" t="n">
        <v>930</v>
      </c>
      <c r="V1344" s="0" t="n">
        <v>1</v>
      </c>
      <c r="W1344" s="27" t="n">
        <f aca="false">MATCH(A1344,DATAS,0)</f>
        <v>1</v>
      </c>
      <c r="X1344" s="27" t="n">
        <f aca="false">IF(AND(E1344&gt;0,OR(AND(B1344&gt;=1,B1344&lt;=6),B1344=10)),1,0)</f>
        <v>1</v>
      </c>
      <c r="Y1344" s="27" t="n">
        <f aca="false">IF(AND(E1344&gt;0,B1344=10),1,0)</f>
        <v>0</v>
      </c>
      <c r="Z1344" s="0" t="str">
        <f aca="false">IF(AND(C1343=C1344,W1343=W1344-1),X1343,"")</f>
        <v/>
      </c>
      <c r="AA1344" s="0" t="str">
        <f aca="false">IF(AND(C1343=C1344,W1343=W1344-1),Y1343,"")</f>
        <v/>
      </c>
      <c r="AB1344" s="0" t="str">
        <f aca="false">IF(W1344=1,"",IF(AND(X1344=1,Z1344&lt;&gt;1),1,0))</f>
        <v/>
      </c>
      <c r="AC1344" s="0" t="str">
        <f aca="false">IF(W1344=1,"",IF(AND(Y1344=1,AA1344&lt;&gt;1),1,0))</f>
        <v/>
      </c>
      <c r="AD1344" s="33" t="str">
        <f aca="false">IF(AND(E1344&gt;0,W1344&lt;1,NOT(AND(C1345=C1344,W1345=W1344+1))),INDEX(DATAS,W1344+1),"")</f>
        <v/>
      </c>
      <c r="AE1344" s="33" t="str">
        <f aca="false">IF(AND(Y1344=1,W1344&lt;1),IF(AND(C1345=C1344,W1345=W1344+1),IF(Y1345=1,"",INDEX(DATAS,W1344+1)),INDEX(DATAS,W1344+1)),"")</f>
        <v/>
      </c>
    </row>
    <row r="1345" customFormat="false" ht="15" hidden="false" customHeight="false" outlineLevel="0" collapsed="false">
      <c r="A1345" s="33" t="n">
        <v>46309</v>
      </c>
      <c r="B1345" s="0" t="n">
        <v>7</v>
      </c>
      <c r="C1345" s="0" t="n">
        <v>5434</v>
      </c>
      <c r="D1345" s="0" t="n">
        <v>274</v>
      </c>
      <c r="E1345" s="0" t="n">
        <v>1</v>
      </c>
      <c r="F1345" s="27" t="s">
        <v>889</v>
      </c>
      <c r="I1345" s="27" t="s">
        <v>143</v>
      </c>
      <c r="J1345" s="0" t="n">
        <v>51</v>
      </c>
      <c r="K1345" s="0" t="n">
        <v>51</v>
      </c>
      <c r="L1345" s="0" t="n">
        <v>238</v>
      </c>
      <c r="M1345" s="0" t="n">
        <v>1248.37</v>
      </c>
      <c r="N1345" s="0" t="n">
        <v>72.12</v>
      </c>
      <c r="O1345" s="0" t="n">
        <v>52.61</v>
      </c>
      <c r="P1345" s="0" t="n">
        <v>4.7</v>
      </c>
      <c r="Q1345" s="0" t="n">
        <v>3.7</v>
      </c>
      <c r="R1345" s="0" t="n">
        <v>4410</v>
      </c>
      <c r="S1345" s="0" t="n">
        <v>8960</v>
      </c>
      <c r="T1345" s="0" t="n">
        <v>46.3</v>
      </c>
      <c r="U1345" s="0" t="n">
        <v>929</v>
      </c>
      <c r="V1345" s="0" t="n">
        <v>1</v>
      </c>
      <c r="W1345" s="27" t="n">
        <f aca="false">MATCH(A1345,DATAS,0)</f>
        <v>1</v>
      </c>
      <c r="X1345" s="27" t="n">
        <f aca="false">IF(AND(E1345&gt;0,OR(AND(B1345&gt;=1,B1345&lt;=6),B1345=10)),1,0)</f>
        <v>0</v>
      </c>
      <c r="Y1345" s="27" t="n">
        <f aca="false">IF(AND(E1345&gt;0,B1345=10),1,0)</f>
        <v>0</v>
      </c>
      <c r="Z1345" s="0" t="str">
        <f aca="false">IF(AND(C1344=C1345,W1344=W1345-1),X1344,"")</f>
        <v/>
      </c>
      <c r="AA1345" s="0" t="str">
        <f aca="false">IF(AND(C1344=C1345,W1344=W1345-1),Y1344,"")</f>
        <v/>
      </c>
      <c r="AB1345" s="0" t="str">
        <f aca="false">IF(W1345=1,"",IF(AND(X1345=1,Z1345&lt;&gt;1),1,0))</f>
        <v/>
      </c>
      <c r="AC1345" s="0" t="str">
        <f aca="false">IF(W1345=1,"",IF(AND(Y1345=1,AA1345&lt;&gt;1),1,0))</f>
        <v/>
      </c>
      <c r="AD1345" s="33" t="str">
        <f aca="false">IF(AND(E1345&gt;0,W1345&lt;1,NOT(AND(C1346=C1345,W1346=W1345+1))),INDEX(DATAS,W1345+1),"")</f>
        <v/>
      </c>
      <c r="AE1345" s="33" t="str">
        <f aca="false">IF(AND(Y1345=1,W1345&lt;1),IF(AND(C1346=C1345,W1346=W1345+1),IF(Y1346=1,"",INDEX(DATAS,W1345+1)),INDEX(DATAS,W1345+1)),"")</f>
        <v/>
      </c>
    </row>
    <row r="1346" customFormat="false" ht="15" hidden="false" customHeight="false" outlineLevel="0" collapsed="false">
      <c r="A1346" s="33" t="n">
        <v>46309</v>
      </c>
      <c r="B1346" s="0" t="n">
        <v>4</v>
      </c>
      <c r="C1346" s="0" t="n">
        <v>5435</v>
      </c>
      <c r="D1346" s="0" t="n">
        <v>264</v>
      </c>
      <c r="E1346" s="0" t="n">
        <v>1</v>
      </c>
      <c r="F1346" s="27" t="s">
        <v>889</v>
      </c>
      <c r="G1346" s="0" t="n">
        <v>36.2</v>
      </c>
      <c r="H1346" s="0" t="n">
        <v>50</v>
      </c>
      <c r="I1346" s="27" t="s">
        <v>138</v>
      </c>
      <c r="J1346" s="0" t="n">
        <v>68</v>
      </c>
      <c r="K1346" s="0" t="n">
        <v>68</v>
      </c>
      <c r="L1346" s="0" t="n">
        <v>196</v>
      </c>
      <c r="M1346" s="0" t="n">
        <v>1171.63</v>
      </c>
      <c r="N1346" s="0" t="n">
        <v>74.15</v>
      </c>
      <c r="O1346" s="0" t="n">
        <v>33.04</v>
      </c>
      <c r="P1346" s="0" t="n">
        <v>3.01</v>
      </c>
      <c r="Q1346" s="0" t="n">
        <v>2.96</v>
      </c>
      <c r="R1346" s="0" t="n">
        <v>5143</v>
      </c>
      <c r="S1346" s="0" t="n">
        <v>11636</v>
      </c>
      <c r="T1346" s="0" t="n">
        <v>55.05</v>
      </c>
      <c r="U1346" s="0" t="n">
        <v>929</v>
      </c>
      <c r="V1346" s="0" t="n">
        <v>1</v>
      </c>
      <c r="W1346" s="27" t="n">
        <f aca="false">MATCH(A1346,DATAS,0)</f>
        <v>1</v>
      </c>
      <c r="X1346" s="27" t="n">
        <f aca="false">IF(AND(E1346&gt;0,OR(AND(B1346&gt;=1,B1346&lt;=6),B1346=10)),1,0)</f>
        <v>1</v>
      </c>
      <c r="Y1346" s="27" t="n">
        <f aca="false">IF(AND(E1346&gt;0,B1346=10),1,0)</f>
        <v>0</v>
      </c>
      <c r="Z1346" s="0" t="str">
        <f aca="false">IF(AND(C1345=C1346,W1345=W1346-1),X1345,"")</f>
        <v/>
      </c>
      <c r="AA1346" s="0" t="str">
        <f aca="false">IF(AND(C1345=C1346,W1345=W1346-1),Y1345,"")</f>
        <v/>
      </c>
      <c r="AB1346" s="0" t="str">
        <f aca="false">IF(W1346=1,"",IF(AND(X1346=1,Z1346&lt;&gt;1),1,0))</f>
        <v/>
      </c>
      <c r="AC1346" s="0" t="str">
        <f aca="false">IF(W1346=1,"",IF(AND(Y1346=1,AA1346&lt;&gt;1),1,0))</f>
        <v/>
      </c>
      <c r="AD1346" s="33" t="str">
        <f aca="false">IF(AND(E1346&gt;0,W1346&lt;1,NOT(AND(C1347=C1346,W1347=W1346+1))),INDEX(DATAS,W1346+1),"")</f>
        <v/>
      </c>
      <c r="AE1346" s="33" t="str">
        <f aca="false">IF(AND(Y1346=1,W1346&lt;1),IF(AND(C1347=C1346,W1347=W1346+1),IF(Y1347=1,"",INDEX(DATAS,W1346+1)),INDEX(DATAS,W1346+1)),"")</f>
        <v/>
      </c>
    </row>
    <row r="1347" customFormat="false" ht="15" hidden="false" customHeight="false" outlineLevel="0" collapsed="false">
      <c r="A1347" s="33" t="n">
        <v>46309</v>
      </c>
      <c r="B1347" s="0" t="n">
        <v>4</v>
      </c>
      <c r="C1347" s="0" t="n">
        <v>5437</v>
      </c>
      <c r="D1347" s="0" t="n">
        <v>267</v>
      </c>
      <c r="E1347" s="0" t="n">
        <v>1</v>
      </c>
      <c r="F1347" s="27" t="s">
        <v>890</v>
      </c>
      <c r="G1347" s="0" t="n">
        <v>45.1</v>
      </c>
      <c r="H1347" s="0" t="n">
        <v>45</v>
      </c>
      <c r="I1347" s="27" t="s">
        <v>138</v>
      </c>
      <c r="J1347" s="0" t="n">
        <v>134</v>
      </c>
      <c r="K1347" s="0" t="n">
        <v>85</v>
      </c>
      <c r="L1347" s="0" t="n">
        <v>133</v>
      </c>
      <c r="M1347" s="0" t="n">
        <v>688.57</v>
      </c>
      <c r="N1347" s="0" t="n">
        <v>78.59</v>
      </c>
      <c r="O1347" s="0" t="n">
        <v>40.82</v>
      </c>
      <c r="P1347" s="0" t="n">
        <v>3.53</v>
      </c>
      <c r="Q1347" s="0" t="n">
        <v>3.77</v>
      </c>
      <c r="R1347" s="0" t="n">
        <v>4434</v>
      </c>
      <c r="S1347" s="0" t="n">
        <v>8837</v>
      </c>
      <c r="T1347" s="0" t="n">
        <v>45.35</v>
      </c>
      <c r="U1347" s="0" t="n">
        <v>928</v>
      </c>
      <c r="V1347" s="0" t="n">
        <v>2</v>
      </c>
      <c r="W1347" s="27" t="n">
        <f aca="false">MATCH(A1347,DATAS,0)</f>
        <v>1</v>
      </c>
      <c r="X1347" s="27" t="n">
        <f aca="false">IF(AND(E1347&gt;0,OR(AND(B1347&gt;=1,B1347&lt;=6),B1347=10)),1,0)</f>
        <v>1</v>
      </c>
      <c r="Y1347" s="27" t="n">
        <f aca="false">IF(AND(E1347&gt;0,B1347=10),1,0)</f>
        <v>0</v>
      </c>
      <c r="Z1347" s="0" t="str">
        <f aca="false">IF(AND(C1346=C1347,W1346=W1347-1),X1346,"")</f>
        <v/>
      </c>
      <c r="AA1347" s="0" t="str">
        <f aca="false">IF(AND(C1346=C1347,W1346=W1347-1),Y1346,"")</f>
        <v/>
      </c>
      <c r="AB1347" s="0" t="str">
        <f aca="false">IF(W1347=1,"",IF(AND(X1347=1,Z1347&lt;&gt;1),1,0))</f>
        <v/>
      </c>
      <c r="AC1347" s="0" t="str">
        <f aca="false">IF(W1347=1,"",IF(AND(Y1347=1,AA1347&lt;&gt;1),1,0))</f>
        <v/>
      </c>
      <c r="AD1347" s="33" t="str">
        <f aca="false">IF(AND(E1347&gt;0,W1347&lt;1,NOT(AND(C1348=C1347,W1348=W1347+1))),INDEX(DATAS,W1347+1),"")</f>
        <v/>
      </c>
      <c r="AE1347" s="33" t="str">
        <f aca="false">IF(AND(Y1347=1,W1347&lt;1),IF(AND(C1348=C1347,W1348=W1347+1),IF(Y1348=1,"",INDEX(DATAS,W1347+1)),INDEX(DATAS,W1347+1)),"")</f>
        <v/>
      </c>
    </row>
    <row r="1348" customFormat="false" ht="15" hidden="false" customHeight="false" outlineLevel="0" collapsed="false">
      <c r="A1348" s="33" t="n">
        <v>46309</v>
      </c>
      <c r="B1348" s="0" t="n">
        <v>4</v>
      </c>
      <c r="C1348" s="0" t="n">
        <v>5440</v>
      </c>
      <c r="D1348" s="0" t="n">
        <v>276</v>
      </c>
      <c r="E1348" s="0" t="n">
        <v>1</v>
      </c>
      <c r="F1348" s="27" t="s">
        <v>891</v>
      </c>
      <c r="G1348" s="0" t="n">
        <v>37.1</v>
      </c>
      <c r="H1348" s="0" t="n">
        <v>42</v>
      </c>
      <c r="I1348" s="27" t="s">
        <v>138</v>
      </c>
      <c r="J1348" s="0" t="n">
        <v>101</v>
      </c>
      <c r="K1348" s="0" t="n">
        <v>66</v>
      </c>
      <c r="L1348" s="0" t="n">
        <v>175</v>
      </c>
      <c r="M1348" s="0" t="n">
        <v>1333.58</v>
      </c>
      <c r="N1348" s="0" t="n">
        <v>31.5</v>
      </c>
      <c r="O1348" s="0" t="n">
        <v>32.21</v>
      </c>
      <c r="P1348" s="0" t="n">
        <v>3.05</v>
      </c>
      <c r="Q1348" s="0" t="n">
        <v>3.1</v>
      </c>
      <c r="R1348" s="0" t="n">
        <v>4486</v>
      </c>
      <c r="S1348" s="0" t="n">
        <v>9990</v>
      </c>
      <c r="T1348" s="0" t="n">
        <v>44.35</v>
      </c>
      <c r="U1348" s="0" t="n">
        <v>927</v>
      </c>
      <c r="V1348" s="0" t="n">
        <v>2</v>
      </c>
      <c r="W1348" s="27" t="n">
        <f aca="false">MATCH(A1348,DATAS,0)</f>
        <v>1</v>
      </c>
      <c r="X1348" s="27" t="n">
        <f aca="false">IF(AND(E1348&gt;0,OR(AND(B1348&gt;=1,B1348&lt;=6),B1348=10)),1,0)</f>
        <v>1</v>
      </c>
      <c r="Y1348" s="27" t="n">
        <f aca="false">IF(AND(E1348&gt;0,B1348=10),1,0)</f>
        <v>0</v>
      </c>
      <c r="Z1348" s="0" t="str">
        <f aca="false">IF(AND(C1347=C1348,W1347=W1348-1),X1347,"")</f>
        <v/>
      </c>
      <c r="AA1348" s="0" t="str">
        <f aca="false">IF(AND(C1347=C1348,W1347=W1348-1),Y1347,"")</f>
        <v/>
      </c>
      <c r="AB1348" s="0" t="str">
        <f aca="false">IF(W1348=1,"",IF(AND(X1348=1,Z1348&lt;&gt;1),1,0))</f>
        <v/>
      </c>
      <c r="AC1348" s="0" t="str">
        <f aca="false">IF(W1348=1,"",IF(AND(Y1348=1,AA1348&lt;&gt;1),1,0))</f>
        <v/>
      </c>
      <c r="AD1348" s="33" t="str">
        <f aca="false">IF(AND(E1348&gt;0,W1348&lt;1,NOT(AND(C1349=C1348,W1349=W1348+1))),INDEX(DATAS,W1348+1),"")</f>
        <v/>
      </c>
      <c r="AE1348" s="33" t="str">
        <f aca="false">IF(AND(Y1348=1,W1348&lt;1),IF(AND(C1349=C1348,W1349=W1348+1),IF(Y1349=1,"",INDEX(DATAS,W1348+1)),INDEX(DATAS,W1348+1)),"")</f>
        <v/>
      </c>
    </row>
    <row r="1349" customFormat="false" ht="15" hidden="false" customHeight="false" outlineLevel="0" collapsed="false">
      <c r="A1349" s="33" t="n">
        <v>46309</v>
      </c>
      <c r="B1349" s="0" t="n">
        <v>4</v>
      </c>
      <c r="C1349" s="0" t="n">
        <v>5442</v>
      </c>
      <c r="D1349" s="0" t="n">
        <v>266</v>
      </c>
      <c r="E1349" s="0" t="n">
        <v>1</v>
      </c>
      <c r="F1349" s="27" t="s">
        <v>891</v>
      </c>
      <c r="G1349" s="0" t="n">
        <v>45.1</v>
      </c>
      <c r="H1349" s="0" t="n">
        <v>46</v>
      </c>
      <c r="I1349" s="27" t="s">
        <v>138</v>
      </c>
      <c r="J1349" s="0" t="n">
        <v>98</v>
      </c>
      <c r="K1349" s="0" t="n">
        <v>63</v>
      </c>
      <c r="L1349" s="0" t="n">
        <v>168</v>
      </c>
      <c r="M1349" s="0" t="n">
        <v>281.41</v>
      </c>
      <c r="N1349" s="0" t="n">
        <v>39.24</v>
      </c>
      <c r="O1349" s="0" t="n">
        <v>20.39</v>
      </c>
      <c r="P1349" s="0" t="n">
        <v>4.43</v>
      </c>
      <c r="Q1349" s="0" t="n">
        <v>3.48</v>
      </c>
      <c r="R1349" s="0" t="n">
        <v>4357</v>
      </c>
      <c r="S1349" s="0" t="n">
        <v>10148</v>
      </c>
      <c r="T1349" s="0" t="n">
        <v>47.4</v>
      </c>
      <c r="U1349" s="0" t="n">
        <v>927</v>
      </c>
      <c r="V1349" s="0" t="n">
        <v>2</v>
      </c>
      <c r="W1349" s="27" t="n">
        <f aca="false">MATCH(A1349,DATAS,0)</f>
        <v>1</v>
      </c>
      <c r="X1349" s="27" t="n">
        <f aca="false">IF(AND(E1349&gt;0,OR(AND(B1349&gt;=1,B1349&lt;=6),B1349=10)),1,0)</f>
        <v>1</v>
      </c>
      <c r="Y1349" s="27" t="n">
        <f aca="false">IF(AND(E1349&gt;0,B1349=10),1,0)</f>
        <v>0</v>
      </c>
      <c r="Z1349" s="0" t="str">
        <f aca="false">IF(AND(C1348=C1349,W1348=W1349-1),X1348,"")</f>
        <v/>
      </c>
      <c r="AA1349" s="0" t="str">
        <f aca="false">IF(AND(C1348=C1349,W1348=W1349-1),Y1348,"")</f>
        <v/>
      </c>
      <c r="AB1349" s="0" t="str">
        <f aca="false">IF(W1349=1,"",IF(AND(X1349=1,Z1349&lt;&gt;1),1,0))</f>
        <v/>
      </c>
      <c r="AC1349" s="0" t="str">
        <f aca="false">IF(W1349=1,"",IF(AND(Y1349=1,AA1349&lt;&gt;1),1,0))</f>
        <v/>
      </c>
      <c r="AD1349" s="33" t="str">
        <f aca="false">IF(AND(E1349&gt;0,W1349&lt;1,NOT(AND(C1350=C1349,W1350=W1349+1))),INDEX(DATAS,W1349+1),"")</f>
        <v/>
      </c>
      <c r="AE1349" s="33" t="str">
        <f aca="false">IF(AND(Y1349=1,W1349&lt;1),IF(AND(C1350=C1349,W1350=W1349+1),IF(Y1350=1,"",INDEX(DATAS,W1349+1)),INDEX(DATAS,W1349+1)),"")</f>
        <v/>
      </c>
    </row>
    <row r="1350" customFormat="false" ht="15" hidden="false" customHeight="false" outlineLevel="0" collapsed="false">
      <c r="A1350" s="33" t="n">
        <v>46309</v>
      </c>
      <c r="B1350" s="0" t="n">
        <v>4</v>
      </c>
      <c r="C1350" s="0" t="n">
        <v>5443</v>
      </c>
      <c r="D1350" s="0" t="n">
        <v>229</v>
      </c>
      <c r="E1350" s="0" t="n">
        <v>1</v>
      </c>
      <c r="F1350" s="27" t="s">
        <v>892</v>
      </c>
      <c r="G1350" s="0" t="n">
        <v>45.1</v>
      </c>
      <c r="H1350" s="0" t="n">
        <v>43</v>
      </c>
      <c r="I1350" s="27" t="s">
        <v>138</v>
      </c>
      <c r="J1350" s="0" t="n">
        <v>68</v>
      </c>
      <c r="K1350" s="0" t="n">
        <v>68</v>
      </c>
      <c r="L1350" s="0" t="n">
        <v>161</v>
      </c>
      <c r="M1350" s="0" t="n">
        <v>243.33</v>
      </c>
      <c r="N1350" s="0" t="n">
        <v>61.24</v>
      </c>
      <c r="O1350" s="0" t="n">
        <v>23.69</v>
      </c>
      <c r="P1350" s="0" t="n">
        <v>2.69</v>
      </c>
      <c r="Q1350" s="0" t="n">
        <v>3.39</v>
      </c>
      <c r="R1350" s="0" t="n">
        <v>4554</v>
      </c>
      <c r="S1350" s="0" t="n">
        <v>9999</v>
      </c>
      <c r="T1350" s="0" t="n">
        <v>47.7</v>
      </c>
      <c r="U1350" s="0" t="n">
        <v>926</v>
      </c>
      <c r="V1350" s="0" t="n">
        <v>1</v>
      </c>
      <c r="W1350" s="27" t="n">
        <f aca="false">MATCH(A1350,DATAS,0)</f>
        <v>1</v>
      </c>
      <c r="X1350" s="27" t="n">
        <f aca="false">IF(AND(E1350&gt;0,OR(AND(B1350&gt;=1,B1350&lt;=6),B1350=10)),1,0)</f>
        <v>1</v>
      </c>
      <c r="Y1350" s="27" t="n">
        <f aca="false">IF(AND(E1350&gt;0,B1350=10),1,0)</f>
        <v>0</v>
      </c>
      <c r="Z1350" s="0" t="str">
        <f aca="false">IF(AND(C1349=C1350,W1349=W1350-1),X1349,"")</f>
        <v/>
      </c>
      <c r="AA1350" s="0" t="str">
        <f aca="false">IF(AND(C1349=C1350,W1349=W1350-1),Y1349,"")</f>
        <v/>
      </c>
      <c r="AB1350" s="0" t="str">
        <f aca="false">IF(W1350=1,"",IF(AND(X1350=1,Z1350&lt;&gt;1),1,0))</f>
        <v/>
      </c>
      <c r="AC1350" s="0" t="str">
        <f aca="false">IF(W1350=1,"",IF(AND(Y1350=1,AA1350&lt;&gt;1),1,0))</f>
        <v/>
      </c>
      <c r="AD1350" s="33" t="str">
        <f aca="false">IF(AND(E1350&gt;0,W1350&lt;1,NOT(AND(C1351=C1350,W1351=W1350+1))),INDEX(DATAS,W1350+1),"")</f>
        <v/>
      </c>
      <c r="AE1350" s="33" t="str">
        <f aca="false">IF(AND(Y1350=1,W1350&lt;1),IF(AND(C1351=C1350,W1351=W1350+1),IF(Y1351=1,"",INDEX(DATAS,W1350+1)),INDEX(DATAS,W1350+1)),"")</f>
        <v/>
      </c>
    </row>
    <row r="1351" customFormat="false" ht="15" hidden="false" customHeight="false" outlineLevel="0" collapsed="false">
      <c r="A1351" s="33" t="n">
        <v>46309</v>
      </c>
      <c r="B1351" s="0" t="n">
        <v>6</v>
      </c>
      <c r="C1351" s="0" t="n">
        <v>5444</v>
      </c>
      <c r="D1351" s="0" t="n">
        <v>264</v>
      </c>
      <c r="E1351" s="0" t="n">
        <v>1</v>
      </c>
      <c r="F1351" s="27" t="s">
        <v>893</v>
      </c>
      <c r="G1351" s="0" t="n">
        <v>28.2</v>
      </c>
      <c r="H1351" s="0" t="n">
        <v>23</v>
      </c>
      <c r="I1351" s="27" t="s">
        <v>138</v>
      </c>
      <c r="J1351" s="0" t="n">
        <v>90</v>
      </c>
      <c r="K1351" s="0" t="n">
        <v>68</v>
      </c>
      <c r="L1351" s="0" t="n">
        <v>174</v>
      </c>
      <c r="M1351" s="0" t="n">
        <v>342.13</v>
      </c>
      <c r="N1351" s="0" t="n">
        <v>78.07</v>
      </c>
      <c r="O1351" s="0" t="n">
        <v>44.52</v>
      </c>
      <c r="P1351" s="0" t="n">
        <v>4.58</v>
      </c>
      <c r="Q1351" s="0" t="n">
        <v>4.07</v>
      </c>
      <c r="R1351" s="0" t="n">
        <v>3409</v>
      </c>
      <c r="S1351" s="0" t="n">
        <v>7326</v>
      </c>
      <c r="T1351" s="0" t="n">
        <v>34.55</v>
      </c>
      <c r="U1351" s="0" t="n">
        <v>925</v>
      </c>
      <c r="V1351" s="0" t="n">
        <v>2</v>
      </c>
      <c r="W1351" s="27" t="n">
        <f aca="false">MATCH(A1351,DATAS,0)</f>
        <v>1</v>
      </c>
      <c r="X1351" s="27" t="n">
        <f aca="false">IF(AND(E1351&gt;0,OR(AND(B1351&gt;=1,B1351&lt;=6),B1351=10)),1,0)</f>
        <v>1</v>
      </c>
      <c r="Y1351" s="27" t="n">
        <f aca="false">IF(AND(E1351&gt;0,B1351=10),1,0)</f>
        <v>0</v>
      </c>
      <c r="Z1351" s="0" t="str">
        <f aca="false">IF(AND(C1350=C1351,W1350=W1351-1),X1350,"")</f>
        <v/>
      </c>
      <c r="AA1351" s="0" t="str">
        <f aca="false">IF(AND(C1350=C1351,W1350=W1351-1),Y1350,"")</f>
        <v/>
      </c>
      <c r="AB1351" s="0" t="str">
        <f aca="false">IF(W1351=1,"",IF(AND(X1351=1,Z1351&lt;&gt;1),1,0))</f>
        <v/>
      </c>
      <c r="AC1351" s="0" t="str">
        <f aca="false">IF(W1351=1,"",IF(AND(Y1351=1,AA1351&lt;&gt;1),1,0))</f>
        <v/>
      </c>
      <c r="AD1351" s="33" t="str">
        <f aca="false">IF(AND(E1351&gt;0,W1351&lt;1,NOT(AND(C1352=C1351,W1352=W1351+1))),INDEX(DATAS,W1351+1),"")</f>
        <v/>
      </c>
      <c r="AE1351" s="33" t="str">
        <f aca="false">IF(AND(Y1351=1,W1351&lt;1),IF(AND(C1352=C1351,W1352=W1351+1),IF(Y1352=1,"",INDEX(DATAS,W1351+1)),INDEX(DATAS,W1351+1)),"")</f>
        <v/>
      </c>
    </row>
    <row r="1352" customFormat="false" ht="15" hidden="false" customHeight="false" outlineLevel="0" collapsed="false">
      <c r="A1352" s="33" t="n">
        <v>46309</v>
      </c>
      <c r="B1352" s="0" t="n">
        <v>4</v>
      </c>
      <c r="C1352" s="0" t="n">
        <v>5445</v>
      </c>
      <c r="D1352" s="0" t="n">
        <v>271</v>
      </c>
      <c r="E1352" s="0" t="n">
        <v>1</v>
      </c>
      <c r="F1352" s="27" t="s">
        <v>893</v>
      </c>
      <c r="G1352" s="0" t="n">
        <v>25.1</v>
      </c>
      <c r="H1352" s="0" t="n">
        <v>27</v>
      </c>
      <c r="I1352" s="27" t="s">
        <v>138</v>
      </c>
      <c r="J1352" s="0" t="n">
        <v>68</v>
      </c>
      <c r="K1352" s="0" t="n">
        <v>68</v>
      </c>
      <c r="L1352" s="0" t="n">
        <v>203</v>
      </c>
      <c r="M1352" s="0" t="n">
        <v>367</v>
      </c>
      <c r="N1352" s="0" t="n">
        <v>72.32</v>
      </c>
      <c r="O1352" s="0" t="n">
        <v>28.9</v>
      </c>
      <c r="P1352" s="0" t="n">
        <v>3.43</v>
      </c>
      <c r="Q1352" s="0" t="n">
        <v>3.97</v>
      </c>
      <c r="R1352" s="0" t="n">
        <v>4636</v>
      </c>
      <c r="S1352" s="0" t="n">
        <v>10201</v>
      </c>
      <c r="T1352" s="0" t="n">
        <v>49.95</v>
      </c>
      <c r="U1352" s="0" t="n">
        <v>925</v>
      </c>
      <c r="V1352" s="0" t="n">
        <v>1</v>
      </c>
      <c r="W1352" s="27" t="n">
        <f aca="false">MATCH(A1352,DATAS,0)</f>
        <v>1</v>
      </c>
      <c r="X1352" s="27" t="n">
        <f aca="false">IF(AND(E1352&gt;0,OR(AND(B1352&gt;=1,B1352&lt;=6),B1352=10)),1,0)</f>
        <v>1</v>
      </c>
      <c r="Y1352" s="27" t="n">
        <f aca="false">IF(AND(E1352&gt;0,B1352=10),1,0)</f>
        <v>0</v>
      </c>
      <c r="Z1352" s="0" t="str">
        <f aca="false">IF(AND(C1351=C1352,W1351=W1352-1),X1351,"")</f>
        <v/>
      </c>
      <c r="AA1352" s="0" t="str">
        <f aca="false">IF(AND(C1351=C1352,W1351=W1352-1),Y1351,"")</f>
        <v/>
      </c>
      <c r="AB1352" s="0" t="str">
        <f aca="false">IF(W1352=1,"",IF(AND(X1352=1,Z1352&lt;&gt;1),1,0))</f>
        <v/>
      </c>
      <c r="AC1352" s="0" t="str">
        <f aca="false">IF(W1352=1,"",IF(AND(Y1352=1,AA1352&lt;&gt;1),1,0))</f>
        <v/>
      </c>
      <c r="AD1352" s="33" t="str">
        <f aca="false">IF(AND(E1352&gt;0,W1352&lt;1,NOT(AND(C1353=C1352,W1353=W1352+1))),INDEX(DATAS,W1352+1),"")</f>
        <v/>
      </c>
      <c r="AE1352" s="33" t="str">
        <f aca="false">IF(AND(Y1352=1,W1352&lt;1),IF(AND(C1353=C1352,W1353=W1352+1),IF(Y1353=1,"",INDEX(DATAS,W1352+1)),INDEX(DATAS,W1352+1)),"")</f>
        <v/>
      </c>
    </row>
    <row r="1353" customFormat="false" ht="15" hidden="false" customHeight="false" outlineLevel="0" collapsed="false">
      <c r="A1353" s="33" t="n">
        <v>46309</v>
      </c>
      <c r="B1353" s="0" t="n">
        <v>7</v>
      </c>
      <c r="C1353" s="0" t="n">
        <v>5447</v>
      </c>
      <c r="D1353" s="0" t="n">
        <v>237</v>
      </c>
      <c r="E1353" s="0" t="n">
        <v>1</v>
      </c>
      <c r="F1353" s="27" t="s">
        <v>893</v>
      </c>
      <c r="I1353" s="27" t="s">
        <v>143</v>
      </c>
      <c r="J1353" s="0" t="n">
        <v>119</v>
      </c>
      <c r="K1353" s="0" t="n">
        <v>70</v>
      </c>
      <c r="L1353" s="0" t="n">
        <v>168</v>
      </c>
      <c r="M1353" s="0" t="n">
        <v>890.4</v>
      </c>
      <c r="N1353" s="0" t="n">
        <v>6.33</v>
      </c>
      <c r="O1353" s="0" t="n">
        <v>24.17</v>
      </c>
      <c r="P1353" s="0" t="n">
        <v>3.63</v>
      </c>
      <c r="Q1353" s="0" t="n">
        <v>3</v>
      </c>
      <c r="R1353" s="0" t="n">
        <v>4643</v>
      </c>
      <c r="S1353" s="0" t="n">
        <v>9337</v>
      </c>
      <c r="T1353" s="0" t="n">
        <v>47.7</v>
      </c>
      <c r="U1353" s="0" t="n">
        <v>925</v>
      </c>
      <c r="V1353" s="0" t="n">
        <v>2</v>
      </c>
      <c r="W1353" s="27" t="n">
        <f aca="false">MATCH(A1353,DATAS,0)</f>
        <v>1</v>
      </c>
      <c r="X1353" s="27" t="n">
        <f aca="false">IF(AND(E1353&gt;0,OR(AND(B1353&gt;=1,B1353&lt;=6),B1353=10)),1,0)</f>
        <v>0</v>
      </c>
      <c r="Y1353" s="27" t="n">
        <f aca="false">IF(AND(E1353&gt;0,B1353=10),1,0)</f>
        <v>0</v>
      </c>
      <c r="Z1353" s="0" t="str">
        <f aca="false">IF(AND(C1352=C1353,W1352=W1353-1),X1352,"")</f>
        <v/>
      </c>
      <c r="AA1353" s="0" t="str">
        <f aca="false">IF(AND(C1352=C1353,W1352=W1353-1),Y1352,"")</f>
        <v/>
      </c>
      <c r="AB1353" s="0" t="str">
        <f aca="false">IF(W1353=1,"",IF(AND(X1353=1,Z1353&lt;&gt;1),1,0))</f>
        <v/>
      </c>
      <c r="AC1353" s="0" t="str">
        <f aca="false">IF(W1353=1,"",IF(AND(Y1353=1,AA1353&lt;&gt;1),1,0))</f>
        <v/>
      </c>
      <c r="AD1353" s="33" t="str">
        <f aca="false">IF(AND(E1353&gt;0,W1353&lt;1,NOT(AND(C1354=C1353,W1354=W1353+1))),INDEX(DATAS,W1353+1),"")</f>
        <v/>
      </c>
      <c r="AE1353" s="33" t="str">
        <f aca="false">IF(AND(Y1353=1,W1353&lt;1),IF(AND(C1354=C1353,W1354=W1353+1),IF(Y1354=1,"",INDEX(DATAS,W1353+1)),INDEX(DATAS,W1353+1)),"")</f>
        <v/>
      </c>
    </row>
    <row r="1354" customFormat="false" ht="15" hidden="false" customHeight="false" outlineLevel="0" collapsed="false">
      <c r="A1354" s="33" t="n">
        <v>46309</v>
      </c>
      <c r="B1354" s="0" t="n">
        <v>4</v>
      </c>
      <c r="C1354" s="0" t="n">
        <v>5448</v>
      </c>
      <c r="D1354" s="0" t="n">
        <v>206</v>
      </c>
      <c r="E1354" s="0" t="n">
        <v>1</v>
      </c>
      <c r="F1354" s="27" t="s">
        <v>893</v>
      </c>
      <c r="G1354" s="0" t="n">
        <v>55.3</v>
      </c>
      <c r="H1354" s="0" t="n">
        <v>53</v>
      </c>
      <c r="I1354" s="27" t="s">
        <v>138</v>
      </c>
      <c r="J1354" s="0" t="n">
        <v>157</v>
      </c>
      <c r="K1354" s="0" t="n">
        <v>66</v>
      </c>
      <c r="L1354" s="0" t="n">
        <v>49</v>
      </c>
      <c r="M1354" s="0" t="n">
        <v>63.97</v>
      </c>
      <c r="N1354" s="0" t="n">
        <v>70.71</v>
      </c>
      <c r="O1354" s="0" t="n">
        <v>27.41</v>
      </c>
      <c r="P1354" s="0" t="n">
        <v>3.82</v>
      </c>
      <c r="Q1354" s="0" t="n">
        <v>3.51</v>
      </c>
      <c r="R1354" s="0" t="n">
        <v>4365</v>
      </c>
      <c r="S1354" s="0" t="n">
        <v>9356</v>
      </c>
      <c r="T1354" s="0" t="n">
        <v>50.25</v>
      </c>
      <c r="U1354" s="0" t="n">
        <v>925</v>
      </c>
      <c r="V1354" s="0" t="n">
        <v>4</v>
      </c>
      <c r="W1354" s="27" t="n">
        <f aca="false">MATCH(A1354,DATAS,0)</f>
        <v>1</v>
      </c>
      <c r="X1354" s="27" t="n">
        <f aca="false">IF(AND(E1354&gt;0,OR(AND(B1354&gt;=1,B1354&lt;=6),B1354=10)),1,0)</f>
        <v>1</v>
      </c>
      <c r="Y1354" s="27" t="n">
        <f aca="false">IF(AND(E1354&gt;0,B1354=10),1,0)</f>
        <v>0</v>
      </c>
      <c r="Z1354" s="0" t="str">
        <f aca="false">IF(AND(C1353=C1354,W1353=W1354-1),X1353,"")</f>
        <v/>
      </c>
      <c r="AA1354" s="0" t="str">
        <f aca="false">IF(AND(C1353=C1354,W1353=W1354-1),Y1353,"")</f>
        <v/>
      </c>
      <c r="AB1354" s="0" t="str">
        <f aca="false">IF(W1354=1,"",IF(AND(X1354=1,Z1354&lt;&gt;1),1,0))</f>
        <v/>
      </c>
      <c r="AC1354" s="0" t="str">
        <f aca="false">IF(W1354=1,"",IF(AND(Y1354=1,AA1354&lt;&gt;1),1,0))</f>
        <v/>
      </c>
      <c r="AD1354" s="33" t="str">
        <f aca="false">IF(AND(E1354&gt;0,W1354&lt;1,NOT(AND(C1355=C1354,W1355=W1354+1))),INDEX(DATAS,W1354+1),"")</f>
        <v/>
      </c>
      <c r="AE1354" s="33" t="str">
        <f aca="false">IF(AND(Y1354=1,W1354&lt;1),IF(AND(C1355=C1354,W1355=W1354+1),IF(Y1355=1,"",INDEX(DATAS,W1354+1)),INDEX(DATAS,W1354+1)),"")</f>
        <v/>
      </c>
    </row>
    <row r="1355" customFormat="false" ht="15" hidden="false" customHeight="false" outlineLevel="0" collapsed="false">
      <c r="A1355" s="33" t="n">
        <v>46309</v>
      </c>
      <c r="B1355" s="0" t="n">
        <v>5</v>
      </c>
      <c r="C1355" s="0" t="n">
        <v>5449</v>
      </c>
      <c r="D1355" s="0" t="n">
        <v>264</v>
      </c>
      <c r="E1355" s="0" t="n">
        <v>1</v>
      </c>
      <c r="F1355" s="27" t="s">
        <v>894</v>
      </c>
      <c r="G1355" s="0" t="n">
        <v>42.8</v>
      </c>
      <c r="H1355" s="0" t="n">
        <v>40</v>
      </c>
      <c r="I1355" s="27" t="s">
        <v>138</v>
      </c>
      <c r="J1355" s="0" t="n">
        <v>68</v>
      </c>
      <c r="K1355" s="0" t="n">
        <v>68</v>
      </c>
      <c r="L1355" s="0" t="n">
        <v>196</v>
      </c>
      <c r="M1355" s="0" t="n">
        <v>443.53</v>
      </c>
      <c r="N1355" s="0" t="n">
        <v>59.75</v>
      </c>
      <c r="O1355" s="0" t="n">
        <v>24.39</v>
      </c>
      <c r="P1355" s="0" t="n">
        <v>4.5</v>
      </c>
      <c r="Q1355" s="0" t="n">
        <v>3.55</v>
      </c>
      <c r="R1355" s="0" t="n">
        <v>4715</v>
      </c>
      <c r="S1355" s="0" t="n">
        <v>10324</v>
      </c>
      <c r="T1355" s="0" t="n">
        <v>47.9</v>
      </c>
      <c r="U1355" s="0" t="n">
        <v>924</v>
      </c>
      <c r="V1355" s="0" t="n">
        <v>1</v>
      </c>
      <c r="W1355" s="27" t="n">
        <f aca="false">MATCH(A1355,DATAS,0)</f>
        <v>1</v>
      </c>
      <c r="X1355" s="27" t="n">
        <f aca="false">IF(AND(E1355&gt;0,OR(AND(B1355&gt;=1,B1355&lt;=6),B1355=10)),1,0)</f>
        <v>1</v>
      </c>
      <c r="Y1355" s="27" t="n">
        <f aca="false">IF(AND(E1355&gt;0,B1355=10),1,0)</f>
        <v>0</v>
      </c>
      <c r="Z1355" s="0" t="str">
        <f aca="false">IF(AND(C1354=C1355,W1354=W1355-1),X1354,"")</f>
        <v/>
      </c>
      <c r="AA1355" s="0" t="str">
        <f aca="false">IF(AND(C1354=C1355,W1354=W1355-1),Y1354,"")</f>
        <v/>
      </c>
      <c r="AB1355" s="0" t="str">
        <f aca="false">IF(W1355=1,"",IF(AND(X1355=1,Z1355&lt;&gt;1),1,0))</f>
        <v/>
      </c>
      <c r="AC1355" s="0" t="str">
        <f aca="false">IF(W1355=1,"",IF(AND(Y1355=1,AA1355&lt;&gt;1),1,0))</f>
        <v/>
      </c>
      <c r="AD1355" s="33" t="str">
        <f aca="false">IF(AND(E1355&gt;0,W1355&lt;1,NOT(AND(C1356=C1355,W1356=W1355+1))),INDEX(DATAS,W1355+1),"")</f>
        <v/>
      </c>
      <c r="AE1355" s="33" t="str">
        <f aca="false">IF(AND(Y1355=1,W1355&lt;1),IF(AND(C1356=C1355,W1356=W1355+1),IF(Y1356=1,"",INDEX(DATAS,W1355+1)),INDEX(DATAS,W1355+1)),"")</f>
        <v/>
      </c>
    </row>
    <row r="1356" customFormat="false" ht="15" hidden="false" customHeight="false" outlineLevel="0" collapsed="false">
      <c r="A1356" s="33" t="n">
        <v>46309</v>
      </c>
      <c r="B1356" s="0" t="n">
        <v>5</v>
      </c>
      <c r="C1356" s="0" t="n">
        <v>5450</v>
      </c>
      <c r="D1356" s="0" t="n">
        <v>268</v>
      </c>
      <c r="E1356" s="0" t="n">
        <v>1</v>
      </c>
      <c r="F1356" s="27" t="s">
        <v>894</v>
      </c>
      <c r="G1356" s="0" t="n">
        <v>46.9</v>
      </c>
      <c r="H1356" s="0" t="n">
        <v>42</v>
      </c>
      <c r="I1356" s="27" t="s">
        <v>138</v>
      </c>
      <c r="J1356" s="0" t="n">
        <v>65</v>
      </c>
      <c r="K1356" s="0" t="n">
        <v>65</v>
      </c>
      <c r="L1356" s="0" t="n">
        <v>203</v>
      </c>
      <c r="M1356" s="0" t="n">
        <v>735.05</v>
      </c>
      <c r="N1356" s="0" t="n">
        <v>59.24</v>
      </c>
      <c r="O1356" s="0" t="n">
        <v>38.84</v>
      </c>
      <c r="P1356" s="0" t="n">
        <v>4.81</v>
      </c>
      <c r="Q1356" s="0" t="n">
        <v>3.68</v>
      </c>
      <c r="R1356" s="0" t="n">
        <v>4657</v>
      </c>
      <c r="S1356" s="0" t="n">
        <v>10174</v>
      </c>
      <c r="T1356" s="0" t="n">
        <v>54.65</v>
      </c>
      <c r="U1356" s="0" t="n">
        <v>924</v>
      </c>
      <c r="V1356" s="0" t="n">
        <v>1</v>
      </c>
      <c r="W1356" s="27" t="n">
        <f aca="false">MATCH(A1356,DATAS,0)</f>
        <v>1</v>
      </c>
      <c r="X1356" s="27" t="n">
        <f aca="false">IF(AND(E1356&gt;0,OR(AND(B1356&gt;=1,B1356&lt;=6),B1356=10)),1,0)</f>
        <v>1</v>
      </c>
      <c r="Y1356" s="27" t="n">
        <f aca="false">IF(AND(E1356&gt;0,B1356=10),1,0)</f>
        <v>0</v>
      </c>
      <c r="Z1356" s="0" t="str">
        <f aca="false">IF(AND(C1355=C1356,W1355=W1356-1),X1355,"")</f>
        <v/>
      </c>
      <c r="AA1356" s="0" t="str">
        <f aca="false">IF(AND(C1355=C1356,W1355=W1356-1),Y1355,"")</f>
        <v/>
      </c>
      <c r="AB1356" s="0" t="str">
        <f aca="false">IF(W1356=1,"",IF(AND(X1356=1,Z1356&lt;&gt;1),1,0))</f>
        <v/>
      </c>
      <c r="AC1356" s="0" t="str">
        <f aca="false">IF(W1356=1,"",IF(AND(Y1356=1,AA1356&lt;&gt;1),1,0))</f>
        <v/>
      </c>
      <c r="AD1356" s="33" t="str">
        <f aca="false">IF(AND(E1356&gt;0,W1356&lt;1,NOT(AND(C1357=C1356,W1357=W1356+1))),INDEX(DATAS,W1356+1),"")</f>
        <v/>
      </c>
      <c r="AE1356" s="33" t="str">
        <f aca="false">IF(AND(Y1356=1,W1356&lt;1),IF(AND(C1357=C1356,W1357=W1356+1),IF(Y1357=1,"",INDEX(DATAS,W1356+1)),INDEX(DATAS,W1356+1)),"")</f>
        <v/>
      </c>
    </row>
    <row r="1357" customFormat="false" ht="15" hidden="false" customHeight="false" outlineLevel="0" collapsed="false">
      <c r="A1357" s="33" t="n">
        <v>46309</v>
      </c>
      <c r="B1357" s="0" t="n">
        <v>4</v>
      </c>
      <c r="C1357" s="0" t="n">
        <v>5451</v>
      </c>
      <c r="D1357" s="0" t="n">
        <v>265</v>
      </c>
      <c r="E1357" s="0" t="n">
        <v>1</v>
      </c>
      <c r="F1357" s="27" t="s">
        <v>894</v>
      </c>
      <c r="G1357" s="0" t="n">
        <v>44.3</v>
      </c>
      <c r="H1357" s="0" t="n">
        <v>45</v>
      </c>
      <c r="I1357" s="27" t="s">
        <v>138</v>
      </c>
      <c r="J1357" s="0" t="n">
        <v>69</v>
      </c>
      <c r="K1357" s="0" t="n">
        <v>69</v>
      </c>
      <c r="L1357" s="0" t="n">
        <v>196</v>
      </c>
      <c r="M1357" s="0" t="n">
        <v>910.34</v>
      </c>
      <c r="N1357" s="0" t="n">
        <v>54.34</v>
      </c>
      <c r="O1357" s="0" t="n">
        <v>28.85</v>
      </c>
      <c r="P1357" s="0" t="n">
        <v>3.39</v>
      </c>
      <c r="Q1357" s="0" t="n">
        <v>3.53</v>
      </c>
      <c r="R1357" s="0" t="n">
        <v>4453</v>
      </c>
      <c r="S1357" s="0" t="n">
        <v>10130</v>
      </c>
      <c r="T1357" s="0" t="n">
        <v>43.85</v>
      </c>
      <c r="U1357" s="0" t="n">
        <v>924</v>
      </c>
      <c r="V1357" s="0" t="n">
        <v>1</v>
      </c>
      <c r="W1357" s="27" t="n">
        <f aca="false">MATCH(A1357,DATAS,0)</f>
        <v>1</v>
      </c>
      <c r="X1357" s="27" t="n">
        <f aca="false">IF(AND(E1357&gt;0,OR(AND(B1357&gt;=1,B1357&lt;=6),B1357=10)),1,0)</f>
        <v>1</v>
      </c>
      <c r="Y1357" s="27" t="n">
        <f aca="false">IF(AND(E1357&gt;0,B1357=10),1,0)</f>
        <v>0</v>
      </c>
      <c r="Z1357" s="0" t="str">
        <f aca="false">IF(AND(C1356=C1357,W1356=W1357-1),X1356,"")</f>
        <v/>
      </c>
      <c r="AA1357" s="0" t="str">
        <f aca="false">IF(AND(C1356=C1357,W1356=W1357-1),Y1356,"")</f>
        <v/>
      </c>
      <c r="AB1357" s="0" t="str">
        <f aca="false">IF(W1357=1,"",IF(AND(X1357=1,Z1357&lt;&gt;1),1,0))</f>
        <v/>
      </c>
      <c r="AC1357" s="0" t="str">
        <f aca="false">IF(W1357=1,"",IF(AND(Y1357=1,AA1357&lt;&gt;1),1,0))</f>
        <v/>
      </c>
      <c r="AD1357" s="33" t="str">
        <f aca="false">IF(AND(E1357&gt;0,W1357&lt;1,NOT(AND(C1358=C1357,W1358=W1357+1))),INDEX(DATAS,W1357+1),"")</f>
        <v/>
      </c>
      <c r="AE1357" s="33" t="str">
        <f aca="false">IF(AND(Y1357=1,W1357&lt;1),IF(AND(C1358=C1357,W1358=W1357+1),IF(Y1358=1,"",INDEX(DATAS,W1357+1)),INDEX(DATAS,W1357+1)),"")</f>
        <v/>
      </c>
    </row>
    <row r="1358" customFormat="false" ht="15" hidden="false" customHeight="false" outlineLevel="0" collapsed="false">
      <c r="A1358" s="33" t="n">
        <v>46309</v>
      </c>
      <c r="B1358" s="0" t="n">
        <v>4</v>
      </c>
      <c r="C1358" s="0" t="n">
        <v>5452</v>
      </c>
      <c r="D1358" s="0" t="n">
        <v>222</v>
      </c>
      <c r="E1358" s="0" t="n">
        <v>1</v>
      </c>
      <c r="F1358" s="27" t="s">
        <v>895</v>
      </c>
      <c r="G1358" s="0" t="n">
        <v>50.8</v>
      </c>
      <c r="H1358" s="0" t="n">
        <v>48</v>
      </c>
      <c r="I1358" s="27" t="s">
        <v>138</v>
      </c>
      <c r="J1358" s="0" t="n">
        <v>167</v>
      </c>
      <c r="K1358" s="0" t="n">
        <v>68</v>
      </c>
      <c r="L1358" s="0" t="n">
        <v>55</v>
      </c>
      <c r="M1358" s="0" t="n">
        <v>1034.93</v>
      </c>
      <c r="N1358" s="0" t="n">
        <v>42.63</v>
      </c>
      <c r="O1358" s="0" t="n">
        <v>49.31</v>
      </c>
      <c r="P1358" s="0" t="n">
        <v>2.84</v>
      </c>
      <c r="Q1358" s="0" t="n">
        <v>3.39</v>
      </c>
      <c r="R1358" s="0" t="n">
        <v>3937</v>
      </c>
      <c r="S1358" s="0" t="n">
        <v>8934</v>
      </c>
      <c r="T1358" s="0" t="n">
        <v>35.25</v>
      </c>
      <c r="U1358" s="0" t="n">
        <v>923</v>
      </c>
      <c r="V1358" s="0" t="n">
        <v>4</v>
      </c>
      <c r="W1358" s="27" t="n">
        <f aca="false">MATCH(A1358,DATAS,0)</f>
        <v>1</v>
      </c>
      <c r="X1358" s="27" t="n">
        <f aca="false">IF(AND(E1358&gt;0,OR(AND(B1358&gt;=1,B1358&lt;=6),B1358=10)),1,0)</f>
        <v>1</v>
      </c>
      <c r="Y1358" s="27" t="n">
        <f aca="false">IF(AND(E1358&gt;0,B1358=10),1,0)</f>
        <v>0</v>
      </c>
      <c r="Z1358" s="0" t="str">
        <f aca="false">IF(AND(C1357=C1358,W1357=W1358-1),X1357,"")</f>
        <v/>
      </c>
      <c r="AA1358" s="0" t="str">
        <f aca="false">IF(AND(C1357=C1358,W1357=W1358-1),Y1357,"")</f>
        <v/>
      </c>
      <c r="AB1358" s="0" t="str">
        <f aca="false">IF(W1358=1,"",IF(AND(X1358=1,Z1358&lt;&gt;1),1,0))</f>
        <v/>
      </c>
      <c r="AC1358" s="0" t="str">
        <f aca="false">IF(W1358=1,"",IF(AND(Y1358=1,AA1358&lt;&gt;1),1,0))</f>
        <v/>
      </c>
      <c r="AD1358" s="33" t="str">
        <f aca="false">IF(AND(E1358&gt;0,W1358&lt;1,NOT(AND(C1359=C1358,W1359=W1358+1))),INDEX(DATAS,W1358+1),"")</f>
        <v/>
      </c>
      <c r="AE1358" s="33" t="str">
        <f aca="false">IF(AND(Y1358=1,W1358&lt;1),IF(AND(C1359=C1358,W1359=W1358+1),IF(Y1359=1,"",INDEX(DATAS,W1358+1)),INDEX(DATAS,W1358+1)),"")</f>
        <v/>
      </c>
    </row>
    <row r="1359" customFormat="false" ht="15" hidden="false" customHeight="false" outlineLevel="0" collapsed="false">
      <c r="A1359" s="33" t="n">
        <v>46309</v>
      </c>
      <c r="B1359" s="0" t="n">
        <v>4</v>
      </c>
      <c r="C1359" s="0" t="n">
        <v>5453</v>
      </c>
      <c r="D1359" s="0" t="n">
        <v>208</v>
      </c>
      <c r="E1359" s="0" t="n">
        <v>1</v>
      </c>
      <c r="F1359" s="27" t="s">
        <v>896</v>
      </c>
      <c r="G1359" s="0" t="n">
        <v>41.7</v>
      </c>
      <c r="H1359" s="0" t="n">
        <v>42</v>
      </c>
      <c r="I1359" s="27" t="s">
        <v>138</v>
      </c>
      <c r="J1359" s="0" t="n">
        <v>93</v>
      </c>
      <c r="K1359" s="0" t="n">
        <v>68</v>
      </c>
      <c r="L1359" s="0" t="n">
        <v>115</v>
      </c>
      <c r="M1359" s="0" t="n">
        <v>199.49</v>
      </c>
      <c r="N1359" s="0" t="n">
        <v>61.52</v>
      </c>
      <c r="O1359" s="0" t="n">
        <v>21.68</v>
      </c>
      <c r="P1359" s="0" t="n">
        <v>3.99</v>
      </c>
      <c r="Q1359" s="0" t="n">
        <v>3.42</v>
      </c>
      <c r="R1359" s="0" t="n">
        <v>3308</v>
      </c>
      <c r="S1359" s="0" t="n">
        <v>8086</v>
      </c>
      <c r="T1359" s="0" t="n">
        <v>39.3</v>
      </c>
      <c r="U1359" s="0" t="n">
        <v>921</v>
      </c>
      <c r="V1359" s="0" t="n">
        <v>2</v>
      </c>
      <c r="W1359" s="27" t="n">
        <f aca="false">MATCH(A1359,DATAS,0)</f>
        <v>1</v>
      </c>
      <c r="X1359" s="27" t="n">
        <f aca="false">IF(AND(E1359&gt;0,OR(AND(B1359&gt;=1,B1359&lt;=6),B1359=10)),1,0)</f>
        <v>1</v>
      </c>
      <c r="Y1359" s="27" t="n">
        <f aca="false">IF(AND(E1359&gt;0,B1359=10),1,0)</f>
        <v>0</v>
      </c>
      <c r="Z1359" s="0" t="str">
        <f aca="false">IF(AND(C1358=C1359,W1358=W1359-1),X1358,"")</f>
        <v/>
      </c>
      <c r="AA1359" s="0" t="str">
        <f aca="false">IF(AND(C1358=C1359,W1358=W1359-1),Y1358,"")</f>
        <v/>
      </c>
      <c r="AB1359" s="0" t="str">
        <f aca="false">IF(W1359=1,"",IF(AND(X1359=1,Z1359&lt;&gt;1),1,0))</f>
        <v/>
      </c>
      <c r="AC1359" s="0" t="str">
        <f aca="false">IF(W1359=1,"",IF(AND(Y1359=1,AA1359&lt;&gt;1),1,0))</f>
        <v/>
      </c>
      <c r="AD1359" s="33" t="str">
        <f aca="false">IF(AND(E1359&gt;0,W1359&lt;1,NOT(AND(C1360=C1359,W1360=W1359+1))),INDEX(DATAS,W1359+1),"")</f>
        <v/>
      </c>
      <c r="AE1359" s="33" t="str">
        <f aca="false">IF(AND(Y1359=1,W1359&lt;1),IF(AND(C1360=C1359,W1360=W1359+1),IF(Y1360=1,"",INDEX(DATAS,W1359+1)),INDEX(DATAS,W1359+1)),"")</f>
        <v/>
      </c>
    </row>
    <row r="1360" customFormat="false" ht="15" hidden="false" customHeight="false" outlineLevel="0" collapsed="false">
      <c r="A1360" s="33" t="n">
        <v>46309</v>
      </c>
      <c r="B1360" s="0" t="n">
        <v>4</v>
      </c>
      <c r="C1360" s="0" t="n">
        <v>5455</v>
      </c>
      <c r="D1360" s="0" t="n">
        <v>261</v>
      </c>
      <c r="E1360" s="0" t="n">
        <v>1</v>
      </c>
      <c r="F1360" s="27" t="s">
        <v>896</v>
      </c>
      <c r="G1360" s="0" t="n">
        <v>21.1</v>
      </c>
      <c r="H1360" s="0" t="n">
        <v>20</v>
      </c>
      <c r="I1360" s="27" t="s">
        <v>138</v>
      </c>
      <c r="J1360" s="0" t="n">
        <v>89</v>
      </c>
      <c r="K1360" s="0" t="n">
        <v>65</v>
      </c>
      <c r="L1360" s="0" t="n">
        <v>172</v>
      </c>
      <c r="M1360" s="0" t="n">
        <v>333.06</v>
      </c>
      <c r="N1360" s="0" t="n">
        <v>81.75</v>
      </c>
      <c r="O1360" s="0" t="n">
        <v>42.59</v>
      </c>
      <c r="P1360" s="0" t="n">
        <v>4.17</v>
      </c>
      <c r="Q1360" s="0" t="n">
        <v>3.91</v>
      </c>
      <c r="R1360" s="0" t="n">
        <v>3744</v>
      </c>
      <c r="S1360" s="0" t="n">
        <v>8915</v>
      </c>
      <c r="T1360" s="0" t="n">
        <v>35.1</v>
      </c>
      <c r="U1360" s="0" t="n">
        <v>921</v>
      </c>
      <c r="V1360" s="0" t="n">
        <v>2</v>
      </c>
      <c r="W1360" s="27" t="n">
        <f aca="false">MATCH(A1360,DATAS,0)</f>
        <v>1</v>
      </c>
      <c r="X1360" s="27" t="n">
        <f aca="false">IF(AND(E1360&gt;0,OR(AND(B1360&gt;=1,B1360&lt;=6),B1360=10)),1,0)</f>
        <v>1</v>
      </c>
      <c r="Y1360" s="27" t="n">
        <f aca="false">IF(AND(E1360&gt;0,B1360=10),1,0)</f>
        <v>0</v>
      </c>
      <c r="Z1360" s="0" t="str">
        <f aca="false">IF(AND(C1359=C1360,W1359=W1360-1),X1359,"")</f>
        <v/>
      </c>
      <c r="AA1360" s="0" t="str">
        <f aca="false">IF(AND(C1359=C1360,W1359=W1360-1),Y1359,"")</f>
        <v/>
      </c>
      <c r="AB1360" s="0" t="str">
        <f aca="false">IF(W1360=1,"",IF(AND(X1360=1,Z1360&lt;&gt;1),1,0))</f>
        <v/>
      </c>
      <c r="AC1360" s="0" t="str">
        <f aca="false">IF(W1360=1,"",IF(AND(Y1360=1,AA1360&lt;&gt;1),1,0))</f>
        <v/>
      </c>
      <c r="AD1360" s="33" t="str">
        <f aca="false">IF(AND(E1360&gt;0,W1360&lt;1,NOT(AND(C1361=C1360,W1361=W1360+1))),INDEX(DATAS,W1360+1),"")</f>
        <v/>
      </c>
      <c r="AE1360" s="33" t="str">
        <f aca="false">IF(AND(Y1360=1,W1360&lt;1),IF(AND(C1361=C1360,W1361=W1360+1),IF(Y1361=1,"",INDEX(DATAS,W1360+1)),INDEX(DATAS,W1360+1)),"")</f>
        <v/>
      </c>
    </row>
    <row r="1361" customFormat="false" ht="15" hidden="false" customHeight="false" outlineLevel="0" collapsed="false">
      <c r="A1361" s="33" t="n">
        <v>46309</v>
      </c>
      <c r="B1361" s="0" t="n">
        <v>4</v>
      </c>
      <c r="C1361" s="0" t="n">
        <v>5457</v>
      </c>
      <c r="D1361" s="0" t="n">
        <v>260</v>
      </c>
      <c r="E1361" s="0" t="n">
        <v>1</v>
      </c>
      <c r="F1361" s="27" t="s">
        <v>896</v>
      </c>
      <c r="G1361" s="0" t="n">
        <v>45.3</v>
      </c>
      <c r="H1361" s="0" t="n">
        <v>49</v>
      </c>
      <c r="I1361" s="27" t="s">
        <v>168</v>
      </c>
      <c r="J1361" s="0" t="n">
        <v>260</v>
      </c>
      <c r="K1361" s="0" t="n">
        <v>64</v>
      </c>
      <c r="M1361" s="0" t="n">
        <v>402.07</v>
      </c>
      <c r="N1361" s="0" t="n">
        <v>30.2</v>
      </c>
      <c r="O1361" s="0" t="n">
        <v>23.06</v>
      </c>
      <c r="P1361" s="0" t="n">
        <v>2.96</v>
      </c>
      <c r="Q1361" s="0" t="n">
        <v>3.43</v>
      </c>
      <c r="R1361" s="0" t="n">
        <v>4732</v>
      </c>
      <c r="S1361" s="0" t="n">
        <v>10038</v>
      </c>
      <c r="T1361" s="0" t="n">
        <v>47.55</v>
      </c>
      <c r="U1361" s="0" t="n">
        <v>921</v>
      </c>
      <c r="V1361" s="0" t="n">
        <v>6</v>
      </c>
      <c r="W1361" s="27" t="n">
        <f aca="false">MATCH(A1361,DATAS,0)</f>
        <v>1</v>
      </c>
      <c r="X1361" s="27" t="n">
        <f aca="false">IF(AND(E1361&gt;0,OR(AND(B1361&gt;=1,B1361&lt;=6),B1361=10)),1,0)</f>
        <v>1</v>
      </c>
      <c r="Y1361" s="27" t="n">
        <f aca="false">IF(AND(E1361&gt;0,B1361=10),1,0)</f>
        <v>0</v>
      </c>
      <c r="Z1361" s="0" t="str">
        <f aca="false">IF(AND(C1360=C1361,W1360=W1361-1),X1360,"")</f>
        <v/>
      </c>
      <c r="AA1361" s="0" t="str">
        <f aca="false">IF(AND(C1360=C1361,W1360=W1361-1),Y1360,"")</f>
        <v/>
      </c>
      <c r="AB1361" s="0" t="str">
        <f aca="false">IF(W1361=1,"",IF(AND(X1361=1,Z1361&lt;&gt;1),1,0))</f>
        <v/>
      </c>
      <c r="AC1361" s="0" t="str">
        <f aca="false">IF(W1361=1,"",IF(AND(Y1361=1,AA1361&lt;&gt;1),1,0))</f>
        <v/>
      </c>
      <c r="AD1361" s="33" t="str">
        <f aca="false">IF(AND(E1361&gt;0,W1361&lt;1,NOT(AND(C1362=C1361,W1362=W1361+1))),INDEX(DATAS,W1361+1),"")</f>
        <v/>
      </c>
      <c r="AE1361" s="33" t="str">
        <f aca="false">IF(AND(Y1361=1,W1361&lt;1),IF(AND(C1362=C1361,W1362=W1361+1),IF(Y1362=1,"",INDEX(DATAS,W1361+1)),INDEX(DATAS,W1361+1)),"")</f>
        <v/>
      </c>
    </row>
    <row r="1362" customFormat="false" ht="15" hidden="false" customHeight="false" outlineLevel="0" collapsed="false">
      <c r="A1362" s="33" t="n">
        <v>46309</v>
      </c>
      <c r="B1362" s="0" t="n">
        <v>4</v>
      </c>
      <c r="C1362" s="0" t="n">
        <v>5459</v>
      </c>
      <c r="D1362" s="0" t="n">
        <v>193</v>
      </c>
      <c r="E1362" s="0" t="n">
        <v>1</v>
      </c>
      <c r="F1362" s="27" t="s">
        <v>897</v>
      </c>
      <c r="G1362" s="0" t="n">
        <v>45</v>
      </c>
      <c r="H1362" s="0" t="n">
        <v>34</v>
      </c>
      <c r="I1362" s="27" t="s">
        <v>168</v>
      </c>
      <c r="J1362" s="0" t="n">
        <v>193</v>
      </c>
      <c r="K1362" s="0" t="n">
        <v>60</v>
      </c>
      <c r="M1362" s="0" t="n">
        <v>860.44</v>
      </c>
      <c r="N1362" s="0" t="n">
        <v>37.54</v>
      </c>
      <c r="O1362" s="0" t="n">
        <v>26.16</v>
      </c>
      <c r="P1362" s="0" t="n">
        <v>3.57</v>
      </c>
      <c r="Q1362" s="0" t="n">
        <v>3.21</v>
      </c>
      <c r="R1362" s="0" t="n">
        <v>4826</v>
      </c>
      <c r="S1362" s="0" t="n">
        <v>10329</v>
      </c>
      <c r="T1362" s="0" t="n">
        <v>51.05</v>
      </c>
      <c r="U1362" s="0" t="n">
        <v>920</v>
      </c>
      <c r="V1362" s="0" t="n">
        <v>5</v>
      </c>
      <c r="W1362" s="27" t="n">
        <f aca="false">MATCH(A1362,DATAS,0)</f>
        <v>1</v>
      </c>
      <c r="X1362" s="27" t="n">
        <f aca="false">IF(AND(E1362&gt;0,OR(AND(B1362&gt;=1,B1362&lt;=6),B1362=10)),1,0)</f>
        <v>1</v>
      </c>
      <c r="Y1362" s="27" t="n">
        <f aca="false">IF(AND(E1362&gt;0,B1362=10),1,0)</f>
        <v>0</v>
      </c>
      <c r="Z1362" s="0" t="str">
        <f aca="false">IF(AND(C1361=C1362,W1361=W1362-1),X1361,"")</f>
        <v/>
      </c>
      <c r="AA1362" s="0" t="str">
        <f aca="false">IF(AND(C1361=C1362,W1361=W1362-1),Y1361,"")</f>
        <v/>
      </c>
      <c r="AB1362" s="0" t="str">
        <f aca="false">IF(W1362=1,"",IF(AND(X1362=1,Z1362&lt;&gt;1),1,0))</f>
        <v/>
      </c>
      <c r="AC1362" s="0" t="str">
        <f aca="false">IF(W1362=1,"",IF(AND(Y1362=1,AA1362&lt;&gt;1),1,0))</f>
        <v/>
      </c>
      <c r="AD1362" s="33" t="str">
        <f aca="false">IF(AND(E1362&gt;0,W1362&lt;1,NOT(AND(C1363=C1362,W1363=W1362+1))),INDEX(DATAS,W1362+1),"")</f>
        <v/>
      </c>
      <c r="AE1362" s="33" t="str">
        <f aca="false">IF(AND(Y1362=1,W1362&lt;1),IF(AND(C1363=C1362,W1363=W1362+1),IF(Y1363=1,"",INDEX(DATAS,W1362+1)),INDEX(DATAS,W1362+1)),"")</f>
        <v/>
      </c>
    </row>
    <row r="1363" customFormat="false" ht="15" hidden="false" customHeight="false" outlineLevel="0" collapsed="false">
      <c r="A1363" s="33" t="n">
        <v>46309</v>
      </c>
      <c r="B1363" s="0" t="n">
        <v>4</v>
      </c>
      <c r="C1363" s="0" t="n">
        <v>5461</v>
      </c>
      <c r="D1363" s="0" t="n">
        <v>252</v>
      </c>
      <c r="E1363" s="0" t="n">
        <v>1</v>
      </c>
      <c r="F1363" s="27" t="s">
        <v>898</v>
      </c>
      <c r="G1363" s="0" t="n">
        <v>46.3</v>
      </c>
      <c r="H1363" s="0" t="n">
        <v>47</v>
      </c>
      <c r="I1363" s="27" t="s">
        <v>138</v>
      </c>
      <c r="J1363" s="0" t="n">
        <v>98</v>
      </c>
      <c r="K1363" s="0" t="n">
        <v>71</v>
      </c>
      <c r="L1363" s="0" t="n">
        <v>154</v>
      </c>
      <c r="M1363" s="0" t="n">
        <v>1126.34</v>
      </c>
      <c r="N1363" s="0" t="n">
        <v>51.85</v>
      </c>
      <c r="O1363" s="0" t="n">
        <v>39.43</v>
      </c>
      <c r="P1363" s="0" t="n">
        <v>3.31</v>
      </c>
      <c r="Q1363" s="0" t="n">
        <v>3.32</v>
      </c>
      <c r="R1363" s="0" t="n">
        <v>4417</v>
      </c>
      <c r="S1363" s="0" t="n">
        <v>9965</v>
      </c>
      <c r="T1363" s="0" t="n">
        <v>45.45</v>
      </c>
      <c r="U1363" s="0" t="n">
        <v>918</v>
      </c>
      <c r="V1363" s="0" t="n">
        <v>2</v>
      </c>
      <c r="W1363" s="27" t="n">
        <f aca="false">MATCH(A1363,DATAS,0)</f>
        <v>1</v>
      </c>
      <c r="X1363" s="27" t="n">
        <f aca="false">IF(AND(E1363&gt;0,OR(AND(B1363&gt;=1,B1363&lt;=6),B1363=10)),1,0)</f>
        <v>1</v>
      </c>
      <c r="Y1363" s="27" t="n">
        <f aca="false">IF(AND(E1363&gt;0,B1363=10),1,0)</f>
        <v>0</v>
      </c>
      <c r="Z1363" s="0" t="str">
        <f aca="false">IF(AND(C1362=C1363,W1362=W1363-1),X1362,"")</f>
        <v/>
      </c>
      <c r="AA1363" s="0" t="str">
        <f aca="false">IF(AND(C1362=C1363,W1362=W1363-1),Y1362,"")</f>
        <v/>
      </c>
      <c r="AB1363" s="0" t="str">
        <f aca="false">IF(W1363=1,"",IF(AND(X1363=1,Z1363&lt;&gt;1),1,0))</f>
        <v/>
      </c>
      <c r="AC1363" s="0" t="str">
        <f aca="false">IF(W1363=1,"",IF(AND(Y1363=1,AA1363&lt;&gt;1),1,0))</f>
        <v/>
      </c>
      <c r="AD1363" s="33" t="str">
        <f aca="false">IF(AND(E1363&gt;0,W1363&lt;1,NOT(AND(C1364=C1363,W1364=W1363+1))),INDEX(DATAS,W1363+1),"")</f>
        <v/>
      </c>
      <c r="AE1363" s="33" t="str">
        <f aca="false">IF(AND(Y1363=1,W1363&lt;1),IF(AND(C1364=C1363,W1364=W1363+1),IF(Y1364=1,"",INDEX(DATAS,W1363+1)),INDEX(DATAS,W1363+1)),"")</f>
        <v/>
      </c>
    </row>
    <row r="1364" customFormat="false" ht="15" hidden="false" customHeight="false" outlineLevel="0" collapsed="false">
      <c r="A1364" s="33" t="n">
        <v>46309</v>
      </c>
      <c r="B1364" s="0" t="n">
        <v>4</v>
      </c>
      <c r="C1364" s="0" t="n">
        <v>5462</v>
      </c>
      <c r="D1364" s="0" t="n">
        <v>208</v>
      </c>
      <c r="E1364" s="0" t="n">
        <v>1</v>
      </c>
      <c r="F1364" s="27" t="s">
        <v>899</v>
      </c>
      <c r="G1364" s="0" t="n">
        <v>23</v>
      </c>
      <c r="H1364" s="0" t="n">
        <v>25</v>
      </c>
      <c r="I1364" s="27" t="s">
        <v>138</v>
      </c>
      <c r="J1364" s="0" t="n">
        <v>103</v>
      </c>
      <c r="K1364" s="0" t="n">
        <v>68</v>
      </c>
      <c r="L1364" s="0" t="n">
        <v>105</v>
      </c>
      <c r="M1364" s="0" t="n">
        <v>1216.79</v>
      </c>
      <c r="N1364" s="0" t="n">
        <v>37.27</v>
      </c>
      <c r="O1364" s="0" t="n">
        <v>37.47</v>
      </c>
      <c r="P1364" s="0" t="n">
        <v>4.51</v>
      </c>
      <c r="Q1364" s="0" t="n">
        <v>3.35</v>
      </c>
      <c r="R1364" s="0" t="n">
        <v>4551</v>
      </c>
      <c r="S1364" s="0" t="n">
        <v>8832</v>
      </c>
      <c r="T1364" s="0" t="n">
        <v>51.9</v>
      </c>
      <c r="U1364" s="0" t="n">
        <v>917</v>
      </c>
      <c r="V1364" s="0" t="n">
        <v>2</v>
      </c>
      <c r="W1364" s="27" t="n">
        <f aca="false">MATCH(A1364,DATAS,0)</f>
        <v>1</v>
      </c>
      <c r="X1364" s="27" t="n">
        <f aca="false">IF(AND(E1364&gt;0,OR(AND(B1364&gt;=1,B1364&lt;=6),B1364=10)),1,0)</f>
        <v>1</v>
      </c>
      <c r="Y1364" s="27" t="n">
        <f aca="false">IF(AND(E1364&gt;0,B1364=10),1,0)</f>
        <v>0</v>
      </c>
      <c r="Z1364" s="0" t="str">
        <f aca="false">IF(AND(C1363=C1364,W1363=W1364-1),X1363,"")</f>
        <v/>
      </c>
      <c r="AA1364" s="0" t="str">
        <f aca="false">IF(AND(C1363=C1364,W1363=W1364-1),Y1363,"")</f>
        <v/>
      </c>
      <c r="AB1364" s="0" t="str">
        <f aca="false">IF(W1364=1,"",IF(AND(X1364=1,Z1364&lt;&gt;1),1,0))</f>
        <v/>
      </c>
      <c r="AC1364" s="0" t="str">
        <f aca="false">IF(W1364=1,"",IF(AND(Y1364=1,AA1364&lt;&gt;1),1,0))</f>
        <v/>
      </c>
      <c r="AD1364" s="33" t="str">
        <f aca="false">IF(AND(E1364&gt;0,W1364&lt;1,NOT(AND(C1365=C1364,W1365=W1364+1))),INDEX(DATAS,W1364+1),"")</f>
        <v/>
      </c>
      <c r="AE1364" s="33" t="str">
        <f aca="false">IF(AND(Y1364=1,W1364&lt;1),IF(AND(C1365=C1364,W1365=W1364+1),IF(Y1365=1,"",INDEX(DATAS,W1364+1)),INDEX(DATAS,W1364+1)),"")</f>
        <v/>
      </c>
    </row>
    <row r="1365" customFormat="false" ht="15" hidden="false" customHeight="false" outlineLevel="0" collapsed="false">
      <c r="A1365" s="33" t="n">
        <v>46309</v>
      </c>
      <c r="B1365" s="0" t="n">
        <v>4</v>
      </c>
      <c r="C1365" s="0" t="n">
        <v>5466</v>
      </c>
      <c r="D1365" s="0" t="n">
        <v>270</v>
      </c>
      <c r="E1365" s="0" t="n">
        <v>1</v>
      </c>
      <c r="F1365" s="27" t="s">
        <v>899</v>
      </c>
      <c r="G1365" s="0" t="n">
        <v>31.4</v>
      </c>
      <c r="H1365" s="0" t="n">
        <v>31</v>
      </c>
      <c r="I1365" s="27" t="s">
        <v>138</v>
      </c>
      <c r="J1365" s="0" t="n">
        <v>223</v>
      </c>
      <c r="K1365" s="0" t="n">
        <v>67</v>
      </c>
      <c r="L1365" s="0" t="n">
        <v>47</v>
      </c>
      <c r="M1365" s="0" t="n">
        <v>82.29</v>
      </c>
      <c r="N1365" s="0" t="n">
        <v>64.17</v>
      </c>
      <c r="O1365" s="0" t="n">
        <v>32.97</v>
      </c>
      <c r="P1365" s="0" t="n">
        <v>5.53</v>
      </c>
      <c r="Q1365" s="0" t="n">
        <v>4.07</v>
      </c>
      <c r="R1365" s="0" t="n">
        <v>3532</v>
      </c>
      <c r="S1365" s="0" t="n">
        <v>7459</v>
      </c>
      <c r="T1365" s="0" t="n">
        <v>35.65</v>
      </c>
      <c r="U1365" s="0" t="n">
        <v>917</v>
      </c>
      <c r="V1365" s="0" t="n">
        <v>6</v>
      </c>
      <c r="W1365" s="27" t="n">
        <f aca="false">MATCH(A1365,DATAS,0)</f>
        <v>1</v>
      </c>
      <c r="X1365" s="27" t="n">
        <f aca="false">IF(AND(E1365&gt;0,OR(AND(B1365&gt;=1,B1365&lt;=6),B1365=10)),1,0)</f>
        <v>1</v>
      </c>
      <c r="Y1365" s="27" t="n">
        <f aca="false">IF(AND(E1365&gt;0,B1365=10),1,0)</f>
        <v>0</v>
      </c>
      <c r="Z1365" s="0" t="str">
        <f aca="false">IF(AND(C1364=C1365,W1364=W1365-1),X1364,"")</f>
        <v/>
      </c>
      <c r="AA1365" s="0" t="str">
        <f aca="false">IF(AND(C1364=C1365,W1364=W1365-1),Y1364,"")</f>
        <v/>
      </c>
      <c r="AB1365" s="0" t="str">
        <f aca="false">IF(W1365=1,"",IF(AND(X1365=1,Z1365&lt;&gt;1),1,0))</f>
        <v/>
      </c>
      <c r="AC1365" s="0" t="str">
        <f aca="false">IF(W1365=1,"",IF(AND(Y1365=1,AA1365&lt;&gt;1),1,0))</f>
        <v/>
      </c>
      <c r="AD1365" s="33" t="str">
        <f aca="false">IF(AND(E1365&gt;0,W1365&lt;1,NOT(AND(C1366=C1365,W1366=W1365+1))),INDEX(DATAS,W1365+1),"")</f>
        <v/>
      </c>
      <c r="AE1365" s="33" t="str">
        <f aca="false">IF(AND(Y1365=1,W1365&lt;1),IF(AND(C1366=C1365,W1366=W1365+1),IF(Y1366=1,"",INDEX(DATAS,W1365+1)),INDEX(DATAS,W1365+1)),"")</f>
        <v/>
      </c>
    </row>
    <row r="1366" customFormat="false" ht="15" hidden="false" customHeight="false" outlineLevel="0" collapsed="false">
      <c r="A1366" s="33" t="n">
        <v>46309</v>
      </c>
      <c r="B1366" s="0" t="n">
        <v>4</v>
      </c>
      <c r="C1366" s="0" t="n">
        <v>5467</v>
      </c>
      <c r="D1366" s="0" t="n">
        <v>264</v>
      </c>
      <c r="E1366" s="0" t="n">
        <v>1</v>
      </c>
      <c r="F1366" s="27" t="s">
        <v>899</v>
      </c>
      <c r="G1366" s="0" t="n">
        <v>43.7</v>
      </c>
      <c r="H1366" s="0" t="n">
        <v>45</v>
      </c>
      <c r="I1366" s="27" t="s">
        <v>138</v>
      </c>
      <c r="J1366" s="0" t="n">
        <v>68</v>
      </c>
      <c r="K1366" s="0" t="n">
        <v>68</v>
      </c>
      <c r="L1366" s="0" t="n">
        <v>196</v>
      </c>
      <c r="M1366" s="0" t="n">
        <v>453.56</v>
      </c>
      <c r="N1366" s="0" t="n">
        <v>53.56</v>
      </c>
      <c r="O1366" s="0" t="n">
        <v>31.68</v>
      </c>
      <c r="P1366" s="0" t="n">
        <v>3.42</v>
      </c>
      <c r="Q1366" s="0" t="n">
        <v>3.46</v>
      </c>
      <c r="R1366" s="0" t="n">
        <v>4589</v>
      </c>
      <c r="S1366" s="0" t="n">
        <v>10206</v>
      </c>
      <c r="T1366" s="0" t="n">
        <v>48.25</v>
      </c>
      <c r="U1366" s="0" t="n">
        <v>917</v>
      </c>
      <c r="V1366" s="0" t="n">
        <v>1</v>
      </c>
      <c r="W1366" s="27" t="n">
        <f aca="false">MATCH(A1366,DATAS,0)</f>
        <v>1</v>
      </c>
      <c r="X1366" s="27" t="n">
        <f aca="false">IF(AND(E1366&gt;0,OR(AND(B1366&gt;=1,B1366&lt;=6),B1366=10)),1,0)</f>
        <v>1</v>
      </c>
      <c r="Y1366" s="27" t="n">
        <f aca="false">IF(AND(E1366&gt;0,B1366=10),1,0)</f>
        <v>0</v>
      </c>
      <c r="Z1366" s="0" t="str">
        <f aca="false">IF(AND(C1365=C1366,W1365=W1366-1),X1365,"")</f>
        <v/>
      </c>
      <c r="AA1366" s="0" t="str">
        <f aca="false">IF(AND(C1365=C1366,W1365=W1366-1),Y1365,"")</f>
        <v/>
      </c>
      <c r="AB1366" s="0" t="str">
        <f aca="false">IF(W1366=1,"",IF(AND(X1366=1,Z1366&lt;&gt;1),1,0))</f>
        <v/>
      </c>
      <c r="AC1366" s="0" t="str">
        <f aca="false">IF(W1366=1,"",IF(AND(Y1366=1,AA1366&lt;&gt;1),1,0))</f>
        <v/>
      </c>
      <c r="AD1366" s="33" t="str">
        <f aca="false">IF(AND(E1366&gt;0,W1366&lt;1,NOT(AND(C1367=C1366,W1367=W1366+1))),INDEX(DATAS,W1366+1),"")</f>
        <v/>
      </c>
      <c r="AE1366" s="33" t="str">
        <f aca="false">IF(AND(Y1366=1,W1366&lt;1),IF(AND(C1367=C1366,W1367=W1366+1),IF(Y1367=1,"",INDEX(DATAS,W1366+1)),INDEX(DATAS,W1366+1)),"")</f>
        <v/>
      </c>
    </row>
    <row r="1367" customFormat="false" ht="15" hidden="false" customHeight="false" outlineLevel="0" collapsed="false">
      <c r="A1367" s="33" t="n">
        <v>46309</v>
      </c>
      <c r="B1367" s="0" t="n">
        <v>7</v>
      </c>
      <c r="C1367" s="0" t="n">
        <v>5468</v>
      </c>
      <c r="D1367" s="0" t="n">
        <v>284</v>
      </c>
      <c r="E1367" s="0" t="n">
        <v>1</v>
      </c>
      <c r="F1367" s="27" t="s">
        <v>900</v>
      </c>
      <c r="I1367" s="27" t="s">
        <v>143</v>
      </c>
      <c r="J1367" s="0" t="n">
        <v>61</v>
      </c>
      <c r="K1367" s="0" t="n">
        <v>61</v>
      </c>
      <c r="L1367" s="0" t="n">
        <v>231</v>
      </c>
      <c r="M1367" s="0" t="n">
        <v>561.94</v>
      </c>
      <c r="N1367" s="0" t="n">
        <v>64.62</v>
      </c>
      <c r="O1367" s="0" t="n">
        <v>27.29</v>
      </c>
      <c r="P1367" s="0" t="n">
        <v>3.23</v>
      </c>
      <c r="Q1367" s="0" t="n">
        <v>3.58</v>
      </c>
      <c r="R1367" s="0" t="n">
        <v>3494</v>
      </c>
      <c r="S1367" s="0" t="n">
        <v>8372</v>
      </c>
      <c r="T1367" s="0" t="n">
        <v>35.35</v>
      </c>
      <c r="U1367" s="0" t="n">
        <v>916</v>
      </c>
      <c r="V1367" s="0" t="n">
        <v>1</v>
      </c>
      <c r="W1367" s="27" t="n">
        <f aca="false">MATCH(A1367,DATAS,0)</f>
        <v>1</v>
      </c>
      <c r="X1367" s="27" t="n">
        <f aca="false">IF(AND(E1367&gt;0,OR(AND(B1367&gt;=1,B1367&lt;=6),B1367=10)),1,0)</f>
        <v>0</v>
      </c>
      <c r="Y1367" s="27" t="n">
        <f aca="false">IF(AND(E1367&gt;0,B1367=10),1,0)</f>
        <v>0</v>
      </c>
      <c r="Z1367" s="0" t="str">
        <f aca="false">IF(AND(C1366=C1367,W1366=W1367-1),X1366,"")</f>
        <v/>
      </c>
      <c r="AA1367" s="0" t="str">
        <f aca="false">IF(AND(C1366=C1367,W1366=W1367-1),Y1366,"")</f>
        <v/>
      </c>
      <c r="AB1367" s="0" t="str">
        <f aca="false">IF(W1367=1,"",IF(AND(X1367=1,Z1367&lt;&gt;1),1,0))</f>
        <v/>
      </c>
      <c r="AC1367" s="0" t="str">
        <f aca="false">IF(W1367=1,"",IF(AND(Y1367=1,AA1367&lt;&gt;1),1,0))</f>
        <v/>
      </c>
      <c r="AD1367" s="33" t="str">
        <f aca="false">IF(AND(E1367&gt;0,W1367&lt;1,NOT(AND(C1368=C1367,W1368=W1367+1))),INDEX(DATAS,W1367+1),"")</f>
        <v/>
      </c>
      <c r="AE1367" s="33" t="str">
        <f aca="false">IF(AND(Y1367=1,W1367&lt;1),IF(AND(C1368=C1367,W1368=W1367+1),IF(Y1368=1,"",INDEX(DATAS,W1367+1)),INDEX(DATAS,W1367+1)),"")</f>
        <v/>
      </c>
    </row>
    <row r="1368" customFormat="false" ht="15" hidden="false" customHeight="false" outlineLevel="0" collapsed="false">
      <c r="A1368" s="33" t="n">
        <v>46309</v>
      </c>
      <c r="B1368" s="0" t="n">
        <v>10</v>
      </c>
      <c r="C1368" s="0" t="n">
        <v>5469</v>
      </c>
      <c r="D1368" s="0" t="n">
        <v>237</v>
      </c>
      <c r="E1368" s="0" t="n">
        <v>1</v>
      </c>
      <c r="F1368" s="27" t="s">
        <v>901</v>
      </c>
      <c r="G1368" s="0" t="n">
        <v>12.7</v>
      </c>
      <c r="H1368" s="0" t="n">
        <v>30</v>
      </c>
      <c r="I1368" s="27" t="s">
        <v>138</v>
      </c>
      <c r="J1368" s="0" t="n">
        <v>104</v>
      </c>
      <c r="K1368" s="0" t="n">
        <v>69</v>
      </c>
      <c r="L1368" s="0" t="n">
        <v>133</v>
      </c>
      <c r="M1368" s="0" t="n">
        <v>371.46</v>
      </c>
      <c r="N1368" s="0" t="n">
        <v>41.58</v>
      </c>
      <c r="O1368" s="0" t="n">
        <v>26.89</v>
      </c>
      <c r="P1368" s="0" t="n">
        <v>5.05</v>
      </c>
      <c r="Q1368" s="0" t="n">
        <v>3.61</v>
      </c>
      <c r="R1368" s="0" t="n">
        <v>3927</v>
      </c>
      <c r="S1368" s="0" t="n">
        <v>8776</v>
      </c>
      <c r="T1368" s="0" t="n">
        <v>46</v>
      </c>
      <c r="U1368" s="0" t="n">
        <v>914</v>
      </c>
      <c r="V1368" s="0" t="n">
        <v>2</v>
      </c>
      <c r="W1368" s="27" t="n">
        <f aca="false">MATCH(A1368,DATAS,0)</f>
        <v>1</v>
      </c>
      <c r="X1368" s="27" t="n">
        <f aca="false">IF(AND(E1368&gt;0,OR(AND(B1368&gt;=1,B1368&lt;=6),B1368=10)),1,0)</f>
        <v>1</v>
      </c>
      <c r="Y1368" s="27" t="n">
        <f aca="false">IF(AND(E1368&gt;0,B1368=10),1,0)</f>
        <v>1</v>
      </c>
      <c r="Z1368" s="0" t="str">
        <f aca="false">IF(AND(C1367=C1368,W1367=W1368-1),X1367,"")</f>
        <v/>
      </c>
      <c r="AA1368" s="0" t="str">
        <f aca="false">IF(AND(C1367=C1368,W1367=W1368-1),Y1367,"")</f>
        <v/>
      </c>
      <c r="AB1368" s="0" t="str">
        <f aca="false">IF(W1368=1,"",IF(AND(X1368=1,Z1368&lt;&gt;1),1,0))</f>
        <v/>
      </c>
      <c r="AC1368" s="0" t="str">
        <f aca="false">IF(W1368=1,"",IF(AND(Y1368=1,AA1368&lt;&gt;1),1,0))</f>
        <v/>
      </c>
      <c r="AD1368" s="33" t="str">
        <f aca="false">IF(AND(E1368&gt;0,W1368&lt;1,NOT(AND(C1369=C1368,W1369=W1368+1))),INDEX(DATAS,W1368+1),"")</f>
        <v/>
      </c>
      <c r="AE1368" s="33" t="str">
        <f aca="false">IF(AND(Y1368=1,W1368&lt;1),IF(AND(C1369=C1368,W1369=W1368+1),IF(Y1369=1,"",INDEX(DATAS,W1368+1)),INDEX(DATAS,W1368+1)),"")</f>
        <v/>
      </c>
    </row>
    <row r="1369" customFormat="false" ht="15" hidden="false" customHeight="false" outlineLevel="0" collapsed="false">
      <c r="A1369" s="33" t="n">
        <v>46309</v>
      </c>
      <c r="B1369" s="0" t="n">
        <v>4</v>
      </c>
      <c r="C1369" s="0" t="n">
        <v>5471</v>
      </c>
      <c r="D1369" s="0" t="n">
        <v>259</v>
      </c>
      <c r="E1369" s="0" t="n">
        <v>1</v>
      </c>
      <c r="F1369" s="27" t="s">
        <v>902</v>
      </c>
      <c r="G1369" s="0" t="n">
        <v>43.8</v>
      </c>
      <c r="H1369" s="0" t="n">
        <v>42</v>
      </c>
      <c r="I1369" s="27" t="s">
        <v>138</v>
      </c>
      <c r="J1369" s="0" t="n">
        <v>98</v>
      </c>
      <c r="K1369" s="0" t="n">
        <v>63</v>
      </c>
      <c r="L1369" s="0" t="n">
        <v>161</v>
      </c>
      <c r="M1369" s="0" t="n">
        <v>823.28</v>
      </c>
      <c r="N1369" s="0" t="n">
        <v>56.89</v>
      </c>
      <c r="O1369" s="0" t="n">
        <v>26.65</v>
      </c>
      <c r="P1369" s="0" t="n">
        <v>3.55</v>
      </c>
      <c r="Q1369" s="0" t="n">
        <v>3.43</v>
      </c>
      <c r="R1369" s="0" t="n">
        <v>4159</v>
      </c>
      <c r="S1369" s="0" t="n">
        <v>8751</v>
      </c>
      <c r="T1369" s="0" t="n">
        <v>54.3</v>
      </c>
      <c r="U1369" s="0" t="n">
        <v>913</v>
      </c>
      <c r="V1369" s="0" t="n">
        <v>2</v>
      </c>
      <c r="W1369" s="27" t="n">
        <f aca="false">MATCH(A1369,DATAS,0)</f>
        <v>1</v>
      </c>
      <c r="X1369" s="27" t="n">
        <f aca="false">IF(AND(E1369&gt;0,OR(AND(B1369&gt;=1,B1369&lt;=6),B1369=10)),1,0)</f>
        <v>1</v>
      </c>
      <c r="Y1369" s="27" t="n">
        <f aca="false">IF(AND(E1369&gt;0,B1369=10),1,0)</f>
        <v>0</v>
      </c>
      <c r="Z1369" s="0" t="str">
        <f aca="false">IF(AND(C1368=C1369,W1368=W1369-1),X1368,"")</f>
        <v/>
      </c>
      <c r="AA1369" s="0" t="str">
        <f aca="false">IF(AND(C1368=C1369,W1368=W1369-1),Y1368,"")</f>
        <v/>
      </c>
      <c r="AB1369" s="0" t="str">
        <f aca="false">IF(W1369=1,"",IF(AND(X1369=1,Z1369&lt;&gt;1),1,0))</f>
        <v/>
      </c>
      <c r="AC1369" s="0" t="str">
        <f aca="false">IF(W1369=1,"",IF(AND(Y1369=1,AA1369&lt;&gt;1),1,0))</f>
        <v/>
      </c>
      <c r="AD1369" s="33" t="str">
        <f aca="false">IF(AND(E1369&gt;0,W1369&lt;1,NOT(AND(C1370=C1369,W1370=W1369+1))),INDEX(DATAS,W1369+1),"")</f>
        <v/>
      </c>
      <c r="AE1369" s="33" t="str">
        <f aca="false">IF(AND(Y1369=1,W1369&lt;1),IF(AND(C1370=C1369,W1370=W1369+1),IF(Y1370=1,"",INDEX(DATAS,W1369+1)),INDEX(DATAS,W1369+1)),"")</f>
        <v/>
      </c>
    </row>
    <row r="1370" customFormat="false" ht="15" hidden="false" customHeight="false" outlineLevel="0" collapsed="false">
      <c r="A1370" s="33" t="n">
        <v>46309</v>
      </c>
      <c r="B1370" s="0" t="n">
        <v>4</v>
      </c>
      <c r="C1370" s="0" t="n">
        <v>5472</v>
      </c>
      <c r="D1370" s="0" t="n">
        <v>245</v>
      </c>
      <c r="E1370" s="0" t="n">
        <v>1</v>
      </c>
      <c r="F1370" s="27" t="s">
        <v>903</v>
      </c>
      <c r="G1370" s="0" t="n">
        <v>44.4</v>
      </c>
      <c r="H1370" s="0" t="n">
        <v>45</v>
      </c>
      <c r="I1370" s="27" t="s">
        <v>138</v>
      </c>
      <c r="J1370" s="0" t="n">
        <v>105</v>
      </c>
      <c r="K1370" s="0" t="n">
        <v>70</v>
      </c>
      <c r="L1370" s="0" t="n">
        <v>140</v>
      </c>
      <c r="M1370" s="0" t="n">
        <v>642.17</v>
      </c>
      <c r="N1370" s="0" t="n">
        <v>61.22</v>
      </c>
      <c r="O1370" s="0" t="n">
        <v>29.48</v>
      </c>
      <c r="P1370" s="0" t="n">
        <v>3.27</v>
      </c>
      <c r="Q1370" s="0" t="n">
        <v>3.56</v>
      </c>
      <c r="R1370" s="0" t="n">
        <v>3743</v>
      </c>
      <c r="S1370" s="0" t="n">
        <v>8247</v>
      </c>
      <c r="T1370" s="0" t="n">
        <v>39.25</v>
      </c>
      <c r="U1370" s="0" t="n">
        <v>912</v>
      </c>
      <c r="V1370" s="0" t="n">
        <v>2</v>
      </c>
      <c r="W1370" s="27" t="n">
        <f aca="false">MATCH(A1370,DATAS,0)</f>
        <v>1</v>
      </c>
      <c r="X1370" s="27" t="n">
        <f aca="false">IF(AND(E1370&gt;0,OR(AND(B1370&gt;=1,B1370&lt;=6),B1370=10)),1,0)</f>
        <v>1</v>
      </c>
      <c r="Y1370" s="27" t="n">
        <f aca="false">IF(AND(E1370&gt;0,B1370=10),1,0)</f>
        <v>0</v>
      </c>
      <c r="Z1370" s="0" t="str">
        <f aca="false">IF(AND(C1369=C1370,W1369=W1370-1),X1369,"")</f>
        <v/>
      </c>
      <c r="AA1370" s="0" t="str">
        <f aca="false">IF(AND(C1369=C1370,W1369=W1370-1),Y1369,"")</f>
        <v/>
      </c>
      <c r="AB1370" s="0" t="str">
        <f aca="false">IF(W1370=1,"",IF(AND(X1370=1,Z1370&lt;&gt;1),1,0))</f>
        <v/>
      </c>
      <c r="AC1370" s="0" t="str">
        <f aca="false">IF(W1370=1,"",IF(AND(Y1370=1,AA1370&lt;&gt;1),1,0))</f>
        <v/>
      </c>
      <c r="AD1370" s="33" t="str">
        <f aca="false">IF(AND(E1370&gt;0,W1370&lt;1,NOT(AND(C1371=C1370,W1371=W1370+1))),INDEX(DATAS,W1370+1),"")</f>
        <v/>
      </c>
      <c r="AE1370" s="33" t="str">
        <f aca="false">IF(AND(Y1370=1,W1370&lt;1),IF(AND(C1371=C1370,W1371=W1370+1),IF(Y1371=1,"",INDEX(DATAS,W1370+1)),INDEX(DATAS,W1370+1)),"")</f>
        <v/>
      </c>
    </row>
    <row r="1371" customFormat="false" ht="15" hidden="false" customHeight="false" outlineLevel="0" collapsed="false">
      <c r="A1371" s="33" t="n">
        <v>46309</v>
      </c>
      <c r="B1371" s="0" t="n">
        <v>4</v>
      </c>
      <c r="C1371" s="0" t="n">
        <v>5473</v>
      </c>
      <c r="D1371" s="0" t="n">
        <v>196</v>
      </c>
      <c r="E1371" s="0" t="n">
        <v>1</v>
      </c>
      <c r="F1371" s="27" t="s">
        <v>904</v>
      </c>
      <c r="G1371" s="0" t="n">
        <v>53.7</v>
      </c>
      <c r="H1371" s="0" t="n">
        <v>55</v>
      </c>
      <c r="I1371" s="27" t="s">
        <v>138</v>
      </c>
      <c r="J1371" s="0" t="n">
        <v>63</v>
      </c>
      <c r="K1371" s="0" t="n">
        <v>63</v>
      </c>
      <c r="L1371" s="0" t="n">
        <v>133</v>
      </c>
      <c r="M1371" s="0" t="n">
        <v>160.29</v>
      </c>
      <c r="N1371" s="0" t="n">
        <v>61.83</v>
      </c>
      <c r="O1371" s="0" t="n">
        <v>26.91</v>
      </c>
      <c r="P1371" s="0" t="n">
        <v>3.38</v>
      </c>
      <c r="Q1371" s="0" t="n">
        <v>3.63</v>
      </c>
      <c r="R1371" s="0" t="n">
        <v>4580</v>
      </c>
      <c r="S1371" s="0" t="n">
        <v>10234</v>
      </c>
      <c r="T1371" s="0" t="n">
        <v>47.25</v>
      </c>
      <c r="U1371" s="0" t="n">
        <v>911</v>
      </c>
      <c r="V1371" s="0" t="n">
        <v>1</v>
      </c>
      <c r="W1371" s="27" t="n">
        <f aca="false">MATCH(A1371,DATAS,0)</f>
        <v>1</v>
      </c>
      <c r="X1371" s="27" t="n">
        <f aca="false">IF(AND(E1371&gt;0,OR(AND(B1371&gt;=1,B1371&lt;=6),B1371=10)),1,0)</f>
        <v>1</v>
      </c>
      <c r="Y1371" s="27" t="n">
        <f aca="false">IF(AND(E1371&gt;0,B1371=10),1,0)</f>
        <v>0</v>
      </c>
      <c r="Z1371" s="0" t="str">
        <f aca="false">IF(AND(C1370=C1371,W1370=W1371-1),X1370,"")</f>
        <v/>
      </c>
      <c r="AA1371" s="0" t="str">
        <f aca="false">IF(AND(C1370=C1371,W1370=W1371-1),Y1370,"")</f>
        <v/>
      </c>
      <c r="AB1371" s="0" t="str">
        <f aca="false">IF(W1371=1,"",IF(AND(X1371=1,Z1371&lt;&gt;1),1,0))</f>
        <v/>
      </c>
      <c r="AC1371" s="0" t="str">
        <f aca="false">IF(W1371=1,"",IF(AND(Y1371=1,AA1371&lt;&gt;1),1,0))</f>
        <v/>
      </c>
      <c r="AD1371" s="33" t="str">
        <f aca="false">IF(AND(E1371&gt;0,W1371&lt;1,NOT(AND(C1372=C1371,W1372=W1371+1))),INDEX(DATAS,W1371+1),"")</f>
        <v/>
      </c>
      <c r="AE1371" s="33" t="str">
        <f aca="false">IF(AND(Y1371=1,W1371&lt;1),IF(AND(C1372=C1371,W1372=W1371+1),IF(Y1372=1,"",INDEX(DATAS,W1371+1)),INDEX(DATAS,W1371+1)),"")</f>
        <v/>
      </c>
    </row>
    <row r="1372" customFormat="false" ht="15" hidden="false" customHeight="false" outlineLevel="0" collapsed="false">
      <c r="A1372" s="33" t="n">
        <v>46309</v>
      </c>
      <c r="B1372" s="0" t="n">
        <v>4</v>
      </c>
      <c r="C1372" s="0" t="n">
        <v>5474</v>
      </c>
      <c r="D1372" s="0" t="n">
        <v>242</v>
      </c>
      <c r="E1372" s="0" t="n">
        <v>1</v>
      </c>
      <c r="F1372" s="27" t="s">
        <v>905</v>
      </c>
      <c r="G1372" s="0" t="n">
        <v>42.2</v>
      </c>
      <c r="H1372" s="0" t="n">
        <v>44</v>
      </c>
      <c r="I1372" s="27" t="s">
        <v>138</v>
      </c>
      <c r="J1372" s="0" t="n">
        <v>158</v>
      </c>
      <c r="K1372" s="0" t="n">
        <v>91</v>
      </c>
      <c r="L1372" s="0" t="n">
        <v>84</v>
      </c>
      <c r="P1372" s="0" t="n">
        <v>3.88</v>
      </c>
      <c r="Q1372" s="0" t="n">
        <v>3.52</v>
      </c>
      <c r="R1372" s="0" t="n">
        <v>3285</v>
      </c>
      <c r="S1372" s="0" t="n">
        <v>7186</v>
      </c>
      <c r="T1372" s="0" t="n">
        <v>34.85</v>
      </c>
      <c r="U1372" s="0" t="n">
        <v>910</v>
      </c>
      <c r="V1372" s="0" t="n">
        <v>3</v>
      </c>
      <c r="W1372" s="27" t="n">
        <f aca="false">MATCH(A1372,DATAS,0)</f>
        <v>1</v>
      </c>
      <c r="X1372" s="27" t="n">
        <f aca="false">IF(AND(E1372&gt;0,OR(AND(B1372&gt;=1,B1372&lt;=6),B1372=10)),1,0)</f>
        <v>1</v>
      </c>
      <c r="Y1372" s="27" t="n">
        <f aca="false">IF(AND(E1372&gt;0,B1372=10),1,0)</f>
        <v>0</v>
      </c>
      <c r="Z1372" s="0" t="str">
        <f aca="false">IF(AND(C1371=C1372,W1371=W1372-1),X1371,"")</f>
        <v/>
      </c>
      <c r="AA1372" s="0" t="str">
        <f aca="false">IF(AND(C1371=C1372,W1371=W1372-1),Y1371,"")</f>
        <v/>
      </c>
      <c r="AB1372" s="0" t="str">
        <f aca="false">IF(W1372=1,"",IF(AND(X1372=1,Z1372&lt;&gt;1),1,0))</f>
        <v/>
      </c>
      <c r="AC1372" s="0" t="str">
        <f aca="false">IF(W1372=1,"",IF(AND(Y1372=1,AA1372&lt;&gt;1),1,0))</f>
        <v/>
      </c>
      <c r="AD1372" s="33" t="str">
        <f aca="false">IF(AND(E1372&gt;0,W1372&lt;1,NOT(AND(C1373=C1372,W1373=W1372+1))),INDEX(DATAS,W1372+1),"")</f>
        <v/>
      </c>
      <c r="AE1372" s="33" t="str">
        <f aca="false">IF(AND(Y1372=1,W1372&lt;1),IF(AND(C1373=C1372,W1373=W1372+1),IF(Y1373=1,"",INDEX(DATAS,W1372+1)),INDEX(DATAS,W1372+1)),"")</f>
        <v/>
      </c>
    </row>
    <row r="1373" customFormat="false" ht="15" hidden="false" customHeight="false" outlineLevel="0" collapsed="false">
      <c r="A1373" s="33" t="n">
        <v>46309</v>
      </c>
      <c r="B1373" s="0" t="n">
        <v>4</v>
      </c>
      <c r="C1373" s="0" t="n">
        <v>5475</v>
      </c>
      <c r="D1373" s="0" t="n">
        <v>223</v>
      </c>
      <c r="E1373" s="0" t="n">
        <v>1</v>
      </c>
      <c r="F1373" s="27" t="s">
        <v>905</v>
      </c>
      <c r="G1373" s="0" t="n">
        <v>42.2</v>
      </c>
      <c r="H1373" s="0" t="n">
        <v>43</v>
      </c>
      <c r="I1373" s="27" t="s">
        <v>138</v>
      </c>
      <c r="J1373" s="0" t="n">
        <v>69</v>
      </c>
      <c r="K1373" s="0" t="n">
        <v>69</v>
      </c>
      <c r="L1373" s="0" t="n">
        <v>154</v>
      </c>
      <c r="M1373" s="0" t="n">
        <v>-150.32</v>
      </c>
      <c r="N1373" s="0" t="n">
        <v>55.77</v>
      </c>
      <c r="O1373" s="0" t="n">
        <v>12.35</v>
      </c>
      <c r="P1373" s="0" t="n">
        <v>4.65</v>
      </c>
      <c r="Q1373" s="0" t="n">
        <v>3.75</v>
      </c>
      <c r="R1373" s="0" t="n">
        <v>3739</v>
      </c>
      <c r="S1373" s="0" t="n">
        <v>8259</v>
      </c>
      <c r="T1373" s="0" t="n">
        <v>38.5</v>
      </c>
      <c r="U1373" s="0" t="n">
        <v>910</v>
      </c>
      <c r="V1373" s="0" t="n">
        <v>1</v>
      </c>
      <c r="W1373" s="27" t="n">
        <f aca="false">MATCH(A1373,DATAS,0)</f>
        <v>1</v>
      </c>
      <c r="X1373" s="27" t="n">
        <f aca="false">IF(AND(E1373&gt;0,OR(AND(B1373&gt;=1,B1373&lt;=6),B1373=10)),1,0)</f>
        <v>1</v>
      </c>
      <c r="Y1373" s="27" t="n">
        <f aca="false">IF(AND(E1373&gt;0,B1373=10),1,0)</f>
        <v>0</v>
      </c>
      <c r="Z1373" s="0" t="str">
        <f aca="false">IF(AND(C1372=C1373,W1372=W1373-1),X1372,"")</f>
        <v/>
      </c>
      <c r="AA1373" s="0" t="str">
        <f aca="false">IF(AND(C1372=C1373,W1372=W1373-1),Y1372,"")</f>
        <v/>
      </c>
      <c r="AB1373" s="0" t="str">
        <f aca="false">IF(W1373=1,"",IF(AND(X1373=1,Z1373&lt;&gt;1),1,0))</f>
        <v/>
      </c>
      <c r="AC1373" s="0" t="str">
        <f aca="false">IF(W1373=1,"",IF(AND(Y1373=1,AA1373&lt;&gt;1),1,0))</f>
        <v/>
      </c>
      <c r="AD1373" s="33" t="str">
        <f aca="false">IF(AND(E1373&gt;0,W1373&lt;1,NOT(AND(C1374=C1373,W1374=W1373+1))),INDEX(DATAS,W1373+1),"")</f>
        <v/>
      </c>
      <c r="AE1373" s="33" t="str">
        <f aca="false">IF(AND(Y1373=1,W1373&lt;1),IF(AND(C1374=C1373,W1374=W1373+1),IF(Y1374=1,"",INDEX(DATAS,W1373+1)),INDEX(DATAS,W1373+1)),"")</f>
        <v/>
      </c>
    </row>
    <row r="1374" customFormat="false" ht="15" hidden="false" customHeight="false" outlineLevel="0" collapsed="false">
      <c r="A1374" s="33" t="n">
        <v>46309</v>
      </c>
      <c r="B1374" s="0" t="n">
        <v>4</v>
      </c>
      <c r="C1374" s="0" t="n">
        <v>5477</v>
      </c>
      <c r="D1374" s="0" t="n">
        <v>195</v>
      </c>
      <c r="E1374" s="0" t="n">
        <v>1</v>
      </c>
      <c r="F1374" s="27" t="s">
        <v>906</v>
      </c>
      <c r="G1374" s="0" t="n">
        <v>54.7</v>
      </c>
      <c r="H1374" s="0" t="n">
        <v>53</v>
      </c>
      <c r="I1374" s="27" t="s">
        <v>138</v>
      </c>
      <c r="J1374" s="0" t="n">
        <v>62</v>
      </c>
      <c r="K1374" s="0" t="n">
        <v>62</v>
      </c>
      <c r="L1374" s="0" t="n">
        <v>133</v>
      </c>
      <c r="M1374" s="0" t="n">
        <v>767.37</v>
      </c>
      <c r="N1374" s="0" t="n">
        <v>79.76</v>
      </c>
      <c r="O1374" s="0" t="n">
        <v>37.41</v>
      </c>
      <c r="P1374" s="0" t="n">
        <v>4.15</v>
      </c>
      <c r="Q1374" s="0" t="n">
        <v>3.44</v>
      </c>
      <c r="R1374" s="0" t="n">
        <v>4644</v>
      </c>
      <c r="S1374" s="0" t="n">
        <v>9848</v>
      </c>
      <c r="T1374" s="0" t="n">
        <v>50.45</v>
      </c>
      <c r="U1374" s="0" t="n">
        <v>909</v>
      </c>
      <c r="V1374" s="0" t="n">
        <v>1</v>
      </c>
      <c r="W1374" s="27" t="n">
        <f aca="false">MATCH(A1374,DATAS,0)</f>
        <v>1</v>
      </c>
      <c r="X1374" s="27" t="n">
        <f aca="false">IF(AND(E1374&gt;0,OR(AND(B1374&gt;=1,B1374&lt;=6),B1374=10)),1,0)</f>
        <v>1</v>
      </c>
      <c r="Y1374" s="27" t="n">
        <f aca="false">IF(AND(E1374&gt;0,B1374=10),1,0)</f>
        <v>0</v>
      </c>
      <c r="Z1374" s="0" t="str">
        <f aca="false">IF(AND(C1373=C1374,W1373=W1374-1),X1373,"")</f>
        <v/>
      </c>
      <c r="AA1374" s="0" t="str">
        <f aca="false">IF(AND(C1373=C1374,W1373=W1374-1),Y1373,"")</f>
        <v/>
      </c>
      <c r="AB1374" s="0" t="str">
        <f aca="false">IF(W1374=1,"",IF(AND(X1374=1,Z1374&lt;&gt;1),1,0))</f>
        <v/>
      </c>
      <c r="AC1374" s="0" t="str">
        <f aca="false">IF(W1374=1,"",IF(AND(Y1374=1,AA1374&lt;&gt;1),1,0))</f>
        <v/>
      </c>
      <c r="AD1374" s="33" t="str">
        <f aca="false">IF(AND(E1374&gt;0,W1374&lt;1,NOT(AND(C1375=C1374,W1375=W1374+1))),INDEX(DATAS,W1374+1),"")</f>
        <v/>
      </c>
      <c r="AE1374" s="33" t="str">
        <f aca="false">IF(AND(Y1374=1,W1374&lt;1),IF(AND(C1375=C1374,W1375=W1374+1),IF(Y1375=1,"",INDEX(DATAS,W1374+1)),INDEX(DATAS,W1374+1)),"")</f>
        <v/>
      </c>
    </row>
    <row r="1375" customFormat="false" ht="15" hidden="false" customHeight="false" outlineLevel="0" collapsed="false">
      <c r="A1375" s="33" t="n">
        <v>46309</v>
      </c>
      <c r="B1375" s="0" t="n">
        <v>4</v>
      </c>
      <c r="C1375" s="0" t="n">
        <v>5478</v>
      </c>
      <c r="D1375" s="0" t="n">
        <v>200</v>
      </c>
      <c r="E1375" s="0" t="n">
        <v>1</v>
      </c>
      <c r="F1375" s="27" t="s">
        <v>907</v>
      </c>
      <c r="G1375" s="0" t="n">
        <v>48.8</v>
      </c>
      <c r="H1375" s="0" t="n">
        <v>47</v>
      </c>
      <c r="I1375" s="27" t="s">
        <v>168</v>
      </c>
      <c r="J1375" s="0" t="n">
        <v>200</v>
      </c>
      <c r="K1375" s="0" t="n">
        <v>67</v>
      </c>
      <c r="M1375" s="0" t="n">
        <v>650.78</v>
      </c>
      <c r="N1375" s="0" t="n">
        <v>56.36</v>
      </c>
      <c r="O1375" s="0" t="n">
        <v>36.05</v>
      </c>
      <c r="P1375" s="0" t="n">
        <v>4</v>
      </c>
      <c r="Q1375" s="0" t="n">
        <v>3.77</v>
      </c>
      <c r="R1375" s="0" t="n">
        <v>4797</v>
      </c>
      <c r="S1375" s="0" t="n">
        <v>10109</v>
      </c>
      <c r="T1375" s="0" t="n">
        <v>54.9</v>
      </c>
      <c r="U1375" s="0" t="n">
        <v>908</v>
      </c>
      <c r="V1375" s="0" t="n">
        <v>5</v>
      </c>
      <c r="W1375" s="27" t="n">
        <f aca="false">MATCH(A1375,DATAS,0)</f>
        <v>1</v>
      </c>
      <c r="X1375" s="27" t="n">
        <f aca="false">IF(AND(E1375&gt;0,OR(AND(B1375&gt;=1,B1375&lt;=6),B1375=10)),1,0)</f>
        <v>1</v>
      </c>
      <c r="Y1375" s="27" t="n">
        <f aca="false">IF(AND(E1375&gt;0,B1375=10),1,0)</f>
        <v>0</v>
      </c>
      <c r="Z1375" s="0" t="str">
        <f aca="false">IF(AND(C1374=C1375,W1374=W1375-1),X1374,"")</f>
        <v/>
      </c>
      <c r="AA1375" s="0" t="str">
        <f aca="false">IF(AND(C1374=C1375,W1374=W1375-1),Y1374,"")</f>
        <v/>
      </c>
      <c r="AB1375" s="0" t="str">
        <f aca="false">IF(W1375=1,"",IF(AND(X1375=1,Z1375&lt;&gt;1),1,0))</f>
        <v/>
      </c>
      <c r="AC1375" s="0" t="str">
        <f aca="false">IF(W1375=1,"",IF(AND(Y1375=1,AA1375&lt;&gt;1),1,0))</f>
        <v/>
      </c>
      <c r="AD1375" s="33" t="str">
        <f aca="false">IF(AND(E1375&gt;0,W1375&lt;1,NOT(AND(C1376=C1375,W1376=W1375+1))),INDEX(DATAS,W1375+1),"")</f>
        <v/>
      </c>
      <c r="AE1375" s="33" t="str">
        <f aca="false">IF(AND(Y1375=1,W1375&lt;1),IF(AND(C1376=C1375,W1376=W1375+1),IF(Y1376=1,"",INDEX(DATAS,W1375+1)),INDEX(DATAS,W1375+1)),"")</f>
        <v/>
      </c>
    </row>
    <row r="1376" customFormat="false" ht="15" hidden="false" customHeight="false" outlineLevel="0" collapsed="false">
      <c r="A1376" s="33" t="n">
        <v>46309</v>
      </c>
      <c r="B1376" s="0" t="n">
        <v>4</v>
      </c>
      <c r="C1376" s="0" t="n">
        <v>5479</v>
      </c>
      <c r="D1376" s="0" t="n">
        <v>268</v>
      </c>
      <c r="E1376" s="0" t="n">
        <v>1</v>
      </c>
      <c r="F1376" s="27" t="s">
        <v>907</v>
      </c>
      <c r="G1376" s="0" t="n">
        <v>51.6</v>
      </c>
      <c r="H1376" s="0" t="n">
        <v>52</v>
      </c>
      <c r="I1376" s="27" t="s">
        <v>138</v>
      </c>
      <c r="J1376" s="0" t="n">
        <v>100</v>
      </c>
      <c r="K1376" s="0" t="n">
        <v>65</v>
      </c>
      <c r="L1376" s="0" t="n">
        <v>168</v>
      </c>
      <c r="M1376" s="0" t="n">
        <v>839.24</v>
      </c>
      <c r="N1376" s="0" t="n">
        <v>64.52</v>
      </c>
      <c r="O1376" s="0" t="n">
        <v>29.13</v>
      </c>
      <c r="P1376" s="0" t="n">
        <v>3.02</v>
      </c>
      <c r="Q1376" s="0" t="n">
        <v>3.24</v>
      </c>
      <c r="R1376" s="0" t="n">
        <v>4157</v>
      </c>
      <c r="S1376" s="0" t="n">
        <v>9562</v>
      </c>
      <c r="T1376" s="0" t="n">
        <v>43.3</v>
      </c>
      <c r="U1376" s="0" t="n">
        <v>908</v>
      </c>
      <c r="V1376" s="0" t="n">
        <v>2</v>
      </c>
      <c r="W1376" s="27" t="n">
        <f aca="false">MATCH(A1376,DATAS,0)</f>
        <v>1</v>
      </c>
      <c r="X1376" s="27" t="n">
        <f aca="false">IF(AND(E1376&gt;0,OR(AND(B1376&gt;=1,B1376&lt;=6),B1376=10)),1,0)</f>
        <v>1</v>
      </c>
      <c r="Y1376" s="27" t="n">
        <f aca="false">IF(AND(E1376&gt;0,B1376=10),1,0)</f>
        <v>0</v>
      </c>
      <c r="Z1376" s="0" t="str">
        <f aca="false">IF(AND(C1375=C1376,W1375=W1376-1),X1375,"")</f>
        <v/>
      </c>
      <c r="AA1376" s="0" t="str">
        <f aca="false">IF(AND(C1375=C1376,W1375=W1376-1),Y1375,"")</f>
        <v/>
      </c>
      <c r="AB1376" s="0" t="str">
        <f aca="false">IF(W1376=1,"",IF(AND(X1376=1,Z1376&lt;&gt;1),1,0))</f>
        <v/>
      </c>
      <c r="AC1376" s="0" t="str">
        <f aca="false">IF(W1376=1,"",IF(AND(Y1376=1,AA1376&lt;&gt;1),1,0))</f>
        <v/>
      </c>
      <c r="AD1376" s="33" t="str">
        <f aca="false">IF(AND(E1376&gt;0,W1376&lt;1,NOT(AND(C1377=C1376,W1377=W1376+1))),INDEX(DATAS,W1376+1),"")</f>
        <v/>
      </c>
      <c r="AE1376" s="33" t="str">
        <f aca="false">IF(AND(Y1376=1,W1376&lt;1),IF(AND(C1377=C1376,W1377=W1376+1),IF(Y1377=1,"",INDEX(DATAS,W1376+1)),INDEX(DATAS,W1376+1)),"")</f>
        <v/>
      </c>
    </row>
    <row r="1377" customFormat="false" ht="15" hidden="false" customHeight="false" outlineLevel="0" collapsed="false">
      <c r="A1377" s="33" t="n">
        <v>46309</v>
      </c>
      <c r="B1377" s="0" t="n">
        <v>4</v>
      </c>
      <c r="C1377" s="0" t="n">
        <v>5481</v>
      </c>
      <c r="D1377" s="0" t="n">
        <v>198</v>
      </c>
      <c r="E1377" s="0" t="n">
        <v>1</v>
      </c>
      <c r="F1377" s="27" t="s">
        <v>907</v>
      </c>
      <c r="G1377" s="0" t="n">
        <v>50.6</v>
      </c>
      <c r="H1377" s="0" t="n">
        <v>52</v>
      </c>
      <c r="I1377" s="27" t="s">
        <v>138</v>
      </c>
      <c r="J1377" s="0" t="n">
        <v>88</v>
      </c>
      <c r="K1377" s="0" t="n">
        <v>65</v>
      </c>
      <c r="L1377" s="0" t="n">
        <v>110</v>
      </c>
      <c r="M1377" s="0" t="n">
        <v>978.61</v>
      </c>
      <c r="N1377" s="0" t="n">
        <v>59.01</v>
      </c>
      <c r="O1377" s="0" t="n">
        <v>40.49</v>
      </c>
      <c r="P1377" s="0" t="n">
        <v>3.19</v>
      </c>
      <c r="Q1377" s="0" t="n">
        <v>3.46</v>
      </c>
      <c r="R1377" s="0" t="n">
        <v>4405</v>
      </c>
      <c r="S1377" s="0" t="n">
        <v>9841</v>
      </c>
      <c r="T1377" s="0" t="n">
        <v>49.5</v>
      </c>
      <c r="U1377" s="0" t="n">
        <v>908</v>
      </c>
      <c r="V1377" s="0" t="n">
        <v>2</v>
      </c>
      <c r="W1377" s="27" t="n">
        <f aca="false">MATCH(A1377,DATAS,0)</f>
        <v>1</v>
      </c>
      <c r="X1377" s="27" t="n">
        <f aca="false">IF(AND(E1377&gt;0,OR(AND(B1377&gt;=1,B1377&lt;=6),B1377=10)),1,0)</f>
        <v>1</v>
      </c>
      <c r="Y1377" s="27" t="n">
        <f aca="false">IF(AND(E1377&gt;0,B1377=10),1,0)</f>
        <v>0</v>
      </c>
      <c r="Z1377" s="0" t="str">
        <f aca="false">IF(AND(C1376=C1377,W1376=W1377-1),X1376,"")</f>
        <v/>
      </c>
      <c r="AA1377" s="0" t="str">
        <f aca="false">IF(AND(C1376=C1377,W1376=W1377-1),Y1376,"")</f>
        <v/>
      </c>
      <c r="AB1377" s="0" t="str">
        <f aca="false">IF(W1377=1,"",IF(AND(X1377=1,Z1377&lt;&gt;1),1,0))</f>
        <v/>
      </c>
      <c r="AC1377" s="0" t="str">
        <f aca="false">IF(W1377=1,"",IF(AND(Y1377=1,AA1377&lt;&gt;1),1,0))</f>
        <v/>
      </c>
      <c r="AD1377" s="33" t="str">
        <f aca="false">IF(AND(E1377&gt;0,W1377&lt;1,NOT(AND(C1378=C1377,W1378=W1377+1))),INDEX(DATAS,W1377+1),"")</f>
        <v/>
      </c>
      <c r="AE1377" s="33" t="str">
        <f aca="false">IF(AND(Y1377=1,W1377&lt;1),IF(AND(C1378=C1377,W1378=W1377+1),IF(Y1378=1,"",INDEX(DATAS,W1377+1)),INDEX(DATAS,W1377+1)),"")</f>
        <v/>
      </c>
    </row>
    <row r="1378" customFormat="false" ht="15" hidden="false" customHeight="false" outlineLevel="0" collapsed="false">
      <c r="A1378" s="33" t="n">
        <v>46309</v>
      </c>
      <c r="B1378" s="0" t="n">
        <v>4</v>
      </c>
      <c r="C1378" s="0" t="n">
        <v>5483</v>
      </c>
      <c r="D1378" s="0" t="n">
        <v>256</v>
      </c>
      <c r="E1378" s="0" t="n">
        <v>1</v>
      </c>
      <c r="F1378" s="27" t="s">
        <v>908</v>
      </c>
      <c r="G1378" s="0" t="n">
        <v>38.5</v>
      </c>
      <c r="H1378" s="0" t="n">
        <v>41</v>
      </c>
      <c r="I1378" s="27" t="s">
        <v>138</v>
      </c>
      <c r="J1378" s="0" t="n">
        <v>67</v>
      </c>
      <c r="K1378" s="0" t="n">
        <v>67</v>
      </c>
      <c r="L1378" s="0" t="n">
        <v>189</v>
      </c>
      <c r="M1378" s="0" t="n">
        <v>785.47</v>
      </c>
      <c r="N1378" s="0" t="n">
        <v>47.82</v>
      </c>
      <c r="O1378" s="0" t="n">
        <v>18.22</v>
      </c>
      <c r="P1378" s="0" t="n">
        <v>4.08</v>
      </c>
      <c r="Q1378" s="0" t="n">
        <v>3.3</v>
      </c>
      <c r="R1378" s="0" t="n">
        <v>3855</v>
      </c>
      <c r="S1378" s="0" t="n">
        <v>8798</v>
      </c>
      <c r="T1378" s="0" t="n">
        <v>55.65</v>
      </c>
      <c r="U1378" s="0" t="n">
        <v>905</v>
      </c>
      <c r="V1378" s="0" t="n">
        <v>1</v>
      </c>
      <c r="W1378" s="27" t="n">
        <f aca="false">MATCH(A1378,DATAS,0)</f>
        <v>1</v>
      </c>
      <c r="X1378" s="27" t="n">
        <f aca="false">IF(AND(E1378&gt;0,OR(AND(B1378&gt;=1,B1378&lt;=6),B1378=10)),1,0)</f>
        <v>1</v>
      </c>
      <c r="Y1378" s="27" t="n">
        <f aca="false">IF(AND(E1378&gt;0,B1378=10),1,0)</f>
        <v>0</v>
      </c>
      <c r="Z1378" s="0" t="str">
        <f aca="false">IF(AND(C1377=C1378,W1377=W1378-1),X1377,"")</f>
        <v/>
      </c>
      <c r="AA1378" s="0" t="str">
        <f aca="false">IF(AND(C1377=C1378,W1377=W1378-1),Y1377,"")</f>
        <v/>
      </c>
      <c r="AB1378" s="0" t="str">
        <f aca="false">IF(W1378=1,"",IF(AND(X1378=1,Z1378&lt;&gt;1),1,0))</f>
        <v/>
      </c>
      <c r="AC1378" s="0" t="str">
        <f aca="false">IF(W1378=1,"",IF(AND(Y1378=1,AA1378&lt;&gt;1),1,0))</f>
        <v/>
      </c>
      <c r="AD1378" s="33" t="str">
        <f aca="false">IF(AND(E1378&gt;0,W1378&lt;1,NOT(AND(C1379=C1378,W1379=W1378+1))),INDEX(DATAS,W1378+1),"")</f>
        <v/>
      </c>
      <c r="AE1378" s="33" t="str">
        <f aca="false">IF(AND(Y1378=1,W1378&lt;1),IF(AND(C1379=C1378,W1379=W1378+1),IF(Y1379=1,"",INDEX(DATAS,W1378+1)),INDEX(DATAS,W1378+1)),"")</f>
        <v/>
      </c>
    </row>
    <row r="1379" customFormat="false" ht="15" hidden="false" customHeight="false" outlineLevel="0" collapsed="false">
      <c r="A1379" s="33" t="n">
        <v>46309</v>
      </c>
      <c r="B1379" s="0" t="n">
        <v>4</v>
      </c>
      <c r="C1379" s="0" t="n">
        <v>5485</v>
      </c>
      <c r="D1379" s="0" t="n">
        <v>258</v>
      </c>
      <c r="E1379" s="0" t="n">
        <v>1</v>
      </c>
      <c r="F1379" s="27" t="s">
        <v>908</v>
      </c>
      <c r="G1379" s="0" t="n">
        <v>43.7</v>
      </c>
      <c r="H1379" s="0" t="n">
        <v>43</v>
      </c>
      <c r="I1379" s="27" t="s">
        <v>168</v>
      </c>
      <c r="J1379" s="0" t="n">
        <v>258</v>
      </c>
      <c r="K1379" s="0" t="n">
        <v>77</v>
      </c>
      <c r="M1379" s="0" t="n">
        <v>801.15</v>
      </c>
      <c r="N1379" s="0" t="n">
        <v>48.64</v>
      </c>
      <c r="O1379" s="0" t="n">
        <v>46.47</v>
      </c>
      <c r="P1379" s="0" t="n">
        <v>3.99</v>
      </c>
      <c r="Q1379" s="0" t="n">
        <v>3.99</v>
      </c>
      <c r="R1379" s="0" t="n">
        <v>3182</v>
      </c>
      <c r="S1379" s="0" t="n">
        <v>7642</v>
      </c>
      <c r="T1379" s="0" t="n">
        <v>48.5</v>
      </c>
      <c r="U1379" s="0" t="n">
        <v>905</v>
      </c>
      <c r="V1379" s="0" t="n">
        <v>5</v>
      </c>
      <c r="W1379" s="27" t="n">
        <f aca="false">MATCH(A1379,DATAS,0)</f>
        <v>1</v>
      </c>
      <c r="X1379" s="27" t="n">
        <f aca="false">IF(AND(E1379&gt;0,OR(AND(B1379&gt;=1,B1379&lt;=6),B1379=10)),1,0)</f>
        <v>1</v>
      </c>
      <c r="Y1379" s="27" t="n">
        <f aca="false">IF(AND(E1379&gt;0,B1379=10),1,0)</f>
        <v>0</v>
      </c>
      <c r="Z1379" s="0" t="str">
        <f aca="false">IF(AND(C1378=C1379,W1378=W1379-1),X1378,"")</f>
        <v/>
      </c>
      <c r="AA1379" s="0" t="str">
        <f aca="false">IF(AND(C1378=C1379,W1378=W1379-1),Y1378,"")</f>
        <v/>
      </c>
      <c r="AB1379" s="0" t="str">
        <f aca="false">IF(W1379=1,"",IF(AND(X1379=1,Z1379&lt;&gt;1),1,0))</f>
        <v/>
      </c>
      <c r="AC1379" s="0" t="str">
        <f aca="false">IF(W1379=1,"",IF(AND(Y1379=1,AA1379&lt;&gt;1),1,0))</f>
        <v/>
      </c>
      <c r="AD1379" s="33" t="str">
        <f aca="false">IF(AND(E1379&gt;0,W1379&lt;1,NOT(AND(C1380=C1379,W1380=W1379+1))),INDEX(DATAS,W1379+1),"")</f>
        <v/>
      </c>
      <c r="AE1379" s="33" t="str">
        <f aca="false">IF(AND(Y1379=1,W1379&lt;1),IF(AND(C1380=C1379,W1380=W1379+1),IF(Y1380=1,"",INDEX(DATAS,W1379+1)),INDEX(DATAS,W1379+1)),"")</f>
        <v/>
      </c>
    </row>
    <row r="1380" customFormat="false" ht="15" hidden="false" customHeight="false" outlineLevel="0" collapsed="false">
      <c r="A1380" s="33" t="n">
        <v>46309</v>
      </c>
      <c r="B1380" s="0" t="n">
        <v>4</v>
      </c>
      <c r="C1380" s="0" t="n">
        <v>5487</v>
      </c>
      <c r="D1380" s="0" t="n">
        <v>159</v>
      </c>
      <c r="E1380" s="0" t="n">
        <v>1</v>
      </c>
      <c r="F1380" s="27" t="s">
        <v>908</v>
      </c>
      <c r="G1380" s="0" t="n">
        <v>44.9</v>
      </c>
      <c r="H1380" s="0" t="n">
        <v>46</v>
      </c>
      <c r="I1380" s="27" t="s">
        <v>138</v>
      </c>
      <c r="J1380" s="0" t="n">
        <v>103</v>
      </c>
      <c r="K1380" s="0" t="n">
        <v>68</v>
      </c>
      <c r="L1380" s="0" t="n">
        <v>56</v>
      </c>
      <c r="M1380" s="0" t="n">
        <v>-628.94</v>
      </c>
      <c r="N1380" s="0" t="n">
        <v>55</v>
      </c>
      <c r="O1380" s="0" t="n">
        <v>14.84</v>
      </c>
      <c r="P1380" s="0" t="n">
        <v>4.06</v>
      </c>
      <c r="Q1380" s="0" t="n">
        <v>3.75</v>
      </c>
      <c r="R1380" s="0" t="n">
        <v>4045</v>
      </c>
      <c r="S1380" s="0" t="n">
        <v>8508</v>
      </c>
      <c r="T1380" s="0" t="n">
        <v>45.55</v>
      </c>
      <c r="U1380" s="0" t="n">
        <v>905</v>
      </c>
      <c r="V1380" s="0" t="n">
        <v>2</v>
      </c>
      <c r="W1380" s="27" t="n">
        <f aca="false">MATCH(A1380,DATAS,0)</f>
        <v>1</v>
      </c>
      <c r="X1380" s="27" t="n">
        <f aca="false">IF(AND(E1380&gt;0,OR(AND(B1380&gt;=1,B1380&lt;=6),B1380=10)),1,0)</f>
        <v>1</v>
      </c>
      <c r="Y1380" s="27" t="n">
        <f aca="false">IF(AND(E1380&gt;0,B1380=10),1,0)</f>
        <v>0</v>
      </c>
      <c r="Z1380" s="0" t="str">
        <f aca="false">IF(AND(C1379=C1380,W1379=W1380-1),X1379,"")</f>
        <v/>
      </c>
      <c r="AA1380" s="0" t="str">
        <f aca="false">IF(AND(C1379=C1380,W1379=W1380-1),Y1379,"")</f>
        <v/>
      </c>
      <c r="AB1380" s="0" t="str">
        <f aca="false">IF(W1380=1,"",IF(AND(X1380=1,Z1380&lt;&gt;1),1,0))</f>
        <v/>
      </c>
      <c r="AC1380" s="0" t="str">
        <f aca="false">IF(W1380=1,"",IF(AND(Y1380=1,AA1380&lt;&gt;1),1,0))</f>
        <v/>
      </c>
      <c r="AD1380" s="33" t="str">
        <f aca="false">IF(AND(E1380&gt;0,W1380&lt;1,NOT(AND(C1381=C1380,W1381=W1380+1))),INDEX(DATAS,W1380+1),"")</f>
        <v/>
      </c>
      <c r="AE1380" s="33" t="str">
        <f aca="false">IF(AND(Y1380=1,W1380&lt;1),IF(AND(C1381=C1380,W1381=W1380+1),IF(Y1381=1,"",INDEX(DATAS,W1380+1)),INDEX(DATAS,W1380+1)),"")</f>
        <v/>
      </c>
    </row>
    <row r="1381" customFormat="false" ht="15" hidden="false" customHeight="false" outlineLevel="0" collapsed="false">
      <c r="A1381" s="33" t="n">
        <v>46309</v>
      </c>
      <c r="B1381" s="0" t="n">
        <v>4</v>
      </c>
      <c r="C1381" s="0" t="n">
        <v>5489</v>
      </c>
      <c r="D1381" s="0" t="n">
        <v>254</v>
      </c>
      <c r="E1381" s="0" t="n">
        <v>1</v>
      </c>
      <c r="F1381" s="27" t="s">
        <v>909</v>
      </c>
      <c r="G1381" s="0" t="n">
        <v>40.4</v>
      </c>
      <c r="H1381" s="0" t="n">
        <v>40</v>
      </c>
      <c r="I1381" s="27" t="s">
        <v>138</v>
      </c>
      <c r="J1381" s="0" t="n">
        <v>85</v>
      </c>
      <c r="K1381" s="0" t="n">
        <v>73</v>
      </c>
      <c r="L1381" s="0" t="n">
        <v>169</v>
      </c>
      <c r="M1381" s="0" t="n">
        <v>931.01</v>
      </c>
      <c r="N1381" s="0" t="n">
        <v>19.85</v>
      </c>
      <c r="O1381" s="0" t="n">
        <v>27.6</v>
      </c>
      <c r="P1381" s="0" t="n">
        <v>2.95</v>
      </c>
      <c r="Q1381" s="0" t="n">
        <v>3.2</v>
      </c>
      <c r="R1381" s="0" t="n">
        <v>3819</v>
      </c>
      <c r="S1381" s="0" t="n">
        <v>8859</v>
      </c>
      <c r="T1381" s="0" t="n">
        <v>40.35</v>
      </c>
      <c r="U1381" s="0" t="n">
        <v>904</v>
      </c>
      <c r="V1381" s="0" t="n">
        <v>2</v>
      </c>
      <c r="W1381" s="27" t="n">
        <f aca="false">MATCH(A1381,DATAS,0)</f>
        <v>1</v>
      </c>
      <c r="X1381" s="27" t="n">
        <f aca="false">IF(AND(E1381&gt;0,OR(AND(B1381&gt;=1,B1381&lt;=6),B1381=10)),1,0)</f>
        <v>1</v>
      </c>
      <c r="Y1381" s="27" t="n">
        <f aca="false">IF(AND(E1381&gt;0,B1381=10),1,0)</f>
        <v>0</v>
      </c>
      <c r="Z1381" s="0" t="str">
        <f aca="false">IF(AND(C1380=C1381,W1380=W1381-1),X1380,"")</f>
        <v/>
      </c>
      <c r="AA1381" s="0" t="str">
        <f aca="false">IF(AND(C1380=C1381,W1380=W1381-1),Y1380,"")</f>
        <v/>
      </c>
      <c r="AB1381" s="0" t="str">
        <f aca="false">IF(W1381=1,"",IF(AND(X1381=1,Z1381&lt;&gt;1),1,0))</f>
        <v/>
      </c>
      <c r="AC1381" s="0" t="str">
        <f aca="false">IF(W1381=1,"",IF(AND(Y1381=1,AA1381&lt;&gt;1),1,0))</f>
        <v/>
      </c>
      <c r="AD1381" s="33" t="str">
        <f aca="false">IF(AND(E1381&gt;0,W1381&lt;1,NOT(AND(C1382=C1381,W1382=W1381+1))),INDEX(DATAS,W1381+1),"")</f>
        <v/>
      </c>
      <c r="AE1381" s="33" t="str">
        <f aca="false">IF(AND(Y1381=1,W1381&lt;1),IF(AND(C1382=C1381,W1382=W1381+1),IF(Y1382=1,"",INDEX(DATAS,W1381+1)),INDEX(DATAS,W1381+1)),"")</f>
        <v/>
      </c>
    </row>
    <row r="1382" customFormat="false" ht="15" hidden="false" customHeight="false" outlineLevel="0" collapsed="false">
      <c r="A1382" s="33" t="n">
        <v>46309</v>
      </c>
      <c r="B1382" s="0" t="n">
        <v>4</v>
      </c>
      <c r="C1382" s="0" t="n">
        <v>5490</v>
      </c>
      <c r="D1382" s="0" t="n">
        <v>254</v>
      </c>
      <c r="E1382" s="0" t="n">
        <v>1</v>
      </c>
      <c r="F1382" s="27" t="s">
        <v>910</v>
      </c>
      <c r="G1382" s="0" t="n">
        <v>45.9</v>
      </c>
      <c r="H1382" s="0" t="n">
        <v>43</v>
      </c>
      <c r="I1382" s="27" t="s">
        <v>138</v>
      </c>
      <c r="J1382" s="0" t="n">
        <v>65</v>
      </c>
      <c r="K1382" s="0" t="n">
        <v>65</v>
      </c>
      <c r="L1382" s="0" t="n">
        <v>189</v>
      </c>
      <c r="M1382" s="0" t="n">
        <v>27.49</v>
      </c>
      <c r="N1382" s="0" t="n">
        <v>75.4</v>
      </c>
      <c r="O1382" s="0" t="n">
        <v>17.79</v>
      </c>
      <c r="P1382" s="0" t="n">
        <v>4.12</v>
      </c>
      <c r="Q1382" s="0" t="n">
        <v>3.46</v>
      </c>
      <c r="R1382" s="0" t="n">
        <v>3738</v>
      </c>
      <c r="S1382" s="0" t="n">
        <v>8620</v>
      </c>
      <c r="T1382" s="0" t="n">
        <v>39.15</v>
      </c>
      <c r="U1382" s="0" t="n">
        <v>903</v>
      </c>
      <c r="V1382" s="0" t="n">
        <v>1</v>
      </c>
      <c r="W1382" s="27" t="n">
        <f aca="false">MATCH(A1382,DATAS,0)</f>
        <v>1</v>
      </c>
      <c r="X1382" s="27" t="n">
        <f aca="false">IF(AND(E1382&gt;0,OR(AND(B1382&gt;=1,B1382&lt;=6),B1382=10)),1,0)</f>
        <v>1</v>
      </c>
      <c r="Y1382" s="27" t="n">
        <f aca="false">IF(AND(E1382&gt;0,B1382=10),1,0)</f>
        <v>0</v>
      </c>
      <c r="Z1382" s="0" t="str">
        <f aca="false">IF(AND(C1381=C1382,W1381=W1382-1),X1381,"")</f>
        <v/>
      </c>
      <c r="AA1382" s="0" t="str">
        <f aca="false">IF(AND(C1381=C1382,W1381=W1382-1),Y1381,"")</f>
        <v/>
      </c>
      <c r="AB1382" s="0" t="str">
        <f aca="false">IF(W1382=1,"",IF(AND(X1382=1,Z1382&lt;&gt;1),1,0))</f>
        <v/>
      </c>
      <c r="AC1382" s="0" t="str">
        <f aca="false">IF(W1382=1,"",IF(AND(Y1382=1,AA1382&lt;&gt;1),1,0))</f>
        <v/>
      </c>
      <c r="AD1382" s="33" t="str">
        <f aca="false">IF(AND(E1382&gt;0,W1382&lt;1,NOT(AND(C1383=C1382,W1383=W1382+1))),INDEX(DATAS,W1382+1),"")</f>
        <v/>
      </c>
      <c r="AE1382" s="33" t="str">
        <f aca="false">IF(AND(Y1382=1,W1382&lt;1),IF(AND(C1383=C1382,W1383=W1382+1),IF(Y1383=1,"",INDEX(DATAS,W1382+1)),INDEX(DATAS,W1382+1)),"")</f>
        <v/>
      </c>
    </row>
    <row r="1383" customFormat="false" ht="15" hidden="false" customHeight="false" outlineLevel="0" collapsed="false">
      <c r="A1383" s="33" t="n">
        <v>46309</v>
      </c>
      <c r="B1383" s="0" t="n">
        <v>1</v>
      </c>
      <c r="C1383" s="0" t="n">
        <v>5491</v>
      </c>
      <c r="D1383" s="0" t="n">
        <v>213</v>
      </c>
      <c r="E1383" s="0" t="n">
        <v>1</v>
      </c>
      <c r="F1383" s="27" t="s">
        <v>910</v>
      </c>
      <c r="G1383" s="0" t="n">
        <v>29.4</v>
      </c>
      <c r="H1383" s="0" t="n">
        <v>24</v>
      </c>
      <c r="I1383" s="27" t="s">
        <v>138</v>
      </c>
      <c r="J1383" s="0" t="n">
        <v>122</v>
      </c>
      <c r="K1383" s="0" t="n">
        <v>66</v>
      </c>
      <c r="L1383" s="0" t="n">
        <v>91</v>
      </c>
      <c r="M1383" s="0" t="n">
        <v>482.58</v>
      </c>
      <c r="N1383" s="0" t="n">
        <v>35.45</v>
      </c>
      <c r="O1383" s="0" t="n">
        <v>24.97</v>
      </c>
      <c r="P1383" s="0" t="n">
        <v>4.07</v>
      </c>
      <c r="Q1383" s="0" t="n">
        <v>3.23</v>
      </c>
      <c r="R1383" s="0" t="n">
        <v>3522</v>
      </c>
      <c r="S1383" s="0" t="n">
        <v>7998</v>
      </c>
      <c r="T1383" s="0" t="n">
        <v>41.05</v>
      </c>
      <c r="U1383" s="0" t="n">
        <v>903</v>
      </c>
      <c r="V1383" s="0" t="n">
        <v>3</v>
      </c>
      <c r="W1383" s="27" t="n">
        <f aca="false">MATCH(A1383,DATAS,0)</f>
        <v>1</v>
      </c>
      <c r="X1383" s="27" t="n">
        <f aca="false">IF(AND(E1383&gt;0,OR(AND(B1383&gt;=1,B1383&lt;=6),B1383=10)),1,0)</f>
        <v>1</v>
      </c>
      <c r="Y1383" s="27" t="n">
        <f aca="false">IF(AND(E1383&gt;0,B1383=10),1,0)</f>
        <v>0</v>
      </c>
      <c r="Z1383" s="0" t="str">
        <f aca="false">IF(AND(C1382=C1383,W1382=W1383-1),X1382,"")</f>
        <v/>
      </c>
      <c r="AA1383" s="0" t="str">
        <f aca="false">IF(AND(C1382=C1383,W1382=W1383-1),Y1382,"")</f>
        <v/>
      </c>
      <c r="AB1383" s="0" t="str">
        <f aca="false">IF(W1383=1,"",IF(AND(X1383=1,Z1383&lt;&gt;1),1,0))</f>
        <v/>
      </c>
      <c r="AC1383" s="0" t="str">
        <f aca="false">IF(W1383=1,"",IF(AND(Y1383=1,AA1383&lt;&gt;1),1,0))</f>
        <v/>
      </c>
      <c r="AD1383" s="33" t="str">
        <f aca="false">IF(AND(E1383&gt;0,W1383&lt;1,NOT(AND(C1384=C1383,W1384=W1383+1))),INDEX(DATAS,W1383+1),"")</f>
        <v/>
      </c>
      <c r="AE1383" s="33" t="str">
        <f aca="false">IF(AND(Y1383=1,W1383&lt;1),IF(AND(C1384=C1383,W1384=W1383+1),IF(Y1384=1,"",INDEX(DATAS,W1383+1)),INDEX(DATAS,W1383+1)),"")</f>
        <v/>
      </c>
    </row>
    <row r="1384" customFormat="false" ht="15" hidden="false" customHeight="false" outlineLevel="0" collapsed="false">
      <c r="A1384" s="33" t="n">
        <v>46309</v>
      </c>
      <c r="B1384" s="0" t="n">
        <v>4</v>
      </c>
      <c r="C1384" s="0" t="n">
        <v>5493</v>
      </c>
      <c r="D1384" s="0" t="n">
        <v>245</v>
      </c>
      <c r="E1384" s="0" t="n">
        <v>1</v>
      </c>
      <c r="F1384" s="27" t="s">
        <v>910</v>
      </c>
      <c r="G1384" s="0" t="n">
        <v>54.3</v>
      </c>
      <c r="H1384" s="0" t="n">
        <v>47</v>
      </c>
      <c r="I1384" s="27" t="s">
        <v>138</v>
      </c>
      <c r="J1384" s="0" t="n">
        <v>63</v>
      </c>
      <c r="K1384" s="0" t="n">
        <v>63</v>
      </c>
      <c r="L1384" s="0" t="n">
        <v>182</v>
      </c>
      <c r="M1384" s="0" t="n">
        <v>688.36</v>
      </c>
      <c r="N1384" s="0" t="n">
        <v>33.3</v>
      </c>
      <c r="O1384" s="0" t="n">
        <v>42.6</v>
      </c>
      <c r="P1384" s="0" t="n">
        <v>3.79</v>
      </c>
      <c r="Q1384" s="0" t="n">
        <v>3.7</v>
      </c>
      <c r="R1384" s="0" t="n">
        <v>4140</v>
      </c>
      <c r="S1384" s="0" t="n">
        <v>9108</v>
      </c>
      <c r="T1384" s="0" t="n">
        <v>42.4</v>
      </c>
      <c r="U1384" s="0" t="n">
        <v>903</v>
      </c>
      <c r="V1384" s="0" t="n">
        <v>1</v>
      </c>
      <c r="W1384" s="27" t="n">
        <f aca="false">MATCH(A1384,DATAS,0)</f>
        <v>1</v>
      </c>
      <c r="X1384" s="27" t="n">
        <f aca="false">IF(AND(E1384&gt;0,OR(AND(B1384&gt;=1,B1384&lt;=6),B1384=10)),1,0)</f>
        <v>1</v>
      </c>
      <c r="Y1384" s="27" t="n">
        <f aca="false">IF(AND(E1384&gt;0,B1384=10),1,0)</f>
        <v>0</v>
      </c>
      <c r="Z1384" s="0" t="str">
        <f aca="false">IF(AND(C1383=C1384,W1383=W1384-1),X1383,"")</f>
        <v/>
      </c>
      <c r="AA1384" s="0" t="str">
        <f aca="false">IF(AND(C1383=C1384,W1383=W1384-1),Y1383,"")</f>
        <v/>
      </c>
      <c r="AB1384" s="0" t="str">
        <f aca="false">IF(W1384=1,"",IF(AND(X1384=1,Z1384&lt;&gt;1),1,0))</f>
        <v/>
      </c>
      <c r="AC1384" s="0" t="str">
        <f aca="false">IF(W1384=1,"",IF(AND(Y1384=1,AA1384&lt;&gt;1),1,0))</f>
        <v/>
      </c>
      <c r="AD1384" s="33" t="str">
        <f aca="false">IF(AND(E1384&gt;0,W1384&lt;1,NOT(AND(C1385=C1384,W1385=W1384+1))),INDEX(DATAS,W1384+1),"")</f>
        <v/>
      </c>
      <c r="AE1384" s="33" t="str">
        <f aca="false">IF(AND(Y1384=1,W1384&lt;1),IF(AND(C1385=C1384,W1385=W1384+1),IF(Y1385=1,"",INDEX(DATAS,W1384+1)),INDEX(DATAS,W1384+1)),"")</f>
        <v/>
      </c>
    </row>
    <row r="1385" customFormat="false" ht="15" hidden="false" customHeight="false" outlineLevel="0" collapsed="false">
      <c r="A1385" s="33" t="n">
        <v>46309</v>
      </c>
      <c r="B1385" s="0" t="n">
        <v>4</v>
      </c>
      <c r="C1385" s="0" t="n">
        <v>5494</v>
      </c>
      <c r="D1385" s="0" t="n">
        <v>261</v>
      </c>
      <c r="E1385" s="0" t="n">
        <v>1</v>
      </c>
      <c r="F1385" s="27" t="s">
        <v>910</v>
      </c>
      <c r="G1385" s="0" t="n">
        <v>36.5</v>
      </c>
      <c r="H1385" s="0" t="n">
        <v>37</v>
      </c>
      <c r="I1385" s="27" t="s">
        <v>138</v>
      </c>
      <c r="J1385" s="0" t="n">
        <v>135</v>
      </c>
      <c r="K1385" s="0" t="n">
        <v>65</v>
      </c>
      <c r="L1385" s="0" t="n">
        <v>126</v>
      </c>
      <c r="M1385" s="0" t="n">
        <v>506.05</v>
      </c>
      <c r="N1385" s="0" t="n">
        <v>96.91</v>
      </c>
      <c r="O1385" s="0" t="n">
        <v>23.46</v>
      </c>
      <c r="P1385" s="0" t="n">
        <v>4.58</v>
      </c>
      <c r="Q1385" s="0" t="n">
        <v>3.24</v>
      </c>
      <c r="R1385" s="0" t="n">
        <v>3884</v>
      </c>
      <c r="S1385" s="0" t="n">
        <v>8203</v>
      </c>
      <c r="T1385" s="0" t="n">
        <v>41.65</v>
      </c>
      <c r="U1385" s="0" t="n">
        <v>903</v>
      </c>
      <c r="V1385" s="0" t="n">
        <v>3</v>
      </c>
      <c r="W1385" s="27" t="n">
        <f aca="false">MATCH(A1385,DATAS,0)</f>
        <v>1</v>
      </c>
      <c r="X1385" s="27" t="n">
        <f aca="false">IF(AND(E1385&gt;0,OR(AND(B1385&gt;=1,B1385&lt;=6),B1385=10)),1,0)</f>
        <v>1</v>
      </c>
      <c r="Y1385" s="27" t="n">
        <f aca="false">IF(AND(E1385&gt;0,B1385=10),1,0)</f>
        <v>0</v>
      </c>
      <c r="Z1385" s="0" t="str">
        <f aca="false">IF(AND(C1384=C1385,W1384=W1385-1),X1384,"")</f>
        <v/>
      </c>
      <c r="AA1385" s="0" t="str">
        <f aca="false">IF(AND(C1384=C1385,W1384=W1385-1),Y1384,"")</f>
        <v/>
      </c>
      <c r="AB1385" s="0" t="str">
        <f aca="false">IF(W1385=1,"",IF(AND(X1385=1,Z1385&lt;&gt;1),1,0))</f>
        <v/>
      </c>
      <c r="AC1385" s="0" t="str">
        <f aca="false">IF(W1385=1,"",IF(AND(Y1385=1,AA1385&lt;&gt;1),1,0))</f>
        <v/>
      </c>
      <c r="AD1385" s="33" t="str">
        <f aca="false">IF(AND(E1385&gt;0,W1385&lt;1,NOT(AND(C1386=C1385,W1386=W1385+1))),INDEX(DATAS,W1385+1),"")</f>
        <v/>
      </c>
      <c r="AE1385" s="33" t="str">
        <f aca="false">IF(AND(Y1385=1,W1385&lt;1),IF(AND(C1386=C1385,W1386=W1385+1),IF(Y1386=1,"",INDEX(DATAS,W1385+1)),INDEX(DATAS,W1385+1)),"")</f>
        <v/>
      </c>
    </row>
    <row r="1386" customFormat="false" ht="15" hidden="false" customHeight="false" outlineLevel="0" collapsed="false">
      <c r="A1386" s="33" t="n">
        <v>46309</v>
      </c>
      <c r="B1386" s="0" t="n">
        <v>4</v>
      </c>
      <c r="C1386" s="0" t="n">
        <v>5496</v>
      </c>
      <c r="D1386" s="0" t="n">
        <v>221</v>
      </c>
      <c r="E1386" s="0" t="n">
        <v>1</v>
      </c>
      <c r="F1386" s="27" t="s">
        <v>911</v>
      </c>
      <c r="G1386" s="0" t="n">
        <v>55.4</v>
      </c>
      <c r="H1386" s="0" t="n">
        <v>57</v>
      </c>
      <c r="I1386" s="27" t="s">
        <v>138</v>
      </c>
      <c r="J1386" s="0" t="n">
        <v>179</v>
      </c>
      <c r="K1386" s="0" t="n">
        <v>67</v>
      </c>
      <c r="L1386" s="0" t="n">
        <v>42</v>
      </c>
      <c r="M1386" s="0" t="n">
        <v>1225.7</v>
      </c>
      <c r="N1386" s="0" t="n">
        <v>47.21</v>
      </c>
      <c r="O1386" s="0" t="n">
        <v>36.55</v>
      </c>
      <c r="P1386" s="0" t="n">
        <v>4.1</v>
      </c>
      <c r="Q1386" s="0" t="n">
        <v>3.13</v>
      </c>
      <c r="R1386" s="0" t="n">
        <v>4682</v>
      </c>
      <c r="S1386" s="0" t="n">
        <v>10685</v>
      </c>
      <c r="T1386" s="0" t="n">
        <v>52.4</v>
      </c>
      <c r="U1386" s="0" t="n">
        <v>902</v>
      </c>
      <c r="V1386" s="0" t="n">
        <v>5</v>
      </c>
      <c r="W1386" s="27" t="n">
        <f aca="false">MATCH(A1386,DATAS,0)</f>
        <v>1</v>
      </c>
      <c r="X1386" s="27" t="n">
        <f aca="false">IF(AND(E1386&gt;0,OR(AND(B1386&gt;=1,B1386&lt;=6),B1386=10)),1,0)</f>
        <v>1</v>
      </c>
      <c r="Y1386" s="27" t="n">
        <f aca="false">IF(AND(E1386&gt;0,B1386=10),1,0)</f>
        <v>0</v>
      </c>
      <c r="Z1386" s="0" t="str">
        <f aca="false">IF(AND(C1385=C1386,W1385=W1386-1),X1385,"")</f>
        <v/>
      </c>
      <c r="AA1386" s="0" t="str">
        <f aca="false">IF(AND(C1385=C1386,W1385=W1386-1),Y1385,"")</f>
        <v/>
      </c>
      <c r="AB1386" s="0" t="str">
        <f aca="false">IF(W1386=1,"",IF(AND(X1386=1,Z1386&lt;&gt;1),1,0))</f>
        <v/>
      </c>
      <c r="AC1386" s="0" t="str">
        <f aca="false">IF(W1386=1,"",IF(AND(Y1386=1,AA1386&lt;&gt;1),1,0))</f>
        <v/>
      </c>
      <c r="AD1386" s="33" t="str">
        <f aca="false">IF(AND(E1386&gt;0,W1386&lt;1,NOT(AND(C1387=C1386,W1387=W1386+1))),INDEX(DATAS,W1386+1),"")</f>
        <v/>
      </c>
      <c r="AE1386" s="33" t="str">
        <f aca="false">IF(AND(Y1386=1,W1386&lt;1),IF(AND(C1387=C1386,W1387=W1386+1),IF(Y1387=1,"",INDEX(DATAS,W1386+1)),INDEX(DATAS,W1386+1)),"")</f>
        <v/>
      </c>
    </row>
    <row r="1387" customFormat="false" ht="15" hidden="false" customHeight="false" outlineLevel="0" collapsed="false">
      <c r="A1387" s="33" t="n">
        <v>46309</v>
      </c>
      <c r="B1387" s="0" t="n">
        <v>4</v>
      </c>
      <c r="C1387" s="0" t="n">
        <v>5499</v>
      </c>
      <c r="D1387" s="0" t="n">
        <v>256</v>
      </c>
      <c r="E1387" s="0" t="n">
        <v>1</v>
      </c>
      <c r="F1387" s="27" t="s">
        <v>912</v>
      </c>
      <c r="G1387" s="0" t="n">
        <v>47.3</v>
      </c>
      <c r="H1387" s="0" t="n">
        <v>46</v>
      </c>
      <c r="I1387" s="27" t="s">
        <v>138</v>
      </c>
      <c r="J1387" s="0" t="n">
        <v>103</v>
      </c>
      <c r="K1387" s="0" t="n">
        <v>81</v>
      </c>
      <c r="L1387" s="0" t="n">
        <v>153</v>
      </c>
      <c r="M1387" s="0" t="n">
        <v>1602.87</v>
      </c>
      <c r="N1387" s="0" t="n">
        <v>75.16</v>
      </c>
      <c r="O1387" s="0" t="n">
        <v>43.89</v>
      </c>
      <c r="P1387" s="0" t="n">
        <v>3.11</v>
      </c>
      <c r="Q1387" s="0" t="n">
        <v>3.48</v>
      </c>
      <c r="R1387" s="0" t="n">
        <v>4922</v>
      </c>
      <c r="S1387" s="0" t="n">
        <v>10643</v>
      </c>
      <c r="T1387" s="0" t="n">
        <v>51.1</v>
      </c>
      <c r="U1387" s="0" t="n">
        <v>901</v>
      </c>
      <c r="V1387" s="0" t="n">
        <v>2</v>
      </c>
      <c r="W1387" s="27" t="n">
        <f aca="false">MATCH(A1387,DATAS,0)</f>
        <v>1</v>
      </c>
      <c r="X1387" s="27" t="n">
        <f aca="false">IF(AND(E1387&gt;0,OR(AND(B1387&gt;=1,B1387&lt;=6),B1387=10)),1,0)</f>
        <v>1</v>
      </c>
      <c r="Y1387" s="27" t="n">
        <f aca="false">IF(AND(E1387&gt;0,B1387=10),1,0)</f>
        <v>0</v>
      </c>
      <c r="Z1387" s="0" t="str">
        <f aca="false">IF(AND(C1386=C1387,W1386=W1387-1),X1386,"")</f>
        <v/>
      </c>
      <c r="AA1387" s="0" t="str">
        <f aca="false">IF(AND(C1386=C1387,W1386=W1387-1),Y1386,"")</f>
        <v/>
      </c>
      <c r="AB1387" s="0" t="str">
        <f aca="false">IF(W1387=1,"",IF(AND(X1387=1,Z1387&lt;&gt;1),1,0))</f>
        <v/>
      </c>
      <c r="AC1387" s="0" t="str">
        <f aca="false">IF(W1387=1,"",IF(AND(Y1387=1,AA1387&lt;&gt;1),1,0))</f>
        <v/>
      </c>
      <c r="AD1387" s="33" t="str">
        <f aca="false">IF(AND(E1387&gt;0,W1387&lt;1,NOT(AND(C1388=C1387,W1388=W1387+1))),INDEX(DATAS,W1387+1),"")</f>
        <v/>
      </c>
      <c r="AE1387" s="33" t="str">
        <f aca="false">IF(AND(Y1387=1,W1387&lt;1),IF(AND(C1388=C1387,W1388=W1387+1),IF(Y1388=1,"",INDEX(DATAS,W1387+1)),INDEX(DATAS,W1387+1)),"")</f>
        <v/>
      </c>
    </row>
    <row r="1388" customFormat="false" ht="15" hidden="false" customHeight="false" outlineLevel="0" collapsed="false">
      <c r="A1388" s="33" t="n">
        <v>46309</v>
      </c>
      <c r="B1388" s="0" t="n">
        <v>4</v>
      </c>
      <c r="C1388" s="0" t="n">
        <v>5500</v>
      </c>
      <c r="D1388" s="0" t="n">
        <v>264</v>
      </c>
      <c r="E1388" s="0" t="n">
        <v>1</v>
      </c>
      <c r="F1388" s="27" t="s">
        <v>912</v>
      </c>
      <c r="G1388" s="0" t="n">
        <v>45.1</v>
      </c>
      <c r="H1388" s="0" t="n">
        <v>45</v>
      </c>
      <c r="I1388" s="27" t="s">
        <v>138</v>
      </c>
      <c r="J1388" s="0" t="n">
        <v>124</v>
      </c>
      <c r="K1388" s="0" t="n">
        <v>68</v>
      </c>
      <c r="L1388" s="0" t="n">
        <v>140</v>
      </c>
      <c r="M1388" s="0" t="n">
        <v>528.12</v>
      </c>
      <c r="N1388" s="0" t="n">
        <v>55.44</v>
      </c>
      <c r="O1388" s="0" t="n">
        <v>39.1</v>
      </c>
      <c r="P1388" s="0" t="n">
        <v>4.01</v>
      </c>
      <c r="Q1388" s="0" t="n">
        <v>3.83</v>
      </c>
      <c r="R1388" s="0" t="n">
        <v>3636</v>
      </c>
      <c r="S1388" s="0" t="n">
        <v>8520</v>
      </c>
      <c r="T1388" s="0" t="n">
        <v>38</v>
      </c>
      <c r="U1388" s="0" t="n">
        <v>901</v>
      </c>
      <c r="V1388" s="0" t="n">
        <v>2</v>
      </c>
      <c r="W1388" s="27" t="n">
        <f aca="false">MATCH(A1388,DATAS,0)</f>
        <v>1</v>
      </c>
      <c r="X1388" s="27" t="n">
        <f aca="false">IF(AND(E1388&gt;0,OR(AND(B1388&gt;=1,B1388&lt;=6),B1388=10)),1,0)</f>
        <v>1</v>
      </c>
      <c r="Y1388" s="27" t="n">
        <f aca="false">IF(AND(E1388&gt;0,B1388=10),1,0)</f>
        <v>0</v>
      </c>
      <c r="Z1388" s="0" t="str">
        <f aca="false">IF(AND(C1387=C1388,W1387=W1388-1),X1387,"")</f>
        <v/>
      </c>
      <c r="AA1388" s="0" t="str">
        <f aca="false">IF(AND(C1387=C1388,W1387=W1388-1),Y1387,"")</f>
        <v/>
      </c>
      <c r="AB1388" s="0" t="str">
        <f aca="false">IF(W1388=1,"",IF(AND(X1388=1,Z1388&lt;&gt;1),1,0))</f>
        <v/>
      </c>
      <c r="AC1388" s="0" t="str">
        <f aca="false">IF(W1388=1,"",IF(AND(Y1388=1,AA1388&lt;&gt;1),1,0))</f>
        <v/>
      </c>
      <c r="AD1388" s="33" t="str">
        <f aca="false">IF(AND(E1388&gt;0,W1388&lt;1,NOT(AND(C1389=C1388,W1389=W1388+1))),INDEX(DATAS,W1388+1),"")</f>
        <v/>
      </c>
      <c r="AE1388" s="33" t="str">
        <f aca="false">IF(AND(Y1388=1,W1388&lt;1),IF(AND(C1389=C1388,W1389=W1388+1),IF(Y1389=1,"",INDEX(DATAS,W1388+1)),INDEX(DATAS,W1388+1)),"")</f>
        <v/>
      </c>
    </row>
    <row r="1389" customFormat="false" ht="15" hidden="false" customHeight="false" outlineLevel="0" collapsed="false">
      <c r="A1389" s="33" t="n">
        <v>46309</v>
      </c>
      <c r="B1389" s="0" t="n">
        <v>4</v>
      </c>
      <c r="C1389" s="0" t="n">
        <v>5501</v>
      </c>
      <c r="D1389" s="0" t="n">
        <v>205</v>
      </c>
      <c r="E1389" s="0" t="n">
        <v>1</v>
      </c>
      <c r="F1389" s="27" t="s">
        <v>913</v>
      </c>
      <c r="G1389" s="0" t="n">
        <v>53</v>
      </c>
      <c r="H1389" s="0" t="n">
        <v>54</v>
      </c>
      <c r="I1389" s="27" t="s">
        <v>138</v>
      </c>
      <c r="J1389" s="0" t="n">
        <v>100</v>
      </c>
      <c r="K1389" s="0" t="n">
        <v>65</v>
      </c>
      <c r="L1389" s="0" t="n">
        <v>105</v>
      </c>
      <c r="M1389" s="0" t="n">
        <v>1240.59</v>
      </c>
      <c r="N1389" s="0" t="n">
        <v>69.85</v>
      </c>
      <c r="O1389" s="0" t="n">
        <v>48.88</v>
      </c>
      <c r="P1389" s="0" t="n">
        <v>3.01</v>
      </c>
      <c r="Q1389" s="0" t="n">
        <v>3.5</v>
      </c>
      <c r="R1389" s="0" t="n">
        <v>4935</v>
      </c>
      <c r="S1389" s="0" t="n">
        <v>10831</v>
      </c>
      <c r="T1389" s="0" t="n">
        <v>59.25</v>
      </c>
      <c r="U1389" s="0" t="n">
        <v>900</v>
      </c>
      <c r="V1389" s="0" t="n">
        <v>2</v>
      </c>
      <c r="W1389" s="27" t="n">
        <f aca="false">MATCH(A1389,DATAS,0)</f>
        <v>1</v>
      </c>
      <c r="X1389" s="27" t="n">
        <f aca="false">IF(AND(E1389&gt;0,OR(AND(B1389&gt;=1,B1389&lt;=6),B1389=10)),1,0)</f>
        <v>1</v>
      </c>
      <c r="Y1389" s="27" t="n">
        <f aca="false">IF(AND(E1389&gt;0,B1389=10),1,0)</f>
        <v>0</v>
      </c>
      <c r="Z1389" s="0" t="str">
        <f aca="false">IF(AND(C1388=C1389,W1388=W1389-1),X1388,"")</f>
        <v/>
      </c>
      <c r="AA1389" s="0" t="str">
        <f aca="false">IF(AND(C1388=C1389,W1388=W1389-1),Y1388,"")</f>
        <v/>
      </c>
      <c r="AB1389" s="0" t="str">
        <f aca="false">IF(W1389=1,"",IF(AND(X1389=1,Z1389&lt;&gt;1),1,0))</f>
        <v/>
      </c>
      <c r="AC1389" s="0" t="str">
        <f aca="false">IF(W1389=1,"",IF(AND(Y1389=1,AA1389&lt;&gt;1),1,0))</f>
        <v/>
      </c>
      <c r="AD1389" s="33" t="str">
        <f aca="false">IF(AND(E1389&gt;0,W1389&lt;1,NOT(AND(C1390=C1389,W1390=W1389+1))),INDEX(DATAS,W1389+1),"")</f>
        <v/>
      </c>
      <c r="AE1389" s="33" t="str">
        <f aca="false">IF(AND(Y1389=1,W1389&lt;1),IF(AND(C1390=C1389,W1390=W1389+1),IF(Y1390=1,"",INDEX(DATAS,W1389+1)),INDEX(DATAS,W1389+1)),"")</f>
        <v/>
      </c>
    </row>
    <row r="1390" customFormat="false" ht="15" hidden="false" customHeight="false" outlineLevel="0" collapsed="false">
      <c r="A1390" s="33" t="n">
        <v>46309</v>
      </c>
      <c r="B1390" s="0" t="n">
        <v>4</v>
      </c>
      <c r="C1390" s="0" t="n">
        <v>5503</v>
      </c>
      <c r="D1390" s="0" t="n">
        <v>194</v>
      </c>
      <c r="E1390" s="0" t="n">
        <v>1</v>
      </c>
      <c r="F1390" s="27" t="s">
        <v>913</v>
      </c>
      <c r="G1390" s="0" t="n">
        <v>45.5</v>
      </c>
      <c r="H1390" s="0" t="n">
        <v>48</v>
      </c>
      <c r="I1390" s="27" t="s">
        <v>138</v>
      </c>
      <c r="J1390" s="0" t="n">
        <v>68</v>
      </c>
      <c r="K1390" s="0" t="n">
        <v>68</v>
      </c>
      <c r="L1390" s="0" t="n">
        <v>126</v>
      </c>
      <c r="M1390" s="0" t="n">
        <v>1084.59</v>
      </c>
      <c r="N1390" s="0" t="n">
        <v>69.67</v>
      </c>
      <c r="O1390" s="0" t="n">
        <v>33.24</v>
      </c>
      <c r="P1390" s="0" t="n">
        <v>4.28</v>
      </c>
      <c r="Q1390" s="0" t="n">
        <v>3.25</v>
      </c>
      <c r="R1390" s="0" t="n">
        <v>4257</v>
      </c>
      <c r="S1390" s="0" t="n">
        <v>8970</v>
      </c>
      <c r="T1390" s="0" t="n">
        <v>45.05</v>
      </c>
      <c r="U1390" s="0" t="n">
        <v>900</v>
      </c>
      <c r="V1390" s="0" t="n">
        <v>1</v>
      </c>
      <c r="W1390" s="27" t="n">
        <f aca="false">MATCH(A1390,DATAS,0)</f>
        <v>1</v>
      </c>
      <c r="X1390" s="27" t="n">
        <f aca="false">IF(AND(E1390&gt;0,OR(AND(B1390&gt;=1,B1390&lt;=6),B1390=10)),1,0)</f>
        <v>1</v>
      </c>
      <c r="Y1390" s="27" t="n">
        <f aca="false">IF(AND(E1390&gt;0,B1390=10),1,0)</f>
        <v>0</v>
      </c>
      <c r="Z1390" s="0" t="str">
        <f aca="false">IF(AND(C1389=C1390,W1389=W1390-1),X1389,"")</f>
        <v/>
      </c>
      <c r="AA1390" s="0" t="str">
        <f aca="false">IF(AND(C1389=C1390,W1389=W1390-1),Y1389,"")</f>
        <v/>
      </c>
      <c r="AB1390" s="0" t="str">
        <f aca="false">IF(W1390=1,"",IF(AND(X1390=1,Z1390&lt;&gt;1),1,0))</f>
        <v/>
      </c>
      <c r="AC1390" s="0" t="str">
        <f aca="false">IF(W1390=1,"",IF(AND(Y1390=1,AA1390&lt;&gt;1),1,0))</f>
        <v/>
      </c>
      <c r="AD1390" s="33" t="str">
        <f aca="false">IF(AND(E1390&gt;0,W1390&lt;1,NOT(AND(C1391=C1390,W1391=W1390+1))),INDEX(DATAS,W1390+1),"")</f>
        <v/>
      </c>
      <c r="AE1390" s="33" t="str">
        <f aca="false">IF(AND(Y1390=1,W1390&lt;1),IF(AND(C1391=C1390,W1391=W1390+1),IF(Y1391=1,"",INDEX(DATAS,W1390+1)),INDEX(DATAS,W1390+1)),"")</f>
        <v/>
      </c>
    </row>
    <row r="1391" customFormat="false" ht="15" hidden="false" customHeight="false" outlineLevel="0" collapsed="false">
      <c r="A1391" s="33" t="n">
        <v>46309</v>
      </c>
      <c r="B1391" s="0" t="n">
        <v>4</v>
      </c>
      <c r="C1391" s="0" t="n">
        <v>5504</v>
      </c>
      <c r="D1391" s="0" t="n">
        <v>208</v>
      </c>
      <c r="E1391" s="0" t="n">
        <v>1</v>
      </c>
      <c r="F1391" s="27" t="s">
        <v>913</v>
      </c>
      <c r="G1391" s="0" t="n">
        <v>50.3</v>
      </c>
      <c r="H1391" s="0" t="n">
        <v>50</v>
      </c>
      <c r="I1391" s="27" t="s">
        <v>138</v>
      </c>
      <c r="J1391" s="0" t="n">
        <v>68</v>
      </c>
      <c r="K1391" s="0" t="n">
        <v>68</v>
      </c>
      <c r="L1391" s="0" t="n">
        <v>140</v>
      </c>
      <c r="M1391" s="0" t="n">
        <v>1327.69</v>
      </c>
      <c r="N1391" s="0" t="n">
        <v>57.9</v>
      </c>
      <c r="O1391" s="0" t="n">
        <v>37.27</v>
      </c>
      <c r="P1391" s="0" t="n">
        <v>3.74</v>
      </c>
      <c r="Q1391" s="0" t="n">
        <v>3.29</v>
      </c>
      <c r="R1391" s="0" t="n">
        <v>3350</v>
      </c>
      <c r="S1391" s="0" t="n">
        <v>8821</v>
      </c>
      <c r="T1391" s="0" t="n">
        <v>46.4</v>
      </c>
      <c r="U1391" s="0" t="n">
        <v>900</v>
      </c>
      <c r="V1391" s="0" t="n">
        <v>1</v>
      </c>
      <c r="W1391" s="27" t="n">
        <f aca="false">MATCH(A1391,DATAS,0)</f>
        <v>1</v>
      </c>
      <c r="X1391" s="27" t="n">
        <f aca="false">IF(AND(E1391&gt;0,OR(AND(B1391&gt;=1,B1391&lt;=6),B1391=10)),1,0)</f>
        <v>1</v>
      </c>
      <c r="Y1391" s="27" t="n">
        <f aca="false">IF(AND(E1391&gt;0,B1391=10),1,0)</f>
        <v>0</v>
      </c>
      <c r="Z1391" s="0" t="str">
        <f aca="false">IF(AND(C1390=C1391,W1390=W1391-1),X1390,"")</f>
        <v/>
      </c>
      <c r="AA1391" s="0" t="str">
        <f aca="false">IF(AND(C1390=C1391,W1390=W1391-1),Y1390,"")</f>
        <v/>
      </c>
      <c r="AB1391" s="0" t="str">
        <f aca="false">IF(W1391=1,"",IF(AND(X1391=1,Z1391&lt;&gt;1),1,0))</f>
        <v/>
      </c>
      <c r="AC1391" s="0" t="str">
        <f aca="false">IF(W1391=1,"",IF(AND(Y1391=1,AA1391&lt;&gt;1),1,0))</f>
        <v/>
      </c>
      <c r="AD1391" s="33" t="str">
        <f aca="false">IF(AND(E1391&gt;0,W1391&lt;1,NOT(AND(C1392=C1391,W1392=W1391+1))),INDEX(DATAS,W1391+1),"")</f>
        <v/>
      </c>
      <c r="AE1391" s="33" t="str">
        <f aca="false">IF(AND(Y1391=1,W1391&lt;1),IF(AND(C1392=C1391,W1392=W1391+1),IF(Y1392=1,"",INDEX(DATAS,W1391+1)),INDEX(DATAS,W1391+1)),"")</f>
        <v/>
      </c>
    </row>
    <row r="1392" customFormat="false" ht="15" hidden="false" customHeight="false" outlineLevel="0" collapsed="false">
      <c r="A1392" s="33" t="n">
        <v>46309</v>
      </c>
      <c r="B1392" s="0" t="n">
        <v>4</v>
      </c>
      <c r="C1392" s="0" t="n">
        <v>5505</v>
      </c>
      <c r="D1392" s="0" t="n">
        <v>201</v>
      </c>
      <c r="E1392" s="0" t="n">
        <v>1</v>
      </c>
      <c r="F1392" s="27" t="s">
        <v>913</v>
      </c>
      <c r="G1392" s="0" t="n">
        <v>46.6</v>
      </c>
      <c r="H1392" s="0" t="n">
        <v>42</v>
      </c>
      <c r="I1392" s="27" t="s">
        <v>138</v>
      </c>
      <c r="J1392" s="0" t="n">
        <v>89</v>
      </c>
      <c r="K1392" s="0" t="n">
        <v>68</v>
      </c>
      <c r="L1392" s="0" t="n">
        <v>112</v>
      </c>
      <c r="M1392" s="0" t="n">
        <v>912.53</v>
      </c>
      <c r="N1392" s="0" t="n">
        <v>62.2</v>
      </c>
      <c r="O1392" s="0" t="n">
        <v>35.85</v>
      </c>
      <c r="P1392" s="0" t="n">
        <v>3.97</v>
      </c>
      <c r="Q1392" s="0" t="n">
        <v>3.59</v>
      </c>
      <c r="R1392" s="0" t="n">
        <v>3542</v>
      </c>
      <c r="S1392" s="0" t="n">
        <v>8482</v>
      </c>
      <c r="T1392" s="0" t="n">
        <v>45.05</v>
      </c>
      <c r="U1392" s="0" t="n">
        <v>900</v>
      </c>
      <c r="V1392" s="0" t="n">
        <v>2</v>
      </c>
      <c r="W1392" s="27" t="n">
        <f aca="false">MATCH(A1392,DATAS,0)</f>
        <v>1</v>
      </c>
      <c r="X1392" s="27" t="n">
        <f aca="false">IF(AND(E1392&gt;0,OR(AND(B1392&gt;=1,B1392&lt;=6),B1392=10)),1,0)</f>
        <v>1</v>
      </c>
      <c r="Y1392" s="27" t="n">
        <f aca="false">IF(AND(E1392&gt;0,B1392=10),1,0)</f>
        <v>0</v>
      </c>
      <c r="Z1392" s="0" t="str">
        <f aca="false">IF(AND(C1391=C1392,W1391=W1392-1),X1391,"")</f>
        <v/>
      </c>
      <c r="AA1392" s="0" t="str">
        <f aca="false">IF(AND(C1391=C1392,W1391=W1392-1),Y1391,"")</f>
        <v/>
      </c>
      <c r="AB1392" s="0" t="str">
        <f aca="false">IF(W1392=1,"",IF(AND(X1392=1,Z1392&lt;&gt;1),1,0))</f>
        <v/>
      </c>
      <c r="AC1392" s="0" t="str">
        <f aca="false">IF(W1392=1,"",IF(AND(Y1392=1,AA1392&lt;&gt;1),1,0))</f>
        <v/>
      </c>
      <c r="AD1392" s="33" t="str">
        <f aca="false">IF(AND(E1392&gt;0,W1392&lt;1,NOT(AND(C1393=C1392,W1393=W1392+1))),INDEX(DATAS,W1392+1),"")</f>
        <v/>
      </c>
      <c r="AE1392" s="33" t="str">
        <f aca="false">IF(AND(Y1392=1,W1392&lt;1),IF(AND(C1393=C1392,W1393=W1392+1),IF(Y1393=1,"",INDEX(DATAS,W1392+1)),INDEX(DATAS,W1392+1)),"")</f>
        <v/>
      </c>
    </row>
    <row r="1393" customFormat="false" ht="15" hidden="false" customHeight="false" outlineLevel="0" collapsed="false">
      <c r="A1393" s="33" t="n">
        <v>46309</v>
      </c>
      <c r="B1393" s="0" t="n">
        <v>4</v>
      </c>
      <c r="C1393" s="0" t="n">
        <v>5506</v>
      </c>
      <c r="D1393" s="0" t="n">
        <v>186</v>
      </c>
      <c r="E1393" s="0" t="n">
        <v>1</v>
      </c>
      <c r="F1393" s="27" t="s">
        <v>913</v>
      </c>
      <c r="G1393" s="0" t="n">
        <v>60.3</v>
      </c>
      <c r="H1393" s="0" t="n">
        <v>59</v>
      </c>
      <c r="I1393" s="27" t="s">
        <v>168</v>
      </c>
      <c r="J1393" s="0" t="n">
        <v>186</v>
      </c>
      <c r="K1393" s="0" t="n">
        <v>67</v>
      </c>
      <c r="M1393" s="0" t="n">
        <v>1059.4</v>
      </c>
      <c r="N1393" s="0" t="n">
        <v>67.5</v>
      </c>
      <c r="O1393" s="0" t="n">
        <v>35.98</v>
      </c>
      <c r="P1393" s="0" t="n">
        <v>3.44</v>
      </c>
      <c r="Q1393" s="0" t="n">
        <v>3.09</v>
      </c>
      <c r="R1393" s="0" t="n">
        <v>5123</v>
      </c>
      <c r="S1393" s="0" t="n">
        <v>10866</v>
      </c>
      <c r="T1393" s="0" t="n">
        <v>53.6</v>
      </c>
      <c r="U1393" s="0" t="n">
        <v>900</v>
      </c>
      <c r="V1393" s="0" t="n">
        <v>4</v>
      </c>
      <c r="W1393" s="27" t="n">
        <f aca="false">MATCH(A1393,DATAS,0)</f>
        <v>1</v>
      </c>
      <c r="X1393" s="27" t="n">
        <f aca="false">IF(AND(E1393&gt;0,OR(AND(B1393&gt;=1,B1393&lt;=6),B1393=10)),1,0)</f>
        <v>1</v>
      </c>
      <c r="Y1393" s="27" t="n">
        <f aca="false">IF(AND(E1393&gt;0,B1393=10),1,0)</f>
        <v>0</v>
      </c>
      <c r="Z1393" s="0" t="str">
        <f aca="false">IF(AND(C1392=C1393,W1392=W1393-1),X1392,"")</f>
        <v/>
      </c>
      <c r="AA1393" s="0" t="str">
        <f aca="false">IF(AND(C1392=C1393,W1392=W1393-1),Y1392,"")</f>
        <v/>
      </c>
      <c r="AB1393" s="0" t="str">
        <f aca="false">IF(W1393=1,"",IF(AND(X1393=1,Z1393&lt;&gt;1),1,0))</f>
        <v/>
      </c>
      <c r="AC1393" s="0" t="str">
        <f aca="false">IF(W1393=1,"",IF(AND(Y1393=1,AA1393&lt;&gt;1),1,0))</f>
        <v/>
      </c>
      <c r="AD1393" s="33" t="str">
        <f aca="false">IF(AND(E1393&gt;0,W1393&lt;1,NOT(AND(C1394=C1393,W1394=W1393+1))),INDEX(DATAS,W1393+1),"")</f>
        <v/>
      </c>
      <c r="AE1393" s="33" t="str">
        <f aca="false">IF(AND(Y1393=1,W1393&lt;1),IF(AND(C1394=C1393,W1394=W1393+1),IF(Y1394=1,"",INDEX(DATAS,W1393+1)),INDEX(DATAS,W1393+1)),"")</f>
        <v/>
      </c>
    </row>
    <row r="1394" customFormat="false" ht="15" hidden="false" customHeight="false" outlineLevel="0" collapsed="false">
      <c r="A1394" s="33" t="n">
        <v>46309</v>
      </c>
      <c r="B1394" s="0" t="n">
        <v>4</v>
      </c>
      <c r="C1394" s="0" t="n">
        <v>5507</v>
      </c>
      <c r="D1394" s="0" t="n">
        <v>207</v>
      </c>
      <c r="E1394" s="0" t="n">
        <v>1</v>
      </c>
      <c r="F1394" s="27" t="s">
        <v>914</v>
      </c>
      <c r="G1394" s="0" t="n">
        <v>42.1</v>
      </c>
      <c r="H1394" s="0" t="n">
        <v>42</v>
      </c>
      <c r="I1394" s="27" t="s">
        <v>138</v>
      </c>
      <c r="J1394" s="0" t="n">
        <v>67</v>
      </c>
      <c r="K1394" s="0" t="n">
        <v>67</v>
      </c>
      <c r="L1394" s="0" t="n">
        <v>140</v>
      </c>
      <c r="M1394" s="0" t="n">
        <v>794.14</v>
      </c>
      <c r="N1394" s="0" t="n">
        <v>67.31</v>
      </c>
      <c r="O1394" s="0" t="n">
        <v>42.16</v>
      </c>
      <c r="P1394" s="0" t="n">
        <v>4.19</v>
      </c>
      <c r="Q1394" s="0" t="n">
        <v>3.58</v>
      </c>
      <c r="R1394" s="0" t="n">
        <v>3954</v>
      </c>
      <c r="S1394" s="0" t="n">
        <v>8316</v>
      </c>
      <c r="T1394" s="0" t="n">
        <v>45.1</v>
      </c>
      <c r="U1394" s="0" t="n">
        <v>899</v>
      </c>
      <c r="V1394" s="0" t="n">
        <v>1</v>
      </c>
      <c r="W1394" s="27" t="n">
        <f aca="false">MATCH(A1394,DATAS,0)</f>
        <v>1</v>
      </c>
      <c r="X1394" s="27" t="n">
        <f aca="false">IF(AND(E1394&gt;0,OR(AND(B1394&gt;=1,B1394&lt;=6),B1394=10)),1,0)</f>
        <v>1</v>
      </c>
      <c r="Y1394" s="27" t="n">
        <f aca="false">IF(AND(E1394&gt;0,B1394=10),1,0)</f>
        <v>0</v>
      </c>
      <c r="Z1394" s="0" t="str">
        <f aca="false">IF(AND(C1393=C1394,W1393=W1394-1),X1393,"")</f>
        <v/>
      </c>
      <c r="AA1394" s="0" t="str">
        <f aca="false">IF(AND(C1393=C1394,W1393=W1394-1),Y1393,"")</f>
        <v/>
      </c>
      <c r="AB1394" s="0" t="str">
        <f aca="false">IF(W1394=1,"",IF(AND(X1394=1,Z1394&lt;&gt;1),1,0))</f>
        <v/>
      </c>
      <c r="AC1394" s="0" t="str">
        <f aca="false">IF(W1394=1,"",IF(AND(Y1394=1,AA1394&lt;&gt;1),1,0))</f>
        <v/>
      </c>
      <c r="AD1394" s="33" t="str">
        <f aca="false">IF(AND(E1394&gt;0,W1394&lt;1,NOT(AND(C1395=C1394,W1395=W1394+1))),INDEX(DATAS,W1394+1),"")</f>
        <v/>
      </c>
      <c r="AE1394" s="33" t="str">
        <f aca="false">IF(AND(Y1394=1,W1394&lt;1),IF(AND(C1395=C1394,W1395=W1394+1),IF(Y1395=1,"",INDEX(DATAS,W1394+1)),INDEX(DATAS,W1394+1)),"")</f>
        <v/>
      </c>
    </row>
    <row r="1395" customFormat="false" ht="15" hidden="false" customHeight="false" outlineLevel="0" collapsed="false">
      <c r="A1395" s="33" t="n">
        <v>46309</v>
      </c>
      <c r="B1395" s="0" t="n">
        <v>4</v>
      </c>
      <c r="C1395" s="0" t="n">
        <v>5508</v>
      </c>
      <c r="D1395" s="0" t="n">
        <v>259</v>
      </c>
      <c r="E1395" s="0" t="n">
        <v>1</v>
      </c>
      <c r="F1395" s="27" t="s">
        <v>915</v>
      </c>
      <c r="G1395" s="0" t="n">
        <v>27.9</v>
      </c>
      <c r="H1395" s="0" t="n">
        <v>32</v>
      </c>
      <c r="I1395" s="27" t="s">
        <v>138</v>
      </c>
      <c r="J1395" s="0" t="n">
        <v>140</v>
      </c>
      <c r="K1395" s="0" t="n">
        <v>63</v>
      </c>
      <c r="L1395" s="0" t="n">
        <v>119</v>
      </c>
      <c r="M1395" s="0" t="n">
        <v>-34.5</v>
      </c>
      <c r="N1395" s="0" t="n">
        <v>47.01</v>
      </c>
      <c r="O1395" s="0" t="n">
        <v>20.92</v>
      </c>
      <c r="P1395" s="0" t="n">
        <v>5.3</v>
      </c>
      <c r="Q1395" s="0" t="n">
        <v>4.06</v>
      </c>
      <c r="R1395" s="0" t="n">
        <v>3028</v>
      </c>
      <c r="S1395" s="0" t="n">
        <v>6523</v>
      </c>
      <c r="T1395" s="0" t="n">
        <v>30.3</v>
      </c>
      <c r="U1395" s="0" t="n">
        <v>897</v>
      </c>
      <c r="V1395" s="0" t="n">
        <v>3</v>
      </c>
      <c r="W1395" s="27" t="n">
        <f aca="false">MATCH(A1395,DATAS,0)</f>
        <v>1</v>
      </c>
      <c r="X1395" s="27" t="n">
        <f aca="false">IF(AND(E1395&gt;0,OR(AND(B1395&gt;=1,B1395&lt;=6),B1395=10)),1,0)</f>
        <v>1</v>
      </c>
      <c r="Y1395" s="27" t="n">
        <f aca="false">IF(AND(E1395&gt;0,B1395=10),1,0)</f>
        <v>0</v>
      </c>
      <c r="Z1395" s="0" t="str">
        <f aca="false">IF(AND(C1394=C1395,W1394=W1395-1),X1394,"")</f>
        <v/>
      </c>
      <c r="AA1395" s="0" t="str">
        <f aca="false">IF(AND(C1394=C1395,W1394=W1395-1),Y1394,"")</f>
        <v/>
      </c>
      <c r="AB1395" s="0" t="str">
        <f aca="false">IF(W1395=1,"",IF(AND(X1395=1,Z1395&lt;&gt;1),1,0))</f>
        <v/>
      </c>
      <c r="AC1395" s="0" t="str">
        <f aca="false">IF(W1395=1,"",IF(AND(Y1395=1,AA1395&lt;&gt;1),1,0))</f>
        <v/>
      </c>
      <c r="AD1395" s="33" t="str">
        <f aca="false">IF(AND(E1395&gt;0,W1395&lt;1,NOT(AND(C1396=C1395,W1396=W1395+1))),INDEX(DATAS,W1395+1),"")</f>
        <v/>
      </c>
      <c r="AE1395" s="33" t="str">
        <f aca="false">IF(AND(Y1395=1,W1395&lt;1),IF(AND(C1396=C1395,W1396=W1395+1),IF(Y1396=1,"",INDEX(DATAS,W1395+1)),INDEX(DATAS,W1395+1)),"")</f>
        <v/>
      </c>
    </row>
    <row r="1396" customFormat="false" ht="15" hidden="false" customHeight="false" outlineLevel="0" collapsed="false">
      <c r="A1396" s="33" t="n">
        <v>46309</v>
      </c>
      <c r="B1396" s="0" t="n">
        <v>4</v>
      </c>
      <c r="C1396" s="0" t="n">
        <v>5509</v>
      </c>
      <c r="D1396" s="0" t="n">
        <v>235</v>
      </c>
      <c r="E1396" s="0" t="n">
        <v>1</v>
      </c>
      <c r="F1396" s="27" t="s">
        <v>914</v>
      </c>
      <c r="G1396" s="0" t="n">
        <v>51.7</v>
      </c>
      <c r="H1396" s="0" t="n">
        <v>51</v>
      </c>
      <c r="I1396" s="27" t="s">
        <v>138</v>
      </c>
      <c r="J1396" s="0" t="n">
        <v>151</v>
      </c>
      <c r="K1396" s="0" t="n">
        <v>109</v>
      </c>
      <c r="L1396" s="0" t="n">
        <v>84</v>
      </c>
      <c r="M1396" s="0" t="n">
        <v>556.77</v>
      </c>
      <c r="N1396" s="0" t="n">
        <v>63.37</v>
      </c>
      <c r="O1396" s="0" t="n">
        <v>28.12</v>
      </c>
      <c r="P1396" s="0" t="n">
        <v>3.08</v>
      </c>
      <c r="Q1396" s="0" t="n">
        <v>3.39</v>
      </c>
      <c r="R1396" s="0" t="n">
        <v>3061</v>
      </c>
      <c r="S1396" s="0" t="n">
        <v>7473</v>
      </c>
      <c r="T1396" s="0" t="n">
        <v>36.3</v>
      </c>
      <c r="U1396" s="0" t="n">
        <v>899</v>
      </c>
      <c r="V1396" s="0" t="n">
        <v>2</v>
      </c>
      <c r="W1396" s="27" t="n">
        <f aca="false">MATCH(A1396,DATAS,0)</f>
        <v>1</v>
      </c>
      <c r="X1396" s="27" t="n">
        <f aca="false">IF(AND(E1396&gt;0,OR(AND(B1396&gt;=1,B1396&lt;=6),B1396=10)),1,0)</f>
        <v>1</v>
      </c>
      <c r="Y1396" s="27" t="n">
        <f aca="false">IF(AND(E1396&gt;0,B1396=10),1,0)</f>
        <v>0</v>
      </c>
      <c r="Z1396" s="0" t="str">
        <f aca="false">IF(AND(C1395=C1396,W1395=W1396-1),X1395,"")</f>
        <v/>
      </c>
      <c r="AA1396" s="0" t="str">
        <f aca="false">IF(AND(C1395=C1396,W1395=W1396-1),Y1395,"")</f>
        <v/>
      </c>
      <c r="AB1396" s="0" t="str">
        <f aca="false">IF(W1396=1,"",IF(AND(X1396=1,Z1396&lt;&gt;1),1,0))</f>
        <v/>
      </c>
      <c r="AC1396" s="0" t="str">
        <f aca="false">IF(W1396=1,"",IF(AND(Y1396=1,AA1396&lt;&gt;1),1,0))</f>
        <v/>
      </c>
      <c r="AD1396" s="33" t="str">
        <f aca="false">IF(AND(E1396&gt;0,W1396&lt;1,NOT(AND(C1397=C1396,W1397=W1396+1))),INDEX(DATAS,W1396+1),"")</f>
        <v/>
      </c>
      <c r="AE1396" s="33" t="str">
        <f aca="false">IF(AND(Y1396=1,W1396&lt;1),IF(AND(C1397=C1396,W1397=W1396+1),IF(Y1397=1,"",INDEX(DATAS,W1396+1)),INDEX(DATAS,W1396+1)),"")</f>
        <v/>
      </c>
    </row>
    <row r="1397" customFormat="false" ht="15" hidden="false" customHeight="false" outlineLevel="0" collapsed="false">
      <c r="A1397" s="33" t="n">
        <v>46309</v>
      </c>
      <c r="B1397" s="0" t="n">
        <v>4</v>
      </c>
      <c r="C1397" s="0" t="n">
        <v>5510</v>
      </c>
      <c r="D1397" s="0" t="n">
        <v>256</v>
      </c>
      <c r="E1397" s="0" t="n">
        <v>1</v>
      </c>
      <c r="F1397" s="27" t="s">
        <v>914</v>
      </c>
      <c r="G1397" s="0" t="n">
        <v>49.2</v>
      </c>
      <c r="H1397" s="0" t="n">
        <v>45</v>
      </c>
      <c r="I1397" s="27" t="s">
        <v>138</v>
      </c>
      <c r="J1397" s="0" t="n">
        <v>193</v>
      </c>
      <c r="K1397" s="0" t="n">
        <v>67</v>
      </c>
      <c r="L1397" s="0" t="n">
        <v>63</v>
      </c>
      <c r="M1397" s="0" t="n">
        <v>713.84</v>
      </c>
      <c r="N1397" s="0" t="n">
        <v>62.65</v>
      </c>
      <c r="O1397" s="0" t="n">
        <v>11.33</v>
      </c>
      <c r="P1397" s="0" t="n">
        <v>4.27</v>
      </c>
      <c r="Q1397" s="0" t="n">
        <v>3.35</v>
      </c>
      <c r="R1397" s="0" t="n">
        <v>4027</v>
      </c>
      <c r="S1397" s="0" t="n">
        <v>8377</v>
      </c>
      <c r="T1397" s="0" t="n">
        <v>39.9</v>
      </c>
      <c r="U1397" s="0" t="n">
        <v>899</v>
      </c>
      <c r="V1397" s="0" t="n">
        <v>4</v>
      </c>
      <c r="W1397" s="27" t="n">
        <f aca="false">MATCH(A1397,DATAS,0)</f>
        <v>1</v>
      </c>
      <c r="X1397" s="27" t="n">
        <f aca="false">IF(AND(E1397&gt;0,OR(AND(B1397&gt;=1,B1397&lt;=6),B1397=10)),1,0)</f>
        <v>1</v>
      </c>
      <c r="Y1397" s="27" t="n">
        <f aca="false">IF(AND(E1397&gt;0,B1397=10),1,0)</f>
        <v>0</v>
      </c>
      <c r="Z1397" s="0" t="str">
        <f aca="false">IF(AND(C1396=C1397,W1396=W1397-1),X1396,"")</f>
        <v/>
      </c>
      <c r="AA1397" s="0" t="str">
        <f aca="false">IF(AND(C1396=C1397,W1396=W1397-1),Y1396,"")</f>
        <v/>
      </c>
      <c r="AB1397" s="0" t="str">
        <f aca="false">IF(W1397=1,"",IF(AND(X1397=1,Z1397&lt;&gt;1),1,0))</f>
        <v/>
      </c>
      <c r="AC1397" s="0" t="str">
        <f aca="false">IF(W1397=1,"",IF(AND(Y1397=1,AA1397&lt;&gt;1),1,0))</f>
        <v/>
      </c>
      <c r="AD1397" s="33" t="str">
        <f aca="false">IF(AND(E1397&gt;0,W1397&lt;1,NOT(AND(C1398=C1397,W1398=W1397+1))),INDEX(DATAS,W1397+1),"")</f>
        <v/>
      </c>
      <c r="AE1397" s="33" t="str">
        <f aca="false">IF(AND(Y1397=1,W1397&lt;1),IF(AND(C1398=C1397,W1398=W1397+1),IF(Y1398=1,"",INDEX(DATAS,W1397+1)),INDEX(DATAS,W1397+1)),"")</f>
        <v/>
      </c>
    </row>
    <row r="1398" customFormat="false" ht="15" hidden="false" customHeight="false" outlineLevel="0" collapsed="false">
      <c r="A1398" s="33" t="n">
        <v>46309</v>
      </c>
      <c r="B1398" s="0" t="n">
        <v>4</v>
      </c>
      <c r="C1398" s="0" t="n">
        <v>5511</v>
      </c>
      <c r="D1398" s="0" t="n">
        <v>260</v>
      </c>
      <c r="E1398" s="0" t="n">
        <v>1</v>
      </c>
      <c r="F1398" s="27" t="s">
        <v>914</v>
      </c>
      <c r="G1398" s="0" t="n">
        <v>35.1</v>
      </c>
      <c r="H1398" s="0" t="n">
        <v>31</v>
      </c>
      <c r="I1398" s="27" t="s">
        <v>138</v>
      </c>
      <c r="J1398" s="0" t="n">
        <v>64</v>
      </c>
      <c r="K1398" s="0" t="n">
        <v>64</v>
      </c>
      <c r="L1398" s="0" t="n">
        <v>196</v>
      </c>
      <c r="M1398" s="0" t="n">
        <v>768.15</v>
      </c>
      <c r="N1398" s="0" t="n">
        <v>46.72</v>
      </c>
      <c r="O1398" s="0" t="n">
        <v>43.69</v>
      </c>
      <c r="P1398" s="0" t="n">
        <v>3.8</v>
      </c>
      <c r="Q1398" s="0" t="n">
        <v>3.83</v>
      </c>
      <c r="R1398" s="0" t="n">
        <v>3613</v>
      </c>
      <c r="S1398" s="0" t="n">
        <v>8392</v>
      </c>
      <c r="T1398" s="0" t="n">
        <v>35.05</v>
      </c>
      <c r="U1398" s="0" t="n">
        <v>899</v>
      </c>
      <c r="V1398" s="0" t="n">
        <v>1</v>
      </c>
      <c r="W1398" s="27" t="n">
        <f aca="false">MATCH(A1398,DATAS,0)</f>
        <v>1</v>
      </c>
      <c r="X1398" s="27" t="n">
        <f aca="false">IF(AND(E1398&gt;0,OR(AND(B1398&gt;=1,B1398&lt;=6),B1398=10)),1,0)</f>
        <v>1</v>
      </c>
      <c r="Y1398" s="27" t="n">
        <f aca="false">IF(AND(E1398&gt;0,B1398=10),1,0)</f>
        <v>0</v>
      </c>
      <c r="Z1398" s="0" t="str">
        <f aca="false">IF(AND(C1397=C1398,W1397=W1398-1),X1397,"")</f>
        <v/>
      </c>
      <c r="AA1398" s="0" t="str">
        <f aca="false">IF(AND(C1397=C1398,W1397=W1398-1),Y1397,"")</f>
        <v/>
      </c>
      <c r="AB1398" s="0" t="str">
        <f aca="false">IF(W1398=1,"",IF(AND(X1398=1,Z1398&lt;&gt;1),1,0))</f>
        <v/>
      </c>
      <c r="AC1398" s="0" t="str">
        <f aca="false">IF(W1398=1,"",IF(AND(Y1398=1,AA1398&lt;&gt;1),1,0))</f>
        <v/>
      </c>
      <c r="AD1398" s="33" t="str">
        <f aca="false">IF(AND(E1398&gt;0,W1398&lt;1,NOT(AND(C1399=C1398,W1399=W1398+1))),INDEX(DATAS,W1398+1),"")</f>
        <v/>
      </c>
      <c r="AE1398" s="33" t="str">
        <f aca="false">IF(AND(Y1398=1,W1398&lt;1),IF(AND(C1399=C1398,W1399=W1398+1),IF(Y1399=1,"",INDEX(DATAS,W1398+1)),INDEX(DATAS,W1398+1)),"")</f>
        <v/>
      </c>
    </row>
    <row r="1399" customFormat="false" ht="15" hidden="false" customHeight="false" outlineLevel="0" collapsed="false">
      <c r="A1399" s="33" t="n">
        <v>46309</v>
      </c>
      <c r="B1399" s="0" t="n">
        <v>4</v>
      </c>
      <c r="C1399" s="0" t="n">
        <v>5513</v>
      </c>
      <c r="D1399" s="0" t="n">
        <v>185</v>
      </c>
      <c r="E1399" s="0" t="n">
        <v>1</v>
      </c>
      <c r="F1399" s="27" t="s">
        <v>916</v>
      </c>
      <c r="G1399" s="0" t="n">
        <v>53.1</v>
      </c>
      <c r="H1399" s="0" t="n">
        <v>53</v>
      </c>
      <c r="I1399" s="27" t="s">
        <v>168</v>
      </c>
      <c r="J1399" s="0" t="n">
        <v>185</v>
      </c>
      <c r="K1399" s="0" t="n">
        <v>66</v>
      </c>
      <c r="M1399" s="0" t="n">
        <v>793.05</v>
      </c>
      <c r="N1399" s="0" t="n">
        <v>67.59</v>
      </c>
      <c r="O1399" s="0" t="n">
        <v>29.19</v>
      </c>
      <c r="P1399" s="0" t="n">
        <v>3.13</v>
      </c>
      <c r="Q1399" s="0" t="n">
        <v>3.61</v>
      </c>
      <c r="R1399" s="0" t="n">
        <v>4788</v>
      </c>
      <c r="S1399" s="0" t="n">
        <v>10611</v>
      </c>
      <c r="T1399" s="0" t="n">
        <v>48.7</v>
      </c>
      <c r="U1399" s="0" t="n">
        <v>898</v>
      </c>
      <c r="V1399" s="0" t="n">
        <v>3</v>
      </c>
      <c r="W1399" s="27" t="n">
        <f aca="false">MATCH(A1399,DATAS,0)</f>
        <v>1</v>
      </c>
      <c r="X1399" s="27" t="n">
        <f aca="false">IF(AND(E1399&gt;0,OR(AND(B1399&gt;=1,B1399&lt;=6),B1399=10)),1,0)</f>
        <v>1</v>
      </c>
      <c r="Y1399" s="27" t="n">
        <f aca="false">IF(AND(E1399&gt;0,B1399=10),1,0)</f>
        <v>0</v>
      </c>
      <c r="Z1399" s="0" t="str">
        <f aca="false">IF(AND(C1398=C1399,W1398=W1399-1),X1398,"")</f>
        <v/>
      </c>
      <c r="AA1399" s="0" t="str">
        <f aca="false">IF(AND(C1398=C1399,W1398=W1399-1),Y1398,"")</f>
        <v/>
      </c>
      <c r="AB1399" s="0" t="str">
        <f aca="false">IF(W1399=1,"",IF(AND(X1399=1,Z1399&lt;&gt;1),1,0))</f>
        <v/>
      </c>
      <c r="AC1399" s="0" t="str">
        <f aca="false">IF(W1399=1,"",IF(AND(Y1399=1,AA1399&lt;&gt;1),1,0))</f>
        <v/>
      </c>
      <c r="AD1399" s="33" t="str">
        <f aca="false">IF(AND(E1399&gt;0,W1399&lt;1,NOT(AND(C1400=C1399,W1400=W1399+1))),INDEX(DATAS,W1399+1),"")</f>
        <v/>
      </c>
      <c r="AE1399" s="33" t="str">
        <f aca="false">IF(AND(Y1399=1,W1399&lt;1),IF(AND(C1400=C1399,W1400=W1399+1),IF(Y1400=1,"",INDEX(DATAS,W1399+1)),INDEX(DATAS,W1399+1)),"")</f>
        <v/>
      </c>
    </row>
    <row r="1400" customFormat="false" ht="15" hidden="false" customHeight="false" outlineLevel="0" collapsed="false">
      <c r="A1400" s="33" t="n">
        <v>46309</v>
      </c>
      <c r="B1400" s="0" t="n">
        <v>4</v>
      </c>
      <c r="C1400" s="0" t="n">
        <v>5514</v>
      </c>
      <c r="D1400" s="0" t="n">
        <v>253</v>
      </c>
      <c r="E1400" s="0" t="n">
        <v>1</v>
      </c>
      <c r="F1400" s="27" t="s">
        <v>916</v>
      </c>
      <c r="G1400" s="0" t="n">
        <v>43.5</v>
      </c>
      <c r="H1400" s="0" t="n">
        <v>43</v>
      </c>
      <c r="I1400" s="27" t="s">
        <v>138</v>
      </c>
      <c r="J1400" s="0" t="n">
        <v>148</v>
      </c>
      <c r="K1400" s="0" t="n">
        <v>64</v>
      </c>
      <c r="L1400" s="0" t="n">
        <v>105</v>
      </c>
      <c r="M1400" s="0" t="n">
        <v>254.4</v>
      </c>
      <c r="N1400" s="0" t="n">
        <v>42.48</v>
      </c>
      <c r="O1400" s="0" t="n">
        <v>20.54</v>
      </c>
      <c r="P1400" s="0" t="n">
        <v>3.49</v>
      </c>
      <c r="Q1400" s="0" t="n">
        <v>3.58</v>
      </c>
      <c r="R1400" s="0" t="n">
        <v>3408</v>
      </c>
      <c r="S1400" s="0" t="n">
        <v>8068</v>
      </c>
      <c r="T1400" s="0" t="n">
        <v>37.5</v>
      </c>
      <c r="U1400" s="0" t="n">
        <v>898</v>
      </c>
      <c r="V1400" s="0" t="n">
        <v>5</v>
      </c>
      <c r="W1400" s="27" t="n">
        <f aca="false">MATCH(A1400,DATAS,0)</f>
        <v>1</v>
      </c>
      <c r="X1400" s="27" t="n">
        <f aca="false">IF(AND(E1400&gt;0,OR(AND(B1400&gt;=1,B1400&lt;=6),B1400=10)),1,0)</f>
        <v>1</v>
      </c>
      <c r="Y1400" s="27" t="n">
        <f aca="false">IF(AND(E1400&gt;0,B1400=10),1,0)</f>
        <v>0</v>
      </c>
      <c r="Z1400" s="0" t="str">
        <f aca="false">IF(AND(C1399=C1400,W1399=W1400-1),X1399,"")</f>
        <v/>
      </c>
      <c r="AA1400" s="0" t="str">
        <f aca="false">IF(AND(C1399=C1400,W1399=W1400-1),Y1399,"")</f>
        <v/>
      </c>
      <c r="AB1400" s="0" t="str">
        <f aca="false">IF(W1400=1,"",IF(AND(X1400=1,Z1400&lt;&gt;1),1,0))</f>
        <v/>
      </c>
      <c r="AC1400" s="0" t="str">
        <f aca="false">IF(W1400=1,"",IF(AND(Y1400=1,AA1400&lt;&gt;1),1,0))</f>
        <v/>
      </c>
      <c r="AD1400" s="33" t="str">
        <f aca="false">IF(AND(E1400&gt;0,W1400&lt;1,NOT(AND(C1401=C1400,W1401=W1400+1))),INDEX(DATAS,W1400+1),"")</f>
        <v/>
      </c>
      <c r="AE1400" s="33" t="str">
        <f aca="false">IF(AND(Y1400=1,W1400&lt;1),IF(AND(C1401=C1400,W1401=W1400+1),IF(Y1401=1,"",INDEX(DATAS,W1400+1)),INDEX(DATAS,W1400+1)),"")</f>
        <v/>
      </c>
    </row>
    <row r="1401" customFormat="false" ht="15" hidden="false" customHeight="false" outlineLevel="0" collapsed="false">
      <c r="A1401" s="33" t="n">
        <v>46309</v>
      </c>
      <c r="B1401" s="0" t="n">
        <v>4</v>
      </c>
      <c r="C1401" s="0" t="n">
        <v>5515</v>
      </c>
      <c r="D1401" s="0" t="n">
        <v>182</v>
      </c>
      <c r="E1401" s="0" t="n">
        <v>1</v>
      </c>
      <c r="F1401" s="27" t="s">
        <v>916</v>
      </c>
      <c r="G1401" s="0" t="n">
        <v>57.5</v>
      </c>
      <c r="H1401" s="0" t="n">
        <v>56</v>
      </c>
      <c r="I1401" s="27" t="s">
        <v>176</v>
      </c>
      <c r="J1401" s="0" t="n">
        <v>182</v>
      </c>
      <c r="K1401" s="0" t="n">
        <v>63</v>
      </c>
      <c r="M1401" s="0" t="n">
        <v>435.56</v>
      </c>
      <c r="N1401" s="0" t="n">
        <v>58.34</v>
      </c>
      <c r="O1401" s="0" t="n">
        <v>29.22</v>
      </c>
      <c r="P1401" s="0" t="n">
        <v>3</v>
      </c>
      <c r="Q1401" s="0" t="n">
        <v>3.42</v>
      </c>
      <c r="R1401" s="0" t="n">
        <v>4587</v>
      </c>
      <c r="S1401" s="0" t="n">
        <v>10193</v>
      </c>
      <c r="T1401" s="0" t="n">
        <v>56.15</v>
      </c>
      <c r="U1401" s="0" t="n">
        <v>898</v>
      </c>
      <c r="V1401" s="0" t="n">
        <v>3</v>
      </c>
      <c r="W1401" s="27" t="n">
        <f aca="false">MATCH(A1401,DATAS,0)</f>
        <v>1</v>
      </c>
      <c r="X1401" s="27" t="n">
        <f aca="false">IF(AND(E1401&gt;0,OR(AND(B1401&gt;=1,B1401&lt;=6),B1401=10)),1,0)</f>
        <v>1</v>
      </c>
      <c r="Y1401" s="27" t="n">
        <f aca="false">IF(AND(E1401&gt;0,B1401=10),1,0)</f>
        <v>0</v>
      </c>
      <c r="Z1401" s="0" t="str">
        <f aca="false">IF(AND(C1400=C1401,W1400=W1401-1),X1400,"")</f>
        <v/>
      </c>
      <c r="AA1401" s="0" t="str">
        <f aca="false">IF(AND(C1400=C1401,W1400=W1401-1),Y1400,"")</f>
        <v/>
      </c>
      <c r="AB1401" s="0" t="str">
        <f aca="false">IF(W1401=1,"",IF(AND(X1401=1,Z1401&lt;&gt;1),1,0))</f>
        <v/>
      </c>
      <c r="AC1401" s="0" t="str">
        <f aca="false">IF(W1401=1,"",IF(AND(Y1401=1,AA1401&lt;&gt;1),1,0))</f>
        <v/>
      </c>
      <c r="AD1401" s="33" t="str">
        <f aca="false">IF(AND(E1401&gt;0,W1401&lt;1,NOT(AND(C1402=C1401,W1402=W1401+1))),INDEX(DATAS,W1401+1),"")</f>
        <v/>
      </c>
      <c r="AE1401" s="33" t="str">
        <f aca="false">IF(AND(Y1401=1,W1401&lt;1),IF(AND(C1402=C1401,W1402=W1401+1),IF(Y1402=1,"",INDEX(DATAS,W1401+1)),INDEX(DATAS,W1401+1)),"")</f>
        <v/>
      </c>
    </row>
    <row r="1402" customFormat="false" ht="15" hidden="false" customHeight="false" outlineLevel="0" collapsed="false">
      <c r="A1402" s="33" t="n">
        <v>46309</v>
      </c>
      <c r="B1402" s="0" t="n">
        <v>4</v>
      </c>
      <c r="C1402" s="0" t="n">
        <v>5516</v>
      </c>
      <c r="D1402" s="0" t="n">
        <v>263</v>
      </c>
      <c r="E1402" s="0" t="n">
        <v>1</v>
      </c>
      <c r="F1402" s="27" t="s">
        <v>916</v>
      </c>
      <c r="G1402" s="0" t="n">
        <v>48.5</v>
      </c>
      <c r="H1402" s="0" t="n">
        <v>50</v>
      </c>
      <c r="I1402" s="27" t="s">
        <v>138</v>
      </c>
      <c r="J1402" s="0" t="n">
        <v>67</v>
      </c>
      <c r="K1402" s="0" t="n">
        <v>67</v>
      </c>
      <c r="L1402" s="0" t="n">
        <v>196</v>
      </c>
      <c r="M1402" s="0" t="n">
        <v>945.4</v>
      </c>
      <c r="N1402" s="0" t="n">
        <v>36.17</v>
      </c>
      <c r="O1402" s="0" t="n">
        <v>31.39</v>
      </c>
      <c r="P1402" s="0" t="n">
        <v>4.2</v>
      </c>
      <c r="Q1402" s="0" t="n">
        <v>3.24</v>
      </c>
      <c r="R1402" s="0" t="n">
        <v>4514</v>
      </c>
      <c r="S1402" s="0" t="n">
        <v>10482</v>
      </c>
      <c r="T1402" s="0" t="n">
        <v>46.3</v>
      </c>
      <c r="U1402" s="0" t="n">
        <v>898</v>
      </c>
      <c r="V1402" s="0" t="n">
        <v>1</v>
      </c>
      <c r="W1402" s="27" t="n">
        <f aca="false">MATCH(A1402,DATAS,0)</f>
        <v>1</v>
      </c>
      <c r="X1402" s="27" t="n">
        <f aca="false">IF(AND(E1402&gt;0,OR(AND(B1402&gt;=1,B1402&lt;=6),B1402=10)),1,0)</f>
        <v>1</v>
      </c>
      <c r="Y1402" s="27" t="n">
        <f aca="false">IF(AND(E1402&gt;0,B1402=10),1,0)</f>
        <v>0</v>
      </c>
      <c r="Z1402" s="0" t="str">
        <f aca="false">IF(AND(C1401=C1402,W1401=W1402-1),X1401,"")</f>
        <v/>
      </c>
      <c r="AA1402" s="0" t="str">
        <f aca="false">IF(AND(C1401=C1402,W1401=W1402-1),Y1401,"")</f>
        <v/>
      </c>
      <c r="AB1402" s="0" t="str">
        <f aca="false">IF(W1402=1,"",IF(AND(X1402=1,Z1402&lt;&gt;1),1,0))</f>
        <v/>
      </c>
      <c r="AC1402" s="0" t="str">
        <f aca="false">IF(W1402=1,"",IF(AND(Y1402=1,AA1402&lt;&gt;1),1,0))</f>
        <v/>
      </c>
      <c r="AD1402" s="33" t="str">
        <f aca="false">IF(AND(E1402&gt;0,W1402&lt;1,NOT(AND(C1403=C1402,W1403=W1402+1))),INDEX(DATAS,W1402+1),"")</f>
        <v/>
      </c>
      <c r="AE1402" s="33" t="str">
        <f aca="false">IF(AND(Y1402=1,W1402&lt;1),IF(AND(C1403=C1402,W1403=W1402+1),IF(Y1403=1,"",INDEX(DATAS,W1402+1)),INDEX(DATAS,W1402+1)),"")</f>
        <v/>
      </c>
    </row>
    <row r="1403" customFormat="false" ht="15" hidden="false" customHeight="false" outlineLevel="0" collapsed="false">
      <c r="A1403" s="33" t="n">
        <v>46309</v>
      </c>
      <c r="B1403" s="0" t="n">
        <v>4</v>
      </c>
      <c r="C1403" s="0" t="n">
        <v>5518</v>
      </c>
      <c r="D1403" s="0" t="n">
        <v>250</v>
      </c>
      <c r="E1403" s="0" t="n">
        <v>1</v>
      </c>
      <c r="F1403" s="27" t="s">
        <v>915</v>
      </c>
      <c r="G1403" s="0" t="n">
        <v>28.2</v>
      </c>
      <c r="H1403" s="0" t="n">
        <v>32</v>
      </c>
      <c r="I1403" s="27" t="s">
        <v>138</v>
      </c>
      <c r="J1403" s="0" t="n">
        <v>124</v>
      </c>
      <c r="K1403" s="0" t="n">
        <v>68</v>
      </c>
      <c r="L1403" s="0" t="n">
        <v>126</v>
      </c>
      <c r="M1403" s="0" t="n">
        <v>382.46</v>
      </c>
      <c r="N1403" s="0" t="n">
        <v>82.96</v>
      </c>
      <c r="O1403" s="0" t="n">
        <v>28.99</v>
      </c>
      <c r="P1403" s="0" t="n">
        <v>4.22</v>
      </c>
      <c r="Q1403" s="0" t="n">
        <v>3.41</v>
      </c>
      <c r="R1403" s="0" t="n">
        <v>4134</v>
      </c>
      <c r="S1403" s="0" t="n">
        <v>9074</v>
      </c>
      <c r="T1403" s="0" t="n">
        <v>45.95</v>
      </c>
      <c r="U1403" s="0" t="n">
        <v>897</v>
      </c>
      <c r="V1403" s="0" t="n">
        <v>3</v>
      </c>
      <c r="W1403" s="27" t="n">
        <f aca="false">MATCH(A1403,DATAS,0)</f>
        <v>1</v>
      </c>
      <c r="X1403" s="27" t="n">
        <f aca="false">IF(AND(E1403&gt;0,OR(AND(B1403&gt;=1,B1403&lt;=6),B1403=10)),1,0)</f>
        <v>1</v>
      </c>
      <c r="Y1403" s="27" t="n">
        <f aca="false">IF(AND(E1403&gt;0,B1403=10),1,0)</f>
        <v>0</v>
      </c>
      <c r="Z1403" s="0" t="str">
        <f aca="false">IF(AND(C1402=C1403,W1402=W1403-1),X1402,"")</f>
        <v/>
      </c>
      <c r="AA1403" s="0" t="str">
        <f aca="false">IF(AND(C1402=C1403,W1402=W1403-1),Y1402,"")</f>
        <v/>
      </c>
      <c r="AB1403" s="0" t="str">
        <f aca="false">IF(W1403=1,"",IF(AND(X1403=1,Z1403&lt;&gt;1),1,0))</f>
        <v/>
      </c>
      <c r="AC1403" s="0" t="str">
        <f aca="false">IF(W1403=1,"",IF(AND(Y1403=1,AA1403&lt;&gt;1),1,0))</f>
        <v/>
      </c>
      <c r="AD1403" s="33" t="str">
        <f aca="false">IF(AND(E1403&gt;0,W1403&lt;1,NOT(AND(C1404=C1403,W1404=W1403+1))),INDEX(DATAS,W1403+1),"")</f>
        <v/>
      </c>
      <c r="AE1403" s="33" t="str">
        <f aca="false">IF(AND(Y1403=1,W1403&lt;1),IF(AND(C1404=C1403,W1404=W1403+1),IF(Y1404=1,"",INDEX(DATAS,W1403+1)),INDEX(DATAS,W1403+1)),"")</f>
        <v/>
      </c>
    </row>
    <row r="1404" customFormat="false" ht="15" hidden="false" customHeight="false" outlineLevel="0" collapsed="false">
      <c r="A1404" s="33" t="n">
        <v>46309</v>
      </c>
      <c r="B1404" s="0" t="n">
        <v>4</v>
      </c>
      <c r="C1404" s="0" t="n">
        <v>5519</v>
      </c>
      <c r="D1404" s="0" t="n">
        <v>191</v>
      </c>
      <c r="E1404" s="0" t="n">
        <v>1</v>
      </c>
      <c r="F1404" s="27" t="s">
        <v>915</v>
      </c>
      <c r="G1404" s="0" t="n">
        <v>52.1</v>
      </c>
      <c r="H1404" s="0" t="n">
        <v>52</v>
      </c>
      <c r="I1404" s="27" t="s">
        <v>168</v>
      </c>
      <c r="J1404" s="0" t="n">
        <v>191</v>
      </c>
      <c r="K1404" s="0" t="n">
        <v>65</v>
      </c>
      <c r="M1404" s="0" t="n">
        <v>333.18</v>
      </c>
      <c r="N1404" s="0" t="n">
        <v>48.45</v>
      </c>
      <c r="O1404" s="0" t="n">
        <v>15.97</v>
      </c>
      <c r="P1404" s="0" t="n">
        <v>4.16</v>
      </c>
      <c r="Q1404" s="0" t="n">
        <v>3.1</v>
      </c>
      <c r="R1404" s="0" t="n">
        <v>4326</v>
      </c>
      <c r="S1404" s="0" t="n">
        <v>9536</v>
      </c>
      <c r="T1404" s="0" t="n">
        <v>44.2</v>
      </c>
      <c r="U1404" s="0" t="n">
        <v>897</v>
      </c>
      <c r="V1404" s="0" t="n">
        <v>4</v>
      </c>
      <c r="W1404" s="27" t="n">
        <f aca="false">MATCH(A1404,DATAS,0)</f>
        <v>1</v>
      </c>
      <c r="X1404" s="27" t="n">
        <f aca="false">IF(AND(E1404&gt;0,OR(AND(B1404&gt;=1,B1404&lt;=6),B1404=10)),1,0)</f>
        <v>1</v>
      </c>
      <c r="Y1404" s="27" t="n">
        <f aca="false">IF(AND(E1404&gt;0,B1404=10),1,0)</f>
        <v>0</v>
      </c>
      <c r="Z1404" s="0" t="str">
        <f aca="false">IF(AND(C1403=C1404,W1403=W1404-1),X1403,"")</f>
        <v/>
      </c>
      <c r="AA1404" s="0" t="str">
        <f aca="false">IF(AND(C1403=C1404,W1403=W1404-1),Y1403,"")</f>
        <v/>
      </c>
      <c r="AB1404" s="0" t="str">
        <f aca="false">IF(W1404=1,"",IF(AND(X1404=1,Z1404&lt;&gt;1),1,0))</f>
        <v/>
      </c>
      <c r="AC1404" s="0" t="str">
        <f aca="false">IF(W1404=1,"",IF(AND(Y1404=1,AA1404&lt;&gt;1),1,0))</f>
        <v/>
      </c>
      <c r="AD1404" s="33" t="str">
        <f aca="false">IF(AND(E1404&gt;0,W1404&lt;1,NOT(AND(C1405=C1404,W1405=W1404+1))),INDEX(DATAS,W1404+1),"")</f>
        <v/>
      </c>
      <c r="AE1404" s="33" t="str">
        <f aca="false">IF(AND(Y1404=1,W1404&lt;1),IF(AND(C1405=C1404,W1405=W1404+1),IF(Y1405=1,"",INDEX(DATAS,W1404+1)),INDEX(DATAS,W1404+1)),"")</f>
        <v/>
      </c>
    </row>
    <row r="1405" customFormat="false" ht="15" hidden="false" customHeight="false" outlineLevel="0" collapsed="false">
      <c r="A1405" s="33" t="n">
        <v>46309</v>
      </c>
      <c r="B1405" s="0" t="n">
        <v>4</v>
      </c>
      <c r="C1405" s="0" t="n">
        <v>5520</v>
      </c>
      <c r="D1405" s="0" t="n">
        <v>195</v>
      </c>
      <c r="E1405" s="0" t="n">
        <v>1</v>
      </c>
      <c r="F1405" s="27" t="s">
        <v>915</v>
      </c>
      <c r="G1405" s="0" t="n">
        <v>55.5</v>
      </c>
      <c r="H1405" s="0" t="n">
        <v>51</v>
      </c>
      <c r="I1405" s="27" t="s">
        <v>138</v>
      </c>
      <c r="J1405" s="0" t="n">
        <v>62</v>
      </c>
      <c r="K1405" s="0" t="n">
        <v>62</v>
      </c>
      <c r="L1405" s="0" t="n">
        <v>133</v>
      </c>
      <c r="M1405" s="0" t="n">
        <v>607.18</v>
      </c>
      <c r="N1405" s="0" t="n">
        <v>47.51</v>
      </c>
      <c r="O1405" s="0" t="n">
        <v>22</v>
      </c>
      <c r="P1405" s="0" t="n">
        <v>3.61</v>
      </c>
      <c r="Q1405" s="0" t="n">
        <v>3.1</v>
      </c>
      <c r="R1405" s="0" t="n">
        <v>4230</v>
      </c>
      <c r="S1405" s="0" t="n">
        <v>9541</v>
      </c>
      <c r="T1405" s="0" t="n">
        <v>45.95</v>
      </c>
      <c r="U1405" s="0" t="n">
        <v>897</v>
      </c>
      <c r="V1405" s="0" t="n">
        <v>1</v>
      </c>
      <c r="W1405" s="27" t="n">
        <f aca="false">MATCH(A1405,DATAS,0)</f>
        <v>1</v>
      </c>
      <c r="X1405" s="27" t="n">
        <f aca="false">IF(AND(E1405&gt;0,OR(AND(B1405&gt;=1,B1405&lt;=6),B1405=10)),1,0)</f>
        <v>1</v>
      </c>
      <c r="Y1405" s="27" t="n">
        <f aca="false">IF(AND(E1405&gt;0,B1405=10),1,0)</f>
        <v>0</v>
      </c>
      <c r="Z1405" s="0" t="str">
        <f aca="false">IF(AND(C1404=C1405,W1404=W1405-1),X1404,"")</f>
        <v/>
      </c>
      <c r="AA1405" s="0" t="str">
        <f aca="false">IF(AND(C1404=C1405,W1404=W1405-1),Y1404,"")</f>
        <v/>
      </c>
      <c r="AB1405" s="0" t="str">
        <f aca="false">IF(W1405=1,"",IF(AND(X1405=1,Z1405&lt;&gt;1),1,0))</f>
        <v/>
      </c>
      <c r="AC1405" s="0" t="str">
        <f aca="false">IF(W1405=1,"",IF(AND(Y1405=1,AA1405&lt;&gt;1),1,0))</f>
        <v/>
      </c>
      <c r="AD1405" s="33" t="str">
        <f aca="false">IF(AND(E1405&gt;0,W1405&lt;1,NOT(AND(C1406=C1405,W1406=W1405+1))),INDEX(DATAS,W1405+1),"")</f>
        <v/>
      </c>
      <c r="AE1405" s="33" t="str">
        <f aca="false">IF(AND(Y1405=1,W1405&lt;1),IF(AND(C1406=C1405,W1406=W1405+1),IF(Y1406=1,"",INDEX(DATAS,W1405+1)),INDEX(DATAS,W1405+1)),"")</f>
        <v/>
      </c>
    </row>
    <row r="1406" customFormat="false" ht="15" hidden="false" customHeight="false" outlineLevel="0" collapsed="false">
      <c r="A1406" s="33" t="n">
        <v>46309</v>
      </c>
      <c r="B1406" s="0" t="n">
        <v>4</v>
      </c>
      <c r="C1406" s="0" t="n">
        <v>5521</v>
      </c>
      <c r="D1406" s="0" t="n">
        <v>264</v>
      </c>
      <c r="E1406" s="0" t="n">
        <v>1</v>
      </c>
      <c r="F1406" s="27" t="s">
        <v>915</v>
      </c>
      <c r="G1406" s="0" t="n">
        <v>45.9</v>
      </c>
      <c r="H1406" s="0" t="n">
        <v>45</v>
      </c>
      <c r="I1406" s="27" t="s">
        <v>138</v>
      </c>
      <c r="J1406" s="0" t="n">
        <v>145</v>
      </c>
      <c r="K1406" s="0" t="n">
        <v>68</v>
      </c>
      <c r="L1406" s="0" t="n">
        <v>119</v>
      </c>
      <c r="M1406" s="0" t="n">
        <v>1207.3</v>
      </c>
      <c r="N1406" s="0" t="n">
        <v>74.69</v>
      </c>
      <c r="O1406" s="0" t="n">
        <v>51.73</v>
      </c>
      <c r="P1406" s="0" t="n">
        <v>3.11</v>
      </c>
      <c r="Q1406" s="0" t="n">
        <v>3.72</v>
      </c>
      <c r="R1406" s="0" t="n">
        <v>5019</v>
      </c>
      <c r="S1406" s="0" t="n">
        <v>10857</v>
      </c>
      <c r="T1406" s="0" t="n">
        <v>53</v>
      </c>
      <c r="U1406" s="0" t="n">
        <v>897</v>
      </c>
      <c r="V1406" s="0" t="n">
        <v>3</v>
      </c>
      <c r="W1406" s="27" t="n">
        <f aca="false">MATCH(A1406,DATAS,0)</f>
        <v>1</v>
      </c>
      <c r="X1406" s="27" t="n">
        <f aca="false">IF(AND(E1406&gt;0,OR(AND(B1406&gt;=1,B1406&lt;=6),B1406=10)),1,0)</f>
        <v>1</v>
      </c>
      <c r="Y1406" s="27" t="n">
        <f aca="false">IF(AND(E1406&gt;0,B1406=10),1,0)</f>
        <v>0</v>
      </c>
      <c r="Z1406" s="0" t="str">
        <f aca="false">IF(AND(C1405=C1406,W1405=W1406-1),X1405,"")</f>
        <v/>
      </c>
      <c r="AA1406" s="0" t="str">
        <f aca="false">IF(AND(C1405=C1406,W1405=W1406-1),Y1405,"")</f>
        <v/>
      </c>
      <c r="AB1406" s="0" t="str">
        <f aca="false">IF(W1406=1,"",IF(AND(X1406=1,Z1406&lt;&gt;1),1,0))</f>
        <v/>
      </c>
      <c r="AC1406" s="0" t="str">
        <f aca="false">IF(W1406=1,"",IF(AND(Y1406=1,AA1406&lt;&gt;1),1,0))</f>
        <v/>
      </c>
      <c r="AD1406" s="33" t="str">
        <f aca="false">IF(AND(E1406&gt;0,W1406&lt;1,NOT(AND(C1407=C1406,W1407=W1406+1))),INDEX(DATAS,W1406+1),"")</f>
        <v/>
      </c>
      <c r="AE1406" s="33" t="str">
        <f aca="false">IF(AND(Y1406=1,W1406&lt;1),IF(AND(C1407=C1406,W1407=W1406+1),IF(Y1407=1,"",INDEX(DATAS,W1406+1)),INDEX(DATAS,W1406+1)),"")</f>
        <v/>
      </c>
    </row>
    <row r="1407" customFormat="false" ht="15" hidden="false" customHeight="false" outlineLevel="0" collapsed="false">
      <c r="A1407" s="33" t="n">
        <v>46309</v>
      </c>
      <c r="B1407" s="0" t="n">
        <v>4</v>
      </c>
      <c r="C1407" s="0" t="n">
        <v>5523</v>
      </c>
      <c r="D1407" s="0" t="n">
        <v>253</v>
      </c>
      <c r="E1407" s="0" t="n">
        <v>1</v>
      </c>
      <c r="F1407" s="27" t="s">
        <v>915</v>
      </c>
      <c r="G1407" s="0" t="n">
        <v>48.7</v>
      </c>
      <c r="H1407" s="0" t="n">
        <v>49</v>
      </c>
      <c r="I1407" s="27" t="s">
        <v>138</v>
      </c>
      <c r="J1407" s="0" t="n">
        <v>211</v>
      </c>
      <c r="K1407" s="0" t="n">
        <v>64</v>
      </c>
      <c r="L1407" s="0" t="n">
        <v>42</v>
      </c>
      <c r="M1407" s="0" t="n">
        <v>189.63</v>
      </c>
      <c r="N1407" s="0" t="n">
        <v>79.91</v>
      </c>
      <c r="O1407" s="0" t="n">
        <v>32.87</v>
      </c>
      <c r="P1407" s="0" t="n">
        <v>3.3</v>
      </c>
      <c r="Q1407" s="0" t="n">
        <v>3.61</v>
      </c>
      <c r="R1407" s="0" t="n">
        <v>3932</v>
      </c>
      <c r="S1407" s="0" t="n">
        <v>9076</v>
      </c>
      <c r="T1407" s="0" t="n">
        <v>38.25</v>
      </c>
      <c r="U1407" s="0" t="n">
        <v>897</v>
      </c>
      <c r="V1407" s="0" t="n">
        <v>5</v>
      </c>
      <c r="W1407" s="27" t="n">
        <f aca="false">MATCH(A1407,DATAS,0)</f>
        <v>1</v>
      </c>
      <c r="X1407" s="27" t="n">
        <f aca="false">IF(AND(E1407&gt;0,OR(AND(B1407&gt;=1,B1407&lt;=6),B1407=10)),1,0)</f>
        <v>1</v>
      </c>
      <c r="Y1407" s="27" t="n">
        <f aca="false">IF(AND(E1407&gt;0,B1407=10),1,0)</f>
        <v>0</v>
      </c>
      <c r="Z1407" s="0" t="str">
        <f aca="false">IF(AND(C1406=C1407,W1406=W1407-1),X1406,"")</f>
        <v/>
      </c>
      <c r="AA1407" s="0" t="str">
        <f aca="false">IF(AND(C1406=C1407,W1406=W1407-1),Y1406,"")</f>
        <v/>
      </c>
      <c r="AB1407" s="0" t="str">
        <f aca="false">IF(W1407=1,"",IF(AND(X1407=1,Z1407&lt;&gt;1),1,0))</f>
        <v/>
      </c>
      <c r="AC1407" s="0" t="str">
        <f aca="false">IF(W1407=1,"",IF(AND(Y1407=1,AA1407&lt;&gt;1),1,0))</f>
        <v/>
      </c>
      <c r="AD1407" s="33" t="str">
        <f aca="false">IF(AND(E1407&gt;0,W1407&lt;1,NOT(AND(C1408=C1407,W1408=W1407+1))),INDEX(DATAS,W1407+1),"")</f>
        <v/>
      </c>
      <c r="AE1407" s="33" t="str">
        <f aca="false">IF(AND(Y1407=1,W1407&lt;1),IF(AND(C1408=C1407,W1408=W1407+1),IF(Y1408=1,"",INDEX(DATAS,W1407+1)),INDEX(DATAS,W1407+1)),"")</f>
        <v/>
      </c>
    </row>
    <row r="1408" customFormat="false" ht="15" hidden="false" customHeight="false" outlineLevel="0" collapsed="false">
      <c r="A1408" s="33" t="n">
        <v>46309</v>
      </c>
      <c r="B1408" s="0" t="n">
        <v>4</v>
      </c>
      <c r="C1408" s="0" t="n">
        <v>5524</v>
      </c>
      <c r="D1408" s="0" t="n">
        <v>203</v>
      </c>
      <c r="E1408" s="0" t="n">
        <v>1</v>
      </c>
      <c r="F1408" s="27" t="s">
        <v>917</v>
      </c>
      <c r="G1408" s="0" t="n">
        <v>50.1</v>
      </c>
      <c r="H1408" s="0" t="n">
        <v>48</v>
      </c>
      <c r="I1408" s="27" t="s">
        <v>138</v>
      </c>
      <c r="J1408" s="0" t="n">
        <v>98</v>
      </c>
      <c r="K1408" s="0" t="n">
        <v>63</v>
      </c>
      <c r="L1408" s="0" t="n">
        <v>105</v>
      </c>
      <c r="M1408" s="0" t="n">
        <v>979.08</v>
      </c>
      <c r="N1408" s="0" t="n">
        <v>50.14</v>
      </c>
      <c r="O1408" s="0" t="n">
        <v>41.97</v>
      </c>
      <c r="P1408" s="0" t="n">
        <v>4.37</v>
      </c>
      <c r="Q1408" s="0" t="n">
        <v>3.57</v>
      </c>
      <c r="R1408" s="0" t="n">
        <v>4520</v>
      </c>
      <c r="S1408" s="0" t="n">
        <v>9533</v>
      </c>
      <c r="T1408" s="0" t="n">
        <v>49.65</v>
      </c>
      <c r="U1408" s="0" t="n">
        <v>896</v>
      </c>
      <c r="V1408" s="0" t="n">
        <v>2</v>
      </c>
      <c r="W1408" s="27" t="n">
        <f aca="false">MATCH(A1408,DATAS,0)</f>
        <v>1</v>
      </c>
      <c r="X1408" s="27" t="n">
        <f aca="false">IF(AND(E1408&gt;0,OR(AND(B1408&gt;=1,B1408&lt;=6),B1408=10)),1,0)</f>
        <v>1</v>
      </c>
      <c r="Y1408" s="27" t="n">
        <f aca="false">IF(AND(E1408&gt;0,B1408=10),1,0)</f>
        <v>0</v>
      </c>
      <c r="Z1408" s="0" t="str">
        <f aca="false">IF(AND(C1407=C1408,W1407=W1408-1),X1407,"")</f>
        <v/>
      </c>
      <c r="AA1408" s="0" t="str">
        <f aca="false">IF(AND(C1407=C1408,W1407=W1408-1),Y1407,"")</f>
        <v/>
      </c>
      <c r="AB1408" s="0" t="str">
        <f aca="false">IF(W1408=1,"",IF(AND(X1408=1,Z1408&lt;&gt;1),1,0))</f>
        <v/>
      </c>
      <c r="AC1408" s="0" t="str">
        <f aca="false">IF(W1408=1,"",IF(AND(Y1408=1,AA1408&lt;&gt;1),1,0))</f>
        <v/>
      </c>
      <c r="AD1408" s="33" t="str">
        <f aca="false">IF(AND(E1408&gt;0,W1408&lt;1,NOT(AND(C1409=C1408,W1409=W1408+1))),INDEX(DATAS,W1408+1),"")</f>
        <v/>
      </c>
      <c r="AE1408" s="33" t="str">
        <f aca="false">IF(AND(Y1408=1,W1408&lt;1),IF(AND(C1409=C1408,W1409=W1408+1),IF(Y1409=1,"",INDEX(DATAS,W1408+1)),INDEX(DATAS,W1408+1)),"")</f>
        <v/>
      </c>
    </row>
    <row r="1409" customFormat="false" ht="15" hidden="false" customHeight="false" outlineLevel="0" collapsed="false">
      <c r="A1409" s="33" t="n">
        <v>46309</v>
      </c>
      <c r="B1409" s="0" t="n">
        <v>4</v>
      </c>
      <c r="C1409" s="0" t="n">
        <v>5525</v>
      </c>
      <c r="D1409" s="0" t="n">
        <v>253</v>
      </c>
      <c r="E1409" s="0" t="n">
        <v>1</v>
      </c>
      <c r="F1409" s="27" t="s">
        <v>918</v>
      </c>
      <c r="G1409" s="0" t="n">
        <v>42.5</v>
      </c>
      <c r="H1409" s="0" t="n">
        <v>42</v>
      </c>
      <c r="I1409" s="27" t="s">
        <v>138</v>
      </c>
      <c r="J1409" s="0" t="n">
        <v>87</v>
      </c>
      <c r="K1409" s="0" t="n">
        <v>64</v>
      </c>
      <c r="L1409" s="0" t="n">
        <v>166</v>
      </c>
      <c r="M1409" s="0" t="n">
        <v>345.04</v>
      </c>
      <c r="N1409" s="0" t="n">
        <v>45.72</v>
      </c>
      <c r="O1409" s="0" t="n">
        <v>45.8</v>
      </c>
      <c r="P1409" s="0" t="n">
        <v>4.11</v>
      </c>
      <c r="Q1409" s="0" t="n">
        <v>3.67</v>
      </c>
      <c r="R1409" s="0" t="n">
        <v>4064</v>
      </c>
      <c r="S1409" s="0" t="n">
        <v>9155</v>
      </c>
      <c r="T1409" s="0" t="n">
        <v>41.75</v>
      </c>
      <c r="U1409" s="0" t="n">
        <v>892</v>
      </c>
      <c r="V1409" s="0" t="n">
        <v>2</v>
      </c>
      <c r="W1409" s="27" t="n">
        <f aca="false">MATCH(A1409,DATAS,0)</f>
        <v>1</v>
      </c>
      <c r="X1409" s="27" t="n">
        <f aca="false">IF(AND(E1409&gt;0,OR(AND(B1409&gt;=1,B1409&lt;=6),B1409=10)),1,0)</f>
        <v>1</v>
      </c>
      <c r="Y1409" s="27" t="n">
        <f aca="false">IF(AND(E1409&gt;0,B1409=10),1,0)</f>
        <v>0</v>
      </c>
      <c r="Z1409" s="0" t="str">
        <f aca="false">IF(AND(C1408=C1409,W1408=W1409-1),X1408,"")</f>
        <v/>
      </c>
      <c r="AA1409" s="0" t="str">
        <f aca="false">IF(AND(C1408=C1409,W1408=W1409-1),Y1408,"")</f>
        <v/>
      </c>
      <c r="AB1409" s="0" t="str">
        <f aca="false">IF(W1409=1,"",IF(AND(X1409=1,Z1409&lt;&gt;1),1,0))</f>
        <v/>
      </c>
      <c r="AC1409" s="0" t="str">
        <f aca="false">IF(W1409=1,"",IF(AND(Y1409=1,AA1409&lt;&gt;1),1,0))</f>
        <v/>
      </c>
      <c r="AD1409" s="33" t="str">
        <f aca="false">IF(AND(E1409&gt;0,W1409&lt;1,NOT(AND(C1410=C1409,W1410=W1409+1))),INDEX(DATAS,W1409+1),"")</f>
        <v/>
      </c>
      <c r="AE1409" s="33" t="str">
        <f aca="false">IF(AND(Y1409=1,W1409&lt;1),IF(AND(C1410=C1409,W1410=W1409+1),IF(Y1410=1,"",INDEX(DATAS,W1409+1)),INDEX(DATAS,W1409+1)),"")</f>
        <v/>
      </c>
    </row>
    <row r="1410" customFormat="false" ht="15" hidden="false" customHeight="false" outlineLevel="0" collapsed="false">
      <c r="A1410" s="33" t="n">
        <v>46309</v>
      </c>
      <c r="B1410" s="0" t="n">
        <v>4</v>
      </c>
      <c r="C1410" s="0" t="n">
        <v>5526</v>
      </c>
      <c r="D1410" s="0" t="n">
        <v>245</v>
      </c>
      <c r="E1410" s="0" t="n">
        <v>1</v>
      </c>
      <c r="F1410" s="27" t="s">
        <v>919</v>
      </c>
      <c r="G1410" s="0" t="n">
        <v>57.4</v>
      </c>
      <c r="H1410" s="0" t="n">
        <v>57</v>
      </c>
      <c r="I1410" s="27" t="s">
        <v>138</v>
      </c>
      <c r="J1410" s="0" t="n">
        <v>133</v>
      </c>
      <c r="K1410" s="0" t="n">
        <v>63</v>
      </c>
      <c r="L1410" s="0" t="n">
        <v>112</v>
      </c>
      <c r="M1410" s="0" t="n">
        <v>1089.19</v>
      </c>
      <c r="N1410" s="0" t="n">
        <v>45.59</v>
      </c>
      <c r="O1410" s="0" t="n">
        <v>36.28</v>
      </c>
      <c r="P1410" s="0" t="n">
        <v>3.58</v>
      </c>
      <c r="Q1410" s="0" t="n">
        <v>3.19</v>
      </c>
      <c r="R1410" s="0" t="n">
        <v>4995</v>
      </c>
      <c r="S1410" s="0" t="n">
        <v>11261</v>
      </c>
      <c r="T1410" s="0" t="n">
        <v>52.55</v>
      </c>
      <c r="U1410" s="0" t="n">
        <v>895</v>
      </c>
      <c r="V1410" s="0" t="n">
        <v>3</v>
      </c>
      <c r="W1410" s="27" t="n">
        <f aca="false">MATCH(A1410,DATAS,0)</f>
        <v>1</v>
      </c>
      <c r="X1410" s="27" t="n">
        <f aca="false">IF(AND(E1410&gt;0,OR(AND(B1410&gt;=1,B1410&lt;=6),B1410=10)),1,0)</f>
        <v>1</v>
      </c>
      <c r="Y1410" s="27" t="n">
        <f aca="false">IF(AND(E1410&gt;0,B1410=10),1,0)</f>
        <v>0</v>
      </c>
      <c r="Z1410" s="0" t="str">
        <f aca="false">IF(AND(C1409=C1410,W1409=W1410-1),X1409,"")</f>
        <v/>
      </c>
      <c r="AA1410" s="0" t="str">
        <f aca="false">IF(AND(C1409=C1410,W1409=W1410-1),Y1409,"")</f>
        <v/>
      </c>
      <c r="AB1410" s="0" t="str">
        <f aca="false">IF(W1410=1,"",IF(AND(X1410=1,Z1410&lt;&gt;1),1,0))</f>
        <v/>
      </c>
      <c r="AC1410" s="0" t="str">
        <f aca="false">IF(W1410=1,"",IF(AND(Y1410=1,AA1410&lt;&gt;1),1,0))</f>
        <v/>
      </c>
      <c r="AD1410" s="33" t="str">
        <f aca="false">IF(AND(E1410&gt;0,W1410&lt;1,NOT(AND(C1411=C1410,W1411=W1410+1))),INDEX(DATAS,W1410+1),"")</f>
        <v/>
      </c>
      <c r="AE1410" s="33" t="str">
        <f aca="false">IF(AND(Y1410=1,W1410&lt;1),IF(AND(C1411=C1410,W1411=W1410+1),IF(Y1411=1,"",INDEX(DATAS,W1410+1)),INDEX(DATAS,W1410+1)),"")</f>
        <v/>
      </c>
    </row>
    <row r="1411" customFormat="false" ht="15" hidden="false" customHeight="false" outlineLevel="0" collapsed="false">
      <c r="A1411" s="33" t="n">
        <v>46309</v>
      </c>
      <c r="B1411" s="0" t="n">
        <v>4</v>
      </c>
      <c r="C1411" s="0" t="n">
        <v>5528</v>
      </c>
      <c r="D1411" s="0" t="n">
        <v>187</v>
      </c>
      <c r="E1411" s="0" t="n">
        <v>1</v>
      </c>
      <c r="F1411" s="27" t="s">
        <v>920</v>
      </c>
      <c r="G1411" s="0" t="n">
        <v>50.5</v>
      </c>
      <c r="H1411" s="0" t="n">
        <v>53</v>
      </c>
      <c r="I1411" s="27" t="s">
        <v>176</v>
      </c>
      <c r="J1411" s="0" t="n">
        <v>187</v>
      </c>
      <c r="K1411" s="0" t="n">
        <v>68</v>
      </c>
      <c r="P1411" s="0" t="n">
        <v>3.99</v>
      </c>
      <c r="Q1411" s="0" t="n">
        <v>2.95</v>
      </c>
      <c r="R1411" s="0" t="n">
        <v>4224</v>
      </c>
      <c r="S1411" s="0" t="n">
        <v>9406</v>
      </c>
      <c r="T1411" s="0" t="n">
        <v>44.5</v>
      </c>
      <c r="U1411" s="0" t="n">
        <v>894</v>
      </c>
      <c r="V1411" s="0" t="n">
        <v>3</v>
      </c>
      <c r="W1411" s="27" t="n">
        <f aca="false">MATCH(A1411,DATAS,0)</f>
        <v>1</v>
      </c>
      <c r="X1411" s="27" t="n">
        <f aca="false">IF(AND(E1411&gt;0,OR(AND(B1411&gt;=1,B1411&lt;=6),B1411=10)),1,0)</f>
        <v>1</v>
      </c>
      <c r="Y1411" s="27" t="n">
        <f aca="false">IF(AND(E1411&gt;0,B1411=10),1,0)</f>
        <v>0</v>
      </c>
      <c r="Z1411" s="0" t="str">
        <f aca="false">IF(AND(C1410=C1411,W1410=W1411-1),X1410,"")</f>
        <v/>
      </c>
      <c r="AA1411" s="0" t="str">
        <f aca="false">IF(AND(C1410=C1411,W1410=W1411-1),Y1410,"")</f>
        <v/>
      </c>
      <c r="AB1411" s="0" t="str">
        <f aca="false">IF(W1411=1,"",IF(AND(X1411=1,Z1411&lt;&gt;1),1,0))</f>
        <v/>
      </c>
      <c r="AC1411" s="0" t="str">
        <f aca="false">IF(W1411=1,"",IF(AND(Y1411=1,AA1411&lt;&gt;1),1,0))</f>
        <v/>
      </c>
      <c r="AD1411" s="33" t="str">
        <f aca="false">IF(AND(E1411&gt;0,W1411&lt;1,NOT(AND(C1412=C1411,W1412=W1411+1))),INDEX(DATAS,W1411+1),"")</f>
        <v/>
      </c>
      <c r="AE1411" s="33" t="str">
        <f aca="false">IF(AND(Y1411=1,W1411&lt;1),IF(AND(C1412=C1411,W1412=W1411+1),IF(Y1412=1,"",INDEX(DATAS,W1411+1)),INDEX(DATAS,W1411+1)),"")</f>
        <v/>
      </c>
    </row>
    <row r="1412" customFormat="false" ht="15" hidden="false" customHeight="false" outlineLevel="0" collapsed="false">
      <c r="A1412" s="33" t="n">
        <v>46309</v>
      </c>
      <c r="B1412" s="0" t="n">
        <v>4</v>
      </c>
      <c r="C1412" s="0" t="n">
        <v>5529</v>
      </c>
      <c r="D1412" s="0" t="n">
        <v>217</v>
      </c>
      <c r="E1412" s="0" t="n">
        <v>1</v>
      </c>
      <c r="F1412" s="27" t="s">
        <v>920</v>
      </c>
      <c r="G1412" s="0" t="n">
        <v>44.9</v>
      </c>
      <c r="H1412" s="0" t="n">
        <v>49</v>
      </c>
      <c r="I1412" s="27" t="s">
        <v>138</v>
      </c>
      <c r="J1412" s="0" t="n">
        <v>63</v>
      </c>
      <c r="K1412" s="0" t="n">
        <v>63</v>
      </c>
      <c r="L1412" s="0" t="n">
        <v>154</v>
      </c>
      <c r="P1412" s="0" t="n">
        <v>2.62</v>
      </c>
      <c r="Q1412" s="0" t="n">
        <v>3.22</v>
      </c>
      <c r="R1412" s="0" t="n">
        <v>4233</v>
      </c>
      <c r="S1412" s="0" t="n">
        <v>9849</v>
      </c>
      <c r="T1412" s="0" t="n">
        <v>50.35</v>
      </c>
      <c r="U1412" s="0" t="n">
        <v>894</v>
      </c>
      <c r="V1412" s="0" t="n">
        <v>1</v>
      </c>
      <c r="W1412" s="27" t="n">
        <f aca="false">MATCH(A1412,DATAS,0)</f>
        <v>1</v>
      </c>
      <c r="X1412" s="27" t="n">
        <f aca="false">IF(AND(E1412&gt;0,OR(AND(B1412&gt;=1,B1412&lt;=6),B1412=10)),1,0)</f>
        <v>1</v>
      </c>
      <c r="Y1412" s="27" t="n">
        <f aca="false">IF(AND(E1412&gt;0,B1412=10),1,0)</f>
        <v>0</v>
      </c>
      <c r="Z1412" s="0" t="str">
        <f aca="false">IF(AND(C1411=C1412,W1411=W1412-1),X1411,"")</f>
        <v/>
      </c>
      <c r="AA1412" s="0" t="str">
        <f aca="false">IF(AND(C1411=C1412,W1411=W1412-1),Y1411,"")</f>
        <v/>
      </c>
      <c r="AB1412" s="0" t="str">
        <f aca="false">IF(W1412=1,"",IF(AND(X1412=1,Z1412&lt;&gt;1),1,0))</f>
        <v/>
      </c>
      <c r="AC1412" s="0" t="str">
        <f aca="false">IF(W1412=1,"",IF(AND(Y1412=1,AA1412&lt;&gt;1),1,0))</f>
        <v/>
      </c>
      <c r="AD1412" s="33" t="str">
        <f aca="false">IF(AND(E1412&gt;0,W1412&lt;1,NOT(AND(C1413=C1412,W1413=W1412+1))),INDEX(DATAS,W1412+1),"")</f>
        <v/>
      </c>
      <c r="AE1412" s="33" t="str">
        <f aca="false">IF(AND(Y1412=1,W1412&lt;1),IF(AND(C1413=C1412,W1413=W1412+1),IF(Y1413=1,"",INDEX(DATAS,W1412+1)),INDEX(DATAS,W1412+1)),"")</f>
        <v/>
      </c>
    </row>
    <row r="1413" customFormat="false" ht="15" hidden="false" customHeight="false" outlineLevel="0" collapsed="false">
      <c r="A1413" s="33" t="n">
        <v>46309</v>
      </c>
      <c r="B1413" s="0" t="n">
        <v>4</v>
      </c>
      <c r="C1413" s="0" t="n">
        <v>5532</v>
      </c>
      <c r="D1413" s="0" t="n">
        <v>194</v>
      </c>
      <c r="E1413" s="0" t="n">
        <v>1</v>
      </c>
      <c r="F1413" s="27" t="s">
        <v>921</v>
      </c>
      <c r="G1413" s="0" t="n">
        <v>54.1</v>
      </c>
      <c r="H1413" s="0" t="n">
        <v>58</v>
      </c>
      <c r="I1413" s="27" t="s">
        <v>138</v>
      </c>
      <c r="J1413" s="0" t="n">
        <v>68</v>
      </c>
      <c r="K1413" s="0" t="n">
        <v>68</v>
      </c>
      <c r="L1413" s="0" t="n">
        <v>126</v>
      </c>
      <c r="P1413" s="0" t="n">
        <v>3.54</v>
      </c>
      <c r="Q1413" s="0" t="n">
        <v>3.19</v>
      </c>
      <c r="R1413" s="0" t="n">
        <v>4350</v>
      </c>
      <c r="S1413" s="0" t="n">
        <v>10073</v>
      </c>
      <c r="T1413" s="0" t="n">
        <v>47.65</v>
      </c>
      <c r="U1413" s="0" t="n">
        <v>893</v>
      </c>
      <c r="V1413" s="0" t="n">
        <v>1</v>
      </c>
      <c r="W1413" s="27" t="n">
        <f aca="false">MATCH(A1413,DATAS,0)</f>
        <v>1</v>
      </c>
      <c r="X1413" s="27" t="n">
        <f aca="false">IF(AND(E1413&gt;0,OR(AND(B1413&gt;=1,B1413&lt;=6),B1413=10)),1,0)</f>
        <v>1</v>
      </c>
      <c r="Y1413" s="27" t="n">
        <f aca="false">IF(AND(E1413&gt;0,B1413=10),1,0)</f>
        <v>0</v>
      </c>
      <c r="Z1413" s="0" t="str">
        <f aca="false">IF(AND(C1412=C1413,W1412=W1413-1),X1412,"")</f>
        <v/>
      </c>
      <c r="AA1413" s="0" t="str">
        <f aca="false">IF(AND(C1412=C1413,W1412=W1413-1),Y1412,"")</f>
        <v/>
      </c>
      <c r="AB1413" s="0" t="str">
        <f aca="false">IF(W1413=1,"",IF(AND(X1413=1,Z1413&lt;&gt;1),1,0))</f>
        <v/>
      </c>
      <c r="AC1413" s="0" t="str">
        <f aca="false">IF(W1413=1,"",IF(AND(Y1413=1,AA1413&lt;&gt;1),1,0))</f>
        <v/>
      </c>
      <c r="AD1413" s="33" t="str">
        <f aca="false">IF(AND(E1413&gt;0,W1413&lt;1,NOT(AND(C1414=C1413,W1414=W1413+1))),INDEX(DATAS,W1413+1),"")</f>
        <v/>
      </c>
      <c r="AE1413" s="33" t="str">
        <f aca="false">IF(AND(Y1413=1,W1413&lt;1),IF(AND(C1414=C1413,W1414=W1413+1),IF(Y1414=1,"",INDEX(DATAS,W1413+1)),INDEX(DATAS,W1413+1)),"")</f>
        <v/>
      </c>
    </row>
    <row r="1414" customFormat="false" ht="15" hidden="false" customHeight="false" outlineLevel="0" collapsed="false">
      <c r="A1414" s="33" t="n">
        <v>46309</v>
      </c>
      <c r="B1414" s="0" t="n">
        <v>4</v>
      </c>
      <c r="C1414" s="0" t="n">
        <v>5533</v>
      </c>
      <c r="D1414" s="0" t="n">
        <v>241</v>
      </c>
      <c r="E1414" s="0" t="n">
        <v>1</v>
      </c>
      <c r="F1414" s="27" t="s">
        <v>918</v>
      </c>
      <c r="G1414" s="0" t="n">
        <v>49.5</v>
      </c>
      <c r="H1414" s="0" t="n">
        <v>49</v>
      </c>
      <c r="I1414" s="27" t="s">
        <v>138</v>
      </c>
      <c r="J1414" s="0" t="n">
        <v>66</v>
      </c>
      <c r="K1414" s="0" t="n">
        <v>66</v>
      </c>
      <c r="L1414" s="0" t="n">
        <v>175</v>
      </c>
      <c r="P1414" s="0" t="n">
        <v>4.24</v>
      </c>
      <c r="Q1414" s="0" t="n">
        <v>3.28</v>
      </c>
      <c r="R1414" s="0" t="n">
        <v>4835</v>
      </c>
      <c r="S1414" s="0" t="n">
        <v>10672</v>
      </c>
      <c r="T1414" s="0" t="n">
        <v>50.4</v>
      </c>
      <c r="U1414" s="0" t="n">
        <v>892</v>
      </c>
      <c r="V1414" s="0" t="n">
        <v>1</v>
      </c>
      <c r="W1414" s="27" t="n">
        <f aca="false">MATCH(A1414,DATAS,0)</f>
        <v>1</v>
      </c>
      <c r="X1414" s="27" t="n">
        <f aca="false">IF(AND(E1414&gt;0,OR(AND(B1414&gt;=1,B1414&lt;=6),B1414=10)),1,0)</f>
        <v>1</v>
      </c>
      <c r="Y1414" s="27" t="n">
        <f aca="false">IF(AND(E1414&gt;0,B1414=10),1,0)</f>
        <v>0</v>
      </c>
      <c r="Z1414" s="0" t="str">
        <f aca="false">IF(AND(C1413=C1414,W1413=W1414-1),X1413,"")</f>
        <v/>
      </c>
      <c r="AA1414" s="0" t="str">
        <f aca="false">IF(AND(C1413=C1414,W1413=W1414-1),Y1413,"")</f>
        <v/>
      </c>
      <c r="AB1414" s="0" t="str">
        <f aca="false">IF(W1414=1,"",IF(AND(X1414=1,Z1414&lt;&gt;1),1,0))</f>
        <v/>
      </c>
      <c r="AC1414" s="0" t="str">
        <f aca="false">IF(W1414=1,"",IF(AND(Y1414=1,AA1414&lt;&gt;1),1,0))</f>
        <v/>
      </c>
      <c r="AD1414" s="33" t="str">
        <f aca="false">IF(AND(E1414&gt;0,W1414&lt;1,NOT(AND(C1415=C1414,W1415=W1414+1))),INDEX(DATAS,W1414+1),"")</f>
        <v/>
      </c>
      <c r="AE1414" s="33" t="str">
        <f aca="false">IF(AND(Y1414=1,W1414&lt;1),IF(AND(C1415=C1414,W1415=W1414+1),IF(Y1415=1,"",INDEX(DATAS,W1414+1)),INDEX(DATAS,W1414+1)),"")</f>
        <v/>
      </c>
    </row>
    <row r="1415" customFormat="false" ht="15" hidden="false" customHeight="false" outlineLevel="0" collapsed="false">
      <c r="A1415" s="33" t="n">
        <v>46309</v>
      </c>
      <c r="B1415" s="0" t="n">
        <v>4</v>
      </c>
      <c r="C1415" s="0" t="n">
        <v>5534</v>
      </c>
      <c r="D1415" s="0" t="n">
        <v>203</v>
      </c>
      <c r="E1415" s="0" t="n">
        <v>1</v>
      </c>
      <c r="F1415" s="27" t="s">
        <v>918</v>
      </c>
      <c r="G1415" s="0" t="n">
        <v>49.3</v>
      </c>
      <c r="H1415" s="0" t="n">
        <v>48</v>
      </c>
      <c r="I1415" s="27" t="s">
        <v>138</v>
      </c>
      <c r="J1415" s="0" t="n">
        <v>63</v>
      </c>
      <c r="K1415" s="0" t="n">
        <v>63</v>
      </c>
      <c r="L1415" s="0" t="n">
        <v>140</v>
      </c>
      <c r="P1415" s="0" t="n">
        <v>5.03</v>
      </c>
      <c r="Q1415" s="0" t="n">
        <v>3.67</v>
      </c>
      <c r="R1415" s="0" t="n">
        <v>4065</v>
      </c>
      <c r="S1415" s="0" t="n">
        <v>8814</v>
      </c>
      <c r="T1415" s="0" t="n">
        <v>45.1</v>
      </c>
      <c r="U1415" s="0" t="n">
        <v>892</v>
      </c>
      <c r="V1415" s="0" t="n">
        <v>1</v>
      </c>
      <c r="W1415" s="27" t="n">
        <f aca="false">MATCH(A1415,DATAS,0)</f>
        <v>1</v>
      </c>
      <c r="X1415" s="27" t="n">
        <f aca="false">IF(AND(E1415&gt;0,OR(AND(B1415&gt;=1,B1415&lt;=6),B1415=10)),1,0)</f>
        <v>1</v>
      </c>
      <c r="Y1415" s="27" t="n">
        <f aca="false">IF(AND(E1415&gt;0,B1415=10),1,0)</f>
        <v>0</v>
      </c>
      <c r="Z1415" s="0" t="str">
        <f aca="false">IF(AND(C1414=C1415,W1414=W1415-1),X1414,"")</f>
        <v/>
      </c>
      <c r="AA1415" s="0" t="str">
        <f aca="false">IF(AND(C1414=C1415,W1414=W1415-1),Y1414,"")</f>
        <v/>
      </c>
      <c r="AB1415" s="0" t="str">
        <f aca="false">IF(W1415=1,"",IF(AND(X1415=1,Z1415&lt;&gt;1),1,0))</f>
        <v/>
      </c>
      <c r="AC1415" s="0" t="str">
        <f aca="false">IF(W1415=1,"",IF(AND(Y1415=1,AA1415&lt;&gt;1),1,0))</f>
        <v/>
      </c>
      <c r="AD1415" s="33" t="str">
        <f aca="false">IF(AND(E1415&gt;0,W1415&lt;1,NOT(AND(C1416=C1415,W1416=W1415+1))),INDEX(DATAS,W1415+1),"")</f>
        <v/>
      </c>
      <c r="AE1415" s="33" t="str">
        <f aca="false">IF(AND(Y1415=1,W1415&lt;1),IF(AND(C1416=C1415,W1416=W1415+1),IF(Y1416=1,"",INDEX(DATAS,W1415+1)),INDEX(DATAS,W1415+1)),"")</f>
        <v/>
      </c>
    </row>
    <row r="1416" customFormat="false" ht="15" hidden="false" customHeight="false" outlineLevel="0" collapsed="false">
      <c r="A1416" s="33" t="n">
        <v>46309</v>
      </c>
      <c r="B1416" s="0" t="n">
        <v>4</v>
      </c>
      <c r="C1416" s="0" t="n">
        <v>5535</v>
      </c>
      <c r="D1416" s="0" t="n">
        <v>213</v>
      </c>
      <c r="E1416" s="0" t="n">
        <v>1</v>
      </c>
      <c r="F1416" s="27" t="s">
        <v>922</v>
      </c>
      <c r="G1416" s="0" t="n">
        <v>40.6</v>
      </c>
      <c r="H1416" s="0" t="n">
        <v>43</v>
      </c>
      <c r="I1416" s="27" t="s">
        <v>138</v>
      </c>
      <c r="J1416" s="0" t="n">
        <v>122</v>
      </c>
      <c r="K1416" s="0" t="n">
        <v>66</v>
      </c>
      <c r="L1416" s="0" t="n">
        <v>91</v>
      </c>
      <c r="P1416" s="0" t="n">
        <v>4.78</v>
      </c>
      <c r="Q1416" s="0" t="n">
        <v>3.4</v>
      </c>
      <c r="R1416" s="0" t="n">
        <v>3855</v>
      </c>
      <c r="S1416" s="0" t="n">
        <v>8403</v>
      </c>
      <c r="T1416" s="0" t="n">
        <v>42.35</v>
      </c>
      <c r="U1416" s="0" t="n">
        <v>889</v>
      </c>
      <c r="V1416" s="0" t="n">
        <v>3</v>
      </c>
      <c r="W1416" s="27" t="n">
        <f aca="false">MATCH(A1416,DATAS,0)</f>
        <v>1</v>
      </c>
      <c r="X1416" s="27" t="n">
        <f aca="false">IF(AND(E1416&gt;0,OR(AND(B1416&gt;=1,B1416&lt;=6),B1416=10)),1,0)</f>
        <v>1</v>
      </c>
      <c r="Y1416" s="27" t="n">
        <f aca="false">IF(AND(E1416&gt;0,B1416=10),1,0)</f>
        <v>0</v>
      </c>
      <c r="Z1416" s="0" t="str">
        <f aca="false">IF(AND(C1415=C1416,W1415=W1416-1),X1415,"")</f>
        <v/>
      </c>
      <c r="AA1416" s="0" t="str">
        <f aca="false">IF(AND(C1415=C1416,W1415=W1416-1),Y1415,"")</f>
        <v/>
      </c>
      <c r="AB1416" s="0" t="str">
        <f aca="false">IF(W1416=1,"",IF(AND(X1416=1,Z1416&lt;&gt;1),1,0))</f>
        <v/>
      </c>
      <c r="AC1416" s="0" t="str">
        <f aca="false">IF(W1416=1,"",IF(AND(Y1416=1,AA1416&lt;&gt;1),1,0))</f>
        <v/>
      </c>
      <c r="AD1416" s="33" t="str">
        <f aca="false">IF(AND(E1416&gt;0,W1416&lt;1,NOT(AND(C1417=C1416,W1417=W1416+1))),INDEX(DATAS,W1416+1),"")</f>
        <v/>
      </c>
      <c r="AE1416" s="33" t="str">
        <f aca="false">IF(AND(Y1416=1,W1416&lt;1),IF(AND(C1417=C1416,W1417=W1416+1),IF(Y1417=1,"",INDEX(DATAS,W1416+1)),INDEX(DATAS,W1416+1)),"")</f>
        <v/>
      </c>
    </row>
    <row r="1417" customFormat="false" ht="15" hidden="false" customHeight="false" outlineLevel="0" collapsed="false">
      <c r="A1417" s="33" t="n">
        <v>46309</v>
      </c>
      <c r="B1417" s="0" t="n">
        <v>4</v>
      </c>
      <c r="C1417" s="0" t="n">
        <v>5536</v>
      </c>
      <c r="D1417" s="0" t="n">
        <v>224</v>
      </c>
      <c r="E1417" s="0" t="n">
        <v>1</v>
      </c>
      <c r="F1417" s="27" t="s">
        <v>923</v>
      </c>
      <c r="G1417" s="0" t="n">
        <v>45.7</v>
      </c>
      <c r="H1417" s="0" t="n">
        <v>41</v>
      </c>
      <c r="I1417" s="27" t="s">
        <v>168</v>
      </c>
      <c r="J1417" s="0" t="n">
        <v>224</v>
      </c>
      <c r="K1417" s="0" t="n">
        <v>63</v>
      </c>
      <c r="P1417" s="0" t="n">
        <v>3.55</v>
      </c>
      <c r="Q1417" s="0" t="n">
        <v>3.61</v>
      </c>
      <c r="R1417" s="0" t="n">
        <v>4607</v>
      </c>
      <c r="S1417" s="0" t="n">
        <v>10206</v>
      </c>
      <c r="T1417" s="0" t="n">
        <v>50.35</v>
      </c>
      <c r="U1417" s="0" t="n">
        <v>888</v>
      </c>
      <c r="V1417" s="0" t="n">
        <v>5</v>
      </c>
      <c r="W1417" s="27" t="n">
        <f aca="false">MATCH(A1417,DATAS,0)</f>
        <v>1</v>
      </c>
      <c r="X1417" s="27" t="n">
        <f aca="false">IF(AND(E1417&gt;0,OR(AND(B1417&gt;=1,B1417&lt;=6),B1417=10)),1,0)</f>
        <v>1</v>
      </c>
      <c r="Y1417" s="27" t="n">
        <f aca="false">IF(AND(E1417&gt;0,B1417=10),1,0)</f>
        <v>0</v>
      </c>
      <c r="Z1417" s="0" t="str">
        <f aca="false">IF(AND(C1416=C1417,W1416=W1417-1),X1416,"")</f>
        <v/>
      </c>
      <c r="AA1417" s="0" t="str">
        <f aca="false">IF(AND(C1416=C1417,W1416=W1417-1),Y1416,"")</f>
        <v/>
      </c>
      <c r="AB1417" s="0" t="str">
        <f aca="false">IF(W1417=1,"",IF(AND(X1417=1,Z1417&lt;&gt;1),1,0))</f>
        <v/>
      </c>
      <c r="AC1417" s="0" t="str">
        <f aca="false">IF(W1417=1,"",IF(AND(Y1417=1,AA1417&lt;&gt;1),1,0))</f>
        <v/>
      </c>
      <c r="AD1417" s="33" t="str">
        <f aca="false">IF(AND(E1417&gt;0,W1417&lt;1,NOT(AND(C1418=C1417,W1418=W1417+1))),INDEX(DATAS,W1417+1),"")</f>
        <v/>
      </c>
      <c r="AE1417" s="33" t="str">
        <f aca="false">IF(AND(Y1417=1,W1417&lt;1),IF(AND(C1418=C1417,W1418=W1417+1),IF(Y1418=1,"",INDEX(DATAS,W1417+1)),INDEX(DATAS,W1417+1)),"")</f>
        <v/>
      </c>
    </row>
    <row r="1418" customFormat="false" ht="15" hidden="false" customHeight="false" outlineLevel="0" collapsed="false">
      <c r="A1418" s="33" t="n">
        <v>46309</v>
      </c>
      <c r="B1418" s="0" t="n">
        <v>4</v>
      </c>
      <c r="C1418" s="0" t="n">
        <v>5537</v>
      </c>
      <c r="D1418" s="0" t="n">
        <v>205</v>
      </c>
      <c r="E1418" s="0" t="n">
        <v>1</v>
      </c>
      <c r="F1418" s="27" t="s">
        <v>923</v>
      </c>
      <c r="G1418" s="0" t="n">
        <v>39.6</v>
      </c>
      <c r="H1418" s="0" t="n">
        <v>41</v>
      </c>
      <c r="I1418" s="27" t="s">
        <v>138</v>
      </c>
      <c r="J1418" s="0" t="n">
        <v>118</v>
      </c>
      <c r="K1418" s="0" t="n">
        <v>65</v>
      </c>
      <c r="L1418" s="0" t="n">
        <v>87</v>
      </c>
      <c r="P1418" s="0" t="n">
        <v>3.61</v>
      </c>
      <c r="Q1418" s="0" t="n">
        <v>3.64</v>
      </c>
      <c r="R1418" s="0" t="n">
        <v>3250</v>
      </c>
      <c r="S1418" s="0" t="n">
        <v>7267</v>
      </c>
      <c r="T1418" s="0" t="n">
        <v>36.65</v>
      </c>
      <c r="U1418" s="0" t="n">
        <v>888</v>
      </c>
      <c r="V1418" s="0" t="n">
        <v>4</v>
      </c>
      <c r="W1418" s="27" t="n">
        <f aca="false">MATCH(A1418,DATAS,0)</f>
        <v>1</v>
      </c>
      <c r="X1418" s="27" t="n">
        <f aca="false">IF(AND(E1418&gt;0,OR(AND(B1418&gt;=1,B1418&lt;=6),B1418=10)),1,0)</f>
        <v>1</v>
      </c>
      <c r="Y1418" s="27" t="n">
        <f aca="false">IF(AND(E1418&gt;0,B1418=10),1,0)</f>
        <v>0</v>
      </c>
      <c r="Z1418" s="0" t="str">
        <f aca="false">IF(AND(C1417=C1418,W1417=W1418-1),X1417,"")</f>
        <v/>
      </c>
      <c r="AA1418" s="0" t="str">
        <f aca="false">IF(AND(C1417=C1418,W1417=W1418-1),Y1417,"")</f>
        <v/>
      </c>
      <c r="AB1418" s="0" t="str">
        <f aca="false">IF(W1418=1,"",IF(AND(X1418=1,Z1418&lt;&gt;1),1,0))</f>
        <v/>
      </c>
      <c r="AC1418" s="0" t="str">
        <f aca="false">IF(W1418=1,"",IF(AND(Y1418=1,AA1418&lt;&gt;1),1,0))</f>
        <v/>
      </c>
      <c r="AD1418" s="33" t="str">
        <f aca="false">IF(AND(E1418&gt;0,W1418&lt;1,NOT(AND(C1419=C1418,W1419=W1418+1))),INDEX(DATAS,W1418+1),"")</f>
        <v/>
      </c>
      <c r="AE1418" s="33" t="str">
        <f aca="false">IF(AND(Y1418=1,W1418&lt;1),IF(AND(C1419=C1418,W1419=W1418+1),IF(Y1419=1,"",INDEX(DATAS,W1418+1)),INDEX(DATAS,W1418+1)),"")</f>
        <v/>
      </c>
    </row>
    <row r="1419" customFormat="false" ht="15" hidden="false" customHeight="false" outlineLevel="0" collapsed="false">
      <c r="A1419" s="33" t="n">
        <v>46309</v>
      </c>
      <c r="B1419" s="0" t="n">
        <v>1</v>
      </c>
      <c r="C1419" s="0" t="n">
        <v>5538</v>
      </c>
      <c r="D1419" s="0" t="n">
        <v>105</v>
      </c>
      <c r="E1419" s="0" t="n">
        <v>1</v>
      </c>
      <c r="F1419" s="27" t="s">
        <v>924</v>
      </c>
      <c r="G1419" s="0" t="n">
        <v>55.4</v>
      </c>
      <c r="H1419" s="0" t="n">
        <v>57</v>
      </c>
      <c r="I1419" s="27" t="s">
        <v>138</v>
      </c>
      <c r="J1419" s="0" t="n">
        <v>70</v>
      </c>
      <c r="K1419" s="0" t="n">
        <v>70</v>
      </c>
      <c r="L1419" s="0" t="n">
        <v>35</v>
      </c>
      <c r="P1419" s="0" t="n">
        <v>4.24</v>
      </c>
      <c r="Q1419" s="0" t="n">
        <v>2.91</v>
      </c>
      <c r="R1419" s="0" t="n">
        <v>4667</v>
      </c>
      <c r="S1419" s="0" t="n">
        <v>9491</v>
      </c>
      <c r="T1419" s="0" t="n">
        <v>49.45</v>
      </c>
      <c r="U1419" s="0" t="n">
        <v>887</v>
      </c>
      <c r="V1419" s="0" t="n">
        <v>1</v>
      </c>
      <c r="W1419" s="27" t="n">
        <f aca="false">MATCH(A1419,DATAS,0)</f>
        <v>1</v>
      </c>
      <c r="X1419" s="27" t="n">
        <f aca="false">IF(AND(E1419&gt;0,OR(AND(B1419&gt;=1,B1419&lt;=6),B1419=10)),1,0)</f>
        <v>1</v>
      </c>
      <c r="Y1419" s="27" t="n">
        <f aca="false">IF(AND(E1419&gt;0,B1419=10),1,0)</f>
        <v>0</v>
      </c>
      <c r="Z1419" s="0" t="str">
        <f aca="false">IF(AND(C1418=C1419,W1418=W1419-1),X1418,"")</f>
        <v/>
      </c>
      <c r="AA1419" s="0" t="str">
        <f aca="false">IF(AND(C1418=C1419,W1418=W1419-1),Y1418,"")</f>
        <v/>
      </c>
      <c r="AB1419" s="0" t="str">
        <f aca="false">IF(W1419=1,"",IF(AND(X1419=1,Z1419&lt;&gt;1),1,0))</f>
        <v/>
      </c>
      <c r="AC1419" s="0" t="str">
        <f aca="false">IF(W1419=1,"",IF(AND(Y1419=1,AA1419&lt;&gt;1),1,0))</f>
        <v/>
      </c>
      <c r="AD1419" s="33" t="str">
        <f aca="false">IF(AND(E1419&gt;0,W1419&lt;1,NOT(AND(C1420=C1419,W1420=W1419+1))),INDEX(DATAS,W1419+1),"")</f>
        <v/>
      </c>
      <c r="AE1419" s="33" t="str">
        <f aca="false">IF(AND(Y1419=1,W1419&lt;1),IF(AND(C1420=C1419,W1420=W1419+1),IF(Y1420=1,"",INDEX(DATAS,W1419+1)),INDEX(DATAS,W1419+1)),"")</f>
        <v/>
      </c>
    </row>
    <row r="1420" customFormat="false" ht="15" hidden="false" customHeight="false" outlineLevel="0" collapsed="false">
      <c r="A1420" s="33" t="n">
        <v>46309</v>
      </c>
      <c r="B1420" s="0" t="n">
        <v>1</v>
      </c>
      <c r="C1420" s="0" t="n">
        <v>5539</v>
      </c>
      <c r="D1420" s="0" t="n">
        <v>70</v>
      </c>
      <c r="E1420" s="0" t="n">
        <v>1</v>
      </c>
      <c r="F1420" s="27" t="s">
        <v>924</v>
      </c>
      <c r="G1420" s="0" t="n">
        <v>44.7</v>
      </c>
      <c r="H1420" s="0" t="n">
        <v>47</v>
      </c>
      <c r="I1420" s="27" t="s">
        <v>168</v>
      </c>
      <c r="J1420" s="0" t="n">
        <v>70</v>
      </c>
      <c r="K1420" s="0" t="n">
        <v>63</v>
      </c>
      <c r="P1420" s="0" t="n">
        <v>4.55</v>
      </c>
      <c r="Q1420" s="0" t="n">
        <v>2.72</v>
      </c>
      <c r="R1420" s="0" t="n">
        <v>4179</v>
      </c>
      <c r="S1420" s="0" t="n">
        <v>8401</v>
      </c>
      <c r="U1420" s="0" t="n">
        <v>887</v>
      </c>
      <c r="V1420" s="0" t="n">
        <v>1</v>
      </c>
      <c r="W1420" s="27" t="n">
        <f aca="false">MATCH(A1420,DATAS,0)</f>
        <v>1</v>
      </c>
      <c r="X1420" s="27" t="n">
        <f aca="false">IF(AND(E1420&gt;0,OR(AND(B1420&gt;=1,B1420&lt;=6),B1420=10)),1,0)</f>
        <v>1</v>
      </c>
      <c r="Y1420" s="27" t="n">
        <f aca="false">IF(AND(E1420&gt;0,B1420=10),1,0)</f>
        <v>0</v>
      </c>
      <c r="Z1420" s="0" t="str">
        <f aca="false">IF(AND(C1419=C1420,W1419=W1420-1),X1419,"")</f>
        <v/>
      </c>
      <c r="AA1420" s="0" t="str">
        <f aca="false">IF(AND(C1419=C1420,W1419=W1420-1),Y1419,"")</f>
        <v/>
      </c>
      <c r="AB1420" s="0" t="str">
        <f aca="false">IF(W1420=1,"",IF(AND(X1420=1,Z1420&lt;&gt;1),1,0))</f>
        <v/>
      </c>
      <c r="AC1420" s="0" t="str">
        <f aca="false">IF(W1420=1,"",IF(AND(Y1420=1,AA1420&lt;&gt;1),1,0))</f>
        <v/>
      </c>
      <c r="AD1420" s="33" t="str">
        <f aca="false">IF(AND(E1420&gt;0,W1420&lt;1,NOT(AND(C1421=C1420,W1421=W1420+1))),INDEX(DATAS,W1420+1),"")</f>
        <v/>
      </c>
      <c r="AE1420" s="33" t="str">
        <f aca="false">IF(AND(Y1420=1,W1420&lt;1),IF(AND(C1421=C1420,W1421=W1420+1),IF(Y1421=1,"",INDEX(DATAS,W1420+1)),INDEX(DATAS,W1420+1)),"")</f>
        <v/>
      </c>
    </row>
    <row r="1421" customFormat="false" ht="15" hidden="false" customHeight="false" outlineLevel="0" collapsed="false">
      <c r="A1421" s="33" t="n">
        <v>46309</v>
      </c>
      <c r="B1421" s="0" t="n">
        <v>4</v>
      </c>
      <c r="C1421" s="0" t="n">
        <v>5541</v>
      </c>
      <c r="D1421" s="0" t="n">
        <v>125</v>
      </c>
      <c r="E1421" s="0" t="n">
        <v>1</v>
      </c>
      <c r="F1421" s="27" t="s">
        <v>925</v>
      </c>
      <c r="G1421" s="0" t="n">
        <v>52.5</v>
      </c>
      <c r="H1421" s="0" t="n">
        <v>51</v>
      </c>
      <c r="I1421" s="27" t="s">
        <v>168</v>
      </c>
      <c r="J1421" s="0" t="n">
        <v>125</v>
      </c>
      <c r="K1421" s="0" t="n">
        <v>77</v>
      </c>
      <c r="P1421" s="0" t="n">
        <v>3.83</v>
      </c>
      <c r="Q1421" s="0" t="n">
        <v>3.33</v>
      </c>
      <c r="R1421" s="0" t="n">
        <v>4739</v>
      </c>
      <c r="S1421" s="0" t="n">
        <v>9728</v>
      </c>
      <c r="T1421" s="0" t="n">
        <v>48.3</v>
      </c>
      <c r="U1421" s="0" t="n">
        <v>886</v>
      </c>
      <c r="V1421" s="0" t="n">
        <v>2</v>
      </c>
      <c r="W1421" s="27" t="n">
        <f aca="false">MATCH(A1421,DATAS,0)</f>
        <v>1</v>
      </c>
      <c r="X1421" s="27" t="n">
        <f aca="false">IF(AND(E1421&gt;0,OR(AND(B1421&gt;=1,B1421&lt;=6),B1421=10)),1,0)</f>
        <v>1</v>
      </c>
      <c r="Y1421" s="27" t="n">
        <f aca="false">IF(AND(E1421&gt;0,B1421=10),1,0)</f>
        <v>0</v>
      </c>
      <c r="Z1421" s="0" t="str">
        <f aca="false">IF(AND(C1420=C1421,W1420=W1421-1),X1420,"")</f>
        <v/>
      </c>
      <c r="AA1421" s="0" t="str">
        <f aca="false">IF(AND(C1420=C1421,W1420=W1421-1),Y1420,"")</f>
        <v/>
      </c>
      <c r="AB1421" s="0" t="str">
        <f aca="false">IF(W1421=1,"",IF(AND(X1421=1,Z1421&lt;&gt;1),1,0))</f>
        <v/>
      </c>
      <c r="AC1421" s="0" t="str">
        <f aca="false">IF(W1421=1,"",IF(AND(Y1421=1,AA1421&lt;&gt;1),1,0))</f>
        <v/>
      </c>
      <c r="AD1421" s="33" t="str">
        <f aca="false">IF(AND(E1421&gt;0,W1421&lt;1,NOT(AND(C1422=C1421,W1422=W1421+1))),INDEX(DATAS,W1421+1),"")</f>
        <v/>
      </c>
      <c r="AE1421" s="33" t="str">
        <f aca="false">IF(AND(Y1421=1,W1421&lt;1),IF(AND(C1422=C1421,W1422=W1421+1),IF(Y1422=1,"",INDEX(DATAS,W1421+1)),INDEX(DATAS,W1421+1)),"")</f>
        <v/>
      </c>
    </row>
    <row r="1422" customFormat="false" ht="15" hidden="false" customHeight="false" outlineLevel="0" collapsed="false">
      <c r="A1422" s="33" t="n">
        <v>46309</v>
      </c>
      <c r="B1422" s="0" t="n">
        <v>4</v>
      </c>
      <c r="C1422" s="0" t="n">
        <v>5542</v>
      </c>
      <c r="D1422" s="0" t="n">
        <v>160</v>
      </c>
      <c r="E1422" s="0" t="n">
        <v>1</v>
      </c>
      <c r="F1422" s="27" t="s">
        <v>925</v>
      </c>
      <c r="G1422" s="0" t="n">
        <v>43.9</v>
      </c>
      <c r="H1422" s="0" t="n">
        <v>48</v>
      </c>
      <c r="I1422" s="27" t="s">
        <v>138</v>
      </c>
      <c r="J1422" s="0" t="n">
        <v>125</v>
      </c>
      <c r="K1422" s="0" t="n">
        <v>69</v>
      </c>
      <c r="L1422" s="0" t="n">
        <v>35</v>
      </c>
      <c r="P1422" s="0" t="n">
        <v>3.9</v>
      </c>
      <c r="Q1422" s="0" t="n">
        <v>3.07</v>
      </c>
      <c r="R1422" s="0" t="n">
        <v>4387</v>
      </c>
      <c r="S1422" s="0" t="n">
        <v>9379</v>
      </c>
      <c r="T1422" s="0" t="n">
        <v>48</v>
      </c>
      <c r="U1422" s="0" t="n">
        <v>886</v>
      </c>
      <c r="V1422" s="0" t="n">
        <v>3</v>
      </c>
      <c r="W1422" s="27" t="n">
        <f aca="false">MATCH(A1422,DATAS,0)</f>
        <v>1</v>
      </c>
      <c r="X1422" s="27" t="n">
        <f aca="false">IF(AND(E1422&gt;0,OR(AND(B1422&gt;=1,B1422&lt;=6),B1422=10)),1,0)</f>
        <v>1</v>
      </c>
      <c r="Y1422" s="27" t="n">
        <f aca="false">IF(AND(E1422&gt;0,B1422=10),1,0)</f>
        <v>0</v>
      </c>
      <c r="Z1422" s="0" t="str">
        <f aca="false">IF(AND(C1421=C1422,W1421=W1422-1),X1421,"")</f>
        <v/>
      </c>
      <c r="AA1422" s="0" t="str">
        <f aca="false">IF(AND(C1421=C1422,W1421=W1422-1),Y1421,"")</f>
        <v/>
      </c>
      <c r="AB1422" s="0" t="str">
        <f aca="false">IF(W1422=1,"",IF(AND(X1422=1,Z1422&lt;&gt;1),1,0))</f>
        <v/>
      </c>
      <c r="AC1422" s="0" t="str">
        <f aca="false">IF(W1422=1,"",IF(AND(Y1422=1,AA1422&lt;&gt;1),1,0))</f>
        <v/>
      </c>
      <c r="AD1422" s="33" t="str">
        <f aca="false">IF(AND(E1422&gt;0,W1422&lt;1,NOT(AND(C1423=C1422,W1423=W1422+1))),INDEX(DATAS,W1422+1),"")</f>
        <v/>
      </c>
      <c r="AE1422" s="33" t="str">
        <f aca="false">IF(AND(Y1422=1,W1422&lt;1),IF(AND(C1423=C1422,W1423=W1422+1),IF(Y1423=1,"",INDEX(DATAS,W1422+1)),INDEX(DATAS,W1422+1)),"")</f>
        <v/>
      </c>
    </row>
    <row r="1423" customFormat="false" ht="15" hidden="false" customHeight="false" outlineLevel="0" collapsed="false">
      <c r="A1423" s="33" t="n">
        <v>46309</v>
      </c>
      <c r="B1423" s="0" t="n">
        <v>4</v>
      </c>
      <c r="C1423" s="0" t="n">
        <v>5543</v>
      </c>
      <c r="D1423" s="0" t="n">
        <v>172</v>
      </c>
      <c r="E1423" s="0" t="n">
        <v>1</v>
      </c>
      <c r="F1423" s="27" t="s">
        <v>926</v>
      </c>
      <c r="G1423" s="0" t="n">
        <v>25.3</v>
      </c>
      <c r="H1423" s="0" t="n">
        <v>24</v>
      </c>
      <c r="I1423" s="27" t="s">
        <v>138</v>
      </c>
      <c r="J1423" s="0" t="n">
        <v>102</v>
      </c>
      <c r="K1423" s="0" t="n">
        <v>67</v>
      </c>
      <c r="L1423" s="0" t="n">
        <v>70</v>
      </c>
      <c r="P1423" s="0" t="n">
        <v>3.68</v>
      </c>
      <c r="Q1423" s="0" t="n">
        <v>3.6</v>
      </c>
      <c r="R1423" s="0" t="n">
        <v>3747</v>
      </c>
      <c r="S1423" s="0" t="n">
        <v>7986</v>
      </c>
      <c r="T1423" s="0" t="n">
        <v>41.15</v>
      </c>
      <c r="U1423" s="0" t="n">
        <v>885</v>
      </c>
      <c r="V1423" s="0" t="n">
        <v>2</v>
      </c>
      <c r="W1423" s="27" t="n">
        <f aca="false">MATCH(A1423,DATAS,0)</f>
        <v>1</v>
      </c>
      <c r="X1423" s="27" t="n">
        <f aca="false">IF(AND(E1423&gt;0,OR(AND(B1423&gt;=1,B1423&lt;=6),B1423=10)),1,0)</f>
        <v>1</v>
      </c>
      <c r="Y1423" s="27" t="n">
        <f aca="false">IF(AND(E1423&gt;0,B1423=10),1,0)</f>
        <v>0</v>
      </c>
      <c r="Z1423" s="0" t="str">
        <f aca="false">IF(AND(C1422=C1423,W1422=W1423-1),X1422,"")</f>
        <v/>
      </c>
      <c r="AA1423" s="0" t="str">
        <f aca="false">IF(AND(C1422=C1423,W1422=W1423-1),Y1422,"")</f>
        <v/>
      </c>
      <c r="AB1423" s="0" t="str">
        <f aca="false">IF(W1423=1,"",IF(AND(X1423=1,Z1423&lt;&gt;1),1,0))</f>
        <v/>
      </c>
      <c r="AC1423" s="0" t="str">
        <f aca="false">IF(W1423=1,"",IF(AND(Y1423=1,AA1423&lt;&gt;1),1,0))</f>
        <v/>
      </c>
      <c r="AD1423" s="33" t="str">
        <f aca="false">IF(AND(E1423&gt;0,W1423&lt;1,NOT(AND(C1424=C1423,W1424=W1423+1))),INDEX(DATAS,W1423+1),"")</f>
        <v/>
      </c>
      <c r="AE1423" s="33" t="str">
        <f aca="false">IF(AND(Y1423=1,W1423&lt;1),IF(AND(C1424=C1423,W1424=W1423+1),IF(Y1424=1,"",INDEX(DATAS,W1423+1)),INDEX(DATAS,W1423+1)),"")</f>
        <v/>
      </c>
    </row>
    <row r="1424" customFormat="false" ht="15" hidden="false" customHeight="false" outlineLevel="0" collapsed="false">
      <c r="A1424" s="33" t="n">
        <v>46309</v>
      </c>
      <c r="B1424" s="0" t="n">
        <v>4</v>
      </c>
      <c r="C1424" s="0" t="n">
        <v>5549</v>
      </c>
      <c r="D1424" s="0" t="n">
        <v>170</v>
      </c>
      <c r="E1424" s="0" t="n">
        <v>1</v>
      </c>
      <c r="F1424" s="27" t="s">
        <v>927</v>
      </c>
      <c r="G1424" s="0" t="n">
        <v>46.9</v>
      </c>
      <c r="H1424" s="0" t="n">
        <v>47</v>
      </c>
      <c r="I1424" s="27" t="s">
        <v>138</v>
      </c>
      <c r="J1424" s="0" t="n">
        <v>135</v>
      </c>
      <c r="K1424" s="0" t="n">
        <v>65</v>
      </c>
      <c r="L1424" s="0" t="n">
        <v>35</v>
      </c>
      <c r="P1424" s="0" t="n">
        <v>3.21</v>
      </c>
      <c r="Q1424" s="0" t="n">
        <v>3.39</v>
      </c>
      <c r="R1424" s="0" t="n">
        <v>4004</v>
      </c>
      <c r="S1424" s="0" t="n">
        <v>8899</v>
      </c>
      <c r="T1424" s="0" t="n">
        <v>43.6</v>
      </c>
      <c r="U1424" s="0" t="n">
        <v>884</v>
      </c>
      <c r="V1424" s="0" t="n">
        <v>3</v>
      </c>
      <c r="W1424" s="27" t="n">
        <f aca="false">MATCH(A1424,DATAS,0)</f>
        <v>1</v>
      </c>
      <c r="X1424" s="27" t="n">
        <f aca="false">IF(AND(E1424&gt;0,OR(AND(B1424&gt;=1,B1424&lt;=6),B1424=10)),1,0)</f>
        <v>1</v>
      </c>
      <c r="Y1424" s="27" t="n">
        <f aca="false">IF(AND(E1424&gt;0,B1424=10),1,0)</f>
        <v>0</v>
      </c>
      <c r="Z1424" s="0" t="str">
        <f aca="false">IF(AND(C1423=C1424,W1423=W1424-1),X1423,"")</f>
        <v/>
      </c>
      <c r="AA1424" s="0" t="str">
        <f aca="false">IF(AND(C1423=C1424,W1423=W1424-1),Y1423,"")</f>
        <v/>
      </c>
      <c r="AB1424" s="0" t="str">
        <f aca="false">IF(W1424=1,"",IF(AND(X1424=1,Z1424&lt;&gt;1),1,0))</f>
        <v/>
      </c>
      <c r="AC1424" s="0" t="str">
        <f aca="false">IF(W1424=1,"",IF(AND(Y1424=1,AA1424&lt;&gt;1),1,0))</f>
        <v/>
      </c>
      <c r="AD1424" s="33" t="str">
        <f aca="false">IF(AND(E1424&gt;0,W1424&lt;1,NOT(AND(C1425=C1424,W1425=W1424+1))),INDEX(DATAS,W1424+1),"")</f>
        <v/>
      </c>
      <c r="AE1424" s="33" t="str">
        <f aca="false">IF(AND(Y1424=1,W1424&lt;1),IF(AND(C1425=C1424,W1425=W1424+1),IF(Y1425=1,"",INDEX(DATAS,W1424+1)),INDEX(DATAS,W1424+1)),"")</f>
        <v/>
      </c>
    </row>
    <row r="1425" customFormat="false" ht="15" hidden="false" customHeight="false" outlineLevel="0" collapsed="false">
      <c r="A1425" s="33" t="n">
        <v>46309</v>
      </c>
      <c r="B1425" s="0" t="n">
        <v>4</v>
      </c>
      <c r="C1425" s="0" t="n">
        <v>5550</v>
      </c>
      <c r="D1425" s="0" t="n">
        <v>221</v>
      </c>
      <c r="E1425" s="0" t="n">
        <v>1</v>
      </c>
      <c r="F1425" s="27" t="s">
        <v>927</v>
      </c>
      <c r="G1425" s="0" t="n">
        <v>54.8</v>
      </c>
      <c r="H1425" s="0" t="n">
        <v>55</v>
      </c>
      <c r="I1425" s="27" t="s">
        <v>138</v>
      </c>
      <c r="J1425" s="0" t="n">
        <v>165</v>
      </c>
      <c r="K1425" s="0" t="n">
        <v>67</v>
      </c>
      <c r="L1425" s="0" t="n">
        <v>56</v>
      </c>
      <c r="P1425" s="0" t="n">
        <v>3.41</v>
      </c>
      <c r="Q1425" s="0" t="n">
        <v>3.5</v>
      </c>
      <c r="R1425" s="0" t="n">
        <v>4402</v>
      </c>
      <c r="S1425" s="0" t="n">
        <v>10023</v>
      </c>
      <c r="T1425" s="0" t="n">
        <v>47.45</v>
      </c>
      <c r="U1425" s="0" t="n">
        <v>884</v>
      </c>
      <c r="V1425" s="0" t="n">
        <v>4</v>
      </c>
      <c r="W1425" s="27" t="n">
        <f aca="false">MATCH(A1425,DATAS,0)</f>
        <v>1</v>
      </c>
      <c r="X1425" s="27" t="n">
        <f aca="false">IF(AND(E1425&gt;0,OR(AND(B1425&gt;=1,B1425&lt;=6),B1425=10)),1,0)</f>
        <v>1</v>
      </c>
      <c r="Y1425" s="27" t="n">
        <f aca="false">IF(AND(E1425&gt;0,B1425=10),1,0)</f>
        <v>0</v>
      </c>
      <c r="Z1425" s="0" t="str">
        <f aca="false">IF(AND(C1424=C1425,W1424=W1425-1),X1424,"")</f>
        <v/>
      </c>
      <c r="AA1425" s="0" t="str">
        <f aca="false">IF(AND(C1424=C1425,W1424=W1425-1),Y1424,"")</f>
        <v/>
      </c>
      <c r="AB1425" s="0" t="str">
        <f aca="false">IF(W1425=1,"",IF(AND(X1425=1,Z1425&lt;&gt;1),1,0))</f>
        <v/>
      </c>
      <c r="AC1425" s="0" t="str">
        <f aca="false">IF(W1425=1,"",IF(AND(Y1425=1,AA1425&lt;&gt;1),1,0))</f>
        <v/>
      </c>
      <c r="AD1425" s="33" t="str">
        <f aca="false">IF(AND(E1425&gt;0,W1425&lt;1,NOT(AND(C1426=C1425,W1426=W1425+1))),INDEX(DATAS,W1425+1),"")</f>
        <v/>
      </c>
      <c r="AE1425" s="33" t="str">
        <f aca="false">IF(AND(Y1425=1,W1425&lt;1),IF(AND(C1426=C1425,W1426=W1425+1),IF(Y1426=1,"",INDEX(DATAS,W1425+1)),INDEX(DATAS,W1425+1)),"")</f>
        <v/>
      </c>
    </row>
    <row r="1426" customFormat="false" ht="15" hidden="false" customHeight="false" outlineLevel="0" collapsed="false">
      <c r="A1426" s="33" t="n">
        <v>46309</v>
      </c>
      <c r="B1426" s="0" t="n">
        <v>4</v>
      </c>
      <c r="C1426" s="0" t="n">
        <v>5551</v>
      </c>
      <c r="D1426" s="0" t="n">
        <v>237</v>
      </c>
      <c r="E1426" s="0" t="n">
        <v>1</v>
      </c>
      <c r="F1426" s="27" t="s">
        <v>928</v>
      </c>
      <c r="G1426" s="0" t="n">
        <v>48.5</v>
      </c>
      <c r="H1426" s="0" t="n">
        <v>49</v>
      </c>
      <c r="I1426" s="27" t="s">
        <v>138</v>
      </c>
      <c r="J1426" s="0" t="n">
        <v>69</v>
      </c>
      <c r="K1426" s="0" t="n">
        <v>69</v>
      </c>
      <c r="L1426" s="0" t="n">
        <v>168</v>
      </c>
      <c r="P1426" s="0" t="n">
        <v>4.19</v>
      </c>
      <c r="Q1426" s="0" t="n">
        <v>3.42</v>
      </c>
      <c r="R1426" s="0" t="n">
        <v>3702</v>
      </c>
      <c r="S1426" s="0" t="n">
        <v>8541</v>
      </c>
      <c r="T1426" s="0" t="n">
        <v>40.6</v>
      </c>
      <c r="U1426" s="0" t="n">
        <v>883</v>
      </c>
      <c r="V1426" s="0" t="n">
        <v>1</v>
      </c>
      <c r="W1426" s="27" t="n">
        <f aca="false">MATCH(A1426,DATAS,0)</f>
        <v>1</v>
      </c>
      <c r="X1426" s="27" t="n">
        <f aca="false">IF(AND(E1426&gt;0,OR(AND(B1426&gt;=1,B1426&lt;=6),B1426=10)),1,0)</f>
        <v>1</v>
      </c>
      <c r="Y1426" s="27" t="n">
        <f aca="false">IF(AND(E1426&gt;0,B1426=10),1,0)</f>
        <v>0</v>
      </c>
      <c r="Z1426" s="0" t="str">
        <f aca="false">IF(AND(C1425=C1426,W1425=W1426-1),X1425,"")</f>
        <v/>
      </c>
      <c r="AA1426" s="0" t="str">
        <f aca="false">IF(AND(C1425=C1426,W1425=W1426-1),Y1425,"")</f>
        <v/>
      </c>
      <c r="AB1426" s="0" t="str">
        <f aca="false">IF(W1426=1,"",IF(AND(X1426=1,Z1426&lt;&gt;1),1,0))</f>
        <v/>
      </c>
      <c r="AC1426" s="0" t="str">
        <f aca="false">IF(W1426=1,"",IF(AND(Y1426=1,AA1426&lt;&gt;1),1,0))</f>
        <v/>
      </c>
      <c r="AD1426" s="33" t="str">
        <f aca="false">IF(AND(E1426&gt;0,W1426&lt;1,NOT(AND(C1427=C1426,W1427=W1426+1))),INDEX(DATAS,W1426+1),"")</f>
        <v/>
      </c>
      <c r="AE1426" s="33" t="str">
        <f aca="false">IF(AND(Y1426=1,W1426&lt;1),IF(AND(C1427=C1426,W1427=W1426+1),IF(Y1427=1,"",INDEX(DATAS,W1426+1)),INDEX(DATAS,W1426+1)),"")</f>
        <v/>
      </c>
    </row>
    <row r="1427" customFormat="false" ht="15" hidden="false" customHeight="false" outlineLevel="0" collapsed="false">
      <c r="A1427" s="33" t="n">
        <v>46309</v>
      </c>
      <c r="B1427" s="0" t="n">
        <v>4</v>
      </c>
      <c r="C1427" s="0" t="n">
        <v>5552</v>
      </c>
      <c r="D1427" s="0" t="n">
        <v>242</v>
      </c>
      <c r="E1427" s="0" t="n">
        <v>1</v>
      </c>
      <c r="F1427" s="27" t="s">
        <v>928</v>
      </c>
      <c r="G1427" s="0" t="n">
        <v>48.5</v>
      </c>
      <c r="H1427" s="0" t="n">
        <v>49</v>
      </c>
      <c r="I1427" s="27" t="s">
        <v>138</v>
      </c>
      <c r="J1427" s="0" t="n">
        <v>67</v>
      </c>
      <c r="K1427" s="0" t="n">
        <v>67</v>
      </c>
      <c r="L1427" s="0" t="n">
        <v>175</v>
      </c>
      <c r="P1427" s="0" t="n">
        <v>3.53</v>
      </c>
      <c r="Q1427" s="0" t="n">
        <v>3.61</v>
      </c>
      <c r="R1427" s="0" t="n">
        <v>4270</v>
      </c>
      <c r="S1427" s="0" t="n">
        <v>9932</v>
      </c>
      <c r="T1427" s="0" t="n">
        <v>44.2</v>
      </c>
      <c r="U1427" s="0" t="n">
        <v>883</v>
      </c>
      <c r="V1427" s="0" t="n">
        <v>1</v>
      </c>
      <c r="W1427" s="27" t="n">
        <f aca="false">MATCH(A1427,DATAS,0)</f>
        <v>1</v>
      </c>
      <c r="X1427" s="27" t="n">
        <f aca="false">IF(AND(E1427&gt;0,OR(AND(B1427&gt;=1,B1427&lt;=6),B1427=10)),1,0)</f>
        <v>1</v>
      </c>
      <c r="Y1427" s="27" t="n">
        <f aca="false">IF(AND(E1427&gt;0,B1427=10),1,0)</f>
        <v>0</v>
      </c>
      <c r="Z1427" s="0" t="str">
        <f aca="false">IF(AND(C1426=C1427,W1426=W1427-1),X1426,"")</f>
        <v/>
      </c>
      <c r="AA1427" s="0" t="str">
        <f aca="false">IF(AND(C1426=C1427,W1426=W1427-1),Y1426,"")</f>
        <v/>
      </c>
      <c r="AB1427" s="0" t="str">
        <f aca="false">IF(W1427=1,"",IF(AND(X1427=1,Z1427&lt;&gt;1),1,0))</f>
        <v/>
      </c>
      <c r="AC1427" s="0" t="str">
        <f aca="false">IF(W1427=1,"",IF(AND(Y1427=1,AA1427&lt;&gt;1),1,0))</f>
        <v/>
      </c>
      <c r="AD1427" s="33" t="str">
        <f aca="false">IF(AND(E1427&gt;0,W1427&lt;1,NOT(AND(C1428=C1427,W1428=W1427+1))),INDEX(DATAS,W1427+1),"")</f>
        <v/>
      </c>
      <c r="AE1427" s="33" t="str">
        <f aca="false">IF(AND(Y1427=1,W1427&lt;1),IF(AND(C1428=C1427,W1428=W1427+1),IF(Y1428=1,"",INDEX(DATAS,W1427+1)),INDEX(DATAS,W1427+1)),"")</f>
        <v/>
      </c>
    </row>
    <row r="1428" customFormat="false" ht="15" hidden="false" customHeight="false" outlineLevel="0" collapsed="false">
      <c r="A1428" s="33" t="n">
        <v>46309</v>
      </c>
      <c r="B1428" s="0" t="n">
        <v>4</v>
      </c>
      <c r="C1428" s="0" t="n">
        <v>5553</v>
      </c>
      <c r="D1428" s="0" t="n">
        <v>244</v>
      </c>
      <c r="E1428" s="0" t="n">
        <v>1</v>
      </c>
      <c r="F1428" s="27" t="s">
        <v>928</v>
      </c>
      <c r="G1428" s="0" t="n">
        <v>39.4</v>
      </c>
      <c r="H1428" s="0" t="n">
        <v>39</v>
      </c>
      <c r="I1428" s="27" t="s">
        <v>138</v>
      </c>
      <c r="J1428" s="0" t="n">
        <v>69</v>
      </c>
      <c r="K1428" s="0" t="n">
        <v>69</v>
      </c>
      <c r="L1428" s="0" t="n">
        <v>175</v>
      </c>
      <c r="P1428" s="0" t="n">
        <v>3.9</v>
      </c>
      <c r="Q1428" s="0" t="n">
        <v>3.55</v>
      </c>
      <c r="R1428" s="0" t="n">
        <v>4290</v>
      </c>
      <c r="S1428" s="0" t="n">
        <v>9081</v>
      </c>
      <c r="T1428" s="0" t="n">
        <v>45.95</v>
      </c>
      <c r="U1428" s="0" t="n">
        <v>883</v>
      </c>
      <c r="V1428" s="0" t="n">
        <v>1</v>
      </c>
      <c r="W1428" s="27" t="n">
        <f aca="false">MATCH(A1428,DATAS,0)</f>
        <v>1</v>
      </c>
      <c r="X1428" s="27" t="n">
        <f aca="false">IF(AND(E1428&gt;0,OR(AND(B1428&gt;=1,B1428&lt;=6),B1428=10)),1,0)</f>
        <v>1</v>
      </c>
      <c r="Y1428" s="27" t="n">
        <f aca="false">IF(AND(E1428&gt;0,B1428=10),1,0)</f>
        <v>0</v>
      </c>
      <c r="Z1428" s="0" t="str">
        <f aca="false">IF(AND(C1427=C1428,W1427=W1428-1),X1427,"")</f>
        <v/>
      </c>
      <c r="AA1428" s="0" t="str">
        <f aca="false">IF(AND(C1427=C1428,W1427=W1428-1),Y1427,"")</f>
        <v/>
      </c>
      <c r="AB1428" s="0" t="str">
        <f aca="false">IF(W1428=1,"",IF(AND(X1428=1,Z1428&lt;&gt;1),1,0))</f>
        <v/>
      </c>
      <c r="AC1428" s="0" t="str">
        <f aca="false">IF(W1428=1,"",IF(AND(Y1428=1,AA1428&lt;&gt;1),1,0))</f>
        <v/>
      </c>
      <c r="AD1428" s="33" t="str">
        <f aca="false">IF(AND(E1428&gt;0,W1428&lt;1,NOT(AND(C1429=C1428,W1429=W1428+1))),INDEX(DATAS,W1428+1),"")</f>
        <v/>
      </c>
      <c r="AE1428" s="33" t="str">
        <f aca="false">IF(AND(Y1428=1,W1428&lt;1),IF(AND(C1429=C1428,W1429=W1428+1),IF(Y1429=1,"",INDEX(DATAS,W1428+1)),INDEX(DATAS,W1428+1)),"")</f>
        <v/>
      </c>
    </row>
    <row r="1429" customFormat="false" ht="15" hidden="false" customHeight="false" outlineLevel="0" collapsed="false">
      <c r="A1429" s="33" t="n">
        <v>46309</v>
      </c>
      <c r="B1429" s="0" t="n">
        <v>4</v>
      </c>
      <c r="C1429" s="0" t="n">
        <v>5554</v>
      </c>
      <c r="D1429" s="0" t="n">
        <v>238</v>
      </c>
      <c r="E1429" s="0" t="n">
        <v>1</v>
      </c>
      <c r="F1429" s="27" t="s">
        <v>928</v>
      </c>
      <c r="G1429" s="0" t="n">
        <v>50.4</v>
      </c>
      <c r="H1429" s="0" t="n">
        <v>49</v>
      </c>
      <c r="I1429" s="27" t="s">
        <v>168</v>
      </c>
      <c r="J1429" s="0" t="n">
        <v>238</v>
      </c>
      <c r="K1429" s="0" t="n">
        <v>70</v>
      </c>
      <c r="P1429" s="0" t="n">
        <v>3.02</v>
      </c>
      <c r="Q1429" s="0" t="n">
        <v>3.57</v>
      </c>
      <c r="R1429" s="0" t="n">
        <v>5271</v>
      </c>
      <c r="S1429" s="0" t="n">
        <v>11186</v>
      </c>
      <c r="T1429" s="0" t="n">
        <v>60</v>
      </c>
      <c r="U1429" s="0" t="n">
        <v>883</v>
      </c>
      <c r="V1429" s="0" t="n">
        <v>5</v>
      </c>
      <c r="W1429" s="27" t="n">
        <f aca="false">MATCH(A1429,DATAS,0)</f>
        <v>1</v>
      </c>
      <c r="X1429" s="27" t="n">
        <f aca="false">IF(AND(E1429&gt;0,OR(AND(B1429&gt;=1,B1429&lt;=6),B1429=10)),1,0)</f>
        <v>1</v>
      </c>
      <c r="Y1429" s="27" t="n">
        <f aca="false">IF(AND(E1429&gt;0,B1429=10),1,0)</f>
        <v>0</v>
      </c>
      <c r="Z1429" s="0" t="str">
        <f aca="false">IF(AND(C1428=C1429,W1428=W1429-1),X1428,"")</f>
        <v/>
      </c>
      <c r="AA1429" s="0" t="str">
        <f aca="false">IF(AND(C1428=C1429,W1428=W1429-1),Y1428,"")</f>
        <v/>
      </c>
      <c r="AB1429" s="0" t="str">
        <f aca="false">IF(W1429=1,"",IF(AND(X1429=1,Z1429&lt;&gt;1),1,0))</f>
        <v/>
      </c>
      <c r="AC1429" s="0" t="str">
        <f aca="false">IF(W1429=1,"",IF(AND(Y1429=1,AA1429&lt;&gt;1),1,0))</f>
        <v/>
      </c>
      <c r="AD1429" s="33" t="str">
        <f aca="false">IF(AND(E1429&gt;0,W1429&lt;1,NOT(AND(C1430=C1429,W1430=W1429+1))),INDEX(DATAS,W1429+1),"")</f>
        <v/>
      </c>
      <c r="AE1429" s="33" t="str">
        <f aca="false">IF(AND(Y1429=1,W1429&lt;1),IF(AND(C1430=C1429,W1430=W1429+1),IF(Y1430=1,"",INDEX(DATAS,W1429+1)),INDEX(DATAS,W1429+1)),"")</f>
        <v/>
      </c>
    </row>
    <row r="1430" customFormat="false" ht="15" hidden="false" customHeight="false" outlineLevel="0" collapsed="false">
      <c r="A1430" s="33" t="n">
        <v>46309</v>
      </c>
      <c r="B1430" s="0" t="n">
        <v>4</v>
      </c>
      <c r="C1430" s="0" t="n">
        <v>5555</v>
      </c>
      <c r="D1430" s="0" t="n">
        <v>238</v>
      </c>
      <c r="E1430" s="0" t="n">
        <v>1</v>
      </c>
      <c r="F1430" s="27" t="s">
        <v>928</v>
      </c>
      <c r="G1430" s="0" t="n">
        <v>48.5</v>
      </c>
      <c r="H1430" s="0" t="n">
        <v>49</v>
      </c>
      <c r="I1430" s="27" t="s">
        <v>138</v>
      </c>
      <c r="J1430" s="0" t="n">
        <v>87</v>
      </c>
      <c r="K1430" s="0" t="n">
        <v>63</v>
      </c>
      <c r="L1430" s="0" t="n">
        <v>151</v>
      </c>
      <c r="P1430" s="0" t="n">
        <v>3.21</v>
      </c>
      <c r="Q1430" s="0" t="n">
        <v>3.57</v>
      </c>
      <c r="R1430" s="0" t="n">
        <v>4519</v>
      </c>
      <c r="S1430" s="0" t="n">
        <v>9753</v>
      </c>
      <c r="T1430" s="0" t="n">
        <v>52.7</v>
      </c>
      <c r="U1430" s="0" t="n">
        <v>883</v>
      </c>
      <c r="V1430" s="0" t="n">
        <v>2</v>
      </c>
      <c r="W1430" s="27" t="n">
        <f aca="false">MATCH(A1430,DATAS,0)</f>
        <v>1</v>
      </c>
      <c r="X1430" s="27" t="n">
        <f aca="false">IF(AND(E1430&gt;0,OR(AND(B1430&gt;=1,B1430&lt;=6),B1430=10)),1,0)</f>
        <v>1</v>
      </c>
      <c r="Y1430" s="27" t="n">
        <f aca="false">IF(AND(E1430&gt;0,B1430=10),1,0)</f>
        <v>0</v>
      </c>
      <c r="Z1430" s="0" t="str">
        <f aca="false">IF(AND(C1429=C1430,W1429=W1430-1),X1429,"")</f>
        <v/>
      </c>
      <c r="AA1430" s="0" t="str">
        <f aca="false">IF(AND(C1429=C1430,W1429=W1430-1),Y1429,"")</f>
        <v/>
      </c>
      <c r="AB1430" s="0" t="str">
        <f aca="false">IF(W1430=1,"",IF(AND(X1430=1,Z1430&lt;&gt;1),1,0))</f>
        <v/>
      </c>
      <c r="AC1430" s="0" t="str">
        <f aca="false">IF(W1430=1,"",IF(AND(Y1430=1,AA1430&lt;&gt;1),1,0))</f>
        <v/>
      </c>
      <c r="AD1430" s="33" t="str">
        <f aca="false">IF(AND(E1430&gt;0,W1430&lt;1,NOT(AND(C1431=C1430,W1431=W1430+1))),INDEX(DATAS,W1430+1),"")</f>
        <v/>
      </c>
      <c r="AE1430" s="33" t="str">
        <f aca="false">IF(AND(Y1430=1,W1430&lt;1),IF(AND(C1431=C1430,W1431=W1430+1),IF(Y1431=1,"",INDEX(DATAS,W1430+1)),INDEX(DATAS,W1430+1)),"")</f>
        <v/>
      </c>
    </row>
    <row r="1431" customFormat="false" ht="15" hidden="false" customHeight="false" outlineLevel="0" collapsed="false">
      <c r="A1431" s="33" t="n">
        <v>46309</v>
      </c>
      <c r="B1431" s="0" t="n">
        <v>4</v>
      </c>
      <c r="C1431" s="0" t="n">
        <v>5556</v>
      </c>
      <c r="D1431" s="0" t="n">
        <v>283</v>
      </c>
      <c r="E1431" s="0" t="n">
        <v>1</v>
      </c>
      <c r="F1431" s="27" t="s">
        <v>929</v>
      </c>
      <c r="G1431" s="0" t="n">
        <v>24.7</v>
      </c>
      <c r="H1431" s="0" t="n">
        <v>29</v>
      </c>
      <c r="I1431" s="27" t="s">
        <v>138</v>
      </c>
      <c r="J1431" s="0" t="n">
        <v>66</v>
      </c>
      <c r="K1431" s="0" t="n">
        <v>66</v>
      </c>
      <c r="L1431" s="0" t="n">
        <v>217</v>
      </c>
      <c r="P1431" s="0" t="n">
        <v>3.13</v>
      </c>
      <c r="Q1431" s="0" t="n">
        <v>3.76</v>
      </c>
      <c r="R1431" s="0" t="n">
        <v>2753</v>
      </c>
      <c r="S1431" s="0" t="n">
        <v>6058</v>
      </c>
      <c r="T1431" s="0" t="n">
        <v>30.9</v>
      </c>
      <c r="U1431" s="0" t="n">
        <v>882</v>
      </c>
      <c r="V1431" s="0" t="n">
        <v>1</v>
      </c>
      <c r="W1431" s="27" t="n">
        <f aca="false">MATCH(A1431,DATAS,0)</f>
        <v>1</v>
      </c>
      <c r="X1431" s="27" t="n">
        <f aca="false">IF(AND(E1431&gt;0,OR(AND(B1431&gt;=1,B1431&lt;=6),B1431=10)),1,0)</f>
        <v>1</v>
      </c>
      <c r="Y1431" s="27" t="n">
        <f aca="false">IF(AND(E1431&gt;0,B1431=10),1,0)</f>
        <v>0</v>
      </c>
      <c r="Z1431" s="0" t="str">
        <f aca="false">IF(AND(C1430=C1431,W1430=W1431-1),X1430,"")</f>
        <v/>
      </c>
      <c r="AA1431" s="0" t="str">
        <f aca="false">IF(AND(C1430=C1431,W1430=W1431-1),Y1430,"")</f>
        <v/>
      </c>
      <c r="AB1431" s="0" t="str">
        <f aca="false">IF(W1431=1,"",IF(AND(X1431=1,Z1431&lt;&gt;1),1,0))</f>
        <v/>
      </c>
      <c r="AC1431" s="0" t="str">
        <f aca="false">IF(W1431=1,"",IF(AND(Y1431=1,AA1431&lt;&gt;1),1,0))</f>
        <v/>
      </c>
      <c r="AD1431" s="33" t="str">
        <f aca="false">IF(AND(E1431&gt;0,W1431&lt;1,NOT(AND(C1432=C1431,W1432=W1431+1))),INDEX(DATAS,W1431+1),"")</f>
        <v/>
      </c>
      <c r="AE1431" s="33" t="str">
        <f aca="false">IF(AND(Y1431=1,W1431&lt;1),IF(AND(C1432=C1431,W1432=W1431+1),IF(Y1432=1,"",INDEX(DATAS,W1431+1)),INDEX(DATAS,W1431+1)),"")</f>
        <v/>
      </c>
    </row>
    <row r="1432" customFormat="false" ht="15" hidden="false" customHeight="false" outlineLevel="0" collapsed="false">
      <c r="A1432" s="33" t="n">
        <v>46309</v>
      </c>
      <c r="B1432" s="0" t="n">
        <v>1</v>
      </c>
      <c r="C1432" s="0" t="n">
        <v>5557</v>
      </c>
      <c r="D1432" s="0" t="n">
        <v>105</v>
      </c>
      <c r="E1432" s="0" t="n">
        <v>1</v>
      </c>
      <c r="F1432" s="27" t="s">
        <v>929</v>
      </c>
      <c r="G1432" s="0" t="n">
        <v>39.3</v>
      </c>
      <c r="H1432" s="0" t="n">
        <v>40</v>
      </c>
      <c r="I1432" s="27" t="s">
        <v>168</v>
      </c>
      <c r="J1432" s="0" t="n">
        <v>105</v>
      </c>
      <c r="K1432" s="0" t="n">
        <v>98</v>
      </c>
      <c r="P1432" s="0" t="n">
        <v>3.59</v>
      </c>
      <c r="Q1432" s="0" t="n">
        <v>3.17</v>
      </c>
      <c r="R1432" s="0" t="n">
        <v>2846</v>
      </c>
      <c r="S1432" s="0" t="n">
        <v>5832</v>
      </c>
      <c r="T1432" s="0" t="n">
        <v>33.6</v>
      </c>
      <c r="U1432" s="0" t="n">
        <v>882</v>
      </c>
      <c r="V1432" s="0" t="n">
        <v>1</v>
      </c>
      <c r="W1432" s="27" t="n">
        <f aca="false">MATCH(A1432,DATAS,0)</f>
        <v>1</v>
      </c>
      <c r="X1432" s="27" t="n">
        <f aca="false">IF(AND(E1432&gt;0,OR(AND(B1432&gt;=1,B1432&lt;=6),B1432=10)),1,0)</f>
        <v>1</v>
      </c>
      <c r="Y1432" s="27" t="n">
        <f aca="false">IF(AND(E1432&gt;0,B1432=10),1,0)</f>
        <v>0</v>
      </c>
      <c r="Z1432" s="0" t="str">
        <f aca="false">IF(AND(C1431=C1432,W1431=W1432-1),X1431,"")</f>
        <v/>
      </c>
      <c r="AA1432" s="0" t="str">
        <f aca="false">IF(AND(C1431=C1432,W1431=W1432-1),Y1431,"")</f>
        <v/>
      </c>
      <c r="AB1432" s="0" t="str">
        <f aca="false">IF(W1432=1,"",IF(AND(X1432=1,Z1432&lt;&gt;1),1,0))</f>
        <v/>
      </c>
      <c r="AC1432" s="0" t="str">
        <f aca="false">IF(W1432=1,"",IF(AND(Y1432=1,AA1432&lt;&gt;1),1,0))</f>
        <v/>
      </c>
      <c r="AD1432" s="33" t="str">
        <f aca="false">IF(AND(E1432&gt;0,W1432&lt;1,NOT(AND(C1433=C1432,W1433=W1432+1))),INDEX(DATAS,W1432+1),"")</f>
        <v/>
      </c>
      <c r="AE1432" s="33" t="str">
        <f aca="false">IF(AND(Y1432=1,W1432&lt;1),IF(AND(C1433=C1432,W1433=W1432+1),IF(Y1433=1,"",INDEX(DATAS,W1432+1)),INDEX(DATAS,W1432+1)),"")</f>
        <v/>
      </c>
    </row>
    <row r="1433" customFormat="false" ht="15" hidden="false" customHeight="false" outlineLevel="0" collapsed="false">
      <c r="A1433" s="33" t="n">
        <v>46309</v>
      </c>
      <c r="B1433" s="0" t="n">
        <v>4</v>
      </c>
      <c r="C1433" s="0" t="n">
        <v>5558</v>
      </c>
      <c r="D1433" s="0" t="n">
        <v>232</v>
      </c>
      <c r="E1433" s="0" t="n">
        <v>1</v>
      </c>
      <c r="F1433" s="27" t="s">
        <v>929</v>
      </c>
      <c r="G1433" s="0" t="n">
        <v>57.1</v>
      </c>
      <c r="H1433" s="0" t="n">
        <v>53</v>
      </c>
      <c r="I1433" s="27" t="s">
        <v>138</v>
      </c>
      <c r="J1433" s="0" t="n">
        <v>71</v>
      </c>
      <c r="K1433" s="0" t="n">
        <v>71</v>
      </c>
      <c r="L1433" s="0" t="n">
        <v>161</v>
      </c>
      <c r="P1433" s="0" t="n">
        <v>3.38</v>
      </c>
      <c r="Q1433" s="0" t="n">
        <v>3.25</v>
      </c>
      <c r="R1433" s="0" t="n">
        <v>4227</v>
      </c>
      <c r="S1433" s="0" t="n">
        <v>9763</v>
      </c>
      <c r="T1433" s="0" t="n">
        <v>48.2</v>
      </c>
      <c r="U1433" s="0" t="n">
        <v>882</v>
      </c>
      <c r="V1433" s="0" t="n">
        <v>1</v>
      </c>
      <c r="W1433" s="27" t="n">
        <f aca="false">MATCH(A1433,DATAS,0)</f>
        <v>1</v>
      </c>
      <c r="X1433" s="27" t="n">
        <f aca="false">IF(AND(E1433&gt;0,OR(AND(B1433&gt;=1,B1433&lt;=6),B1433=10)),1,0)</f>
        <v>1</v>
      </c>
      <c r="Y1433" s="27" t="n">
        <f aca="false">IF(AND(E1433&gt;0,B1433=10),1,0)</f>
        <v>0</v>
      </c>
      <c r="Z1433" s="0" t="str">
        <f aca="false">IF(AND(C1432=C1433,W1432=W1433-1),X1432,"")</f>
        <v/>
      </c>
      <c r="AA1433" s="0" t="str">
        <f aca="false">IF(AND(C1432=C1433,W1432=W1433-1),Y1432,"")</f>
        <v/>
      </c>
      <c r="AB1433" s="0" t="str">
        <f aca="false">IF(W1433=1,"",IF(AND(X1433=1,Z1433&lt;&gt;1),1,0))</f>
        <v/>
      </c>
      <c r="AC1433" s="0" t="str">
        <f aca="false">IF(W1433=1,"",IF(AND(Y1433=1,AA1433&lt;&gt;1),1,0))</f>
        <v/>
      </c>
      <c r="AD1433" s="33" t="str">
        <f aca="false">IF(AND(E1433&gt;0,W1433&lt;1,NOT(AND(C1434=C1433,W1434=W1433+1))),INDEX(DATAS,W1433+1),"")</f>
        <v/>
      </c>
      <c r="AE1433" s="33" t="str">
        <f aca="false">IF(AND(Y1433=1,W1433&lt;1),IF(AND(C1434=C1433,W1434=W1433+1),IF(Y1434=1,"",INDEX(DATAS,W1433+1)),INDEX(DATAS,W1433+1)),"")</f>
        <v/>
      </c>
    </row>
    <row r="1434" customFormat="false" ht="15" hidden="false" customHeight="false" outlineLevel="0" collapsed="false">
      <c r="A1434" s="33" t="n">
        <v>46309</v>
      </c>
      <c r="B1434" s="0" t="n">
        <v>6</v>
      </c>
      <c r="C1434" s="0" t="n">
        <v>5559</v>
      </c>
      <c r="D1434" s="0" t="n">
        <v>225</v>
      </c>
      <c r="E1434" s="0" t="n">
        <v>1</v>
      </c>
      <c r="F1434" s="27" t="s">
        <v>930</v>
      </c>
      <c r="G1434" s="0" t="n">
        <v>17.9</v>
      </c>
      <c r="H1434" s="0" t="n">
        <v>22</v>
      </c>
      <c r="I1434" s="27" t="s">
        <v>168</v>
      </c>
      <c r="J1434" s="0" t="n">
        <v>225</v>
      </c>
      <c r="K1434" s="0" t="n">
        <v>92</v>
      </c>
      <c r="P1434" s="0" t="n">
        <v>4.92</v>
      </c>
      <c r="Q1434" s="0" t="n">
        <v>3.68</v>
      </c>
      <c r="R1434" s="0" t="n">
        <v>3471</v>
      </c>
      <c r="S1434" s="0" t="n">
        <v>6240</v>
      </c>
      <c r="T1434" s="0" t="n">
        <v>34.35</v>
      </c>
      <c r="U1434" s="0" t="n">
        <v>881</v>
      </c>
      <c r="V1434" s="0" t="n">
        <v>3</v>
      </c>
      <c r="W1434" s="27" t="n">
        <f aca="false">MATCH(A1434,DATAS,0)</f>
        <v>1</v>
      </c>
      <c r="X1434" s="27" t="n">
        <f aca="false">IF(AND(E1434&gt;0,OR(AND(B1434&gt;=1,B1434&lt;=6),B1434=10)),1,0)</f>
        <v>1</v>
      </c>
      <c r="Y1434" s="27" t="n">
        <f aca="false">IF(AND(E1434&gt;0,B1434=10),1,0)</f>
        <v>0</v>
      </c>
      <c r="Z1434" s="0" t="str">
        <f aca="false">IF(AND(C1433=C1434,W1433=W1434-1),X1433,"")</f>
        <v/>
      </c>
      <c r="AA1434" s="0" t="str">
        <f aca="false">IF(AND(C1433=C1434,W1433=W1434-1),Y1433,"")</f>
        <v/>
      </c>
      <c r="AB1434" s="0" t="str">
        <f aca="false">IF(W1434=1,"",IF(AND(X1434=1,Z1434&lt;&gt;1),1,0))</f>
        <v/>
      </c>
      <c r="AC1434" s="0" t="str">
        <f aca="false">IF(W1434=1,"",IF(AND(Y1434=1,AA1434&lt;&gt;1),1,0))</f>
        <v/>
      </c>
      <c r="AD1434" s="33" t="str">
        <f aca="false">IF(AND(E1434&gt;0,W1434&lt;1,NOT(AND(C1435=C1434,W1435=W1434+1))),INDEX(DATAS,W1434+1),"")</f>
        <v/>
      </c>
      <c r="AE1434" s="33" t="str">
        <f aca="false">IF(AND(Y1434=1,W1434&lt;1),IF(AND(C1435=C1434,W1435=W1434+1),IF(Y1435=1,"",INDEX(DATAS,W1434+1)),INDEX(DATAS,W1434+1)),"")</f>
        <v/>
      </c>
    </row>
    <row r="1435" customFormat="false" ht="15" hidden="false" customHeight="false" outlineLevel="0" collapsed="false">
      <c r="A1435" s="33" t="n">
        <v>46309</v>
      </c>
      <c r="B1435" s="0" t="n">
        <v>4</v>
      </c>
      <c r="C1435" s="0" t="n">
        <v>5560</v>
      </c>
      <c r="D1435" s="0" t="n">
        <v>237</v>
      </c>
      <c r="E1435" s="0" t="n">
        <v>1</v>
      </c>
      <c r="F1435" s="27" t="s">
        <v>931</v>
      </c>
      <c r="G1435" s="0" t="n">
        <v>44.8</v>
      </c>
      <c r="H1435" s="0" t="n">
        <v>44</v>
      </c>
      <c r="I1435" s="27" t="s">
        <v>138</v>
      </c>
      <c r="J1435" s="0" t="n">
        <v>125</v>
      </c>
      <c r="K1435" s="0" t="n">
        <v>69</v>
      </c>
      <c r="L1435" s="0" t="n">
        <v>112</v>
      </c>
      <c r="P1435" s="0" t="n">
        <v>3.56</v>
      </c>
      <c r="Q1435" s="0" t="n">
        <v>3.6</v>
      </c>
      <c r="R1435" s="0" t="n">
        <v>3875</v>
      </c>
      <c r="S1435" s="0" t="n">
        <v>8123</v>
      </c>
      <c r="T1435" s="0" t="n">
        <v>42.65</v>
      </c>
      <c r="U1435" s="0" t="n">
        <v>879</v>
      </c>
      <c r="V1435" s="0" t="n">
        <v>3</v>
      </c>
      <c r="W1435" s="27" t="n">
        <f aca="false">MATCH(A1435,DATAS,0)</f>
        <v>1</v>
      </c>
      <c r="X1435" s="27" t="n">
        <f aca="false">IF(AND(E1435&gt;0,OR(AND(B1435&gt;=1,B1435&lt;=6),B1435=10)),1,0)</f>
        <v>1</v>
      </c>
      <c r="Y1435" s="27" t="n">
        <f aca="false">IF(AND(E1435&gt;0,B1435=10),1,0)</f>
        <v>0</v>
      </c>
      <c r="Z1435" s="0" t="str">
        <f aca="false">IF(AND(C1434=C1435,W1434=W1435-1),X1434,"")</f>
        <v/>
      </c>
      <c r="AA1435" s="0" t="str">
        <f aca="false">IF(AND(C1434=C1435,W1434=W1435-1),Y1434,"")</f>
        <v/>
      </c>
      <c r="AB1435" s="0" t="str">
        <f aca="false">IF(W1435=1,"",IF(AND(X1435=1,Z1435&lt;&gt;1),1,0))</f>
        <v/>
      </c>
      <c r="AC1435" s="0" t="str">
        <f aca="false">IF(W1435=1,"",IF(AND(Y1435=1,AA1435&lt;&gt;1),1,0))</f>
        <v/>
      </c>
      <c r="AD1435" s="33" t="str">
        <f aca="false">IF(AND(E1435&gt;0,W1435&lt;1,NOT(AND(C1436=C1435,W1436=W1435+1))),INDEX(DATAS,W1435+1),"")</f>
        <v/>
      </c>
      <c r="AE1435" s="33" t="str">
        <f aca="false">IF(AND(Y1435=1,W1435&lt;1),IF(AND(C1436=C1435,W1436=W1435+1),IF(Y1436=1,"",INDEX(DATAS,W1435+1)),INDEX(DATAS,W1435+1)),"")</f>
        <v/>
      </c>
    </row>
    <row r="1436" customFormat="false" ht="15" hidden="false" customHeight="false" outlineLevel="0" collapsed="false">
      <c r="A1436" s="33" t="n">
        <v>46309</v>
      </c>
      <c r="B1436" s="0" t="n">
        <v>4</v>
      </c>
      <c r="C1436" s="0" t="n">
        <v>5561</v>
      </c>
      <c r="D1436" s="0" t="n">
        <v>237</v>
      </c>
      <c r="E1436" s="0" t="n">
        <v>1</v>
      </c>
      <c r="F1436" s="27" t="s">
        <v>931</v>
      </c>
      <c r="G1436" s="0" t="n">
        <v>43.2</v>
      </c>
      <c r="H1436" s="0" t="n">
        <v>46</v>
      </c>
      <c r="I1436" s="27" t="s">
        <v>168</v>
      </c>
      <c r="J1436" s="0" t="n">
        <v>237</v>
      </c>
      <c r="K1436" s="0" t="n">
        <v>69</v>
      </c>
      <c r="P1436" s="0" t="n">
        <v>3.85</v>
      </c>
      <c r="Q1436" s="0" t="n">
        <v>3.73</v>
      </c>
      <c r="R1436" s="0" t="n">
        <v>3973</v>
      </c>
      <c r="S1436" s="0" t="n">
        <v>8582</v>
      </c>
      <c r="T1436" s="0" t="n">
        <v>45.95</v>
      </c>
      <c r="U1436" s="0" t="n">
        <v>879</v>
      </c>
      <c r="V1436" s="0" t="n">
        <v>5</v>
      </c>
      <c r="W1436" s="27" t="n">
        <f aca="false">MATCH(A1436,DATAS,0)</f>
        <v>1</v>
      </c>
      <c r="X1436" s="27" t="n">
        <f aca="false">IF(AND(E1436&gt;0,OR(AND(B1436&gt;=1,B1436&lt;=6),B1436=10)),1,0)</f>
        <v>1</v>
      </c>
      <c r="Y1436" s="27" t="n">
        <f aca="false">IF(AND(E1436&gt;0,B1436=10),1,0)</f>
        <v>0</v>
      </c>
      <c r="Z1436" s="0" t="str">
        <f aca="false">IF(AND(C1435=C1436,W1435=W1436-1),X1435,"")</f>
        <v/>
      </c>
      <c r="AA1436" s="0" t="str">
        <f aca="false">IF(AND(C1435=C1436,W1435=W1436-1),Y1435,"")</f>
        <v/>
      </c>
      <c r="AB1436" s="0" t="str">
        <f aca="false">IF(W1436=1,"",IF(AND(X1436=1,Z1436&lt;&gt;1),1,0))</f>
        <v/>
      </c>
      <c r="AC1436" s="0" t="str">
        <f aca="false">IF(W1436=1,"",IF(AND(Y1436=1,AA1436&lt;&gt;1),1,0))</f>
        <v/>
      </c>
      <c r="AD1436" s="33" t="str">
        <f aca="false">IF(AND(E1436&gt;0,W1436&lt;1,NOT(AND(C1437=C1436,W1437=W1436+1))),INDEX(DATAS,W1436+1),"")</f>
        <v/>
      </c>
      <c r="AE1436" s="33" t="str">
        <f aca="false">IF(AND(Y1436=1,W1436&lt;1),IF(AND(C1437=C1436,W1437=W1436+1),IF(Y1437=1,"",INDEX(DATAS,W1436+1)),INDEX(DATAS,W1436+1)),"")</f>
        <v/>
      </c>
    </row>
    <row r="1437" customFormat="false" ht="15" hidden="false" customHeight="false" outlineLevel="0" collapsed="false">
      <c r="A1437" s="33" t="n">
        <v>46309</v>
      </c>
      <c r="B1437" s="0" t="n">
        <v>4</v>
      </c>
      <c r="C1437" s="0" t="n">
        <v>5562</v>
      </c>
      <c r="D1437" s="0" t="n">
        <v>240</v>
      </c>
      <c r="E1437" s="0" t="n">
        <v>1</v>
      </c>
      <c r="F1437" s="27" t="s">
        <v>931</v>
      </c>
      <c r="G1437" s="0" t="n">
        <v>52.3</v>
      </c>
      <c r="H1437" s="0" t="n">
        <v>50</v>
      </c>
      <c r="I1437" s="27" t="s">
        <v>138</v>
      </c>
      <c r="J1437" s="0" t="n">
        <v>65</v>
      </c>
      <c r="K1437" s="0" t="n">
        <v>65</v>
      </c>
      <c r="L1437" s="0" t="n">
        <v>175</v>
      </c>
      <c r="P1437" s="0" t="n">
        <v>3.88</v>
      </c>
      <c r="Q1437" s="0" t="n">
        <v>3.36</v>
      </c>
      <c r="R1437" s="0" t="n">
        <v>4328</v>
      </c>
      <c r="S1437" s="0" t="n">
        <v>10082</v>
      </c>
      <c r="T1437" s="0" t="n">
        <v>52.3</v>
      </c>
      <c r="U1437" s="0" t="n">
        <v>879</v>
      </c>
      <c r="V1437" s="0" t="n">
        <v>1</v>
      </c>
      <c r="W1437" s="27" t="n">
        <f aca="false">MATCH(A1437,DATAS,0)</f>
        <v>1</v>
      </c>
      <c r="X1437" s="27" t="n">
        <f aca="false">IF(AND(E1437&gt;0,OR(AND(B1437&gt;=1,B1437&lt;=6),B1437=10)),1,0)</f>
        <v>1</v>
      </c>
      <c r="Y1437" s="27" t="n">
        <f aca="false">IF(AND(E1437&gt;0,B1437=10),1,0)</f>
        <v>0</v>
      </c>
      <c r="Z1437" s="0" t="str">
        <f aca="false">IF(AND(C1436=C1437,W1436=W1437-1),X1436,"")</f>
        <v/>
      </c>
      <c r="AA1437" s="0" t="str">
        <f aca="false">IF(AND(C1436=C1437,W1436=W1437-1),Y1436,"")</f>
        <v/>
      </c>
      <c r="AB1437" s="0" t="str">
        <f aca="false">IF(W1437=1,"",IF(AND(X1437=1,Z1437&lt;&gt;1),1,0))</f>
        <v/>
      </c>
      <c r="AC1437" s="0" t="str">
        <f aca="false">IF(W1437=1,"",IF(AND(Y1437=1,AA1437&lt;&gt;1),1,0))</f>
        <v/>
      </c>
      <c r="AD1437" s="33" t="str">
        <f aca="false">IF(AND(E1437&gt;0,W1437&lt;1,NOT(AND(C1438=C1437,W1438=W1437+1))),INDEX(DATAS,W1437+1),"")</f>
        <v/>
      </c>
      <c r="AE1437" s="33" t="str">
        <f aca="false">IF(AND(Y1437=1,W1437&lt;1),IF(AND(C1438=C1437,W1438=W1437+1),IF(Y1438=1,"",INDEX(DATAS,W1437+1)),INDEX(DATAS,W1437+1)),"")</f>
        <v/>
      </c>
    </row>
    <row r="1438" customFormat="false" ht="15" hidden="false" customHeight="false" outlineLevel="0" collapsed="false">
      <c r="A1438" s="33" t="n">
        <v>46309</v>
      </c>
      <c r="B1438" s="0" t="n">
        <v>4</v>
      </c>
      <c r="C1438" s="0" t="n">
        <v>5563</v>
      </c>
      <c r="D1438" s="0" t="n">
        <v>171</v>
      </c>
      <c r="E1438" s="0" t="n">
        <v>1</v>
      </c>
      <c r="F1438" s="27" t="s">
        <v>931</v>
      </c>
      <c r="G1438" s="0" t="n">
        <v>54.9</v>
      </c>
      <c r="H1438" s="0" t="n">
        <v>56</v>
      </c>
      <c r="I1438" s="27" t="s">
        <v>138</v>
      </c>
      <c r="J1438" s="0" t="n">
        <v>122</v>
      </c>
      <c r="K1438" s="0" t="n">
        <v>66</v>
      </c>
      <c r="L1438" s="0" t="n">
        <v>49</v>
      </c>
      <c r="P1438" s="0" t="n">
        <v>3.93</v>
      </c>
      <c r="Q1438" s="0" t="n">
        <v>3.21</v>
      </c>
      <c r="R1438" s="0" t="n">
        <v>4542</v>
      </c>
      <c r="S1438" s="0" t="n">
        <v>9903</v>
      </c>
      <c r="T1438" s="0" t="n">
        <v>49.4</v>
      </c>
      <c r="U1438" s="0" t="n">
        <v>879</v>
      </c>
      <c r="V1438" s="0" t="n">
        <v>2</v>
      </c>
      <c r="W1438" s="27" t="n">
        <f aca="false">MATCH(A1438,DATAS,0)</f>
        <v>1</v>
      </c>
      <c r="X1438" s="27" t="n">
        <f aca="false">IF(AND(E1438&gt;0,OR(AND(B1438&gt;=1,B1438&lt;=6),B1438=10)),1,0)</f>
        <v>1</v>
      </c>
      <c r="Y1438" s="27" t="n">
        <f aca="false">IF(AND(E1438&gt;0,B1438=10),1,0)</f>
        <v>0</v>
      </c>
      <c r="Z1438" s="0" t="str">
        <f aca="false">IF(AND(C1437=C1438,W1437=W1438-1),X1437,"")</f>
        <v/>
      </c>
      <c r="AA1438" s="0" t="str">
        <f aca="false">IF(AND(C1437=C1438,W1437=W1438-1),Y1437,"")</f>
        <v/>
      </c>
      <c r="AB1438" s="0" t="str">
        <f aca="false">IF(W1438=1,"",IF(AND(X1438=1,Z1438&lt;&gt;1),1,0))</f>
        <v/>
      </c>
      <c r="AC1438" s="0" t="str">
        <f aca="false">IF(W1438=1,"",IF(AND(Y1438=1,AA1438&lt;&gt;1),1,0))</f>
        <v/>
      </c>
      <c r="AD1438" s="33" t="str">
        <f aca="false">IF(AND(E1438&gt;0,W1438&lt;1,NOT(AND(C1439=C1438,W1439=W1438+1))),INDEX(DATAS,W1438+1),"")</f>
        <v/>
      </c>
      <c r="AE1438" s="33" t="str">
        <f aca="false">IF(AND(Y1438=1,W1438&lt;1),IF(AND(C1439=C1438,W1439=W1438+1),IF(Y1439=1,"",INDEX(DATAS,W1438+1)),INDEX(DATAS,W1438+1)),"")</f>
        <v/>
      </c>
    </row>
    <row r="1439" customFormat="false" ht="15" hidden="false" customHeight="false" outlineLevel="0" collapsed="false">
      <c r="A1439" s="33" t="n">
        <v>46309</v>
      </c>
      <c r="B1439" s="0" t="n">
        <v>4</v>
      </c>
      <c r="C1439" s="0" t="n">
        <v>5564</v>
      </c>
      <c r="D1439" s="0" t="n">
        <v>236</v>
      </c>
      <c r="E1439" s="0" t="n">
        <v>1</v>
      </c>
      <c r="F1439" s="27" t="s">
        <v>931</v>
      </c>
      <c r="G1439" s="0" t="n">
        <v>42.1</v>
      </c>
      <c r="H1439" s="0" t="n">
        <v>42</v>
      </c>
      <c r="I1439" s="27" t="s">
        <v>138</v>
      </c>
      <c r="J1439" s="0" t="n">
        <v>124</v>
      </c>
      <c r="K1439" s="0" t="n">
        <v>68</v>
      </c>
      <c r="L1439" s="0" t="n">
        <v>112</v>
      </c>
      <c r="P1439" s="0" t="n">
        <v>3.08</v>
      </c>
      <c r="Q1439" s="0" t="n">
        <v>3.43</v>
      </c>
      <c r="R1439" s="0" t="n">
        <v>3221</v>
      </c>
      <c r="S1439" s="0" t="n">
        <v>8498</v>
      </c>
      <c r="T1439" s="0" t="n">
        <v>38.75</v>
      </c>
      <c r="U1439" s="0" t="n">
        <v>879</v>
      </c>
      <c r="V1439" s="0" t="n">
        <v>3</v>
      </c>
      <c r="W1439" s="27" t="n">
        <f aca="false">MATCH(A1439,DATAS,0)</f>
        <v>1</v>
      </c>
      <c r="X1439" s="27" t="n">
        <f aca="false">IF(AND(E1439&gt;0,OR(AND(B1439&gt;=1,B1439&lt;=6),B1439=10)),1,0)</f>
        <v>1</v>
      </c>
      <c r="Y1439" s="27" t="n">
        <f aca="false">IF(AND(E1439&gt;0,B1439=10),1,0)</f>
        <v>0</v>
      </c>
      <c r="Z1439" s="0" t="str">
        <f aca="false">IF(AND(C1438=C1439,W1438=W1439-1),X1438,"")</f>
        <v/>
      </c>
      <c r="AA1439" s="0" t="str">
        <f aca="false">IF(AND(C1438=C1439,W1438=W1439-1),Y1438,"")</f>
        <v/>
      </c>
      <c r="AB1439" s="0" t="str">
        <f aca="false">IF(W1439=1,"",IF(AND(X1439=1,Z1439&lt;&gt;1),1,0))</f>
        <v/>
      </c>
      <c r="AC1439" s="0" t="str">
        <f aca="false">IF(W1439=1,"",IF(AND(Y1439=1,AA1439&lt;&gt;1),1,0))</f>
        <v/>
      </c>
      <c r="AD1439" s="33" t="str">
        <f aca="false">IF(AND(E1439&gt;0,W1439&lt;1,NOT(AND(C1440=C1439,W1440=W1439+1))),INDEX(DATAS,W1439+1),"")</f>
        <v/>
      </c>
      <c r="AE1439" s="33" t="str">
        <f aca="false">IF(AND(Y1439=1,W1439&lt;1),IF(AND(C1440=C1439,W1440=W1439+1),IF(Y1440=1,"",INDEX(DATAS,W1439+1)),INDEX(DATAS,W1439+1)),"")</f>
        <v/>
      </c>
    </row>
    <row r="1440" customFormat="false" ht="15" hidden="false" customHeight="false" outlineLevel="0" collapsed="false">
      <c r="A1440" s="33" t="n">
        <v>46309</v>
      </c>
      <c r="B1440" s="0" t="n">
        <v>4</v>
      </c>
      <c r="C1440" s="0" t="n">
        <v>5565</v>
      </c>
      <c r="D1440" s="0" t="n">
        <v>132</v>
      </c>
      <c r="E1440" s="0" t="n">
        <v>1</v>
      </c>
      <c r="F1440" s="27" t="s">
        <v>931</v>
      </c>
      <c r="G1440" s="0" t="n">
        <v>52.6</v>
      </c>
      <c r="H1440" s="0" t="n">
        <v>54</v>
      </c>
      <c r="I1440" s="27" t="s">
        <v>168</v>
      </c>
      <c r="J1440" s="0" t="n">
        <v>132</v>
      </c>
      <c r="K1440" s="0" t="n">
        <v>69</v>
      </c>
      <c r="P1440" s="0" t="n">
        <v>3.42</v>
      </c>
      <c r="Q1440" s="0" t="n">
        <v>3.27</v>
      </c>
      <c r="R1440" s="0" t="n">
        <v>4645</v>
      </c>
      <c r="S1440" s="0" t="n">
        <v>9752</v>
      </c>
      <c r="T1440" s="0" t="n">
        <v>47.5</v>
      </c>
      <c r="U1440" s="0" t="n">
        <v>879</v>
      </c>
      <c r="V1440" s="0" t="n">
        <v>2</v>
      </c>
      <c r="W1440" s="27" t="n">
        <f aca="false">MATCH(A1440,DATAS,0)</f>
        <v>1</v>
      </c>
      <c r="X1440" s="27" t="n">
        <f aca="false">IF(AND(E1440&gt;0,OR(AND(B1440&gt;=1,B1440&lt;=6),B1440=10)),1,0)</f>
        <v>1</v>
      </c>
      <c r="Y1440" s="27" t="n">
        <f aca="false">IF(AND(E1440&gt;0,B1440=10),1,0)</f>
        <v>0</v>
      </c>
      <c r="Z1440" s="0" t="str">
        <f aca="false">IF(AND(C1439=C1440,W1439=W1440-1),X1439,"")</f>
        <v/>
      </c>
      <c r="AA1440" s="0" t="str">
        <f aca="false">IF(AND(C1439=C1440,W1439=W1440-1),Y1439,"")</f>
        <v/>
      </c>
      <c r="AB1440" s="0" t="str">
        <f aca="false">IF(W1440=1,"",IF(AND(X1440=1,Z1440&lt;&gt;1),1,0))</f>
        <v/>
      </c>
      <c r="AC1440" s="0" t="str">
        <f aca="false">IF(W1440=1,"",IF(AND(Y1440=1,AA1440&lt;&gt;1),1,0))</f>
        <v/>
      </c>
      <c r="AD1440" s="33" t="str">
        <f aca="false">IF(AND(E1440&gt;0,W1440&lt;1,NOT(AND(C1441=C1440,W1441=W1440+1))),INDEX(DATAS,W1440+1),"")</f>
        <v/>
      </c>
      <c r="AE1440" s="33" t="str">
        <f aca="false">IF(AND(Y1440=1,W1440&lt;1),IF(AND(C1441=C1440,W1441=W1440+1),IF(Y1441=1,"",INDEX(DATAS,W1440+1)),INDEX(DATAS,W1440+1)),"")</f>
        <v/>
      </c>
    </row>
    <row r="1441" customFormat="false" ht="15" hidden="false" customHeight="false" outlineLevel="0" collapsed="false">
      <c r="A1441" s="33" t="n">
        <v>46309</v>
      </c>
      <c r="B1441" s="0" t="n">
        <v>4</v>
      </c>
      <c r="C1441" s="0" t="n">
        <v>5566</v>
      </c>
      <c r="D1441" s="0" t="n">
        <v>205</v>
      </c>
      <c r="E1441" s="0" t="n">
        <v>1</v>
      </c>
      <c r="F1441" s="27" t="s">
        <v>931</v>
      </c>
      <c r="G1441" s="0" t="n">
        <v>48.9</v>
      </c>
      <c r="H1441" s="0" t="n">
        <v>48</v>
      </c>
      <c r="I1441" s="27" t="s">
        <v>168</v>
      </c>
      <c r="J1441" s="0" t="n">
        <v>205</v>
      </c>
      <c r="K1441" s="0" t="n">
        <v>65</v>
      </c>
      <c r="P1441" s="0" t="n">
        <v>3.29</v>
      </c>
      <c r="Q1441" s="0" t="n">
        <v>3.24</v>
      </c>
      <c r="R1441" s="0" t="n">
        <v>4790</v>
      </c>
      <c r="S1441" s="0" t="n">
        <v>9421</v>
      </c>
      <c r="T1441" s="0" t="n">
        <v>55.2</v>
      </c>
      <c r="U1441" s="0" t="n">
        <v>879</v>
      </c>
      <c r="V1441" s="0" t="n">
        <v>4</v>
      </c>
      <c r="W1441" s="27" t="n">
        <f aca="false">MATCH(A1441,DATAS,0)</f>
        <v>1</v>
      </c>
      <c r="X1441" s="27" t="n">
        <f aca="false">IF(AND(E1441&gt;0,OR(AND(B1441&gt;=1,B1441&lt;=6),B1441=10)),1,0)</f>
        <v>1</v>
      </c>
      <c r="Y1441" s="27" t="n">
        <f aca="false">IF(AND(E1441&gt;0,B1441=10),1,0)</f>
        <v>0</v>
      </c>
      <c r="Z1441" s="0" t="str">
        <f aca="false">IF(AND(C1440=C1441,W1440=W1441-1),X1440,"")</f>
        <v/>
      </c>
      <c r="AA1441" s="0" t="str">
        <f aca="false">IF(AND(C1440=C1441,W1440=W1441-1),Y1440,"")</f>
        <v/>
      </c>
      <c r="AB1441" s="0" t="str">
        <f aca="false">IF(W1441=1,"",IF(AND(X1441=1,Z1441&lt;&gt;1),1,0))</f>
        <v/>
      </c>
      <c r="AC1441" s="0" t="str">
        <f aca="false">IF(W1441=1,"",IF(AND(Y1441=1,AA1441&lt;&gt;1),1,0))</f>
        <v/>
      </c>
      <c r="AD1441" s="33" t="str">
        <f aca="false">IF(AND(E1441&gt;0,W1441&lt;1,NOT(AND(C1442=C1441,W1442=W1441+1))),INDEX(DATAS,W1441+1),"")</f>
        <v/>
      </c>
      <c r="AE1441" s="33" t="str">
        <f aca="false">IF(AND(Y1441=1,W1441&lt;1),IF(AND(C1442=C1441,W1442=W1441+1),IF(Y1442=1,"",INDEX(DATAS,W1441+1)),INDEX(DATAS,W1441+1)),"")</f>
        <v/>
      </c>
    </row>
    <row r="1442" customFormat="false" ht="15" hidden="false" customHeight="false" outlineLevel="0" collapsed="false">
      <c r="A1442" s="33" t="n">
        <v>46309</v>
      </c>
      <c r="B1442" s="0" t="n">
        <v>4</v>
      </c>
      <c r="C1442" s="0" t="n">
        <v>5567</v>
      </c>
      <c r="D1442" s="0" t="n">
        <v>235</v>
      </c>
      <c r="E1442" s="0" t="n">
        <v>1</v>
      </c>
      <c r="F1442" s="27" t="s">
        <v>931</v>
      </c>
      <c r="G1442" s="0" t="n">
        <v>39.2</v>
      </c>
      <c r="H1442" s="0" t="n">
        <v>44</v>
      </c>
      <c r="I1442" s="27" t="s">
        <v>138</v>
      </c>
      <c r="J1442" s="0" t="n">
        <v>67</v>
      </c>
      <c r="K1442" s="0" t="n">
        <v>67</v>
      </c>
      <c r="L1442" s="0" t="n">
        <v>168</v>
      </c>
      <c r="P1442" s="0" t="n">
        <v>3.47</v>
      </c>
      <c r="Q1442" s="0" t="n">
        <v>3.55</v>
      </c>
      <c r="R1442" s="0" t="n">
        <v>4274</v>
      </c>
      <c r="S1442" s="0" t="n">
        <v>9814</v>
      </c>
      <c r="T1442" s="0" t="n">
        <v>44.85</v>
      </c>
      <c r="U1442" s="0" t="n">
        <v>879</v>
      </c>
      <c r="V1442" s="0" t="n">
        <v>1</v>
      </c>
      <c r="W1442" s="27" t="n">
        <f aca="false">MATCH(A1442,DATAS,0)</f>
        <v>1</v>
      </c>
      <c r="X1442" s="27" t="n">
        <f aca="false">IF(AND(E1442&gt;0,OR(AND(B1442&gt;=1,B1442&lt;=6),B1442=10)),1,0)</f>
        <v>1</v>
      </c>
      <c r="Y1442" s="27" t="n">
        <f aca="false">IF(AND(E1442&gt;0,B1442=10),1,0)</f>
        <v>0</v>
      </c>
      <c r="Z1442" s="0" t="str">
        <f aca="false">IF(AND(C1441=C1442,W1441=W1442-1),X1441,"")</f>
        <v/>
      </c>
      <c r="AA1442" s="0" t="str">
        <f aca="false">IF(AND(C1441=C1442,W1441=W1442-1),Y1441,"")</f>
        <v/>
      </c>
      <c r="AB1442" s="0" t="str">
        <f aca="false">IF(W1442=1,"",IF(AND(X1442=1,Z1442&lt;&gt;1),1,0))</f>
        <v/>
      </c>
      <c r="AC1442" s="0" t="str">
        <f aca="false">IF(W1442=1,"",IF(AND(Y1442=1,AA1442&lt;&gt;1),1,0))</f>
        <v/>
      </c>
      <c r="AD1442" s="33" t="str">
        <f aca="false">IF(AND(E1442&gt;0,W1442&lt;1,NOT(AND(C1443=C1442,W1443=W1442+1))),INDEX(DATAS,W1442+1),"")</f>
        <v/>
      </c>
      <c r="AE1442" s="33" t="str">
        <f aca="false">IF(AND(Y1442=1,W1442&lt;1),IF(AND(C1443=C1442,W1443=W1442+1),IF(Y1443=1,"",INDEX(DATAS,W1442+1)),INDEX(DATAS,W1442+1)),"")</f>
        <v/>
      </c>
    </row>
    <row r="1443" customFormat="false" ht="15" hidden="false" customHeight="false" outlineLevel="0" collapsed="false">
      <c r="A1443" s="33" t="n">
        <v>46309</v>
      </c>
      <c r="B1443" s="0" t="n">
        <v>6</v>
      </c>
      <c r="C1443" s="0" t="n">
        <v>5568</v>
      </c>
      <c r="D1443" s="0" t="n">
        <v>140</v>
      </c>
      <c r="E1443" s="0" t="n">
        <v>1</v>
      </c>
      <c r="F1443" s="27" t="s">
        <v>931</v>
      </c>
      <c r="G1443" s="0" t="n">
        <v>34.7</v>
      </c>
      <c r="H1443" s="0" t="n">
        <v>31</v>
      </c>
      <c r="I1443" s="27" t="s">
        <v>168</v>
      </c>
      <c r="J1443" s="0" t="n">
        <v>140</v>
      </c>
      <c r="K1443" s="0" t="n">
        <v>77</v>
      </c>
      <c r="P1443" s="0" t="n">
        <v>3.93</v>
      </c>
      <c r="Q1443" s="0" t="n">
        <v>3.28</v>
      </c>
      <c r="R1443" s="0" t="n">
        <v>3574</v>
      </c>
      <c r="S1443" s="0" t="n">
        <v>7818</v>
      </c>
      <c r="T1443" s="0" t="n">
        <v>37.65</v>
      </c>
      <c r="U1443" s="0" t="n">
        <v>879</v>
      </c>
      <c r="V1443" s="0" t="n">
        <v>2</v>
      </c>
      <c r="W1443" s="27" t="n">
        <f aca="false">MATCH(A1443,DATAS,0)</f>
        <v>1</v>
      </c>
      <c r="X1443" s="27" t="n">
        <f aca="false">IF(AND(E1443&gt;0,OR(AND(B1443&gt;=1,B1443&lt;=6),B1443=10)),1,0)</f>
        <v>1</v>
      </c>
      <c r="Y1443" s="27" t="n">
        <f aca="false">IF(AND(E1443&gt;0,B1443=10),1,0)</f>
        <v>0</v>
      </c>
      <c r="Z1443" s="0" t="str">
        <f aca="false">IF(AND(C1442=C1443,W1442=W1443-1),X1442,"")</f>
        <v/>
      </c>
      <c r="AA1443" s="0" t="str">
        <f aca="false">IF(AND(C1442=C1443,W1442=W1443-1),Y1442,"")</f>
        <v/>
      </c>
      <c r="AB1443" s="0" t="str">
        <f aca="false">IF(W1443=1,"",IF(AND(X1443=1,Z1443&lt;&gt;1),1,0))</f>
        <v/>
      </c>
      <c r="AC1443" s="0" t="str">
        <f aca="false">IF(W1443=1,"",IF(AND(Y1443=1,AA1443&lt;&gt;1),1,0))</f>
        <v/>
      </c>
      <c r="AD1443" s="33" t="str">
        <f aca="false">IF(AND(E1443&gt;0,W1443&lt;1,NOT(AND(C1444=C1443,W1444=W1443+1))),INDEX(DATAS,W1443+1),"")</f>
        <v/>
      </c>
      <c r="AE1443" s="33" t="str">
        <f aca="false">IF(AND(Y1443=1,W1443&lt;1),IF(AND(C1444=C1443,W1444=W1443+1),IF(Y1444=1,"",INDEX(DATAS,W1443+1)),INDEX(DATAS,W1443+1)),"")</f>
        <v/>
      </c>
    </row>
    <row r="1444" customFormat="false" ht="15" hidden="false" customHeight="false" outlineLevel="0" collapsed="false">
      <c r="A1444" s="33" t="n">
        <v>46309</v>
      </c>
      <c r="B1444" s="0" t="n">
        <v>4</v>
      </c>
      <c r="C1444" s="0" t="n">
        <v>5569</v>
      </c>
      <c r="D1444" s="0" t="n">
        <v>172</v>
      </c>
      <c r="E1444" s="0" t="n">
        <v>1</v>
      </c>
      <c r="F1444" s="27" t="s">
        <v>931</v>
      </c>
      <c r="G1444" s="0" t="n">
        <v>46.1</v>
      </c>
      <c r="H1444" s="0" t="n">
        <v>47</v>
      </c>
      <c r="I1444" s="27" t="s">
        <v>138</v>
      </c>
      <c r="J1444" s="0" t="n">
        <v>109</v>
      </c>
      <c r="K1444" s="0" t="n">
        <v>67</v>
      </c>
      <c r="L1444" s="0" t="n">
        <v>63</v>
      </c>
      <c r="P1444" s="0" t="n">
        <v>3.73</v>
      </c>
      <c r="Q1444" s="0" t="n">
        <v>3.45</v>
      </c>
      <c r="R1444" s="0" t="n">
        <v>3596</v>
      </c>
      <c r="S1444" s="0" t="n">
        <v>8077</v>
      </c>
      <c r="T1444" s="0" t="n">
        <v>42</v>
      </c>
      <c r="U1444" s="0" t="n">
        <v>879</v>
      </c>
      <c r="V1444" s="0" t="n">
        <v>2</v>
      </c>
      <c r="W1444" s="27" t="n">
        <f aca="false">MATCH(A1444,DATAS,0)</f>
        <v>1</v>
      </c>
      <c r="X1444" s="27" t="n">
        <f aca="false">IF(AND(E1444&gt;0,OR(AND(B1444&gt;=1,B1444&lt;=6),B1444=10)),1,0)</f>
        <v>1</v>
      </c>
      <c r="Y1444" s="27" t="n">
        <f aca="false">IF(AND(E1444&gt;0,B1444=10),1,0)</f>
        <v>0</v>
      </c>
      <c r="Z1444" s="0" t="str">
        <f aca="false">IF(AND(C1443=C1444,W1443=W1444-1),X1443,"")</f>
        <v/>
      </c>
      <c r="AA1444" s="0" t="str">
        <f aca="false">IF(AND(C1443=C1444,W1443=W1444-1),Y1443,"")</f>
        <v/>
      </c>
      <c r="AB1444" s="0" t="str">
        <f aca="false">IF(W1444=1,"",IF(AND(X1444=1,Z1444&lt;&gt;1),1,0))</f>
        <v/>
      </c>
      <c r="AC1444" s="0" t="str">
        <f aca="false">IF(W1444=1,"",IF(AND(Y1444=1,AA1444&lt;&gt;1),1,0))</f>
        <v/>
      </c>
      <c r="AD1444" s="33" t="str">
        <f aca="false">IF(AND(E1444&gt;0,W1444&lt;1,NOT(AND(C1445=C1444,W1445=W1444+1))),INDEX(DATAS,W1444+1),"")</f>
        <v/>
      </c>
      <c r="AE1444" s="33" t="str">
        <f aca="false">IF(AND(Y1444=1,W1444&lt;1),IF(AND(C1445=C1444,W1445=W1444+1),IF(Y1445=1,"",INDEX(DATAS,W1444+1)),INDEX(DATAS,W1444+1)),"")</f>
        <v/>
      </c>
    </row>
    <row r="1445" customFormat="false" ht="15" hidden="false" customHeight="false" outlineLevel="0" collapsed="false">
      <c r="A1445" s="33" t="n">
        <v>46309</v>
      </c>
      <c r="B1445" s="0" t="n">
        <v>4</v>
      </c>
      <c r="C1445" s="0" t="n">
        <v>5570</v>
      </c>
      <c r="D1445" s="0" t="n">
        <v>206</v>
      </c>
      <c r="E1445" s="0" t="n">
        <v>1</v>
      </c>
      <c r="F1445" s="27" t="s">
        <v>932</v>
      </c>
      <c r="G1445" s="0" t="n">
        <v>44</v>
      </c>
      <c r="H1445" s="0" t="n">
        <v>42</v>
      </c>
      <c r="I1445" s="27" t="s">
        <v>138</v>
      </c>
      <c r="J1445" s="0" t="n">
        <v>66</v>
      </c>
      <c r="K1445" s="0" t="n">
        <v>73</v>
      </c>
      <c r="L1445" s="0" t="n">
        <v>140</v>
      </c>
      <c r="P1445" s="0" t="n">
        <v>3.87</v>
      </c>
      <c r="Q1445" s="0" t="n">
        <v>3.57</v>
      </c>
      <c r="R1445" s="0" t="n">
        <v>4075</v>
      </c>
      <c r="S1445" s="0" t="n">
        <v>9173</v>
      </c>
      <c r="T1445" s="0" t="n">
        <v>48.8</v>
      </c>
      <c r="U1445" s="0" t="n">
        <v>877</v>
      </c>
      <c r="V1445" s="0" t="n">
        <v>1</v>
      </c>
      <c r="W1445" s="27" t="n">
        <f aca="false">MATCH(A1445,DATAS,0)</f>
        <v>1</v>
      </c>
      <c r="X1445" s="27" t="n">
        <f aca="false">IF(AND(E1445&gt;0,OR(AND(B1445&gt;=1,B1445&lt;=6),B1445=10)),1,0)</f>
        <v>1</v>
      </c>
      <c r="Y1445" s="27" t="n">
        <f aca="false">IF(AND(E1445&gt;0,B1445=10),1,0)</f>
        <v>0</v>
      </c>
      <c r="Z1445" s="0" t="str">
        <f aca="false">IF(AND(C1444=C1445,W1444=W1445-1),X1444,"")</f>
        <v/>
      </c>
      <c r="AA1445" s="0" t="str">
        <f aca="false">IF(AND(C1444=C1445,W1444=W1445-1),Y1444,"")</f>
        <v/>
      </c>
      <c r="AB1445" s="0" t="str">
        <f aca="false">IF(W1445=1,"",IF(AND(X1445=1,Z1445&lt;&gt;1),1,0))</f>
        <v/>
      </c>
      <c r="AC1445" s="0" t="str">
        <f aca="false">IF(W1445=1,"",IF(AND(Y1445=1,AA1445&lt;&gt;1),1,0))</f>
        <v/>
      </c>
      <c r="AD1445" s="33" t="str">
        <f aca="false">IF(AND(E1445&gt;0,W1445&lt;1,NOT(AND(C1446=C1445,W1446=W1445+1))),INDEX(DATAS,W1445+1),"")</f>
        <v/>
      </c>
      <c r="AE1445" s="33" t="str">
        <f aca="false">IF(AND(Y1445=1,W1445&lt;1),IF(AND(C1446=C1445,W1446=W1445+1),IF(Y1446=1,"",INDEX(DATAS,W1445+1)),INDEX(DATAS,W1445+1)),"")</f>
        <v/>
      </c>
    </row>
    <row r="1446" customFormat="false" ht="15" hidden="false" customHeight="false" outlineLevel="0" collapsed="false">
      <c r="A1446" s="33" t="n">
        <v>46309</v>
      </c>
      <c r="B1446" s="0" t="n">
        <v>4</v>
      </c>
      <c r="C1446" s="0" t="n">
        <v>5571</v>
      </c>
      <c r="D1446" s="0" t="n">
        <v>164</v>
      </c>
      <c r="E1446" s="0" t="n">
        <v>1</v>
      </c>
      <c r="F1446" s="27" t="s">
        <v>932</v>
      </c>
      <c r="G1446" s="0" t="n">
        <v>50.9</v>
      </c>
      <c r="H1446" s="0" t="n">
        <v>48</v>
      </c>
      <c r="I1446" s="27" t="s">
        <v>138</v>
      </c>
      <c r="J1446" s="0" t="n">
        <v>66</v>
      </c>
      <c r="K1446" s="0" t="n">
        <v>66</v>
      </c>
      <c r="L1446" s="0" t="n">
        <v>98</v>
      </c>
      <c r="P1446" s="0" t="n">
        <v>4.41</v>
      </c>
      <c r="Q1446" s="0" t="n">
        <v>3.77</v>
      </c>
      <c r="R1446" s="0" t="n">
        <v>4047</v>
      </c>
      <c r="S1446" s="0" t="n">
        <v>8764</v>
      </c>
      <c r="T1446" s="0" t="n">
        <v>43.05</v>
      </c>
      <c r="U1446" s="0" t="n">
        <v>877</v>
      </c>
      <c r="V1446" s="0" t="n">
        <v>1</v>
      </c>
      <c r="W1446" s="27" t="n">
        <f aca="false">MATCH(A1446,DATAS,0)</f>
        <v>1</v>
      </c>
      <c r="X1446" s="27" t="n">
        <f aca="false">IF(AND(E1446&gt;0,OR(AND(B1446&gt;=1,B1446&lt;=6),B1446=10)),1,0)</f>
        <v>1</v>
      </c>
      <c r="Y1446" s="27" t="n">
        <f aca="false">IF(AND(E1446&gt;0,B1446=10),1,0)</f>
        <v>0</v>
      </c>
      <c r="Z1446" s="0" t="str">
        <f aca="false">IF(AND(C1445=C1446,W1445=W1446-1),X1445,"")</f>
        <v/>
      </c>
      <c r="AA1446" s="0" t="str">
        <f aca="false">IF(AND(C1445=C1446,W1445=W1446-1),Y1445,"")</f>
        <v/>
      </c>
      <c r="AB1446" s="0" t="str">
        <f aca="false">IF(W1446=1,"",IF(AND(X1446=1,Z1446&lt;&gt;1),1,0))</f>
        <v/>
      </c>
      <c r="AC1446" s="0" t="str">
        <f aca="false">IF(W1446=1,"",IF(AND(Y1446=1,AA1446&lt;&gt;1),1,0))</f>
        <v/>
      </c>
      <c r="AD1446" s="33" t="str">
        <f aca="false">IF(AND(E1446&gt;0,W1446&lt;1,NOT(AND(C1447=C1446,W1447=W1446+1))),INDEX(DATAS,W1446+1),"")</f>
        <v/>
      </c>
      <c r="AE1446" s="33" t="str">
        <f aca="false">IF(AND(Y1446=1,W1446&lt;1),IF(AND(C1447=C1446,W1447=W1446+1),IF(Y1447=1,"",INDEX(DATAS,W1446+1)),INDEX(DATAS,W1446+1)),"")</f>
        <v/>
      </c>
    </row>
    <row r="1447" customFormat="false" ht="15" hidden="false" customHeight="false" outlineLevel="0" collapsed="false">
      <c r="A1447" s="33" t="n">
        <v>46309</v>
      </c>
      <c r="B1447" s="0" t="n">
        <v>10</v>
      </c>
      <c r="C1447" s="0" t="n">
        <v>5572</v>
      </c>
      <c r="D1447" s="0" t="n">
        <v>211</v>
      </c>
      <c r="E1447" s="0" t="n">
        <v>1</v>
      </c>
      <c r="F1447" s="27" t="s">
        <v>932</v>
      </c>
      <c r="G1447" s="0" t="n">
        <v>18.8</v>
      </c>
      <c r="H1447" s="0" t="n">
        <v>25</v>
      </c>
      <c r="I1447" s="27" t="s">
        <v>138</v>
      </c>
      <c r="J1447" s="0" t="n">
        <v>169</v>
      </c>
      <c r="K1447" s="0" t="n">
        <v>64</v>
      </c>
      <c r="L1447" s="0" t="n">
        <v>42</v>
      </c>
      <c r="P1447" s="0" t="n">
        <v>3.4</v>
      </c>
      <c r="Q1447" s="0" t="n">
        <v>3.39</v>
      </c>
      <c r="R1447" s="0" t="n">
        <v>4629</v>
      </c>
      <c r="S1447" s="0" t="n">
        <v>10386</v>
      </c>
      <c r="T1447" s="0" t="n">
        <v>54.15</v>
      </c>
      <c r="U1447" s="0" t="n">
        <v>877</v>
      </c>
      <c r="V1447" s="0" t="n">
        <v>4</v>
      </c>
      <c r="W1447" s="27" t="n">
        <f aca="false">MATCH(A1447,DATAS,0)</f>
        <v>1</v>
      </c>
      <c r="X1447" s="27" t="n">
        <f aca="false">IF(AND(E1447&gt;0,OR(AND(B1447&gt;=1,B1447&lt;=6),B1447=10)),1,0)</f>
        <v>1</v>
      </c>
      <c r="Y1447" s="27" t="n">
        <f aca="false">IF(AND(E1447&gt;0,B1447=10),1,0)</f>
        <v>1</v>
      </c>
      <c r="Z1447" s="0" t="str">
        <f aca="false">IF(AND(C1446=C1447,W1446=W1447-1),X1446,"")</f>
        <v/>
      </c>
      <c r="AA1447" s="0" t="str">
        <f aca="false">IF(AND(C1446=C1447,W1446=W1447-1),Y1446,"")</f>
        <v/>
      </c>
      <c r="AB1447" s="0" t="str">
        <f aca="false">IF(W1447=1,"",IF(AND(X1447=1,Z1447&lt;&gt;1),1,0))</f>
        <v/>
      </c>
      <c r="AC1447" s="0" t="str">
        <f aca="false">IF(W1447=1,"",IF(AND(Y1447=1,AA1447&lt;&gt;1),1,0))</f>
        <v/>
      </c>
      <c r="AD1447" s="33" t="str">
        <f aca="false">IF(AND(E1447&gt;0,W1447&lt;1,NOT(AND(C1448=C1447,W1448=W1447+1))),INDEX(DATAS,W1447+1),"")</f>
        <v/>
      </c>
      <c r="AE1447" s="33" t="str">
        <f aca="false">IF(AND(Y1447=1,W1447&lt;1),IF(AND(C1448=C1447,W1448=W1447+1),IF(Y1448=1,"",INDEX(DATAS,W1447+1)),INDEX(DATAS,W1447+1)),"")</f>
        <v/>
      </c>
    </row>
    <row r="1448" customFormat="false" ht="15" hidden="false" customHeight="false" outlineLevel="0" collapsed="false">
      <c r="A1448" s="33" t="n">
        <v>46309</v>
      </c>
      <c r="B1448" s="0" t="n">
        <v>4</v>
      </c>
      <c r="C1448" s="0" t="n">
        <v>5573</v>
      </c>
      <c r="D1448" s="0" t="n">
        <v>232</v>
      </c>
      <c r="E1448" s="0" t="n">
        <v>1</v>
      </c>
      <c r="F1448" s="27" t="s">
        <v>932</v>
      </c>
      <c r="G1448" s="0" t="n">
        <v>39.8</v>
      </c>
      <c r="H1448" s="0" t="n">
        <v>39</v>
      </c>
      <c r="I1448" s="27" t="s">
        <v>138</v>
      </c>
      <c r="J1448" s="0" t="n">
        <v>85</v>
      </c>
      <c r="K1448" s="0" t="n">
        <v>64</v>
      </c>
      <c r="L1448" s="0" t="n">
        <v>147</v>
      </c>
      <c r="P1448" s="0" t="n">
        <v>3.51</v>
      </c>
      <c r="Q1448" s="0" t="n">
        <v>3.74</v>
      </c>
      <c r="R1448" s="0" t="n">
        <v>3490</v>
      </c>
      <c r="S1448" s="0" t="n">
        <v>7427</v>
      </c>
      <c r="T1448" s="0" t="n">
        <v>36.9</v>
      </c>
      <c r="U1448" s="0" t="n">
        <v>877</v>
      </c>
      <c r="V1448" s="0" t="n">
        <v>2</v>
      </c>
      <c r="W1448" s="27" t="n">
        <f aca="false">MATCH(A1448,DATAS,0)</f>
        <v>1</v>
      </c>
      <c r="X1448" s="27" t="n">
        <f aca="false">IF(AND(E1448&gt;0,OR(AND(B1448&gt;=1,B1448&lt;=6),B1448=10)),1,0)</f>
        <v>1</v>
      </c>
      <c r="Y1448" s="27" t="n">
        <f aca="false">IF(AND(E1448&gt;0,B1448=10),1,0)</f>
        <v>0</v>
      </c>
      <c r="Z1448" s="0" t="str">
        <f aca="false">IF(AND(C1447=C1448,W1447=W1448-1),X1447,"")</f>
        <v/>
      </c>
      <c r="AA1448" s="0" t="str">
        <f aca="false">IF(AND(C1447=C1448,W1447=W1448-1),Y1447,"")</f>
        <v/>
      </c>
      <c r="AB1448" s="0" t="str">
        <f aca="false">IF(W1448=1,"",IF(AND(X1448=1,Z1448&lt;&gt;1),1,0))</f>
        <v/>
      </c>
      <c r="AC1448" s="0" t="str">
        <f aca="false">IF(W1448=1,"",IF(AND(Y1448=1,AA1448&lt;&gt;1),1,0))</f>
        <v/>
      </c>
      <c r="AD1448" s="33" t="str">
        <f aca="false">IF(AND(E1448&gt;0,W1448&lt;1,NOT(AND(C1449=C1448,W1449=W1448+1))),INDEX(DATAS,W1448+1),"")</f>
        <v/>
      </c>
      <c r="AE1448" s="33" t="str">
        <f aca="false">IF(AND(Y1448=1,W1448&lt;1),IF(AND(C1449=C1448,W1449=W1448+1),IF(Y1449=1,"",INDEX(DATAS,W1448+1)),INDEX(DATAS,W1448+1)),"")</f>
        <v/>
      </c>
    </row>
    <row r="1449" customFormat="false" ht="15" hidden="false" customHeight="false" outlineLevel="0" collapsed="false">
      <c r="A1449" s="33" t="n">
        <v>46309</v>
      </c>
      <c r="B1449" s="0" t="n">
        <v>4</v>
      </c>
      <c r="C1449" s="0" t="n">
        <v>5574</v>
      </c>
      <c r="D1449" s="0" t="n">
        <v>184</v>
      </c>
      <c r="E1449" s="0" t="n">
        <v>1</v>
      </c>
      <c r="F1449" s="27" t="s">
        <v>932</v>
      </c>
      <c r="G1449" s="0" t="n">
        <v>51.5</v>
      </c>
      <c r="H1449" s="0" t="n">
        <v>54</v>
      </c>
      <c r="I1449" s="27" t="s">
        <v>138</v>
      </c>
      <c r="J1449" s="0" t="n">
        <v>87</v>
      </c>
      <c r="K1449" s="0" t="n">
        <v>65</v>
      </c>
      <c r="L1449" s="0" t="n">
        <v>97</v>
      </c>
      <c r="P1449" s="0" t="n">
        <v>3.84</v>
      </c>
      <c r="Q1449" s="0" t="n">
        <v>3.23</v>
      </c>
      <c r="R1449" s="0" t="n">
        <v>4695</v>
      </c>
      <c r="S1449" s="0" t="n">
        <v>10389</v>
      </c>
      <c r="T1449" s="0" t="n">
        <v>48.65</v>
      </c>
      <c r="U1449" s="0" t="n">
        <v>877</v>
      </c>
      <c r="V1449" s="0" t="n">
        <v>2</v>
      </c>
      <c r="W1449" s="27" t="n">
        <f aca="false">MATCH(A1449,DATAS,0)</f>
        <v>1</v>
      </c>
      <c r="X1449" s="27" t="n">
        <f aca="false">IF(AND(E1449&gt;0,OR(AND(B1449&gt;=1,B1449&lt;=6),B1449=10)),1,0)</f>
        <v>1</v>
      </c>
      <c r="Y1449" s="27" t="n">
        <f aca="false">IF(AND(E1449&gt;0,B1449=10),1,0)</f>
        <v>0</v>
      </c>
      <c r="Z1449" s="0" t="str">
        <f aca="false">IF(AND(C1448=C1449,W1448=W1449-1),X1448,"")</f>
        <v/>
      </c>
      <c r="AA1449" s="0" t="str">
        <f aca="false">IF(AND(C1448=C1449,W1448=W1449-1),Y1448,"")</f>
        <v/>
      </c>
      <c r="AB1449" s="0" t="str">
        <f aca="false">IF(W1449=1,"",IF(AND(X1449=1,Z1449&lt;&gt;1),1,0))</f>
        <v/>
      </c>
      <c r="AC1449" s="0" t="str">
        <f aca="false">IF(W1449=1,"",IF(AND(Y1449=1,AA1449&lt;&gt;1),1,0))</f>
        <v/>
      </c>
      <c r="AD1449" s="33" t="str">
        <f aca="false">IF(AND(E1449&gt;0,W1449&lt;1,NOT(AND(C1450=C1449,W1450=W1449+1))),INDEX(DATAS,W1449+1),"")</f>
        <v/>
      </c>
      <c r="AE1449" s="33" t="str">
        <f aca="false">IF(AND(Y1449=1,W1449&lt;1),IF(AND(C1450=C1449,W1450=W1449+1),IF(Y1450=1,"",INDEX(DATAS,W1449+1)),INDEX(DATAS,W1449+1)),"")</f>
        <v/>
      </c>
    </row>
    <row r="1450" customFormat="false" ht="15" hidden="false" customHeight="false" outlineLevel="0" collapsed="false">
      <c r="A1450" s="33" t="n">
        <v>46309</v>
      </c>
      <c r="B1450" s="0" t="n">
        <v>4</v>
      </c>
      <c r="C1450" s="0" t="n">
        <v>5575</v>
      </c>
      <c r="D1450" s="0" t="n">
        <v>160</v>
      </c>
      <c r="E1450" s="0" t="n">
        <v>1</v>
      </c>
      <c r="F1450" s="27" t="s">
        <v>932</v>
      </c>
      <c r="G1450" s="0" t="n">
        <v>51.3</v>
      </c>
      <c r="H1450" s="0" t="n">
        <v>48</v>
      </c>
      <c r="I1450" s="27" t="s">
        <v>168</v>
      </c>
      <c r="J1450" s="0" t="n">
        <v>160</v>
      </c>
      <c r="K1450" s="0" t="n">
        <v>76</v>
      </c>
      <c r="P1450" s="0" t="n">
        <v>3.51</v>
      </c>
      <c r="Q1450" s="0" t="n">
        <v>3.28</v>
      </c>
      <c r="R1450" s="0" t="n">
        <v>3538</v>
      </c>
      <c r="S1450" s="0" t="n">
        <v>8254</v>
      </c>
      <c r="T1450" s="0" t="n">
        <v>45.3</v>
      </c>
      <c r="U1450" s="0" t="n">
        <v>877</v>
      </c>
      <c r="V1450" s="0" t="n">
        <v>3</v>
      </c>
      <c r="W1450" s="27" t="n">
        <f aca="false">MATCH(A1450,DATAS,0)</f>
        <v>1</v>
      </c>
      <c r="X1450" s="27" t="n">
        <f aca="false">IF(AND(E1450&gt;0,OR(AND(B1450&gt;=1,B1450&lt;=6),B1450=10)),1,0)</f>
        <v>1</v>
      </c>
      <c r="Y1450" s="27" t="n">
        <f aca="false">IF(AND(E1450&gt;0,B1450=10),1,0)</f>
        <v>0</v>
      </c>
      <c r="Z1450" s="0" t="str">
        <f aca="false">IF(AND(C1449=C1450,W1449=W1450-1),X1449,"")</f>
        <v/>
      </c>
      <c r="AA1450" s="0" t="str">
        <f aca="false">IF(AND(C1449=C1450,W1449=W1450-1),Y1449,"")</f>
        <v/>
      </c>
      <c r="AB1450" s="0" t="str">
        <f aca="false">IF(W1450=1,"",IF(AND(X1450=1,Z1450&lt;&gt;1),1,0))</f>
        <v/>
      </c>
      <c r="AC1450" s="0" t="str">
        <f aca="false">IF(W1450=1,"",IF(AND(Y1450=1,AA1450&lt;&gt;1),1,0))</f>
        <v/>
      </c>
      <c r="AD1450" s="33" t="str">
        <f aca="false">IF(AND(E1450&gt;0,W1450&lt;1,NOT(AND(C1451=C1450,W1451=W1450+1))),INDEX(DATAS,W1450+1),"")</f>
        <v/>
      </c>
      <c r="AE1450" s="33" t="str">
        <f aca="false">IF(AND(Y1450=1,W1450&lt;1),IF(AND(C1451=C1450,W1451=W1450+1),IF(Y1451=1,"",INDEX(DATAS,W1450+1)),INDEX(DATAS,W1450+1)),"")</f>
        <v/>
      </c>
    </row>
    <row r="1451" customFormat="false" ht="15" hidden="false" customHeight="false" outlineLevel="0" collapsed="false">
      <c r="A1451" s="33" t="n">
        <v>46309</v>
      </c>
      <c r="B1451" s="0" t="n">
        <v>4</v>
      </c>
      <c r="C1451" s="0" t="n">
        <v>5576</v>
      </c>
      <c r="D1451" s="0" t="n">
        <v>213</v>
      </c>
      <c r="E1451" s="0" t="n">
        <v>1</v>
      </c>
      <c r="F1451" s="27" t="s">
        <v>933</v>
      </c>
      <c r="G1451" s="0" t="n">
        <v>32.6</v>
      </c>
      <c r="H1451" s="0" t="n">
        <v>32</v>
      </c>
      <c r="I1451" s="27" t="s">
        <v>138</v>
      </c>
      <c r="J1451" s="0" t="n">
        <v>136</v>
      </c>
      <c r="K1451" s="0" t="n">
        <v>66</v>
      </c>
      <c r="L1451" s="0" t="n">
        <v>77</v>
      </c>
      <c r="P1451" s="0" t="n">
        <v>4.24</v>
      </c>
      <c r="Q1451" s="0" t="n">
        <v>3.52</v>
      </c>
      <c r="R1451" s="0" t="n">
        <v>3326</v>
      </c>
      <c r="S1451" s="0" t="n">
        <v>7062</v>
      </c>
      <c r="T1451" s="0" t="n">
        <v>37.6</v>
      </c>
      <c r="U1451" s="0" t="n">
        <v>876</v>
      </c>
      <c r="V1451" s="0" t="n">
        <v>3</v>
      </c>
      <c r="W1451" s="27" t="n">
        <f aca="false">MATCH(A1451,DATAS,0)</f>
        <v>1</v>
      </c>
      <c r="X1451" s="27" t="n">
        <f aca="false">IF(AND(E1451&gt;0,OR(AND(B1451&gt;=1,B1451&lt;=6),B1451=10)),1,0)</f>
        <v>1</v>
      </c>
      <c r="Y1451" s="27" t="n">
        <f aca="false">IF(AND(E1451&gt;0,B1451=10),1,0)</f>
        <v>0</v>
      </c>
      <c r="Z1451" s="0" t="str">
        <f aca="false">IF(AND(C1450=C1451,W1450=W1451-1),X1450,"")</f>
        <v/>
      </c>
      <c r="AA1451" s="0" t="str">
        <f aca="false">IF(AND(C1450=C1451,W1450=W1451-1),Y1450,"")</f>
        <v/>
      </c>
      <c r="AB1451" s="0" t="str">
        <f aca="false">IF(W1451=1,"",IF(AND(X1451=1,Z1451&lt;&gt;1),1,0))</f>
        <v/>
      </c>
      <c r="AC1451" s="0" t="str">
        <f aca="false">IF(W1451=1,"",IF(AND(Y1451=1,AA1451&lt;&gt;1),1,0))</f>
        <v/>
      </c>
      <c r="AD1451" s="33" t="str">
        <f aca="false">IF(AND(E1451&gt;0,W1451&lt;1,NOT(AND(C1452=C1451,W1452=W1451+1))),INDEX(DATAS,W1451+1),"")</f>
        <v/>
      </c>
      <c r="AE1451" s="33" t="str">
        <f aca="false">IF(AND(Y1451=1,W1451&lt;1),IF(AND(C1452=C1451,W1452=W1451+1),IF(Y1452=1,"",INDEX(DATAS,W1451+1)),INDEX(DATAS,W1451+1)),"")</f>
        <v/>
      </c>
    </row>
    <row r="1452" customFormat="false" ht="15" hidden="false" customHeight="false" outlineLevel="0" collapsed="false">
      <c r="A1452" s="33" t="n">
        <v>46309</v>
      </c>
      <c r="B1452" s="0" t="n">
        <v>4</v>
      </c>
      <c r="C1452" s="0" t="n">
        <v>5578</v>
      </c>
      <c r="D1452" s="0" t="n">
        <v>196</v>
      </c>
      <c r="E1452" s="0" t="n">
        <v>1</v>
      </c>
      <c r="F1452" s="27" t="s">
        <v>933</v>
      </c>
      <c r="G1452" s="0" t="n">
        <v>47.4</v>
      </c>
      <c r="H1452" s="0" t="n">
        <v>48</v>
      </c>
      <c r="I1452" s="27" t="s">
        <v>138</v>
      </c>
      <c r="J1452" s="0" t="n">
        <v>98</v>
      </c>
      <c r="K1452" s="0" t="n">
        <v>63</v>
      </c>
      <c r="L1452" s="0" t="n">
        <v>98</v>
      </c>
      <c r="P1452" s="0" t="n">
        <v>2.52</v>
      </c>
      <c r="Q1452" s="0" t="n">
        <v>3.7</v>
      </c>
      <c r="R1452" s="0" t="n">
        <v>4700</v>
      </c>
      <c r="S1452" s="0" t="n">
        <v>10276</v>
      </c>
      <c r="T1452" s="0" t="n">
        <v>49.85</v>
      </c>
      <c r="U1452" s="0" t="n">
        <v>876</v>
      </c>
      <c r="V1452" s="0" t="n">
        <v>2</v>
      </c>
      <c r="W1452" s="27" t="n">
        <f aca="false">MATCH(A1452,DATAS,0)</f>
        <v>1</v>
      </c>
      <c r="X1452" s="27" t="n">
        <f aca="false">IF(AND(E1452&gt;0,OR(AND(B1452&gt;=1,B1452&lt;=6),B1452=10)),1,0)</f>
        <v>1</v>
      </c>
      <c r="Y1452" s="27" t="n">
        <f aca="false">IF(AND(E1452&gt;0,B1452=10),1,0)</f>
        <v>0</v>
      </c>
      <c r="Z1452" s="0" t="str">
        <f aca="false">IF(AND(C1451=C1452,W1451=W1452-1),X1451,"")</f>
        <v/>
      </c>
      <c r="AA1452" s="0" t="str">
        <f aca="false">IF(AND(C1451=C1452,W1451=W1452-1),Y1451,"")</f>
        <v/>
      </c>
      <c r="AB1452" s="0" t="str">
        <f aca="false">IF(W1452=1,"",IF(AND(X1452=1,Z1452&lt;&gt;1),1,0))</f>
        <v/>
      </c>
      <c r="AC1452" s="0" t="str">
        <f aca="false">IF(W1452=1,"",IF(AND(Y1452=1,AA1452&lt;&gt;1),1,0))</f>
        <v/>
      </c>
      <c r="AD1452" s="33" t="str">
        <f aca="false">IF(AND(E1452&gt;0,W1452&lt;1,NOT(AND(C1453=C1452,W1453=W1452+1))),INDEX(DATAS,W1452+1),"")</f>
        <v/>
      </c>
      <c r="AE1452" s="33" t="str">
        <f aca="false">IF(AND(Y1452=1,W1452&lt;1),IF(AND(C1453=C1452,W1453=W1452+1),IF(Y1453=1,"",INDEX(DATAS,W1452+1)),INDEX(DATAS,W1452+1)),"")</f>
        <v/>
      </c>
    </row>
    <row r="1453" customFormat="false" ht="15" hidden="false" customHeight="false" outlineLevel="0" collapsed="false">
      <c r="A1453" s="33" t="n">
        <v>46309</v>
      </c>
      <c r="B1453" s="0" t="n">
        <v>4</v>
      </c>
      <c r="C1453" s="0" t="n">
        <v>5579</v>
      </c>
      <c r="D1453" s="0" t="n">
        <v>205</v>
      </c>
      <c r="E1453" s="0" t="n">
        <v>1</v>
      </c>
      <c r="F1453" s="27" t="s">
        <v>933</v>
      </c>
      <c r="G1453" s="0" t="n">
        <v>43.1</v>
      </c>
      <c r="H1453" s="0" t="n">
        <v>43</v>
      </c>
      <c r="I1453" s="27" t="s">
        <v>138</v>
      </c>
      <c r="J1453" s="0" t="n">
        <v>89</v>
      </c>
      <c r="K1453" s="0" t="n">
        <v>65</v>
      </c>
      <c r="L1453" s="0" t="n">
        <v>116</v>
      </c>
      <c r="P1453" s="0" t="n">
        <v>3.26</v>
      </c>
      <c r="Q1453" s="0" t="n">
        <v>3.42</v>
      </c>
      <c r="R1453" s="0" t="n">
        <v>3317</v>
      </c>
      <c r="S1453" s="0" t="n">
        <v>8331</v>
      </c>
      <c r="T1453" s="0" t="n">
        <v>37.8</v>
      </c>
      <c r="U1453" s="0" t="n">
        <v>876</v>
      </c>
      <c r="V1453" s="0" t="n">
        <v>2</v>
      </c>
      <c r="W1453" s="27" t="n">
        <f aca="false">MATCH(A1453,DATAS,0)</f>
        <v>1</v>
      </c>
      <c r="X1453" s="27" t="n">
        <f aca="false">IF(AND(E1453&gt;0,OR(AND(B1453&gt;=1,B1453&lt;=6),B1453=10)),1,0)</f>
        <v>1</v>
      </c>
      <c r="Y1453" s="27" t="n">
        <f aca="false">IF(AND(E1453&gt;0,B1453=10),1,0)</f>
        <v>0</v>
      </c>
      <c r="Z1453" s="0" t="str">
        <f aca="false">IF(AND(C1452=C1453,W1452=W1453-1),X1452,"")</f>
        <v/>
      </c>
      <c r="AA1453" s="0" t="str">
        <f aca="false">IF(AND(C1452=C1453,W1452=W1453-1),Y1452,"")</f>
        <v/>
      </c>
      <c r="AB1453" s="0" t="str">
        <f aca="false">IF(W1453=1,"",IF(AND(X1453=1,Z1453&lt;&gt;1),1,0))</f>
        <v/>
      </c>
      <c r="AC1453" s="0" t="str">
        <f aca="false">IF(W1453=1,"",IF(AND(Y1453=1,AA1453&lt;&gt;1),1,0))</f>
        <v/>
      </c>
      <c r="AD1453" s="33" t="str">
        <f aca="false">IF(AND(E1453&gt;0,W1453&lt;1,NOT(AND(C1454=C1453,W1454=W1453+1))),INDEX(DATAS,W1453+1),"")</f>
        <v/>
      </c>
      <c r="AE1453" s="33" t="str">
        <f aca="false">IF(AND(Y1453=1,W1453&lt;1),IF(AND(C1454=C1453,W1454=W1453+1),IF(Y1454=1,"",INDEX(DATAS,W1453+1)),INDEX(DATAS,W1453+1)),"")</f>
        <v/>
      </c>
    </row>
    <row r="1454" customFormat="false" ht="15" hidden="false" customHeight="false" outlineLevel="0" collapsed="false">
      <c r="A1454" s="33" t="n">
        <v>46309</v>
      </c>
      <c r="B1454" s="0" t="n">
        <v>4</v>
      </c>
      <c r="C1454" s="0" t="n">
        <v>5580</v>
      </c>
      <c r="D1454" s="0" t="n">
        <v>184</v>
      </c>
      <c r="E1454" s="0" t="n">
        <v>1</v>
      </c>
      <c r="F1454" s="27" t="s">
        <v>934</v>
      </c>
      <c r="G1454" s="0" t="n">
        <v>53.5</v>
      </c>
      <c r="H1454" s="0" t="n">
        <v>51</v>
      </c>
      <c r="I1454" s="27" t="s">
        <v>138</v>
      </c>
      <c r="J1454" s="0" t="n">
        <v>65</v>
      </c>
      <c r="K1454" s="0" t="n">
        <v>65</v>
      </c>
      <c r="L1454" s="0" t="n">
        <v>119</v>
      </c>
      <c r="P1454" s="0" t="n">
        <v>4.34</v>
      </c>
      <c r="Q1454" s="0" t="n">
        <v>3.55</v>
      </c>
      <c r="R1454" s="0" t="n">
        <v>4020</v>
      </c>
      <c r="S1454" s="0" t="n">
        <v>8903</v>
      </c>
      <c r="T1454" s="0" t="n">
        <v>42.25</v>
      </c>
      <c r="U1454" s="0" t="n">
        <v>875</v>
      </c>
      <c r="V1454" s="0" t="n">
        <v>1</v>
      </c>
      <c r="W1454" s="27" t="n">
        <f aca="false">MATCH(A1454,DATAS,0)</f>
        <v>1</v>
      </c>
      <c r="X1454" s="27" t="n">
        <f aca="false">IF(AND(E1454&gt;0,OR(AND(B1454&gt;=1,B1454&lt;=6),B1454=10)),1,0)</f>
        <v>1</v>
      </c>
      <c r="Y1454" s="27" t="n">
        <f aca="false">IF(AND(E1454&gt;0,B1454=10),1,0)</f>
        <v>0</v>
      </c>
      <c r="Z1454" s="0" t="str">
        <f aca="false">IF(AND(C1453=C1454,W1453=W1454-1),X1453,"")</f>
        <v/>
      </c>
      <c r="AA1454" s="0" t="str">
        <f aca="false">IF(AND(C1453=C1454,W1453=W1454-1),Y1453,"")</f>
        <v/>
      </c>
      <c r="AB1454" s="0" t="str">
        <f aca="false">IF(W1454=1,"",IF(AND(X1454=1,Z1454&lt;&gt;1),1,0))</f>
        <v/>
      </c>
      <c r="AC1454" s="0" t="str">
        <f aca="false">IF(W1454=1,"",IF(AND(Y1454=1,AA1454&lt;&gt;1),1,0))</f>
        <v/>
      </c>
      <c r="AD1454" s="33" t="str">
        <f aca="false">IF(AND(E1454&gt;0,W1454&lt;1,NOT(AND(C1455=C1454,W1455=W1454+1))),INDEX(DATAS,W1454+1),"")</f>
        <v/>
      </c>
      <c r="AE1454" s="33" t="str">
        <f aca="false">IF(AND(Y1454=1,W1454&lt;1),IF(AND(C1455=C1454,W1455=W1454+1),IF(Y1455=1,"",INDEX(DATAS,W1454+1)),INDEX(DATAS,W1454+1)),"")</f>
        <v/>
      </c>
    </row>
    <row r="1455" customFormat="false" ht="15" hidden="false" customHeight="false" outlineLevel="0" collapsed="false">
      <c r="A1455" s="33" t="n">
        <v>46309</v>
      </c>
      <c r="B1455" s="0" t="n">
        <v>4</v>
      </c>
      <c r="C1455" s="0" t="n">
        <v>5581</v>
      </c>
      <c r="D1455" s="0" t="n">
        <v>171</v>
      </c>
      <c r="E1455" s="0" t="n">
        <v>1</v>
      </c>
      <c r="F1455" s="27" t="s">
        <v>934</v>
      </c>
      <c r="G1455" s="0" t="n">
        <v>53</v>
      </c>
      <c r="H1455" s="0" t="n">
        <v>51</v>
      </c>
      <c r="I1455" s="27" t="s">
        <v>138</v>
      </c>
      <c r="J1455" s="0" t="n">
        <v>66</v>
      </c>
      <c r="K1455" s="0" t="n">
        <v>66</v>
      </c>
      <c r="L1455" s="0" t="n">
        <v>105</v>
      </c>
      <c r="P1455" s="0" t="n">
        <v>3.83</v>
      </c>
      <c r="Q1455" s="0" t="n">
        <v>3.42</v>
      </c>
      <c r="R1455" s="0" t="n">
        <v>4356</v>
      </c>
      <c r="S1455" s="0" t="n">
        <v>9607</v>
      </c>
      <c r="T1455" s="0" t="n">
        <v>47.35</v>
      </c>
      <c r="U1455" s="0" t="n">
        <v>875</v>
      </c>
      <c r="V1455" s="0" t="n">
        <v>1</v>
      </c>
      <c r="W1455" s="27" t="n">
        <f aca="false">MATCH(A1455,DATAS,0)</f>
        <v>1</v>
      </c>
      <c r="X1455" s="27" t="n">
        <f aca="false">IF(AND(E1455&gt;0,OR(AND(B1455&gt;=1,B1455&lt;=6),B1455=10)),1,0)</f>
        <v>1</v>
      </c>
      <c r="Y1455" s="27" t="n">
        <f aca="false">IF(AND(E1455&gt;0,B1455=10),1,0)</f>
        <v>0</v>
      </c>
      <c r="Z1455" s="0" t="str">
        <f aca="false">IF(AND(C1454=C1455,W1454=W1455-1),X1454,"")</f>
        <v/>
      </c>
      <c r="AA1455" s="0" t="str">
        <f aca="false">IF(AND(C1454=C1455,W1454=W1455-1),Y1454,"")</f>
        <v/>
      </c>
      <c r="AB1455" s="0" t="str">
        <f aca="false">IF(W1455=1,"",IF(AND(X1455=1,Z1455&lt;&gt;1),1,0))</f>
        <v/>
      </c>
      <c r="AC1455" s="0" t="str">
        <f aca="false">IF(W1455=1,"",IF(AND(Y1455=1,AA1455&lt;&gt;1),1,0))</f>
        <v/>
      </c>
      <c r="AD1455" s="33" t="str">
        <f aca="false">IF(AND(E1455&gt;0,W1455&lt;1,NOT(AND(C1456=C1455,W1456=W1455+1))),INDEX(DATAS,W1455+1),"")</f>
        <v/>
      </c>
      <c r="AE1455" s="33" t="str">
        <f aca="false">IF(AND(Y1455=1,W1455&lt;1),IF(AND(C1456=C1455,W1456=W1455+1),IF(Y1456=1,"",INDEX(DATAS,W1455+1)),INDEX(DATAS,W1455+1)),"")</f>
        <v/>
      </c>
    </row>
    <row r="1456" customFormat="false" ht="15" hidden="false" customHeight="false" outlineLevel="0" collapsed="false">
      <c r="A1456" s="33" t="n">
        <v>46309</v>
      </c>
      <c r="B1456" s="0" t="n">
        <v>4</v>
      </c>
      <c r="C1456" s="0" t="n">
        <v>5582</v>
      </c>
      <c r="D1456" s="0" t="n">
        <v>124</v>
      </c>
      <c r="E1456" s="0" t="n">
        <v>1</v>
      </c>
      <c r="F1456" s="27" t="s">
        <v>934</v>
      </c>
      <c r="G1456" s="0" t="n">
        <v>49.8</v>
      </c>
      <c r="H1456" s="0" t="n">
        <v>50</v>
      </c>
      <c r="I1456" s="27" t="s">
        <v>138</v>
      </c>
      <c r="J1456" s="0" t="n">
        <v>75</v>
      </c>
      <c r="K1456" s="0" t="n">
        <v>75</v>
      </c>
      <c r="L1456" s="0" t="n">
        <v>49</v>
      </c>
      <c r="P1456" s="0" t="n">
        <v>2.83</v>
      </c>
      <c r="Q1456" s="0" t="n">
        <v>3.27</v>
      </c>
      <c r="R1456" s="0" t="n">
        <v>4106</v>
      </c>
      <c r="S1456" s="0" t="n">
        <v>8642</v>
      </c>
      <c r="T1456" s="0" t="n">
        <v>46.85</v>
      </c>
      <c r="U1456" s="0" t="n">
        <v>875</v>
      </c>
      <c r="V1456" s="0" t="n">
        <v>1</v>
      </c>
      <c r="W1456" s="27" t="n">
        <f aca="false">MATCH(A1456,DATAS,0)</f>
        <v>1</v>
      </c>
      <c r="X1456" s="27" t="n">
        <f aca="false">IF(AND(E1456&gt;0,OR(AND(B1456&gt;=1,B1456&lt;=6),B1456=10)),1,0)</f>
        <v>1</v>
      </c>
      <c r="Y1456" s="27" t="n">
        <f aca="false">IF(AND(E1456&gt;0,B1456=10),1,0)</f>
        <v>0</v>
      </c>
      <c r="Z1456" s="0" t="str">
        <f aca="false">IF(AND(C1455=C1456,W1455=W1456-1),X1455,"")</f>
        <v/>
      </c>
      <c r="AA1456" s="0" t="str">
        <f aca="false">IF(AND(C1455=C1456,W1455=W1456-1),Y1455,"")</f>
        <v/>
      </c>
      <c r="AB1456" s="0" t="str">
        <f aca="false">IF(W1456=1,"",IF(AND(X1456=1,Z1456&lt;&gt;1),1,0))</f>
        <v/>
      </c>
      <c r="AC1456" s="0" t="str">
        <f aca="false">IF(W1456=1,"",IF(AND(Y1456=1,AA1456&lt;&gt;1),1,0))</f>
        <v/>
      </c>
      <c r="AD1456" s="33" t="str">
        <f aca="false">IF(AND(E1456&gt;0,W1456&lt;1,NOT(AND(C1457=C1456,W1457=W1456+1))),INDEX(DATAS,W1456+1),"")</f>
        <v/>
      </c>
      <c r="AE1456" s="33" t="str">
        <f aca="false">IF(AND(Y1456=1,W1456&lt;1),IF(AND(C1457=C1456,W1457=W1456+1),IF(Y1457=1,"",INDEX(DATAS,W1456+1)),INDEX(DATAS,W1456+1)),"")</f>
        <v/>
      </c>
    </row>
    <row r="1457" customFormat="false" ht="15" hidden="false" customHeight="false" outlineLevel="0" collapsed="false">
      <c r="A1457" s="33" t="n">
        <v>46309</v>
      </c>
      <c r="B1457" s="0" t="n">
        <v>4</v>
      </c>
      <c r="C1457" s="0" t="n">
        <v>5583</v>
      </c>
      <c r="D1457" s="0" t="n">
        <v>191</v>
      </c>
      <c r="E1457" s="0" t="n">
        <v>1</v>
      </c>
      <c r="F1457" s="27" t="s">
        <v>934</v>
      </c>
      <c r="G1457" s="0" t="n">
        <v>38.7</v>
      </c>
      <c r="H1457" s="0" t="n">
        <v>39</v>
      </c>
      <c r="I1457" s="27" t="s">
        <v>138</v>
      </c>
      <c r="J1457" s="0" t="n">
        <v>65</v>
      </c>
      <c r="K1457" s="0" t="n">
        <v>65</v>
      </c>
      <c r="L1457" s="0" t="n">
        <v>126</v>
      </c>
      <c r="P1457" s="0" t="n">
        <v>3.45</v>
      </c>
      <c r="Q1457" s="0" t="n">
        <v>3.73</v>
      </c>
      <c r="R1457" s="0" t="n">
        <v>3982</v>
      </c>
      <c r="S1457" s="0" t="n">
        <v>8455</v>
      </c>
      <c r="T1457" s="0" t="n">
        <v>45.6</v>
      </c>
      <c r="U1457" s="0" t="n">
        <v>875</v>
      </c>
      <c r="V1457" s="0" t="n">
        <v>1</v>
      </c>
      <c r="W1457" s="27" t="n">
        <f aca="false">MATCH(A1457,DATAS,0)</f>
        <v>1</v>
      </c>
      <c r="X1457" s="27" t="n">
        <f aca="false">IF(AND(E1457&gt;0,OR(AND(B1457&gt;=1,B1457&lt;=6),B1457=10)),1,0)</f>
        <v>1</v>
      </c>
      <c r="Y1457" s="27" t="n">
        <f aca="false">IF(AND(E1457&gt;0,B1457=10),1,0)</f>
        <v>0</v>
      </c>
      <c r="Z1457" s="0" t="str">
        <f aca="false">IF(AND(C1456=C1457,W1456=W1457-1),X1456,"")</f>
        <v/>
      </c>
      <c r="AA1457" s="0" t="str">
        <f aca="false">IF(AND(C1456=C1457,W1456=W1457-1),Y1456,"")</f>
        <v/>
      </c>
      <c r="AB1457" s="0" t="str">
        <f aca="false">IF(W1457=1,"",IF(AND(X1457=1,Z1457&lt;&gt;1),1,0))</f>
        <v/>
      </c>
      <c r="AC1457" s="0" t="str">
        <f aca="false">IF(W1457=1,"",IF(AND(Y1457=1,AA1457&lt;&gt;1),1,0))</f>
        <v/>
      </c>
      <c r="AD1457" s="33" t="str">
        <f aca="false">IF(AND(E1457&gt;0,W1457&lt;1,NOT(AND(C1458=C1457,W1458=W1457+1))),INDEX(DATAS,W1457+1),"")</f>
        <v/>
      </c>
      <c r="AE1457" s="33" t="str">
        <f aca="false">IF(AND(Y1457=1,W1457&lt;1),IF(AND(C1458=C1457,W1458=W1457+1),IF(Y1458=1,"",INDEX(DATAS,W1457+1)),INDEX(DATAS,W1457+1)),"")</f>
        <v/>
      </c>
    </row>
    <row r="1458" customFormat="false" ht="15" hidden="false" customHeight="false" outlineLevel="0" collapsed="false">
      <c r="A1458" s="33" t="n">
        <v>46309</v>
      </c>
      <c r="B1458" s="0" t="n">
        <v>1</v>
      </c>
      <c r="C1458" s="0" t="n">
        <v>5584</v>
      </c>
      <c r="D1458" s="0" t="n">
        <v>203</v>
      </c>
      <c r="E1458" s="0" t="n">
        <v>1</v>
      </c>
      <c r="F1458" s="27" t="s">
        <v>934</v>
      </c>
      <c r="G1458" s="0" t="n">
        <v>32</v>
      </c>
      <c r="H1458" s="0" t="n">
        <v>34</v>
      </c>
      <c r="I1458" s="27" t="s">
        <v>138</v>
      </c>
      <c r="J1458" s="0" t="n">
        <v>63</v>
      </c>
      <c r="K1458" s="0" t="n">
        <v>63</v>
      </c>
      <c r="L1458" s="0" t="n">
        <v>140</v>
      </c>
      <c r="P1458" s="0" t="n">
        <v>3.17</v>
      </c>
      <c r="Q1458" s="0" t="n">
        <v>3.6</v>
      </c>
      <c r="R1458" s="0" t="n">
        <v>4328</v>
      </c>
      <c r="S1458" s="0" t="n">
        <v>7629</v>
      </c>
      <c r="T1458" s="0" t="n">
        <v>50.5</v>
      </c>
      <c r="U1458" s="0" t="n">
        <v>875</v>
      </c>
      <c r="V1458" s="0" t="n">
        <v>1</v>
      </c>
      <c r="W1458" s="27" t="n">
        <f aca="false">MATCH(A1458,DATAS,0)</f>
        <v>1</v>
      </c>
      <c r="X1458" s="27" t="n">
        <f aca="false">IF(AND(E1458&gt;0,OR(AND(B1458&gt;=1,B1458&lt;=6),B1458=10)),1,0)</f>
        <v>1</v>
      </c>
      <c r="Y1458" s="27" t="n">
        <f aca="false">IF(AND(E1458&gt;0,B1458=10),1,0)</f>
        <v>0</v>
      </c>
      <c r="Z1458" s="0" t="str">
        <f aca="false">IF(AND(C1457=C1458,W1457=W1458-1),X1457,"")</f>
        <v/>
      </c>
      <c r="AA1458" s="0" t="str">
        <f aca="false">IF(AND(C1457=C1458,W1457=W1458-1),Y1457,"")</f>
        <v/>
      </c>
      <c r="AB1458" s="0" t="str">
        <f aca="false">IF(W1458=1,"",IF(AND(X1458=1,Z1458&lt;&gt;1),1,0))</f>
        <v/>
      </c>
      <c r="AC1458" s="0" t="str">
        <f aca="false">IF(W1458=1,"",IF(AND(Y1458=1,AA1458&lt;&gt;1),1,0))</f>
        <v/>
      </c>
      <c r="AD1458" s="33" t="str">
        <f aca="false">IF(AND(E1458&gt;0,W1458&lt;1,NOT(AND(C1459=C1458,W1459=W1458+1))),INDEX(DATAS,W1458+1),"")</f>
        <v/>
      </c>
      <c r="AE1458" s="33" t="str">
        <f aca="false">IF(AND(Y1458=1,W1458&lt;1),IF(AND(C1459=C1458,W1459=W1458+1),IF(Y1459=1,"",INDEX(DATAS,W1458+1)),INDEX(DATAS,W1458+1)),"")</f>
        <v/>
      </c>
    </row>
    <row r="1459" customFormat="false" ht="15" hidden="false" customHeight="false" outlineLevel="0" collapsed="false">
      <c r="A1459" s="33" t="n">
        <v>46309</v>
      </c>
      <c r="B1459" s="0" t="n">
        <v>4</v>
      </c>
      <c r="C1459" s="0" t="n">
        <v>5585</v>
      </c>
      <c r="D1459" s="0" t="n">
        <v>234</v>
      </c>
      <c r="E1459" s="0" t="n">
        <v>1</v>
      </c>
      <c r="F1459" s="27" t="s">
        <v>934</v>
      </c>
      <c r="G1459" s="0" t="n">
        <v>34.4</v>
      </c>
      <c r="H1459" s="0" t="n">
        <v>33</v>
      </c>
      <c r="I1459" s="27" t="s">
        <v>138</v>
      </c>
      <c r="J1459" s="0" t="n">
        <v>103</v>
      </c>
      <c r="K1459" s="0" t="n">
        <v>80</v>
      </c>
      <c r="L1459" s="0" t="n">
        <v>131</v>
      </c>
      <c r="P1459" s="0" t="n">
        <v>3.26</v>
      </c>
      <c r="Q1459" s="0" t="n">
        <v>3.9</v>
      </c>
      <c r="R1459" s="0" t="n">
        <v>3323</v>
      </c>
      <c r="S1459" s="0" t="n">
        <v>7783</v>
      </c>
      <c r="T1459" s="0" t="n">
        <v>35</v>
      </c>
      <c r="U1459" s="0" t="n">
        <v>875</v>
      </c>
      <c r="V1459" s="0" t="n">
        <v>2</v>
      </c>
      <c r="W1459" s="27" t="n">
        <f aca="false">MATCH(A1459,DATAS,0)</f>
        <v>1</v>
      </c>
      <c r="X1459" s="27" t="n">
        <f aca="false">IF(AND(E1459&gt;0,OR(AND(B1459&gt;=1,B1459&lt;=6),B1459=10)),1,0)</f>
        <v>1</v>
      </c>
      <c r="Y1459" s="27" t="n">
        <f aca="false">IF(AND(E1459&gt;0,B1459=10),1,0)</f>
        <v>0</v>
      </c>
      <c r="Z1459" s="0" t="str">
        <f aca="false">IF(AND(C1458=C1459,W1458=W1459-1),X1458,"")</f>
        <v/>
      </c>
      <c r="AA1459" s="0" t="str">
        <f aca="false">IF(AND(C1458=C1459,W1458=W1459-1),Y1458,"")</f>
        <v/>
      </c>
      <c r="AB1459" s="0" t="str">
        <f aca="false">IF(W1459=1,"",IF(AND(X1459=1,Z1459&lt;&gt;1),1,0))</f>
        <v/>
      </c>
      <c r="AC1459" s="0" t="str">
        <f aca="false">IF(W1459=1,"",IF(AND(Y1459=1,AA1459&lt;&gt;1),1,0))</f>
        <v/>
      </c>
      <c r="AD1459" s="33" t="str">
        <f aca="false">IF(AND(E1459&gt;0,W1459&lt;1,NOT(AND(C1460=C1459,W1460=W1459+1))),INDEX(DATAS,W1459+1),"")</f>
        <v/>
      </c>
      <c r="AE1459" s="33" t="str">
        <f aca="false">IF(AND(Y1459=1,W1459&lt;1),IF(AND(C1460=C1459,W1460=W1459+1),IF(Y1460=1,"",INDEX(DATAS,W1459+1)),INDEX(DATAS,W1459+1)),"")</f>
        <v/>
      </c>
    </row>
    <row r="1460" customFormat="false" ht="15" hidden="false" customHeight="false" outlineLevel="0" collapsed="false">
      <c r="A1460" s="33" t="n">
        <v>46309</v>
      </c>
      <c r="B1460" s="0" t="n">
        <v>7</v>
      </c>
      <c r="C1460" s="0" t="n">
        <v>5586</v>
      </c>
      <c r="E1460" s="0" t="n">
        <v>0</v>
      </c>
      <c r="F1460" s="27" t="s">
        <v>935</v>
      </c>
      <c r="I1460" s="27" t="s">
        <v>138</v>
      </c>
      <c r="L1460" s="0" t="n">
        <v>224</v>
      </c>
      <c r="U1460" s="0" t="n">
        <v>874</v>
      </c>
      <c r="V1460" s="0" t="n">
        <v>5</v>
      </c>
      <c r="W1460" s="27" t="n">
        <f aca="false">MATCH(A1460,DATAS,0)</f>
        <v>1</v>
      </c>
      <c r="X1460" s="27" t="n">
        <f aca="false">IF(AND(E1460&gt;0,OR(AND(B1460&gt;=1,B1460&lt;=6),B1460=10)),1,0)</f>
        <v>0</v>
      </c>
      <c r="Y1460" s="27" t="n">
        <f aca="false">IF(AND(E1460&gt;0,B1460=10),1,0)</f>
        <v>0</v>
      </c>
      <c r="Z1460" s="0" t="str">
        <f aca="false">IF(AND(C1459=C1460,W1459=W1460-1),X1459,"")</f>
        <v/>
      </c>
      <c r="AA1460" s="0" t="str">
        <f aca="false">IF(AND(C1459=C1460,W1459=W1460-1),Y1459,"")</f>
        <v/>
      </c>
      <c r="AB1460" s="0" t="str">
        <f aca="false">IF(W1460=1,"",IF(AND(X1460=1,Z1460&lt;&gt;1),1,0))</f>
        <v/>
      </c>
      <c r="AC1460" s="0" t="str">
        <f aca="false">IF(W1460=1,"",IF(AND(Y1460=1,AA1460&lt;&gt;1),1,0))</f>
        <v/>
      </c>
      <c r="AD1460" s="33" t="str">
        <f aca="false">IF(AND(E1460&gt;0,W1460&lt;1,NOT(AND(C1461=C1460,W1461=W1460+1))),INDEX(DATAS,W1460+1),"")</f>
        <v/>
      </c>
      <c r="AE1460" s="33" t="str">
        <f aca="false">IF(AND(Y1460=1,W1460&lt;1),IF(AND(C1461=C1460,W1461=W1460+1),IF(Y1461=1,"",INDEX(DATAS,W1460+1)),INDEX(DATAS,W1460+1)),"")</f>
        <v/>
      </c>
    </row>
    <row r="1461" customFormat="false" ht="15" hidden="false" customHeight="false" outlineLevel="0" collapsed="false">
      <c r="A1461" s="33" t="n">
        <v>46309</v>
      </c>
      <c r="B1461" s="0" t="n">
        <v>4</v>
      </c>
      <c r="C1461" s="0" t="n">
        <v>5587</v>
      </c>
      <c r="D1461" s="0" t="n">
        <v>223</v>
      </c>
      <c r="E1461" s="0" t="n">
        <v>1</v>
      </c>
      <c r="F1461" s="27" t="s">
        <v>936</v>
      </c>
      <c r="G1461" s="0" t="n">
        <v>37.7</v>
      </c>
      <c r="H1461" s="0" t="n">
        <v>38</v>
      </c>
      <c r="I1461" s="27" t="s">
        <v>138</v>
      </c>
      <c r="J1461" s="0" t="n">
        <v>113</v>
      </c>
      <c r="K1461" s="0" t="n">
        <v>69</v>
      </c>
      <c r="L1461" s="0" t="n">
        <v>110</v>
      </c>
      <c r="P1461" s="0" t="n">
        <v>3.79</v>
      </c>
      <c r="Q1461" s="0" t="n">
        <v>3.81</v>
      </c>
      <c r="R1461" s="0" t="n">
        <v>3667</v>
      </c>
      <c r="S1461" s="0" t="n">
        <v>8518</v>
      </c>
      <c r="T1461" s="0" t="n">
        <v>39</v>
      </c>
      <c r="U1461" s="0" t="n">
        <v>873</v>
      </c>
      <c r="V1461" s="0" t="n">
        <v>3</v>
      </c>
      <c r="W1461" s="27" t="n">
        <f aca="false">MATCH(A1461,DATAS,0)</f>
        <v>1</v>
      </c>
      <c r="X1461" s="27" t="n">
        <f aca="false">IF(AND(E1461&gt;0,OR(AND(B1461&gt;=1,B1461&lt;=6),B1461=10)),1,0)</f>
        <v>1</v>
      </c>
      <c r="Y1461" s="27" t="n">
        <f aca="false">IF(AND(E1461&gt;0,B1461=10),1,0)</f>
        <v>0</v>
      </c>
      <c r="Z1461" s="0" t="str">
        <f aca="false">IF(AND(C1460=C1461,W1460=W1461-1),X1460,"")</f>
        <v/>
      </c>
      <c r="AA1461" s="0" t="str">
        <f aca="false">IF(AND(C1460=C1461,W1460=W1461-1),Y1460,"")</f>
        <v/>
      </c>
      <c r="AB1461" s="0" t="str">
        <f aca="false">IF(W1461=1,"",IF(AND(X1461=1,Z1461&lt;&gt;1),1,0))</f>
        <v/>
      </c>
      <c r="AC1461" s="0" t="str">
        <f aca="false">IF(W1461=1,"",IF(AND(Y1461=1,AA1461&lt;&gt;1),1,0))</f>
        <v/>
      </c>
      <c r="AD1461" s="33" t="str">
        <f aca="false">IF(AND(E1461&gt;0,W1461&lt;1,NOT(AND(C1462=C1461,W1462=W1461+1))),INDEX(DATAS,W1461+1),"")</f>
        <v/>
      </c>
      <c r="AE1461" s="33" t="str">
        <f aca="false">IF(AND(Y1461=1,W1461&lt;1),IF(AND(C1462=C1461,W1462=W1461+1),IF(Y1462=1,"",INDEX(DATAS,W1461+1)),INDEX(DATAS,W1461+1)),"")</f>
        <v/>
      </c>
    </row>
    <row r="1462" customFormat="false" ht="15" hidden="false" customHeight="false" outlineLevel="0" collapsed="false">
      <c r="A1462" s="33" t="n">
        <v>46309</v>
      </c>
      <c r="B1462" s="0" t="n">
        <v>4</v>
      </c>
      <c r="C1462" s="0" t="n">
        <v>5589</v>
      </c>
      <c r="D1462" s="0" t="n">
        <v>210</v>
      </c>
      <c r="E1462" s="0" t="n">
        <v>1</v>
      </c>
      <c r="F1462" s="27" t="s">
        <v>936</v>
      </c>
      <c r="G1462" s="0" t="n">
        <v>46.1</v>
      </c>
      <c r="H1462" s="0" t="n">
        <v>46</v>
      </c>
      <c r="I1462" s="27" t="s">
        <v>138</v>
      </c>
      <c r="J1462" s="0" t="n">
        <v>98</v>
      </c>
      <c r="K1462" s="0" t="n">
        <v>63</v>
      </c>
      <c r="L1462" s="0" t="n">
        <v>112</v>
      </c>
      <c r="P1462" s="0" t="n">
        <v>4.55</v>
      </c>
      <c r="Q1462" s="0" t="n">
        <v>3.65</v>
      </c>
      <c r="R1462" s="0" t="n">
        <v>3989</v>
      </c>
      <c r="S1462" s="0" t="n">
        <v>8587</v>
      </c>
      <c r="T1462" s="0" t="n">
        <v>47.4</v>
      </c>
      <c r="U1462" s="0" t="n">
        <v>873</v>
      </c>
      <c r="V1462" s="0" t="n">
        <v>2</v>
      </c>
      <c r="W1462" s="27" t="n">
        <f aca="false">MATCH(A1462,DATAS,0)</f>
        <v>1</v>
      </c>
      <c r="X1462" s="27" t="n">
        <f aca="false">IF(AND(E1462&gt;0,OR(AND(B1462&gt;=1,B1462&lt;=6),B1462=10)),1,0)</f>
        <v>1</v>
      </c>
      <c r="Y1462" s="27" t="n">
        <f aca="false">IF(AND(E1462&gt;0,B1462=10),1,0)</f>
        <v>0</v>
      </c>
      <c r="Z1462" s="0" t="str">
        <f aca="false">IF(AND(C1461=C1462,W1461=W1462-1),X1461,"")</f>
        <v/>
      </c>
      <c r="AA1462" s="0" t="str">
        <f aca="false">IF(AND(C1461=C1462,W1461=W1462-1),Y1461,"")</f>
        <v/>
      </c>
      <c r="AB1462" s="0" t="str">
        <f aca="false">IF(W1462=1,"",IF(AND(X1462=1,Z1462&lt;&gt;1),1,0))</f>
        <v/>
      </c>
      <c r="AC1462" s="0" t="str">
        <f aca="false">IF(W1462=1,"",IF(AND(Y1462=1,AA1462&lt;&gt;1),1,0))</f>
        <v/>
      </c>
      <c r="AD1462" s="33" t="str">
        <f aca="false">IF(AND(E1462&gt;0,W1462&lt;1,NOT(AND(C1463=C1462,W1463=W1462+1))),INDEX(DATAS,W1462+1),"")</f>
        <v/>
      </c>
      <c r="AE1462" s="33" t="str">
        <f aca="false">IF(AND(Y1462=1,W1462&lt;1),IF(AND(C1463=C1462,W1463=W1462+1),IF(Y1463=1,"",INDEX(DATAS,W1462+1)),INDEX(DATAS,W1462+1)),"")</f>
        <v/>
      </c>
    </row>
    <row r="1463" customFormat="false" ht="15" hidden="false" customHeight="false" outlineLevel="0" collapsed="false">
      <c r="A1463" s="33" t="n">
        <v>46309</v>
      </c>
      <c r="B1463" s="0" t="n">
        <v>4</v>
      </c>
      <c r="C1463" s="0" t="n">
        <v>5590</v>
      </c>
      <c r="D1463" s="0" t="n">
        <v>228</v>
      </c>
      <c r="E1463" s="0" t="n">
        <v>1</v>
      </c>
      <c r="F1463" s="27" t="s">
        <v>937</v>
      </c>
      <c r="G1463" s="0" t="n">
        <v>36.2</v>
      </c>
      <c r="H1463" s="0" t="n">
        <v>37</v>
      </c>
      <c r="I1463" s="27" t="s">
        <v>138</v>
      </c>
      <c r="J1463" s="0" t="n">
        <v>67</v>
      </c>
      <c r="K1463" s="0" t="n">
        <v>67</v>
      </c>
      <c r="L1463" s="0" t="n">
        <v>161</v>
      </c>
      <c r="P1463" s="0" t="n">
        <v>3.43</v>
      </c>
      <c r="Q1463" s="0" t="n">
        <v>3.55</v>
      </c>
      <c r="R1463" s="0" t="n">
        <v>3107</v>
      </c>
      <c r="S1463" s="0" t="n">
        <v>7643</v>
      </c>
      <c r="T1463" s="0" t="n">
        <v>39.5</v>
      </c>
      <c r="U1463" s="0" t="n">
        <v>872</v>
      </c>
      <c r="V1463" s="0" t="n">
        <v>1</v>
      </c>
      <c r="W1463" s="27" t="n">
        <f aca="false">MATCH(A1463,DATAS,0)</f>
        <v>1</v>
      </c>
      <c r="X1463" s="27" t="n">
        <f aca="false">IF(AND(E1463&gt;0,OR(AND(B1463&gt;=1,B1463&lt;=6),B1463=10)),1,0)</f>
        <v>1</v>
      </c>
      <c r="Y1463" s="27" t="n">
        <f aca="false">IF(AND(E1463&gt;0,B1463=10),1,0)</f>
        <v>0</v>
      </c>
      <c r="Z1463" s="0" t="str">
        <f aca="false">IF(AND(C1462=C1463,W1462=W1463-1),X1462,"")</f>
        <v/>
      </c>
      <c r="AA1463" s="0" t="str">
        <f aca="false">IF(AND(C1462=C1463,W1462=W1463-1),Y1462,"")</f>
        <v/>
      </c>
      <c r="AB1463" s="0" t="str">
        <f aca="false">IF(W1463=1,"",IF(AND(X1463=1,Z1463&lt;&gt;1),1,0))</f>
        <v/>
      </c>
      <c r="AC1463" s="0" t="str">
        <f aca="false">IF(W1463=1,"",IF(AND(Y1463=1,AA1463&lt;&gt;1),1,0))</f>
        <v/>
      </c>
      <c r="AD1463" s="33" t="str">
        <f aca="false">IF(AND(E1463&gt;0,W1463&lt;1,NOT(AND(C1464=C1463,W1464=W1463+1))),INDEX(DATAS,W1463+1),"")</f>
        <v/>
      </c>
      <c r="AE1463" s="33" t="str">
        <f aca="false">IF(AND(Y1463=1,W1463&lt;1),IF(AND(C1464=C1463,W1464=W1463+1),IF(Y1464=1,"",INDEX(DATAS,W1463+1)),INDEX(DATAS,W1463+1)),"")</f>
        <v/>
      </c>
    </row>
    <row r="1464" customFormat="false" ht="15" hidden="false" customHeight="false" outlineLevel="0" collapsed="false">
      <c r="A1464" s="33" t="n">
        <v>46309</v>
      </c>
      <c r="B1464" s="0" t="n">
        <v>4</v>
      </c>
      <c r="C1464" s="0" t="n">
        <v>5591</v>
      </c>
      <c r="D1464" s="0" t="n">
        <v>120</v>
      </c>
      <c r="E1464" s="0" t="n">
        <v>1</v>
      </c>
      <c r="F1464" s="27" t="s">
        <v>937</v>
      </c>
      <c r="G1464" s="0" t="n">
        <v>33.8</v>
      </c>
      <c r="H1464" s="0" t="n">
        <v>33</v>
      </c>
      <c r="I1464" s="27" t="s">
        <v>168</v>
      </c>
      <c r="J1464" s="0" t="n">
        <v>120</v>
      </c>
      <c r="K1464" s="0" t="n">
        <v>64</v>
      </c>
      <c r="P1464" s="0" t="n">
        <v>4.37</v>
      </c>
      <c r="Q1464" s="0" t="n">
        <v>3.44</v>
      </c>
      <c r="R1464" s="0" t="n">
        <v>2651</v>
      </c>
      <c r="S1464" s="0" t="n">
        <v>5533</v>
      </c>
      <c r="T1464" s="0" t="n">
        <v>29</v>
      </c>
      <c r="U1464" s="0" t="n">
        <v>872</v>
      </c>
      <c r="V1464" s="0" t="n">
        <v>2</v>
      </c>
      <c r="W1464" s="27" t="n">
        <f aca="false">MATCH(A1464,DATAS,0)</f>
        <v>1</v>
      </c>
      <c r="X1464" s="27" t="n">
        <f aca="false">IF(AND(E1464&gt;0,OR(AND(B1464&gt;=1,B1464&lt;=6),B1464=10)),1,0)</f>
        <v>1</v>
      </c>
      <c r="Y1464" s="27" t="n">
        <f aca="false">IF(AND(E1464&gt;0,B1464=10),1,0)</f>
        <v>0</v>
      </c>
      <c r="Z1464" s="0" t="str">
        <f aca="false">IF(AND(C1463=C1464,W1463=W1464-1),X1463,"")</f>
        <v/>
      </c>
      <c r="AA1464" s="0" t="str">
        <f aca="false">IF(AND(C1463=C1464,W1463=W1464-1),Y1463,"")</f>
        <v/>
      </c>
      <c r="AB1464" s="0" t="str">
        <f aca="false">IF(W1464=1,"",IF(AND(X1464=1,Z1464&lt;&gt;1),1,0))</f>
        <v/>
      </c>
      <c r="AC1464" s="0" t="str">
        <f aca="false">IF(W1464=1,"",IF(AND(Y1464=1,AA1464&lt;&gt;1),1,0))</f>
        <v/>
      </c>
      <c r="AD1464" s="33" t="str">
        <f aca="false">IF(AND(E1464&gt;0,W1464&lt;1,NOT(AND(C1465=C1464,W1465=W1464+1))),INDEX(DATAS,W1464+1),"")</f>
        <v/>
      </c>
      <c r="AE1464" s="33" t="str">
        <f aca="false">IF(AND(Y1464=1,W1464&lt;1),IF(AND(C1465=C1464,W1465=W1464+1),IF(Y1465=1,"",INDEX(DATAS,W1464+1)),INDEX(DATAS,W1464+1)),"")</f>
        <v/>
      </c>
    </row>
    <row r="1465" customFormat="false" ht="15" hidden="false" customHeight="false" outlineLevel="0" collapsed="false">
      <c r="A1465" s="33" t="n">
        <v>46309</v>
      </c>
      <c r="B1465" s="0" t="n">
        <v>4</v>
      </c>
      <c r="C1465" s="0" t="n">
        <v>5592</v>
      </c>
      <c r="D1465" s="0" t="n">
        <v>209</v>
      </c>
      <c r="E1465" s="0" t="n">
        <v>1</v>
      </c>
      <c r="F1465" s="27" t="s">
        <v>938</v>
      </c>
      <c r="G1465" s="0" t="n">
        <v>46.9</v>
      </c>
      <c r="H1465" s="0" t="n">
        <v>46</v>
      </c>
      <c r="I1465" s="27" t="s">
        <v>138</v>
      </c>
      <c r="J1465" s="0" t="n">
        <v>104</v>
      </c>
      <c r="K1465" s="0" t="n">
        <v>69</v>
      </c>
      <c r="L1465" s="0" t="n">
        <v>105</v>
      </c>
      <c r="P1465" s="0" t="n">
        <v>4.1</v>
      </c>
      <c r="Q1465" s="0" t="n">
        <v>3.53</v>
      </c>
      <c r="R1465" s="0" t="n">
        <v>3831</v>
      </c>
      <c r="S1465" s="0" t="n">
        <v>8548</v>
      </c>
      <c r="T1465" s="0" t="n">
        <v>44.7</v>
      </c>
      <c r="U1465" s="0" t="n">
        <v>871</v>
      </c>
      <c r="V1465" s="0" t="n">
        <v>2</v>
      </c>
      <c r="W1465" s="27" t="n">
        <f aca="false">MATCH(A1465,DATAS,0)</f>
        <v>1</v>
      </c>
      <c r="X1465" s="27" t="n">
        <f aca="false">IF(AND(E1465&gt;0,OR(AND(B1465&gt;=1,B1465&lt;=6),B1465=10)),1,0)</f>
        <v>1</v>
      </c>
      <c r="Y1465" s="27" t="n">
        <f aca="false">IF(AND(E1465&gt;0,B1465=10),1,0)</f>
        <v>0</v>
      </c>
      <c r="Z1465" s="0" t="str">
        <f aca="false">IF(AND(C1464=C1465,W1464=W1465-1),X1464,"")</f>
        <v/>
      </c>
      <c r="AA1465" s="0" t="str">
        <f aca="false">IF(AND(C1464=C1465,W1464=W1465-1),Y1464,"")</f>
        <v/>
      </c>
      <c r="AB1465" s="0" t="str">
        <f aca="false">IF(W1465=1,"",IF(AND(X1465=1,Z1465&lt;&gt;1),1,0))</f>
        <v/>
      </c>
      <c r="AC1465" s="0" t="str">
        <f aca="false">IF(W1465=1,"",IF(AND(Y1465=1,AA1465&lt;&gt;1),1,0))</f>
        <v/>
      </c>
      <c r="AD1465" s="33" t="str">
        <f aca="false">IF(AND(E1465&gt;0,W1465&lt;1,NOT(AND(C1466=C1465,W1466=W1465+1))),INDEX(DATAS,W1465+1),"")</f>
        <v/>
      </c>
      <c r="AE1465" s="33" t="str">
        <f aca="false">IF(AND(Y1465=1,W1465&lt;1),IF(AND(C1466=C1465,W1466=W1465+1),IF(Y1466=1,"",INDEX(DATAS,W1465+1)),INDEX(DATAS,W1465+1)),"")</f>
        <v/>
      </c>
    </row>
    <row r="1466" customFormat="false" ht="15" hidden="false" customHeight="false" outlineLevel="0" collapsed="false">
      <c r="A1466" s="33" t="n">
        <v>46309</v>
      </c>
      <c r="B1466" s="0" t="n">
        <v>10</v>
      </c>
      <c r="C1466" s="0" t="n">
        <v>5593</v>
      </c>
      <c r="D1466" s="0" t="n">
        <v>209</v>
      </c>
      <c r="E1466" s="0" t="n">
        <v>1</v>
      </c>
      <c r="F1466" s="27" t="s">
        <v>938</v>
      </c>
      <c r="H1466" s="0" t="n">
        <v>20</v>
      </c>
      <c r="I1466" s="27" t="s">
        <v>138</v>
      </c>
      <c r="J1466" s="0" t="n">
        <v>69</v>
      </c>
      <c r="K1466" s="0" t="n">
        <v>76</v>
      </c>
      <c r="L1466" s="0" t="n">
        <v>140</v>
      </c>
      <c r="P1466" s="0" t="n">
        <v>4.48</v>
      </c>
      <c r="Q1466" s="0" t="n">
        <v>3.36</v>
      </c>
      <c r="R1466" s="0" t="n">
        <v>3414</v>
      </c>
      <c r="S1466" s="0" t="n">
        <v>7562</v>
      </c>
      <c r="T1466" s="0" t="n">
        <v>39.55</v>
      </c>
      <c r="U1466" s="0" t="n">
        <v>871</v>
      </c>
      <c r="V1466" s="0" t="n">
        <v>1</v>
      </c>
      <c r="W1466" s="27" t="n">
        <f aca="false">MATCH(A1466,DATAS,0)</f>
        <v>1</v>
      </c>
      <c r="X1466" s="27" t="n">
        <f aca="false">IF(AND(E1466&gt;0,OR(AND(B1466&gt;=1,B1466&lt;=6),B1466=10)),1,0)</f>
        <v>1</v>
      </c>
      <c r="Y1466" s="27" t="n">
        <f aca="false">IF(AND(E1466&gt;0,B1466=10),1,0)</f>
        <v>1</v>
      </c>
      <c r="Z1466" s="0" t="str">
        <f aca="false">IF(AND(C1465=C1466,W1465=W1466-1),X1465,"")</f>
        <v/>
      </c>
      <c r="AA1466" s="0" t="str">
        <f aca="false">IF(AND(C1465=C1466,W1465=W1466-1),Y1465,"")</f>
        <v/>
      </c>
      <c r="AB1466" s="0" t="str">
        <f aca="false">IF(W1466=1,"",IF(AND(X1466=1,Z1466&lt;&gt;1),1,0))</f>
        <v/>
      </c>
      <c r="AC1466" s="0" t="str">
        <f aca="false">IF(W1466=1,"",IF(AND(Y1466=1,AA1466&lt;&gt;1),1,0))</f>
        <v/>
      </c>
      <c r="AD1466" s="33" t="str">
        <f aca="false">IF(AND(E1466&gt;0,W1466&lt;1,NOT(AND(C1467=C1466,W1467=W1466+1))),INDEX(DATAS,W1466+1),"")</f>
        <v/>
      </c>
      <c r="AE1466" s="33" t="str">
        <f aca="false">IF(AND(Y1466=1,W1466&lt;1),IF(AND(C1467=C1466,W1467=W1466+1),IF(Y1467=1,"",INDEX(DATAS,W1466+1)),INDEX(DATAS,W1466+1)),"")</f>
        <v/>
      </c>
    </row>
    <row r="1467" customFormat="false" ht="15" hidden="false" customHeight="false" outlineLevel="0" collapsed="false">
      <c r="A1467" s="33" t="n">
        <v>46309</v>
      </c>
      <c r="B1467" s="0" t="n">
        <v>4</v>
      </c>
      <c r="C1467" s="0" t="n">
        <v>5594</v>
      </c>
      <c r="D1467" s="0" t="n">
        <v>186</v>
      </c>
      <c r="E1467" s="0" t="n">
        <v>1</v>
      </c>
      <c r="F1467" s="27" t="s">
        <v>938</v>
      </c>
      <c r="G1467" s="0" t="n">
        <v>53.4</v>
      </c>
      <c r="H1467" s="0" t="n">
        <v>53</v>
      </c>
      <c r="I1467" s="27" t="s">
        <v>138</v>
      </c>
      <c r="J1467" s="0" t="n">
        <v>67</v>
      </c>
      <c r="K1467" s="0" t="n">
        <v>67</v>
      </c>
      <c r="L1467" s="0" t="n">
        <v>119</v>
      </c>
      <c r="P1467" s="0" t="n">
        <v>3.3</v>
      </c>
      <c r="Q1467" s="0" t="n">
        <v>2.97</v>
      </c>
      <c r="R1467" s="0" t="n">
        <v>4938</v>
      </c>
      <c r="S1467" s="0" t="n">
        <v>9500</v>
      </c>
      <c r="T1467" s="0" t="n">
        <v>51.95</v>
      </c>
      <c r="U1467" s="0" t="n">
        <v>871</v>
      </c>
      <c r="V1467" s="0" t="n">
        <v>1</v>
      </c>
      <c r="W1467" s="27" t="n">
        <f aca="false">MATCH(A1467,DATAS,0)</f>
        <v>1</v>
      </c>
      <c r="X1467" s="27" t="n">
        <f aca="false">IF(AND(E1467&gt;0,OR(AND(B1467&gt;=1,B1467&lt;=6),B1467=10)),1,0)</f>
        <v>1</v>
      </c>
      <c r="Y1467" s="27" t="n">
        <f aca="false">IF(AND(E1467&gt;0,B1467=10),1,0)</f>
        <v>0</v>
      </c>
      <c r="Z1467" s="0" t="str">
        <f aca="false">IF(AND(C1466=C1467,W1466=W1467-1),X1466,"")</f>
        <v/>
      </c>
      <c r="AA1467" s="0" t="str">
        <f aca="false">IF(AND(C1466=C1467,W1466=W1467-1),Y1466,"")</f>
        <v/>
      </c>
      <c r="AB1467" s="0" t="str">
        <f aca="false">IF(W1467=1,"",IF(AND(X1467=1,Z1467&lt;&gt;1),1,0))</f>
        <v/>
      </c>
      <c r="AC1467" s="0" t="str">
        <f aca="false">IF(W1467=1,"",IF(AND(Y1467=1,AA1467&lt;&gt;1),1,0))</f>
        <v/>
      </c>
      <c r="AD1467" s="33" t="str">
        <f aca="false">IF(AND(E1467&gt;0,W1467&lt;1,NOT(AND(C1468=C1467,W1468=W1467+1))),INDEX(DATAS,W1467+1),"")</f>
        <v/>
      </c>
      <c r="AE1467" s="33" t="str">
        <f aca="false">IF(AND(Y1467=1,W1467&lt;1),IF(AND(C1468=C1467,W1468=W1467+1),IF(Y1468=1,"",INDEX(DATAS,W1467+1)),INDEX(DATAS,W1467+1)),"")</f>
        <v/>
      </c>
    </row>
    <row r="1468" customFormat="false" ht="15" hidden="false" customHeight="false" outlineLevel="0" collapsed="false">
      <c r="A1468" s="33" t="n">
        <v>46309</v>
      </c>
      <c r="B1468" s="0" t="n">
        <v>4</v>
      </c>
      <c r="C1468" s="0" t="n">
        <v>5595</v>
      </c>
      <c r="D1468" s="0" t="n">
        <v>240</v>
      </c>
      <c r="E1468" s="0" t="n">
        <v>1</v>
      </c>
      <c r="F1468" s="27" t="s">
        <v>939</v>
      </c>
      <c r="G1468" s="0" t="n">
        <v>45.4</v>
      </c>
      <c r="H1468" s="0" t="n">
        <v>46</v>
      </c>
      <c r="I1468" s="27" t="s">
        <v>138</v>
      </c>
      <c r="J1468" s="0" t="n">
        <v>65</v>
      </c>
      <c r="K1468" s="0" t="n">
        <v>65</v>
      </c>
      <c r="L1468" s="0" t="n">
        <v>175</v>
      </c>
      <c r="P1468" s="0" t="n">
        <v>3.82</v>
      </c>
      <c r="Q1468" s="0" t="n">
        <v>3.37</v>
      </c>
      <c r="R1468" s="0" t="n">
        <v>4005</v>
      </c>
      <c r="S1468" s="0" t="n">
        <v>9052</v>
      </c>
      <c r="T1468" s="0" t="n">
        <v>44.75</v>
      </c>
      <c r="U1468" s="0" t="n">
        <v>870</v>
      </c>
      <c r="V1468" s="0" t="n">
        <v>1</v>
      </c>
      <c r="W1468" s="27" t="n">
        <f aca="false">MATCH(A1468,DATAS,0)</f>
        <v>1</v>
      </c>
      <c r="X1468" s="27" t="n">
        <f aca="false">IF(AND(E1468&gt;0,OR(AND(B1468&gt;=1,B1468&lt;=6),B1468=10)),1,0)</f>
        <v>1</v>
      </c>
      <c r="Y1468" s="27" t="n">
        <f aca="false">IF(AND(E1468&gt;0,B1468=10),1,0)</f>
        <v>0</v>
      </c>
      <c r="Z1468" s="0" t="str">
        <f aca="false">IF(AND(C1467=C1468,W1467=W1468-1),X1467,"")</f>
        <v/>
      </c>
      <c r="AA1468" s="0" t="str">
        <f aca="false">IF(AND(C1467=C1468,W1467=W1468-1),Y1467,"")</f>
        <v/>
      </c>
      <c r="AB1468" s="0" t="str">
        <f aca="false">IF(W1468=1,"",IF(AND(X1468=1,Z1468&lt;&gt;1),1,0))</f>
        <v/>
      </c>
      <c r="AC1468" s="0" t="str">
        <f aca="false">IF(W1468=1,"",IF(AND(Y1468=1,AA1468&lt;&gt;1),1,0))</f>
        <v/>
      </c>
      <c r="AD1468" s="33" t="str">
        <f aca="false">IF(AND(E1468&gt;0,W1468&lt;1,NOT(AND(C1469=C1468,W1469=W1468+1))),INDEX(DATAS,W1468+1),"")</f>
        <v/>
      </c>
      <c r="AE1468" s="33" t="str">
        <f aca="false">IF(AND(Y1468=1,W1468&lt;1),IF(AND(C1469=C1468,W1469=W1468+1),IF(Y1469=1,"",INDEX(DATAS,W1468+1)),INDEX(DATAS,W1468+1)),"")</f>
        <v/>
      </c>
    </row>
    <row r="1469" customFormat="false" ht="15" hidden="false" customHeight="false" outlineLevel="0" collapsed="false">
      <c r="A1469" s="33" t="n">
        <v>46309</v>
      </c>
      <c r="B1469" s="0" t="n">
        <v>4</v>
      </c>
      <c r="C1469" s="0" t="n">
        <v>5596</v>
      </c>
      <c r="D1469" s="0" t="n">
        <v>220</v>
      </c>
      <c r="E1469" s="0" t="n">
        <v>1</v>
      </c>
      <c r="F1469" s="27" t="s">
        <v>939</v>
      </c>
      <c r="G1469" s="0" t="n">
        <v>33.4</v>
      </c>
      <c r="H1469" s="0" t="n">
        <v>35</v>
      </c>
      <c r="I1469" s="27" t="s">
        <v>138</v>
      </c>
      <c r="J1469" s="0" t="n">
        <v>164</v>
      </c>
      <c r="K1469" s="0" t="n">
        <v>66</v>
      </c>
      <c r="L1469" s="0" t="n">
        <v>56</v>
      </c>
      <c r="P1469" s="0" t="n">
        <v>4.75</v>
      </c>
      <c r="Q1469" s="0" t="n">
        <v>4.01</v>
      </c>
      <c r="R1469" s="0" t="n">
        <v>4777</v>
      </c>
      <c r="S1469" s="0" t="n">
        <v>8690</v>
      </c>
      <c r="T1469" s="0" t="n">
        <v>51.2</v>
      </c>
      <c r="U1469" s="0" t="n">
        <v>870</v>
      </c>
      <c r="V1469" s="0" t="n">
        <v>4</v>
      </c>
      <c r="W1469" s="27" t="n">
        <f aca="false">MATCH(A1469,DATAS,0)</f>
        <v>1</v>
      </c>
      <c r="X1469" s="27" t="n">
        <f aca="false">IF(AND(E1469&gt;0,OR(AND(B1469&gt;=1,B1469&lt;=6),B1469=10)),1,0)</f>
        <v>1</v>
      </c>
      <c r="Y1469" s="27" t="n">
        <f aca="false">IF(AND(E1469&gt;0,B1469=10),1,0)</f>
        <v>0</v>
      </c>
      <c r="Z1469" s="0" t="str">
        <f aca="false">IF(AND(C1468=C1469,W1468=W1469-1),X1468,"")</f>
        <v/>
      </c>
      <c r="AA1469" s="0" t="str">
        <f aca="false">IF(AND(C1468=C1469,W1468=W1469-1),Y1468,"")</f>
        <v/>
      </c>
      <c r="AB1469" s="0" t="str">
        <f aca="false">IF(W1469=1,"",IF(AND(X1469=1,Z1469&lt;&gt;1),1,0))</f>
        <v/>
      </c>
      <c r="AC1469" s="0" t="str">
        <f aca="false">IF(W1469=1,"",IF(AND(Y1469=1,AA1469&lt;&gt;1),1,0))</f>
        <v/>
      </c>
      <c r="AD1469" s="33" t="str">
        <f aca="false">IF(AND(E1469&gt;0,W1469&lt;1,NOT(AND(C1470=C1469,W1470=W1469+1))),INDEX(DATAS,W1469+1),"")</f>
        <v/>
      </c>
      <c r="AE1469" s="33" t="str">
        <f aca="false">IF(AND(Y1469=1,W1469&lt;1),IF(AND(C1470=C1469,W1470=W1469+1),IF(Y1470=1,"",INDEX(DATAS,W1469+1)),INDEX(DATAS,W1469+1)),"")</f>
        <v/>
      </c>
    </row>
    <row r="1470" customFormat="false" ht="15" hidden="false" customHeight="false" outlineLevel="0" collapsed="false">
      <c r="A1470" s="33" t="n">
        <v>46309</v>
      </c>
      <c r="B1470" s="0" t="n">
        <v>4</v>
      </c>
      <c r="C1470" s="0" t="n">
        <v>5597</v>
      </c>
      <c r="D1470" s="0" t="n">
        <v>201</v>
      </c>
      <c r="E1470" s="0" t="n">
        <v>1</v>
      </c>
      <c r="F1470" s="27" t="s">
        <v>940</v>
      </c>
      <c r="G1470" s="0" t="n">
        <v>48.7</v>
      </c>
      <c r="H1470" s="0" t="n">
        <v>48</v>
      </c>
      <c r="I1470" s="27" t="s">
        <v>138</v>
      </c>
      <c r="J1470" s="0" t="n">
        <v>90</v>
      </c>
      <c r="K1470" s="0" t="n">
        <v>68</v>
      </c>
      <c r="L1470" s="0" t="n">
        <v>111</v>
      </c>
      <c r="P1470" s="0" t="n">
        <v>3.92</v>
      </c>
      <c r="Q1470" s="0" t="n">
        <v>3.76</v>
      </c>
      <c r="R1470" s="0" t="n">
        <v>4472</v>
      </c>
      <c r="S1470" s="0" t="n">
        <v>9583</v>
      </c>
      <c r="T1470" s="0" t="n">
        <v>48.9</v>
      </c>
      <c r="U1470" s="0" t="n">
        <v>868</v>
      </c>
      <c r="V1470" s="0" t="n">
        <v>2</v>
      </c>
      <c r="W1470" s="27" t="n">
        <f aca="false">MATCH(A1470,DATAS,0)</f>
        <v>1</v>
      </c>
      <c r="X1470" s="27" t="n">
        <f aca="false">IF(AND(E1470&gt;0,OR(AND(B1470&gt;=1,B1470&lt;=6),B1470=10)),1,0)</f>
        <v>1</v>
      </c>
      <c r="Y1470" s="27" t="n">
        <f aca="false">IF(AND(E1470&gt;0,B1470=10),1,0)</f>
        <v>0</v>
      </c>
      <c r="Z1470" s="0" t="str">
        <f aca="false">IF(AND(C1469=C1470,W1469=W1470-1),X1469,"")</f>
        <v/>
      </c>
      <c r="AA1470" s="0" t="str">
        <f aca="false">IF(AND(C1469=C1470,W1469=W1470-1),Y1469,"")</f>
        <v/>
      </c>
      <c r="AB1470" s="0" t="str">
        <f aca="false">IF(W1470=1,"",IF(AND(X1470=1,Z1470&lt;&gt;1),1,0))</f>
        <v/>
      </c>
      <c r="AC1470" s="0" t="str">
        <f aca="false">IF(W1470=1,"",IF(AND(Y1470=1,AA1470&lt;&gt;1),1,0))</f>
        <v/>
      </c>
      <c r="AD1470" s="33" t="str">
        <f aca="false">IF(AND(E1470&gt;0,W1470&lt;1,NOT(AND(C1471=C1470,W1471=W1470+1))),INDEX(DATAS,W1470+1),"")</f>
        <v/>
      </c>
      <c r="AE1470" s="33" t="str">
        <f aca="false">IF(AND(Y1470=1,W1470&lt;1),IF(AND(C1471=C1470,W1471=W1470+1),IF(Y1471=1,"",INDEX(DATAS,W1470+1)),INDEX(DATAS,W1470+1)),"")</f>
        <v/>
      </c>
    </row>
    <row r="1471" customFormat="false" ht="15" hidden="false" customHeight="false" outlineLevel="0" collapsed="false">
      <c r="A1471" s="33" t="n">
        <v>46309</v>
      </c>
      <c r="B1471" s="0" t="n">
        <v>4</v>
      </c>
      <c r="C1471" s="0" t="n">
        <v>5598</v>
      </c>
      <c r="D1471" s="0" t="n">
        <v>144</v>
      </c>
      <c r="E1471" s="0" t="n">
        <v>1</v>
      </c>
      <c r="F1471" s="27" t="s">
        <v>940</v>
      </c>
      <c r="G1471" s="0" t="n">
        <v>45.4</v>
      </c>
      <c r="H1471" s="0" t="n">
        <v>46</v>
      </c>
      <c r="I1471" s="27" t="s">
        <v>168</v>
      </c>
      <c r="J1471" s="0" t="n">
        <v>144</v>
      </c>
      <c r="K1471" s="0" t="n">
        <v>67</v>
      </c>
      <c r="P1471" s="0" t="n">
        <v>3.47</v>
      </c>
      <c r="Q1471" s="0" t="n">
        <v>3.43</v>
      </c>
      <c r="R1471" s="0" t="n">
        <v>3233</v>
      </c>
      <c r="S1471" s="0" t="n">
        <v>7289</v>
      </c>
      <c r="T1471" s="0" t="n">
        <v>38.25</v>
      </c>
      <c r="U1471" s="0" t="n">
        <v>868</v>
      </c>
      <c r="V1471" s="0" t="n">
        <v>4</v>
      </c>
      <c r="W1471" s="27" t="n">
        <f aca="false">MATCH(A1471,DATAS,0)</f>
        <v>1</v>
      </c>
      <c r="X1471" s="27" t="n">
        <f aca="false">IF(AND(E1471&gt;0,OR(AND(B1471&gt;=1,B1471&lt;=6),B1471=10)),1,0)</f>
        <v>1</v>
      </c>
      <c r="Y1471" s="27" t="n">
        <f aca="false">IF(AND(E1471&gt;0,B1471=10),1,0)</f>
        <v>0</v>
      </c>
      <c r="Z1471" s="0" t="str">
        <f aca="false">IF(AND(C1470=C1471,W1470=W1471-1),X1470,"")</f>
        <v/>
      </c>
      <c r="AA1471" s="0" t="str">
        <f aca="false">IF(AND(C1470=C1471,W1470=W1471-1),Y1470,"")</f>
        <v/>
      </c>
      <c r="AB1471" s="0" t="str">
        <f aca="false">IF(W1471=1,"",IF(AND(X1471=1,Z1471&lt;&gt;1),1,0))</f>
        <v/>
      </c>
      <c r="AC1471" s="0" t="str">
        <f aca="false">IF(W1471=1,"",IF(AND(Y1471=1,AA1471&lt;&gt;1),1,0))</f>
        <v/>
      </c>
      <c r="AD1471" s="33" t="str">
        <f aca="false">IF(AND(E1471&gt;0,W1471&lt;1,NOT(AND(C1472=C1471,W1472=W1471+1))),INDEX(DATAS,W1471+1),"")</f>
        <v/>
      </c>
      <c r="AE1471" s="33" t="str">
        <f aca="false">IF(AND(Y1471=1,W1471&lt;1),IF(AND(C1472=C1471,W1472=W1471+1),IF(Y1472=1,"",INDEX(DATAS,W1471+1)),INDEX(DATAS,W1471+1)),"")</f>
        <v/>
      </c>
    </row>
    <row r="1472" customFormat="false" ht="15" hidden="false" customHeight="false" outlineLevel="0" collapsed="false">
      <c r="A1472" s="33" t="n">
        <v>46309</v>
      </c>
      <c r="B1472" s="0" t="n">
        <v>4</v>
      </c>
      <c r="C1472" s="0" t="n">
        <v>5599</v>
      </c>
      <c r="D1472" s="0" t="n">
        <v>136</v>
      </c>
      <c r="E1472" s="0" t="n">
        <v>1</v>
      </c>
      <c r="F1472" s="27" t="s">
        <v>941</v>
      </c>
      <c r="G1472" s="0" t="n">
        <v>43.4</v>
      </c>
      <c r="H1472" s="0" t="n">
        <v>44</v>
      </c>
      <c r="I1472" s="27" t="s">
        <v>151</v>
      </c>
      <c r="J1472" s="0" t="n">
        <v>136</v>
      </c>
      <c r="K1472" s="0" t="n">
        <v>66</v>
      </c>
      <c r="P1472" s="0" t="n">
        <v>4.75</v>
      </c>
      <c r="Q1472" s="0" t="n">
        <v>3.41</v>
      </c>
      <c r="R1472" s="0" t="n">
        <v>3420</v>
      </c>
      <c r="S1472" s="0" t="n">
        <v>7584</v>
      </c>
      <c r="T1472" s="0" t="n">
        <v>35.9</v>
      </c>
      <c r="U1472" s="0" t="n">
        <v>867</v>
      </c>
      <c r="V1472" s="0" t="n">
        <v>2</v>
      </c>
      <c r="W1472" s="27" t="n">
        <f aca="false">MATCH(A1472,DATAS,0)</f>
        <v>1</v>
      </c>
      <c r="X1472" s="27" t="n">
        <f aca="false">IF(AND(E1472&gt;0,OR(AND(B1472&gt;=1,B1472&lt;=6),B1472=10)),1,0)</f>
        <v>1</v>
      </c>
      <c r="Y1472" s="27" t="n">
        <f aca="false">IF(AND(E1472&gt;0,B1472=10),1,0)</f>
        <v>0</v>
      </c>
      <c r="Z1472" s="0" t="str">
        <f aca="false">IF(AND(C1471=C1472,W1471=W1472-1),X1471,"")</f>
        <v/>
      </c>
      <c r="AA1472" s="0" t="str">
        <f aca="false">IF(AND(C1471=C1472,W1471=W1472-1),Y1471,"")</f>
        <v/>
      </c>
      <c r="AB1472" s="0" t="str">
        <f aca="false">IF(W1472=1,"",IF(AND(X1472=1,Z1472&lt;&gt;1),1,0))</f>
        <v/>
      </c>
      <c r="AC1472" s="0" t="str">
        <f aca="false">IF(W1472=1,"",IF(AND(Y1472=1,AA1472&lt;&gt;1),1,0))</f>
        <v/>
      </c>
      <c r="AD1472" s="33" t="str">
        <f aca="false">IF(AND(E1472&gt;0,W1472&lt;1,NOT(AND(C1473=C1472,W1473=W1472+1))),INDEX(DATAS,W1472+1),"")</f>
        <v/>
      </c>
      <c r="AE1472" s="33" t="str">
        <f aca="false">IF(AND(Y1472=1,W1472&lt;1),IF(AND(C1473=C1472,W1473=W1472+1),IF(Y1473=1,"",INDEX(DATAS,W1472+1)),INDEX(DATAS,W1472+1)),"")</f>
        <v/>
      </c>
    </row>
    <row r="1473" customFormat="false" ht="15" hidden="false" customHeight="false" outlineLevel="0" collapsed="false">
      <c r="A1473" s="33" t="n">
        <v>46309</v>
      </c>
      <c r="B1473" s="0" t="n">
        <v>4</v>
      </c>
      <c r="C1473" s="0" t="n">
        <v>5601</v>
      </c>
      <c r="D1473" s="0" t="n">
        <v>172</v>
      </c>
      <c r="E1473" s="0" t="n">
        <v>1</v>
      </c>
      <c r="F1473" s="27" t="s">
        <v>942</v>
      </c>
      <c r="G1473" s="0" t="n">
        <v>55.9</v>
      </c>
      <c r="H1473" s="0" t="n">
        <v>55</v>
      </c>
      <c r="I1473" s="27" t="s">
        <v>138</v>
      </c>
      <c r="J1473" s="0" t="n">
        <v>123</v>
      </c>
      <c r="K1473" s="0" t="n">
        <v>67</v>
      </c>
      <c r="L1473" s="0" t="n">
        <v>49</v>
      </c>
      <c r="P1473" s="0" t="n">
        <v>2.93</v>
      </c>
      <c r="Q1473" s="0" t="n">
        <v>3.28</v>
      </c>
      <c r="R1473" s="0" t="n">
        <v>4619</v>
      </c>
      <c r="S1473" s="0" t="n">
        <v>10151</v>
      </c>
      <c r="T1473" s="0" t="n">
        <v>53.9</v>
      </c>
      <c r="U1473" s="0" t="n">
        <v>866</v>
      </c>
      <c r="V1473" s="0" t="n">
        <v>2</v>
      </c>
      <c r="W1473" s="27" t="n">
        <f aca="false">MATCH(A1473,DATAS,0)</f>
        <v>1</v>
      </c>
      <c r="X1473" s="27" t="n">
        <f aca="false">IF(AND(E1473&gt;0,OR(AND(B1473&gt;=1,B1473&lt;=6),B1473=10)),1,0)</f>
        <v>1</v>
      </c>
      <c r="Y1473" s="27" t="n">
        <f aca="false">IF(AND(E1473&gt;0,B1473=10),1,0)</f>
        <v>0</v>
      </c>
      <c r="Z1473" s="0" t="str">
        <f aca="false">IF(AND(C1472=C1473,W1472=W1473-1),X1472,"")</f>
        <v/>
      </c>
      <c r="AA1473" s="0" t="str">
        <f aca="false">IF(AND(C1472=C1473,W1472=W1473-1),Y1472,"")</f>
        <v/>
      </c>
      <c r="AB1473" s="0" t="str">
        <f aca="false">IF(W1473=1,"",IF(AND(X1473=1,Z1473&lt;&gt;1),1,0))</f>
        <v/>
      </c>
      <c r="AC1473" s="0" t="str">
        <f aca="false">IF(W1473=1,"",IF(AND(Y1473=1,AA1473&lt;&gt;1),1,0))</f>
        <v/>
      </c>
      <c r="AD1473" s="33" t="str">
        <f aca="false">IF(AND(E1473&gt;0,W1473&lt;1,NOT(AND(C1474=C1473,W1474=W1473+1))),INDEX(DATAS,W1473+1),"")</f>
        <v/>
      </c>
      <c r="AE1473" s="33" t="str">
        <f aca="false">IF(AND(Y1473=1,W1473&lt;1),IF(AND(C1474=C1473,W1474=W1473+1),IF(Y1474=1,"",INDEX(DATAS,W1473+1)),INDEX(DATAS,W1473+1)),"")</f>
        <v/>
      </c>
    </row>
    <row r="1474" customFormat="false" ht="15" hidden="false" customHeight="false" outlineLevel="0" collapsed="false">
      <c r="A1474" s="33" t="n">
        <v>46309</v>
      </c>
      <c r="B1474" s="0" t="n">
        <v>1</v>
      </c>
      <c r="C1474" s="0" t="n">
        <v>5602</v>
      </c>
      <c r="D1474" s="0" t="n">
        <v>75</v>
      </c>
      <c r="E1474" s="0" t="n">
        <v>1</v>
      </c>
      <c r="F1474" s="27" t="s">
        <v>942</v>
      </c>
      <c r="G1474" s="0" t="n">
        <v>48</v>
      </c>
      <c r="H1474" s="0" t="n">
        <v>46</v>
      </c>
      <c r="I1474" s="27" t="s">
        <v>168</v>
      </c>
      <c r="J1474" s="0" t="n">
        <v>75</v>
      </c>
      <c r="K1474" s="0" t="n">
        <v>68</v>
      </c>
      <c r="P1474" s="0" t="n">
        <v>4.19</v>
      </c>
      <c r="Q1474" s="0" t="n">
        <v>3.08</v>
      </c>
      <c r="R1474" s="0" t="n">
        <v>4390</v>
      </c>
      <c r="S1474" s="0" t="n">
        <v>8824</v>
      </c>
      <c r="U1474" s="0" t="n">
        <v>866</v>
      </c>
      <c r="V1474" s="0" t="n">
        <v>1</v>
      </c>
      <c r="W1474" s="27" t="n">
        <f aca="false">MATCH(A1474,DATAS,0)</f>
        <v>1</v>
      </c>
      <c r="X1474" s="27" t="n">
        <f aca="false">IF(AND(E1474&gt;0,OR(AND(B1474&gt;=1,B1474&lt;=6),B1474=10)),1,0)</f>
        <v>1</v>
      </c>
      <c r="Y1474" s="27" t="n">
        <f aca="false">IF(AND(E1474&gt;0,B1474=10),1,0)</f>
        <v>0</v>
      </c>
      <c r="Z1474" s="0" t="str">
        <f aca="false">IF(AND(C1473=C1474,W1473=W1474-1),X1473,"")</f>
        <v/>
      </c>
      <c r="AA1474" s="0" t="str">
        <f aca="false">IF(AND(C1473=C1474,W1473=W1474-1),Y1473,"")</f>
        <v/>
      </c>
      <c r="AB1474" s="0" t="str">
        <f aca="false">IF(W1474=1,"",IF(AND(X1474=1,Z1474&lt;&gt;1),1,0))</f>
        <v/>
      </c>
      <c r="AC1474" s="0" t="str">
        <f aca="false">IF(W1474=1,"",IF(AND(Y1474=1,AA1474&lt;&gt;1),1,0))</f>
        <v/>
      </c>
      <c r="AD1474" s="33" t="str">
        <f aca="false">IF(AND(E1474&gt;0,W1474&lt;1,NOT(AND(C1475=C1474,W1475=W1474+1))),INDEX(DATAS,W1474+1),"")</f>
        <v/>
      </c>
      <c r="AE1474" s="33" t="str">
        <f aca="false">IF(AND(Y1474=1,W1474&lt;1),IF(AND(C1475=C1474,W1475=W1474+1),IF(Y1475=1,"",INDEX(DATAS,W1474+1)),INDEX(DATAS,W1474+1)),"")</f>
        <v/>
      </c>
    </row>
    <row r="1475" customFormat="false" ht="15" hidden="false" customHeight="false" outlineLevel="0" collapsed="false">
      <c r="A1475" s="33" t="n">
        <v>46309</v>
      </c>
      <c r="B1475" s="0" t="n">
        <v>4</v>
      </c>
      <c r="C1475" s="0" t="n">
        <v>5603</v>
      </c>
      <c r="D1475" s="0" t="n">
        <v>193</v>
      </c>
      <c r="E1475" s="0" t="n">
        <v>1</v>
      </c>
      <c r="F1475" s="27" t="s">
        <v>942</v>
      </c>
      <c r="G1475" s="0" t="n">
        <v>53.1</v>
      </c>
      <c r="H1475" s="0" t="n">
        <v>51</v>
      </c>
      <c r="I1475" s="27" t="s">
        <v>138</v>
      </c>
      <c r="J1475" s="0" t="n">
        <v>67</v>
      </c>
      <c r="K1475" s="0" t="n">
        <v>67</v>
      </c>
      <c r="L1475" s="0" t="n">
        <v>126</v>
      </c>
      <c r="P1475" s="0" t="n">
        <v>3.17</v>
      </c>
      <c r="Q1475" s="0" t="n">
        <v>3.12</v>
      </c>
      <c r="R1475" s="0" t="n">
        <v>4538</v>
      </c>
      <c r="S1475" s="0" t="n">
        <v>9955</v>
      </c>
      <c r="T1475" s="0" t="n">
        <v>48.75</v>
      </c>
      <c r="U1475" s="0" t="n">
        <v>866</v>
      </c>
      <c r="V1475" s="0" t="n">
        <v>1</v>
      </c>
      <c r="W1475" s="27" t="n">
        <f aca="false">MATCH(A1475,DATAS,0)</f>
        <v>1</v>
      </c>
      <c r="X1475" s="27" t="n">
        <f aca="false">IF(AND(E1475&gt;0,OR(AND(B1475&gt;=1,B1475&lt;=6),B1475=10)),1,0)</f>
        <v>1</v>
      </c>
      <c r="Y1475" s="27" t="n">
        <f aca="false">IF(AND(E1475&gt;0,B1475=10),1,0)</f>
        <v>0</v>
      </c>
      <c r="Z1475" s="0" t="str">
        <f aca="false">IF(AND(C1474=C1475,W1474=W1475-1),X1474,"")</f>
        <v/>
      </c>
      <c r="AA1475" s="0" t="str">
        <f aca="false">IF(AND(C1474=C1475,W1474=W1475-1),Y1474,"")</f>
        <v/>
      </c>
      <c r="AB1475" s="0" t="str">
        <f aca="false">IF(W1475=1,"",IF(AND(X1475=1,Z1475&lt;&gt;1),1,0))</f>
        <v/>
      </c>
      <c r="AC1475" s="0" t="str">
        <f aca="false">IF(W1475=1,"",IF(AND(Y1475=1,AA1475&lt;&gt;1),1,0))</f>
        <v/>
      </c>
      <c r="AD1475" s="33" t="str">
        <f aca="false">IF(AND(E1475&gt;0,W1475&lt;1,NOT(AND(C1476=C1475,W1476=W1475+1))),INDEX(DATAS,W1475+1),"")</f>
        <v/>
      </c>
      <c r="AE1475" s="33" t="str">
        <f aca="false">IF(AND(Y1475=1,W1475&lt;1),IF(AND(C1476=C1475,W1476=W1475+1),IF(Y1476=1,"",INDEX(DATAS,W1475+1)),INDEX(DATAS,W1475+1)),"")</f>
        <v/>
      </c>
    </row>
    <row r="1476" customFormat="false" ht="15" hidden="false" customHeight="false" outlineLevel="0" collapsed="false">
      <c r="A1476" s="33" t="n">
        <v>46309</v>
      </c>
      <c r="B1476" s="0" t="n">
        <v>4</v>
      </c>
      <c r="C1476" s="0" t="n">
        <v>5605</v>
      </c>
      <c r="D1476" s="0" t="n">
        <v>181</v>
      </c>
      <c r="E1476" s="0" t="n">
        <v>1</v>
      </c>
      <c r="F1476" s="27" t="s">
        <v>139</v>
      </c>
      <c r="G1476" s="0" t="n">
        <v>52.3</v>
      </c>
      <c r="H1476" s="0" t="n">
        <v>51</v>
      </c>
      <c r="I1476" s="27" t="s">
        <v>138</v>
      </c>
      <c r="J1476" s="0" t="n">
        <v>69</v>
      </c>
      <c r="K1476" s="0" t="n">
        <v>69</v>
      </c>
      <c r="L1476" s="0" t="n">
        <v>112</v>
      </c>
      <c r="P1476" s="0" t="n">
        <v>3.73</v>
      </c>
      <c r="Q1476" s="0" t="n">
        <v>3.1</v>
      </c>
      <c r="R1476" s="0" t="n">
        <v>3781</v>
      </c>
      <c r="S1476" s="0" t="n">
        <v>9065</v>
      </c>
      <c r="T1476" s="0" t="n">
        <v>38.5</v>
      </c>
      <c r="U1476" s="0" t="n">
        <v>865</v>
      </c>
      <c r="V1476" s="0" t="n">
        <v>1</v>
      </c>
      <c r="W1476" s="27" t="n">
        <f aca="false">MATCH(A1476,DATAS,0)</f>
        <v>1</v>
      </c>
      <c r="X1476" s="27" t="n">
        <f aca="false">IF(AND(E1476&gt;0,OR(AND(B1476&gt;=1,B1476&lt;=6),B1476=10)),1,0)</f>
        <v>1</v>
      </c>
      <c r="Y1476" s="27" t="n">
        <f aca="false">IF(AND(E1476&gt;0,B1476=10),1,0)</f>
        <v>0</v>
      </c>
      <c r="Z1476" s="0" t="str">
        <f aca="false">IF(AND(C1475=C1476,W1475=W1476-1),X1475,"")</f>
        <v/>
      </c>
      <c r="AA1476" s="0" t="str">
        <f aca="false">IF(AND(C1475=C1476,W1475=W1476-1),Y1475,"")</f>
        <v/>
      </c>
      <c r="AB1476" s="0" t="str">
        <f aca="false">IF(W1476=1,"",IF(AND(X1476=1,Z1476&lt;&gt;1),1,0))</f>
        <v/>
      </c>
      <c r="AC1476" s="0" t="str">
        <f aca="false">IF(W1476=1,"",IF(AND(Y1476=1,AA1476&lt;&gt;1),1,0))</f>
        <v/>
      </c>
      <c r="AD1476" s="33" t="str">
        <f aca="false">IF(AND(E1476&gt;0,W1476&lt;1,NOT(AND(C1477=C1476,W1477=W1476+1))),INDEX(DATAS,W1476+1),"")</f>
        <v/>
      </c>
      <c r="AE1476" s="33" t="str">
        <f aca="false">IF(AND(Y1476=1,W1476&lt;1),IF(AND(C1477=C1476,W1477=W1476+1),IF(Y1477=1,"",INDEX(DATAS,W1476+1)),INDEX(DATAS,W1476+1)),"")</f>
        <v/>
      </c>
    </row>
    <row r="1477" customFormat="false" ht="15" hidden="false" customHeight="false" outlineLevel="0" collapsed="false">
      <c r="A1477" s="33" t="n">
        <v>46309</v>
      </c>
      <c r="B1477" s="0" t="n">
        <v>8</v>
      </c>
      <c r="C1477" s="0" t="n">
        <v>5606</v>
      </c>
      <c r="E1477" s="0" t="n">
        <v>0</v>
      </c>
      <c r="F1477" s="27" t="s">
        <v>139</v>
      </c>
      <c r="I1477" s="27" t="s">
        <v>138</v>
      </c>
      <c r="L1477" s="0" t="n">
        <v>169</v>
      </c>
      <c r="U1477" s="0" t="n">
        <v>865</v>
      </c>
      <c r="V1477" s="0" t="n">
        <v>11</v>
      </c>
      <c r="W1477" s="27" t="n">
        <f aca="false">MATCH(A1477,DATAS,0)</f>
        <v>1</v>
      </c>
      <c r="X1477" s="27" t="n">
        <f aca="false">IF(AND(E1477&gt;0,OR(AND(B1477&gt;=1,B1477&lt;=6),B1477=10)),1,0)</f>
        <v>0</v>
      </c>
      <c r="Y1477" s="27" t="n">
        <f aca="false">IF(AND(E1477&gt;0,B1477=10),1,0)</f>
        <v>0</v>
      </c>
      <c r="Z1477" s="0" t="str">
        <f aca="false">IF(AND(C1476=C1477,W1476=W1477-1),X1476,"")</f>
        <v/>
      </c>
      <c r="AA1477" s="0" t="str">
        <f aca="false">IF(AND(C1476=C1477,W1476=W1477-1),Y1476,"")</f>
        <v/>
      </c>
      <c r="AB1477" s="0" t="str">
        <f aca="false">IF(W1477=1,"",IF(AND(X1477=1,Z1477&lt;&gt;1),1,0))</f>
        <v/>
      </c>
      <c r="AC1477" s="0" t="str">
        <f aca="false">IF(W1477=1,"",IF(AND(Y1477=1,AA1477&lt;&gt;1),1,0))</f>
        <v/>
      </c>
      <c r="AD1477" s="33" t="str">
        <f aca="false">IF(AND(E1477&gt;0,W1477&lt;1,NOT(AND(C1478=C1477,W1478=W1477+1))),INDEX(DATAS,W1477+1),"")</f>
        <v/>
      </c>
      <c r="AE1477" s="33" t="str">
        <f aca="false">IF(AND(Y1477=1,W1477&lt;1),IF(AND(C1478=C1477,W1478=W1477+1),IF(Y1478=1,"",INDEX(DATAS,W1477+1)),INDEX(DATAS,W1477+1)),"")</f>
        <v/>
      </c>
    </row>
    <row r="1478" customFormat="false" ht="15" hidden="false" customHeight="false" outlineLevel="0" collapsed="false">
      <c r="A1478" s="33" t="n">
        <v>46309</v>
      </c>
      <c r="B1478" s="0" t="n">
        <v>4</v>
      </c>
      <c r="C1478" s="0" t="n">
        <v>5607</v>
      </c>
      <c r="D1478" s="0" t="n">
        <v>198</v>
      </c>
      <c r="E1478" s="0" t="n">
        <v>1</v>
      </c>
      <c r="F1478" s="27" t="s">
        <v>943</v>
      </c>
      <c r="G1478" s="0" t="n">
        <v>48.4</v>
      </c>
      <c r="H1478" s="0" t="n">
        <v>52</v>
      </c>
      <c r="I1478" s="27" t="s">
        <v>138</v>
      </c>
      <c r="J1478" s="0" t="n">
        <v>65</v>
      </c>
      <c r="K1478" s="0" t="n">
        <v>65</v>
      </c>
      <c r="L1478" s="0" t="n">
        <v>133</v>
      </c>
      <c r="P1478" s="0" t="n">
        <v>3.63</v>
      </c>
      <c r="Q1478" s="0" t="n">
        <v>3.74</v>
      </c>
      <c r="R1478" s="0" t="n">
        <v>4525</v>
      </c>
      <c r="S1478" s="0" t="n">
        <v>9680</v>
      </c>
      <c r="T1478" s="0" t="n">
        <v>46.05</v>
      </c>
      <c r="U1478" s="0" t="n">
        <v>864</v>
      </c>
      <c r="V1478" s="0" t="n">
        <v>1</v>
      </c>
      <c r="W1478" s="27" t="n">
        <f aca="false">MATCH(A1478,DATAS,0)</f>
        <v>1</v>
      </c>
      <c r="X1478" s="27" t="n">
        <f aca="false">IF(AND(E1478&gt;0,OR(AND(B1478&gt;=1,B1478&lt;=6),B1478=10)),1,0)</f>
        <v>1</v>
      </c>
      <c r="Y1478" s="27" t="n">
        <f aca="false">IF(AND(E1478&gt;0,B1478=10),1,0)</f>
        <v>0</v>
      </c>
      <c r="Z1478" s="0" t="str">
        <f aca="false">IF(AND(C1477=C1478,W1477=W1478-1),X1477,"")</f>
        <v/>
      </c>
      <c r="AA1478" s="0" t="str">
        <f aca="false">IF(AND(C1477=C1478,W1477=W1478-1),Y1477,"")</f>
        <v/>
      </c>
      <c r="AB1478" s="0" t="str">
        <f aca="false">IF(W1478=1,"",IF(AND(X1478=1,Z1478&lt;&gt;1),1,0))</f>
        <v/>
      </c>
      <c r="AC1478" s="0" t="str">
        <f aca="false">IF(W1478=1,"",IF(AND(Y1478=1,AA1478&lt;&gt;1),1,0))</f>
        <v/>
      </c>
      <c r="AD1478" s="33" t="str">
        <f aca="false">IF(AND(E1478&gt;0,W1478&lt;1,NOT(AND(C1479=C1478,W1479=W1478+1))),INDEX(DATAS,W1478+1),"")</f>
        <v/>
      </c>
      <c r="AE1478" s="33" t="str">
        <f aca="false">IF(AND(Y1478=1,W1478&lt;1),IF(AND(C1479=C1478,W1479=W1478+1),IF(Y1479=1,"",INDEX(DATAS,W1478+1)),INDEX(DATAS,W1478+1)),"")</f>
        <v/>
      </c>
    </row>
    <row r="1479" customFormat="false" ht="15" hidden="false" customHeight="false" outlineLevel="0" collapsed="false">
      <c r="A1479" s="33" t="n">
        <v>46309</v>
      </c>
      <c r="B1479" s="0" t="n">
        <v>4</v>
      </c>
      <c r="C1479" s="0" t="n">
        <v>5608</v>
      </c>
      <c r="D1479" s="0" t="n">
        <v>224</v>
      </c>
      <c r="E1479" s="0" t="n">
        <v>1</v>
      </c>
      <c r="F1479" s="27" t="s">
        <v>943</v>
      </c>
      <c r="G1479" s="0" t="n">
        <v>38</v>
      </c>
      <c r="H1479" s="0" t="n">
        <v>41</v>
      </c>
      <c r="I1479" s="27" t="s">
        <v>138</v>
      </c>
      <c r="J1479" s="0" t="n">
        <v>84</v>
      </c>
      <c r="K1479" s="0" t="n">
        <v>63</v>
      </c>
      <c r="L1479" s="0" t="n">
        <v>140</v>
      </c>
      <c r="P1479" s="0" t="n">
        <v>4.2</v>
      </c>
      <c r="Q1479" s="0" t="n">
        <v>3.91</v>
      </c>
      <c r="R1479" s="0" t="n">
        <v>4530</v>
      </c>
      <c r="S1479" s="0" t="n">
        <v>9637</v>
      </c>
      <c r="T1479" s="0" t="n">
        <v>52.6</v>
      </c>
      <c r="U1479" s="0" t="n">
        <v>864</v>
      </c>
      <c r="V1479" s="0" t="n">
        <v>2</v>
      </c>
      <c r="W1479" s="27" t="n">
        <f aca="false">MATCH(A1479,DATAS,0)</f>
        <v>1</v>
      </c>
      <c r="X1479" s="27" t="n">
        <f aca="false">IF(AND(E1479&gt;0,OR(AND(B1479&gt;=1,B1479&lt;=6),B1479=10)),1,0)</f>
        <v>1</v>
      </c>
      <c r="Y1479" s="27" t="n">
        <f aca="false">IF(AND(E1479&gt;0,B1479=10),1,0)</f>
        <v>0</v>
      </c>
      <c r="Z1479" s="0" t="str">
        <f aca="false">IF(AND(C1478=C1479,W1478=W1479-1),X1478,"")</f>
        <v/>
      </c>
      <c r="AA1479" s="0" t="str">
        <f aca="false">IF(AND(C1478=C1479,W1478=W1479-1),Y1478,"")</f>
        <v/>
      </c>
      <c r="AB1479" s="0" t="str">
        <f aca="false">IF(W1479=1,"",IF(AND(X1479=1,Z1479&lt;&gt;1),1,0))</f>
        <v/>
      </c>
      <c r="AC1479" s="0" t="str">
        <f aca="false">IF(W1479=1,"",IF(AND(Y1479=1,AA1479&lt;&gt;1),1,0))</f>
        <v/>
      </c>
      <c r="AD1479" s="33" t="str">
        <f aca="false">IF(AND(E1479&gt;0,W1479&lt;1,NOT(AND(C1480=C1479,W1480=W1479+1))),INDEX(DATAS,W1479+1),"")</f>
        <v/>
      </c>
      <c r="AE1479" s="33" t="str">
        <f aca="false">IF(AND(Y1479=1,W1479&lt;1),IF(AND(C1480=C1479,W1480=W1479+1),IF(Y1480=1,"",INDEX(DATAS,W1479+1)),INDEX(DATAS,W1479+1)),"")</f>
        <v/>
      </c>
    </row>
    <row r="1480" customFormat="false" ht="15" hidden="false" customHeight="false" outlineLevel="0" collapsed="false">
      <c r="A1480" s="33" t="n">
        <v>46309</v>
      </c>
      <c r="B1480" s="0" t="n">
        <v>4</v>
      </c>
      <c r="C1480" s="0" t="n">
        <v>5609</v>
      </c>
      <c r="D1480" s="0" t="n">
        <v>177</v>
      </c>
      <c r="E1480" s="0" t="n">
        <v>1</v>
      </c>
      <c r="F1480" s="27" t="s">
        <v>943</v>
      </c>
      <c r="G1480" s="0" t="n">
        <v>49.5</v>
      </c>
      <c r="H1480" s="0" t="n">
        <v>48</v>
      </c>
      <c r="I1480" s="27" t="s">
        <v>138</v>
      </c>
      <c r="J1480" s="0" t="n">
        <v>88</v>
      </c>
      <c r="K1480" s="0" t="n">
        <v>65</v>
      </c>
      <c r="L1480" s="0" t="n">
        <v>89</v>
      </c>
      <c r="P1480" s="0" t="n">
        <v>3.46</v>
      </c>
      <c r="Q1480" s="0" t="n">
        <v>3.3</v>
      </c>
      <c r="R1480" s="0" t="n">
        <v>4042</v>
      </c>
      <c r="S1480" s="0" t="n">
        <v>8806</v>
      </c>
      <c r="T1480" s="0" t="n">
        <v>44.65</v>
      </c>
      <c r="U1480" s="0" t="n">
        <v>864</v>
      </c>
      <c r="V1480" s="0" t="n">
        <v>2</v>
      </c>
      <c r="W1480" s="27" t="n">
        <f aca="false">MATCH(A1480,DATAS,0)</f>
        <v>1</v>
      </c>
      <c r="X1480" s="27" t="n">
        <f aca="false">IF(AND(E1480&gt;0,OR(AND(B1480&gt;=1,B1480&lt;=6),B1480=10)),1,0)</f>
        <v>1</v>
      </c>
      <c r="Y1480" s="27" t="n">
        <f aca="false">IF(AND(E1480&gt;0,B1480=10),1,0)</f>
        <v>0</v>
      </c>
      <c r="Z1480" s="0" t="str">
        <f aca="false">IF(AND(C1479=C1480,W1479=W1480-1),X1479,"")</f>
        <v/>
      </c>
      <c r="AA1480" s="0" t="str">
        <f aca="false">IF(AND(C1479=C1480,W1479=W1480-1),Y1479,"")</f>
        <v/>
      </c>
      <c r="AB1480" s="0" t="str">
        <f aca="false">IF(W1480=1,"",IF(AND(X1480=1,Z1480&lt;&gt;1),1,0))</f>
        <v/>
      </c>
      <c r="AC1480" s="0" t="str">
        <f aca="false">IF(W1480=1,"",IF(AND(Y1480=1,AA1480&lt;&gt;1),1,0))</f>
        <v/>
      </c>
      <c r="AD1480" s="33" t="str">
        <f aca="false">IF(AND(E1480&gt;0,W1480&lt;1,NOT(AND(C1481=C1480,W1481=W1480+1))),INDEX(DATAS,W1480+1),"")</f>
        <v/>
      </c>
      <c r="AE1480" s="33" t="str">
        <f aca="false">IF(AND(Y1480=1,W1480&lt;1),IF(AND(C1481=C1480,W1481=W1480+1),IF(Y1481=1,"",INDEX(DATAS,W1480+1)),INDEX(DATAS,W1480+1)),"")</f>
        <v/>
      </c>
    </row>
    <row r="1481" customFormat="false" ht="15" hidden="false" customHeight="false" outlineLevel="0" collapsed="false">
      <c r="A1481" s="33" t="n">
        <v>46309</v>
      </c>
      <c r="B1481" s="0" t="n">
        <v>4</v>
      </c>
      <c r="C1481" s="0" t="n">
        <v>5610</v>
      </c>
      <c r="D1481" s="0" t="n">
        <v>221</v>
      </c>
      <c r="E1481" s="0" t="n">
        <v>1</v>
      </c>
      <c r="F1481" s="27" t="s">
        <v>943</v>
      </c>
      <c r="G1481" s="0" t="n">
        <v>52.4</v>
      </c>
      <c r="H1481" s="0" t="n">
        <v>54</v>
      </c>
      <c r="I1481" s="27" t="s">
        <v>138</v>
      </c>
      <c r="J1481" s="0" t="n">
        <v>67</v>
      </c>
      <c r="K1481" s="0" t="n">
        <v>67</v>
      </c>
      <c r="L1481" s="0" t="n">
        <v>154</v>
      </c>
      <c r="P1481" s="0" t="n">
        <v>1.89</v>
      </c>
      <c r="Q1481" s="0" t="n">
        <v>3.37</v>
      </c>
      <c r="R1481" s="0" t="n">
        <v>5482</v>
      </c>
      <c r="S1481" s="0" t="n">
        <v>11926</v>
      </c>
      <c r="T1481" s="0" t="n">
        <v>60.9</v>
      </c>
      <c r="U1481" s="0" t="n">
        <v>864</v>
      </c>
      <c r="V1481" s="0" t="n">
        <v>1</v>
      </c>
      <c r="W1481" s="27" t="n">
        <f aca="false">MATCH(A1481,DATAS,0)</f>
        <v>1</v>
      </c>
      <c r="X1481" s="27" t="n">
        <f aca="false">IF(AND(E1481&gt;0,OR(AND(B1481&gt;=1,B1481&lt;=6),B1481=10)),1,0)</f>
        <v>1</v>
      </c>
      <c r="Y1481" s="27" t="n">
        <f aca="false">IF(AND(E1481&gt;0,B1481=10),1,0)</f>
        <v>0</v>
      </c>
      <c r="Z1481" s="0" t="str">
        <f aca="false">IF(AND(C1480=C1481,W1480=W1481-1),X1480,"")</f>
        <v/>
      </c>
      <c r="AA1481" s="0" t="str">
        <f aca="false">IF(AND(C1480=C1481,W1480=W1481-1),Y1480,"")</f>
        <v/>
      </c>
      <c r="AB1481" s="0" t="str">
        <f aca="false">IF(W1481=1,"",IF(AND(X1481=1,Z1481&lt;&gt;1),1,0))</f>
        <v/>
      </c>
      <c r="AC1481" s="0" t="str">
        <f aca="false">IF(W1481=1,"",IF(AND(Y1481=1,AA1481&lt;&gt;1),1,0))</f>
        <v/>
      </c>
      <c r="AD1481" s="33" t="str">
        <f aca="false">IF(AND(E1481&gt;0,W1481&lt;1,NOT(AND(C1482=C1481,W1482=W1481+1))),INDEX(DATAS,W1481+1),"")</f>
        <v/>
      </c>
      <c r="AE1481" s="33" t="str">
        <f aca="false">IF(AND(Y1481=1,W1481&lt;1),IF(AND(C1482=C1481,W1482=W1481+1),IF(Y1482=1,"",INDEX(DATAS,W1481+1)),INDEX(DATAS,W1481+1)),"")</f>
        <v/>
      </c>
    </row>
    <row r="1482" customFormat="false" ht="15" hidden="false" customHeight="false" outlineLevel="0" collapsed="false">
      <c r="A1482" s="33" t="n">
        <v>46309</v>
      </c>
      <c r="B1482" s="0" t="n">
        <v>4</v>
      </c>
      <c r="C1482" s="0" t="n">
        <v>5611</v>
      </c>
      <c r="D1482" s="0" t="n">
        <v>153</v>
      </c>
      <c r="E1482" s="0" t="n">
        <v>1</v>
      </c>
      <c r="F1482" s="27" t="s">
        <v>944</v>
      </c>
      <c r="G1482" s="0" t="n">
        <v>35.2</v>
      </c>
      <c r="H1482" s="0" t="n">
        <v>36</v>
      </c>
      <c r="I1482" s="27" t="s">
        <v>138</v>
      </c>
      <c r="J1482" s="0" t="n">
        <v>98</v>
      </c>
      <c r="K1482" s="0" t="n">
        <v>62</v>
      </c>
      <c r="L1482" s="0" t="n">
        <v>55</v>
      </c>
      <c r="P1482" s="0" t="n">
        <v>4.05</v>
      </c>
      <c r="Q1482" s="0" t="n">
        <v>3.19</v>
      </c>
      <c r="R1482" s="0" t="n">
        <v>2919</v>
      </c>
      <c r="S1482" s="0" t="n">
        <v>6739</v>
      </c>
      <c r="T1482" s="0" t="n">
        <v>26.6</v>
      </c>
      <c r="U1482" s="0" t="n">
        <v>863</v>
      </c>
      <c r="V1482" s="0" t="n">
        <v>2</v>
      </c>
      <c r="W1482" s="27" t="n">
        <f aca="false">MATCH(A1482,DATAS,0)</f>
        <v>1</v>
      </c>
      <c r="X1482" s="27" t="n">
        <f aca="false">IF(AND(E1482&gt;0,OR(AND(B1482&gt;=1,B1482&lt;=6),B1482=10)),1,0)</f>
        <v>1</v>
      </c>
      <c r="Y1482" s="27" t="n">
        <f aca="false">IF(AND(E1482&gt;0,B1482=10),1,0)</f>
        <v>0</v>
      </c>
      <c r="Z1482" s="0" t="str">
        <f aca="false">IF(AND(C1481=C1482,W1481=W1482-1),X1481,"")</f>
        <v/>
      </c>
      <c r="AA1482" s="0" t="str">
        <f aca="false">IF(AND(C1481=C1482,W1481=W1482-1),Y1481,"")</f>
        <v/>
      </c>
      <c r="AB1482" s="0" t="str">
        <f aca="false">IF(W1482=1,"",IF(AND(X1482=1,Z1482&lt;&gt;1),1,0))</f>
        <v/>
      </c>
      <c r="AC1482" s="0" t="str">
        <f aca="false">IF(W1482=1,"",IF(AND(Y1482=1,AA1482&lt;&gt;1),1,0))</f>
        <v/>
      </c>
      <c r="AD1482" s="33" t="str">
        <f aca="false">IF(AND(E1482&gt;0,W1482&lt;1,NOT(AND(C1483=C1482,W1483=W1482+1))),INDEX(DATAS,W1482+1),"")</f>
        <v/>
      </c>
      <c r="AE1482" s="33" t="str">
        <f aca="false">IF(AND(Y1482=1,W1482&lt;1),IF(AND(C1483=C1482,W1483=W1482+1),IF(Y1483=1,"",INDEX(DATAS,W1482+1)),INDEX(DATAS,W1482+1)),"")</f>
        <v/>
      </c>
    </row>
    <row r="1483" customFormat="false" ht="15" hidden="false" customHeight="false" outlineLevel="0" collapsed="false">
      <c r="A1483" s="33" t="n">
        <v>46309</v>
      </c>
      <c r="B1483" s="0" t="n">
        <v>1</v>
      </c>
      <c r="C1483" s="0" t="n">
        <v>5612</v>
      </c>
      <c r="D1483" s="0" t="n">
        <v>60</v>
      </c>
      <c r="E1483" s="0" t="n">
        <v>1</v>
      </c>
      <c r="F1483" s="27" t="s">
        <v>944</v>
      </c>
      <c r="G1483" s="0" t="n">
        <v>52.2</v>
      </c>
      <c r="H1483" s="0" t="n">
        <v>52</v>
      </c>
      <c r="I1483" s="27" t="s">
        <v>147</v>
      </c>
      <c r="J1483" s="0" t="n">
        <v>60</v>
      </c>
      <c r="P1483" s="0" t="n">
        <v>3.66</v>
      </c>
      <c r="Q1483" s="0" t="n">
        <v>3.04</v>
      </c>
      <c r="R1483" s="0" t="n">
        <v>4506</v>
      </c>
      <c r="S1483" s="0" t="n">
        <v>9057</v>
      </c>
      <c r="U1483" s="0" t="n">
        <v>863</v>
      </c>
      <c r="V1483" s="0" t="n">
        <v>0</v>
      </c>
      <c r="W1483" s="27" t="n">
        <f aca="false">MATCH(A1483,DATAS,0)</f>
        <v>1</v>
      </c>
      <c r="X1483" s="27" t="n">
        <f aca="false">IF(AND(E1483&gt;0,OR(AND(B1483&gt;=1,B1483&lt;=6),B1483=10)),1,0)</f>
        <v>1</v>
      </c>
      <c r="Y1483" s="27" t="n">
        <f aca="false">IF(AND(E1483&gt;0,B1483=10),1,0)</f>
        <v>0</v>
      </c>
      <c r="Z1483" s="0" t="str">
        <f aca="false">IF(AND(C1482=C1483,W1482=W1483-1),X1482,"")</f>
        <v/>
      </c>
      <c r="AA1483" s="0" t="str">
        <f aca="false">IF(AND(C1482=C1483,W1482=W1483-1),Y1482,"")</f>
        <v/>
      </c>
      <c r="AB1483" s="0" t="str">
        <f aca="false">IF(W1483=1,"",IF(AND(X1483=1,Z1483&lt;&gt;1),1,0))</f>
        <v/>
      </c>
      <c r="AC1483" s="0" t="str">
        <f aca="false">IF(W1483=1,"",IF(AND(Y1483=1,AA1483&lt;&gt;1),1,0))</f>
        <v/>
      </c>
      <c r="AD1483" s="33" t="str">
        <f aca="false">IF(AND(E1483&gt;0,W1483&lt;1,NOT(AND(C1484=C1483,W1484=W1483+1))),INDEX(DATAS,W1483+1),"")</f>
        <v/>
      </c>
      <c r="AE1483" s="33" t="str">
        <f aca="false">IF(AND(Y1483=1,W1483&lt;1),IF(AND(C1484=C1483,W1484=W1483+1),IF(Y1484=1,"",INDEX(DATAS,W1483+1)),INDEX(DATAS,W1483+1)),"")</f>
        <v/>
      </c>
    </row>
    <row r="1484" customFormat="false" ht="15" hidden="false" customHeight="false" outlineLevel="0" collapsed="false">
      <c r="A1484" s="33" t="n">
        <v>46309</v>
      </c>
      <c r="B1484" s="0" t="n">
        <v>4</v>
      </c>
      <c r="C1484" s="0" t="n">
        <v>5614</v>
      </c>
      <c r="D1484" s="0" t="n">
        <v>131</v>
      </c>
      <c r="E1484" s="0" t="n">
        <v>1</v>
      </c>
      <c r="F1484" s="27" t="s">
        <v>945</v>
      </c>
      <c r="G1484" s="0" t="n">
        <v>35.7</v>
      </c>
      <c r="H1484" s="0" t="n">
        <v>39</v>
      </c>
      <c r="I1484" s="27" t="s">
        <v>138</v>
      </c>
      <c r="J1484" s="0" t="n">
        <v>89</v>
      </c>
      <c r="K1484" s="0" t="n">
        <v>68</v>
      </c>
      <c r="L1484" s="0" t="n">
        <v>42</v>
      </c>
      <c r="P1484" s="0" t="n">
        <v>3.04</v>
      </c>
      <c r="Q1484" s="0" t="n">
        <v>3.14</v>
      </c>
      <c r="R1484" s="0" t="n">
        <v>3318</v>
      </c>
      <c r="S1484" s="0" t="n">
        <v>7139</v>
      </c>
      <c r="T1484" s="0" t="n">
        <v>34.05</v>
      </c>
      <c r="U1484" s="0" t="n">
        <v>862</v>
      </c>
      <c r="V1484" s="0" t="n">
        <v>2</v>
      </c>
      <c r="W1484" s="27" t="n">
        <f aca="false">MATCH(A1484,DATAS,0)</f>
        <v>1</v>
      </c>
      <c r="X1484" s="27" t="n">
        <f aca="false">IF(AND(E1484&gt;0,OR(AND(B1484&gt;=1,B1484&lt;=6),B1484=10)),1,0)</f>
        <v>1</v>
      </c>
      <c r="Y1484" s="27" t="n">
        <f aca="false">IF(AND(E1484&gt;0,B1484=10),1,0)</f>
        <v>0</v>
      </c>
      <c r="Z1484" s="0" t="str">
        <f aca="false">IF(AND(C1483=C1484,W1483=W1484-1),X1483,"")</f>
        <v/>
      </c>
      <c r="AA1484" s="0" t="str">
        <f aca="false">IF(AND(C1483=C1484,W1483=W1484-1),Y1483,"")</f>
        <v/>
      </c>
      <c r="AB1484" s="0" t="str">
        <f aca="false">IF(W1484=1,"",IF(AND(X1484=1,Z1484&lt;&gt;1),1,0))</f>
        <v/>
      </c>
      <c r="AC1484" s="0" t="str">
        <f aca="false">IF(W1484=1,"",IF(AND(Y1484=1,AA1484&lt;&gt;1),1,0))</f>
        <v/>
      </c>
      <c r="AD1484" s="33" t="str">
        <f aca="false">IF(AND(E1484&gt;0,W1484&lt;1,NOT(AND(C1485=C1484,W1485=W1484+1))),INDEX(DATAS,W1484+1),"")</f>
        <v/>
      </c>
      <c r="AE1484" s="33" t="str">
        <f aca="false">IF(AND(Y1484=1,W1484&lt;1),IF(AND(C1485=C1484,W1485=W1484+1),IF(Y1485=1,"",INDEX(DATAS,W1484+1)),INDEX(DATAS,W1484+1)),"")</f>
        <v/>
      </c>
    </row>
    <row r="1485" customFormat="false" ht="15" hidden="false" customHeight="false" outlineLevel="0" collapsed="false">
      <c r="A1485" s="33" t="n">
        <v>46309</v>
      </c>
      <c r="B1485" s="0" t="n">
        <v>4</v>
      </c>
      <c r="C1485" s="0" t="n">
        <v>5615</v>
      </c>
      <c r="D1485" s="0" t="n">
        <v>138</v>
      </c>
      <c r="E1485" s="0" t="n">
        <v>1</v>
      </c>
      <c r="F1485" s="27" t="s">
        <v>945</v>
      </c>
      <c r="G1485" s="0" t="n">
        <v>48.9</v>
      </c>
      <c r="H1485" s="0" t="n">
        <v>50</v>
      </c>
      <c r="I1485" s="27" t="s">
        <v>176</v>
      </c>
      <c r="J1485" s="0" t="n">
        <v>138</v>
      </c>
      <c r="K1485" s="0" t="n">
        <v>68</v>
      </c>
      <c r="P1485" s="0" t="n">
        <v>3.61</v>
      </c>
      <c r="Q1485" s="0" t="n">
        <v>3.42</v>
      </c>
      <c r="R1485" s="0" t="n">
        <v>4797</v>
      </c>
      <c r="S1485" s="0" t="n">
        <v>9877</v>
      </c>
      <c r="T1485" s="0" t="n">
        <v>53.6</v>
      </c>
      <c r="U1485" s="0" t="n">
        <v>862</v>
      </c>
      <c r="V1485" s="0" t="n">
        <v>2</v>
      </c>
      <c r="W1485" s="27" t="n">
        <f aca="false">MATCH(A1485,DATAS,0)</f>
        <v>1</v>
      </c>
      <c r="X1485" s="27" t="n">
        <f aca="false">IF(AND(E1485&gt;0,OR(AND(B1485&gt;=1,B1485&lt;=6),B1485=10)),1,0)</f>
        <v>1</v>
      </c>
      <c r="Y1485" s="27" t="n">
        <f aca="false">IF(AND(E1485&gt;0,B1485=10),1,0)</f>
        <v>0</v>
      </c>
      <c r="Z1485" s="0" t="str">
        <f aca="false">IF(AND(C1484=C1485,W1484=W1485-1),X1484,"")</f>
        <v/>
      </c>
      <c r="AA1485" s="0" t="str">
        <f aca="false">IF(AND(C1484=C1485,W1484=W1485-1),Y1484,"")</f>
        <v/>
      </c>
      <c r="AB1485" s="0" t="str">
        <f aca="false">IF(W1485=1,"",IF(AND(X1485=1,Z1485&lt;&gt;1),1,0))</f>
        <v/>
      </c>
      <c r="AC1485" s="0" t="str">
        <f aca="false">IF(W1485=1,"",IF(AND(Y1485=1,AA1485&lt;&gt;1),1,0))</f>
        <v/>
      </c>
      <c r="AD1485" s="33" t="str">
        <f aca="false">IF(AND(E1485&gt;0,W1485&lt;1,NOT(AND(C1486=C1485,W1486=W1485+1))),INDEX(DATAS,W1485+1),"")</f>
        <v/>
      </c>
      <c r="AE1485" s="33" t="str">
        <f aca="false">IF(AND(Y1485=1,W1485&lt;1),IF(AND(C1486=C1485,W1486=W1485+1),IF(Y1486=1,"",INDEX(DATAS,W1485+1)),INDEX(DATAS,W1485+1)),"")</f>
        <v/>
      </c>
    </row>
    <row r="1486" customFormat="false" ht="15" hidden="false" customHeight="false" outlineLevel="0" collapsed="false">
      <c r="A1486" s="33" t="n">
        <v>46309</v>
      </c>
      <c r="B1486" s="0" t="n">
        <v>4</v>
      </c>
      <c r="C1486" s="0" t="n">
        <v>5616</v>
      </c>
      <c r="D1486" s="0" t="n">
        <v>209</v>
      </c>
      <c r="E1486" s="0" t="n">
        <v>1</v>
      </c>
      <c r="F1486" s="27" t="s">
        <v>944</v>
      </c>
      <c r="G1486" s="0" t="n">
        <v>50.1</v>
      </c>
      <c r="H1486" s="0" t="n">
        <v>51</v>
      </c>
      <c r="I1486" s="27" t="s">
        <v>138</v>
      </c>
      <c r="J1486" s="0" t="n">
        <v>62</v>
      </c>
      <c r="K1486" s="0" t="n">
        <v>62</v>
      </c>
      <c r="L1486" s="0" t="n">
        <v>147</v>
      </c>
      <c r="P1486" s="0" t="n">
        <v>3.31</v>
      </c>
      <c r="Q1486" s="0" t="n">
        <v>3.37</v>
      </c>
      <c r="R1486" s="0" t="n">
        <v>3798</v>
      </c>
      <c r="S1486" s="0" t="n">
        <v>9007</v>
      </c>
      <c r="T1486" s="0" t="n">
        <v>46.8</v>
      </c>
      <c r="U1486" s="0" t="n">
        <v>863</v>
      </c>
      <c r="V1486" s="0" t="n">
        <v>1</v>
      </c>
      <c r="W1486" s="27" t="n">
        <f aca="false">MATCH(A1486,DATAS,0)</f>
        <v>1</v>
      </c>
      <c r="X1486" s="27" t="n">
        <f aca="false">IF(AND(E1486&gt;0,OR(AND(B1486&gt;=1,B1486&lt;=6),B1486=10)),1,0)</f>
        <v>1</v>
      </c>
      <c r="Y1486" s="27" t="n">
        <f aca="false">IF(AND(E1486&gt;0,B1486=10),1,0)</f>
        <v>0</v>
      </c>
      <c r="Z1486" s="0" t="str">
        <f aca="false">IF(AND(C1485=C1486,W1485=W1486-1),X1485,"")</f>
        <v/>
      </c>
      <c r="AA1486" s="0" t="str">
        <f aca="false">IF(AND(C1485=C1486,W1485=W1486-1),Y1485,"")</f>
        <v/>
      </c>
      <c r="AB1486" s="0" t="str">
        <f aca="false">IF(W1486=1,"",IF(AND(X1486=1,Z1486&lt;&gt;1),1,0))</f>
        <v/>
      </c>
      <c r="AC1486" s="0" t="str">
        <f aca="false">IF(W1486=1,"",IF(AND(Y1486=1,AA1486&lt;&gt;1),1,0))</f>
        <v/>
      </c>
      <c r="AD1486" s="33" t="str">
        <f aca="false">IF(AND(E1486&gt;0,W1486&lt;1,NOT(AND(C1487=C1486,W1487=W1486+1))),INDEX(DATAS,W1486+1),"")</f>
        <v/>
      </c>
      <c r="AE1486" s="33" t="str">
        <f aca="false">IF(AND(Y1486=1,W1486&lt;1),IF(AND(C1487=C1486,W1487=W1486+1),IF(Y1487=1,"",INDEX(DATAS,W1486+1)),INDEX(DATAS,W1486+1)),"")</f>
        <v/>
      </c>
    </row>
    <row r="1487" customFormat="false" ht="15" hidden="false" customHeight="false" outlineLevel="0" collapsed="false">
      <c r="A1487" s="33" t="n">
        <v>46309</v>
      </c>
      <c r="B1487" s="0" t="n">
        <v>4</v>
      </c>
      <c r="C1487" s="0" t="n">
        <v>5617</v>
      </c>
      <c r="D1487" s="0" t="n">
        <v>216</v>
      </c>
      <c r="E1487" s="0" t="n">
        <v>1</v>
      </c>
      <c r="F1487" s="27" t="s">
        <v>945</v>
      </c>
      <c r="G1487" s="0" t="n">
        <v>42.3</v>
      </c>
      <c r="H1487" s="0" t="n">
        <v>46</v>
      </c>
      <c r="I1487" s="27" t="s">
        <v>138</v>
      </c>
      <c r="J1487" s="0" t="n">
        <v>63</v>
      </c>
      <c r="K1487" s="0" t="n">
        <v>63</v>
      </c>
      <c r="L1487" s="0" t="n">
        <v>153</v>
      </c>
      <c r="P1487" s="0" t="n">
        <v>4.13</v>
      </c>
      <c r="Q1487" s="0" t="n">
        <v>3.45</v>
      </c>
      <c r="R1487" s="0" t="n">
        <v>4137</v>
      </c>
      <c r="S1487" s="0" t="n">
        <v>8968</v>
      </c>
      <c r="T1487" s="0" t="n">
        <v>48.15</v>
      </c>
      <c r="U1487" s="0" t="n">
        <v>862</v>
      </c>
      <c r="V1487" s="0" t="n">
        <v>1</v>
      </c>
      <c r="W1487" s="27" t="n">
        <f aca="false">MATCH(A1487,DATAS,0)</f>
        <v>1</v>
      </c>
      <c r="X1487" s="27" t="n">
        <f aca="false">IF(AND(E1487&gt;0,OR(AND(B1487&gt;=1,B1487&lt;=6),B1487=10)),1,0)</f>
        <v>1</v>
      </c>
      <c r="Y1487" s="27" t="n">
        <f aca="false">IF(AND(E1487&gt;0,B1487=10),1,0)</f>
        <v>0</v>
      </c>
      <c r="Z1487" s="0" t="str">
        <f aca="false">IF(AND(C1486=C1487,W1486=W1487-1),X1486,"")</f>
        <v/>
      </c>
      <c r="AA1487" s="0" t="str">
        <f aca="false">IF(AND(C1486=C1487,W1486=W1487-1),Y1486,"")</f>
        <v/>
      </c>
      <c r="AB1487" s="0" t="str">
        <f aca="false">IF(W1487=1,"",IF(AND(X1487=1,Z1487&lt;&gt;1),1,0))</f>
        <v/>
      </c>
      <c r="AC1487" s="0" t="str">
        <f aca="false">IF(W1487=1,"",IF(AND(Y1487=1,AA1487&lt;&gt;1),1,0))</f>
        <v/>
      </c>
      <c r="AD1487" s="33" t="str">
        <f aca="false">IF(AND(E1487&gt;0,W1487&lt;1,NOT(AND(C1488=C1487,W1488=W1487+1))),INDEX(DATAS,W1487+1),"")</f>
        <v/>
      </c>
      <c r="AE1487" s="33" t="str">
        <f aca="false">IF(AND(Y1487=1,W1487&lt;1),IF(AND(C1488=C1487,W1488=W1487+1),IF(Y1488=1,"",INDEX(DATAS,W1487+1)),INDEX(DATAS,W1487+1)),"")</f>
        <v/>
      </c>
    </row>
    <row r="1488" customFormat="false" ht="15" hidden="false" customHeight="false" outlineLevel="0" collapsed="false">
      <c r="A1488" s="33" t="n">
        <v>46309</v>
      </c>
      <c r="B1488" s="0" t="n">
        <v>4</v>
      </c>
      <c r="C1488" s="0" t="n">
        <v>5618</v>
      </c>
      <c r="D1488" s="0" t="n">
        <v>155</v>
      </c>
      <c r="E1488" s="0" t="n">
        <v>1</v>
      </c>
      <c r="F1488" s="27" t="s">
        <v>945</v>
      </c>
      <c r="G1488" s="0" t="n">
        <v>59.3</v>
      </c>
      <c r="H1488" s="0" t="n">
        <v>57</v>
      </c>
      <c r="I1488" s="27" t="s">
        <v>168</v>
      </c>
      <c r="J1488" s="0" t="n">
        <v>155</v>
      </c>
      <c r="K1488" s="0" t="n">
        <v>64</v>
      </c>
      <c r="P1488" s="0" t="n">
        <v>3.39</v>
      </c>
      <c r="Q1488" s="0" t="n">
        <v>2.96</v>
      </c>
      <c r="R1488" s="0" t="n">
        <v>5356</v>
      </c>
      <c r="S1488" s="0" t="n">
        <v>11241</v>
      </c>
      <c r="T1488" s="0" t="n">
        <v>59.45</v>
      </c>
      <c r="U1488" s="0" t="n">
        <v>862</v>
      </c>
      <c r="V1488" s="0" t="n">
        <v>4</v>
      </c>
      <c r="W1488" s="27" t="n">
        <f aca="false">MATCH(A1488,DATAS,0)</f>
        <v>1</v>
      </c>
      <c r="X1488" s="27" t="n">
        <f aca="false">IF(AND(E1488&gt;0,OR(AND(B1488&gt;=1,B1488&lt;=6),B1488=10)),1,0)</f>
        <v>1</v>
      </c>
      <c r="Y1488" s="27" t="n">
        <f aca="false">IF(AND(E1488&gt;0,B1488=10),1,0)</f>
        <v>0</v>
      </c>
      <c r="Z1488" s="0" t="str">
        <f aca="false">IF(AND(C1487=C1488,W1487=W1488-1),X1487,"")</f>
        <v/>
      </c>
      <c r="AA1488" s="0" t="str">
        <f aca="false">IF(AND(C1487=C1488,W1487=W1488-1),Y1487,"")</f>
        <v/>
      </c>
      <c r="AB1488" s="0" t="str">
        <f aca="false">IF(W1488=1,"",IF(AND(X1488=1,Z1488&lt;&gt;1),1,0))</f>
        <v/>
      </c>
      <c r="AC1488" s="0" t="str">
        <f aca="false">IF(W1488=1,"",IF(AND(Y1488=1,AA1488&lt;&gt;1),1,0))</f>
        <v/>
      </c>
      <c r="AD1488" s="33" t="str">
        <f aca="false">IF(AND(E1488&gt;0,W1488&lt;1,NOT(AND(C1489=C1488,W1489=W1488+1))),INDEX(DATAS,W1488+1),"")</f>
        <v/>
      </c>
      <c r="AE1488" s="33" t="str">
        <f aca="false">IF(AND(Y1488=1,W1488&lt;1),IF(AND(C1489=C1488,W1489=W1488+1),IF(Y1489=1,"",INDEX(DATAS,W1488+1)),INDEX(DATAS,W1488+1)),"")</f>
        <v/>
      </c>
    </row>
    <row r="1489" customFormat="false" ht="15" hidden="false" customHeight="false" outlineLevel="0" collapsed="false">
      <c r="A1489" s="33" t="n">
        <v>46309</v>
      </c>
      <c r="B1489" s="0" t="n">
        <v>4</v>
      </c>
      <c r="C1489" s="0" t="n">
        <v>5619</v>
      </c>
      <c r="D1489" s="0" t="n">
        <v>204</v>
      </c>
      <c r="E1489" s="0" t="n">
        <v>1</v>
      </c>
      <c r="F1489" s="27" t="s">
        <v>945</v>
      </c>
      <c r="G1489" s="0" t="n">
        <v>46.6</v>
      </c>
      <c r="H1489" s="0" t="n">
        <v>47</v>
      </c>
      <c r="I1489" s="27" t="s">
        <v>138</v>
      </c>
      <c r="J1489" s="0" t="n">
        <v>64</v>
      </c>
      <c r="K1489" s="0" t="n">
        <v>64</v>
      </c>
      <c r="L1489" s="0" t="n">
        <v>140</v>
      </c>
      <c r="P1489" s="0" t="n">
        <v>3.28</v>
      </c>
      <c r="Q1489" s="0" t="n">
        <v>3.67</v>
      </c>
      <c r="R1489" s="0" t="n">
        <v>3617</v>
      </c>
      <c r="S1489" s="0" t="n">
        <v>8524</v>
      </c>
      <c r="T1489" s="0" t="n">
        <v>43</v>
      </c>
      <c r="U1489" s="0" t="n">
        <v>862</v>
      </c>
      <c r="V1489" s="0" t="n">
        <v>1</v>
      </c>
      <c r="W1489" s="27" t="n">
        <f aca="false">MATCH(A1489,DATAS,0)</f>
        <v>1</v>
      </c>
      <c r="X1489" s="27" t="n">
        <f aca="false">IF(AND(E1489&gt;0,OR(AND(B1489&gt;=1,B1489&lt;=6),B1489=10)),1,0)</f>
        <v>1</v>
      </c>
      <c r="Y1489" s="27" t="n">
        <f aca="false">IF(AND(E1489&gt;0,B1489=10),1,0)</f>
        <v>0</v>
      </c>
      <c r="Z1489" s="0" t="str">
        <f aca="false">IF(AND(C1488=C1489,W1488=W1489-1),X1488,"")</f>
        <v/>
      </c>
      <c r="AA1489" s="0" t="str">
        <f aca="false">IF(AND(C1488=C1489,W1488=W1489-1),Y1488,"")</f>
        <v/>
      </c>
      <c r="AB1489" s="0" t="str">
        <f aca="false">IF(W1489=1,"",IF(AND(X1489=1,Z1489&lt;&gt;1),1,0))</f>
        <v/>
      </c>
      <c r="AC1489" s="0" t="str">
        <f aca="false">IF(W1489=1,"",IF(AND(Y1489=1,AA1489&lt;&gt;1),1,0))</f>
        <v/>
      </c>
      <c r="AD1489" s="33" t="str">
        <f aca="false">IF(AND(E1489&gt;0,W1489&lt;1,NOT(AND(C1490=C1489,W1490=W1489+1))),INDEX(DATAS,W1489+1),"")</f>
        <v/>
      </c>
      <c r="AE1489" s="33" t="str">
        <f aca="false">IF(AND(Y1489=1,W1489&lt;1),IF(AND(C1490=C1489,W1490=W1489+1),IF(Y1490=1,"",INDEX(DATAS,W1489+1)),INDEX(DATAS,W1489+1)),"")</f>
        <v/>
      </c>
    </row>
    <row r="1490" customFormat="false" ht="15" hidden="false" customHeight="false" outlineLevel="0" collapsed="false">
      <c r="A1490" s="33" t="n">
        <v>46309</v>
      </c>
      <c r="B1490" s="0" t="n">
        <v>4</v>
      </c>
      <c r="C1490" s="0" t="n">
        <v>5620</v>
      </c>
      <c r="D1490" s="0" t="n">
        <v>217</v>
      </c>
      <c r="E1490" s="0" t="n">
        <v>1</v>
      </c>
      <c r="F1490" s="27" t="s">
        <v>945</v>
      </c>
      <c r="G1490" s="0" t="n">
        <v>25.5</v>
      </c>
      <c r="H1490" s="0" t="n">
        <v>37</v>
      </c>
      <c r="I1490" s="27" t="s">
        <v>176</v>
      </c>
      <c r="J1490" s="0" t="n">
        <v>217</v>
      </c>
      <c r="K1490" s="0" t="n">
        <v>63</v>
      </c>
      <c r="P1490" s="0" t="n">
        <v>3.96</v>
      </c>
      <c r="Q1490" s="0" t="n">
        <v>3.64</v>
      </c>
      <c r="R1490" s="0" t="n">
        <v>3666</v>
      </c>
      <c r="S1490" s="0" t="n">
        <v>7693</v>
      </c>
      <c r="T1490" s="0" t="n">
        <v>37.75</v>
      </c>
      <c r="U1490" s="0" t="n">
        <v>862</v>
      </c>
      <c r="V1490" s="0" t="n">
        <v>5</v>
      </c>
      <c r="W1490" s="27" t="n">
        <f aca="false">MATCH(A1490,DATAS,0)</f>
        <v>1</v>
      </c>
      <c r="X1490" s="27" t="n">
        <f aca="false">IF(AND(E1490&gt;0,OR(AND(B1490&gt;=1,B1490&lt;=6),B1490=10)),1,0)</f>
        <v>1</v>
      </c>
      <c r="Y1490" s="27" t="n">
        <f aca="false">IF(AND(E1490&gt;0,B1490=10),1,0)</f>
        <v>0</v>
      </c>
      <c r="Z1490" s="0" t="str">
        <f aca="false">IF(AND(C1489=C1490,W1489=W1490-1),X1489,"")</f>
        <v/>
      </c>
      <c r="AA1490" s="0" t="str">
        <f aca="false">IF(AND(C1489=C1490,W1489=W1490-1),Y1489,"")</f>
        <v/>
      </c>
      <c r="AB1490" s="0" t="str">
        <f aca="false">IF(W1490=1,"",IF(AND(X1490=1,Z1490&lt;&gt;1),1,0))</f>
        <v/>
      </c>
      <c r="AC1490" s="0" t="str">
        <f aca="false">IF(W1490=1,"",IF(AND(Y1490=1,AA1490&lt;&gt;1),1,0))</f>
        <v/>
      </c>
      <c r="AD1490" s="33" t="str">
        <f aca="false">IF(AND(E1490&gt;0,W1490&lt;1,NOT(AND(C1491=C1490,W1491=W1490+1))),INDEX(DATAS,W1490+1),"")</f>
        <v/>
      </c>
      <c r="AE1490" s="33" t="str">
        <f aca="false">IF(AND(Y1490=1,W1490&lt;1),IF(AND(C1491=C1490,W1491=W1490+1),IF(Y1491=1,"",INDEX(DATAS,W1490+1)),INDEX(DATAS,W1490+1)),"")</f>
        <v/>
      </c>
    </row>
    <row r="1491" customFormat="false" ht="15" hidden="false" customHeight="false" outlineLevel="0" collapsed="false">
      <c r="A1491" s="33" t="n">
        <v>46309</v>
      </c>
      <c r="B1491" s="0" t="n">
        <v>4</v>
      </c>
      <c r="C1491" s="0" t="n">
        <v>5621</v>
      </c>
      <c r="D1491" s="0" t="n">
        <v>202</v>
      </c>
      <c r="E1491" s="0" t="n">
        <v>1</v>
      </c>
      <c r="F1491" s="27" t="s">
        <v>945</v>
      </c>
      <c r="G1491" s="0" t="n">
        <v>51</v>
      </c>
      <c r="H1491" s="0" t="n">
        <v>50</v>
      </c>
      <c r="I1491" s="27" t="s">
        <v>168</v>
      </c>
      <c r="J1491" s="0" t="n">
        <v>202</v>
      </c>
      <c r="K1491" s="0" t="n">
        <v>62</v>
      </c>
      <c r="P1491" s="0" t="n">
        <v>3.56</v>
      </c>
      <c r="Q1491" s="0" t="n">
        <v>3.18</v>
      </c>
      <c r="R1491" s="0" t="n">
        <v>3857</v>
      </c>
      <c r="S1491" s="0" t="n">
        <v>8807</v>
      </c>
      <c r="T1491" s="0" t="n">
        <v>42.55</v>
      </c>
      <c r="U1491" s="0" t="n">
        <v>862</v>
      </c>
      <c r="V1491" s="0" t="n">
        <v>5</v>
      </c>
      <c r="W1491" s="27" t="n">
        <f aca="false">MATCH(A1491,DATAS,0)</f>
        <v>1</v>
      </c>
      <c r="X1491" s="27" t="n">
        <f aca="false">IF(AND(E1491&gt;0,OR(AND(B1491&gt;=1,B1491&lt;=6),B1491=10)),1,0)</f>
        <v>1</v>
      </c>
      <c r="Y1491" s="27" t="n">
        <f aca="false">IF(AND(E1491&gt;0,B1491=10),1,0)</f>
        <v>0</v>
      </c>
      <c r="Z1491" s="0" t="str">
        <f aca="false">IF(AND(C1490=C1491,W1490=W1491-1),X1490,"")</f>
        <v/>
      </c>
      <c r="AA1491" s="0" t="str">
        <f aca="false">IF(AND(C1490=C1491,W1490=W1491-1),Y1490,"")</f>
        <v/>
      </c>
      <c r="AB1491" s="0" t="str">
        <f aca="false">IF(W1491=1,"",IF(AND(X1491=1,Z1491&lt;&gt;1),1,0))</f>
        <v/>
      </c>
      <c r="AC1491" s="0" t="str">
        <f aca="false">IF(W1491=1,"",IF(AND(Y1491=1,AA1491&lt;&gt;1),1,0))</f>
        <v/>
      </c>
      <c r="AD1491" s="33" t="str">
        <f aca="false">IF(AND(E1491&gt;0,W1491&lt;1,NOT(AND(C1492=C1491,W1492=W1491+1))),INDEX(DATAS,W1491+1),"")</f>
        <v/>
      </c>
      <c r="AE1491" s="33" t="str">
        <f aca="false">IF(AND(Y1491=1,W1491&lt;1),IF(AND(C1492=C1491,W1492=W1491+1),IF(Y1492=1,"",INDEX(DATAS,W1491+1)),INDEX(DATAS,W1491+1)),"")</f>
        <v/>
      </c>
    </row>
    <row r="1492" customFormat="false" ht="15" hidden="false" customHeight="false" outlineLevel="0" collapsed="false">
      <c r="A1492" s="33" t="n">
        <v>46309</v>
      </c>
      <c r="B1492" s="0" t="n">
        <v>4</v>
      </c>
      <c r="C1492" s="0" t="n">
        <v>5622</v>
      </c>
      <c r="D1492" s="0" t="n">
        <v>215</v>
      </c>
      <c r="E1492" s="0" t="n">
        <v>1</v>
      </c>
      <c r="F1492" s="27" t="s">
        <v>946</v>
      </c>
      <c r="G1492" s="0" t="n">
        <v>52.2</v>
      </c>
      <c r="H1492" s="0" t="n">
        <v>54</v>
      </c>
      <c r="I1492" s="27" t="s">
        <v>138</v>
      </c>
      <c r="J1492" s="0" t="n">
        <v>89</v>
      </c>
      <c r="K1492" s="0" t="n">
        <v>68</v>
      </c>
      <c r="L1492" s="0" t="n">
        <v>126</v>
      </c>
      <c r="P1492" s="0" t="n">
        <v>4.01</v>
      </c>
      <c r="Q1492" s="0" t="n">
        <v>3.27</v>
      </c>
      <c r="R1492" s="0" t="n">
        <v>4701</v>
      </c>
      <c r="S1492" s="0" t="n">
        <v>9926</v>
      </c>
      <c r="T1492" s="0" t="n">
        <v>54.6</v>
      </c>
      <c r="U1492" s="0" t="n">
        <v>861</v>
      </c>
      <c r="V1492" s="0" t="n">
        <v>2</v>
      </c>
      <c r="W1492" s="27" t="n">
        <f aca="false">MATCH(A1492,DATAS,0)</f>
        <v>1</v>
      </c>
      <c r="X1492" s="27" t="n">
        <f aca="false">IF(AND(E1492&gt;0,OR(AND(B1492&gt;=1,B1492&lt;=6),B1492=10)),1,0)</f>
        <v>1</v>
      </c>
      <c r="Y1492" s="27" t="n">
        <f aca="false">IF(AND(E1492&gt;0,B1492=10),1,0)</f>
        <v>0</v>
      </c>
      <c r="Z1492" s="0" t="str">
        <f aca="false">IF(AND(C1491=C1492,W1491=W1492-1),X1491,"")</f>
        <v/>
      </c>
      <c r="AA1492" s="0" t="str">
        <f aca="false">IF(AND(C1491=C1492,W1491=W1492-1),Y1491,"")</f>
        <v/>
      </c>
      <c r="AB1492" s="0" t="str">
        <f aca="false">IF(W1492=1,"",IF(AND(X1492=1,Z1492&lt;&gt;1),1,0))</f>
        <v/>
      </c>
      <c r="AC1492" s="0" t="str">
        <f aca="false">IF(W1492=1,"",IF(AND(Y1492=1,AA1492&lt;&gt;1),1,0))</f>
        <v/>
      </c>
      <c r="AD1492" s="33" t="str">
        <f aca="false">IF(AND(E1492&gt;0,W1492&lt;1,NOT(AND(C1493=C1492,W1493=W1492+1))),INDEX(DATAS,W1492+1),"")</f>
        <v/>
      </c>
      <c r="AE1492" s="33" t="str">
        <f aca="false">IF(AND(Y1492=1,W1492&lt;1),IF(AND(C1493=C1492,W1493=W1492+1),IF(Y1493=1,"",INDEX(DATAS,W1492+1)),INDEX(DATAS,W1492+1)),"")</f>
        <v/>
      </c>
    </row>
    <row r="1493" customFormat="false" ht="15" hidden="false" customHeight="false" outlineLevel="0" collapsed="false">
      <c r="A1493" s="33" t="n">
        <v>46309</v>
      </c>
      <c r="B1493" s="0" t="n">
        <v>4</v>
      </c>
      <c r="C1493" s="0" t="n">
        <v>5623</v>
      </c>
      <c r="D1493" s="0" t="n">
        <v>224</v>
      </c>
      <c r="E1493" s="0" t="n">
        <v>1</v>
      </c>
      <c r="F1493" s="27" t="s">
        <v>946</v>
      </c>
      <c r="G1493" s="0" t="n">
        <v>45.1</v>
      </c>
      <c r="H1493" s="0" t="n">
        <v>44</v>
      </c>
      <c r="I1493" s="27" t="s">
        <v>138</v>
      </c>
      <c r="J1493" s="0" t="n">
        <v>63</v>
      </c>
      <c r="K1493" s="0" t="n">
        <v>63</v>
      </c>
      <c r="L1493" s="0" t="n">
        <v>161</v>
      </c>
      <c r="P1493" s="0" t="n">
        <v>2.52</v>
      </c>
      <c r="Q1493" s="0" t="n">
        <v>3.51</v>
      </c>
      <c r="R1493" s="0" t="n">
        <v>4409</v>
      </c>
      <c r="S1493" s="0" t="n">
        <v>9254</v>
      </c>
      <c r="T1493" s="0" t="n">
        <v>49.6</v>
      </c>
      <c r="U1493" s="0" t="n">
        <v>861</v>
      </c>
      <c r="V1493" s="0" t="n">
        <v>1</v>
      </c>
      <c r="W1493" s="27" t="n">
        <f aca="false">MATCH(A1493,DATAS,0)</f>
        <v>1</v>
      </c>
      <c r="X1493" s="27" t="n">
        <f aca="false">IF(AND(E1493&gt;0,OR(AND(B1493&gt;=1,B1493&lt;=6),B1493=10)),1,0)</f>
        <v>1</v>
      </c>
      <c r="Y1493" s="27" t="n">
        <f aca="false">IF(AND(E1493&gt;0,B1493=10),1,0)</f>
        <v>0</v>
      </c>
      <c r="Z1493" s="0" t="str">
        <f aca="false">IF(AND(C1492=C1493,W1492=W1493-1),X1492,"")</f>
        <v/>
      </c>
      <c r="AA1493" s="0" t="str">
        <f aca="false">IF(AND(C1492=C1493,W1492=W1493-1),Y1492,"")</f>
        <v/>
      </c>
      <c r="AB1493" s="0" t="str">
        <f aca="false">IF(W1493=1,"",IF(AND(X1493=1,Z1493&lt;&gt;1),1,0))</f>
        <v/>
      </c>
      <c r="AC1493" s="0" t="str">
        <f aca="false">IF(W1493=1,"",IF(AND(Y1493=1,AA1493&lt;&gt;1),1,0))</f>
        <v/>
      </c>
      <c r="AD1493" s="33" t="str">
        <f aca="false">IF(AND(E1493&gt;0,W1493&lt;1,NOT(AND(C1494=C1493,W1494=W1493+1))),INDEX(DATAS,W1493+1),"")</f>
        <v/>
      </c>
      <c r="AE1493" s="33" t="str">
        <f aca="false">IF(AND(Y1493=1,W1493&lt;1),IF(AND(C1494=C1493,W1494=W1493+1),IF(Y1494=1,"",INDEX(DATAS,W1493+1)),INDEX(DATAS,W1493+1)),"")</f>
        <v/>
      </c>
    </row>
    <row r="1494" customFormat="false" ht="15" hidden="false" customHeight="false" outlineLevel="0" collapsed="false">
      <c r="A1494" s="33" t="n">
        <v>46309</v>
      </c>
      <c r="B1494" s="0" t="n">
        <v>4</v>
      </c>
      <c r="C1494" s="0" t="n">
        <v>5624</v>
      </c>
      <c r="D1494" s="0" t="n">
        <v>218</v>
      </c>
      <c r="E1494" s="0" t="n">
        <v>1</v>
      </c>
      <c r="F1494" s="27" t="s">
        <v>946</v>
      </c>
      <c r="G1494" s="0" t="n">
        <v>35</v>
      </c>
      <c r="H1494" s="0" t="n">
        <v>31</v>
      </c>
      <c r="I1494" s="27" t="s">
        <v>138</v>
      </c>
      <c r="J1494" s="0" t="n">
        <v>64</v>
      </c>
      <c r="K1494" s="0" t="n">
        <v>64</v>
      </c>
      <c r="L1494" s="0" t="n">
        <v>154</v>
      </c>
      <c r="P1494" s="0" t="n">
        <v>4.52</v>
      </c>
      <c r="Q1494" s="0" t="n">
        <v>3.54</v>
      </c>
      <c r="R1494" s="0" t="n">
        <v>4010</v>
      </c>
      <c r="S1494" s="0" t="n">
        <v>8561</v>
      </c>
      <c r="T1494" s="0" t="n">
        <v>44</v>
      </c>
      <c r="U1494" s="0" t="n">
        <v>861</v>
      </c>
      <c r="V1494" s="0" t="n">
        <v>1</v>
      </c>
      <c r="W1494" s="27" t="n">
        <f aca="false">MATCH(A1494,DATAS,0)</f>
        <v>1</v>
      </c>
      <c r="X1494" s="27" t="n">
        <f aca="false">IF(AND(E1494&gt;0,OR(AND(B1494&gt;=1,B1494&lt;=6),B1494=10)),1,0)</f>
        <v>1</v>
      </c>
      <c r="Y1494" s="27" t="n">
        <f aca="false">IF(AND(E1494&gt;0,B1494=10),1,0)</f>
        <v>0</v>
      </c>
      <c r="Z1494" s="0" t="str">
        <f aca="false">IF(AND(C1493=C1494,W1493=W1494-1),X1493,"")</f>
        <v/>
      </c>
      <c r="AA1494" s="0" t="str">
        <f aca="false">IF(AND(C1493=C1494,W1493=W1494-1),Y1493,"")</f>
        <v/>
      </c>
      <c r="AB1494" s="0" t="str">
        <f aca="false">IF(W1494=1,"",IF(AND(X1494=1,Z1494&lt;&gt;1),1,0))</f>
        <v/>
      </c>
      <c r="AC1494" s="0" t="str">
        <f aca="false">IF(W1494=1,"",IF(AND(Y1494=1,AA1494&lt;&gt;1),1,0))</f>
        <v/>
      </c>
      <c r="AD1494" s="33" t="str">
        <f aca="false">IF(AND(E1494&gt;0,W1494&lt;1,NOT(AND(C1495=C1494,W1495=W1494+1))),INDEX(DATAS,W1494+1),"")</f>
        <v/>
      </c>
      <c r="AE1494" s="33" t="str">
        <f aca="false">IF(AND(Y1494=1,W1494&lt;1),IF(AND(C1495=C1494,W1495=W1494+1),IF(Y1495=1,"",INDEX(DATAS,W1494+1)),INDEX(DATAS,W1494+1)),"")</f>
        <v/>
      </c>
    </row>
    <row r="1495" customFormat="false" ht="15" hidden="false" customHeight="false" outlineLevel="0" collapsed="false">
      <c r="A1495" s="33" t="n">
        <v>46309</v>
      </c>
      <c r="B1495" s="0" t="n">
        <v>4</v>
      </c>
      <c r="C1495" s="0" t="n">
        <v>5625</v>
      </c>
      <c r="D1495" s="0" t="n">
        <v>174</v>
      </c>
      <c r="E1495" s="0" t="n">
        <v>1</v>
      </c>
      <c r="F1495" s="27" t="s">
        <v>947</v>
      </c>
      <c r="G1495" s="0" t="n">
        <v>41.8</v>
      </c>
      <c r="H1495" s="0" t="n">
        <v>43</v>
      </c>
      <c r="I1495" s="27" t="s">
        <v>176</v>
      </c>
      <c r="J1495" s="0" t="n">
        <v>174</v>
      </c>
      <c r="K1495" s="0" t="n">
        <v>69</v>
      </c>
      <c r="P1495" s="0" t="n">
        <v>3.98</v>
      </c>
      <c r="Q1495" s="0" t="n">
        <v>3.5</v>
      </c>
      <c r="R1495" s="0" t="n">
        <v>4176</v>
      </c>
      <c r="S1495" s="0" t="n">
        <v>8761</v>
      </c>
      <c r="T1495" s="0" t="n">
        <v>44.65</v>
      </c>
      <c r="U1495" s="0" t="n">
        <v>860</v>
      </c>
      <c r="V1495" s="0" t="n">
        <v>3</v>
      </c>
      <c r="W1495" s="27" t="n">
        <f aca="false">MATCH(A1495,DATAS,0)</f>
        <v>1</v>
      </c>
      <c r="X1495" s="27" t="n">
        <f aca="false">IF(AND(E1495&gt;0,OR(AND(B1495&gt;=1,B1495&lt;=6),B1495=10)),1,0)</f>
        <v>1</v>
      </c>
      <c r="Y1495" s="27" t="n">
        <f aca="false">IF(AND(E1495&gt;0,B1495=10),1,0)</f>
        <v>0</v>
      </c>
      <c r="Z1495" s="0" t="str">
        <f aca="false">IF(AND(C1494=C1495,W1494=W1495-1),X1494,"")</f>
        <v/>
      </c>
      <c r="AA1495" s="0" t="str">
        <f aca="false">IF(AND(C1494=C1495,W1494=W1495-1),Y1494,"")</f>
        <v/>
      </c>
      <c r="AB1495" s="0" t="str">
        <f aca="false">IF(W1495=1,"",IF(AND(X1495=1,Z1495&lt;&gt;1),1,0))</f>
        <v/>
      </c>
      <c r="AC1495" s="0" t="str">
        <f aca="false">IF(W1495=1,"",IF(AND(Y1495=1,AA1495&lt;&gt;1),1,0))</f>
        <v/>
      </c>
      <c r="AD1495" s="33" t="str">
        <f aca="false">IF(AND(E1495&gt;0,W1495&lt;1,NOT(AND(C1496=C1495,W1496=W1495+1))),INDEX(DATAS,W1495+1),"")</f>
        <v/>
      </c>
      <c r="AE1495" s="33" t="str">
        <f aca="false">IF(AND(Y1495=1,W1495&lt;1),IF(AND(C1496=C1495,W1496=W1495+1),IF(Y1496=1,"",INDEX(DATAS,W1495+1)),INDEX(DATAS,W1495+1)),"")</f>
        <v/>
      </c>
    </row>
    <row r="1496" customFormat="false" ht="15" hidden="false" customHeight="false" outlineLevel="0" collapsed="false">
      <c r="A1496" s="33" t="n">
        <v>46309</v>
      </c>
      <c r="B1496" s="0" t="n">
        <v>4</v>
      </c>
      <c r="C1496" s="0" t="n">
        <v>5626</v>
      </c>
      <c r="D1496" s="0" t="n">
        <v>155</v>
      </c>
      <c r="E1496" s="0" t="n">
        <v>1</v>
      </c>
      <c r="F1496" s="27" t="s">
        <v>947</v>
      </c>
      <c r="G1496" s="0" t="n">
        <v>53.7</v>
      </c>
      <c r="H1496" s="0" t="n">
        <v>54</v>
      </c>
      <c r="I1496" s="27" t="s">
        <v>138</v>
      </c>
      <c r="J1496" s="0" t="n">
        <v>113</v>
      </c>
      <c r="K1496" s="0" t="n">
        <v>71</v>
      </c>
      <c r="L1496" s="0" t="n">
        <v>42</v>
      </c>
      <c r="P1496" s="0" t="n">
        <v>3.28</v>
      </c>
      <c r="Q1496" s="0" t="n">
        <v>3.32</v>
      </c>
      <c r="R1496" s="0" t="n">
        <v>4346</v>
      </c>
      <c r="S1496" s="0" t="n">
        <v>9641</v>
      </c>
      <c r="T1496" s="0" t="n">
        <v>45.7</v>
      </c>
      <c r="U1496" s="0" t="n">
        <v>860</v>
      </c>
      <c r="V1496" s="0" t="n">
        <v>2</v>
      </c>
      <c r="W1496" s="27" t="n">
        <f aca="false">MATCH(A1496,DATAS,0)</f>
        <v>1</v>
      </c>
      <c r="X1496" s="27" t="n">
        <f aca="false">IF(AND(E1496&gt;0,OR(AND(B1496&gt;=1,B1496&lt;=6),B1496=10)),1,0)</f>
        <v>1</v>
      </c>
      <c r="Y1496" s="27" t="n">
        <f aca="false">IF(AND(E1496&gt;0,B1496=10),1,0)</f>
        <v>0</v>
      </c>
      <c r="Z1496" s="0" t="str">
        <f aca="false">IF(AND(C1495=C1496,W1495=W1496-1),X1495,"")</f>
        <v/>
      </c>
      <c r="AA1496" s="0" t="str">
        <f aca="false">IF(AND(C1495=C1496,W1495=W1496-1),Y1495,"")</f>
        <v/>
      </c>
      <c r="AB1496" s="0" t="str">
        <f aca="false">IF(W1496=1,"",IF(AND(X1496=1,Z1496&lt;&gt;1),1,0))</f>
        <v/>
      </c>
      <c r="AC1496" s="0" t="str">
        <f aca="false">IF(W1496=1,"",IF(AND(Y1496=1,AA1496&lt;&gt;1),1,0))</f>
        <v/>
      </c>
      <c r="AD1496" s="33" t="str">
        <f aca="false">IF(AND(E1496&gt;0,W1496&lt;1,NOT(AND(C1497=C1496,W1497=W1496+1))),INDEX(DATAS,W1496+1),"")</f>
        <v/>
      </c>
      <c r="AE1496" s="33" t="str">
        <f aca="false">IF(AND(Y1496=1,W1496&lt;1),IF(AND(C1497=C1496,W1497=W1496+1),IF(Y1497=1,"",INDEX(DATAS,W1496+1)),INDEX(DATAS,W1496+1)),"")</f>
        <v/>
      </c>
    </row>
    <row r="1497" customFormat="false" ht="15" hidden="false" customHeight="false" outlineLevel="0" collapsed="false">
      <c r="A1497" s="33" t="n">
        <v>46309</v>
      </c>
      <c r="B1497" s="0" t="n">
        <v>4</v>
      </c>
      <c r="C1497" s="0" t="n">
        <v>5628</v>
      </c>
      <c r="D1497" s="0" t="n">
        <v>216</v>
      </c>
      <c r="E1497" s="0" t="n">
        <v>1</v>
      </c>
      <c r="F1497" s="27" t="s">
        <v>947</v>
      </c>
      <c r="G1497" s="0" t="n">
        <v>44.9</v>
      </c>
      <c r="H1497" s="0" t="n">
        <v>45</v>
      </c>
      <c r="I1497" s="27" t="s">
        <v>138</v>
      </c>
      <c r="J1497" s="0" t="n">
        <v>62</v>
      </c>
      <c r="K1497" s="0" t="n">
        <v>62</v>
      </c>
      <c r="L1497" s="0" t="n">
        <v>154</v>
      </c>
      <c r="P1497" s="0" t="n">
        <v>3.7</v>
      </c>
      <c r="Q1497" s="0" t="n">
        <v>3.54</v>
      </c>
      <c r="R1497" s="0" t="n">
        <v>4092</v>
      </c>
      <c r="S1497" s="0" t="n">
        <v>9072</v>
      </c>
      <c r="T1497" s="0" t="n">
        <v>48.95</v>
      </c>
      <c r="U1497" s="0" t="n">
        <v>860</v>
      </c>
      <c r="V1497" s="0" t="n">
        <v>1</v>
      </c>
      <c r="W1497" s="27" t="n">
        <f aca="false">MATCH(A1497,DATAS,0)</f>
        <v>1</v>
      </c>
      <c r="X1497" s="27" t="n">
        <f aca="false">IF(AND(E1497&gt;0,OR(AND(B1497&gt;=1,B1497&lt;=6),B1497=10)),1,0)</f>
        <v>1</v>
      </c>
      <c r="Y1497" s="27" t="n">
        <f aca="false">IF(AND(E1497&gt;0,B1497=10),1,0)</f>
        <v>0</v>
      </c>
      <c r="Z1497" s="0" t="str">
        <f aca="false">IF(AND(C1496=C1497,W1496=W1497-1),X1496,"")</f>
        <v/>
      </c>
      <c r="AA1497" s="0" t="str">
        <f aca="false">IF(AND(C1496=C1497,W1496=W1497-1),Y1496,"")</f>
        <v/>
      </c>
      <c r="AB1497" s="0" t="str">
        <f aca="false">IF(W1497=1,"",IF(AND(X1497=1,Z1497&lt;&gt;1),1,0))</f>
        <v/>
      </c>
      <c r="AC1497" s="0" t="str">
        <f aca="false">IF(W1497=1,"",IF(AND(Y1497=1,AA1497&lt;&gt;1),1,0))</f>
        <v/>
      </c>
      <c r="AD1497" s="33" t="str">
        <f aca="false">IF(AND(E1497&gt;0,W1497&lt;1,NOT(AND(C1498=C1497,W1498=W1497+1))),INDEX(DATAS,W1497+1),"")</f>
        <v/>
      </c>
      <c r="AE1497" s="33" t="str">
        <f aca="false">IF(AND(Y1497=1,W1497&lt;1),IF(AND(C1498=C1497,W1498=W1497+1),IF(Y1498=1,"",INDEX(DATAS,W1497+1)),INDEX(DATAS,W1497+1)),"")</f>
        <v/>
      </c>
    </row>
    <row r="1498" customFormat="false" ht="15" hidden="false" customHeight="false" outlineLevel="0" collapsed="false">
      <c r="A1498" s="33" t="n">
        <v>46309</v>
      </c>
      <c r="B1498" s="0" t="n">
        <v>4</v>
      </c>
      <c r="C1498" s="0" t="n">
        <v>5629</v>
      </c>
      <c r="D1498" s="0" t="n">
        <v>149</v>
      </c>
      <c r="E1498" s="0" t="n">
        <v>1</v>
      </c>
      <c r="F1498" s="27" t="s">
        <v>947</v>
      </c>
      <c r="G1498" s="0" t="n">
        <v>45.5</v>
      </c>
      <c r="H1498" s="0" t="n">
        <v>46</v>
      </c>
      <c r="I1498" s="27" t="s">
        <v>138</v>
      </c>
      <c r="J1498" s="0" t="n">
        <v>100</v>
      </c>
      <c r="K1498" s="0" t="n">
        <v>65</v>
      </c>
      <c r="L1498" s="0" t="n">
        <v>49</v>
      </c>
      <c r="P1498" s="0" t="n">
        <v>3.52</v>
      </c>
      <c r="Q1498" s="0" t="n">
        <v>3.29</v>
      </c>
      <c r="R1498" s="0" t="n">
        <v>3970</v>
      </c>
      <c r="S1498" s="0" t="n">
        <v>8441</v>
      </c>
      <c r="T1498" s="0" t="n">
        <v>42.35</v>
      </c>
      <c r="U1498" s="0" t="n">
        <v>860</v>
      </c>
      <c r="V1498" s="0" t="n">
        <v>2</v>
      </c>
      <c r="W1498" s="27" t="n">
        <f aca="false">MATCH(A1498,DATAS,0)</f>
        <v>1</v>
      </c>
      <c r="X1498" s="27" t="n">
        <f aca="false">IF(AND(E1498&gt;0,OR(AND(B1498&gt;=1,B1498&lt;=6),B1498=10)),1,0)</f>
        <v>1</v>
      </c>
      <c r="Y1498" s="27" t="n">
        <f aca="false">IF(AND(E1498&gt;0,B1498=10),1,0)</f>
        <v>0</v>
      </c>
      <c r="Z1498" s="0" t="str">
        <f aca="false">IF(AND(C1497=C1498,W1497=W1498-1),X1497,"")</f>
        <v/>
      </c>
      <c r="AA1498" s="0" t="str">
        <f aca="false">IF(AND(C1497=C1498,W1497=W1498-1),Y1497,"")</f>
        <v/>
      </c>
      <c r="AB1498" s="0" t="str">
        <f aca="false">IF(W1498=1,"",IF(AND(X1498=1,Z1498&lt;&gt;1),1,0))</f>
        <v/>
      </c>
      <c r="AC1498" s="0" t="str">
        <f aca="false">IF(W1498=1,"",IF(AND(Y1498=1,AA1498&lt;&gt;1),1,0))</f>
        <v/>
      </c>
      <c r="AD1498" s="33" t="str">
        <f aca="false">IF(AND(E1498&gt;0,W1498&lt;1,NOT(AND(C1499=C1498,W1499=W1498+1))),INDEX(DATAS,W1498+1),"")</f>
        <v/>
      </c>
      <c r="AE1498" s="33" t="str">
        <f aca="false">IF(AND(Y1498=1,W1498&lt;1),IF(AND(C1499=C1498,W1499=W1498+1),IF(Y1499=1,"",INDEX(DATAS,W1498+1)),INDEX(DATAS,W1498+1)),"")</f>
        <v/>
      </c>
    </row>
    <row r="1499" customFormat="false" ht="15" hidden="false" customHeight="false" outlineLevel="0" collapsed="false">
      <c r="A1499" s="33" t="n">
        <v>46309</v>
      </c>
      <c r="B1499" s="0" t="n">
        <v>4</v>
      </c>
      <c r="C1499" s="0" t="n">
        <v>5630</v>
      </c>
      <c r="D1499" s="0" t="n">
        <v>204</v>
      </c>
      <c r="E1499" s="0" t="n">
        <v>1</v>
      </c>
      <c r="F1499" s="27" t="s">
        <v>948</v>
      </c>
      <c r="G1499" s="0" t="n">
        <v>43.1</v>
      </c>
      <c r="H1499" s="0" t="n">
        <v>42</v>
      </c>
      <c r="I1499" s="27" t="s">
        <v>138</v>
      </c>
      <c r="J1499" s="0" t="n">
        <v>71</v>
      </c>
      <c r="K1499" s="0" t="n">
        <v>71</v>
      </c>
      <c r="L1499" s="0" t="n">
        <v>133</v>
      </c>
      <c r="P1499" s="0" t="n">
        <v>5.45</v>
      </c>
      <c r="Q1499" s="0" t="n">
        <v>4.02</v>
      </c>
      <c r="R1499" s="0" t="n">
        <v>3259</v>
      </c>
      <c r="S1499" s="0" t="n">
        <v>7394</v>
      </c>
      <c r="T1499" s="0" t="n">
        <v>38.7</v>
      </c>
      <c r="U1499" s="0" t="n">
        <v>859</v>
      </c>
      <c r="V1499" s="0" t="n">
        <v>1</v>
      </c>
      <c r="W1499" s="27" t="n">
        <f aca="false">MATCH(A1499,DATAS,0)</f>
        <v>1</v>
      </c>
      <c r="X1499" s="27" t="n">
        <f aca="false">IF(AND(E1499&gt;0,OR(AND(B1499&gt;=1,B1499&lt;=6),B1499=10)),1,0)</f>
        <v>1</v>
      </c>
      <c r="Y1499" s="27" t="n">
        <f aca="false">IF(AND(E1499&gt;0,B1499=10),1,0)</f>
        <v>0</v>
      </c>
      <c r="Z1499" s="0" t="str">
        <f aca="false">IF(AND(C1498=C1499,W1498=W1499-1),X1498,"")</f>
        <v/>
      </c>
      <c r="AA1499" s="0" t="str">
        <f aca="false">IF(AND(C1498=C1499,W1498=W1499-1),Y1498,"")</f>
        <v/>
      </c>
      <c r="AB1499" s="0" t="str">
        <f aca="false">IF(W1499=1,"",IF(AND(X1499=1,Z1499&lt;&gt;1),1,0))</f>
        <v/>
      </c>
      <c r="AC1499" s="0" t="str">
        <f aca="false">IF(W1499=1,"",IF(AND(Y1499=1,AA1499&lt;&gt;1),1,0))</f>
        <v/>
      </c>
      <c r="AD1499" s="33" t="str">
        <f aca="false">IF(AND(E1499&gt;0,W1499&lt;1,NOT(AND(C1500=C1499,W1500=W1499+1))),INDEX(DATAS,W1499+1),"")</f>
        <v/>
      </c>
      <c r="AE1499" s="33" t="str">
        <f aca="false">IF(AND(Y1499=1,W1499&lt;1),IF(AND(C1500=C1499,W1500=W1499+1),IF(Y1500=1,"",INDEX(DATAS,W1499+1)),INDEX(DATAS,W1499+1)),"")</f>
        <v/>
      </c>
    </row>
    <row r="1500" customFormat="false" ht="15" hidden="false" customHeight="false" outlineLevel="0" collapsed="false">
      <c r="A1500" s="33" t="n">
        <v>46309</v>
      </c>
      <c r="B1500" s="0" t="n">
        <v>4</v>
      </c>
      <c r="C1500" s="0" t="n">
        <v>5632</v>
      </c>
      <c r="D1500" s="0" t="n">
        <v>232</v>
      </c>
      <c r="E1500" s="0" t="n">
        <v>1</v>
      </c>
      <c r="F1500" s="27" t="s">
        <v>949</v>
      </c>
      <c r="G1500" s="0" t="n">
        <v>38.5</v>
      </c>
      <c r="H1500" s="0" t="n">
        <v>41</v>
      </c>
      <c r="I1500" s="27" t="s">
        <v>138</v>
      </c>
      <c r="J1500" s="0" t="n">
        <v>64</v>
      </c>
      <c r="K1500" s="0" t="n">
        <v>64</v>
      </c>
      <c r="L1500" s="0" t="n">
        <v>168</v>
      </c>
      <c r="P1500" s="0" t="n">
        <v>3.89</v>
      </c>
      <c r="Q1500" s="0" t="n">
        <v>3.38</v>
      </c>
      <c r="R1500" s="0" t="n">
        <v>3920</v>
      </c>
      <c r="S1500" s="0" t="n">
        <v>8969</v>
      </c>
      <c r="T1500" s="0" t="n">
        <v>43.5</v>
      </c>
      <c r="U1500" s="0" t="n">
        <v>858</v>
      </c>
      <c r="V1500" s="0" t="n">
        <v>1</v>
      </c>
      <c r="W1500" s="27" t="n">
        <f aca="false">MATCH(A1500,DATAS,0)</f>
        <v>1</v>
      </c>
      <c r="X1500" s="27" t="n">
        <f aca="false">IF(AND(E1500&gt;0,OR(AND(B1500&gt;=1,B1500&lt;=6),B1500=10)),1,0)</f>
        <v>1</v>
      </c>
      <c r="Y1500" s="27" t="n">
        <f aca="false">IF(AND(E1500&gt;0,B1500=10),1,0)</f>
        <v>0</v>
      </c>
      <c r="Z1500" s="0" t="str">
        <f aca="false">IF(AND(C1499=C1500,W1499=W1500-1),X1499,"")</f>
        <v/>
      </c>
      <c r="AA1500" s="0" t="str">
        <f aca="false">IF(AND(C1499=C1500,W1499=W1500-1),Y1499,"")</f>
        <v/>
      </c>
      <c r="AB1500" s="0" t="str">
        <f aca="false">IF(W1500=1,"",IF(AND(X1500=1,Z1500&lt;&gt;1),1,0))</f>
        <v/>
      </c>
      <c r="AC1500" s="0" t="str">
        <f aca="false">IF(W1500=1,"",IF(AND(Y1500=1,AA1500&lt;&gt;1),1,0))</f>
        <v/>
      </c>
      <c r="AD1500" s="33" t="str">
        <f aca="false">IF(AND(E1500&gt;0,W1500&lt;1,NOT(AND(C1501=C1500,W1501=W1500+1))),INDEX(DATAS,W1500+1),"")</f>
        <v/>
      </c>
      <c r="AE1500" s="33" t="str">
        <f aca="false">IF(AND(Y1500=1,W1500&lt;1),IF(AND(C1501=C1500,W1501=W1500+1),IF(Y1501=1,"",INDEX(DATAS,W1500+1)),INDEX(DATAS,W1500+1)),"")</f>
        <v/>
      </c>
    </row>
    <row r="1501" customFormat="false" ht="15" hidden="false" customHeight="false" outlineLevel="0" collapsed="false">
      <c r="A1501" s="33" t="n">
        <v>46309</v>
      </c>
      <c r="B1501" s="0" t="n">
        <v>4</v>
      </c>
      <c r="C1501" s="0" t="n">
        <v>5634</v>
      </c>
      <c r="D1501" s="0" t="n">
        <v>174</v>
      </c>
      <c r="E1501" s="0" t="n">
        <v>1</v>
      </c>
      <c r="F1501" s="27" t="s">
        <v>950</v>
      </c>
      <c r="G1501" s="0" t="n">
        <v>36.7</v>
      </c>
      <c r="H1501" s="0" t="n">
        <v>38</v>
      </c>
      <c r="I1501" s="27" t="s">
        <v>176</v>
      </c>
      <c r="J1501" s="0" t="n">
        <v>174</v>
      </c>
      <c r="K1501" s="0" t="n">
        <v>62</v>
      </c>
      <c r="P1501" s="0" t="n">
        <v>4.86</v>
      </c>
      <c r="Q1501" s="0" t="n">
        <v>3.67</v>
      </c>
      <c r="R1501" s="0" t="n">
        <v>2579</v>
      </c>
      <c r="S1501" s="0" t="n">
        <v>6029</v>
      </c>
      <c r="T1501" s="0" t="n">
        <v>28.4</v>
      </c>
      <c r="U1501" s="0" t="n">
        <v>857</v>
      </c>
      <c r="V1501" s="0" t="n">
        <v>3</v>
      </c>
      <c r="W1501" s="27" t="n">
        <f aca="false">MATCH(A1501,DATAS,0)</f>
        <v>1</v>
      </c>
      <c r="X1501" s="27" t="n">
        <f aca="false">IF(AND(E1501&gt;0,OR(AND(B1501&gt;=1,B1501&lt;=6),B1501=10)),1,0)</f>
        <v>1</v>
      </c>
      <c r="Y1501" s="27" t="n">
        <f aca="false">IF(AND(E1501&gt;0,B1501=10),1,0)</f>
        <v>0</v>
      </c>
      <c r="Z1501" s="0" t="str">
        <f aca="false">IF(AND(C1500=C1501,W1500=W1501-1),X1500,"")</f>
        <v/>
      </c>
      <c r="AA1501" s="0" t="str">
        <f aca="false">IF(AND(C1500=C1501,W1500=W1501-1),Y1500,"")</f>
        <v/>
      </c>
      <c r="AB1501" s="0" t="str">
        <f aca="false">IF(W1501=1,"",IF(AND(X1501=1,Z1501&lt;&gt;1),1,0))</f>
        <v/>
      </c>
      <c r="AC1501" s="0" t="str">
        <f aca="false">IF(W1501=1,"",IF(AND(Y1501=1,AA1501&lt;&gt;1),1,0))</f>
        <v/>
      </c>
      <c r="AD1501" s="33" t="str">
        <f aca="false">IF(AND(E1501&gt;0,W1501&lt;1,NOT(AND(C1502=C1501,W1502=W1501+1))),INDEX(DATAS,W1501+1),"")</f>
        <v/>
      </c>
      <c r="AE1501" s="33" t="str">
        <f aca="false">IF(AND(Y1501=1,W1501&lt;1),IF(AND(C1502=C1501,W1502=W1501+1),IF(Y1502=1,"",INDEX(DATAS,W1501+1)),INDEX(DATAS,W1501+1)),"")</f>
        <v/>
      </c>
    </row>
    <row r="1502" customFormat="false" ht="15" hidden="false" customHeight="false" outlineLevel="0" collapsed="false">
      <c r="A1502" s="33" t="n">
        <v>46309</v>
      </c>
      <c r="B1502" s="0" t="n">
        <v>4</v>
      </c>
      <c r="C1502" s="0" t="n">
        <v>5635</v>
      </c>
      <c r="D1502" s="0" t="n">
        <v>210</v>
      </c>
      <c r="E1502" s="0" t="n">
        <v>1</v>
      </c>
      <c r="F1502" s="27" t="s">
        <v>950</v>
      </c>
      <c r="G1502" s="0" t="n">
        <v>33.8</v>
      </c>
      <c r="H1502" s="0" t="n">
        <v>34</v>
      </c>
      <c r="I1502" s="27" t="s">
        <v>168</v>
      </c>
      <c r="J1502" s="0" t="n">
        <v>210</v>
      </c>
      <c r="K1502" s="0" t="n">
        <v>63</v>
      </c>
      <c r="P1502" s="0" t="n">
        <v>3.44</v>
      </c>
      <c r="Q1502" s="0" t="n">
        <v>3.59</v>
      </c>
      <c r="R1502" s="0" t="n">
        <v>3032</v>
      </c>
      <c r="S1502" s="0" t="n">
        <v>6661</v>
      </c>
      <c r="T1502" s="0" t="n">
        <v>35.65</v>
      </c>
      <c r="U1502" s="0" t="n">
        <v>857</v>
      </c>
      <c r="V1502" s="0" t="n">
        <v>4</v>
      </c>
      <c r="W1502" s="27" t="n">
        <f aca="false">MATCH(A1502,DATAS,0)</f>
        <v>1</v>
      </c>
      <c r="X1502" s="27" t="n">
        <f aca="false">IF(AND(E1502&gt;0,OR(AND(B1502&gt;=1,B1502&lt;=6),B1502=10)),1,0)</f>
        <v>1</v>
      </c>
      <c r="Y1502" s="27" t="n">
        <f aca="false">IF(AND(E1502&gt;0,B1502=10),1,0)</f>
        <v>0</v>
      </c>
      <c r="Z1502" s="0" t="str">
        <f aca="false">IF(AND(C1501=C1502,W1501=W1502-1),X1501,"")</f>
        <v/>
      </c>
      <c r="AA1502" s="0" t="str">
        <f aca="false">IF(AND(C1501=C1502,W1501=W1502-1),Y1501,"")</f>
        <v/>
      </c>
      <c r="AB1502" s="0" t="str">
        <f aca="false">IF(W1502=1,"",IF(AND(X1502=1,Z1502&lt;&gt;1),1,0))</f>
        <v/>
      </c>
      <c r="AC1502" s="0" t="str">
        <f aca="false">IF(W1502=1,"",IF(AND(Y1502=1,AA1502&lt;&gt;1),1,0))</f>
        <v/>
      </c>
      <c r="AD1502" s="33" t="str">
        <f aca="false">IF(AND(E1502&gt;0,W1502&lt;1,NOT(AND(C1503=C1502,W1503=W1502+1))),INDEX(DATAS,W1502+1),"")</f>
        <v/>
      </c>
      <c r="AE1502" s="33" t="str">
        <f aca="false">IF(AND(Y1502=1,W1502&lt;1),IF(AND(C1503=C1502,W1503=W1502+1),IF(Y1503=1,"",INDEX(DATAS,W1502+1)),INDEX(DATAS,W1502+1)),"")</f>
        <v/>
      </c>
    </row>
    <row r="1503" customFormat="false" ht="15" hidden="false" customHeight="false" outlineLevel="0" collapsed="false">
      <c r="A1503" s="33" t="n">
        <v>46309</v>
      </c>
      <c r="B1503" s="0" t="n">
        <v>4</v>
      </c>
      <c r="C1503" s="0" t="n">
        <v>5636</v>
      </c>
      <c r="D1503" s="0" t="n">
        <v>148</v>
      </c>
      <c r="E1503" s="0" t="n">
        <v>1</v>
      </c>
      <c r="F1503" s="27" t="s">
        <v>951</v>
      </c>
      <c r="G1503" s="0" t="n">
        <v>46.5</v>
      </c>
      <c r="H1503" s="0" t="n">
        <v>44</v>
      </c>
      <c r="I1503" s="27" t="s">
        <v>176</v>
      </c>
      <c r="J1503" s="0" t="n">
        <v>148</v>
      </c>
      <c r="K1503" s="0" t="n">
        <v>64</v>
      </c>
      <c r="P1503" s="0" t="n">
        <v>2.78</v>
      </c>
      <c r="Q1503" s="0" t="n">
        <v>3.25</v>
      </c>
      <c r="R1503" s="0" t="n">
        <v>4016</v>
      </c>
      <c r="S1503" s="0" t="n">
        <v>8506</v>
      </c>
      <c r="T1503" s="0" t="n">
        <v>48.5</v>
      </c>
      <c r="U1503" s="0" t="n">
        <v>855</v>
      </c>
      <c r="V1503" s="0" t="n">
        <v>2</v>
      </c>
      <c r="W1503" s="27" t="n">
        <f aca="false">MATCH(A1503,DATAS,0)</f>
        <v>1</v>
      </c>
      <c r="X1503" s="27" t="n">
        <f aca="false">IF(AND(E1503&gt;0,OR(AND(B1503&gt;=1,B1503&lt;=6),B1503=10)),1,0)</f>
        <v>1</v>
      </c>
      <c r="Y1503" s="27" t="n">
        <f aca="false">IF(AND(E1503&gt;0,B1503=10),1,0)</f>
        <v>0</v>
      </c>
      <c r="Z1503" s="0" t="str">
        <f aca="false">IF(AND(C1502=C1503,W1502=W1503-1),X1502,"")</f>
        <v/>
      </c>
      <c r="AA1503" s="0" t="str">
        <f aca="false">IF(AND(C1502=C1503,W1502=W1503-1),Y1502,"")</f>
        <v/>
      </c>
      <c r="AB1503" s="0" t="str">
        <f aca="false">IF(W1503=1,"",IF(AND(X1503=1,Z1503&lt;&gt;1),1,0))</f>
        <v/>
      </c>
      <c r="AC1503" s="0" t="str">
        <f aca="false">IF(W1503=1,"",IF(AND(Y1503=1,AA1503&lt;&gt;1),1,0))</f>
        <v/>
      </c>
      <c r="AD1503" s="33" t="str">
        <f aca="false">IF(AND(E1503&gt;0,W1503&lt;1,NOT(AND(C1504=C1503,W1504=W1503+1))),INDEX(DATAS,W1503+1),"")</f>
        <v/>
      </c>
      <c r="AE1503" s="33" t="str">
        <f aca="false">IF(AND(Y1503=1,W1503&lt;1),IF(AND(C1504=C1503,W1504=W1503+1),IF(Y1504=1,"",INDEX(DATAS,W1503+1)),INDEX(DATAS,W1503+1)),"")</f>
        <v/>
      </c>
    </row>
    <row r="1504" customFormat="false" ht="15" hidden="false" customHeight="false" outlineLevel="0" collapsed="false">
      <c r="A1504" s="33" t="n">
        <v>46309</v>
      </c>
      <c r="B1504" s="0" t="n">
        <v>4</v>
      </c>
      <c r="C1504" s="0" t="n">
        <v>5637</v>
      </c>
      <c r="D1504" s="0" t="n">
        <v>185</v>
      </c>
      <c r="E1504" s="0" t="n">
        <v>1</v>
      </c>
      <c r="F1504" s="27" t="s">
        <v>951</v>
      </c>
      <c r="G1504" s="0" t="n">
        <v>57.5</v>
      </c>
      <c r="H1504" s="0" t="n">
        <v>56</v>
      </c>
      <c r="I1504" s="27" t="s">
        <v>138</v>
      </c>
      <c r="J1504" s="0" t="n">
        <v>89</v>
      </c>
      <c r="K1504" s="0" t="n">
        <v>66</v>
      </c>
      <c r="L1504" s="0" t="n">
        <v>96</v>
      </c>
      <c r="P1504" s="0" t="n">
        <v>2.8</v>
      </c>
      <c r="Q1504" s="0" t="n">
        <v>3.15</v>
      </c>
      <c r="R1504" s="0" t="n">
        <v>4598</v>
      </c>
      <c r="S1504" s="0" t="n">
        <v>10157</v>
      </c>
      <c r="T1504" s="0" t="n">
        <v>48.15</v>
      </c>
      <c r="U1504" s="0" t="n">
        <v>855</v>
      </c>
      <c r="V1504" s="0" t="n">
        <v>2</v>
      </c>
      <c r="W1504" s="27" t="n">
        <f aca="false">MATCH(A1504,DATAS,0)</f>
        <v>1</v>
      </c>
      <c r="X1504" s="27" t="n">
        <f aca="false">IF(AND(E1504&gt;0,OR(AND(B1504&gt;=1,B1504&lt;=6),B1504=10)),1,0)</f>
        <v>1</v>
      </c>
      <c r="Y1504" s="27" t="n">
        <f aca="false">IF(AND(E1504&gt;0,B1504=10),1,0)</f>
        <v>0</v>
      </c>
      <c r="Z1504" s="0" t="str">
        <f aca="false">IF(AND(C1503=C1504,W1503=W1504-1),X1503,"")</f>
        <v/>
      </c>
      <c r="AA1504" s="0" t="str">
        <f aca="false">IF(AND(C1503=C1504,W1503=W1504-1),Y1503,"")</f>
        <v/>
      </c>
      <c r="AB1504" s="0" t="str">
        <f aca="false">IF(W1504=1,"",IF(AND(X1504=1,Z1504&lt;&gt;1),1,0))</f>
        <v/>
      </c>
      <c r="AC1504" s="0" t="str">
        <f aca="false">IF(W1504=1,"",IF(AND(Y1504=1,AA1504&lt;&gt;1),1,0))</f>
        <v/>
      </c>
      <c r="AD1504" s="33" t="str">
        <f aca="false">IF(AND(E1504&gt;0,W1504&lt;1,NOT(AND(C1505=C1504,W1505=W1504+1))),INDEX(DATAS,W1504+1),"")</f>
        <v/>
      </c>
      <c r="AE1504" s="33" t="str">
        <f aca="false">IF(AND(Y1504=1,W1504&lt;1),IF(AND(C1505=C1504,W1505=W1504+1),IF(Y1505=1,"",INDEX(DATAS,W1504+1)),INDEX(DATAS,W1504+1)),"")</f>
        <v/>
      </c>
    </row>
    <row r="1505" customFormat="false" ht="15" hidden="false" customHeight="false" outlineLevel="0" collapsed="false">
      <c r="A1505" s="33" t="n">
        <v>46309</v>
      </c>
      <c r="B1505" s="0" t="n">
        <v>4</v>
      </c>
      <c r="C1505" s="0" t="n">
        <v>5639</v>
      </c>
      <c r="D1505" s="0" t="n">
        <v>129</v>
      </c>
      <c r="E1505" s="0" t="n">
        <v>1</v>
      </c>
      <c r="F1505" s="27" t="s">
        <v>951</v>
      </c>
      <c r="G1505" s="0" t="n">
        <v>54.8</v>
      </c>
      <c r="H1505" s="0" t="n">
        <v>53</v>
      </c>
      <c r="I1505" s="27" t="s">
        <v>138</v>
      </c>
      <c r="J1505" s="0" t="n">
        <v>66</v>
      </c>
      <c r="K1505" s="0" t="n">
        <v>66</v>
      </c>
      <c r="L1505" s="0" t="n">
        <v>63</v>
      </c>
      <c r="P1505" s="0" t="n">
        <v>4.5</v>
      </c>
      <c r="Q1505" s="0" t="n">
        <v>2.81</v>
      </c>
      <c r="R1505" s="0" t="n">
        <v>4057</v>
      </c>
      <c r="S1505" s="0" t="n">
        <v>8670</v>
      </c>
      <c r="T1505" s="0" t="n">
        <v>41.95</v>
      </c>
      <c r="U1505" s="0" t="n">
        <v>855</v>
      </c>
      <c r="V1505" s="0" t="n">
        <v>1</v>
      </c>
      <c r="W1505" s="27" t="n">
        <f aca="false">MATCH(A1505,DATAS,0)</f>
        <v>1</v>
      </c>
      <c r="X1505" s="27" t="n">
        <f aca="false">IF(AND(E1505&gt;0,OR(AND(B1505&gt;=1,B1505&lt;=6),B1505=10)),1,0)</f>
        <v>1</v>
      </c>
      <c r="Y1505" s="27" t="n">
        <f aca="false">IF(AND(E1505&gt;0,B1505=10),1,0)</f>
        <v>0</v>
      </c>
      <c r="Z1505" s="0" t="str">
        <f aca="false">IF(AND(C1504=C1505,W1504=W1505-1),X1504,"")</f>
        <v/>
      </c>
      <c r="AA1505" s="0" t="str">
        <f aca="false">IF(AND(C1504=C1505,W1504=W1505-1),Y1504,"")</f>
        <v/>
      </c>
      <c r="AB1505" s="0" t="str">
        <f aca="false">IF(W1505=1,"",IF(AND(X1505=1,Z1505&lt;&gt;1),1,0))</f>
        <v/>
      </c>
      <c r="AC1505" s="0" t="str">
        <f aca="false">IF(W1505=1,"",IF(AND(Y1505=1,AA1505&lt;&gt;1),1,0))</f>
        <v/>
      </c>
      <c r="AD1505" s="33" t="str">
        <f aca="false">IF(AND(E1505&gt;0,W1505&lt;1,NOT(AND(C1506=C1505,W1506=W1505+1))),INDEX(DATAS,W1505+1),"")</f>
        <v/>
      </c>
      <c r="AE1505" s="33" t="str">
        <f aca="false">IF(AND(Y1505=1,W1505&lt;1),IF(AND(C1506=C1505,W1506=W1505+1),IF(Y1506=1,"",INDEX(DATAS,W1505+1)),INDEX(DATAS,W1505+1)),"")</f>
        <v/>
      </c>
    </row>
    <row r="1506" customFormat="false" ht="15" hidden="false" customHeight="false" outlineLevel="0" collapsed="false">
      <c r="A1506" s="33" t="n">
        <v>46309</v>
      </c>
      <c r="B1506" s="0" t="n">
        <v>4</v>
      </c>
      <c r="C1506" s="0" t="n">
        <v>5640</v>
      </c>
      <c r="D1506" s="0" t="n">
        <v>208</v>
      </c>
      <c r="E1506" s="0" t="n">
        <v>1</v>
      </c>
      <c r="F1506" s="27" t="s">
        <v>952</v>
      </c>
      <c r="G1506" s="0" t="n">
        <v>27.9</v>
      </c>
      <c r="H1506" s="0" t="n">
        <v>28</v>
      </c>
      <c r="I1506" s="27" t="s">
        <v>168</v>
      </c>
      <c r="J1506" s="0" t="n">
        <v>208</v>
      </c>
      <c r="K1506" s="0" t="n">
        <v>68</v>
      </c>
      <c r="P1506" s="0" t="n">
        <v>4.72</v>
      </c>
      <c r="Q1506" s="0" t="n">
        <v>3.54</v>
      </c>
      <c r="R1506" s="0" t="n">
        <v>3136</v>
      </c>
      <c r="S1506" s="0" t="n">
        <v>6637</v>
      </c>
      <c r="T1506" s="0" t="n">
        <v>31.85</v>
      </c>
      <c r="U1506" s="0" t="n">
        <v>854</v>
      </c>
      <c r="V1506" s="0" t="n">
        <v>5</v>
      </c>
      <c r="W1506" s="27" t="n">
        <f aca="false">MATCH(A1506,DATAS,0)</f>
        <v>1</v>
      </c>
      <c r="X1506" s="27" t="n">
        <f aca="false">IF(AND(E1506&gt;0,OR(AND(B1506&gt;=1,B1506&lt;=6),B1506=10)),1,0)</f>
        <v>1</v>
      </c>
      <c r="Y1506" s="27" t="n">
        <f aca="false">IF(AND(E1506&gt;0,B1506=10),1,0)</f>
        <v>0</v>
      </c>
      <c r="Z1506" s="0" t="str">
        <f aca="false">IF(AND(C1505=C1506,W1505=W1506-1),X1505,"")</f>
        <v/>
      </c>
      <c r="AA1506" s="0" t="str">
        <f aca="false">IF(AND(C1505=C1506,W1505=W1506-1),Y1505,"")</f>
        <v/>
      </c>
      <c r="AB1506" s="0" t="str">
        <f aca="false">IF(W1506=1,"",IF(AND(X1506=1,Z1506&lt;&gt;1),1,0))</f>
        <v/>
      </c>
      <c r="AC1506" s="0" t="str">
        <f aca="false">IF(W1506=1,"",IF(AND(Y1506=1,AA1506&lt;&gt;1),1,0))</f>
        <v/>
      </c>
      <c r="AD1506" s="33" t="str">
        <f aca="false">IF(AND(E1506&gt;0,W1506&lt;1,NOT(AND(C1507=C1506,W1507=W1506+1))),INDEX(DATAS,W1506+1),"")</f>
        <v/>
      </c>
      <c r="AE1506" s="33" t="str">
        <f aca="false">IF(AND(Y1506=1,W1506&lt;1),IF(AND(C1507=C1506,W1507=W1506+1),IF(Y1507=1,"",INDEX(DATAS,W1506+1)),INDEX(DATAS,W1506+1)),"")</f>
        <v/>
      </c>
    </row>
    <row r="1507" customFormat="false" ht="15" hidden="false" customHeight="false" outlineLevel="0" collapsed="false">
      <c r="A1507" s="33" t="n">
        <v>46309</v>
      </c>
      <c r="B1507" s="0" t="n">
        <v>4</v>
      </c>
      <c r="C1507" s="0" t="n">
        <v>5641</v>
      </c>
      <c r="D1507" s="0" t="n">
        <v>122</v>
      </c>
      <c r="E1507" s="0" t="n">
        <v>1</v>
      </c>
      <c r="F1507" s="27" t="s">
        <v>952</v>
      </c>
      <c r="G1507" s="0" t="n">
        <v>52.4</v>
      </c>
      <c r="H1507" s="0" t="n">
        <v>51</v>
      </c>
      <c r="I1507" s="27" t="s">
        <v>168</v>
      </c>
      <c r="J1507" s="0" t="n">
        <v>122</v>
      </c>
      <c r="K1507" s="0" t="n">
        <v>66</v>
      </c>
      <c r="P1507" s="0" t="n">
        <v>3.97</v>
      </c>
      <c r="Q1507" s="0" t="n">
        <v>3.13</v>
      </c>
      <c r="R1507" s="0" t="n">
        <v>4445</v>
      </c>
      <c r="S1507" s="0" t="n">
        <v>9208</v>
      </c>
      <c r="T1507" s="0" t="n">
        <v>44.65</v>
      </c>
      <c r="U1507" s="0" t="n">
        <v>854</v>
      </c>
      <c r="V1507" s="0" t="n">
        <v>2</v>
      </c>
      <c r="W1507" s="27" t="n">
        <f aca="false">MATCH(A1507,DATAS,0)</f>
        <v>1</v>
      </c>
      <c r="X1507" s="27" t="n">
        <f aca="false">IF(AND(E1507&gt;0,OR(AND(B1507&gt;=1,B1507&lt;=6),B1507=10)),1,0)</f>
        <v>1</v>
      </c>
      <c r="Y1507" s="27" t="n">
        <f aca="false">IF(AND(E1507&gt;0,B1507=10),1,0)</f>
        <v>0</v>
      </c>
      <c r="Z1507" s="0" t="str">
        <f aca="false">IF(AND(C1506=C1507,W1506=W1507-1),X1506,"")</f>
        <v/>
      </c>
      <c r="AA1507" s="0" t="str">
        <f aca="false">IF(AND(C1506=C1507,W1506=W1507-1),Y1506,"")</f>
        <v/>
      </c>
      <c r="AB1507" s="0" t="str">
        <f aca="false">IF(W1507=1,"",IF(AND(X1507=1,Z1507&lt;&gt;1),1,0))</f>
        <v/>
      </c>
      <c r="AC1507" s="0" t="str">
        <f aca="false">IF(W1507=1,"",IF(AND(Y1507=1,AA1507&lt;&gt;1),1,0))</f>
        <v/>
      </c>
      <c r="AD1507" s="33" t="str">
        <f aca="false">IF(AND(E1507&gt;0,W1507&lt;1,NOT(AND(C1508=C1507,W1508=W1507+1))),INDEX(DATAS,W1507+1),"")</f>
        <v/>
      </c>
      <c r="AE1507" s="33" t="str">
        <f aca="false">IF(AND(Y1507=1,W1507&lt;1),IF(AND(C1508=C1507,W1508=W1507+1),IF(Y1508=1,"",INDEX(DATAS,W1507+1)),INDEX(DATAS,W1507+1)),"")</f>
        <v/>
      </c>
    </row>
    <row r="1508" customFormat="false" ht="15" hidden="false" customHeight="false" outlineLevel="0" collapsed="false">
      <c r="A1508" s="33" t="n">
        <v>46309</v>
      </c>
      <c r="B1508" s="0" t="n">
        <v>1</v>
      </c>
      <c r="C1508" s="0" t="n">
        <v>5642</v>
      </c>
      <c r="D1508" s="0" t="n">
        <v>110</v>
      </c>
      <c r="E1508" s="0" t="n">
        <v>1</v>
      </c>
      <c r="F1508" s="27" t="s">
        <v>952</v>
      </c>
      <c r="G1508" s="0" t="n">
        <v>43.7</v>
      </c>
      <c r="H1508" s="0" t="n">
        <v>47</v>
      </c>
      <c r="I1508" s="27" t="s">
        <v>138</v>
      </c>
      <c r="J1508" s="0" t="n">
        <v>70</v>
      </c>
      <c r="K1508" s="0" t="n">
        <v>70</v>
      </c>
      <c r="L1508" s="0" t="n">
        <v>40</v>
      </c>
      <c r="P1508" s="0" t="n">
        <v>2.98</v>
      </c>
      <c r="Q1508" s="0" t="n">
        <v>2.91</v>
      </c>
      <c r="R1508" s="0" t="n">
        <v>3861</v>
      </c>
      <c r="S1508" s="0" t="n">
        <v>7962</v>
      </c>
      <c r="T1508" s="0" t="n">
        <v>44</v>
      </c>
      <c r="U1508" s="0" t="n">
        <v>854</v>
      </c>
      <c r="V1508" s="0" t="n">
        <v>1</v>
      </c>
      <c r="W1508" s="27" t="n">
        <f aca="false">MATCH(A1508,DATAS,0)</f>
        <v>1</v>
      </c>
      <c r="X1508" s="27" t="n">
        <f aca="false">IF(AND(E1508&gt;0,OR(AND(B1508&gt;=1,B1508&lt;=6),B1508=10)),1,0)</f>
        <v>1</v>
      </c>
      <c r="Y1508" s="27" t="n">
        <f aca="false">IF(AND(E1508&gt;0,B1508=10),1,0)</f>
        <v>0</v>
      </c>
      <c r="Z1508" s="0" t="str">
        <f aca="false">IF(AND(C1507=C1508,W1507=W1508-1),X1507,"")</f>
        <v/>
      </c>
      <c r="AA1508" s="0" t="str">
        <f aca="false">IF(AND(C1507=C1508,W1507=W1508-1),Y1507,"")</f>
        <v/>
      </c>
      <c r="AB1508" s="0" t="str">
        <f aca="false">IF(W1508=1,"",IF(AND(X1508=1,Z1508&lt;&gt;1),1,0))</f>
        <v/>
      </c>
      <c r="AC1508" s="0" t="str">
        <f aca="false">IF(W1508=1,"",IF(AND(Y1508=1,AA1508&lt;&gt;1),1,0))</f>
        <v/>
      </c>
      <c r="AD1508" s="33" t="str">
        <f aca="false">IF(AND(E1508&gt;0,W1508&lt;1,NOT(AND(C1509=C1508,W1509=W1508+1))),INDEX(DATAS,W1508+1),"")</f>
        <v/>
      </c>
      <c r="AE1508" s="33" t="str">
        <f aca="false">IF(AND(Y1508=1,W1508&lt;1),IF(AND(C1509=C1508,W1509=W1508+1),IF(Y1509=1,"",INDEX(DATAS,W1508+1)),INDEX(DATAS,W1508+1)),"")</f>
        <v/>
      </c>
    </row>
    <row r="1509" customFormat="false" ht="15" hidden="false" customHeight="false" outlineLevel="0" collapsed="false">
      <c r="A1509" s="33" t="n">
        <v>46309</v>
      </c>
      <c r="B1509" s="0" t="n">
        <v>4</v>
      </c>
      <c r="C1509" s="0" t="n">
        <v>5643</v>
      </c>
      <c r="D1509" s="0" t="n">
        <v>197</v>
      </c>
      <c r="E1509" s="0" t="n">
        <v>1</v>
      </c>
      <c r="F1509" s="27" t="s">
        <v>953</v>
      </c>
      <c r="G1509" s="0" t="n">
        <v>33.5</v>
      </c>
      <c r="H1509" s="0" t="n">
        <v>31</v>
      </c>
      <c r="I1509" s="27" t="s">
        <v>138</v>
      </c>
      <c r="J1509" s="0" t="n">
        <v>64</v>
      </c>
      <c r="K1509" s="0" t="n">
        <v>64</v>
      </c>
      <c r="L1509" s="0" t="n">
        <v>133</v>
      </c>
      <c r="P1509" s="0" t="n">
        <v>3.45</v>
      </c>
      <c r="Q1509" s="0" t="n">
        <v>3.54</v>
      </c>
      <c r="R1509" s="0" t="n">
        <v>3685</v>
      </c>
      <c r="S1509" s="0" t="n">
        <v>7621</v>
      </c>
      <c r="T1509" s="0" t="n">
        <v>41.45</v>
      </c>
      <c r="U1509" s="0" t="n">
        <v>853</v>
      </c>
      <c r="V1509" s="0" t="n">
        <v>1</v>
      </c>
      <c r="W1509" s="27" t="n">
        <f aca="false">MATCH(A1509,DATAS,0)</f>
        <v>1</v>
      </c>
      <c r="X1509" s="27" t="n">
        <f aca="false">IF(AND(E1509&gt;0,OR(AND(B1509&gt;=1,B1509&lt;=6),B1509=10)),1,0)</f>
        <v>1</v>
      </c>
      <c r="Y1509" s="27" t="n">
        <f aca="false">IF(AND(E1509&gt;0,B1509=10),1,0)</f>
        <v>0</v>
      </c>
      <c r="Z1509" s="0" t="str">
        <f aca="false">IF(AND(C1508=C1509,W1508=W1509-1),X1508,"")</f>
        <v/>
      </c>
      <c r="AA1509" s="0" t="str">
        <f aca="false">IF(AND(C1508=C1509,W1508=W1509-1),Y1508,"")</f>
        <v/>
      </c>
      <c r="AB1509" s="0" t="str">
        <f aca="false">IF(W1509=1,"",IF(AND(X1509=1,Z1509&lt;&gt;1),1,0))</f>
        <v/>
      </c>
      <c r="AC1509" s="0" t="str">
        <f aca="false">IF(W1509=1,"",IF(AND(Y1509=1,AA1509&lt;&gt;1),1,0))</f>
        <v/>
      </c>
      <c r="AD1509" s="33" t="str">
        <f aca="false">IF(AND(E1509&gt;0,W1509&lt;1,NOT(AND(C1510=C1509,W1510=W1509+1))),INDEX(DATAS,W1509+1),"")</f>
        <v/>
      </c>
      <c r="AE1509" s="33" t="str">
        <f aca="false">IF(AND(Y1509=1,W1509&lt;1),IF(AND(C1510=C1509,W1510=W1509+1),IF(Y1510=1,"",INDEX(DATAS,W1509+1)),INDEX(DATAS,W1509+1)),"")</f>
        <v/>
      </c>
    </row>
    <row r="1510" customFormat="false" ht="15" hidden="false" customHeight="false" outlineLevel="0" collapsed="false">
      <c r="A1510" s="33" t="n">
        <v>46309</v>
      </c>
      <c r="B1510" s="0" t="n">
        <v>4</v>
      </c>
      <c r="C1510" s="0" t="n">
        <v>5645</v>
      </c>
      <c r="D1510" s="0" t="n">
        <v>198</v>
      </c>
      <c r="E1510" s="0" t="n">
        <v>1</v>
      </c>
      <c r="F1510" s="27" t="s">
        <v>954</v>
      </c>
      <c r="G1510" s="0" t="n">
        <v>51.6</v>
      </c>
      <c r="H1510" s="0" t="n">
        <v>53</v>
      </c>
      <c r="I1510" s="27" t="s">
        <v>138</v>
      </c>
      <c r="J1510" s="0" t="n">
        <v>65</v>
      </c>
      <c r="K1510" s="0" t="n">
        <v>65</v>
      </c>
      <c r="L1510" s="0" t="n">
        <v>133</v>
      </c>
      <c r="P1510" s="0" t="n">
        <v>2.99</v>
      </c>
      <c r="Q1510" s="0" t="n">
        <v>3.35</v>
      </c>
      <c r="R1510" s="0" t="n">
        <v>4779</v>
      </c>
      <c r="S1510" s="0" t="n">
        <v>10394</v>
      </c>
      <c r="T1510" s="0" t="n">
        <v>48.8</v>
      </c>
      <c r="U1510" s="0" t="n">
        <v>852</v>
      </c>
      <c r="V1510" s="0" t="n">
        <v>1</v>
      </c>
      <c r="W1510" s="27" t="n">
        <f aca="false">MATCH(A1510,DATAS,0)</f>
        <v>1</v>
      </c>
      <c r="X1510" s="27" t="n">
        <f aca="false">IF(AND(E1510&gt;0,OR(AND(B1510&gt;=1,B1510&lt;=6),B1510=10)),1,0)</f>
        <v>1</v>
      </c>
      <c r="Y1510" s="27" t="n">
        <f aca="false">IF(AND(E1510&gt;0,B1510=10),1,0)</f>
        <v>0</v>
      </c>
      <c r="Z1510" s="0" t="str">
        <f aca="false">IF(AND(C1509=C1510,W1509=W1510-1),X1509,"")</f>
        <v/>
      </c>
      <c r="AA1510" s="0" t="str">
        <f aca="false">IF(AND(C1509=C1510,W1509=W1510-1),Y1509,"")</f>
        <v/>
      </c>
      <c r="AB1510" s="0" t="str">
        <f aca="false">IF(W1510=1,"",IF(AND(X1510=1,Z1510&lt;&gt;1),1,0))</f>
        <v/>
      </c>
      <c r="AC1510" s="0" t="str">
        <f aca="false">IF(W1510=1,"",IF(AND(Y1510=1,AA1510&lt;&gt;1),1,0))</f>
        <v/>
      </c>
      <c r="AD1510" s="33" t="str">
        <f aca="false">IF(AND(E1510&gt;0,W1510&lt;1,NOT(AND(C1511=C1510,W1511=W1510+1))),INDEX(DATAS,W1510+1),"")</f>
        <v/>
      </c>
      <c r="AE1510" s="33" t="str">
        <f aca="false">IF(AND(Y1510=1,W1510&lt;1),IF(AND(C1511=C1510,W1511=W1510+1),IF(Y1511=1,"",INDEX(DATAS,W1510+1)),INDEX(DATAS,W1510+1)),"")</f>
        <v/>
      </c>
    </row>
    <row r="1511" customFormat="false" ht="15" hidden="false" customHeight="false" outlineLevel="0" collapsed="false">
      <c r="A1511" s="33" t="n">
        <v>46309</v>
      </c>
      <c r="B1511" s="0" t="n">
        <v>4</v>
      </c>
      <c r="C1511" s="0" t="n">
        <v>5646</v>
      </c>
      <c r="D1511" s="0" t="n">
        <v>205</v>
      </c>
      <c r="E1511" s="0" t="n">
        <v>1</v>
      </c>
      <c r="F1511" s="27" t="s">
        <v>954</v>
      </c>
      <c r="G1511" s="0" t="n">
        <v>45.8</v>
      </c>
      <c r="H1511" s="0" t="n">
        <v>42</v>
      </c>
      <c r="I1511" s="27" t="s">
        <v>176</v>
      </c>
      <c r="J1511" s="0" t="n">
        <v>205</v>
      </c>
      <c r="K1511" s="0" t="n">
        <v>65</v>
      </c>
      <c r="P1511" s="0" t="n">
        <v>4.43</v>
      </c>
      <c r="Q1511" s="0" t="n">
        <v>3.63</v>
      </c>
      <c r="R1511" s="0" t="n">
        <v>4720</v>
      </c>
      <c r="S1511" s="0" t="n">
        <v>9704</v>
      </c>
      <c r="T1511" s="0" t="n">
        <v>53.6</v>
      </c>
      <c r="U1511" s="0" t="n">
        <v>852</v>
      </c>
      <c r="V1511" s="0" t="n">
        <v>3</v>
      </c>
      <c r="W1511" s="27" t="n">
        <f aca="false">MATCH(A1511,DATAS,0)</f>
        <v>1</v>
      </c>
      <c r="X1511" s="27" t="n">
        <f aca="false">IF(AND(E1511&gt;0,OR(AND(B1511&gt;=1,B1511&lt;=6),B1511=10)),1,0)</f>
        <v>1</v>
      </c>
      <c r="Y1511" s="27" t="n">
        <f aca="false">IF(AND(E1511&gt;0,B1511=10),1,0)</f>
        <v>0</v>
      </c>
      <c r="Z1511" s="0" t="str">
        <f aca="false">IF(AND(C1510=C1511,W1510=W1511-1),X1510,"")</f>
        <v/>
      </c>
      <c r="AA1511" s="0" t="str">
        <f aca="false">IF(AND(C1510=C1511,W1510=W1511-1),Y1510,"")</f>
        <v/>
      </c>
      <c r="AB1511" s="0" t="str">
        <f aca="false">IF(W1511=1,"",IF(AND(X1511=1,Z1511&lt;&gt;1),1,0))</f>
        <v/>
      </c>
      <c r="AC1511" s="0" t="str">
        <f aca="false">IF(W1511=1,"",IF(AND(Y1511=1,AA1511&lt;&gt;1),1,0))</f>
        <v/>
      </c>
      <c r="AD1511" s="33" t="str">
        <f aca="false">IF(AND(E1511&gt;0,W1511&lt;1,NOT(AND(C1512=C1511,W1512=W1511+1))),INDEX(DATAS,W1511+1),"")</f>
        <v/>
      </c>
      <c r="AE1511" s="33" t="str">
        <f aca="false">IF(AND(Y1511=1,W1511&lt;1),IF(AND(C1512=C1511,W1512=W1511+1),IF(Y1512=1,"",INDEX(DATAS,W1511+1)),INDEX(DATAS,W1511+1)),"")</f>
        <v/>
      </c>
    </row>
    <row r="1512" customFormat="false" ht="15" hidden="false" customHeight="false" outlineLevel="0" collapsed="false">
      <c r="A1512" s="33" t="n">
        <v>46309</v>
      </c>
      <c r="B1512" s="0" t="n">
        <v>4</v>
      </c>
      <c r="C1512" s="0" t="n">
        <v>5647</v>
      </c>
      <c r="D1512" s="0" t="n">
        <v>146</v>
      </c>
      <c r="E1512" s="0" t="n">
        <v>1</v>
      </c>
      <c r="F1512" s="27" t="s">
        <v>954</v>
      </c>
      <c r="G1512" s="0" t="n">
        <v>40</v>
      </c>
      <c r="H1512" s="0" t="n">
        <v>45</v>
      </c>
      <c r="I1512" s="27" t="s">
        <v>138</v>
      </c>
      <c r="J1512" s="0" t="n">
        <v>69</v>
      </c>
      <c r="K1512" s="0" t="n">
        <v>69</v>
      </c>
      <c r="L1512" s="0" t="n">
        <v>77</v>
      </c>
      <c r="P1512" s="0" t="n">
        <v>2.91</v>
      </c>
      <c r="Q1512" s="0" t="n">
        <v>3.05</v>
      </c>
      <c r="R1512" s="0" t="n">
        <v>4513</v>
      </c>
      <c r="S1512" s="0" t="n">
        <v>9509</v>
      </c>
      <c r="T1512" s="0" t="n">
        <v>50.85</v>
      </c>
      <c r="U1512" s="0" t="n">
        <v>852</v>
      </c>
      <c r="V1512" s="0" t="n">
        <v>1</v>
      </c>
      <c r="W1512" s="27" t="n">
        <f aca="false">MATCH(A1512,DATAS,0)</f>
        <v>1</v>
      </c>
      <c r="X1512" s="27" t="n">
        <f aca="false">IF(AND(E1512&gt;0,OR(AND(B1512&gt;=1,B1512&lt;=6),B1512=10)),1,0)</f>
        <v>1</v>
      </c>
      <c r="Y1512" s="27" t="n">
        <f aca="false">IF(AND(E1512&gt;0,B1512=10),1,0)</f>
        <v>0</v>
      </c>
      <c r="Z1512" s="0" t="str">
        <f aca="false">IF(AND(C1511=C1512,W1511=W1512-1),X1511,"")</f>
        <v/>
      </c>
      <c r="AA1512" s="0" t="str">
        <f aca="false">IF(AND(C1511=C1512,W1511=W1512-1),Y1511,"")</f>
        <v/>
      </c>
      <c r="AB1512" s="0" t="str">
        <f aca="false">IF(W1512=1,"",IF(AND(X1512=1,Z1512&lt;&gt;1),1,0))</f>
        <v/>
      </c>
      <c r="AC1512" s="0" t="str">
        <f aca="false">IF(W1512=1,"",IF(AND(Y1512=1,AA1512&lt;&gt;1),1,0))</f>
        <v/>
      </c>
      <c r="AD1512" s="33" t="str">
        <f aca="false">IF(AND(E1512&gt;0,W1512&lt;1,NOT(AND(C1513=C1512,W1513=W1512+1))),INDEX(DATAS,W1512+1),"")</f>
        <v/>
      </c>
      <c r="AE1512" s="33" t="str">
        <f aca="false">IF(AND(Y1512=1,W1512&lt;1),IF(AND(C1513=C1512,W1513=W1512+1),IF(Y1513=1,"",INDEX(DATAS,W1512+1)),INDEX(DATAS,W1512+1)),"")</f>
        <v/>
      </c>
    </row>
    <row r="1513" customFormat="false" ht="15" hidden="false" customHeight="false" outlineLevel="0" collapsed="false">
      <c r="A1513" s="33" t="n">
        <v>46309</v>
      </c>
      <c r="B1513" s="0" t="n">
        <v>4</v>
      </c>
      <c r="C1513" s="0" t="n">
        <v>5648</v>
      </c>
      <c r="D1513" s="0" t="n">
        <v>155</v>
      </c>
      <c r="E1513" s="0" t="n">
        <v>1</v>
      </c>
      <c r="F1513" s="27" t="s">
        <v>954</v>
      </c>
      <c r="G1513" s="0" t="n">
        <v>50.6</v>
      </c>
      <c r="H1513" s="0" t="n">
        <v>52</v>
      </c>
      <c r="I1513" s="27" t="s">
        <v>168</v>
      </c>
      <c r="J1513" s="0" t="n">
        <v>155</v>
      </c>
      <c r="K1513" s="0" t="n">
        <v>64</v>
      </c>
      <c r="P1513" s="0" t="n">
        <v>4.47</v>
      </c>
      <c r="Q1513" s="0" t="n">
        <v>3.47</v>
      </c>
      <c r="R1513" s="0" t="n">
        <v>4488</v>
      </c>
      <c r="S1513" s="0" t="n">
        <v>9639</v>
      </c>
      <c r="T1513" s="0" t="n">
        <v>47.05</v>
      </c>
      <c r="U1513" s="0" t="n">
        <v>852</v>
      </c>
      <c r="V1513" s="0" t="n">
        <v>3</v>
      </c>
      <c r="W1513" s="27" t="n">
        <f aca="false">MATCH(A1513,DATAS,0)</f>
        <v>1</v>
      </c>
      <c r="X1513" s="27" t="n">
        <f aca="false">IF(AND(E1513&gt;0,OR(AND(B1513&gt;=1,B1513&lt;=6),B1513=10)),1,0)</f>
        <v>1</v>
      </c>
      <c r="Y1513" s="27" t="n">
        <f aca="false">IF(AND(E1513&gt;0,B1513=10),1,0)</f>
        <v>0</v>
      </c>
      <c r="Z1513" s="0" t="str">
        <f aca="false">IF(AND(C1512=C1513,W1512=W1513-1),X1512,"")</f>
        <v/>
      </c>
      <c r="AA1513" s="0" t="str">
        <f aca="false">IF(AND(C1512=C1513,W1512=W1513-1),Y1512,"")</f>
        <v/>
      </c>
      <c r="AB1513" s="0" t="str">
        <f aca="false">IF(W1513=1,"",IF(AND(X1513=1,Z1513&lt;&gt;1),1,0))</f>
        <v/>
      </c>
      <c r="AC1513" s="0" t="str">
        <f aca="false">IF(W1513=1,"",IF(AND(Y1513=1,AA1513&lt;&gt;1),1,0))</f>
        <v/>
      </c>
      <c r="AD1513" s="33" t="str">
        <f aca="false">IF(AND(E1513&gt;0,W1513&lt;1,NOT(AND(C1514=C1513,W1514=W1513+1))),INDEX(DATAS,W1513+1),"")</f>
        <v/>
      </c>
      <c r="AE1513" s="33" t="str">
        <f aca="false">IF(AND(Y1513=1,W1513&lt;1),IF(AND(C1514=C1513,W1514=W1513+1),IF(Y1514=1,"",INDEX(DATAS,W1513+1)),INDEX(DATAS,W1513+1)),"")</f>
        <v/>
      </c>
    </row>
    <row r="1514" customFormat="false" ht="15" hidden="false" customHeight="false" outlineLevel="0" collapsed="false">
      <c r="A1514" s="33" t="n">
        <v>46309</v>
      </c>
      <c r="B1514" s="0" t="n">
        <v>6</v>
      </c>
      <c r="C1514" s="0" t="n">
        <v>5649</v>
      </c>
      <c r="D1514" s="0" t="n">
        <v>287</v>
      </c>
      <c r="E1514" s="0" t="n">
        <v>1</v>
      </c>
      <c r="F1514" s="27" t="s">
        <v>955</v>
      </c>
      <c r="H1514" s="0" t="n">
        <v>27</v>
      </c>
      <c r="I1514" s="27" t="s">
        <v>168</v>
      </c>
      <c r="J1514" s="0" t="n">
        <v>287</v>
      </c>
      <c r="K1514" s="0" t="n">
        <v>63</v>
      </c>
      <c r="P1514" s="0" t="n">
        <v>4.57</v>
      </c>
      <c r="Q1514" s="0" t="n">
        <v>3.9</v>
      </c>
      <c r="R1514" s="0" t="n">
        <v>1569</v>
      </c>
      <c r="S1514" s="0" t="n">
        <v>4332</v>
      </c>
      <c r="T1514" s="0" t="n">
        <v>16.4</v>
      </c>
      <c r="U1514" s="0" t="n">
        <v>851</v>
      </c>
      <c r="V1514" s="0" t="n">
        <v>5</v>
      </c>
      <c r="W1514" s="27" t="n">
        <f aca="false">MATCH(A1514,DATAS,0)</f>
        <v>1</v>
      </c>
      <c r="X1514" s="27" t="n">
        <f aca="false">IF(AND(E1514&gt;0,OR(AND(B1514&gt;=1,B1514&lt;=6),B1514=10)),1,0)</f>
        <v>1</v>
      </c>
      <c r="Y1514" s="27" t="n">
        <f aca="false">IF(AND(E1514&gt;0,B1514=10),1,0)</f>
        <v>0</v>
      </c>
      <c r="Z1514" s="0" t="str">
        <f aca="false">IF(AND(C1513=C1514,W1513=W1514-1),X1513,"")</f>
        <v/>
      </c>
      <c r="AA1514" s="0" t="str">
        <f aca="false">IF(AND(C1513=C1514,W1513=W1514-1),Y1513,"")</f>
        <v/>
      </c>
      <c r="AB1514" s="0" t="str">
        <f aca="false">IF(W1514=1,"",IF(AND(X1514=1,Z1514&lt;&gt;1),1,0))</f>
        <v/>
      </c>
      <c r="AC1514" s="0" t="str">
        <f aca="false">IF(W1514=1,"",IF(AND(Y1514=1,AA1514&lt;&gt;1),1,0))</f>
        <v/>
      </c>
      <c r="AD1514" s="33" t="str">
        <f aca="false">IF(AND(E1514&gt;0,W1514&lt;1,NOT(AND(C1515=C1514,W1515=W1514+1))),INDEX(DATAS,W1514+1),"")</f>
        <v/>
      </c>
      <c r="AE1514" s="33" t="str">
        <f aca="false">IF(AND(Y1514=1,W1514&lt;1),IF(AND(C1515=C1514,W1515=W1514+1),IF(Y1515=1,"",INDEX(DATAS,W1514+1)),INDEX(DATAS,W1514+1)),"")</f>
        <v/>
      </c>
    </row>
    <row r="1515" customFormat="false" ht="15" hidden="false" customHeight="false" outlineLevel="0" collapsed="false">
      <c r="A1515" s="33" t="n">
        <v>46309</v>
      </c>
      <c r="B1515" s="0" t="n">
        <v>4</v>
      </c>
      <c r="C1515" s="0" t="n">
        <v>5650</v>
      </c>
      <c r="D1515" s="0" t="n">
        <v>175</v>
      </c>
      <c r="E1515" s="0" t="n">
        <v>1</v>
      </c>
      <c r="F1515" s="27" t="s">
        <v>955</v>
      </c>
      <c r="G1515" s="0" t="n">
        <v>37.6</v>
      </c>
      <c r="H1515" s="0" t="n">
        <v>42</v>
      </c>
      <c r="I1515" s="27" t="s">
        <v>138</v>
      </c>
      <c r="J1515" s="0" t="n">
        <v>63</v>
      </c>
      <c r="K1515" s="0" t="n">
        <v>63</v>
      </c>
      <c r="L1515" s="0" t="n">
        <v>112</v>
      </c>
      <c r="P1515" s="0" t="n">
        <v>3.65</v>
      </c>
      <c r="Q1515" s="0" t="n">
        <v>3.54</v>
      </c>
      <c r="R1515" s="0" t="n">
        <v>3474</v>
      </c>
      <c r="S1515" s="0" t="n">
        <v>7700</v>
      </c>
      <c r="T1515" s="0" t="n">
        <v>38.6</v>
      </c>
      <c r="U1515" s="0" t="n">
        <v>851</v>
      </c>
      <c r="V1515" s="0" t="n">
        <v>1</v>
      </c>
      <c r="W1515" s="27" t="n">
        <f aca="false">MATCH(A1515,DATAS,0)</f>
        <v>1</v>
      </c>
      <c r="X1515" s="27" t="n">
        <f aca="false">IF(AND(E1515&gt;0,OR(AND(B1515&gt;=1,B1515&lt;=6),B1515=10)),1,0)</f>
        <v>1</v>
      </c>
      <c r="Y1515" s="27" t="n">
        <f aca="false">IF(AND(E1515&gt;0,B1515=10),1,0)</f>
        <v>0</v>
      </c>
      <c r="Z1515" s="0" t="str">
        <f aca="false">IF(AND(C1514=C1515,W1514=W1515-1),X1514,"")</f>
        <v/>
      </c>
      <c r="AA1515" s="0" t="str">
        <f aca="false">IF(AND(C1514=C1515,W1514=W1515-1),Y1514,"")</f>
        <v/>
      </c>
      <c r="AB1515" s="0" t="str">
        <f aca="false">IF(W1515=1,"",IF(AND(X1515=1,Z1515&lt;&gt;1),1,0))</f>
        <v/>
      </c>
      <c r="AC1515" s="0" t="str">
        <f aca="false">IF(W1515=1,"",IF(AND(Y1515=1,AA1515&lt;&gt;1),1,0))</f>
        <v/>
      </c>
      <c r="AD1515" s="33" t="str">
        <f aca="false">IF(AND(E1515&gt;0,W1515&lt;1,NOT(AND(C1516=C1515,W1516=W1515+1))),INDEX(DATAS,W1515+1),"")</f>
        <v/>
      </c>
      <c r="AE1515" s="33" t="str">
        <f aca="false">IF(AND(Y1515=1,W1515&lt;1),IF(AND(C1516=C1515,W1516=W1515+1),IF(Y1516=1,"",INDEX(DATAS,W1515+1)),INDEX(DATAS,W1515+1)),"")</f>
        <v/>
      </c>
    </row>
    <row r="1516" customFormat="false" ht="15" hidden="false" customHeight="false" outlineLevel="0" collapsed="false">
      <c r="A1516" s="33" t="n">
        <v>46309</v>
      </c>
      <c r="B1516" s="0" t="n">
        <v>1</v>
      </c>
      <c r="C1516" s="0" t="n">
        <v>5651</v>
      </c>
      <c r="D1516" s="0" t="n">
        <v>88</v>
      </c>
      <c r="E1516" s="0" t="n">
        <v>1</v>
      </c>
      <c r="F1516" s="27" t="s">
        <v>955</v>
      </c>
      <c r="G1516" s="0" t="n">
        <v>43.9</v>
      </c>
      <c r="H1516" s="0" t="n">
        <v>43</v>
      </c>
      <c r="I1516" s="27" t="s">
        <v>168</v>
      </c>
      <c r="J1516" s="0" t="n">
        <v>88</v>
      </c>
      <c r="K1516" s="0" t="n">
        <v>67</v>
      </c>
      <c r="P1516" s="0" t="n">
        <v>2.98</v>
      </c>
      <c r="Q1516" s="0" t="n">
        <v>3.04</v>
      </c>
      <c r="R1516" s="0" t="n">
        <v>4138</v>
      </c>
      <c r="S1516" s="0" t="n">
        <v>8318</v>
      </c>
      <c r="U1516" s="0" t="n">
        <v>851</v>
      </c>
      <c r="V1516" s="0" t="n">
        <v>1</v>
      </c>
      <c r="W1516" s="27" t="n">
        <f aca="false">MATCH(A1516,DATAS,0)</f>
        <v>1</v>
      </c>
      <c r="X1516" s="27" t="n">
        <f aca="false">IF(AND(E1516&gt;0,OR(AND(B1516&gt;=1,B1516&lt;=6),B1516=10)),1,0)</f>
        <v>1</v>
      </c>
      <c r="Y1516" s="27" t="n">
        <f aca="false">IF(AND(E1516&gt;0,B1516=10),1,0)</f>
        <v>0</v>
      </c>
      <c r="Z1516" s="0" t="str">
        <f aca="false">IF(AND(C1515=C1516,W1515=W1516-1),X1515,"")</f>
        <v/>
      </c>
      <c r="AA1516" s="0" t="str">
        <f aca="false">IF(AND(C1515=C1516,W1515=W1516-1),Y1515,"")</f>
        <v/>
      </c>
      <c r="AB1516" s="0" t="str">
        <f aca="false">IF(W1516=1,"",IF(AND(X1516=1,Z1516&lt;&gt;1),1,0))</f>
        <v/>
      </c>
      <c r="AC1516" s="0" t="str">
        <f aca="false">IF(W1516=1,"",IF(AND(Y1516=1,AA1516&lt;&gt;1),1,0))</f>
        <v/>
      </c>
      <c r="AD1516" s="33" t="str">
        <f aca="false">IF(AND(E1516&gt;0,W1516&lt;1,NOT(AND(C1517=C1516,W1517=W1516+1))),INDEX(DATAS,W1516+1),"")</f>
        <v/>
      </c>
      <c r="AE1516" s="33" t="str">
        <f aca="false">IF(AND(Y1516=1,W1516&lt;1),IF(AND(C1517=C1516,W1517=W1516+1),IF(Y1517=1,"",INDEX(DATAS,W1516+1)),INDEX(DATAS,W1516+1)),"")</f>
        <v/>
      </c>
    </row>
    <row r="1517" customFormat="false" ht="15" hidden="false" customHeight="false" outlineLevel="0" collapsed="false">
      <c r="A1517" s="33" t="n">
        <v>46309</v>
      </c>
      <c r="B1517" s="0" t="n">
        <v>1</v>
      </c>
      <c r="C1517" s="0" t="n">
        <v>5652</v>
      </c>
      <c r="D1517" s="0" t="n">
        <v>31</v>
      </c>
      <c r="E1517" s="0" t="n">
        <v>1</v>
      </c>
      <c r="F1517" s="27" t="s">
        <v>956</v>
      </c>
      <c r="G1517" s="0" t="n">
        <v>41.7</v>
      </c>
      <c r="H1517" s="0" t="n">
        <v>40</v>
      </c>
      <c r="I1517" s="27" t="s">
        <v>147</v>
      </c>
      <c r="J1517" s="0" t="n">
        <v>31</v>
      </c>
      <c r="P1517" s="0" t="n">
        <v>7.33</v>
      </c>
      <c r="Q1517" s="0" t="n">
        <v>4.51</v>
      </c>
      <c r="R1517" s="0" t="n">
        <v>3185</v>
      </c>
      <c r="S1517" s="0" t="n">
        <v>6402</v>
      </c>
      <c r="U1517" s="0" t="n">
        <v>849</v>
      </c>
      <c r="V1517" s="0" t="n">
        <v>0</v>
      </c>
      <c r="W1517" s="27" t="n">
        <f aca="false">MATCH(A1517,DATAS,0)</f>
        <v>1</v>
      </c>
      <c r="X1517" s="27" t="n">
        <f aca="false">IF(AND(E1517&gt;0,OR(AND(B1517&gt;=1,B1517&lt;=6),B1517=10)),1,0)</f>
        <v>1</v>
      </c>
      <c r="Y1517" s="27" t="n">
        <f aca="false">IF(AND(E1517&gt;0,B1517=10),1,0)</f>
        <v>0</v>
      </c>
      <c r="Z1517" s="0" t="str">
        <f aca="false">IF(AND(C1516=C1517,W1516=W1517-1),X1516,"")</f>
        <v/>
      </c>
      <c r="AA1517" s="0" t="str">
        <f aca="false">IF(AND(C1516=C1517,W1516=W1517-1),Y1516,"")</f>
        <v/>
      </c>
      <c r="AB1517" s="0" t="str">
        <f aca="false">IF(W1517=1,"",IF(AND(X1517=1,Z1517&lt;&gt;1),1,0))</f>
        <v/>
      </c>
      <c r="AC1517" s="0" t="str">
        <f aca="false">IF(W1517=1,"",IF(AND(Y1517=1,AA1517&lt;&gt;1),1,0))</f>
        <v/>
      </c>
      <c r="AD1517" s="33" t="str">
        <f aca="false">IF(AND(E1517&gt;0,W1517&lt;1,NOT(AND(C1518=C1517,W1518=W1517+1))),INDEX(DATAS,W1517+1),"")</f>
        <v/>
      </c>
      <c r="AE1517" s="33" t="str">
        <f aca="false">IF(AND(Y1517=1,W1517&lt;1),IF(AND(C1518=C1517,W1518=W1517+1),IF(Y1518=1,"",INDEX(DATAS,W1517+1)),INDEX(DATAS,W1517+1)),"")</f>
        <v/>
      </c>
    </row>
    <row r="1518" customFormat="false" ht="15" hidden="false" customHeight="false" outlineLevel="0" collapsed="false">
      <c r="A1518" s="33" t="n">
        <v>46309</v>
      </c>
      <c r="B1518" s="0" t="n">
        <v>4</v>
      </c>
      <c r="C1518" s="0" t="n">
        <v>5653</v>
      </c>
      <c r="D1518" s="0" t="n">
        <v>197</v>
      </c>
      <c r="E1518" s="0" t="n">
        <v>1</v>
      </c>
      <c r="F1518" s="27" t="s">
        <v>956</v>
      </c>
      <c r="G1518" s="0" t="n">
        <v>44</v>
      </c>
      <c r="H1518" s="0" t="n">
        <v>44</v>
      </c>
      <c r="I1518" s="27" t="s">
        <v>138</v>
      </c>
      <c r="J1518" s="0" t="n">
        <v>64</v>
      </c>
      <c r="K1518" s="0" t="n">
        <v>64</v>
      </c>
      <c r="L1518" s="0" t="n">
        <v>133</v>
      </c>
      <c r="P1518" s="0" t="n">
        <v>3.35</v>
      </c>
      <c r="Q1518" s="0" t="n">
        <v>3.16</v>
      </c>
      <c r="R1518" s="0" t="n">
        <v>4574</v>
      </c>
      <c r="S1518" s="0" t="n">
        <v>9649</v>
      </c>
      <c r="T1518" s="0" t="n">
        <v>48.25</v>
      </c>
      <c r="U1518" s="0" t="n">
        <v>849</v>
      </c>
      <c r="V1518" s="0" t="n">
        <v>1</v>
      </c>
      <c r="W1518" s="27" t="n">
        <f aca="false">MATCH(A1518,DATAS,0)</f>
        <v>1</v>
      </c>
      <c r="X1518" s="27" t="n">
        <f aca="false">IF(AND(E1518&gt;0,OR(AND(B1518&gt;=1,B1518&lt;=6),B1518=10)),1,0)</f>
        <v>1</v>
      </c>
      <c r="Y1518" s="27" t="n">
        <f aca="false">IF(AND(E1518&gt;0,B1518=10),1,0)</f>
        <v>0</v>
      </c>
      <c r="Z1518" s="0" t="str">
        <f aca="false">IF(AND(C1517=C1518,W1517=W1518-1),X1517,"")</f>
        <v/>
      </c>
      <c r="AA1518" s="0" t="str">
        <f aca="false">IF(AND(C1517=C1518,W1517=W1518-1),Y1517,"")</f>
        <v/>
      </c>
      <c r="AB1518" s="0" t="str">
        <f aca="false">IF(W1518=1,"",IF(AND(X1518=1,Z1518&lt;&gt;1),1,0))</f>
        <v/>
      </c>
      <c r="AC1518" s="0" t="str">
        <f aca="false">IF(W1518=1,"",IF(AND(Y1518=1,AA1518&lt;&gt;1),1,0))</f>
        <v/>
      </c>
      <c r="AD1518" s="33" t="str">
        <f aca="false">IF(AND(E1518&gt;0,W1518&lt;1,NOT(AND(C1519=C1518,W1519=W1518+1))),INDEX(DATAS,W1518+1),"")</f>
        <v/>
      </c>
      <c r="AE1518" s="33" t="str">
        <f aca="false">IF(AND(Y1518=1,W1518&lt;1),IF(AND(C1519=C1518,W1519=W1518+1),IF(Y1519=1,"",INDEX(DATAS,W1518+1)),INDEX(DATAS,W1518+1)),"")</f>
        <v/>
      </c>
    </row>
    <row r="1519" customFormat="false" ht="15" hidden="false" customHeight="false" outlineLevel="0" collapsed="false">
      <c r="A1519" s="33" t="n">
        <v>46309</v>
      </c>
      <c r="B1519" s="0" t="n">
        <v>4</v>
      </c>
      <c r="C1519" s="0" t="n">
        <v>5655</v>
      </c>
      <c r="D1519" s="0" t="n">
        <v>193</v>
      </c>
      <c r="E1519" s="0" t="n">
        <v>1</v>
      </c>
      <c r="F1519" s="27" t="s">
        <v>956</v>
      </c>
      <c r="G1519" s="0" t="n">
        <v>54.2</v>
      </c>
      <c r="H1519" s="0" t="n">
        <v>54</v>
      </c>
      <c r="I1519" s="27" t="s">
        <v>138</v>
      </c>
      <c r="J1519" s="0" t="n">
        <v>67</v>
      </c>
      <c r="K1519" s="0" t="n">
        <v>67</v>
      </c>
      <c r="L1519" s="0" t="n">
        <v>126</v>
      </c>
      <c r="P1519" s="0" t="n">
        <v>3.87</v>
      </c>
      <c r="Q1519" s="0" t="n">
        <v>3.07</v>
      </c>
      <c r="R1519" s="0" t="n">
        <v>3982</v>
      </c>
      <c r="S1519" s="0" t="n">
        <v>9378</v>
      </c>
      <c r="T1519" s="0" t="n">
        <v>44.65</v>
      </c>
      <c r="U1519" s="0" t="n">
        <v>849</v>
      </c>
      <c r="V1519" s="0" t="n">
        <v>1</v>
      </c>
      <c r="W1519" s="27" t="n">
        <f aca="false">MATCH(A1519,DATAS,0)</f>
        <v>1</v>
      </c>
      <c r="X1519" s="27" t="n">
        <f aca="false">IF(AND(E1519&gt;0,OR(AND(B1519&gt;=1,B1519&lt;=6),B1519=10)),1,0)</f>
        <v>1</v>
      </c>
      <c r="Y1519" s="27" t="n">
        <f aca="false">IF(AND(E1519&gt;0,B1519=10),1,0)</f>
        <v>0</v>
      </c>
      <c r="Z1519" s="0" t="str">
        <f aca="false">IF(AND(C1518=C1519,W1518=W1519-1),X1518,"")</f>
        <v/>
      </c>
      <c r="AA1519" s="0" t="str">
        <f aca="false">IF(AND(C1518=C1519,W1518=W1519-1),Y1518,"")</f>
        <v/>
      </c>
      <c r="AB1519" s="0" t="str">
        <f aca="false">IF(W1519=1,"",IF(AND(X1519=1,Z1519&lt;&gt;1),1,0))</f>
        <v/>
      </c>
      <c r="AC1519" s="0" t="str">
        <f aca="false">IF(W1519=1,"",IF(AND(Y1519=1,AA1519&lt;&gt;1),1,0))</f>
        <v/>
      </c>
      <c r="AD1519" s="33" t="str">
        <f aca="false">IF(AND(E1519&gt;0,W1519&lt;1,NOT(AND(C1520=C1519,W1520=W1519+1))),INDEX(DATAS,W1519+1),"")</f>
        <v/>
      </c>
      <c r="AE1519" s="33" t="str">
        <f aca="false">IF(AND(Y1519=1,W1519&lt;1),IF(AND(C1520=C1519,W1520=W1519+1),IF(Y1520=1,"",INDEX(DATAS,W1519+1)),INDEX(DATAS,W1519+1)),"")</f>
        <v/>
      </c>
    </row>
    <row r="1520" customFormat="false" ht="15" hidden="false" customHeight="false" outlineLevel="0" collapsed="false">
      <c r="A1520" s="33" t="n">
        <v>46309</v>
      </c>
      <c r="B1520" s="0" t="n">
        <v>4</v>
      </c>
      <c r="C1520" s="0" t="n">
        <v>5656</v>
      </c>
      <c r="D1520" s="0" t="n">
        <v>123</v>
      </c>
      <c r="E1520" s="0" t="n">
        <v>1</v>
      </c>
      <c r="F1520" s="27" t="s">
        <v>957</v>
      </c>
      <c r="G1520" s="0" t="n">
        <v>66.8</v>
      </c>
      <c r="H1520" s="0" t="n">
        <v>68</v>
      </c>
      <c r="I1520" s="27" t="s">
        <v>176</v>
      </c>
      <c r="J1520" s="0" t="n">
        <v>123</v>
      </c>
      <c r="K1520" s="0" t="n">
        <v>67</v>
      </c>
      <c r="P1520" s="0" t="n">
        <v>3.1</v>
      </c>
      <c r="Q1520" s="0" t="n">
        <v>2.96</v>
      </c>
      <c r="R1520" s="0" t="n">
        <v>4980</v>
      </c>
      <c r="S1520" s="0" t="n">
        <v>10668</v>
      </c>
      <c r="T1520" s="0" t="n">
        <v>56.25</v>
      </c>
      <c r="U1520" s="0" t="n">
        <v>848</v>
      </c>
      <c r="V1520" s="0" t="n">
        <v>2</v>
      </c>
      <c r="W1520" s="27" t="n">
        <f aca="false">MATCH(A1520,DATAS,0)</f>
        <v>1</v>
      </c>
      <c r="X1520" s="27" t="n">
        <f aca="false">IF(AND(E1520&gt;0,OR(AND(B1520&gt;=1,B1520&lt;=6),B1520=10)),1,0)</f>
        <v>1</v>
      </c>
      <c r="Y1520" s="27" t="n">
        <f aca="false">IF(AND(E1520&gt;0,B1520=10),1,0)</f>
        <v>0</v>
      </c>
      <c r="Z1520" s="0" t="str">
        <f aca="false">IF(AND(C1519=C1520,W1519=W1520-1),X1519,"")</f>
        <v/>
      </c>
      <c r="AA1520" s="0" t="str">
        <f aca="false">IF(AND(C1519=C1520,W1519=W1520-1),Y1519,"")</f>
        <v/>
      </c>
      <c r="AB1520" s="0" t="str">
        <f aca="false">IF(W1520=1,"",IF(AND(X1520=1,Z1520&lt;&gt;1),1,0))</f>
        <v/>
      </c>
      <c r="AC1520" s="0" t="str">
        <f aca="false">IF(W1520=1,"",IF(AND(Y1520=1,AA1520&lt;&gt;1),1,0))</f>
        <v/>
      </c>
      <c r="AD1520" s="33" t="str">
        <f aca="false">IF(AND(E1520&gt;0,W1520&lt;1,NOT(AND(C1521=C1520,W1521=W1520+1))),INDEX(DATAS,W1520+1),"")</f>
        <v/>
      </c>
      <c r="AE1520" s="33" t="str">
        <f aca="false">IF(AND(Y1520=1,W1520&lt;1),IF(AND(C1521=C1520,W1521=W1520+1),IF(Y1521=1,"",INDEX(DATAS,W1520+1)),INDEX(DATAS,W1520+1)),"")</f>
        <v/>
      </c>
    </row>
    <row r="1521" customFormat="false" ht="15" hidden="false" customHeight="false" outlineLevel="0" collapsed="false">
      <c r="A1521" s="33" t="n">
        <v>46309</v>
      </c>
      <c r="B1521" s="0" t="n">
        <v>4</v>
      </c>
      <c r="C1521" s="0" t="n">
        <v>5657</v>
      </c>
      <c r="D1521" s="0" t="n">
        <v>235</v>
      </c>
      <c r="E1521" s="0" t="n">
        <v>1</v>
      </c>
      <c r="F1521" s="27" t="s">
        <v>957</v>
      </c>
      <c r="G1521" s="0" t="n">
        <v>43.8</v>
      </c>
      <c r="H1521" s="0" t="n">
        <v>47</v>
      </c>
      <c r="I1521" s="27" t="s">
        <v>138</v>
      </c>
      <c r="J1521" s="0" t="n">
        <v>88</v>
      </c>
      <c r="K1521" s="0" t="n">
        <v>67</v>
      </c>
      <c r="L1521" s="0" t="n">
        <v>147</v>
      </c>
      <c r="P1521" s="0" t="n">
        <v>3.56</v>
      </c>
      <c r="Q1521" s="0" t="n">
        <v>3.47</v>
      </c>
      <c r="R1521" s="0" t="n">
        <v>3230</v>
      </c>
      <c r="S1521" s="0" t="n">
        <v>8221</v>
      </c>
      <c r="T1521" s="0" t="n">
        <v>39</v>
      </c>
      <c r="U1521" s="0" t="n">
        <v>848</v>
      </c>
      <c r="V1521" s="0" t="n">
        <v>2</v>
      </c>
      <c r="W1521" s="27" t="n">
        <f aca="false">MATCH(A1521,DATAS,0)</f>
        <v>1</v>
      </c>
      <c r="X1521" s="27" t="n">
        <f aca="false">IF(AND(E1521&gt;0,OR(AND(B1521&gt;=1,B1521&lt;=6),B1521=10)),1,0)</f>
        <v>1</v>
      </c>
      <c r="Y1521" s="27" t="n">
        <f aca="false">IF(AND(E1521&gt;0,B1521=10),1,0)</f>
        <v>0</v>
      </c>
      <c r="Z1521" s="0" t="str">
        <f aca="false">IF(AND(C1520=C1521,W1520=W1521-1),X1520,"")</f>
        <v/>
      </c>
      <c r="AA1521" s="0" t="str">
        <f aca="false">IF(AND(C1520=C1521,W1520=W1521-1),Y1520,"")</f>
        <v/>
      </c>
      <c r="AB1521" s="0" t="str">
        <f aca="false">IF(W1521=1,"",IF(AND(X1521=1,Z1521&lt;&gt;1),1,0))</f>
        <v/>
      </c>
      <c r="AC1521" s="0" t="str">
        <f aca="false">IF(W1521=1,"",IF(AND(Y1521=1,AA1521&lt;&gt;1),1,0))</f>
        <v/>
      </c>
      <c r="AD1521" s="33" t="str">
        <f aca="false">IF(AND(E1521&gt;0,W1521&lt;1,NOT(AND(C1522=C1521,W1522=W1521+1))),INDEX(DATAS,W1521+1),"")</f>
        <v/>
      </c>
      <c r="AE1521" s="33" t="str">
        <f aca="false">IF(AND(Y1521=1,W1521&lt;1),IF(AND(C1522=C1521,W1522=W1521+1),IF(Y1522=1,"",INDEX(DATAS,W1521+1)),INDEX(DATAS,W1521+1)),"")</f>
        <v/>
      </c>
    </row>
    <row r="1522" customFormat="false" ht="15" hidden="false" customHeight="false" outlineLevel="0" collapsed="false">
      <c r="A1522" s="33" t="n">
        <v>46309</v>
      </c>
      <c r="B1522" s="0" t="n">
        <v>1</v>
      </c>
      <c r="C1522" s="0" t="n">
        <v>5658</v>
      </c>
      <c r="D1522" s="0" t="n">
        <v>90</v>
      </c>
      <c r="E1522" s="0" t="n">
        <v>1</v>
      </c>
      <c r="F1522" s="27" t="s">
        <v>958</v>
      </c>
      <c r="G1522" s="0" t="n">
        <v>45.3</v>
      </c>
      <c r="H1522" s="0" t="n">
        <v>49</v>
      </c>
      <c r="I1522" s="27" t="s">
        <v>168</v>
      </c>
      <c r="J1522" s="0" t="n">
        <v>90</v>
      </c>
      <c r="K1522" s="0" t="n">
        <v>62</v>
      </c>
      <c r="P1522" s="0" t="n">
        <v>4.02</v>
      </c>
      <c r="Q1522" s="0" t="n">
        <v>3.3</v>
      </c>
      <c r="R1522" s="0" t="n">
        <v>4463</v>
      </c>
      <c r="S1522" s="0" t="n">
        <v>8972</v>
      </c>
      <c r="U1522" s="0" t="n">
        <v>847</v>
      </c>
      <c r="V1522" s="0" t="n">
        <v>1</v>
      </c>
      <c r="W1522" s="27" t="n">
        <f aca="false">MATCH(A1522,DATAS,0)</f>
        <v>1</v>
      </c>
      <c r="X1522" s="27" t="n">
        <f aca="false">IF(AND(E1522&gt;0,OR(AND(B1522&gt;=1,B1522&lt;=6),B1522=10)),1,0)</f>
        <v>1</v>
      </c>
      <c r="Y1522" s="27" t="n">
        <f aca="false">IF(AND(E1522&gt;0,B1522=10),1,0)</f>
        <v>0</v>
      </c>
      <c r="Z1522" s="0" t="str">
        <f aca="false">IF(AND(C1521=C1522,W1521=W1522-1),X1521,"")</f>
        <v/>
      </c>
      <c r="AA1522" s="0" t="str">
        <f aca="false">IF(AND(C1521=C1522,W1521=W1522-1),Y1521,"")</f>
        <v/>
      </c>
      <c r="AB1522" s="0" t="str">
        <f aca="false">IF(W1522=1,"",IF(AND(X1522=1,Z1522&lt;&gt;1),1,0))</f>
        <v/>
      </c>
      <c r="AC1522" s="0" t="str">
        <f aca="false">IF(W1522=1,"",IF(AND(Y1522=1,AA1522&lt;&gt;1),1,0))</f>
        <v/>
      </c>
      <c r="AD1522" s="33" t="str">
        <f aca="false">IF(AND(E1522&gt;0,W1522&lt;1,NOT(AND(C1523=C1522,W1523=W1522+1))),INDEX(DATAS,W1522+1),"")</f>
        <v/>
      </c>
      <c r="AE1522" s="33" t="str">
        <f aca="false">IF(AND(Y1522=1,W1522&lt;1),IF(AND(C1523=C1522,W1523=W1522+1),IF(Y1523=1,"",INDEX(DATAS,W1522+1)),INDEX(DATAS,W1522+1)),"")</f>
        <v/>
      </c>
    </row>
    <row r="1523" customFormat="false" ht="15" hidden="false" customHeight="false" outlineLevel="0" collapsed="false">
      <c r="A1523" s="33" t="n">
        <v>46309</v>
      </c>
      <c r="B1523" s="0" t="n">
        <v>4</v>
      </c>
      <c r="C1523" s="0" t="n">
        <v>5659</v>
      </c>
      <c r="D1523" s="0" t="n">
        <v>142</v>
      </c>
      <c r="E1523" s="0" t="n">
        <v>1</v>
      </c>
      <c r="F1523" s="27" t="s">
        <v>958</v>
      </c>
      <c r="G1523" s="0" t="n">
        <v>54.5</v>
      </c>
      <c r="H1523" s="0" t="n">
        <v>53</v>
      </c>
      <c r="I1523" s="27" t="s">
        <v>138</v>
      </c>
      <c r="J1523" s="0" t="n">
        <v>86</v>
      </c>
      <c r="K1523" s="0" t="n">
        <v>65</v>
      </c>
      <c r="L1523" s="0" t="n">
        <v>56</v>
      </c>
      <c r="P1523" s="0" t="n">
        <v>2.92</v>
      </c>
      <c r="Q1523" s="0" t="n">
        <v>3.34</v>
      </c>
      <c r="R1523" s="0" t="n">
        <v>4573</v>
      </c>
      <c r="S1523" s="0" t="n">
        <v>9921</v>
      </c>
      <c r="T1523" s="0" t="n">
        <v>54.2</v>
      </c>
      <c r="U1523" s="0" t="n">
        <v>847</v>
      </c>
      <c r="V1523" s="0" t="n">
        <v>2</v>
      </c>
      <c r="W1523" s="27" t="n">
        <f aca="false">MATCH(A1523,DATAS,0)</f>
        <v>1</v>
      </c>
      <c r="X1523" s="27" t="n">
        <f aca="false">IF(AND(E1523&gt;0,OR(AND(B1523&gt;=1,B1523&lt;=6),B1523=10)),1,0)</f>
        <v>1</v>
      </c>
      <c r="Y1523" s="27" t="n">
        <f aca="false">IF(AND(E1523&gt;0,B1523=10),1,0)</f>
        <v>0</v>
      </c>
      <c r="Z1523" s="0" t="str">
        <f aca="false">IF(AND(C1522=C1523,W1522=W1523-1),X1522,"")</f>
        <v/>
      </c>
      <c r="AA1523" s="0" t="str">
        <f aca="false">IF(AND(C1522=C1523,W1522=W1523-1),Y1522,"")</f>
        <v/>
      </c>
      <c r="AB1523" s="0" t="str">
        <f aca="false">IF(W1523=1,"",IF(AND(X1523=1,Z1523&lt;&gt;1),1,0))</f>
        <v/>
      </c>
      <c r="AC1523" s="0" t="str">
        <f aca="false">IF(W1523=1,"",IF(AND(Y1523=1,AA1523&lt;&gt;1),1,0))</f>
        <v/>
      </c>
      <c r="AD1523" s="33" t="str">
        <f aca="false">IF(AND(E1523&gt;0,W1523&lt;1,NOT(AND(C1524=C1523,W1524=W1523+1))),INDEX(DATAS,W1523+1),"")</f>
        <v/>
      </c>
      <c r="AE1523" s="33" t="str">
        <f aca="false">IF(AND(Y1523=1,W1523&lt;1),IF(AND(C1524=C1523,W1524=W1523+1),IF(Y1524=1,"",INDEX(DATAS,W1523+1)),INDEX(DATAS,W1523+1)),"")</f>
        <v/>
      </c>
    </row>
    <row r="1524" customFormat="false" ht="15" hidden="false" customHeight="false" outlineLevel="0" collapsed="false">
      <c r="A1524" s="33" t="n">
        <v>46309</v>
      </c>
      <c r="B1524" s="0" t="n">
        <v>4</v>
      </c>
      <c r="C1524" s="0" t="n">
        <v>5660</v>
      </c>
      <c r="D1524" s="0" t="n">
        <v>206</v>
      </c>
      <c r="E1524" s="0" t="n">
        <v>1</v>
      </c>
      <c r="F1524" s="27" t="s">
        <v>958</v>
      </c>
      <c r="G1524" s="0" t="n">
        <v>48.5</v>
      </c>
      <c r="H1524" s="0" t="n">
        <v>48</v>
      </c>
      <c r="I1524" s="27" t="s">
        <v>138</v>
      </c>
      <c r="J1524" s="0" t="n">
        <v>66</v>
      </c>
      <c r="K1524" s="0" t="n">
        <v>66</v>
      </c>
      <c r="L1524" s="0" t="n">
        <v>140</v>
      </c>
      <c r="P1524" s="0" t="n">
        <v>3.22</v>
      </c>
      <c r="Q1524" s="0" t="n">
        <v>3.61</v>
      </c>
      <c r="R1524" s="0" t="n">
        <v>4130</v>
      </c>
      <c r="S1524" s="0" t="n">
        <v>9264</v>
      </c>
      <c r="T1524" s="0" t="n">
        <v>47.9</v>
      </c>
      <c r="U1524" s="0" t="n">
        <v>847</v>
      </c>
      <c r="V1524" s="0" t="n">
        <v>1</v>
      </c>
      <c r="W1524" s="27" t="n">
        <f aca="false">MATCH(A1524,DATAS,0)</f>
        <v>1</v>
      </c>
      <c r="X1524" s="27" t="n">
        <f aca="false">IF(AND(E1524&gt;0,OR(AND(B1524&gt;=1,B1524&lt;=6),B1524=10)),1,0)</f>
        <v>1</v>
      </c>
      <c r="Y1524" s="27" t="n">
        <f aca="false">IF(AND(E1524&gt;0,B1524=10),1,0)</f>
        <v>0</v>
      </c>
      <c r="Z1524" s="0" t="str">
        <f aca="false">IF(AND(C1523=C1524,W1523=W1524-1),X1523,"")</f>
        <v/>
      </c>
      <c r="AA1524" s="0" t="str">
        <f aca="false">IF(AND(C1523=C1524,W1523=W1524-1),Y1523,"")</f>
        <v/>
      </c>
      <c r="AB1524" s="0" t="str">
        <f aca="false">IF(W1524=1,"",IF(AND(X1524=1,Z1524&lt;&gt;1),1,0))</f>
        <v/>
      </c>
      <c r="AC1524" s="0" t="str">
        <f aca="false">IF(W1524=1,"",IF(AND(Y1524=1,AA1524&lt;&gt;1),1,0))</f>
        <v/>
      </c>
      <c r="AD1524" s="33" t="str">
        <f aca="false">IF(AND(E1524&gt;0,W1524&lt;1,NOT(AND(C1525=C1524,W1525=W1524+1))),INDEX(DATAS,W1524+1),"")</f>
        <v/>
      </c>
      <c r="AE1524" s="33" t="str">
        <f aca="false">IF(AND(Y1524=1,W1524&lt;1),IF(AND(C1525=C1524,W1525=W1524+1),IF(Y1525=1,"",INDEX(DATAS,W1524+1)),INDEX(DATAS,W1524+1)),"")</f>
        <v/>
      </c>
    </row>
    <row r="1525" customFormat="false" ht="15" hidden="false" customHeight="false" outlineLevel="0" collapsed="false">
      <c r="A1525" s="33" t="n">
        <v>46309</v>
      </c>
      <c r="B1525" s="0" t="n">
        <v>4</v>
      </c>
      <c r="C1525" s="0" t="n">
        <v>5661</v>
      </c>
      <c r="D1525" s="0" t="n">
        <v>171</v>
      </c>
      <c r="E1525" s="0" t="n">
        <v>1</v>
      </c>
      <c r="F1525" s="27" t="s">
        <v>958</v>
      </c>
      <c r="G1525" s="0" t="n">
        <v>41.4</v>
      </c>
      <c r="H1525" s="0" t="n">
        <v>44</v>
      </c>
      <c r="I1525" s="27" t="s">
        <v>176</v>
      </c>
      <c r="J1525" s="0" t="n">
        <v>171</v>
      </c>
      <c r="K1525" s="0" t="n">
        <v>66</v>
      </c>
      <c r="P1525" s="0" t="n">
        <v>3.89</v>
      </c>
      <c r="Q1525" s="0" t="n">
        <v>3.4</v>
      </c>
      <c r="R1525" s="0" t="n">
        <v>3829</v>
      </c>
      <c r="S1525" s="0" t="n">
        <v>8252</v>
      </c>
      <c r="T1525" s="0" t="n">
        <v>43.4</v>
      </c>
      <c r="U1525" s="0" t="n">
        <v>847</v>
      </c>
      <c r="V1525" s="0" t="n">
        <v>3</v>
      </c>
      <c r="W1525" s="27" t="n">
        <f aca="false">MATCH(A1525,DATAS,0)</f>
        <v>1</v>
      </c>
      <c r="X1525" s="27" t="n">
        <f aca="false">IF(AND(E1525&gt;0,OR(AND(B1525&gt;=1,B1525&lt;=6),B1525=10)),1,0)</f>
        <v>1</v>
      </c>
      <c r="Y1525" s="27" t="n">
        <f aca="false">IF(AND(E1525&gt;0,B1525=10),1,0)</f>
        <v>0</v>
      </c>
      <c r="Z1525" s="0" t="str">
        <f aca="false">IF(AND(C1524=C1525,W1524=W1525-1),X1524,"")</f>
        <v/>
      </c>
      <c r="AA1525" s="0" t="str">
        <f aca="false">IF(AND(C1524=C1525,W1524=W1525-1),Y1524,"")</f>
        <v/>
      </c>
      <c r="AB1525" s="0" t="str">
        <f aca="false">IF(W1525=1,"",IF(AND(X1525=1,Z1525&lt;&gt;1),1,0))</f>
        <v/>
      </c>
      <c r="AC1525" s="0" t="str">
        <f aca="false">IF(W1525=1,"",IF(AND(Y1525=1,AA1525&lt;&gt;1),1,0))</f>
        <v/>
      </c>
      <c r="AD1525" s="33" t="str">
        <f aca="false">IF(AND(E1525&gt;0,W1525&lt;1,NOT(AND(C1526=C1525,W1526=W1525+1))),INDEX(DATAS,W1525+1),"")</f>
        <v/>
      </c>
      <c r="AE1525" s="33" t="str">
        <f aca="false">IF(AND(Y1525=1,W1525&lt;1),IF(AND(C1526=C1525,W1526=W1525+1),IF(Y1526=1,"",INDEX(DATAS,W1525+1)),INDEX(DATAS,W1525+1)),"")</f>
        <v/>
      </c>
    </row>
    <row r="1526" customFormat="false" ht="15" hidden="false" customHeight="false" outlineLevel="0" collapsed="false">
      <c r="A1526" s="33" t="n">
        <v>46309</v>
      </c>
      <c r="B1526" s="0" t="n">
        <v>10</v>
      </c>
      <c r="C1526" s="0" t="n">
        <v>5662</v>
      </c>
      <c r="D1526" s="0" t="n">
        <v>161</v>
      </c>
      <c r="E1526" s="0" t="n">
        <v>1</v>
      </c>
      <c r="F1526" s="27" t="s">
        <v>958</v>
      </c>
      <c r="G1526" s="0" t="n">
        <v>18.1</v>
      </c>
      <c r="H1526" s="0" t="n">
        <v>23</v>
      </c>
      <c r="I1526" s="27" t="s">
        <v>168</v>
      </c>
      <c r="J1526" s="0" t="n">
        <v>161</v>
      </c>
      <c r="K1526" s="0" t="n">
        <v>63</v>
      </c>
      <c r="P1526" s="0" t="n">
        <v>4.17</v>
      </c>
      <c r="Q1526" s="0" t="n">
        <v>3.36</v>
      </c>
      <c r="R1526" s="0" t="n">
        <v>3892</v>
      </c>
      <c r="S1526" s="0" t="n">
        <v>7798</v>
      </c>
      <c r="T1526" s="0" t="n">
        <v>40.95</v>
      </c>
      <c r="U1526" s="0" t="n">
        <v>847</v>
      </c>
      <c r="V1526" s="0" t="n">
        <v>3</v>
      </c>
      <c r="W1526" s="27" t="n">
        <f aca="false">MATCH(A1526,DATAS,0)</f>
        <v>1</v>
      </c>
      <c r="X1526" s="27" t="n">
        <f aca="false">IF(AND(E1526&gt;0,OR(AND(B1526&gt;=1,B1526&lt;=6),B1526=10)),1,0)</f>
        <v>1</v>
      </c>
      <c r="Y1526" s="27" t="n">
        <f aca="false">IF(AND(E1526&gt;0,B1526=10),1,0)</f>
        <v>1</v>
      </c>
      <c r="Z1526" s="0" t="str">
        <f aca="false">IF(AND(C1525=C1526,W1525=W1526-1),X1525,"")</f>
        <v/>
      </c>
      <c r="AA1526" s="0" t="str">
        <f aca="false">IF(AND(C1525=C1526,W1525=W1526-1),Y1525,"")</f>
        <v/>
      </c>
      <c r="AB1526" s="0" t="str">
        <f aca="false">IF(W1526=1,"",IF(AND(X1526=1,Z1526&lt;&gt;1),1,0))</f>
        <v/>
      </c>
      <c r="AC1526" s="0" t="str">
        <f aca="false">IF(W1526=1,"",IF(AND(Y1526=1,AA1526&lt;&gt;1),1,0))</f>
        <v/>
      </c>
      <c r="AD1526" s="33" t="str">
        <f aca="false">IF(AND(E1526&gt;0,W1526&lt;1,NOT(AND(C1527=C1526,W1527=W1526+1))),INDEX(DATAS,W1526+1),"")</f>
        <v/>
      </c>
      <c r="AE1526" s="33" t="str">
        <f aca="false">IF(AND(Y1526=1,W1526&lt;1),IF(AND(C1527=C1526,W1527=W1526+1),IF(Y1527=1,"",INDEX(DATAS,W1526+1)),INDEX(DATAS,W1526+1)),"")</f>
        <v/>
      </c>
    </row>
    <row r="1527" customFormat="false" ht="15" hidden="false" customHeight="false" outlineLevel="0" collapsed="false">
      <c r="A1527" s="33" t="n">
        <v>46309</v>
      </c>
      <c r="B1527" s="0" t="n">
        <v>4</v>
      </c>
      <c r="C1527" s="0" t="n">
        <v>5663</v>
      </c>
      <c r="D1527" s="0" t="n">
        <v>136</v>
      </c>
      <c r="E1527" s="0" t="n">
        <v>1</v>
      </c>
      <c r="F1527" s="27" t="s">
        <v>958</v>
      </c>
      <c r="G1527" s="0" t="n">
        <v>50.5</v>
      </c>
      <c r="H1527" s="0" t="n">
        <v>50</v>
      </c>
      <c r="I1527" s="27" t="s">
        <v>138</v>
      </c>
      <c r="J1527" s="0" t="n">
        <v>66</v>
      </c>
      <c r="K1527" s="0" t="n">
        <v>66</v>
      </c>
      <c r="L1527" s="0" t="n">
        <v>70</v>
      </c>
      <c r="P1527" s="0" t="n">
        <v>4.48</v>
      </c>
      <c r="Q1527" s="0" t="n">
        <v>3.3</v>
      </c>
      <c r="R1527" s="0" t="n">
        <v>4283</v>
      </c>
      <c r="S1527" s="0" t="n">
        <v>9275</v>
      </c>
      <c r="T1527" s="0" t="n">
        <v>46.65</v>
      </c>
      <c r="U1527" s="0" t="n">
        <v>847</v>
      </c>
      <c r="V1527" s="0" t="n">
        <v>1</v>
      </c>
      <c r="W1527" s="27" t="n">
        <f aca="false">MATCH(A1527,DATAS,0)</f>
        <v>1</v>
      </c>
      <c r="X1527" s="27" t="n">
        <f aca="false">IF(AND(E1527&gt;0,OR(AND(B1527&gt;=1,B1527&lt;=6),B1527=10)),1,0)</f>
        <v>1</v>
      </c>
      <c r="Y1527" s="27" t="n">
        <f aca="false">IF(AND(E1527&gt;0,B1527=10),1,0)</f>
        <v>0</v>
      </c>
      <c r="Z1527" s="0" t="str">
        <f aca="false">IF(AND(C1526=C1527,W1526=W1527-1),X1526,"")</f>
        <v/>
      </c>
      <c r="AA1527" s="0" t="str">
        <f aca="false">IF(AND(C1526=C1527,W1526=W1527-1),Y1526,"")</f>
        <v/>
      </c>
      <c r="AB1527" s="0" t="str">
        <f aca="false">IF(W1527=1,"",IF(AND(X1527=1,Z1527&lt;&gt;1),1,0))</f>
        <v/>
      </c>
      <c r="AC1527" s="0" t="str">
        <f aca="false">IF(W1527=1,"",IF(AND(Y1527=1,AA1527&lt;&gt;1),1,0))</f>
        <v/>
      </c>
      <c r="AD1527" s="33" t="str">
        <f aca="false">IF(AND(E1527&gt;0,W1527&lt;1,NOT(AND(C1528=C1527,W1528=W1527+1))),INDEX(DATAS,W1527+1),"")</f>
        <v/>
      </c>
      <c r="AE1527" s="33" t="str">
        <f aca="false">IF(AND(Y1527=1,W1527&lt;1),IF(AND(C1528=C1527,W1528=W1527+1),IF(Y1528=1,"",INDEX(DATAS,W1527+1)),INDEX(DATAS,W1527+1)),"")</f>
        <v/>
      </c>
    </row>
    <row r="1528" customFormat="false" ht="15" hidden="false" customHeight="false" outlineLevel="0" collapsed="false">
      <c r="A1528" s="33" t="n">
        <v>46309</v>
      </c>
      <c r="B1528" s="0" t="n">
        <v>4</v>
      </c>
      <c r="C1528" s="0" t="n">
        <v>5664</v>
      </c>
      <c r="D1528" s="0" t="n">
        <v>163</v>
      </c>
      <c r="E1528" s="0" t="n">
        <v>1</v>
      </c>
      <c r="F1528" s="27" t="s">
        <v>958</v>
      </c>
      <c r="G1528" s="0" t="n">
        <v>45.9</v>
      </c>
      <c r="H1528" s="0" t="n">
        <v>42</v>
      </c>
      <c r="I1528" s="27" t="s">
        <v>138</v>
      </c>
      <c r="J1528" s="0" t="n">
        <v>65</v>
      </c>
      <c r="K1528" s="0" t="n">
        <v>65</v>
      </c>
      <c r="L1528" s="0" t="n">
        <v>98</v>
      </c>
      <c r="P1528" s="0" t="n">
        <v>3.43</v>
      </c>
      <c r="Q1528" s="0" t="n">
        <v>3.27</v>
      </c>
      <c r="R1528" s="0" t="n">
        <v>4053</v>
      </c>
      <c r="S1528" s="0" t="n">
        <v>8502</v>
      </c>
      <c r="T1528" s="0" t="n">
        <v>43.15</v>
      </c>
      <c r="U1528" s="0" t="n">
        <v>847</v>
      </c>
      <c r="V1528" s="0" t="n">
        <v>1</v>
      </c>
      <c r="W1528" s="27" t="n">
        <f aca="false">MATCH(A1528,DATAS,0)</f>
        <v>1</v>
      </c>
      <c r="X1528" s="27" t="n">
        <f aca="false">IF(AND(E1528&gt;0,OR(AND(B1528&gt;=1,B1528&lt;=6),B1528=10)),1,0)</f>
        <v>1</v>
      </c>
      <c r="Y1528" s="27" t="n">
        <f aca="false">IF(AND(E1528&gt;0,B1528=10),1,0)</f>
        <v>0</v>
      </c>
      <c r="Z1528" s="0" t="str">
        <f aca="false">IF(AND(C1527=C1528,W1527=W1528-1),X1527,"")</f>
        <v/>
      </c>
      <c r="AA1528" s="0" t="str">
        <f aca="false">IF(AND(C1527=C1528,W1527=W1528-1),Y1527,"")</f>
        <v/>
      </c>
      <c r="AB1528" s="0" t="str">
        <f aca="false">IF(W1528=1,"",IF(AND(X1528=1,Z1528&lt;&gt;1),1,0))</f>
        <v/>
      </c>
      <c r="AC1528" s="0" t="str">
        <f aca="false">IF(W1528=1,"",IF(AND(Y1528=1,AA1528&lt;&gt;1),1,0))</f>
        <v/>
      </c>
      <c r="AD1528" s="33" t="str">
        <f aca="false">IF(AND(E1528&gt;0,W1528&lt;1,NOT(AND(C1529=C1528,W1529=W1528+1))),INDEX(DATAS,W1528+1),"")</f>
        <v/>
      </c>
      <c r="AE1528" s="33" t="str">
        <f aca="false">IF(AND(Y1528=1,W1528&lt;1),IF(AND(C1529=C1528,W1529=W1528+1),IF(Y1529=1,"",INDEX(DATAS,W1528+1)),INDEX(DATAS,W1528+1)),"")</f>
        <v/>
      </c>
    </row>
    <row r="1529" customFormat="false" ht="15" hidden="false" customHeight="false" outlineLevel="0" collapsed="false">
      <c r="A1529" s="33" t="n">
        <v>46309</v>
      </c>
      <c r="B1529" s="0" t="n">
        <v>4</v>
      </c>
      <c r="C1529" s="0" t="n">
        <v>5665</v>
      </c>
      <c r="D1529" s="0" t="n">
        <v>254</v>
      </c>
      <c r="E1529" s="0" t="n">
        <v>1</v>
      </c>
      <c r="F1529" s="27" t="s">
        <v>958</v>
      </c>
      <c r="G1529" s="0" t="n">
        <v>41.4</v>
      </c>
      <c r="H1529" s="0" t="n">
        <v>41</v>
      </c>
      <c r="I1529" s="27" t="s">
        <v>138</v>
      </c>
      <c r="J1529" s="0" t="n">
        <v>65</v>
      </c>
      <c r="K1529" s="0" t="n">
        <v>65</v>
      </c>
      <c r="L1529" s="0" t="n">
        <v>189</v>
      </c>
      <c r="P1529" s="0" t="n">
        <v>3.95</v>
      </c>
      <c r="Q1529" s="0" t="n">
        <v>3.89</v>
      </c>
      <c r="R1529" s="0" t="n">
        <v>3013</v>
      </c>
      <c r="S1529" s="0" t="n">
        <v>7414</v>
      </c>
      <c r="T1529" s="0" t="n">
        <v>32.2</v>
      </c>
      <c r="U1529" s="0" t="n">
        <v>847</v>
      </c>
      <c r="V1529" s="0" t="n">
        <v>1</v>
      </c>
      <c r="W1529" s="27" t="n">
        <f aca="false">MATCH(A1529,DATAS,0)</f>
        <v>1</v>
      </c>
      <c r="X1529" s="27" t="n">
        <f aca="false">IF(AND(E1529&gt;0,OR(AND(B1529&gt;=1,B1529&lt;=6),B1529=10)),1,0)</f>
        <v>1</v>
      </c>
      <c r="Y1529" s="27" t="n">
        <f aca="false">IF(AND(E1529&gt;0,B1529=10),1,0)</f>
        <v>0</v>
      </c>
      <c r="Z1529" s="0" t="str">
        <f aca="false">IF(AND(C1528=C1529,W1528=W1529-1),X1528,"")</f>
        <v/>
      </c>
      <c r="AA1529" s="0" t="str">
        <f aca="false">IF(AND(C1528=C1529,W1528=W1529-1),Y1528,"")</f>
        <v/>
      </c>
      <c r="AB1529" s="0" t="str">
        <f aca="false">IF(W1529=1,"",IF(AND(X1529=1,Z1529&lt;&gt;1),1,0))</f>
        <v/>
      </c>
      <c r="AC1529" s="0" t="str">
        <f aca="false">IF(W1529=1,"",IF(AND(Y1529=1,AA1529&lt;&gt;1),1,0))</f>
        <v/>
      </c>
      <c r="AD1529" s="33" t="str">
        <f aca="false">IF(AND(E1529&gt;0,W1529&lt;1,NOT(AND(C1530=C1529,W1530=W1529+1))),INDEX(DATAS,W1529+1),"")</f>
        <v/>
      </c>
      <c r="AE1529" s="33" t="str">
        <f aca="false">IF(AND(Y1529=1,W1529&lt;1),IF(AND(C1530=C1529,W1530=W1529+1),IF(Y1530=1,"",INDEX(DATAS,W1529+1)),INDEX(DATAS,W1529+1)),"")</f>
        <v/>
      </c>
    </row>
    <row r="1530" customFormat="false" ht="15" hidden="false" customHeight="false" outlineLevel="0" collapsed="false">
      <c r="A1530" s="33" t="n">
        <v>46309</v>
      </c>
      <c r="B1530" s="0" t="n">
        <v>4</v>
      </c>
      <c r="C1530" s="0" t="n">
        <v>5666</v>
      </c>
      <c r="D1530" s="0" t="n">
        <v>194</v>
      </c>
      <c r="E1530" s="0" t="n">
        <v>1</v>
      </c>
      <c r="F1530" s="27" t="s">
        <v>958</v>
      </c>
      <c r="G1530" s="0" t="n">
        <v>44</v>
      </c>
      <c r="H1530" s="0" t="n">
        <v>43</v>
      </c>
      <c r="I1530" s="27" t="s">
        <v>138</v>
      </c>
      <c r="J1530" s="0" t="n">
        <v>149</v>
      </c>
      <c r="K1530" s="0" t="n">
        <v>68</v>
      </c>
      <c r="L1530" s="0" t="n">
        <v>45</v>
      </c>
      <c r="P1530" s="0" t="n">
        <v>3.34</v>
      </c>
      <c r="Q1530" s="0" t="n">
        <v>3.62</v>
      </c>
      <c r="R1530" s="0" t="n">
        <v>4217</v>
      </c>
      <c r="S1530" s="0" t="n">
        <v>8803</v>
      </c>
      <c r="T1530" s="0" t="n">
        <v>48.25</v>
      </c>
      <c r="U1530" s="0" t="n">
        <v>847</v>
      </c>
      <c r="V1530" s="0" t="n">
        <v>3</v>
      </c>
      <c r="W1530" s="27" t="n">
        <f aca="false">MATCH(A1530,DATAS,0)</f>
        <v>1</v>
      </c>
      <c r="X1530" s="27" t="n">
        <f aca="false">IF(AND(E1530&gt;0,OR(AND(B1530&gt;=1,B1530&lt;=6),B1530=10)),1,0)</f>
        <v>1</v>
      </c>
      <c r="Y1530" s="27" t="n">
        <f aca="false">IF(AND(E1530&gt;0,B1530=10),1,0)</f>
        <v>0</v>
      </c>
      <c r="Z1530" s="0" t="str">
        <f aca="false">IF(AND(C1529=C1530,W1529=W1530-1),X1529,"")</f>
        <v/>
      </c>
      <c r="AA1530" s="0" t="str">
        <f aca="false">IF(AND(C1529=C1530,W1529=W1530-1),Y1529,"")</f>
        <v/>
      </c>
      <c r="AB1530" s="0" t="str">
        <f aca="false">IF(W1530=1,"",IF(AND(X1530=1,Z1530&lt;&gt;1),1,0))</f>
        <v/>
      </c>
      <c r="AC1530" s="0" t="str">
        <f aca="false">IF(W1530=1,"",IF(AND(Y1530=1,AA1530&lt;&gt;1),1,0))</f>
        <v/>
      </c>
      <c r="AD1530" s="33" t="str">
        <f aca="false">IF(AND(E1530&gt;0,W1530&lt;1,NOT(AND(C1531=C1530,W1531=W1530+1))),INDEX(DATAS,W1530+1),"")</f>
        <v/>
      </c>
      <c r="AE1530" s="33" t="str">
        <f aca="false">IF(AND(Y1530=1,W1530&lt;1),IF(AND(C1531=C1530,W1531=W1530+1),IF(Y1531=1,"",INDEX(DATAS,W1530+1)),INDEX(DATAS,W1530+1)),"")</f>
        <v/>
      </c>
    </row>
    <row r="1531" customFormat="false" ht="15" hidden="false" customHeight="false" outlineLevel="0" collapsed="false">
      <c r="A1531" s="33" t="n">
        <v>46309</v>
      </c>
      <c r="B1531" s="0" t="n">
        <v>4</v>
      </c>
      <c r="C1531" s="0" t="n">
        <v>5668</v>
      </c>
      <c r="D1531" s="0" t="n">
        <v>167</v>
      </c>
      <c r="E1531" s="0" t="n">
        <v>1</v>
      </c>
      <c r="F1531" s="27" t="s">
        <v>959</v>
      </c>
      <c r="G1531" s="0" t="n">
        <v>47.6</v>
      </c>
      <c r="H1531" s="0" t="n">
        <v>46</v>
      </c>
      <c r="I1531" s="27" t="s">
        <v>138</v>
      </c>
      <c r="J1531" s="0" t="n">
        <v>62</v>
      </c>
      <c r="K1531" s="0" t="n">
        <v>62</v>
      </c>
      <c r="L1531" s="0" t="n">
        <v>105</v>
      </c>
      <c r="P1531" s="0" t="n">
        <v>3.83</v>
      </c>
      <c r="Q1531" s="0" t="n">
        <v>3.31</v>
      </c>
      <c r="R1531" s="0" t="n">
        <v>4445</v>
      </c>
      <c r="S1531" s="0" t="n">
        <v>9135</v>
      </c>
      <c r="T1531" s="0" t="n">
        <v>46.05</v>
      </c>
      <c r="U1531" s="0" t="n">
        <v>846</v>
      </c>
      <c r="V1531" s="0" t="n">
        <v>1</v>
      </c>
      <c r="W1531" s="27" t="n">
        <f aca="false">MATCH(A1531,DATAS,0)</f>
        <v>1</v>
      </c>
      <c r="X1531" s="27" t="n">
        <f aca="false">IF(AND(E1531&gt;0,OR(AND(B1531&gt;=1,B1531&lt;=6),B1531=10)),1,0)</f>
        <v>1</v>
      </c>
      <c r="Y1531" s="27" t="n">
        <f aca="false">IF(AND(E1531&gt;0,B1531=10),1,0)</f>
        <v>0</v>
      </c>
      <c r="Z1531" s="0" t="str">
        <f aca="false">IF(AND(C1530=C1531,W1530=W1531-1),X1530,"")</f>
        <v/>
      </c>
      <c r="AA1531" s="0" t="str">
        <f aca="false">IF(AND(C1530=C1531,W1530=W1531-1),Y1530,"")</f>
        <v/>
      </c>
      <c r="AB1531" s="0" t="str">
        <f aca="false">IF(W1531=1,"",IF(AND(X1531=1,Z1531&lt;&gt;1),1,0))</f>
        <v/>
      </c>
      <c r="AC1531" s="0" t="str">
        <f aca="false">IF(W1531=1,"",IF(AND(Y1531=1,AA1531&lt;&gt;1),1,0))</f>
        <v/>
      </c>
      <c r="AD1531" s="33" t="str">
        <f aca="false">IF(AND(E1531&gt;0,W1531&lt;1,NOT(AND(C1532=C1531,W1532=W1531+1))),INDEX(DATAS,W1531+1),"")</f>
        <v/>
      </c>
      <c r="AE1531" s="33" t="str">
        <f aca="false">IF(AND(Y1531=1,W1531&lt;1),IF(AND(C1532=C1531,W1532=W1531+1),IF(Y1532=1,"",INDEX(DATAS,W1531+1)),INDEX(DATAS,W1531+1)),"")</f>
        <v/>
      </c>
    </row>
    <row r="1532" customFormat="false" ht="15" hidden="false" customHeight="false" outlineLevel="0" collapsed="false">
      <c r="A1532" s="33" t="n">
        <v>46309</v>
      </c>
      <c r="B1532" s="0" t="n">
        <v>1</v>
      </c>
      <c r="C1532" s="0" t="n">
        <v>5669</v>
      </c>
      <c r="D1532" s="0" t="n">
        <v>104</v>
      </c>
      <c r="E1532" s="0" t="n">
        <v>1</v>
      </c>
      <c r="F1532" s="27" t="s">
        <v>959</v>
      </c>
      <c r="G1532" s="0" t="n">
        <v>31.5</v>
      </c>
      <c r="H1532" s="0" t="n">
        <v>41</v>
      </c>
      <c r="I1532" s="27" t="s">
        <v>176</v>
      </c>
      <c r="J1532" s="0" t="n">
        <v>104</v>
      </c>
      <c r="K1532" s="0" t="n">
        <v>69</v>
      </c>
      <c r="P1532" s="0" t="n">
        <v>4.3</v>
      </c>
      <c r="Q1532" s="0" t="n">
        <v>3.15</v>
      </c>
      <c r="R1532" s="0" t="n">
        <v>4272</v>
      </c>
      <c r="S1532" s="0" t="n">
        <v>8594</v>
      </c>
      <c r="T1532" s="0" t="n">
        <v>47.1</v>
      </c>
      <c r="U1532" s="0" t="n">
        <v>846</v>
      </c>
      <c r="V1532" s="0" t="n">
        <v>1</v>
      </c>
      <c r="W1532" s="27" t="n">
        <f aca="false">MATCH(A1532,DATAS,0)</f>
        <v>1</v>
      </c>
      <c r="X1532" s="27" t="n">
        <f aca="false">IF(AND(E1532&gt;0,OR(AND(B1532&gt;=1,B1532&lt;=6),B1532=10)),1,0)</f>
        <v>1</v>
      </c>
      <c r="Y1532" s="27" t="n">
        <f aca="false">IF(AND(E1532&gt;0,B1532=10),1,0)</f>
        <v>0</v>
      </c>
      <c r="Z1532" s="0" t="str">
        <f aca="false">IF(AND(C1531=C1532,W1531=W1532-1),X1531,"")</f>
        <v/>
      </c>
      <c r="AA1532" s="0" t="str">
        <f aca="false">IF(AND(C1531=C1532,W1531=W1532-1),Y1531,"")</f>
        <v/>
      </c>
      <c r="AB1532" s="0" t="str">
        <f aca="false">IF(W1532=1,"",IF(AND(X1532=1,Z1532&lt;&gt;1),1,0))</f>
        <v/>
      </c>
      <c r="AC1532" s="0" t="str">
        <f aca="false">IF(W1532=1,"",IF(AND(Y1532=1,AA1532&lt;&gt;1),1,0))</f>
        <v/>
      </c>
      <c r="AD1532" s="33" t="str">
        <f aca="false">IF(AND(E1532&gt;0,W1532&lt;1,NOT(AND(C1533=C1532,W1533=W1532+1))),INDEX(DATAS,W1532+1),"")</f>
        <v/>
      </c>
      <c r="AE1532" s="33" t="str">
        <f aca="false">IF(AND(Y1532=1,W1532&lt;1),IF(AND(C1533=C1532,W1533=W1532+1),IF(Y1533=1,"",INDEX(DATAS,W1532+1)),INDEX(DATAS,W1532+1)),"")</f>
        <v/>
      </c>
    </row>
    <row r="1533" customFormat="false" ht="15" hidden="false" customHeight="false" outlineLevel="0" collapsed="false">
      <c r="A1533" s="33" t="n">
        <v>46309</v>
      </c>
      <c r="B1533" s="0" t="n">
        <v>1</v>
      </c>
      <c r="C1533" s="0" t="n">
        <v>5670</v>
      </c>
      <c r="D1533" s="0" t="n">
        <v>94</v>
      </c>
      <c r="E1533" s="0" t="n">
        <v>1</v>
      </c>
      <c r="F1533" s="27" t="s">
        <v>959</v>
      </c>
      <c r="G1533" s="0" t="n">
        <v>51.5</v>
      </c>
      <c r="H1533" s="0" t="n">
        <v>52</v>
      </c>
      <c r="I1533" s="27" t="s">
        <v>168</v>
      </c>
      <c r="J1533" s="0" t="n">
        <v>94</v>
      </c>
      <c r="K1533" s="0" t="n">
        <v>77</v>
      </c>
      <c r="P1533" s="0" t="n">
        <v>2.83</v>
      </c>
      <c r="Q1533" s="0" t="n">
        <v>2.99</v>
      </c>
      <c r="R1533" s="0" t="n">
        <v>4729</v>
      </c>
      <c r="S1533" s="0" t="n">
        <v>9506</v>
      </c>
      <c r="T1533" s="0" t="n">
        <v>48.9</v>
      </c>
      <c r="U1533" s="0" t="n">
        <v>846</v>
      </c>
      <c r="V1533" s="0" t="n">
        <v>1</v>
      </c>
      <c r="W1533" s="27" t="n">
        <f aca="false">MATCH(A1533,DATAS,0)</f>
        <v>1</v>
      </c>
      <c r="X1533" s="27" t="n">
        <f aca="false">IF(AND(E1533&gt;0,OR(AND(B1533&gt;=1,B1533&lt;=6),B1533=10)),1,0)</f>
        <v>1</v>
      </c>
      <c r="Y1533" s="27" t="n">
        <f aca="false">IF(AND(E1533&gt;0,B1533=10),1,0)</f>
        <v>0</v>
      </c>
      <c r="Z1533" s="0" t="str">
        <f aca="false">IF(AND(C1532=C1533,W1532=W1533-1),X1532,"")</f>
        <v/>
      </c>
      <c r="AA1533" s="0" t="str">
        <f aca="false">IF(AND(C1532=C1533,W1532=W1533-1),Y1532,"")</f>
        <v/>
      </c>
      <c r="AB1533" s="0" t="str">
        <f aca="false">IF(W1533=1,"",IF(AND(X1533=1,Z1533&lt;&gt;1),1,0))</f>
        <v/>
      </c>
      <c r="AC1533" s="0" t="str">
        <f aca="false">IF(W1533=1,"",IF(AND(Y1533=1,AA1533&lt;&gt;1),1,0))</f>
        <v/>
      </c>
      <c r="AD1533" s="33" t="str">
        <f aca="false">IF(AND(E1533&gt;0,W1533&lt;1,NOT(AND(C1534=C1533,W1534=W1533+1))),INDEX(DATAS,W1533+1),"")</f>
        <v/>
      </c>
      <c r="AE1533" s="33" t="str">
        <f aca="false">IF(AND(Y1533=1,W1533&lt;1),IF(AND(C1534=C1533,W1534=W1533+1),IF(Y1534=1,"",INDEX(DATAS,W1533+1)),INDEX(DATAS,W1533+1)),"")</f>
        <v/>
      </c>
    </row>
    <row r="1534" customFormat="false" ht="15" hidden="false" customHeight="false" outlineLevel="0" collapsed="false">
      <c r="A1534" s="33" t="n">
        <v>46309</v>
      </c>
      <c r="B1534" s="0" t="n">
        <v>4</v>
      </c>
      <c r="C1534" s="0" t="n">
        <v>5672</v>
      </c>
      <c r="D1534" s="0" t="n">
        <v>63</v>
      </c>
      <c r="E1534" s="0" t="n">
        <v>1</v>
      </c>
      <c r="F1534" s="27" t="s">
        <v>959</v>
      </c>
      <c r="G1534" s="0" t="n">
        <v>44.2</v>
      </c>
      <c r="H1534" s="0" t="n">
        <v>45</v>
      </c>
      <c r="I1534" s="27" t="s">
        <v>147</v>
      </c>
      <c r="J1534" s="0" t="n">
        <v>63</v>
      </c>
      <c r="P1534" s="0" t="n">
        <v>3.85</v>
      </c>
      <c r="Q1534" s="0" t="n">
        <v>2.93</v>
      </c>
      <c r="R1534" s="0" t="n">
        <v>4375</v>
      </c>
      <c r="S1534" s="0" t="n">
        <v>8794</v>
      </c>
      <c r="U1534" s="0" t="n">
        <v>846</v>
      </c>
      <c r="V1534" s="0" t="n">
        <v>0</v>
      </c>
      <c r="W1534" s="27" t="n">
        <f aca="false">MATCH(A1534,DATAS,0)</f>
        <v>1</v>
      </c>
      <c r="X1534" s="27" t="n">
        <f aca="false">IF(AND(E1534&gt;0,OR(AND(B1534&gt;=1,B1534&lt;=6),B1534=10)),1,0)</f>
        <v>1</v>
      </c>
      <c r="Y1534" s="27" t="n">
        <f aca="false">IF(AND(E1534&gt;0,B1534=10),1,0)</f>
        <v>0</v>
      </c>
      <c r="Z1534" s="0" t="str">
        <f aca="false">IF(AND(C1533=C1534,W1533=W1534-1),X1533,"")</f>
        <v/>
      </c>
      <c r="AA1534" s="0" t="str">
        <f aca="false">IF(AND(C1533=C1534,W1533=W1534-1),Y1533,"")</f>
        <v/>
      </c>
      <c r="AB1534" s="0" t="str">
        <f aca="false">IF(W1534=1,"",IF(AND(X1534=1,Z1534&lt;&gt;1),1,0))</f>
        <v/>
      </c>
      <c r="AC1534" s="0" t="str">
        <f aca="false">IF(W1534=1,"",IF(AND(Y1534=1,AA1534&lt;&gt;1),1,0))</f>
        <v/>
      </c>
      <c r="AD1534" s="33" t="str">
        <f aca="false">IF(AND(E1534&gt;0,W1534&lt;1,NOT(AND(C1535=C1534,W1535=W1534+1))),INDEX(DATAS,W1534+1),"")</f>
        <v/>
      </c>
      <c r="AE1534" s="33" t="str">
        <f aca="false">IF(AND(Y1534=1,W1534&lt;1),IF(AND(C1535=C1534,W1535=W1534+1),IF(Y1535=1,"",INDEX(DATAS,W1534+1)),INDEX(DATAS,W1534+1)),"")</f>
        <v/>
      </c>
    </row>
    <row r="1535" customFormat="false" ht="15" hidden="false" customHeight="false" outlineLevel="0" collapsed="false">
      <c r="A1535" s="33" t="n">
        <v>46309</v>
      </c>
      <c r="B1535" s="0" t="n">
        <v>4</v>
      </c>
      <c r="C1535" s="0" t="n">
        <v>5673</v>
      </c>
      <c r="D1535" s="0" t="n">
        <v>164</v>
      </c>
      <c r="E1535" s="0" t="n">
        <v>1</v>
      </c>
      <c r="F1535" s="27" t="s">
        <v>960</v>
      </c>
      <c r="G1535" s="0" t="n">
        <v>49.1</v>
      </c>
      <c r="H1535" s="0" t="n">
        <v>48</v>
      </c>
      <c r="I1535" s="27" t="s">
        <v>168</v>
      </c>
      <c r="J1535" s="0" t="n">
        <v>164</v>
      </c>
      <c r="K1535" s="0" t="n">
        <v>66</v>
      </c>
      <c r="P1535" s="0" t="n">
        <v>3.5</v>
      </c>
      <c r="Q1535" s="0" t="n">
        <v>3.19</v>
      </c>
      <c r="R1535" s="0" t="n">
        <v>4339</v>
      </c>
      <c r="S1535" s="0" t="n">
        <v>9266</v>
      </c>
      <c r="T1535" s="0" t="n">
        <v>47.25</v>
      </c>
      <c r="U1535" s="0" t="n">
        <v>845</v>
      </c>
      <c r="V1535" s="0" t="n">
        <v>4</v>
      </c>
      <c r="W1535" s="27" t="n">
        <f aca="false">MATCH(A1535,DATAS,0)</f>
        <v>1</v>
      </c>
      <c r="X1535" s="27" t="n">
        <f aca="false">IF(AND(E1535&gt;0,OR(AND(B1535&gt;=1,B1535&lt;=6),B1535=10)),1,0)</f>
        <v>1</v>
      </c>
      <c r="Y1535" s="27" t="n">
        <f aca="false">IF(AND(E1535&gt;0,B1535=10),1,0)</f>
        <v>0</v>
      </c>
      <c r="Z1535" s="0" t="str">
        <f aca="false">IF(AND(C1534=C1535,W1534=W1535-1),X1534,"")</f>
        <v/>
      </c>
      <c r="AA1535" s="0" t="str">
        <f aca="false">IF(AND(C1534=C1535,W1534=W1535-1),Y1534,"")</f>
        <v/>
      </c>
      <c r="AB1535" s="0" t="str">
        <f aca="false">IF(W1535=1,"",IF(AND(X1535=1,Z1535&lt;&gt;1),1,0))</f>
        <v/>
      </c>
      <c r="AC1535" s="0" t="str">
        <f aca="false">IF(W1535=1,"",IF(AND(Y1535=1,AA1535&lt;&gt;1),1,0))</f>
        <v/>
      </c>
      <c r="AD1535" s="33" t="str">
        <f aca="false">IF(AND(E1535&gt;0,W1535&lt;1,NOT(AND(C1536=C1535,W1536=W1535+1))),INDEX(DATAS,W1535+1),"")</f>
        <v/>
      </c>
      <c r="AE1535" s="33" t="str">
        <f aca="false">IF(AND(Y1535=1,W1535&lt;1),IF(AND(C1536=C1535,W1536=W1535+1),IF(Y1536=1,"",INDEX(DATAS,W1535+1)),INDEX(DATAS,W1535+1)),"")</f>
        <v/>
      </c>
    </row>
    <row r="1536" customFormat="false" ht="15" hidden="false" customHeight="false" outlineLevel="0" collapsed="false">
      <c r="A1536" s="33" t="n">
        <v>46309</v>
      </c>
      <c r="B1536" s="0" t="n">
        <v>4</v>
      </c>
      <c r="C1536" s="0" t="n">
        <v>5674</v>
      </c>
      <c r="D1536" s="0" t="n">
        <v>271</v>
      </c>
      <c r="E1536" s="0" t="n">
        <v>1</v>
      </c>
      <c r="F1536" s="27" t="s">
        <v>960</v>
      </c>
      <c r="G1536" s="0" t="n">
        <v>30.8</v>
      </c>
      <c r="H1536" s="0" t="n">
        <v>32</v>
      </c>
      <c r="I1536" s="27" t="s">
        <v>138</v>
      </c>
      <c r="J1536" s="0" t="n">
        <v>68</v>
      </c>
      <c r="K1536" s="0" t="n">
        <v>75</v>
      </c>
      <c r="L1536" s="0" t="n">
        <v>203</v>
      </c>
      <c r="P1536" s="0" t="n">
        <v>3.98</v>
      </c>
      <c r="Q1536" s="0" t="n">
        <v>3.84</v>
      </c>
      <c r="R1536" s="0" t="n">
        <v>2149</v>
      </c>
      <c r="S1536" s="0" t="n">
        <v>5177</v>
      </c>
      <c r="T1536" s="0" t="n">
        <v>23.45</v>
      </c>
      <c r="U1536" s="0" t="n">
        <v>845</v>
      </c>
      <c r="V1536" s="0" t="n">
        <v>1</v>
      </c>
      <c r="W1536" s="27" t="n">
        <f aca="false">MATCH(A1536,DATAS,0)</f>
        <v>1</v>
      </c>
      <c r="X1536" s="27" t="n">
        <f aca="false">IF(AND(E1536&gt;0,OR(AND(B1536&gt;=1,B1536&lt;=6),B1536=10)),1,0)</f>
        <v>1</v>
      </c>
      <c r="Y1536" s="27" t="n">
        <f aca="false">IF(AND(E1536&gt;0,B1536=10),1,0)</f>
        <v>0</v>
      </c>
      <c r="Z1536" s="0" t="str">
        <f aca="false">IF(AND(C1535=C1536,W1535=W1536-1),X1535,"")</f>
        <v/>
      </c>
      <c r="AA1536" s="0" t="str">
        <f aca="false">IF(AND(C1535=C1536,W1535=W1536-1),Y1535,"")</f>
        <v/>
      </c>
      <c r="AB1536" s="0" t="str">
        <f aca="false">IF(W1536=1,"",IF(AND(X1536=1,Z1536&lt;&gt;1),1,0))</f>
        <v/>
      </c>
      <c r="AC1536" s="0" t="str">
        <f aca="false">IF(W1536=1,"",IF(AND(Y1536=1,AA1536&lt;&gt;1),1,0))</f>
        <v/>
      </c>
      <c r="AD1536" s="33" t="str">
        <f aca="false">IF(AND(E1536&gt;0,W1536&lt;1,NOT(AND(C1537=C1536,W1537=W1536+1))),INDEX(DATAS,W1536+1),"")</f>
        <v/>
      </c>
      <c r="AE1536" s="33" t="str">
        <f aca="false">IF(AND(Y1536=1,W1536&lt;1),IF(AND(C1537=C1536,W1537=W1536+1),IF(Y1537=1,"",INDEX(DATAS,W1536+1)),INDEX(DATAS,W1536+1)),"")</f>
        <v/>
      </c>
    </row>
    <row r="1537" customFormat="false" ht="15" hidden="false" customHeight="false" outlineLevel="0" collapsed="false">
      <c r="A1537" s="33" t="n">
        <v>46309</v>
      </c>
      <c r="B1537" s="0" t="n">
        <v>4</v>
      </c>
      <c r="C1537" s="0" t="n">
        <v>5676</v>
      </c>
      <c r="D1537" s="0" t="n">
        <v>207</v>
      </c>
      <c r="E1537" s="0" t="n">
        <v>1</v>
      </c>
      <c r="F1537" s="27" t="s">
        <v>960</v>
      </c>
      <c r="G1537" s="0" t="n">
        <v>45.4</v>
      </c>
      <c r="H1537" s="0" t="n">
        <v>44</v>
      </c>
      <c r="I1537" s="27" t="s">
        <v>138</v>
      </c>
      <c r="J1537" s="0" t="n">
        <v>88</v>
      </c>
      <c r="K1537" s="0" t="n">
        <v>67</v>
      </c>
      <c r="L1537" s="0" t="n">
        <v>119</v>
      </c>
      <c r="P1537" s="0" t="n">
        <v>3.59</v>
      </c>
      <c r="Q1537" s="0" t="n">
        <v>3.72</v>
      </c>
      <c r="R1537" s="0" t="n">
        <v>3849</v>
      </c>
      <c r="S1537" s="0" t="n">
        <v>8904</v>
      </c>
      <c r="T1537" s="0" t="n">
        <v>44</v>
      </c>
      <c r="U1537" s="0" t="n">
        <v>845</v>
      </c>
      <c r="V1537" s="0" t="n">
        <v>2</v>
      </c>
      <c r="W1537" s="27" t="n">
        <f aca="false">MATCH(A1537,DATAS,0)</f>
        <v>1</v>
      </c>
      <c r="X1537" s="27" t="n">
        <f aca="false">IF(AND(E1537&gt;0,OR(AND(B1537&gt;=1,B1537&lt;=6),B1537=10)),1,0)</f>
        <v>1</v>
      </c>
      <c r="Y1537" s="27" t="n">
        <f aca="false">IF(AND(E1537&gt;0,B1537=10),1,0)</f>
        <v>0</v>
      </c>
      <c r="Z1537" s="0" t="str">
        <f aca="false">IF(AND(C1536=C1537,W1536=W1537-1),X1536,"")</f>
        <v/>
      </c>
      <c r="AA1537" s="0" t="str">
        <f aca="false">IF(AND(C1536=C1537,W1536=W1537-1),Y1536,"")</f>
        <v/>
      </c>
      <c r="AB1537" s="0" t="str">
        <f aca="false">IF(W1537=1,"",IF(AND(X1537=1,Z1537&lt;&gt;1),1,0))</f>
        <v/>
      </c>
      <c r="AC1537" s="0" t="str">
        <f aca="false">IF(W1537=1,"",IF(AND(Y1537=1,AA1537&lt;&gt;1),1,0))</f>
        <v/>
      </c>
      <c r="AD1537" s="33" t="str">
        <f aca="false">IF(AND(E1537&gt;0,W1537&lt;1,NOT(AND(C1538=C1537,W1538=W1537+1))),INDEX(DATAS,W1537+1),"")</f>
        <v/>
      </c>
      <c r="AE1537" s="33" t="str">
        <f aca="false">IF(AND(Y1537=1,W1537&lt;1),IF(AND(C1538=C1537,W1538=W1537+1),IF(Y1538=1,"",INDEX(DATAS,W1537+1)),INDEX(DATAS,W1537+1)),"")</f>
        <v/>
      </c>
    </row>
    <row r="1538" customFormat="false" ht="15" hidden="false" customHeight="false" outlineLevel="0" collapsed="false">
      <c r="A1538" s="33" t="n">
        <v>46309</v>
      </c>
      <c r="B1538" s="0" t="n">
        <v>4</v>
      </c>
      <c r="C1538" s="0" t="n">
        <v>5677</v>
      </c>
      <c r="D1538" s="0" t="n">
        <v>120</v>
      </c>
      <c r="E1538" s="0" t="n">
        <v>1</v>
      </c>
      <c r="F1538" s="27" t="s">
        <v>960</v>
      </c>
      <c r="G1538" s="0" t="n">
        <v>49.7</v>
      </c>
      <c r="H1538" s="0" t="n">
        <v>48</v>
      </c>
      <c r="I1538" s="27" t="s">
        <v>138</v>
      </c>
      <c r="J1538" s="0" t="n">
        <v>71</v>
      </c>
      <c r="K1538" s="0" t="n">
        <v>64</v>
      </c>
      <c r="L1538" s="0" t="n">
        <v>49</v>
      </c>
      <c r="P1538" s="0" t="n">
        <v>3.59</v>
      </c>
      <c r="Q1538" s="0" t="n">
        <v>2.81</v>
      </c>
      <c r="R1538" s="0" t="n">
        <v>4626</v>
      </c>
      <c r="S1538" s="0" t="n">
        <v>9530</v>
      </c>
      <c r="T1538" s="0" t="n">
        <v>47.25</v>
      </c>
      <c r="U1538" s="0" t="n">
        <v>845</v>
      </c>
      <c r="V1538" s="0" t="n">
        <v>2</v>
      </c>
      <c r="W1538" s="27" t="n">
        <f aca="false">MATCH(A1538,DATAS,0)</f>
        <v>1</v>
      </c>
      <c r="X1538" s="27" t="n">
        <f aca="false">IF(AND(E1538&gt;0,OR(AND(B1538&gt;=1,B1538&lt;=6),B1538=10)),1,0)</f>
        <v>1</v>
      </c>
      <c r="Y1538" s="27" t="n">
        <f aca="false">IF(AND(E1538&gt;0,B1538=10),1,0)</f>
        <v>0</v>
      </c>
      <c r="Z1538" s="0" t="str">
        <f aca="false">IF(AND(C1537=C1538,W1537=W1538-1),X1537,"")</f>
        <v/>
      </c>
      <c r="AA1538" s="0" t="str">
        <f aca="false">IF(AND(C1537=C1538,W1537=W1538-1),Y1537,"")</f>
        <v/>
      </c>
      <c r="AB1538" s="0" t="str">
        <f aca="false">IF(W1538=1,"",IF(AND(X1538=1,Z1538&lt;&gt;1),1,0))</f>
        <v/>
      </c>
      <c r="AC1538" s="0" t="str">
        <f aca="false">IF(W1538=1,"",IF(AND(Y1538=1,AA1538&lt;&gt;1),1,0))</f>
        <v/>
      </c>
      <c r="AD1538" s="33" t="str">
        <f aca="false">IF(AND(E1538&gt;0,W1538&lt;1,NOT(AND(C1539=C1538,W1539=W1538+1))),INDEX(DATAS,W1538+1),"")</f>
        <v/>
      </c>
      <c r="AE1538" s="33" t="str">
        <f aca="false">IF(AND(Y1538=1,W1538&lt;1),IF(AND(C1539=C1538,W1539=W1538+1),IF(Y1539=1,"",INDEX(DATAS,W1538+1)),INDEX(DATAS,W1538+1)),"")</f>
        <v/>
      </c>
    </row>
    <row r="1539" customFormat="false" ht="15" hidden="false" customHeight="false" outlineLevel="0" collapsed="false">
      <c r="A1539" s="33" t="n">
        <v>46309</v>
      </c>
      <c r="B1539" s="0" t="n">
        <v>4</v>
      </c>
      <c r="C1539" s="0" t="n">
        <v>5678</v>
      </c>
      <c r="D1539" s="0" t="n">
        <v>210</v>
      </c>
      <c r="E1539" s="0" t="n">
        <v>1</v>
      </c>
      <c r="F1539" s="27" t="s">
        <v>960</v>
      </c>
      <c r="G1539" s="0" t="n">
        <v>45.8</v>
      </c>
      <c r="H1539" s="0" t="n">
        <v>47</v>
      </c>
      <c r="I1539" s="27" t="s">
        <v>138</v>
      </c>
      <c r="J1539" s="0" t="n">
        <v>154</v>
      </c>
      <c r="K1539" s="0" t="n">
        <v>63</v>
      </c>
      <c r="L1539" s="0" t="n">
        <v>56</v>
      </c>
      <c r="P1539" s="0" t="n">
        <v>3.35</v>
      </c>
      <c r="Q1539" s="0" t="n">
        <v>3.42</v>
      </c>
      <c r="R1539" s="0" t="n">
        <v>4206</v>
      </c>
      <c r="S1539" s="0" t="n">
        <v>9585</v>
      </c>
      <c r="T1539" s="0" t="n">
        <v>50.15</v>
      </c>
      <c r="U1539" s="0" t="n">
        <v>845</v>
      </c>
      <c r="V1539" s="0" t="n">
        <v>3</v>
      </c>
      <c r="W1539" s="27" t="n">
        <f aca="false">MATCH(A1539,DATAS,0)</f>
        <v>1</v>
      </c>
      <c r="X1539" s="27" t="n">
        <f aca="false">IF(AND(E1539&gt;0,OR(AND(B1539&gt;=1,B1539&lt;=6),B1539=10)),1,0)</f>
        <v>1</v>
      </c>
      <c r="Y1539" s="27" t="n">
        <f aca="false">IF(AND(E1539&gt;0,B1539=10),1,0)</f>
        <v>0</v>
      </c>
      <c r="Z1539" s="0" t="str">
        <f aca="false">IF(AND(C1538=C1539,W1538=W1539-1),X1538,"")</f>
        <v/>
      </c>
      <c r="AA1539" s="0" t="str">
        <f aca="false">IF(AND(C1538=C1539,W1538=W1539-1),Y1538,"")</f>
        <v/>
      </c>
      <c r="AB1539" s="0" t="str">
        <f aca="false">IF(W1539=1,"",IF(AND(X1539=1,Z1539&lt;&gt;1),1,0))</f>
        <v/>
      </c>
      <c r="AC1539" s="0" t="str">
        <f aca="false">IF(W1539=1,"",IF(AND(Y1539=1,AA1539&lt;&gt;1),1,0))</f>
        <v/>
      </c>
      <c r="AD1539" s="33" t="str">
        <f aca="false">IF(AND(E1539&gt;0,W1539&lt;1,NOT(AND(C1540=C1539,W1540=W1539+1))),INDEX(DATAS,W1539+1),"")</f>
        <v/>
      </c>
      <c r="AE1539" s="33" t="str">
        <f aca="false">IF(AND(Y1539=1,W1539&lt;1),IF(AND(C1540=C1539,W1540=W1539+1),IF(Y1540=1,"",INDEX(DATAS,W1539+1)),INDEX(DATAS,W1539+1)),"")</f>
        <v/>
      </c>
    </row>
    <row r="1540" customFormat="false" ht="15" hidden="false" customHeight="false" outlineLevel="0" collapsed="false">
      <c r="A1540" s="33" t="n">
        <v>46309</v>
      </c>
      <c r="B1540" s="0" t="n">
        <v>6</v>
      </c>
      <c r="C1540" s="0" t="n">
        <v>5680</v>
      </c>
      <c r="D1540" s="0" t="n">
        <v>196</v>
      </c>
      <c r="E1540" s="0" t="n">
        <v>1</v>
      </c>
      <c r="F1540" s="27" t="s">
        <v>961</v>
      </c>
      <c r="G1540" s="0" t="n">
        <v>27.3</v>
      </c>
      <c r="H1540" s="0" t="n">
        <v>39</v>
      </c>
      <c r="I1540" s="27" t="s">
        <v>138</v>
      </c>
      <c r="J1540" s="0" t="n">
        <v>126</v>
      </c>
      <c r="K1540" s="0" t="n">
        <v>63</v>
      </c>
      <c r="L1540" s="0" t="n">
        <v>70</v>
      </c>
      <c r="P1540" s="0" t="n">
        <v>3.18</v>
      </c>
      <c r="Q1540" s="0" t="n">
        <v>3.34</v>
      </c>
      <c r="R1540" s="0" t="n">
        <v>4316</v>
      </c>
      <c r="S1540" s="0" t="n">
        <v>9628</v>
      </c>
      <c r="T1540" s="0" t="n">
        <v>47.15</v>
      </c>
      <c r="U1540" s="0" t="n">
        <v>844</v>
      </c>
      <c r="V1540" s="0" t="n">
        <v>3</v>
      </c>
      <c r="W1540" s="27" t="n">
        <f aca="false">MATCH(A1540,DATAS,0)</f>
        <v>1</v>
      </c>
      <c r="X1540" s="27" t="n">
        <f aca="false">IF(AND(E1540&gt;0,OR(AND(B1540&gt;=1,B1540&lt;=6),B1540=10)),1,0)</f>
        <v>1</v>
      </c>
      <c r="Y1540" s="27" t="n">
        <f aca="false">IF(AND(E1540&gt;0,B1540=10),1,0)</f>
        <v>0</v>
      </c>
      <c r="Z1540" s="0" t="str">
        <f aca="false">IF(AND(C1539=C1540,W1539=W1540-1),X1539,"")</f>
        <v/>
      </c>
      <c r="AA1540" s="0" t="str">
        <f aca="false">IF(AND(C1539=C1540,W1539=W1540-1),Y1539,"")</f>
        <v/>
      </c>
      <c r="AB1540" s="0" t="str">
        <f aca="false">IF(W1540=1,"",IF(AND(X1540=1,Z1540&lt;&gt;1),1,0))</f>
        <v/>
      </c>
      <c r="AC1540" s="0" t="str">
        <f aca="false">IF(W1540=1,"",IF(AND(Y1540=1,AA1540&lt;&gt;1),1,0))</f>
        <v/>
      </c>
      <c r="AD1540" s="33" t="str">
        <f aca="false">IF(AND(E1540&gt;0,W1540&lt;1,NOT(AND(C1541=C1540,W1541=W1540+1))),INDEX(DATAS,W1540+1),"")</f>
        <v/>
      </c>
      <c r="AE1540" s="33" t="str">
        <f aca="false">IF(AND(Y1540=1,W1540&lt;1),IF(AND(C1541=C1540,W1541=W1540+1),IF(Y1541=1,"",INDEX(DATAS,W1540+1)),INDEX(DATAS,W1540+1)),"")</f>
        <v/>
      </c>
    </row>
    <row r="1541" customFormat="false" ht="15" hidden="false" customHeight="false" outlineLevel="0" collapsed="false">
      <c r="A1541" s="33" t="n">
        <v>46309</v>
      </c>
      <c r="B1541" s="0" t="n">
        <v>4</v>
      </c>
      <c r="C1541" s="0" t="n">
        <v>5682</v>
      </c>
      <c r="D1541" s="0" t="n">
        <v>199</v>
      </c>
      <c r="E1541" s="0" t="n">
        <v>1</v>
      </c>
      <c r="F1541" s="27" t="s">
        <v>962</v>
      </c>
      <c r="G1541" s="0" t="n">
        <v>51.5</v>
      </c>
      <c r="H1541" s="0" t="n">
        <v>51</v>
      </c>
      <c r="I1541" s="27" t="s">
        <v>138</v>
      </c>
      <c r="J1541" s="0" t="n">
        <v>66</v>
      </c>
      <c r="K1541" s="0" t="n">
        <v>66</v>
      </c>
      <c r="L1541" s="0" t="n">
        <v>133</v>
      </c>
      <c r="P1541" s="0" t="n">
        <v>3.31</v>
      </c>
      <c r="Q1541" s="0" t="n">
        <v>3.42</v>
      </c>
      <c r="R1541" s="0" t="n">
        <v>4068</v>
      </c>
      <c r="S1541" s="0" t="n">
        <v>9228</v>
      </c>
      <c r="T1541" s="0" t="n">
        <v>48.6</v>
      </c>
      <c r="U1541" s="0" t="n">
        <v>843</v>
      </c>
      <c r="V1541" s="0" t="n">
        <v>1</v>
      </c>
      <c r="W1541" s="27" t="n">
        <f aca="false">MATCH(A1541,DATAS,0)</f>
        <v>1</v>
      </c>
      <c r="X1541" s="27" t="n">
        <f aca="false">IF(AND(E1541&gt;0,OR(AND(B1541&gt;=1,B1541&lt;=6),B1541=10)),1,0)</f>
        <v>1</v>
      </c>
      <c r="Y1541" s="27" t="n">
        <f aca="false">IF(AND(E1541&gt;0,B1541=10),1,0)</f>
        <v>0</v>
      </c>
      <c r="Z1541" s="0" t="str">
        <f aca="false">IF(AND(C1540=C1541,W1540=W1541-1),X1540,"")</f>
        <v/>
      </c>
      <c r="AA1541" s="0" t="str">
        <f aca="false">IF(AND(C1540=C1541,W1540=W1541-1),Y1540,"")</f>
        <v/>
      </c>
      <c r="AB1541" s="0" t="str">
        <f aca="false">IF(W1541=1,"",IF(AND(X1541=1,Z1541&lt;&gt;1),1,0))</f>
        <v/>
      </c>
      <c r="AC1541" s="0" t="str">
        <f aca="false">IF(W1541=1,"",IF(AND(Y1541=1,AA1541&lt;&gt;1),1,0))</f>
        <v/>
      </c>
      <c r="AD1541" s="33" t="str">
        <f aca="false">IF(AND(E1541&gt;0,W1541&lt;1,NOT(AND(C1542=C1541,W1542=W1541+1))),INDEX(DATAS,W1541+1),"")</f>
        <v/>
      </c>
      <c r="AE1541" s="33" t="str">
        <f aca="false">IF(AND(Y1541=1,W1541&lt;1),IF(AND(C1542=C1541,W1542=W1541+1),IF(Y1542=1,"",INDEX(DATAS,W1541+1)),INDEX(DATAS,W1541+1)),"")</f>
        <v/>
      </c>
    </row>
    <row r="1542" customFormat="false" ht="15" hidden="false" customHeight="false" outlineLevel="0" collapsed="false">
      <c r="A1542" s="33" t="n">
        <v>46309</v>
      </c>
      <c r="B1542" s="0" t="n">
        <v>4</v>
      </c>
      <c r="C1542" s="0" t="n">
        <v>5683</v>
      </c>
      <c r="D1542" s="0" t="n">
        <v>172</v>
      </c>
      <c r="E1542" s="0" t="n">
        <v>1</v>
      </c>
      <c r="F1542" s="27" t="s">
        <v>963</v>
      </c>
      <c r="G1542" s="0" t="n">
        <v>43.7</v>
      </c>
      <c r="H1542" s="0" t="n">
        <v>39</v>
      </c>
      <c r="I1542" s="27" t="s">
        <v>138</v>
      </c>
      <c r="J1542" s="0" t="n">
        <v>123</v>
      </c>
      <c r="K1542" s="0" t="n">
        <v>67</v>
      </c>
      <c r="L1542" s="0" t="n">
        <v>49</v>
      </c>
      <c r="P1542" s="0" t="n">
        <v>3.32</v>
      </c>
      <c r="Q1542" s="0" t="n">
        <v>3.54</v>
      </c>
      <c r="R1542" s="0" t="n">
        <v>4459</v>
      </c>
      <c r="S1542" s="0" t="n">
        <v>9259</v>
      </c>
      <c r="T1542" s="0" t="n">
        <v>48.85</v>
      </c>
      <c r="U1542" s="0" t="n">
        <v>842</v>
      </c>
      <c r="V1542" s="0" t="n">
        <v>3</v>
      </c>
      <c r="W1542" s="27" t="n">
        <f aca="false">MATCH(A1542,DATAS,0)</f>
        <v>1</v>
      </c>
      <c r="X1542" s="27" t="n">
        <f aca="false">IF(AND(E1542&gt;0,OR(AND(B1542&gt;=1,B1542&lt;=6),B1542=10)),1,0)</f>
        <v>1</v>
      </c>
      <c r="Y1542" s="27" t="n">
        <f aca="false">IF(AND(E1542&gt;0,B1542=10),1,0)</f>
        <v>0</v>
      </c>
      <c r="Z1542" s="0" t="str">
        <f aca="false">IF(AND(C1541=C1542,W1541=W1542-1),X1541,"")</f>
        <v/>
      </c>
      <c r="AA1542" s="0" t="str">
        <f aca="false">IF(AND(C1541=C1542,W1541=W1542-1),Y1541,"")</f>
        <v/>
      </c>
      <c r="AB1542" s="0" t="str">
        <f aca="false">IF(W1542=1,"",IF(AND(X1542=1,Z1542&lt;&gt;1),1,0))</f>
        <v/>
      </c>
      <c r="AC1542" s="0" t="str">
        <f aca="false">IF(W1542=1,"",IF(AND(Y1542=1,AA1542&lt;&gt;1),1,0))</f>
        <v/>
      </c>
      <c r="AD1542" s="33" t="str">
        <f aca="false">IF(AND(E1542&gt;0,W1542&lt;1,NOT(AND(C1543=C1542,W1543=W1542+1))),INDEX(DATAS,W1542+1),"")</f>
        <v/>
      </c>
      <c r="AE1542" s="33" t="str">
        <f aca="false">IF(AND(Y1542=1,W1542&lt;1),IF(AND(C1543=C1542,W1543=W1542+1),IF(Y1543=1,"",INDEX(DATAS,W1542+1)),INDEX(DATAS,W1542+1)),"")</f>
        <v/>
      </c>
    </row>
    <row r="1543" customFormat="false" ht="15" hidden="false" customHeight="false" outlineLevel="0" collapsed="false">
      <c r="A1543" s="33" t="n">
        <v>46309</v>
      </c>
      <c r="B1543" s="0" t="n">
        <v>4</v>
      </c>
      <c r="C1543" s="0" t="n">
        <v>5684</v>
      </c>
      <c r="D1543" s="0" t="n">
        <v>188</v>
      </c>
      <c r="E1543" s="0" t="n">
        <v>1</v>
      </c>
      <c r="F1543" s="27" t="s">
        <v>963</v>
      </c>
      <c r="G1543" s="0" t="n">
        <v>30.9</v>
      </c>
      <c r="H1543" s="0" t="n">
        <v>29</v>
      </c>
      <c r="I1543" s="27" t="s">
        <v>176</v>
      </c>
      <c r="J1543" s="0" t="n">
        <v>188</v>
      </c>
      <c r="K1543" s="0" t="n">
        <v>62</v>
      </c>
      <c r="P1543" s="0" t="n">
        <v>4.81</v>
      </c>
      <c r="Q1543" s="0" t="n">
        <v>3.33</v>
      </c>
      <c r="R1543" s="0" t="n">
        <v>3586</v>
      </c>
      <c r="S1543" s="0" t="n">
        <v>6486</v>
      </c>
      <c r="T1543" s="0" t="n">
        <v>37.25</v>
      </c>
      <c r="U1543" s="0" t="n">
        <v>842</v>
      </c>
      <c r="V1543" s="0" t="n">
        <v>3</v>
      </c>
      <c r="W1543" s="27" t="n">
        <f aca="false">MATCH(A1543,DATAS,0)</f>
        <v>1</v>
      </c>
      <c r="X1543" s="27" t="n">
        <f aca="false">IF(AND(E1543&gt;0,OR(AND(B1543&gt;=1,B1543&lt;=6),B1543=10)),1,0)</f>
        <v>1</v>
      </c>
      <c r="Y1543" s="27" t="n">
        <f aca="false">IF(AND(E1543&gt;0,B1543=10),1,0)</f>
        <v>0</v>
      </c>
      <c r="Z1543" s="0" t="str">
        <f aca="false">IF(AND(C1542=C1543,W1542=W1543-1),X1542,"")</f>
        <v/>
      </c>
      <c r="AA1543" s="0" t="str">
        <f aca="false">IF(AND(C1542=C1543,W1542=W1543-1),Y1542,"")</f>
        <v/>
      </c>
      <c r="AB1543" s="0" t="str">
        <f aca="false">IF(W1543=1,"",IF(AND(X1543=1,Z1543&lt;&gt;1),1,0))</f>
        <v/>
      </c>
      <c r="AC1543" s="0" t="str">
        <f aca="false">IF(W1543=1,"",IF(AND(Y1543=1,AA1543&lt;&gt;1),1,0))</f>
        <v/>
      </c>
      <c r="AD1543" s="33" t="str">
        <f aca="false">IF(AND(E1543&gt;0,W1543&lt;1,NOT(AND(C1544=C1543,W1544=W1543+1))),INDEX(DATAS,W1543+1),"")</f>
        <v/>
      </c>
      <c r="AE1543" s="33" t="str">
        <f aca="false">IF(AND(Y1543=1,W1543&lt;1),IF(AND(C1544=C1543,W1544=W1543+1),IF(Y1544=1,"",INDEX(DATAS,W1543+1)),INDEX(DATAS,W1543+1)),"")</f>
        <v/>
      </c>
    </row>
    <row r="1544" customFormat="false" ht="15" hidden="false" customHeight="false" outlineLevel="0" collapsed="false">
      <c r="A1544" s="33" t="n">
        <v>46309</v>
      </c>
      <c r="B1544" s="0" t="n">
        <v>4</v>
      </c>
      <c r="C1544" s="0" t="n">
        <v>5685</v>
      </c>
      <c r="D1544" s="0" t="n">
        <v>192</v>
      </c>
      <c r="E1544" s="0" t="n">
        <v>1</v>
      </c>
      <c r="F1544" s="27" t="s">
        <v>963</v>
      </c>
      <c r="G1544" s="0" t="n">
        <v>53.6</v>
      </c>
      <c r="H1544" s="0" t="n">
        <v>55</v>
      </c>
      <c r="I1544" s="27" t="s">
        <v>138</v>
      </c>
      <c r="J1544" s="0" t="n">
        <v>66</v>
      </c>
      <c r="K1544" s="0" t="n">
        <v>66</v>
      </c>
      <c r="L1544" s="0" t="n">
        <v>126</v>
      </c>
      <c r="P1544" s="0" t="n">
        <v>3.1</v>
      </c>
      <c r="Q1544" s="0" t="n">
        <v>2.97</v>
      </c>
      <c r="R1544" s="0" t="n">
        <v>4784</v>
      </c>
      <c r="S1544" s="0" t="n">
        <v>10713</v>
      </c>
      <c r="T1544" s="0" t="n">
        <v>51.55</v>
      </c>
      <c r="U1544" s="0" t="n">
        <v>842</v>
      </c>
      <c r="V1544" s="0" t="n">
        <v>1</v>
      </c>
      <c r="W1544" s="27" t="n">
        <f aca="false">MATCH(A1544,DATAS,0)</f>
        <v>1</v>
      </c>
      <c r="X1544" s="27" t="n">
        <f aca="false">IF(AND(E1544&gt;0,OR(AND(B1544&gt;=1,B1544&lt;=6),B1544=10)),1,0)</f>
        <v>1</v>
      </c>
      <c r="Y1544" s="27" t="n">
        <f aca="false">IF(AND(E1544&gt;0,B1544=10),1,0)</f>
        <v>0</v>
      </c>
      <c r="Z1544" s="0" t="str">
        <f aca="false">IF(AND(C1543=C1544,W1543=W1544-1),X1543,"")</f>
        <v/>
      </c>
      <c r="AA1544" s="0" t="str">
        <f aca="false">IF(AND(C1543=C1544,W1543=W1544-1),Y1543,"")</f>
        <v/>
      </c>
      <c r="AB1544" s="0" t="str">
        <f aca="false">IF(W1544=1,"",IF(AND(X1544=1,Z1544&lt;&gt;1),1,0))</f>
        <v/>
      </c>
      <c r="AC1544" s="0" t="str">
        <f aca="false">IF(W1544=1,"",IF(AND(Y1544=1,AA1544&lt;&gt;1),1,0))</f>
        <v/>
      </c>
      <c r="AD1544" s="33" t="str">
        <f aca="false">IF(AND(E1544&gt;0,W1544&lt;1,NOT(AND(C1545=C1544,W1545=W1544+1))),INDEX(DATAS,W1544+1),"")</f>
        <v/>
      </c>
      <c r="AE1544" s="33" t="str">
        <f aca="false">IF(AND(Y1544=1,W1544&lt;1),IF(AND(C1545=C1544,W1545=W1544+1),IF(Y1545=1,"",INDEX(DATAS,W1544+1)),INDEX(DATAS,W1544+1)),"")</f>
        <v/>
      </c>
    </row>
    <row r="1545" customFormat="false" ht="15" hidden="false" customHeight="false" outlineLevel="0" collapsed="false">
      <c r="A1545" s="33" t="n">
        <v>46309</v>
      </c>
      <c r="B1545" s="0" t="n">
        <v>4</v>
      </c>
      <c r="C1545" s="0" t="n">
        <v>5686</v>
      </c>
      <c r="D1545" s="0" t="n">
        <v>182</v>
      </c>
      <c r="E1545" s="0" t="n">
        <v>1</v>
      </c>
      <c r="F1545" s="27" t="s">
        <v>964</v>
      </c>
      <c r="G1545" s="0" t="n">
        <v>59.7</v>
      </c>
      <c r="H1545" s="0" t="n">
        <v>59</v>
      </c>
      <c r="I1545" s="27" t="s">
        <v>168</v>
      </c>
      <c r="J1545" s="0" t="n">
        <v>182</v>
      </c>
      <c r="K1545" s="0" t="n">
        <v>63</v>
      </c>
      <c r="P1545" s="0" t="n">
        <v>3.26</v>
      </c>
      <c r="Q1545" s="0" t="n">
        <v>3.22</v>
      </c>
      <c r="R1545" s="0" t="n">
        <v>5197</v>
      </c>
      <c r="S1545" s="0" t="n">
        <v>11195</v>
      </c>
      <c r="T1545" s="0" t="n">
        <v>60.5</v>
      </c>
      <c r="U1545" s="0" t="n">
        <v>841</v>
      </c>
      <c r="V1545" s="0" t="n">
        <v>6</v>
      </c>
      <c r="W1545" s="27" t="n">
        <f aca="false">MATCH(A1545,DATAS,0)</f>
        <v>1</v>
      </c>
      <c r="X1545" s="27" t="n">
        <f aca="false">IF(AND(E1545&gt;0,OR(AND(B1545&gt;=1,B1545&lt;=6),B1545=10)),1,0)</f>
        <v>1</v>
      </c>
      <c r="Y1545" s="27" t="n">
        <f aca="false">IF(AND(E1545&gt;0,B1545=10),1,0)</f>
        <v>0</v>
      </c>
      <c r="Z1545" s="0" t="str">
        <f aca="false">IF(AND(C1544=C1545,W1544=W1545-1),X1544,"")</f>
        <v/>
      </c>
      <c r="AA1545" s="0" t="str">
        <f aca="false">IF(AND(C1544=C1545,W1544=W1545-1),Y1544,"")</f>
        <v/>
      </c>
      <c r="AB1545" s="0" t="str">
        <f aca="false">IF(W1545=1,"",IF(AND(X1545=1,Z1545&lt;&gt;1),1,0))</f>
        <v/>
      </c>
      <c r="AC1545" s="0" t="str">
        <f aca="false">IF(W1545=1,"",IF(AND(Y1545=1,AA1545&lt;&gt;1),1,0))</f>
        <v/>
      </c>
      <c r="AD1545" s="33" t="str">
        <f aca="false">IF(AND(E1545&gt;0,W1545&lt;1,NOT(AND(C1546=C1545,W1546=W1545+1))),INDEX(DATAS,W1545+1),"")</f>
        <v/>
      </c>
      <c r="AE1545" s="33" t="str">
        <f aca="false">IF(AND(Y1545=1,W1545&lt;1),IF(AND(C1546=C1545,W1546=W1545+1),IF(Y1546=1,"",INDEX(DATAS,W1545+1)),INDEX(DATAS,W1545+1)),"")</f>
        <v/>
      </c>
    </row>
    <row r="1546" customFormat="false" ht="15" hidden="false" customHeight="false" outlineLevel="0" collapsed="false">
      <c r="A1546" s="33" t="n">
        <v>46309</v>
      </c>
      <c r="B1546" s="0" t="n">
        <v>1</v>
      </c>
      <c r="C1546" s="0" t="n">
        <v>5687</v>
      </c>
      <c r="D1546" s="0" t="n">
        <v>101</v>
      </c>
      <c r="E1546" s="0" t="n">
        <v>1</v>
      </c>
      <c r="F1546" s="27" t="s">
        <v>964</v>
      </c>
      <c r="G1546" s="0" t="n">
        <v>51.6</v>
      </c>
      <c r="H1546" s="0" t="n">
        <v>50</v>
      </c>
      <c r="I1546" s="27" t="s">
        <v>176</v>
      </c>
      <c r="J1546" s="0" t="n">
        <v>101</v>
      </c>
      <c r="K1546" s="0" t="n">
        <v>66</v>
      </c>
      <c r="P1546" s="0" t="n">
        <v>4.58</v>
      </c>
      <c r="Q1546" s="0" t="n">
        <v>3.02</v>
      </c>
      <c r="R1546" s="0" t="n">
        <v>4328</v>
      </c>
      <c r="S1546" s="0" t="n">
        <v>8714</v>
      </c>
      <c r="T1546" s="0" t="n">
        <v>47.55</v>
      </c>
      <c r="U1546" s="0" t="n">
        <v>841</v>
      </c>
      <c r="V1546" s="0" t="n">
        <v>1</v>
      </c>
      <c r="W1546" s="27" t="n">
        <f aca="false">MATCH(A1546,DATAS,0)</f>
        <v>1</v>
      </c>
      <c r="X1546" s="27" t="n">
        <f aca="false">IF(AND(E1546&gt;0,OR(AND(B1546&gt;=1,B1546&lt;=6),B1546=10)),1,0)</f>
        <v>1</v>
      </c>
      <c r="Y1546" s="27" t="n">
        <f aca="false">IF(AND(E1546&gt;0,B1546=10),1,0)</f>
        <v>0</v>
      </c>
      <c r="Z1546" s="0" t="str">
        <f aca="false">IF(AND(C1545=C1546,W1545=W1546-1),X1545,"")</f>
        <v/>
      </c>
      <c r="AA1546" s="0" t="str">
        <f aca="false">IF(AND(C1545=C1546,W1545=W1546-1),Y1545,"")</f>
        <v/>
      </c>
      <c r="AB1546" s="0" t="str">
        <f aca="false">IF(W1546=1,"",IF(AND(X1546=1,Z1546&lt;&gt;1),1,0))</f>
        <v/>
      </c>
      <c r="AC1546" s="0" t="str">
        <f aca="false">IF(W1546=1,"",IF(AND(Y1546=1,AA1546&lt;&gt;1),1,0))</f>
        <v/>
      </c>
      <c r="AD1546" s="33" t="str">
        <f aca="false">IF(AND(E1546&gt;0,W1546&lt;1,NOT(AND(C1547=C1546,W1547=W1546+1))),INDEX(DATAS,W1546+1),"")</f>
        <v/>
      </c>
      <c r="AE1546" s="33" t="str">
        <f aca="false">IF(AND(Y1546=1,W1546&lt;1),IF(AND(C1547=C1546,W1547=W1546+1),IF(Y1547=1,"",INDEX(DATAS,W1546+1)),INDEX(DATAS,W1546+1)),"")</f>
        <v/>
      </c>
    </row>
    <row r="1547" customFormat="false" ht="15" hidden="false" customHeight="false" outlineLevel="0" collapsed="false">
      <c r="A1547" s="33" t="n">
        <v>46309</v>
      </c>
      <c r="B1547" s="0" t="n">
        <v>4</v>
      </c>
      <c r="C1547" s="0" t="n">
        <v>5688</v>
      </c>
      <c r="D1547" s="0" t="n">
        <v>192</v>
      </c>
      <c r="E1547" s="0" t="n">
        <v>1</v>
      </c>
      <c r="F1547" s="27" t="s">
        <v>964</v>
      </c>
      <c r="G1547" s="0" t="n">
        <v>48.1</v>
      </c>
      <c r="H1547" s="0" t="n">
        <v>49</v>
      </c>
      <c r="I1547" s="27" t="s">
        <v>138</v>
      </c>
      <c r="J1547" s="0" t="n">
        <v>66</v>
      </c>
      <c r="K1547" s="0" t="n">
        <v>66</v>
      </c>
      <c r="L1547" s="0" t="n">
        <v>126</v>
      </c>
      <c r="P1547" s="0" t="n">
        <v>3.02</v>
      </c>
      <c r="Q1547" s="0" t="n">
        <v>3.5</v>
      </c>
      <c r="R1547" s="0" t="n">
        <v>4098</v>
      </c>
      <c r="S1547" s="0" t="n">
        <v>9331</v>
      </c>
      <c r="T1547" s="0" t="n">
        <v>45.05</v>
      </c>
      <c r="U1547" s="0" t="n">
        <v>841</v>
      </c>
      <c r="V1547" s="0" t="n">
        <v>1</v>
      </c>
      <c r="W1547" s="27" t="n">
        <f aca="false">MATCH(A1547,DATAS,0)</f>
        <v>1</v>
      </c>
      <c r="X1547" s="27" t="n">
        <f aca="false">IF(AND(E1547&gt;0,OR(AND(B1547&gt;=1,B1547&lt;=6),B1547=10)),1,0)</f>
        <v>1</v>
      </c>
      <c r="Y1547" s="27" t="n">
        <f aca="false">IF(AND(E1547&gt;0,B1547=10),1,0)</f>
        <v>0</v>
      </c>
      <c r="Z1547" s="0" t="str">
        <f aca="false">IF(AND(C1546=C1547,W1546=W1547-1),X1546,"")</f>
        <v/>
      </c>
      <c r="AA1547" s="0" t="str">
        <f aca="false">IF(AND(C1546=C1547,W1546=W1547-1),Y1546,"")</f>
        <v/>
      </c>
      <c r="AB1547" s="0" t="str">
        <f aca="false">IF(W1547=1,"",IF(AND(X1547=1,Z1547&lt;&gt;1),1,0))</f>
        <v/>
      </c>
      <c r="AC1547" s="0" t="str">
        <f aca="false">IF(W1547=1,"",IF(AND(Y1547=1,AA1547&lt;&gt;1),1,0))</f>
        <v/>
      </c>
      <c r="AD1547" s="33" t="str">
        <f aca="false">IF(AND(E1547&gt;0,W1547&lt;1,NOT(AND(C1548=C1547,W1548=W1547+1))),INDEX(DATAS,W1547+1),"")</f>
        <v/>
      </c>
      <c r="AE1547" s="33" t="str">
        <f aca="false">IF(AND(Y1547=1,W1547&lt;1),IF(AND(C1548=C1547,W1548=W1547+1),IF(Y1548=1,"",INDEX(DATAS,W1547+1)),INDEX(DATAS,W1547+1)),"")</f>
        <v/>
      </c>
    </row>
    <row r="1548" customFormat="false" ht="15" hidden="false" customHeight="false" outlineLevel="0" collapsed="false">
      <c r="A1548" s="33" t="n">
        <v>46309</v>
      </c>
      <c r="B1548" s="0" t="n">
        <v>4</v>
      </c>
      <c r="C1548" s="0" t="n">
        <v>5690</v>
      </c>
      <c r="D1548" s="0" t="n">
        <v>152</v>
      </c>
      <c r="E1548" s="0" t="n">
        <v>1</v>
      </c>
      <c r="F1548" s="27" t="s">
        <v>964</v>
      </c>
      <c r="G1548" s="0" t="n">
        <v>51.5</v>
      </c>
      <c r="H1548" s="0" t="n">
        <v>48</v>
      </c>
      <c r="I1548" s="27" t="s">
        <v>168</v>
      </c>
      <c r="J1548" s="0" t="n">
        <v>152</v>
      </c>
      <c r="K1548" s="0" t="n">
        <v>68</v>
      </c>
      <c r="P1548" s="0" t="n">
        <v>4.03</v>
      </c>
      <c r="Q1548" s="0" t="n">
        <v>3.05</v>
      </c>
      <c r="R1548" s="0" t="n">
        <v>4882</v>
      </c>
      <c r="S1548" s="0" t="n">
        <v>10242</v>
      </c>
      <c r="T1548" s="0" t="n">
        <v>51.3</v>
      </c>
      <c r="U1548" s="0" t="n">
        <v>841</v>
      </c>
      <c r="V1548" s="0" t="n">
        <v>4</v>
      </c>
      <c r="W1548" s="27" t="n">
        <f aca="false">MATCH(A1548,DATAS,0)</f>
        <v>1</v>
      </c>
      <c r="X1548" s="27" t="n">
        <f aca="false">IF(AND(E1548&gt;0,OR(AND(B1548&gt;=1,B1548&lt;=6),B1548=10)),1,0)</f>
        <v>1</v>
      </c>
      <c r="Y1548" s="27" t="n">
        <f aca="false">IF(AND(E1548&gt;0,B1548=10),1,0)</f>
        <v>0</v>
      </c>
      <c r="Z1548" s="0" t="str">
        <f aca="false">IF(AND(C1547=C1548,W1547=W1548-1),X1547,"")</f>
        <v/>
      </c>
      <c r="AA1548" s="0" t="str">
        <f aca="false">IF(AND(C1547=C1548,W1547=W1548-1),Y1547,"")</f>
        <v/>
      </c>
      <c r="AB1548" s="0" t="str">
        <f aca="false">IF(W1548=1,"",IF(AND(X1548=1,Z1548&lt;&gt;1),1,0))</f>
        <v/>
      </c>
      <c r="AC1548" s="0" t="str">
        <f aca="false">IF(W1548=1,"",IF(AND(Y1548=1,AA1548&lt;&gt;1),1,0))</f>
        <v/>
      </c>
      <c r="AD1548" s="33" t="str">
        <f aca="false">IF(AND(E1548&gt;0,W1548&lt;1,NOT(AND(C1549=C1548,W1549=W1548+1))),INDEX(DATAS,W1548+1),"")</f>
        <v/>
      </c>
      <c r="AE1548" s="33" t="str">
        <f aca="false">IF(AND(Y1548=1,W1548&lt;1),IF(AND(C1549=C1548,W1549=W1548+1),IF(Y1549=1,"",INDEX(DATAS,W1548+1)),INDEX(DATAS,W1548+1)),"")</f>
        <v/>
      </c>
    </row>
    <row r="1549" customFormat="false" ht="15" hidden="false" customHeight="false" outlineLevel="0" collapsed="false">
      <c r="A1549" s="33" t="n">
        <v>46309</v>
      </c>
      <c r="B1549" s="0" t="n">
        <v>4</v>
      </c>
      <c r="C1549" s="0" t="n">
        <v>5691</v>
      </c>
      <c r="D1549" s="0" t="n">
        <v>201</v>
      </c>
      <c r="E1549" s="0" t="n">
        <v>1</v>
      </c>
      <c r="F1549" s="27" t="s">
        <v>965</v>
      </c>
      <c r="G1549" s="0" t="n">
        <v>56.8</v>
      </c>
      <c r="H1549" s="0" t="n">
        <v>54</v>
      </c>
      <c r="I1549" s="27" t="s">
        <v>138</v>
      </c>
      <c r="J1549" s="0" t="n">
        <v>89</v>
      </c>
      <c r="K1549" s="0" t="n">
        <v>89</v>
      </c>
      <c r="L1549" s="0" t="n">
        <v>112</v>
      </c>
      <c r="P1549" s="0" t="n">
        <v>2.89</v>
      </c>
      <c r="Q1549" s="0" t="n">
        <v>3.67</v>
      </c>
      <c r="R1549" s="0" t="n">
        <v>4409</v>
      </c>
      <c r="S1549" s="0" t="n">
        <v>10018</v>
      </c>
      <c r="T1549" s="0" t="n">
        <v>50.6</v>
      </c>
      <c r="U1549" s="0" t="n">
        <v>840</v>
      </c>
      <c r="V1549" s="0" t="n">
        <v>1</v>
      </c>
      <c r="W1549" s="27" t="n">
        <f aca="false">MATCH(A1549,DATAS,0)</f>
        <v>1</v>
      </c>
      <c r="X1549" s="27" t="n">
        <f aca="false">IF(AND(E1549&gt;0,OR(AND(B1549&gt;=1,B1549&lt;=6),B1549=10)),1,0)</f>
        <v>1</v>
      </c>
      <c r="Y1549" s="27" t="n">
        <f aca="false">IF(AND(E1549&gt;0,B1549=10),1,0)</f>
        <v>0</v>
      </c>
      <c r="Z1549" s="0" t="str">
        <f aca="false">IF(AND(C1548=C1549,W1548=W1549-1),X1548,"")</f>
        <v/>
      </c>
      <c r="AA1549" s="0" t="str">
        <f aca="false">IF(AND(C1548=C1549,W1548=W1549-1),Y1548,"")</f>
        <v/>
      </c>
      <c r="AB1549" s="0" t="str">
        <f aca="false">IF(W1549=1,"",IF(AND(X1549=1,Z1549&lt;&gt;1),1,0))</f>
        <v/>
      </c>
      <c r="AC1549" s="0" t="str">
        <f aca="false">IF(W1549=1,"",IF(AND(Y1549=1,AA1549&lt;&gt;1),1,0))</f>
        <v/>
      </c>
      <c r="AD1549" s="33" t="str">
        <f aca="false">IF(AND(E1549&gt;0,W1549&lt;1,NOT(AND(C1550=C1549,W1550=W1549+1))),INDEX(DATAS,W1549+1),"")</f>
        <v/>
      </c>
      <c r="AE1549" s="33" t="str">
        <f aca="false">IF(AND(Y1549=1,W1549&lt;1),IF(AND(C1550=C1549,W1550=W1549+1),IF(Y1550=1,"",INDEX(DATAS,W1549+1)),INDEX(DATAS,W1549+1)),"")</f>
        <v/>
      </c>
    </row>
    <row r="1550" customFormat="false" ht="15" hidden="false" customHeight="false" outlineLevel="0" collapsed="false">
      <c r="A1550" s="33" t="n">
        <v>46309</v>
      </c>
      <c r="B1550" s="0" t="n">
        <v>4</v>
      </c>
      <c r="C1550" s="0" t="n">
        <v>5692</v>
      </c>
      <c r="D1550" s="0" t="n">
        <v>192</v>
      </c>
      <c r="E1550" s="0" t="n">
        <v>1</v>
      </c>
      <c r="F1550" s="27" t="s">
        <v>965</v>
      </c>
      <c r="G1550" s="0" t="n">
        <v>41.7</v>
      </c>
      <c r="H1550" s="0" t="n">
        <v>42</v>
      </c>
      <c r="I1550" s="27" t="s">
        <v>138</v>
      </c>
      <c r="J1550" s="0" t="n">
        <v>143</v>
      </c>
      <c r="K1550" s="0" t="n">
        <v>66</v>
      </c>
      <c r="L1550" s="0" t="n">
        <v>49</v>
      </c>
      <c r="P1550" s="0" t="n">
        <v>4.01</v>
      </c>
      <c r="Q1550" s="0" t="n">
        <v>3.34</v>
      </c>
      <c r="R1550" s="0" t="n">
        <v>3517</v>
      </c>
      <c r="S1550" s="0" t="n">
        <v>7952</v>
      </c>
      <c r="T1550" s="0" t="n">
        <v>38.05</v>
      </c>
      <c r="U1550" s="0" t="n">
        <v>840</v>
      </c>
      <c r="V1550" s="0" t="n">
        <v>3</v>
      </c>
      <c r="W1550" s="27" t="n">
        <f aca="false">MATCH(A1550,DATAS,0)</f>
        <v>1</v>
      </c>
      <c r="X1550" s="27" t="n">
        <f aca="false">IF(AND(E1550&gt;0,OR(AND(B1550&gt;=1,B1550&lt;=6),B1550=10)),1,0)</f>
        <v>1</v>
      </c>
      <c r="Y1550" s="27" t="n">
        <f aca="false">IF(AND(E1550&gt;0,B1550=10),1,0)</f>
        <v>0</v>
      </c>
      <c r="Z1550" s="0" t="str">
        <f aca="false">IF(AND(C1549=C1550,W1549=W1550-1),X1549,"")</f>
        <v/>
      </c>
      <c r="AA1550" s="0" t="str">
        <f aca="false">IF(AND(C1549=C1550,W1549=W1550-1),Y1549,"")</f>
        <v/>
      </c>
      <c r="AB1550" s="0" t="str">
        <f aca="false">IF(W1550=1,"",IF(AND(X1550=1,Z1550&lt;&gt;1),1,0))</f>
        <v/>
      </c>
      <c r="AC1550" s="0" t="str">
        <f aca="false">IF(W1550=1,"",IF(AND(Y1550=1,AA1550&lt;&gt;1),1,0))</f>
        <v/>
      </c>
      <c r="AD1550" s="33" t="str">
        <f aca="false">IF(AND(E1550&gt;0,W1550&lt;1,NOT(AND(C1551=C1550,W1551=W1550+1))),INDEX(DATAS,W1550+1),"")</f>
        <v/>
      </c>
      <c r="AE1550" s="33" t="str">
        <f aca="false">IF(AND(Y1550=1,W1550&lt;1),IF(AND(C1551=C1550,W1551=W1550+1),IF(Y1551=1,"",INDEX(DATAS,W1550+1)),INDEX(DATAS,W1550+1)),"")</f>
        <v/>
      </c>
    </row>
    <row r="1551" customFormat="false" ht="15" hidden="false" customHeight="false" outlineLevel="0" collapsed="false">
      <c r="A1551" s="33" t="n">
        <v>46309</v>
      </c>
      <c r="B1551" s="0" t="n">
        <v>1</v>
      </c>
      <c r="C1551" s="0" t="n">
        <v>5693</v>
      </c>
      <c r="D1551" s="0" t="n">
        <v>100</v>
      </c>
      <c r="E1551" s="0" t="n">
        <v>1</v>
      </c>
      <c r="F1551" s="27" t="s">
        <v>966</v>
      </c>
      <c r="G1551" s="0" t="n">
        <v>37.6</v>
      </c>
      <c r="H1551" s="0" t="n">
        <v>39</v>
      </c>
      <c r="I1551" s="27" t="s">
        <v>176</v>
      </c>
      <c r="J1551" s="0" t="n">
        <v>100</v>
      </c>
      <c r="K1551" s="0" t="n">
        <v>65</v>
      </c>
      <c r="P1551" s="0" t="n">
        <v>3.93</v>
      </c>
      <c r="Q1551" s="0" t="n">
        <v>3.08</v>
      </c>
      <c r="R1551" s="0" t="n">
        <v>3715</v>
      </c>
      <c r="S1551" s="0" t="n">
        <v>7467</v>
      </c>
      <c r="T1551" s="0" t="n">
        <v>43.5</v>
      </c>
      <c r="U1551" s="0" t="n">
        <v>839</v>
      </c>
      <c r="V1551" s="0" t="n">
        <v>1</v>
      </c>
      <c r="W1551" s="27" t="n">
        <f aca="false">MATCH(A1551,DATAS,0)</f>
        <v>1</v>
      </c>
      <c r="X1551" s="27" t="n">
        <f aca="false">IF(AND(E1551&gt;0,OR(AND(B1551&gt;=1,B1551&lt;=6),B1551=10)),1,0)</f>
        <v>1</v>
      </c>
      <c r="Y1551" s="27" t="n">
        <f aca="false">IF(AND(E1551&gt;0,B1551=10),1,0)</f>
        <v>0</v>
      </c>
      <c r="Z1551" s="0" t="str">
        <f aca="false">IF(AND(C1550=C1551,W1550=W1551-1),X1550,"")</f>
        <v/>
      </c>
      <c r="AA1551" s="0" t="str">
        <f aca="false">IF(AND(C1550=C1551,W1550=W1551-1),Y1550,"")</f>
        <v/>
      </c>
      <c r="AB1551" s="0" t="str">
        <f aca="false">IF(W1551=1,"",IF(AND(X1551=1,Z1551&lt;&gt;1),1,0))</f>
        <v/>
      </c>
      <c r="AC1551" s="0" t="str">
        <f aca="false">IF(W1551=1,"",IF(AND(Y1551=1,AA1551&lt;&gt;1),1,0))</f>
        <v/>
      </c>
      <c r="AD1551" s="33" t="str">
        <f aca="false">IF(AND(E1551&gt;0,W1551&lt;1,NOT(AND(C1552=C1551,W1552=W1551+1))),INDEX(DATAS,W1551+1),"")</f>
        <v/>
      </c>
      <c r="AE1551" s="33" t="str">
        <f aca="false">IF(AND(Y1551=1,W1551&lt;1),IF(AND(C1552=C1551,W1552=W1551+1),IF(Y1552=1,"",INDEX(DATAS,W1551+1)),INDEX(DATAS,W1551+1)),"")</f>
        <v/>
      </c>
    </row>
    <row r="1552" customFormat="false" ht="15" hidden="false" customHeight="false" outlineLevel="0" collapsed="false">
      <c r="A1552" s="33" t="n">
        <v>46309</v>
      </c>
      <c r="B1552" s="0" t="n">
        <v>4</v>
      </c>
      <c r="C1552" s="0" t="n">
        <v>5694</v>
      </c>
      <c r="D1552" s="0" t="n">
        <v>137</v>
      </c>
      <c r="E1552" s="0" t="n">
        <v>1</v>
      </c>
      <c r="F1552" s="27" t="s">
        <v>966</v>
      </c>
      <c r="G1552" s="0" t="n">
        <v>43.9</v>
      </c>
      <c r="H1552" s="0" t="n">
        <v>46</v>
      </c>
      <c r="I1552" s="27" t="s">
        <v>168</v>
      </c>
      <c r="J1552" s="0" t="n">
        <v>137</v>
      </c>
      <c r="K1552" s="0" t="n">
        <v>67</v>
      </c>
      <c r="P1552" s="0" t="n">
        <v>4.27</v>
      </c>
      <c r="Q1552" s="0" t="n">
        <v>3.38</v>
      </c>
      <c r="R1552" s="0" t="n">
        <v>3402</v>
      </c>
      <c r="S1552" s="0" t="n">
        <v>7460</v>
      </c>
      <c r="T1552" s="0" t="n">
        <v>38</v>
      </c>
      <c r="U1552" s="0" t="n">
        <v>839</v>
      </c>
      <c r="V1552" s="0" t="n">
        <v>2</v>
      </c>
      <c r="W1552" s="27" t="n">
        <f aca="false">MATCH(A1552,DATAS,0)</f>
        <v>1</v>
      </c>
      <c r="X1552" s="27" t="n">
        <f aca="false">IF(AND(E1552&gt;0,OR(AND(B1552&gt;=1,B1552&lt;=6),B1552=10)),1,0)</f>
        <v>1</v>
      </c>
      <c r="Y1552" s="27" t="n">
        <f aca="false">IF(AND(E1552&gt;0,B1552=10),1,0)</f>
        <v>0</v>
      </c>
      <c r="Z1552" s="0" t="str">
        <f aca="false">IF(AND(C1551=C1552,W1551=W1552-1),X1551,"")</f>
        <v/>
      </c>
      <c r="AA1552" s="0" t="str">
        <f aca="false">IF(AND(C1551=C1552,W1551=W1552-1),Y1551,"")</f>
        <v/>
      </c>
      <c r="AB1552" s="0" t="str">
        <f aca="false">IF(W1552=1,"",IF(AND(X1552=1,Z1552&lt;&gt;1),1,0))</f>
        <v/>
      </c>
      <c r="AC1552" s="0" t="str">
        <f aca="false">IF(W1552=1,"",IF(AND(Y1552=1,AA1552&lt;&gt;1),1,0))</f>
        <v/>
      </c>
      <c r="AD1552" s="33" t="str">
        <f aca="false">IF(AND(E1552&gt;0,W1552&lt;1,NOT(AND(C1553=C1552,W1553=W1552+1))),INDEX(DATAS,W1552+1),"")</f>
        <v/>
      </c>
      <c r="AE1552" s="33" t="str">
        <f aca="false">IF(AND(Y1552=1,W1552&lt;1),IF(AND(C1553=C1552,W1553=W1552+1),IF(Y1553=1,"",INDEX(DATAS,W1552+1)),INDEX(DATAS,W1552+1)),"")</f>
        <v/>
      </c>
    </row>
    <row r="1553" customFormat="false" ht="15" hidden="false" customHeight="false" outlineLevel="0" collapsed="false">
      <c r="A1553" s="33" t="n">
        <v>46309</v>
      </c>
      <c r="B1553" s="0" t="n">
        <v>4</v>
      </c>
      <c r="C1553" s="0" t="n">
        <v>5695</v>
      </c>
      <c r="D1553" s="0" t="n">
        <v>199</v>
      </c>
      <c r="E1553" s="0" t="n">
        <v>1</v>
      </c>
      <c r="F1553" s="27" t="s">
        <v>967</v>
      </c>
      <c r="G1553" s="0" t="n">
        <v>49.5</v>
      </c>
      <c r="H1553" s="0" t="n">
        <v>51</v>
      </c>
      <c r="I1553" s="27" t="s">
        <v>138</v>
      </c>
      <c r="J1553" s="0" t="n">
        <v>66</v>
      </c>
      <c r="K1553" s="0" t="n">
        <v>66</v>
      </c>
      <c r="L1553" s="0" t="n">
        <v>133</v>
      </c>
      <c r="P1553" s="0" t="n">
        <v>3.5</v>
      </c>
      <c r="Q1553" s="0" t="n">
        <v>3.33</v>
      </c>
      <c r="R1553" s="0" t="n">
        <v>4271</v>
      </c>
      <c r="S1553" s="0" t="n">
        <v>9621</v>
      </c>
      <c r="T1553" s="0" t="n">
        <v>50.1</v>
      </c>
      <c r="U1553" s="0" t="n">
        <v>838</v>
      </c>
      <c r="V1553" s="0" t="n">
        <v>1</v>
      </c>
      <c r="W1553" s="27" t="n">
        <f aca="false">MATCH(A1553,DATAS,0)</f>
        <v>1</v>
      </c>
      <c r="X1553" s="27" t="n">
        <f aca="false">IF(AND(E1553&gt;0,OR(AND(B1553&gt;=1,B1553&lt;=6),B1553=10)),1,0)</f>
        <v>1</v>
      </c>
      <c r="Y1553" s="27" t="n">
        <f aca="false">IF(AND(E1553&gt;0,B1553=10),1,0)</f>
        <v>0</v>
      </c>
      <c r="Z1553" s="0" t="str">
        <f aca="false">IF(AND(C1552=C1553,W1552=W1553-1),X1552,"")</f>
        <v/>
      </c>
      <c r="AA1553" s="0" t="str">
        <f aca="false">IF(AND(C1552=C1553,W1552=W1553-1),Y1552,"")</f>
        <v/>
      </c>
      <c r="AB1553" s="0" t="str">
        <f aca="false">IF(W1553=1,"",IF(AND(X1553=1,Z1553&lt;&gt;1),1,0))</f>
        <v/>
      </c>
      <c r="AC1553" s="0" t="str">
        <f aca="false">IF(W1553=1,"",IF(AND(Y1553=1,AA1553&lt;&gt;1),1,0))</f>
        <v/>
      </c>
      <c r="AD1553" s="33" t="str">
        <f aca="false">IF(AND(E1553&gt;0,W1553&lt;1,NOT(AND(C1554=C1553,W1554=W1553+1))),INDEX(DATAS,W1553+1),"")</f>
        <v/>
      </c>
      <c r="AE1553" s="33" t="str">
        <f aca="false">IF(AND(Y1553=1,W1553&lt;1),IF(AND(C1554=C1553,W1554=W1553+1),IF(Y1554=1,"",INDEX(DATAS,W1553+1)),INDEX(DATAS,W1553+1)),"")</f>
        <v/>
      </c>
    </row>
    <row r="1554" customFormat="false" ht="15" hidden="false" customHeight="false" outlineLevel="0" collapsed="false">
      <c r="A1554" s="33" t="n">
        <v>46309</v>
      </c>
      <c r="B1554" s="0" t="n">
        <v>4</v>
      </c>
      <c r="C1554" s="0" t="n">
        <v>5697</v>
      </c>
      <c r="D1554" s="0" t="n">
        <v>202</v>
      </c>
      <c r="E1554" s="0" t="n">
        <v>1</v>
      </c>
      <c r="F1554" s="27" t="s">
        <v>968</v>
      </c>
      <c r="G1554" s="0" t="n">
        <v>46.2</v>
      </c>
      <c r="H1554" s="0" t="n">
        <v>45</v>
      </c>
      <c r="I1554" s="27" t="s">
        <v>138</v>
      </c>
      <c r="J1554" s="0" t="n">
        <v>69</v>
      </c>
      <c r="K1554" s="0" t="n">
        <v>69</v>
      </c>
      <c r="L1554" s="0" t="n">
        <v>133</v>
      </c>
      <c r="P1554" s="0" t="n">
        <v>3.58</v>
      </c>
      <c r="Q1554" s="0" t="n">
        <v>3.59</v>
      </c>
      <c r="R1554" s="0" t="n">
        <v>3409</v>
      </c>
      <c r="S1554" s="0" t="n">
        <v>7782</v>
      </c>
      <c r="T1554" s="0" t="n">
        <v>38.9</v>
      </c>
      <c r="U1554" s="0" t="n">
        <v>837</v>
      </c>
      <c r="V1554" s="0" t="n">
        <v>1</v>
      </c>
      <c r="W1554" s="27" t="n">
        <f aca="false">MATCH(A1554,DATAS,0)</f>
        <v>1</v>
      </c>
      <c r="X1554" s="27" t="n">
        <f aca="false">IF(AND(E1554&gt;0,OR(AND(B1554&gt;=1,B1554&lt;=6),B1554=10)),1,0)</f>
        <v>1</v>
      </c>
      <c r="Y1554" s="27" t="n">
        <f aca="false">IF(AND(E1554&gt;0,B1554=10),1,0)</f>
        <v>0</v>
      </c>
      <c r="Z1554" s="0" t="str">
        <f aca="false">IF(AND(C1553=C1554,W1553=W1554-1),X1553,"")</f>
        <v/>
      </c>
      <c r="AA1554" s="0" t="str">
        <f aca="false">IF(AND(C1553=C1554,W1553=W1554-1),Y1553,"")</f>
        <v/>
      </c>
      <c r="AB1554" s="0" t="str">
        <f aca="false">IF(W1554=1,"",IF(AND(X1554=1,Z1554&lt;&gt;1),1,0))</f>
        <v/>
      </c>
      <c r="AC1554" s="0" t="str">
        <f aca="false">IF(W1554=1,"",IF(AND(Y1554=1,AA1554&lt;&gt;1),1,0))</f>
        <v/>
      </c>
      <c r="AD1554" s="33" t="str">
        <f aca="false">IF(AND(E1554&gt;0,W1554&lt;1,NOT(AND(C1555=C1554,W1555=W1554+1))),INDEX(DATAS,W1554+1),"")</f>
        <v/>
      </c>
      <c r="AE1554" s="33" t="str">
        <f aca="false">IF(AND(Y1554=1,W1554&lt;1),IF(AND(C1555=C1554,W1555=W1554+1),IF(Y1555=1,"",INDEX(DATAS,W1554+1)),INDEX(DATAS,W1554+1)),"")</f>
        <v/>
      </c>
    </row>
    <row r="1555" customFormat="false" ht="15" hidden="false" customHeight="false" outlineLevel="0" collapsed="false">
      <c r="A1555" s="33" t="n">
        <v>46309</v>
      </c>
      <c r="B1555" s="0" t="n">
        <v>1</v>
      </c>
      <c r="C1555" s="0" t="n">
        <v>5698</v>
      </c>
      <c r="D1555" s="0" t="n">
        <v>91</v>
      </c>
      <c r="E1555" s="0" t="n">
        <v>1</v>
      </c>
      <c r="F1555" s="27" t="s">
        <v>968</v>
      </c>
      <c r="G1555" s="0" t="n">
        <v>53.6</v>
      </c>
      <c r="H1555" s="0" t="n">
        <v>49</v>
      </c>
      <c r="I1555" s="27" t="s">
        <v>168</v>
      </c>
      <c r="J1555" s="0" t="n">
        <v>91</v>
      </c>
      <c r="K1555" s="0" t="n">
        <v>63</v>
      </c>
      <c r="P1555" s="0" t="n">
        <v>3.35</v>
      </c>
      <c r="Q1555" s="0" t="n">
        <v>3</v>
      </c>
      <c r="R1555" s="0" t="n">
        <v>4107</v>
      </c>
      <c r="S1555" s="0" t="n">
        <v>8256</v>
      </c>
      <c r="U1555" s="0" t="n">
        <v>837</v>
      </c>
      <c r="V1555" s="0" t="n">
        <v>2</v>
      </c>
      <c r="W1555" s="27" t="n">
        <f aca="false">MATCH(A1555,DATAS,0)</f>
        <v>1</v>
      </c>
      <c r="X1555" s="27" t="n">
        <f aca="false">IF(AND(E1555&gt;0,OR(AND(B1555&gt;=1,B1555&lt;=6),B1555=10)),1,0)</f>
        <v>1</v>
      </c>
      <c r="Y1555" s="27" t="n">
        <f aca="false">IF(AND(E1555&gt;0,B1555=10),1,0)</f>
        <v>0</v>
      </c>
      <c r="Z1555" s="0" t="str">
        <f aca="false">IF(AND(C1554=C1555,W1554=W1555-1),X1554,"")</f>
        <v/>
      </c>
      <c r="AA1555" s="0" t="str">
        <f aca="false">IF(AND(C1554=C1555,W1554=W1555-1),Y1554,"")</f>
        <v/>
      </c>
      <c r="AB1555" s="0" t="str">
        <f aca="false">IF(W1555=1,"",IF(AND(X1555=1,Z1555&lt;&gt;1),1,0))</f>
        <v/>
      </c>
      <c r="AC1555" s="0" t="str">
        <f aca="false">IF(W1555=1,"",IF(AND(Y1555=1,AA1555&lt;&gt;1),1,0))</f>
        <v/>
      </c>
      <c r="AD1555" s="33" t="str">
        <f aca="false">IF(AND(E1555&gt;0,W1555&lt;1,NOT(AND(C1556=C1555,W1556=W1555+1))),INDEX(DATAS,W1555+1),"")</f>
        <v/>
      </c>
      <c r="AE1555" s="33" t="str">
        <f aca="false">IF(AND(Y1555=1,W1555&lt;1),IF(AND(C1556=C1555,W1556=W1555+1),IF(Y1556=1,"",INDEX(DATAS,W1555+1)),INDEX(DATAS,W1555+1)),"")</f>
        <v/>
      </c>
    </row>
    <row r="1556" customFormat="false" ht="15" hidden="false" customHeight="false" outlineLevel="0" collapsed="false">
      <c r="A1556" s="33" t="n">
        <v>46309</v>
      </c>
      <c r="B1556" s="0" t="n">
        <v>1</v>
      </c>
      <c r="C1556" s="0" t="n">
        <v>5699</v>
      </c>
      <c r="D1556" s="0" t="n">
        <v>96</v>
      </c>
      <c r="E1556" s="0" t="n">
        <v>1</v>
      </c>
      <c r="F1556" s="27" t="s">
        <v>968</v>
      </c>
      <c r="G1556" s="0" t="n">
        <v>61.1</v>
      </c>
      <c r="H1556" s="0" t="n">
        <v>60</v>
      </c>
      <c r="I1556" s="27" t="s">
        <v>168</v>
      </c>
      <c r="J1556" s="0" t="n">
        <v>96</v>
      </c>
      <c r="K1556" s="0" t="n">
        <v>68</v>
      </c>
      <c r="P1556" s="0" t="n">
        <v>3.58</v>
      </c>
      <c r="Q1556" s="0" t="n">
        <v>2.9</v>
      </c>
      <c r="R1556" s="0" t="n">
        <v>4923</v>
      </c>
      <c r="S1556" s="0" t="n">
        <v>9896</v>
      </c>
      <c r="T1556" s="0" t="n">
        <v>49.35</v>
      </c>
      <c r="U1556" s="0" t="n">
        <v>837</v>
      </c>
      <c r="V1556" s="0" t="n">
        <v>2</v>
      </c>
      <c r="W1556" s="27" t="n">
        <f aca="false">MATCH(A1556,DATAS,0)</f>
        <v>1</v>
      </c>
      <c r="X1556" s="27" t="n">
        <f aca="false">IF(AND(E1556&gt;0,OR(AND(B1556&gt;=1,B1556&lt;=6),B1556=10)),1,0)</f>
        <v>1</v>
      </c>
      <c r="Y1556" s="27" t="n">
        <f aca="false">IF(AND(E1556&gt;0,B1556=10),1,0)</f>
        <v>0</v>
      </c>
      <c r="Z1556" s="0" t="str">
        <f aca="false">IF(AND(C1555=C1556,W1555=W1556-1),X1555,"")</f>
        <v/>
      </c>
      <c r="AA1556" s="0" t="str">
        <f aca="false">IF(AND(C1555=C1556,W1555=W1556-1),Y1555,"")</f>
        <v/>
      </c>
      <c r="AB1556" s="0" t="str">
        <f aca="false">IF(W1556=1,"",IF(AND(X1556=1,Z1556&lt;&gt;1),1,0))</f>
        <v/>
      </c>
      <c r="AC1556" s="0" t="str">
        <f aca="false">IF(W1556=1,"",IF(AND(Y1556=1,AA1556&lt;&gt;1),1,0))</f>
        <v/>
      </c>
      <c r="AD1556" s="33" t="str">
        <f aca="false">IF(AND(E1556&gt;0,W1556&lt;1,NOT(AND(C1557=C1556,W1557=W1556+1))),INDEX(DATAS,W1556+1),"")</f>
        <v/>
      </c>
      <c r="AE1556" s="33" t="str">
        <f aca="false">IF(AND(Y1556=1,W1556&lt;1),IF(AND(C1557=C1556,W1557=W1556+1),IF(Y1557=1,"",INDEX(DATAS,W1556+1)),INDEX(DATAS,W1556+1)),"")</f>
        <v/>
      </c>
    </row>
    <row r="1557" customFormat="false" ht="15" hidden="false" customHeight="false" outlineLevel="0" collapsed="false">
      <c r="A1557" s="33" t="n">
        <v>46309</v>
      </c>
      <c r="B1557" s="0" t="n">
        <v>4</v>
      </c>
      <c r="C1557" s="0" t="n">
        <v>5700</v>
      </c>
      <c r="D1557" s="0" t="n">
        <v>187</v>
      </c>
      <c r="E1557" s="0" t="n">
        <v>1</v>
      </c>
      <c r="F1557" s="27" t="s">
        <v>968</v>
      </c>
      <c r="G1557" s="0" t="n">
        <v>52.4</v>
      </c>
      <c r="H1557" s="0" t="n">
        <v>54</v>
      </c>
      <c r="I1557" s="27" t="s">
        <v>138</v>
      </c>
      <c r="J1557" s="0" t="n">
        <v>97</v>
      </c>
      <c r="K1557" s="0" t="n">
        <v>75</v>
      </c>
      <c r="L1557" s="0" t="n">
        <v>90</v>
      </c>
      <c r="P1557" s="0" t="n">
        <v>3.04</v>
      </c>
      <c r="Q1557" s="0" t="n">
        <v>3.35</v>
      </c>
      <c r="R1557" s="0" t="n">
        <v>4058</v>
      </c>
      <c r="S1557" s="0" t="n">
        <v>9490</v>
      </c>
      <c r="T1557" s="0" t="n">
        <v>38.95</v>
      </c>
      <c r="U1557" s="0" t="n">
        <v>837</v>
      </c>
      <c r="V1557" s="0" t="n">
        <v>2</v>
      </c>
      <c r="W1557" s="27" t="n">
        <f aca="false">MATCH(A1557,DATAS,0)</f>
        <v>1</v>
      </c>
      <c r="X1557" s="27" t="n">
        <f aca="false">IF(AND(E1557&gt;0,OR(AND(B1557&gt;=1,B1557&lt;=6),B1557=10)),1,0)</f>
        <v>1</v>
      </c>
      <c r="Y1557" s="27" t="n">
        <f aca="false">IF(AND(E1557&gt;0,B1557=10),1,0)</f>
        <v>0</v>
      </c>
      <c r="Z1557" s="0" t="str">
        <f aca="false">IF(AND(C1556=C1557,W1556=W1557-1),X1556,"")</f>
        <v/>
      </c>
      <c r="AA1557" s="0" t="str">
        <f aca="false">IF(AND(C1556=C1557,W1556=W1557-1),Y1556,"")</f>
        <v/>
      </c>
      <c r="AB1557" s="0" t="str">
        <f aca="false">IF(W1557=1,"",IF(AND(X1557=1,Z1557&lt;&gt;1),1,0))</f>
        <v/>
      </c>
      <c r="AC1557" s="0" t="str">
        <f aca="false">IF(W1557=1,"",IF(AND(Y1557=1,AA1557&lt;&gt;1),1,0))</f>
        <v/>
      </c>
      <c r="AD1557" s="33" t="str">
        <f aca="false">IF(AND(E1557&gt;0,W1557&lt;1,NOT(AND(C1558=C1557,W1558=W1557+1))),INDEX(DATAS,W1557+1),"")</f>
        <v/>
      </c>
      <c r="AE1557" s="33" t="str">
        <f aca="false">IF(AND(Y1557=1,W1557&lt;1),IF(AND(C1558=C1557,W1558=W1557+1),IF(Y1558=1,"",INDEX(DATAS,W1557+1)),INDEX(DATAS,W1557+1)),"")</f>
        <v/>
      </c>
    </row>
    <row r="1558" customFormat="false" ht="15" hidden="false" customHeight="false" outlineLevel="0" collapsed="false">
      <c r="A1558" s="33" t="n">
        <v>46309</v>
      </c>
      <c r="B1558" s="0" t="n">
        <v>4</v>
      </c>
      <c r="C1558" s="0" t="n">
        <v>5701</v>
      </c>
      <c r="D1558" s="0" t="n">
        <v>167</v>
      </c>
      <c r="E1558" s="0" t="n">
        <v>1</v>
      </c>
      <c r="F1558" s="27" t="s">
        <v>969</v>
      </c>
      <c r="G1558" s="0" t="n">
        <v>55.3</v>
      </c>
      <c r="H1558" s="0" t="n">
        <v>53</v>
      </c>
      <c r="I1558" s="27" t="s">
        <v>138</v>
      </c>
      <c r="J1558" s="0" t="n">
        <v>62</v>
      </c>
      <c r="K1558" s="0" t="n">
        <v>62</v>
      </c>
      <c r="L1558" s="0" t="n">
        <v>105</v>
      </c>
      <c r="P1558" s="0" t="n">
        <v>3.62</v>
      </c>
      <c r="Q1558" s="0" t="n">
        <v>3.32</v>
      </c>
      <c r="R1558" s="0" t="n">
        <v>4290</v>
      </c>
      <c r="S1558" s="0" t="n">
        <v>9321</v>
      </c>
      <c r="T1558" s="0" t="n">
        <v>48.8</v>
      </c>
      <c r="U1558" s="0" t="n">
        <v>835</v>
      </c>
      <c r="V1558" s="0" t="n">
        <v>1</v>
      </c>
      <c r="W1558" s="27" t="n">
        <f aca="false">MATCH(A1558,DATAS,0)</f>
        <v>1</v>
      </c>
      <c r="X1558" s="27" t="n">
        <f aca="false">IF(AND(E1558&gt;0,OR(AND(B1558&gt;=1,B1558&lt;=6),B1558=10)),1,0)</f>
        <v>1</v>
      </c>
      <c r="Y1558" s="27" t="n">
        <f aca="false">IF(AND(E1558&gt;0,B1558=10),1,0)</f>
        <v>0</v>
      </c>
      <c r="Z1558" s="0" t="str">
        <f aca="false">IF(AND(C1557=C1558,W1557=W1558-1),X1557,"")</f>
        <v/>
      </c>
      <c r="AA1558" s="0" t="str">
        <f aca="false">IF(AND(C1557=C1558,W1557=W1558-1),Y1557,"")</f>
        <v/>
      </c>
      <c r="AB1558" s="0" t="str">
        <f aca="false">IF(W1558=1,"",IF(AND(X1558=1,Z1558&lt;&gt;1),1,0))</f>
        <v/>
      </c>
      <c r="AC1558" s="0" t="str">
        <f aca="false">IF(W1558=1,"",IF(AND(Y1558=1,AA1558&lt;&gt;1),1,0))</f>
        <v/>
      </c>
      <c r="AD1558" s="33" t="str">
        <f aca="false">IF(AND(E1558&gt;0,W1558&lt;1,NOT(AND(C1559=C1558,W1559=W1558+1))),INDEX(DATAS,W1558+1),"")</f>
        <v/>
      </c>
      <c r="AE1558" s="33" t="str">
        <f aca="false">IF(AND(Y1558=1,W1558&lt;1),IF(AND(C1559=C1558,W1559=W1558+1),IF(Y1559=1,"",INDEX(DATAS,W1558+1)),INDEX(DATAS,W1558+1)),"")</f>
        <v/>
      </c>
    </row>
    <row r="1559" customFormat="false" ht="15" hidden="false" customHeight="false" outlineLevel="0" collapsed="false">
      <c r="A1559" s="33" t="n">
        <v>46309</v>
      </c>
      <c r="B1559" s="0" t="n">
        <v>1</v>
      </c>
      <c r="C1559" s="0" t="n">
        <v>5704</v>
      </c>
      <c r="D1559" s="0" t="n">
        <v>89</v>
      </c>
      <c r="E1559" s="0" t="n">
        <v>1</v>
      </c>
      <c r="F1559" s="27" t="s">
        <v>970</v>
      </c>
      <c r="G1559" s="0" t="n">
        <v>48.9</v>
      </c>
      <c r="H1559" s="0" t="n">
        <v>48</v>
      </c>
      <c r="I1559" s="27" t="s">
        <v>168</v>
      </c>
      <c r="J1559" s="0" t="n">
        <v>89</v>
      </c>
      <c r="K1559" s="0" t="n">
        <v>68</v>
      </c>
      <c r="P1559" s="0" t="n">
        <v>3.12</v>
      </c>
      <c r="Q1559" s="0" t="n">
        <v>2.98</v>
      </c>
      <c r="R1559" s="0" t="n">
        <v>4640</v>
      </c>
      <c r="S1559" s="0" t="n">
        <v>9326</v>
      </c>
      <c r="U1559" s="0" t="n">
        <v>834</v>
      </c>
      <c r="V1559" s="0" t="n">
        <v>1</v>
      </c>
      <c r="W1559" s="27" t="n">
        <f aca="false">MATCH(A1559,DATAS,0)</f>
        <v>1</v>
      </c>
      <c r="X1559" s="27" t="n">
        <f aca="false">IF(AND(E1559&gt;0,OR(AND(B1559&gt;=1,B1559&lt;=6),B1559=10)),1,0)</f>
        <v>1</v>
      </c>
      <c r="Y1559" s="27" t="n">
        <f aca="false">IF(AND(E1559&gt;0,B1559=10),1,0)</f>
        <v>0</v>
      </c>
      <c r="Z1559" s="0" t="str">
        <f aca="false">IF(AND(C1558=C1559,W1558=W1559-1),X1558,"")</f>
        <v/>
      </c>
      <c r="AA1559" s="0" t="str">
        <f aca="false">IF(AND(C1558=C1559,W1558=W1559-1),Y1558,"")</f>
        <v/>
      </c>
      <c r="AB1559" s="0" t="str">
        <f aca="false">IF(W1559=1,"",IF(AND(X1559=1,Z1559&lt;&gt;1),1,0))</f>
        <v/>
      </c>
      <c r="AC1559" s="0" t="str">
        <f aca="false">IF(W1559=1,"",IF(AND(Y1559=1,AA1559&lt;&gt;1),1,0))</f>
        <v/>
      </c>
      <c r="AD1559" s="33" t="str">
        <f aca="false">IF(AND(E1559&gt;0,W1559&lt;1,NOT(AND(C1560=C1559,W1560=W1559+1))),INDEX(DATAS,W1559+1),"")</f>
        <v/>
      </c>
      <c r="AE1559" s="33" t="str">
        <f aca="false">IF(AND(Y1559=1,W1559&lt;1),IF(AND(C1560=C1559,W1560=W1559+1),IF(Y1560=1,"",INDEX(DATAS,W1559+1)),INDEX(DATAS,W1559+1)),"")</f>
        <v/>
      </c>
    </row>
    <row r="1560" customFormat="false" ht="15" hidden="false" customHeight="false" outlineLevel="0" collapsed="false">
      <c r="A1560" s="33" t="n">
        <v>46309</v>
      </c>
      <c r="B1560" s="0" t="n">
        <v>4</v>
      </c>
      <c r="C1560" s="0" t="n">
        <v>5705</v>
      </c>
      <c r="D1560" s="0" t="n">
        <v>192</v>
      </c>
      <c r="E1560" s="0" t="n">
        <v>1</v>
      </c>
      <c r="F1560" s="27" t="s">
        <v>971</v>
      </c>
      <c r="G1560" s="0" t="n">
        <v>36.9</v>
      </c>
      <c r="H1560" s="0" t="n">
        <v>36</v>
      </c>
      <c r="I1560" s="27" t="s">
        <v>138</v>
      </c>
      <c r="J1560" s="0" t="n">
        <v>136</v>
      </c>
      <c r="K1560" s="0" t="n">
        <v>66</v>
      </c>
      <c r="L1560" s="0" t="n">
        <v>56</v>
      </c>
      <c r="P1560" s="0" t="n">
        <v>3.81</v>
      </c>
      <c r="Q1560" s="0" t="n">
        <v>3.44</v>
      </c>
      <c r="R1560" s="0" t="n">
        <v>3964</v>
      </c>
      <c r="S1560" s="0" t="n">
        <v>7665</v>
      </c>
      <c r="T1560" s="0" t="n">
        <v>42.1</v>
      </c>
      <c r="U1560" s="0" t="n">
        <v>833</v>
      </c>
      <c r="V1560" s="0" t="n">
        <v>3</v>
      </c>
      <c r="W1560" s="27" t="n">
        <f aca="false">MATCH(A1560,DATAS,0)</f>
        <v>1</v>
      </c>
      <c r="X1560" s="27" t="n">
        <f aca="false">IF(AND(E1560&gt;0,OR(AND(B1560&gt;=1,B1560&lt;=6),B1560=10)),1,0)</f>
        <v>1</v>
      </c>
      <c r="Y1560" s="27" t="n">
        <f aca="false">IF(AND(E1560&gt;0,B1560=10),1,0)</f>
        <v>0</v>
      </c>
      <c r="Z1560" s="0" t="str">
        <f aca="false">IF(AND(C1559=C1560,W1559=W1560-1),X1559,"")</f>
        <v/>
      </c>
      <c r="AA1560" s="0" t="str">
        <f aca="false">IF(AND(C1559=C1560,W1559=W1560-1),Y1559,"")</f>
        <v/>
      </c>
      <c r="AB1560" s="0" t="str">
        <f aca="false">IF(W1560=1,"",IF(AND(X1560=1,Z1560&lt;&gt;1),1,0))</f>
        <v/>
      </c>
      <c r="AC1560" s="0" t="str">
        <f aca="false">IF(W1560=1,"",IF(AND(Y1560=1,AA1560&lt;&gt;1),1,0))</f>
        <v/>
      </c>
      <c r="AD1560" s="33" t="str">
        <f aca="false">IF(AND(E1560&gt;0,W1560&lt;1,NOT(AND(C1561=C1560,W1561=W1560+1))),INDEX(DATAS,W1560+1),"")</f>
        <v/>
      </c>
      <c r="AE1560" s="33" t="str">
        <f aca="false">IF(AND(Y1560=1,W1560&lt;1),IF(AND(C1561=C1560,W1561=W1560+1),IF(Y1561=1,"",INDEX(DATAS,W1560+1)),INDEX(DATAS,W1560+1)),"")</f>
        <v/>
      </c>
    </row>
    <row r="1561" customFormat="false" ht="15" hidden="false" customHeight="false" outlineLevel="0" collapsed="false">
      <c r="A1561" s="33" t="n">
        <v>46309</v>
      </c>
      <c r="B1561" s="0" t="n">
        <v>4</v>
      </c>
      <c r="C1561" s="0" t="n">
        <v>5707</v>
      </c>
      <c r="D1561" s="0" t="n">
        <v>115</v>
      </c>
      <c r="E1561" s="0" t="n">
        <v>1</v>
      </c>
      <c r="F1561" s="27" t="s">
        <v>971</v>
      </c>
      <c r="G1561" s="0" t="n">
        <v>52.6</v>
      </c>
      <c r="H1561" s="0" t="n">
        <v>49</v>
      </c>
      <c r="I1561" s="27" t="s">
        <v>138</v>
      </c>
      <c r="J1561" s="0" t="n">
        <v>67</v>
      </c>
      <c r="K1561" s="0" t="n">
        <v>67</v>
      </c>
      <c r="L1561" s="0" t="n">
        <v>48</v>
      </c>
      <c r="P1561" s="0" t="n">
        <v>4.68</v>
      </c>
      <c r="Q1561" s="0" t="n">
        <v>2.98</v>
      </c>
      <c r="R1561" s="0" t="n">
        <v>4176</v>
      </c>
      <c r="S1561" s="0" t="n">
        <v>8662</v>
      </c>
      <c r="T1561" s="0" t="n">
        <v>44.55</v>
      </c>
      <c r="U1561" s="0" t="n">
        <v>833</v>
      </c>
      <c r="V1561" s="0" t="n">
        <v>1</v>
      </c>
      <c r="W1561" s="27" t="n">
        <f aca="false">MATCH(A1561,DATAS,0)</f>
        <v>1</v>
      </c>
      <c r="X1561" s="27" t="n">
        <f aca="false">IF(AND(E1561&gt;0,OR(AND(B1561&gt;=1,B1561&lt;=6),B1561=10)),1,0)</f>
        <v>1</v>
      </c>
      <c r="Y1561" s="27" t="n">
        <f aca="false">IF(AND(E1561&gt;0,B1561=10),1,0)</f>
        <v>0</v>
      </c>
      <c r="Z1561" s="0" t="str">
        <f aca="false">IF(AND(C1560=C1561,W1560=W1561-1),X1560,"")</f>
        <v/>
      </c>
      <c r="AA1561" s="0" t="str">
        <f aca="false">IF(AND(C1560=C1561,W1560=W1561-1),Y1560,"")</f>
        <v/>
      </c>
      <c r="AB1561" s="0" t="str">
        <f aca="false">IF(W1561=1,"",IF(AND(X1561=1,Z1561&lt;&gt;1),1,0))</f>
        <v/>
      </c>
      <c r="AC1561" s="0" t="str">
        <f aca="false">IF(W1561=1,"",IF(AND(Y1561=1,AA1561&lt;&gt;1),1,0))</f>
        <v/>
      </c>
      <c r="AD1561" s="33" t="str">
        <f aca="false">IF(AND(E1561&gt;0,W1561&lt;1,NOT(AND(C1562=C1561,W1562=W1561+1))),INDEX(DATAS,W1561+1),"")</f>
        <v/>
      </c>
      <c r="AE1561" s="33" t="str">
        <f aca="false">IF(AND(Y1561=1,W1561&lt;1),IF(AND(C1562=C1561,W1562=W1561+1),IF(Y1562=1,"",INDEX(DATAS,W1561+1)),INDEX(DATAS,W1561+1)),"")</f>
        <v/>
      </c>
    </row>
    <row r="1562" customFormat="false" ht="15" hidden="false" customHeight="false" outlineLevel="0" collapsed="false">
      <c r="A1562" s="33" t="n">
        <v>46309</v>
      </c>
      <c r="B1562" s="0" t="n">
        <v>1</v>
      </c>
      <c r="C1562" s="0" t="n">
        <v>5708</v>
      </c>
      <c r="D1562" s="0" t="n">
        <v>101</v>
      </c>
      <c r="E1562" s="0" t="n">
        <v>1</v>
      </c>
      <c r="F1562" s="27" t="s">
        <v>971</v>
      </c>
      <c r="G1562" s="0" t="n">
        <v>50.8</v>
      </c>
      <c r="H1562" s="0" t="n">
        <v>51</v>
      </c>
      <c r="I1562" s="27" t="s">
        <v>138</v>
      </c>
      <c r="J1562" s="0" t="n">
        <v>66</v>
      </c>
      <c r="K1562" s="0" t="n">
        <v>66</v>
      </c>
      <c r="L1562" s="0" t="n">
        <v>35</v>
      </c>
      <c r="P1562" s="0" t="n">
        <v>3.84</v>
      </c>
      <c r="Q1562" s="0" t="n">
        <v>3.12</v>
      </c>
      <c r="R1562" s="0" t="n">
        <v>3779</v>
      </c>
      <c r="S1562" s="0" t="n">
        <v>7621</v>
      </c>
      <c r="T1562" s="0" t="n">
        <v>43.8</v>
      </c>
      <c r="U1562" s="0" t="n">
        <v>833</v>
      </c>
      <c r="V1562" s="0" t="n">
        <v>1</v>
      </c>
      <c r="W1562" s="27" t="n">
        <f aca="false">MATCH(A1562,DATAS,0)</f>
        <v>1</v>
      </c>
      <c r="X1562" s="27" t="n">
        <f aca="false">IF(AND(E1562&gt;0,OR(AND(B1562&gt;=1,B1562&lt;=6),B1562=10)),1,0)</f>
        <v>1</v>
      </c>
      <c r="Y1562" s="27" t="n">
        <f aca="false">IF(AND(E1562&gt;0,B1562=10),1,0)</f>
        <v>0</v>
      </c>
      <c r="Z1562" s="0" t="str">
        <f aca="false">IF(AND(C1561=C1562,W1561=W1562-1),X1561,"")</f>
        <v/>
      </c>
      <c r="AA1562" s="0" t="str">
        <f aca="false">IF(AND(C1561=C1562,W1561=W1562-1),Y1561,"")</f>
        <v/>
      </c>
      <c r="AB1562" s="0" t="str">
        <f aca="false">IF(W1562=1,"",IF(AND(X1562=1,Z1562&lt;&gt;1),1,0))</f>
        <v/>
      </c>
      <c r="AC1562" s="0" t="str">
        <f aca="false">IF(W1562=1,"",IF(AND(Y1562=1,AA1562&lt;&gt;1),1,0))</f>
        <v/>
      </c>
      <c r="AD1562" s="33" t="str">
        <f aca="false">IF(AND(E1562&gt;0,W1562&lt;1,NOT(AND(C1563=C1562,W1563=W1562+1))),INDEX(DATAS,W1562+1),"")</f>
        <v/>
      </c>
      <c r="AE1562" s="33" t="str">
        <f aca="false">IF(AND(Y1562=1,W1562&lt;1),IF(AND(C1563=C1562,W1563=W1562+1),IF(Y1563=1,"",INDEX(DATAS,W1562+1)),INDEX(DATAS,W1562+1)),"")</f>
        <v/>
      </c>
    </row>
    <row r="1563" customFormat="false" ht="15" hidden="false" customHeight="false" outlineLevel="0" collapsed="false">
      <c r="A1563" s="33" t="n">
        <v>46309</v>
      </c>
      <c r="B1563" s="0" t="n">
        <v>8</v>
      </c>
      <c r="C1563" s="0" t="n">
        <v>5709</v>
      </c>
      <c r="E1563" s="0" t="n">
        <v>0</v>
      </c>
      <c r="F1563" s="27" t="s">
        <v>972</v>
      </c>
      <c r="I1563" s="27" t="s">
        <v>138</v>
      </c>
      <c r="L1563" s="0" t="n">
        <v>147</v>
      </c>
      <c r="U1563" s="0" t="n">
        <v>832</v>
      </c>
      <c r="V1563" s="0" t="n">
        <v>9</v>
      </c>
      <c r="W1563" s="27" t="n">
        <f aca="false">MATCH(A1563,DATAS,0)</f>
        <v>1</v>
      </c>
      <c r="X1563" s="27" t="n">
        <f aca="false">IF(AND(E1563&gt;0,OR(AND(B1563&gt;=1,B1563&lt;=6),B1563=10)),1,0)</f>
        <v>0</v>
      </c>
      <c r="Y1563" s="27" t="n">
        <f aca="false">IF(AND(E1563&gt;0,B1563=10),1,0)</f>
        <v>0</v>
      </c>
      <c r="Z1563" s="0" t="str">
        <f aca="false">IF(AND(C1562=C1563,W1562=W1563-1),X1562,"")</f>
        <v/>
      </c>
      <c r="AA1563" s="0" t="str">
        <f aca="false">IF(AND(C1562=C1563,W1562=W1563-1),Y1562,"")</f>
        <v/>
      </c>
      <c r="AB1563" s="0" t="str">
        <f aca="false">IF(W1563=1,"",IF(AND(X1563=1,Z1563&lt;&gt;1),1,0))</f>
        <v/>
      </c>
      <c r="AC1563" s="0" t="str">
        <f aca="false">IF(W1563=1,"",IF(AND(Y1563=1,AA1563&lt;&gt;1),1,0))</f>
        <v/>
      </c>
      <c r="AD1563" s="33" t="str">
        <f aca="false">IF(AND(E1563&gt;0,W1563&lt;1,NOT(AND(C1564=C1563,W1564=W1563+1))),INDEX(DATAS,W1563+1),"")</f>
        <v/>
      </c>
      <c r="AE1563" s="33" t="str">
        <f aca="false">IF(AND(Y1563=1,W1563&lt;1),IF(AND(C1564=C1563,W1564=W1563+1),IF(Y1564=1,"",INDEX(DATAS,W1563+1)),INDEX(DATAS,W1563+1)),"")</f>
        <v/>
      </c>
    </row>
    <row r="1564" customFormat="false" ht="15" hidden="false" customHeight="false" outlineLevel="0" collapsed="false">
      <c r="A1564" s="33" t="n">
        <v>46309</v>
      </c>
      <c r="B1564" s="0" t="n">
        <v>4</v>
      </c>
      <c r="C1564" s="0" t="n">
        <v>5710</v>
      </c>
      <c r="D1564" s="0" t="n">
        <v>193</v>
      </c>
      <c r="E1564" s="0" t="n">
        <v>1</v>
      </c>
      <c r="F1564" s="27" t="s">
        <v>972</v>
      </c>
      <c r="G1564" s="0" t="n">
        <v>47.4</v>
      </c>
      <c r="H1564" s="0" t="n">
        <v>47</v>
      </c>
      <c r="I1564" s="27" t="s">
        <v>138</v>
      </c>
      <c r="J1564" s="0" t="n">
        <v>92</v>
      </c>
      <c r="K1564" s="0" t="n">
        <v>67</v>
      </c>
      <c r="L1564" s="0" t="n">
        <v>101</v>
      </c>
      <c r="P1564" s="0" t="n">
        <v>4.33</v>
      </c>
      <c r="Q1564" s="0" t="n">
        <v>3.27</v>
      </c>
      <c r="R1564" s="0" t="n">
        <v>3702</v>
      </c>
      <c r="S1564" s="0" t="n">
        <v>8464</v>
      </c>
      <c r="T1564" s="0" t="n">
        <v>44.95</v>
      </c>
      <c r="U1564" s="0" t="n">
        <v>832</v>
      </c>
      <c r="V1564" s="0" t="n">
        <v>2</v>
      </c>
      <c r="W1564" s="27" t="n">
        <f aca="false">MATCH(A1564,DATAS,0)</f>
        <v>1</v>
      </c>
      <c r="X1564" s="27" t="n">
        <f aca="false">IF(AND(E1564&gt;0,OR(AND(B1564&gt;=1,B1564&lt;=6),B1564=10)),1,0)</f>
        <v>1</v>
      </c>
      <c r="Y1564" s="27" t="n">
        <f aca="false">IF(AND(E1564&gt;0,B1564=10),1,0)</f>
        <v>0</v>
      </c>
      <c r="Z1564" s="0" t="str">
        <f aca="false">IF(AND(C1563=C1564,W1563=W1564-1),X1563,"")</f>
        <v/>
      </c>
      <c r="AA1564" s="0" t="str">
        <f aca="false">IF(AND(C1563=C1564,W1563=W1564-1),Y1563,"")</f>
        <v/>
      </c>
      <c r="AB1564" s="0" t="str">
        <f aca="false">IF(W1564=1,"",IF(AND(X1564=1,Z1564&lt;&gt;1),1,0))</f>
        <v/>
      </c>
      <c r="AC1564" s="0" t="str">
        <f aca="false">IF(W1564=1,"",IF(AND(Y1564=1,AA1564&lt;&gt;1),1,0))</f>
        <v/>
      </c>
      <c r="AD1564" s="33" t="str">
        <f aca="false">IF(AND(E1564&gt;0,W1564&lt;1,NOT(AND(C1565=C1564,W1565=W1564+1))),INDEX(DATAS,W1564+1),"")</f>
        <v/>
      </c>
      <c r="AE1564" s="33" t="str">
        <f aca="false">IF(AND(Y1564=1,W1564&lt;1),IF(AND(C1565=C1564,W1565=W1564+1),IF(Y1565=1,"",INDEX(DATAS,W1564+1)),INDEX(DATAS,W1564+1)),"")</f>
        <v/>
      </c>
    </row>
    <row r="1565" customFormat="false" ht="15" hidden="false" customHeight="false" outlineLevel="0" collapsed="false">
      <c r="A1565" s="33" t="n">
        <v>46309</v>
      </c>
      <c r="B1565" s="0" t="n">
        <v>1</v>
      </c>
      <c r="C1565" s="0" t="n">
        <v>5711</v>
      </c>
      <c r="D1565" s="0" t="n">
        <v>35</v>
      </c>
      <c r="E1565" s="0" t="n">
        <v>1</v>
      </c>
      <c r="F1565" s="27" t="s">
        <v>972</v>
      </c>
      <c r="G1565" s="0" t="n">
        <v>47.8</v>
      </c>
      <c r="H1565" s="0" t="n">
        <v>45</v>
      </c>
      <c r="I1565" s="27" t="s">
        <v>147</v>
      </c>
      <c r="J1565" s="0" t="n">
        <v>35</v>
      </c>
      <c r="P1565" s="0" t="n">
        <v>5.29</v>
      </c>
      <c r="Q1565" s="0" t="n">
        <v>3.36</v>
      </c>
      <c r="R1565" s="0" t="n">
        <v>3633</v>
      </c>
      <c r="S1565" s="0" t="n">
        <v>7303</v>
      </c>
      <c r="U1565" s="0" t="n">
        <v>832</v>
      </c>
      <c r="V1565" s="0" t="n">
        <v>0</v>
      </c>
      <c r="W1565" s="27" t="n">
        <f aca="false">MATCH(A1565,DATAS,0)</f>
        <v>1</v>
      </c>
      <c r="X1565" s="27" t="n">
        <f aca="false">IF(AND(E1565&gt;0,OR(AND(B1565&gt;=1,B1565&lt;=6),B1565=10)),1,0)</f>
        <v>1</v>
      </c>
      <c r="Y1565" s="27" t="n">
        <f aca="false">IF(AND(E1565&gt;0,B1565=10),1,0)</f>
        <v>0</v>
      </c>
      <c r="Z1565" s="0" t="str">
        <f aca="false">IF(AND(C1564=C1565,W1564=W1565-1),X1564,"")</f>
        <v/>
      </c>
      <c r="AA1565" s="0" t="str">
        <f aca="false">IF(AND(C1564=C1565,W1564=W1565-1),Y1564,"")</f>
        <v/>
      </c>
      <c r="AB1565" s="0" t="str">
        <f aca="false">IF(W1565=1,"",IF(AND(X1565=1,Z1565&lt;&gt;1),1,0))</f>
        <v/>
      </c>
      <c r="AC1565" s="0" t="str">
        <f aca="false">IF(W1565=1,"",IF(AND(Y1565=1,AA1565&lt;&gt;1),1,0))</f>
        <v/>
      </c>
      <c r="AD1565" s="33" t="str">
        <f aca="false">IF(AND(E1565&gt;0,W1565&lt;1,NOT(AND(C1566=C1565,W1566=W1565+1))),INDEX(DATAS,W1565+1),"")</f>
        <v/>
      </c>
      <c r="AE1565" s="33" t="str">
        <f aca="false">IF(AND(Y1565=1,W1565&lt;1),IF(AND(C1566=C1565,W1566=W1565+1),IF(Y1566=1,"",INDEX(DATAS,W1565+1)),INDEX(DATAS,W1565+1)),"")</f>
        <v/>
      </c>
    </row>
    <row r="1566" customFormat="false" ht="15" hidden="false" customHeight="false" outlineLevel="0" collapsed="false">
      <c r="A1566" s="33" t="n">
        <v>46309</v>
      </c>
      <c r="B1566" s="0" t="n">
        <v>4</v>
      </c>
      <c r="C1566" s="0" t="n">
        <v>5712</v>
      </c>
      <c r="D1566" s="0" t="n">
        <v>112</v>
      </c>
      <c r="E1566" s="0" t="n">
        <v>1</v>
      </c>
      <c r="F1566" s="27" t="s">
        <v>973</v>
      </c>
      <c r="G1566" s="0" t="n">
        <v>37.8</v>
      </c>
      <c r="H1566" s="0" t="n">
        <v>37</v>
      </c>
      <c r="I1566" s="27" t="s">
        <v>176</v>
      </c>
      <c r="J1566" s="0" t="n">
        <v>112</v>
      </c>
      <c r="K1566" s="0" t="n">
        <v>64</v>
      </c>
      <c r="P1566" s="0" t="n">
        <v>2.92</v>
      </c>
      <c r="Q1566" s="0" t="n">
        <v>3.27</v>
      </c>
      <c r="R1566" s="0" t="n">
        <v>2441</v>
      </c>
      <c r="S1566" s="0" t="n">
        <v>5275</v>
      </c>
      <c r="T1566" s="0" t="n">
        <v>31</v>
      </c>
      <c r="U1566" s="0" t="n">
        <v>831</v>
      </c>
      <c r="V1566" s="0" t="n">
        <v>1</v>
      </c>
      <c r="W1566" s="27" t="n">
        <f aca="false">MATCH(A1566,DATAS,0)</f>
        <v>1</v>
      </c>
      <c r="X1566" s="27" t="n">
        <f aca="false">IF(AND(E1566&gt;0,OR(AND(B1566&gt;=1,B1566&lt;=6),B1566=10)),1,0)</f>
        <v>1</v>
      </c>
      <c r="Y1566" s="27" t="n">
        <f aca="false">IF(AND(E1566&gt;0,B1566=10),1,0)</f>
        <v>0</v>
      </c>
      <c r="Z1566" s="0" t="str">
        <f aca="false">IF(AND(C1565=C1566,W1565=W1566-1),X1565,"")</f>
        <v/>
      </c>
      <c r="AA1566" s="0" t="str">
        <f aca="false">IF(AND(C1565=C1566,W1565=W1566-1),Y1565,"")</f>
        <v/>
      </c>
      <c r="AB1566" s="0" t="str">
        <f aca="false">IF(W1566=1,"",IF(AND(X1566=1,Z1566&lt;&gt;1),1,0))</f>
        <v/>
      </c>
      <c r="AC1566" s="0" t="str">
        <f aca="false">IF(W1566=1,"",IF(AND(Y1566=1,AA1566&lt;&gt;1),1,0))</f>
        <v/>
      </c>
      <c r="AD1566" s="33" t="str">
        <f aca="false">IF(AND(E1566&gt;0,W1566&lt;1,NOT(AND(C1567=C1566,W1567=W1566+1))),INDEX(DATAS,W1566+1),"")</f>
        <v/>
      </c>
      <c r="AE1566" s="33" t="str">
        <f aca="false">IF(AND(Y1566=1,W1566&lt;1),IF(AND(C1567=C1566,W1567=W1566+1),IF(Y1567=1,"",INDEX(DATAS,W1566+1)),INDEX(DATAS,W1566+1)),"")</f>
        <v/>
      </c>
    </row>
    <row r="1567" customFormat="false" ht="15" hidden="false" customHeight="false" outlineLevel="0" collapsed="false">
      <c r="A1567" s="33" t="n">
        <v>46309</v>
      </c>
      <c r="B1567" s="0" t="n">
        <v>4</v>
      </c>
      <c r="C1567" s="0" t="n">
        <v>5713</v>
      </c>
      <c r="D1567" s="0" t="n">
        <v>190</v>
      </c>
      <c r="E1567" s="0" t="n">
        <v>1</v>
      </c>
      <c r="F1567" s="27" t="s">
        <v>974</v>
      </c>
      <c r="G1567" s="0" t="n">
        <v>56.3</v>
      </c>
      <c r="H1567" s="0" t="n">
        <v>56</v>
      </c>
      <c r="I1567" s="27" t="s">
        <v>138</v>
      </c>
      <c r="J1567" s="0" t="n">
        <v>64</v>
      </c>
      <c r="K1567" s="0" t="n">
        <v>64</v>
      </c>
      <c r="L1567" s="0" t="n">
        <v>126</v>
      </c>
      <c r="P1567" s="0" t="n">
        <v>3.62</v>
      </c>
      <c r="Q1567" s="0" t="n">
        <v>3.4</v>
      </c>
      <c r="R1567" s="0" t="n">
        <v>5213</v>
      </c>
      <c r="S1567" s="0" t="n">
        <v>11068</v>
      </c>
      <c r="T1567" s="0" t="n">
        <v>54.55</v>
      </c>
      <c r="U1567" s="0" t="n">
        <v>830</v>
      </c>
      <c r="V1567" s="0" t="n">
        <v>1</v>
      </c>
      <c r="W1567" s="27" t="n">
        <f aca="false">MATCH(A1567,DATAS,0)</f>
        <v>1</v>
      </c>
      <c r="X1567" s="27" t="n">
        <f aca="false">IF(AND(E1567&gt;0,OR(AND(B1567&gt;=1,B1567&lt;=6),B1567=10)),1,0)</f>
        <v>1</v>
      </c>
      <c r="Y1567" s="27" t="n">
        <f aca="false">IF(AND(E1567&gt;0,B1567=10),1,0)</f>
        <v>0</v>
      </c>
      <c r="Z1567" s="0" t="str">
        <f aca="false">IF(AND(C1566=C1567,W1566=W1567-1),X1566,"")</f>
        <v/>
      </c>
      <c r="AA1567" s="0" t="str">
        <f aca="false">IF(AND(C1566=C1567,W1566=W1567-1),Y1566,"")</f>
        <v/>
      </c>
      <c r="AB1567" s="0" t="str">
        <f aca="false">IF(W1567=1,"",IF(AND(X1567=1,Z1567&lt;&gt;1),1,0))</f>
        <v/>
      </c>
      <c r="AC1567" s="0" t="str">
        <f aca="false">IF(W1567=1,"",IF(AND(Y1567=1,AA1567&lt;&gt;1),1,0))</f>
        <v/>
      </c>
      <c r="AD1567" s="33" t="str">
        <f aca="false">IF(AND(E1567&gt;0,W1567&lt;1,NOT(AND(C1568=C1567,W1568=W1567+1))),INDEX(DATAS,W1567+1),"")</f>
        <v/>
      </c>
      <c r="AE1567" s="33" t="str">
        <f aca="false">IF(AND(Y1567=1,W1567&lt;1),IF(AND(C1568=C1567,W1568=W1567+1),IF(Y1568=1,"",INDEX(DATAS,W1567+1)),INDEX(DATAS,W1567+1)),"")</f>
        <v/>
      </c>
    </row>
    <row r="1568" customFormat="false" ht="15" hidden="false" customHeight="false" outlineLevel="0" collapsed="false">
      <c r="A1568" s="33" t="n">
        <v>46309</v>
      </c>
      <c r="B1568" s="0" t="n">
        <v>4</v>
      </c>
      <c r="C1568" s="0" t="n">
        <v>5714</v>
      </c>
      <c r="D1568" s="0" t="n">
        <v>160</v>
      </c>
      <c r="E1568" s="0" t="n">
        <v>1</v>
      </c>
      <c r="F1568" s="27" t="s">
        <v>974</v>
      </c>
      <c r="G1568" s="0" t="n">
        <v>40.6</v>
      </c>
      <c r="H1568" s="0" t="n">
        <v>41</v>
      </c>
      <c r="I1568" s="27" t="s">
        <v>138</v>
      </c>
      <c r="J1568" s="0" t="n">
        <v>118</v>
      </c>
      <c r="K1568" s="0" t="n">
        <v>62</v>
      </c>
      <c r="L1568" s="0" t="n">
        <v>42</v>
      </c>
      <c r="P1568" s="0" t="n">
        <v>3.86</v>
      </c>
      <c r="Q1568" s="0" t="n">
        <v>3.28</v>
      </c>
      <c r="R1568" s="0" t="n">
        <v>2854</v>
      </c>
      <c r="S1568" s="0" t="n">
        <v>6581</v>
      </c>
      <c r="T1568" s="0" t="n">
        <v>28.7</v>
      </c>
      <c r="U1568" s="0" t="n">
        <v>830</v>
      </c>
      <c r="V1568" s="0" t="n">
        <v>4</v>
      </c>
      <c r="W1568" s="27" t="n">
        <f aca="false">MATCH(A1568,DATAS,0)</f>
        <v>1</v>
      </c>
      <c r="X1568" s="27" t="n">
        <f aca="false">IF(AND(E1568&gt;0,OR(AND(B1568&gt;=1,B1568&lt;=6),B1568=10)),1,0)</f>
        <v>1</v>
      </c>
      <c r="Y1568" s="27" t="n">
        <f aca="false">IF(AND(E1568&gt;0,B1568=10),1,0)</f>
        <v>0</v>
      </c>
      <c r="Z1568" s="0" t="str">
        <f aca="false">IF(AND(C1567=C1568,W1567=W1568-1),X1567,"")</f>
        <v/>
      </c>
      <c r="AA1568" s="0" t="str">
        <f aca="false">IF(AND(C1567=C1568,W1567=W1568-1),Y1567,"")</f>
        <v/>
      </c>
      <c r="AB1568" s="0" t="str">
        <f aca="false">IF(W1568=1,"",IF(AND(X1568=1,Z1568&lt;&gt;1),1,0))</f>
        <v/>
      </c>
      <c r="AC1568" s="0" t="str">
        <f aca="false">IF(W1568=1,"",IF(AND(Y1568=1,AA1568&lt;&gt;1),1,0))</f>
        <v/>
      </c>
      <c r="AD1568" s="33" t="str">
        <f aca="false">IF(AND(E1568&gt;0,W1568&lt;1,NOT(AND(C1569=C1568,W1569=W1568+1))),INDEX(DATAS,W1568+1),"")</f>
        <v/>
      </c>
      <c r="AE1568" s="33" t="str">
        <f aca="false">IF(AND(Y1568=1,W1568&lt;1),IF(AND(C1569=C1568,W1569=W1568+1),IF(Y1569=1,"",INDEX(DATAS,W1568+1)),INDEX(DATAS,W1568+1)),"")</f>
        <v/>
      </c>
    </row>
    <row r="1569" customFormat="false" ht="15" hidden="false" customHeight="false" outlineLevel="0" collapsed="false">
      <c r="A1569" s="33" t="n">
        <v>46309</v>
      </c>
      <c r="B1569" s="0" t="n">
        <v>4</v>
      </c>
      <c r="C1569" s="0" t="n">
        <v>5715</v>
      </c>
      <c r="D1569" s="0" t="n">
        <v>191</v>
      </c>
      <c r="E1569" s="0" t="n">
        <v>1</v>
      </c>
      <c r="F1569" s="27" t="s">
        <v>975</v>
      </c>
      <c r="G1569" s="0" t="n">
        <v>44.2</v>
      </c>
      <c r="H1569" s="0" t="n">
        <v>42</v>
      </c>
      <c r="I1569" s="27" t="s">
        <v>138</v>
      </c>
      <c r="J1569" s="0" t="n">
        <v>110</v>
      </c>
      <c r="K1569" s="0" t="n">
        <v>65</v>
      </c>
      <c r="L1569" s="0" t="n">
        <v>81</v>
      </c>
      <c r="P1569" s="0" t="n">
        <v>2.91</v>
      </c>
      <c r="Q1569" s="0" t="n">
        <v>3.56</v>
      </c>
      <c r="R1569" s="0" t="n">
        <v>4127</v>
      </c>
      <c r="S1569" s="0" t="n">
        <v>8373</v>
      </c>
      <c r="T1569" s="0" t="n">
        <v>43.65</v>
      </c>
      <c r="U1569" s="0" t="n">
        <v>829</v>
      </c>
      <c r="V1569" s="0" t="n">
        <v>3</v>
      </c>
      <c r="W1569" s="27" t="n">
        <f aca="false">MATCH(A1569,DATAS,0)</f>
        <v>1</v>
      </c>
      <c r="X1569" s="27" t="n">
        <f aca="false">IF(AND(E1569&gt;0,OR(AND(B1569&gt;=1,B1569&lt;=6),B1569=10)),1,0)</f>
        <v>1</v>
      </c>
      <c r="Y1569" s="27" t="n">
        <f aca="false">IF(AND(E1569&gt;0,B1569=10),1,0)</f>
        <v>0</v>
      </c>
      <c r="Z1569" s="0" t="str">
        <f aca="false">IF(AND(C1568=C1569,W1568=W1569-1),X1568,"")</f>
        <v/>
      </c>
      <c r="AA1569" s="0" t="str">
        <f aca="false">IF(AND(C1568=C1569,W1568=W1569-1),Y1568,"")</f>
        <v/>
      </c>
      <c r="AB1569" s="0" t="str">
        <f aca="false">IF(W1569=1,"",IF(AND(X1569=1,Z1569&lt;&gt;1),1,0))</f>
        <v/>
      </c>
      <c r="AC1569" s="0" t="str">
        <f aca="false">IF(W1569=1,"",IF(AND(Y1569=1,AA1569&lt;&gt;1),1,0))</f>
        <v/>
      </c>
      <c r="AD1569" s="33" t="str">
        <f aca="false">IF(AND(E1569&gt;0,W1569&lt;1,NOT(AND(C1570=C1569,W1570=W1569+1))),INDEX(DATAS,W1569+1),"")</f>
        <v/>
      </c>
      <c r="AE1569" s="33" t="str">
        <f aca="false">IF(AND(Y1569=1,W1569&lt;1),IF(AND(C1570=C1569,W1570=W1569+1),IF(Y1570=1,"",INDEX(DATAS,W1569+1)),INDEX(DATAS,W1569+1)),"")</f>
        <v/>
      </c>
    </row>
    <row r="1570" customFormat="false" ht="15" hidden="false" customHeight="false" outlineLevel="0" collapsed="false">
      <c r="A1570" s="33" t="n">
        <v>46309</v>
      </c>
      <c r="B1570" s="0" t="n">
        <v>4</v>
      </c>
      <c r="C1570" s="0" t="n">
        <v>5716</v>
      </c>
      <c r="D1570" s="0" t="n">
        <v>182</v>
      </c>
      <c r="E1570" s="0" t="n">
        <v>1</v>
      </c>
      <c r="F1570" s="27" t="s">
        <v>976</v>
      </c>
      <c r="G1570" s="0" t="n">
        <v>49.8</v>
      </c>
      <c r="H1570" s="0" t="n">
        <v>49</v>
      </c>
      <c r="I1570" s="27" t="s">
        <v>138</v>
      </c>
      <c r="J1570" s="0" t="n">
        <v>84</v>
      </c>
      <c r="K1570" s="0" t="n">
        <v>63</v>
      </c>
      <c r="L1570" s="0" t="n">
        <v>98</v>
      </c>
      <c r="P1570" s="0" t="n">
        <v>3.14</v>
      </c>
      <c r="Q1570" s="0" t="n">
        <v>3.56</v>
      </c>
      <c r="R1570" s="0" t="n">
        <v>4361</v>
      </c>
      <c r="S1570" s="0" t="n">
        <v>9461</v>
      </c>
      <c r="T1570" s="0" t="n">
        <v>46.5</v>
      </c>
      <c r="U1570" s="0" t="n">
        <v>828</v>
      </c>
      <c r="V1570" s="0" t="n">
        <v>2</v>
      </c>
      <c r="W1570" s="27" t="n">
        <f aca="false">MATCH(A1570,DATAS,0)</f>
        <v>1</v>
      </c>
      <c r="X1570" s="27" t="n">
        <f aca="false">IF(AND(E1570&gt;0,OR(AND(B1570&gt;=1,B1570&lt;=6),B1570=10)),1,0)</f>
        <v>1</v>
      </c>
      <c r="Y1570" s="27" t="n">
        <f aca="false">IF(AND(E1570&gt;0,B1570=10),1,0)</f>
        <v>0</v>
      </c>
      <c r="Z1570" s="0" t="str">
        <f aca="false">IF(AND(C1569=C1570,W1569=W1570-1),X1569,"")</f>
        <v/>
      </c>
      <c r="AA1570" s="0" t="str">
        <f aca="false">IF(AND(C1569=C1570,W1569=W1570-1),Y1569,"")</f>
        <v/>
      </c>
      <c r="AB1570" s="0" t="str">
        <f aca="false">IF(W1570=1,"",IF(AND(X1570=1,Z1570&lt;&gt;1),1,0))</f>
        <v/>
      </c>
      <c r="AC1570" s="0" t="str">
        <f aca="false">IF(W1570=1,"",IF(AND(Y1570=1,AA1570&lt;&gt;1),1,0))</f>
        <v/>
      </c>
      <c r="AD1570" s="33" t="str">
        <f aca="false">IF(AND(E1570&gt;0,W1570&lt;1,NOT(AND(C1571=C1570,W1571=W1570+1))),INDEX(DATAS,W1570+1),"")</f>
        <v/>
      </c>
      <c r="AE1570" s="33" t="str">
        <f aca="false">IF(AND(Y1570=1,W1570&lt;1),IF(AND(C1571=C1570,W1571=W1570+1),IF(Y1571=1,"",INDEX(DATAS,W1570+1)),INDEX(DATAS,W1570+1)),"")</f>
        <v/>
      </c>
    </row>
    <row r="1571" customFormat="false" ht="15" hidden="false" customHeight="false" outlineLevel="0" collapsed="false">
      <c r="A1571" s="33" t="n">
        <v>46309</v>
      </c>
      <c r="B1571" s="0" t="n">
        <v>4</v>
      </c>
      <c r="C1571" s="0" t="n">
        <v>5718</v>
      </c>
      <c r="D1571" s="0" t="n">
        <v>184</v>
      </c>
      <c r="E1571" s="0" t="n">
        <v>1</v>
      </c>
      <c r="F1571" s="27" t="s">
        <v>976</v>
      </c>
      <c r="G1571" s="0" t="n">
        <v>44</v>
      </c>
      <c r="H1571" s="0" t="n">
        <v>46</v>
      </c>
      <c r="I1571" s="27" t="s">
        <v>138</v>
      </c>
      <c r="J1571" s="0" t="n">
        <v>136</v>
      </c>
      <c r="K1571" s="0" t="n">
        <v>65</v>
      </c>
      <c r="L1571" s="0" t="n">
        <v>48</v>
      </c>
      <c r="P1571" s="0" t="n">
        <v>4.5</v>
      </c>
      <c r="Q1571" s="0" t="n">
        <v>3.66</v>
      </c>
      <c r="R1571" s="0" t="n">
        <v>3697</v>
      </c>
      <c r="S1571" s="0" t="n">
        <v>8246</v>
      </c>
      <c r="T1571" s="0" t="n">
        <v>38.35</v>
      </c>
      <c r="U1571" s="0" t="n">
        <v>828</v>
      </c>
      <c r="V1571" s="0" t="n">
        <v>3</v>
      </c>
      <c r="W1571" s="27" t="n">
        <f aca="false">MATCH(A1571,DATAS,0)</f>
        <v>1</v>
      </c>
      <c r="X1571" s="27" t="n">
        <f aca="false">IF(AND(E1571&gt;0,OR(AND(B1571&gt;=1,B1571&lt;=6),B1571=10)),1,0)</f>
        <v>1</v>
      </c>
      <c r="Y1571" s="27" t="n">
        <f aca="false">IF(AND(E1571&gt;0,B1571=10),1,0)</f>
        <v>0</v>
      </c>
      <c r="Z1571" s="0" t="str">
        <f aca="false">IF(AND(C1570=C1571,W1570=W1571-1),X1570,"")</f>
        <v/>
      </c>
      <c r="AA1571" s="0" t="str">
        <f aca="false">IF(AND(C1570=C1571,W1570=W1571-1),Y1570,"")</f>
        <v/>
      </c>
      <c r="AB1571" s="0" t="str">
        <f aca="false">IF(W1571=1,"",IF(AND(X1571=1,Z1571&lt;&gt;1),1,0))</f>
        <v/>
      </c>
      <c r="AC1571" s="0" t="str">
        <f aca="false">IF(W1571=1,"",IF(AND(Y1571=1,AA1571&lt;&gt;1),1,0))</f>
        <v/>
      </c>
      <c r="AD1571" s="33" t="str">
        <f aca="false">IF(AND(E1571&gt;0,W1571&lt;1,NOT(AND(C1572=C1571,W1572=W1571+1))),INDEX(DATAS,W1571+1),"")</f>
        <v/>
      </c>
      <c r="AE1571" s="33" t="str">
        <f aca="false">IF(AND(Y1571=1,W1571&lt;1),IF(AND(C1572=C1571,W1572=W1571+1),IF(Y1572=1,"",INDEX(DATAS,W1571+1)),INDEX(DATAS,W1571+1)),"")</f>
        <v/>
      </c>
    </row>
    <row r="1572" customFormat="false" ht="15" hidden="false" customHeight="false" outlineLevel="0" collapsed="false">
      <c r="A1572" s="33" t="n">
        <v>46309</v>
      </c>
      <c r="B1572" s="0" t="n">
        <v>4</v>
      </c>
      <c r="C1572" s="0" t="n">
        <v>5719</v>
      </c>
      <c r="D1572" s="0" t="n">
        <v>133</v>
      </c>
      <c r="E1572" s="0" t="n">
        <v>1</v>
      </c>
      <c r="F1572" s="27" t="s">
        <v>977</v>
      </c>
      <c r="G1572" s="0" t="n">
        <v>44.5</v>
      </c>
      <c r="H1572" s="0" t="n">
        <v>43</v>
      </c>
      <c r="I1572" s="27" t="s">
        <v>176</v>
      </c>
      <c r="J1572" s="0" t="n">
        <v>133</v>
      </c>
      <c r="K1572" s="0" t="n">
        <v>63</v>
      </c>
      <c r="P1572" s="0" t="n">
        <v>3.21</v>
      </c>
      <c r="Q1572" s="0" t="n">
        <v>3.29</v>
      </c>
      <c r="R1572" s="0" t="n">
        <v>3877</v>
      </c>
      <c r="S1572" s="0" t="n">
        <v>8065</v>
      </c>
      <c r="T1572" s="0" t="n">
        <v>44.85</v>
      </c>
      <c r="U1572" s="0" t="n">
        <v>826</v>
      </c>
      <c r="V1572" s="0" t="n">
        <v>2</v>
      </c>
      <c r="W1572" s="27" t="n">
        <f aca="false">MATCH(A1572,DATAS,0)</f>
        <v>1</v>
      </c>
      <c r="X1572" s="27" t="n">
        <f aca="false">IF(AND(E1572&gt;0,OR(AND(B1572&gt;=1,B1572&lt;=6),B1572=10)),1,0)</f>
        <v>1</v>
      </c>
      <c r="Y1572" s="27" t="n">
        <f aca="false">IF(AND(E1572&gt;0,B1572=10),1,0)</f>
        <v>0</v>
      </c>
      <c r="Z1572" s="0" t="str">
        <f aca="false">IF(AND(C1571=C1572,W1571=W1572-1),X1571,"")</f>
        <v/>
      </c>
      <c r="AA1572" s="0" t="str">
        <f aca="false">IF(AND(C1571=C1572,W1571=W1572-1),Y1571,"")</f>
        <v/>
      </c>
      <c r="AB1572" s="0" t="str">
        <f aca="false">IF(W1572=1,"",IF(AND(X1572=1,Z1572&lt;&gt;1),1,0))</f>
        <v/>
      </c>
      <c r="AC1572" s="0" t="str">
        <f aca="false">IF(W1572=1,"",IF(AND(Y1572=1,AA1572&lt;&gt;1),1,0))</f>
        <v/>
      </c>
      <c r="AD1572" s="33" t="str">
        <f aca="false">IF(AND(E1572&gt;0,W1572&lt;1,NOT(AND(C1573=C1572,W1573=W1572+1))),INDEX(DATAS,W1572+1),"")</f>
        <v/>
      </c>
      <c r="AE1572" s="33" t="str">
        <f aca="false">IF(AND(Y1572=1,W1572&lt;1),IF(AND(C1573=C1572,W1573=W1572+1),IF(Y1573=1,"",INDEX(DATAS,W1572+1)),INDEX(DATAS,W1572+1)),"")</f>
        <v/>
      </c>
    </row>
    <row r="1573" customFormat="false" ht="15" hidden="false" customHeight="false" outlineLevel="0" collapsed="false">
      <c r="A1573" s="33" t="n">
        <v>46309</v>
      </c>
      <c r="B1573" s="0" t="n">
        <v>1</v>
      </c>
      <c r="C1573" s="0" t="n">
        <v>5720</v>
      </c>
      <c r="D1573" s="0" t="n">
        <v>106</v>
      </c>
      <c r="E1573" s="0" t="n">
        <v>1</v>
      </c>
      <c r="F1573" s="27" t="s">
        <v>977</v>
      </c>
      <c r="G1573" s="0" t="n">
        <v>57.7</v>
      </c>
      <c r="H1573" s="0" t="n">
        <v>58</v>
      </c>
      <c r="I1573" s="27" t="s">
        <v>138</v>
      </c>
      <c r="J1573" s="0" t="n">
        <v>64</v>
      </c>
      <c r="K1573" s="0" t="n">
        <v>63</v>
      </c>
      <c r="L1573" s="0" t="n">
        <v>42</v>
      </c>
      <c r="P1573" s="0" t="n">
        <v>3.02</v>
      </c>
      <c r="Q1573" s="0" t="n">
        <v>2.88</v>
      </c>
      <c r="R1573" s="0" t="n">
        <v>5018</v>
      </c>
      <c r="S1573" s="0" t="n">
        <v>10181</v>
      </c>
      <c r="T1573" s="0" t="n">
        <v>54.65</v>
      </c>
      <c r="U1573" s="0" t="n">
        <v>826</v>
      </c>
      <c r="V1573" s="0" t="n">
        <v>1</v>
      </c>
      <c r="W1573" s="27" t="n">
        <f aca="false">MATCH(A1573,DATAS,0)</f>
        <v>1</v>
      </c>
      <c r="X1573" s="27" t="n">
        <f aca="false">IF(AND(E1573&gt;0,OR(AND(B1573&gt;=1,B1573&lt;=6),B1573=10)),1,0)</f>
        <v>1</v>
      </c>
      <c r="Y1573" s="27" t="n">
        <f aca="false">IF(AND(E1573&gt;0,B1573=10),1,0)</f>
        <v>0</v>
      </c>
      <c r="Z1573" s="0" t="str">
        <f aca="false">IF(AND(C1572=C1573,W1572=W1573-1),X1572,"")</f>
        <v/>
      </c>
      <c r="AA1573" s="0" t="str">
        <f aca="false">IF(AND(C1572=C1573,W1572=W1573-1),Y1572,"")</f>
        <v/>
      </c>
      <c r="AB1573" s="0" t="str">
        <f aca="false">IF(W1573=1,"",IF(AND(X1573=1,Z1573&lt;&gt;1),1,0))</f>
        <v/>
      </c>
      <c r="AC1573" s="0" t="str">
        <f aca="false">IF(W1573=1,"",IF(AND(Y1573=1,AA1573&lt;&gt;1),1,0))</f>
        <v/>
      </c>
      <c r="AD1573" s="33" t="str">
        <f aca="false">IF(AND(E1573&gt;0,W1573&lt;1,NOT(AND(C1574=C1573,W1574=W1573+1))),INDEX(DATAS,W1573+1),"")</f>
        <v/>
      </c>
      <c r="AE1573" s="33" t="str">
        <f aca="false">IF(AND(Y1573=1,W1573&lt;1),IF(AND(C1574=C1573,W1574=W1573+1),IF(Y1574=1,"",INDEX(DATAS,W1573+1)),INDEX(DATAS,W1573+1)),"")</f>
        <v/>
      </c>
    </row>
    <row r="1574" customFormat="false" ht="15" hidden="false" customHeight="false" outlineLevel="0" collapsed="false">
      <c r="A1574" s="33" t="n">
        <v>46309</v>
      </c>
      <c r="B1574" s="0" t="n">
        <v>1</v>
      </c>
      <c r="C1574" s="0" t="n">
        <v>5721</v>
      </c>
      <c r="D1574" s="0" t="n">
        <v>75</v>
      </c>
      <c r="E1574" s="0" t="n">
        <v>1</v>
      </c>
      <c r="F1574" s="27" t="s">
        <v>978</v>
      </c>
      <c r="G1574" s="0" t="n">
        <v>45.6</v>
      </c>
      <c r="H1574" s="0" t="n">
        <v>46</v>
      </c>
      <c r="I1574" s="27" t="s">
        <v>168</v>
      </c>
      <c r="J1574" s="0" t="n">
        <v>75</v>
      </c>
      <c r="K1574" s="0" t="n">
        <v>68</v>
      </c>
      <c r="P1574" s="0" t="n">
        <v>4.51</v>
      </c>
      <c r="Q1574" s="0" t="n">
        <v>3.15</v>
      </c>
      <c r="R1574" s="0" t="n">
        <v>4016</v>
      </c>
      <c r="S1574" s="0" t="n">
        <v>8074</v>
      </c>
      <c r="U1574" s="0" t="n">
        <v>824</v>
      </c>
      <c r="V1574" s="0" t="n">
        <v>1</v>
      </c>
      <c r="W1574" s="27" t="n">
        <f aca="false">MATCH(A1574,DATAS,0)</f>
        <v>1</v>
      </c>
      <c r="X1574" s="27" t="n">
        <f aca="false">IF(AND(E1574&gt;0,OR(AND(B1574&gt;=1,B1574&lt;=6),B1574=10)),1,0)</f>
        <v>1</v>
      </c>
      <c r="Y1574" s="27" t="n">
        <f aca="false">IF(AND(E1574&gt;0,B1574=10),1,0)</f>
        <v>0</v>
      </c>
      <c r="Z1574" s="0" t="str">
        <f aca="false">IF(AND(C1573=C1574,W1573=W1574-1),X1573,"")</f>
        <v/>
      </c>
      <c r="AA1574" s="0" t="str">
        <f aca="false">IF(AND(C1573=C1574,W1573=W1574-1),Y1573,"")</f>
        <v/>
      </c>
      <c r="AB1574" s="0" t="str">
        <f aca="false">IF(W1574=1,"",IF(AND(X1574=1,Z1574&lt;&gt;1),1,0))</f>
        <v/>
      </c>
      <c r="AC1574" s="0" t="str">
        <f aca="false">IF(W1574=1,"",IF(AND(Y1574=1,AA1574&lt;&gt;1),1,0))</f>
        <v/>
      </c>
      <c r="AD1574" s="33" t="str">
        <f aca="false">IF(AND(E1574&gt;0,W1574&lt;1,NOT(AND(C1575=C1574,W1575=W1574+1))),INDEX(DATAS,W1574+1),"")</f>
        <v/>
      </c>
      <c r="AE1574" s="33" t="str">
        <f aca="false">IF(AND(Y1574=1,W1574&lt;1),IF(AND(C1575=C1574,W1575=W1574+1),IF(Y1575=1,"",INDEX(DATAS,W1574+1)),INDEX(DATAS,W1574+1)),"")</f>
        <v/>
      </c>
    </row>
    <row r="1575" customFormat="false" ht="15" hidden="false" customHeight="false" outlineLevel="0" collapsed="false">
      <c r="A1575" s="33" t="n">
        <v>46309</v>
      </c>
      <c r="B1575" s="0" t="n">
        <v>4</v>
      </c>
      <c r="C1575" s="0" t="n">
        <v>5722</v>
      </c>
      <c r="D1575" s="0" t="n">
        <v>188</v>
      </c>
      <c r="E1575" s="0" t="n">
        <v>1</v>
      </c>
      <c r="F1575" s="27" t="s">
        <v>978</v>
      </c>
      <c r="G1575" s="0" t="n">
        <v>49.7</v>
      </c>
      <c r="H1575" s="0" t="n">
        <v>49</v>
      </c>
      <c r="I1575" s="27" t="s">
        <v>138</v>
      </c>
      <c r="J1575" s="0" t="n">
        <v>97</v>
      </c>
      <c r="K1575" s="0" t="n">
        <v>62</v>
      </c>
      <c r="L1575" s="0" t="n">
        <v>91</v>
      </c>
      <c r="P1575" s="0" t="n">
        <v>3.21</v>
      </c>
      <c r="Q1575" s="0" t="n">
        <v>3.59</v>
      </c>
      <c r="R1575" s="0" t="n">
        <v>4515</v>
      </c>
      <c r="S1575" s="0" t="n">
        <v>9684</v>
      </c>
      <c r="T1575" s="0" t="n">
        <v>47.15</v>
      </c>
      <c r="U1575" s="0" t="n">
        <v>824</v>
      </c>
      <c r="V1575" s="0" t="n">
        <v>2</v>
      </c>
      <c r="W1575" s="27" t="n">
        <f aca="false">MATCH(A1575,DATAS,0)</f>
        <v>1</v>
      </c>
      <c r="X1575" s="27" t="n">
        <f aca="false">IF(AND(E1575&gt;0,OR(AND(B1575&gt;=1,B1575&lt;=6),B1575=10)),1,0)</f>
        <v>1</v>
      </c>
      <c r="Y1575" s="27" t="n">
        <f aca="false">IF(AND(E1575&gt;0,B1575=10),1,0)</f>
        <v>0</v>
      </c>
      <c r="Z1575" s="0" t="str">
        <f aca="false">IF(AND(C1574=C1575,W1574=W1575-1),X1574,"")</f>
        <v/>
      </c>
      <c r="AA1575" s="0" t="str">
        <f aca="false">IF(AND(C1574=C1575,W1574=W1575-1),Y1574,"")</f>
        <v/>
      </c>
      <c r="AB1575" s="0" t="str">
        <f aca="false">IF(W1575=1,"",IF(AND(X1575=1,Z1575&lt;&gt;1),1,0))</f>
        <v/>
      </c>
      <c r="AC1575" s="0" t="str">
        <f aca="false">IF(W1575=1,"",IF(AND(Y1575=1,AA1575&lt;&gt;1),1,0))</f>
        <v/>
      </c>
      <c r="AD1575" s="33" t="str">
        <f aca="false">IF(AND(E1575&gt;0,W1575&lt;1,NOT(AND(C1576=C1575,W1576=W1575+1))),INDEX(DATAS,W1575+1),"")</f>
        <v/>
      </c>
      <c r="AE1575" s="33" t="str">
        <f aca="false">IF(AND(Y1575=1,W1575&lt;1),IF(AND(C1576=C1575,W1576=W1575+1),IF(Y1576=1,"",INDEX(DATAS,W1575+1)),INDEX(DATAS,W1575+1)),"")</f>
        <v/>
      </c>
    </row>
    <row r="1576" customFormat="false" ht="15" hidden="false" customHeight="false" outlineLevel="0" collapsed="false">
      <c r="A1576" s="33" t="n">
        <v>46309</v>
      </c>
      <c r="B1576" s="0" t="n">
        <v>4</v>
      </c>
      <c r="C1576" s="0" t="n">
        <v>5723</v>
      </c>
      <c r="D1576" s="0" t="n">
        <v>151</v>
      </c>
      <c r="E1576" s="0" t="n">
        <v>1</v>
      </c>
      <c r="F1576" s="27" t="s">
        <v>978</v>
      </c>
      <c r="G1576" s="0" t="n">
        <v>48.8</v>
      </c>
      <c r="H1576" s="0" t="n">
        <v>48</v>
      </c>
      <c r="I1576" s="27" t="s">
        <v>176</v>
      </c>
      <c r="J1576" s="0" t="n">
        <v>151</v>
      </c>
      <c r="K1576" s="0" t="n">
        <v>67</v>
      </c>
      <c r="P1576" s="0" t="n">
        <v>4.53</v>
      </c>
      <c r="Q1576" s="0" t="n">
        <v>2.97</v>
      </c>
      <c r="R1576" s="0" t="n">
        <v>5201</v>
      </c>
      <c r="S1576" s="0" t="n">
        <v>10468</v>
      </c>
      <c r="T1576" s="0" t="n">
        <v>53.75</v>
      </c>
      <c r="U1576" s="0" t="n">
        <v>824</v>
      </c>
      <c r="V1576" s="0" t="n">
        <v>2</v>
      </c>
      <c r="W1576" s="27" t="n">
        <f aca="false">MATCH(A1576,DATAS,0)</f>
        <v>1</v>
      </c>
      <c r="X1576" s="27" t="n">
        <f aca="false">IF(AND(E1576&gt;0,OR(AND(B1576&gt;=1,B1576&lt;=6),B1576=10)),1,0)</f>
        <v>1</v>
      </c>
      <c r="Y1576" s="27" t="n">
        <f aca="false">IF(AND(E1576&gt;0,B1576=10),1,0)</f>
        <v>0</v>
      </c>
      <c r="Z1576" s="0" t="str">
        <f aca="false">IF(AND(C1575=C1576,W1575=W1576-1),X1575,"")</f>
        <v/>
      </c>
      <c r="AA1576" s="0" t="str">
        <f aca="false">IF(AND(C1575=C1576,W1575=W1576-1),Y1575,"")</f>
        <v/>
      </c>
      <c r="AB1576" s="0" t="str">
        <f aca="false">IF(W1576=1,"",IF(AND(X1576=1,Z1576&lt;&gt;1),1,0))</f>
        <v/>
      </c>
      <c r="AC1576" s="0" t="str">
        <f aca="false">IF(W1576=1,"",IF(AND(Y1576=1,AA1576&lt;&gt;1),1,0))</f>
        <v/>
      </c>
      <c r="AD1576" s="33" t="str">
        <f aca="false">IF(AND(E1576&gt;0,W1576&lt;1,NOT(AND(C1577=C1576,W1577=W1576+1))),INDEX(DATAS,W1576+1),"")</f>
        <v/>
      </c>
      <c r="AE1576" s="33" t="str">
        <f aca="false">IF(AND(Y1576=1,W1576&lt;1),IF(AND(C1577=C1576,W1577=W1576+1),IF(Y1577=1,"",INDEX(DATAS,W1576+1)),INDEX(DATAS,W1576+1)),"")</f>
        <v/>
      </c>
    </row>
    <row r="1577" customFormat="false" ht="15" hidden="false" customHeight="false" outlineLevel="0" collapsed="false">
      <c r="A1577" s="33" t="n">
        <v>46309</v>
      </c>
      <c r="B1577" s="0" t="n">
        <v>1</v>
      </c>
      <c r="C1577" s="0" t="n">
        <v>5725</v>
      </c>
      <c r="D1577" s="0" t="n">
        <v>66</v>
      </c>
      <c r="E1577" s="0" t="n">
        <v>1</v>
      </c>
      <c r="F1577" s="27" t="s">
        <v>979</v>
      </c>
      <c r="G1577" s="0" t="n">
        <v>33.6</v>
      </c>
      <c r="H1577" s="0" t="n">
        <v>33</v>
      </c>
      <c r="I1577" s="27" t="s">
        <v>168</v>
      </c>
      <c r="J1577" s="0" t="n">
        <v>66</v>
      </c>
      <c r="K1577" s="0" t="n">
        <v>66</v>
      </c>
      <c r="P1577" s="0" t="n">
        <v>4.23</v>
      </c>
      <c r="Q1577" s="0" t="n">
        <v>3.16</v>
      </c>
      <c r="R1577" s="0" t="n">
        <v>2783</v>
      </c>
      <c r="S1577" s="0" t="n">
        <v>5596</v>
      </c>
      <c r="U1577" s="0" t="n">
        <v>821</v>
      </c>
      <c r="V1577" s="0" t="n">
        <v>1</v>
      </c>
      <c r="W1577" s="27" t="n">
        <f aca="false">MATCH(A1577,DATAS,0)</f>
        <v>1</v>
      </c>
      <c r="X1577" s="27" t="n">
        <f aca="false">IF(AND(E1577&gt;0,OR(AND(B1577&gt;=1,B1577&lt;=6),B1577=10)),1,0)</f>
        <v>1</v>
      </c>
      <c r="Y1577" s="27" t="n">
        <f aca="false">IF(AND(E1577&gt;0,B1577=10),1,0)</f>
        <v>0</v>
      </c>
      <c r="Z1577" s="0" t="str">
        <f aca="false">IF(AND(C1576=C1577,W1576=W1577-1),X1576,"")</f>
        <v/>
      </c>
      <c r="AA1577" s="0" t="str">
        <f aca="false">IF(AND(C1576=C1577,W1576=W1577-1),Y1576,"")</f>
        <v/>
      </c>
      <c r="AB1577" s="0" t="str">
        <f aca="false">IF(W1577=1,"",IF(AND(X1577=1,Z1577&lt;&gt;1),1,0))</f>
        <v/>
      </c>
      <c r="AC1577" s="0" t="str">
        <f aca="false">IF(W1577=1,"",IF(AND(Y1577=1,AA1577&lt;&gt;1),1,0))</f>
        <v/>
      </c>
      <c r="AD1577" s="33" t="str">
        <f aca="false">IF(AND(E1577&gt;0,W1577&lt;1,NOT(AND(C1578=C1577,W1578=W1577+1))),INDEX(DATAS,W1577+1),"")</f>
        <v/>
      </c>
      <c r="AE1577" s="33" t="str">
        <f aca="false">IF(AND(Y1577=1,W1577&lt;1),IF(AND(C1578=C1577,W1578=W1577+1),IF(Y1578=1,"",INDEX(DATAS,W1577+1)),INDEX(DATAS,W1577+1)),"")</f>
        <v/>
      </c>
    </row>
    <row r="1578" customFormat="false" ht="15" hidden="false" customHeight="false" outlineLevel="0" collapsed="false">
      <c r="A1578" s="33" t="n">
        <v>46309</v>
      </c>
      <c r="B1578" s="0" t="n">
        <v>4</v>
      </c>
      <c r="C1578" s="0" t="n">
        <v>5726</v>
      </c>
      <c r="D1578" s="0" t="n">
        <v>186</v>
      </c>
      <c r="E1578" s="0" t="n">
        <v>1</v>
      </c>
      <c r="F1578" s="27" t="s">
        <v>979</v>
      </c>
      <c r="G1578" s="0" t="n">
        <v>34.8</v>
      </c>
      <c r="H1578" s="0" t="n">
        <v>41</v>
      </c>
      <c r="I1578" s="27" t="s">
        <v>138</v>
      </c>
      <c r="J1578" s="0" t="n">
        <v>67</v>
      </c>
      <c r="K1578" s="0" t="n">
        <v>67</v>
      </c>
      <c r="L1578" s="0" t="n">
        <v>119</v>
      </c>
      <c r="P1578" s="0" t="n">
        <v>3.3</v>
      </c>
      <c r="Q1578" s="0" t="n">
        <v>3.15</v>
      </c>
      <c r="R1578" s="0" t="n">
        <v>3555</v>
      </c>
      <c r="S1578" s="0" t="n">
        <v>7843</v>
      </c>
      <c r="T1578" s="0" t="n">
        <v>39.4</v>
      </c>
      <c r="U1578" s="0" t="n">
        <v>821</v>
      </c>
      <c r="V1578" s="0" t="n">
        <v>1</v>
      </c>
      <c r="W1578" s="27" t="n">
        <f aca="false">MATCH(A1578,DATAS,0)</f>
        <v>1</v>
      </c>
      <c r="X1578" s="27" t="n">
        <f aca="false">IF(AND(E1578&gt;0,OR(AND(B1578&gt;=1,B1578&lt;=6),B1578=10)),1,0)</f>
        <v>1</v>
      </c>
      <c r="Y1578" s="27" t="n">
        <f aca="false">IF(AND(E1578&gt;0,B1578=10),1,0)</f>
        <v>0</v>
      </c>
      <c r="Z1578" s="0" t="str">
        <f aca="false">IF(AND(C1577=C1578,W1577=W1578-1),X1577,"")</f>
        <v/>
      </c>
      <c r="AA1578" s="0" t="str">
        <f aca="false">IF(AND(C1577=C1578,W1577=W1578-1),Y1577,"")</f>
        <v/>
      </c>
      <c r="AB1578" s="0" t="str">
        <f aca="false">IF(W1578=1,"",IF(AND(X1578=1,Z1578&lt;&gt;1),1,0))</f>
        <v/>
      </c>
      <c r="AC1578" s="0" t="str">
        <f aca="false">IF(W1578=1,"",IF(AND(Y1578=1,AA1578&lt;&gt;1),1,0))</f>
        <v/>
      </c>
      <c r="AD1578" s="33" t="str">
        <f aca="false">IF(AND(E1578&gt;0,W1578&lt;1,NOT(AND(C1579=C1578,W1579=W1578+1))),INDEX(DATAS,W1578+1),"")</f>
        <v/>
      </c>
      <c r="AE1578" s="33" t="str">
        <f aca="false">IF(AND(Y1578=1,W1578&lt;1),IF(AND(C1579=C1578,W1579=W1578+1),IF(Y1579=1,"",INDEX(DATAS,W1578+1)),INDEX(DATAS,W1578+1)),"")</f>
        <v/>
      </c>
    </row>
    <row r="1579" customFormat="false" ht="15" hidden="false" customHeight="false" outlineLevel="0" collapsed="false">
      <c r="A1579" s="33" t="n">
        <v>46309</v>
      </c>
      <c r="B1579" s="0" t="n">
        <v>4</v>
      </c>
      <c r="C1579" s="0" t="n">
        <v>5727</v>
      </c>
      <c r="D1579" s="0" t="n">
        <v>154</v>
      </c>
      <c r="E1579" s="0" t="n">
        <v>1</v>
      </c>
      <c r="F1579" s="27" t="s">
        <v>979</v>
      </c>
      <c r="G1579" s="0" t="n">
        <v>45.2</v>
      </c>
      <c r="H1579" s="0" t="n">
        <v>45</v>
      </c>
      <c r="I1579" s="27" t="s">
        <v>176</v>
      </c>
      <c r="J1579" s="0" t="n">
        <v>154</v>
      </c>
      <c r="K1579" s="0" t="n">
        <v>63</v>
      </c>
      <c r="P1579" s="0" t="n">
        <v>4.95</v>
      </c>
      <c r="Q1579" s="0" t="n">
        <v>3.43</v>
      </c>
      <c r="R1579" s="0" t="n">
        <v>3383</v>
      </c>
      <c r="S1579" s="0" t="n">
        <v>7469</v>
      </c>
      <c r="T1579" s="0" t="n">
        <v>35.2</v>
      </c>
      <c r="U1579" s="0" t="n">
        <v>821</v>
      </c>
      <c r="V1579" s="0" t="n">
        <v>2</v>
      </c>
      <c r="W1579" s="27" t="n">
        <f aca="false">MATCH(A1579,DATAS,0)</f>
        <v>1</v>
      </c>
      <c r="X1579" s="27" t="n">
        <f aca="false">IF(AND(E1579&gt;0,OR(AND(B1579&gt;=1,B1579&lt;=6),B1579=10)),1,0)</f>
        <v>1</v>
      </c>
      <c r="Y1579" s="27" t="n">
        <f aca="false">IF(AND(E1579&gt;0,B1579=10),1,0)</f>
        <v>0</v>
      </c>
      <c r="Z1579" s="0" t="str">
        <f aca="false">IF(AND(C1578=C1579,W1578=W1579-1),X1578,"")</f>
        <v/>
      </c>
      <c r="AA1579" s="0" t="str">
        <f aca="false">IF(AND(C1578=C1579,W1578=W1579-1),Y1578,"")</f>
        <v/>
      </c>
      <c r="AB1579" s="0" t="str">
        <f aca="false">IF(W1579=1,"",IF(AND(X1579=1,Z1579&lt;&gt;1),1,0))</f>
        <v/>
      </c>
      <c r="AC1579" s="0" t="str">
        <f aca="false">IF(W1579=1,"",IF(AND(Y1579=1,AA1579&lt;&gt;1),1,0))</f>
        <v/>
      </c>
      <c r="AD1579" s="33" t="str">
        <f aca="false">IF(AND(E1579&gt;0,W1579&lt;1,NOT(AND(C1580=C1579,W1580=W1579+1))),INDEX(DATAS,W1579+1),"")</f>
        <v/>
      </c>
      <c r="AE1579" s="33" t="str">
        <f aca="false">IF(AND(Y1579=1,W1579&lt;1),IF(AND(C1580=C1579,W1580=W1579+1),IF(Y1580=1,"",INDEX(DATAS,W1579+1)),INDEX(DATAS,W1579+1)),"")</f>
        <v/>
      </c>
    </row>
    <row r="1580" customFormat="false" ht="15" hidden="false" customHeight="false" outlineLevel="0" collapsed="false">
      <c r="A1580" s="33" t="n">
        <v>46309</v>
      </c>
      <c r="B1580" s="0" t="n">
        <v>4</v>
      </c>
      <c r="C1580" s="0" t="n">
        <v>5728</v>
      </c>
      <c r="D1580" s="0" t="n">
        <v>176</v>
      </c>
      <c r="E1580" s="0" t="n">
        <v>1</v>
      </c>
      <c r="F1580" s="27" t="s">
        <v>980</v>
      </c>
      <c r="G1580" s="0" t="n">
        <v>49.4</v>
      </c>
      <c r="H1580" s="0" t="n">
        <v>53</v>
      </c>
      <c r="I1580" s="27" t="s">
        <v>168</v>
      </c>
      <c r="J1580" s="0" t="n">
        <v>176</v>
      </c>
      <c r="K1580" s="0" t="n">
        <v>64</v>
      </c>
      <c r="P1580" s="0" t="n">
        <v>2.2</v>
      </c>
      <c r="Q1580" s="0" t="n">
        <v>3.17</v>
      </c>
      <c r="R1580" s="0" t="n">
        <v>4707</v>
      </c>
      <c r="S1580" s="0" t="n">
        <v>10075</v>
      </c>
      <c r="T1580" s="0" t="n">
        <v>55.65</v>
      </c>
      <c r="U1580" s="0" t="n">
        <v>820</v>
      </c>
      <c r="V1580" s="0" t="n">
        <v>3</v>
      </c>
      <c r="W1580" s="27" t="n">
        <f aca="false">MATCH(A1580,DATAS,0)</f>
        <v>1</v>
      </c>
      <c r="X1580" s="27" t="n">
        <f aca="false">IF(AND(E1580&gt;0,OR(AND(B1580&gt;=1,B1580&lt;=6),B1580=10)),1,0)</f>
        <v>1</v>
      </c>
      <c r="Y1580" s="27" t="n">
        <f aca="false">IF(AND(E1580&gt;0,B1580=10),1,0)</f>
        <v>0</v>
      </c>
      <c r="Z1580" s="0" t="str">
        <f aca="false">IF(AND(C1579=C1580,W1579=W1580-1),X1579,"")</f>
        <v/>
      </c>
      <c r="AA1580" s="0" t="str">
        <f aca="false">IF(AND(C1579=C1580,W1579=W1580-1),Y1579,"")</f>
        <v/>
      </c>
      <c r="AB1580" s="0" t="str">
        <f aca="false">IF(W1580=1,"",IF(AND(X1580=1,Z1580&lt;&gt;1),1,0))</f>
        <v/>
      </c>
      <c r="AC1580" s="0" t="str">
        <f aca="false">IF(W1580=1,"",IF(AND(Y1580=1,AA1580&lt;&gt;1),1,0))</f>
        <v/>
      </c>
      <c r="AD1580" s="33" t="str">
        <f aca="false">IF(AND(E1580&gt;0,W1580&lt;1,NOT(AND(C1581=C1580,W1581=W1580+1))),INDEX(DATAS,W1580+1),"")</f>
        <v/>
      </c>
      <c r="AE1580" s="33" t="str">
        <f aca="false">IF(AND(Y1580=1,W1580&lt;1),IF(AND(C1581=C1580,W1581=W1580+1),IF(Y1581=1,"",INDEX(DATAS,W1580+1)),INDEX(DATAS,W1580+1)),"")</f>
        <v/>
      </c>
    </row>
    <row r="1581" customFormat="false" ht="15" hidden="false" customHeight="false" outlineLevel="0" collapsed="false">
      <c r="A1581" s="33" t="n">
        <v>46309</v>
      </c>
      <c r="B1581" s="0" t="n">
        <v>4</v>
      </c>
      <c r="C1581" s="0" t="n">
        <v>5729</v>
      </c>
      <c r="D1581" s="0" t="n">
        <v>160</v>
      </c>
      <c r="E1581" s="0" t="n">
        <v>1</v>
      </c>
      <c r="F1581" s="27" t="s">
        <v>980</v>
      </c>
      <c r="G1581" s="0" t="n">
        <v>25.2</v>
      </c>
      <c r="H1581" s="0" t="n">
        <v>25</v>
      </c>
      <c r="I1581" s="27" t="s">
        <v>168</v>
      </c>
      <c r="J1581" s="0" t="n">
        <v>160</v>
      </c>
      <c r="K1581" s="0" t="n">
        <v>69</v>
      </c>
      <c r="P1581" s="0" t="n">
        <v>6.36</v>
      </c>
      <c r="Q1581" s="0" t="n">
        <v>3.36</v>
      </c>
      <c r="R1581" s="0" t="n">
        <v>4268</v>
      </c>
      <c r="S1581" s="0" t="n">
        <v>8203</v>
      </c>
      <c r="T1581" s="0" t="n">
        <v>48.2</v>
      </c>
      <c r="U1581" s="0" t="n">
        <v>820</v>
      </c>
      <c r="V1581" s="0" t="n">
        <v>3</v>
      </c>
      <c r="W1581" s="27" t="n">
        <f aca="false">MATCH(A1581,DATAS,0)</f>
        <v>1</v>
      </c>
      <c r="X1581" s="27" t="n">
        <f aca="false">IF(AND(E1581&gt;0,OR(AND(B1581&gt;=1,B1581&lt;=6),B1581=10)),1,0)</f>
        <v>1</v>
      </c>
      <c r="Y1581" s="27" t="n">
        <f aca="false">IF(AND(E1581&gt;0,B1581=10),1,0)</f>
        <v>0</v>
      </c>
      <c r="Z1581" s="0" t="str">
        <f aca="false">IF(AND(C1580=C1581,W1580=W1581-1),X1580,"")</f>
        <v/>
      </c>
      <c r="AA1581" s="0" t="str">
        <f aca="false">IF(AND(C1580=C1581,W1580=W1581-1),Y1580,"")</f>
        <v/>
      </c>
      <c r="AB1581" s="0" t="str">
        <f aca="false">IF(W1581=1,"",IF(AND(X1581=1,Z1581&lt;&gt;1),1,0))</f>
        <v/>
      </c>
      <c r="AC1581" s="0" t="str">
        <f aca="false">IF(W1581=1,"",IF(AND(Y1581=1,AA1581&lt;&gt;1),1,0))</f>
        <v/>
      </c>
      <c r="AD1581" s="33" t="str">
        <f aca="false">IF(AND(E1581&gt;0,W1581&lt;1,NOT(AND(C1582=C1581,W1582=W1581+1))),INDEX(DATAS,W1581+1),"")</f>
        <v/>
      </c>
      <c r="AE1581" s="33" t="str">
        <f aca="false">IF(AND(Y1581=1,W1581&lt;1),IF(AND(C1582=C1581,W1582=W1581+1),IF(Y1582=1,"",INDEX(DATAS,W1581+1)),INDEX(DATAS,W1581+1)),"")</f>
        <v/>
      </c>
    </row>
    <row r="1582" customFormat="false" ht="15" hidden="false" customHeight="false" outlineLevel="0" collapsed="false">
      <c r="A1582" s="33" t="n">
        <v>46309</v>
      </c>
      <c r="B1582" s="0" t="n">
        <v>4</v>
      </c>
      <c r="C1582" s="0" t="n">
        <v>5730</v>
      </c>
      <c r="D1582" s="0" t="n">
        <v>185</v>
      </c>
      <c r="E1582" s="0" t="n">
        <v>1</v>
      </c>
      <c r="F1582" s="27" t="s">
        <v>981</v>
      </c>
      <c r="G1582" s="0" t="n">
        <v>47.9</v>
      </c>
      <c r="H1582" s="0" t="n">
        <v>48</v>
      </c>
      <c r="I1582" s="27" t="s">
        <v>168</v>
      </c>
      <c r="J1582" s="0" t="n">
        <v>185</v>
      </c>
      <c r="K1582" s="0" t="n">
        <v>66</v>
      </c>
      <c r="P1582" s="0" t="n">
        <v>3.09</v>
      </c>
      <c r="Q1582" s="0" t="n">
        <v>3.55</v>
      </c>
      <c r="R1582" s="0" t="n">
        <v>4687</v>
      </c>
      <c r="S1582" s="0" t="n">
        <v>9995</v>
      </c>
      <c r="T1582" s="0" t="n">
        <v>47.4</v>
      </c>
      <c r="U1582" s="0" t="n">
        <v>819</v>
      </c>
      <c r="V1582" s="0" t="n">
        <v>4</v>
      </c>
      <c r="W1582" s="27" t="n">
        <f aca="false">MATCH(A1582,DATAS,0)</f>
        <v>1</v>
      </c>
      <c r="X1582" s="27" t="n">
        <f aca="false">IF(AND(E1582&gt;0,OR(AND(B1582&gt;=1,B1582&lt;=6),B1582=10)),1,0)</f>
        <v>1</v>
      </c>
      <c r="Y1582" s="27" t="n">
        <f aca="false">IF(AND(E1582&gt;0,B1582=10),1,0)</f>
        <v>0</v>
      </c>
      <c r="Z1582" s="0" t="str">
        <f aca="false">IF(AND(C1581=C1582,W1581=W1582-1),X1581,"")</f>
        <v/>
      </c>
      <c r="AA1582" s="0" t="str">
        <f aca="false">IF(AND(C1581=C1582,W1581=W1582-1),Y1581,"")</f>
        <v/>
      </c>
      <c r="AB1582" s="0" t="str">
        <f aca="false">IF(W1582=1,"",IF(AND(X1582=1,Z1582&lt;&gt;1),1,0))</f>
        <v/>
      </c>
      <c r="AC1582" s="0" t="str">
        <f aca="false">IF(W1582=1,"",IF(AND(Y1582=1,AA1582&lt;&gt;1),1,0))</f>
        <v/>
      </c>
      <c r="AD1582" s="33" t="str">
        <f aca="false">IF(AND(E1582&gt;0,W1582&lt;1,NOT(AND(C1583=C1582,W1583=W1582+1))),INDEX(DATAS,W1582+1),"")</f>
        <v/>
      </c>
      <c r="AE1582" s="33" t="str">
        <f aca="false">IF(AND(Y1582=1,W1582&lt;1),IF(AND(C1583=C1582,W1583=W1582+1),IF(Y1583=1,"",INDEX(DATAS,W1582+1)),INDEX(DATAS,W1582+1)),"")</f>
        <v/>
      </c>
    </row>
    <row r="1583" customFormat="false" ht="15" hidden="false" customHeight="false" outlineLevel="0" collapsed="false">
      <c r="A1583" s="33" t="n">
        <v>46309</v>
      </c>
      <c r="B1583" s="0" t="n">
        <v>4</v>
      </c>
      <c r="C1583" s="0" t="n">
        <v>5731</v>
      </c>
      <c r="D1583" s="0" t="n">
        <v>140</v>
      </c>
      <c r="E1583" s="0" t="n">
        <v>1</v>
      </c>
      <c r="F1583" s="27" t="s">
        <v>981</v>
      </c>
      <c r="G1583" s="0" t="n">
        <v>54.9</v>
      </c>
      <c r="H1583" s="0" t="n">
        <v>54</v>
      </c>
      <c r="I1583" s="27" t="s">
        <v>138</v>
      </c>
      <c r="J1583" s="0" t="n">
        <v>63</v>
      </c>
      <c r="K1583" s="0" t="n">
        <v>63</v>
      </c>
      <c r="L1583" s="0" t="n">
        <v>77</v>
      </c>
      <c r="P1583" s="0" t="n">
        <v>3.75</v>
      </c>
      <c r="Q1583" s="0" t="n">
        <v>3.2</v>
      </c>
      <c r="R1583" s="0" t="n">
        <v>5023</v>
      </c>
      <c r="S1583" s="0" t="n">
        <v>10380</v>
      </c>
      <c r="T1583" s="0" t="n">
        <v>53.45</v>
      </c>
      <c r="U1583" s="0" t="n">
        <v>819</v>
      </c>
      <c r="V1583" s="0" t="n">
        <v>1</v>
      </c>
      <c r="W1583" s="27" t="n">
        <f aca="false">MATCH(A1583,DATAS,0)</f>
        <v>1</v>
      </c>
      <c r="X1583" s="27" t="n">
        <f aca="false">IF(AND(E1583&gt;0,OR(AND(B1583&gt;=1,B1583&lt;=6),B1583=10)),1,0)</f>
        <v>1</v>
      </c>
      <c r="Y1583" s="27" t="n">
        <f aca="false">IF(AND(E1583&gt;0,B1583=10),1,0)</f>
        <v>0</v>
      </c>
      <c r="Z1583" s="0" t="str">
        <f aca="false">IF(AND(C1582=C1583,W1582=W1583-1),X1582,"")</f>
        <v/>
      </c>
      <c r="AA1583" s="0" t="str">
        <f aca="false">IF(AND(C1582=C1583,W1582=W1583-1),Y1582,"")</f>
        <v/>
      </c>
      <c r="AB1583" s="0" t="str">
        <f aca="false">IF(W1583=1,"",IF(AND(X1583=1,Z1583&lt;&gt;1),1,0))</f>
        <v/>
      </c>
      <c r="AC1583" s="0" t="str">
        <f aca="false">IF(W1583=1,"",IF(AND(Y1583=1,AA1583&lt;&gt;1),1,0))</f>
        <v/>
      </c>
      <c r="AD1583" s="33" t="str">
        <f aca="false">IF(AND(E1583&gt;0,W1583&lt;1,NOT(AND(C1584=C1583,W1584=W1583+1))),INDEX(DATAS,W1583+1),"")</f>
        <v/>
      </c>
      <c r="AE1583" s="33" t="str">
        <f aca="false">IF(AND(Y1583=1,W1583&lt;1),IF(AND(C1584=C1583,W1584=W1583+1),IF(Y1584=1,"",INDEX(DATAS,W1583+1)),INDEX(DATAS,W1583+1)),"")</f>
        <v/>
      </c>
    </row>
    <row r="1584" customFormat="false" ht="15" hidden="false" customHeight="false" outlineLevel="0" collapsed="false">
      <c r="A1584" s="33" t="n">
        <v>46309</v>
      </c>
      <c r="B1584" s="0" t="n">
        <v>4</v>
      </c>
      <c r="C1584" s="0" t="n">
        <v>5732</v>
      </c>
      <c r="D1584" s="0" t="n">
        <v>184</v>
      </c>
      <c r="E1584" s="0" t="n">
        <v>1</v>
      </c>
      <c r="F1584" s="27" t="s">
        <v>982</v>
      </c>
      <c r="G1584" s="0" t="n">
        <v>43.1</v>
      </c>
      <c r="H1584" s="0" t="n">
        <v>40</v>
      </c>
      <c r="I1584" s="27" t="s">
        <v>168</v>
      </c>
      <c r="J1584" s="0" t="n">
        <v>184</v>
      </c>
      <c r="K1584" s="0" t="n">
        <v>65</v>
      </c>
      <c r="P1584" s="0" t="n">
        <v>3.32</v>
      </c>
      <c r="Q1584" s="0" t="n">
        <v>3.44</v>
      </c>
      <c r="R1584" s="0" t="n">
        <v>4064</v>
      </c>
      <c r="S1584" s="0" t="n">
        <v>8737</v>
      </c>
      <c r="T1584" s="0" t="n">
        <v>44.1</v>
      </c>
      <c r="U1584" s="0" t="n">
        <v>818</v>
      </c>
      <c r="V1584" s="0" t="n">
        <v>4</v>
      </c>
      <c r="W1584" s="27" t="n">
        <f aca="false">MATCH(A1584,DATAS,0)</f>
        <v>1</v>
      </c>
      <c r="X1584" s="27" t="n">
        <f aca="false">IF(AND(E1584&gt;0,OR(AND(B1584&gt;=1,B1584&lt;=6),B1584=10)),1,0)</f>
        <v>1</v>
      </c>
      <c r="Y1584" s="27" t="n">
        <f aca="false">IF(AND(E1584&gt;0,B1584=10),1,0)</f>
        <v>0</v>
      </c>
      <c r="Z1584" s="0" t="str">
        <f aca="false">IF(AND(C1583=C1584,W1583=W1584-1),X1583,"")</f>
        <v/>
      </c>
      <c r="AA1584" s="0" t="str">
        <f aca="false">IF(AND(C1583=C1584,W1583=W1584-1),Y1583,"")</f>
        <v/>
      </c>
      <c r="AB1584" s="0" t="str">
        <f aca="false">IF(W1584=1,"",IF(AND(X1584=1,Z1584&lt;&gt;1),1,0))</f>
        <v/>
      </c>
      <c r="AC1584" s="0" t="str">
        <f aca="false">IF(W1584=1,"",IF(AND(Y1584=1,AA1584&lt;&gt;1),1,0))</f>
        <v/>
      </c>
      <c r="AD1584" s="33" t="str">
        <f aca="false">IF(AND(E1584&gt;0,W1584&lt;1,NOT(AND(C1585=C1584,W1585=W1584+1))),INDEX(DATAS,W1584+1),"")</f>
        <v/>
      </c>
      <c r="AE1584" s="33" t="str">
        <f aca="false">IF(AND(Y1584=1,W1584&lt;1),IF(AND(C1585=C1584,W1585=W1584+1),IF(Y1585=1,"",INDEX(DATAS,W1584+1)),INDEX(DATAS,W1584+1)),"")</f>
        <v/>
      </c>
    </row>
    <row r="1585" customFormat="false" ht="15" hidden="false" customHeight="false" outlineLevel="0" collapsed="false">
      <c r="A1585" s="33" t="n">
        <v>46309</v>
      </c>
      <c r="B1585" s="0" t="n">
        <v>4</v>
      </c>
      <c r="C1585" s="0" t="n">
        <v>5733</v>
      </c>
      <c r="D1585" s="0" t="n">
        <v>180</v>
      </c>
      <c r="E1585" s="0" t="n">
        <v>1</v>
      </c>
      <c r="F1585" s="27" t="s">
        <v>982</v>
      </c>
      <c r="G1585" s="0" t="n">
        <v>30.1</v>
      </c>
      <c r="H1585" s="0" t="n">
        <v>26</v>
      </c>
      <c r="I1585" s="27" t="s">
        <v>176</v>
      </c>
      <c r="J1585" s="0" t="n">
        <v>180</v>
      </c>
      <c r="K1585" s="0" t="n">
        <v>68</v>
      </c>
      <c r="P1585" s="0" t="n">
        <v>3.08</v>
      </c>
      <c r="Q1585" s="0" t="n">
        <v>3.04</v>
      </c>
      <c r="R1585" s="0" t="n">
        <v>4309</v>
      </c>
      <c r="S1585" s="0" t="n">
        <v>8157</v>
      </c>
      <c r="T1585" s="0" t="n">
        <v>49.5</v>
      </c>
      <c r="U1585" s="0" t="n">
        <v>818</v>
      </c>
      <c r="V1585" s="0" t="n">
        <v>5</v>
      </c>
      <c r="W1585" s="27" t="n">
        <f aca="false">MATCH(A1585,DATAS,0)</f>
        <v>1</v>
      </c>
      <c r="X1585" s="27" t="n">
        <f aca="false">IF(AND(E1585&gt;0,OR(AND(B1585&gt;=1,B1585&lt;=6),B1585=10)),1,0)</f>
        <v>1</v>
      </c>
      <c r="Y1585" s="27" t="n">
        <f aca="false">IF(AND(E1585&gt;0,B1585=10),1,0)</f>
        <v>0</v>
      </c>
      <c r="Z1585" s="0" t="str">
        <f aca="false">IF(AND(C1584=C1585,W1584=W1585-1),X1584,"")</f>
        <v/>
      </c>
      <c r="AA1585" s="0" t="str">
        <f aca="false">IF(AND(C1584=C1585,W1584=W1585-1),Y1584,"")</f>
        <v/>
      </c>
      <c r="AB1585" s="0" t="str">
        <f aca="false">IF(W1585=1,"",IF(AND(X1585=1,Z1585&lt;&gt;1),1,0))</f>
        <v/>
      </c>
      <c r="AC1585" s="0" t="str">
        <f aca="false">IF(W1585=1,"",IF(AND(Y1585=1,AA1585&lt;&gt;1),1,0))</f>
        <v/>
      </c>
      <c r="AD1585" s="33" t="str">
        <f aca="false">IF(AND(E1585&gt;0,W1585&lt;1,NOT(AND(C1586=C1585,W1586=W1585+1))),INDEX(DATAS,W1585+1),"")</f>
        <v/>
      </c>
      <c r="AE1585" s="33" t="str">
        <f aca="false">IF(AND(Y1585=1,W1585&lt;1),IF(AND(C1586=C1585,W1586=W1585+1),IF(Y1586=1,"",INDEX(DATAS,W1585+1)),INDEX(DATAS,W1585+1)),"")</f>
        <v/>
      </c>
    </row>
    <row r="1586" customFormat="false" ht="15" hidden="false" customHeight="false" outlineLevel="0" collapsed="false">
      <c r="A1586" s="33" t="n">
        <v>46309</v>
      </c>
      <c r="B1586" s="0" t="n">
        <v>4</v>
      </c>
      <c r="C1586" s="0" t="n">
        <v>5735</v>
      </c>
      <c r="D1586" s="0" t="n">
        <v>167</v>
      </c>
      <c r="E1586" s="0" t="n">
        <v>1</v>
      </c>
      <c r="F1586" s="27" t="s">
        <v>982</v>
      </c>
      <c r="G1586" s="0" t="n">
        <v>42.4</v>
      </c>
      <c r="H1586" s="0" t="n">
        <v>40</v>
      </c>
      <c r="I1586" s="27" t="s">
        <v>138</v>
      </c>
      <c r="J1586" s="0" t="n">
        <v>106</v>
      </c>
      <c r="K1586" s="0" t="n">
        <v>62</v>
      </c>
      <c r="L1586" s="0" t="n">
        <v>61</v>
      </c>
      <c r="P1586" s="0" t="n">
        <v>5.1</v>
      </c>
      <c r="Q1586" s="0" t="n">
        <v>3.25</v>
      </c>
      <c r="R1586" s="0" t="n">
        <v>3990</v>
      </c>
      <c r="S1586" s="0" t="n">
        <v>8302</v>
      </c>
      <c r="T1586" s="0" t="n">
        <v>40.9</v>
      </c>
      <c r="U1586" s="0" t="n">
        <v>818</v>
      </c>
      <c r="V1586" s="0" t="n">
        <v>3</v>
      </c>
      <c r="W1586" s="27" t="n">
        <f aca="false">MATCH(A1586,DATAS,0)</f>
        <v>1</v>
      </c>
      <c r="X1586" s="27" t="n">
        <f aca="false">IF(AND(E1586&gt;0,OR(AND(B1586&gt;=1,B1586&lt;=6),B1586=10)),1,0)</f>
        <v>1</v>
      </c>
      <c r="Y1586" s="27" t="n">
        <f aca="false">IF(AND(E1586&gt;0,B1586=10),1,0)</f>
        <v>0</v>
      </c>
      <c r="Z1586" s="0" t="str">
        <f aca="false">IF(AND(C1585=C1586,W1585=W1586-1),X1585,"")</f>
        <v/>
      </c>
      <c r="AA1586" s="0" t="str">
        <f aca="false">IF(AND(C1585=C1586,W1585=W1586-1),Y1585,"")</f>
        <v/>
      </c>
      <c r="AB1586" s="0" t="str">
        <f aca="false">IF(W1586=1,"",IF(AND(X1586=1,Z1586&lt;&gt;1),1,0))</f>
        <v/>
      </c>
      <c r="AC1586" s="0" t="str">
        <f aca="false">IF(W1586=1,"",IF(AND(Y1586=1,AA1586&lt;&gt;1),1,0))</f>
        <v/>
      </c>
      <c r="AD1586" s="33" t="str">
        <f aca="false">IF(AND(E1586&gt;0,W1586&lt;1,NOT(AND(C1587=C1586,W1587=W1586+1))),INDEX(DATAS,W1586+1),"")</f>
        <v/>
      </c>
      <c r="AE1586" s="33" t="str">
        <f aca="false">IF(AND(Y1586=1,W1586&lt;1),IF(AND(C1587=C1586,W1587=W1586+1),IF(Y1587=1,"",INDEX(DATAS,W1586+1)),INDEX(DATAS,W1586+1)),"")</f>
        <v/>
      </c>
    </row>
    <row r="1587" customFormat="false" ht="15" hidden="false" customHeight="false" outlineLevel="0" collapsed="false">
      <c r="A1587" s="33" t="n">
        <v>46309</v>
      </c>
      <c r="B1587" s="0" t="n">
        <v>4</v>
      </c>
      <c r="C1587" s="0" t="n">
        <v>5736</v>
      </c>
      <c r="D1587" s="0" t="n">
        <v>174</v>
      </c>
      <c r="E1587" s="0" t="n">
        <v>1</v>
      </c>
      <c r="F1587" s="27" t="s">
        <v>983</v>
      </c>
      <c r="G1587" s="0" t="n">
        <v>44.3</v>
      </c>
      <c r="H1587" s="0" t="n">
        <v>42</v>
      </c>
      <c r="I1587" s="27" t="s">
        <v>138</v>
      </c>
      <c r="J1587" s="0" t="n">
        <v>85</v>
      </c>
      <c r="K1587" s="0" t="n">
        <v>62</v>
      </c>
      <c r="L1587" s="0" t="n">
        <v>89</v>
      </c>
      <c r="P1587" s="0" t="n">
        <v>3.32</v>
      </c>
      <c r="Q1587" s="0" t="n">
        <v>3.33</v>
      </c>
      <c r="R1587" s="0" t="n">
        <v>4179</v>
      </c>
      <c r="S1587" s="0" t="n">
        <v>8815</v>
      </c>
      <c r="T1587" s="0" t="n">
        <v>46.35</v>
      </c>
      <c r="U1587" s="0" t="n">
        <v>815</v>
      </c>
      <c r="V1587" s="0" t="n">
        <v>2</v>
      </c>
      <c r="W1587" s="27" t="n">
        <f aca="false">MATCH(A1587,DATAS,0)</f>
        <v>1</v>
      </c>
      <c r="X1587" s="27" t="n">
        <f aca="false">IF(AND(E1587&gt;0,OR(AND(B1587&gt;=1,B1587&lt;=6),B1587=10)),1,0)</f>
        <v>1</v>
      </c>
      <c r="Y1587" s="27" t="n">
        <f aca="false">IF(AND(E1587&gt;0,B1587=10),1,0)</f>
        <v>0</v>
      </c>
      <c r="Z1587" s="0" t="str">
        <f aca="false">IF(AND(C1586=C1587,W1586=W1587-1),X1586,"")</f>
        <v/>
      </c>
      <c r="AA1587" s="0" t="str">
        <f aca="false">IF(AND(C1586=C1587,W1586=W1587-1),Y1586,"")</f>
        <v/>
      </c>
      <c r="AB1587" s="0" t="str">
        <f aca="false">IF(W1587=1,"",IF(AND(X1587=1,Z1587&lt;&gt;1),1,0))</f>
        <v/>
      </c>
      <c r="AC1587" s="0" t="str">
        <f aca="false">IF(W1587=1,"",IF(AND(Y1587=1,AA1587&lt;&gt;1),1,0))</f>
        <v/>
      </c>
      <c r="AD1587" s="33" t="str">
        <f aca="false">IF(AND(E1587&gt;0,W1587&lt;1,NOT(AND(C1588=C1587,W1588=W1587+1))),INDEX(DATAS,W1587+1),"")</f>
        <v/>
      </c>
      <c r="AE1587" s="33" t="str">
        <f aca="false">IF(AND(Y1587=1,W1587&lt;1),IF(AND(C1588=C1587,W1588=W1587+1),IF(Y1588=1,"",INDEX(DATAS,W1587+1)),INDEX(DATAS,W1587+1)),"")</f>
        <v/>
      </c>
    </row>
    <row r="1588" customFormat="false" ht="15" hidden="false" customHeight="false" outlineLevel="0" collapsed="false">
      <c r="A1588" s="33" t="n">
        <v>46309</v>
      </c>
      <c r="B1588" s="0" t="n">
        <v>1</v>
      </c>
      <c r="C1588" s="0" t="n">
        <v>5737</v>
      </c>
      <c r="D1588" s="0" t="n">
        <v>4</v>
      </c>
      <c r="E1588" s="0" t="n">
        <v>1</v>
      </c>
      <c r="F1588" s="27" t="s">
        <v>984</v>
      </c>
      <c r="I1588" s="27" t="s">
        <v>147</v>
      </c>
      <c r="J1588" s="0" t="n">
        <v>4</v>
      </c>
      <c r="U1588" s="0" t="n">
        <v>816</v>
      </c>
      <c r="V1588" s="0" t="n">
        <v>0</v>
      </c>
      <c r="W1588" s="27" t="n">
        <f aca="false">MATCH(A1588,DATAS,0)</f>
        <v>1</v>
      </c>
      <c r="X1588" s="27" t="n">
        <f aca="false">IF(AND(E1588&gt;0,OR(AND(B1588&gt;=1,B1588&lt;=6),B1588=10)),1,0)</f>
        <v>1</v>
      </c>
      <c r="Y1588" s="27" t="n">
        <f aca="false">IF(AND(E1588&gt;0,B1588=10),1,0)</f>
        <v>0</v>
      </c>
      <c r="Z1588" s="0" t="str">
        <f aca="false">IF(AND(C1587=C1588,W1587=W1588-1),X1587,"")</f>
        <v/>
      </c>
      <c r="AA1588" s="0" t="str">
        <f aca="false">IF(AND(C1587=C1588,W1587=W1588-1),Y1587,"")</f>
        <v/>
      </c>
      <c r="AB1588" s="0" t="str">
        <f aca="false">IF(W1588=1,"",IF(AND(X1588=1,Z1588&lt;&gt;1),1,0))</f>
        <v/>
      </c>
      <c r="AC1588" s="0" t="str">
        <f aca="false">IF(W1588=1,"",IF(AND(Y1588=1,AA1588&lt;&gt;1),1,0))</f>
        <v/>
      </c>
      <c r="AD1588" s="33" t="str">
        <f aca="false">IF(AND(E1588&gt;0,W1588&lt;1,NOT(AND(C1589=C1588,W1589=W1588+1))),INDEX(DATAS,W1588+1),"")</f>
        <v/>
      </c>
      <c r="AE1588" s="33" t="str">
        <f aca="false">IF(AND(Y1588=1,W1588&lt;1),IF(AND(C1589=C1588,W1589=W1588+1),IF(Y1589=1,"",INDEX(DATAS,W1588+1)),INDEX(DATAS,W1588+1)),"")</f>
        <v/>
      </c>
    </row>
    <row r="1589" customFormat="false" ht="15" hidden="false" customHeight="false" outlineLevel="0" collapsed="false">
      <c r="A1589" s="33" t="n">
        <v>46309</v>
      </c>
      <c r="B1589" s="0" t="n">
        <v>4</v>
      </c>
      <c r="C1589" s="0" t="n">
        <v>5738</v>
      </c>
      <c r="D1589" s="0" t="n">
        <v>163</v>
      </c>
      <c r="E1589" s="0" t="n">
        <v>1</v>
      </c>
      <c r="F1589" s="27" t="s">
        <v>983</v>
      </c>
      <c r="G1589" s="0" t="n">
        <v>46.9</v>
      </c>
      <c r="H1589" s="0" t="n">
        <v>46</v>
      </c>
      <c r="I1589" s="27" t="s">
        <v>138</v>
      </c>
      <c r="J1589" s="0" t="n">
        <v>87</v>
      </c>
      <c r="K1589" s="0" t="n">
        <v>65</v>
      </c>
      <c r="L1589" s="0" t="n">
        <v>76</v>
      </c>
      <c r="P1589" s="0" t="n">
        <v>3.2</v>
      </c>
      <c r="Q1589" s="0" t="n">
        <v>3.29</v>
      </c>
      <c r="R1589" s="0" t="n">
        <v>4171</v>
      </c>
      <c r="S1589" s="0" t="n">
        <v>9003</v>
      </c>
      <c r="T1589" s="0" t="n">
        <v>48.75</v>
      </c>
      <c r="U1589" s="0" t="n">
        <v>815</v>
      </c>
      <c r="V1589" s="0" t="n">
        <v>2</v>
      </c>
      <c r="W1589" s="27" t="n">
        <f aca="false">MATCH(A1589,DATAS,0)</f>
        <v>1</v>
      </c>
      <c r="X1589" s="27" t="n">
        <f aca="false">IF(AND(E1589&gt;0,OR(AND(B1589&gt;=1,B1589&lt;=6),B1589=10)),1,0)</f>
        <v>1</v>
      </c>
      <c r="Y1589" s="27" t="n">
        <f aca="false">IF(AND(E1589&gt;0,B1589=10),1,0)</f>
        <v>0</v>
      </c>
      <c r="Z1589" s="0" t="str">
        <f aca="false">IF(AND(C1588=C1589,W1588=W1589-1),X1588,"")</f>
        <v/>
      </c>
      <c r="AA1589" s="0" t="str">
        <f aca="false">IF(AND(C1588=C1589,W1588=W1589-1),Y1588,"")</f>
        <v/>
      </c>
      <c r="AB1589" s="0" t="str">
        <f aca="false">IF(W1589=1,"",IF(AND(X1589=1,Z1589&lt;&gt;1),1,0))</f>
        <v/>
      </c>
      <c r="AC1589" s="0" t="str">
        <f aca="false">IF(W1589=1,"",IF(AND(Y1589=1,AA1589&lt;&gt;1),1,0))</f>
        <v/>
      </c>
      <c r="AD1589" s="33" t="str">
        <f aca="false">IF(AND(E1589&gt;0,W1589&lt;1,NOT(AND(C1590=C1589,W1590=W1589+1))),INDEX(DATAS,W1589+1),"")</f>
        <v/>
      </c>
      <c r="AE1589" s="33" t="str">
        <f aca="false">IF(AND(Y1589=1,W1589&lt;1),IF(AND(C1590=C1589,W1590=W1589+1),IF(Y1590=1,"",INDEX(DATAS,W1589+1)),INDEX(DATAS,W1589+1)),"")</f>
        <v/>
      </c>
    </row>
    <row r="1590" customFormat="false" ht="15" hidden="false" customHeight="false" outlineLevel="0" collapsed="false">
      <c r="A1590" s="33" t="n">
        <v>46309</v>
      </c>
      <c r="B1590" s="0" t="n">
        <v>4</v>
      </c>
      <c r="C1590" s="0" t="n">
        <v>5739</v>
      </c>
      <c r="D1590" s="0" t="n">
        <v>153</v>
      </c>
      <c r="E1590" s="0" t="n">
        <v>1</v>
      </c>
      <c r="F1590" s="27" t="s">
        <v>983</v>
      </c>
      <c r="G1590" s="0" t="n">
        <v>51</v>
      </c>
      <c r="H1590" s="0" t="n">
        <v>50</v>
      </c>
      <c r="I1590" s="27" t="s">
        <v>138</v>
      </c>
      <c r="J1590" s="0" t="n">
        <v>97</v>
      </c>
      <c r="K1590" s="0" t="n">
        <v>64</v>
      </c>
      <c r="L1590" s="0" t="n">
        <v>56</v>
      </c>
      <c r="P1590" s="0" t="n">
        <v>2.61</v>
      </c>
      <c r="Q1590" s="0" t="n">
        <v>3.31</v>
      </c>
      <c r="R1590" s="0" t="n">
        <v>4608</v>
      </c>
      <c r="S1590" s="0" t="n">
        <v>9695</v>
      </c>
      <c r="T1590" s="0" t="n">
        <v>44.6</v>
      </c>
      <c r="U1590" s="0" t="n">
        <v>815</v>
      </c>
      <c r="V1590" s="0" t="n">
        <v>2</v>
      </c>
      <c r="W1590" s="27" t="n">
        <f aca="false">MATCH(A1590,DATAS,0)</f>
        <v>1</v>
      </c>
      <c r="X1590" s="27" t="n">
        <f aca="false">IF(AND(E1590&gt;0,OR(AND(B1590&gt;=1,B1590&lt;=6),B1590=10)),1,0)</f>
        <v>1</v>
      </c>
      <c r="Y1590" s="27" t="n">
        <f aca="false">IF(AND(E1590&gt;0,B1590=10),1,0)</f>
        <v>0</v>
      </c>
      <c r="Z1590" s="0" t="str">
        <f aca="false">IF(AND(C1589=C1590,W1589=W1590-1),X1589,"")</f>
        <v/>
      </c>
      <c r="AA1590" s="0" t="str">
        <f aca="false">IF(AND(C1589=C1590,W1589=W1590-1),Y1589,"")</f>
        <v/>
      </c>
      <c r="AB1590" s="0" t="str">
        <f aca="false">IF(W1590=1,"",IF(AND(X1590=1,Z1590&lt;&gt;1),1,0))</f>
        <v/>
      </c>
      <c r="AC1590" s="0" t="str">
        <f aca="false">IF(W1590=1,"",IF(AND(Y1590=1,AA1590&lt;&gt;1),1,0))</f>
        <v/>
      </c>
      <c r="AD1590" s="33" t="str">
        <f aca="false">IF(AND(E1590&gt;0,W1590&lt;1,NOT(AND(C1591=C1590,W1591=W1590+1))),INDEX(DATAS,W1590+1),"")</f>
        <v/>
      </c>
      <c r="AE1590" s="33" t="str">
        <f aca="false">IF(AND(Y1590=1,W1590&lt;1),IF(AND(C1591=C1590,W1591=W1590+1),IF(Y1591=1,"",INDEX(DATAS,W1590+1)),INDEX(DATAS,W1590+1)),"")</f>
        <v/>
      </c>
    </row>
    <row r="1591" customFormat="false" ht="15" hidden="false" customHeight="false" outlineLevel="0" collapsed="false">
      <c r="A1591" s="33" t="n">
        <v>46309</v>
      </c>
      <c r="B1591" s="0" t="n">
        <v>4</v>
      </c>
      <c r="C1591" s="0" t="n">
        <v>5740</v>
      </c>
      <c r="D1591" s="0" t="n">
        <v>170</v>
      </c>
      <c r="E1591" s="0" t="n">
        <v>1</v>
      </c>
      <c r="F1591" s="27" t="s">
        <v>983</v>
      </c>
      <c r="G1591" s="0" t="n">
        <v>53.4</v>
      </c>
      <c r="H1591" s="0" t="n">
        <v>52</v>
      </c>
      <c r="I1591" s="27" t="s">
        <v>138</v>
      </c>
      <c r="J1591" s="0" t="n">
        <v>89</v>
      </c>
      <c r="K1591" s="0" t="n">
        <v>65</v>
      </c>
      <c r="L1591" s="0" t="n">
        <v>81</v>
      </c>
      <c r="P1591" s="0" t="n">
        <v>3.38</v>
      </c>
      <c r="Q1591" s="0" t="n">
        <v>3.35</v>
      </c>
      <c r="R1591" s="0" t="n">
        <v>4552</v>
      </c>
      <c r="S1591" s="0" t="n">
        <v>9537</v>
      </c>
      <c r="T1591" s="0" t="n">
        <v>52.75</v>
      </c>
      <c r="U1591" s="0" t="n">
        <v>815</v>
      </c>
      <c r="V1591" s="0" t="n">
        <v>2</v>
      </c>
      <c r="W1591" s="27" t="n">
        <f aca="false">MATCH(A1591,DATAS,0)</f>
        <v>1</v>
      </c>
      <c r="X1591" s="27" t="n">
        <f aca="false">IF(AND(E1591&gt;0,OR(AND(B1591&gt;=1,B1591&lt;=6),B1591=10)),1,0)</f>
        <v>1</v>
      </c>
      <c r="Y1591" s="27" t="n">
        <f aca="false">IF(AND(E1591&gt;0,B1591=10),1,0)</f>
        <v>0</v>
      </c>
      <c r="Z1591" s="0" t="str">
        <f aca="false">IF(AND(C1590=C1591,W1590=W1591-1),X1590,"")</f>
        <v/>
      </c>
      <c r="AA1591" s="0" t="str">
        <f aca="false">IF(AND(C1590=C1591,W1590=W1591-1),Y1590,"")</f>
        <v/>
      </c>
      <c r="AB1591" s="0" t="str">
        <f aca="false">IF(W1591=1,"",IF(AND(X1591=1,Z1591&lt;&gt;1),1,0))</f>
        <v/>
      </c>
      <c r="AC1591" s="0" t="str">
        <f aca="false">IF(W1591=1,"",IF(AND(Y1591=1,AA1591&lt;&gt;1),1,0))</f>
        <v/>
      </c>
      <c r="AD1591" s="33" t="str">
        <f aca="false">IF(AND(E1591&gt;0,W1591&lt;1,NOT(AND(C1592=C1591,W1592=W1591+1))),INDEX(DATAS,W1591+1),"")</f>
        <v/>
      </c>
      <c r="AE1591" s="33" t="str">
        <f aca="false">IF(AND(Y1591=1,W1591&lt;1),IF(AND(C1592=C1591,W1592=W1591+1),IF(Y1592=1,"",INDEX(DATAS,W1591+1)),INDEX(DATAS,W1591+1)),"")</f>
        <v/>
      </c>
    </row>
    <row r="1592" customFormat="false" ht="15" hidden="false" customHeight="false" outlineLevel="0" collapsed="false">
      <c r="A1592" s="33" t="n">
        <v>46309</v>
      </c>
      <c r="B1592" s="0" t="n">
        <v>1</v>
      </c>
      <c r="C1592" s="0" t="n">
        <v>5741</v>
      </c>
      <c r="D1592" s="0" t="n">
        <v>55</v>
      </c>
      <c r="E1592" s="0" t="n">
        <v>1</v>
      </c>
      <c r="F1592" s="27" t="s">
        <v>985</v>
      </c>
      <c r="G1592" s="0" t="n">
        <v>21.2</v>
      </c>
      <c r="H1592" s="0" t="n">
        <v>21</v>
      </c>
      <c r="I1592" s="27" t="s">
        <v>147</v>
      </c>
      <c r="J1592" s="0" t="n">
        <v>55</v>
      </c>
      <c r="P1592" s="0" t="n">
        <v>3.96</v>
      </c>
      <c r="Q1592" s="0" t="n">
        <v>3.22</v>
      </c>
      <c r="R1592" s="0" t="n">
        <v>2320</v>
      </c>
      <c r="S1592" s="0" t="n">
        <v>4663</v>
      </c>
      <c r="U1592" s="0" t="n">
        <v>813</v>
      </c>
      <c r="V1592" s="0" t="n">
        <v>0</v>
      </c>
      <c r="W1592" s="27" t="n">
        <f aca="false">MATCH(A1592,DATAS,0)</f>
        <v>1</v>
      </c>
      <c r="X1592" s="27" t="n">
        <f aca="false">IF(AND(E1592&gt;0,OR(AND(B1592&gt;=1,B1592&lt;=6),B1592=10)),1,0)</f>
        <v>1</v>
      </c>
      <c r="Y1592" s="27" t="n">
        <f aca="false">IF(AND(E1592&gt;0,B1592=10),1,0)</f>
        <v>0</v>
      </c>
      <c r="Z1592" s="0" t="str">
        <f aca="false">IF(AND(C1591=C1592,W1591=W1592-1),X1591,"")</f>
        <v/>
      </c>
      <c r="AA1592" s="0" t="str">
        <f aca="false">IF(AND(C1591=C1592,W1591=W1592-1),Y1591,"")</f>
        <v/>
      </c>
      <c r="AB1592" s="0" t="str">
        <f aca="false">IF(W1592=1,"",IF(AND(X1592=1,Z1592&lt;&gt;1),1,0))</f>
        <v/>
      </c>
      <c r="AC1592" s="0" t="str">
        <f aca="false">IF(W1592=1,"",IF(AND(Y1592=1,AA1592&lt;&gt;1),1,0))</f>
        <v/>
      </c>
      <c r="AD1592" s="33" t="str">
        <f aca="false">IF(AND(E1592&gt;0,W1592&lt;1,NOT(AND(C1593=C1592,W1593=W1592+1))),INDEX(DATAS,W1592+1),"")</f>
        <v/>
      </c>
      <c r="AE1592" s="33" t="str">
        <f aca="false">IF(AND(Y1592=1,W1592&lt;1),IF(AND(C1593=C1592,W1593=W1592+1),IF(Y1593=1,"",INDEX(DATAS,W1592+1)),INDEX(DATAS,W1592+1)),"")</f>
        <v/>
      </c>
    </row>
    <row r="1593" customFormat="false" ht="15" hidden="false" customHeight="false" outlineLevel="0" collapsed="false">
      <c r="A1593" s="33" t="n">
        <v>46309</v>
      </c>
      <c r="B1593" s="0" t="n">
        <v>1</v>
      </c>
      <c r="C1593" s="0" t="n">
        <v>5742</v>
      </c>
      <c r="D1593" s="0" t="n">
        <v>91</v>
      </c>
      <c r="E1593" s="0" t="n">
        <v>1</v>
      </c>
      <c r="F1593" s="27" t="s">
        <v>985</v>
      </c>
      <c r="G1593" s="0" t="n">
        <v>47.5</v>
      </c>
      <c r="H1593" s="0" t="n">
        <v>52</v>
      </c>
      <c r="I1593" s="27" t="s">
        <v>168</v>
      </c>
      <c r="J1593" s="0" t="n">
        <v>91</v>
      </c>
      <c r="K1593" s="0" t="n">
        <v>63</v>
      </c>
      <c r="P1593" s="0" t="n">
        <v>3.39</v>
      </c>
      <c r="Q1593" s="0" t="n">
        <v>2.94</v>
      </c>
      <c r="R1593" s="0" t="n">
        <v>4410</v>
      </c>
      <c r="S1593" s="0" t="n">
        <v>8864</v>
      </c>
      <c r="U1593" s="0" t="n">
        <v>813</v>
      </c>
      <c r="V1593" s="0" t="n">
        <v>1</v>
      </c>
      <c r="W1593" s="27" t="n">
        <f aca="false">MATCH(A1593,DATAS,0)</f>
        <v>1</v>
      </c>
      <c r="X1593" s="27" t="n">
        <f aca="false">IF(AND(E1593&gt;0,OR(AND(B1593&gt;=1,B1593&lt;=6),B1593=10)),1,0)</f>
        <v>1</v>
      </c>
      <c r="Y1593" s="27" t="n">
        <f aca="false">IF(AND(E1593&gt;0,B1593=10),1,0)</f>
        <v>0</v>
      </c>
      <c r="Z1593" s="0" t="str">
        <f aca="false">IF(AND(C1592=C1593,W1592=W1593-1),X1592,"")</f>
        <v/>
      </c>
      <c r="AA1593" s="0" t="str">
        <f aca="false">IF(AND(C1592=C1593,W1592=W1593-1),Y1592,"")</f>
        <v/>
      </c>
      <c r="AB1593" s="0" t="str">
        <f aca="false">IF(W1593=1,"",IF(AND(X1593=1,Z1593&lt;&gt;1),1,0))</f>
        <v/>
      </c>
      <c r="AC1593" s="0" t="str">
        <f aca="false">IF(W1593=1,"",IF(AND(Y1593=1,AA1593&lt;&gt;1),1,0))</f>
        <v/>
      </c>
      <c r="AD1593" s="33" t="str">
        <f aca="false">IF(AND(E1593&gt;0,W1593&lt;1,NOT(AND(C1594=C1593,W1594=W1593+1))),INDEX(DATAS,W1593+1),"")</f>
        <v/>
      </c>
      <c r="AE1593" s="33" t="str">
        <f aca="false">IF(AND(Y1593=1,W1593&lt;1),IF(AND(C1594=C1593,W1594=W1593+1),IF(Y1594=1,"",INDEX(DATAS,W1593+1)),INDEX(DATAS,W1593+1)),"")</f>
        <v/>
      </c>
    </row>
    <row r="1594" customFormat="false" ht="15" hidden="false" customHeight="false" outlineLevel="0" collapsed="false">
      <c r="A1594" s="33" t="n">
        <v>46309</v>
      </c>
      <c r="B1594" s="0" t="n">
        <v>4</v>
      </c>
      <c r="C1594" s="0" t="n">
        <v>5743</v>
      </c>
      <c r="D1594" s="0" t="n">
        <v>158</v>
      </c>
      <c r="E1594" s="0" t="n">
        <v>1</v>
      </c>
      <c r="F1594" s="27" t="s">
        <v>985</v>
      </c>
      <c r="G1594" s="0" t="n">
        <v>45.1</v>
      </c>
      <c r="H1594" s="0" t="n">
        <v>45</v>
      </c>
      <c r="I1594" s="27" t="s">
        <v>138</v>
      </c>
      <c r="J1594" s="0" t="n">
        <v>123</v>
      </c>
      <c r="K1594" s="0" t="n">
        <v>67</v>
      </c>
      <c r="L1594" s="0" t="n">
        <v>35</v>
      </c>
      <c r="P1594" s="0" t="n">
        <v>3.09</v>
      </c>
      <c r="Q1594" s="0" t="n">
        <v>3.38</v>
      </c>
      <c r="R1594" s="0" t="n">
        <v>5116</v>
      </c>
      <c r="S1594" s="0" t="n">
        <v>10312</v>
      </c>
      <c r="T1594" s="0" t="n">
        <v>53</v>
      </c>
      <c r="U1594" s="0" t="n">
        <v>813</v>
      </c>
      <c r="V1594" s="0" t="n">
        <v>3</v>
      </c>
      <c r="W1594" s="27" t="n">
        <f aca="false">MATCH(A1594,DATAS,0)</f>
        <v>1</v>
      </c>
      <c r="X1594" s="27" t="n">
        <f aca="false">IF(AND(E1594&gt;0,OR(AND(B1594&gt;=1,B1594&lt;=6),B1594=10)),1,0)</f>
        <v>1</v>
      </c>
      <c r="Y1594" s="27" t="n">
        <f aca="false">IF(AND(E1594&gt;0,B1594=10),1,0)</f>
        <v>0</v>
      </c>
      <c r="Z1594" s="0" t="str">
        <f aca="false">IF(AND(C1593=C1594,W1593=W1594-1),X1593,"")</f>
        <v/>
      </c>
      <c r="AA1594" s="0" t="str">
        <f aca="false">IF(AND(C1593=C1594,W1593=W1594-1),Y1593,"")</f>
        <v/>
      </c>
      <c r="AB1594" s="0" t="str">
        <f aca="false">IF(W1594=1,"",IF(AND(X1594=1,Z1594&lt;&gt;1),1,0))</f>
        <v/>
      </c>
      <c r="AC1594" s="0" t="str">
        <f aca="false">IF(W1594=1,"",IF(AND(Y1594=1,AA1594&lt;&gt;1),1,0))</f>
        <v/>
      </c>
      <c r="AD1594" s="33" t="str">
        <f aca="false">IF(AND(E1594&gt;0,W1594&lt;1,NOT(AND(C1595=C1594,W1595=W1594+1))),INDEX(DATAS,W1594+1),"")</f>
        <v/>
      </c>
      <c r="AE1594" s="33" t="str">
        <f aca="false">IF(AND(Y1594=1,W1594&lt;1),IF(AND(C1595=C1594,W1595=W1594+1),IF(Y1595=1,"",INDEX(DATAS,W1594+1)),INDEX(DATAS,W1594+1)),"")</f>
        <v/>
      </c>
    </row>
    <row r="1595" customFormat="false" ht="15" hidden="false" customHeight="false" outlineLevel="0" collapsed="false">
      <c r="A1595" s="33" t="n">
        <v>46309</v>
      </c>
      <c r="B1595" s="0" t="n">
        <v>4</v>
      </c>
      <c r="C1595" s="0" t="n">
        <v>5744</v>
      </c>
      <c r="D1595" s="0" t="n">
        <v>170</v>
      </c>
      <c r="E1595" s="0" t="n">
        <v>1</v>
      </c>
      <c r="F1595" s="27" t="s">
        <v>986</v>
      </c>
      <c r="G1595" s="0" t="n">
        <v>40.5</v>
      </c>
      <c r="H1595" s="0" t="n">
        <v>41</v>
      </c>
      <c r="I1595" s="27" t="s">
        <v>138</v>
      </c>
      <c r="J1595" s="0" t="n">
        <v>128</v>
      </c>
      <c r="K1595" s="0" t="n">
        <v>65</v>
      </c>
      <c r="L1595" s="0" t="n">
        <v>42</v>
      </c>
      <c r="P1595" s="0" t="n">
        <v>4.06</v>
      </c>
      <c r="Q1595" s="0" t="n">
        <v>3.21</v>
      </c>
      <c r="R1595" s="0" t="n">
        <v>4105</v>
      </c>
      <c r="S1595" s="0" t="n">
        <v>8658</v>
      </c>
      <c r="T1595" s="0" t="n">
        <v>45.35</v>
      </c>
      <c r="U1595" s="0" t="n">
        <v>812</v>
      </c>
      <c r="V1595" s="0" t="n">
        <v>4</v>
      </c>
      <c r="W1595" s="27" t="n">
        <f aca="false">MATCH(A1595,DATAS,0)</f>
        <v>1</v>
      </c>
      <c r="X1595" s="27" t="n">
        <f aca="false">IF(AND(E1595&gt;0,OR(AND(B1595&gt;=1,B1595&lt;=6),B1595=10)),1,0)</f>
        <v>1</v>
      </c>
      <c r="Y1595" s="27" t="n">
        <f aca="false">IF(AND(E1595&gt;0,B1595=10),1,0)</f>
        <v>0</v>
      </c>
      <c r="Z1595" s="0" t="str">
        <f aca="false">IF(AND(C1594=C1595,W1594=W1595-1),X1594,"")</f>
        <v/>
      </c>
      <c r="AA1595" s="0" t="str">
        <f aca="false">IF(AND(C1594=C1595,W1594=W1595-1),Y1594,"")</f>
        <v/>
      </c>
      <c r="AB1595" s="0" t="str">
        <f aca="false">IF(W1595=1,"",IF(AND(X1595=1,Z1595&lt;&gt;1),1,0))</f>
        <v/>
      </c>
      <c r="AC1595" s="0" t="str">
        <f aca="false">IF(W1595=1,"",IF(AND(Y1595=1,AA1595&lt;&gt;1),1,0))</f>
        <v/>
      </c>
      <c r="AD1595" s="33" t="str">
        <f aca="false">IF(AND(E1595&gt;0,W1595&lt;1,NOT(AND(C1596=C1595,W1596=W1595+1))),INDEX(DATAS,W1595+1),"")</f>
        <v/>
      </c>
      <c r="AE1595" s="33" t="str">
        <f aca="false">IF(AND(Y1595=1,W1595&lt;1),IF(AND(C1596=C1595,W1596=W1595+1),IF(Y1596=1,"",INDEX(DATAS,W1595+1)),INDEX(DATAS,W1595+1)),"")</f>
        <v/>
      </c>
    </row>
    <row r="1596" customFormat="false" ht="15" hidden="false" customHeight="false" outlineLevel="0" collapsed="false">
      <c r="A1596" s="33" t="n">
        <v>46309</v>
      </c>
      <c r="B1596" s="0" t="n">
        <v>4</v>
      </c>
      <c r="C1596" s="0" t="n">
        <v>5745</v>
      </c>
      <c r="D1596" s="0" t="n">
        <v>163</v>
      </c>
      <c r="E1596" s="0" t="n">
        <v>1</v>
      </c>
      <c r="F1596" s="27" t="s">
        <v>986</v>
      </c>
      <c r="G1596" s="0" t="n">
        <v>27.9</v>
      </c>
      <c r="H1596" s="0" t="n">
        <v>26</v>
      </c>
      <c r="I1596" s="27" t="s">
        <v>168</v>
      </c>
      <c r="J1596" s="0" t="n">
        <v>163</v>
      </c>
      <c r="K1596" s="0" t="n">
        <v>67</v>
      </c>
      <c r="P1596" s="0" t="n">
        <v>4.62</v>
      </c>
      <c r="Q1596" s="0" t="n">
        <v>4.24</v>
      </c>
      <c r="R1596" s="0" t="n">
        <v>2861</v>
      </c>
      <c r="S1596" s="0" t="n">
        <v>5829</v>
      </c>
      <c r="T1596" s="0" t="n">
        <v>32.2</v>
      </c>
      <c r="U1596" s="0" t="n">
        <v>812</v>
      </c>
      <c r="V1596" s="0" t="n">
        <v>3</v>
      </c>
      <c r="W1596" s="27" t="n">
        <f aca="false">MATCH(A1596,DATAS,0)</f>
        <v>1</v>
      </c>
      <c r="X1596" s="27" t="n">
        <f aca="false">IF(AND(E1596&gt;0,OR(AND(B1596&gt;=1,B1596&lt;=6),B1596=10)),1,0)</f>
        <v>1</v>
      </c>
      <c r="Y1596" s="27" t="n">
        <f aca="false">IF(AND(E1596&gt;0,B1596=10),1,0)</f>
        <v>0</v>
      </c>
      <c r="Z1596" s="0" t="str">
        <f aca="false">IF(AND(C1595=C1596,W1595=W1596-1),X1595,"")</f>
        <v/>
      </c>
      <c r="AA1596" s="0" t="str">
        <f aca="false">IF(AND(C1595=C1596,W1595=W1596-1),Y1595,"")</f>
        <v/>
      </c>
      <c r="AB1596" s="0" t="str">
        <f aca="false">IF(W1596=1,"",IF(AND(X1596=1,Z1596&lt;&gt;1),1,0))</f>
        <v/>
      </c>
      <c r="AC1596" s="0" t="str">
        <f aca="false">IF(W1596=1,"",IF(AND(Y1596=1,AA1596&lt;&gt;1),1,0))</f>
        <v/>
      </c>
      <c r="AD1596" s="33" t="str">
        <f aca="false">IF(AND(E1596&gt;0,W1596&lt;1,NOT(AND(C1597=C1596,W1597=W1596+1))),INDEX(DATAS,W1596+1),"")</f>
        <v/>
      </c>
      <c r="AE1596" s="33" t="str">
        <f aca="false">IF(AND(Y1596=1,W1596&lt;1),IF(AND(C1597=C1596,W1597=W1596+1),IF(Y1597=1,"",INDEX(DATAS,W1596+1)),INDEX(DATAS,W1596+1)),"")</f>
        <v/>
      </c>
    </row>
    <row r="1597" customFormat="false" ht="15" hidden="false" customHeight="false" outlineLevel="0" collapsed="false">
      <c r="A1597" s="33" t="n">
        <v>46309</v>
      </c>
      <c r="B1597" s="0" t="n">
        <v>4</v>
      </c>
      <c r="C1597" s="0" t="n">
        <v>5746</v>
      </c>
      <c r="D1597" s="0" t="n">
        <v>169</v>
      </c>
      <c r="E1597" s="0" t="n">
        <v>1</v>
      </c>
      <c r="F1597" s="27" t="s">
        <v>987</v>
      </c>
      <c r="G1597" s="0" t="n">
        <v>53.1</v>
      </c>
      <c r="H1597" s="0" t="n">
        <v>54</v>
      </c>
      <c r="I1597" s="27" t="s">
        <v>138</v>
      </c>
      <c r="J1597" s="0" t="n">
        <v>64</v>
      </c>
      <c r="K1597" s="0" t="n">
        <v>64</v>
      </c>
      <c r="L1597" s="0" t="n">
        <v>105</v>
      </c>
      <c r="P1597" s="0" t="n">
        <v>3.01</v>
      </c>
      <c r="Q1597" s="0" t="n">
        <v>3.44</v>
      </c>
      <c r="R1597" s="0" t="n">
        <v>4296</v>
      </c>
      <c r="S1597" s="0" t="n">
        <v>9135</v>
      </c>
      <c r="T1597" s="0" t="n">
        <v>48.15</v>
      </c>
      <c r="U1597" s="0" t="n">
        <v>811</v>
      </c>
      <c r="V1597" s="0" t="n">
        <v>1</v>
      </c>
      <c r="W1597" s="27" t="n">
        <f aca="false">MATCH(A1597,DATAS,0)</f>
        <v>1</v>
      </c>
      <c r="X1597" s="27" t="n">
        <f aca="false">IF(AND(E1597&gt;0,OR(AND(B1597&gt;=1,B1597&lt;=6),B1597=10)),1,0)</f>
        <v>1</v>
      </c>
      <c r="Y1597" s="27" t="n">
        <f aca="false">IF(AND(E1597&gt;0,B1597=10),1,0)</f>
        <v>0</v>
      </c>
      <c r="Z1597" s="0" t="str">
        <f aca="false">IF(AND(C1596=C1597,W1596=W1597-1),X1596,"")</f>
        <v/>
      </c>
      <c r="AA1597" s="0" t="str">
        <f aca="false">IF(AND(C1596=C1597,W1596=W1597-1),Y1596,"")</f>
        <v/>
      </c>
      <c r="AB1597" s="0" t="str">
        <f aca="false">IF(W1597=1,"",IF(AND(X1597=1,Z1597&lt;&gt;1),1,0))</f>
        <v/>
      </c>
      <c r="AC1597" s="0" t="str">
        <f aca="false">IF(W1597=1,"",IF(AND(Y1597=1,AA1597&lt;&gt;1),1,0))</f>
        <v/>
      </c>
      <c r="AD1597" s="33" t="str">
        <f aca="false">IF(AND(E1597&gt;0,W1597&lt;1,NOT(AND(C1598=C1597,W1598=W1597+1))),INDEX(DATAS,W1597+1),"")</f>
        <v/>
      </c>
      <c r="AE1597" s="33" t="str">
        <f aca="false">IF(AND(Y1597=1,W1597&lt;1),IF(AND(C1598=C1597,W1598=W1597+1),IF(Y1598=1,"",INDEX(DATAS,W1597+1)),INDEX(DATAS,W1597+1)),"")</f>
        <v/>
      </c>
    </row>
    <row r="1598" customFormat="false" ht="15" hidden="false" customHeight="false" outlineLevel="0" collapsed="false">
      <c r="A1598" s="33" t="n">
        <v>46309</v>
      </c>
      <c r="B1598" s="0" t="n">
        <v>4</v>
      </c>
      <c r="C1598" s="0" t="n">
        <v>5748</v>
      </c>
      <c r="D1598" s="0" t="n">
        <v>154</v>
      </c>
      <c r="E1598" s="0" t="n">
        <v>1</v>
      </c>
      <c r="F1598" s="27" t="s">
        <v>987</v>
      </c>
      <c r="G1598" s="0" t="n">
        <v>51</v>
      </c>
      <c r="H1598" s="0" t="n">
        <v>52</v>
      </c>
      <c r="I1598" s="27" t="s">
        <v>138</v>
      </c>
      <c r="J1598" s="0" t="n">
        <v>101</v>
      </c>
      <c r="K1598" s="0" t="n">
        <v>63</v>
      </c>
      <c r="L1598" s="0" t="n">
        <v>53</v>
      </c>
      <c r="P1598" s="0" t="n">
        <v>3.62</v>
      </c>
      <c r="Q1598" s="0" t="n">
        <v>3.27</v>
      </c>
      <c r="R1598" s="0" t="n">
        <v>4767</v>
      </c>
      <c r="S1598" s="0" t="n">
        <v>10210</v>
      </c>
      <c r="T1598" s="0" t="n">
        <v>50.5</v>
      </c>
      <c r="U1598" s="0" t="n">
        <v>811</v>
      </c>
      <c r="V1598" s="0" t="n">
        <v>3</v>
      </c>
      <c r="W1598" s="27" t="n">
        <f aca="false">MATCH(A1598,DATAS,0)</f>
        <v>1</v>
      </c>
      <c r="X1598" s="27" t="n">
        <f aca="false">IF(AND(E1598&gt;0,OR(AND(B1598&gt;=1,B1598&lt;=6),B1598=10)),1,0)</f>
        <v>1</v>
      </c>
      <c r="Y1598" s="27" t="n">
        <f aca="false">IF(AND(E1598&gt;0,B1598=10),1,0)</f>
        <v>0</v>
      </c>
      <c r="Z1598" s="0" t="str">
        <f aca="false">IF(AND(C1597=C1598,W1597=W1598-1),X1597,"")</f>
        <v/>
      </c>
      <c r="AA1598" s="0" t="str">
        <f aca="false">IF(AND(C1597=C1598,W1597=W1598-1),Y1597,"")</f>
        <v/>
      </c>
      <c r="AB1598" s="0" t="str">
        <f aca="false">IF(W1598=1,"",IF(AND(X1598=1,Z1598&lt;&gt;1),1,0))</f>
        <v/>
      </c>
      <c r="AC1598" s="0" t="str">
        <f aca="false">IF(W1598=1,"",IF(AND(Y1598=1,AA1598&lt;&gt;1),1,0))</f>
        <v/>
      </c>
      <c r="AD1598" s="33" t="str">
        <f aca="false">IF(AND(E1598&gt;0,W1598&lt;1,NOT(AND(C1599=C1598,W1599=W1598+1))),INDEX(DATAS,W1598+1),"")</f>
        <v/>
      </c>
      <c r="AE1598" s="33" t="str">
        <f aca="false">IF(AND(Y1598=1,W1598&lt;1),IF(AND(C1599=C1598,W1599=W1598+1),IF(Y1599=1,"",INDEX(DATAS,W1598+1)),INDEX(DATAS,W1598+1)),"")</f>
        <v/>
      </c>
    </row>
    <row r="1599" customFormat="false" ht="15" hidden="false" customHeight="false" outlineLevel="0" collapsed="false">
      <c r="A1599" s="33" t="n">
        <v>46309</v>
      </c>
      <c r="B1599" s="0" t="n">
        <v>4</v>
      </c>
      <c r="C1599" s="0" t="n">
        <v>5750</v>
      </c>
      <c r="D1599" s="0" t="n">
        <v>121</v>
      </c>
      <c r="E1599" s="0" t="n">
        <v>1</v>
      </c>
      <c r="F1599" s="27" t="s">
        <v>987</v>
      </c>
      <c r="G1599" s="0" t="n">
        <v>43.4</v>
      </c>
      <c r="H1599" s="0" t="n">
        <v>45</v>
      </c>
      <c r="I1599" s="27" t="s">
        <v>138</v>
      </c>
      <c r="J1599" s="0" t="n">
        <v>65</v>
      </c>
      <c r="K1599" s="0" t="n">
        <v>65</v>
      </c>
      <c r="L1599" s="0" t="n">
        <v>56</v>
      </c>
      <c r="P1599" s="0" t="n">
        <v>4.18</v>
      </c>
      <c r="Q1599" s="0" t="n">
        <v>2.99</v>
      </c>
      <c r="R1599" s="0" t="n">
        <v>3691</v>
      </c>
      <c r="S1599" s="0" t="n">
        <v>7742</v>
      </c>
      <c r="T1599" s="0" t="n">
        <v>39.2</v>
      </c>
      <c r="U1599" s="0" t="n">
        <v>811</v>
      </c>
      <c r="V1599" s="0" t="n">
        <v>1</v>
      </c>
      <c r="W1599" s="27" t="n">
        <f aca="false">MATCH(A1599,DATAS,0)</f>
        <v>1</v>
      </c>
      <c r="X1599" s="27" t="n">
        <f aca="false">IF(AND(E1599&gt;0,OR(AND(B1599&gt;=1,B1599&lt;=6),B1599=10)),1,0)</f>
        <v>1</v>
      </c>
      <c r="Y1599" s="27" t="n">
        <f aca="false">IF(AND(E1599&gt;0,B1599=10),1,0)</f>
        <v>0</v>
      </c>
      <c r="Z1599" s="0" t="str">
        <f aca="false">IF(AND(C1598=C1599,W1598=W1599-1),X1598,"")</f>
        <v/>
      </c>
      <c r="AA1599" s="0" t="str">
        <f aca="false">IF(AND(C1598=C1599,W1598=W1599-1),Y1598,"")</f>
        <v/>
      </c>
      <c r="AB1599" s="0" t="str">
        <f aca="false">IF(W1599=1,"",IF(AND(X1599=1,Z1599&lt;&gt;1),1,0))</f>
        <v/>
      </c>
      <c r="AC1599" s="0" t="str">
        <f aca="false">IF(W1599=1,"",IF(AND(Y1599=1,AA1599&lt;&gt;1),1,0))</f>
        <v/>
      </c>
      <c r="AD1599" s="33" t="str">
        <f aca="false">IF(AND(E1599&gt;0,W1599&lt;1,NOT(AND(C1600=C1599,W1600=W1599+1))),INDEX(DATAS,W1599+1),"")</f>
        <v/>
      </c>
      <c r="AE1599" s="33" t="str">
        <f aca="false">IF(AND(Y1599=1,W1599&lt;1),IF(AND(C1600=C1599,W1600=W1599+1),IF(Y1600=1,"",INDEX(DATAS,W1599+1)),INDEX(DATAS,W1599+1)),"")</f>
        <v/>
      </c>
    </row>
    <row r="1600" customFormat="false" ht="15" hidden="false" customHeight="false" outlineLevel="0" collapsed="false">
      <c r="A1600" s="33" t="n">
        <v>46309</v>
      </c>
      <c r="B1600" s="0" t="n">
        <v>4</v>
      </c>
      <c r="C1600" s="0" t="n">
        <v>5751</v>
      </c>
      <c r="D1600" s="0" t="n">
        <v>126</v>
      </c>
      <c r="E1600" s="0" t="n">
        <v>1</v>
      </c>
      <c r="F1600" s="27" t="s">
        <v>987</v>
      </c>
      <c r="G1600" s="0" t="n">
        <v>50.1</v>
      </c>
      <c r="H1600" s="0" t="n">
        <v>52</v>
      </c>
      <c r="I1600" s="27" t="s">
        <v>168</v>
      </c>
      <c r="J1600" s="0" t="n">
        <v>126</v>
      </c>
      <c r="K1600" s="0" t="n">
        <v>63</v>
      </c>
      <c r="P1600" s="0" t="n">
        <v>3.59</v>
      </c>
      <c r="Q1600" s="0" t="n">
        <v>3.05</v>
      </c>
      <c r="R1600" s="0" t="n">
        <v>4358</v>
      </c>
      <c r="S1600" s="0" t="n">
        <v>9161</v>
      </c>
      <c r="T1600" s="0" t="n">
        <v>47.15</v>
      </c>
      <c r="U1600" s="0" t="n">
        <v>811</v>
      </c>
      <c r="V1600" s="0" t="n">
        <v>2</v>
      </c>
      <c r="W1600" s="27" t="n">
        <f aca="false">MATCH(A1600,DATAS,0)</f>
        <v>1</v>
      </c>
      <c r="X1600" s="27" t="n">
        <f aca="false">IF(AND(E1600&gt;0,OR(AND(B1600&gt;=1,B1600&lt;=6),B1600=10)),1,0)</f>
        <v>1</v>
      </c>
      <c r="Y1600" s="27" t="n">
        <f aca="false">IF(AND(E1600&gt;0,B1600=10),1,0)</f>
        <v>0</v>
      </c>
      <c r="Z1600" s="0" t="str">
        <f aca="false">IF(AND(C1599=C1600,W1599=W1600-1),X1599,"")</f>
        <v/>
      </c>
      <c r="AA1600" s="0" t="str">
        <f aca="false">IF(AND(C1599=C1600,W1599=W1600-1),Y1599,"")</f>
        <v/>
      </c>
      <c r="AB1600" s="0" t="str">
        <f aca="false">IF(W1600=1,"",IF(AND(X1600=1,Z1600&lt;&gt;1),1,0))</f>
        <v/>
      </c>
      <c r="AC1600" s="0" t="str">
        <f aca="false">IF(W1600=1,"",IF(AND(Y1600=1,AA1600&lt;&gt;1),1,0))</f>
        <v/>
      </c>
      <c r="AD1600" s="33" t="str">
        <f aca="false">IF(AND(E1600&gt;0,W1600&lt;1,NOT(AND(C1601=C1600,W1601=W1600+1))),INDEX(DATAS,W1600+1),"")</f>
        <v/>
      </c>
      <c r="AE1600" s="33" t="str">
        <f aca="false">IF(AND(Y1600=1,W1600&lt;1),IF(AND(C1601=C1600,W1601=W1600+1),IF(Y1601=1,"",INDEX(DATAS,W1600+1)),INDEX(DATAS,W1600+1)),"")</f>
        <v/>
      </c>
    </row>
    <row r="1601" customFormat="false" ht="15" hidden="false" customHeight="false" outlineLevel="0" collapsed="false">
      <c r="A1601" s="33" t="n">
        <v>46309</v>
      </c>
      <c r="B1601" s="0" t="n">
        <v>4</v>
      </c>
      <c r="C1601" s="0" t="n">
        <v>5752</v>
      </c>
      <c r="D1601" s="0" t="n">
        <v>144</v>
      </c>
      <c r="E1601" s="0" t="n">
        <v>1</v>
      </c>
      <c r="F1601" s="27" t="s">
        <v>988</v>
      </c>
      <c r="G1601" s="0" t="n">
        <v>48.9</v>
      </c>
      <c r="H1601" s="0" t="n">
        <v>49</v>
      </c>
      <c r="I1601" s="27" t="s">
        <v>168</v>
      </c>
      <c r="J1601" s="0" t="n">
        <v>144</v>
      </c>
      <c r="K1601" s="0" t="n">
        <v>67</v>
      </c>
      <c r="P1601" s="0" t="n">
        <v>3.97</v>
      </c>
      <c r="Q1601" s="0" t="n">
        <v>3.3</v>
      </c>
      <c r="R1601" s="0" t="n">
        <v>3981</v>
      </c>
      <c r="S1601" s="0" t="n">
        <v>8575</v>
      </c>
      <c r="T1601" s="0" t="n">
        <v>44.55</v>
      </c>
      <c r="U1601" s="0" t="n">
        <v>810</v>
      </c>
      <c r="V1601" s="0" t="n">
        <v>3</v>
      </c>
      <c r="W1601" s="27" t="n">
        <f aca="false">MATCH(A1601,DATAS,0)</f>
        <v>1</v>
      </c>
      <c r="X1601" s="27" t="n">
        <f aca="false">IF(AND(E1601&gt;0,OR(AND(B1601&gt;=1,B1601&lt;=6),B1601=10)),1,0)</f>
        <v>1</v>
      </c>
      <c r="Y1601" s="27" t="n">
        <f aca="false">IF(AND(E1601&gt;0,B1601=10),1,0)</f>
        <v>0</v>
      </c>
      <c r="Z1601" s="0" t="str">
        <f aca="false">IF(AND(C1600=C1601,W1600=W1601-1),X1600,"")</f>
        <v/>
      </c>
      <c r="AA1601" s="0" t="str">
        <f aca="false">IF(AND(C1600=C1601,W1600=W1601-1),Y1600,"")</f>
        <v/>
      </c>
      <c r="AB1601" s="0" t="str">
        <f aca="false">IF(W1601=1,"",IF(AND(X1601=1,Z1601&lt;&gt;1),1,0))</f>
        <v/>
      </c>
      <c r="AC1601" s="0" t="str">
        <f aca="false">IF(W1601=1,"",IF(AND(Y1601=1,AA1601&lt;&gt;1),1,0))</f>
        <v/>
      </c>
      <c r="AD1601" s="33" t="str">
        <f aca="false">IF(AND(E1601&gt;0,W1601&lt;1,NOT(AND(C1602=C1601,W1602=W1601+1))),INDEX(DATAS,W1601+1),"")</f>
        <v/>
      </c>
      <c r="AE1601" s="33" t="str">
        <f aca="false">IF(AND(Y1601=1,W1601&lt;1),IF(AND(C1602=C1601,W1602=W1601+1),IF(Y1602=1,"",INDEX(DATAS,W1601+1)),INDEX(DATAS,W1601+1)),"")</f>
        <v/>
      </c>
    </row>
    <row r="1602" customFormat="false" ht="15" hidden="false" customHeight="false" outlineLevel="0" collapsed="false">
      <c r="A1602" s="33" t="n">
        <v>46309</v>
      </c>
      <c r="B1602" s="0" t="n">
        <v>1</v>
      </c>
      <c r="C1602" s="0" t="n">
        <v>5753</v>
      </c>
      <c r="D1602" s="0" t="n">
        <v>106</v>
      </c>
      <c r="E1602" s="0" t="n">
        <v>1</v>
      </c>
      <c r="F1602" s="27" t="s">
        <v>988</v>
      </c>
      <c r="G1602" s="0" t="n">
        <v>50.9</v>
      </c>
      <c r="H1602" s="0" t="n">
        <v>50</v>
      </c>
      <c r="I1602" s="27" t="s">
        <v>138</v>
      </c>
      <c r="J1602" s="0" t="n">
        <v>64</v>
      </c>
      <c r="K1602" s="0" t="n">
        <v>64</v>
      </c>
      <c r="L1602" s="0" t="n">
        <v>42</v>
      </c>
      <c r="P1602" s="0" t="n">
        <v>4.03</v>
      </c>
      <c r="Q1602" s="0" t="n">
        <v>3.03</v>
      </c>
      <c r="R1602" s="0" t="n">
        <v>3947</v>
      </c>
      <c r="S1602" s="0" t="n">
        <v>8054</v>
      </c>
      <c r="T1602" s="0" t="n">
        <v>42.15</v>
      </c>
      <c r="U1602" s="0" t="n">
        <v>810</v>
      </c>
      <c r="V1602" s="0" t="n">
        <v>1</v>
      </c>
      <c r="W1602" s="27" t="n">
        <f aca="false">MATCH(A1602,DATAS,0)</f>
        <v>1</v>
      </c>
      <c r="X1602" s="27" t="n">
        <f aca="false">IF(AND(E1602&gt;0,OR(AND(B1602&gt;=1,B1602&lt;=6),B1602=10)),1,0)</f>
        <v>1</v>
      </c>
      <c r="Y1602" s="27" t="n">
        <f aca="false">IF(AND(E1602&gt;0,B1602=10),1,0)</f>
        <v>0</v>
      </c>
      <c r="Z1602" s="0" t="str">
        <f aca="false">IF(AND(C1601=C1602,W1601=W1602-1),X1601,"")</f>
        <v/>
      </c>
      <c r="AA1602" s="0" t="str">
        <f aca="false">IF(AND(C1601=C1602,W1601=W1602-1),Y1601,"")</f>
        <v/>
      </c>
      <c r="AB1602" s="0" t="str">
        <f aca="false">IF(W1602=1,"",IF(AND(X1602=1,Z1602&lt;&gt;1),1,0))</f>
        <v/>
      </c>
      <c r="AC1602" s="0" t="str">
        <f aca="false">IF(W1602=1,"",IF(AND(Y1602=1,AA1602&lt;&gt;1),1,0))</f>
        <v/>
      </c>
      <c r="AD1602" s="33" t="str">
        <f aca="false">IF(AND(E1602&gt;0,W1602&lt;1,NOT(AND(C1603=C1602,W1603=W1602+1))),INDEX(DATAS,W1602+1),"")</f>
        <v/>
      </c>
      <c r="AE1602" s="33" t="str">
        <f aca="false">IF(AND(Y1602=1,W1602&lt;1),IF(AND(C1603=C1602,W1603=W1602+1),IF(Y1603=1,"",INDEX(DATAS,W1602+1)),INDEX(DATAS,W1602+1)),"")</f>
        <v/>
      </c>
    </row>
    <row r="1603" customFormat="false" ht="15" hidden="false" customHeight="false" outlineLevel="0" collapsed="false">
      <c r="A1603" s="33" t="n">
        <v>46309</v>
      </c>
      <c r="B1603" s="0" t="n">
        <v>4</v>
      </c>
      <c r="C1603" s="0" t="n">
        <v>5754</v>
      </c>
      <c r="D1603" s="0" t="n">
        <v>137</v>
      </c>
      <c r="E1603" s="0" t="n">
        <v>1</v>
      </c>
      <c r="F1603" s="27" t="s">
        <v>989</v>
      </c>
      <c r="G1603" s="0" t="n">
        <v>46.6</v>
      </c>
      <c r="H1603" s="0" t="n">
        <v>49</v>
      </c>
      <c r="I1603" s="27" t="s">
        <v>138</v>
      </c>
      <c r="J1603" s="0" t="n">
        <v>87</v>
      </c>
      <c r="K1603" s="0" t="n">
        <v>67</v>
      </c>
      <c r="L1603" s="0" t="n">
        <v>50</v>
      </c>
      <c r="P1603" s="0" t="n">
        <v>3.35</v>
      </c>
      <c r="Q1603" s="0" t="n">
        <v>3.08</v>
      </c>
      <c r="R1603" s="0" t="n">
        <v>4343</v>
      </c>
      <c r="S1603" s="0" t="n">
        <v>9251</v>
      </c>
      <c r="T1603" s="0" t="n">
        <v>45.3</v>
      </c>
      <c r="U1603" s="0" t="n">
        <v>809</v>
      </c>
      <c r="V1603" s="0" t="n">
        <v>2</v>
      </c>
      <c r="W1603" s="27" t="n">
        <f aca="false">MATCH(A1603,DATAS,0)</f>
        <v>1</v>
      </c>
      <c r="X1603" s="27" t="n">
        <f aca="false">IF(AND(E1603&gt;0,OR(AND(B1603&gt;=1,B1603&lt;=6),B1603=10)),1,0)</f>
        <v>1</v>
      </c>
      <c r="Y1603" s="27" t="n">
        <f aca="false">IF(AND(E1603&gt;0,B1603=10),1,0)</f>
        <v>0</v>
      </c>
      <c r="Z1603" s="0" t="str">
        <f aca="false">IF(AND(C1602=C1603,W1602=W1603-1),X1602,"")</f>
        <v/>
      </c>
      <c r="AA1603" s="0" t="str">
        <f aca="false">IF(AND(C1602=C1603,W1602=W1603-1),Y1602,"")</f>
        <v/>
      </c>
      <c r="AB1603" s="0" t="str">
        <f aca="false">IF(W1603=1,"",IF(AND(X1603=1,Z1603&lt;&gt;1),1,0))</f>
        <v/>
      </c>
      <c r="AC1603" s="0" t="str">
        <f aca="false">IF(W1603=1,"",IF(AND(Y1603=1,AA1603&lt;&gt;1),1,0))</f>
        <v/>
      </c>
      <c r="AD1603" s="33" t="str">
        <f aca="false">IF(AND(E1603&gt;0,W1603&lt;1,NOT(AND(C1604=C1603,W1604=W1603+1))),INDEX(DATAS,W1603+1),"")</f>
        <v/>
      </c>
      <c r="AE1603" s="33" t="str">
        <f aca="false">IF(AND(Y1603=1,W1603&lt;1),IF(AND(C1604=C1603,W1604=W1603+1),IF(Y1604=1,"",INDEX(DATAS,W1603+1)),INDEX(DATAS,W1603+1)),"")</f>
        <v/>
      </c>
    </row>
    <row r="1604" customFormat="false" ht="15" hidden="false" customHeight="false" outlineLevel="0" collapsed="false">
      <c r="A1604" s="33" t="n">
        <v>46309</v>
      </c>
      <c r="B1604" s="0" t="n">
        <v>1</v>
      </c>
      <c r="C1604" s="0" t="n">
        <v>5756</v>
      </c>
      <c r="D1604" s="0" t="n">
        <v>106</v>
      </c>
      <c r="E1604" s="0" t="n">
        <v>1</v>
      </c>
      <c r="F1604" s="27" t="s">
        <v>989</v>
      </c>
      <c r="G1604" s="0" t="n">
        <v>49</v>
      </c>
      <c r="H1604" s="0" t="n">
        <v>49</v>
      </c>
      <c r="I1604" s="27" t="s">
        <v>168</v>
      </c>
      <c r="J1604" s="0" t="n">
        <v>106</v>
      </c>
      <c r="K1604" s="0" t="n">
        <v>64</v>
      </c>
      <c r="P1604" s="0" t="n">
        <v>2.98</v>
      </c>
      <c r="Q1604" s="0" t="n">
        <v>3.15</v>
      </c>
      <c r="R1604" s="0" t="n">
        <v>4041</v>
      </c>
      <c r="S1604" s="0" t="n">
        <v>8224</v>
      </c>
      <c r="T1604" s="0" t="n">
        <v>46.6</v>
      </c>
      <c r="U1604" s="0" t="n">
        <v>809</v>
      </c>
      <c r="V1604" s="0" t="n">
        <v>2</v>
      </c>
      <c r="W1604" s="27" t="n">
        <f aca="false">MATCH(A1604,DATAS,0)</f>
        <v>1</v>
      </c>
      <c r="X1604" s="27" t="n">
        <f aca="false">IF(AND(E1604&gt;0,OR(AND(B1604&gt;=1,B1604&lt;=6),B1604=10)),1,0)</f>
        <v>1</v>
      </c>
      <c r="Y1604" s="27" t="n">
        <f aca="false">IF(AND(E1604&gt;0,B1604=10),1,0)</f>
        <v>0</v>
      </c>
      <c r="Z1604" s="0" t="str">
        <f aca="false">IF(AND(C1603=C1604,W1603=W1604-1),X1603,"")</f>
        <v/>
      </c>
      <c r="AA1604" s="0" t="str">
        <f aca="false">IF(AND(C1603=C1604,W1603=W1604-1),Y1603,"")</f>
        <v/>
      </c>
      <c r="AB1604" s="0" t="str">
        <f aca="false">IF(W1604=1,"",IF(AND(X1604=1,Z1604&lt;&gt;1),1,0))</f>
        <v/>
      </c>
      <c r="AC1604" s="0" t="str">
        <f aca="false">IF(W1604=1,"",IF(AND(Y1604=1,AA1604&lt;&gt;1),1,0))</f>
        <v/>
      </c>
      <c r="AD1604" s="33" t="str">
        <f aca="false">IF(AND(E1604&gt;0,W1604&lt;1,NOT(AND(C1605=C1604,W1605=W1604+1))),INDEX(DATAS,W1604+1),"")</f>
        <v/>
      </c>
      <c r="AE1604" s="33" t="str">
        <f aca="false">IF(AND(Y1604=1,W1604&lt;1),IF(AND(C1605=C1604,W1605=W1604+1),IF(Y1605=1,"",INDEX(DATAS,W1604+1)),INDEX(DATAS,W1604+1)),"")</f>
        <v/>
      </c>
    </row>
    <row r="1605" customFormat="false" ht="15" hidden="false" customHeight="false" outlineLevel="0" collapsed="false">
      <c r="A1605" s="33" t="n">
        <v>46309</v>
      </c>
      <c r="B1605" s="0" t="n">
        <v>4</v>
      </c>
      <c r="C1605" s="0" t="n">
        <v>5757</v>
      </c>
      <c r="D1605" s="0" t="n">
        <v>166</v>
      </c>
      <c r="E1605" s="0" t="n">
        <v>1</v>
      </c>
      <c r="F1605" s="27" t="s">
        <v>990</v>
      </c>
      <c r="G1605" s="0" t="n">
        <v>59.9</v>
      </c>
      <c r="H1605" s="0" t="n">
        <v>58</v>
      </c>
      <c r="I1605" s="27" t="s">
        <v>138</v>
      </c>
      <c r="J1605" s="0" t="n">
        <v>128</v>
      </c>
      <c r="K1605" s="0" t="n">
        <v>68</v>
      </c>
      <c r="L1605" s="0" t="n">
        <v>38</v>
      </c>
      <c r="P1605" s="0" t="n">
        <v>4.44</v>
      </c>
      <c r="Q1605" s="0" t="n">
        <v>3.01</v>
      </c>
      <c r="R1605" s="0" t="n">
        <v>5352</v>
      </c>
      <c r="S1605" s="0" t="n">
        <v>11332</v>
      </c>
      <c r="T1605" s="0" t="n">
        <v>58.8</v>
      </c>
      <c r="U1605" s="0" t="n">
        <v>808</v>
      </c>
      <c r="V1605" s="0" t="n">
        <v>3</v>
      </c>
      <c r="W1605" s="27" t="n">
        <f aca="false">MATCH(A1605,DATAS,0)</f>
        <v>1</v>
      </c>
      <c r="X1605" s="27" t="n">
        <f aca="false">IF(AND(E1605&gt;0,OR(AND(B1605&gt;=1,B1605&lt;=6),B1605=10)),1,0)</f>
        <v>1</v>
      </c>
      <c r="Y1605" s="27" t="n">
        <f aca="false">IF(AND(E1605&gt;0,B1605=10),1,0)</f>
        <v>0</v>
      </c>
      <c r="Z1605" s="0" t="str">
        <f aca="false">IF(AND(C1604=C1605,W1604=W1605-1),X1604,"")</f>
        <v/>
      </c>
      <c r="AA1605" s="0" t="str">
        <f aca="false">IF(AND(C1604=C1605,W1604=W1605-1),Y1604,"")</f>
        <v/>
      </c>
      <c r="AB1605" s="0" t="str">
        <f aca="false">IF(W1605=1,"",IF(AND(X1605=1,Z1605&lt;&gt;1),1,0))</f>
        <v/>
      </c>
      <c r="AC1605" s="0" t="str">
        <f aca="false">IF(W1605=1,"",IF(AND(Y1605=1,AA1605&lt;&gt;1),1,0))</f>
        <v/>
      </c>
      <c r="AD1605" s="33" t="str">
        <f aca="false">IF(AND(E1605&gt;0,W1605&lt;1,NOT(AND(C1606=C1605,W1606=W1605+1))),INDEX(DATAS,W1605+1),"")</f>
        <v/>
      </c>
      <c r="AE1605" s="33" t="str">
        <f aca="false">IF(AND(Y1605=1,W1605&lt;1),IF(AND(C1606=C1605,W1606=W1605+1),IF(Y1606=1,"",INDEX(DATAS,W1605+1)),INDEX(DATAS,W1605+1)),"")</f>
        <v/>
      </c>
    </row>
    <row r="1606" customFormat="false" ht="15" hidden="false" customHeight="false" outlineLevel="0" collapsed="false">
      <c r="A1606" s="33" t="n">
        <v>46309</v>
      </c>
      <c r="B1606" s="0" t="n">
        <v>4</v>
      </c>
      <c r="C1606" s="0" t="n">
        <v>5758</v>
      </c>
      <c r="D1606" s="0" t="n">
        <v>167</v>
      </c>
      <c r="E1606" s="0" t="n">
        <v>1</v>
      </c>
      <c r="F1606" s="27" t="s">
        <v>990</v>
      </c>
      <c r="G1606" s="0" t="n">
        <v>47.5</v>
      </c>
      <c r="H1606" s="0" t="n">
        <v>49</v>
      </c>
      <c r="I1606" s="27" t="s">
        <v>168</v>
      </c>
      <c r="J1606" s="0" t="n">
        <v>167</v>
      </c>
      <c r="K1606" s="0" t="n">
        <v>69</v>
      </c>
      <c r="P1606" s="0" t="n">
        <v>3.25</v>
      </c>
      <c r="Q1606" s="0" t="n">
        <v>3.3</v>
      </c>
      <c r="R1606" s="0" t="n">
        <v>4459</v>
      </c>
      <c r="S1606" s="0" t="n">
        <v>9227</v>
      </c>
      <c r="T1606" s="0" t="n">
        <v>46.3</v>
      </c>
      <c r="U1606" s="0" t="n">
        <v>808</v>
      </c>
      <c r="V1606" s="0" t="n">
        <v>4</v>
      </c>
      <c r="W1606" s="27" t="n">
        <f aca="false">MATCH(A1606,DATAS,0)</f>
        <v>1</v>
      </c>
      <c r="X1606" s="27" t="n">
        <f aca="false">IF(AND(E1606&gt;0,OR(AND(B1606&gt;=1,B1606&lt;=6),B1606=10)),1,0)</f>
        <v>1</v>
      </c>
      <c r="Y1606" s="27" t="n">
        <f aca="false">IF(AND(E1606&gt;0,B1606=10),1,0)</f>
        <v>0</v>
      </c>
      <c r="Z1606" s="0" t="str">
        <f aca="false">IF(AND(C1605=C1606,W1605=W1606-1),X1605,"")</f>
        <v/>
      </c>
      <c r="AA1606" s="0" t="str">
        <f aca="false">IF(AND(C1605=C1606,W1605=W1606-1),Y1605,"")</f>
        <v/>
      </c>
      <c r="AB1606" s="0" t="str">
        <f aca="false">IF(W1606=1,"",IF(AND(X1606=1,Z1606&lt;&gt;1),1,0))</f>
        <v/>
      </c>
      <c r="AC1606" s="0" t="str">
        <f aca="false">IF(W1606=1,"",IF(AND(Y1606=1,AA1606&lt;&gt;1),1,0))</f>
        <v/>
      </c>
      <c r="AD1606" s="33" t="str">
        <f aca="false">IF(AND(E1606&gt;0,W1606&lt;1,NOT(AND(C1607=C1606,W1607=W1606+1))),INDEX(DATAS,W1606+1),"")</f>
        <v/>
      </c>
      <c r="AE1606" s="33" t="str">
        <f aca="false">IF(AND(Y1606=1,W1606&lt;1),IF(AND(C1607=C1606,W1607=W1606+1),IF(Y1607=1,"",INDEX(DATAS,W1606+1)),INDEX(DATAS,W1606+1)),"")</f>
        <v/>
      </c>
    </row>
    <row r="1607" customFormat="false" ht="15" hidden="false" customHeight="false" outlineLevel="0" collapsed="false">
      <c r="A1607" s="33" t="n">
        <v>46309</v>
      </c>
      <c r="B1607" s="0" t="n">
        <v>4</v>
      </c>
      <c r="C1607" s="0" t="n">
        <v>5759</v>
      </c>
      <c r="D1607" s="0" t="n">
        <v>126</v>
      </c>
      <c r="E1607" s="0" t="n">
        <v>1</v>
      </c>
      <c r="F1607" s="27" t="s">
        <v>990</v>
      </c>
      <c r="G1607" s="0" t="n">
        <v>45.8</v>
      </c>
      <c r="H1607" s="0" t="n">
        <v>47</v>
      </c>
      <c r="I1607" s="27" t="s">
        <v>138</v>
      </c>
      <c r="J1607" s="0" t="n">
        <v>84</v>
      </c>
      <c r="K1607" s="0" t="n">
        <v>63</v>
      </c>
      <c r="L1607" s="0" t="n">
        <v>42</v>
      </c>
      <c r="P1607" s="0" t="n">
        <v>4.41</v>
      </c>
      <c r="Q1607" s="0" t="n">
        <v>3.23</v>
      </c>
      <c r="R1607" s="0" t="n">
        <v>4014</v>
      </c>
      <c r="S1607" s="0" t="n">
        <v>8353</v>
      </c>
      <c r="T1607" s="0" t="n">
        <v>42.95</v>
      </c>
      <c r="U1607" s="0" t="n">
        <v>808</v>
      </c>
      <c r="V1607" s="0" t="n">
        <v>2</v>
      </c>
      <c r="W1607" s="27" t="n">
        <f aca="false">MATCH(A1607,DATAS,0)</f>
        <v>1</v>
      </c>
      <c r="X1607" s="27" t="n">
        <f aca="false">IF(AND(E1607&gt;0,OR(AND(B1607&gt;=1,B1607&lt;=6),B1607=10)),1,0)</f>
        <v>1</v>
      </c>
      <c r="Y1607" s="27" t="n">
        <f aca="false">IF(AND(E1607&gt;0,B1607=10),1,0)</f>
        <v>0</v>
      </c>
      <c r="Z1607" s="0" t="str">
        <f aca="false">IF(AND(C1606=C1607,W1606=W1607-1),X1606,"")</f>
        <v/>
      </c>
      <c r="AA1607" s="0" t="str">
        <f aca="false">IF(AND(C1606=C1607,W1606=W1607-1),Y1606,"")</f>
        <v/>
      </c>
      <c r="AB1607" s="0" t="str">
        <f aca="false">IF(W1607=1,"",IF(AND(X1607=1,Z1607&lt;&gt;1),1,0))</f>
        <v/>
      </c>
      <c r="AC1607" s="0" t="str">
        <f aca="false">IF(W1607=1,"",IF(AND(Y1607=1,AA1607&lt;&gt;1),1,0))</f>
        <v/>
      </c>
      <c r="AD1607" s="33" t="str">
        <f aca="false">IF(AND(E1607&gt;0,W1607&lt;1,NOT(AND(C1608=C1607,W1608=W1607+1))),INDEX(DATAS,W1607+1),"")</f>
        <v/>
      </c>
      <c r="AE1607" s="33" t="str">
        <f aca="false">IF(AND(Y1607=1,W1607&lt;1),IF(AND(C1608=C1607,W1608=W1607+1),IF(Y1608=1,"",INDEX(DATAS,W1607+1)),INDEX(DATAS,W1607+1)),"")</f>
        <v/>
      </c>
    </row>
    <row r="1608" customFormat="false" ht="15" hidden="false" customHeight="false" outlineLevel="0" collapsed="false">
      <c r="A1608" s="33" t="n">
        <v>46309</v>
      </c>
      <c r="B1608" s="0" t="n">
        <v>4</v>
      </c>
      <c r="C1608" s="0" t="n">
        <v>5760</v>
      </c>
      <c r="D1608" s="0" t="n">
        <v>165</v>
      </c>
      <c r="E1608" s="0" t="n">
        <v>1</v>
      </c>
      <c r="F1608" s="27" t="s">
        <v>991</v>
      </c>
      <c r="G1608" s="0" t="n">
        <v>37.1</v>
      </c>
      <c r="H1608" s="0" t="n">
        <v>36</v>
      </c>
      <c r="I1608" s="27" t="s">
        <v>138</v>
      </c>
      <c r="J1608" s="0" t="n">
        <v>81</v>
      </c>
      <c r="K1608" s="0" t="n">
        <v>81</v>
      </c>
      <c r="L1608" s="0" t="n">
        <v>84</v>
      </c>
      <c r="P1608" s="0" t="n">
        <v>3.62</v>
      </c>
      <c r="Q1608" s="0" t="n">
        <v>3.63</v>
      </c>
      <c r="R1608" s="0" t="n">
        <v>3998</v>
      </c>
      <c r="S1608" s="0" t="n">
        <v>8136</v>
      </c>
      <c r="T1608" s="0" t="n">
        <v>45.05</v>
      </c>
      <c r="U1608" s="0" t="n">
        <v>807</v>
      </c>
      <c r="V1608" s="0" t="n">
        <v>1</v>
      </c>
      <c r="W1608" s="27" t="n">
        <f aca="false">MATCH(A1608,DATAS,0)</f>
        <v>1</v>
      </c>
      <c r="X1608" s="27" t="n">
        <f aca="false">IF(AND(E1608&gt;0,OR(AND(B1608&gt;=1,B1608&lt;=6),B1608=10)),1,0)</f>
        <v>1</v>
      </c>
      <c r="Y1608" s="27" t="n">
        <f aca="false">IF(AND(E1608&gt;0,B1608=10),1,0)</f>
        <v>0</v>
      </c>
      <c r="Z1608" s="0" t="str">
        <f aca="false">IF(AND(C1607=C1608,W1607=W1608-1),X1607,"")</f>
        <v/>
      </c>
      <c r="AA1608" s="0" t="str">
        <f aca="false">IF(AND(C1607=C1608,W1607=W1608-1),Y1607,"")</f>
        <v/>
      </c>
      <c r="AB1608" s="0" t="str">
        <f aca="false">IF(W1608=1,"",IF(AND(X1608=1,Z1608&lt;&gt;1),1,0))</f>
        <v/>
      </c>
      <c r="AC1608" s="0" t="str">
        <f aca="false">IF(W1608=1,"",IF(AND(Y1608=1,AA1608&lt;&gt;1),1,0))</f>
        <v/>
      </c>
      <c r="AD1608" s="33" t="str">
        <f aca="false">IF(AND(E1608&gt;0,W1608&lt;1,NOT(AND(C1609=C1608,W1609=W1608+1))),INDEX(DATAS,W1608+1),"")</f>
        <v/>
      </c>
      <c r="AE1608" s="33" t="str">
        <f aca="false">IF(AND(Y1608=1,W1608&lt;1),IF(AND(C1609=C1608,W1609=W1608+1),IF(Y1609=1,"",INDEX(DATAS,W1608+1)),INDEX(DATAS,W1608+1)),"")</f>
        <v/>
      </c>
    </row>
    <row r="1609" customFormat="false" ht="15" hidden="false" customHeight="false" outlineLevel="0" collapsed="false">
      <c r="A1609" s="33" t="n">
        <v>46309</v>
      </c>
      <c r="B1609" s="0" t="n">
        <v>1</v>
      </c>
      <c r="C1609" s="0" t="n">
        <v>5761</v>
      </c>
      <c r="D1609" s="0" t="n">
        <v>42</v>
      </c>
      <c r="E1609" s="0" t="n">
        <v>1</v>
      </c>
      <c r="F1609" s="27" t="s">
        <v>991</v>
      </c>
      <c r="G1609" s="0" t="n">
        <v>45.1</v>
      </c>
      <c r="H1609" s="0" t="n">
        <v>44</v>
      </c>
      <c r="I1609" s="27" t="s">
        <v>147</v>
      </c>
      <c r="J1609" s="0" t="n">
        <v>42</v>
      </c>
      <c r="P1609" s="0" t="n">
        <v>3.81</v>
      </c>
      <c r="Q1609" s="0" t="n">
        <v>3.57</v>
      </c>
      <c r="R1609" s="0" t="n">
        <v>3502</v>
      </c>
      <c r="S1609" s="0" t="n">
        <v>7040</v>
      </c>
      <c r="U1609" s="0" t="n">
        <v>807</v>
      </c>
      <c r="V1609" s="0" t="n">
        <v>0</v>
      </c>
      <c r="W1609" s="27" t="n">
        <f aca="false">MATCH(A1609,DATAS,0)</f>
        <v>1</v>
      </c>
      <c r="X1609" s="27" t="n">
        <f aca="false">IF(AND(E1609&gt;0,OR(AND(B1609&gt;=1,B1609&lt;=6),B1609=10)),1,0)</f>
        <v>1</v>
      </c>
      <c r="Y1609" s="27" t="n">
        <f aca="false">IF(AND(E1609&gt;0,B1609=10),1,0)</f>
        <v>0</v>
      </c>
      <c r="Z1609" s="0" t="str">
        <f aca="false">IF(AND(C1608=C1609,W1608=W1609-1),X1608,"")</f>
        <v/>
      </c>
      <c r="AA1609" s="0" t="str">
        <f aca="false">IF(AND(C1608=C1609,W1608=W1609-1),Y1608,"")</f>
        <v/>
      </c>
      <c r="AB1609" s="0" t="str">
        <f aca="false">IF(W1609=1,"",IF(AND(X1609=1,Z1609&lt;&gt;1),1,0))</f>
        <v/>
      </c>
      <c r="AC1609" s="0" t="str">
        <f aca="false">IF(W1609=1,"",IF(AND(Y1609=1,AA1609&lt;&gt;1),1,0))</f>
        <v/>
      </c>
      <c r="AD1609" s="33" t="str">
        <f aca="false">IF(AND(E1609&gt;0,W1609&lt;1,NOT(AND(C1610=C1609,W1610=W1609+1))),INDEX(DATAS,W1609+1),"")</f>
        <v/>
      </c>
      <c r="AE1609" s="33" t="str">
        <f aca="false">IF(AND(Y1609=1,W1609&lt;1),IF(AND(C1610=C1609,W1610=W1609+1),IF(Y1610=1,"",INDEX(DATAS,W1609+1)),INDEX(DATAS,W1609+1)),"")</f>
        <v/>
      </c>
    </row>
    <row r="1610" customFormat="false" ht="15" hidden="false" customHeight="false" outlineLevel="0" collapsed="false">
      <c r="A1610" s="33" t="n">
        <v>46309</v>
      </c>
      <c r="B1610" s="0" t="n">
        <v>4</v>
      </c>
      <c r="C1610" s="0" t="n">
        <v>5762</v>
      </c>
      <c r="D1610" s="0" t="n">
        <v>119</v>
      </c>
      <c r="E1610" s="0" t="n">
        <v>1</v>
      </c>
      <c r="F1610" s="27" t="s">
        <v>992</v>
      </c>
      <c r="G1610" s="0" t="n">
        <v>44.4</v>
      </c>
      <c r="H1610" s="0" t="n">
        <v>44</v>
      </c>
      <c r="I1610" s="27" t="s">
        <v>138</v>
      </c>
      <c r="J1610" s="0" t="n">
        <v>84</v>
      </c>
      <c r="K1610" s="0" t="n">
        <v>71</v>
      </c>
      <c r="L1610" s="0" t="n">
        <v>35</v>
      </c>
      <c r="P1610" s="0" t="n">
        <v>3.78</v>
      </c>
      <c r="Q1610" s="0" t="n">
        <v>2.94</v>
      </c>
      <c r="R1610" s="0" t="n">
        <v>4389</v>
      </c>
      <c r="S1610" s="0" t="n">
        <v>8930</v>
      </c>
      <c r="T1610" s="0" t="n">
        <v>47.2</v>
      </c>
      <c r="U1610" s="0" t="n">
        <v>806</v>
      </c>
      <c r="V1610" s="0" t="n">
        <v>2</v>
      </c>
      <c r="W1610" s="27" t="n">
        <f aca="false">MATCH(A1610,DATAS,0)</f>
        <v>1</v>
      </c>
      <c r="X1610" s="27" t="n">
        <f aca="false">IF(AND(E1610&gt;0,OR(AND(B1610&gt;=1,B1610&lt;=6),B1610=10)),1,0)</f>
        <v>1</v>
      </c>
      <c r="Y1610" s="27" t="n">
        <f aca="false">IF(AND(E1610&gt;0,B1610=10),1,0)</f>
        <v>0</v>
      </c>
      <c r="Z1610" s="0" t="str">
        <f aca="false">IF(AND(C1609=C1610,W1609=W1610-1),X1609,"")</f>
        <v/>
      </c>
      <c r="AA1610" s="0" t="str">
        <f aca="false">IF(AND(C1609=C1610,W1609=W1610-1),Y1609,"")</f>
        <v/>
      </c>
      <c r="AB1610" s="0" t="str">
        <f aca="false">IF(W1610=1,"",IF(AND(X1610=1,Z1610&lt;&gt;1),1,0))</f>
        <v/>
      </c>
      <c r="AC1610" s="0" t="str">
        <f aca="false">IF(W1610=1,"",IF(AND(Y1610=1,AA1610&lt;&gt;1),1,0))</f>
        <v/>
      </c>
      <c r="AD1610" s="33" t="str">
        <f aca="false">IF(AND(E1610&gt;0,W1610&lt;1,NOT(AND(C1611=C1610,W1611=W1610+1))),INDEX(DATAS,W1610+1),"")</f>
        <v/>
      </c>
      <c r="AE1610" s="33" t="str">
        <f aca="false">IF(AND(Y1610=1,W1610&lt;1),IF(AND(C1611=C1610,W1611=W1610+1),IF(Y1611=1,"",INDEX(DATAS,W1610+1)),INDEX(DATAS,W1610+1)),"")</f>
        <v/>
      </c>
    </row>
    <row r="1611" customFormat="false" ht="15" hidden="false" customHeight="false" outlineLevel="0" collapsed="false">
      <c r="A1611" s="33" t="n">
        <v>46309</v>
      </c>
      <c r="B1611" s="0" t="n">
        <v>4</v>
      </c>
      <c r="C1611" s="0" t="n">
        <v>5763</v>
      </c>
      <c r="D1611" s="0" t="n">
        <v>161</v>
      </c>
      <c r="E1611" s="0" t="n">
        <v>1</v>
      </c>
      <c r="F1611" s="27" t="s">
        <v>993</v>
      </c>
      <c r="G1611" s="0" t="n">
        <v>47.1</v>
      </c>
      <c r="H1611" s="0" t="n">
        <v>47</v>
      </c>
      <c r="I1611" s="27" t="s">
        <v>138</v>
      </c>
      <c r="J1611" s="0" t="n">
        <v>63</v>
      </c>
      <c r="K1611" s="0" t="n">
        <v>63</v>
      </c>
      <c r="L1611" s="0" t="n">
        <v>98</v>
      </c>
      <c r="P1611" s="0" t="n">
        <v>4.27</v>
      </c>
      <c r="Q1611" s="0" t="n">
        <v>3.29</v>
      </c>
      <c r="R1611" s="0" t="n">
        <v>4178</v>
      </c>
      <c r="S1611" s="0" t="n">
        <v>8830</v>
      </c>
      <c r="T1611" s="0" t="n">
        <v>38.9</v>
      </c>
      <c r="U1611" s="0" t="n">
        <v>805</v>
      </c>
      <c r="V1611" s="0" t="n">
        <v>1</v>
      </c>
      <c r="W1611" s="27" t="n">
        <f aca="false">MATCH(A1611,DATAS,0)</f>
        <v>1</v>
      </c>
      <c r="X1611" s="27" t="n">
        <f aca="false">IF(AND(E1611&gt;0,OR(AND(B1611&gt;=1,B1611&lt;=6),B1611=10)),1,0)</f>
        <v>1</v>
      </c>
      <c r="Y1611" s="27" t="n">
        <f aca="false">IF(AND(E1611&gt;0,B1611=10),1,0)</f>
        <v>0</v>
      </c>
      <c r="Z1611" s="0" t="str">
        <f aca="false">IF(AND(C1610=C1611,W1610=W1611-1),X1610,"")</f>
        <v/>
      </c>
      <c r="AA1611" s="0" t="str">
        <f aca="false">IF(AND(C1610=C1611,W1610=W1611-1),Y1610,"")</f>
        <v/>
      </c>
      <c r="AB1611" s="0" t="str">
        <f aca="false">IF(W1611=1,"",IF(AND(X1611=1,Z1611&lt;&gt;1),1,0))</f>
        <v/>
      </c>
      <c r="AC1611" s="0" t="str">
        <f aca="false">IF(W1611=1,"",IF(AND(Y1611=1,AA1611&lt;&gt;1),1,0))</f>
        <v/>
      </c>
      <c r="AD1611" s="33" t="str">
        <f aca="false">IF(AND(E1611&gt;0,W1611&lt;1,NOT(AND(C1612=C1611,W1612=W1611+1))),INDEX(DATAS,W1611+1),"")</f>
        <v/>
      </c>
      <c r="AE1611" s="33" t="str">
        <f aca="false">IF(AND(Y1611=1,W1611&lt;1),IF(AND(C1612=C1611,W1612=W1611+1),IF(Y1612=1,"",INDEX(DATAS,W1611+1)),INDEX(DATAS,W1611+1)),"")</f>
        <v/>
      </c>
    </row>
    <row r="1612" customFormat="false" ht="15" hidden="false" customHeight="false" outlineLevel="0" collapsed="false">
      <c r="A1612" s="33" t="n">
        <v>46309</v>
      </c>
      <c r="B1612" s="0" t="n">
        <v>4</v>
      </c>
      <c r="C1612" s="0" t="n">
        <v>5764</v>
      </c>
      <c r="D1612" s="0" t="n">
        <v>153</v>
      </c>
      <c r="E1612" s="0" t="n">
        <v>1</v>
      </c>
      <c r="F1612" s="27" t="s">
        <v>993</v>
      </c>
      <c r="G1612" s="0" t="n">
        <v>41.6</v>
      </c>
      <c r="H1612" s="0" t="n">
        <v>41</v>
      </c>
      <c r="I1612" s="27" t="s">
        <v>138</v>
      </c>
      <c r="J1612" s="0" t="n">
        <v>69</v>
      </c>
      <c r="K1612" s="0" t="n">
        <v>69</v>
      </c>
      <c r="L1612" s="0" t="n">
        <v>84</v>
      </c>
      <c r="P1612" s="0" t="n">
        <v>3.52</v>
      </c>
      <c r="Q1612" s="0" t="n">
        <v>2.99</v>
      </c>
      <c r="R1612" s="0" t="n">
        <v>4299</v>
      </c>
      <c r="S1612" s="0" t="n">
        <v>8323</v>
      </c>
      <c r="T1612" s="0" t="n">
        <v>46.55</v>
      </c>
      <c r="U1612" s="0" t="n">
        <v>805</v>
      </c>
      <c r="V1612" s="0" t="n">
        <v>1</v>
      </c>
      <c r="W1612" s="27" t="n">
        <f aca="false">MATCH(A1612,DATAS,0)</f>
        <v>1</v>
      </c>
      <c r="X1612" s="27" t="n">
        <f aca="false">IF(AND(E1612&gt;0,OR(AND(B1612&gt;=1,B1612&lt;=6),B1612=10)),1,0)</f>
        <v>1</v>
      </c>
      <c r="Y1612" s="27" t="n">
        <f aca="false">IF(AND(E1612&gt;0,B1612=10),1,0)</f>
        <v>0</v>
      </c>
      <c r="Z1612" s="0" t="str">
        <f aca="false">IF(AND(C1611=C1612,W1611=W1612-1),X1611,"")</f>
        <v/>
      </c>
      <c r="AA1612" s="0" t="str">
        <f aca="false">IF(AND(C1611=C1612,W1611=W1612-1),Y1611,"")</f>
        <v/>
      </c>
      <c r="AB1612" s="0" t="str">
        <f aca="false">IF(W1612=1,"",IF(AND(X1612=1,Z1612&lt;&gt;1),1,0))</f>
        <v/>
      </c>
      <c r="AC1612" s="0" t="str">
        <f aca="false">IF(W1612=1,"",IF(AND(Y1612=1,AA1612&lt;&gt;1),1,0))</f>
        <v/>
      </c>
      <c r="AD1612" s="33" t="str">
        <f aca="false">IF(AND(E1612&gt;0,W1612&lt;1,NOT(AND(C1613=C1612,W1613=W1612+1))),INDEX(DATAS,W1612+1),"")</f>
        <v/>
      </c>
      <c r="AE1612" s="33" t="str">
        <f aca="false">IF(AND(Y1612=1,W1612&lt;1),IF(AND(C1613=C1612,W1613=W1612+1),IF(Y1613=1,"",INDEX(DATAS,W1612+1)),INDEX(DATAS,W1612+1)),"")</f>
        <v/>
      </c>
    </row>
    <row r="1613" customFormat="false" ht="15" hidden="false" customHeight="false" outlineLevel="0" collapsed="false">
      <c r="A1613" s="33" t="n">
        <v>46309</v>
      </c>
      <c r="B1613" s="0" t="n">
        <v>4</v>
      </c>
      <c r="C1613" s="0" t="n">
        <v>5765</v>
      </c>
      <c r="D1613" s="0" t="n">
        <v>144</v>
      </c>
      <c r="E1613" s="0" t="n">
        <v>1</v>
      </c>
      <c r="F1613" s="27" t="s">
        <v>993</v>
      </c>
      <c r="G1613" s="0" t="n">
        <v>31.5</v>
      </c>
      <c r="H1613" s="0" t="n">
        <v>34</v>
      </c>
      <c r="I1613" s="27" t="s">
        <v>176</v>
      </c>
      <c r="J1613" s="0" t="n">
        <v>144</v>
      </c>
      <c r="K1613" s="0" t="n">
        <v>67</v>
      </c>
      <c r="P1613" s="0" t="n">
        <v>4.97</v>
      </c>
      <c r="Q1613" s="0" t="n">
        <v>3.67</v>
      </c>
      <c r="R1613" s="0" t="n">
        <v>3637</v>
      </c>
      <c r="S1613" s="0" t="n">
        <v>7728</v>
      </c>
      <c r="T1613" s="0" t="n">
        <v>41.6</v>
      </c>
      <c r="U1613" s="0" t="n">
        <v>805</v>
      </c>
      <c r="V1613" s="0" t="n">
        <v>2</v>
      </c>
      <c r="W1613" s="27" t="n">
        <f aca="false">MATCH(A1613,DATAS,0)</f>
        <v>1</v>
      </c>
      <c r="X1613" s="27" t="n">
        <f aca="false">IF(AND(E1613&gt;0,OR(AND(B1613&gt;=1,B1613&lt;=6),B1613=10)),1,0)</f>
        <v>1</v>
      </c>
      <c r="Y1613" s="27" t="n">
        <f aca="false">IF(AND(E1613&gt;0,B1613=10),1,0)</f>
        <v>0</v>
      </c>
      <c r="Z1613" s="0" t="str">
        <f aca="false">IF(AND(C1612=C1613,W1612=W1613-1),X1612,"")</f>
        <v/>
      </c>
      <c r="AA1613" s="0" t="str">
        <f aca="false">IF(AND(C1612=C1613,W1612=W1613-1),Y1612,"")</f>
        <v/>
      </c>
      <c r="AB1613" s="0" t="str">
        <f aca="false">IF(W1613=1,"",IF(AND(X1613=1,Z1613&lt;&gt;1),1,0))</f>
        <v/>
      </c>
      <c r="AC1613" s="0" t="str">
        <f aca="false">IF(W1613=1,"",IF(AND(Y1613=1,AA1613&lt;&gt;1),1,0))</f>
        <v/>
      </c>
      <c r="AD1613" s="33" t="str">
        <f aca="false">IF(AND(E1613&gt;0,W1613&lt;1,NOT(AND(C1614=C1613,W1614=W1613+1))),INDEX(DATAS,W1613+1),"")</f>
        <v/>
      </c>
      <c r="AE1613" s="33" t="str">
        <f aca="false">IF(AND(Y1613=1,W1613&lt;1),IF(AND(C1614=C1613,W1614=W1613+1),IF(Y1614=1,"",INDEX(DATAS,W1613+1)),INDEX(DATAS,W1613+1)),"")</f>
        <v/>
      </c>
    </row>
    <row r="1614" customFormat="false" ht="15" hidden="false" customHeight="false" outlineLevel="0" collapsed="false">
      <c r="A1614" s="33" t="n">
        <v>46309</v>
      </c>
      <c r="B1614" s="0" t="n">
        <v>4</v>
      </c>
      <c r="C1614" s="0" t="n">
        <v>5767</v>
      </c>
      <c r="D1614" s="0" t="n">
        <v>149</v>
      </c>
      <c r="E1614" s="0" t="n">
        <v>1</v>
      </c>
      <c r="F1614" s="27" t="s">
        <v>993</v>
      </c>
      <c r="G1614" s="0" t="n">
        <v>41.9</v>
      </c>
      <c r="H1614" s="0" t="n">
        <v>43</v>
      </c>
      <c r="I1614" s="27" t="s">
        <v>168</v>
      </c>
      <c r="J1614" s="0" t="n">
        <v>149</v>
      </c>
      <c r="K1614" s="0" t="n">
        <v>65</v>
      </c>
      <c r="P1614" s="0" t="n">
        <v>3.28</v>
      </c>
      <c r="Q1614" s="0" t="n">
        <v>3.86</v>
      </c>
      <c r="R1614" s="0" t="n">
        <v>4622</v>
      </c>
      <c r="S1614" s="0" t="n">
        <v>9190</v>
      </c>
      <c r="T1614" s="0" t="n">
        <v>51.4</v>
      </c>
      <c r="U1614" s="0" t="n">
        <v>805</v>
      </c>
      <c r="V1614" s="0" t="n">
        <v>3</v>
      </c>
      <c r="W1614" s="27" t="n">
        <f aca="false">MATCH(A1614,DATAS,0)</f>
        <v>1</v>
      </c>
      <c r="X1614" s="27" t="n">
        <f aca="false">IF(AND(E1614&gt;0,OR(AND(B1614&gt;=1,B1614&lt;=6),B1614=10)),1,0)</f>
        <v>1</v>
      </c>
      <c r="Y1614" s="27" t="n">
        <f aca="false">IF(AND(E1614&gt;0,B1614=10),1,0)</f>
        <v>0</v>
      </c>
      <c r="Z1614" s="0" t="str">
        <f aca="false">IF(AND(C1613=C1614,W1613=W1614-1),X1613,"")</f>
        <v/>
      </c>
      <c r="AA1614" s="0" t="str">
        <f aca="false">IF(AND(C1613=C1614,W1613=W1614-1),Y1613,"")</f>
        <v/>
      </c>
      <c r="AB1614" s="0" t="str">
        <f aca="false">IF(W1614=1,"",IF(AND(X1614=1,Z1614&lt;&gt;1),1,0))</f>
        <v/>
      </c>
      <c r="AC1614" s="0" t="str">
        <f aca="false">IF(W1614=1,"",IF(AND(Y1614=1,AA1614&lt;&gt;1),1,0))</f>
        <v/>
      </c>
      <c r="AD1614" s="33" t="str">
        <f aca="false">IF(AND(E1614&gt;0,W1614&lt;1,NOT(AND(C1615=C1614,W1615=W1614+1))),INDEX(DATAS,W1614+1),"")</f>
        <v/>
      </c>
      <c r="AE1614" s="33" t="str">
        <f aca="false">IF(AND(Y1614=1,W1614&lt;1),IF(AND(C1615=C1614,W1615=W1614+1),IF(Y1615=1,"",INDEX(DATAS,W1614+1)),INDEX(DATAS,W1614+1)),"")</f>
        <v/>
      </c>
    </row>
    <row r="1615" customFormat="false" ht="15" hidden="false" customHeight="false" outlineLevel="0" collapsed="false">
      <c r="A1615" s="33" t="n">
        <v>46309</v>
      </c>
      <c r="B1615" s="0" t="n">
        <v>4</v>
      </c>
      <c r="C1615" s="0" t="n">
        <v>5768</v>
      </c>
      <c r="D1615" s="0" t="n">
        <v>142</v>
      </c>
      <c r="E1615" s="0" t="n">
        <v>1</v>
      </c>
      <c r="F1615" s="27" t="s">
        <v>994</v>
      </c>
      <c r="G1615" s="0" t="n">
        <v>52.9</v>
      </c>
      <c r="H1615" s="0" t="n">
        <v>47</v>
      </c>
      <c r="I1615" s="27" t="s">
        <v>138</v>
      </c>
      <c r="J1615" s="0" t="n">
        <v>107</v>
      </c>
      <c r="K1615" s="0" t="n">
        <v>65</v>
      </c>
      <c r="L1615" s="0" t="n">
        <v>35</v>
      </c>
      <c r="P1615" s="0" t="n">
        <v>4.24</v>
      </c>
      <c r="Q1615" s="0" t="n">
        <v>3.05</v>
      </c>
      <c r="R1615" s="0" t="n">
        <v>4115</v>
      </c>
      <c r="S1615" s="0" t="n">
        <v>8986</v>
      </c>
      <c r="T1615" s="0" t="n">
        <v>46.95</v>
      </c>
      <c r="U1615" s="0" t="n">
        <v>803</v>
      </c>
      <c r="V1615" s="0" t="n">
        <v>2</v>
      </c>
      <c r="W1615" s="27" t="n">
        <f aca="false">MATCH(A1615,DATAS,0)</f>
        <v>1</v>
      </c>
      <c r="X1615" s="27" t="n">
        <f aca="false">IF(AND(E1615&gt;0,OR(AND(B1615&gt;=1,B1615&lt;=6),B1615=10)),1,0)</f>
        <v>1</v>
      </c>
      <c r="Y1615" s="27" t="n">
        <f aca="false">IF(AND(E1615&gt;0,B1615=10),1,0)</f>
        <v>0</v>
      </c>
      <c r="Z1615" s="0" t="str">
        <f aca="false">IF(AND(C1614=C1615,W1614=W1615-1),X1614,"")</f>
        <v/>
      </c>
      <c r="AA1615" s="0" t="str">
        <f aca="false">IF(AND(C1614=C1615,W1614=W1615-1),Y1614,"")</f>
        <v/>
      </c>
      <c r="AB1615" s="0" t="str">
        <f aca="false">IF(W1615=1,"",IF(AND(X1615=1,Z1615&lt;&gt;1),1,0))</f>
        <v/>
      </c>
      <c r="AC1615" s="0" t="str">
        <f aca="false">IF(W1615=1,"",IF(AND(Y1615=1,AA1615&lt;&gt;1),1,0))</f>
        <v/>
      </c>
      <c r="AD1615" s="33" t="str">
        <f aca="false">IF(AND(E1615&gt;0,W1615&lt;1,NOT(AND(C1616=C1615,W1616=W1615+1))),INDEX(DATAS,W1615+1),"")</f>
        <v/>
      </c>
      <c r="AE1615" s="33" t="str">
        <f aca="false">IF(AND(Y1615=1,W1615&lt;1),IF(AND(C1616=C1615,W1616=W1615+1),IF(Y1616=1,"",INDEX(DATAS,W1615+1)),INDEX(DATAS,W1615+1)),"")</f>
        <v/>
      </c>
    </row>
    <row r="1616" customFormat="false" ht="15" hidden="false" customHeight="false" outlineLevel="0" collapsed="false">
      <c r="A1616" s="33" t="n">
        <v>46309</v>
      </c>
      <c r="B1616" s="0" t="n">
        <v>4</v>
      </c>
      <c r="C1616" s="0" t="n">
        <v>5769</v>
      </c>
      <c r="D1616" s="0" t="n">
        <v>166</v>
      </c>
      <c r="E1616" s="0" t="n">
        <v>1</v>
      </c>
      <c r="F1616" s="27" t="s">
        <v>994</v>
      </c>
      <c r="G1616" s="0" t="n">
        <v>44.1</v>
      </c>
      <c r="H1616" s="0" t="n">
        <v>43</v>
      </c>
      <c r="I1616" s="27" t="s">
        <v>138</v>
      </c>
      <c r="J1616" s="0" t="n">
        <v>103</v>
      </c>
      <c r="K1616" s="0" t="n">
        <v>68</v>
      </c>
      <c r="L1616" s="0" t="n">
        <v>63</v>
      </c>
      <c r="P1616" s="0" t="n">
        <v>4.31</v>
      </c>
      <c r="Q1616" s="0" t="n">
        <v>3.58</v>
      </c>
      <c r="R1616" s="0" t="n">
        <v>2914</v>
      </c>
      <c r="S1616" s="0" t="n">
        <v>6810</v>
      </c>
      <c r="T1616" s="0" t="n">
        <v>32.6</v>
      </c>
      <c r="U1616" s="0" t="n">
        <v>803</v>
      </c>
      <c r="V1616" s="0" t="n">
        <v>2</v>
      </c>
      <c r="W1616" s="27" t="n">
        <f aca="false">MATCH(A1616,DATAS,0)</f>
        <v>1</v>
      </c>
      <c r="X1616" s="27" t="n">
        <f aca="false">IF(AND(E1616&gt;0,OR(AND(B1616&gt;=1,B1616&lt;=6),B1616=10)),1,0)</f>
        <v>1</v>
      </c>
      <c r="Y1616" s="27" t="n">
        <f aca="false">IF(AND(E1616&gt;0,B1616=10),1,0)</f>
        <v>0</v>
      </c>
      <c r="Z1616" s="0" t="str">
        <f aca="false">IF(AND(C1615=C1616,W1615=W1616-1),X1615,"")</f>
        <v/>
      </c>
      <c r="AA1616" s="0" t="str">
        <f aca="false">IF(AND(C1615=C1616,W1615=W1616-1),Y1615,"")</f>
        <v/>
      </c>
      <c r="AB1616" s="0" t="str">
        <f aca="false">IF(W1616=1,"",IF(AND(X1616=1,Z1616&lt;&gt;1),1,0))</f>
        <v/>
      </c>
      <c r="AC1616" s="0" t="str">
        <f aca="false">IF(W1616=1,"",IF(AND(Y1616=1,AA1616&lt;&gt;1),1,0))</f>
        <v/>
      </c>
      <c r="AD1616" s="33" t="str">
        <f aca="false">IF(AND(E1616&gt;0,W1616&lt;1,NOT(AND(C1617=C1616,W1617=W1616+1))),INDEX(DATAS,W1616+1),"")</f>
        <v/>
      </c>
      <c r="AE1616" s="33" t="str">
        <f aca="false">IF(AND(Y1616=1,W1616&lt;1),IF(AND(C1617=C1616,W1617=W1616+1),IF(Y1617=1,"",INDEX(DATAS,W1616+1)),INDEX(DATAS,W1616+1)),"")</f>
        <v/>
      </c>
    </row>
    <row r="1617" customFormat="false" ht="15" hidden="false" customHeight="false" outlineLevel="0" collapsed="false">
      <c r="A1617" s="33" t="n">
        <v>46309</v>
      </c>
      <c r="B1617" s="0" t="n">
        <v>1</v>
      </c>
      <c r="C1617" s="0" t="n">
        <v>5770</v>
      </c>
      <c r="D1617" s="0" t="n">
        <v>100</v>
      </c>
      <c r="E1617" s="0" t="n">
        <v>1</v>
      </c>
      <c r="F1617" s="27" t="s">
        <v>994</v>
      </c>
      <c r="G1617" s="0" t="n">
        <v>50.3</v>
      </c>
      <c r="H1617" s="0" t="n">
        <v>49</v>
      </c>
      <c r="I1617" s="27" t="s">
        <v>168</v>
      </c>
      <c r="J1617" s="0" t="n">
        <v>100</v>
      </c>
      <c r="K1617" s="0" t="n">
        <v>65</v>
      </c>
      <c r="P1617" s="0" t="n">
        <v>2.94</v>
      </c>
      <c r="Q1617" s="0" t="n">
        <v>3.3</v>
      </c>
      <c r="R1617" s="0" t="n">
        <v>4328</v>
      </c>
      <c r="S1617" s="0" t="n">
        <v>8699</v>
      </c>
      <c r="U1617" s="0" t="n">
        <v>803</v>
      </c>
      <c r="V1617" s="0" t="n">
        <v>2</v>
      </c>
      <c r="W1617" s="27" t="n">
        <f aca="false">MATCH(A1617,DATAS,0)</f>
        <v>1</v>
      </c>
      <c r="X1617" s="27" t="n">
        <f aca="false">IF(AND(E1617&gt;0,OR(AND(B1617&gt;=1,B1617&lt;=6),B1617=10)),1,0)</f>
        <v>1</v>
      </c>
      <c r="Y1617" s="27" t="n">
        <f aca="false">IF(AND(E1617&gt;0,B1617=10),1,0)</f>
        <v>0</v>
      </c>
      <c r="Z1617" s="0" t="str">
        <f aca="false">IF(AND(C1616=C1617,W1616=W1617-1),X1616,"")</f>
        <v/>
      </c>
      <c r="AA1617" s="0" t="str">
        <f aca="false">IF(AND(C1616=C1617,W1616=W1617-1),Y1616,"")</f>
        <v/>
      </c>
      <c r="AB1617" s="0" t="str">
        <f aca="false">IF(W1617=1,"",IF(AND(X1617=1,Z1617&lt;&gt;1),1,0))</f>
        <v/>
      </c>
      <c r="AC1617" s="0" t="str">
        <f aca="false">IF(W1617=1,"",IF(AND(Y1617=1,AA1617&lt;&gt;1),1,0))</f>
        <v/>
      </c>
      <c r="AD1617" s="33" t="str">
        <f aca="false">IF(AND(E1617&gt;0,W1617&lt;1,NOT(AND(C1618=C1617,W1618=W1617+1))),INDEX(DATAS,W1617+1),"")</f>
        <v/>
      </c>
      <c r="AE1617" s="33" t="str">
        <f aca="false">IF(AND(Y1617=1,W1617&lt;1),IF(AND(C1618=C1617,W1618=W1617+1),IF(Y1618=1,"",INDEX(DATAS,W1617+1)),INDEX(DATAS,W1617+1)),"")</f>
        <v/>
      </c>
    </row>
    <row r="1618" customFormat="false" ht="15" hidden="false" customHeight="false" outlineLevel="0" collapsed="false">
      <c r="A1618" s="33" t="n">
        <v>46309</v>
      </c>
      <c r="B1618" s="0" t="n">
        <v>5</v>
      </c>
      <c r="C1618" s="0" t="n">
        <v>5771</v>
      </c>
      <c r="D1618" s="0" t="n">
        <v>143</v>
      </c>
      <c r="E1618" s="0" t="n">
        <v>1</v>
      </c>
      <c r="F1618" s="27" t="s">
        <v>995</v>
      </c>
      <c r="G1618" s="0" t="n">
        <v>37.8</v>
      </c>
      <c r="H1618" s="0" t="n">
        <v>36</v>
      </c>
      <c r="I1618" s="27" t="s">
        <v>168</v>
      </c>
      <c r="J1618" s="0" t="n">
        <v>143</v>
      </c>
      <c r="K1618" s="0" t="n">
        <v>66</v>
      </c>
      <c r="P1618" s="0" t="n">
        <v>3.88</v>
      </c>
      <c r="Q1618" s="0" t="n">
        <v>3.32</v>
      </c>
      <c r="R1618" s="0" t="n">
        <v>4379</v>
      </c>
      <c r="S1618" s="0" t="n">
        <v>9094</v>
      </c>
      <c r="T1618" s="0" t="n">
        <v>50.45</v>
      </c>
      <c r="U1618" s="0" t="n">
        <v>801</v>
      </c>
      <c r="V1618" s="0" t="n">
        <v>3</v>
      </c>
      <c r="W1618" s="27" t="n">
        <f aca="false">MATCH(A1618,DATAS,0)</f>
        <v>1</v>
      </c>
      <c r="X1618" s="27" t="n">
        <f aca="false">IF(AND(E1618&gt;0,OR(AND(B1618&gt;=1,B1618&lt;=6),B1618=10)),1,0)</f>
        <v>1</v>
      </c>
      <c r="Y1618" s="27" t="n">
        <f aca="false">IF(AND(E1618&gt;0,B1618=10),1,0)</f>
        <v>0</v>
      </c>
      <c r="Z1618" s="0" t="str">
        <f aca="false">IF(AND(C1617=C1618,W1617=W1618-1),X1617,"")</f>
        <v/>
      </c>
      <c r="AA1618" s="0" t="str">
        <f aca="false">IF(AND(C1617=C1618,W1617=W1618-1),Y1617,"")</f>
        <v/>
      </c>
      <c r="AB1618" s="0" t="str">
        <f aca="false">IF(W1618=1,"",IF(AND(X1618=1,Z1618&lt;&gt;1),1,0))</f>
        <v/>
      </c>
      <c r="AC1618" s="0" t="str">
        <f aca="false">IF(W1618=1,"",IF(AND(Y1618=1,AA1618&lt;&gt;1),1,0))</f>
        <v/>
      </c>
      <c r="AD1618" s="33" t="str">
        <f aca="false">IF(AND(E1618&gt;0,W1618&lt;1,NOT(AND(C1619=C1618,W1619=W1618+1))),INDEX(DATAS,W1618+1),"")</f>
        <v/>
      </c>
      <c r="AE1618" s="33" t="str">
        <f aca="false">IF(AND(Y1618=1,W1618&lt;1),IF(AND(C1619=C1618,W1619=W1618+1),IF(Y1619=1,"",INDEX(DATAS,W1618+1)),INDEX(DATAS,W1618+1)),"")</f>
        <v/>
      </c>
    </row>
    <row r="1619" customFormat="false" ht="15" hidden="false" customHeight="false" outlineLevel="0" collapsed="false">
      <c r="A1619" s="33" t="n">
        <v>46309</v>
      </c>
      <c r="B1619" s="0" t="n">
        <v>11</v>
      </c>
      <c r="C1619" s="0" t="n">
        <v>5772</v>
      </c>
      <c r="E1619" s="0" t="n">
        <v>0</v>
      </c>
      <c r="F1619" s="27" t="s">
        <v>995</v>
      </c>
      <c r="I1619" s="27" t="s">
        <v>168</v>
      </c>
      <c r="U1619" s="0" t="n">
        <v>801</v>
      </c>
      <c r="V1619" s="0" t="n">
        <v>13</v>
      </c>
      <c r="W1619" s="27" t="n">
        <f aca="false">MATCH(A1619,DATAS,0)</f>
        <v>1</v>
      </c>
      <c r="X1619" s="27" t="n">
        <f aca="false">IF(AND(E1619&gt;0,OR(AND(B1619&gt;=1,B1619&lt;=6),B1619=10)),1,0)</f>
        <v>0</v>
      </c>
      <c r="Y1619" s="27" t="n">
        <f aca="false">IF(AND(E1619&gt;0,B1619=10),1,0)</f>
        <v>0</v>
      </c>
      <c r="Z1619" s="0" t="str">
        <f aca="false">IF(AND(C1618=C1619,W1618=W1619-1),X1618,"")</f>
        <v/>
      </c>
      <c r="AA1619" s="0" t="str">
        <f aca="false">IF(AND(C1618=C1619,W1618=W1619-1),Y1618,"")</f>
        <v/>
      </c>
      <c r="AB1619" s="0" t="str">
        <f aca="false">IF(W1619=1,"",IF(AND(X1619=1,Z1619&lt;&gt;1),1,0))</f>
        <v/>
      </c>
      <c r="AC1619" s="0" t="str">
        <f aca="false">IF(W1619=1,"",IF(AND(Y1619=1,AA1619&lt;&gt;1),1,0))</f>
        <v/>
      </c>
      <c r="AD1619" s="33" t="str">
        <f aca="false">IF(AND(E1619&gt;0,W1619&lt;1,NOT(AND(C1620=C1619,W1620=W1619+1))),INDEX(DATAS,W1619+1),"")</f>
        <v/>
      </c>
      <c r="AE1619" s="33" t="str">
        <f aca="false">IF(AND(Y1619=1,W1619&lt;1),IF(AND(C1620=C1619,W1620=W1619+1),IF(Y1620=1,"",INDEX(DATAS,W1619+1)),INDEX(DATAS,W1619+1)),"")</f>
        <v/>
      </c>
    </row>
    <row r="1620" customFormat="false" ht="15" hidden="false" customHeight="false" outlineLevel="0" collapsed="false">
      <c r="A1620" s="33" t="n">
        <v>46309</v>
      </c>
      <c r="B1620" s="0" t="n">
        <v>4</v>
      </c>
      <c r="C1620" s="0" t="n">
        <v>5775</v>
      </c>
      <c r="D1620" s="0" t="n">
        <v>161</v>
      </c>
      <c r="E1620" s="0" t="n">
        <v>1</v>
      </c>
      <c r="F1620" s="27" t="s">
        <v>995</v>
      </c>
      <c r="G1620" s="0" t="n">
        <v>50.6</v>
      </c>
      <c r="H1620" s="0" t="n">
        <v>49</v>
      </c>
      <c r="I1620" s="27" t="s">
        <v>138</v>
      </c>
      <c r="J1620" s="0" t="n">
        <v>63</v>
      </c>
      <c r="K1620" s="0" t="n">
        <v>63</v>
      </c>
      <c r="L1620" s="0" t="n">
        <v>98</v>
      </c>
      <c r="P1620" s="0" t="n">
        <v>4.4</v>
      </c>
      <c r="Q1620" s="0" t="n">
        <v>3.35</v>
      </c>
      <c r="R1620" s="0" t="n">
        <v>4165</v>
      </c>
      <c r="S1620" s="0" t="n">
        <v>9111</v>
      </c>
      <c r="T1620" s="0" t="n">
        <v>45.25</v>
      </c>
      <c r="U1620" s="0" t="n">
        <v>801</v>
      </c>
      <c r="V1620" s="0" t="n">
        <v>1</v>
      </c>
      <c r="W1620" s="27" t="n">
        <f aca="false">MATCH(A1620,DATAS,0)</f>
        <v>1</v>
      </c>
      <c r="X1620" s="27" t="n">
        <f aca="false">IF(AND(E1620&gt;0,OR(AND(B1620&gt;=1,B1620&lt;=6),B1620=10)),1,0)</f>
        <v>1</v>
      </c>
      <c r="Y1620" s="27" t="n">
        <f aca="false">IF(AND(E1620&gt;0,B1620=10),1,0)</f>
        <v>0</v>
      </c>
      <c r="Z1620" s="0" t="str">
        <f aca="false">IF(AND(C1619=C1620,W1619=W1620-1),X1619,"")</f>
        <v/>
      </c>
      <c r="AA1620" s="0" t="str">
        <f aca="false">IF(AND(C1619=C1620,W1619=W1620-1),Y1619,"")</f>
        <v/>
      </c>
      <c r="AB1620" s="0" t="str">
        <f aca="false">IF(W1620=1,"",IF(AND(X1620=1,Z1620&lt;&gt;1),1,0))</f>
        <v/>
      </c>
      <c r="AC1620" s="0" t="str">
        <f aca="false">IF(W1620=1,"",IF(AND(Y1620=1,AA1620&lt;&gt;1),1,0))</f>
        <v/>
      </c>
      <c r="AD1620" s="33" t="str">
        <f aca="false">IF(AND(E1620&gt;0,W1620&lt;1,NOT(AND(C1621=C1620,W1621=W1620+1))),INDEX(DATAS,W1620+1),"")</f>
        <v/>
      </c>
      <c r="AE1620" s="33" t="str">
        <f aca="false">IF(AND(Y1620=1,W1620&lt;1),IF(AND(C1621=C1620,W1621=W1620+1),IF(Y1621=1,"",INDEX(DATAS,W1620+1)),INDEX(DATAS,W1620+1)),"")</f>
        <v/>
      </c>
    </row>
    <row r="1621" customFormat="false" ht="15" hidden="false" customHeight="false" outlineLevel="0" collapsed="false">
      <c r="A1621" s="33" t="n">
        <v>46309</v>
      </c>
      <c r="B1621" s="0" t="n">
        <v>4</v>
      </c>
      <c r="C1621" s="0" t="n">
        <v>5776</v>
      </c>
      <c r="D1621" s="0" t="n">
        <v>149</v>
      </c>
      <c r="E1621" s="0" t="n">
        <v>1</v>
      </c>
      <c r="F1621" s="27" t="s">
        <v>995</v>
      </c>
      <c r="G1621" s="0" t="n">
        <v>51.5</v>
      </c>
      <c r="H1621" s="0" t="n">
        <v>52</v>
      </c>
      <c r="I1621" s="27" t="s">
        <v>138</v>
      </c>
      <c r="J1621" s="0" t="n">
        <v>86</v>
      </c>
      <c r="K1621" s="0" t="n">
        <v>65</v>
      </c>
      <c r="L1621" s="0" t="n">
        <v>63</v>
      </c>
      <c r="P1621" s="0" t="n">
        <v>3.74</v>
      </c>
      <c r="Q1621" s="0" t="n">
        <v>3.24</v>
      </c>
      <c r="R1621" s="0" t="n">
        <v>4681</v>
      </c>
      <c r="S1621" s="0" t="n">
        <v>9803</v>
      </c>
      <c r="T1621" s="0" t="n">
        <v>49.8</v>
      </c>
      <c r="U1621" s="0" t="n">
        <v>801</v>
      </c>
      <c r="V1621" s="0" t="n">
        <v>2</v>
      </c>
      <c r="W1621" s="27" t="n">
        <f aca="false">MATCH(A1621,DATAS,0)</f>
        <v>1</v>
      </c>
      <c r="X1621" s="27" t="n">
        <f aca="false">IF(AND(E1621&gt;0,OR(AND(B1621&gt;=1,B1621&lt;=6),B1621=10)),1,0)</f>
        <v>1</v>
      </c>
      <c r="Y1621" s="27" t="n">
        <f aca="false">IF(AND(E1621&gt;0,B1621=10),1,0)</f>
        <v>0</v>
      </c>
      <c r="Z1621" s="0" t="str">
        <f aca="false">IF(AND(C1620=C1621,W1620=W1621-1),X1620,"")</f>
        <v/>
      </c>
      <c r="AA1621" s="0" t="str">
        <f aca="false">IF(AND(C1620=C1621,W1620=W1621-1),Y1620,"")</f>
        <v/>
      </c>
      <c r="AB1621" s="0" t="str">
        <f aca="false">IF(W1621=1,"",IF(AND(X1621=1,Z1621&lt;&gt;1),1,0))</f>
        <v/>
      </c>
      <c r="AC1621" s="0" t="str">
        <f aca="false">IF(W1621=1,"",IF(AND(Y1621=1,AA1621&lt;&gt;1),1,0))</f>
        <v/>
      </c>
      <c r="AD1621" s="33" t="str">
        <f aca="false">IF(AND(E1621&gt;0,W1621&lt;1,NOT(AND(C1622=C1621,W1622=W1621+1))),INDEX(DATAS,W1621+1),"")</f>
        <v/>
      </c>
      <c r="AE1621" s="33" t="str">
        <f aca="false">IF(AND(Y1621=1,W1621&lt;1),IF(AND(C1622=C1621,W1622=W1621+1),IF(Y1622=1,"",INDEX(DATAS,W1621+1)),INDEX(DATAS,W1621+1)),"")</f>
        <v/>
      </c>
    </row>
    <row r="1622" customFormat="false" ht="15" hidden="false" customHeight="false" outlineLevel="0" collapsed="false">
      <c r="A1622" s="33" t="n">
        <v>46309</v>
      </c>
      <c r="B1622" s="0" t="n">
        <v>1</v>
      </c>
      <c r="C1622" s="0" t="n">
        <v>5777</v>
      </c>
      <c r="D1622" s="0" t="n">
        <v>59</v>
      </c>
      <c r="E1622" s="0" t="n">
        <v>1</v>
      </c>
      <c r="F1622" s="27" t="s">
        <v>995</v>
      </c>
      <c r="G1622" s="0" t="n">
        <v>42.3</v>
      </c>
      <c r="H1622" s="0" t="n">
        <v>39</v>
      </c>
      <c r="I1622" s="27" t="s">
        <v>147</v>
      </c>
      <c r="J1622" s="0" t="n">
        <v>59</v>
      </c>
      <c r="P1622" s="0" t="n">
        <v>5.66</v>
      </c>
      <c r="Q1622" s="0" t="n">
        <v>3.21</v>
      </c>
      <c r="R1622" s="0" t="n">
        <v>3345</v>
      </c>
      <c r="S1622" s="0" t="n">
        <v>6725</v>
      </c>
      <c r="U1622" s="0" t="n">
        <v>801</v>
      </c>
      <c r="V1622" s="0" t="n">
        <v>0</v>
      </c>
      <c r="W1622" s="27" t="n">
        <f aca="false">MATCH(A1622,DATAS,0)</f>
        <v>1</v>
      </c>
      <c r="X1622" s="27" t="n">
        <f aca="false">IF(AND(E1622&gt;0,OR(AND(B1622&gt;=1,B1622&lt;=6),B1622=10)),1,0)</f>
        <v>1</v>
      </c>
      <c r="Y1622" s="27" t="n">
        <f aca="false">IF(AND(E1622&gt;0,B1622=10),1,0)</f>
        <v>0</v>
      </c>
      <c r="Z1622" s="0" t="str">
        <f aca="false">IF(AND(C1621=C1622,W1621=W1622-1),X1621,"")</f>
        <v/>
      </c>
      <c r="AA1622" s="0" t="str">
        <f aca="false">IF(AND(C1621=C1622,W1621=W1622-1),Y1621,"")</f>
        <v/>
      </c>
      <c r="AB1622" s="0" t="str">
        <f aca="false">IF(W1622=1,"",IF(AND(X1622=1,Z1622&lt;&gt;1),1,0))</f>
        <v/>
      </c>
      <c r="AC1622" s="0" t="str">
        <f aca="false">IF(W1622=1,"",IF(AND(Y1622=1,AA1622&lt;&gt;1),1,0))</f>
        <v/>
      </c>
      <c r="AD1622" s="33" t="str">
        <f aca="false">IF(AND(E1622&gt;0,W1622&lt;1,NOT(AND(C1623=C1622,W1623=W1622+1))),INDEX(DATAS,W1622+1),"")</f>
        <v/>
      </c>
      <c r="AE1622" s="33" t="str">
        <f aca="false">IF(AND(Y1622=1,W1622&lt;1),IF(AND(C1623=C1622,W1623=W1622+1),IF(Y1623=1,"",INDEX(DATAS,W1622+1)),INDEX(DATAS,W1622+1)),"")</f>
        <v/>
      </c>
    </row>
    <row r="1623" customFormat="false" ht="15" hidden="false" customHeight="false" outlineLevel="0" collapsed="false">
      <c r="A1623" s="33" t="n">
        <v>46309</v>
      </c>
      <c r="B1623" s="0" t="n">
        <v>4</v>
      </c>
      <c r="C1623" s="0" t="n">
        <v>5778</v>
      </c>
      <c r="D1623" s="0" t="n">
        <v>121</v>
      </c>
      <c r="E1623" s="0" t="n">
        <v>1</v>
      </c>
      <c r="F1623" s="27" t="s">
        <v>995</v>
      </c>
      <c r="G1623" s="0" t="n">
        <v>60.6</v>
      </c>
      <c r="H1623" s="0" t="n">
        <v>59</v>
      </c>
      <c r="I1623" s="27" t="s">
        <v>138</v>
      </c>
      <c r="J1623" s="0" t="n">
        <v>65</v>
      </c>
      <c r="K1623" s="0" t="n">
        <v>65</v>
      </c>
      <c r="L1623" s="0" t="n">
        <v>56</v>
      </c>
      <c r="P1623" s="0" t="n">
        <v>2.87</v>
      </c>
      <c r="Q1623" s="0" t="n">
        <v>3.04</v>
      </c>
      <c r="R1623" s="0" t="n">
        <v>5303</v>
      </c>
      <c r="S1623" s="0" t="n">
        <v>10857</v>
      </c>
      <c r="T1623" s="0" t="n">
        <v>51.2</v>
      </c>
      <c r="U1623" s="0" t="n">
        <v>801</v>
      </c>
      <c r="V1623" s="0" t="n">
        <v>1</v>
      </c>
      <c r="W1623" s="27" t="n">
        <f aca="false">MATCH(A1623,DATAS,0)</f>
        <v>1</v>
      </c>
      <c r="X1623" s="27" t="n">
        <f aca="false">IF(AND(E1623&gt;0,OR(AND(B1623&gt;=1,B1623&lt;=6),B1623=10)),1,0)</f>
        <v>1</v>
      </c>
      <c r="Y1623" s="27" t="n">
        <f aca="false">IF(AND(E1623&gt;0,B1623=10),1,0)</f>
        <v>0</v>
      </c>
      <c r="Z1623" s="0" t="str">
        <f aca="false">IF(AND(C1622=C1623,W1622=W1623-1),X1622,"")</f>
        <v/>
      </c>
      <c r="AA1623" s="0" t="str">
        <f aca="false">IF(AND(C1622=C1623,W1622=W1623-1),Y1622,"")</f>
        <v/>
      </c>
      <c r="AB1623" s="0" t="str">
        <f aca="false">IF(W1623=1,"",IF(AND(X1623=1,Z1623&lt;&gt;1),1,0))</f>
        <v/>
      </c>
      <c r="AC1623" s="0" t="str">
        <f aca="false">IF(W1623=1,"",IF(AND(Y1623=1,AA1623&lt;&gt;1),1,0))</f>
        <v/>
      </c>
      <c r="AD1623" s="33" t="str">
        <f aca="false">IF(AND(E1623&gt;0,W1623&lt;1,NOT(AND(C1624=C1623,W1624=W1623+1))),INDEX(DATAS,W1623+1),"")</f>
        <v/>
      </c>
      <c r="AE1623" s="33" t="str">
        <f aca="false">IF(AND(Y1623=1,W1623&lt;1),IF(AND(C1624=C1623,W1624=W1623+1),IF(Y1624=1,"",INDEX(DATAS,W1623+1)),INDEX(DATAS,W1623+1)),"")</f>
        <v/>
      </c>
    </row>
    <row r="1624" customFormat="false" ht="15" hidden="false" customHeight="false" outlineLevel="0" collapsed="false">
      <c r="A1624" s="33" t="n">
        <v>46309</v>
      </c>
      <c r="B1624" s="0" t="n">
        <v>4</v>
      </c>
      <c r="C1624" s="0" t="n">
        <v>5779</v>
      </c>
      <c r="D1624" s="0" t="n">
        <v>139</v>
      </c>
      <c r="E1624" s="0" t="n">
        <v>1</v>
      </c>
      <c r="F1624" s="27" t="s">
        <v>995</v>
      </c>
      <c r="G1624" s="0" t="n">
        <v>53.7</v>
      </c>
      <c r="H1624" s="0" t="n">
        <v>54</v>
      </c>
      <c r="I1624" s="27" t="s">
        <v>168</v>
      </c>
      <c r="J1624" s="0" t="n">
        <v>139</v>
      </c>
      <c r="K1624" s="0" t="n">
        <v>69</v>
      </c>
      <c r="P1624" s="0" t="n">
        <v>4.14</v>
      </c>
      <c r="Q1624" s="0" t="n">
        <v>3.07</v>
      </c>
      <c r="R1624" s="0" t="n">
        <v>4673</v>
      </c>
      <c r="S1624" s="0" t="n">
        <v>9991</v>
      </c>
      <c r="T1624" s="0" t="n">
        <v>50.3</v>
      </c>
      <c r="U1624" s="0" t="n">
        <v>801</v>
      </c>
      <c r="V1624" s="0" t="n">
        <v>3</v>
      </c>
      <c r="W1624" s="27" t="n">
        <f aca="false">MATCH(A1624,DATAS,0)</f>
        <v>1</v>
      </c>
      <c r="X1624" s="27" t="n">
        <f aca="false">IF(AND(E1624&gt;0,OR(AND(B1624&gt;=1,B1624&lt;=6),B1624=10)),1,0)</f>
        <v>1</v>
      </c>
      <c r="Y1624" s="27" t="n">
        <f aca="false">IF(AND(E1624&gt;0,B1624=10),1,0)</f>
        <v>0</v>
      </c>
      <c r="Z1624" s="0" t="str">
        <f aca="false">IF(AND(C1623=C1624,W1623=W1624-1),X1623,"")</f>
        <v/>
      </c>
      <c r="AA1624" s="0" t="str">
        <f aca="false">IF(AND(C1623=C1624,W1623=W1624-1),Y1623,"")</f>
        <v/>
      </c>
      <c r="AB1624" s="0" t="str">
        <f aca="false">IF(W1624=1,"",IF(AND(X1624=1,Z1624&lt;&gt;1),1,0))</f>
        <v/>
      </c>
      <c r="AC1624" s="0" t="str">
        <f aca="false">IF(W1624=1,"",IF(AND(Y1624=1,AA1624&lt;&gt;1),1,0))</f>
        <v/>
      </c>
      <c r="AD1624" s="33" t="str">
        <f aca="false">IF(AND(E1624&gt;0,W1624&lt;1,NOT(AND(C1625=C1624,W1625=W1624+1))),INDEX(DATAS,W1624+1),"")</f>
        <v/>
      </c>
      <c r="AE1624" s="33" t="str">
        <f aca="false">IF(AND(Y1624=1,W1624&lt;1),IF(AND(C1625=C1624,W1625=W1624+1),IF(Y1625=1,"",INDEX(DATAS,W1624+1)),INDEX(DATAS,W1624+1)),"")</f>
        <v/>
      </c>
    </row>
    <row r="1625" customFormat="false" ht="15" hidden="false" customHeight="false" outlineLevel="0" collapsed="false">
      <c r="A1625" s="33" t="n">
        <v>46309</v>
      </c>
      <c r="B1625" s="0" t="n">
        <v>4</v>
      </c>
      <c r="C1625" s="0" t="n">
        <v>5780</v>
      </c>
      <c r="D1625" s="0" t="n">
        <v>154</v>
      </c>
      <c r="E1625" s="0" t="n">
        <v>1</v>
      </c>
      <c r="F1625" s="27" t="s">
        <v>995</v>
      </c>
      <c r="G1625" s="0" t="n">
        <v>43.7</v>
      </c>
      <c r="H1625" s="0" t="n">
        <v>41</v>
      </c>
      <c r="I1625" s="27" t="s">
        <v>138</v>
      </c>
      <c r="J1625" s="0" t="n">
        <v>119</v>
      </c>
      <c r="K1625" s="0" t="n">
        <v>63</v>
      </c>
      <c r="L1625" s="0" t="n">
        <v>35</v>
      </c>
      <c r="P1625" s="0" t="n">
        <v>3.6</v>
      </c>
      <c r="Q1625" s="0" t="n">
        <v>3.48</v>
      </c>
      <c r="R1625" s="0" t="n">
        <v>3615</v>
      </c>
      <c r="S1625" s="0" t="n">
        <v>7981</v>
      </c>
      <c r="T1625" s="0" t="n">
        <v>37.7</v>
      </c>
      <c r="U1625" s="0" t="n">
        <v>801</v>
      </c>
      <c r="V1625" s="0" t="n">
        <v>3</v>
      </c>
      <c r="W1625" s="27" t="n">
        <f aca="false">MATCH(A1625,DATAS,0)</f>
        <v>1</v>
      </c>
      <c r="X1625" s="27" t="n">
        <f aca="false">IF(AND(E1625&gt;0,OR(AND(B1625&gt;=1,B1625&lt;=6),B1625=10)),1,0)</f>
        <v>1</v>
      </c>
      <c r="Y1625" s="27" t="n">
        <f aca="false">IF(AND(E1625&gt;0,B1625=10),1,0)</f>
        <v>0</v>
      </c>
      <c r="Z1625" s="0" t="str">
        <f aca="false">IF(AND(C1624=C1625,W1624=W1625-1),X1624,"")</f>
        <v/>
      </c>
      <c r="AA1625" s="0" t="str">
        <f aca="false">IF(AND(C1624=C1625,W1624=W1625-1),Y1624,"")</f>
        <v/>
      </c>
      <c r="AB1625" s="0" t="str">
        <f aca="false">IF(W1625=1,"",IF(AND(X1625=1,Z1625&lt;&gt;1),1,0))</f>
        <v/>
      </c>
      <c r="AC1625" s="0" t="str">
        <f aca="false">IF(W1625=1,"",IF(AND(Y1625=1,AA1625&lt;&gt;1),1,0))</f>
        <v/>
      </c>
      <c r="AD1625" s="33" t="str">
        <f aca="false">IF(AND(E1625&gt;0,W1625&lt;1,NOT(AND(C1626=C1625,W1626=W1625+1))),INDEX(DATAS,W1625+1),"")</f>
        <v/>
      </c>
      <c r="AE1625" s="33" t="str">
        <f aca="false">IF(AND(Y1625=1,W1625&lt;1),IF(AND(C1626=C1625,W1626=W1625+1),IF(Y1626=1,"",INDEX(DATAS,W1625+1)),INDEX(DATAS,W1625+1)),"")</f>
        <v/>
      </c>
    </row>
    <row r="1626" customFormat="false" ht="15" hidden="false" customHeight="false" outlineLevel="0" collapsed="false">
      <c r="A1626" s="33" t="n">
        <v>46309</v>
      </c>
      <c r="B1626" s="0" t="n">
        <v>4</v>
      </c>
      <c r="C1626" s="0" t="n">
        <v>5781</v>
      </c>
      <c r="D1626" s="0" t="n">
        <v>134</v>
      </c>
      <c r="E1626" s="0" t="n">
        <v>1</v>
      </c>
      <c r="F1626" s="27" t="s">
        <v>996</v>
      </c>
      <c r="G1626" s="0" t="n">
        <v>48.8</v>
      </c>
      <c r="H1626" s="0" t="n">
        <v>53</v>
      </c>
      <c r="I1626" s="27" t="s">
        <v>138</v>
      </c>
      <c r="J1626" s="0" t="n">
        <v>64</v>
      </c>
      <c r="K1626" s="0" t="n">
        <v>64</v>
      </c>
      <c r="L1626" s="0" t="n">
        <v>70</v>
      </c>
      <c r="P1626" s="0" t="n">
        <v>3.26</v>
      </c>
      <c r="Q1626" s="0" t="n">
        <v>3.06</v>
      </c>
      <c r="R1626" s="0" t="n">
        <v>4534</v>
      </c>
      <c r="S1626" s="0" t="n">
        <v>9546</v>
      </c>
      <c r="T1626" s="0" t="n">
        <v>51.05</v>
      </c>
      <c r="U1626" s="0" t="n">
        <v>800</v>
      </c>
      <c r="V1626" s="0" t="n">
        <v>1</v>
      </c>
      <c r="W1626" s="27" t="n">
        <f aca="false">MATCH(A1626,DATAS,0)</f>
        <v>1</v>
      </c>
      <c r="X1626" s="27" t="n">
        <f aca="false">IF(AND(E1626&gt;0,OR(AND(B1626&gt;=1,B1626&lt;=6),B1626=10)),1,0)</f>
        <v>1</v>
      </c>
      <c r="Y1626" s="27" t="n">
        <f aca="false">IF(AND(E1626&gt;0,B1626=10),1,0)</f>
        <v>0</v>
      </c>
      <c r="Z1626" s="0" t="str">
        <f aca="false">IF(AND(C1625=C1626,W1625=W1626-1),X1625,"")</f>
        <v/>
      </c>
      <c r="AA1626" s="0" t="str">
        <f aca="false">IF(AND(C1625=C1626,W1625=W1626-1),Y1625,"")</f>
        <v/>
      </c>
      <c r="AB1626" s="0" t="str">
        <f aca="false">IF(W1626=1,"",IF(AND(X1626=1,Z1626&lt;&gt;1),1,0))</f>
        <v/>
      </c>
      <c r="AC1626" s="0" t="str">
        <f aca="false">IF(W1626=1,"",IF(AND(Y1626=1,AA1626&lt;&gt;1),1,0))</f>
        <v/>
      </c>
      <c r="AD1626" s="33" t="str">
        <f aca="false">IF(AND(E1626&gt;0,W1626&lt;1,NOT(AND(C1627=C1626,W1627=W1626+1))),INDEX(DATAS,W1626+1),"")</f>
        <v/>
      </c>
      <c r="AE1626" s="33" t="str">
        <f aca="false">IF(AND(Y1626=1,W1626&lt;1),IF(AND(C1627=C1626,W1627=W1626+1),IF(Y1627=1,"",INDEX(DATAS,W1626+1)),INDEX(DATAS,W1626+1)),"")</f>
        <v/>
      </c>
    </row>
    <row r="1627" customFormat="false" ht="15" hidden="false" customHeight="false" outlineLevel="0" collapsed="false">
      <c r="A1627" s="33" t="n">
        <v>46309</v>
      </c>
      <c r="B1627" s="0" t="n">
        <v>4</v>
      </c>
      <c r="C1627" s="0" t="n">
        <v>5782</v>
      </c>
      <c r="D1627" s="0" t="n">
        <v>153</v>
      </c>
      <c r="E1627" s="0" t="n">
        <v>1</v>
      </c>
      <c r="F1627" s="27" t="s">
        <v>996</v>
      </c>
      <c r="G1627" s="0" t="n">
        <v>51.9</v>
      </c>
      <c r="H1627" s="0" t="n">
        <v>51</v>
      </c>
      <c r="I1627" s="27" t="s">
        <v>138</v>
      </c>
      <c r="J1627" s="0" t="n">
        <v>76</v>
      </c>
      <c r="K1627" s="0" t="n">
        <v>76</v>
      </c>
      <c r="L1627" s="0" t="n">
        <v>77</v>
      </c>
      <c r="P1627" s="0" t="n">
        <v>3.63</v>
      </c>
      <c r="Q1627" s="0" t="n">
        <v>3.27</v>
      </c>
      <c r="R1627" s="0" t="n">
        <v>4398</v>
      </c>
      <c r="S1627" s="0" t="n">
        <v>9408</v>
      </c>
      <c r="T1627" s="0" t="n">
        <v>52</v>
      </c>
      <c r="U1627" s="0" t="n">
        <v>800</v>
      </c>
      <c r="V1627" s="0" t="n">
        <v>1</v>
      </c>
      <c r="W1627" s="27" t="n">
        <f aca="false">MATCH(A1627,DATAS,0)</f>
        <v>1</v>
      </c>
      <c r="X1627" s="27" t="n">
        <f aca="false">IF(AND(E1627&gt;0,OR(AND(B1627&gt;=1,B1627&lt;=6),B1627=10)),1,0)</f>
        <v>1</v>
      </c>
      <c r="Y1627" s="27" t="n">
        <f aca="false">IF(AND(E1627&gt;0,B1627=10),1,0)</f>
        <v>0</v>
      </c>
      <c r="Z1627" s="0" t="str">
        <f aca="false">IF(AND(C1626=C1627,W1626=W1627-1),X1626,"")</f>
        <v/>
      </c>
      <c r="AA1627" s="0" t="str">
        <f aca="false">IF(AND(C1626=C1627,W1626=W1627-1),Y1626,"")</f>
        <v/>
      </c>
      <c r="AB1627" s="0" t="str">
        <f aca="false">IF(W1627=1,"",IF(AND(X1627=1,Z1627&lt;&gt;1),1,0))</f>
        <v/>
      </c>
      <c r="AC1627" s="0" t="str">
        <f aca="false">IF(W1627=1,"",IF(AND(Y1627=1,AA1627&lt;&gt;1),1,0))</f>
        <v/>
      </c>
      <c r="AD1627" s="33" t="str">
        <f aca="false">IF(AND(E1627&gt;0,W1627&lt;1,NOT(AND(C1628=C1627,W1628=W1627+1))),INDEX(DATAS,W1627+1),"")</f>
        <v/>
      </c>
      <c r="AE1627" s="33" t="str">
        <f aca="false">IF(AND(Y1627=1,W1627&lt;1),IF(AND(C1628=C1627,W1628=W1627+1),IF(Y1628=1,"",INDEX(DATAS,W1627+1)),INDEX(DATAS,W1627+1)),"")</f>
        <v/>
      </c>
    </row>
    <row r="1628" customFormat="false" ht="15" hidden="false" customHeight="false" outlineLevel="0" collapsed="false">
      <c r="A1628" s="33" t="n">
        <v>46309</v>
      </c>
      <c r="B1628" s="0" t="n">
        <v>4</v>
      </c>
      <c r="C1628" s="0" t="n">
        <v>5783</v>
      </c>
      <c r="D1628" s="0" t="n">
        <v>125</v>
      </c>
      <c r="E1628" s="0" t="n">
        <v>1</v>
      </c>
      <c r="F1628" s="27" t="s">
        <v>997</v>
      </c>
      <c r="G1628" s="0" t="n">
        <v>50</v>
      </c>
      <c r="H1628" s="0" t="n">
        <v>51</v>
      </c>
      <c r="I1628" s="27" t="s">
        <v>168</v>
      </c>
      <c r="J1628" s="0" t="n">
        <v>125</v>
      </c>
      <c r="K1628" s="0" t="n">
        <v>62</v>
      </c>
      <c r="P1628" s="0" t="n">
        <v>3.78</v>
      </c>
      <c r="Q1628" s="0" t="n">
        <v>3.15</v>
      </c>
      <c r="R1628" s="0" t="n">
        <v>4341</v>
      </c>
      <c r="S1628" s="0" t="n">
        <v>9165</v>
      </c>
      <c r="T1628" s="0" t="n">
        <v>43.4</v>
      </c>
      <c r="U1628" s="0" t="n">
        <v>798</v>
      </c>
      <c r="V1628" s="0" t="n">
        <v>2</v>
      </c>
      <c r="W1628" s="27" t="n">
        <f aca="false">MATCH(A1628,DATAS,0)</f>
        <v>1</v>
      </c>
      <c r="X1628" s="27" t="n">
        <f aca="false">IF(AND(E1628&gt;0,OR(AND(B1628&gt;=1,B1628&lt;=6),B1628=10)),1,0)</f>
        <v>1</v>
      </c>
      <c r="Y1628" s="27" t="n">
        <f aca="false">IF(AND(E1628&gt;0,B1628=10),1,0)</f>
        <v>0</v>
      </c>
      <c r="Z1628" s="0" t="str">
        <f aca="false">IF(AND(C1627=C1628,W1627=W1628-1),X1627,"")</f>
        <v/>
      </c>
      <c r="AA1628" s="0" t="str">
        <f aca="false">IF(AND(C1627=C1628,W1627=W1628-1),Y1627,"")</f>
        <v/>
      </c>
      <c r="AB1628" s="0" t="str">
        <f aca="false">IF(W1628=1,"",IF(AND(X1628=1,Z1628&lt;&gt;1),1,0))</f>
        <v/>
      </c>
      <c r="AC1628" s="0" t="str">
        <f aca="false">IF(W1628=1,"",IF(AND(Y1628=1,AA1628&lt;&gt;1),1,0))</f>
        <v/>
      </c>
      <c r="AD1628" s="33" t="str">
        <f aca="false">IF(AND(E1628&gt;0,W1628&lt;1,NOT(AND(C1629=C1628,W1629=W1628+1))),INDEX(DATAS,W1628+1),"")</f>
        <v/>
      </c>
      <c r="AE1628" s="33" t="str">
        <f aca="false">IF(AND(Y1628=1,W1628&lt;1),IF(AND(C1629=C1628,W1629=W1628+1),IF(Y1629=1,"",INDEX(DATAS,W1628+1)),INDEX(DATAS,W1628+1)),"")</f>
        <v/>
      </c>
    </row>
    <row r="1629" customFormat="false" ht="15" hidden="false" customHeight="false" outlineLevel="0" collapsed="false">
      <c r="A1629" s="33" t="n">
        <v>46309</v>
      </c>
      <c r="B1629" s="0" t="n">
        <v>4</v>
      </c>
      <c r="C1629" s="0" t="n">
        <v>5784</v>
      </c>
      <c r="D1629" s="0" t="n">
        <v>154</v>
      </c>
      <c r="E1629" s="0" t="n">
        <v>1</v>
      </c>
      <c r="F1629" s="27" t="s">
        <v>997</v>
      </c>
      <c r="G1629" s="0" t="n">
        <v>47</v>
      </c>
      <c r="H1629" s="0" t="n">
        <v>47</v>
      </c>
      <c r="I1629" s="27" t="s">
        <v>138</v>
      </c>
      <c r="J1629" s="0" t="n">
        <v>63</v>
      </c>
      <c r="K1629" s="0" t="n">
        <v>63</v>
      </c>
      <c r="L1629" s="0" t="n">
        <v>91</v>
      </c>
      <c r="P1629" s="0" t="n">
        <v>3.47</v>
      </c>
      <c r="Q1629" s="0" t="n">
        <v>3.61</v>
      </c>
      <c r="R1629" s="0" t="n">
        <v>4813</v>
      </c>
      <c r="S1629" s="0" t="n">
        <v>9589</v>
      </c>
      <c r="T1629" s="0" t="n">
        <v>48.15</v>
      </c>
      <c r="U1629" s="0" t="n">
        <v>798</v>
      </c>
      <c r="V1629" s="0" t="n">
        <v>1</v>
      </c>
      <c r="W1629" s="27" t="n">
        <f aca="false">MATCH(A1629,DATAS,0)</f>
        <v>1</v>
      </c>
      <c r="X1629" s="27" t="n">
        <f aca="false">IF(AND(E1629&gt;0,OR(AND(B1629&gt;=1,B1629&lt;=6),B1629=10)),1,0)</f>
        <v>1</v>
      </c>
      <c r="Y1629" s="27" t="n">
        <f aca="false">IF(AND(E1629&gt;0,B1629=10),1,0)</f>
        <v>0</v>
      </c>
      <c r="Z1629" s="0" t="str">
        <f aca="false">IF(AND(C1628=C1629,W1628=W1629-1),X1628,"")</f>
        <v/>
      </c>
      <c r="AA1629" s="0" t="str">
        <f aca="false">IF(AND(C1628=C1629,W1628=W1629-1),Y1628,"")</f>
        <v/>
      </c>
      <c r="AB1629" s="0" t="str">
        <f aca="false">IF(W1629=1,"",IF(AND(X1629=1,Z1629&lt;&gt;1),1,0))</f>
        <v/>
      </c>
      <c r="AC1629" s="0" t="str">
        <f aca="false">IF(W1629=1,"",IF(AND(Y1629=1,AA1629&lt;&gt;1),1,0))</f>
        <v/>
      </c>
      <c r="AD1629" s="33" t="str">
        <f aca="false">IF(AND(E1629&gt;0,W1629&lt;1,NOT(AND(C1630=C1629,W1630=W1629+1))),INDEX(DATAS,W1629+1),"")</f>
        <v/>
      </c>
      <c r="AE1629" s="33" t="str">
        <f aca="false">IF(AND(Y1629=1,W1629&lt;1),IF(AND(C1630=C1629,W1630=W1629+1),IF(Y1630=1,"",INDEX(DATAS,W1629+1)),INDEX(DATAS,W1629+1)),"")</f>
        <v/>
      </c>
    </row>
    <row r="1630" customFormat="false" ht="15" hidden="false" customHeight="false" outlineLevel="0" collapsed="false">
      <c r="A1630" s="33" t="n">
        <v>46309</v>
      </c>
      <c r="B1630" s="0" t="n">
        <v>1</v>
      </c>
      <c r="C1630" s="0" t="n">
        <v>5785</v>
      </c>
      <c r="D1630" s="0" t="n">
        <v>25</v>
      </c>
      <c r="E1630" s="0" t="n">
        <v>1</v>
      </c>
      <c r="F1630" s="27" t="s">
        <v>997</v>
      </c>
      <c r="G1630" s="0" t="n">
        <v>43.2</v>
      </c>
      <c r="H1630" s="0" t="n">
        <v>40</v>
      </c>
      <c r="I1630" s="27" t="s">
        <v>147</v>
      </c>
      <c r="J1630" s="0" t="n">
        <v>25</v>
      </c>
      <c r="R1630" s="0" t="n">
        <v>3547</v>
      </c>
      <c r="S1630" s="0" t="n">
        <v>7130</v>
      </c>
      <c r="U1630" s="0" t="n">
        <v>798</v>
      </c>
      <c r="V1630" s="0" t="n">
        <v>0</v>
      </c>
      <c r="W1630" s="27" t="n">
        <f aca="false">MATCH(A1630,DATAS,0)</f>
        <v>1</v>
      </c>
      <c r="X1630" s="27" t="n">
        <f aca="false">IF(AND(E1630&gt;0,OR(AND(B1630&gt;=1,B1630&lt;=6),B1630=10)),1,0)</f>
        <v>1</v>
      </c>
      <c r="Y1630" s="27" t="n">
        <f aca="false">IF(AND(E1630&gt;0,B1630=10),1,0)</f>
        <v>0</v>
      </c>
      <c r="Z1630" s="0" t="str">
        <f aca="false">IF(AND(C1629=C1630,W1629=W1630-1),X1629,"")</f>
        <v/>
      </c>
      <c r="AA1630" s="0" t="str">
        <f aca="false">IF(AND(C1629=C1630,W1629=W1630-1),Y1629,"")</f>
        <v/>
      </c>
      <c r="AB1630" s="0" t="str">
        <f aca="false">IF(W1630=1,"",IF(AND(X1630=1,Z1630&lt;&gt;1),1,0))</f>
        <v/>
      </c>
      <c r="AC1630" s="0" t="str">
        <f aca="false">IF(W1630=1,"",IF(AND(Y1630=1,AA1630&lt;&gt;1),1,0))</f>
        <v/>
      </c>
      <c r="AD1630" s="33" t="str">
        <f aca="false">IF(AND(E1630&gt;0,W1630&lt;1,NOT(AND(C1631=C1630,W1631=W1630+1))),INDEX(DATAS,W1630+1),"")</f>
        <v/>
      </c>
      <c r="AE1630" s="33" t="str">
        <f aca="false">IF(AND(Y1630=1,W1630&lt;1),IF(AND(C1631=C1630,W1631=W1630+1),IF(Y1631=1,"",INDEX(DATAS,W1630+1)),INDEX(DATAS,W1630+1)),"")</f>
        <v/>
      </c>
    </row>
    <row r="1631" customFormat="false" ht="15" hidden="false" customHeight="false" outlineLevel="0" collapsed="false">
      <c r="A1631" s="33" t="n">
        <v>46309</v>
      </c>
      <c r="B1631" s="0" t="n">
        <v>1</v>
      </c>
      <c r="C1631" s="0" t="n">
        <v>5786</v>
      </c>
      <c r="D1631" s="0" t="n">
        <v>68</v>
      </c>
      <c r="E1631" s="0" t="n">
        <v>1</v>
      </c>
      <c r="F1631" s="27" t="s">
        <v>997</v>
      </c>
      <c r="G1631" s="0" t="n">
        <v>43.5</v>
      </c>
      <c r="H1631" s="0" t="n">
        <v>49</v>
      </c>
      <c r="I1631" s="27" t="s">
        <v>168</v>
      </c>
      <c r="J1631" s="0" t="n">
        <v>68</v>
      </c>
      <c r="K1631" s="0" t="n">
        <v>68</v>
      </c>
      <c r="P1631" s="0" t="n">
        <v>3.7</v>
      </c>
      <c r="Q1631" s="0" t="n">
        <v>3.18</v>
      </c>
      <c r="R1631" s="0" t="n">
        <v>4118</v>
      </c>
      <c r="S1631" s="0" t="n">
        <v>8278</v>
      </c>
      <c r="U1631" s="0" t="n">
        <v>798</v>
      </c>
      <c r="V1631" s="0" t="n">
        <v>1</v>
      </c>
      <c r="W1631" s="27" t="n">
        <f aca="false">MATCH(A1631,DATAS,0)</f>
        <v>1</v>
      </c>
      <c r="X1631" s="27" t="n">
        <f aca="false">IF(AND(E1631&gt;0,OR(AND(B1631&gt;=1,B1631&lt;=6),B1631=10)),1,0)</f>
        <v>1</v>
      </c>
      <c r="Y1631" s="27" t="n">
        <f aca="false">IF(AND(E1631&gt;0,B1631=10),1,0)</f>
        <v>0</v>
      </c>
      <c r="Z1631" s="0" t="str">
        <f aca="false">IF(AND(C1630=C1631,W1630=W1631-1),X1630,"")</f>
        <v/>
      </c>
      <c r="AA1631" s="0" t="str">
        <f aca="false">IF(AND(C1630=C1631,W1630=W1631-1),Y1630,"")</f>
        <v/>
      </c>
      <c r="AB1631" s="0" t="str">
        <f aca="false">IF(W1631=1,"",IF(AND(X1631=1,Z1631&lt;&gt;1),1,0))</f>
        <v/>
      </c>
      <c r="AC1631" s="0" t="str">
        <f aca="false">IF(W1631=1,"",IF(AND(Y1631=1,AA1631&lt;&gt;1),1,0))</f>
        <v/>
      </c>
      <c r="AD1631" s="33" t="str">
        <f aca="false">IF(AND(E1631&gt;0,W1631&lt;1,NOT(AND(C1632=C1631,W1632=W1631+1))),INDEX(DATAS,W1631+1),"")</f>
        <v/>
      </c>
      <c r="AE1631" s="33" t="str">
        <f aca="false">IF(AND(Y1631=1,W1631&lt;1),IF(AND(C1632=C1631,W1632=W1631+1),IF(Y1632=1,"",INDEX(DATAS,W1631+1)),INDEX(DATAS,W1631+1)),"")</f>
        <v/>
      </c>
    </row>
    <row r="1632" customFormat="false" ht="15" hidden="false" customHeight="false" outlineLevel="0" collapsed="false">
      <c r="A1632" s="33" t="n">
        <v>46309</v>
      </c>
      <c r="B1632" s="0" t="n">
        <v>4</v>
      </c>
      <c r="C1632" s="0" t="n">
        <v>5787</v>
      </c>
      <c r="D1632" s="0" t="n">
        <v>211</v>
      </c>
      <c r="E1632" s="0" t="n">
        <v>1</v>
      </c>
      <c r="F1632" s="27" t="s">
        <v>997</v>
      </c>
      <c r="G1632" s="0" t="n">
        <v>27.9</v>
      </c>
      <c r="H1632" s="0" t="n">
        <v>32</v>
      </c>
      <c r="I1632" s="27" t="s">
        <v>138</v>
      </c>
      <c r="J1632" s="0" t="n">
        <v>64</v>
      </c>
      <c r="K1632" s="0" t="n">
        <v>64</v>
      </c>
      <c r="L1632" s="0" t="n">
        <v>147</v>
      </c>
      <c r="P1632" s="0" t="n">
        <v>3.21</v>
      </c>
      <c r="Q1632" s="0" t="n">
        <v>3.58</v>
      </c>
      <c r="R1632" s="0" t="n">
        <v>2193</v>
      </c>
      <c r="S1632" s="0" t="n">
        <v>5634</v>
      </c>
      <c r="T1632" s="0" t="n">
        <v>26.9</v>
      </c>
      <c r="U1632" s="0" t="n">
        <v>798</v>
      </c>
      <c r="V1632" s="0" t="n">
        <v>1</v>
      </c>
      <c r="W1632" s="27" t="n">
        <f aca="false">MATCH(A1632,DATAS,0)</f>
        <v>1</v>
      </c>
      <c r="X1632" s="27" t="n">
        <f aca="false">IF(AND(E1632&gt;0,OR(AND(B1632&gt;=1,B1632&lt;=6),B1632=10)),1,0)</f>
        <v>1</v>
      </c>
      <c r="Y1632" s="27" t="n">
        <f aca="false">IF(AND(E1632&gt;0,B1632=10),1,0)</f>
        <v>0</v>
      </c>
      <c r="Z1632" s="0" t="str">
        <f aca="false">IF(AND(C1631=C1632,W1631=W1632-1),X1631,"")</f>
        <v/>
      </c>
      <c r="AA1632" s="0" t="str">
        <f aca="false">IF(AND(C1631=C1632,W1631=W1632-1),Y1631,"")</f>
        <v/>
      </c>
      <c r="AB1632" s="0" t="str">
        <f aca="false">IF(W1632=1,"",IF(AND(X1632=1,Z1632&lt;&gt;1),1,0))</f>
        <v/>
      </c>
      <c r="AC1632" s="0" t="str">
        <f aca="false">IF(W1632=1,"",IF(AND(Y1632=1,AA1632&lt;&gt;1),1,0))</f>
        <v/>
      </c>
      <c r="AD1632" s="33" t="str">
        <f aca="false">IF(AND(E1632&gt;0,W1632&lt;1,NOT(AND(C1633=C1632,W1633=W1632+1))),INDEX(DATAS,W1632+1),"")</f>
        <v/>
      </c>
      <c r="AE1632" s="33" t="str">
        <f aca="false">IF(AND(Y1632=1,W1632&lt;1),IF(AND(C1633=C1632,W1633=W1632+1),IF(Y1633=1,"",INDEX(DATAS,W1632+1)),INDEX(DATAS,W1632+1)),"")</f>
        <v/>
      </c>
    </row>
    <row r="1633" customFormat="false" ht="15" hidden="false" customHeight="false" outlineLevel="0" collapsed="false">
      <c r="A1633" s="33" t="n">
        <v>46309</v>
      </c>
      <c r="B1633" s="0" t="n">
        <v>1</v>
      </c>
      <c r="C1633" s="0" t="n">
        <v>5788</v>
      </c>
      <c r="D1633" s="0" t="n">
        <v>106</v>
      </c>
      <c r="E1633" s="0" t="n">
        <v>1</v>
      </c>
      <c r="F1633" s="27" t="s">
        <v>997</v>
      </c>
      <c r="G1633" s="0" t="n">
        <v>46.4</v>
      </c>
      <c r="H1633" s="0" t="n">
        <v>45</v>
      </c>
      <c r="I1633" s="27" t="s">
        <v>168</v>
      </c>
      <c r="J1633" s="0" t="n">
        <v>106</v>
      </c>
      <c r="K1633" s="0" t="n">
        <v>64</v>
      </c>
      <c r="P1633" s="0" t="n">
        <v>3.47</v>
      </c>
      <c r="Q1633" s="0" t="n">
        <v>2.95</v>
      </c>
      <c r="R1633" s="0" t="n">
        <v>4038</v>
      </c>
      <c r="S1633" s="0" t="n">
        <v>8160</v>
      </c>
      <c r="T1633" s="0" t="n">
        <v>45.85</v>
      </c>
      <c r="U1633" s="0" t="n">
        <v>798</v>
      </c>
      <c r="V1633" s="0" t="n">
        <v>2</v>
      </c>
      <c r="W1633" s="27" t="n">
        <f aca="false">MATCH(A1633,DATAS,0)</f>
        <v>1</v>
      </c>
      <c r="X1633" s="27" t="n">
        <f aca="false">IF(AND(E1633&gt;0,OR(AND(B1633&gt;=1,B1633&lt;=6),B1633=10)),1,0)</f>
        <v>1</v>
      </c>
      <c r="Y1633" s="27" t="n">
        <f aca="false">IF(AND(E1633&gt;0,B1633=10),1,0)</f>
        <v>0</v>
      </c>
      <c r="Z1633" s="0" t="str">
        <f aca="false">IF(AND(C1632=C1633,W1632=W1633-1),X1632,"")</f>
        <v/>
      </c>
      <c r="AA1633" s="0" t="str">
        <f aca="false">IF(AND(C1632=C1633,W1632=W1633-1),Y1632,"")</f>
        <v/>
      </c>
      <c r="AB1633" s="0" t="str">
        <f aca="false">IF(W1633=1,"",IF(AND(X1633=1,Z1633&lt;&gt;1),1,0))</f>
        <v/>
      </c>
      <c r="AC1633" s="0" t="str">
        <f aca="false">IF(W1633=1,"",IF(AND(Y1633=1,AA1633&lt;&gt;1),1,0))</f>
        <v/>
      </c>
      <c r="AD1633" s="33" t="str">
        <f aca="false">IF(AND(E1633&gt;0,W1633&lt;1,NOT(AND(C1634=C1633,W1634=W1633+1))),INDEX(DATAS,W1633+1),"")</f>
        <v/>
      </c>
      <c r="AE1633" s="33" t="str">
        <f aca="false">IF(AND(Y1633=1,W1633&lt;1),IF(AND(C1634=C1633,W1634=W1633+1),IF(Y1634=1,"",INDEX(DATAS,W1633+1)),INDEX(DATAS,W1633+1)),"")</f>
        <v/>
      </c>
    </row>
    <row r="1634" customFormat="false" ht="15" hidden="false" customHeight="false" outlineLevel="0" collapsed="false">
      <c r="A1634" s="33" t="n">
        <v>46309</v>
      </c>
      <c r="B1634" s="0" t="n">
        <v>4</v>
      </c>
      <c r="C1634" s="0" t="n">
        <v>5789</v>
      </c>
      <c r="D1634" s="0" t="n">
        <v>157</v>
      </c>
      <c r="E1634" s="0" t="n">
        <v>1</v>
      </c>
      <c r="F1634" s="27" t="s">
        <v>998</v>
      </c>
      <c r="G1634" s="0" t="n">
        <v>43.2</v>
      </c>
      <c r="H1634" s="0" t="n">
        <v>43</v>
      </c>
      <c r="I1634" s="27" t="s">
        <v>138</v>
      </c>
      <c r="J1634" s="0" t="n">
        <v>101</v>
      </c>
      <c r="K1634" s="0" t="n">
        <v>73</v>
      </c>
      <c r="L1634" s="0" t="n">
        <v>56</v>
      </c>
      <c r="P1634" s="0" t="n">
        <v>3.45</v>
      </c>
      <c r="Q1634" s="0" t="n">
        <v>3.21</v>
      </c>
      <c r="R1634" s="0" t="n">
        <v>3474</v>
      </c>
      <c r="S1634" s="0" t="n">
        <v>7563</v>
      </c>
      <c r="T1634" s="0" t="n">
        <v>37.45</v>
      </c>
      <c r="U1634" s="0" t="n">
        <v>797</v>
      </c>
      <c r="V1634" s="0" t="n">
        <v>2</v>
      </c>
      <c r="W1634" s="27" t="n">
        <f aca="false">MATCH(A1634,DATAS,0)</f>
        <v>1</v>
      </c>
      <c r="X1634" s="27" t="n">
        <f aca="false">IF(AND(E1634&gt;0,OR(AND(B1634&gt;=1,B1634&lt;=6),B1634=10)),1,0)</f>
        <v>1</v>
      </c>
      <c r="Y1634" s="27" t="n">
        <f aca="false">IF(AND(E1634&gt;0,B1634=10),1,0)</f>
        <v>0</v>
      </c>
      <c r="Z1634" s="0" t="str">
        <f aca="false">IF(AND(C1633=C1634,W1633=W1634-1),X1633,"")</f>
        <v/>
      </c>
      <c r="AA1634" s="0" t="str">
        <f aca="false">IF(AND(C1633=C1634,W1633=W1634-1),Y1633,"")</f>
        <v/>
      </c>
      <c r="AB1634" s="0" t="str">
        <f aca="false">IF(W1634=1,"",IF(AND(X1634=1,Z1634&lt;&gt;1),1,0))</f>
        <v/>
      </c>
      <c r="AC1634" s="0" t="str">
        <f aca="false">IF(W1634=1,"",IF(AND(Y1634=1,AA1634&lt;&gt;1),1,0))</f>
        <v/>
      </c>
      <c r="AD1634" s="33" t="str">
        <f aca="false">IF(AND(E1634&gt;0,W1634&lt;1,NOT(AND(C1635=C1634,W1635=W1634+1))),INDEX(DATAS,W1634+1),"")</f>
        <v/>
      </c>
      <c r="AE1634" s="33" t="str">
        <f aca="false">IF(AND(Y1634=1,W1634&lt;1),IF(AND(C1635=C1634,W1635=W1634+1),IF(Y1635=1,"",INDEX(DATAS,W1634+1)),INDEX(DATAS,W1634+1)),"")</f>
        <v/>
      </c>
    </row>
    <row r="1635" customFormat="false" ht="15" hidden="false" customHeight="false" outlineLevel="0" collapsed="false">
      <c r="A1635" s="33" t="n">
        <v>46309</v>
      </c>
      <c r="B1635" s="0" t="n">
        <v>10</v>
      </c>
      <c r="C1635" s="0" t="n">
        <v>5791</v>
      </c>
      <c r="D1635" s="0" t="n">
        <v>23</v>
      </c>
      <c r="E1635" s="0" t="n">
        <v>1</v>
      </c>
      <c r="F1635" s="27" t="s">
        <v>999</v>
      </c>
      <c r="I1635" s="27" t="s">
        <v>168</v>
      </c>
      <c r="J1635" s="0" t="n">
        <v>23</v>
      </c>
      <c r="K1635" s="0" t="n">
        <v>16</v>
      </c>
      <c r="U1635" s="0" t="n">
        <v>795</v>
      </c>
      <c r="V1635" s="0" t="n">
        <v>1</v>
      </c>
      <c r="W1635" s="27" t="n">
        <f aca="false">MATCH(A1635,DATAS,0)</f>
        <v>1</v>
      </c>
      <c r="X1635" s="27" t="n">
        <f aca="false">IF(AND(E1635&gt;0,OR(AND(B1635&gt;=1,B1635&lt;=6),B1635=10)),1,0)</f>
        <v>1</v>
      </c>
      <c r="Y1635" s="27" t="n">
        <f aca="false">IF(AND(E1635&gt;0,B1635=10),1,0)</f>
        <v>1</v>
      </c>
      <c r="Z1635" s="0" t="str">
        <f aca="false">IF(AND(C1634=C1635,W1634=W1635-1),X1634,"")</f>
        <v/>
      </c>
      <c r="AA1635" s="0" t="str">
        <f aca="false">IF(AND(C1634=C1635,W1634=W1635-1),Y1634,"")</f>
        <v/>
      </c>
      <c r="AB1635" s="0" t="str">
        <f aca="false">IF(W1635=1,"",IF(AND(X1635=1,Z1635&lt;&gt;1),1,0))</f>
        <v/>
      </c>
      <c r="AC1635" s="0" t="str">
        <f aca="false">IF(W1635=1,"",IF(AND(Y1635=1,AA1635&lt;&gt;1),1,0))</f>
        <v/>
      </c>
      <c r="AD1635" s="33" t="str">
        <f aca="false">IF(AND(E1635&gt;0,W1635&lt;1,NOT(AND(C1636=C1635,W1636=W1635+1))),INDEX(DATAS,W1635+1),"")</f>
        <v/>
      </c>
      <c r="AE1635" s="33" t="str">
        <f aca="false">IF(AND(Y1635=1,W1635&lt;1),IF(AND(C1636=C1635,W1636=W1635+1),IF(Y1636=1,"",INDEX(DATAS,W1635+1)),INDEX(DATAS,W1635+1)),"")</f>
        <v/>
      </c>
    </row>
    <row r="1636" customFormat="false" ht="15" hidden="false" customHeight="false" outlineLevel="0" collapsed="false">
      <c r="A1636" s="33" t="n">
        <v>46309</v>
      </c>
      <c r="B1636" s="0" t="n">
        <v>1</v>
      </c>
      <c r="C1636" s="0" t="n">
        <v>5792</v>
      </c>
      <c r="D1636" s="0" t="n">
        <v>57</v>
      </c>
      <c r="E1636" s="0" t="n">
        <v>1</v>
      </c>
      <c r="F1636" s="27" t="s">
        <v>999</v>
      </c>
      <c r="G1636" s="0" t="n">
        <v>47.2</v>
      </c>
      <c r="H1636" s="0" t="n">
        <v>50</v>
      </c>
      <c r="I1636" s="27" t="s">
        <v>147</v>
      </c>
      <c r="J1636" s="0" t="n">
        <v>57</v>
      </c>
      <c r="P1636" s="0" t="n">
        <v>3.65</v>
      </c>
      <c r="Q1636" s="0" t="n">
        <v>2.93</v>
      </c>
      <c r="R1636" s="0" t="n">
        <v>4061</v>
      </c>
      <c r="S1636" s="0" t="n">
        <v>8164</v>
      </c>
      <c r="U1636" s="0" t="n">
        <v>795</v>
      </c>
      <c r="V1636" s="0" t="n">
        <v>0</v>
      </c>
      <c r="W1636" s="27" t="n">
        <f aca="false">MATCH(A1636,DATAS,0)</f>
        <v>1</v>
      </c>
      <c r="X1636" s="27" t="n">
        <f aca="false">IF(AND(E1636&gt;0,OR(AND(B1636&gt;=1,B1636&lt;=6),B1636=10)),1,0)</f>
        <v>1</v>
      </c>
      <c r="Y1636" s="27" t="n">
        <f aca="false">IF(AND(E1636&gt;0,B1636=10),1,0)</f>
        <v>0</v>
      </c>
      <c r="Z1636" s="0" t="str">
        <f aca="false">IF(AND(C1635=C1636,W1635=W1636-1),X1635,"")</f>
        <v/>
      </c>
      <c r="AA1636" s="0" t="str">
        <f aca="false">IF(AND(C1635=C1636,W1635=W1636-1),Y1635,"")</f>
        <v/>
      </c>
      <c r="AB1636" s="0" t="str">
        <f aca="false">IF(W1636=1,"",IF(AND(X1636=1,Z1636&lt;&gt;1),1,0))</f>
        <v/>
      </c>
      <c r="AC1636" s="0" t="str">
        <f aca="false">IF(W1636=1,"",IF(AND(Y1636=1,AA1636&lt;&gt;1),1,0))</f>
        <v/>
      </c>
      <c r="AD1636" s="33" t="str">
        <f aca="false">IF(AND(E1636&gt;0,W1636&lt;1,NOT(AND(C1637=C1636,W1637=W1636+1))),INDEX(DATAS,W1636+1),"")</f>
        <v/>
      </c>
      <c r="AE1636" s="33" t="str">
        <f aca="false">IF(AND(Y1636=1,W1636&lt;1),IF(AND(C1637=C1636,W1637=W1636+1),IF(Y1637=1,"",INDEX(DATAS,W1636+1)),INDEX(DATAS,W1636+1)),"")</f>
        <v/>
      </c>
    </row>
    <row r="1637" customFormat="false" ht="15" hidden="false" customHeight="false" outlineLevel="0" collapsed="false">
      <c r="A1637" s="33" t="n">
        <v>46309</v>
      </c>
      <c r="B1637" s="0" t="n">
        <v>4</v>
      </c>
      <c r="C1637" s="0" t="n">
        <v>5793</v>
      </c>
      <c r="D1637" s="0" t="n">
        <v>153</v>
      </c>
      <c r="E1637" s="0" t="n">
        <v>1</v>
      </c>
      <c r="F1637" s="27" t="s">
        <v>999</v>
      </c>
      <c r="G1637" s="0" t="n">
        <v>58.1</v>
      </c>
      <c r="H1637" s="0" t="n">
        <v>59</v>
      </c>
      <c r="I1637" s="27" t="s">
        <v>176</v>
      </c>
      <c r="J1637" s="0" t="n">
        <v>153</v>
      </c>
      <c r="K1637" s="0" t="n">
        <v>62</v>
      </c>
      <c r="P1637" s="0" t="n">
        <v>3.08</v>
      </c>
      <c r="Q1637" s="0" t="n">
        <v>2.85</v>
      </c>
      <c r="R1637" s="0" t="n">
        <v>5491</v>
      </c>
      <c r="S1637" s="0" t="n">
        <v>11742</v>
      </c>
      <c r="T1637" s="0" t="n">
        <v>53.65</v>
      </c>
      <c r="U1637" s="0" t="n">
        <v>795</v>
      </c>
      <c r="V1637" s="0" t="n">
        <v>4</v>
      </c>
      <c r="W1637" s="27" t="n">
        <f aca="false">MATCH(A1637,DATAS,0)</f>
        <v>1</v>
      </c>
      <c r="X1637" s="27" t="n">
        <f aca="false">IF(AND(E1637&gt;0,OR(AND(B1637&gt;=1,B1637&lt;=6),B1637=10)),1,0)</f>
        <v>1</v>
      </c>
      <c r="Y1637" s="27" t="n">
        <f aca="false">IF(AND(E1637&gt;0,B1637=10),1,0)</f>
        <v>0</v>
      </c>
      <c r="Z1637" s="0" t="str">
        <f aca="false">IF(AND(C1636=C1637,W1636=W1637-1),X1636,"")</f>
        <v/>
      </c>
      <c r="AA1637" s="0" t="str">
        <f aca="false">IF(AND(C1636=C1637,W1636=W1637-1),Y1636,"")</f>
        <v/>
      </c>
      <c r="AB1637" s="0" t="str">
        <f aca="false">IF(W1637=1,"",IF(AND(X1637=1,Z1637&lt;&gt;1),1,0))</f>
        <v/>
      </c>
      <c r="AC1637" s="0" t="str">
        <f aca="false">IF(W1637=1,"",IF(AND(Y1637=1,AA1637&lt;&gt;1),1,0))</f>
        <v/>
      </c>
      <c r="AD1637" s="33" t="str">
        <f aca="false">IF(AND(E1637&gt;0,W1637&lt;1,NOT(AND(C1638=C1637,W1638=W1637+1))),INDEX(DATAS,W1637+1),"")</f>
        <v/>
      </c>
      <c r="AE1637" s="33" t="str">
        <f aca="false">IF(AND(Y1637=1,W1637&lt;1),IF(AND(C1638=C1637,W1638=W1637+1),IF(Y1638=1,"",INDEX(DATAS,W1637+1)),INDEX(DATAS,W1637+1)),"")</f>
        <v/>
      </c>
    </row>
    <row r="1638" customFormat="false" ht="15" hidden="false" customHeight="false" outlineLevel="0" collapsed="false">
      <c r="A1638" s="33" t="n">
        <v>46309</v>
      </c>
      <c r="B1638" s="0" t="n">
        <v>4</v>
      </c>
      <c r="C1638" s="0" t="n">
        <v>5794</v>
      </c>
      <c r="D1638" s="0" t="n">
        <v>127</v>
      </c>
      <c r="E1638" s="0" t="n">
        <v>1</v>
      </c>
      <c r="F1638" s="27" t="s">
        <v>999</v>
      </c>
      <c r="G1638" s="0" t="n">
        <v>50.3</v>
      </c>
      <c r="H1638" s="0" t="n">
        <v>52</v>
      </c>
      <c r="I1638" s="27" t="s">
        <v>176</v>
      </c>
      <c r="J1638" s="0" t="n">
        <v>127</v>
      </c>
      <c r="K1638" s="0" t="n">
        <v>64</v>
      </c>
      <c r="P1638" s="0" t="n">
        <v>3.66</v>
      </c>
      <c r="Q1638" s="0" t="n">
        <v>2.94</v>
      </c>
      <c r="R1638" s="0" t="n">
        <v>4656</v>
      </c>
      <c r="S1638" s="0" t="n">
        <v>9706</v>
      </c>
      <c r="T1638" s="0" t="n">
        <v>50.3</v>
      </c>
      <c r="U1638" s="0" t="n">
        <v>795</v>
      </c>
      <c r="V1638" s="0" t="n">
        <v>2</v>
      </c>
      <c r="W1638" s="27" t="n">
        <f aca="false">MATCH(A1638,DATAS,0)</f>
        <v>1</v>
      </c>
      <c r="X1638" s="27" t="n">
        <f aca="false">IF(AND(E1638&gt;0,OR(AND(B1638&gt;=1,B1638&lt;=6),B1638=10)),1,0)</f>
        <v>1</v>
      </c>
      <c r="Y1638" s="27" t="n">
        <f aca="false">IF(AND(E1638&gt;0,B1638=10),1,0)</f>
        <v>0</v>
      </c>
      <c r="Z1638" s="0" t="str">
        <f aca="false">IF(AND(C1637=C1638,W1637=W1638-1),X1637,"")</f>
        <v/>
      </c>
      <c r="AA1638" s="0" t="str">
        <f aca="false">IF(AND(C1637=C1638,W1637=W1638-1),Y1637,"")</f>
        <v/>
      </c>
      <c r="AB1638" s="0" t="str">
        <f aca="false">IF(W1638=1,"",IF(AND(X1638=1,Z1638&lt;&gt;1),1,0))</f>
        <v/>
      </c>
      <c r="AC1638" s="0" t="str">
        <f aca="false">IF(W1638=1,"",IF(AND(Y1638=1,AA1638&lt;&gt;1),1,0))</f>
        <v/>
      </c>
      <c r="AD1638" s="33" t="str">
        <f aca="false">IF(AND(E1638&gt;0,W1638&lt;1,NOT(AND(C1639=C1638,W1639=W1638+1))),INDEX(DATAS,W1638+1),"")</f>
        <v/>
      </c>
      <c r="AE1638" s="33" t="str">
        <f aca="false">IF(AND(Y1638=1,W1638&lt;1),IF(AND(C1639=C1638,W1639=W1638+1),IF(Y1639=1,"",INDEX(DATAS,W1638+1)),INDEX(DATAS,W1638+1)),"")</f>
        <v/>
      </c>
    </row>
    <row r="1639" customFormat="false" ht="15" hidden="false" customHeight="false" outlineLevel="0" collapsed="false">
      <c r="A1639" s="33" t="n">
        <v>46309</v>
      </c>
      <c r="B1639" s="0" t="n">
        <v>4</v>
      </c>
      <c r="C1639" s="0" t="n">
        <v>5795</v>
      </c>
      <c r="D1639" s="0" t="n">
        <v>133</v>
      </c>
      <c r="E1639" s="0" t="n">
        <v>1</v>
      </c>
      <c r="F1639" s="27" t="s">
        <v>999</v>
      </c>
      <c r="G1639" s="0" t="n">
        <v>55.9</v>
      </c>
      <c r="H1639" s="0" t="n">
        <v>54</v>
      </c>
      <c r="I1639" s="27" t="s">
        <v>138</v>
      </c>
      <c r="J1639" s="0" t="n">
        <v>63</v>
      </c>
      <c r="K1639" s="0" t="n">
        <v>63</v>
      </c>
      <c r="L1639" s="0" t="n">
        <v>70</v>
      </c>
      <c r="P1639" s="0" t="n">
        <v>3.77</v>
      </c>
      <c r="Q1639" s="0" t="n">
        <v>2.89</v>
      </c>
      <c r="R1639" s="0" t="n">
        <v>4848</v>
      </c>
      <c r="S1639" s="0" t="n">
        <v>10251</v>
      </c>
      <c r="T1639" s="0" t="n">
        <v>49.85</v>
      </c>
      <c r="U1639" s="0" t="n">
        <v>795</v>
      </c>
      <c r="V1639" s="0" t="n">
        <v>1</v>
      </c>
      <c r="W1639" s="27" t="n">
        <f aca="false">MATCH(A1639,DATAS,0)</f>
        <v>1</v>
      </c>
      <c r="X1639" s="27" t="n">
        <f aca="false">IF(AND(E1639&gt;0,OR(AND(B1639&gt;=1,B1639&lt;=6),B1639=10)),1,0)</f>
        <v>1</v>
      </c>
      <c r="Y1639" s="27" t="n">
        <f aca="false">IF(AND(E1639&gt;0,B1639=10),1,0)</f>
        <v>0</v>
      </c>
      <c r="Z1639" s="0" t="str">
        <f aca="false">IF(AND(C1638=C1639,W1638=W1639-1),X1638,"")</f>
        <v/>
      </c>
      <c r="AA1639" s="0" t="str">
        <f aca="false">IF(AND(C1638=C1639,W1638=W1639-1),Y1638,"")</f>
        <v/>
      </c>
      <c r="AB1639" s="0" t="str">
        <f aca="false">IF(W1639=1,"",IF(AND(X1639=1,Z1639&lt;&gt;1),1,0))</f>
        <v/>
      </c>
      <c r="AC1639" s="0" t="str">
        <f aca="false">IF(W1639=1,"",IF(AND(Y1639=1,AA1639&lt;&gt;1),1,0))</f>
        <v/>
      </c>
      <c r="AD1639" s="33" t="str">
        <f aca="false">IF(AND(E1639&gt;0,W1639&lt;1,NOT(AND(C1640=C1639,W1640=W1639+1))),INDEX(DATAS,W1639+1),"")</f>
        <v/>
      </c>
      <c r="AE1639" s="33" t="str">
        <f aca="false">IF(AND(Y1639=1,W1639&lt;1),IF(AND(C1640=C1639,W1640=W1639+1),IF(Y1640=1,"",INDEX(DATAS,W1639+1)),INDEX(DATAS,W1639+1)),"")</f>
        <v/>
      </c>
    </row>
    <row r="1640" customFormat="false" ht="15" hidden="false" customHeight="false" outlineLevel="0" collapsed="false">
      <c r="A1640" s="33" t="n">
        <v>46309</v>
      </c>
      <c r="B1640" s="0" t="n">
        <v>4</v>
      </c>
      <c r="C1640" s="0" t="n">
        <v>5796</v>
      </c>
      <c r="D1640" s="0" t="n">
        <v>118</v>
      </c>
      <c r="E1640" s="0" t="n">
        <v>1</v>
      </c>
      <c r="F1640" s="27" t="s">
        <v>999</v>
      </c>
      <c r="G1640" s="0" t="n">
        <v>49</v>
      </c>
      <c r="H1640" s="0" t="n">
        <v>48</v>
      </c>
      <c r="I1640" s="27" t="s">
        <v>168</v>
      </c>
      <c r="J1640" s="0" t="n">
        <v>118</v>
      </c>
      <c r="K1640" s="0" t="n">
        <v>69</v>
      </c>
      <c r="P1640" s="0" t="n">
        <v>4.24</v>
      </c>
      <c r="Q1640" s="0" t="n">
        <v>3.28</v>
      </c>
      <c r="R1640" s="0" t="n">
        <v>4369</v>
      </c>
      <c r="S1640" s="0" t="n">
        <v>9015</v>
      </c>
      <c r="T1640" s="0" t="n">
        <v>49.5</v>
      </c>
      <c r="U1640" s="0" t="n">
        <v>795</v>
      </c>
      <c r="V1640" s="0" t="n">
        <v>2</v>
      </c>
      <c r="W1640" s="27" t="n">
        <f aca="false">MATCH(A1640,DATAS,0)</f>
        <v>1</v>
      </c>
      <c r="X1640" s="27" t="n">
        <f aca="false">IF(AND(E1640&gt;0,OR(AND(B1640&gt;=1,B1640&lt;=6),B1640=10)),1,0)</f>
        <v>1</v>
      </c>
      <c r="Y1640" s="27" t="n">
        <f aca="false">IF(AND(E1640&gt;0,B1640=10),1,0)</f>
        <v>0</v>
      </c>
      <c r="Z1640" s="0" t="str">
        <f aca="false">IF(AND(C1639=C1640,W1639=W1640-1),X1639,"")</f>
        <v/>
      </c>
      <c r="AA1640" s="0" t="str">
        <f aca="false">IF(AND(C1639=C1640,W1639=W1640-1),Y1639,"")</f>
        <v/>
      </c>
      <c r="AB1640" s="0" t="str">
        <f aca="false">IF(W1640=1,"",IF(AND(X1640=1,Z1640&lt;&gt;1),1,0))</f>
        <v/>
      </c>
      <c r="AC1640" s="0" t="str">
        <f aca="false">IF(W1640=1,"",IF(AND(Y1640=1,AA1640&lt;&gt;1),1,0))</f>
        <v/>
      </c>
      <c r="AD1640" s="33" t="str">
        <f aca="false">IF(AND(E1640&gt;0,W1640&lt;1,NOT(AND(C1641=C1640,W1641=W1640+1))),INDEX(DATAS,W1640+1),"")</f>
        <v/>
      </c>
      <c r="AE1640" s="33" t="str">
        <f aca="false">IF(AND(Y1640=1,W1640&lt;1),IF(AND(C1641=C1640,W1641=W1640+1),IF(Y1641=1,"",INDEX(DATAS,W1640+1)),INDEX(DATAS,W1640+1)),"")</f>
        <v/>
      </c>
    </row>
    <row r="1641" customFormat="false" ht="15" hidden="false" customHeight="false" outlineLevel="0" collapsed="false">
      <c r="A1641" s="33" t="n">
        <v>46309</v>
      </c>
      <c r="B1641" s="0" t="n">
        <v>4</v>
      </c>
      <c r="C1641" s="0" t="n">
        <v>5798</v>
      </c>
      <c r="D1641" s="0" t="n">
        <v>150</v>
      </c>
      <c r="E1641" s="0" t="n">
        <v>1</v>
      </c>
      <c r="F1641" s="27" t="s">
        <v>999</v>
      </c>
      <c r="G1641" s="0" t="n">
        <v>57.9</v>
      </c>
      <c r="H1641" s="0" t="n">
        <v>54</v>
      </c>
      <c r="I1641" s="27" t="s">
        <v>168</v>
      </c>
      <c r="J1641" s="0" t="n">
        <v>150</v>
      </c>
      <c r="K1641" s="0" t="n">
        <v>66</v>
      </c>
      <c r="P1641" s="0" t="n">
        <v>3.69</v>
      </c>
      <c r="Q1641" s="0" t="n">
        <v>2.94</v>
      </c>
      <c r="R1641" s="0" t="n">
        <v>4869</v>
      </c>
      <c r="S1641" s="0" t="n">
        <v>10447</v>
      </c>
      <c r="T1641" s="0" t="n">
        <v>51.4</v>
      </c>
      <c r="U1641" s="0" t="n">
        <v>795</v>
      </c>
      <c r="V1641" s="0" t="n">
        <v>3</v>
      </c>
      <c r="W1641" s="27" t="n">
        <f aca="false">MATCH(A1641,DATAS,0)</f>
        <v>1</v>
      </c>
      <c r="X1641" s="27" t="n">
        <f aca="false">IF(AND(E1641&gt;0,OR(AND(B1641&gt;=1,B1641&lt;=6),B1641=10)),1,0)</f>
        <v>1</v>
      </c>
      <c r="Y1641" s="27" t="n">
        <f aca="false">IF(AND(E1641&gt;0,B1641=10),1,0)</f>
        <v>0</v>
      </c>
      <c r="Z1641" s="0" t="str">
        <f aca="false">IF(AND(C1640=C1641,W1640=W1641-1),X1640,"")</f>
        <v/>
      </c>
      <c r="AA1641" s="0" t="str">
        <f aca="false">IF(AND(C1640=C1641,W1640=W1641-1),Y1640,"")</f>
        <v/>
      </c>
      <c r="AB1641" s="0" t="str">
        <f aca="false">IF(W1641=1,"",IF(AND(X1641=1,Z1641&lt;&gt;1),1,0))</f>
        <v/>
      </c>
      <c r="AC1641" s="0" t="str">
        <f aca="false">IF(W1641=1,"",IF(AND(Y1641=1,AA1641&lt;&gt;1),1,0))</f>
        <v/>
      </c>
      <c r="AD1641" s="33" t="str">
        <f aca="false">IF(AND(E1641&gt;0,W1641&lt;1,NOT(AND(C1642=C1641,W1642=W1641+1))),INDEX(DATAS,W1641+1),"")</f>
        <v/>
      </c>
      <c r="AE1641" s="33" t="str">
        <f aca="false">IF(AND(Y1641=1,W1641&lt;1),IF(AND(C1642=C1641,W1642=W1641+1),IF(Y1642=1,"",INDEX(DATAS,W1641+1)),INDEX(DATAS,W1641+1)),"")</f>
        <v/>
      </c>
    </row>
    <row r="1642" customFormat="false" ht="15" hidden="false" customHeight="false" outlineLevel="0" collapsed="false">
      <c r="A1642" s="33" t="n">
        <v>46309</v>
      </c>
      <c r="B1642" s="0" t="n">
        <v>1</v>
      </c>
      <c r="C1642" s="0" t="n">
        <v>5799</v>
      </c>
      <c r="D1642" s="0" t="n">
        <v>103</v>
      </c>
      <c r="E1642" s="0" t="n">
        <v>1</v>
      </c>
      <c r="F1642" s="27" t="s">
        <v>999</v>
      </c>
      <c r="G1642" s="0" t="n">
        <v>51.9</v>
      </c>
      <c r="H1642" s="0" t="n">
        <v>51</v>
      </c>
      <c r="I1642" s="27" t="s">
        <v>176</v>
      </c>
      <c r="J1642" s="0" t="n">
        <v>103</v>
      </c>
      <c r="K1642" s="0" t="n">
        <v>68</v>
      </c>
      <c r="P1642" s="0" t="n">
        <v>3.13</v>
      </c>
      <c r="Q1642" s="0" t="n">
        <v>2.84</v>
      </c>
      <c r="R1642" s="0" t="n">
        <v>4587</v>
      </c>
      <c r="S1642" s="0" t="n">
        <v>9249</v>
      </c>
      <c r="T1642" s="0" t="n">
        <v>49.75</v>
      </c>
      <c r="U1642" s="0" t="n">
        <v>795</v>
      </c>
      <c r="V1642" s="0" t="n">
        <v>1</v>
      </c>
      <c r="W1642" s="27" t="n">
        <f aca="false">MATCH(A1642,DATAS,0)</f>
        <v>1</v>
      </c>
      <c r="X1642" s="27" t="n">
        <f aca="false">IF(AND(E1642&gt;0,OR(AND(B1642&gt;=1,B1642&lt;=6),B1642=10)),1,0)</f>
        <v>1</v>
      </c>
      <c r="Y1642" s="27" t="n">
        <f aca="false">IF(AND(E1642&gt;0,B1642=10),1,0)</f>
        <v>0</v>
      </c>
      <c r="Z1642" s="0" t="str">
        <f aca="false">IF(AND(C1641=C1642,W1641=W1642-1),X1641,"")</f>
        <v/>
      </c>
      <c r="AA1642" s="0" t="str">
        <f aca="false">IF(AND(C1641=C1642,W1641=W1642-1),Y1641,"")</f>
        <v/>
      </c>
      <c r="AB1642" s="0" t="str">
        <f aca="false">IF(W1642=1,"",IF(AND(X1642=1,Z1642&lt;&gt;1),1,0))</f>
        <v/>
      </c>
      <c r="AC1642" s="0" t="str">
        <f aca="false">IF(W1642=1,"",IF(AND(Y1642=1,AA1642&lt;&gt;1),1,0))</f>
        <v/>
      </c>
      <c r="AD1642" s="33" t="str">
        <f aca="false">IF(AND(E1642&gt;0,W1642&lt;1,NOT(AND(C1643=C1642,W1643=W1642+1))),INDEX(DATAS,W1642+1),"")</f>
        <v/>
      </c>
      <c r="AE1642" s="33" t="str">
        <f aca="false">IF(AND(Y1642=1,W1642&lt;1),IF(AND(C1643=C1642,W1643=W1642+1),IF(Y1643=1,"",INDEX(DATAS,W1642+1)),INDEX(DATAS,W1642+1)),"")</f>
        <v/>
      </c>
    </row>
    <row r="1643" customFormat="false" ht="15" hidden="false" customHeight="false" outlineLevel="0" collapsed="false">
      <c r="A1643" s="33" t="n">
        <v>46309</v>
      </c>
      <c r="B1643" s="0" t="n">
        <v>4</v>
      </c>
      <c r="C1643" s="0" t="n">
        <v>5800</v>
      </c>
      <c r="D1643" s="0" t="n">
        <v>141</v>
      </c>
      <c r="E1643" s="0" t="n">
        <v>1</v>
      </c>
      <c r="F1643" s="27" t="s">
        <v>999</v>
      </c>
      <c r="G1643" s="0" t="n">
        <v>53.2</v>
      </c>
      <c r="H1643" s="0" t="n">
        <v>54</v>
      </c>
      <c r="I1643" s="27" t="s">
        <v>176</v>
      </c>
      <c r="J1643" s="0" t="n">
        <v>141</v>
      </c>
      <c r="K1643" s="0" t="n">
        <v>64</v>
      </c>
      <c r="P1643" s="0" t="n">
        <v>3.39</v>
      </c>
      <c r="Q1643" s="0" t="n">
        <v>3.27</v>
      </c>
      <c r="R1643" s="0" t="n">
        <v>5078</v>
      </c>
      <c r="S1643" s="0" t="n">
        <v>10676</v>
      </c>
      <c r="T1643" s="0" t="n">
        <v>54.3</v>
      </c>
      <c r="U1643" s="0" t="n">
        <v>795</v>
      </c>
      <c r="V1643" s="0" t="n">
        <v>2</v>
      </c>
      <c r="W1643" s="27" t="n">
        <f aca="false">MATCH(A1643,DATAS,0)</f>
        <v>1</v>
      </c>
      <c r="X1643" s="27" t="n">
        <f aca="false">IF(AND(E1643&gt;0,OR(AND(B1643&gt;=1,B1643&lt;=6),B1643=10)),1,0)</f>
        <v>1</v>
      </c>
      <c r="Y1643" s="27" t="n">
        <f aca="false">IF(AND(E1643&gt;0,B1643=10),1,0)</f>
        <v>0</v>
      </c>
      <c r="Z1643" s="0" t="str">
        <f aca="false">IF(AND(C1642=C1643,W1642=W1643-1),X1642,"")</f>
        <v/>
      </c>
      <c r="AA1643" s="0" t="str">
        <f aca="false">IF(AND(C1642=C1643,W1642=W1643-1),Y1642,"")</f>
        <v/>
      </c>
      <c r="AB1643" s="0" t="str">
        <f aca="false">IF(W1643=1,"",IF(AND(X1643=1,Z1643&lt;&gt;1),1,0))</f>
        <v/>
      </c>
      <c r="AC1643" s="0" t="str">
        <f aca="false">IF(W1643=1,"",IF(AND(Y1643=1,AA1643&lt;&gt;1),1,0))</f>
        <v/>
      </c>
      <c r="AD1643" s="33" t="str">
        <f aca="false">IF(AND(E1643&gt;0,W1643&lt;1,NOT(AND(C1644=C1643,W1644=W1643+1))),INDEX(DATAS,W1643+1),"")</f>
        <v/>
      </c>
      <c r="AE1643" s="33" t="str">
        <f aca="false">IF(AND(Y1643=1,W1643&lt;1),IF(AND(C1644=C1643,W1644=W1643+1),IF(Y1644=1,"",INDEX(DATAS,W1643+1)),INDEX(DATAS,W1643+1)),"")</f>
        <v/>
      </c>
    </row>
    <row r="1644" customFormat="false" ht="15" hidden="false" customHeight="false" outlineLevel="0" collapsed="false">
      <c r="A1644" s="33" t="n">
        <v>46309</v>
      </c>
      <c r="B1644" s="0" t="n">
        <v>4</v>
      </c>
      <c r="C1644" s="0" t="n">
        <v>5803</v>
      </c>
      <c r="D1644" s="0" t="n">
        <v>120</v>
      </c>
      <c r="E1644" s="0" t="n">
        <v>1</v>
      </c>
      <c r="F1644" s="27" t="s">
        <v>1000</v>
      </c>
      <c r="G1644" s="0" t="n">
        <v>58.1</v>
      </c>
      <c r="H1644" s="0" t="n">
        <v>56</v>
      </c>
      <c r="I1644" s="27" t="s">
        <v>168</v>
      </c>
      <c r="J1644" s="0" t="n">
        <v>120</v>
      </c>
      <c r="K1644" s="0" t="n">
        <v>64</v>
      </c>
      <c r="P1644" s="0" t="n">
        <v>2.98</v>
      </c>
      <c r="Q1644" s="0" t="n">
        <v>2.9</v>
      </c>
      <c r="R1644" s="0" t="n">
        <v>4977</v>
      </c>
      <c r="S1644" s="0" t="n">
        <v>10297</v>
      </c>
      <c r="T1644" s="0" t="n">
        <v>54.05</v>
      </c>
      <c r="U1644" s="0" t="n">
        <v>794</v>
      </c>
      <c r="V1644" s="0" t="n">
        <v>3</v>
      </c>
      <c r="W1644" s="27" t="n">
        <f aca="false">MATCH(A1644,DATAS,0)</f>
        <v>1</v>
      </c>
      <c r="X1644" s="27" t="n">
        <f aca="false">IF(AND(E1644&gt;0,OR(AND(B1644&gt;=1,B1644&lt;=6),B1644=10)),1,0)</f>
        <v>1</v>
      </c>
      <c r="Y1644" s="27" t="n">
        <f aca="false">IF(AND(E1644&gt;0,B1644=10),1,0)</f>
        <v>0</v>
      </c>
      <c r="Z1644" s="0" t="str">
        <f aca="false">IF(AND(C1643=C1644,W1643=W1644-1),X1643,"")</f>
        <v/>
      </c>
      <c r="AA1644" s="0" t="str">
        <f aca="false">IF(AND(C1643=C1644,W1643=W1644-1),Y1643,"")</f>
        <v/>
      </c>
      <c r="AB1644" s="0" t="str">
        <f aca="false">IF(W1644=1,"",IF(AND(X1644=1,Z1644&lt;&gt;1),1,0))</f>
        <v/>
      </c>
      <c r="AC1644" s="0" t="str">
        <f aca="false">IF(W1644=1,"",IF(AND(Y1644=1,AA1644&lt;&gt;1),1,0))</f>
        <v/>
      </c>
      <c r="AD1644" s="33" t="str">
        <f aca="false">IF(AND(E1644&gt;0,W1644&lt;1,NOT(AND(C1645=C1644,W1645=W1644+1))),INDEX(DATAS,W1644+1),"")</f>
        <v/>
      </c>
      <c r="AE1644" s="33" t="str">
        <f aca="false">IF(AND(Y1644=1,W1644&lt;1),IF(AND(C1645=C1644,W1645=W1644+1),IF(Y1645=1,"",INDEX(DATAS,W1644+1)),INDEX(DATAS,W1644+1)),"")</f>
        <v/>
      </c>
    </row>
    <row r="1645" customFormat="false" ht="15" hidden="false" customHeight="false" outlineLevel="0" collapsed="false">
      <c r="A1645" s="33" t="n">
        <v>46309</v>
      </c>
      <c r="B1645" s="0" t="n">
        <v>4</v>
      </c>
      <c r="C1645" s="0" t="n">
        <v>5804</v>
      </c>
      <c r="D1645" s="0" t="n">
        <v>139</v>
      </c>
      <c r="E1645" s="0" t="n">
        <v>1</v>
      </c>
      <c r="F1645" s="27" t="s">
        <v>1001</v>
      </c>
      <c r="G1645" s="0" t="n">
        <v>44.5</v>
      </c>
      <c r="H1645" s="0" t="n">
        <v>42</v>
      </c>
      <c r="I1645" s="27" t="s">
        <v>138</v>
      </c>
      <c r="J1645" s="0" t="n">
        <v>92</v>
      </c>
      <c r="K1645" s="0" t="n">
        <v>69</v>
      </c>
      <c r="L1645" s="0" t="n">
        <v>47</v>
      </c>
      <c r="P1645" s="0" t="n">
        <v>4.43</v>
      </c>
      <c r="Q1645" s="0" t="n">
        <v>3.2</v>
      </c>
      <c r="R1645" s="0" t="n">
        <v>4143</v>
      </c>
      <c r="S1645" s="0" t="n">
        <v>8782</v>
      </c>
      <c r="T1645" s="0" t="n">
        <v>43.75</v>
      </c>
      <c r="U1645" s="0" t="n">
        <v>793</v>
      </c>
      <c r="V1645" s="0" t="n">
        <v>2</v>
      </c>
      <c r="W1645" s="27" t="n">
        <f aca="false">MATCH(A1645,DATAS,0)</f>
        <v>1</v>
      </c>
      <c r="X1645" s="27" t="n">
        <f aca="false">IF(AND(E1645&gt;0,OR(AND(B1645&gt;=1,B1645&lt;=6),B1645=10)),1,0)</f>
        <v>1</v>
      </c>
      <c r="Y1645" s="27" t="n">
        <f aca="false">IF(AND(E1645&gt;0,B1645=10),1,0)</f>
        <v>0</v>
      </c>
      <c r="Z1645" s="0" t="str">
        <f aca="false">IF(AND(C1644=C1645,W1644=W1645-1),X1644,"")</f>
        <v/>
      </c>
      <c r="AA1645" s="0" t="str">
        <f aca="false">IF(AND(C1644=C1645,W1644=W1645-1),Y1644,"")</f>
        <v/>
      </c>
      <c r="AB1645" s="0" t="str">
        <f aca="false">IF(W1645=1,"",IF(AND(X1645=1,Z1645&lt;&gt;1),1,0))</f>
        <v/>
      </c>
      <c r="AC1645" s="0" t="str">
        <f aca="false">IF(W1645=1,"",IF(AND(Y1645=1,AA1645&lt;&gt;1),1,0))</f>
        <v/>
      </c>
      <c r="AD1645" s="33" t="str">
        <f aca="false">IF(AND(E1645&gt;0,W1645&lt;1,NOT(AND(C1646=C1645,W1646=W1645+1))),INDEX(DATAS,W1645+1),"")</f>
        <v/>
      </c>
      <c r="AE1645" s="33" t="str">
        <f aca="false">IF(AND(Y1645=1,W1645&lt;1),IF(AND(C1646=C1645,W1646=W1645+1),IF(Y1646=1,"",INDEX(DATAS,W1645+1)),INDEX(DATAS,W1645+1)),"")</f>
        <v/>
      </c>
    </row>
    <row r="1646" customFormat="false" ht="15" hidden="false" customHeight="false" outlineLevel="0" collapsed="false">
      <c r="A1646" s="33" t="n">
        <v>46309</v>
      </c>
      <c r="B1646" s="0" t="n">
        <v>1</v>
      </c>
      <c r="C1646" s="0" t="n">
        <v>5805</v>
      </c>
      <c r="D1646" s="0" t="n">
        <v>83</v>
      </c>
      <c r="E1646" s="0" t="n">
        <v>1</v>
      </c>
      <c r="F1646" s="27" t="s">
        <v>1001</v>
      </c>
      <c r="G1646" s="0" t="n">
        <v>53.3</v>
      </c>
      <c r="H1646" s="0" t="n">
        <v>52</v>
      </c>
      <c r="I1646" s="27" t="s">
        <v>168</v>
      </c>
      <c r="J1646" s="0" t="n">
        <v>83</v>
      </c>
      <c r="K1646" s="0" t="n">
        <v>62</v>
      </c>
      <c r="P1646" s="0" t="n">
        <v>3.86</v>
      </c>
      <c r="Q1646" s="0" t="n">
        <v>3.16</v>
      </c>
      <c r="R1646" s="0" t="n">
        <v>4151</v>
      </c>
      <c r="S1646" s="0" t="n">
        <v>8344</v>
      </c>
      <c r="U1646" s="0" t="n">
        <v>793</v>
      </c>
      <c r="V1646" s="0" t="n">
        <v>1</v>
      </c>
      <c r="W1646" s="27" t="n">
        <f aca="false">MATCH(A1646,DATAS,0)</f>
        <v>1</v>
      </c>
      <c r="X1646" s="27" t="n">
        <f aca="false">IF(AND(E1646&gt;0,OR(AND(B1646&gt;=1,B1646&lt;=6),B1646=10)),1,0)</f>
        <v>1</v>
      </c>
      <c r="Y1646" s="27" t="n">
        <f aca="false">IF(AND(E1646&gt;0,B1646=10),1,0)</f>
        <v>0</v>
      </c>
      <c r="Z1646" s="0" t="str">
        <f aca="false">IF(AND(C1645=C1646,W1645=W1646-1),X1645,"")</f>
        <v/>
      </c>
      <c r="AA1646" s="0" t="str">
        <f aca="false">IF(AND(C1645=C1646,W1645=W1646-1),Y1645,"")</f>
        <v/>
      </c>
      <c r="AB1646" s="0" t="str">
        <f aca="false">IF(W1646=1,"",IF(AND(X1646=1,Z1646&lt;&gt;1),1,0))</f>
        <v/>
      </c>
      <c r="AC1646" s="0" t="str">
        <f aca="false">IF(W1646=1,"",IF(AND(Y1646=1,AA1646&lt;&gt;1),1,0))</f>
        <v/>
      </c>
      <c r="AD1646" s="33" t="str">
        <f aca="false">IF(AND(E1646&gt;0,W1646&lt;1,NOT(AND(C1647=C1646,W1647=W1646+1))),INDEX(DATAS,W1646+1),"")</f>
        <v/>
      </c>
      <c r="AE1646" s="33" t="str">
        <f aca="false">IF(AND(Y1646=1,W1646&lt;1),IF(AND(C1647=C1646,W1647=W1646+1),IF(Y1647=1,"",INDEX(DATAS,W1646+1)),INDEX(DATAS,W1646+1)),"")</f>
        <v/>
      </c>
    </row>
    <row r="1647" customFormat="false" ht="15" hidden="false" customHeight="false" outlineLevel="0" collapsed="false">
      <c r="A1647" s="33" t="n">
        <v>46309</v>
      </c>
      <c r="B1647" s="0" t="n">
        <v>4</v>
      </c>
      <c r="C1647" s="0" t="n">
        <v>5806</v>
      </c>
      <c r="D1647" s="0" t="n">
        <v>133</v>
      </c>
      <c r="E1647" s="0" t="n">
        <v>1</v>
      </c>
      <c r="F1647" s="27" t="s">
        <v>1001</v>
      </c>
      <c r="G1647" s="0" t="n">
        <v>24.9</v>
      </c>
      <c r="H1647" s="0" t="n">
        <v>27</v>
      </c>
      <c r="I1647" s="27" t="s">
        <v>168</v>
      </c>
      <c r="J1647" s="0" t="n">
        <v>133</v>
      </c>
      <c r="K1647" s="0" t="n">
        <v>63</v>
      </c>
      <c r="P1647" s="0" t="n">
        <v>3.88</v>
      </c>
      <c r="Q1647" s="0" t="n">
        <v>3.53</v>
      </c>
      <c r="R1647" s="0" t="n">
        <v>1978</v>
      </c>
      <c r="S1647" s="0" t="n">
        <v>4246</v>
      </c>
      <c r="T1647" s="0" t="n">
        <v>22.6</v>
      </c>
      <c r="U1647" s="0" t="n">
        <v>793</v>
      </c>
      <c r="V1647" s="0" t="n">
        <v>4</v>
      </c>
      <c r="W1647" s="27" t="n">
        <f aca="false">MATCH(A1647,DATAS,0)</f>
        <v>1</v>
      </c>
      <c r="X1647" s="27" t="n">
        <f aca="false">IF(AND(E1647&gt;0,OR(AND(B1647&gt;=1,B1647&lt;=6),B1647=10)),1,0)</f>
        <v>1</v>
      </c>
      <c r="Y1647" s="27" t="n">
        <f aca="false">IF(AND(E1647&gt;0,B1647=10),1,0)</f>
        <v>0</v>
      </c>
      <c r="Z1647" s="0" t="str">
        <f aca="false">IF(AND(C1646=C1647,W1646=W1647-1),X1646,"")</f>
        <v/>
      </c>
      <c r="AA1647" s="0" t="str">
        <f aca="false">IF(AND(C1646=C1647,W1646=W1647-1),Y1646,"")</f>
        <v/>
      </c>
      <c r="AB1647" s="0" t="str">
        <f aca="false">IF(W1647=1,"",IF(AND(X1647=1,Z1647&lt;&gt;1),1,0))</f>
        <v/>
      </c>
      <c r="AC1647" s="0" t="str">
        <f aca="false">IF(W1647=1,"",IF(AND(Y1647=1,AA1647&lt;&gt;1),1,0))</f>
        <v/>
      </c>
      <c r="AD1647" s="33" t="str">
        <f aca="false">IF(AND(E1647&gt;0,W1647&lt;1,NOT(AND(C1648=C1647,W1648=W1647+1))),INDEX(DATAS,W1647+1),"")</f>
        <v/>
      </c>
      <c r="AE1647" s="33" t="str">
        <f aca="false">IF(AND(Y1647=1,W1647&lt;1),IF(AND(C1648=C1647,W1648=W1647+1),IF(Y1648=1,"",INDEX(DATAS,W1647+1)),INDEX(DATAS,W1647+1)),"")</f>
        <v/>
      </c>
    </row>
    <row r="1648" customFormat="false" ht="15" hidden="false" customHeight="false" outlineLevel="0" collapsed="false">
      <c r="A1648" s="33" t="n">
        <v>46309</v>
      </c>
      <c r="B1648" s="0" t="n">
        <v>7</v>
      </c>
      <c r="C1648" s="0" t="n">
        <v>5807</v>
      </c>
      <c r="E1648" s="0" t="n">
        <v>0</v>
      </c>
      <c r="F1648" s="27" t="s">
        <v>1002</v>
      </c>
      <c r="I1648" s="27" t="s">
        <v>138</v>
      </c>
      <c r="L1648" s="0" t="n">
        <v>196</v>
      </c>
      <c r="U1648" s="0" t="n">
        <v>792</v>
      </c>
      <c r="V1648" s="0" t="n">
        <v>5</v>
      </c>
      <c r="W1648" s="27" t="n">
        <f aca="false">MATCH(A1648,DATAS,0)</f>
        <v>1</v>
      </c>
      <c r="X1648" s="27" t="n">
        <f aca="false">IF(AND(E1648&gt;0,OR(AND(B1648&gt;=1,B1648&lt;=6),B1648=10)),1,0)</f>
        <v>0</v>
      </c>
      <c r="Y1648" s="27" t="n">
        <f aca="false">IF(AND(E1648&gt;0,B1648=10),1,0)</f>
        <v>0</v>
      </c>
      <c r="Z1648" s="0" t="str">
        <f aca="false">IF(AND(C1647=C1648,W1647=W1648-1),X1647,"")</f>
        <v/>
      </c>
      <c r="AA1648" s="0" t="str">
        <f aca="false">IF(AND(C1647=C1648,W1647=W1648-1),Y1647,"")</f>
        <v/>
      </c>
      <c r="AB1648" s="0" t="str">
        <f aca="false">IF(W1648=1,"",IF(AND(X1648=1,Z1648&lt;&gt;1),1,0))</f>
        <v/>
      </c>
      <c r="AC1648" s="0" t="str">
        <f aca="false">IF(W1648=1,"",IF(AND(Y1648=1,AA1648&lt;&gt;1),1,0))</f>
        <v/>
      </c>
      <c r="AD1648" s="33" t="str">
        <f aca="false">IF(AND(E1648&gt;0,W1648&lt;1,NOT(AND(C1649=C1648,W1649=W1648+1))),INDEX(DATAS,W1648+1),"")</f>
        <v/>
      </c>
      <c r="AE1648" s="33" t="str">
        <f aca="false">IF(AND(Y1648=1,W1648&lt;1),IF(AND(C1649=C1648,W1649=W1648+1),IF(Y1649=1,"",INDEX(DATAS,W1648+1)),INDEX(DATAS,W1648+1)),"")</f>
        <v/>
      </c>
    </row>
    <row r="1649" customFormat="false" ht="15" hidden="false" customHeight="false" outlineLevel="0" collapsed="false">
      <c r="A1649" s="33" t="n">
        <v>46309</v>
      </c>
      <c r="B1649" s="0" t="n">
        <v>14</v>
      </c>
      <c r="C1649" s="0" t="n">
        <v>5808</v>
      </c>
      <c r="E1649" s="0" t="n">
        <v>0</v>
      </c>
      <c r="F1649" s="27" t="s">
        <v>1002</v>
      </c>
      <c r="I1649" s="27" t="s">
        <v>138</v>
      </c>
      <c r="L1649" s="0" t="n">
        <v>266</v>
      </c>
      <c r="U1649" s="0" t="n">
        <v>792</v>
      </c>
      <c r="V1649" s="0" t="n">
        <v>4</v>
      </c>
      <c r="W1649" s="27" t="n">
        <f aca="false">MATCH(A1649,DATAS,0)</f>
        <v>1</v>
      </c>
      <c r="X1649" s="27" t="n">
        <f aca="false">IF(AND(E1649&gt;0,OR(AND(B1649&gt;=1,B1649&lt;=6),B1649=10)),1,0)</f>
        <v>0</v>
      </c>
      <c r="Y1649" s="27" t="n">
        <f aca="false">IF(AND(E1649&gt;0,B1649=10),1,0)</f>
        <v>0</v>
      </c>
      <c r="Z1649" s="0" t="str">
        <f aca="false">IF(AND(C1648=C1649,W1648=W1649-1),X1648,"")</f>
        <v/>
      </c>
      <c r="AA1649" s="0" t="str">
        <f aca="false">IF(AND(C1648=C1649,W1648=W1649-1),Y1648,"")</f>
        <v/>
      </c>
      <c r="AB1649" s="0" t="str">
        <f aca="false">IF(W1649=1,"",IF(AND(X1649=1,Z1649&lt;&gt;1),1,0))</f>
        <v/>
      </c>
      <c r="AC1649" s="0" t="str">
        <f aca="false">IF(W1649=1,"",IF(AND(Y1649=1,AA1649&lt;&gt;1),1,0))</f>
        <v/>
      </c>
      <c r="AD1649" s="33" t="str">
        <f aca="false">IF(AND(E1649&gt;0,W1649&lt;1,NOT(AND(C1650=C1649,W1650=W1649+1))),INDEX(DATAS,W1649+1),"")</f>
        <v/>
      </c>
      <c r="AE1649" s="33" t="str">
        <f aca="false">IF(AND(Y1649=1,W1649&lt;1),IF(AND(C1650=C1649,W1650=W1649+1),IF(Y1650=1,"",INDEX(DATAS,W1649+1)),INDEX(DATAS,W1649+1)),"")</f>
        <v/>
      </c>
    </row>
    <row r="1650" customFormat="false" ht="15" hidden="false" customHeight="false" outlineLevel="0" collapsed="false">
      <c r="A1650" s="33" t="n">
        <v>46309</v>
      </c>
      <c r="B1650" s="0" t="n">
        <v>1</v>
      </c>
      <c r="C1650" s="0" t="n">
        <v>5809</v>
      </c>
      <c r="D1650" s="0" t="n">
        <v>65</v>
      </c>
      <c r="E1650" s="0" t="n">
        <v>1</v>
      </c>
      <c r="F1650" s="27" t="s">
        <v>1002</v>
      </c>
      <c r="G1650" s="0" t="n">
        <v>46.9</v>
      </c>
      <c r="H1650" s="0" t="n">
        <v>44</v>
      </c>
      <c r="I1650" s="27" t="s">
        <v>168</v>
      </c>
      <c r="J1650" s="0" t="n">
        <v>65</v>
      </c>
      <c r="K1650" s="0" t="n">
        <v>65</v>
      </c>
      <c r="P1650" s="0" t="n">
        <v>4.48</v>
      </c>
      <c r="Q1650" s="0" t="n">
        <v>2.85</v>
      </c>
      <c r="R1650" s="0" t="n">
        <v>4342</v>
      </c>
      <c r="S1650" s="0" t="n">
        <v>8729</v>
      </c>
      <c r="U1650" s="0" t="n">
        <v>792</v>
      </c>
      <c r="V1650" s="0" t="n">
        <v>1</v>
      </c>
      <c r="W1650" s="27" t="n">
        <f aca="false">MATCH(A1650,DATAS,0)</f>
        <v>1</v>
      </c>
      <c r="X1650" s="27" t="n">
        <f aca="false">IF(AND(E1650&gt;0,OR(AND(B1650&gt;=1,B1650&lt;=6),B1650=10)),1,0)</f>
        <v>1</v>
      </c>
      <c r="Y1650" s="27" t="n">
        <f aca="false">IF(AND(E1650&gt;0,B1650=10),1,0)</f>
        <v>0</v>
      </c>
      <c r="Z1650" s="0" t="str">
        <f aca="false">IF(AND(C1649=C1650,W1649=W1650-1),X1649,"")</f>
        <v/>
      </c>
      <c r="AA1650" s="0" t="str">
        <f aca="false">IF(AND(C1649=C1650,W1649=W1650-1),Y1649,"")</f>
        <v/>
      </c>
      <c r="AB1650" s="0" t="str">
        <f aca="false">IF(W1650=1,"",IF(AND(X1650=1,Z1650&lt;&gt;1),1,0))</f>
        <v/>
      </c>
      <c r="AC1650" s="0" t="str">
        <f aca="false">IF(W1650=1,"",IF(AND(Y1650=1,AA1650&lt;&gt;1),1,0))</f>
        <v/>
      </c>
      <c r="AD1650" s="33" t="str">
        <f aca="false">IF(AND(E1650&gt;0,W1650&lt;1,NOT(AND(C1651=C1650,W1651=W1650+1))),INDEX(DATAS,W1650+1),"")</f>
        <v/>
      </c>
      <c r="AE1650" s="33" t="str">
        <f aca="false">IF(AND(Y1650=1,W1650&lt;1),IF(AND(C1651=C1650,W1651=W1650+1),IF(Y1651=1,"",INDEX(DATAS,W1650+1)),INDEX(DATAS,W1650+1)),"")</f>
        <v/>
      </c>
    </row>
    <row r="1651" customFormat="false" ht="15" hidden="false" customHeight="false" outlineLevel="0" collapsed="false">
      <c r="A1651" s="33" t="n">
        <v>46309</v>
      </c>
      <c r="B1651" s="0" t="n">
        <v>4</v>
      </c>
      <c r="C1651" s="0" t="n">
        <v>5810</v>
      </c>
      <c r="D1651" s="0" t="n">
        <v>246</v>
      </c>
      <c r="E1651" s="0" t="n">
        <v>1</v>
      </c>
      <c r="F1651" s="27" t="s">
        <v>1003</v>
      </c>
      <c r="G1651" s="0" t="n">
        <v>46</v>
      </c>
      <c r="H1651" s="0" t="n">
        <v>44</v>
      </c>
      <c r="I1651" s="27" t="s">
        <v>138</v>
      </c>
      <c r="J1651" s="0" t="n">
        <v>211</v>
      </c>
      <c r="K1651" s="0" t="n">
        <v>64</v>
      </c>
      <c r="L1651" s="0" t="n">
        <v>35</v>
      </c>
      <c r="P1651" s="0" t="n">
        <v>4.68</v>
      </c>
      <c r="Q1651" s="0" t="n">
        <v>3.27</v>
      </c>
      <c r="R1651" s="0" t="n">
        <v>2706</v>
      </c>
      <c r="S1651" s="0" t="n">
        <v>7165</v>
      </c>
      <c r="T1651" s="0" t="n">
        <v>28.75</v>
      </c>
      <c r="U1651" s="0" t="n">
        <v>790</v>
      </c>
      <c r="V1651" s="0" t="n">
        <v>5</v>
      </c>
      <c r="W1651" s="27" t="n">
        <f aca="false">MATCH(A1651,DATAS,0)</f>
        <v>1</v>
      </c>
      <c r="X1651" s="27" t="n">
        <f aca="false">IF(AND(E1651&gt;0,OR(AND(B1651&gt;=1,B1651&lt;=6),B1651=10)),1,0)</f>
        <v>1</v>
      </c>
      <c r="Y1651" s="27" t="n">
        <f aca="false">IF(AND(E1651&gt;0,B1651=10),1,0)</f>
        <v>0</v>
      </c>
      <c r="Z1651" s="0" t="str">
        <f aca="false">IF(AND(C1650=C1651,W1650=W1651-1),X1650,"")</f>
        <v/>
      </c>
      <c r="AA1651" s="0" t="str">
        <f aca="false">IF(AND(C1650=C1651,W1650=W1651-1),Y1650,"")</f>
        <v/>
      </c>
      <c r="AB1651" s="0" t="str">
        <f aca="false">IF(W1651=1,"",IF(AND(X1651=1,Z1651&lt;&gt;1),1,0))</f>
        <v/>
      </c>
      <c r="AC1651" s="0" t="str">
        <f aca="false">IF(W1651=1,"",IF(AND(Y1651=1,AA1651&lt;&gt;1),1,0))</f>
        <v/>
      </c>
      <c r="AD1651" s="33" t="str">
        <f aca="false">IF(AND(E1651&gt;0,W1651&lt;1,NOT(AND(C1652=C1651,W1652=W1651+1))),INDEX(DATAS,W1651+1),"")</f>
        <v/>
      </c>
      <c r="AE1651" s="33" t="str">
        <f aca="false">IF(AND(Y1651=1,W1651&lt;1),IF(AND(C1652=C1651,W1652=W1651+1),IF(Y1652=1,"",INDEX(DATAS,W1651+1)),INDEX(DATAS,W1651+1)),"")</f>
        <v/>
      </c>
    </row>
    <row r="1652" customFormat="false" ht="15" hidden="false" customHeight="false" outlineLevel="0" collapsed="false">
      <c r="A1652" s="33" t="n">
        <v>46309</v>
      </c>
      <c r="B1652" s="0" t="n">
        <v>1</v>
      </c>
      <c r="C1652" s="0" t="n">
        <v>5811</v>
      </c>
      <c r="D1652" s="0" t="n">
        <v>106</v>
      </c>
      <c r="E1652" s="0" t="n">
        <v>1</v>
      </c>
      <c r="F1652" s="27" t="s">
        <v>1003</v>
      </c>
      <c r="G1652" s="0" t="n">
        <v>55.5</v>
      </c>
      <c r="H1652" s="0" t="n">
        <v>56</v>
      </c>
      <c r="I1652" s="27" t="s">
        <v>138</v>
      </c>
      <c r="J1652" s="0" t="n">
        <v>64</v>
      </c>
      <c r="K1652" s="0" t="n">
        <v>64</v>
      </c>
      <c r="L1652" s="0" t="n">
        <v>42</v>
      </c>
      <c r="P1652" s="0" t="n">
        <v>2.89</v>
      </c>
      <c r="Q1652" s="0" t="n">
        <v>2.86</v>
      </c>
      <c r="R1652" s="0" t="n">
        <v>5358</v>
      </c>
      <c r="S1652" s="0" t="n">
        <v>10806</v>
      </c>
      <c r="T1652" s="0" t="n">
        <v>59.4</v>
      </c>
      <c r="U1652" s="0" t="n">
        <v>790</v>
      </c>
      <c r="V1652" s="0" t="n">
        <v>1</v>
      </c>
      <c r="W1652" s="27" t="n">
        <f aca="false">MATCH(A1652,DATAS,0)</f>
        <v>1</v>
      </c>
      <c r="X1652" s="27" t="n">
        <f aca="false">IF(AND(E1652&gt;0,OR(AND(B1652&gt;=1,B1652&lt;=6),B1652=10)),1,0)</f>
        <v>1</v>
      </c>
      <c r="Y1652" s="27" t="n">
        <f aca="false">IF(AND(E1652&gt;0,B1652=10),1,0)</f>
        <v>0</v>
      </c>
      <c r="Z1652" s="0" t="str">
        <f aca="false">IF(AND(C1651=C1652,W1651=W1652-1),X1651,"")</f>
        <v/>
      </c>
      <c r="AA1652" s="0" t="str">
        <f aca="false">IF(AND(C1651=C1652,W1651=W1652-1),Y1651,"")</f>
        <v/>
      </c>
      <c r="AB1652" s="0" t="str">
        <f aca="false">IF(W1652=1,"",IF(AND(X1652=1,Z1652&lt;&gt;1),1,0))</f>
        <v/>
      </c>
      <c r="AC1652" s="0" t="str">
        <f aca="false">IF(W1652=1,"",IF(AND(Y1652=1,AA1652&lt;&gt;1),1,0))</f>
        <v/>
      </c>
      <c r="AD1652" s="33" t="str">
        <f aca="false">IF(AND(E1652&gt;0,W1652&lt;1,NOT(AND(C1653=C1652,W1653=W1652+1))),INDEX(DATAS,W1652+1),"")</f>
        <v/>
      </c>
      <c r="AE1652" s="33" t="str">
        <f aca="false">IF(AND(Y1652=1,W1652&lt;1),IF(AND(C1653=C1652,W1653=W1652+1),IF(Y1653=1,"",INDEX(DATAS,W1652+1)),INDEX(DATAS,W1652+1)),"")</f>
        <v/>
      </c>
    </row>
    <row r="1653" customFormat="false" ht="15" hidden="false" customHeight="false" outlineLevel="0" collapsed="false">
      <c r="A1653" s="33" t="n">
        <v>46309</v>
      </c>
      <c r="B1653" s="0" t="n">
        <v>1</v>
      </c>
      <c r="C1653" s="0" t="n">
        <v>5812</v>
      </c>
      <c r="D1653" s="0" t="n">
        <v>111</v>
      </c>
      <c r="E1653" s="0" t="n">
        <v>1</v>
      </c>
      <c r="F1653" s="27" t="s">
        <v>1003</v>
      </c>
      <c r="G1653" s="0" t="n">
        <v>63.7</v>
      </c>
      <c r="H1653" s="0" t="n">
        <v>62</v>
      </c>
      <c r="I1653" s="27" t="s">
        <v>138</v>
      </c>
      <c r="J1653" s="0" t="n">
        <v>62</v>
      </c>
      <c r="K1653" s="0" t="n">
        <v>62</v>
      </c>
      <c r="L1653" s="0" t="n">
        <v>49</v>
      </c>
      <c r="P1653" s="0" t="n">
        <v>3.43</v>
      </c>
      <c r="Q1653" s="0" t="n">
        <v>3.05</v>
      </c>
      <c r="R1653" s="0" t="n">
        <v>5250</v>
      </c>
      <c r="S1653" s="0" t="n">
        <v>10749</v>
      </c>
      <c r="T1653" s="0" t="n">
        <v>54.6</v>
      </c>
      <c r="U1653" s="0" t="n">
        <v>790</v>
      </c>
      <c r="V1653" s="0" t="n">
        <v>1</v>
      </c>
      <c r="W1653" s="27" t="n">
        <f aca="false">MATCH(A1653,DATAS,0)</f>
        <v>1</v>
      </c>
      <c r="X1653" s="27" t="n">
        <f aca="false">IF(AND(E1653&gt;0,OR(AND(B1653&gt;=1,B1653&lt;=6),B1653=10)),1,0)</f>
        <v>1</v>
      </c>
      <c r="Y1653" s="27" t="n">
        <f aca="false">IF(AND(E1653&gt;0,B1653=10),1,0)</f>
        <v>0</v>
      </c>
      <c r="Z1653" s="0" t="str">
        <f aca="false">IF(AND(C1652=C1653,W1652=W1653-1),X1652,"")</f>
        <v/>
      </c>
      <c r="AA1653" s="0" t="str">
        <f aca="false">IF(AND(C1652=C1653,W1652=W1653-1),Y1652,"")</f>
        <v/>
      </c>
      <c r="AB1653" s="0" t="str">
        <f aca="false">IF(W1653=1,"",IF(AND(X1653=1,Z1653&lt;&gt;1),1,0))</f>
        <v/>
      </c>
      <c r="AC1653" s="0" t="str">
        <f aca="false">IF(W1653=1,"",IF(AND(Y1653=1,AA1653&lt;&gt;1),1,0))</f>
        <v/>
      </c>
      <c r="AD1653" s="33" t="str">
        <f aca="false">IF(AND(E1653&gt;0,W1653&lt;1,NOT(AND(C1654=C1653,W1654=W1653+1))),INDEX(DATAS,W1653+1),"")</f>
        <v/>
      </c>
      <c r="AE1653" s="33" t="str">
        <f aca="false">IF(AND(Y1653=1,W1653&lt;1),IF(AND(C1654=C1653,W1654=W1653+1),IF(Y1654=1,"",INDEX(DATAS,W1653+1)),INDEX(DATAS,W1653+1)),"")</f>
        <v/>
      </c>
    </row>
    <row r="1654" customFormat="false" ht="15" hidden="false" customHeight="false" outlineLevel="0" collapsed="false">
      <c r="A1654" s="33" t="n">
        <v>46309</v>
      </c>
      <c r="B1654" s="0" t="n">
        <v>4</v>
      </c>
      <c r="C1654" s="0" t="n">
        <v>5813</v>
      </c>
      <c r="D1654" s="0" t="n">
        <v>131</v>
      </c>
      <c r="E1654" s="0" t="n">
        <v>1</v>
      </c>
      <c r="F1654" s="27" t="s">
        <v>1003</v>
      </c>
      <c r="G1654" s="0" t="n">
        <v>52.9</v>
      </c>
      <c r="H1654" s="0" t="n">
        <v>54</v>
      </c>
      <c r="I1654" s="27" t="s">
        <v>138</v>
      </c>
      <c r="J1654" s="0" t="n">
        <v>68</v>
      </c>
      <c r="K1654" s="0" t="n">
        <v>68</v>
      </c>
      <c r="L1654" s="0" t="n">
        <v>63</v>
      </c>
      <c r="P1654" s="0" t="n">
        <v>2.47</v>
      </c>
      <c r="Q1654" s="0" t="n">
        <v>3.12</v>
      </c>
      <c r="R1654" s="0" t="n">
        <v>4267</v>
      </c>
      <c r="S1654" s="0" t="n">
        <v>9164</v>
      </c>
      <c r="T1654" s="0" t="n">
        <v>43.85</v>
      </c>
      <c r="U1654" s="0" t="n">
        <v>790</v>
      </c>
      <c r="V1654" s="0" t="n">
        <v>1</v>
      </c>
      <c r="W1654" s="27" t="n">
        <f aca="false">MATCH(A1654,DATAS,0)</f>
        <v>1</v>
      </c>
      <c r="X1654" s="27" t="n">
        <f aca="false">IF(AND(E1654&gt;0,OR(AND(B1654&gt;=1,B1654&lt;=6),B1654=10)),1,0)</f>
        <v>1</v>
      </c>
      <c r="Y1654" s="27" t="n">
        <f aca="false">IF(AND(E1654&gt;0,B1654=10),1,0)</f>
        <v>0</v>
      </c>
      <c r="Z1654" s="0" t="str">
        <f aca="false">IF(AND(C1653=C1654,W1653=W1654-1),X1653,"")</f>
        <v/>
      </c>
      <c r="AA1654" s="0" t="str">
        <f aca="false">IF(AND(C1653=C1654,W1653=W1654-1),Y1653,"")</f>
        <v/>
      </c>
      <c r="AB1654" s="0" t="str">
        <f aca="false">IF(W1654=1,"",IF(AND(X1654=1,Z1654&lt;&gt;1),1,0))</f>
        <v/>
      </c>
      <c r="AC1654" s="0" t="str">
        <f aca="false">IF(W1654=1,"",IF(AND(Y1654=1,AA1654&lt;&gt;1),1,0))</f>
        <v/>
      </c>
      <c r="AD1654" s="33" t="str">
        <f aca="false">IF(AND(E1654&gt;0,W1654&lt;1,NOT(AND(C1655=C1654,W1655=W1654+1))),INDEX(DATAS,W1654+1),"")</f>
        <v/>
      </c>
      <c r="AE1654" s="33" t="str">
        <f aca="false">IF(AND(Y1654=1,W1654&lt;1),IF(AND(C1655=C1654,W1655=W1654+1),IF(Y1655=1,"",INDEX(DATAS,W1654+1)),INDEX(DATAS,W1654+1)),"")</f>
        <v/>
      </c>
    </row>
    <row r="1655" customFormat="false" ht="15" hidden="false" customHeight="false" outlineLevel="0" collapsed="false">
      <c r="A1655" s="33" t="n">
        <v>46309</v>
      </c>
      <c r="B1655" s="0" t="n">
        <v>1</v>
      </c>
      <c r="C1655" s="0" t="n">
        <v>5814</v>
      </c>
      <c r="D1655" s="0" t="n">
        <v>65</v>
      </c>
      <c r="E1655" s="0" t="n">
        <v>1</v>
      </c>
      <c r="F1655" s="27" t="s">
        <v>1004</v>
      </c>
      <c r="G1655" s="0" t="n">
        <v>48.6</v>
      </c>
      <c r="H1655" s="0" t="n">
        <v>53</v>
      </c>
      <c r="I1655" s="27" t="s">
        <v>168</v>
      </c>
      <c r="J1655" s="0" t="n">
        <v>65</v>
      </c>
      <c r="K1655" s="0" t="n">
        <v>65</v>
      </c>
      <c r="P1655" s="0" t="n">
        <v>3.44</v>
      </c>
      <c r="Q1655" s="0" t="n">
        <v>3.11</v>
      </c>
      <c r="R1655" s="0" t="n">
        <v>4609</v>
      </c>
      <c r="S1655" s="0" t="n">
        <v>9265</v>
      </c>
      <c r="U1655" s="0" t="n">
        <v>789</v>
      </c>
      <c r="V1655" s="0" t="n">
        <v>1</v>
      </c>
      <c r="W1655" s="27" t="n">
        <f aca="false">MATCH(A1655,DATAS,0)</f>
        <v>1</v>
      </c>
      <c r="X1655" s="27" t="n">
        <f aca="false">IF(AND(E1655&gt;0,OR(AND(B1655&gt;=1,B1655&lt;=6),B1655=10)),1,0)</f>
        <v>1</v>
      </c>
      <c r="Y1655" s="27" t="n">
        <f aca="false">IF(AND(E1655&gt;0,B1655=10),1,0)</f>
        <v>0</v>
      </c>
      <c r="Z1655" s="0" t="str">
        <f aca="false">IF(AND(C1654=C1655,W1654=W1655-1),X1654,"")</f>
        <v/>
      </c>
      <c r="AA1655" s="0" t="str">
        <f aca="false">IF(AND(C1654=C1655,W1654=W1655-1),Y1654,"")</f>
        <v/>
      </c>
      <c r="AB1655" s="0" t="str">
        <f aca="false">IF(W1655=1,"",IF(AND(X1655=1,Z1655&lt;&gt;1),1,0))</f>
        <v/>
      </c>
      <c r="AC1655" s="0" t="str">
        <f aca="false">IF(W1655=1,"",IF(AND(Y1655=1,AA1655&lt;&gt;1),1,0))</f>
        <v/>
      </c>
      <c r="AD1655" s="33" t="str">
        <f aca="false">IF(AND(E1655&gt;0,W1655&lt;1,NOT(AND(C1656=C1655,W1656=W1655+1))),INDEX(DATAS,W1655+1),"")</f>
        <v/>
      </c>
      <c r="AE1655" s="33" t="str">
        <f aca="false">IF(AND(Y1655=1,W1655&lt;1),IF(AND(C1656=C1655,W1656=W1655+1),IF(Y1656=1,"",INDEX(DATAS,W1655+1)),INDEX(DATAS,W1655+1)),"")</f>
        <v/>
      </c>
    </row>
    <row r="1656" customFormat="false" ht="15" hidden="false" customHeight="false" outlineLevel="0" collapsed="false">
      <c r="A1656" s="33" t="n">
        <v>46309</v>
      </c>
      <c r="B1656" s="0" t="n">
        <v>1</v>
      </c>
      <c r="C1656" s="0" t="n">
        <v>5816</v>
      </c>
      <c r="D1656" s="0" t="n">
        <v>59</v>
      </c>
      <c r="E1656" s="0" t="n">
        <v>1</v>
      </c>
      <c r="F1656" s="27" t="s">
        <v>1004</v>
      </c>
      <c r="G1656" s="0" t="n">
        <v>31.7</v>
      </c>
      <c r="H1656" s="0" t="n">
        <v>29</v>
      </c>
      <c r="I1656" s="27" t="s">
        <v>147</v>
      </c>
      <c r="J1656" s="0" t="n">
        <v>59</v>
      </c>
      <c r="P1656" s="0" t="n">
        <v>3.33</v>
      </c>
      <c r="Q1656" s="0" t="n">
        <v>3.4</v>
      </c>
      <c r="R1656" s="0" t="n">
        <v>2736</v>
      </c>
      <c r="S1656" s="0" t="n">
        <v>5500</v>
      </c>
      <c r="U1656" s="0" t="n">
        <v>789</v>
      </c>
      <c r="V1656" s="0" t="n">
        <v>0</v>
      </c>
      <c r="W1656" s="27" t="n">
        <f aca="false">MATCH(A1656,DATAS,0)</f>
        <v>1</v>
      </c>
      <c r="X1656" s="27" t="n">
        <f aca="false">IF(AND(E1656&gt;0,OR(AND(B1656&gt;=1,B1656&lt;=6),B1656=10)),1,0)</f>
        <v>1</v>
      </c>
      <c r="Y1656" s="27" t="n">
        <f aca="false">IF(AND(E1656&gt;0,B1656=10),1,0)</f>
        <v>0</v>
      </c>
      <c r="Z1656" s="0" t="str">
        <f aca="false">IF(AND(C1655=C1656,W1655=W1656-1),X1655,"")</f>
        <v/>
      </c>
      <c r="AA1656" s="0" t="str">
        <f aca="false">IF(AND(C1655=C1656,W1655=W1656-1),Y1655,"")</f>
        <v/>
      </c>
      <c r="AB1656" s="0" t="str">
        <f aca="false">IF(W1656=1,"",IF(AND(X1656=1,Z1656&lt;&gt;1),1,0))</f>
        <v/>
      </c>
      <c r="AC1656" s="0" t="str">
        <f aca="false">IF(W1656=1,"",IF(AND(Y1656=1,AA1656&lt;&gt;1),1,0))</f>
        <v/>
      </c>
      <c r="AD1656" s="33" t="str">
        <f aca="false">IF(AND(E1656&gt;0,W1656&lt;1,NOT(AND(C1657=C1656,W1657=W1656+1))),INDEX(DATAS,W1656+1),"")</f>
        <v/>
      </c>
      <c r="AE1656" s="33" t="str">
        <f aca="false">IF(AND(Y1656=1,W1656&lt;1),IF(AND(C1657=C1656,W1657=W1656+1),IF(Y1657=1,"",INDEX(DATAS,W1656+1)),INDEX(DATAS,W1656+1)),"")</f>
        <v/>
      </c>
    </row>
    <row r="1657" customFormat="false" ht="15" hidden="false" customHeight="false" outlineLevel="0" collapsed="false">
      <c r="A1657" s="33" t="n">
        <v>46309</v>
      </c>
      <c r="B1657" s="0" t="n">
        <v>1</v>
      </c>
      <c r="C1657" s="0" t="n">
        <v>5818</v>
      </c>
      <c r="D1657" s="0" t="n">
        <v>3</v>
      </c>
      <c r="E1657" s="0" t="n">
        <v>1</v>
      </c>
      <c r="F1657" s="27" t="s">
        <v>1005</v>
      </c>
      <c r="G1657" s="0" t="n">
        <v>20</v>
      </c>
      <c r="H1657" s="0" t="n">
        <v>17</v>
      </c>
      <c r="I1657" s="27" t="s">
        <v>147</v>
      </c>
      <c r="J1657" s="0" t="n">
        <v>3</v>
      </c>
      <c r="R1657" s="0" t="n">
        <v>1955</v>
      </c>
      <c r="S1657" s="0" t="n">
        <v>3930</v>
      </c>
      <c r="U1657" s="0" t="n">
        <v>788</v>
      </c>
      <c r="V1657" s="0" t="n">
        <v>0</v>
      </c>
      <c r="W1657" s="27" t="n">
        <f aca="false">MATCH(A1657,DATAS,0)</f>
        <v>1</v>
      </c>
      <c r="X1657" s="27" t="n">
        <f aca="false">IF(AND(E1657&gt;0,OR(AND(B1657&gt;=1,B1657&lt;=6),B1657=10)),1,0)</f>
        <v>1</v>
      </c>
      <c r="Y1657" s="27" t="n">
        <f aca="false">IF(AND(E1657&gt;0,B1657=10),1,0)</f>
        <v>0</v>
      </c>
      <c r="Z1657" s="0" t="str">
        <f aca="false">IF(AND(C1656=C1657,W1656=W1657-1),X1656,"")</f>
        <v/>
      </c>
      <c r="AA1657" s="0" t="str">
        <f aca="false">IF(AND(C1656=C1657,W1656=W1657-1),Y1656,"")</f>
        <v/>
      </c>
      <c r="AB1657" s="0" t="str">
        <f aca="false">IF(W1657=1,"",IF(AND(X1657=1,Z1657&lt;&gt;1),1,0))</f>
        <v/>
      </c>
      <c r="AC1657" s="0" t="str">
        <f aca="false">IF(W1657=1,"",IF(AND(Y1657=1,AA1657&lt;&gt;1),1,0))</f>
        <v/>
      </c>
      <c r="AD1657" s="33" t="str">
        <f aca="false">IF(AND(E1657&gt;0,W1657&lt;1,NOT(AND(C1658=C1657,W1658=W1657+1))),INDEX(DATAS,W1657+1),"")</f>
        <v/>
      </c>
      <c r="AE1657" s="33" t="str">
        <f aca="false">IF(AND(Y1657=1,W1657&lt;1),IF(AND(C1658=C1657,W1658=W1657+1),IF(Y1658=1,"",INDEX(DATAS,W1657+1)),INDEX(DATAS,W1657+1)),"")</f>
        <v/>
      </c>
    </row>
    <row r="1658" customFormat="false" ht="15" hidden="false" customHeight="false" outlineLevel="0" collapsed="false">
      <c r="A1658" s="33" t="n">
        <v>46309</v>
      </c>
      <c r="B1658" s="0" t="n">
        <v>10</v>
      </c>
      <c r="C1658" s="0" t="n">
        <v>5819</v>
      </c>
      <c r="D1658" s="0" t="n">
        <v>15</v>
      </c>
      <c r="E1658" s="0" t="n">
        <v>1</v>
      </c>
      <c r="F1658" s="27" t="s">
        <v>1005</v>
      </c>
      <c r="I1658" s="27" t="s">
        <v>147</v>
      </c>
      <c r="J1658" s="0" t="n">
        <v>15</v>
      </c>
      <c r="U1658" s="0" t="n">
        <v>788</v>
      </c>
      <c r="V1658" s="0" t="n">
        <v>0</v>
      </c>
      <c r="W1658" s="27" t="n">
        <f aca="false">MATCH(A1658,DATAS,0)</f>
        <v>1</v>
      </c>
      <c r="X1658" s="27" t="n">
        <f aca="false">IF(AND(E1658&gt;0,OR(AND(B1658&gt;=1,B1658&lt;=6),B1658=10)),1,0)</f>
        <v>1</v>
      </c>
      <c r="Y1658" s="27" t="n">
        <f aca="false">IF(AND(E1658&gt;0,B1658=10),1,0)</f>
        <v>1</v>
      </c>
      <c r="Z1658" s="0" t="str">
        <f aca="false">IF(AND(C1657=C1658,W1657=W1658-1),X1657,"")</f>
        <v/>
      </c>
      <c r="AA1658" s="0" t="str">
        <f aca="false">IF(AND(C1657=C1658,W1657=W1658-1),Y1657,"")</f>
        <v/>
      </c>
      <c r="AB1658" s="0" t="str">
        <f aca="false">IF(W1658=1,"",IF(AND(X1658=1,Z1658&lt;&gt;1),1,0))</f>
        <v/>
      </c>
      <c r="AC1658" s="0" t="str">
        <f aca="false">IF(W1658=1,"",IF(AND(Y1658=1,AA1658&lt;&gt;1),1,0))</f>
        <v/>
      </c>
      <c r="AD1658" s="33" t="str">
        <f aca="false">IF(AND(E1658&gt;0,W1658&lt;1,NOT(AND(C1659=C1658,W1659=W1658+1))),INDEX(DATAS,W1658+1),"")</f>
        <v/>
      </c>
      <c r="AE1658" s="33" t="str">
        <f aca="false">IF(AND(Y1658=1,W1658&lt;1),IF(AND(C1659=C1658,W1659=W1658+1),IF(Y1659=1,"",INDEX(DATAS,W1658+1)),INDEX(DATAS,W1658+1)),"")</f>
        <v/>
      </c>
    </row>
    <row r="1659" customFormat="false" ht="15" hidden="false" customHeight="false" outlineLevel="0" collapsed="false">
      <c r="A1659" s="33" t="n">
        <v>46309</v>
      </c>
      <c r="B1659" s="0" t="n">
        <v>1</v>
      </c>
      <c r="C1659" s="0" t="n">
        <v>5820</v>
      </c>
      <c r="D1659" s="0" t="n">
        <v>111</v>
      </c>
      <c r="E1659" s="0" t="n">
        <v>1</v>
      </c>
      <c r="F1659" s="27" t="s">
        <v>1006</v>
      </c>
      <c r="G1659" s="0" t="n">
        <v>48.4</v>
      </c>
      <c r="H1659" s="0" t="n">
        <v>49</v>
      </c>
      <c r="I1659" s="27" t="s">
        <v>168</v>
      </c>
      <c r="J1659" s="0" t="n">
        <v>111</v>
      </c>
      <c r="K1659" s="0" t="n">
        <v>65</v>
      </c>
      <c r="P1659" s="0" t="n">
        <v>4.14</v>
      </c>
      <c r="Q1659" s="0" t="n">
        <v>3.04</v>
      </c>
      <c r="R1659" s="0" t="n">
        <v>4577</v>
      </c>
      <c r="S1659" s="0" t="n">
        <v>9286</v>
      </c>
      <c r="T1659" s="0" t="n">
        <v>46.3</v>
      </c>
      <c r="U1659" s="0" t="n">
        <v>786</v>
      </c>
      <c r="V1659" s="0" t="n">
        <v>2</v>
      </c>
      <c r="W1659" s="27" t="n">
        <f aca="false">MATCH(A1659,DATAS,0)</f>
        <v>1</v>
      </c>
      <c r="X1659" s="27" t="n">
        <f aca="false">IF(AND(E1659&gt;0,OR(AND(B1659&gt;=1,B1659&lt;=6),B1659=10)),1,0)</f>
        <v>1</v>
      </c>
      <c r="Y1659" s="27" t="n">
        <f aca="false">IF(AND(E1659&gt;0,B1659=10),1,0)</f>
        <v>0</v>
      </c>
      <c r="Z1659" s="0" t="str">
        <f aca="false">IF(AND(C1658=C1659,W1658=W1659-1),X1658,"")</f>
        <v/>
      </c>
      <c r="AA1659" s="0" t="str">
        <f aca="false">IF(AND(C1658=C1659,W1658=W1659-1),Y1658,"")</f>
        <v/>
      </c>
      <c r="AB1659" s="0" t="str">
        <f aca="false">IF(W1659=1,"",IF(AND(X1659=1,Z1659&lt;&gt;1),1,0))</f>
        <v/>
      </c>
      <c r="AC1659" s="0" t="str">
        <f aca="false">IF(W1659=1,"",IF(AND(Y1659=1,AA1659&lt;&gt;1),1,0))</f>
        <v/>
      </c>
      <c r="AD1659" s="33" t="str">
        <f aca="false">IF(AND(E1659&gt;0,W1659&lt;1,NOT(AND(C1660=C1659,W1660=W1659+1))),INDEX(DATAS,W1659+1),"")</f>
        <v/>
      </c>
      <c r="AE1659" s="33" t="str">
        <f aca="false">IF(AND(Y1659=1,W1659&lt;1),IF(AND(C1660=C1659,W1660=W1659+1),IF(Y1660=1,"",INDEX(DATAS,W1659+1)),INDEX(DATAS,W1659+1)),"")</f>
        <v/>
      </c>
    </row>
    <row r="1660" customFormat="false" ht="15" hidden="false" customHeight="false" outlineLevel="0" collapsed="false">
      <c r="A1660" s="33" t="n">
        <v>46309</v>
      </c>
      <c r="B1660" s="0" t="n">
        <v>1</v>
      </c>
      <c r="C1660" s="0" t="n">
        <v>5821</v>
      </c>
      <c r="D1660" s="0" t="n">
        <v>100</v>
      </c>
      <c r="E1660" s="0" t="n">
        <v>1</v>
      </c>
      <c r="F1660" s="27" t="s">
        <v>1006</v>
      </c>
      <c r="G1660" s="0" t="n">
        <v>50.5</v>
      </c>
      <c r="H1660" s="0" t="n">
        <v>50</v>
      </c>
      <c r="I1660" s="27" t="s">
        <v>138</v>
      </c>
      <c r="J1660" s="0" t="n">
        <v>65</v>
      </c>
      <c r="K1660" s="0" t="n">
        <v>65</v>
      </c>
      <c r="L1660" s="0" t="n">
        <v>35</v>
      </c>
      <c r="P1660" s="0" t="n">
        <v>3.26</v>
      </c>
      <c r="Q1660" s="0" t="n">
        <v>3.19</v>
      </c>
      <c r="R1660" s="0" t="n">
        <v>4051</v>
      </c>
      <c r="S1660" s="0" t="n">
        <v>8144</v>
      </c>
      <c r="T1660" s="0" t="n">
        <v>43.35</v>
      </c>
      <c r="U1660" s="0" t="n">
        <v>786</v>
      </c>
      <c r="V1660" s="0" t="n">
        <v>1</v>
      </c>
      <c r="W1660" s="27" t="n">
        <f aca="false">MATCH(A1660,DATAS,0)</f>
        <v>1</v>
      </c>
      <c r="X1660" s="27" t="n">
        <f aca="false">IF(AND(E1660&gt;0,OR(AND(B1660&gt;=1,B1660&lt;=6),B1660=10)),1,0)</f>
        <v>1</v>
      </c>
      <c r="Y1660" s="27" t="n">
        <f aca="false">IF(AND(E1660&gt;0,B1660=10),1,0)</f>
        <v>0</v>
      </c>
      <c r="Z1660" s="0" t="str">
        <f aca="false">IF(AND(C1659=C1660,W1659=W1660-1),X1659,"")</f>
        <v/>
      </c>
      <c r="AA1660" s="0" t="str">
        <f aca="false">IF(AND(C1659=C1660,W1659=W1660-1),Y1659,"")</f>
        <v/>
      </c>
      <c r="AB1660" s="0" t="str">
        <f aca="false">IF(W1660=1,"",IF(AND(X1660=1,Z1660&lt;&gt;1),1,0))</f>
        <v/>
      </c>
      <c r="AC1660" s="0" t="str">
        <f aca="false">IF(W1660=1,"",IF(AND(Y1660=1,AA1660&lt;&gt;1),1,0))</f>
        <v/>
      </c>
      <c r="AD1660" s="33" t="str">
        <f aca="false">IF(AND(E1660&gt;0,W1660&lt;1,NOT(AND(C1661=C1660,W1661=W1660+1))),INDEX(DATAS,W1660+1),"")</f>
        <v/>
      </c>
      <c r="AE1660" s="33" t="str">
        <f aca="false">IF(AND(Y1660=1,W1660&lt;1),IF(AND(C1661=C1660,W1661=W1660+1),IF(Y1661=1,"",INDEX(DATAS,W1660+1)),INDEX(DATAS,W1660+1)),"")</f>
        <v/>
      </c>
    </row>
    <row r="1661" customFormat="false" ht="15" hidden="false" customHeight="false" outlineLevel="0" collapsed="false">
      <c r="A1661" s="33" t="n">
        <v>46309</v>
      </c>
      <c r="B1661" s="0" t="n">
        <v>4</v>
      </c>
      <c r="C1661" s="0" t="n">
        <v>5822</v>
      </c>
      <c r="D1661" s="0" t="n">
        <v>140</v>
      </c>
      <c r="E1661" s="0" t="n">
        <v>1</v>
      </c>
      <c r="F1661" s="27" t="s">
        <v>1006</v>
      </c>
      <c r="G1661" s="0" t="n">
        <v>47.7</v>
      </c>
      <c r="H1661" s="0" t="n">
        <v>49</v>
      </c>
      <c r="I1661" s="27" t="s">
        <v>168</v>
      </c>
      <c r="J1661" s="0" t="n">
        <v>140</v>
      </c>
      <c r="K1661" s="0" t="n">
        <v>63</v>
      </c>
      <c r="P1661" s="0" t="n">
        <v>2.67</v>
      </c>
      <c r="Q1661" s="0" t="n">
        <v>3.15</v>
      </c>
      <c r="R1661" s="0" t="n">
        <v>4000</v>
      </c>
      <c r="S1661" s="0" t="n">
        <v>8420</v>
      </c>
      <c r="T1661" s="0" t="n">
        <v>43.1</v>
      </c>
      <c r="U1661" s="0" t="n">
        <v>786</v>
      </c>
      <c r="V1661" s="0" t="n">
        <v>3</v>
      </c>
      <c r="W1661" s="27" t="n">
        <f aca="false">MATCH(A1661,DATAS,0)</f>
        <v>1</v>
      </c>
      <c r="X1661" s="27" t="n">
        <f aca="false">IF(AND(E1661&gt;0,OR(AND(B1661&gt;=1,B1661&lt;=6),B1661=10)),1,0)</f>
        <v>1</v>
      </c>
      <c r="Y1661" s="27" t="n">
        <f aca="false">IF(AND(E1661&gt;0,B1661=10),1,0)</f>
        <v>0</v>
      </c>
      <c r="Z1661" s="0" t="str">
        <f aca="false">IF(AND(C1660=C1661,W1660=W1661-1),X1660,"")</f>
        <v/>
      </c>
      <c r="AA1661" s="0" t="str">
        <f aca="false">IF(AND(C1660=C1661,W1660=W1661-1),Y1660,"")</f>
        <v/>
      </c>
      <c r="AB1661" s="0" t="str">
        <f aca="false">IF(W1661=1,"",IF(AND(X1661=1,Z1661&lt;&gt;1),1,0))</f>
        <v/>
      </c>
      <c r="AC1661" s="0" t="str">
        <f aca="false">IF(W1661=1,"",IF(AND(Y1661=1,AA1661&lt;&gt;1),1,0))</f>
        <v/>
      </c>
      <c r="AD1661" s="33" t="str">
        <f aca="false">IF(AND(E1661&gt;0,W1661&lt;1,NOT(AND(C1662=C1661,W1662=W1661+1))),INDEX(DATAS,W1661+1),"")</f>
        <v/>
      </c>
      <c r="AE1661" s="33" t="str">
        <f aca="false">IF(AND(Y1661=1,W1661&lt;1),IF(AND(C1662=C1661,W1662=W1661+1),IF(Y1662=1,"",INDEX(DATAS,W1661+1)),INDEX(DATAS,W1661+1)),"")</f>
        <v/>
      </c>
    </row>
    <row r="1662" customFormat="false" ht="15" hidden="false" customHeight="false" outlineLevel="0" collapsed="false">
      <c r="A1662" s="33" t="n">
        <v>46309</v>
      </c>
      <c r="B1662" s="0" t="n">
        <v>1</v>
      </c>
      <c r="C1662" s="0" t="n">
        <v>5824</v>
      </c>
      <c r="D1662" s="0" t="n">
        <v>65</v>
      </c>
      <c r="E1662" s="0" t="n">
        <v>1</v>
      </c>
      <c r="F1662" s="27" t="s">
        <v>1007</v>
      </c>
      <c r="G1662" s="0" t="n">
        <v>56.1</v>
      </c>
      <c r="H1662" s="0" t="n">
        <v>55</v>
      </c>
      <c r="I1662" s="27" t="s">
        <v>168</v>
      </c>
      <c r="J1662" s="0" t="n">
        <v>65</v>
      </c>
      <c r="K1662" s="0" t="n">
        <v>65</v>
      </c>
      <c r="P1662" s="0" t="n">
        <v>3.12</v>
      </c>
      <c r="Q1662" s="0" t="n">
        <v>3.21</v>
      </c>
      <c r="R1662" s="0" t="n">
        <v>4679</v>
      </c>
      <c r="S1662" s="0" t="n">
        <v>9405</v>
      </c>
      <c r="U1662" s="0" t="n">
        <v>784</v>
      </c>
      <c r="V1662" s="0" t="n">
        <v>1</v>
      </c>
      <c r="W1662" s="27" t="n">
        <f aca="false">MATCH(A1662,DATAS,0)</f>
        <v>1</v>
      </c>
      <c r="X1662" s="27" t="n">
        <f aca="false">IF(AND(E1662&gt;0,OR(AND(B1662&gt;=1,B1662&lt;=6),B1662=10)),1,0)</f>
        <v>1</v>
      </c>
      <c r="Y1662" s="27" t="n">
        <f aca="false">IF(AND(E1662&gt;0,B1662=10),1,0)</f>
        <v>0</v>
      </c>
      <c r="Z1662" s="0" t="str">
        <f aca="false">IF(AND(C1661=C1662,W1661=W1662-1),X1661,"")</f>
        <v/>
      </c>
      <c r="AA1662" s="0" t="str">
        <f aca="false">IF(AND(C1661=C1662,W1661=W1662-1),Y1661,"")</f>
        <v/>
      </c>
      <c r="AB1662" s="0" t="str">
        <f aca="false">IF(W1662=1,"",IF(AND(X1662=1,Z1662&lt;&gt;1),1,0))</f>
        <v/>
      </c>
      <c r="AC1662" s="0" t="str">
        <f aca="false">IF(W1662=1,"",IF(AND(Y1662=1,AA1662&lt;&gt;1),1,0))</f>
        <v/>
      </c>
      <c r="AD1662" s="33" t="str">
        <f aca="false">IF(AND(E1662&gt;0,W1662&lt;1,NOT(AND(C1663=C1662,W1663=W1662+1))),INDEX(DATAS,W1662+1),"")</f>
        <v/>
      </c>
      <c r="AE1662" s="33" t="str">
        <f aca="false">IF(AND(Y1662=1,W1662&lt;1),IF(AND(C1663=C1662,W1663=W1662+1),IF(Y1663=1,"",INDEX(DATAS,W1662+1)),INDEX(DATAS,W1662+1)),"")</f>
        <v/>
      </c>
    </row>
    <row r="1663" customFormat="false" ht="15" hidden="false" customHeight="false" outlineLevel="0" collapsed="false">
      <c r="A1663" s="33" t="n">
        <v>46309</v>
      </c>
      <c r="B1663" s="0" t="n">
        <v>4</v>
      </c>
      <c r="C1663" s="0" t="n">
        <v>5826</v>
      </c>
      <c r="D1663" s="0" t="n">
        <v>179</v>
      </c>
      <c r="E1663" s="0" t="n">
        <v>1</v>
      </c>
      <c r="F1663" s="27" t="s">
        <v>1008</v>
      </c>
      <c r="G1663" s="0" t="n">
        <v>47.7</v>
      </c>
      <c r="H1663" s="0" t="n">
        <v>49</v>
      </c>
      <c r="I1663" s="27" t="s">
        <v>138</v>
      </c>
      <c r="J1663" s="0" t="n">
        <v>67</v>
      </c>
      <c r="K1663" s="0" t="n">
        <v>67</v>
      </c>
      <c r="L1663" s="0" t="n">
        <v>112</v>
      </c>
      <c r="P1663" s="0" t="n">
        <v>3.61</v>
      </c>
      <c r="Q1663" s="0" t="n">
        <v>3.18</v>
      </c>
      <c r="R1663" s="0" t="n">
        <v>3656</v>
      </c>
      <c r="S1663" s="0" t="n">
        <v>8218</v>
      </c>
      <c r="T1663" s="0" t="n">
        <v>39.95</v>
      </c>
      <c r="U1663" s="0" t="n">
        <v>782</v>
      </c>
      <c r="V1663" s="0" t="n">
        <v>1</v>
      </c>
      <c r="W1663" s="27" t="n">
        <f aca="false">MATCH(A1663,DATAS,0)</f>
        <v>1</v>
      </c>
      <c r="X1663" s="27" t="n">
        <f aca="false">IF(AND(E1663&gt;0,OR(AND(B1663&gt;=1,B1663&lt;=6),B1663=10)),1,0)</f>
        <v>1</v>
      </c>
      <c r="Y1663" s="27" t="n">
        <f aca="false">IF(AND(E1663&gt;0,B1663=10),1,0)</f>
        <v>0</v>
      </c>
      <c r="Z1663" s="0" t="str">
        <f aca="false">IF(AND(C1662=C1663,W1662=W1663-1),X1662,"")</f>
        <v/>
      </c>
      <c r="AA1663" s="0" t="str">
        <f aca="false">IF(AND(C1662=C1663,W1662=W1663-1),Y1662,"")</f>
        <v/>
      </c>
      <c r="AB1663" s="0" t="str">
        <f aca="false">IF(W1663=1,"",IF(AND(X1663=1,Z1663&lt;&gt;1),1,0))</f>
        <v/>
      </c>
      <c r="AC1663" s="0" t="str">
        <f aca="false">IF(W1663=1,"",IF(AND(Y1663=1,AA1663&lt;&gt;1),1,0))</f>
        <v/>
      </c>
      <c r="AD1663" s="33" t="str">
        <f aca="false">IF(AND(E1663&gt;0,W1663&lt;1,NOT(AND(C1664=C1663,W1664=W1663+1))),INDEX(DATAS,W1663+1),"")</f>
        <v/>
      </c>
      <c r="AE1663" s="33" t="str">
        <f aca="false">IF(AND(Y1663=1,W1663&lt;1),IF(AND(C1664=C1663,W1664=W1663+1),IF(Y1664=1,"",INDEX(DATAS,W1663+1)),INDEX(DATAS,W1663+1)),"")</f>
        <v/>
      </c>
    </row>
    <row r="1664" customFormat="false" ht="15" hidden="false" customHeight="false" outlineLevel="0" collapsed="false">
      <c r="A1664" s="33" t="n">
        <v>46309</v>
      </c>
      <c r="B1664" s="0" t="n">
        <v>7</v>
      </c>
      <c r="C1664" s="0" t="n">
        <v>5827</v>
      </c>
      <c r="E1664" s="0" t="n">
        <v>0</v>
      </c>
      <c r="F1664" s="27" t="s">
        <v>1008</v>
      </c>
      <c r="I1664" s="27" t="s">
        <v>138</v>
      </c>
      <c r="L1664" s="0" t="n">
        <v>252</v>
      </c>
      <c r="U1664" s="0" t="n">
        <v>782</v>
      </c>
      <c r="V1664" s="0" t="n">
        <v>8</v>
      </c>
      <c r="W1664" s="27" t="n">
        <f aca="false">MATCH(A1664,DATAS,0)</f>
        <v>1</v>
      </c>
      <c r="X1664" s="27" t="n">
        <f aca="false">IF(AND(E1664&gt;0,OR(AND(B1664&gt;=1,B1664&lt;=6),B1664=10)),1,0)</f>
        <v>0</v>
      </c>
      <c r="Y1664" s="27" t="n">
        <f aca="false">IF(AND(E1664&gt;0,B1664=10),1,0)</f>
        <v>0</v>
      </c>
      <c r="Z1664" s="0" t="str">
        <f aca="false">IF(AND(C1663=C1664,W1663=W1664-1),X1663,"")</f>
        <v/>
      </c>
      <c r="AA1664" s="0" t="str">
        <f aca="false">IF(AND(C1663=C1664,W1663=W1664-1),Y1663,"")</f>
        <v/>
      </c>
      <c r="AB1664" s="0" t="str">
        <f aca="false">IF(W1664=1,"",IF(AND(X1664=1,Z1664&lt;&gt;1),1,0))</f>
        <v/>
      </c>
      <c r="AC1664" s="0" t="str">
        <f aca="false">IF(W1664=1,"",IF(AND(Y1664=1,AA1664&lt;&gt;1),1,0))</f>
        <v/>
      </c>
      <c r="AD1664" s="33" t="str">
        <f aca="false">IF(AND(E1664&gt;0,W1664&lt;1,NOT(AND(C1665=C1664,W1665=W1664+1))),INDEX(DATAS,W1664+1),"")</f>
        <v/>
      </c>
      <c r="AE1664" s="33" t="str">
        <f aca="false">IF(AND(Y1664=1,W1664&lt;1),IF(AND(C1665=C1664,W1665=W1664+1),IF(Y1665=1,"",INDEX(DATAS,W1664+1)),INDEX(DATAS,W1664+1)),"")</f>
        <v/>
      </c>
    </row>
    <row r="1665" customFormat="false" ht="15" hidden="false" customHeight="false" outlineLevel="0" collapsed="false">
      <c r="A1665" s="33" t="n">
        <v>46309</v>
      </c>
      <c r="B1665" s="0" t="n">
        <v>14</v>
      </c>
      <c r="C1665" s="0" t="n">
        <v>5828</v>
      </c>
      <c r="E1665" s="0" t="n">
        <v>0</v>
      </c>
      <c r="F1665" s="27" t="s">
        <v>1008</v>
      </c>
      <c r="I1665" s="27" t="s">
        <v>138</v>
      </c>
      <c r="L1665" s="0" t="n">
        <v>266</v>
      </c>
      <c r="U1665" s="0" t="n">
        <v>782</v>
      </c>
      <c r="V1665" s="0" t="n">
        <v>3</v>
      </c>
      <c r="W1665" s="27" t="n">
        <f aca="false">MATCH(A1665,DATAS,0)</f>
        <v>1</v>
      </c>
      <c r="X1665" s="27" t="n">
        <f aca="false">IF(AND(E1665&gt;0,OR(AND(B1665&gt;=1,B1665&lt;=6),B1665=10)),1,0)</f>
        <v>0</v>
      </c>
      <c r="Y1665" s="27" t="n">
        <f aca="false">IF(AND(E1665&gt;0,B1665=10),1,0)</f>
        <v>0</v>
      </c>
      <c r="Z1665" s="0" t="str">
        <f aca="false">IF(AND(C1664=C1665,W1664=W1665-1),X1664,"")</f>
        <v/>
      </c>
      <c r="AA1665" s="0" t="str">
        <f aca="false">IF(AND(C1664=C1665,W1664=W1665-1),Y1664,"")</f>
        <v/>
      </c>
      <c r="AB1665" s="0" t="str">
        <f aca="false">IF(W1665=1,"",IF(AND(X1665=1,Z1665&lt;&gt;1),1,0))</f>
        <v/>
      </c>
      <c r="AC1665" s="0" t="str">
        <f aca="false">IF(W1665=1,"",IF(AND(Y1665=1,AA1665&lt;&gt;1),1,0))</f>
        <v/>
      </c>
      <c r="AD1665" s="33" t="str">
        <f aca="false">IF(AND(E1665&gt;0,W1665&lt;1,NOT(AND(C1666=C1665,W1666=W1665+1))),INDEX(DATAS,W1665+1),"")</f>
        <v/>
      </c>
      <c r="AE1665" s="33" t="str">
        <f aca="false">IF(AND(Y1665=1,W1665&lt;1),IF(AND(C1666=C1665,W1666=W1665+1),IF(Y1666=1,"",INDEX(DATAS,W1665+1)),INDEX(DATAS,W1665+1)),"")</f>
        <v/>
      </c>
    </row>
    <row r="1666" customFormat="false" ht="15" hidden="false" customHeight="false" outlineLevel="0" collapsed="false">
      <c r="A1666" s="33" t="n">
        <v>46309</v>
      </c>
      <c r="B1666" s="0" t="n">
        <v>4</v>
      </c>
      <c r="C1666" s="0" t="n">
        <v>5829</v>
      </c>
      <c r="D1666" s="0" t="n">
        <v>142</v>
      </c>
      <c r="E1666" s="0" t="n">
        <v>1</v>
      </c>
      <c r="F1666" s="27" t="s">
        <v>1009</v>
      </c>
      <c r="G1666" s="0" t="n">
        <v>32</v>
      </c>
      <c r="H1666" s="0" t="n">
        <v>38</v>
      </c>
      <c r="I1666" s="27" t="s">
        <v>176</v>
      </c>
      <c r="J1666" s="0" t="n">
        <v>142</v>
      </c>
      <c r="K1666" s="0" t="n">
        <v>66</v>
      </c>
      <c r="P1666" s="0" t="n">
        <v>4.2</v>
      </c>
      <c r="Q1666" s="0" t="n">
        <v>3.31</v>
      </c>
      <c r="R1666" s="0" t="n">
        <v>3016</v>
      </c>
      <c r="S1666" s="0" t="n">
        <v>6610</v>
      </c>
      <c r="T1666" s="0" t="n">
        <v>33.1</v>
      </c>
      <c r="U1666" s="0" t="n">
        <v>781</v>
      </c>
      <c r="V1666" s="0" t="n">
        <v>2</v>
      </c>
      <c r="W1666" s="27" t="n">
        <f aca="false">MATCH(A1666,DATAS,0)</f>
        <v>1</v>
      </c>
      <c r="X1666" s="27" t="n">
        <f aca="false">IF(AND(E1666&gt;0,OR(AND(B1666&gt;=1,B1666&lt;=6),B1666=10)),1,0)</f>
        <v>1</v>
      </c>
      <c r="Y1666" s="27" t="n">
        <f aca="false">IF(AND(E1666&gt;0,B1666=10),1,0)</f>
        <v>0</v>
      </c>
      <c r="Z1666" s="0" t="str">
        <f aca="false">IF(AND(C1665=C1666,W1665=W1666-1),X1665,"")</f>
        <v/>
      </c>
      <c r="AA1666" s="0" t="str">
        <f aca="false">IF(AND(C1665=C1666,W1665=W1666-1),Y1665,"")</f>
        <v/>
      </c>
      <c r="AB1666" s="0" t="str">
        <f aca="false">IF(W1666=1,"",IF(AND(X1666=1,Z1666&lt;&gt;1),1,0))</f>
        <v/>
      </c>
      <c r="AC1666" s="0" t="str">
        <f aca="false">IF(W1666=1,"",IF(AND(Y1666=1,AA1666&lt;&gt;1),1,0))</f>
        <v/>
      </c>
      <c r="AD1666" s="33" t="str">
        <f aca="false">IF(AND(E1666&gt;0,W1666&lt;1,NOT(AND(C1667=C1666,W1667=W1666+1))),INDEX(DATAS,W1666+1),"")</f>
        <v/>
      </c>
      <c r="AE1666" s="33" t="str">
        <f aca="false">IF(AND(Y1666=1,W1666&lt;1),IF(AND(C1667=C1666,W1667=W1666+1),IF(Y1667=1,"",INDEX(DATAS,W1666+1)),INDEX(DATAS,W1666+1)),"")</f>
        <v/>
      </c>
    </row>
    <row r="1667" customFormat="false" ht="15" hidden="false" customHeight="false" outlineLevel="0" collapsed="false">
      <c r="A1667" s="33" t="n">
        <v>46309</v>
      </c>
      <c r="B1667" s="0" t="n">
        <v>10</v>
      </c>
      <c r="C1667" s="0" t="n">
        <v>5833</v>
      </c>
      <c r="D1667" s="0" t="n">
        <v>112</v>
      </c>
      <c r="E1667" s="0" t="n">
        <v>1</v>
      </c>
      <c r="F1667" s="27" t="s">
        <v>1009</v>
      </c>
      <c r="G1667" s="0" t="n">
        <v>27.5</v>
      </c>
      <c r="H1667" s="0" t="n">
        <v>32</v>
      </c>
      <c r="I1667" s="27" t="s">
        <v>168</v>
      </c>
      <c r="J1667" s="0" t="n">
        <v>112</v>
      </c>
      <c r="K1667" s="0" t="n">
        <v>64</v>
      </c>
      <c r="P1667" s="0" t="n">
        <v>4.42</v>
      </c>
      <c r="Q1667" s="0" t="n">
        <v>3.08</v>
      </c>
      <c r="R1667" s="0" t="n">
        <v>4104</v>
      </c>
      <c r="S1667" s="0" t="n">
        <v>8349</v>
      </c>
      <c r="T1667" s="0" t="n">
        <v>44.75</v>
      </c>
      <c r="U1667" s="0" t="n">
        <v>781</v>
      </c>
      <c r="V1667" s="0" t="n">
        <v>2</v>
      </c>
      <c r="W1667" s="27" t="n">
        <f aca="false">MATCH(A1667,DATAS,0)</f>
        <v>1</v>
      </c>
      <c r="X1667" s="27" t="n">
        <f aca="false">IF(AND(E1667&gt;0,OR(AND(B1667&gt;=1,B1667&lt;=6),B1667=10)),1,0)</f>
        <v>1</v>
      </c>
      <c r="Y1667" s="27" t="n">
        <f aca="false">IF(AND(E1667&gt;0,B1667=10),1,0)</f>
        <v>1</v>
      </c>
      <c r="Z1667" s="0" t="str">
        <f aca="false">IF(AND(C1666=C1667,W1666=W1667-1),X1666,"")</f>
        <v/>
      </c>
      <c r="AA1667" s="0" t="str">
        <f aca="false">IF(AND(C1666=C1667,W1666=W1667-1),Y1666,"")</f>
        <v/>
      </c>
      <c r="AB1667" s="0" t="str">
        <f aca="false">IF(W1667=1,"",IF(AND(X1667=1,Z1667&lt;&gt;1),1,0))</f>
        <v/>
      </c>
      <c r="AC1667" s="0" t="str">
        <f aca="false">IF(W1667=1,"",IF(AND(Y1667=1,AA1667&lt;&gt;1),1,0))</f>
        <v/>
      </c>
      <c r="AD1667" s="33" t="str">
        <f aca="false">IF(AND(E1667&gt;0,W1667&lt;1,NOT(AND(C1668=C1667,W1668=W1667+1))),INDEX(DATAS,W1667+1),"")</f>
        <v/>
      </c>
      <c r="AE1667" s="33" t="str">
        <f aca="false">IF(AND(Y1667=1,W1667&lt;1),IF(AND(C1668=C1667,W1668=W1667+1),IF(Y1668=1,"",INDEX(DATAS,W1667+1)),INDEX(DATAS,W1667+1)),"")</f>
        <v/>
      </c>
    </row>
    <row r="1668" customFormat="false" ht="15" hidden="false" customHeight="false" outlineLevel="0" collapsed="false">
      <c r="A1668" s="33" t="n">
        <v>46309</v>
      </c>
      <c r="B1668" s="0" t="n">
        <v>1</v>
      </c>
      <c r="C1668" s="0" t="n">
        <v>5834</v>
      </c>
      <c r="D1668" s="0" t="n">
        <v>89</v>
      </c>
      <c r="E1668" s="0" t="n">
        <v>1</v>
      </c>
      <c r="F1668" s="27" t="s">
        <v>1009</v>
      </c>
      <c r="G1668" s="0" t="n">
        <v>56.7</v>
      </c>
      <c r="H1668" s="0" t="n">
        <v>57</v>
      </c>
      <c r="I1668" s="27" t="s">
        <v>168</v>
      </c>
      <c r="J1668" s="0" t="n">
        <v>89</v>
      </c>
      <c r="K1668" s="0" t="n">
        <v>68</v>
      </c>
      <c r="P1668" s="0" t="n">
        <v>4.14</v>
      </c>
      <c r="Q1668" s="0" t="n">
        <v>3.1</v>
      </c>
      <c r="R1668" s="0" t="n">
        <v>4913</v>
      </c>
      <c r="S1668" s="0" t="n">
        <v>9877</v>
      </c>
      <c r="U1668" s="0" t="n">
        <v>781</v>
      </c>
      <c r="V1668" s="0" t="n">
        <v>1</v>
      </c>
      <c r="W1668" s="27" t="n">
        <f aca="false">MATCH(A1668,DATAS,0)</f>
        <v>1</v>
      </c>
      <c r="X1668" s="27" t="n">
        <f aca="false">IF(AND(E1668&gt;0,OR(AND(B1668&gt;=1,B1668&lt;=6),B1668=10)),1,0)</f>
        <v>1</v>
      </c>
      <c r="Y1668" s="27" t="n">
        <f aca="false">IF(AND(E1668&gt;0,B1668=10),1,0)</f>
        <v>0</v>
      </c>
      <c r="Z1668" s="0" t="str">
        <f aca="false">IF(AND(C1667=C1668,W1667=W1668-1),X1667,"")</f>
        <v/>
      </c>
      <c r="AA1668" s="0" t="str">
        <f aca="false">IF(AND(C1667=C1668,W1667=W1668-1),Y1667,"")</f>
        <v/>
      </c>
      <c r="AB1668" s="0" t="str">
        <f aca="false">IF(W1668=1,"",IF(AND(X1668=1,Z1668&lt;&gt;1),1,0))</f>
        <v/>
      </c>
      <c r="AC1668" s="0" t="str">
        <f aca="false">IF(W1668=1,"",IF(AND(Y1668=1,AA1668&lt;&gt;1),1,0))</f>
        <v/>
      </c>
      <c r="AD1668" s="33" t="str">
        <f aca="false">IF(AND(E1668&gt;0,W1668&lt;1,NOT(AND(C1669=C1668,W1669=W1668+1))),INDEX(DATAS,W1668+1),"")</f>
        <v/>
      </c>
      <c r="AE1668" s="33" t="str">
        <f aca="false">IF(AND(Y1668=1,W1668&lt;1),IF(AND(C1669=C1668,W1669=W1668+1),IF(Y1669=1,"",INDEX(DATAS,W1668+1)),INDEX(DATAS,W1668+1)),"")</f>
        <v/>
      </c>
    </row>
    <row r="1669" customFormat="false" ht="15" hidden="false" customHeight="false" outlineLevel="0" collapsed="false">
      <c r="A1669" s="33" t="n">
        <v>46309</v>
      </c>
      <c r="B1669" s="0" t="n">
        <v>6</v>
      </c>
      <c r="C1669" s="0" t="n">
        <v>5835</v>
      </c>
      <c r="D1669" s="0" t="n">
        <v>142</v>
      </c>
      <c r="E1669" s="0" t="n">
        <v>1</v>
      </c>
      <c r="F1669" s="27" t="s">
        <v>1010</v>
      </c>
      <c r="G1669" s="0" t="n">
        <v>31.1</v>
      </c>
      <c r="H1669" s="0" t="n">
        <v>41</v>
      </c>
      <c r="I1669" s="27" t="s">
        <v>138</v>
      </c>
      <c r="J1669" s="0" t="n">
        <v>100</v>
      </c>
      <c r="K1669" s="0" t="n">
        <v>65</v>
      </c>
      <c r="L1669" s="0" t="n">
        <v>42</v>
      </c>
      <c r="P1669" s="0" t="n">
        <v>3.35</v>
      </c>
      <c r="Q1669" s="0" t="n">
        <v>3.22</v>
      </c>
      <c r="R1669" s="0" t="n">
        <v>3978</v>
      </c>
      <c r="S1669" s="0" t="n">
        <v>8724</v>
      </c>
      <c r="T1669" s="0" t="n">
        <v>47.1</v>
      </c>
      <c r="U1669" s="0" t="n">
        <v>780</v>
      </c>
      <c r="V1669" s="0" t="n">
        <v>2</v>
      </c>
      <c r="W1669" s="27" t="n">
        <f aca="false">MATCH(A1669,DATAS,0)</f>
        <v>1</v>
      </c>
      <c r="X1669" s="27" t="n">
        <f aca="false">IF(AND(E1669&gt;0,OR(AND(B1669&gt;=1,B1669&lt;=6),B1669=10)),1,0)</f>
        <v>1</v>
      </c>
      <c r="Y1669" s="27" t="n">
        <f aca="false">IF(AND(E1669&gt;0,B1669=10),1,0)</f>
        <v>0</v>
      </c>
      <c r="Z1669" s="0" t="str">
        <f aca="false">IF(AND(C1668=C1669,W1668=W1669-1),X1668,"")</f>
        <v/>
      </c>
      <c r="AA1669" s="0" t="str">
        <f aca="false">IF(AND(C1668=C1669,W1668=W1669-1),Y1668,"")</f>
        <v/>
      </c>
      <c r="AB1669" s="0" t="str">
        <f aca="false">IF(W1669=1,"",IF(AND(X1669=1,Z1669&lt;&gt;1),1,0))</f>
        <v/>
      </c>
      <c r="AC1669" s="0" t="str">
        <f aca="false">IF(W1669=1,"",IF(AND(Y1669=1,AA1669&lt;&gt;1),1,0))</f>
        <v/>
      </c>
      <c r="AD1669" s="33" t="str">
        <f aca="false">IF(AND(E1669&gt;0,W1669&lt;1,NOT(AND(C1670=C1669,W1670=W1669+1))),INDEX(DATAS,W1669+1),"")</f>
        <v/>
      </c>
      <c r="AE1669" s="33" t="str">
        <f aca="false">IF(AND(Y1669=1,W1669&lt;1),IF(AND(C1670=C1669,W1670=W1669+1),IF(Y1670=1,"",INDEX(DATAS,W1669+1)),INDEX(DATAS,W1669+1)),"")</f>
        <v/>
      </c>
    </row>
    <row r="1670" customFormat="false" ht="15" hidden="false" customHeight="false" outlineLevel="0" collapsed="false">
      <c r="A1670" s="33" t="n">
        <v>46309</v>
      </c>
      <c r="B1670" s="0" t="n">
        <v>4</v>
      </c>
      <c r="C1670" s="0" t="n">
        <v>5836</v>
      </c>
      <c r="D1670" s="0" t="n">
        <v>135</v>
      </c>
      <c r="E1670" s="0" t="n">
        <v>1</v>
      </c>
      <c r="F1670" s="27" t="s">
        <v>1010</v>
      </c>
      <c r="G1670" s="0" t="n">
        <v>43.7</v>
      </c>
      <c r="H1670" s="0" t="n">
        <v>45</v>
      </c>
      <c r="I1670" s="27" t="s">
        <v>176</v>
      </c>
      <c r="J1670" s="0" t="n">
        <v>135</v>
      </c>
      <c r="K1670" s="0" t="n">
        <v>65</v>
      </c>
      <c r="P1670" s="0" t="n">
        <v>3.75</v>
      </c>
      <c r="Q1670" s="0" t="n">
        <v>3.43</v>
      </c>
      <c r="R1670" s="0" t="n">
        <v>3510</v>
      </c>
      <c r="S1670" s="0" t="n">
        <v>7783</v>
      </c>
      <c r="T1670" s="0" t="n">
        <v>40.5</v>
      </c>
      <c r="U1670" s="0" t="n">
        <v>780</v>
      </c>
      <c r="V1670" s="0" t="n">
        <v>2</v>
      </c>
      <c r="W1670" s="27" t="n">
        <f aca="false">MATCH(A1670,DATAS,0)</f>
        <v>1</v>
      </c>
      <c r="X1670" s="27" t="n">
        <f aca="false">IF(AND(E1670&gt;0,OR(AND(B1670&gt;=1,B1670&lt;=6),B1670=10)),1,0)</f>
        <v>1</v>
      </c>
      <c r="Y1670" s="27" t="n">
        <f aca="false">IF(AND(E1670&gt;0,B1670=10),1,0)</f>
        <v>0</v>
      </c>
      <c r="Z1670" s="0" t="str">
        <f aca="false">IF(AND(C1669=C1670,W1669=W1670-1),X1669,"")</f>
        <v/>
      </c>
      <c r="AA1670" s="0" t="str">
        <f aca="false">IF(AND(C1669=C1670,W1669=W1670-1),Y1669,"")</f>
        <v/>
      </c>
      <c r="AB1670" s="0" t="str">
        <f aca="false">IF(W1670=1,"",IF(AND(X1670=1,Z1670&lt;&gt;1),1,0))</f>
        <v/>
      </c>
      <c r="AC1670" s="0" t="str">
        <f aca="false">IF(W1670=1,"",IF(AND(Y1670=1,AA1670&lt;&gt;1),1,0))</f>
        <v/>
      </c>
      <c r="AD1670" s="33" t="str">
        <f aca="false">IF(AND(E1670&gt;0,W1670&lt;1,NOT(AND(C1671=C1670,W1671=W1670+1))),INDEX(DATAS,W1670+1),"")</f>
        <v/>
      </c>
      <c r="AE1670" s="33" t="str">
        <f aca="false">IF(AND(Y1670=1,W1670&lt;1),IF(AND(C1671=C1670,W1671=W1670+1),IF(Y1671=1,"",INDEX(DATAS,W1670+1)),INDEX(DATAS,W1670+1)),"")</f>
        <v/>
      </c>
    </row>
    <row r="1671" customFormat="false" ht="15" hidden="false" customHeight="false" outlineLevel="0" collapsed="false">
      <c r="A1671" s="33" t="n">
        <v>46309</v>
      </c>
      <c r="B1671" s="0" t="n">
        <v>4</v>
      </c>
      <c r="C1671" s="0" t="n">
        <v>5837</v>
      </c>
      <c r="D1671" s="0" t="n">
        <v>114</v>
      </c>
      <c r="E1671" s="0" t="n">
        <v>1</v>
      </c>
      <c r="F1671" s="27" t="s">
        <v>1011</v>
      </c>
      <c r="G1671" s="0" t="n">
        <v>59.5</v>
      </c>
      <c r="H1671" s="0" t="n">
        <v>58</v>
      </c>
      <c r="I1671" s="27" t="s">
        <v>138</v>
      </c>
      <c r="J1671" s="0" t="n">
        <v>65</v>
      </c>
      <c r="K1671" s="0" t="n">
        <v>65</v>
      </c>
      <c r="L1671" s="0" t="n">
        <v>49</v>
      </c>
      <c r="P1671" s="0" t="n">
        <v>2.93</v>
      </c>
      <c r="Q1671" s="0" t="n">
        <v>3.12</v>
      </c>
      <c r="R1671" s="0" t="n">
        <v>4597</v>
      </c>
      <c r="S1671" s="0" t="n">
        <v>9562</v>
      </c>
      <c r="T1671" s="0" t="n">
        <v>52.35</v>
      </c>
      <c r="U1671" s="0" t="n">
        <v>779</v>
      </c>
      <c r="V1671" s="0" t="n">
        <v>1</v>
      </c>
      <c r="W1671" s="27" t="n">
        <f aca="false">MATCH(A1671,DATAS,0)</f>
        <v>1</v>
      </c>
      <c r="X1671" s="27" t="n">
        <f aca="false">IF(AND(E1671&gt;0,OR(AND(B1671&gt;=1,B1671&lt;=6),B1671=10)),1,0)</f>
        <v>1</v>
      </c>
      <c r="Y1671" s="27" t="n">
        <f aca="false">IF(AND(E1671&gt;0,B1671=10),1,0)</f>
        <v>0</v>
      </c>
      <c r="Z1671" s="0" t="str">
        <f aca="false">IF(AND(C1670=C1671,W1670=W1671-1),X1670,"")</f>
        <v/>
      </c>
      <c r="AA1671" s="0" t="str">
        <f aca="false">IF(AND(C1670=C1671,W1670=W1671-1),Y1670,"")</f>
        <v/>
      </c>
      <c r="AB1671" s="0" t="str">
        <f aca="false">IF(W1671=1,"",IF(AND(X1671=1,Z1671&lt;&gt;1),1,0))</f>
        <v/>
      </c>
      <c r="AC1671" s="0" t="str">
        <f aca="false">IF(W1671=1,"",IF(AND(Y1671=1,AA1671&lt;&gt;1),1,0))</f>
        <v/>
      </c>
      <c r="AD1671" s="33" t="str">
        <f aca="false">IF(AND(E1671&gt;0,W1671&lt;1,NOT(AND(C1672=C1671,W1672=W1671+1))),INDEX(DATAS,W1671+1),"")</f>
        <v/>
      </c>
      <c r="AE1671" s="33" t="str">
        <f aca="false">IF(AND(Y1671=1,W1671&lt;1),IF(AND(C1672=C1671,W1672=W1671+1),IF(Y1672=1,"",INDEX(DATAS,W1671+1)),INDEX(DATAS,W1671+1)),"")</f>
        <v/>
      </c>
    </row>
    <row r="1672" customFormat="false" ht="15" hidden="false" customHeight="false" outlineLevel="0" collapsed="false">
      <c r="A1672" s="33" t="n">
        <v>46309</v>
      </c>
      <c r="B1672" s="0" t="n">
        <v>4</v>
      </c>
      <c r="C1672" s="0" t="n">
        <v>5838</v>
      </c>
      <c r="D1672" s="0" t="n">
        <v>142</v>
      </c>
      <c r="E1672" s="0" t="n">
        <v>1</v>
      </c>
      <c r="F1672" s="27" t="s">
        <v>1012</v>
      </c>
      <c r="G1672" s="0" t="n">
        <v>62.6</v>
      </c>
      <c r="H1672" s="0" t="n">
        <v>62</v>
      </c>
      <c r="I1672" s="27" t="s">
        <v>168</v>
      </c>
      <c r="J1672" s="0" t="n">
        <v>142</v>
      </c>
      <c r="K1672" s="0" t="n">
        <v>65</v>
      </c>
      <c r="P1672" s="0" t="n">
        <v>3.6</v>
      </c>
      <c r="Q1672" s="0" t="n">
        <v>2.72</v>
      </c>
      <c r="R1672" s="0" t="n">
        <v>4615</v>
      </c>
      <c r="S1672" s="0" t="n">
        <v>10032</v>
      </c>
      <c r="T1672" s="0" t="n">
        <v>52.75</v>
      </c>
      <c r="U1672" s="0" t="n">
        <v>778</v>
      </c>
      <c r="V1672" s="0" t="n">
        <v>2</v>
      </c>
      <c r="W1672" s="27" t="n">
        <f aca="false">MATCH(A1672,DATAS,0)</f>
        <v>1</v>
      </c>
      <c r="X1672" s="27" t="n">
        <f aca="false">IF(AND(E1672&gt;0,OR(AND(B1672&gt;=1,B1672&lt;=6),B1672=10)),1,0)</f>
        <v>1</v>
      </c>
      <c r="Y1672" s="27" t="n">
        <f aca="false">IF(AND(E1672&gt;0,B1672=10),1,0)</f>
        <v>0</v>
      </c>
      <c r="Z1672" s="0" t="str">
        <f aca="false">IF(AND(C1671=C1672,W1671=W1672-1),X1671,"")</f>
        <v/>
      </c>
      <c r="AA1672" s="0" t="str">
        <f aca="false">IF(AND(C1671=C1672,W1671=W1672-1),Y1671,"")</f>
        <v/>
      </c>
      <c r="AB1672" s="0" t="str">
        <f aca="false">IF(W1672=1,"",IF(AND(X1672=1,Z1672&lt;&gt;1),1,0))</f>
        <v/>
      </c>
      <c r="AC1672" s="0" t="str">
        <f aca="false">IF(W1672=1,"",IF(AND(Y1672=1,AA1672&lt;&gt;1),1,0))</f>
        <v/>
      </c>
      <c r="AD1672" s="33" t="str">
        <f aca="false">IF(AND(E1672&gt;0,W1672&lt;1,NOT(AND(C1673=C1672,W1673=W1672+1))),INDEX(DATAS,W1672+1),"")</f>
        <v/>
      </c>
      <c r="AE1672" s="33" t="str">
        <f aca="false">IF(AND(Y1672=1,W1672&lt;1),IF(AND(C1673=C1672,W1673=W1672+1),IF(Y1673=1,"",INDEX(DATAS,W1672+1)),INDEX(DATAS,W1672+1)),"")</f>
        <v/>
      </c>
    </row>
    <row r="1673" customFormat="false" ht="15" hidden="false" customHeight="false" outlineLevel="0" collapsed="false">
      <c r="A1673" s="33" t="n">
        <v>46309</v>
      </c>
      <c r="B1673" s="0" t="n">
        <v>1</v>
      </c>
      <c r="C1673" s="0" t="n">
        <v>5839</v>
      </c>
      <c r="D1673" s="0" t="n">
        <v>101</v>
      </c>
      <c r="E1673" s="0" t="n">
        <v>1</v>
      </c>
      <c r="F1673" s="27" t="s">
        <v>1012</v>
      </c>
      <c r="G1673" s="0" t="n">
        <v>49.1</v>
      </c>
      <c r="H1673" s="0" t="n">
        <v>47</v>
      </c>
      <c r="I1673" s="27" t="s">
        <v>168</v>
      </c>
      <c r="J1673" s="0" t="n">
        <v>101</v>
      </c>
      <c r="K1673" s="0" t="n">
        <v>66</v>
      </c>
      <c r="P1673" s="0" t="n">
        <v>3.7</v>
      </c>
      <c r="Q1673" s="0" t="n">
        <v>3.37</v>
      </c>
      <c r="R1673" s="0" t="n">
        <v>4280</v>
      </c>
      <c r="S1673" s="0" t="n">
        <v>8613</v>
      </c>
      <c r="T1673" s="0" t="n">
        <v>47.8</v>
      </c>
      <c r="U1673" s="0" t="n">
        <v>778</v>
      </c>
      <c r="V1673" s="0" t="n">
        <v>2</v>
      </c>
      <c r="W1673" s="27" t="n">
        <f aca="false">MATCH(A1673,DATAS,0)</f>
        <v>1</v>
      </c>
      <c r="X1673" s="27" t="n">
        <f aca="false">IF(AND(E1673&gt;0,OR(AND(B1673&gt;=1,B1673&lt;=6),B1673=10)),1,0)</f>
        <v>1</v>
      </c>
      <c r="Y1673" s="27" t="n">
        <f aca="false">IF(AND(E1673&gt;0,B1673=10),1,0)</f>
        <v>0</v>
      </c>
      <c r="Z1673" s="0" t="str">
        <f aca="false">IF(AND(C1672=C1673,W1672=W1673-1),X1672,"")</f>
        <v/>
      </c>
      <c r="AA1673" s="0" t="str">
        <f aca="false">IF(AND(C1672=C1673,W1672=W1673-1),Y1672,"")</f>
        <v/>
      </c>
      <c r="AB1673" s="0" t="str">
        <f aca="false">IF(W1673=1,"",IF(AND(X1673=1,Z1673&lt;&gt;1),1,0))</f>
        <v/>
      </c>
      <c r="AC1673" s="0" t="str">
        <f aca="false">IF(W1673=1,"",IF(AND(Y1673=1,AA1673&lt;&gt;1),1,0))</f>
        <v/>
      </c>
      <c r="AD1673" s="33" t="str">
        <f aca="false">IF(AND(E1673&gt;0,W1673&lt;1,NOT(AND(C1674=C1673,W1674=W1673+1))),INDEX(DATAS,W1673+1),"")</f>
        <v/>
      </c>
      <c r="AE1673" s="33" t="str">
        <f aca="false">IF(AND(Y1673=1,W1673&lt;1),IF(AND(C1674=C1673,W1674=W1673+1),IF(Y1674=1,"",INDEX(DATAS,W1673+1)),INDEX(DATAS,W1673+1)),"")</f>
        <v/>
      </c>
    </row>
    <row r="1674" customFormat="false" ht="15" hidden="false" customHeight="false" outlineLevel="0" collapsed="false">
      <c r="A1674" s="33" t="n">
        <v>46309</v>
      </c>
      <c r="B1674" s="0" t="n">
        <v>1</v>
      </c>
      <c r="C1674" s="0" t="n">
        <v>5840</v>
      </c>
      <c r="D1674" s="0" t="n">
        <v>88</v>
      </c>
      <c r="E1674" s="0" t="n">
        <v>1</v>
      </c>
      <c r="F1674" s="27" t="s">
        <v>1012</v>
      </c>
      <c r="G1674" s="0" t="n">
        <v>58.1</v>
      </c>
      <c r="H1674" s="0" t="n">
        <v>57</v>
      </c>
      <c r="I1674" s="27" t="s">
        <v>168</v>
      </c>
      <c r="J1674" s="0" t="n">
        <v>88</v>
      </c>
      <c r="K1674" s="0" t="n">
        <v>67</v>
      </c>
      <c r="P1674" s="0" t="n">
        <v>3.16</v>
      </c>
      <c r="Q1674" s="0" t="n">
        <v>3.18</v>
      </c>
      <c r="R1674" s="0" t="n">
        <v>4593</v>
      </c>
      <c r="S1674" s="0" t="n">
        <v>9233</v>
      </c>
      <c r="U1674" s="0" t="n">
        <v>778</v>
      </c>
      <c r="V1674" s="0" t="n">
        <v>1</v>
      </c>
      <c r="W1674" s="27" t="n">
        <f aca="false">MATCH(A1674,DATAS,0)</f>
        <v>1</v>
      </c>
      <c r="X1674" s="27" t="n">
        <f aca="false">IF(AND(E1674&gt;0,OR(AND(B1674&gt;=1,B1674&lt;=6),B1674=10)),1,0)</f>
        <v>1</v>
      </c>
      <c r="Y1674" s="27" t="n">
        <f aca="false">IF(AND(E1674&gt;0,B1674=10),1,0)</f>
        <v>0</v>
      </c>
      <c r="Z1674" s="0" t="str">
        <f aca="false">IF(AND(C1673=C1674,W1673=W1674-1),X1673,"")</f>
        <v/>
      </c>
      <c r="AA1674" s="0" t="str">
        <f aca="false">IF(AND(C1673=C1674,W1673=W1674-1),Y1673,"")</f>
        <v/>
      </c>
      <c r="AB1674" s="0" t="str">
        <f aca="false">IF(W1674=1,"",IF(AND(X1674=1,Z1674&lt;&gt;1),1,0))</f>
        <v/>
      </c>
      <c r="AC1674" s="0" t="str">
        <f aca="false">IF(W1674=1,"",IF(AND(Y1674=1,AA1674&lt;&gt;1),1,0))</f>
        <v/>
      </c>
      <c r="AD1674" s="33" t="str">
        <f aca="false">IF(AND(E1674&gt;0,W1674&lt;1,NOT(AND(C1675=C1674,W1675=W1674+1))),INDEX(DATAS,W1674+1),"")</f>
        <v/>
      </c>
      <c r="AE1674" s="33" t="str">
        <f aca="false">IF(AND(Y1674=1,W1674&lt;1),IF(AND(C1675=C1674,W1675=W1674+1),IF(Y1675=1,"",INDEX(DATAS,W1674+1)),INDEX(DATAS,W1674+1)),"")</f>
        <v/>
      </c>
    </row>
    <row r="1675" customFormat="false" ht="15" hidden="false" customHeight="false" outlineLevel="0" collapsed="false">
      <c r="A1675" s="33" t="n">
        <v>46309</v>
      </c>
      <c r="B1675" s="0" t="n">
        <v>4</v>
      </c>
      <c r="C1675" s="0" t="n">
        <v>5841</v>
      </c>
      <c r="D1675" s="0" t="n">
        <v>116</v>
      </c>
      <c r="E1675" s="0" t="n">
        <v>1</v>
      </c>
      <c r="F1675" s="27" t="s">
        <v>1012</v>
      </c>
      <c r="G1675" s="0" t="n">
        <v>53</v>
      </c>
      <c r="H1675" s="0" t="n">
        <v>59</v>
      </c>
      <c r="I1675" s="27" t="s">
        <v>168</v>
      </c>
      <c r="J1675" s="0" t="n">
        <v>116</v>
      </c>
      <c r="K1675" s="0" t="n">
        <v>67</v>
      </c>
      <c r="P1675" s="0" t="n">
        <v>3.47</v>
      </c>
      <c r="Q1675" s="0" t="n">
        <v>3.12</v>
      </c>
      <c r="R1675" s="0" t="n">
        <v>4627</v>
      </c>
      <c r="S1675" s="0" t="n">
        <v>9689</v>
      </c>
      <c r="T1675" s="0" t="n">
        <v>53.25</v>
      </c>
      <c r="U1675" s="0" t="n">
        <v>778</v>
      </c>
      <c r="V1675" s="0" t="n">
        <v>2</v>
      </c>
      <c r="W1675" s="27" t="n">
        <f aca="false">MATCH(A1675,DATAS,0)</f>
        <v>1</v>
      </c>
      <c r="X1675" s="27" t="n">
        <f aca="false">IF(AND(E1675&gt;0,OR(AND(B1675&gt;=1,B1675&lt;=6),B1675=10)),1,0)</f>
        <v>1</v>
      </c>
      <c r="Y1675" s="27" t="n">
        <f aca="false">IF(AND(E1675&gt;0,B1675=10),1,0)</f>
        <v>0</v>
      </c>
      <c r="Z1675" s="0" t="str">
        <f aca="false">IF(AND(C1674=C1675,W1674=W1675-1),X1674,"")</f>
        <v/>
      </c>
      <c r="AA1675" s="0" t="str">
        <f aca="false">IF(AND(C1674=C1675,W1674=W1675-1),Y1674,"")</f>
        <v/>
      </c>
      <c r="AB1675" s="0" t="str">
        <f aca="false">IF(W1675=1,"",IF(AND(X1675=1,Z1675&lt;&gt;1),1,0))</f>
        <v/>
      </c>
      <c r="AC1675" s="0" t="str">
        <f aca="false">IF(W1675=1,"",IF(AND(Y1675=1,AA1675&lt;&gt;1),1,0))</f>
        <v/>
      </c>
      <c r="AD1675" s="33" t="str">
        <f aca="false">IF(AND(E1675&gt;0,W1675&lt;1,NOT(AND(C1676=C1675,W1676=W1675+1))),INDEX(DATAS,W1675+1),"")</f>
        <v/>
      </c>
      <c r="AE1675" s="33" t="str">
        <f aca="false">IF(AND(Y1675=1,W1675&lt;1),IF(AND(C1676=C1675,W1676=W1675+1),IF(Y1676=1,"",INDEX(DATAS,W1675+1)),INDEX(DATAS,W1675+1)),"")</f>
        <v/>
      </c>
    </row>
    <row r="1676" customFormat="false" ht="15" hidden="false" customHeight="false" outlineLevel="0" collapsed="false">
      <c r="A1676" s="33" t="n">
        <v>46309</v>
      </c>
      <c r="B1676" s="0" t="n">
        <v>4</v>
      </c>
      <c r="C1676" s="0" t="n">
        <v>5842</v>
      </c>
      <c r="D1676" s="0" t="n">
        <v>111</v>
      </c>
      <c r="E1676" s="0" t="n">
        <v>1</v>
      </c>
      <c r="F1676" s="27" t="s">
        <v>1013</v>
      </c>
      <c r="G1676" s="0" t="n">
        <v>38.9</v>
      </c>
      <c r="H1676" s="0" t="n">
        <v>46</v>
      </c>
      <c r="I1676" s="27" t="s">
        <v>176</v>
      </c>
      <c r="J1676" s="0" t="n">
        <v>111</v>
      </c>
      <c r="K1676" s="0" t="n">
        <v>69</v>
      </c>
      <c r="P1676" s="0" t="n">
        <v>4.53</v>
      </c>
      <c r="Q1676" s="0" t="n">
        <v>3.16</v>
      </c>
      <c r="R1676" s="0" t="n">
        <v>3834</v>
      </c>
      <c r="S1676" s="0" t="n">
        <v>7863</v>
      </c>
      <c r="T1676" s="0" t="n">
        <v>43.75</v>
      </c>
      <c r="U1676" s="0" t="n">
        <v>777</v>
      </c>
      <c r="V1676" s="0" t="n">
        <v>1</v>
      </c>
      <c r="W1676" s="27" t="n">
        <f aca="false">MATCH(A1676,DATAS,0)</f>
        <v>1</v>
      </c>
      <c r="X1676" s="27" t="n">
        <f aca="false">IF(AND(E1676&gt;0,OR(AND(B1676&gt;=1,B1676&lt;=6),B1676=10)),1,0)</f>
        <v>1</v>
      </c>
      <c r="Y1676" s="27" t="n">
        <f aca="false">IF(AND(E1676&gt;0,B1676=10),1,0)</f>
        <v>0</v>
      </c>
      <c r="Z1676" s="0" t="str">
        <f aca="false">IF(AND(C1675=C1676,W1675=W1676-1),X1675,"")</f>
        <v/>
      </c>
      <c r="AA1676" s="0" t="str">
        <f aca="false">IF(AND(C1675=C1676,W1675=W1676-1),Y1675,"")</f>
        <v/>
      </c>
      <c r="AB1676" s="0" t="str">
        <f aca="false">IF(W1676=1,"",IF(AND(X1676=1,Z1676&lt;&gt;1),1,0))</f>
        <v/>
      </c>
      <c r="AC1676" s="0" t="str">
        <f aca="false">IF(W1676=1,"",IF(AND(Y1676=1,AA1676&lt;&gt;1),1,0))</f>
        <v/>
      </c>
      <c r="AD1676" s="33" t="str">
        <f aca="false">IF(AND(E1676&gt;0,W1676&lt;1,NOT(AND(C1677=C1676,W1677=W1676+1))),INDEX(DATAS,W1676+1),"")</f>
        <v/>
      </c>
      <c r="AE1676" s="33" t="str">
        <f aca="false">IF(AND(Y1676=1,W1676&lt;1),IF(AND(C1677=C1676,W1677=W1676+1),IF(Y1677=1,"",INDEX(DATAS,W1676+1)),INDEX(DATAS,W1676+1)),"")</f>
        <v/>
      </c>
    </row>
    <row r="1677" customFormat="false" ht="15" hidden="false" customHeight="false" outlineLevel="0" collapsed="false">
      <c r="A1677" s="33" t="n">
        <v>46309</v>
      </c>
      <c r="B1677" s="0" t="n">
        <v>4</v>
      </c>
      <c r="C1677" s="0" t="n">
        <v>5843</v>
      </c>
      <c r="D1677" s="0" t="n">
        <v>115</v>
      </c>
      <c r="E1677" s="0" t="n">
        <v>1</v>
      </c>
      <c r="F1677" s="27" t="s">
        <v>1013</v>
      </c>
      <c r="G1677" s="0" t="n">
        <v>50.3</v>
      </c>
      <c r="H1677" s="0" t="n">
        <v>50</v>
      </c>
      <c r="I1677" s="27" t="s">
        <v>138</v>
      </c>
      <c r="J1677" s="0" t="n">
        <v>66</v>
      </c>
      <c r="K1677" s="0" t="n">
        <v>66</v>
      </c>
      <c r="L1677" s="0" t="n">
        <v>49</v>
      </c>
      <c r="P1677" s="0" t="n">
        <v>2.72</v>
      </c>
      <c r="Q1677" s="0" t="n">
        <v>2.95</v>
      </c>
      <c r="R1677" s="0" t="n">
        <v>4111</v>
      </c>
      <c r="S1677" s="0" t="n">
        <v>8512</v>
      </c>
      <c r="T1677" s="0" t="n">
        <v>48.35</v>
      </c>
      <c r="U1677" s="0" t="n">
        <v>777</v>
      </c>
      <c r="V1677" s="0" t="n">
        <v>1</v>
      </c>
      <c r="W1677" s="27" t="n">
        <f aca="false">MATCH(A1677,DATAS,0)</f>
        <v>1</v>
      </c>
      <c r="X1677" s="27" t="n">
        <f aca="false">IF(AND(E1677&gt;0,OR(AND(B1677&gt;=1,B1677&lt;=6),B1677=10)),1,0)</f>
        <v>1</v>
      </c>
      <c r="Y1677" s="27" t="n">
        <f aca="false">IF(AND(E1677&gt;0,B1677=10),1,0)</f>
        <v>0</v>
      </c>
      <c r="Z1677" s="0" t="str">
        <f aca="false">IF(AND(C1676=C1677,W1676=W1677-1),X1676,"")</f>
        <v/>
      </c>
      <c r="AA1677" s="0" t="str">
        <f aca="false">IF(AND(C1676=C1677,W1676=W1677-1),Y1676,"")</f>
        <v/>
      </c>
      <c r="AB1677" s="0" t="str">
        <f aca="false">IF(W1677=1,"",IF(AND(X1677=1,Z1677&lt;&gt;1),1,0))</f>
        <v/>
      </c>
      <c r="AC1677" s="0" t="str">
        <f aca="false">IF(W1677=1,"",IF(AND(Y1677=1,AA1677&lt;&gt;1),1,0))</f>
        <v/>
      </c>
      <c r="AD1677" s="33" t="str">
        <f aca="false">IF(AND(E1677&gt;0,W1677&lt;1,NOT(AND(C1678=C1677,W1678=W1677+1))),INDEX(DATAS,W1677+1),"")</f>
        <v/>
      </c>
      <c r="AE1677" s="33" t="str">
        <f aca="false">IF(AND(Y1677=1,W1677&lt;1),IF(AND(C1678=C1677,W1678=W1677+1),IF(Y1678=1,"",INDEX(DATAS,W1677+1)),INDEX(DATAS,W1677+1)),"")</f>
        <v/>
      </c>
    </row>
    <row r="1678" customFormat="false" ht="15" hidden="false" customHeight="false" outlineLevel="0" collapsed="false">
      <c r="A1678" s="33" t="n">
        <v>46309</v>
      </c>
      <c r="B1678" s="0" t="n">
        <v>1</v>
      </c>
      <c r="C1678" s="0" t="n">
        <v>5846</v>
      </c>
      <c r="D1678" s="0" t="n">
        <v>41</v>
      </c>
      <c r="E1678" s="0" t="n">
        <v>1</v>
      </c>
      <c r="F1678" s="27" t="s">
        <v>1013</v>
      </c>
      <c r="G1678" s="0" t="n">
        <v>47.5</v>
      </c>
      <c r="H1678" s="0" t="n">
        <v>46</v>
      </c>
      <c r="I1678" s="27" t="s">
        <v>147</v>
      </c>
      <c r="J1678" s="0" t="n">
        <v>41</v>
      </c>
      <c r="P1678" s="0" t="n">
        <v>4.23</v>
      </c>
      <c r="Q1678" s="0" t="n">
        <v>3.55</v>
      </c>
      <c r="R1678" s="0" t="n">
        <v>3952</v>
      </c>
      <c r="S1678" s="0" t="n">
        <v>7945</v>
      </c>
      <c r="U1678" s="0" t="n">
        <v>777</v>
      </c>
      <c r="V1678" s="0" t="n">
        <v>0</v>
      </c>
      <c r="W1678" s="27" t="n">
        <f aca="false">MATCH(A1678,DATAS,0)</f>
        <v>1</v>
      </c>
      <c r="X1678" s="27" t="n">
        <f aca="false">IF(AND(E1678&gt;0,OR(AND(B1678&gt;=1,B1678&lt;=6),B1678=10)),1,0)</f>
        <v>1</v>
      </c>
      <c r="Y1678" s="27" t="n">
        <f aca="false">IF(AND(E1678&gt;0,B1678=10),1,0)</f>
        <v>0</v>
      </c>
      <c r="Z1678" s="0" t="str">
        <f aca="false">IF(AND(C1677=C1678,W1677=W1678-1),X1677,"")</f>
        <v/>
      </c>
      <c r="AA1678" s="0" t="str">
        <f aca="false">IF(AND(C1677=C1678,W1677=W1678-1),Y1677,"")</f>
        <v/>
      </c>
      <c r="AB1678" s="0" t="str">
        <f aca="false">IF(W1678=1,"",IF(AND(X1678=1,Z1678&lt;&gt;1),1,0))</f>
        <v/>
      </c>
      <c r="AC1678" s="0" t="str">
        <f aca="false">IF(W1678=1,"",IF(AND(Y1678=1,AA1678&lt;&gt;1),1,0))</f>
        <v/>
      </c>
      <c r="AD1678" s="33" t="str">
        <f aca="false">IF(AND(E1678&gt;0,W1678&lt;1,NOT(AND(C1679=C1678,W1679=W1678+1))),INDEX(DATAS,W1678+1),"")</f>
        <v/>
      </c>
      <c r="AE1678" s="33" t="str">
        <f aca="false">IF(AND(Y1678=1,W1678&lt;1),IF(AND(C1679=C1678,W1679=W1678+1),IF(Y1679=1,"",INDEX(DATAS,W1678+1)),INDEX(DATAS,W1678+1)),"")</f>
        <v/>
      </c>
    </row>
    <row r="1679" customFormat="false" ht="15" hidden="false" customHeight="false" outlineLevel="0" collapsed="false">
      <c r="A1679" s="33" t="n">
        <v>46309</v>
      </c>
      <c r="B1679" s="0" t="n">
        <v>4</v>
      </c>
      <c r="C1679" s="0" t="n">
        <v>5847</v>
      </c>
      <c r="D1679" s="0" t="n">
        <v>132</v>
      </c>
      <c r="E1679" s="0" t="n">
        <v>1</v>
      </c>
      <c r="F1679" s="27" t="s">
        <v>1013</v>
      </c>
      <c r="G1679" s="0" t="n">
        <v>45.6</v>
      </c>
      <c r="H1679" s="0" t="n">
        <v>44</v>
      </c>
      <c r="I1679" s="27" t="s">
        <v>168</v>
      </c>
      <c r="J1679" s="0" t="n">
        <v>132</v>
      </c>
      <c r="K1679" s="0" t="n">
        <v>62</v>
      </c>
      <c r="P1679" s="0" t="n">
        <v>3.27</v>
      </c>
      <c r="Q1679" s="0" t="n">
        <v>3.62</v>
      </c>
      <c r="R1679" s="0" t="n">
        <v>4152</v>
      </c>
      <c r="S1679" s="0" t="n">
        <v>8617</v>
      </c>
      <c r="T1679" s="0" t="n">
        <v>43.45</v>
      </c>
      <c r="U1679" s="0" t="n">
        <v>777</v>
      </c>
      <c r="V1679" s="0" t="n">
        <v>3</v>
      </c>
      <c r="W1679" s="27" t="n">
        <f aca="false">MATCH(A1679,DATAS,0)</f>
        <v>1</v>
      </c>
      <c r="X1679" s="27" t="n">
        <f aca="false">IF(AND(E1679&gt;0,OR(AND(B1679&gt;=1,B1679&lt;=6),B1679=10)),1,0)</f>
        <v>1</v>
      </c>
      <c r="Y1679" s="27" t="n">
        <f aca="false">IF(AND(E1679&gt;0,B1679=10),1,0)</f>
        <v>0</v>
      </c>
      <c r="Z1679" s="0" t="str">
        <f aca="false">IF(AND(C1678=C1679,W1678=W1679-1),X1678,"")</f>
        <v/>
      </c>
      <c r="AA1679" s="0" t="str">
        <f aca="false">IF(AND(C1678=C1679,W1678=W1679-1),Y1678,"")</f>
        <v/>
      </c>
      <c r="AB1679" s="0" t="str">
        <f aca="false">IF(W1679=1,"",IF(AND(X1679=1,Z1679&lt;&gt;1),1,0))</f>
        <v/>
      </c>
      <c r="AC1679" s="0" t="str">
        <f aca="false">IF(W1679=1,"",IF(AND(Y1679=1,AA1679&lt;&gt;1),1,0))</f>
        <v/>
      </c>
      <c r="AD1679" s="33" t="str">
        <f aca="false">IF(AND(E1679&gt;0,W1679&lt;1,NOT(AND(C1680=C1679,W1680=W1679+1))),INDEX(DATAS,W1679+1),"")</f>
        <v/>
      </c>
      <c r="AE1679" s="33" t="str">
        <f aca="false">IF(AND(Y1679=1,W1679&lt;1),IF(AND(C1680=C1679,W1680=W1679+1),IF(Y1680=1,"",INDEX(DATAS,W1679+1)),INDEX(DATAS,W1679+1)),"")</f>
        <v/>
      </c>
    </row>
    <row r="1680" customFormat="false" ht="15" hidden="false" customHeight="false" outlineLevel="0" collapsed="false">
      <c r="A1680" s="33" t="n">
        <v>46309</v>
      </c>
      <c r="B1680" s="0" t="n">
        <v>4</v>
      </c>
      <c r="C1680" s="0" t="n">
        <v>5848</v>
      </c>
      <c r="D1680" s="0" t="n">
        <v>141</v>
      </c>
      <c r="E1680" s="0" t="n">
        <v>1</v>
      </c>
      <c r="F1680" s="27" t="s">
        <v>1014</v>
      </c>
      <c r="G1680" s="0" t="n">
        <v>57.8</v>
      </c>
      <c r="H1680" s="0" t="n">
        <v>56</v>
      </c>
      <c r="I1680" s="27" t="s">
        <v>138</v>
      </c>
      <c r="J1680" s="0" t="n">
        <v>109</v>
      </c>
      <c r="K1680" s="0" t="n">
        <v>64</v>
      </c>
      <c r="L1680" s="0" t="n">
        <v>32</v>
      </c>
      <c r="P1680" s="0" t="n">
        <v>2.37</v>
      </c>
      <c r="Q1680" s="0" t="n">
        <v>3.17</v>
      </c>
      <c r="R1680" s="0" t="n">
        <v>4943</v>
      </c>
      <c r="S1680" s="0" t="n">
        <v>10422</v>
      </c>
      <c r="T1680" s="0" t="n">
        <v>60.5</v>
      </c>
      <c r="U1680" s="0" t="n">
        <v>776</v>
      </c>
      <c r="V1680" s="0" t="n">
        <v>3</v>
      </c>
      <c r="W1680" s="27" t="n">
        <f aca="false">MATCH(A1680,DATAS,0)</f>
        <v>1</v>
      </c>
      <c r="X1680" s="27" t="n">
        <f aca="false">IF(AND(E1680&gt;0,OR(AND(B1680&gt;=1,B1680&lt;=6),B1680=10)),1,0)</f>
        <v>1</v>
      </c>
      <c r="Y1680" s="27" t="n">
        <f aca="false">IF(AND(E1680&gt;0,B1680=10),1,0)</f>
        <v>0</v>
      </c>
      <c r="Z1680" s="0" t="str">
        <f aca="false">IF(AND(C1679=C1680,W1679=W1680-1),X1679,"")</f>
        <v/>
      </c>
      <c r="AA1680" s="0" t="str">
        <f aca="false">IF(AND(C1679=C1680,W1679=W1680-1),Y1679,"")</f>
        <v/>
      </c>
      <c r="AB1680" s="0" t="str">
        <f aca="false">IF(W1680=1,"",IF(AND(X1680=1,Z1680&lt;&gt;1),1,0))</f>
        <v/>
      </c>
      <c r="AC1680" s="0" t="str">
        <f aca="false">IF(W1680=1,"",IF(AND(Y1680=1,AA1680&lt;&gt;1),1,0))</f>
        <v/>
      </c>
      <c r="AD1680" s="33" t="str">
        <f aca="false">IF(AND(E1680&gt;0,W1680&lt;1,NOT(AND(C1681=C1680,W1681=W1680+1))),INDEX(DATAS,W1680+1),"")</f>
        <v/>
      </c>
      <c r="AE1680" s="33" t="str">
        <f aca="false">IF(AND(Y1680=1,W1680&lt;1),IF(AND(C1681=C1680,W1681=W1680+1),IF(Y1681=1,"",INDEX(DATAS,W1680+1)),INDEX(DATAS,W1680+1)),"")</f>
        <v/>
      </c>
    </row>
    <row r="1681" customFormat="false" ht="15" hidden="false" customHeight="false" outlineLevel="0" collapsed="false">
      <c r="A1681" s="33" t="n">
        <v>46309</v>
      </c>
      <c r="B1681" s="0" t="n">
        <v>4</v>
      </c>
      <c r="C1681" s="0" t="n">
        <v>5849</v>
      </c>
      <c r="D1681" s="0" t="n">
        <v>136</v>
      </c>
      <c r="E1681" s="0" t="n">
        <v>1</v>
      </c>
      <c r="F1681" s="27" t="s">
        <v>1015</v>
      </c>
      <c r="G1681" s="0" t="n">
        <v>46</v>
      </c>
      <c r="H1681" s="0" t="n">
        <v>48</v>
      </c>
      <c r="I1681" s="27" t="s">
        <v>176</v>
      </c>
      <c r="J1681" s="0" t="n">
        <v>136</v>
      </c>
      <c r="K1681" s="0" t="n">
        <v>66</v>
      </c>
      <c r="P1681" s="0" t="n">
        <v>3.26</v>
      </c>
      <c r="Q1681" s="0" t="n">
        <v>3.41</v>
      </c>
      <c r="R1681" s="0" t="n">
        <v>4887</v>
      </c>
      <c r="S1681" s="0" t="n">
        <v>9982</v>
      </c>
      <c r="T1681" s="0" t="n">
        <v>53.25</v>
      </c>
      <c r="U1681" s="0" t="n">
        <v>775</v>
      </c>
      <c r="V1681" s="0" t="n">
        <v>2</v>
      </c>
      <c r="W1681" s="27" t="n">
        <f aca="false">MATCH(A1681,DATAS,0)</f>
        <v>1</v>
      </c>
      <c r="X1681" s="27" t="n">
        <f aca="false">IF(AND(E1681&gt;0,OR(AND(B1681&gt;=1,B1681&lt;=6),B1681=10)),1,0)</f>
        <v>1</v>
      </c>
      <c r="Y1681" s="27" t="n">
        <f aca="false">IF(AND(E1681&gt;0,B1681=10),1,0)</f>
        <v>0</v>
      </c>
      <c r="Z1681" s="0" t="str">
        <f aca="false">IF(AND(C1680=C1681,W1680=W1681-1),X1680,"")</f>
        <v/>
      </c>
      <c r="AA1681" s="0" t="str">
        <f aca="false">IF(AND(C1680=C1681,W1680=W1681-1),Y1680,"")</f>
        <v/>
      </c>
      <c r="AB1681" s="0" t="str">
        <f aca="false">IF(W1681=1,"",IF(AND(X1681=1,Z1681&lt;&gt;1),1,0))</f>
        <v/>
      </c>
      <c r="AC1681" s="0" t="str">
        <f aca="false">IF(W1681=1,"",IF(AND(Y1681=1,AA1681&lt;&gt;1),1,0))</f>
        <v/>
      </c>
      <c r="AD1681" s="33" t="str">
        <f aca="false">IF(AND(E1681&gt;0,W1681&lt;1,NOT(AND(C1682=C1681,W1682=W1681+1))),INDEX(DATAS,W1681+1),"")</f>
        <v/>
      </c>
      <c r="AE1681" s="33" t="str">
        <f aca="false">IF(AND(Y1681=1,W1681&lt;1),IF(AND(C1682=C1681,W1682=W1681+1),IF(Y1682=1,"",INDEX(DATAS,W1681+1)),INDEX(DATAS,W1681+1)),"")</f>
        <v/>
      </c>
    </row>
    <row r="1682" customFormat="false" ht="15" hidden="false" customHeight="false" outlineLevel="0" collapsed="false">
      <c r="A1682" s="33" t="n">
        <v>46309</v>
      </c>
      <c r="B1682" s="0" t="n">
        <v>1</v>
      </c>
      <c r="C1682" s="0" t="n">
        <v>5850</v>
      </c>
      <c r="D1682" s="0" t="n">
        <v>53</v>
      </c>
      <c r="E1682" s="0" t="n">
        <v>1</v>
      </c>
      <c r="F1682" s="27" t="s">
        <v>1015</v>
      </c>
      <c r="G1682" s="0" t="n">
        <v>50.8</v>
      </c>
      <c r="H1682" s="0" t="n">
        <v>51</v>
      </c>
      <c r="I1682" s="27" t="s">
        <v>147</v>
      </c>
      <c r="J1682" s="0" t="n">
        <v>53</v>
      </c>
      <c r="P1682" s="0" t="n">
        <v>3.84</v>
      </c>
      <c r="Q1682" s="0" t="n">
        <v>3.1</v>
      </c>
      <c r="R1682" s="0" t="n">
        <v>4275</v>
      </c>
      <c r="S1682" s="0" t="n">
        <v>8594</v>
      </c>
      <c r="U1682" s="0" t="n">
        <v>775</v>
      </c>
      <c r="V1682" s="0" t="n">
        <v>0</v>
      </c>
      <c r="W1682" s="27" t="n">
        <f aca="false">MATCH(A1682,DATAS,0)</f>
        <v>1</v>
      </c>
      <c r="X1682" s="27" t="n">
        <f aca="false">IF(AND(E1682&gt;0,OR(AND(B1682&gt;=1,B1682&lt;=6),B1682=10)),1,0)</f>
        <v>1</v>
      </c>
      <c r="Y1682" s="27" t="n">
        <f aca="false">IF(AND(E1682&gt;0,B1682=10),1,0)</f>
        <v>0</v>
      </c>
      <c r="Z1682" s="0" t="str">
        <f aca="false">IF(AND(C1681=C1682,W1681=W1682-1),X1681,"")</f>
        <v/>
      </c>
      <c r="AA1682" s="0" t="str">
        <f aca="false">IF(AND(C1681=C1682,W1681=W1682-1),Y1681,"")</f>
        <v/>
      </c>
      <c r="AB1682" s="0" t="str">
        <f aca="false">IF(W1682=1,"",IF(AND(X1682=1,Z1682&lt;&gt;1),1,0))</f>
        <v/>
      </c>
      <c r="AC1682" s="0" t="str">
        <f aca="false">IF(W1682=1,"",IF(AND(Y1682=1,AA1682&lt;&gt;1),1,0))</f>
        <v/>
      </c>
      <c r="AD1682" s="33" t="str">
        <f aca="false">IF(AND(E1682&gt;0,W1682&lt;1,NOT(AND(C1683=C1682,W1683=W1682+1))),INDEX(DATAS,W1682+1),"")</f>
        <v/>
      </c>
      <c r="AE1682" s="33" t="str">
        <f aca="false">IF(AND(Y1682=1,W1682&lt;1),IF(AND(C1683=C1682,W1683=W1682+1),IF(Y1683=1,"",INDEX(DATAS,W1682+1)),INDEX(DATAS,W1682+1)),"")</f>
        <v/>
      </c>
    </row>
    <row r="1683" customFormat="false" ht="15" hidden="false" customHeight="false" outlineLevel="0" collapsed="false">
      <c r="A1683" s="33" t="n">
        <v>46309</v>
      </c>
      <c r="B1683" s="0" t="n">
        <v>4</v>
      </c>
      <c r="C1683" s="0" t="n">
        <v>5853</v>
      </c>
      <c r="D1683" s="0" t="n">
        <v>118</v>
      </c>
      <c r="E1683" s="0" t="n">
        <v>1</v>
      </c>
      <c r="F1683" s="27" t="s">
        <v>1016</v>
      </c>
      <c r="G1683" s="0" t="n">
        <v>42.6</v>
      </c>
      <c r="H1683" s="0" t="n">
        <v>37</v>
      </c>
      <c r="I1683" s="27" t="s">
        <v>138</v>
      </c>
      <c r="J1683" s="0" t="n">
        <v>62</v>
      </c>
      <c r="K1683" s="0" t="n">
        <v>62</v>
      </c>
      <c r="L1683" s="0" t="n">
        <v>56</v>
      </c>
      <c r="P1683" s="0" t="n">
        <v>3.6</v>
      </c>
      <c r="Q1683" s="0" t="n">
        <v>2.94</v>
      </c>
      <c r="R1683" s="0" t="n">
        <v>4106</v>
      </c>
      <c r="S1683" s="0" t="n">
        <v>8353</v>
      </c>
      <c r="T1683" s="0" t="n">
        <v>45.6</v>
      </c>
      <c r="U1683" s="0" t="n">
        <v>773</v>
      </c>
      <c r="V1683" s="0" t="n">
        <v>1</v>
      </c>
      <c r="W1683" s="27" t="n">
        <f aca="false">MATCH(A1683,DATAS,0)</f>
        <v>1</v>
      </c>
      <c r="X1683" s="27" t="n">
        <f aca="false">IF(AND(E1683&gt;0,OR(AND(B1683&gt;=1,B1683&lt;=6),B1683=10)),1,0)</f>
        <v>1</v>
      </c>
      <c r="Y1683" s="27" t="n">
        <f aca="false">IF(AND(E1683&gt;0,B1683=10),1,0)</f>
        <v>0</v>
      </c>
      <c r="Z1683" s="0" t="str">
        <f aca="false">IF(AND(C1682=C1683,W1682=W1683-1),X1682,"")</f>
        <v/>
      </c>
      <c r="AA1683" s="0" t="str">
        <f aca="false">IF(AND(C1682=C1683,W1682=W1683-1),Y1682,"")</f>
        <v/>
      </c>
      <c r="AB1683" s="0" t="str">
        <f aca="false">IF(W1683=1,"",IF(AND(X1683=1,Z1683&lt;&gt;1),1,0))</f>
        <v/>
      </c>
      <c r="AC1683" s="0" t="str">
        <f aca="false">IF(W1683=1,"",IF(AND(Y1683=1,AA1683&lt;&gt;1),1,0))</f>
        <v/>
      </c>
      <c r="AD1683" s="33" t="str">
        <f aca="false">IF(AND(E1683&gt;0,W1683&lt;1,NOT(AND(C1684=C1683,W1684=W1683+1))),INDEX(DATAS,W1683+1),"")</f>
        <v/>
      </c>
      <c r="AE1683" s="33" t="str">
        <f aca="false">IF(AND(Y1683=1,W1683&lt;1),IF(AND(C1684=C1683,W1684=W1683+1),IF(Y1684=1,"",INDEX(DATAS,W1683+1)),INDEX(DATAS,W1683+1)),"")</f>
        <v/>
      </c>
    </row>
    <row r="1684" customFormat="false" ht="15" hidden="false" customHeight="false" outlineLevel="0" collapsed="false">
      <c r="A1684" s="33" t="n">
        <v>46309</v>
      </c>
      <c r="B1684" s="0" t="n">
        <v>1</v>
      </c>
      <c r="C1684" s="0" t="n">
        <v>5854</v>
      </c>
      <c r="D1684" s="0" t="n">
        <v>102</v>
      </c>
      <c r="E1684" s="0" t="n">
        <v>1</v>
      </c>
      <c r="F1684" s="27" t="s">
        <v>1016</v>
      </c>
      <c r="G1684" s="0" t="n">
        <v>46.9</v>
      </c>
      <c r="H1684" s="0" t="n">
        <v>48</v>
      </c>
      <c r="I1684" s="27" t="s">
        <v>138</v>
      </c>
      <c r="J1684" s="0" t="n">
        <v>67</v>
      </c>
      <c r="K1684" s="0" t="n">
        <v>67</v>
      </c>
      <c r="L1684" s="0" t="n">
        <v>35</v>
      </c>
      <c r="P1684" s="0" t="n">
        <v>3.44</v>
      </c>
      <c r="Q1684" s="0" t="n">
        <v>3.15</v>
      </c>
      <c r="R1684" s="0" t="n">
        <v>3991</v>
      </c>
      <c r="S1684" s="0" t="n">
        <v>8052</v>
      </c>
      <c r="T1684" s="0" t="n">
        <v>46.55</v>
      </c>
      <c r="U1684" s="0" t="n">
        <v>773</v>
      </c>
      <c r="V1684" s="0" t="n">
        <v>1</v>
      </c>
      <c r="W1684" s="27" t="n">
        <f aca="false">MATCH(A1684,DATAS,0)</f>
        <v>1</v>
      </c>
      <c r="X1684" s="27" t="n">
        <f aca="false">IF(AND(E1684&gt;0,OR(AND(B1684&gt;=1,B1684&lt;=6),B1684=10)),1,0)</f>
        <v>1</v>
      </c>
      <c r="Y1684" s="27" t="n">
        <f aca="false">IF(AND(E1684&gt;0,B1684=10),1,0)</f>
        <v>0</v>
      </c>
      <c r="Z1684" s="0" t="str">
        <f aca="false">IF(AND(C1683=C1684,W1683=W1684-1),X1683,"")</f>
        <v/>
      </c>
      <c r="AA1684" s="0" t="str">
        <f aca="false">IF(AND(C1683=C1684,W1683=W1684-1),Y1683,"")</f>
        <v/>
      </c>
      <c r="AB1684" s="0" t="str">
        <f aca="false">IF(W1684=1,"",IF(AND(X1684=1,Z1684&lt;&gt;1),1,0))</f>
        <v/>
      </c>
      <c r="AC1684" s="0" t="str">
        <f aca="false">IF(W1684=1,"",IF(AND(Y1684=1,AA1684&lt;&gt;1),1,0))</f>
        <v/>
      </c>
      <c r="AD1684" s="33" t="str">
        <f aca="false">IF(AND(E1684&gt;0,W1684&lt;1,NOT(AND(C1685=C1684,W1685=W1684+1))),INDEX(DATAS,W1684+1),"")</f>
        <v/>
      </c>
      <c r="AE1684" s="33" t="str">
        <f aca="false">IF(AND(Y1684=1,W1684&lt;1),IF(AND(C1685=C1684,W1685=W1684+1),IF(Y1685=1,"",INDEX(DATAS,W1684+1)),INDEX(DATAS,W1684+1)),"")</f>
        <v/>
      </c>
    </row>
    <row r="1685" customFormat="false" ht="15" hidden="false" customHeight="false" outlineLevel="0" collapsed="false">
      <c r="A1685" s="33" t="n">
        <v>46309</v>
      </c>
      <c r="B1685" s="0" t="n">
        <v>4</v>
      </c>
      <c r="C1685" s="0" t="n">
        <v>5855</v>
      </c>
      <c r="D1685" s="0" t="n">
        <v>135</v>
      </c>
      <c r="E1685" s="0" t="n">
        <v>1</v>
      </c>
      <c r="F1685" s="27" t="s">
        <v>1016</v>
      </c>
      <c r="G1685" s="0" t="n">
        <v>54</v>
      </c>
      <c r="H1685" s="0" t="n">
        <v>51</v>
      </c>
      <c r="I1685" s="27" t="s">
        <v>138</v>
      </c>
      <c r="J1685" s="0" t="n">
        <v>65</v>
      </c>
      <c r="K1685" s="0" t="n">
        <v>65</v>
      </c>
      <c r="L1685" s="0" t="n">
        <v>70</v>
      </c>
      <c r="P1685" s="0" t="n">
        <v>4.03</v>
      </c>
      <c r="Q1685" s="0" t="n">
        <v>3.33</v>
      </c>
      <c r="R1685" s="0" t="n">
        <v>4249</v>
      </c>
      <c r="S1685" s="0" t="n">
        <v>9069</v>
      </c>
      <c r="T1685" s="0" t="n">
        <v>45.6</v>
      </c>
      <c r="U1685" s="0" t="n">
        <v>773</v>
      </c>
      <c r="V1685" s="0" t="n">
        <v>1</v>
      </c>
      <c r="W1685" s="27" t="n">
        <f aca="false">MATCH(A1685,DATAS,0)</f>
        <v>1</v>
      </c>
      <c r="X1685" s="27" t="n">
        <f aca="false">IF(AND(E1685&gt;0,OR(AND(B1685&gt;=1,B1685&lt;=6),B1685=10)),1,0)</f>
        <v>1</v>
      </c>
      <c r="Y1685" s="27" t="n">
        <f aca="false">IF(AND(E1685&gt;0,B1685=10),1,0)</f>
        <v>0</v>
      </c>
      <c r="Z1685" s="0" t="str">
        <f aca="false">IF(AND(C1684=C1685,W1684=W1685-1),X1684,"")</f>
        <v/>
      </c>
      <c r="AA1685" s="0" t="str">
        <f aca="false">IF(AND(C1684=C1685,W1684=W1685-1),Y1684,"")</f>
        <v/>
      </c>
      <c r="AB1685" s="0" t="str">
        <f aca="false">IF(W1685=1,"",IF(AND(X1685=1,Z1685&lt;&gt;1),1,0))</f>
        <v/>
      </c>
      <c r="AC1685" s="0" t="str">
        <f aca="false">IF(W1685=1,"",IF(AND(Y1685=1,AA1685&lt;&gt;1),1,0))</f>
        <v/>
      </c>
      <c r="AD1685" s="33" t="str">
        <f aca="false">IF(AND(E1685&gt;0,W1685&lt;1,NOT(AND(C1686=C1685,W1686=W1685+1))),INDEX(DATAS,W1685+1),"")</f>
        <v/>
      </c>
      <c r="AE1685" s="33" t="str">
        <f aca="false">IF(AND(Y1685=1,W1685&lt;1),IF(AND(C1686=C1685,W1686=W1685+1),IF(Y1686=1,"",INDEX(DATAS,W1685+1)),INDEX(DATAS,W1685+1)),"")</f>
        <v/>
      </c>
    </row>
    <row r="1686" customFormat="false" ht="15" hidden="false" customHeight="false" outlineLevel="0" collapsed="false">
      <c r="A1686" s="33" t="n">
        <v>46309</v>
      </c>
      <c r="B1686" s="0" t="n">
        <v>4</v>
      </c>
      <c r="C1686" s="0" t="n">
        <v>5856</v>
      </c>
      <c r="D1686" s="0" t="n">
        <v>136</v>
      </c>
      <c r="E1686" s="0" t="n">
        <v>1</v>
      </c>
      <c r="F1686" s="27" t="s">
        <v>1017</v>
      </c>
      <c r="G1686" s="0" t="n">
        <v>57.3</v>
      </c>
      <c r="H1686" s="0" t="n">
        <v>55</v>
      </c>
      <c r="I1686" s="27" t="s">
        <v>138</v>
      </c>
      <c r="J1686" s="0" t="n">
        <v>66</v>
      </c>
      <c r="K1686" s="0" t="n">
        <v>66</v>
      </c>
      <c r="L1686" s="0" t="n">
        <v>70</v>
      </c>
      <c r="P1686" s="0" t="n">
        <v>3.34</v>
      </c>
      <c r="Q1686" s="0" t="n">
        <v>3.23</v>
      </c>
      <c r="R1686" s="0" t="n">
        <v>5251</v>
      </c>
      <c r="S1686" s="0" t="n">
        <v>10674</v>
      </c>
      <c r="T1686" s="0" t="n">
        <v>56.35</v>
      </c>
      <c r="U1686" s="0" t="n">
        <v>772</v>
      </c>
      <c r="V1686" s="0" t="n">
        <v>1</v>
      </c>
      <c r="W1686" s="27" t="n">
        <f aca="false">MATCH(A1686,DATAS,0)</f>
        <v>1</v>
      </c>
      <c r="X1686" s="27" t="n">
        <f aca="false">IF(AND(E1686&gt;0,OR(AND(B1686&gt;=1,B1686&lt;=6),B1686=10)),1,0)</f>
        <v>1</v>
      </c>
      <c r="Y1686" s="27" t="n">
        <f aca="false">IF(AND(E1686&gt;0,B1686=10),1,0)</f>
        <v>0</v>
      </c>
      <c r="Z1686" s="0" t="str">
        <f aca="false">IF(AND(C1685=C1686,W1685=W1686-1),X1685,"")</f>
        <v/>
      </c>
      <c r="AA1686" s="0" t="str">
        <f aca="false">IF(AND(C1685=C1686,W1685=W1686-1),Y1685,"")</f>
        <v/>
      </c>
      <c r="AB1686" s="0" t="str">
        <f aca="false">IF(W1686=1,"",IF(AND(X1686=1,Z1686&lt;&gt;1),1,0))</f>
        <v/>
      </c>
      <c r="AC1686" s="0" t="str">
        <f aca="false">IF(W1686=1,"",IF(AND(Y1686=1,AA1686&lt;&gt;1),1,0))</f>
        <v/>
      </c>
      <c r="AD1686" s="33" t="str">
        <f aca="false">IF(AND(E1686&gt;0,W1686&lt;1,NOT(AND(C1687=C1686,W1687=W1686+1))),INDEX(DATAS,W1686+1),"")</f>
        <v/>
      </c>
      <c r="AE1686" s="33" t="str">
        <f aca="false">IF(AND(Y1686=1,W1686&lt;1),IF(AND(C1687=C1686,W1687=W1686+1),IF(Y1687=1,"",INDEX(DATAS,W1686+1)),INDEX(DATAS,W1686+1)),"")</f>
        <v/>
      </c>
    </row>
    <row r="1687" customFormat="false" ht="15" hidden="false" customHeight="false" outlineLevel="0" collapsed="false">
      <c r="A1687" s="33" t="n">
        <v>46309</v>
      </c>
      <c r="B1687" s="0" t="n">
        <v>4</v>
      </c>
      <c r="C1687" s="0" t="n">
        <v>5857</v>
      </c>
      <c r="D1687" s="0" t="n">
        <v>111</v>
      </c>
      <c r="E1687" s="0" t="n">
        <v>1</v>
      </c>
      <c r="F1687" s="27" t="s">
        <v>1017</v>
      </c>
      <c r="G1687" s="0" t="n">
        <v>51.5</v>
      </c>
      <c r="H1687" s="0" t="n">
        <v>51</v>
      </c>
      <c r="I1687" s="27" t="s">
        <v>138</v>
      </c>
      <c r="J1687" s="0" t="n">
        <v>69</v>
      </c>
      <c r="K1687" s="0" t="n">
        <v>69</v>
      </c>
      <c r="L1687" s="0" t="n">
        <v>42</v>
      </c>
      <c r="P1687" s="0" t="n">
        <v>3.63</v>
      </c>
      <c r="Q1687" s="0" t="n">
        <v>3.19</v>
      </c>
      <c r="R1687" s="0" t="n">
        <v>4852</v>
      </c>
      <c r="S1687" s="0" t="n">
        <v>9870</v>
      </c>
      <c r="T1687" s="0" t="n">
        <v>50.8</v>
      </c>
      <c r="U1687" s="0" t="n">
        <v>772</v>
      </c>
      <c r="V1687" s="0" t="n">
        <v>1</v>
      </c>
      <c r="W1687" s="27" t="n">
        <f aca="false">MATCH(A1687,DATAS,0)</f>
        <v>1</v>
      </c>
      <c r="X1687" s="27" t="n">
        <f aca="false">IF(AND(E1687&gt;0,OR(AND(B1687&gt;=1,B1687&lt;=6),B1687=10)),1,0)</f>
        <v>1</v>
      </c>
      <c r="Y1687" s="27" t="n">
        <f aca="false">IF(AND(E1687&gt;0,B1687=10),1,0)</f>
        <v>0</v>
      </c>
      <c r="Z1687" s="0" t="str">
        <f aca="false">IF(AND(C1686=C1687,W1686=W1687-1),X1686,"")</f>
        <v/>
      </c>
      <c r="AA1687" s="0" t="str">
        <f aca="false">IF(AND(C1686=C1687,W1686=W1687-1),Y1686,"")</f>
        <v/>
      </c>
      <c r="AB1687" s="0" t="str">
        <f aca="false">IF(W1687=1,"",IF(AND(X1687=1,Z1687&lt;&gt;1),1,0))</f>
        <v/>
      </c>
      <c r="AC1687" s="0" t="str">
        <f aca="false">IF(W1687=1,"",IF(AND(Y1687=1,AA1687&lt;&gt;1),1,0))</f>
        <v/>
      </c>
      <c r="AD1687" s="33" t="str">
        <f aca="false">IF(AND(E1687&gt;0,W1687&lt;1,NOT(AND(C1688=C1687,W1688=W1687+1))),INDEX(DATAS,W1687+1),"")</f>
        <v/>
      </c>
      <c r="AE1687" s="33" t="str">
        <f aca="false">IF(AND(Y1687=1,W1687&lt;1),IF(AND(C1688=C1687,W1688=W1687+1),IF(Y1688=1,"",INDEX(DATAS,W1687+1)),INDEX(DATAS,W1687+1)),"")</f>
        <v/>
      </c>
    </row>
    <row r="1688" customFormat="false" ht="15" hidden="false" customHeight="false" outlineLevel="0" collapsed="false">
      <c r="A1688" s="33" t="n">
        <v>46309</v>
      </c>
      <c r="B1688" s="0" t="n">
        <v>1</v>
      </c>
      <c r="C1688" s="0" t="n">
        <v>5858</v>
      </c>
      <c r="D1688" s="0" t="n">
        <v>42</v>
      </c>
      <c r="E1688" s="0" t="n">
        <v>1</v>
      </c>
      <c r="F1688" s="27" t="s">
        <v>1018</v>
      </c>
      <c r="G1688" s="0" t="n">
        <v>15.7</v>
      </c>
      <c r="H1688" s="0" t="n">
        <v>15</v>
      </c>
      <c r="I1688" s="27" t="s">
        <v>147</v>
      </c>
      <c r="J1688" s="0" t="n">
        <v>42</v>
      </c>
      <c r="P1688" s="0" t="n">
        <v>6.36</v>
      </c>
      <c r="Q1688" s="0" t="n">
        <v>2.75</v>
      </c>
      <c r="R1688" s="0" t="n">
        <v>1228</v>
      </c>
      <c r="S1688" s="0" t="n">
        <v>2470</v>
      </c>
      <c r="U1688" s="0" t="n">
        <v>771</v>
      </c>
      <c r="V1688" s="0" t="n">
        <v>0</v>
      </c>
      <c r="W1688" s="27" t="n">
        <f aca="false">MATCH(A1688,DATAS,0)</f>
        <v>1</v>
      </c>
      <c r="X1688" s="27" t="n">
        <f aca="false">IF(AND(E1688&gt;0,OR(AND(B1688&gt;=1,B1688&lt;=6),B1688=10)),1,0)</f>
        <v>1</v>
      </c>
      <c r="Y1688" s="27" t="n">
        <f aca="false">IF(AND(E1688&gt;0,B1688=10),1,0)</f>
        <v>0</v>
      </c>
      <c r="Z1688" s="0" t="str">
        <f aca="false">IF(AND(C1687=C1688,W1687=W1688-1),X1687,"")</f>
        <v/>
      </c>
      <c r="AA1688" s="0" t="str">
        <f aca="false">IF(AND(C1687=C1688,W1687=W1688-1),Y1687,"")</f>
        <v/>
      </c>
      <c r="AB1688" s="0" t="str">
        <f aca="false">IF(W1688=1,"",IF(AND(X1688=1,Z1688&lt;&gt;1),1,0))</f>
        <v/>
      </c>
      <c r="AC1688" s="0" t="str">
        <f aca="false">IF(W1688=1,"",IF(AND(Y1688=1,AA1688&lt;&gt;1),1,0))</f>
        <v/>
      </c>
      <c r="AD1688" s="33" t="str">
        <f aca="false">IF(AND(E1688&gt;0,W1688&lt;1,NOT(AND(C1689=C1688,W1689=W1688+1))),INDEX(DATAS,W1688+1),"")</f>
        <v/>
      </c>
      <c r="AE1688" s="33" t="str">
        <f aca="false">IF(AND(Y1688=1,W1688&lt;1),IF(AND(C1689=C1688,W1689=W1688+1),IF(Y1689=1,"",INDEX(DATAS,W1688+1)),INDEX(DATAS,W1688+1)),"")</f>
        <v/>
      </c>
    </row>
    <row r="1689" customFormat="false" ht="15" hidden="false" customHeight="false" outlineLevel="0" collapsed="false">
      <c r="A1689" s="33" t="n">
        <v>46309</v>
      </c>
      <c r="B1689" s="0" t="n">
        <v>7</v>
      </c>
      <c r="C1689" s="0" t="n">
        <v>5859</v>
      </c>
      <c r="E1689" s="0" t="n">
        <v>0</v>
      </c>
      <c r="F1689" s="27" t="s">
        <v>1018</v>
      </c>
      <c r="I1689" s="27" t="s">
        <v>138</v>
      </c>
      <c r="L1689" s="0" t="n">
        <v>171</v>
      </c>
      <c r="U1689" s="0" t="n">
        <v>771</v>
      </c>
      <c r="V1689" s="0" t="n">
        <v>2</v>
      </c>
      <c r="W1689" s="27" t="n">
        <f aca="false">MATCH(A1689,DATAS,0)</f>
        <v>1</v>
      </c>
      <c r="X1689" s="27" t="n">
        <f aca="false">IF(AND(E1689&gt;0,OR(AND(B1689&gt;=1,B1689&lt;=6),B1689=10)),1,0)</f>
        <v>0</v>
      </c>
      <c r="Y1689" s="27" t="n">
        <f aca="false">IF(AND(E1689&gt;0,B1689=10),1,0)</f>
        <v>0</v>
      </c>
      <c r="Z1689" s="0" t="str">
        <f aca="false">IF(AND(C1688=C1689,W1688=W1689-1),X1688,"")</f>
        <v/>
      </c>
      <c r="AA1689" s="0" t="str">
        <f aca="false">IF(AND(C1688=C1689,W1688=W1689-1),Y1688,"")</f>
        <v/>
      </c>
      <c r="AB1689" s="0" t="str">
        <f aca="false">IF(W1689=1,"",IF(AND(X1689=1,Z1689&lt;&gt;1),1,0))</f>
        <v/>
      </c>
      <c r="AC1689" s="0" t="str">
        <f aca="false">IF(W1689=1,"",IF(AND(Y1689=1,AA1689&lt;&gt;1),1,0))</f>
        <v/>
      </c>
      <c r="AD1689" s="33" t="str">
        <f aca="false">IF(AND(E1689&gt;0,W1689&lt;1,NOT(AND(C1690=C1689,W1690=W1689+1))),INDEX(DATAS,W1689+1),"")</f>
        <v/>
      </c>
      <c r="AE1689" s="33" t="str">
        <f aca="false">IF(AND(Y1689=1,W1689&lt;1),IF(AND(C1690=C1689,W1690=W1689+1),IF(Y1690=1,"",INDEX(DATAS,W1689+1)),INDEX(DATAS,W1689+1)),"")</f>
        <v/>
      </c>
    </row>
    <row r="1690" customFormat="false" ht="15" hidden="false" customHeight="false" outlineLevel="0" collapsed="false">
      <c r="A1690" s="33" t="n">
        <v>46309</v>
      </c>
      <c r="B1690" s="0" t="n">
        <v>1</v>
      </c>
      <c r="C1690" s="0" t="n">
        <v>5862</v>
      </c>
      <c r="D1690" s="0" t="n">
        <v>106</v>
      </c>
      <c r="E1690" s="0" t="n">
        <v>1</v>
      </c>
      <c r="F1690" s="27" t="s">
        <v>1019</v>
      </c>
      <c r="G1690" s="0" t="n">
        <v>22.8</v>
      </c>
      <c r="H1690" s="0" t="n">
        <v>22</v>
      </c>
      <c r="I1690" s="27" t="s">
        <v>138</v>
      </c>
      <c r="J1690" s="0" t="n">
        <v>64</v>
      </c>
      <c r="K1690" s="0" t="n">
        <v>64</v>
      </c>
      <c r="L1690" s="0" t="n">
        <v>42</v>
      </c>
      <c r="P1690" s="0" t="n">
        <v>5.36</v>
      </c>
      <c r="Q1690" s="0" t="n">
        <v>2.96</v>
      </c>
      <c r="R1690" s="0" t="n">
        <v>2982</v>
      </c>
      <c r="S1690" s="0" t="n">
        <v>5929</v>
      </c>
      <c r="T1690" s="0" t="n">
        <v>32.5</v>
      </c>
      <c r="U1690" s="0" t="n">
        <v>769</v>
      </c>
      <c r="V1690" s="0" t="n">
        <v>1</v>
      </c>
      <c r="W1690" s="27" t="n">
        <f aca="false">MATCH(A1690,DATAS,0)</f>
        <v>1</v>
      </c>
      <c r="X1690" s="27" t="n">
        <f aca="false">IF(AND(E1690&gt;0,OR(AND(B1690&gt;=1,B1690&lt;=6),B1690=10)),1,0)</f>
        <v>1</v>
      </c>
      <c r="Y1690" s="27" t="n">
        <f aca="false">IF(AND(E1690&gt;0,B1690=10),1,0)</f>
        <v>0</v>
      </c>
      <c r="Z1690" s="0" t="str">
        <f aca="false">IF(AND(C1689=C1690,W1689=W1690-1),X1689,"")</f>
        <v/>
      </c>
      <c r="AA1690" s="0" t="str">
        <f aca="false">IF(AND(C1689=C1690,W1689=W1690-1),Y1689,"")</f>
        <v/>
      </c>
      <c r="AB1690" s="0" t="str">
        <f aca="false">IF(W1690=1,"",IF(AND(X1690=1,Z1690&lt;&gt;1),1,0))</f>
        <v/>
      </c>
      <c r="AC1690" s="0" t="str">
        <f aca="false">IF(W1690=1,"",IF(AND(Y1690=1,AA1690&lt;&gt;1),1,0))</f>
        <v/>
      </c>
      <c r="AD1690" s="33" t="str">
        <f aca="false">IF(AND(E1690&gt;0,W1690&lt;1,NOT(AND(C1691=C1690,W1691=W1690+1))),INDEX(DATAS,W1690+1),"")</f>
        <v/>
      </c>
      <c r="AE1690" s="33" t="str">
        <f aca="false">IF(AND(Y1690=1,W1690&lt;1),IF(AND(C1691=C1690,W1691=W1690+1),IF(Y1691=1,"",INDEX(DATAS,W1690+1)),INDEX(DATAS,W1690+1)),"")</f>
        <v/>
      </c>
    </row>
    <row r="1691" customFormat="false" ht="15" hidden="false" customHeight="false" outlineLevel="0" collapsed="false">
      <c r="A1691" s="33" t="n">
        <v>46309</v>
      </c>
      <c r="B1691" s="0" t="n">
        <v>4</v>
      </c>
      <c r="C1691" s="0" t="n">
        <v>5863</v>
      </c>
      <c r="D1691" s="0" t="n">
        <v>131</v>
      </c>
      <c r="E1691" s="0" t="n">
        <v>1</v>
      </c>
      <c r="F1691" s="27" t="s">
        <v>1020</v>
      </c>
      <c r="G1691" s="0" t="n">
        <v>51.6</v>
      </c>
      <c r="H1691" s="0" t="n">
        <v>50</v>
      </c>
      <c r="I1691" s="27" t="s">
        <v>138</v>
      </c>
      <c r="J1691" s="0" t="n">
        <v>88</v>
      </c>
      <c r="K1691" s="0" t="n">
        <v>68</v>
      </c>
      <c r="L1691" s="0" t="n">
        <v>43</v>
      </c>
      <c r="P1691" s="0" t="n">
        <v>4.15</v>
      </c>
      <c r="Q1691" s="0" t="n">
        <v>3.12</v>
      </c>
      <c r="R1691" s="0" t="n">
        <v>4101</v>
      </c>
      <c r="S1691" s="0" t="n">
        <v>8800</v>
      </c>
      <c r="T1691" s="0" t="n">
        <v>48.35</v>
      </c>
      <c r="U1691" s="0" t="n">
        <v>768</v>
      </c>
      <c r="V1691" s="0" t="n">
        <v>2</v>
      </c>
      <c r="W1691" s="27" t="n">
        <f aca="false">MATCH(A1691,DATAS,0)</f>
        <v>1</v>
      </c>
      <c r="X1691" s="27" t="n">
        <f aca="false">IF(AND(E1691&gt;0,OR(AND(B1691&gt;=1,B1691&lt;=6),B1691=10)),1,0)</f>
        <v>1</v>
      </c>
      <c r="Y1691" s="27" t="n">
        <f aca="false">IF(AND(E1691&gt;0,B1691=10),1,0)</f>
        <v>0</v>
      </c>
      <c r="Z1691" s="0" t="str">
        <f aca="false">IF(AND(C1690=C1691,W1690=W1691-1),X1690,"")</f>
        <v/>
      </c>
      <c r="AA1691" s="0" t="str">
        <f aca="false">IF(AND(C1690=C1691,W1690=W1691-1),Y1690,"")</f>
        <v/>
      </c>
      <c r="AB1691" s="0" t="str">
        <f aca="false">IF(W1691=1,"",IF(AND(X1691=1,Z1691&lt;&gt;1),1,0))</f>
        <v/>
      </c>
      <c r="AC1691" s="0" t="str">
        <f aca="false">IF(W1691=1,"",IF(AND(Y1691=1,AA1691&lt;&gt;1),1,0))</f>
        <v/>
      </c>
      <c r="AD1691" s="33" t="str">
        <f aca="false">IF(AND(E1691&gt;0,W1691&lt;1,NOT(AND(C1692=C1691,W1692=W1691+1))),INDEX(DATAS,W1691+1),"")</f>
        <v/>
      </c>
      <c r="AE1691" s="33" t="str">
        <f aca="false">IF(AND(Y1691=1,W1691&lt;1),IF(AND(C1692=C1691,W1692=W1691+1),IF(Y1692=1,"",INDEX(DATAS,W1691+1)),INDEX(DATAS,W1691+1)),"")</f>
        <v/>
      </c>
    </row>
    <row r="1692" customFormat="false" ht="15" hidden="false" customHeight="false" outlineLevel="0" collapsed="false">
      <c r="A1692" s="33" t="n">
        <v>46309</v>
      </c>
      <c r="B1692" s="0" t="n">
        <v>1</v>
      </c>
      <c r="C1692" s="0" t="n">
        <v>5866</v>
      </c>
      <c r="D1692" s="0" t="n">
        <v>38</v>
      </c>
      <c r="E1692" s="0" t="n">
        <v>1</v>
      </c>
      <c r="F1692" s="27" t="s">
        <v>1021</v>
      </c>
      <c r="G1692" s="0" t="n">
        <v>50</v>
      </c>
      <c r="H1692" s="0" t="n">
        <v>47</v>
      </c>
      <c r="I1692" s="27" t="s">
        <v>147</v>
      </c>
      <c r="J1692" s="0" t="n">
        <v>38</v>
      </c>
      <c r="P1692" s="0" t="n">
        <v>4.71</v>
      </c>
      <c r="Q1692" s="0" t="n">
        <v>3.2</v>
      </c>
      <c r="R1692" s="0" t="n">
        <v>4287</v>
      </c>
      <c r="S1692" s="0" t="n">
        <v>8617</v>
      </c>
      <c r="U1692" s="0" t="n">
        <v>766</v>
      </c>
      <c r="V1692" s="0" t="n">
        <v>0</v>
      </c>
      <c r="W1692" s="27" t="n">
        <f aca="false">MATCH(A1692,DATAS,0)</f>
        <v>1</v>
      </c>
      <c r="X1692" s="27" t="n">
        <f aca="false">IF(AND(E1692&gt;0,OR(AND(B1692&gt;=1,B1692&lt;=6),B1692=10)),1,0)</f>
        <v>1</v>
      </c>
      <c r="Y1692" s="27" t="n">
        <f aca="false">IF(AND(E1692&gt;0,B1692=10),1,0)</f>
        <v>0</v>
      </c>
      <c r="Z1692" s="0" t="str">
        <f aca="false">IF(AND(C1691=C1692,W1691=W1692-1),X1691,"")</f>
        <v/>
      </c>
      <c r="AA1692" s="0" t="str">
        <f aca="false">IF(AND(C1691=C1692,W1691=W1692-1),Y1691,"")</f>
        <v/>
      </c>
      <c r="AB1692" s="0" t="str">
        <f aca="false">IF(W1692=1,"",IF(AND(X1692=1,Z1692&lt;&gt;1),1,0))</f>
        <v/>
      </c>
      <c r="AC1692" s="0" t="str">
        <f aca="false">IF(W1692=1,"",IF(AND(Y1692=1,AA1692&lt;&gt;1),1,0))</f>
        <v/>
      </c>
      <c r="AD1692" s="33" t="str">
        <f aca="false">IF(AND(E1692&gt;0,W1692&lt;1,NOT(AND(C1693=C1692,W1693=W1692+1))),INDEX(DATAS,W1692+1),"")</f>
        <v/>
      </c>
      <c r="AE1692" s="33" t="str">
        <f aca="false">IF(AND(Y1692=1,W1692&lt;1),IF(AND(C1693=C1692,W1693=W1692+1),IF(Y1693=1,"",INDEX(DATAS,W1692+1)),INDEX(DATAS,W1692+1)),"")</f>
        <v/>
      </c>
    </row>
    <row r="1693" customFormat="false" ht="15" hidden="false" customHeight="false" outlineLevel="0" collapsed="false">
      <c r="A1693" s="33" t="n">
        <v>46309</v>
      </c>
      <c r="B1693" s="0" t="n">
        <v>4</v>
      </c>
      <c r="C1693" s="0" t="n">
        <v>5867</v>
      </c>
      <c r="D1693" s="0" t="n">
        <v>63</v>
      </c>
      <c r="E1693" s="0" t="n">
        <v>1</v>
      </c>
      <c r="F1693" s="27" t="s">
        <v>1021</v>
      </c>
      <c r="G1693" s="0" t="n">
        <v>44</v>
      </c>
      <c r="H1693" s="0" t="n">
        <v>43</v>
      </c>
      <c r="I1693" s="27" t="s">
        <v>147</v>
      </c>
      <c r="J1693" s="0" t="n">
        <v>63</v>
      </c>
      <c r="P1693" s="0" t="n">
        <v>2.82</v>
      </c>
      <c r="Q1693" s="0" t="n">
        <v>2.93</v>
      </c>
      <c r="R1693" s="0" t="n">
        <v>3748</v>
      </c>
      <c r="S1693" s="0" t="n">
        <v>7534</v>
      </c>
      <c r="U1693" s="0" t="n">
        <v>766</v>
      </c>
      <c r="V1693" s="0" t="n">
        <v>0</v>
      </c>
      <c r="W1693" s="27" t="n">
        <f aca="false">MATCH(A1693,DATAS,0)</f>
        <v>1</v>
      </c>
      <c r="X1693" s="27" t="n">
        <f aca="false">IF(AND(E1693&gt;0,OR(AND(B1693&gt;=1,B1693&lt;=6),B1693=10)),1,0)</f>
        <v>1</v>
      </c>
      <c r="Y1693" s="27" t="n">
        <f aca="false">IF(AND(E1693&gt;0,B1693=10),1,0)</f>
        <v>0</v>
      </c>
      <c r="Z1693" s="0" t="str">
        <f aca="false">IF(AND(C1692=C1693,W1692=W1693-1),X1692,"")</f>
        <v/>
      </c>
      <c r="AA1693" s="0" t="str">
        <f aca="false">IF(AND(C1692=C1693,W1692=W1693-1),Y1692,"")</f>
        <v/>
      </c>
      <c r="AB1693" s="0" t="str">
        <f aca="false">IF(W1693=1,"",IF(AND(X1693=1,Z1693&lt;&gt;1),1,0))</f>
        <v/>
      </c>
      <c r="AC1693" s="0" t="str">
        <f aca="false">IF(W1693=1,"",IF(AND(Y1693=1,AA1693&lt;&gt;1),1,0))</f>
        <v/>
      </c>
      <c r="AD1693" s="33" t="str">
        <f aca="false">IF(AND(E1693&gt;0,W1693&lt;1,NOT(AND(C1694=C1693,W1694=W1693+1))),INDEX(DATAS,W1693+1),"")</f>
        <v/>
      </c>
      <c r="AE1693" s="33" t="str">
        <f aca="false">IF(AND(Y1693=1,W1693&lt;1),IF(AND(C1694=C1693,W1694=W1693+1),IF(Y1694=1,"",INDEX(DATAS,W1693+1)),INDEX(DATAS,W1693+1)),"")</f>
        <v/>
      </c>
    </row>
    <row r="1694" customFormat="false" ht="15" hidden="false" customHeight="false" outlineLevel="0" collapsed="false">
      <c r="A1694" s="33" t="n">
        <v>46309</v>
      </c>
      <c r="B1694" s="0" t="n">
        <v>1</v>
      </c>
      <c r="C1694" s="0" t="n">
        <v>5868</v>
      </c>
      <c r="D1694" s="0" t="n">
        <v>108</v>
      </c>
      <c r="E1694" s="0" t="n">
        <v>1</v>
      </c>
      <c r="F1694" s="27" t="s">
        <v>1021</v>
      </c>
      <c r="G1694" s="0" t="n">
        <v>42.3</v>
      </c>
      <c r="H1694" s="0" t="n">
        <v>41</v>
      </c>
      <c r="I1694" s="27" t="s">
        <v>138</v>
      </c>
      <c r="J1694" s="0" t="n">
        <v>66</v>
      </c>
      <c r="K1694" s="0" t="n">
        <v>66</v>
      </c>
      <c r="L1694" s="0" t="n">
        <v>42</v>
      </c>
      <c r="P1694" s="0" t="n">
        <v>2.84</v>
      </c>
      <c r="Q1694" s="0" t="n">
        <v>3.05</v>
      </c>
      <c r="R1694" s="0" t="n">
        <v>3478</v>
      </c>
      <c r="S1694" s="0" t="n">
        <v>7112</v>
      </c>
      <c r="T1694" s="0" t="n">
        <v>38.75</v>
      </c>
      <c r="U1694" s="0" t="n">
        <v>766</v>
      </c>
      <c r="V1694" s="0" t="n">
        <v>1</v>
      </c>
      <c r="W1694" s="27" t="n">
        <f aca="false">MATCH(A1694,DATAS,0)</f>
        <v>1</v>
      </c>
      <c r="X1694" s="27" t="n">
        <f aca="false">IF(AND(E1694&gt;0,OR(AND(B1694&gt;=1,B1694&lt;=6),B1694=10)),1,0)</f>
        <v>1</v>
      </c>
      <c r="Y1694" s="27" t="n">
        <f aca="false">IF(AND(E1694&gt;0,B1694=10),1,0)</f>
        <v>0</v>
      </c>
      <c r="Z1694" s="0" t="str">
        <f aca="false">IF(AND(C1693=C1694,W1693=W1694-1),X1693,"")</f>
        <v/>
      </c>
      <c r="AA1694" s="0" t="str">
        <f aca="false">IF(AND(C1693=C1694,W1693=W1694-1),Y1693,"")</f>
        <v/>
      </c>
      <c r="AB1694" s="0" t="str">
        <f aca="false">IF(W1694=1,"",IF(AND(X1694=1,Z1694&lt;&gt;1),1,0))</f>
        <v/>
      </c>
      <c r="AC1694" s="0" t="str">
        <f aca="false">IF(W1694=1,"",IF(AND(Y1694=1,AA1694&lt;&gt;1),1,0))</f>
        <v/>
      </c>
      <c r="AD1694" s="33" t="str">
        <f aca="false">IF(AND(E1694&gt;0,W1694&lt;1,NOT(AND(C1695=C1694,W1695=W1694+1))),INDEX(DATAS,W1694+1),"")</f>
        <v/>
      </c>
      <c r="AE1694" s="33" t="str">
        <f aca="false">IF(AND(Y1694=1,W1694&lt;1),IF(AND(C1695=C1694,W1695=W1694+1),IF(Y1695=1,"",INDEX(DATAS,W1694+1)),INDEX(DATAS,W1694+1)),"")</f>
        <v/>
      </c>
    </row>
    <row r="1695" customFormat="false" ht="15" hidden="false" customHeight="false" outlineLevel="0" collapsed="false">
      <c r="A1695" s="33" t="n">
        <v>46309</v>
      </c>
      <c r="B1695" s="0" t="n">
        <v>1</v>
      </c>
      <c r="C1695" s="0" t="n">
        <v>5869</v>
      </c>
      <c r="D1695" s="0" t="n">
        <v>31</v>
      </c>
      <c r="E1695" s="0" t="n">
        <v>1</v>
      </c>
      <c r="F1695" s="27" t="s">
        <v>1021</v>
      </c>
      <c r="G1695" s="0" t="n">
        <v>36.8</v>
      </c>
      <c r="H1695" s="0" t="n">
        <v>31</v>
      </c>
      <c r="I1695" s="27" t="s">
        <v>147</v>
      </c>
      <c r="J1695" s="0" t="n">
        <v>31</v>
      </c>
      <c r="P1695" s="0" t="n">
        <v>3.3</v>
      </c>
      <c r="Q1695" s="0" t="n">
        <v>4.71</v>
      </c>
      <c r="R1695" s="0" t="n">
        <v>1723</v>
      </c>
      <c r="S1695" s="0" t="n">
        <v>3465</v>
      </c>
      <c r="U1695" s="0" t="n">
        <v>766</v>
      </c>
      <c r="V1695" s="0" t="n">
        <v>0</v>
      </c>
      <c r="W1695" s="27" t="n">
        <f aca="false">MATCH(A1695,DATAS,0)</f>
        <v>1</v>
      </c>
      <c r="X1695" s="27" t="n">
        <f aca="false">IF(AND(E1695&gt;0,OR(AND(B1695&gt;=1,B1695&lt;=6),B1695=10)),1,0)</f>
        <v>1</v>
      </c>
      <c r="Y1695" s="27" t="n">
        <f aca="false">IF(AND(E1695&gt;0,B1695=10),1,0)</f>
        <v>0</v>
      </c>
      <c r="Z1695" s="0" t="str">
        <f aca="false">IF(AND(C1694=C1695,W1694=W1695-1),X1694,"")</f>
        <v/>
      </c>
      <c r="AA1695" s="0" t="str">
        <f aca="false">IF(AND(C1694=C1695,W1694=W1695-1),Y1694,"")</f>
        <v/>
      </c>
      <c r="AB1695" s="0" t="str">
        <f aca="false">IF(W1695=1,"",IF(AND(X1695=1,Z1695&lt;&gt;1),1,0))</f>
        <v/>
      </c>
      <c r="AC1695" s="0" t="str">
        <f aca="false">IF(W1695=1,"",IF(AND(Y1695=1,AA1695&lt;&gt;1),1,0))</f>
        <v/>
      </c>
      <c r="AD1695" s="33" t="str">
        <f aca="false">IF(AND(E1695&gt;0,W1695&lt;1,NOT(AND(C1696=C1695,W1696=W1695+1))),INDEX(DATAS,W1695+1),"")</f>
        <v/>
      </c>
      <c r="AE1695" s="33" t="str">
        <f aca="false">IF(AND(Y1695=1,W1695&lt;1),IF(AND(C1696=C1695,W1696=W1695+1),IF(Y1696=1,"",INDEX(DATAS,W1695+1)),INDEX(DATAS,W1695+1)),"")</f>
        <v/>
      </c>
    </row>
    <row r="1696" customFormat="false" ht="15" hidden="false" customHeight="false" outlineLevel="0" collapsed="false">
      <c r="A1696" s="33" t="n">
        <v>46309</v>
      </c>
      <c r="B1696" s="0" t="n">
        <v>1</v>
      </c>
      <c r="C1696" s="0" t="n">
        <v>5871</v>
      </c>
      <c r="D1696" s="0" t="n">
        <v>75</v>
      </c>
      <c r="E1696" s="0" t="n">
        <v>1</v>
      </c>
      <c r="F1696" s="27" t="s">
        <v>1022</v>
      </c>
      <c r="G1696" s="0" t="n">
        <v>52.7</v>
      </c>
      <c r="H1696" s="0" t="n">
        <v>45</v>
      </c>
      <c r="I1696" s="27" t="s">
        <v>168</v>
      </c>
      <c r="J1696" s="0" t="n">
        <v>75</v>
      </c>
      <c r="K1696" s="0" t="n">
        <v>68</v>
      </c>
      <c r="P1696" s="0" t="n">
        <v>3.56</v>
      </c>
      <c r="Q1696" s="0" t="n">
        <v>3.01</v>
      </c>
      <c r="R1696" s="0" t="n">
        <v>4193</v>
      </c>
      <c r="S1696" s="0" t="n">
        <v>8429</v>
      </c>
      <c r="U1696" s="0" t="n">
        <v>764</v>
      </c>
      <c r="V1696" s="0" t="n">
        <v>1</v>
      </c>
      <c r="W1696" s="27" t="n">
        <f aca="false">MATCH(A1696,DATAS,0)</f>
        <v>1</v>
      </c>
      <c r="X1696" s="27" t="n">
        <f aca="false">IF(AND(E1696&gt;0,OR(AND(B1696&gt;=1,B1696&lt;=6),B1696=10)),1,0)</f>
        <v>1</v>
      </c>
      <c r="Y1696" s="27" t="n">
        <f aca="false">IF(AND(E1696&gt;0,B1696=10),1,0)</f>
        <v>0</v>
      </c>
      <c r="Z1696" s="0" t="str">
        <f aca="false">IF(AND(C1695=C1696,W1695=W1696-1),X1695,"")</f>
        <v/>
      </c>
      <c r="AA1696" s="0" t="str">
        <f aca="false">IF(AND(C1695=C1696,W1695=W1696-1),Y1695,"")</f>
        <v/>
      </c>
      <c r="AB1696" s="0" t="str">
        <f aca="false">IF(W1696=1,"",IF(AND(X1696=1,Z1696&lt;&gt;1),1,0))</f>
        <v/>
      </c>
      <c r="AC1696" s="0" t="str">
        <f aca="false">IF(W1696=1,"",IF(AND(Y1696=1,AA1696&lt;&gt;1),1,0))</f>
        <v/>
      </c>
      <c r="AD1696" s="33" t="str">
        <f aca="false">IF(AND(E1696&gt;0,W1696&lt;1,NOT(AND(C1697=C1696,W1697=W1696+1))),INDEX(DATAS,W1696+1),"")</f>
        <v/>
      </c>
      <c r="AE1696" s="33" t="str">
        <f aca="false">IF(AND(Y1696=1,W1696&lt;1),IF(AND(C1697=C1696,W1697=W1696+1),IF(Y1697=1,"",INDEX(DATAS,W1696+1)),INDEX(DATAS,W1696+1)),"")</f>
        <v/>
      </c>
    </row>
    <row r="1697" customFormat="false" ht="15" hidden="false" customHeight="false" outlineLevel="0" collapsed="false">
      <c r="A1697" s="33" t="n">
        <v>46309</v>
      </c>
      <c r="B1697" s="0" t="n">
        <v>1</v>
      </c>
      <c r="C1697" s="0" t="n">
        <v>5872</v>
      </c>
      <c r="D1697" s="0" t="n">
        <v>65</v>
      </c>
      <c r="E1697" s="0" t="n">
        <v>1</v>
      </c>
      <c r="F1697" s="27" t="s">
        <v>1022</v>
      </c>
      <c r="G1697" s="0" t="n">
        <v>45.3</v>
      </c>
      <c r="H1697" s="0" t="n">
        <v>44</v>
      </c>
      <c r="I1697" s="27" t="s">
        <v>168</v>
      </c>
      <c r="J1697" s="0" t="n">
        <v>65</v>
      </c>
      <c r="K1697" s="0" t="n">
        <v>65</v>
      </c>
      <c r="P1697" s="0" t="n">
        <v>4.02</v>
      </c>
      <c r="Q1697" s="0" t="n">
        <v>3.32</v>
      </c>
      <c r="R1697" s="0" t="n">
        <v>3470</v>
      </c>
      <c r="S1697" s="0" t="n">
        <v>6976</v>
      </c>
      <c r="U1697" s="0" t="n">
        <v>764</v>
      </c>
      <c r="V1697" s="0" t="n">
        <v>1</v>
      </c>
      <c r="W1697" s="27" t="n">
        <f aca="false">MATCH(A1697,DATAS,0)</f>
        <v>1</v>
      </c>
      <c r="X1697" s="27" t="n">
        <f aca="false">IF(AND(E1697&gt;0,OR(AND(B1697&gt;=1,B1697&lt;=6),B1697=10)),1,0)</f>
        <v>1</v>
      </c>
      <c r="Y1697" s="27" t="n">
        <f aca="false">IF(AND(E1697&gt;0,B1697=10),1,0)</f>
        <v>0</v>
      </c>
      <c r="Z1697" s="0" t="str">
        <f aca="false">IF(AND(C1696=C1697,W1696=W1697-1),X1696,"")</f>
        <v/>
      </c>
      <c r="AA1697" s="0" t="str">
        <f aca="false">IF(AND(C1696=C1697,W1696=W1697-1),Y1696,"")</f>
        <v/>
      </c>
      <c r="AB1697" s="0" t="str">
        <f aca="false">IF(W1697=1,"",IF(AND(X1697=1,Z1697&lt;&gt;1),1,0))</f>
        <v/>
      </c>
      <c r="AC1697" s="0" t="str">
        <f aca="false">IF(W1697=1,"",IF(AND(Y1697=1,AA1697&lt;&gt;1),1,0))</f>
        <v/>
      </c>
      <c r="AD1697" s="33" t="str">
        <f aca="false">IF(AND(E1697&gt;0,W1697&lt;1,NOT(AND(C1698=C1697,W1698=W1697+1))),INDEX(DATAS,W1697+1),"")</f>
        <v/>
      </c>
      <c r="AE1697" s="33" t="str">
        <f aca="false">IF(AND(Y1697=1,W1697&lt;1),IF(AND(C1698=C1697,W1698=W1697+1),IF(Y1698=1,"",INDEX(DATAS,W1697+1)),INDEX(DATAS,W1697+1)),"")</f>
        <v/>
      </c>
    </row>
    <row r="1698" customFormat="false" ht="15" hidden="false" customHeight="false" outlineLevel="0" collapsed="false">
      <c r="A1698" s="33" t="n">
        <v>46309</v>
      </c>
      <c r="B1698" s="0" t="n">
        <v>1</v>
      </c>
      <c r="C1698" s="0" t="n">
        <v>5873</v>
      </c>
      <c r="D1698" s="0" t="n">
        <v>39</v>
      </c>
      <c r="E1698" s="0" t="n">
        <v>1</v>
      </c>
      <c r="F1698" s="27" t="s">
        <v>1023</v>
      </c>
      <c r="G1698" s="0" t="n">
        <v>50.2</v>
      </c>
      <c r="H1698" s="0" t="n">
        <v>53</v>
      </c>
      <c r="I1698" s="27" t="s">
        <v>147</v>
      </c>
      <c r="J1698" s="0" t="n">
        <v>39</v>
      </c>
      <c r="P1698" s="0" t="n">
        <v>4.47</v>
      </c>
      <c r="Q1698" s="0" t="n">
        <v>3.22</v>
      </c>
      <c r="R1698" s="0" t="n">
        <v>5021</v>
      </c>
      <c r="S1698" s="0" t="n">
        <v>10093</v>
      </c>
      <c r="U1698" s="0" t="n">
        <v>763</v>
      </c>
      <c r="V1698" s="0" t="n">
        <v>0</v>
      </c>
      <c r="W1698" s="27" t="n">
        <f aca="false">MATCH(A1698,DATAS,0)</f>
        <v>1</v>
      </c>
      <c r="X1698" s="27" t="n">
        <f aca="false">IF(AND(E1698&gt;0,OR(AND(B1698&gt;=1,B1698&lt;=6),B1698=10)),1,0)</f>
        <v>1</v>
      </c>
      <c r="Y1698" s="27" t="n">
        <f aca="false">IF(AND(E1698&gt;0,B1698=10),1,0)</f>
        <v>0</v>
      </c>
      <c r="Z1698" s="0" t="str">
        <f aca="false">IF(AND(C1697=C1698,W1697=W1698-1),X1697,"")</f>
        <v/>
      </c>
      <c r="AA1698" s="0" t="str">
        <f aca="false">IF(AND(C1697=C1698,W1697=W1698-1),Y1697,"")</f>
        <v/>
      </c>
      <c r="AB1698" s="0" t="str">
        <f aca="false">IF(W1698=1,"",IF(AND(X1698=1,Z1698&lt;&gt;1),1,0))</f>
        <v/>
      </c>
      <c r="AC1698" s="0" t="str">
        <f aca="false">IF(W1698=1,"",IF(AND(Y1698=1,AA1698&lt;&gt;1),1,0))</f>
        <v/>
      </c>
      <c r="AD1698" s="33" t="str">
        <f aca="false">IF(AND(E1698&gt;0,W1698&lt;1,NOT(AND(C1699=C1698,W1699=W1698+1))),INDEX(DATAS,W1698+1),"")</f>
        <v/>
      </c>
      <c r="AE1698" s="33" t="str">
        <f aca="false">IF(AND(Y1698=1,W1698&lt;1),IF(AND(C1699=C1698,W1699=W1698+1),IF(Y1699=1,"",INDEX(DATAS,W1698+1)),INDEX(DATAS,W1698+1)),"")</f>
        <v/>
      </c>
    </row>
    <row r="1699" customFormat="false" ht="15" hidden="false" customHeight="false" outlineLevel="0" collapsed="false">
      <c r="A1699" s="33" t="n">
        <v>46309</v>
      </c>
      <c r="B1699" s="0" t="n">
        <v>1</v>
      </c>
      <c r="C1699" s="0" t="n">
        <v>5874</v>
      </c>
      <c r="D1699" s="0" t="n">
        <v>46</v>
      </c>
      <c r="E1699" s="0" t="n">
        <v>1</v>
      </c>
      <c r="F1699" s="27" t="s">
        <v>1023</v>
      </c>
      <c r="G1699" s="0" t="n">
        <v>39.8</v>
      </c>
      <c r="H1699" s="0" t="n">
        <v>38</v>
      </c>
      <c r="I1699" s="27" t="s">
        <v>147</v>
      </c>
      <c r="J1699" s="0" t="n">
        <v>46</v>
      </c>
      <c r="P1699" s="0" t="n">
        <v>3.9</v>
      </c>
      <c r="Q1699" s="0" t="n">
        <v>3.48</v>
      </c>
      <c r="R1699" s="0" t="n">
        <v>3218</v>
      </c>
      <c r="S1699" s="0" t="n">
        <v>6469</v>
      </c>
      <c r="U1699" s="0" t="n">
        <v>763</v>
      </c>
      <c r="V1699" s="0" t="n">
        <v>0</v>
      </c>
      <c r="W1699" s="27" t="n">
        <f aca="false">MATCH(A1699,DATAS,0)</f>
        <v>1</v>
      </c>
      <c r="X1699" s="27" t="n">
        <f aca="false">IF(AND(E1699&gt;0,OR(AND(B1699&gt;=1,B1699&lt;=6),B1699=10)),1,0)</f>
        <v>1</v>
      </c>
      <c r="Y1699" s="27" t="n">
        <f aca="false">IF(AND(E1699&gt;0,B1699=10),1,0)</f>
        <v>0</v>
      </c>
      <c r="Z1699" s="0" t="str">
        <f aca="false">IF(AND(C1698=C1699,W1698=W1699-1),X1698,"")</f>
        <v/>
      </c>
      <c r="AA1699" s="0" t="str">
        <f aca="false">IF(AND(C1698=C1699,W1698=W1699-1),Y1698,"")</f>
        <v/>
      </c>
      <c r="AB1699" s="0" t="str">
        <f aca="false">IF(W1699=1,"",IF(AND(X1699=1,Z1699&lt;&gt;1),1,0))</f>
        <v/>
      </c>
      <c r="AC1699" s="0" t="str">
        <f aca="false">IF(W1699=1,"",IF(AND(Y1699=1,AA1699&lt;&gt;1),1,0))</f>
        <v/>
      </c>
      <c r="AD1699" s="33" t="str">
        <f aca="false">IF(AND(E1699&gt;0,W1699&lt;1,NOT(AND(C1700=C1699,W1700=W1699+1))),INDEX(DATAS,W1699+1),"")</f>
        <v/>
      </c>
      <c r="AE1699" s="33" t="str">
        <f aca="false">IF(AND(Y1699=1,W1699&lt;1),IF(AND(C1700=C1699,W1700=W1699+1),IF(Y1700=1,"",INDEX(DATAS,W1699+1)),INDEX(DATAS,W1699+1)),"")</f>
        <v/>
      </c>
    </row>
    <row r="1700" customFormat="false" ht="15" hidden="false" customHeight="false" outlineLevel="0" collapsed="false">
      <c r="A1700" s="33" t="n">
        <v>46309</v>
      </c>
      <c r="B1700" s="0" t="n">
        <v>1</v>
      </c>
      <c r="C1700" s="0" t="n">
        <v>5875</v>
      </c>
      <c r="D1700" s="0" t="n">
        <v>78</v>
      </c>
      <c r="E1700" s="0" t="n">
        <v>1</v>
      </c>
      <c r="F1700" s="27" t="s">
        <v>1023</v>
      </c>
      <c r="G1700" s="0" t="n">
        <v>48.1</v>
      </c>
      <c r="H1700" s="0" t="n">
        <v>51</v>
      </c>
      <c r="I1700" s="27" t="s">
        <v>168</v>
      </c>
      <c r="J1700" s="0" t="n">
        <v>78</v>
      </c>
      <c r="K1700" s="0" t="n">
        <v>64</v>
      </c>
      <c r="P1700" s="0" t="n">
        <v>3.51</v>
      </c>
      <c r="Q1700" s="0" t="n">
        <v>3.29</v>
      </c>
      <c r="R1700" s="0" t="n">
        <v>4151</v>
      </c>
      <c r="S1700" s="0" t="n">
        <v>8345</v>
      </c>
      <c r="U1700" s="0" t="n">
        <v>763</v>
      </c>
      <c r="V1700" s="0" t="n">
        <v>1</v>
      </c>
      <c r="W1700" s="27" t="n">
        <f aca="false">MATCH(A1700,DATAS,0)</f>
        <v>1</v>
      </c>
      <c r="X1700" s="27" t="n">
        <f aca="false">IF(AND(E1700&gt;0,OR(AND(B1700&gt;=1,B1700&lt;=6),B1700=10)),1,0)</f>
        <v>1</v>
      </c>
      <c r="Y1700" s="27" t="n">
        <f aca="false">IF(AND(E1700&gt;0,B1700=10),1,0)</f>
        <v>0</v>
      </c>
      <c r="Z1700" s="0" t="str">
        <f aca="false">IF(AND(C1699=C1700,W1699=W1700-1),X1699,"")</f>
        <v/>
      </c>
      <c r="AA1700" s="0" t="str">
        <f aca="false">IF(AND(C1699=C1700,W1699=W1700-1),Y1699,"")</f>
        <v/>
      </c>
      <c r="AB1700" s="0" t="str">
        <f aca="false">IF(W1700=1,"",IF(AND(X1700=1,Z1700&lt;&gt;1),1,0))</f>
        <v/>
      </c>
      <c r="AC1700" s="0" t="str">
        <f aca="false">IF(W1700=1,"",IF(AND(Y1700=1,AA1700&lt;&gt;1),1,0))</f>
        <v/>
      </c>
      <c r="AD1700" s="33" t="str">
        <f aca="false">IF(AND(E1700&gt;0,W1700&lt;1,NOT(AND(C1701=C1700,W1701=W1700+1))),INDEX(DATAS,W1700+1),"")</f>
        <v/>
      </c>
      <c r="AE1700" s="33" t="str">
        <f aca="false">IF(AND(Y1700=1,W1700&lt;1),IF(AND(C1701=C1700,W1701=W1700+1),IF(Y1701=1,"",INDEX(DATAS,W1700+1)),INDEX(DATAS,W1700+1)),"")</f>
        <v/>
      </c>
    </row>
    <row r="1701" customFormat="false" ht="15" hidden="false" customHeight="false" outlineLevel="0" collapsed="false">
      <c r="A1701" s="33" t="n">
        <v>46309</v>
      </c>
      <c r="B1701" s="0" t="n">
        <v>1</v>
      </c>
      <c r="C1701" s="0" t="n">
        <v>5876</v>
      </c>
      <c r="D1701" s="0" t="n">
        <v>106</v>
      </c>
      <c r="E1701" s="0" t="n">
        <v>1</v>
      </c>
      <c r="F1701" s="27" t="s">
        <v>1023</v>
      </c>
      <c r="G1701" s="0" t="n">
        <v>60.5</v>
      </c>
      <c r="H1701" s="0" t="n">
        <v>61</v>
      </c>
      <c r="I1701" s="27" t="s">
        <v>138</v>
      </c>
      <c r="J1701" s="0" t="n">
        <v>64</v>
      </c>
      <c r="K1701" s="0" t="n">
        <v>64</v>
      </c>
      <c r="L1701" s="0" t="n">
        <v>42</v>
      </c>
      <c r="P1701" s="0" t="n">
        <v>2.99</v>
      </c>
      <c r="Q1701" s="0" t="n">
        <v>3.12</v>
      </c>
      <c r="R1701" s="0" t="n">
        <v>4523</v>
      </c>
      <c r="S1701" s="0" t="n">
        <v>9285</v>
      </c>
      <c r="T1701" s="0" t="n">
        <v>54</v>
      </c>
      <c r="U1701" s="0" t="n">
        <v>763</v>
      </c>
      <c r="V1701" s="0" t="n">
        <v>1</v>
      </c>
      <c r="W1701" s="27" t="n">
        <f aca="false">MATCH(A1701,DATAS,0)</f>
        <v>1</v>
      </c>
      <c r="X1701" s="27" t="n">
        <f aca="false">IF(AND(E1701&gt;0,OR(AND(B1701&gt;=1,B1701&lt;=6),B1701=10)),1,0)</f>
        <v>1</v>
      </c>
      <c r="Y1701" s="27" t="n">
        <f aca="false">IF(AND(E1701&gt;0,B1701=10),1,0)</f>
        <v>0</v>
      </c>
      <c r="Z1701" s="0" t="str">
        <f aca="false">IF(AND(C1700=C1701,W1700=W1701-1),X1700,"")</f>
        <v/>
      </c>
      <c r="AA1701" s="0" t="str">
        <f aca="false">IF(AND(C1700=C1701,W1700=W1701-1),Y1700,"")</f>
        <v/>
      </c>
      <c r="AB1701" s="0" t="str">
        <f aca="false">IF(W1701=1,"",IF(AND(X1701=1,Z1701&lt;&gt;1),1,0))</f>
        <v/>
      </c>
      <c r="AC1701" s="0" t="str">
        <f aca="false">IF(W1701=1,"",IF(AND(Y1701=1,AA1701&lt;&gt;1),1,0))</f>
        <v/>
      </c>
      <c r="AD1701" s="33" t="str">
        <f aca="false">IF(AND(E1701&gt;0,W1701&lt;1,NOT(AND(C1702=C1701,W1702=W1701+1))),INDEX(DATAS,W1701+1),"")</f>
        <v/>
      </c>
      <c r="AE1701" s="33" t="str">
        <f aca="false">IF(AND(Y1701=1,W1701&lt;1),IF(AND(C1702=C1701,W1702=W1701+1),IF(Y1702=1,"",INDEX(DATAS,W1701+1)),INDEX(DATAS,W1701+1)),"")</f>
        <v/>
      </c>
    </row>
    <row r="1702" customFormat="false" ht="15" hidden="false" customHeight="false" outlineLevel="0" collapsed="false">
      <c r="A1702" s="33" t="n">
        <v>46309</v>
      </c>
      <c r="B1702" s="0" t="n">
        <v>4</v>
      </c>
      <c r="C1702" s="0" t="n">
        <v>5877</v>
      </c>
      <c r="D1702" s="0" t="n">
        <v>113</v>
      </c>
      <c r="E1702" s="0" t="n">
        <v>1</v>
      </c>
      <c r="F1702" s="27" t="s">
        <v>1024</v>
      </c>
      <c r="G1702" s="0" t="n">
        <v>76.6</v>
      </c>
      <c r="H1702" s="0" t="n">
        <v>71</v>
      </c>
      <c r="I1702" s="27" t="s">
        <v>168</v>
      </c>
      <c r="J1702" s="0" t="n">
        <v>113</v>
      </c>
      <c r="K1702" s="0" t="n">
        <v>64</v>
      </c>
      <c r="P1702" s="0" t="n">
        <v>3.41</v>
      </c>
      <c r="Q1702" s="0" t="n">
        <v>2.73</v>
      </c>
      <c r="R1702" s="0" t="n">
        <v>5666</v>
      </c>
      <c r="S1702" s="0" t="n">
        <v>11712</v>
      </c>
      <c r="T1702" s="0" t="n">
        <v>64.85</v>
      </c>
      <c r="U1702" s="0" t="n">
        <v>762</v>
      </c>
      <c r="V1702" s="0" t="n">
        <v>2</v>
      </c>
      <c r="W1702" s="27" t="n">
        <f aca="false">MATCH(A1702,DATAS,0)</f>
        <v>1</v>
      </c>
      <c r="X1702" s="27" t="n">
        <f aca="false">IF(AND(E1702&gt;0,OR(AND(B1702&gt;=1,B1702&lt;=6),B1702=10)),1,0)</f>
        <v>1</v>
      </c>
      <c r="Y1702" s="27" t="n">
        <f aca="false">IF(AND(E1702&gt;0,B1702=10),1,0)</f>
        <v>0</v>
      </c>
      <c r="Z1702" s="0" t="str">
        <f aca="false">IF(AND(C1701=C1702,W1701=W1702-1),X1701,"")</f>
        <v/>
      </c>
      <c r="AA1702" s="0" t="str">
        <f aca="false">IF(AND(C1701=C1702,W1701=W1702-1),Y1701,"")</f>
        <v/>
      </c>
      <c r="AB1702" s="0" t="str">
        <f aca="false">IF(W1702=1,"",IF(AND(X1702=1,Z1702&lt;&gt;1),1,0))</f>
        <v/>
      </c>
      <c r="AC1702" s="0" t="str">
        <f aca="false">IF(W1702=1,"",IF(AND(Y1702=1,AA1702&lt;&gt;1),1,0))</f>
        <v/>
      </c>
      <c r="AD1702" s="33" t="str">
        <f aca="false">IF(AND(E1702&gt;0,W1702&lt;1,NOT(AND(C1703=C1702,W1703=W1702+1))),INDEX(DATAS,W1702+1),"")</f>
        <v/>
      </c>
      <c r="AE1702" s="33" t="str">
        <f aca="false">IF(AND(Y1702=1,W1702&lt;1),IF(AND(C1703=C1702,W1703=W1702+1),IF(Y1703=1,"",INDEX(DATAS,W1702+1)),INDEX(DATAS,W1702+1)),"")</f>
        <v/>
      </c>
    </row>
    <row r="1703" customFormat="false" ht="15" hidden="false" customHeight="false" outlineLevel="0" collapsed="false">
      <c r="A1703" s="33" t="n">
        <v>46309</v>
      </c>
      <c r="B1703" s="0" t="n">
        <v>1</v>
      </c>
      <c r="C1703" s="0" t="n">
        <v>5878</v>
      </c>
      <c r="D1703" s="0" t="n">
        <v>64</v>
      </c>
      <c r="E1703" s="0" t="n">
        <v>1</v>
      </c>
      <c r="F1703" s="27" t="s">
        <v>1024</v>
      </c>
      <c r="G1703" s="0" t="n">
        <v>48.4</v>
      </c>
      <c r="H1703" s="0" t="n">
        <v>51</v>
      </c>
      <c r="I1703" s="27" t="s">
        <v>147</v>
      </c>
      <c r="J1703" s="0" t="n">
        <v>64</v>
      </c>
      <c r="P1703" s="0" t="n">
        <v>3.73</v>
      </c>
      <c r="Q1703" s="0" t="n">
        <v>3.29</v>
      </c>
      <c r="R1703" s="0" t="n">
        <v>4355</v>
      </c>
      <c r="S1703" s="0" t="n">
        <v>8754</v>
      </c>
      <c r="U1703" s="0" t="n">
        <v>762</v>
      </c>
      <c r="V1703" s="0" t="n">
        <v>0</v>
      </c>
      <c r="W1703" s="27" t="n">
        <f aca="false">MATCH(A1703,DATAS,0)</f>
        <v>1</v>
      </c>
      <c r="X1703" s="27" t="n">
        <f aca="false">IF(AND(E1703&gt;0,OR(AND(B1703&gt;=1,B1703&lt;=6),B1703=10)),1,0)</f>
        <v>1</v>
      </c>
      <c r="Y1703" s="27" t="n">
        <f aca="false">IF(AND(E1703&gt;0,B1703=10),1,0)</f>
        <v>0</v>
      </c>
      <c r="Z1703" s="0" t="str">
        <f aca="false">IF(AND(C1702=C1703,W1702=W1703-1),X1702,"")</f>
        <v/>
      </c>
      <c r="AA1703" s="0" t="str">
        <f aca="false">IF(AND(C1702=C1703,W1702=W1703-1),Y1702,"")</f>
        <v/>
      </c>
      <c r="AB1703" s="0" t="str">
        <f aca="false">IF(W1703=1,"",IF(AND(X1703=1,Z1703&lt;&gt;1),1,0))</f>
        <v/>
      </c>
      <c r="AC1703" s="0" t="str">
        <f aca="false">IF(W1703=1,"",IF(AND(Y1703=1,AA1703&lt;&gt;1),1,0))</f>
        <v/>
      </c>
      <c r="AD1703" s="33" t="str">
        <f aca="false">IF(AND(E1703&gt;0,W1703&lt;1,NOT(AND(C1704=C1703,W1704=W1703+1))),INDEX(DATAS,W1703+1),"")</f>
        <v/>
      </c>
      <c r="AE1703" s="33" t="str">
        <f aca="false">IF(AND(Y1703=1,W1703&lt;1),IF(AND(C1704=C1703,W1704=W1703+1),IF(Y1704=1,"",INDEX(DATAS,W1703+1)),INDEX(DATAS,W1703+1)),"")</f>
        <v/>
      </c>
    </row>
    <row r="1704" customFormat="false" ht="15" hidden="false" customHeight="false" outlineLevel="0" collapsed="false">
      <c r="A1704" s="33" t="n">
        <v>46309</v>
      </c>
      <c r="B1704" s="0" t="n">
        <v>6</v>
      </c>
      <c r="C1704" s="0" t="n">
        <v>5879</v>
      </c>
      <c r="D1704" s="0" t="n">
        <v>126</v>
      </c>
      <c r="E1704" s="0" t="n">
        <v>1</v>
      </c>
      <c r="F1704" s="27" t="s">
        <v>1025</v>
      </c>
      <c r="G1704" s="0" t="n">
        <v>27.8</v>
      </c>
      <c r="H1704" s="0" t="n">
        <v>25</v>
      </c>
      <c r="I1704" s="27" t="s">
        <v>168</v>
      </c>
      <c r="J1704" s="0" t="n">
        <v>126</v>
      </c>
      <c r="K1704" s="0" t="n">
        <v>119</v>
      </c>
      <c r="P1704" s="0" t="n">
        <v>4.61</v>
      </c>
      <c r="Q1704" s="0" t="n">
        <v>3.3</v>
      </c>
      <c r="R1704" s="0" t="n">
        <v>3270</v>
      </c>
      <c r="S1704" s="0" t="n">
        <v>6395</v>
      </c>
      <c r="T1704" s="0" t="n">
        <v>35.9</v>
      </c>
      <c r="U1704" s="0" t="n">
        <v>761</v>
      </c>
      <c r="V1704" s="0" t="n">
        <v>1</v>
      </c>
      <c r="W1704" s="27" t="n">
        <f aca="false">MATCH(A1704,DATAS,0)</f>
        <v>1</v>
      </c>
      <c r="X1704" s="27" t="n">
        <f aca="false">IF(AND(E1704&gt;0,OR(AND(B1704&gt;=1,B1704&lt;=6),B1704=10)),1,0)</f>
        <v>1</v>
      </c>
      <c r="Y1704" s="27" t="n">
        <f aca="false">IF(AND(E1704&gt;0,B1704=10),1,0)</f>
        <v>0</v>
      </c>
      <c r="Z1704" s="0" t="str">
        <f aca="false">IF(AND(C1703=C1704,W1703=W1704-1),X1703,"")</f>
        <v/>
      </c>
      <c r="AA1704" s="0" t="str">
        <f aca="false">IF(AND(C1703=C1704,W1703=W1704-1),Y1703,"")</f>
        <v/>
      </c>
      <c r="AB1704" s="0" t="str">
        <f aca="false">IF(W1704=1,"",IF(AND(X1704=1,Z1704&lt;&gt;1),1,0))</f>
        <v/>
      </c>
      <c r="AC1704" s="0" t="str">
        <f aca="false">IF(W1704=1,"",IF(AND(Y1704=1,AA1704&lt;&gt;1),1,0))</f>
        <v/>
      </c>
      <c r="AD1704" s="33" t="str">
        <f aca="false">IF(AND(E1704&gt;0,W1704&lt;1,NOT(AND(C1705=C1704,W1705=W1704+1))),INDEX(DATAS,W1704+1),"")</f>
        <v/>
      </c>
      <c r="AE1704" s="33" t="str">
        <f aca="false">IF(AND(Y1704=1,W1704&lt;1),IF(AND(C1705=C1704,W1705=W1704+1),IF(Y1705=1,"",INDEX(DATAS,W1704+1)),INDEX(DATAS,W1704+1)),"")</f>
        <v/>
      </c>
    </row>
    <row r="1705" customFormat="false" ht="15" hidden="false" customHeight="false" outlineLevel="0" collapsed="false">
      <c r="A1705" s="33" t="n">
        <v>46309</v>
      </c>
      <c r="B1705" s="0" t="n">
        <v>1</v>
      </c>
      <c r="C1705" s="0" t="n">
        <v>5881</v>
      </c>
      <c r="D1705" s="0" t="n">
        <v>75</v>
      </c>
      <c r="E1705" s="0" t="n">
        <v>1</v>
      </c>
      <c r="F1705" s="27" t="s">
        <v>1026</v>
      </c>
      <c r="G1705" s="0" t="n">
        <v>42.1</v>
      </c>
      <c r="H1705" s="0" t="n">
        <v>49</v>
      </c>
      <c r="I1705" s="27" t="s">
        <v>168</v>
      </c>
      <c r="J1705" s="0" t="n">
        <v>75</v>
      </c>
      <c r="K1705" s="0" t="n">
        <v>75</v>
      </c>
      <c r="P1705" s="0" t="n">
        <v>3.9</v>
      </c>
      <c r="Q1705" s="0" t="n">
        <v>3.16</v>
      </c>
      <c r="R1705" s="0" t="n">
        <v>4381</v>
      </c>
      <c r="S1705" s="0" t="n">
        <v>8806</v>
      </c>
      <c r="U1705" s="0" t="n">
        <v>759</v>
      </c>
      <c r="V1705" s="0" t="n">
        <v>1</v>
      </c>
      <c r="W1705" s="27" t="n">
        <f aca="false">MATCH(A1705,DATAS,0)</f>
        <v>1</v>
      </c>
      <c r="X1705" s="27" t="n">
        <f aca="false">IF(AND(E1705&gt;0,OR(AND(B1705&gt;=1,B1705&lt;=6),B1705=10)),1,0)</f>
        <v>1</v>
      </c>
      <c r="Y1705" s="27" t="n">
        <f aca="false">IF(AND(E1705&gt;0,B1705=10),1,0)</f>
        <v>0</v>
      </c>
      <c r="Z1705" s="0" t="str">
        <f aca="false">IF(AND(C1704=C1705,W1704=W1705-1),X1704,"")</f>
        <v/>
      </c>
      <c r="AA1705" s="0" t="str">
        <f aca="false">IF(AND(C1704=C1705,W1704=W1705-1),Y1704,"")</f>
        <v/>
      </c>
      <c r="AB1705" s="0" t="str">
        <f aca="false">IF(W1705=1,"",IF(AND(X1705=1,Z1705&lt;&gt;1),1,0))</f>
        <v/>
      </c>
      <c r="AC1705" s="0" t="str">
        <f aca="false">IF(W1705=1,"",IF(AND(Y1705=1,AA1705&lt;&gt;1),1,0))</f>
        <v/>
      </c>
      <c r="AD1705" s="33" t="str">
        <f aca="false">IF(AND(E1705&gt;0,W1705&lt;1,NOT(AND(C1706=C1705,W1706=W1705+1))),INDEX(DATAS,W1705+1),"")</f>
        <v/>
      </c>
      <c r="AE1705" s="33" t="str">
        <f aca="false">IF(AND(Y1705=1,W1705&lt;1),IF(AND(C1706=C1705,W1706=W1705+1),IF(Y1706=1,"",INDEX(DATAS,W1705+1)),INDEX(DATAS,W1705+1)),"")</f>
        <v/>
      </c>
    </row>
    <row r="1706" customFormat="false" ht="15" hidden="false" customHeight="false" outlineLevel="0" collapsed="false">
      <c r="A1706" s="33" t="n">
        <v>46309</v>
      </c>
      <c r="B1706" s="0" t="n">
        <v>4</v>
      </c>
      <c r="C1706" s="0" t="n">
        <v>5882</v>
      </c>
      <c r="D1706" s="0" t="n">
        <v>132</v>
      </c>
      <c r="E1706" s="0" t="n">
        <v>1</v>
      </c>
      <c r="F1706" s="27" t="s">
        <v>1026</v>
      </c>
      <c r="G1706" s="0" t="n">
        <v>38.4</v>
      </c>
      <c r="H1706" s="0" t="n">
        <v>38</v>
      </c>
      <c r="I1706" s="27" t="s">
        <v>168</v>
      </c>
      <c r="J1706" s="0" t="n">
        <v>132</v>
      </c>
      <c r="K1706" s="0" t="n">
        <v>69</v>
      </c>
      <c r="P1706" s="0" t="n">
        <v>4.27</v>
      </c>
      <c r="Q1706" s="0" t="n">
        <v>3.13</v>
      </c>
      <c r="R1706" s="0" t="n">
        <v>3762</v>
      </c>
      <c r="S1706" s="0" t="n">
        <v>7644</v>
      </c>
      <c r="T1706" s="0" t="n">
        <v>41.55</v>
      </c>
      <c r="U1706" s="0" t="n">
        <v>759</v>
      </c>
      <c r="V1706" s="0" t="n">
        <v>3</v>
      </c>
      <c r="W1706" s="27" t="n">
        <f aca="false">MATCH(A1706,DATAS,0)</f>
        <v>1</v>
      </c>
      <c r="X1706" s="27" t="n">
        <f aca="false">IF(AND(E1706&gt;0,OR(AND(B1706&gt;=1,B1706&lt;=6),B1706=10)),1,0)</f>
        <v>1</v>
      </c>
      <c r="Y1706" s="27" t="n">
        <f aca="false">IF(AND(E1706&gt;0,B1706=10),1,0)</f>
        <v>0</v>
      </c>
      <c r="Z1706" s="0" t="str">
        <f aca="false">IF(AND(C1705=C1706,W1705=W1706-1),X1705,"")</f>
        <v/>
      </c>
      <c r="AA1706" s="0" t="str">
        <f aca="false">IF(AND(C1705=C1706,W1705=W1706-1),Y1705,"")</f>
        <v/>
      </c>
      <c r="AB1706" s="0" t="str">
        <f aca="false">IF(W1706=1,"",IF(AND(X1706=1,Z1706&lt;&gt;1),1,0))</f>
        <v/>
      </c>
      <c r="AC1706" s="0" t="str">
        <f aca="false">IF(W1706=1,"",IF(AND(Y1706=1,AA1706&lt;&gt;1),1,0))</f>
        <v/>
      </c>
      <c r="AD1706" s="33" t="str">
        <f aca="false">IF(AND(E1706&gt;0,W1706&lt;1,NOT(AND(C1707=C1706,W1707=W1706+1))),INDEX(DATAS,W1706+1),"")</f>
        <v/>
      </c>
      <c r="AE1706" s="33" t="str">
        <f aca="false">IF(AND(Y1706=1,W1706&lt;1),IF(AND(C1707=C1706,W1707=W1706+1),IF(Y1707=1,"",INDEX(DATAS,W1706+1)),INDEX(DATAS,W1706+1)),"")</f>
        <v/>
      </c>
    </row>
    <row r="1707" customFormat="false" ht="15" hidden="false" customHeight="false" outlineLevel="0" collapsed="false">
      <c r="A1707" s="33" t="n">
        <v>46309</v>
      </c>
      <c r="B1707" s="0" t="n">
        <v>4</v>
      </c>
      <c r="C1707" s="0" t="n">
        <v>5883</v>
      </c>
      <c r="D1707" s="0" t="n">
        <v>130</v>
      </c>
      <c r="E1707" s="0" t="n">
        <v>1</v>
      </c>
      <c r="F1707" s="27" t="s">
        <v>1026</v>
      </c>
      <c r="G1707" s="0" t="n">
        <v>40.7</v>
      </c>
      <c r="H1707" s="0" t="n">
        <v>41</v>
      </c>
      <c r="I1707" s="27" t="s">
        <v>138</v>
      </c>
      <c r="J1707" s="0" t="n">
        <v>67</v>
      </c>
      <c r="K1707" s="0" t="n">
        <v>67</v>
      </c>
      <c r="L1707" s="0" t="n">
        <v>63</v>
      </c>
      <c r="P1707" s="0" t="n">
        <v>3.18</v>
      </c>
      <c r="Q1707" s="0" t="n">
        <v>3.44</v>
      </c>
      <c r="R1707" s="0" t="n">
        <v>3466</v>
      </c>
      <c r="S1707" s="0" t="n">
        <v>7339</v>
      </c>
      <c r="T1707" s="0" t="n">
        <v>37.65</v>
      </c>
      <c r="U1707" s="0" t="n">
        <v>759</v>
      </c>
      <c r="V1707" s="0" t="n">
        <v>1</v>
      </c>
      <c r="W1707" s="27" t="n">
        <f aca="false">MATCH(A1707,DATAS,0)</f>
        <v>1</v>
      </c>
      <c r="X1707" s="27" t="n">
        <f aca="false">IF(AND(E1707&gt;0,OR(AND(B1707&gt;=1,B1707&lt;=6),B1707=10)),1,0)</f>
        <v>1</v>
      </c>
      <c r="Y1707" s="27" t="n">
        <f aca="false">IF(AND(E1707&gt;0,B1707=10),1,0)</f>
        <v>0</v>
      </c>
      <c r="Z1707" s="0" t="str">
        <f aca="false">IF(AND(C1706=C1707,W1706=W1707-1),X1706,"")</f>
        <v/>
      </c>
      <c r="AA1707" s="0" t="str">
        <f aca="false">IF(AND(C1706=C1707,W1706=W1707-1),Y1706,"")</f>
        <v/>
      </c>
      <c r="AB1707" s="0" t="str">
        <f aca="false">IF(W1707=1,"",IF(AND(X1707=1,Z1707&lt;&gt;1),1,0))</f>
        <v/>
      </c>
      <c r="AC1707" s="0" t="str">
        <f aca="false">IF(W1707=1,"",IF(AND(Y1707=1,AA1707&lt;&gt;1),1,0))</f>
        <v/>
      </c>
      <c r="AD1707" s="33" t="str">
        <f aca="false">IF(AND(E1707&gt;0,W1707&lt;1,NOT(AND(C1708=C1707,W1708=W1707+1))),INDEX(DATAS,W1707+1),"")</f>
        <v/>
      </c>
      <c r="AE1707" s="33" t="str">
        <f aca="false">IF(AND(Y1707=1,W1707&lt;1),IF(AND(C1708=C1707,W1708=W1707+1),IF(Y1708=1,"",INDEX(DATAS,W1707+1)),INDEX(DATAS,W1707+1)),"")</f>
        <v/>
      </c>
    </row>
    <row r="1708" customFormat="false" ht="15" hidden="false" customHeight="false" outlineLevel="0" collapsed="false">
      <c r="A1708" s="33" t="n">
        <v>46309</v>
      </c>
      <c r="B1708" s="0" t="n">
        <v>4</v>
      </c>
      <c r="C1708" s="0" t="n">
        <v>5884</v>
      </c>
      <c r="D1708" s="0" t="n">
        <v>119</v>
      </c>
      <c r="E1708" s="0" t="n">
        <v>1</v>
      </c>
      <c r="F1708" s="27" t="s">
        <v>1026</v>
      </c>
      <c r="G1708" s="0" t="n">
        <v>42.6</v>
      </c>
      <c r="H1708" s="0" t="n">
        <v>42</v>
      </c>
      <c r="I1708" s="27" t="s">
        <v>138</v>
      </c>
      <c r="J1708" s="0" t="n">
        <v>63</v>
      </c>
      <c r="K1708" s="0" t="n">
        <v>63</v>
      </c>
      <c r="L1708" s="0" t="n">
        <v>56</v>
      </c>
      <c r="P1708" s="0" t="n">
        <v>3.35</v>
      </c>
      <c r="Q1708" s="0" t="n">
        <v>3.38</v>
      </c>
      <c r="R1708" s="0" t="n">
        <v>3873</v>
      </c>
      <c r="S1708" s="0" t="n">
        <v>7888</v>
      </c>
      <c r="T1708" s="0" t="n">
        <v>44.65</v>
      </c>
      <c r="U1708" s="0" t="n">
        <v>759</v>
      </c>
      <c r="V1708" s="0" t="n">
        <v>1</v>
      </c>
      <c r="W1708" s="27" t="n">
        <f aca="false">MATCH(A1708,DATAS,0)</f>
        <v>1</v>
      </c>
      <c r="X1708" s="27" t="n">
        <f aca="false">IF(AND(E1708&gt;0,OR(AND(B1708&gt;=1,B1708&lt;=6),B1708=10)),1,0)</f>
        <v>1</v>
      </c>
      <c r="Y1708" s="27" t="n">
        <f aca="false">IF(AND(E1708&gt;0,B1708=10),1,0)</f>
        <v>0</v>
      </c>
      <c r="Z1708" s="0" t="str">
        <f aca="false">IF(AND(C1707=C1708,W1707=W1708-1),X1707,"")</f>
        <v/>
      </c>
      <c r="AA1708" s="0" t="str">
        <f aca="false">IF(AND(C1707=C1708,W1707=W1708-1),Y1707,"")</f>
        <v/>
      </c>
      <c r="AB1708" s="0" t="str">
        <f aca="false">IF(W1708=1,"",IF(AND(X1708=1,Z1708&lt;&gt;1),1,0))</f>
        <v/>
      </c>
      <c r="AC1708" s="0" t="str">
        <f aca="false">IF(W1708=1,"",IF(AND(Y1708=1,AA1708&lt;&gt;1),1,0))</f>
        <v/>
      </c>
      <c r="AD1708" s="33" t="str">
        <f aca="false">IF(AND(E1708&gt;0,W1708&lt;1,NOT(AND(C1709=C1708,W1709=W1708+1))),INDEX(DATAS,W1708+1),"")</f>
        <v/>
      </c>
      <c r="AE1708" s="33" t="str">
        <f aca="false">IF(AND(Y1708=1,W1708&lt;1),IF(AND(C1709=C1708,W1709=W1708+1),IF(Y1709=1,"",INDEX(DATAS,W1708+1)),INDEX(DATAS,W1708+1)),"")</f>
        <v/>
      </c>
    </row>
    <row r="1709" customFormat="false" ht="15" hidden="false" customHeight="false" outlineLevel="0" collapsed="false">
      <c r="A1709" s="33" t="n">
        <v>46309</v>
      </c>
      <c r="B1709" s="0" t="n">
        <v>1</v>
      </c>
      <c r="C1709" s="0" t="n">
        <v>5885</v>
      </c>
      <c r="D1709" s="0" t="n">
        <v>90</v>
      </c>
      <c r="E1709" s="0" t="n">
        <v>1</v>
      </c>
      <c r="F1709" s="27" t="s">
        <v>1027</v>
      </c>
      <c r="G1709" s="0" t="n">
        <v>33.3</v>
      </c>
      <c r="H1709" s="0" t="n">
        <v>34</v>
      </c>
      <c r="I1709" s="27" t="s">
        <v>168</v>
      </c>
      <c r="J1709" s="0" t="n">
        <v>90</v>
      </c>
      <c r="K1709" s="0" t="n">
        <v>69</v>
      </c>
      <c r="P1709" s="0" t="n">
        <v>3.62</v>
      </c>
      <c r="Q1709" s="0" t="n">
        <v>3</v>
      </c>
      <c r="R1709" s="0" t="n">
        <v>3180</v>
      </c>
      <c r="S1709" s="0" t="n">
        <v>6393</v>
      </c>
      <c r="U1709" s="0" t="n">
        <v>758</v>
      </c>
      <c r="V1709" s="0" t="n">
        <v>1</v>
      </c>
      <c r="W1709" s="27" t="n">
        <f aca="false">MATCH(A1709,DATAS,0)</f>
        <v>1</v>
      </c>
      <c r="X1709" s="27" t="n">
        <f aca="false">IF(AND(E1709&gt;0,OR(AND(B1709&gt;=1,B1709&lt;=6),B1709=10)),1,0)</f>
        <v>1</v>
      </c>
      <c r="Y1709" s="27" t="n">
        <f aca="false">IF(AND(E1709&gt;0,B1709=10),1,0)</f>
        <v>0</v>
      </c>
      <c r="Z1709" s="0" t="str">
        <f aca="false">IF(AND(C1708=C1709,W1708=W1709-1),X1708,"")</f>
        <v/>
      </c>
      <c r="AA1709" s="0" t="str">
        <f aca="false">IF(AND(C1708=C1709,W1708=W1709-1),Y1708,"")</f>
        <v/>
      </c>
      <c r="AB1709" s="0" t="str">
        <f aca="false">IF(W1709=1,"",IF(AND(X1709=1,Z1709&lt;&gt;1),1,0))</f>
        <v/>
      </c>
      <c r="AC1709" s="0" t="str">
        <f aca="false">IF(W1709=1,"",IF(AND(Y1709=1,AA1709&lt;&gt;1),1,0))</f>
        <v/>
      </c>
      <c r="AD1709" s="33" t="str">
        <f aca="false">IF(AND(E1709&gt;0,W1709&lt;1,NOT(AND(C1710=C1709,W1710=W1709+1))),INDEX(DATAS,W1709+1),"")</f>
        <v/>
      </c>
      <c r="AE1709" s="33" t="str">
        <f aca="false">IF(AND(Y1709=1,W1709&lt;1),IF(AND(C1710=C1709,W1710=W1709+1),IF(Y1710=1,"",INDEX(DATAS,W1709+1)),INDEX(DATAS,W1709+1)),"")</f>
        <v/>
      </c>
    </row>
    <row r="1710" customFormat="false" ht="15" hidden="false" customHeight="false" outlineLevel="0" collapsed="false">
      <c r="A1710" s="33" t="n">
        <v>46309</v>
      </c>
      <c r="B1710" s="0" t="n">
        <v>1</v>
      </c>
      <c r="C1710" s="0" t="n">
        <v>5886</v>
      </c>
      <c r="D1710" s="0" t="n">
        <v>108</v>
      </c>
      <c r="E1710" s="0" t="n">
        <v>1</v>
      </c>
      <c r="F1710" s="27" t="s">
        <v>1027</v>
      </c>
      <c r="G1710" s="0" t="n">
        <v>49.1</v>
      </c>
      <c r="H1710" s="0" t="n">
        <v>52</v>
      </c>
      <c r="I1710" s="27" t="s">
        <v>138</v>
      </c>
      <c r="J1710" s="0" t="n">
        <v>66</v>
      </c>
      <c r="K1710" s="0" t="n">
        <v>66</v>
      </c>
      <c r="L1710" s="0" t="n">
        <v>42</v>
      </c>
      <c r="P1710" s="0" t="n">
        <v>2.88</v>
      </c>
      <c r="Q1710" s="0" t="n">
        <v>3.18</v>
      </c>
      <c r="R1710" s="0" t="n">
        <v>4803</v>
      </c>
      <c r="S1710" s="0" t="n">
        <v>9744</v>
      </c>
      <c r="T1710" s="0" t="n">
        <v>51.5</v>
      </c>
      <c r="U1710" s="0" t="n">
        <v>758</v>
      </c>
      <c r="V1710" s="0" t="n">
        <v>1</v>
      </c>
      <c r="W1710" s="27" t="n">
        <f aca="false">MATCH(A1710,DATAS,0)</f>
        <v>1</v>
      </c>
      <c r="X1710" s="27" t="n">
        <f aca="false">IF(AND(E1710&gt;0,OR(AND(B1710&gt;=1,B1710&lt;=6),B1710=10)),1,0)</f>
        <v>1</v>
      </c>
      <c r="Y1710" s="27" t="n">
        <f aca="false">IF(AND(E1710&gt;0,B1710=10),1,0)</f>
        <v>0</v>
      </c>
      <c r="Z1710" s="0" t="str">
        <f aca="false">IF(AND(C1709=C1710,W1709=W1710-1),X1709,"")</f>
        <v/>
      </c>
      <c r="AA1710" s="0" t="str">
        <f aca="false">IF(AND(C1709=C1710,W1709=W1710-1),Y1709,"")</f>
        <v/>
      </c>
      <c r="AB1710" s="0" t="str">
        <f aca="false">IF(W1710=1,"",IF(AND(X1710=1,Z1710&lt;&gt;1),1,0))</f>
        <v/>
      </c>
      <c r="AC1710" s="0" t="str">
        <f aca="false">IF(W1710=1,"",IF(AND(Y1710=1,AA1710&lt;&gt;1),1,0))</f>
        <v/>
      </c>
      <c r="AD1710" s="33" t="str">
        <f aca="false">IF(AND(E1710&gt;0,W1710&lt;1,NOT(AND(C1711=C1710,W1711=W1710+1))),INDEX(DATAS,W1710+1),"")</f>
        <v/>
      </c>
      <c r="AE1710" s="33" t="str">
        <f aca="false">IF(AND(Y1710=1,W1710&lt;1),IF(AND(C1711=C1710,W1711=W1710+1),IF(Y1711=1,"",INDEX(DATAS,W1710+1)),INDEX(DATAS,W1710+1)),"")</f>
        <v/>
      </c>
    </row>
    <row r="1711" customFormat="false" ht="15" hidden="false" customHeight="false" outlineLevel="0" collapsed="false">
      <c r="A1711" s="33" t="n">
        <v>46309</v>
      </c>
      <c r="B1711" s="0" t="n">
        <v>1</v>
      </c>
      <c r="C1711" s="0" t="n">
        <v>5887</v>
      </c>
      <c r="D1711" s="0" t="n">
        <v>22</v>
      </c>
      <c r="E1711" s="0" t="n">
        <v>1</v>
      </c>
      <c r="F1711" s="27" t="s">
        <v>140</v>
      </c>
      <c r="G1711" s="0" t="n">
        <v>36.6</v>
      </c>
      <c r="H1711" s="0" t="n">
        <v>35</v>
      </c>
      <c r="I1711" s="27" t="s">
        <v>147</v>
      </c>
      <c r="J1711" s="0" t="n">
        <v>22</v>
      </c>
      <c r="R1711" s="0" t="n">
        <v>2784</v>
      </c>
      <c r="S1711" s="0" t="n">
        <v>5596</v>
      </c>
      <c r="U1711" s="0" t="n">
        <v>757</v>
      </c>
      <c r="V1711" s="0" t="n">
        <v>0</v>
      </c>
      <c r="W1711" s="27" t="n">
        <f aca="false">MATCH(A1711,DATAS,0)</f>
        <v>1</v>
      </c>
      <c r="X1711" s="27" t="n">
        <f aca="false">IF(AND(E1711&gt;0,OR(AND(B1711&gt;=1,B1711&lt;=6),B1711=10)),1,0)</f>
        <v>1</v>
      </c>
      <c r="Y1711" s="27" t="n">
        <f aca="false">IF(AND(E1711&gt;0,B1711=10),1,0)</f>
        <v>0</v>
      </c>
      <c r="Z1711" s="0" t="str">
        <f aca="false">IF(AND(C1710=C1711,W1710=W1711-1),X1710,"")</f>
        <v/>
      </c>
      <c r="AA1711" s="0" t="str">
        <f aca="false">IF(AND(C1710=C1711,W1710=W1711-1),Y1710,"")</f>
        <v/>
      </c>
      <c r="AB1711" s="0" t="str">
        <f aca="false">IF(W1711=1,"",IF(AND(X1711=1,Z1711&lt;&gt;1),1,0))</f>
        <v/>
      </c>
      <c r="AC1711" s="0" t="str">
        <f aca="false">IF(W1711=1,"",IF(AND(Y1711=1,AA1711&lt;&gt;1),1,0))</f>
        <v/>
      </c>
      <c r="AD1711" s="33" t="str">
        <f aca="false">IF(AND(E1711&gt;0,W1711&lt;1,NOT(AND(C1712=C1711,W1712=W1711+1))),INDEX(DATAS,W1711+1),"")</f>
        <v/>
      </c>
      <c r="AE1711" s="33" t="str">
        <f aca="false">IF(AND(Y1711=1,W1711&lt;1),IF(AND(C1712=C1711,W1712=W1711+1),IF(Y1712=1,"",INDEX(DATAS,W1711+1)),INDEX(DATAS,W1711+1)),"")</f>
        <v/>
      </c>
    </row>
    <row r="1712" customFormat="false" ht="15" hidden="false" customHeight="false" outlineLevel="0" collapsed="false">
      <c r="A1712" s="33" t="n">
        <v>46309</v>
      </c>
      <c r="B1712" s="0" t="n">
        <v>1</v>
      </c>
      <c r="C1712" s="0" t="n">
        <v>5889</v>
      </c>
      <c r="D1712" s="0" t="n">
        <v>13</v>
      </c>
      <c r="E1712" s="0" t="n">
        <v>1</v>
      </c>
      <c r="F1712" s="27" t="s">
        <v>140</v>
      </c>
      <c r="G1712" s="0" t="n">
        <v>18.1</v>
      </c>
      <c r="H1712" s="0" t="n">
        <v>21</v>
      </c>
      <c r="I1712" s="27" t="s">
        <v>147</v>
      </c>
      <c r="J1712" s="0" t="n">
        <v>13</v>
      </c>
      <c r="R1712" s="0" t="n">
        <v>2305</v>
      </c>
      <c r="S1712" s="0" t="n">
        <v>4634</v>
      </c>
      <c r="U1712" s="0" t="n">
        <v>757</v>
      </c>
      <c r="V1712" s="0" t="n">
        <v>0</v>
      </c>
      <c r="W1712" s="27" t="n">
        <f aca="false">MATCH(A1712,DATAS,0)</f>
        <v>1</v>
      </c>
      <c r="X1712" s="27" t="n">
        <f aca="false">IF(AND(E1712&gt;0,OR(AND(B1712&gt;=1,B1712&lt;=6),B1712=10)),1,0)</f>
        <v>1</v>
      </c>
      <c r="Y1712" s="27" t="n">
        <f aca="false">IF(AND(E1712&gt;0,B1712=10),1,0)</f>
        <v>0</v>
      </c>
      <c r="Z1712" s="0" t="str">
        <f aca="false">IF(AND(C1711=C1712,W1711=W1712-1),X1711,"")</f>
        <v/>
      </c>
      <c r="AA1712" s="0" t="str">
        <f aca="false">IF(AND(C1711=C1712,W1711=W1712-1),Y1711,"")</f>
        <v/>
      </c>
      <c r="AB1712" s="0" t="str">
        <f aca="false">IF(W1712=1,"",IF(AND(X1712=1,Z1712&lt;&gt;1),1,0))</f>
        <v/>
      </c>
      <c r="AC1712" s="0" t="str">
        <f aca="false">IF(W1712=1,"",IF(AND(Y1712=1,AA1712&lt;&gt;1),1,0))</f>
        <v/>
      </c>
      <c r="AD1712" s="33" t="str">
        <f aca="false">IF(AND(E1712&gt;0,W1712&lt;1,NOT(AND(C1713=C1712,W1713=W1712+1))),INDEX(DATAS,W1712+1),"")</f>
        <v/>
      </c>
      <c r="AE1712" s="33" t="str">
        <f aca="false">IF(AND(Y1712=1,W1712&lt;1),IF(AND(C1713=C1712,W1713=W1712+1),IF(Y1713=1,"",INDEX(DATAS,W1712+1)),INDEX(DATAS,W1712+1)),"")</f>
        <v/>
      </c>
    </row>
    <row r="1713" customFormat="false" ht="15" hidden="false" customHeight="false" outlineLevel="0" collapsed="false">
      <c r="A1713" s="33" t="n">
        <v>46309</v>
      </c>
      <c r="B1713" s="0" t="n">
        <v>1</v>
      </c>
      <c r="C1713" s="0" t="n">
        <v>5890</v>
      </c>
      <c r="D1713" s="0" t="n">
        <v>73</v>
      </c>
      <c r="E1713" s="0" t="n">
        <v>1</v>
      </c>
      <c r="F1713" s="27" t="s">
        <v>1028</v>
      </c>
      <c r="G1713" s="0" t="n">
        <v>46.8</v>
      </c>
      <c r="H1713" s="0" t="n">
        <v>46</v>
      </c>
      <c r="I1713" s="27" t="s">
        <v>168</v>
      </c>
      <c r="J1713" s="0" t="n">
        <v>73</v>
      </c>
      <c r="K1713" s="0" t="n">
        <v>66</v>
      </c>
      <c r="P1713" s="0" t="n">
        <v>3.35</v>
      </c>
      <c r="Q1713" s="0" t="n">
        <v>3.14</v>
      </c>
      <c r="R1713" s="0" t="n">
        <v>4175</v>
      </c>
      <c r="S1713" s="0" t="n">
        <v>8394</v>
      </c>
      <c r="U1713" s="0" t="n">
        <v>756</v>
      </c>
      <c r="V1713" s="0" t="n">
        <v>1</v>
      </c>
      <c r="W1713" s="27" t="n">
        <f aca="false">MATCH(A1713,DATAS,0)</f>
        <v>1</v>
      </c>
      <c r="X1713" s="27" t="n">
        <f aca="false">IF(AND(E1713&gt;0,OR(AND(B1713&gt;=1,B1713&lt;=6),B1713=10)),1,0)</f>
        <v>1</v>
      </c>
      <c r="Y1713" s="27" t="n">
        <f aca="false">IF(AND(E1713&gt;0,B1713=10),1,0)</f>
        <v>0</v>
      </c>
      <c r="Z1713" s="0" t="str">
        <f aca="false">IF(AND(C1712=C1713,W1712=W1713-1),X1712,"")</f>
        <v/>
      </c>
      <c r="AA1713" s="0" t="str">
        <f aca="false">IF(AND(C1712=C1713,W1712=W1713-1),Y1712,"")</f>
        <v/>
      </c>
      <c r="AB1713" s="0" t="str">
        <f aca="false">IF(W1713=1,"",IF(AND(X1713=1,Z1713&lt;&gt;1),1,0))</f>
        <v/>
      </c>
      <c r="AC1713" s="0" t="str">
        <f aca="false">IF(W1713=1,"",IF(AND(Y1713=1,AA1713&lt;&gt;1),1,0))</f>
        <v/>
      </c>
      <c r="AD1713" s="33" t="str">
        <f aca="false">IF(AND(E1713&gt;0,W1713&lt;1,NOT(AND(C1714=C1713,W1714=W1713+1))),INDEX(DATAS,W1713+1),"")</f>
        <v/>
      </c>
      <c r="AE1713" s="33" t="str">
        <f aca="false">IF(AND(Y1713=1,W1713&lt;1),IF(AND(C1714=C1713,W1714=W1713+1),IF(Y1714=1,"",INDEX(DATAS,W1713+1)),INDEX(DATAS,W1713+1)),"")</f>
        <v/>
      </c>
    </row>
    <row r="1714" customFormat="false" ht="15" hidden="false" customHeight="false" outlineLevel="0" collapsed="false">
      <c r="A1714" s="33" t="n">
        <v>46309</v>
      </c>
      <c r="B1714" s="0" t="n">
        <v>1</v>
      </c>
      <c r="C1714" s="0" t="n">
        <v>5891</v>
      </c>
      <c r="D1714" s="0" t="n">
        <v>26</v>
      </c>
      <c r="E1714" s="0" t="n">
        <v>1</v>
      </c>
      <c r="F1714" s="27" t="s">
        <v>1028</v>
      </c>
      <c r="G1714" s="0" t="n">
        <v>47.3</v>
      </c>
      <c r="H1714" s="0" t="n">
        <v>44</v>
      </c>
      <c r="I1714" s="27" t="s">
        <v>147</v>
      </c>
      <c r="J1714" s="0" t="n">
        <v>26</v>
      </c>
      <c r="R1714" s="0" t="n">
        <v>3339</v>
      </c>
      <c r="S1714" s="0" t="n">
        <v>6712</v>
      </c>
      <c r="U1714" s="0" t="n">
        <v>756</v>
      </c>
      <c r="V1714" s="0" t="n">
        <v>0</v>
      </c>
      <c r="W1714" s="27" t="n">
        <f aca="false">MATCH(A1714,DATAS,0)</f>
        <v>1</v>
      </c>
      <c r="X1714" s="27" t="n">
        <f aca="false">IF(AND(E1714&gt;0,OR(AND(B1714&gt;=1,B1714&lt;=6),B1714=10)),1,0)</f>
        <v>1</v>
      </c>
      <c r="Y1714" s="27" t="n">
        <f aca="false">IF(AND(E1714&gt;0,B1714=10),1,0)</f>
        <v>0</v>
      </c>
      <c r="Z1714" s="0" t="str">
        <f aca="false">IF(AND(C1713=C1714,W1713=W1714-1),X1713,"")</f>
        <v/>
      </c>
      <c r="AA1714" s="0" t="str">
        <f aca="false">IF(AND(C1713=C1714,W1713=W1714-1),Y1713,"")</f>
        <v/>
      </c>
      <c r="AB1714" s="0" t="str">
        <f aca="false">IF(W1714=1,"",IF(AND(X1714=1,Z1714&lt;&gt;1),1,0))</f>
        <v/>
      </c>
      <c r="AC1714" s="0" t="str">
        <f aca="false">IF(W1714=1,"",IF(AND(Y1714=1,AA1714&lt;&gt;1),1,0))</f>
        <v/>
      </c>
      <c r="AD1714" s="33" t="str">
        <f aca="false">IF(AND(E1714&gt;0,W1714&lt;1,NOT(AND(C1715=C1714,W1715=W1714+1))),INDEX(DATAS,W1714+1),"")</f>
        <v/>
      </c>
      <c r="AE1714" s="33" t="str">
        <f aca="false">IF(AND(Y1714=1,W1714&lt;1),IF(AND(C1715=C1714,W1715=W1714+1),IF(Y1715=1,"",INDEX(DATAS,W1714+1)),INDEX(DATAS,W1714+1)),"")</f>
        <v/>
      </c>
    </row>
    <row r="1715" customFormat="false" ht="15" hidden="false" customHeight="false" outlineLevel="0" collapsed="false">
      <c r="A1715" s="33" t="n">
        <v>46309</v>
      </c>
      <c r="B1715" s="0" t="n">
        <v>4</v>
      </c>
      <c r="C1715" s="0" t="n">
        <v>5892</v>
      </c>
      <c r="D1715" s="0" t="n">
        <v>117</v>
      </c>
      <c r="E1715" s="0" t="n">
        <v>1</v>
      </c>
      <c r="F1715" s="27" t="s">
        <v>1028</v>
      </c>
      <c r="G1715" s="0" t="n">
        <v>18.5</v>
      </c>
      <c r="H1715" s="0" t="n">
        <v>19</v>
      </c>
      <c r="I1715" s="27" t="s">
        <v>168</v>
      </c>
      <c r="J1715" s="0" t="n">
        <v>117</v>
      </c>
      <c r="K1715" s="0" t="n">
        <v>89</v>
      </c>
      <c r="P1715" s="0" t="n">
        <v>5.35</v>
      </c>
      <c r="Q1715" s="0" t="n">
        <v>3.8</v>
      </c>
      <c r="R1715" s="0" t="n">
        <v>1793</v>
      </c>
      <c r="S1715" s="0" t="n">
        <v>3737</v>
      </c>
      <c r="T1715" s="0" t="n">
        <v>19.55</v>
      </c>
      <c r="U1715" s="0" t="n">
        <v>756</v>
      </c>
      <c r="V1715" s="0" t="n">
        <v>2</v>
      </c>
      <c r="W1715" s="27" t="n">
        <f aca="false">MATCH(A1715,DATAS,0)</f>
        <v>1</v>
      </c>
      <c r="X1715" s="27" t="n">
        <f aca="false">IF(AND(E1715&gt;0,OR(AND(B1715&gt;=1,B1715&lt;=6),B1715=10)),1,0)</f>
        <v>1</v>
      </c>
      <c r="Y1715" s="27" t="n">
        <f aca="false">IF(AND(E1715&gt;0,B1715=10),1,0)</f>
        <v>0</v>
      </c>
      <c r="Z1715" s="0" t="str">
        <f aca="false">IF(AND(C1714=C1715,W1714=W1715-1),X1714,"")</f>
        <v/>
      </c>
      <c r="AA1715" s="0" t="str">
        <f aca="false">IF(AND(C1714=C1715,W1714=W1715-1),Y1714,"")</f>
        <v/>
      </c>
      <c r="AB1715" s="0" t="str">
        <f aca="false">IF(W1715=1,"",IF(AND(X1715=1,Z1715&lt;&gt;1),1,0))</f>
        <v/>
      </c>
      <c r="AC1715" s="0" t="str">
        <f aca="false">IF(W1715=1,"",IF(AND(Y1715=1,AA1715&lt;&gt;1),1,0))</f>
        <v/>
      </c>
      <c r="AD1715" s="33" t="str">
        <f aca="false">IF(AND(E1715&gt;0,W1715&lt;1,NOT(AND(C1716=C1715,W1716=W1715+1))),INDEX(DATAS,W1715+1),"")</f>
        <v/>
      </c>
      <c r="AE1715" s="33" t="str">
        <f aca="false">IF(AND(Y1715=1,W1715&lt;1),IF(AND(C1716=C1715,W1716=W1715+1),IF(Y1716=1,"",INDEX(DATAS,W1715+1)),INDEX(DATAS,W1715+1)),"")</f>
        <v/>
      </c>
    </row>
    <row r="1716" customFormat="false" ht="15" hidden="false" customHeight="false" outlineLevel="0" collapsed="false">
      <c r="A1716" s="33" t="n">
        <v>46309</v>
      </c>
      <c r="B1716" s="0" t="n">
        <v>1</v>
      </c>
      <c r="C1716" s="0" t="n">
        <v>5893</v>
      </c>
      <c r="D1716" s="0" t="n">
        <v>77</v>
      </c>
      <c r="E1716" s="0" t="n">
        <v>1</v>
      </c>
      <c r="F1716" s="27" t="s">
        <v>1028</v>
      </c>
      <c r="G1716" s="0" t="n">
        <v>51.5</v>
      </c>
      <c r="H1716" s="0" t="n">
        <v>51</v>
      </c>
      <c r="I1716" s="27" t="s">
        <v>168</v>
      </c>
      <c r="J1716" s="0" t="n">
        <v>77</v>
      </c>
      <c r="K1716" s="0" t="n">
        <v>63</v>
      </c>
      <c r="P1716" s="0" t="n">
        <v>3.95</v>
      </c>
      <c r="Q1716" s="0" t="n">
        <v>2.85</v>
      </c>
      <c r="R1716" s="0" t="n">
        <v>4384</v>
      </c>
      <c r="S1716" s="0" t="n">
        <v>8813</v>
      </c>
      <c r="U1716" s="0" t="n">
        <v>756</v>
      </c>
      <c r="V1716" s="0" t="n">
        <v>1</v>
      </c>
      <c r="W1716" s="27" t="n">
        <f aca="false">MATCH(A1716,DATAS,0)</f>
        <v>1</v>
      </c>
      <c r="X1716" s="27" t="n">
        <f aca="false">IF(AND(E1716&gt;0,OR(AND(B1716&gt;=1,B1716&lt;=6),B1716=10)),1,0)</f>
        <v>1</v>
      </c>
      <c r="Y1716" s="27" t="n">
        <f aca="false">IF(AND(E1716&gt;0,B1716=10),1,0)</f>
        <v>0</v>
      </c>
      <c r="Z1716" s="0" t="str">
        <f aca="false">IF(AND(C1715=C1716,W1715=W1716-1),X1715,"")</f>
        <v/>
      </c>
      <c r="AA1716" s="0" t="str">
        <f aca="false">IF(AND(C1715=C1716,W1715=W1716-1),Y1715,"")</f>
        <v/>
      </c>
      <c r="AB1716" s="0" t="str">
        <f aca="false">IF(W1716=1,"",IF(AND(X1716=1,Z1716&lt;&gt;1),1,0))</f>
        <v/>
      </c>
      <c r="AC1716" s="0" t="str">
        <f aca="false">IF(W1716=1,"",IF(AND(Y1716=1,AA1716&lt;&gt;1),1,0))</f>
        <v/>
      </c>
      <c r="AD1716" s="33" t="str">
        <f aca="false">IF(AND(E1716&gt;0,W1716&lt;1,NOT(AND(C1717=C1716,W1717=W1716+1))),INDEX(DATAS,W1716+1),"")</f>
        <v/>
      </c>
      <c r="AE1716" s="33" t="str">
        <f aca="false">IF(AND(Y1716=1,W1716&lt;1),IF(AND(C1717=C1716,W1717=W1716+1),IF(Y1717=1,"",INDEX(DATAS,W1716+1)),INDEX(DATAS,W1716+1)),"")</f>
        <v/>
      </c>
    </row>
    <row r="1717" customFormat="false" ht="15" hidden="false" customHeight="false" outlineLevel="0" collapsed="false">
      <c r="A1717" s="33" t="n">
        <v>46309</v>
      </c>
      <c r="B1717" s="0" t="n">
        <v>1</v>
      </c>
      <c r="C1717" s="0" t="n">
        <v>5894</v>
      </c>
      <c r="D1717" s="0" t="n">
        <v>56</v>
      </c>
      <c r="E1717" s="0" t="n">
        <v>1</v>
      </c>
      <c r="F1717" s="27" t="s">
        <v>1028</v>
      </c>
      <c r="G1717" s="0" t="n">
        <v>51</v>
      </c>
      <c r="H1717" s="0" t="n">
        <v>49</v>
      </c>
      <c r="I1717" s="27" t="s">
        <v>147</v>
      </c>
      <c r="J1717" s="0" t="n">
        <v>56</v>
      </c>
      <c r="P1717" s="0" t="n">
        <v>5.03</v>
      </c>
      <c r="Q1717" s="0" t="n">
        <v>3.23</v>
      </c>
      <c r="R1717" s="0" t="n">
        <v>3597</v>
      </c>
      <c r="S1717" s="0" t="n">
        <v>7231</v>
      </c>
      <c r="U1717" s="0" t="n">
        <v>756</v>
      </c>
      <c r="V1717" s="0" t="n">
        <v>0</v>
      </c>
      <c r="W1717" s="27" t="n">
        <f aca="false">MATCH(A1717,DATAS,0)</f>
        <v>1</v>
      </c>
      <c r="X1717" s="27" t="n">
        <f aca="false">IF(AND(E1717&gt;0,OR(AND(B1717&gt;=1,B1717&lt;=6),B1717=10)),1,0)</f>
        <v>1</v>
      </c>
      <c r="Y1717" s="27" t="n">
        <f aca="false">IF(AND(E1717&gt;0,B1717=10),1,0)</f>
        <v>0</v>
      </c>
      <c r="Z1717" s="0" t="str">
        <f aca="false">IF(AND(C1716=C1717,W1716=W1717-1),X1716,"")</f>
        <v/>
      </c>
      <c r="AA1717" s="0" t="str">
        <f aca="false">IF(AND(C1716=C1717,W1716=W1717-1),Y1716,"")</f>
        <v/>
      </c>
      <c r="AB1717" s="0" t="str">
        <f aca="false">IF(W1717=1,"",IF(AND(X1717=1,Z1717&lt;&gt;1),1,0))</f>
        <v/>
      </c>
      <c r="AC1717" s="0" t="str">
        <f aca="false">IF(W1717=1,"",IF(AND(Y1717=1,AA1717&lt;&gt;1),1,0))</f>
        <v/>
      </c>
      <c r="AD1717" s="33" t="str">
        <f aca="false">IF(AND(E1717&gt;0,W1717&lt;1,NOT(AND(C1718=C1717,W1718=W1717+1))),INDEX(DATAS,W1717+1),"")</f>
        <v/>
      </c>
      <c r="AE1717" s="33" t="str">
        <f aca="false">IF(AND(Y1717=1,W1717&lt;1),IF(AND(C1718=C1717,W1718=W1717+1),IF(Y1718=1,"",INDEX(DATAS,W1717+1)),INDEX(DATAS,W1717+1)),"")</f>
        <v/>
      </c>
    </row>
    <row r="1718" customFormat="false" ht="15" hidden="false" customHeight="false" outlineLevel="0" collapsed="false">
      <c r="A1718" s="33" t="n">
        <v>46309</v>
      </c>
      <c r="B1718" s="0" t="n">
        <v>8</v>
      </c>
      <c r="C1718" s="0" t="n">
        <v>5895</v>
      </c>
      <c r="E1718" s="0" t="n">
        <v>0</v>
      </c>
      <c r="F1718" s="27" t="s">
        <v>1028</v>
      </c>
      <c r="I1718" s="27" t="s">
        <v>138</v>
      </c>
      <c r="L1718" s="0" t="n">
        <v>226</v>
      </c>
      <c r="U1718" s="0" t="n">
        <v>756</v>
      </c>
      <c r="V1718" s="0" t="n">
        <v>2</v>
      </c>
      <c r="W1718" s="27" t="n">
        <f aca="false">MATCH(A1718,DATAS,0)</f>
        <v>1</v>
      </c>
      <c r="X1718" s="27" t="n">
        <f aca="false">IF(AND(E1718&gt;0,OR(AND(B1718&gt;=1,B1718&lt;=6),B1718=10)),1,0)</f>
        <v>0</v>
      </c>
      <c r="Y1718" s="27" t="n">
        <f aca="false">IF(AND(E1718&gt;0,B1718=10),1,0)</f>
        <v>0</v>
      </c>
      <c r="Z1718" s="0" t="str">
        <f aca="false">IF(AND(C1717=C1718,W1717=W1718-1),X1717,"")</f>
        <v/>
      </c>
      <c r="AA1718" s="0" t="str">
        <f aca="false">IF(AND(C1717=C1718,W1717=W1718-1),Y1717,"")</f>
        <v/>
      </c>
      <c r="AB1718" s="0" t="str">
        <f aca="false">IF(W1718=1,"",IF(AND(X1718=1,Z1718&lt;&gt;1),1,0))</f>
        <v/>
      </c>
      <c r="AC1718" s="0" t="str">
        <f aca="false">IF(W1718=1,"",IF(AND(Y1718=1,AA1718&lt;&gt;1),1,0))</f>
        <v/>
      </c>
      <c r="AD1718" s="33" t="str">
        <f aca="false">IF(AND(E1718&gt;0,W1718&lt;1,NOT(AND(C1719=C1718,W1719=W1718+1))),INDEX(DATAS,W1718+1),"")</f>
        <v/>
      </c>
      <c r="AE1718" s="33" t="str">
        <f aca="false">IF(AND(Y1718=1,W1718&lt;1),IF(AND(C1719=C1718,W1719=W1718+1),IF(Y1719=1,"",INDEX(DATAS,W1718+1)),INDEX(DATAS,W1718+1)),"")</f>
        <v/>
      </c>
    </row>
    <row r="1719" customFormat="false" ht="15" hidden="false" customHeight="false" outlineLevel="0" collapsed="false">
      <c r="A1719" s="33" t="n">
        <v>46309</v>
      </c>
      <c r="B1719" s="0" t="n">
        <v>10</v>
      </c>
      <c r="C1719" s="0" t="n">
        <v>5896</v>
      </c>
      <c r="D1719" s="0" t="n">
        <v>106</v>
      </c>
      <c r="E1719" s="0" t="n">
        <v>1</v>
      </c>
      <c r="F1719" s="27" t="s">
        <v>1028</v>
      </c>
      <c r="G1719" s="0" t="n">
        <v>3.6</v>
      </c>
      <c r="H1719" s="0" t="n">
        <v>8</v>
      </c>
      <c r="I1719" s="27" t="s">
        <v>168</v>
      </c>
      <c r="J1719" s="0" t="n">
        <v>106</v>
      </c>
      <c r="K1719" s="0" t="n">
        <v>85</v>
      </c>
      <c r="P1719" s="0" t="n">
        <v>2.65</v>
      </c>
      <c r="Q1719" s="0" t="n">
        <v>3.48</v>
      </c>
      <c r="R1719" s="0" t="n">
        <v>2817</v>
      </c>
      <c r="S1719" s="0" t="n">
        <v>5587</v>
      </c>
      <c r="T1719" s="0" t="n">
        <v>30.2</v>
      </c>
      <c r="U1719" s="0" t="n">
        <v>756</v>
      </c>
      <c r="V1719" s="0" t="n">
        <v>1</v>
      </c>
      <c r="W1719" s="27" t="n">
        <f aca="false">MATCH(A1719,DATAS,0)</f>
        <v>1</v>
      </c>
      <c r="X1719" s="27" t="n">
        <f aca="false">IF(AND(E1719&gt;0,OR(AND(B1719&gt;=1,B1719&lt;=6),B1719=10)),1,0)</f>
        <v>1</v>
      </c>
      <c r="Y1719" s="27" t="n">
        <f aca="false">IF(AND(E1719&gt;0,B1719=10),1,0)</f>
        <v>1</v>
      </c>
      <c r="Z1719" s="0" t="str">
        <f aca="false">IF(AND(C1718=C1719,W1718=W1719-1),X1718,"")</f>
        <v/>
      </c>
      <c r="AA1719" s="0" t="str">
        <f aca="false">IF(AND(C1718=C1719,W1718=W1719-1),Y1718,"")</f>
        <v/>
      </c>
      <c r="AB1719" s="0" t="str">
        <f aca="false">IF(W1719=1,"",IF(AND(X1719=1,Z1719&lt;&gt;1),1,0))</f>
        <v/>
      </c>
      <c r="AC1719" s="0" t="str">
        <f aca="false">IF(W1719=1,"",IF(AND(Y1719=1,AA1719&lt;&gt;1),1,0))</f>
        <v/>
      </c>
      <c r="AD1719" s="33" t="str">
        <f aca="false">IF(AND(E1719&gt;0,W1719&lt;1,NOT(AND(C1720=C1719,W1720=W1719+1))),INDEX(DATAS,W1719+1),"")</f>
        <v/>
      </c>
      <c r="AE1719" s="33" t="str">
        <f aca="false">IF(AND(Y1719=1,W1719&lt;1),IF(AND(C1720=C1719,W1720=W1719+1),IF(Y1720=1,"",INDEX(DATAS,W1719+1)),INDEX(DATAS,W1719+1)),"")</f>
        <v/>
      </c>
    </row>
    <row r="1720" customFormat="false" ht="15" hidden="false" customHeight="false" outlineLevel="0" collapsed="false">
      <c r="A1720" s="33" t="n">
        <v>46309</v>
      </c>
      <c r="B1720" s="0" t="n">
        <v>1</v>
      </c>
      <c r="C1720" s="0" t="n">
        <v>5897</v>
      </c>
      <c r="D1720" s="0" t="n">
        <v>105</v>
      </c>
      <c r="E1720" s="0" t="n">
        <v>1</v>
      </c>
      <c r="F1720" s="27" t="s">
        <v>1028</v>
      </c>
      <c r="G1720" s="0" t="n">
        <v>50.2</v>
      </c>
      <c r="H1720" s="0" t="n">
        <v>47</v>
      </c>
      <c r="I1720" s="27" t="s">
        <v>176</v>
      </c>
      <c r="J1720" s="0" t="n">
        <v>105</v>
      </c>
      <c r="K1720" s="0" t="n">
        <v>63</v>
      </c>
      <c r="P1720" s="0" t="n">
        <v>4.34</v>
      </c>
      <c r="Q1720" s="0" t="n">
        <v>2.87</v>
      </c>
      <c r="R1720" s="0" t="n">
        <v>4130</v>
      </c>
      <c r="S1720" s="0" t="n">
        <v>8355</v>
      </c>
      <c r="T1720" s="0" t="n">
        <v>47.35</v>
      </c>
      <c r="U1720" s="0" t="n">
        <v>756</v>
      </c>
      <c r="V1720" s="0" t="n">
        <v>1</v>
      </c>
      <c r="W1720" s="27" t="n">
        <f aca="false">MATCH(A1720,DATAS,0)</f>
        <v>1</v>
      </c>
      <c r="X1720" s="27" t="n">
        <f aca="false">IF(AND(E1720&gt;0,OR(AND(B1720&gt;=1,B1720&lt;=6),B1720=10)),1,0)</f>
        <v>1</v>
      </c>
      <c r="Y1720" s="27" t="n">
        <f aca="false">IF(AND(E1720&gt;0,B1720=10),1,0)</f>
        <v>0</v>
      </c>
      <c r="Z1720" s="0" t="str">
        <f aca="false">IF(AND(C1719=C1720,W1719=W1720-1),X1719,"")</f>
        <v/>
      </c>
      <c r="AA1720" s="0" t="str">
        <f aca="false">IF(AND(C1719=C1720,W1719=W1720-1),Y1719,"")</f>
        <v/>
      </c>
      <c r="AB1720" s="0" t="str">
        <f aca="false">IF(W1720=1,"",IF(AND(X1720=1,Z1720&lt;&gt;1),1,0))</f>
        <v/>
      </c>
      <c r="AC1720" s="0" t="str">
        <f aca="false">IF(W1720=1,"",IF(AND(Y1720=1,AA1720&lt;&gt;1),1,0))</f>
        <v/>
      </c>
      <c r="AD1720" s="33" t="str">
        <f aca="false">IF(AND(E1720&gt;0,W1720&lt;1,NOT(AND(C1721=C1720,W1721=W1720+1))),INDEX(DATAS,W1720+1),"")</f>
        <v/>
      </c>
      <c r="AE1720" s="33" t="str">
        <f aca="false">IF(AND(Y1720=1,W1720&lt;1),IF(AND(C1721=C1720,W1721=W1720+1),IF(Y1721=1,"",INDEX(DATAS,W1720+1)),INDEX(DATAS,W1720+1)),"")</f>
        <v/>
      </c>
    </row>
    <row r="1721" customFormat="false" ht="15" hidden="false" customHeight="false" outlineLevel="0" collapsed="false">
      <c r="A1721" s="33" t="n">
        <v>46309</v>
      </c>
      <c r="B1721" s="0" t="n">
        <v>1</v>
      </c>
      <c r="C1721" s="0" t="n">
        <v>5898</v>
      </c>
      <c r="D1721" s="0" t="n">
        <v>69</v>
      </c>
      <c r="E1721" s="0" t="n">
        <v>1</v>
      </c>
      <c r="F1721" s="27" t="s">
        <v>1029</v>
      </c>
      <c r="G1721" s="0" t="n">
        <v>58.5</v>
      </c>
      <c r="H1721" s="0" t="n">
        <v>55</v>
      </c>
      <c r="I1721" s="27" t="s">
        <v>168</v>
      </c>
      <c r="J1721" s="0" t="n">
        <v>69</v>
      </c>
      <c r="K1721" s="0" t="n">
        <v>62</v>
      </c>
      <c r="P1721" s="0" t="n">
        <v>4.38</v>
      </c>
      <c r="Q1721" s="0" t="n">
        <v>3.19</v>
      </c>
      <c r="R1721" s="0" t="n">
        <v>4703</v>
      </c>
      <c r="S1721" s="0" t="n">
        <v>9454</v>
      </c>
      <c r="U1721" s="0" t="n">
        <v>755</v>
      </c>
      <c r="V1721" s="0" t="n">
        <v>1</v>
      </c>
      <c r="W1721" s="27" t="n">
        <f aca="false">MATCH(A1721,DATAS,0)</f>
        <v>1</v>
      </c>
      <c r="X1721" s="27" t="n">
        <f aca="false">IF(AND(E1721&gt;0,OR(AND(B1721&gt;=1,B1721&lt;=6),B1721=10)),1,0)</f>
        <v>1</v>
      </c>
      <c r="Y1721" s="27" t="n">
        <f aca="false">IF(AND(E1721&gt;0,B1721=10),1,0)</f>
        <v>0</v>
      </c>
      <c r="Z1721" s="0" t="str">
        <f aca="false">IF(AND(C1720=C1721,W1720=W1721-1),X1720,"")</f>
        <v/>
      </c>
      <c r="AA1721" s="0" t="str">
        <f aca="false">IF(AND(C1720=C1721,W1720=W1721-1),Y1720,"")</f>
        <v/>
      </c>
      <c r="AB1721" s="0" t="str">
        <f aca="false">IF(W1721=1,"",IF(AND(X1721=1,Z1721&lt;&gt;1),1,0))</f>
        <v/>
      </c>
      <c r="AC1721" s="0" t="str">
        <f aca="false">IF(W1721=1,"",IF(AND(Y1721=1,AA1721&lt;&gt;1),1,0))</f>
        <v/>
      </c>
      <c r="AD1721" s="33" t="str">
        <f aca="false">IF(AND(E1721&gt;0,W1721&lt;1,NOT(AND(C1722=C1721,W1722=W1721+1))),INDEX(DATAS,W1721+1),"")</f>
        <v/>
      </c>
      <c r="AE1721" s="33" t="str">
        <f aca="false">IF(AND(Y1721=1,W1721&lt;1),IF(AND(C1722=C1721,W1722=W1721+1),IF(Y1722=1,"",INDEX(DATAS,W1721+1)),INDEX(DATAS,W1721+1)),"")</f>
        <v/>
      </c>
    </row>
    <row r="1722" customFormat="false" ht="15" hidden="false" customHeight="false" outlineLevel="0" collapsed="false">
      <c r="A1722" s="33" t="n">
        <v>46309</v>
      </c>
      <c r="B1722" s="0" t="n">
        <v>1</v>
      </c>
      <c r="C1722" s="0" t="n">
        <v>5899</v>
      </c>
      <c r="D1722" s="0" t="n">
        <v>37</v>
      </c>
      <c r="E1722" s="0" t="n">
        <v>1</v>
      </c>
      <c r="F1722" s="27" t="s">
        <v>1029</v>
      </c>
      <c r="I1722" s="27" t="s">
        <v>147</v>
      </c>
      <c r="J1722" s="0" t="n">
        <v>37</v>
      </c>
      <c r="U1722" s="0" t="n">
        <v>755</v>
      </c>
      <c r="V1722" s="0" t="n">
        <v>0</v>
      </c>
      <c r="W1722" s="27" t="n">
        <f aca="false">MATCH(A1722,DATAS,0)</f>
        <v>1</v>
      </c>
      <c r="X1722" s="27" t="n">
        <f aca="false">IF(AND(E1722&gt;0,OR(AND(B1722&gt;=1,B1722&lt;=6),B1722=10)),1,0)</f>
        <v>1</v>
      </c>
      <c r="Y1722" s="27" t="n">
        <f aca="false">IF(AND(E1722&gt;0,B1722=10),1,0)</f>
        <v>0</v>
      </c>
      <c r="Z1722" s="0" t="str">
        <f aca="false">IF(AND(C1721=C1722,W1721=W1722-1),X1721,"")</f>
        <v/>
      </c>
      <c r="AA1722" s="0" t="str">
        <f aca="false">IF(AND(C1721=C1722,W1721=W1722-1),Y1721,"")</f>
        <v/>
      </c>
      <c r="AB1722" s="0" t="str">
        <f aca="false">IF(W1722=1,"",IF(AND(X1722=1,Z1722&lt;&gt;1),1,0))</f>
        <v/>
      </c>
      <c r="AC1722" s="0" t="str">
        <f aca="false">IF(W1722=1,"",IF(AND(Y1722=1,AA1722&lt;&gt;1),1,0))</f>
        <v/>
      </c>
      <c r="AD1722" s="33" t="str">
        <f aca="false">IF(AND(E1722&gt;0,W1722&lt;1,NOT(AND(C1723=C1722,W1723=W1722+1))),INDEX(DATAS,W1722+1),"")</f>
        <v/>
      </c>
      <c r="AE1722" s="33" t="str">
        <f aca="false">IF(AND(Y1722=1,W1722&lt;1),IF(AND(C1723=C1722,W1723=W1722+1),IF(Y1723=1,"",INDEX(DATAS,W1722+1)),INDEX(DATAS,W1722+1)),"")</f>
        <v/>
      </c>
    </row>
    <row r="1723" customFormat="false" ht="15" hidden="false" customHeight="false" outlineLevel="0" collapsed="false">
      <c r="A1723" s="33" t="n">
        <v>46309</v>
      </c>
      <c r="B1723" s="0" t="n">
        <v>1</v>
      </c>
      <c r="C1723" s="0" t="n">
        <v>5900</v>
      </c>
      <c r="D1723" s="0" t="n">
        <v>45</v>
      </c>
      <c r="E1723" s="0" t="n">
        <v>1</v>
      </c>
      <c r="F1723" s="27" t="s">
        <v>1030</v>
      </c>
      <c r="G1723" s="0" t="n">
        <v>34.5</v>
      </c>
      <c r="H1723" s="0" t="n">
        <v>35</v>
      </c>
      <c r="I1723" s="27" t="s">
        <v>147</v>
      </c>
      <c r="J1723" s="0" t="n">
        <v>45</v>
      </c>
      <c r="P1723" s="0" t="n">
        <v>4.98</v>
      </c>
      <c r="Q1723" s="0" t="n">
        <v>3.07</v>
      </c>
      <c r="R1723" s="0" t="n">
        <v>3276</v>
      </c>
      <c r="S1723" s="0" t="n">
        <v>6586</v>
      </c>
      <c r="U1723" s="0" t="n">
        <v>754</v>
      </c>
      <c r="V1723" s="0" t="n">
        <v>0</v>
      </c>
      <c r="W1723" s="27" t="n">
        <f aca="false">MATCH(A1723,DATAS,0)</f>
        <v>1</v>
      </c>
      <c r="X1723" s="27" t="n">
        <f aca="false">IF(AND(E1723&gt;0,OR(AND(B1723&gt;=1,B1723&lt;=6),B1723=10)),1,0)</f>
        <v>1</v>
      </c>
      <c r="Y1723" s="27" t="n">
        <f aca="false">IF(AND(E1723&gt;0,B1723=10),1,0)</f>
        <v>0</v>
      </c>
      <c r="Z1723" s="0" t="str">
        <f aca="false">IF(AND(C1722=C1723,W1722=W1723-1),X1722,"")</f>
        <v/>
      </c>
      <c r="AA1723" s="0" t="str">
        <f aca="false">IF(AND(C1722=C1723,W1722=W1723-1),Y1722,"")</f>
        <v/>
      </c>
      <c r="AB1723" s="0" t="str">
        <f aca="false">IF(W1723=1,"",IF(AND(X1723=1,Z1723&lt;&gt;1),1,0))</f>
        <v/>
      </c>
      <c r="AC1723" s="0" t="str">
        <f aca="false">IF(W1723=1,"",IF(AND(Y1723=1,AA1723&lt;&gt;1),1,0))</f>
        <v/>
      </c>
      <c r="AD1723" s="33" t="str">
        <f aca="false">IF(AND(E1723&gt;0,W1723&lt;1,NOT(AND(C1724=C1723,W1724=W1723+1))),INDEX(DATAS,W1723+1),"")</f>
        <v/>
      </c>
      <c r="AE1723" s="33" t="str">
        <f aca="false">IF(AND(Y1723=1,W1723&lt;1),IF(AND(C1724=C1723,W1724=W1723+1),IF(Y1724=1,"",INDEX(DATAS,W1723+1)),INDEX(DATAS,W1723+1)),"")</f>
        <v/>
      </c>
    </row>
    <row r="1724" customFormat="false" ht="15" hidden="false" customHeight="false" outlineLevel="0" collapsed="false">
      <c r="A1724" s="33" t="n">
        <v>46309</v>
      </c>
      <c r="B1724" s="0" t="n">
        <v>1</v>
      </c>
      <c r="C1724" s="0" t="n">
        <v>5901</v>
      </c>
      <c r="D1724" s="0" t="n">
        <v>110</v>
      </c>
      <c r="E1724" s="0" t="n">
        <v>1</v>
      </c>
      <c r="F1724" s="27" t="s">
        <v>1030</v>
      </c>
      <c r="G1724" s="0" t="n">
        <v>47.7</v>
      </c>
      <c r="H1724" s="0" t="n">
        <v>49</v>
      </c>
      <c r="I1724" s="27" t="s">
        <v>138</v>
      </c>
      <c r="J1724" s="0" t="n">
        <v>68</v>
      </c>
      <c r="K1724" s="0" t="n">
        <v>68</v>
      </c>
      <c r="L1724" s="0" t="n">
        <v>42</v>
      </c>
      <c r="P1724" s="0" t="n">
        <v>3.71</v>
      </c>
      <c r="Q1724" s="0" t="n">
        <v>3.46</v>
      </c>
      <c r="R1724" s="0" t="n">
        <v>3752</v>
      </c>
      <c r="S1724" s="0" t="n">
        <v>7770</v>
      </c>
      <c r="T1724" s="0" t="n">
        <v>44.15</v>
      </c>
      <c r="U1724" s="0" t="n">
        <v>754</v>
      </c>
      <c r="V1724" s="0" t="n">
        <v>1</v>
      </c>
      <c r="W1724" s="27" t="n">
        <f aca="false">MATCH(A1724,DATAS,0)</f>
        <v>1</v>
      </c>
      <c r="X1724" s="27" t="n">
        <f aca="false">IF(AND(E1724&gt;0,OR(AND(B1724&gt;=1,B1724&lt;=6),B1724=10)),1,0)</f>
        <v>1</v>
      </c>
      <c r="Y1724" s="27" t="n">
        <f aca="false">IF(AND(E1724&gt;0,B1724=10),1,0)</f>
        <v>0</v>
      </c>
      <c r="Z1724" s="0" t="str">
        <f aca="false">IF(AND(C1723=C1724,W1723=W1724-1),X1723,"")</f>
        <v/>
      </c>
      <c r="AA1724" s="0" t="str">
        <f aca="false">IF(AND(C1723=C1724,W1723=W1724-1),Y1723,"")</f>
        <v/>
      </c>
      <c r="AB1724" s="0" t="str">
        <f aca="false">IF(W1724=1,"",IF(AND(X1724=1,Z1724&lt;&gt;1),1,0))</f>
        <v/>
      </c>
      <c r="AC1724" s="0" t="str">
        <f aca="false">IF(W1724=1,"",IF(AND(Y1724=1,AA1724&lt;&gt;1),1,0))</f>
        <v/>
      </c>
      <c r="AD1724" s="33" t="str">
        <f aca="false">IF(AND(E1724&gt;0,W1724&lt;1,NOT(AND(C1725=C1724,W1725=W1724+1))),INDEX(DATAS,W1724+1),"")</f>
        <v/>
      </c>
      <c r="AE1724" s="33" t="str">
        <f aca="false">IF(AND(Y1724=1,W1724&lt;1),IF(AND(C1725=C1724,W1725=W1724+1),IF(Y1725=1,"",INDEX(DATAS,W1724+1)),INDEX(DATAS,W1724+1)),"")</f>
        <v/>
      </c>
    </row>
    <row r="1725" customFormat="false" ht="15" hidden="false" customHeight="false" outlineLevel="0" collapsed="false">
      <c r="A1725" s="33" t="n">
        <v>46309</v>
      </c>
      <c r="B1725" s="0" t="n">
        <v>1</v>
      </c>
      <c r="C1725" s="0" t="n">
        <v>5902</v>
      </c>
      <c r="D1725" s="0" t="n">
        <v>78</v>
      </c>
      <c r="E1725" s="0" t="n">
        <v>1</v>
      </c>
      <c r="F1725" s="27" t="s">
        <v>1030</v>
      </c>
      <c r="G1725" s="0" t="n">
        <v>49.1</v>
      </c>
      <c r="H1725" s="0" t="n">
        <v>46</v>
      </c>
      <c r="I1725" s="27" t="s">
        <v>168</v>
      </c>
      <c r="J1725" s="0" t="n">
        <v>78</v>
      </c>
      <c r="K1725" s="0" t="n">
        <v>64</v>
      </c>
      <c r="P1725" s="0" t="n">
        <v>2.86</v>
      </c>
      <c r="Q1725" s="0" t="n">
        <v>2.97</v>
      </c>
      <c r="R1725" s="0" t="n">
        <v>4063</v>
      </c>
      <c r="S1725" s="0" t="n">
        <v>8168</v>
      </c>
      <c r="U1725" s="0" t="n">
        <v>754</v>
      </c>
      <c r="V1725" s="0" t="n">
        <v>1</v>
      </c>
      <c r="W1725" s="27" t="n">
        <f aca="false">MATCH(A1725,DATAS,0)</f>
        <v>1</v>
      </c>
      <c r="X1725" s="27" t="n">
        <f aca="false">IF(AND(E1725&gt;0,OR(AND(B1725&gt;=1,B1725&lt;=6),B1725=10)),1,0)</f>
        <v>1</v>
      </c>
      <c r="Y1725" s="27" t="n">
        <f aca="false">IF(AND(E1725&gt;0,B1725=10),1,0)</f>
        <v>0</v>
      </c>
      <c r="Z1725" s="0" t="str">
        <f aca="false">IF(AND(C1724=C1725,W1724=W1725-1),X1724,"")</f>
        <v/>
      </c>
      <c r="AA1725" s="0" t="str">
        <f aca="false">IF(AND(C1724=C1725,W1724=W1725-1),Y1724,"")</f>
        <v/>
      </c>
      <c r="AB1725" s="0" t="str">
        <f aca="false">IF(W1725=1,"",IF(AND(X1725=1,Z1725&lt;&gt;1),1,0))</f>
        <v/>
      </c>
      <c r="AC1725" s="0" t="str">
        <f aca="false">IF(W1725=1,"",IF(AND(Y1725=1,AA1725&lt;&gt;1),1,0))</f>
        <v/>
      </c>
      <c r="AD1725" s="33" t="str">
        <f aca="false">IF(AND(E1725&gt;0,W1725&lt;1,NOT(AND(C1726=C1725,W1726=W1725+1))),INDEX(DATAS,W1725+1),"")</f>
        <v/>
      </c>
      <c r="AE1725" s="33" t="str">
        <f aca="false">IF(AND(Y1725=1,W1725&lt;1),IF(AND(C1726=C1725,W1726=W1725+1),IF(Y1726=1,"",INDEX(DATAS,W1725+1)),INDEX(DATAS,W1725+1)),"")</f>
        <v/>
      </c>
    </row>
    <row r="1726" customFormat="false" ht="15" hidden="false" customHeight="false" outlineLevel="0" collapsed="false">
      <c r="A1726" s="33" t="n">
        <v>46309</v>
      </c>
      <c r="B1726" s="0" t="n">
        <v>1</v>
      </c>
      <c r="C1726" s="0" t="n">
        <v>5903</v>
      </c>
      <c r="D1726" s="0" t="n">
        <v>29</v>
      </c>
      <c r="E1726" s="0" t="n">
        <v>1</v>
      </c>
      <c r="F1726" s="27" t="s">
        <v>1030</v>
      </c>
      <c r="G1726" s="0" t="n">
        <v>22.2</v>
      </c>
      <c r="H1726" s="0" t="n">
        <v>25</v>
      </c>
      <c r="I1726" s="27" t="s">
        <v>147</v>
      </c>
      <c r="J1726" s="0" t="n">
        <v>29</v>
      </c>
      <c r="R1726" s="0" t="n">
        <v>2568</v>
      </c>
      <c r="S1726" s="0" t="n">
        <v>5162</v>
      </c>
      <c r="U1726" s="0" t="n">
        <v>754</v>
      </c>
      <c r="V1726" s="0" t="n">
        <v>0</v>
      </c>
      <c r="W1726" s="27" t="n">
        <f aca="false">MATCH(A1726,DATAS,0)</f>
        <v>1</v>
      </c>
      <c r="X1726" s="27" t="n">
        <f aca="false">IF(AND(E1726&gt;0,OR(AND(B1726&gt;=1,B1726&lt;=6),B1726=10)),1,0)</f>
        <v>1</v>
      </c>
      <c r="Y1726" s="27" t="n">
        <f aca="false">IF(AND(E1726&gt;0,B1726=10),1,0)</f>
        <v>0</v>
      </c>
      <c r="Z1726" s="0" t="str">
        <f aca="false">IF(AND(C1725=C1726,W1725=W1726-1),X1725,"")</f>
        <v/>
      </c>
      <c r="AA1726" s="0" t="str">
        <f aca="false">IF(AND(C1725=C1726,W1725=W1726-1),Y1725,"")</f>
        <v/>
      </c>
      <c r="AB1726" s="0" t="str">
        <f aca="false">IF(W1726=1,"",IF(AND(X1726=1,Z1726&lt;&gt;1),1,0))</f>
        <v/>
      </c>
      <c r="AC1726" s="0" t="str">
        <f aca="false">IF(W1726=1,"",IF(AND(Y1726=1,AA1726&lt;&gt;1),1,0))</f>
        <v/>
      </c>
      <c r="AD1726" s="33" t="str">
        <f aca="false">IF(AND(E1726&gt;0,W1726&lt;1,NOT(AND(C1727=C1726,W1727=W1726+1))),INDEX(DATAS,W1726+1),"")</f>
        <v/>
      </c>
      <c r="AE1726" s="33" t="str">
        <f aca="false">IF(AND(Y1726=1,W1726&lt;1),IF(AND(C1727=C1726,W1727=W1726+1),IF(Y1727=1,"",INDEX(DATAS,W1726+1)),INDEX(DATAS,W1726+1)),"")</f>
        <v/>
      </c>
    </row>
    <row r="1727" customFormat="false" ht="15" hidden="false" customHeight="false" outlineLevel="0" collapsed="false">
      <c r="A1727" s="33" t="n">
        <v>46309</v>
      </c>
      <c r="B1727" s="0" t="n">
        <v>4</v>
      </c>
      <c r="C1727" s="0" t="n">
        <v>5904</v>
      </c>
      <c r="D1727" s="0" t="n">
        <v>112</v>
      </c>
      <c r="E1727" s="0" t="n">
        <v>1</v>
      </c>
      <c r="F1727" s="27" t="s">
        <v>1030</v>
      </c>
      <c r="G1727" s="0" t="n">
        <v>45.4</v>
      </c>
      <c r="H1727" s="0" t="n">
        <v>40</v>
      </c>
      <c r="I1727" s="27" t="s">
        <v>168</v>
      </c>
      <c r="J1727" s="0" t="n">
        <v>112</v>
      </c>
      <c r="K1727" s="0" t="n">
        <v>63</v>
      </c>
      <c r="P1727" s="0" t="n">
        <v>3.76</v>
      </c>
      <c r="Q1727" s="0" t="n">
        <v>3.33</v>
      </c>
      <c r="R1727" s="0" t="n">
        <v>3740</v>
      </c>
      <c r="S1727" s="0" t="n">
        <v>7611</v>
      </c>
      <c r="T1727" s="0" t="n">
        <v>39.95</v>
      </c>
      <c r="U1727" s="0" t="n">
        <v>754</v>
      </c>
      <c r="V1727" s="0" t="n">
        <v>2</v>
      </c>
      <c r="W1727" s="27" t="n">
        <f aca="false">MATCH(A1727,DATAS,0)</f>
        <v>1</v>
      </c>
      <c r="X1727" s="27" t="n">
        <f aca="false">IF(AND(E1727&gt;0,OR(AND(B1727&gt;=1,B1727&lt;=6),B1727=10)),1,0)</f>
        <v>1</v>
      </c>
      <c r="Y1727" s="27" t="n">
        <f aca="false">IF(AND(E1727&gt;0,B1727=10),1,0)</f>
        <v>0</v>
      </c>
      <c r="Z1727" s="0" t="str">
        <f aca="false">IF(AND(C1726=C1727,W1726=W1727-1),X1726,"")</f>
        <v/>
      </c>
      <c r="AA1727" s="0" t="str">
        <f aca="false">IF(AND(C1726=C1727,W1726=W1727-1),Y1726,"")</f>
        <v/>
      </c>
      <c r="AB1727" s="0" t="str">
        <f aca="false">IF(W1727=1,"",IF(AND(X1727=1,Z1727&lt;&gt;1),1,0))</f>
        <v/>
      </c>
      <c r="AC1727" s="0" t="str">
        <f aca="false">IF(W1727=1,"",IF(AND(Y1727=1,AA1727&lt;&gt;1),1,0))</f>
        <v/>
      </c>
      <c r="AD1727" s="33" t="str">
        <f aca="false">IF(AND(E1727&gt;0,W1727&lt;1,NOT(AND(C1728=C1727,W1728=W1727+1))),INDEX(DATAS,W1727+1),"")</f>
        <v/>
      </c>
      <c r="AE1727" s="33" t="str">
        <f aca="false">IF(AND(Y1727=1,W1727&lt;1),IF(AND(C1728=C1727,W1728=W1727+1),IF(Y1728=1,"",INDEX(DATAS,W1727+1)),INDEX(DATAS,W1727+1)),"")</f>
        <v/>
      </c>
    </row>
    <row r="1728" customFormat="false" ht="15" hidden="false" customHeight="false" outlineLevel="0" collapsed="false">
      <c r="A1728" s="33" t="n">
        <v>46309</v>
      </c>
      <c r="B1728" s="0" t="n">
        <v>9</v>
      </c>
      <c r="C1728" s="0" t="n">
        <v>5906</v>
      </c>
      <c r="E1728" s="0" t="n">
        <v>0</v>
      </c>
      <c r="F1728" s="27" t="s">
        <v>1030</v>
      </c>
      <c r="I1728" s="27" t="s">
        <v>138</v>
      </c>
      <c r="L1728" s="0" t="n">
        <v>273</v>
      </c>
      <c r="U1728" s="0" t="n">
        <v>754</v>
      </c>
      <c r="V1728" s="0" t="n">
        <v>4</v>
      </c>
      <c r="W1728" s="27" t="n">
        <f aca="false">MATCH(A1728,DATAS,0)</f>
        <v>1</v>
      </c>
      <c r="X1728" s="27" t="n">
        <f aca="false">IF(AND(E1728&gt;0,OR(AND(B1728&gt;=1,B1728&lt;=6),B1728=10)),1,0)</f>
        <v>0</v>
      </c>
      <c r="Y1728" s="27" t="n">
        <f aca="false">IF(AND(E1728&gt;0,B1728=10),1,0)</f>
        <v>0</v>
      </c>
      <c r="Z1728" s="0" t="str">
        <f aca="false">IF(AND(C1727=C1728,W1727=W1728-1),X1727,"")</f>
        <v/>
      </c>
      <c r="AA1728" s="0" t="str">
        <f aca="false">IF(AND(C1727=C1728,W1727=W1728-1),Y1727,"")</f>
        <v/>
      </c>
      <c r="AB1728" s="0" t="str">
        <f aca="false">IF(W1728=1,"",IF(AND(X1728=1,Z1728&lt;&gt;1),1,0))</f>
        <v/>
      </c>
      <c r="AC1728" s="0" t="str">
        <f aca="false">IF(W1728=1,"",IF(AND(Y1728=1,AA1728&lt;&gt;1),1,0))</f>
        <v/>
      </c>
      <c r="AD1728" s="33" t="str">
        <f aca="false">IF(AND(E1728&gt;0,W1728&lt;1,NOT(AND(C1729=C1728,W1729=W1728+1))),INDEX(DATAS,W1728+1),"")</f>
        <v/>
      </c>
      <c r="AE1728" s="33" t="str">
        <f aca="false">IF(AND(Y1728=1,W1728&lt;1),IF(AND(C1729=C1728,W1729=W1728+1),IF(Y1729=1,"",INDEX(DATAS,W1728+1)),INDEX(DATAS,W1728+1)),"")</f>
        <v/>
      </c>
    </row>
    <row r="1729" customFormat="false" ht="15" hidden="false" customHeight="false" outlineLevel="0" collapsed="false">
      <c r="A1729" s="33" t="n">
        <v>46309</v>
      </c>
      <c r="B1729" s="0" t="n">
        <v>1</v>
      </c>
      <c r="C1729" s="0" t="n">
        <v>5907</v>
      </c>
      <c r="D1729" s="0" t="n">
        <v>26</v>
      </c>
      <c r="E1729" s="0" t="n">
        <v>1</v>
      </c>
      <c r="F1729" s="27" t="s">
        <v>1031</v>
      </c>
      <c r="G1729" s="0" t="n">
        <v>33.3</v>
      </c>
      <c r="H1729" s="0" t="n">
        <v>37</v>
      </c>
      <c r="I1729" s="27" t="s">
        <v>147</v>
      </c>
      <c r="J1729" s="0" t="n">
        <v>26</v>
      </c>
      <c r="R1729" s="0" t="n">
        <v>3250</v>
      </c>
      <c r="S1729" s="0" t="n">
        <v>6533</v>
      </c>
      <c r="U1729" s="0" t="n">
        <v>753</v>
      </c>
      <c r="V1729" s="0" t="n">
        <v>0</v>
      </c>
      <c r="W1729" s="27" t="n">
        <f aca="false">MATCH(A1729,DATAS,0)</f>
        <v>1</v>
      </c>
      <c r="X1729" s="27" t="n">
        <f aca="false">IF(AND(E1729&gt;0,OR(AND(B1729&gt;=1,B1729&lt;=6),B1729=10)),1,0)</f>
        <v>1</v>
      </c>
      <c r="Y1729" s="27" t="n">
        <f aca="false">IF(AND(E1729&gt;0,B1729=10),1,0)</f>
        <v>0</v>
      </c>
      <c r="Z1729" s="0" t="str">
        <f aca="false">IF(AND(C1728=C1729,W1728=W1729-1),X1728,"")</f>
        <v/>
      </c>
      <c r="AA1729" s="0" t="str">
        <f aca="false">IF(AND(C1728=C1729,W1728=W1729-1),Y1728,"")</f>
        <v/>
      </c>
      <c r="AB1729" s="0" t="str">
        <f aca="false">IF(W1729=1,"",IF(AND(X1729=1,Z1729&lt;&gt;1),1,0))</f>
        <v/>
      </c>
      <c r="AC1729" s="0" t="str">
        <f aca="false">IF(W1729=1,"",IF(AND(Y1729=1,AA1729&lt;&gt;1),1,0))</f>
        <v/>
      </c>
      <c r="AD1729" s="33" t="str">
        <f aca="false">IF(AND(E1729&gt;0,W1729&lt;1,NOT(AND(C1730=C1729,W1730=W1729+1))),INDEX(DATAS,W1729+1),"")</f>
        <v/>
      </c>
      <c r="AE1729" s="33" t="str">
        <f aca="false">IF(AND(Y1729=1,W1729&lt;1),IF(AND(C1730=C1729,W1730=W1729+1),IF(Y1730=1,"",INDEX(DATAS,W1729+1)),INDEX(DATAS,W1729+1)),"")</f>
        <v/>
      </c>
    </row>
    <row r="1730" customFormat="false" ht="15" hidden="false" customHeight="false" outlineLevel="0" collapsed="false">
      <c r="A1730" s="33" t="n">
        <v>46309</v>
      </c>
      <c r="B1730" s="0" t="n">
        <v>4</v>
      </c>
      <c r="C1730" s="0" t="n">
        <v>5908</v>
      </c>
      <c r="D1730" s="0" t="n">
        <v>117</v>
      </c>
      <c r="E1730" s="0" t="n">
        <v>1</v>
      </c>
      <c r="F1730" s="27" t="s">
        <v>1031</v>
      </c>
      <c r="G1730" s="0" t="n">
        <v>30.8</v>
      </c>
      <c r="H1730" s="0" t="n">
        <v>36</v>
      </c>
      <c r="I1730" s="27" t="s">
        <v>138</v>
      </c>
      <c r="J1730" s="0" t="n">
        <v>68</v>
      </c>
      <c r="K1730" s="0" t="n">
        <v>68</v>
      </c>
      <c r="L1730" s="0" t="n">
        <v>49</v>
      </c>
      <c r="P1730" s="0" t="n">
        <v>3.21</v>
      </c>
      <c r="Q1730" s="0" t="n">
        <v>3.14</v>
      </c>
      <c r="R1730" s="0" t="n">
        <v>3454</v>
      </c>
      <c r="S1730" s="0" t="n">
        <v>7112</v>
      </c>
      <c r="T1730" s="0" t="n">
        <v>40.15</v>
      </c>
      <c r="U1730" s="0" t="n">
        <v>753</v>
      </c>
      <c r="V1730" s="0" t="n">
        <v>1</v>
      </c>
      <c r="W1730" s="27" t="n">
        <f aca="false">MATCH(A1730,DATAS,0)</f>
        <v>1</v>
      </c>
      <c r="X1730" s="27" t="n">
        <f aca="false">IF(AND(E1730&gt;0,OR(AND(B1730&gt;=1,B1730&lt;=6),B1730=10)),1,0)</f>
        <v>1</v>
      </c>
      <c r="Y1730" s="27" t="n">
        <f aca="false">IF(AND(E1730&gt;0,B1730=10),1,0)</f>
        <v>0</v>
      </c>
      <c r="Z1730" s="0" t="str">
        <f aca="false">IF(AND(C1729=C1730,W1729=W1730-1),X1729,"")</f>
        <v/>
      </c>
      <c r="AA1730" s="0" t="str">
        <f aca="false">IF(AND(C1729=C1730,W1729=W1730-1),Y1729,"")</f>
        <v/>
      </c>
      <c r="AB1730" s="0" t="str">
        <f aca="false">IF(W1730=1,"",IF(AND(X1730=1,Z1730&lt;&gt;1),1,0))</f>
        <v/>
      </c>
      <c r="AC1730" s="0" t="str">
        <f aca="false">IF(W1730=1,"",IF(AND(Y1730=1,AA1730&lt;&gt;1),1,0))</f>
        <v/>
      </c>
      <c r="AD1730" s="33" t="str">
        <f aca="false">IF(AND(E1730&gt;0,W1730&lt;1,NOT(AND(C1731=C1730,W1731=W1730+1))),INDEX(DATAS,W1730+1),"")</f>
        <v/>
      </c>
      <c r="AE1730" s="33" t="str">
        <f aca="false">IF(AND(Y1730=1,W1730&lt;1),IF(AND(C1731=C1730,W1731=W1730+1),IF(Y1731=1,"",INDEX(DATAS,W1730+1)),INDEX(DATAS,W1730+1)),"")</f>
        <v/>
      </c>
    </row>
    <row r="1731" customFormat="false" ht="15" hidden="false" customHeight="false" outlineLevel="0" collapsed="false">
      <c r="A1731" s="33" t="n">
        <v>46309</v>
      </c>
      <c r="B1731" s="0" t="n">
        <v>1</v>
      </c>
      <c r="C1731" s="0" t="n">
        <v>5910</v>
      </c>
      <c r="D1731" s="0" t="n">
        <v>68</v>
      </c>
      <c r="E1731" s="0" t="n">
        <v>1</v>
      </c>
      <c r="F1731" s="27" t="s">
        <v>1031</v>
      </c>
      <c r="G1731" s="0" t="n">
        <v>37.1</v>
      </c>
      <c r="H1731" s="0" t="n">
        <v>35</v>
      </c>
      <c r="I1731" s="27" t="s">
        <v>168</v>
      </c>
      <c r="J1731" s="0" t="n">
        <v>68</v>
      </c>
      <c r="K1731" s="0" t="n">
        <v>68</v>
      </c>
      <c r="P1731" s="0" t="n">
        <v>4.96</v>
      </c>
      <c r="Q1731" s="0" t="n">
        <v>3.02</v>
      </c>
      <c r="R1731" s="0" t="n">
        <v>2118</v>
      </c>
      <c r="S1731" s="0" t="n">
        <v>4257</v>
      </c>
      <c r="U1731" s="0" t="n">
        <v>753</v>
      </c>
      <c r="V1731" s="0" t="n">
        <v>1</v>
      </c>
      <c r="W1731" s="27" t="n">
        <f aca="false">MATCH(A1731,DATAS,0)</f>
        <v>1</v>
      </c>
      <c r="X1731" s="27" t="n">
        <f aca="false">IF(AND(E1731&gt;0,OR(AND(B1731&gt;=1,B1731&lt;=6),B1731=10)),1,0)</f>
        <v>1</v>
      </c>
      <c r="Y1731" s="27" t="n">
        <f aca="false">IF(AND(E1731&gt;0,B1731=10),1,0)</f>
        <v>0</v>
      </c>
      <c r="Z1731" s="0" t="str">
        <f aca="false">IF(AND(C1730=C1731,W1730=W1731-1),X1730,"")</f>
        <v/>
      </c>
      <c r="AA1731" s="0" t="str">
        <f aca="false">IF(AND(C1730=C1731,W1730=W1731-1),Y1730,"")</f>
        <v/>
      </c>
      <c r="AB1731" s="0" t="str">
        <f aca="false">IF(W1731=1,"",IF(AND(X1731=1,Z1731&lt;&gt;1),1,0))</f>
        <v/>
      </c>
      <c r="AC1731" s="0" t="str">
        <f aca="false">IF(W1731=1,"",IF(AND(Y1731=1,AA1731&lt;&gt;1),1,0))</f>
        <v/>
      </c>
      <c r="AD1731" s="33" t="str">
        <f aca="false">IF(AND(E1731&gt;0,W1731&lt;1,NOT(AND(C1732=C1731,W1732=W1731+1))),INDEX(DATAS,W1731+1),"")</f>
        <v/>
      </c>
      <c r="AE1731" s="33" t="str">
        <f aca="false">IF(AND(Y1731=1,W1731&lt;1),IF(AND(C1732=C1731,W1732=W1731+1),IF(Y1732=1,"",INDEX(DATAS,W1731+1)),INDEX(DATAS,W1731+1)),"")</f>
        <v/>
      </c>
    </row>
    <row r="1732" customFormat="false" ht="15" hidden="false" customHeight="false" outlineLevel="0" collapsed="false">
      <c r="A1732" s="33" t="n">
        <v>46309</v>
      </c>
      <c r="B1732" s="0" t="n">
        <v>1</v>
      </c>
      <c r="C1732" s="0" t="n">
        <v>5911</v>
      </c>
      <c r="D1732" s="0" t="n">
        <v>31</v>
      </c>
      <c r="E1732" s="0" t="n">
        <v>1</v>
      </c>
      <c r="F1732" s="27" t="s">
        <v>1031</v>
      </c>
      <c r="G1732" s="0" t="n">
        <v>33.5</v>
      </c>
      <c r="H1732" s="0" t="n">
        <v>39</v>
      </c>
      <c r="I1732" s="27" t="s">
        <v>147</v>
      </c>
      <c r="J1732" s="0" t="n">
        <v>31</v>
      </c>
      <c r="P1732" s="0" t="n">
        <v>5.04</v>
      </c>
      <c r="Q1732" s="0" t="n">
        <v>3.7</v>
      </c>
      <c r="R1732" s="0" t="n">
        <v>3713</v>
      </c>
      <c r="S1732" s="0" t="n">
        <v>7464</v>
      </c>
      <c r="U1732" s="0" t="n">
        <v>753</v>
      </c>
      <c r="V1732" s="0" t="n">
        <v>0</v>
      </c>
      <c r="W1732" s="27" t="n">
        <f aca="false">MATCH(A1732,DATAS,0)</f>
        <v>1</v>
      </c>
      <c r="X1732" s="27" t="n">
        <f aca="false">IF(AND(E1732&gt;0,OR(AND(B1732&gt;=1,B1732&lt;=6),B1732=10)),1,0)</f>
        <v>1</v>
      </c>
      <c r="Y1732" s="27" t="n">
        <f aca="false">IF(AND(E1732&gt;0,B1732=10),1,0)</f>
        <v>0</v>
      </c>
      <c r="Z1732" s="0" t="str">
        <f aca="false">IF(AND(C1731=C1732,W1731=W1732-1),X1731,"")</f>
        <v/>
      </c>
      <c r="AA1732" s="0" t="str">
        <f aca="false">IF(AND(C1731=C1732,W1731=W1732-1),Y1731,"")</f>
        <v/>
      </c>
      <c r="AB1732" s="0" t="str">
        <f aca="false">IF(W1732=1,"",IF(AND(X1732=1,Z1732&lt;&gt;1),1,0))</f>
        <v/>
      </c>
      <c r="AC1732" s="0" t="str">
        <f aca="false">IF(W1732=1,"",IF(AND(Y1732=1,AA1732&lt;&gt;1),1,0))</f>
        <v/>
      </c>
      <c r="AD1732" s="33" t="str">
        <f aca="false">IF(AND(E1732&gt;0,W1732&lt;1,NOT(AND(C1733=C1732,W1733=W1732+1))),INDEX(DATAS,W1732+1),"")</f>
        <v/>
      </c>
      <c r="AE1732" s="33" t="str">
        <f aca="false">IF(AND(Y1732=1,W1732&lt;1),IF(AND(C1733=C1732,W1733=W1732+1),IF(Y1733=1,"",INDEX(DATAS,W1732+1)),INDEX(DATAS,W1732+1)),"")</f>
        <v/>
      </c>
    </row>
    <row r="1733" customFormat="false" ht="15" hidden="false" customHeight="false" outlineLevel="0" collapsed="false">
      <c r="A1733" s="33" t="n">
        <v>46309</v>
      </c>
      <c r="B1733" s="0" t="n">
        <v>1</v>
      </c>
      <c r="C1733" s="0" t="n">
        <v>5913</v>
      </c>
      <c r="D1733" s="0" t="n">
        <v>96</v>
      </c>
      <c r="E1733" s="0" t="n">
        <v>1</v>
      </c>
      <c r="F1733" s="27" t="s">
        <v>1032</v>
      </c>
      <c r="G1733" s="0" t="n">
        <v>46.4</v>
      </c>
      <c r="H1733" s="0" t="n">
        <v>40</v>
      </c>
      <c r="I1733" s="27" t="s">
        <v>168</v>
      </c>
      <c r="J1733" s="0" t="n">
        <v>96</v>
      </c>
      <c r="K1733" s="0" t="n">
        <v>68</v>
      </c>
      <c r="P1733" s="0" t="n">
        <v>3.9</v>
      </c>
      <c r="Q1733" s="0" t="n">
        <v>2.99</v>
      </c>
      <c r="R1733" s="0" t="n">
        <v>3899</v>
      </c>
      <c r="S1733" s="0" t="n">
        <v>7838</v>
      </c>
      <c r="T1733" s="0" t="n">
        <v>43.85</v>
      </c>
      <c r="U1733" s="0" t="n">
        <v>751</v>
      </c>
      <c r="V1733" s="0" t="n">
        <v>2</v>
      </c>
      <c r="W1733" s="27" t="n">
        <f aca="false">MATCH(A1733,DATAS,0)</f>
        <v>1</v>
      </c>
      <c r="X1733" s="27" t="n">
        <f aca="false">IF(AND(E1733&gt;0,OR(AND(B1733&gt;=1,B1733&lt;=6),B1733=10)),1,0)</f>
        <v>1</v>
      </c>
      <c r="Y1733" s="27" t="n">
        <f aca="false">IF(AND(E1733&gt;0,B1733=10),1,0)</f>
        <v>0</v>
      </c>
      <c r="Z1733" s="0" t="str">
        <f aca="false">IF(AND(C1732=C1733,W1732=W1733-1),X1732,"")</f>
        <v/>
      </c>
      <c r="AA1733" s="0" t="str">
        <f aca="false">IF(AND(C1732=C1733,W1732=W1733-1),Y1732,"")</f>
        <v/>
      </c>
      <c r="AB1733" s="0" t="str">
        <f aca="false">IF(W1733=1,"",IF(AND(X1733=1,Z1733&lt;&gt;1),1,0))</f>
        <v/>
      </c>
      <c r="AC1733" s="0" t="str">
        <f aca="false">IF(W1733=1,"",IF(AND(Y1733=1,AA1733&lt;&gt;1),1,0))</f>
        <v/>
      </c>
      <c r="AD1733" s="33" t="str">
        <f aca="false">IF(AND(E1733&gt;0,W1733&lt;1,NOT(AND(C1734=C1733,W1734=W1733+1))),INDEX(DATAS,W1733+1),"")</f>
        <v/>
      </c>
      <c r="AE1733" s="33" t="str">
        <f aca="false">IF(AND(Y1733=1,W1733&lt;1),IF(AND(C1734=C1733,W1734=W1733+1),IF(Y1734=1,"",INDEX(DATAS,W1733+1)),INDEX(DATAS,W1733+1)),"")</f>
        <v/>
      </c>
    </row>
    <row r="1734" customFormat="false" ht="15" hidden="false" customHeight="false" outlineLevel="0" collapsed="false">
      <c r="A1734" s="33" t="n">
        <v>46309</v>
      </c>
      <c r="B1734" s="0" t="n">
        <v>1</v>
      </c>
      <c r="C1734" s="0" t="n">
        <v>5914</v>
      </c>
      <c r="D1734" s="0" t="n">
        <v>86</v>
      </c>
      <c r="E1734" s="0" t="n">
        <v>1</v>
      </c>
      <c r="F1734" s="27" t="s">
        <v>1032</v>
      </c>
      <c r="G1734" s="0" t="n">
        <v>66.6</v>
      </c>
      <c r="H1734" s="0" t="n">
        <v>66</v>
      </c>
      <c r="I1734" s="27" t="s">
        <v>168</v>
      </c>
      <c r="J1734" s="0" t="n">
        <v>86</v>
      </c>
      <c r="K1734" s="0" t="n">
        <v>65</v>
      </c>
      <c r="P1734" s="0" t="n">
        <v>3.29</v>
      </c>
      <c r="Q1734" s="0" t="n">
        <v>2.88</v>
      </c>
      <c r="R1734" s="0" t="n">
        <v>5809</v>
      </c>
      <c r="S1734" s="0" t="n">
        <v>11677</v>
      </c>
      <c r="U1734" s="0" t="n">
        <v>751</v>
      </c>
      <c r="V1734" s="0" t="n">
        <v>1</v>
      </c>
      <c r="W1734" s="27" t="n">
        <f aca="false">MATCH(A1734,DATAS,0)</f>
        <v>1</v>
      </c>
      <c r="X1734" s="27" t="n">
        <f aca="false">IF(AND(E1734&gt;0,OR(AND(B1734&gt;=1,B1734&lt;=6),B1734=10)),1,0)</f>
        <v>1</v>
      </c>
      <c r="Y1734" s="27" t="n">
        <f aca="false">IF(AND(E1734&gt;0,B1734=10),1,0)</f>
        <v>0</v>
      </c>
      <c r="Z1734" s="0" t="str">
        <f aca="false">IF(AND(C1733=C1734,W1733=W1734-1),X1733,"")</f>
        <v/>
      </c>
      <c r="AA1734" s="0" t="str">
        <f aca="false">IF(AND(C1733=C1734,W1733=W1734-1),Y1733,"")</f>
        <v/>
      </c>
      <c r="AB1734" s="0" t="str">
        <f aca="false">IF(W1734=1,"",IF(AND(X1734=1,Z1734&lt;&gt;1),1,0))</f>
        <v/>
      </c>
      <c r="AC1734" s="0" t="str">
        <f aca="false">IF(W1734=1,"",IF(AND(Y1734=1,AA1734&lt;&gt;1),1,0))</f>
        <v/>
      </c>
      <c r="AD1734" s="33" t="str">
        <f aca="false">IF(AND(E1734&gt;0,W1734&lt;1,NOT(AND(C1735=C1734,W1735=W1734+1))),INDEX(DATAS,W1734+1),"")</f>
        <v/>
      </c>
      <c r="AE1734" s="33" t="str">
        <f aca="false">IF(AND(Y1734=1,W1734&lt;1),IF(AND(C1735=C1734,W1735=W1734+1),IF(Y1735=1,"",INDEX(DATAS,W1734+1)),INDEX(DATAS,W1734+1)),"")</f>
        <v/>
      </c>
    </row>
    <row r="1735" customFormat="false" ht="15" hidden="false" customHeight="false" outlineLevel="0" collapsed="false">
      <c r="A1735" s="33" t="n">
        <v>46309</v>
      </c>
      <c r="B1735" s="0" t="n">
        <v>8</v>
      </c>
      <c r="C1735" s="0" t="n">
        <v>5915</v>
      </c>
      <c r="E1735" s="0" t="n">
        <v>0</v>
      </c>
      <c r="F1735" s="27" t="s">
        <v>1033</v>
      </c>
      <c r="I1735" s="27" t="s">
        <v>138</v>
      </c>
      <c r="L1735" s="0" t="n">
        <v>126</v>
      </c>
      <c r="U1735" s="0" t="n">
        <v>750</v>
      </c>
      <c r="V1735" s="0" t="n">
        <v>6</v>
      </c>
      <c r="W1735" s="27" t="n">
        <f aca="false">MATCH(A1735,DATAS,0)</f>
        <v>1</v>
      </c>
      <c r="X1735" s="27" t="n">
        <f aca="false">IF(AND(E1735&gt;0,OR(AND(B1735&gt;=1,B1735&lt;=6),B1735=10)),1,0)</f>
        <v>0</v>
      </c>
      <c r="Y1735" s="27" t="n">
        <f aca="false">IF(AND(E1735&gt;0,B1735=10),1,0)</f>
        <v>0</v>
      </c>
      <c r="Z1735" s="0" t="str">
        <f aca="false">IF(AND(C1734=C1735,W1734=W1735-1),X1734,"")</f>
        <v/>
      </c>
      <c r="AA1735" s="0" t="str">
        <f aca="false">IF(AND(C1734=C1735,W1734=W1735-1),Y1734,"")</f>
        <v/>
      </c>
      <c r="AB1735" s="0" t="str">
        <f aca="false">IF(W1735=1,"",IF(AND(X1735=1,Z1735&lt;&gt;1),1,0))</f>
        <v/>
      </c>
      <c r="AC1735" s="0" t="str">
        <f aca="false">IF(W1735=1,"",IF(AND(Y1735=1,AA1735&lt;&gt;1),1,0))</f>
        <v/>
      </c>
      <c r="AD1735" s="33" t="str">
        <f aca="false">IF(AND(E1735&gt;0,W1735&lt;1,NOT(AND(C1736=C1735,W1736=W1735+1))),INDEX(DATAS,W1735+1),"")</f>
        <v/>
      </c>
      <c r="AE1735" s="33" t="str">
        <f aca="false">IF(AND(Y1735=1,W1735&lt;1),IF(AND(C1736=C1735,W1736=W1735+1),IF(Y1736=1,"",INDEX(DATAS,W1735+1)),INDEX(DATAS,W1735+1)),"")</f>
        <v/>
      </c>
    </row>
    <row r="1736" customFormat="false" ht="15" hidden="false" customHeight="false" outlineLevel="0" collapsed="false">
      <c r="A1736" s="33" t="n">
        <v>46309</v>
      </c>
      <c r="B1736" s="0" t="n">
        <v>1</v>
      </c>
      <c r="C1736" s="0" t="n">
        <v>5916</v>
      </c>
      <c r="D1736" s="0" t="n">
        <v>9</v>
      </c>
      <c r="E1736" s="0" t="n">
        <v>1</v>
      </c>
      <c r="F1736" s="27" t="s">
        <v>1034</v>
      </c>
      <c r="G1736" s="0" t="n">
        <v>28.2</v>
      </c>
      <c r="H1736" s="0" t="n">
        <v>23</v>
      </c>
      <c r="I1736" s="27" t="s">
        <v>147</v>
      </c>
      <c r="J1736" s="0" t="n">
        <v>9</v>
      </c>
      <c r="R1736" s="0" t="n">
        <v>2235</v>
      </c>
      <c r="S1736" s="0" t="n">
        <v>4494</v>
      </c>
      <c r="U1736" s="0" t="n">
        <v>748</v>
      </c>
      <c r="V1736" s="0" t="n">
        <v>0</v>
      </c>
      <c r="W1736" s="27" t="n">
        <f aca="false">MATCH(A1736,DATAS,0)</f>
        <v>1</v>
      </c>
      <c r="X1736" s="27" t="n">
        <f aca="false">IF(AND(E1736&gt;0,OR(AND(B1736&gt;=1,B1736&lt;=6),B1736=10)),1,0)</f>
        <v>1</v>
      </c>
      <c r="Y1736" s="27" t="n">
        <f aca="false">IF(AND(E1736&gt;0,B1736=10),1,0)</f>
        <v>0</v>
      </c>
      <c r="Z1736" s="0" t="str">
        <f aca="false">IF(AND(C1735=C1736,W1735=W1736-1),X1735,"")</f>
        <v/>
      </c>
      <c r="AA1736" s="0" t="str">
        <f aca="false">IF(AND(C1735=C1736,W1735=W1736-1),Y1735,"")</f>
        <v/>
      </c>
      <c r="AB1736" s="0" t="str">
        <f aca="false">IF(W1736=1,"",IF(AND(X1736=1,Z1736&lt;&gt;1),1,0))</f>
        <v/>
      </c>
      <c r="AC1736" s="0" t="str">
        <f aca="false">IF(W1736=1,"",IF(AND(Y1736=1,AA1736&lt;&gt;1),1,0))</f>
        <v/>
      </c>
      <c r="AD1736" s="33" t="str">
        <f aca="false">IF(AND(E1736&gt;0,W1736&lt;1,NOT(AND(C1737=C1736,W1737=W1736+1))),INDEX(DATAS,W1736+1),"")</f>
        <v/>
      </c>
      <c r="AE1736" s="33" t="str">
        <f aca="false">IF(AND(Y1736=1,W1736&lt;1),IF(AND(C1737=C1736,W1737=W1736+1),IF(Y1737=1,"",INDEX(DATAS,W1736+1)),INDEX(DATAS,W1736+1)),"")</f>
        <v/>
      </c>
    </row>
    <row r="1737" customFormat="false" ht="15" hidden="false" customHeight="false" outlineLevel="0" collapsed="false">
      <c r="A1737" s="33" t="n">
        <v>46309</v>
      </c>
      <c r="B1737" s="0" t="n">
        <v>4</v>
      </c>
      <c r="C1737" s="0" t="n">
        <v>5917</v>
      </c>
      <c r="D1737" s="0" t="n">
        <v>111</v>
      </c>
      <c r="E1737" s="0" t="n">
        <v>1</v>
      </c>
      <c r="F1737" s="27" t="s">
        <v>1034</v>
      </c>
      <c r="G1737" s="0" t="n">
        <v>42.7</v>
      </c>
      <c r="H1737" s="0" t="n">
        <v>42</v>
      </c>
      <c r="I1737" s="27" t="s">
        <v>168</v>
      </c>
      <c r="J1737" s="0" t="n">
        <v>111</v>
      </c>
      <c r="K1737" s="0" t="n">
        <v>62</v>
      </c>
      <c r="P1737" s="0" t="n">
        <v>4.14</v>
      </c>
      <c r="Q1737" s="0" t="n">
        <v>2.59</v>
      </c>
      <c r="R1737" s="0" t="n">
        <v>4202</v>
      </c>
      <c r="S1737" s="0" t="n">
        <v>8457</v>
      </c>
      <c r="T1737" s="0" t="n">
        <v>47.65</v>
      </c>
      <c r="U1737" s="0" t="n">
        <v>748</v>
      </c>
      <c r="V1737" s="0" t="n">
        <v>2</v>
      </c>
      <c r="W1737" s="27" t="n">
        <f aca="false">MATCH(A1737,DATAS,0)</f>
        <v>1</v>
      </c>
      <c r="X1737" s="27" t="n">
        <f aca="false">IF(AND(E1737&gt;0,OR(AND(B1737&gt;=1,B1737&lt;=6),B1737=10)),1,0)</f>
        <v>1</v>
      </c>
      <c r="Y1737" s="27" t="n">
        <f aca="false">IF(AND(E1737&gt;0,B1737=10),1,0)</f>
        <v>0</v>
      </c>
      <c r="Z1737" s="0" t="str">
        <f aca="false">IF(AND(C1736=C1737,W1736=W1737-1),X1736,"")</f>
        <v/>
      </c>
      <c r="AA1737" s="0" t="str">
        <f aca="false">IF(AND(C1736=C1737,W1736=W1737-1),Y1736,"")</f>
        <v/>
      </c>
      <c r="AB1737" s="0" t="str">
        <f aca="false">IF(W1737=1,"",IF(AND(X1737=1,Z1737&lt;&gt;1),1,0))</f>
        <v/>
      </c>
      <c r="AC1737" s="0" t="str">
        <f aca="false">IF(W1737=1,"",IF(AND(Y1737=1,AA1737&lt;&gt;1),1,0))</f>
        <v/>
      </c>
      <c r="AD1737" s="33" t="str">
        <f aca="false">IF(AND(E1737&gt;0,W1737&lt;1,NOT(AND(C1738=C1737,W1738=W1737+1))),INDEX(DATAS,W1737+1),"")</f>
        <v/>
      </c>
      <c r="AE1737" s="33" t="str">
        <f aca="false">IF(AND(Y1737=1,W1737&lt;1),IF(AND(C1738=C1737,W1738=W1737+1),IF(Y1738=1,"",INDEX(DATAS,W1737+1)),INDEX(DATAS,W1737+1)),"")</f>
        <v/>
      </c>
    </row>
    <row r="1738" customFormat="false" ht="15" hidden="false" customHeight="false" outlineLevel="0" collapsed="false">
      <c r="A1738" s="33" t="n">
        <v>46309</v>
      </c>
      <c r="B1738" s="0" t="n">
        <v>1</v>
      </c>
      <c r="C1738" s="0" t="n">
        <v>5918</v>
      </c>
      <c r="D1738" s="0" t="n">
        <v>24</v>
      </c>
      <c r="E1738" s="0" t="n">
        <v>1</v>
      </c>
      <c r="F1738" s="27" t="s">
        <v>1034</v>
      </c>
      <c r="G1738" s="0" t="n">
        <v>39.9</v>
      </c>
      <c r="H1738" s="0" t="n">
        <v>38</v>
      </c>
      <c r="I1738" s="27" t="s">
        <v>147</v>
      </c>
      <c r="J1738" s="0" t="n">
        <v>24</v>
      </c>
      <c r="R1738" s="0" t="n">
        <v>3154</v>
      </c>
      <c r="S1738" s="0" t="n">
        <v>6341</v>
      </c>
      <c r="U1738" s="0" t="n">
        <v>748</v>
      </c>
      <c r="V1738" s="0" t="n">
        <v>0</v>
      </c>
      <c r="W1738" s="27" t="n">
        <f aca="false">MATCH(A1738,DATAS,0)</f>
        <v>1</v>
      </c>
      <c r="X1738" s="27" t="n">
        <f aca="false">IF(AND(E1738&gt;0,OR(AND(B1738&gt;=1,B1738&lt;=6),B1738=10)),1,0)</f>
        <v>1</v>
      </c>
      <c r="Y1738" s="27" t="n">
        <f aca="false">IF(AND(E1738&gt;0,B1738=10),1,0)</f>
        <v>0</v>
      </c>
      <c r="Z1738" s="0" t="str">
        <f aca="false">IF(AND(C1737=C1738,W1737=W1738-1),X1737,"")</f>
        <v/>
      </c>
      <c r="AA1738" s="0" t="str">
        <f aca="false">IF(AND(C1737=C1738,W1737=W1738-1),Y1737,"")</f>
        <v/>
      </c>
      <c r="AB1738" s="0" t="str">
        <f aca="false">IF(W1738=1,"",IF(AND(X1738=1,Z1738&lt;&gt;1),1,0))</f>
        <v/>
      </c>
      <c r="AC1738" s="0" t="str">
        <f aca="false">IF(W1738=1,"",IF(AND(Y1738=1,AA1738&lt;&gt;1),1,0))</f>
        <v/>
      </c>
      <c r="AD1738" s="33" t="str">
        <f aca="false">IF(AND(E1738&gt;0,W1738&lt;1,NOT(AND(C1739=C1738,W1739=W1738+1))),INDEX(DATAS,W1738+1),"")</f>
        <v/>
      </c>
      <c r="AE1738" s="33" t="str">
        <f aca="false">IF(AND(Y1738=1,W1738&lt;1),IF(AND(C1739=C1738,W1739=W1738+1),IF(Y1739=1,"",INDEX(DATAS,W1738+1)),INDEX(DATAS,W1738+1)),"")</f>
        <v/>
      </c>
    </row>
    <row r="1739" customFormat="false" ht="15" hidden="false" customHeight="false" outlineLevel="0" collapsed="false">
      <c r="A1739" s="33" t="n">
        <v>46309</v>
      </c>
      <c r="B1739" s="0" t="n">
        <v>1</v>
      </c>
      <c r="C1739" s="0" t="n">
        <v>5919</v>
      </c>
      <c r="D1739" s="0" t="n">
        <v>97</v>
      </c>
      <c r="E1739" s="0" t="n">
        <v>1</v>
      </c>
      <c r="F1739" s="27" t="s">
        <v>1034</v>
      </c>
      <c r="G1739" s="0" t="n">
        <v>40.9</v>
      </c>
      <c r="H1739" s="0" t="n">
        <v>38</v>
      </c>
      <c r="I1739" s="27" t="s">
        <v>138</v>
      </c>
      <c r="J1739" s="0" t="n">
        <v>62</v>
      </c>
      <c r="K1739" s="0" t="n">
        <v>62</v>
      </c>
      <c r="L1739" s="0" t="n">
        <v>35</v>
      </c>
      <c r="P1739" s="0" t="n">
        <v>4.25</v>
      </c>
      <c r="Q1739" s="0" t="n">
        <v>3.26</v>
      </c>
      <c r="R1739" s="0" t="n">
        <v>2723</v>
      </c>
      <c r="S1739" s="0" t="n">
        <v>5475</v>
      </c>
      <c r="T1739" s="0" t="n">
        <v>26.5</v>
      </c>
      <c r="U1739" s="0" t="n">
        <v>748</v>
      </c>
      <c r="V1739" s="0" t="n">
        <v>1</v>
      </c>
      <c r="W1739" s="27" t="n">
        <f aca="false">MATCH(A1739,DATAS,0)</f>
        <v>1</v>
      </c>
      <c r="X1739" s="27" t="n">
        <f aca="false">IF(AND(E1739&gt;0,OR(AND(B1739&gt;=1,B1739&lt;=6),B1739=10)),1,0)</f>
        <v>1</v>
      </c>
      <c r="Y1739" s="27" t="n">
        <f aca="false">IF(AND(E1739&gt;0,B1739=10),1,0)</f>
        <v>0</v>
      </c>
      <c r="Z1739" s="0" t="str">
        <f aca="false">IF(AND(C1738=C1739,W1738=W1739-1),X1738,"")</f>
        <v/>
      </c>
      <c r="AA1739" s="0" t="str">
        <f aca="false">IF(AND(C1738=C1739,W1738=W1739-1),Y1738,"")</f>
        <v/>
      </c>
      <c r="AB1739" s="0" t="str">
        <f aca="false">IF(W1739=1,"",IF(AND(X1739=1,Z1739&lt;&gt;1),1,0))</f>
        <v/>
      </c>
      <c r="AC1739" s="0" t="str">
        <f aca="false">IF(W1739=1,"",IF(AND(Y1739=1,AA1739&lt;&gt;1),1,0))</f>
        <v/>
      </c>
      <c r="AD1739" s="33" t="str">
        <f aca="false">IF(AND(E1739&gt;0,W1739&lt;1,NOT(AND(C1740=C1739,W1740=W1739+1))),INDEX(DATAS,W1739+1),"")</f>
        <v/>
      </c>
      <c r="AE1739" s="33" t="str">
        <f aca="false">IF(AND(Y1739=1,W1739&lt;1),IF(AND(C1740=C1739,W1740=W1739+1),IF(Y1740=1,"",INDEX(DATAS,W1739+1)),INDEX(DATAS,W1739+1)),"")</f>
        <v/>
      </c>
    </row>
    <row r="1740" customFormat="false" ht="15" hidden="false" customHeight="false" outlineLevel="0" collapsed="false">
      <c r="A1740" s="33" t="n">
        <v>46309</v>
      </c>
      <c r="B1740" s="0" t="n">
        <v>1</v>
      </c>
      <c r="C1740" s="0" t="n">
        <v>5920</v>
      </c>
      <c r="D1740" s="0" t="n">
        <v>101</v>
      </c>
      <c r="E1740" s="0" t="n">
        <v>1</v>
      </c>
      <c r="F1740" s="27" t="s">
        <v>1035</v>
      </c>
      <c r="G1740" s="0" t="n">
        <v>44.6</v>
      </c>
      <c r="H1740" s="0" t="n">
        <v>43</v>
      </c>
      <c r="I1740" s="27" t="s">
        <v>138</v>
      </c>
      <c r="J1740" s="0" t="n">
        <v>66</v>
      </c>
      <c r="K1740" s="0" t="n">
        <v>66</v>
      </c>
      <c r="L1740" s="0" t="n">
        <v>35</v>
      </c>
      <c r="P1740" s="0" t="n">
        <v>4.16</v>
      </c>
      <c r="Q1740" s="0" t="n">
        <v>3.13</v>
      </c>
      <c r="R1740" s="0" t="n">
        <v>3804</v>
      </c>
      <c r="S1740" s="0" t="n">
        <v>7656</v>
      </c>
      <c r="T1740" s="0" t="n">
        <v>44.8</v>
      </c>
      <c r="U1740" s="0" t="n">
        <v>747</v>
      </c>
      <c r="V1740" s="0" t="n">
        <v>1</v>
      </c>
      <c r="W1740" s="27" t="n">
        <f aca="false">MATCH(A1740,DATAS,0)</f>
        <v>1</v>
      </c>
      <c r="X1740" s="27" t="n">
        <f aca="false">IF(AND(E1740&gt;0,OR(AND(B1740&gt;=1,B1740&lt;=6),B1740=10)),1,0)</f>
        <v>1</v>
      </c>
      <c r="Y1740" s="27" t="n">
        <f aca="false">IF(AND(E1740&gt;0,B1740=10),1,0)</f>
        <v>0</v>
      </c>
      <c r="Z1740" s="0" t="str">
        <f aca="false">IF(AND(C1739=C1740,W1739=W1740-1),X1739,"")</f>
        <v/>
      </c>
      <c r="AA1740" s="0" t="str">
        <f aca="false">IF(AND(C1739=C1740,W1739=W1740-1),Y1739,"")</f>
        <v/>
      </c>
      <c r="AB1740" s="0" t="str">
        <f aca="false">IF(W1740=1,"",IF(AND(X1740=1,Z1740&lt;&gt;1),1,0))</f>
        <v/>
      </c>
      <c r="AC1740" s="0" t="str">
        <f aca="false">IF(W1740=1,"",IF(AND(Y1740=1,AA1740&lt;&gt;1),1,0))</f>
        <v/>
      </c>
      <c r="AD1740" s="33" t="str">
        <f aca="false">IF(AND(E1740&gt;0,W1740&lt;1,NOT(AND(C1741=C1740,W1741=W1740+1))),INDEX(DATAS,W1740+1),"")</f>
        <v/>
      </c>
      <c r="AE1740" s="33" t="str">
        <f aca="false">IF(AND(Y1740=1,W1740&lt;1),IF(AND(C1741=C1740,W1741=W1740+1),IF(Y1741=1,"",INDEX(DATAS,W1740+1)),INDEX(DATAS,W1740+1)),"")</f>
        <v/>
      </c>
    </row>
    <row r="1741" customFormat="false" ht="15" hidden="false" customHeight="false" outlineLevel="0" collapsed="false">
      <c r="A1741" s="33" t="n">
        <v>46309</v>
      </c>
      <c r="B1741" s="0" t="n">
        <v>1</v>
      </c>
      <c r="C1741" s="0" t="n">
        <v>5921</v>
      </c>
      <c r="D1741" s="0" t="n">
        <v>99</v>
      </c>
      <c r="E1741" s="0" t="n">
        <v>1</v>
      </c>
      <c r="F1741" s="27" t="s">
        <v>1035</v>
      </c>
      <c r="G1741" s="0" t="n">
        <v>50.5</v>
      </c>
      <c r="H1741" s="0" t="n">
        <v>50</v>
      </c>
      <c r="I1741" s="27" t="s">
        <v>168</v>
      </c>
      <c r="J1741" s="0" t="n">
        <v>99</v>
      </c>
      <c r="K1741" s="0" t="n">
        <v>64</v>
      </c>
      <c r="P1741" s="0" t="n">
        <v>2.98</v>
      </c>
      <c r="Q1741" s="0" t="n">
        <v>3.06</v>
      </c>
      <c r="R1741" s="0" t="n">
        <v>4097</v>
      </c>
      <c r="S1741" s="0" t="n">
        <v>8237</v>
      </c>
      <c r="T1741" s="0" t="n">
        <v>42.65</v>
      </c>
      <c r="U1741" s="0" t="n">
        <v>747</v>
      </c>
      <c r="V1741" s="0" t="n">
        <v>2</v>
      </c>
      <c r="W1741" s="27" t="n">
        <f aca="false">MATCH(A1741,DATAS,0)</f>
        <v>1</v>
      </c>
      <c r="X1741" s="27" t="n">
        <f aca="false">IF(AND(E1741&gt;0,OR(AND(B1741&gt;=1,B1741&lt;=6),B1741=10)),1,0)</f>
        <v>1</v>
      </c>
      <c r="Y1741" s="27" t="n">
        <f aca="false">IF(AND(E1741&gt;0,B1741=10),1,0)</f>
        <v>0</v>
      </c>
      <c r="Z1741" s="0" t="str">
        <f aca="false">IF(AND(C1740=C1741,W1740=W1741-1),X1740,"")</f>
        <v/>
      </c>
      <c r="AA1741" s="0" t="str">
        <f aca="false">IF(AND(C1740=C1741,W1740=W1741-1),Y1740,"")</f>
        <v/>
      </c>
      <c r="AB1741" s="0" t="str">
        <f aca="false">IF(W1741=1,"",IF(AND(X1741=1,Z1741&lt;&gt;1),1,0))</f>
        <v/>
      </c>
      <c r="AC1741" s="0" t="str">
        <f aca="false">IF(W1741=1,"",IF(AND(Y1741=1,AA1741&lt;&gt;1),1,0))</f>
        <v/>
      </c>
      <c r="AD1741" s="33" t="str">
        <f aca="false">IF(AND(E1741&gt;0,W1741&lt;1,NOT(AND(C1742=C1741,W1742=W1741+1))),INDEX(DATAS,W1741+1),"")</f>
        <v/>
      </c>
      <c r="AE1741" s="33" t="str">
        <f aca="false">IF(AND(Y1741=1,W1741&lt;1),IF(AND(C1742=C1741,W1742=W1741+1),IF(Y1742=1,"",INDEX(DATAS,W1741+1)),INDEX(DATAS,W1741+1)),"")</f>
        <v/>
      </c>
    </row>
    <row r="1742" customFormat="false" ht="15" hidden="false" customHeight="false" outlineLevel="0" collapsed="false">
      <c r="A1742" s="33" t="n">
        <v>46309</v>
      </c>
      <c r="B1742" s="0" t="n">
        <v>1</v>
      </c>
      <c r="C1742" s="0" t="n">
        <v>5922</v>
      </c>
      <c r="D1742" s="0" t="n">
        <v>103</v>
      </c>
      <c r="E1742" s="0" t="n">
        <v>1</v>
      </c>
      <c r="F1742" s="27" t="s">
        <v>1036</v>
      </c>
      <c r="G1742" s="0" t="n">
        <v>51.1</v>
      </c>
      <c r="H1742" s="0" t="n">
        <v>31</v>
      </c>
      <c r="I1742" s="27" t="s">
        <v>138</v>
      </c>
      <c r="J1742" s="0" t="n">
        <v>68</v>
      </c>
      <c r="K1742" s="0" t="n">
        <v>68</v>
      </c>
      <c r="L1742" s="0" t="n">
        <v>35</v>
      </c>
      <c r="P1742" s="0" t="n">
        <v>2.63</v>
      </c>
      <c r="Q1742" s="0" t="n">
        <v>3.08</v>
      </c>
      <c r="R1742" s="0" t="n">
        <v>4272</v>
      </c>
      <c r="S1742" s="0" t="n">
        <v>8506</v>
      </c>
      <c r="T1742" s="0" t="n">
        <v>44.15</v>
      </c>
      <c r="U1742" s="0" t="n">
        <v>746</v>
      </c>
      <c r="V1742" s="0" t="n">
        <v>1</v>
      </c>
      <c r="W1742" s="27" t="n">
        <f aca="false">MATCH(A1742,DATAS,0)</f>
        <v>1</v>
      </c>
      <c r="X1742" s="27" t="n">
        <f aca="false">IF(AND(E1742&gt;0,OR(AND(B1742&gt;=1,B1742&lt;=6),B1742=10)),1,0)</f>
        <v>1</v>
      </c>
      <c r="Y1742" s="27" t="n">
        <f aca="false">IF(AND(E1742&gt;0,B1742=10),1,0)</f>
        <v>0</v>
      </c>
      <c r="Z1742" s="0" t="str">
        <f aca="false">IF(AND(C1741=C1742,W1741=W1742-1),X1741,"")</f>
        <v/>
      </c>
      <c r="AA1742" s="0" t="str">
        <f aca="false">IF(AND(C1741=C1742,W1741=W1742-1),Y1741,"")</f>
        <v/>
      </c>
      <c r="AB1742" s="0" t="str">
        <f aca="false">IF(W1742=1,"",IF(AND(X1742=1,Z1742&lt;&gt;1),1,0))</f>
        <v/>
      </c>
      <c r="AC1742" s="0" t="str">
        <f aca="false">IF(W1742=1,"",IF(AND(Y1742=1,AA1742&lt;&gt;1),1,0))</f>
        <v/>
      </c>
      <c r="AD1742" s="33" t="str">
        <f aca="false">IF(AND(E1742&gt;0,W1742&lt;1,NOT(AND(C1743=C1742,W1743=W1742+1))),INDEX(DATAS,W1742+1),"")</f>
        <v/>
      </c>
      <c r="AE1742" s="33" t="str">
        <f aca="false">IF(AND(Y1742=1,W1742&lt;1),IF(AND(C1743=C1742,W1743=W1742+1),IF(Y1743=1,"",INDEX(DATAS,W1742+1)),INDEX(DATAS,W1742+1)),"")</f>
        <v/>
      </c>
    </row>
    <row r="1743" customFormat="false" ht="15" hidden="false" customHeight="false" outlineLevel="0" collapsed="false">
      <c r="A1743" s="33" t="n">
        <v>46309</v>
      </c>
      <c r="B1743" s="0" t="n">
        <v>1</v>
      </c>
      <c r="C1743" s="0" t="n">
        <v>5923</v>
      </c>
      <c r="D1743" s="0" t="n">
        <v>75</v>
      </c>
      <c r="E1743" s="0" t="n">
        <v>1</v>
      </c>
      <c r="F1743" s="27" t="s">
        <v>1037</v>
      </c>
      <c r="G1743" s="0" t="n">
        <v>52.8</v>
      </c>
      <c r="H1743" s="0" t="n">
        <v>52</v>
      </c>
      <c r="I1743" s="27" t="s">
        <v>168</v>
      </c>
      <c r="J1743" s="0" t="n">
        <v>75</v>
      </c>
      <c r="K1743" s="0" t="n">
        <v>68</v>
      </c>
      <c r="P1743" s="0" t="n">
        <v>3.65</v>
      </c>
      <c r="Q1743" s="0" t="n">
        <v>3.16</v>
      </c>
      <c r="R1743" s="0" t="n">
        <v>4784</v>
      </c>
      <c r="S1743" s="0" t="n">
        <v>9617</v>
      </c>
      <c r="U1743" s="0" t="n">
        <v>744</v>
      </c>
      <c r="V1743" s="0" t="n">
        <v>1</v>
      </c>
      <c r="W1743" s="27" t="n">
        <f aca="false">MATCH(A1743,DATAS,0)</f>
        <v>1</v>
      </c>
      <c r="X1743" s="27" t="n">
        <f aca="false">IF(AND(E1743&gt;0,OR(AND(B1743&gt;=1,B1743&lt;=6),B1743=10)),1,0)</f>
        <v>1</v>
      </c>
      <c r="Y1743" s="27" t="n">
        <f aca="false">IF(AND(E1743&gt;0,B1743=10),1,0)</f>
        <v>0</v>
      </c>
      <c r="Z1743" s="0" t="str">
        <f aca="false">IF(AND(C1742=C1743,W1742=W1743-1),X1742,"")</f>
        <v/>
      </c>
      <c r="AA1743" s="0" t="str">
        <f aca="false">IF(AND(C1742=C1743,W1742=W1743-1),Y1742,"")</f>
        <v/>
      </c>
      <c r="AB1743" s="0" t="str">
        <f aca="false">IF(W1743=1,"",IF(AND(X1743=1,Z1743&lt;&gt;1),1,0))</f>
        <v/>
      </c>
      <c r="AC1743" s="0" t="str">
        <f aca="false">IF(W1743=1,"",IF(AND(Y1743=1,AA1743&lt;&gt;1),1,0))</f>
        <v/>
      </c>
      <c r="AD1743" s="33" t="str">
        <f aca="false">IF(AND(E1743&gt;0,W1743&lt;1,NOT(AND(C1744=C1743,W1744=W1743+1))),INDEX(DATAS,W1743+1),"")</f>
        <v/>
      </c>
      <c r="AE1743" s="33" t="str">
        <f aca="false">IF(AND(Y1743=1,W1743&lt;1),IF(AND(C1744=C1743,W1744=W1743+1),IF(Y1744=1,"",INDEX(DATAS,W1743+1)),INDEX(DATAS,W1743+1)),"")</f>
        <v/>
      </c>
    </row>
    <row r="1744" customFormat="false" ht="15" hidden="false" customHeight="false" outlineLevel="0" collapsed="false">
      <c r="A1744" s="33" t="n">
        <v>46309</v>
      </c>
      <c r="B1744" s="0" t="n">
        <v>1</v>
      </c>
      <c r="C1744" s="0" t="n">
        <v>5924</v>
      </c>
      <c r="D1744" s="0" t="n">
        <v>106</v>
      </c>
      <c r="E1744" s="0" t="n">
        <v>1</v>
      </c>
      <c r="F1744" s="27" t="s">
        <v>1037</v>
      </c>
      <c r="G1744" s="0" t="n">
        <v>51.6</v>
      </c>
      <c r="H1744" s="0" t="n">
        <v>52</v>
      </c>
      <c r="I1744" s="27" t="s">
        <v>168</v>
      </c>
      <c r="J1744" s="0" t="n">
        <v>106</v>
      </c>
      <c r="K1744" s="0" t="n">
        <v>64</v>
      </c>
      <c r="P1744" s="0" t="n">
        <v>3.05</v>
      </c>
      <c r="Q1744" s="0" t="n">
        <v>3.24</v>
      </c>
      <c r="R1744" s="0" t="n">
        <v>4724</v>
      </c>
      <c r="S1744" s="0" t="n">
        <v>9549</v>
      </c>
      <c r="T1744" s="0" t="n">
        <v>53.7</v>
      </c>
      <c r="U1744" s="0" t="n">
        <v>744</v>
      </c>
      <c r="V1744" s="0" t="n">
        <v>2</v>
      </c>
      <c r="W1744" s="27" t="n">
        <f aca="false">MATCH(A1744,DATAS,0)</f>
        <v>1</v>
      </c>
      <c r="X1744" s="27" t="n">
        <f aca="false">IF(AND(E1744&gt;0,OR(AND(B1744&gt;=1,B1744&lt;=6),B1744=10)),1,0)</f>
        <v>1</v>
      </c>
      <c r="Y1744" s="27" t="n">
        <f aca="false">IF(AND(E1744&gt;0,B1744=10),1,0)</f>
        <v>0</v>
      </c>
      <c r="Z1744" s="0" t="str">
        <f aca="false">IF(AND(C1743=C1744,W1743=W1744-1),X1743,"")</f>
        <v/>
      </c>
      <c r="AA1744" s="0" t="str">
        <f aca="false">IF(AND(C1743=C1744,W1743=W1744-1),Y1743,"")</f>
        <v/>
      </c>
      <c r="AB1744" s="0" t="str">
        <f aca="false">IF(W1744=1,"",IF(AND(X1744=1,Z1744&lt;&gt;1),1,0))</f>
        <v/>
      </c>
      <c r="AC1744" s="0" t="str">
        <f aca="false">IF(W1744=1,"",IF(AND(Y1744=1,AA1744&lt;&gt;1),1,0))</f>
        <v/>
      </c>
      <c r="AD1744" s="33" t="str">
        <f aca="false">IF(AND(E1744&gt;0,W1744&lt;1,NOT(AND(C1745=C1744,W1745=W1744+1))),INDEX(DATAS,W1744+1),"")</f>
        <v/>
      </c>
      <c r="AE1744" s="33" t="str">
        <f aca="false">IF(AND(Y1744=1,W1744&lt;1),IF(AND(C1745=C1744,W1745=W1744+1),IF(Y1745=1,"",INDEX(DATAS,W1744+1)),INDEX(DATAS,W1744+1)),"")</f>
        <v/>
      </c>
    </row>
    <row r="1745" customFormat="false" ht="15" hidden="false" customHeight="false" outlineLevel="0" collapsed="false">
      <c r="A1745" s="33" t="n">
        <v>46309</v>
      </c>
      <c r="B1745" s="0" t="n">
        <v>4</v>
      </c>
      <c r="C1745" s="0" t="n">
        <v>5925</v>
      </c>
      <c r="D1745" s="0" t="n">
        <v>121</v>
      </c>
      <c r="E1745" s="0" t="n">
        <v>1</v>
      </c>
      <c r="F1745" s="27" t="s">
        <v>1037</v>
      </c>
      <c r="G1745" s="0" t="n">
        <v>33.6</v>
      </c>
      <c r="H1745" s="0" t="n">
        <v>33</v>
      </c>
      <c r="I1745" s="27" t="s">
        <v>138</v>
      </c>
      <c r="J1745" s="0" t="n">
        <v>65</v>
      </c>
      <c r="K1745" s="0" t="n">
        <v>65</v>
      </c>
      <c r="L1745" s="0" t="n">
        <v>56</v>
      </c>
      <c r="P1745" s="0" t="n">
        <v>6.32</v>
      </c>
      <c r="Q1745" s="0" t="n">
        <v>3.39</v>
      </c>
      <c r="R1745" s="0" t="n">
        <v>2043</v>
      </c>
      <c r="S1745" s="0" t="n">
        <v>4710</v>
      </c>
      <c r="U1745" s="0" t="n">
        <v>744</v>
      </c>
      <c r="V1745" s="0" t="n">
        <v>1</v>
      </c>
      <c r="W1745" s="27" t="n">
        <f aca="false">MATCH(A1745,DATAS,0)</f>
        <v>1</v>
      </c>
      <c r="X1745" s="27" t="n">
        <f aca="false">IF(AND(E1745&gt;0,OR(AND(B1745&gt;=1,B1745&lt;=6),B1745=10)),1,0)</f>
        <v>1</v>
      </c>
      <c r="Y1745" s="27" t="n">
        <f aca="false">IF(AND(E1745&gt;0,B1745=10),1,0)</f>
        <v>0</v>
      </c>
      <c r="Z1745" s="0" t="str">
        <f aca="false">IF(AND(C1744=C1745,W1744=W1745-1),X1744,"")</f>
        <v/>
      </c>
      <c r="AA1745" s="0" t="str">
        <f aca="false">IF(AND(C1744=C1745,W1744=W1745-1),Y1744,"")</f>
        <v/>
      </c>
      <c r="AB1745" s="0" t="str">
        <f aca="false">IF(W1745=1,"",IF(AND(X1745=1,Z1745&lt;&gt;1),1,0))</f>
        <v/>
      </c>
      <c r="AC1745" s="0" t="str">
        <f aca="false">IF(W1745=1,"",IF(AND(Y1745=1,AA1745&lt;&gt;1),1,0))</f>
        <v/>
      </c>
      <c r="AD1745" s="33" t="str">
        <f aca="false">IF(AND(E1745&gt;0,W1745&lt;1,NOT(AND(C1746=C1745,W1746=W1745+1))),INDEX(DATAS,W1745+1),"")</f>
        <v/>
      </c>
      <c r="AE1745" s="33" t="str">
        <f aca="false">IF(AND(Y1745=1,W1745&lt;1),IF(AND(C1746=C1745,W1746=W1745+1),IF(Y1746=1,"",INDEX(DATAS,W1745+1)),INDEX(DATAS,W1745+1)),"")</f>
        <v/>
      </c>
    </row>
    <row r="1746" customFormat="false" ht="15" hidden="false" customHeight="false" outlineLevel="0" collapsed="false">
      <c r="A1746" s="33" t="n">
        <v>46309</v>
      </c>
      <c r="B1746" s="0" t="n">
        <v>1</v>
      </c>
      <c r="C1746" s="0" t="n">
        <v>5926</v>
      </c>
      <c r="D1746" s="0" t="n">
        <v>84</v>
      </c>
      <c r="E1746" s="0" t="n">
        <v>1</v>
      </c>
      <c r="F1746" s="27" t="s">
        <v>1037</v>
      </c>
      <c r="G1746" s="0" t="n">
        <v>50.9</v>
      </c>
      <c r="H1746" s="0" t="n">
        <v>48</v>
      </c>
      <c r="I1746" s="27" t="s">
        <v>168</v>
      </c>
      <c r="J1746" s="0" t="n">
        <v>84</v>
      </c>
      <c r="K1746" s="0" t="n">
        <v>63</v>
      </c>
      <c r="P1746" s="0" t="n">
        <v>3.21</v>
      </c>
      <c r="Q1746" s="0" t="n">
        <v>3.11</v>
      </c>
      <c r="R1746" s="0" t="n">
        <v>4341</v>
      </c>
      <c r="S1746" s="0" t="n">
        <v>8726</v>
      </c>
      <c r="U1746" s="0" t="n">
        <v>744</v>
      </c>
      <c r="V1746" s="0" t="n">
        <v>1</v>
      </c>
      <c r="W1746" s="27" t="n">
        <f aca="false">MATCH(A1746,DATAS,0)</f>
        <v>1</v>
      </c>
      <c r="X1746" s="27" t="n">
        <f aca="false">IF(AND(E1746&gt;0,OR(AND(B1746&gt;=1,B1746&lt;=6),B1746=10)),1,0)</f>
        <v>1</v>
      </c>
      <c r="Y1746" s="27" t="n">
        <f aca="false">IF(AND(E1746&gt;0,B1746=10),1,0)</f>
        <v>0</v>
      </c>
      <c r="Z1746" s="0" t="str">
        <f aca="false">IF(AND(C1745=C1746,W1745=W1746-1),X1745,"")</f>
        <v/>
      </c>
      <c r="AA1746" s="0" t="str">
        <f aca="false">IF(AND(C1745=C1746,W1745=W1746-1),Y1745,"")</f>
        <v/>
      </c>
      <c r="AB1746" s="0" t="str">
        <f aca="false">IF(W1746=1,"",IF(AND(X1746=1,Z1746&lt;&gt;1),1,0))</f>
        <v/>
      </c>
      <c r="AC1746" s="0" t="str">
        <f aca="false">IF(W1746=1,"",IF(AND(Y1746=1,AA1746&lt;&gt;1),1,0))</f>
        <v/>
      </c>
      <c r="AD1746" s="33" t="str">
        <f aca="false">IF(AND(E1746&gt;0,W1746&lt;1,NOT(AND(C1747=C1746,W1747=W1746+1))),INDEX(DATAS,W1746+1),"")</f>
        <v/>
      </c>
      <c r="AE1746" s="33" t="str">
        <f aca="false">IF(AND(Y1746=1,W1746&lt;1),IF(AND(C1747=C1746,W1747=W1746+1),IF(Y1747=1,"",INDEX(DATAS,W1746+1)),INDEX(DATAS,W1746+1)),"")</f>
        <v/>
      </c>
    </row>
    <row r="1747" customFormat="false" ht="15" hidden="false" customHeight="false" outlineLevel="0" collapsed="false">
      <c r="A1747" s="33" t="n">
        <v>46309</v>
      </c>
      <c r="B1747" s="0" t="n">
        <v>1</v>
      </c>
      <c r="C1747" s="0" t="n">
        <v>5927</v>
      </c>
      <c r="D1747" s="0" t="n">
        <v>74</v>
      </c>
      <c r="E1747" s="0" t="n">
        <v>1</v>
      </c>
      <c r="F1747" s="27" t="s">
        <v>1038</v>
      </c>
      <c r="G1747" s="0" t="n">
        <v>47.3</v>
      </c>
      <c r="H1747" s="0" t="n">
        <v>52</v>
      </c>
      <c r="I1747" s="27" t="s">
        <v>168</v>
      </c>
      <c r="J1747" s="0" t="n">
        <v>74</v>
      </c>
      <c r="K1747" s="0" t="n">
        <v>67</v>
      </c>
      <c r="P1747" s="0" t="n">
        <v>3.26</v>
      </c>
      <c r="Q1747" s="0" t="n">
        <v>2.93</v>
      </c>
      <c r="R1747" s="0" t="n">
        <v>4416</v>
      </c>
      <c r="S1747" s="0" t="n">
        <v>8877</v>
      </c>
      <c r="U1747" s="0" t="n">
        <v>743</v>
      </c>
      <c r="V1747" s="0" t="n">
        <v>1</v>
      </c>
      <c r="W1747" s="27" t="n">
        <f aca="false">MATCH(A1747,DATAS,0)</f>
        <v>1</v>
      </c>
      <c r="X1747" s="27" t="n">
        <f aca="false">IF(AND(E1747&gt;0,OR(AND(B1747&gt;=1,B1747&lt;=6),B1747=10)),1,0)</f>
        <v>1</v>
      </c>
      <c r="Y1747" s="27" t="n">
        <f aca="false">IF(AND(E1747&gt;0,B1747=10),1,0)</f>
        <v>0</v>
      </c>
      <c r="Z1747" s="0" t="str">
        <f aca="false">IF(AND(C1746=C1747,W1746=W1747-1),X1746,"")</f>
        <v/>
      </c>
      <c r="AA1747" s="0" t="str">
        <f aca="false">IF(AND(C1746=C1747,W1746=W1747-1),Y1746,"")</f>
        <v/>
      </c>
      <c r="AB1747" s="0" t="str">
        <f aca="false">IF(W1747=1,"",IF(AND(X1747=1,Z1747&lt;&gt;1),1,0))</f>
        <v/>
      </c>
      <c r="AC1747" s="0" t="str">
        <f aca="false">IF(W1747=1,"",IF(AND(Y1747=1,AA1747&lt;&gt;1),1,0))</f>
        <v/>
      </c>
      <c r="AD1747" s="33" t="str">
        <f aca="false">IF(AND(E1747&gt;0,W1747&lt;1,NOT(AND(C1748=C1747,W1748=W1747+1))),INDEX(DATAS,W1747+1),"")</f>
        <v/>
      </c>
      <c r="AE1747" s="33" t="str">
        <f aca="false">IF(AND(Y1747=1,W1747&lt;1),IF(AND(C1748=C1747,W1748=W1747+1),IF(Y1748=1,"",INDEX(DATAS,W1747+1)),INDEX(DATAS,W1747+1)),"")</f>
        <v/>
      </c>
    </row>
    <row r="1748" customFormat="false" ht="15" hidden="false" customHeight="false" outlineLevel="0" collapsed="false">
      <c r="A1748" s="33" t="n">
        <v>46309</v>
      </c>
      <c r="B1748" s="0" t="n">
        <v>14</v>
      </c>
      <c r="C1748" s="0" t="n">
        <v>5928</v>
      </c>
      <c r="E1748" s="0" t="n">
        <v>0</v>
      </c>
      <c r="F1748" s="27" t="s">
        <v>1038</v>
      </c>
      <c r="I1748" s="27" t="s">
        <v>138</v>
      </c>
      <c r="L1748" s="0" t="n">
        <v>266</v>
      </c>
      <c r="U1748" s="0" t="n">
        <v>743</v>
      </c>
      <c r="V1748" s="0" t="n">
        <v>4</v>
      </c>
      <c r="W1748" s="27" t="n">
        <f aca="false">MATCH(A1748,DATAS,0)</f>
        <v>1</v>
      </c>
      <c r="X1748" s="27" t="n">
        <f aca="false">IF(AND(E1748&gt;0,OR(AND(B1748&gt;=1,B1748&lt;=6),B1748=10)),1,0)</f>
        <v>0</v>
      </c>
      <c r="Y1748" s="27" t="n">
        <f aca="false">IF(AND(E1748&gt;0,B1748=10),1,0)</f>
        <v>0</v>
      </c>
      <c r="Z1748" s="0" t="str">
        <f aca="false">IF(AND(C1747=C1748,W1747=W1748-1),X1747,"")</f>
        <v/>
      </c>
      <c r="AA1748" s="0" t="str">
        <f aca="false">IF(AND(C1747=C1748,W1747=W1748-1),Y1747,"")</f>
        <v/>
      </c>
      <c r="AB1748" s="0" t="str">
        <f aca="false">IF(W1748=1,"",IF(AND(X1748=1,Z1748&lt;&gt;1),1,0))</f>
        <v/>
      </c>
      <c r="AC1748" s="0" t="str">
        <f aca="false">IF(W1748=1,"",IF(AND(Y1748=1,AA1748&lt;&gt;1),1,0))</f>
        <v/>
      </c>
      <c r="AD1748" s="33" t="str">
        <f aca="false">IF(AND(E1748&gt;0,W1748&lt;1,NOT(AND(C1749=C1748,W1749=W1748+1))),INDEX(DATAS,W1748+1),"")</f>
        <v/>
      </c>
      <c r="AE1748" s="33" t="str">
        <f aca="false">IF(AND(Y1748=1,W1748&lt;1),IF(AND(C1749=C1748,W1749=W1748+1),IF(Y1749=1,"",INDEX(DATAS,W1748+1)),INDEX(DATAS,W1748+1)),"")</f>
        <v/>
      </c>
    </row>
    <row r="1749" customFormat="false" ht="15" hidden="false" customHeight="false" outlineLevel="0" collapsed="false">
      <c r="A1749" s="33" t="n">
        <v>46309</v>
      </c>
      <c r="B1749" s="0" t="n">
        <v>1</v>
      </c>
      <c r="C1749" s="0" t="n">
        <v>5929</v>
      </c>
      <c r="D1749" s="0" t="n">
        <v>102</v>
      </c>
      <c r="E1749" s="0" t="n">
        <v>1</v>
      </c>
      <c r="F1749" s="27" t="s">
        <v>1039</v>
      </c>
      <c r="G1749" s="0" t="n">
        <v>52.1</v>
      </c>
      <c r="H1749" s="0" t="n">
        <v>50</v>
      </c>
      <c r="I1749" s="27" t="s">
        <v>138</v>
      </c>
      <c r="J1749" s="0" t="n">
        <v>67</v>
      </c>
      <c r="K1749" s="0" t="n">
        <v>67</v>
      </c>
      <c r="L1749" s="0" t="n">
        <v>35</v>
      </c>
      <c r="P1749" s="0" t="n">
        <v>4.9</v>
      </c>
      <c r="Q1749" s="0" t="n">
        <v>3.1</v>
      </c>
      <c r="R1749" s="0" t="n">
        <v>3567</v>
      </c>
      <c r="S1749" s="0" t="n">
        <v>7229</v>
      </c>
      <c r="U1749" s="0" t="n">
        <v>742</v>
      </c>
      <c r="V1749" s="0" t="n">
        <v>1</v>
      </c>
      <c r="W1749" s="27" t="n">
        <f aca="false">MATCH(A1749,DATAS,0)</f>
        <v>1</v>
      </c>
      <c r="X1749" s="27" t="n">
        <f aca="false">IF(AND(E1749&gt;0,OR(AND(B1749&gt;=1,B1749&lt;=6),B1749=10)),1,0)</f>
        <v>1</v>
      </c>
      <c r="Y1749" s="27" t="n">
        <f aca="false">IF(AND(E1749&gt;0,B1749=10),1,0)</f>
        <v>0</v>
      </c>
      <c r="Z1749" s="0" t="str">
        <f aca="false">IF(AND(C1748=C1749,W1748=W1749-1),X1748,"")</f>
        <v/>
      </c>
      <c r="AA1749" s="0" t="str">
        <f aca="false">IF(AND(C1748=C1749,W1748=W1749-1),Y1748,"")</f>
        <v/>
      </c>
      <c r="AB1749" s="0" t="str">
        <f aca="false">IF(W1749=1,"",IF(AND(X1749=1,Z1749&lt;&gt;1),1,0))</f>
        <v/>
      </c>
      <c r="AC1749" s="0" t="str">
        <f aca="false">IF(W1749=1,"",IF(AND(Y1749=1,AA1749&lt;&gt;1),1,0))</f>
        <v/>
      </c>
      <c r="AD1749" s="33" t="str">
        <f aca="false">IF(AND(E1749&gt;0,W1749&lt;1,NOT(AND(C1750=C1749,W1750=W1749+1))),INDEX(DATAS,W1749+1),"")</f>
        <v/>
      </c>
      <c r="AE1749" s="33" t="str">
        <f aca="false">IF(AND(Y1749=1,W1749&lt;1),IF(AND(C1750=C1749,W1750=W1749+1),IF(Y1750=1,"",INDEX(DATAS,W1749+1)),INDEX(DATAS,W1749+1)),"")</f>
        <v/>
      </c>
    </row>
    <row r="1750" customFormat="false" ht="15" hidden="false" customHeight="false" outlineLevel="0" collapsed="false">
      <c r="A1750" s="33" t="n">
        <v>46309</v>
      </c>
      <c r="B1750" s="0" t="n">
        <v>1</v>
      </c>
      <c r="C1750" s="0" t="n">
        <v>5931</v>
      </c>
      <c r="D1750" s="0" t="n">
        <v>65</v>
      </c>
      <c r="E1750" s="0" t="n">
        <v>1</v>
      </c>
      <c r="F1750" s="27" t="s">
        <v>1040</v>
      </c>
      <c r="G1750" s="0" t="n">
        <v>53.3</v>
      </c>
      <c r="H1750" s="0" t="n">
        <v>47</v>
      </c>
      <c r="I1750" s="27" t="s">
        <v>168</v>
      </c>
      <c r="J1750" s="0" t="n">
        <v>65</v>
      </c>
      <c r="K1750" s="0" t="n">
        <v>65</v>
      </c>
      <c r="P1750" s="0" t="n">
        <v>3.33</v>
      </c>
      <c r="Q1750" s="0" t="n">
        <v>3.13</v>
      </c>
      <c r="R1750" s="0" t="n">
        <v>4102</v>
      </c>
      <c r="S1750" s="0" t="n">
        <v>8246</v>
      </c>
      <c r="U1750" s="0" t="n">
        <v>741</v>
      </c>
      <c r="V1750" s="0" t="n">
        <v>1</v>
      </c>
      <c r="W1750" s="27" t="n">
        <f aca="false">MATCH(A1750,DATAS,0)</f>
        <v>1</v>
      </c>
      <c r="X1750" s="27" t="n">
        <f aca="false">IF(AND(E1750&gt;0,OR(AND(B1750&gt;=1,B1750&lt;=6),B1750=10)),1,0)</f>
        <v>1</v>
      </c>
      <c r="Y1750" s="27" t="n">
        <f aca="false">IF(AND(E1750&gt;0,B1750=10),1,0)</f>
        <v>0</v>
      </c>
      <c r="Z1750" s="0" t="str">
        <f aca="false">IF(AND(C1749=C1750,W1749=W1750-1),X1749,"")</f>
        <v/>
      </c>
      <c r="AA1750" s="0" t="str">
        <f aca="false">IF(AND(C1749=C1750,W1749=W1750-1),Y1749,"")</f>
        <v/>
      </c>
      <c r="AB1750" s="0" t="str">
        <f aca="false">IF(W1750=1,"",IF(AND(X1750=1,Z1750&lt;&gt;1),1,0))</f>
        <v/>
      </c>
      <c r="AC1750" s="0" t="str">
        <f aca="false">IF(W1750=1,"",IF(AND(Y1750=1,AA1750&lt;&gt;1),1,0))</f>
        <v/>
      </c>
      <c r="AD1750" s="33" t="str">
        <f aca="false">IF(AND(E1750&gt;0,W1750&lt;1,NOT(AND(C1751=C1750,W1751=W1750+1))),INDEX(DATAS,W1750+1),"")</f>
        <v/>
      </c>
      <c r="AE1750" s="33" t="str">
        <f aca="false">IF(AND(Y1750=1,W1750&lt;1),IF(AND(C1751=C1750,W1751=W1750+1),IF(Y1751=1,"",INDEX(DATAS,W1750+1)),INDEX(DATAS,W1750+1)),"")</f>
        <v/>
      </c>
    </row>
    <row r="1751" customFormat="false" ht="15" hidden="false" customHeight="false" outlineLevel="0" collapsed="false">
      <c r="A1751" s="33" t="n">
        <v>46309</v>
      </c>
      <c r="B1751" s="0" t="n">
        <v>1</v>
      </c>
      <c r="C1751" s="0" t="n">
        <v>5932</v>
      </c>
      <c r="D1751" s="0" t="n">
        <v>95</v>
      </c>
      <c r="E1751" s="0" t="n">
        <v>1</v>
      </c>
      <c r="F1751" s="27" t="s">
        <v>1040</v>
      </c>
      <c r="G1751" s="0" t="n">
        <v>55</v>
      </c>
      <c r="H1751" s="0" t="n">
        <v>54</v>
      </c>
      <c r="I1751" s="27" t="s">
        <v>168</v>
      </c>
      <c r="J1751" s="0" t="n">
        <v>95</v>
      </c>
      <c r="K1751" s="0" t="n">
        <v>67</v>
      </c>
      <c r="P1751" s="0" t="n">
        <v>3.93</v>
      </c>
      <c r="Q1751" s="0" t="n">
        <v>2.98</v>
      </c>
      <c r="R1751" s="0" t="n">
        <v>4594</v>
      </c>
      <c r="S1751" s="0" t="n">
        <v>9234</v>
      </c>
      <c r="T1751" s="0" t="n">
        <v>49.3</v>
      </c>
      <c r="U1751" s="0" t="n">
        <v>741</v>
      </c>
      <c r="V1751" s="0" t="n">
        <v>2</v>
      </c>
      <c r="W1751" s="27" t="n">
        <f aca="false">MATCH(A1751,DATAS,0)</f>
        <v>1</v>
      </c>
      <c r="X1751" s="27" t="n">
        <f aca="false">IF(AND(E1751&gt;0,OR(AND(B1751&gt;=1,B1751&lt;=6),B1751=10)),1,0)</f>
        <v>1</v>
      </c>
      <c r="Y1751" s="27" t="n">
        <f aca="false">IF(AND(E1751&gt;0,B1751=10),1,0)</f>
        <v>0</v>
      </c>
      <c r="Z1751" s="0" t="str">
        <f aca="false">IF(AND(C1750=C1751,W1750=W1751-1),X1750,"")</f>
        <v/>
      </c>
      <c r="AA1751" s="0" t="str">
        <f aca="false">IF(AND(C1750=C1751,W1750=W1751-1),Y1750,"")</f>
        <v/>
      </c>
      <c r="AB1751" s="0" t="str">
        <f aca="false">IF(W1751=1,"",IF(AND(X1751=1,Z1751&lt;&gt;1),1,0))</f>
        <v/>
      </c>
      <c r="AC1751" s="0" t="str">
        <f aca="false">IF(W1751=1,"",IF(AND(Y1751=1,AA1751&lt;&gt;1),1,0))</f>
        <v/>
      </c>
      <c r="AD1751" s="33" t="str">
        <f aca="false">IF(AND(E1751&gt;0,W1751&lt;1,NOT(AND(C1752=C1751,W1752=W1751+1))),INDEX(DATAS,W1751+1),"")</f>
        <v/>
      </c>
      <c r="AE1751" s="33" t="str">
        <f aca="false">IF(AND(Y1751=1,W1751&lt;1),IF(AND(C1752=C1751,W1752=W1751+1),IF(Y1752=1,"",INDEX(DATAS,W1751+1)),INDEX(DATAS,W1751+1)),"")</f>
        <v/>
      </c>
    </row>
    <row r="1752" customFormat="false" ht="15" hidden="false" customHeight="false" outlineLevel="0" collapsed="false">
      <c r="A1752" s="33" t="n">
        <v>46309</v>
      </c>
      <c r="B1752" s="0" t="n">
        <v>1</v>
      </c>
      <c r="C1752" s="0" t="n">
        <v>5933</v>
      </c>
      <c r="D1752" s="0" t="n">
        <v>71</v>
      </c>
      <c r="E1752" s="0" t="n">
        <v>1</v>
      </c>
      <c r="F1752" s="27" t="s">
        <v>1040</v>
      </c>
      <c r="G1752" s="0" t="n">
        <v>47.8</v>
      </c>
      <c r="H1752" s="0" t="n">
        <v>46</v>
      </c>
      <c r="I1752" s="27" t="s">
        <v>168</v>
      </c>
      <c r="J1752" s="0" t="n">
        <v>71</v>
      </c>
      <c r="K1752" s="0" t="n">
        <v>64</v>
      </c>
      <c r="P1752" s="0" t="n">
        <v>4.3</v>
      </c>
      <c r="Q1752" s="0" t="n">
        <v>3.22</v>
      </c>
      <c r="R1752" s="0" t="n">
        <v>4618</v>
      </c>
      <c r="S1752" s="0" t="n">
        <v>9284</v>
      </c>
      <c r="U1752" s="0" t="n">
        <v>741</v>
      </c>
      <c r="V1752" s="0" t="n">
        <v>1</v>
      </c>
      <c r="W1752" s="27" t="n">
        <f aca="false">MATCH(A1752,DATAS,0)</f>
        <v>1</v>
      </c>
      <c r="X1752" s="27" t="n">
        <f aca="false">IF(AND(E1752&gt;0,OR(AND(B1752&gt;=1,B1752&lt;=6),B1752=10)),1,0)</f>
        <v>1</v>
      </c>
      <c r="Y1752" s="27" t="n">
        <f aca="false">IF(AND(E1752&gt;0,B1752=10),1,0)</f>
        <v>0</v>
      </c>
      <c r="Z1752" s="0" t="str">
        <f aca="false">IF(AND(C1751=C1752,W1751=W1752-1),X1751,"")</f>
        <v/>
      </c>
      <c r="AA1752" s="0" t="str">
        <f aca="false">IF(AND(C1751=C1752,W1751=W1752-1),Y1751,"")</f>
        <v/>
      </c>
      <c r="AB1752" s="0" t="str">
        <f aca="false">IF(W1752=1,"",IF(AND(X1752=1,Z1752&lt;&gt;1),1,0))</f>
        <v/>
      </c>
      <c r="AC1752" s="0" t="str">
        <f aca="false">IF(W1752=1,"",IF(AND(Y1752=1,AA1752&lt;&gt;1),1,0))</f>
        <v/>
      </c>
      <c r="AD1752" s="33" t="str">
        <f aca="false">IF(AND(E1752&gt;0,W1752&lt;1,NOT(AND(C1753=C1752,W1753=W1752+1))),INDEX(DATAS,W1752+1),"")</f>
        <v/>
      </c>
      <c r="AE1752" s="33" t="str">
        <f aca="false">IF(AND(Y1752=1,W1752&lt;1),IF(AND(C1753=C1752,W1753=W1752+1),IF(Y1753=1,"",INDEX(DATAS,W1752+1)),INDEX(DATAS,W1752+1)),"")</f>
        <v/>
      </c>
    </row>
    <row r="1753" customFormat="false" ht="15" hidden="false" customHeight="false" outlineLevel="0" collapsed="false">
      <c r="A1753" s="33" t="n">
        <v>46309</v>
      </c>
      <c r="B1753" s="0" t="n">
        <v>1</v>
      </c>
      <c r="C1753" s="0" t="n">
        <v>5934</v>
      </c>
      <c r="D1753" s="0" t="n">
        <v>58</v>
      </c>
      <c r="E1753" s="0" t="n">
        <v>1</v>
      </c>
      <c r="F1753" s="27" t="s">
        <v>1041</v>
      </c>
      <c r="G1753" s="0" t="n">
        <v>42</v>
      </c>
      <c r="H1753" s="0" t="n">
        <v>38</v>
      </c>
      <c r="I1753" s="27" t="s">
        <v>147</v>
      </c>
      <c r="J1753" s="0" t="n">
        <v>58</v>
      </c>
      <c r="P1753" s="0" t="n">
        <v>3.63</v>
      </c>
      <c r="Q1753" s="0" t="n">
        <v>2.96</v>
      </c>
      <c r="R1753" s="0" t="n">
        <v>4114</v>
      </c>
      <c r="S1753" s="0" t="n">
        <v>8270</v>
      </c>
      <c r="U1753" s="0" t="n">
        <v>740</v>
      </c>
      <c r="V1753" s="0" t="n">
        <v>0</v>
      </c>
      <c r="W1753" s="27" t="n">
        <f aca="false">MATCH(A1753,DATAS,0)</f>
        <v>1</v>
      </c>
      <c r="X1753" s="27" t="n">
        <f aca="false">IF(AND(E1753&gt;0,OR(AND(B1753&gt;=1,B1753&lt;=6),B1753=10)),1,0)</f>
        <v>1</v>
      </c>
      <c r="Y1753" s="27" t="n">
        <f aca="false">IF(AND(E1753&gt;0,B1753=10),1,0)</f>
        <v>0</v>
      </c>
      <c r="Z1753" s="0" t="str">
        <f aca="false">IF(AND(C1752=C1753,W1752=W1753-1),X1752,"")</f>
        <v/>
      </c>
      <c r="AA1753" s="0" t="str">
        <f aca="false">IF(AND(C1752=C1753,W1752=W1753-1),Y1752,"")</f>
        <v/>
      </c>
      <c r="AB1753" s="0" t="str">
        <f aca="false">IF(W1753=1,"",IF(AND(X1753=1,Z1753&lt;&gt;1),1,0))</f>
        <v/>
      </c>
      <c r="AC1753" s="0" t="str">
        <f aca="false">IF(W1753=1,"",IF(AND(Y1753=1,AA1753&lt;&gt;1),1,0))</f>
        <v/>
      </c>
      <c r="AD1753" s="33" t="str">
        <f aca="false">IF(AND(E1753&gt;0,W1753&lt;1,NOT(AND(C1754=C1753,W1754=W1753+1))),INDEX(DATAS,W1753+1),"")</f>
        <v/>
      </c>
      <c r="AE1753" s="33" t="str">
        <f aca="false">IF(AND(Y1753=1,W1753&lt;1),IF(AND(C1754=C1753,W1754=W1753+1),IF(Y1754=1,"",INDEX(DATAS,W1753+1)),INDEX(DATAS,W1753+1)),"")</f>
        <v/>
      </c>
    </row>
    <row r="1754" customFormat="false" ht="15" hidden="false" customHeight="false" outlineLevel="0" collapsed="false">
      <c r="A1754" s="33" t="n">
        <v>46309</v>
      </c>
      <c r="B1754" s="0" t="n">
        <v>1</v>
      </c>
      <c r="C1754" s="0" t="n">
        <v>5935</v>
      </c>
      <c r="D1754" s="0" t="n">
        <v>53</v>
      </c>
      <c r="E1754" s="0" t="n">
        <v>1</v>
      </c>
      <c r="F1754" s="27" t="s">
        <v>1041</v>
      </c>
      <c r="G1754" s="0" t="n">
        <v>34.3</v>
      </c>
      <c r="H1754" s="0" t="n">
        <v>37</v>
      </c>
      <c r="I1754" s="27" t="s">
        <v>147</v>
      </c>
      <c r="J1754" s="0" t="n">
        <v>53</v>
      </c>
      <c r="P1754" s="0" t="n">
        <v>3.9</v>
      </c>
      <c r="Q1754" s="0" t="n">
        <v>3.29</v>
      </c>
      <c r="R1754" s="0" t="n">
        <v>2851</v>
      </c>
      <c r="S1754" s="0" t="n">
        <v>5731</v>
      </c>
      <c r="U1754" s="0" t="n">
        <v>740</v>
      </c>
      <c r="V1754" s="0" t="n">
        <v>0</v>
      </c>
      <c r="W1754" s="27" t="n">
        <f aca="false">MATCH(A1754,DATAS,0)</f>
        <v>1</v>
      </c>
      <c r="X1754" s="27" t="n">
        <f aca="false">IF(AND(E1754&gt;0,OR(AND(B1754&gt;=1,B1754&lt;=6),B1754=10)),1,0)</f>
        <v>1</v>
      </c>
      <c r="Y1754" s="27" t="n">
        <f aca="false">IF(AND(E1754&gt;0,B1754=10),1,0)</f>
        <v>0</v>
      </c>
      <c r="Z1754" s="0" t="str">
        <f aca="false">IF(AND(C1753=C1754,W1753=W1754-1),X1753,"")</f>
        <v/>
      </c>
      <c r="AA1754" s="0" t="str">
        <f aca="false">IF(AND(C1753=C1754,W1753=W1754-1),Y1753,"")</f>
        <v/>
      </c>
      <c r="AB1754" s="0" t="str">
        <f aca="false">IF(W1754=1,"",IF(AND(X1754=1,Z1754&lt;&gt;1),1,0))</f>
        <v/>
      </c>
      <c r="AC1754" s="0" t="str">
        <f aca="false">IF(W1754=1,"",IF(AND(Y1754=1,AA1754&lt;&gt;1),1,0))</f>
        <v/>
      </c>
      <c r="AD1754" s="33" t="str">
        <f aca="false">IF(AND(E1754&gt;0,W1754&lt;1,NOT(AND(C1755=C1754,W1755=W1754+1))),INDEX(DATAS,W1754+1),"")</f>
        <v/>
      </c>
      <c r="AE1754" s="33" t="str">
        <f aca="false">IF(AND(Y1754=1,W1754&lt;1),IF(AND(C1755=C1754,W1755=W1754+1),IF(Y1755=1,"",INDEX(DATAS,W1754+1)),INDEX(DATAS,W1754+1)),"")</f>
        <v/>
      </c>
    </row>
    <row r="1755" customFormat="false" ht="15" hidden="false" customHeight="false" outlineLevel="0" collapsed="false">
      <c r="A1755" s="33" t="n">
        <v>46309</v>
      </c>
      <c r="B1755" s="0" t="n">
        <v>1</v>
      </c>
      <c r="C1755" s="0" t="n">
        <v>5937</v>
      </c>
      <c r="D1755" s="0" t="n">
        <v>46</v>
      </c>
      <c r="E1755" s="0" t="n">
        <v>1</v>
      </c>
      <c r="F1755" s="27" t="s">
        <v>1041</v>
      </c>
      <c r="I1755" s="27" t="s">
        <v>147</v>
      </c>
      <c r="J1755" s="0" t="n">
        <v>46</v>
      </c>
      <c r="U1755" s="0" t="n">
        <v>740</v>
      </c>
      <c r="V1755" s="0" t="n">
        <v>0</v>
      </c>
      <c r="W1755" s="27" t="n">
        <f aca="false">MATCH(A1755,DATAS,0)</f>
        <v>1</v>
      </c>
      <c r="X1755" s="27" t="n">
        <f aca="false">IF(AND(E1755&gt;0,OR(AND(B1755&gt;=1,B1755&lt;=6),B1755=10)),1,0)</f>
        <v>1</v>
      </c>
      <c r="Y1755" s="27" t="n">
        <f aca="false">IF(AND(E1755&gt;0,B1755=10),1,0)</f>
        <v>0</v>
      </c>
      <c r="Z1755" s="0" t="str">
        <f aca="false">IF(AND(C1754=C1755,W1754=W1755-1),X1754,"")</f>
        <v/>
      </c>
      <c r="AA1755" s="0" t="str">
        <f aca="false">IF(AND(C1754=C1755,W1754=W1755-1),Y1754,"")</f>
        <v/>
      </c>
      <c r="AB1755" s="0" t="str">
        <f aca="false">IF(W1755=1,"",IF(AND(X1755=1,Z1755&lt;&gt;1),1,0))</f>
        <v/>
      </c>
      <c r="AC1755" s="0" t="str">
        <f aca="false">IF(W1755=1,"",IF(AND(Y1755=1,AA1755&lt;&gt;1),1,0))</f>
        <v/>
      </c>
      <c r="AD1755" s="33" t="str">
        <f aca="false">IF(AND(E1755&gt;0,W1755&lt;1,NOT(AND(C1756=C1755,W1756=W1755+1))),INDEX(DATAS,W1755+1),"")</f>
        <v/>
      </c>
      <c r="AE1755" s="33" t="str">
        <f aca="false">IF(AND(Y1755=1,W1755&lt;1),IF(AND(C1756=C1755,W1756=W1755+1),IF(Y1756=1,"",INDEX(DATAS,W1755+1)),INDEX(DATAS,W1755+1)),"")</f>
        <v/>
      </c>
    </row>
    <row r="1756" customFormat="false" ht="15" hidden="false" customHeight="false" outlineLevel="0" collapsed="false">
      <c r="A1756" s="33" t="n">
        <v>46309</v>
      </c>
      <c r="B1756" s="0" t="n">
        <v>1</v>
      </c>
      <c r="C1756" s="0" t="n">
        <v>5940</v>
      </c>
      <c r="D1756" s="0" t="n">
        <v>96</v>
      </c>
      <c r="E1756" s="0" t="n">
        <v>1</v>
      </c>
      <c r="F1756" s="27" t="s">
        <v>1042</v>
      </c>
      <c r="G1756" s="0" t="n">
        <v>55.4</v>
      </c>
      <c r="H1756" s="0" t="n">
        <v>57</v>
      </c>
      <c r="I1756" s="27" t="s">
        <v>168</v>
      </c>
      <c r="J1756" s="0" t="n">
        <v>96</v>
      </c>
      <c r="K1756" s="0" t="n">
        <v>68</v>
      </c>
      <c r="P1756" s="0" t="n">
        <v>4.19</v>
      </c>
      <c r="Q1756" s="0" t="n">
        <v>3.23</v>
      </c>
      <c r="R1756" s="0" t="n">
        <v>4845</v>
      </c>
      <c r="S1756" s="0" t="n">
        <v>9739</v>
      </c>
      <c r="T1756" s="0" t="n">
        <v>50.65</v>
      </c>
      <c r="U1756" s="0" t="n">
        <v>736</v>
      </c>
      <c r="V1756" s="0" t="n">
        <v>1</v>
      </c>
      <c r="W1756" s="27" t="n">
        <f aca="false">MATCH(A1756,DATAS,0)</f>
        <v>1</v>
      </c>
      <c r="X1756" s="27" t="n">
        <f aca="false">IF(AND(E1756&gt;0,OR(AND(B1756&gt;=1,B1756&lt;=6),B1756=10)),1,0)</f>
        <v>1</v>
      </c>
      <c r="Y1756" s="27" t="n">
        <f aca="false">IF(AND(E1756&gt;0,B1756=10),1,0)</f>
        <v>0</v>
      </c>
      <c r="Z1756" s="0" t="str">
        <f aca="false">IF(AND(C1755=C1756,W1755=W1756-1),X1755,"")</f>
        <v/>
      </c>
      <c r="AA1756" s="0" t="str">
        <f aca="false">IF(AND(C1755=C1756,W1755=W1756-1),Y1755,"")</f>
        <v/>
      </c>
      <c r="AB1756" s="0" t="str">
        <f aca="false">IF(W1756=1,"",IF(AND(X1756=1,Z1756&lt;&gt;1),1,0))</f>
        <v/>
      </c>
      <c r="AC1756" s="0" t="str">
        <f aca="false">IF(W1756=1,"",IF(AND(Y1756=1,AA1756&lt;&gt;1),1,0))</f>
        <v/>
      </c>
      <c r="AD1756" s="33" t="str">
        <f aca="false">IF(AND(E1756&gt;0,W1756&lt;1,NOT(AND(C1757=C1756,W1757=W1756+1))),INDEX(DATAS,W1756+1),"")</f>
        <v/>
      </c>
      <c r="AE1756" s="33" t="str">
        <f aca="false">IF(AND(Y1756=1,W1756&lt;1),IF(AND(C1757=C1756,W1757=W1756+1),IF(Y1757=1,"",INDEX(DATAS,W1756+1)),INDEX(DATAS,W1756+1)),"")</f>
        <v/>
      </c>
    </row>
    <row r="1757" customFormat="false" ht="15" hidden="false" customHeight="false" outlineLevel="0" collapsed="false">
      <c r="A1757" s="33" t="n">
        <v>46309</v>
      </c>
      <c r="B1757" s="0" t="n">
        <v>1</v>
      </c>
      <c r="C1757" s="0" t="n">
        <v>5941</v>
      </c>
      <c r="D1757" s="0" t="n">
        <v>108</v>
      </c>
      <c r="E1757" s="0" t="n">
        <v>1</v>
      </c>
      <c r="F1757" s="27" t="s">
        <v>1043</v>
      </c>
      <c r="G1757" s="0" t="n">
        <v>39.1</v>
      </c>
      <c r="H1757" s="0" t="n">
        <v>42</v>
      </c>
      <c r="I1757" s="27" t="s">
        <v>168</v>
      </c>
      <c r="J1757" s="0" t="n">
        <v>108</v>
      </c>
      <c r="K1757" s="0" t="n">
        <v>66</v>
      </c>
      <c r="P1757" s="0" t="n">
        <v>3.47</v>
      </c>
      <c r="Q1757" s="0" t="n">
        <v>3.19</v>
      </c>
      <c r="R1757" s="0" t="n">
        <v>3057</v>
      </c>
      <c r="S1757" s="0" t="n">
        <v>6348</v>
      </c>
      <c r="T1757" s="0" t="n">
        <v>36.1</v>
      </c>
      <c r="U1757" s="0" t="n">
        <v>739</v>
      </c>
      <c r="V1757" s="0" t="n">
        <v>2</v>
      </c>
      <c r="W1757" s="27" t="n">
        <f aca="false">MATCH(A1757,DATAS,0)</f>
        <v>1</v>
      </c>
      <c r="X1757" s="27" t="n">
        <f aca="false">IF(AND(E1757&gt;0,OR(AND(B1757&gt;=1,B1757&lt;=6),B1757=10)),1,0)</f>
        <v>1</v>
      </c>
      <c r="Y1757" s="27" t="n">
        <f aca="false">IF(AND(E1757&gt;0,B1757=10),1,0)</f>
        <v>0</v>
      </c>
      <c r="Z1757" s="0" t="str">
        <f aca="false">IF(AND(C1756=C1757,W1756=W1757-1),X1756,"")</f>
        <v/>
      </c>
      <c r="AA1757" s="0" t="str">
        <f aca="false">IF(AND(C1756=C1757,W1756=W1757-1),Y1756,"")</f>
        <v/>
      </c>
      <c r="AB1757" s="0" t="str">
        <f aca="false">IF(W1757=1,"",IF(AND(X1757=1,Z1757&lt;&gt;1),1,0))</f>
        <v/>
      </c>
      <c r="AC1757" s="0" t="str">
        <f aca="false">IF(W1757=1,"",IF(AND(Y1757=1,AA1757&lt;&gt;1),1,0))</f>
        <v/>
      </c>
      <c r="AD1757" s="33" t="str">
        <f aca="false">IF(AND(E1757&gt;0,W1757&lt;1,NOT(AND(C1758=C1757,W1758=W1757+1))),INDEX(DATAS,W1757+1),"")</f>
        <v/>
      </c>
      <c r="AE1757" s="33" t="str">
        <f aca="false">IF(AND(Y1757=1,W1757&lt;1),IF(AND(C1758=C1757,W1758=W1757+1),IF(Y1758=1,"",INDEX(DATAS,W1757+1)),INDEX(DATAS,W1757+1)),"")</f>
        <v/>
      </c>
    </row>
    <row r="1758" customFormat="false" ht="15" hidden="false" customHeight="false" outlineLevel="0" collapsed="false">
      <c r="A1758" s="33" t="n">
        <v>46309</v>
      </c>
      <c r="B1758" s="0" t="n">
        <v>8</v>
      </c>
      <c r="C1758" s="0" t="n">
        <v>5942</v>
      </c>
      <c r="E1758" s="0" t="n">
        <v>0</v>
      </c>
      <c r="F1758" s="27" t="s">
        <v>1044</v>
      </c>
      <c r="I1758" s="27" t="s">
        <v>138</v>
      </c>
      <c r="L1758" s="0" t="n">
        <v>91</v>
      </c>
      <c r="U1758" s="0" t="n">
        <v>738</v>
      </c>
      <c r="V1758" s="0" t="n">
        <v>10</v>
      </c>
      <c r="W1758" s="27" t="n">
        <f aca="false">MATCH(A1758,DATAS,0)</f>
        <v>1</v>
      </c>
      <c r="X1758" s="27" t="n">
        <f aca="false">IF(AND(E1758&gt;0,OR(AND(B1758&gt;=1,B1758&lt;=6),B1758=10)),1,0)</f>
        <v>0</v>
      </c>
      <c r="Y1758" s="27" t="n">
        <f aca="false">IF(AND(E1758&gt;0,B1758=10),1,0)</f>
        <v>0</v>
      </c>
      <c r="Z1758" s="0" t="str">
        <f aca="false">IF(AND(C1757=C1758,W1757=W1758-1),X1757,"")</f>
        <v/>
      </c>
      <c r="AA1758" s="0" t="str">
        <f aca="false">IF(AND(C1757=C1758,W1757=W1758-1),Y1757,"")</f>
        <v/>
      </c>
      <c r="AB1758" s="0" t="str">
        <f aca="false">IF(W1758=1,"",IF(AND(X1758=1,Z1758&lt;&gt;1),1,0))</f>
        <v/>
      </c>
      <c r="AC1758" s="0" t="str">
        <f aca="false">IF(W1758=1,"",IF(AND(Y1758=1,AA1758&lt;&gt;1),1,0))</f>
        <v/>
      </c>
      <c r="AD1758" s="33" t="str">
        <f aca="false">IF(AND(E1758&gt;0,W1758&lt;1,NOT(AND(C1759=C1758,W1759=W1758+1))),INDEX(DATAS,W1758+1),"")</f>
        <v/>
      </c>
      <c r="AE1758" s="33" t="str">
        <f aca="false">IF(AND(Y1758=1,W1758&lt;1),IF(AND(C1759=C1758,W1759=W1758+1),IF(Y1759=1,"",INDEX(DATAS,W1758+1)),INDEX(DATAS,W1758+1)),"")</f>
        <v/>
      </c>
    </row>
    <row r="1759" customFormat="false" ht="15" hidden="false" customHeight="false" outlineLevel="0" collapsed="false">
      <c r="A1759" s="33" t="n">
        <v>46309</v>
      </c>
      <c r="B1759" s="0" t="n">
        <v>1</v>
      </c>
      <c r="C1759" s="0" t="n">
        <v>5943</v>
      </c>
      <c r="D1759" s="0" t="n">
        <v>99</v>
      </c>
      <c r="E1759" s="0" t="n">
        <v>1</v>
      </c>
      <c r="F1759" s="27" t="s">
        <v>1044</v>
      </c>
      <c r="G1759" s="0" t="n">
        <v>53.7</v>
      </c>
      <c r="H1759" s="0" t="n">
        <v>57</v>
      </c>
      <c r="I1759" s="27" t="s">
        <v>176</v>
      </c>
      <c r="J1759" s="0" t="n">
        <v>99</v>
      </c>
      <c r="K1759" s="0" t="n">
        <v>64</v>
      </c>
      <c r="P1759" s="0" t="n">
        <v>3.33</v>
      </c>
      <c r="Q1759" s="0" t="n">
        <v>3.07</v>
      </c>
      <c r="R1759" s="0" t="n">
        <v>5309</v>
      </c>
      <c r="S1759" s="0" t="n">
        <v>10672</v>
      </c>
      <c r="T1759" s="0" t="n">
        <v>54.9</v>
      </c>
      <c r="U1759" s="0" t="n">
        <v>738</v>
      </c>
      <c r="V1759" s="0" t="n">
        <v>1</v>
      </c>
      <c r="W1759" s="27" t="n">
        <f aca="false">MATCH(A1759,DATAS,0)</f>
        <v>1</v>
      </c>
      <c r="X1759" s="27" t="n">
        <f aca="false">IF(AND(E1759&gt;0,OR(AND(B1759&gt;=1,B1759&lt;=6),B1759=10)),1,0)</f>
        <v>1</v>
      </c>
      <c r="Y1759" s="27" t="n">
        <f aca="false">IF(AND(E1759&gt;0,B1759=10),1,0)</f>
        <v>0</v>
      </c>
      <c r="Z1759" s="0" t="str">
        <f aca="false">IF(AND(C1758=C1759,W1758=W1759-1),X1758,"")</f>
        <v/>
      </c>
      <c r="AA1759" s="0" t="str">
        <f aca="false">IF(AND(C1758=C1759,W1758=W1759-1),Y1758,"")</f>
        <v/>
      </c>
      <c r="AB1759" s="0" t="str">
        <f aca="false">IF(W1759=1,"",IF(AND(X1759=1,Z1759&lt;&gt;1),1,0))</f>
        <v/>
      </c>
      <c r="AC1759" s="0" t="str">
        <f aca="false">IF(W1759=1,"",IF(AND(Y1759=1,AA1759&lt;&gt;1),1,0))</f>
        <v/>
      </c>
      <c r="AD1759" s="33" t="str">
        <f aca="false">IF(AND(E1759&gt;0,W1759&lt;1,NOT(AND(C1760=C1759,W1760=W1759+1))),INDEX(DATAS,W1759+1),"")</f>
        <v/>
      </c>
      <c r="AE1759" s="33" t="str">
        <f aca="false">IF(AND(Y1759=1,W1759&lt;1),IF(AND(C1760=C1759,W1760=W1759+1),IF(Y1760=1,"",INDEX(DATAS,W1759+1)),INDEX(DATAS,W1759+1)),"")</f>
        <v/>
      </c>
    </row>
    <row r="1760" customFormat="false" ht="15" hidden="false" customHeight="false" outlineLevel="0" collapsed="false">
      <c r="A1760" s="33" t="n">
        <v>46309</v>
      </c>
      <c r="B1760" s="0" t="n">
        <v>1</v>
      </c>
      <c r="C1760" s="0" t="n">
        <v>5944</v>
      </c>
      <c r="D1760" s="0" t="n">
        <v>42</v>
      </c>
      <c r="E1760" s="0" t="n">
        <v>1</v>
      </c>
      <c r="F1760" s="27" t="s">
        <v>1044</v>
      </c>
      <c r="G1760" s="0" t="n">
        <v>43.2</v>
      </c>
      <c r="H1760" s="0" t="n">
        <v>45</v>
      </c>
      <c r="I1760" s="27" t="s">
        <v>147</v>
      </c>
      <c r="J1760" s="0" t="n">
        <v>42</v>
      </c>
      <c r="P1760" s="0" t="n">
        <v>4.51</v>
      </c>
      <c r="Q1760" s="0" t="n">
        <v>3.4</v>
      </c>
      <c r="R1760" s="0" t="n">
        <v>3696</v>
      </c>
      <c r="S1760" s="0" t="n">
        <v>7430</v>
      </c>
      <c r="U1760" s="0" t="n">
        <v>738</v>
      </c>
      <c r="V1760" s="0" t="n">
        <v>0</v>
      </c>
      <c r="W1760" s="27" t="n">
        <f aca="false">MATCH(A1760,DATAS,0)</f>
        <v>1</v>
      </c>
      <c r="X1760" s="27" t="n">
        <f aca="false">IF(AND(E1760&gt;0,OR(AND(B1760&gt;=1,B1760&lt;=6),B1760=10)),1,0)</f>
        <v>1</v>
      </c>
      <c r="Y1760" s="27" t="n">
        <f aca="false">IF(AND(E1760&gt;0,B1760=10),1,0)</f>
        <v>0</v>
      </c>
      <c r="Z1760" s="0" t="str">
        <f aca="false">IF(AND(C1759=C1760,W1759=W1760-1),X1759,"")</f>
        <v/>
      </c>
      <c r="AA1760" s="0" t="str">
        <f aca="false">IF(AND(C1759=C1760,W1759=W1760-1),Y1759,"")</f>
        <v/>
      </c>
      <c r="AB1760" s="0" t="str">
        <f aca="false">IF(W1760=1,"",IF(AND(X1760=1,Z1760&lt;&gt;1),1,0))</f>
        <v/>
      </c>
      <c r="AC1760" s="0" t="str">
        <f aca="false">IF(W1760=1,"",IF(AND(Y1760=1,AA1760&lt;&gt;1),1,0))</f>
        <v/>
      </c>
      <c r="AD1760" s="33" t="str">
        <f aca="false">IF(AND(E1760&gt;0,W1760&lt;1,NOT(AND(C1761=C1760,W1761=W1760+1))),INDEX(DATAS,W1760+1),"")</f>
        <v/>
      </c>
      <c r="AE1760" s="33" t="str">
        <f aca="false">IF(AND(Y1760=1,W1760&lt;1),IF(AND(C1761=C1760,W1761=W1760+1),IF(Y1761=1,"",INDEX(DATAS,W1760+1)),INDEX(DATAS,W1760+1)),"")</f>
        <v/>
      </c>
    </row>
    <row r="1761" customFormat="false" ht="15" hidden="false" customHeight="false" outlineLevel="0" collapsed="false">
      <c r="A1761" s="33" t="n">
        <v>46309</v>
      </c>
      <c r="B1761" s="0" t="n">
        <v>9</v>
      </c>
      <c r="C1761" s="0" t="n">
        <v>5945</v>
      </c>
      <c r="E1761" s="0" t="n">
        <v>0</v>
      </c>
      <c r="F1761" s="27" t="s">
        <v>1045</v>
      </c>
      <c r="I1761" s="27" t="s">
        <v>138</v>
      </c>
      <c r="L1761" s="0" t="n">
        <v>258</v>
      </c>
      <c r="U1761" s="0" t="n">
        <v>737</v>
      </c>
      <c r="V1761" s="0" t="n">
        <v>4</v>
      </c>
      <c r="W1761" s="27" t="n">
        <f aca="false">MATCH(A1761,DATAS,0)</f>
        <v>1</v>
      </c>
      <c r="X1761" s="27" t="n">
        <f aca="false">IF(AND(E1761&gt;0,OR(AND(B1761&gt;=1,B1761&lt;=6),B1761=10)),1,0)</f>
        <v>0</v>
      </c>
      <c r="Y1761" s="27" t="n">
        <f aca="false">IF(AND(E1761&gt;0,B1761=10),1,0)</f>
        <v>0</v>
      </c>
      <c r="Z1761" s="0" t="str">
        <f aca="false">IF(AND(C1760=C1761,W1760=W1761-1),X1760,"")</f>
        <v/>
      </c>
      <c r="AA1761" s="0" t="str">
        <f aca="false">IF(AND(C1760=C1761,W1760=W1761-1),Y1760,"")</f>
        <v/>
      </c>
      <c r="AB1761" s="0" t="str">
        <f aca="false">IF(W1761=1,"",IF(AND(X1761=1,Z1761&lt;&gt;1),1,0))</f>
        <v/>
      </c>
      <c r="AC1761" s="0" t="str">
        <f aca="false">IF(W1761=1,"",IF(AND(Y1761=1,AA1761&lt;&gt;1),1,0))</f>
        <v/>
      </c>
      <c r="AD1761" s="33" t="str">
        <f aca="false">IF(AND(E1761&gt;0,W1761&lt;1,NOT(AND(C1762=C1761,W1762=W1761+1))),INDEX(DATAS,W1761+1),"")</f>
        <v/>
      </c>
      <c r="AE1761" s="33" t="str">
        <f aca="false">IF(AND(Y1761=1,W1761&lt;1),IF(AND(C1762=C1761,W1762=W1761+1),IF(Y1762=1,"",INDEX(DATAS,W1761+1)),INDEX(DATAS,W1761+1)),"")</f>
        <v/>
      </c>
    </row>
    <row r="1762" customFormat="false" ht="15" hidden="false" customHeight="false" outlineLevel="0" collapsed="false">
      <c r="A1762" s="33" t="n">
        <v>46309</v>
      </c>
      <c r="B1762" s="0" t="n">
        <v>1</v>
      </c>
      <c r="C1762" s="0" t="n">
        <v>5946</v>
      </c>
      <c r="D1762" s="0" t="n">
        <v>68</v>
      </c>
      <c r="E1762" s="0" t="n">
        <v>1</v>
      </c>
      <c r="F1762" s="27" t="s">
        <v>1045</v>
      </c>
      <c r="G1762" s="0" t="n">
        <v>37.5</v>
      </c>
      <c r="H1762" s="0" t="n">
        <v>45</v>
      </c>
      <c r="I1762" s="27" t="s">
        <v>168</v>
      </c>
      <c r="J1762" s="0" t="n">
        <v>68</v>
      </c>
      <c r="K1762" s="0" t="n">
        <v>68</v>
      </c>
      <c r="P1762" s="0" t="n">
        <v>3.93</v>
      </c>
      <c r="Q1762" s="0" t="n">
        <v>3.09</v>
      </c>
      <c r="R1762" s="0" t="n">
        <v>4255</v>
      </c>
      <c r="S1762" s="0" t="n">
        <v>8553</v>
      </c>
      <c r="U1762" s="0" t="n">
        <v>737</v>
      </c>
      <c r="V1762" s="0" t="n">
        <v>1</v>
      </c>
      <c r="W1762" s="27" t="n">
        <f aca="false">MATCH(A1762,DATAS,0)</f>
        <v>1</v>
      </c>
      <c r="X1762" s="27" t="n">
        <f aca="false">IF(AND(E1762&gt;0,OR(AND(B1762&gt;=1,B1762&lt;=6),B1762=10)),1,0)</f>
        <v>1</v>
      </c>
      <c r="Y1762" s="27" t="n">
        <f aca="false">IF(AND(E1762&gt;0,B1762=10),1,0)</f>
        <v>0</v>
      </c>
      <c r="Z1762" s="0" t="str">
        <f aca="false">IF(AND(C1761=C1762,W1761=W1762-1),X1761,"")</f>
        <v/>
      </c>
      <c r="AA1762" s="0" t="str">
        <f aca="false">IF(AND(C1761=C1762,W1761=W1762-1),Y1761,"")</f>
        <v/>
      </c>
      <c r="AB1762" s="0" t="str">
        <f aca="false">IF(W1762=1,"",IF(AND(X1762=1,Z1762&lt;&gt;1),1,0))</f>
        <v/>
      </c>
      <c r="AC1762" s="0" t="str">
        <f aca="false">IF(W1762=1,"",IF(AND(Y1762=1,AA1762&lt;&gt;1),1,0))</f>
        <v/>
      </c>
      <c r="AD1762" s="33" t="str">
        <f aca="false">IF(AND(E1762&gt;0,W1762&lt;1,NOT(AND(C1763=C1762,W1763=W1762+1))),INDEX(DATAS,W1762+1),"")</f>
        <v/>
      </c>
      <c r="AE1762" s="33" t="str">
        <f aca="false">IF(AND(Y1762=1,W1762&lt;1),IF(AND(C1763=C1762,W1763=W1762+1),IF(Y1763=1,"",INDEX(DATAS,W1762+1)),INDEX(DATAS,W1762+1)),"")</f>
        <v/>
      </c>
    </row>
    <row r="1763" customFormat="false" ht="15" hidden="false" customHeight="false" outlineLevel="0" collapsed="false">
      <c r="A1763" s="33" t="n">
        <v>46309</v>
      </c>
      <c r="B1763" s="0" t="n">
        <v>1</v>
      </c>
      <c r="C1763" s="0" t="n">
        <v>5947</v>
      </c>
      <c r="D1763" s="0" t="n">
        <v>103</v>
      </c>
      <c r="E1763" s="0" t="n">
        <v>1</v>
      </c>
      <c r="F1763" s="27" t="s">
        <v>1045</v>
      </c>
      <c r="G1763" s="0" t="n">
        <v>39.9</v>
      </c>
      <c r="H1763" s="0" t="n">
        <v>38</v>
      </c>
      <c r="I1763" s="27" t="s">
        <v>176</v>
      </c>
      <c r="J1763" s="0" t="n">
        <v>103</v>
      </c>
      <c r="K1763" s="0" t="n">
        <v>68</v>
      </c>
      <c r="P1763" s="0" t="n">
        <v>4.59</v>
      </c>
      <c r="Q1763" s="0" t="n">
        <v>3.31</v>
      </c>
      <c r="R1763" s="0" t="n">
        <v>3623</v>
      </c>
      <c r="S1763" s="0" t="n">
        <v>7293</v>
      </c>
      <c r="T1763" s="0" t="n">
        <v>37.8</v>
      </c>
      <c r="U1763" s="0" t="n">
        <v>737</v>
      </c>
      <c r="V1763" s="0" t="n">
        <v>1</v>
      </c>
      <c r="W1763" s="27" t="n">
        <f aca="false">MATCH(A1763,DATAS,0)</f>
        <v>1</v>
      </c>
      <c r="X1763" s="27" t="n">
        <f aca="false">IF(AND(E1763&gt;0,OR(AND(B1763&gt;=1,B1763&lt;=6),B1763=10)),1,0)</f>
        <v>1</v>
      </c>
      <c r="Y1763" s="27" t="n">
        <f aca="false">IF(AND(E1763&gt;0,B1763=10),1,0)</f>
        <v>0</v>
      </c>
      <c r="Z1763" s="0" t="str">
        <f aca="false">IF(AND(C1762=C1763,W1762=W1763-1),X1762,"")</f>
        <v/>
      </c>
      <c r="AA1763" s="0" t="str">
        <f aca="false">IF(AND(C1762=C1763,W1762=W1763-1),Y1762,"")</f>
        <v/>
      </c>
      <c r="AB1763" s="0" t="str">
        <f aca="false">IF(W1763=1,"",IF(AND(X1763=1,Z1763&lt;&gt;1),1,0))</f>
        <v/>
      </c>
      <c r="AC1763" s="0" t="str">
        <f aca="false">IF(W1763=1,"",IF(AND(Y1763=1,AA1763&lt;&gt;1),1,0))</f>
        <v/>
      </c>
      <c r="AD1763" s="33" t="str">
        <f aca="false">IF(AND(E1763&gt;0,W1763&lt;1,NOT(AND(C1764=C1763,W1764=W1763+1))),INDEX(DATAS,W1763+1),"")</f>
        <v/>
      </c>
      <c r="AE1763" s="33" t="str">
        <f aca="false">IF(AND(Y1763=1,W1763&lt;1),IF(AND(C1764=C1763,W1764=W1763+1),IF(Y1764=1,"",INDEX(DATAS,W1763+1)),INDEX(DATAS,W1763+1)),"")</f>
        <v/>
      </c>
    </row>
    <row r="1764" customFormat="false" ht="15" hidden="false" customHeight="false" outlineLevel="0" collapsed="false">
      <c r="A1764" s="33" t="n">
        <v>46309</v>
      </c>
      <c r="B1764" s="0" t="n">
        <v>1</v>
      </c>
      <c r="C1764" s="0" t="n">
        <v>5950</v>
      </c>
      <c r="D1764" s="0" t="n">
        <v>69</v>
      </c>
      <c r="E1764" s="0" t="n">
        <v>1</v>
      </c>
      <c r="F1764" s="27" t="s">
        <v>1045</v>
      </c>
      <c r="G1764" s="0" t="n">
        <v>33.4</v>
      </c>
      <c r="H1764" s="0" t="n">
        <v>39</v>
      </c>
      <c r="I1764" s="27" t="s">
        <v>168</v>
      </c>
      <c r="J1764" s="0" t="n">
        <v>69</v>
      </c>
      <c r="K1764" s="0" t="n">
        <v>62</v>
      </c>
      <c r="P1764" s="0" t="n">
        <v>4.77</v>
      </c>
      <c r="Q1764" s="0" t="n">
        <v>3.46</v>
      </c>
      <c r="R1764" s="0" t="n">
        <v>3306</v>
      </c>
      <c r="S1764" s="0" t="n">
        <v>6647</v>
      </c>
      <c r="U1764" s="0" t="n">
        <v>737</v>
      </c>
      <c r="V1764" s="0" t="n">
        <v>1</v>
      </c>
      <c r="W1764" s="27" t="n">
        <f aca="false">MATCH(A1764,DATAS,0)</f>
        <v>1</v>
      </c>
      <c r="X1764" s="27" t="n">
        <f aca="false">IF(AND(E1764&gt;0,OR(AND(B1764&gt;=1,B1764&lt;=6),B1764=10)),1,0)</f>
        <v>1</v>
      </c>
      <c r="Y1764" s="27" t="n">
        <f aca="false">IF(AND(E1764&gt;0,B1764=10),1,0)</f>
        <v>0</v>
      </c>
      <c r="Z1764" s="0" t="str">
        <f aca="false">IF(AND(C1763=C1764,W1763=W1764-1),X1763,"")</f>
        <v/>
      </c>
      <c r="AA1764" s="0" t="str">
        <f aca="false">IF(AND(C1763=C1764,W1763=W1764-1),Y1763,"")</f>
        <v/>
      </c>
      <c r="AB1764" s="0" t="str">
        <f aca="false">IF(W1764=1,"",IF(AND(X1764=1,Z1764&lt;&gt;1),1,0))</f>
        <v/>
      </c>
      <c r="AC1764" s="0" t="str">
        <f aca="false">IF(W1764=1,"",IF(AND(Y1764=1,AA1764&lt;&gt;1),1,0))</f>
        <v/>
      </c>
      <c r="AD1764" s="33" t="str">
        <f aca="false">IF(AND(E1764&gt;0,W1764&lt;1,NOT(AND(C1765=C1764,W1765=W1764+1))),INDEX(DATAS,W1764+1),"")</f>
        <v/>
      </c>
      <c r="AE1764" s="33" t="str">
        <f aca="false">IF(AND(Y1764=1,W1764&lt;1),IF(AND(C1765=C1764,W1765=W1764+1),IF(Y1765=1,"",INDEX(DATAS,W1764+1)),INDEX(DATAS,W1764+1)),"")</f>
        <v/>
      </c>
    </row>
    <row r="1765" customFormat="false" ht="15" hidden="false" customHeight="false" outlineLevel="0" collapsed="false">
      <c r="A1765" s="33" t="n">
        <v>46309</v>
      </c>
      <c r="B1765" s="0" t="n">
        <v>1</v>
      </c>
      <c r="C1765" s="0" t="n">
        <v>5951</v>
      </c>
      <c r="D1765" s="0" t="n">
        <v>1</v>
      </c>
      <c r="E1765" s="0" t="n">
        <v>1</v>
      </c>
      <c r="F1765" s="27" t="s">
        <v>1045</v>
      </c>
      <c r="I1765" s="27" t="s">
        <v>147</v>
      </c>
      <c r="J1765" s="0" t="n">
        <v>1</v>
      </c>
      <c r="U1765" s="0" t="n">
        <v>737</v>
      </c>
      <c r="V1765" s="0" t="n">
        <v>0</v>
      </c>
      <c r="W1765" s="27" t="n">
        <f aca="false">MATCH(A1765,DATAS,0)</f>
        <v>1</v>
      </c>
      <c r="X1765" s="27" t="n">
        <f aca="false">IF(AND(E1765&gt;0,OR(AND(B1765&gt;=1,B1765&lt;=6),B1765=10)),1,0)</f>
        <v>1</v>
      </c>
      <c r="Y1765" s="27" t="n">
        <f aca="false">IF(AND(E1765&gt;0,B1765=10),1,0)</f>
        <v>0</v>
      </c>
      <c r="Z1765" s="0" t="str">
        <f aca="false">IF(AND(C1764=C1765,W1764=W1765-1),X1764,"")</f>
        <v/>
      </c>
      <c r="AA1765" s="0" t="str">
        <f aca="false">IF(AND(C1764=C1765,W1764=W1765-1),Y1764,"")</f>
        <v/>
      </c>
      <c r="AB1765" s="0" t="str">
        <f aca="false">IF(W1765=1,"",IF(AND(X1765=1,Z1765&lt;&gt;1),1,0))</f>
        <v/>
      </c>
      <c r="AC1765" s="0" t="str">
        <f aca="false">IF(W1765=1,"",IF(AND(Y1765=1,AA1765&lt;&gt;1),1,0))</f>
        <v/>
      </c>
      <c r="AD1765" s="33" t="str">
        <f aca="false">IF(AND(E1765&gt;0,W1765&lt;1,NOT(AND(C1766=C1765,W1766=W1765+1))),INDEX(DATAS,W1765+1),"")</f>
        <v/>
      </c>
      <c r="AE1765" s="33" t="str">
        <f aca="false">IF(AND(Y1765=1,W1765&lt;1),IF(AND(C1766=C1765,W1766=W1765+1),IF(Y1766=1,"",INDEX(DATAS,W1765+1)),INDEX(DATAS,W1765+1)),"")</f>
        <v/>
      </c>
    </row>
    <row r="1766" customFormat="false" ht="15" hidden="false" customHeight="false" outlineLevel="0" collapsed="false">
      <c r="A1766" s="33" t="n">
        <v>46309</v>
      </c>
      <c r="B1766" s="0" t="n">
        <v>1</v>
      </c>
      <c r="C1766" s="0" t="n">
        <v>5952</v>
      </c>
      <c r="D1766" s="0" t="n">
        <v>58</v>
      </c>
      <c r="E1766" s="0" t="n">
        <v>1</v>
      </c>
      <c r="F1766" s="27" t="s">
        <v>1042</v>
      </c>
      <c r="G1766" s="0" t="n">
        <v>61.4</v>
      </c>
      <c r="H1766" s="0" t="n">
        <v>62</v>
      </c>
      <c r="I1766" s="27" t="s">
        <v>147</v>
      </c>
      <c r="J1766" s="0" t="n">
        <v>58</v>
      </c>
      <c r="P1766" s="0" t="n">
        <v>3.98</v>
      </c>
      <c r="Q1766" s="0" t="n">
        <v>2.54</v>
      </c>
      <c r="R1766" s="0" t="n">
        <v>5477</v>
      </c>
      <c r="S1766" s="0" t="n">
        <v>11010</v>
      </c>
      <c r="U1766" s="0" t="n">
        <v>736</v>
      </c>
      <c r="V1766" s="0" t="n">
        <v>0</v>
      </c>
      <c r="W1766" s="27" t="n">
        <f aca="false">MATCH(A1766,DATAS,0)</f>
        <v>1</v>
      </c>
      <c r="X1766" s="27" t="n">
        <f aca="false">IF(AND(E1766&gt;0,OR(AND(B1766&gt;=1,B1766&lt;=6),B1766=10)),1,0)</f>
        <v>1</v>
      </c>
      <c r="Y1766" s="27" t="n">
        <f aca="false">IF(AND(E1766&gt;0,B1766=10),1,0)</f>
        <v>0</v>
      </c>
      <c r="Z1766" s="0" t="str">
        <f aca="false">IF(AND(C1765=C1766,W1765=W1766-1),X1765,"")</f>
        <v/>
      </c>
      <c r="AA1766" s="0" t="str">
        <f aca="false">IF(AND(C1765=C1766,W1765=W1766-1),Y1765,"")</f>
        <v/>
      </c>
      <c r="AB1766" s="0" t="str">
        <f aca="false">IF(W1766=1,"",IF(AND(X1766=1,Z1766&lt;&gt;1),1,0))</f>
        <v/>
      </c>
      <c r="AC1766" s="0" t="str">
        <f aca="false">IF(W1766=1,"",IF(AND(Y1766=1,AA1766&lt;&gt;1),1,0))</f>
        <v/>
      </c>
      <c r="AD1766" s="33" t="str">
        <f aca="false">IF(AND(E1766&gt;0,W1766&lt;1,NOT(AND(C1767=C1766,W1767=W1766+1))),INDEX(DATAS,W1766+1),"")</f>
        <v/>
      </c>
      <c r="AE1766" s="33" t="str">
        <f aca="false">IF(AND(Y1766=1,W1766&lt;1),IF(AND(C1767=C1766,W1767=W1766+1),IF(Y1767=1,"",INDEX(DATAS,W1766+1)),INDEX(DATAS,W1766+1)),"")</f>
        <v/>
      </c>
    </row>
    <row r="1767" customFormat="false" ht="15" hidden="false" customHeight="false" outlineLevel="0" collapsed="false">
      <c r="A1767" s="33" t="n">
        <v>46309</v>
      </c>
      <c r="B1767" s="0" t="n">
        <v>1</v>
      </c>
      <c r="C1767" s="0" t="n">
        <v>5955</v>
      </c>
      <c r="D1767" s="0" t="n">
        <v>65</v>
      </c>
      <c r="E1767" s="0" t="n">
        <v>1</v>
      </c>
      <c r="F1767" s="27" t="s">
        <v>1046</v>
      </c>
      <c r="G1767" s="0" t="n">
        <v>45.9</v>
      </c>
      <c r="H1767" s="0" t="n">
        <v>50</v>
      </c>
      <c r="I1767" s="27" t="s">
        <v>176</v>
      </c>
      <c r="J1767" s="0" t="n">
        <v>65</v>
      </c>
      <c r="P1767" s="0" t="n">
        <v>3.29</v>
      </c>
      <c r="Q1767" s="0" t="n">
        <v>3.04</v>
      </c>
      <c r="R1767" s="0" t="n">
        <v>4392</v>
      </c>
      <c r="S1767" s="0" t="n">
        <v>8829</v>
      </c>
      <c r="U1767" s="0" t="n">
        <v>735</v>
      </c>
      <c r="V1767" s="0" t="n">
        <v>0</v>
      </c>
      <c r="W1767" s="27" t="n">
        <f aca="false">MATCH(A1767,DATAS,0)</f>
        <v>1</v>
      </c>
      <c r="X1767" s="27" t="n">
        <f aca="false">IF(AND(E1767&gt;0,OR(AND(B1767&gt;=1,B1767&lt;=6),B1767=10)),1,0)</f>
        <v>1</v>
      </c>
      <c r="Y1767" s="27" t="n">
        <f aca="false">IF(AND(E1767&gt;0,B1767=10),1,0)</f>
        <v>0</v>
      </c>
      <c r="Z1767" s="0" t="str">
        <f aca="false">IF(AND(C1766=C1767,W1766=W1767-1),X1766,"")</f>
        <v/>
      </c>
      <c r="AA1767" s="0" t="str">
        <f aca="false">IF(AND(C1766=C1767,W1766=W1767-1),Y1766,"")</f>
        <v/>
      </c>
      <c r="AB1767" s="0" t="str">
        <f aca="false">IF(W1767=1,"",IF(AND(X1767=1,Z1767&lt;&gt;1),1,0))</f>
        <v/>
      </c>
      <c r="AC1767" s="0" t="str">
        <f aca="false">IF(W1767=1,"",IF(AND(Y1767=1,AA1767&lt;&gt;1),1,0))</f>
        <v/>
      </c>
      <c r="AD1767" s="33" t="str">
        <f aca="false">IF(AND(E1767&gt;0,W1767&lt;1,NOT(AND(C1768=C1767,W1768=W1767+1))),INDEX(DATAS,W1767+1),"")</f>
        <v/>
      </c>
      <c r="AE1767" s="33" t="str">
        <f aca="false">IF(AND(Y1767=1,W1767&lt;1),IF(AND(C1768=C1767,W1768=W1767+1),IF(Y1768=1,"",INDEX(DATAS,W1767+1)),INDEX(DATAS,W1767+1)),"")</f>
        <v/>
      </c>
    </row>
    <row r="1768" customFormat="false" ht="15" hidden="false" customHeight="false" outlineLevel="0" collapsed="false">
      <c r="A1768" s="33" t="n">
        <v>46309</v>
      </c>
      <c r="B1768" s="0" t="n">
        <v>8</v>
      </c>
      <c r="C1768" s="0" t="n">
        <v>5956</v>
      </c>
      <c r="E1768" s="0" t="n">
        <v>0</v>
      </c>
      <c r="F1768" s="27" t="s">
        <v>1046</v>
      </c>
      <c r="I1768" s="27" t="s">
        <v>138</v>
      </c>
      <c r="L1768" s="0" t="n">
        <v>152</v>
      </c>
      <c r="U1768" s="0" t="n">
        <v>735</v>
      </c>
      <c r="V1768" s="0" t="n">
        <v>4</v>
      </c>
      <c r="W1768" s="27" t="n">
        <f aca="false">MATCH(A1768,DATAS,0)</f>
        <v>1</v>
      </c>
      <c r="X1768" s="27" t="n">
        <f aca="false">IF(AND(E1768&gt;0,OR(AND(B1768&gt;=1,B1768&lt;=6),B1768=10)),1,0)</f>
        <v>0</v>
      </c>
      <c r="Y1768" s="27" t="n">
        <f aca="false">IF(AND(E1768&gt;0,B1768=10),1,0)</f>
        <v>0</v>
      </c>
      <c r="Z1768" s="0" t="str">
        <f aca="false">IF(AND(C1767=C1768,W1767=W1768-1),X1767,"")</f>
        <v/>
      </c>
      <c r="AA1768" s="0" t="str">
        <f aca="false">IF(AND(C1767=C1768,W1767=W1768-1),Y1767,"")</f>
        <v/>
      </c>
      <c r="AB1768" s="0" t="str">
        <f aca="false">IF(W1768=1,"",IF(AND(X1768=1,Z1768&lt;&gt;1),1,0))</f>
        <v/>
      </c>
      <c r="AC1768" s="0" t="str">
        <f aca="false">IF(W1768=1,"",IF(AND(Y1768=1,AA1768&lt;&gt;1),1,0))</f>
        <v/>
      </c>
      <c r="AD1768" s="33" t="str">
        <f aca="false">IF(AND(E1768&gt;0,W1768&lt;1,NOT(AND(C1769=C1768,W1769=W1768+1))),INDEX(DATAS,W1768+1),"")</f>
        <v/>
      </c>
      <c r="AE1768" s="33" t="str">
        <f aca="false">IF(AND(Y1768=1,W1768&lt;1),IF(AND(C1769=C1768,W1769=W1768+1),IF(Y1769=1,"",INDEX(DATAS,W1768+1)),INDEX(DATAS,W1768+1)),"")</f>
        <v/>
      </c>
    </row>
    <row r="1769" customFormat="false" ht="15" hidden="false" customHeight="false" outlineLevel="0" collapsed="false">
      <c r="A1769" s="33" t="n">
        <v>46309</v>
      </c>
      <c r="B1769" s="0" t="n">
        <v>13</v>
      </c>
      <c r="C1769" s="0" t="n">
        <v>5957</v>
      </c>
      <c r="E1769" s="0" t="n">
        <v>0</v>
      </c>
      <c r="F1769" s="27" t="s">
        <v>1046</v>
      </c>
      <c r="I1769" s="27" t="s">
        <v>176</v>
      </c>
      <c r="U1769" s="0" t="n">
        <v>735</v>
      </c>
      <c r="V1769" s="0" t="n">
        <v>0</v>
      </c>
      <c r="W1769" s="27" t="n">
        <f aca="false">MATCH(A1769,DATAS,0)</f>
        <v>1</v>
      </c>
      <c r="X1769" s="27" t="n">
        <f aca="false">IF(AND(E1769&gt;0,OR(AND(B1769&gt;=1,B1769&lt;=6),B1769=10)),1,0)</f>
        <v>0</v>
      </c>
      <c r="Y1769" s="27" t="n">
        <f aca="false">IF(AND(E1769&gt;0,B1769=10),1,0)</f>
        <v>0</v>
      </c>
      <c r="Z1769" s="0" t="str">
        <f aca="false">IF(AND(C1768=C1769,W1768=W1769-1),X1768,"")</f>
        <v/>
      </c>
      <c r="AA1769" s="0" t="str">
        <f aca="false">IF(AND(C1768=C1769,W1768=W1769-1),Y1768,"")</f>
        <v/>
      </c>
      <c r="AB1769" s="0" t="str">
        <f aca="false">IF(W1769=1,"",IF(AND(X1769=1,Z1769&lt;&gt;1),1,0))</f>
        <v/>
      </c>
      <c r="AC1769" s="0" t="str">
        <f aca="false">IF(W1769=1,"",IF(AND(Y1769=1,AA1769&lt;&gt;1),1,0))</f>
        <v/>
      </c>
      <c r="AD1769" s="33" t="str">
        <f aca="false">IF(AND(E1769&gt;0,W1769&lt;1,NOT(AND(C1770=C1769,W1770=W1769+1))),INDEX(DATAS,W1769+1),"")</f>
        <v/>
      </c>
      <c r="AE1769" s="33" t="str">
        <f aca="false">IF(AND(Y1769=1,W1769&lt;1),IF(AND(C1770=C1769,W1770=W1769+1),IF(Y1770=1,"",INDEX(DATAS,W1769+1)),INDEX(DATAS,W1769+1)),"")</f>
        <v/>
      </c>
    </row>
    <row r="1770" customFormat="false" ht="15" hidden="false" customHeight="false" outlineLevel="0" collapsed="false">
      <c r="A1770" s="33" t="n">
        <v>46309</v>
      </c>
      <c r="B1770" s="0" t="n">
        <v>8</v>
      </c>
      <c r="C1770" s="0" t="n">
        <v>5958</v>
      </c>
      <c r="E1770" s="0" t="n">
        <v>0</v>
      </c>
      <c r="F1770" s="27" t="s">
        <v>1046</v>
      </c>
      <c r="I1770" s="27" t="s">
        <v>138</v>
      </c>
      <c r="L1770" s="0" t="n">
        <v>63</v>
      </c>
      <c r="U1770" s="0" t="n">
        <v>735</v>
      </c>
      <c r="V1770" s="0" t="n">
        <v>12</v>
      </c>
      <c r="W1770" s="27" t="n">
        <f aca="false">MATCH(A1770,DATAS,0)</f>
        <v>1</v>
      </c>
      <c r="X1770" s="27" t="n">
        <f aca="false">IF(AND(E1770&gt;0,OR(AND(B1770&gt;=1,B1770&lt;=6),B1770=10)),1,0)</f>
        <v>0</v>
      </c>
      <c r="Y1770" s="27" t="n">
        <f aca="false">IF(AND(E1770&gt;0,B1770=10),1,0)</f>
        <v>0</v>
      </c>
      <c r="Z1770" s="0" t="str">
        <f aca="false">IF(AND(C1769=C1770,W1769=W1770-1),X1769,"")</f>
        <v/>
      </c>
      <c r="AA1770" s="0" t="str">
        <f aca="false">IF(AND(C1769=C1770,W1769=W1770-1),Y1769,"")</f>
        <v/>
      </c>
      <c r="AB1770" s="0" t="str">
        <f aca="false">IF(W1770=1,"",IF(AND(X1770=1,Z1770&lt;&gt;1),1,0))</f>
        <v/>
      </c>
      <c r="AC1770" s="0" t="str">
        <f aca="false">IF(W1770=1,"",IF(AND(Y1770=1,AA1770&lt;&gt;1),1,0))</f>
        <v/>
      </c>
      <c r="AD1770" s="33" t="str">
        <f aca="false">IF(AND(E1770&gt;0,W1770&lt;1,NOT(AND(C1771=C1770,W1771=W1770+1))),INDEX(DATAS,W1770+1),"")</f>
        <v/>
      </c>
      <c r="AE1770" s="33" t="str">
        <f aca="false">IF(AND(Y1770=1,W1770&lt;1),IF(AND(C1771=C1770,W1771=W1770+1),IF(Y1771=1,"",INDEX(DATAS,W1770+1)),INDEX(DATAS,W1770+1)),"")</f>
        <v/>
      </c>
    </row>
    <row r="1771" customFormat="false" ht="15" hidden="false" customHeight="false" outlineLevel="0" collapsed="false">
      <c r="A1771" s="33" t="n">
        <v>46309</v>
      </c>
      <c r="B1771" s="0" t="n">
        <v>1</v>
      </c>
      <c r="C1771" s="0" t="n">
        <v>5959</v>
      </c>
      <c r="D1771" s="0" t="n">
        <v>90</v>
      </c>
      <c r="E1771" s="0" t="n">
        <v>1</v>
      </c>
      <c r="F1771" s="27" t="s">
        <v>1046</v>
      </c>
      <c r="G1771" s="0" t="n">
        <v>56.7</v>
      </c>
      <c r="H1771" s="0" t="n">
        <v>57</v>
      </c>
      <c r="I1771" s="27" t="s">
        <v>168</v>
      </c>
      <c r="J1771" s="0" t="n">
        <v>90</v>
      </c>
      <c r="K1771" s="0" t="n">
        <v>69</v>
      </c>
      <c r="P1771" s="0" t="n">
        <v>3.37</v>
      </c>
      <c r="Q1771" s="0" t="n">
        <v>3.08</v>
      </c>
      <c r="R1771" s="0" t="n">
        <v>4891</v>
      </c>
      <c r="S1771" s="0" t="n">
        <v>9833</v>
      </c>
      <c r="U1771" s="0" t="n">
        <v>735</v>
      </c>
      <c r="V1771" s="0" t="n">
        <v>2</v>
      </c>
      <c r="W1771" s="27" t="n">
        <f aca="false">MATCH(A1771,DATAS,0)</f>
        <v>1</v>
      </c>
      <c r="X1771" s="27" t="n">
        <f aca="false">IF(AND(E1771&gt;0,OR(AND(B1771&gt;=1,B1771&lt;=6),B1771=10)),1,0)</f>
        <v>1</v>
      </c>
      <c r="Y1771" s="27" t="n">
        <f aca="false">IF(AND(E1771&gt;0,B1771=10),1,0)</f>
        <v>0</v>
      </c>
      <c r="Z1771" s="0" t="str">
        <f aca="false">IF(AND(C1770=C1771,W1770=W1771-1),X1770,"")</f>
        <v/>
      </c>
      <c r="AA1771" s="0" t="str">
        <f aca="false">IF(AND(C1770=C1771,W1770=W1771-1),Y1770,"")</f>
        <v/>
      </c>
      <c r="AB1771" s="0" t="str">
        <f aca="false">IF(W1771=1,"",IF(AND(X1771=1,Z1771&lt;&gt;1),1,0))</f>
        <v/>
      </c>
      <c r="AC1771" s="0" t="str">
        <f aca="false">IF(W1771=1,"",IF(AND(Y1771=1,AA1771&lt;&gt;1),1,0))</f>
        <v/>
      </c>
      <c r="AD1771" s="33" t="str">
        <f aca="false">IF(AND(E1771&gt;0,W1771&lt;1,NOT(AND(C1772=C1771,W1772=W1771+1))),INDEX(DATAS,W1771+1),"")</f>
        <v/>
      </c>
      <c r="AE1771" s="33" t="str">
        <f aca="false">IF(AND(Y1771=1,W1771&lt;1),IF(AND(C1772=C1771,W1772=W1771+1),IF(Y1772=1,"",INDEX(DATAS,W1771+1)),INDEX(DATAS,W1771+1)),"")</f>
        <v/>
      </c>
    </row>
    <row r="1772" customFormat="false" ht="15" hidden="false" customHeight="false" outlineLevel="0" collapsed="false">
      <c r="A1772" s="33" t="n">
        <v>46309</v>
      </c>
      <c r="B1772" s="0" t="n">
        <v>1</v>
      </c>
      <c r="C1772" s="0" t="n">
        <v>5960</v>
      </c>
      <c r="D1772" s="0" t="n">
        <v>48</v>
      </c>
      <c r="E1772" s="0" t="n">
        <v>1</v>
      </c>
      <c r="F1772" s="27" t="s">
        <v>1047</v>
      </c>
      <c r="G1772" s="0" t="n">
        <v>52</v>
      </c>
      <c r="H1772" s="0" t="n">
        <v>50</v>
      </c>
      <c r="I1772" s="27" t="s">
        <v>147</v>
      </c>
      <c r="J1772" s="0" t="n">
        <v>48</v>
      </c>
      <c r="P1772" s="0" t="n">
        <v>3.6</v>
      </c>
      <c r="Q1772" s="0" t="n">
        <v>3.17</v>
      </c>
      <c r="R1772" s="0" t="n">
        <v>3930</v>
      </c>
      <c r="S1772" s="0" t="n">
        <v>7900</v>
      </c>
      <c r="U1772" s="0" t="n">
        <v>734</v>
      </c>
      <c r="V1772" s="0" t="n">
        <v>0</v>
      </c>
      <c r="W1772" s="27" t="n">
        <f aca="false">MATCH(A1772,DATAS,0)</f>
        <v>1</v>
      </c>
      <c r="X1772" s="27" t="n">
        <f aca="false">IF(AND(E1772&gt;0,OR(AND(B1772&gt;=1,B1772&lt;=6),B1772=10)),1,0)</f>
        <v>1</v>
      </c>
      <c r="Y1772" s="27" t="n">
        <f aca="false">IF(AND(E1772&gt;0,B1772=10),1,0)</f>
        <v>0</v>
      </c>
      <c r="Z1772" s="0" t="str">
        <f aca="false">IF(AND(C1771=C1772,W1771=W1772-1),X1771,"")</f>
        <v/>
      </c>
      <c r="AA1772" s="0" t="str">
        <f aca="false">IF(AND(C1771=C1772,W1771=W1772-1),Y1771,"")</f>
        <v/>
      </c>
      <c r="AB1772" s="0" t="str">
        <f aca="false">IF(W1772=1,"",IF(AND(X1772=1,Z1772&lt;&gt;1),1,0))</f>
        <v/>
      </c>
      <c r="AC1772" s="0" t="str">
        <f aca="false">IF(W1772=1,"",IF(AND(Y1772=1,AA1772&lt;&gt;1),1,0))</f>
        <v/>
      </c>
      <c r="AD1772" s="33" t="str">
        <f aca="false">IF(AND(E1772&gt;0,W1772&lt;1,NOT(AND(C1773=C1772,W1773=W1772+1))),INDEX(DATAS,W1772+1),"")</f>
        <v/>
      </c>
      <c r="AE1772" s="33" t="str">
        <f aca="false">IF(AND(Y1772=1,W1772&lt;1),IF(AND(C1773=C1772,W1773=W1772+1),IF(Y1773=1,"",INDEX(DATAS,W1772+1)),INDEX(DATAS,W1772+1)),"")</f>
        <v/>
      </c>
    </row>
    <row r="1773" customFormat="false" ht="15" hidden="false" customHeight="false" outlineLevel="0" collapsed="false">
      <c r="A1773" s="33" t="n">
        <v>46309</v>
      </c>
      <c r="B1773" s="0" t="n">
        <v>1</v>
      </c>
      <c r="C1773" s="0" t="n">
        <v>5961</v>
      </c>
      <c r="D1773" s="0" t="n">
        <v>49</v>
      </c>
      <c r="E1773" s="0" t="n">
        <v>1</v>
      </c>
      <c r="F1773" s="27" t="s">
        <v>1047</v>
      </c>
      <c r="G1773" s="0" t="n">
        <v>46.4</v>
      </c>
      <c r="H1773" s="0" t="n">
        <v>47</v>
      </c>
      <c r="I1773" s="27" t="s">
        <v>147</v>
      </c>
      <c r="J1773" s="0" t="n">
        <v>49</v>
      </c>
      <c r="P1773" s="0" t="n">
        <v>4.02</v>
      </c>
      <c r="Q1773" s="0" t="n">
        <v>2.92</v>
      </c>
      <c r="R1773" s="0" t="n">
        <v>4153</v>
      </c>
      <c r="S1773" s="0" t="n">
        <v>8348</v>
      </c>
      <c r="U1773" s="0" t="n">
        <v>734</v>
      </c>
      <c r="V1773" s="0" t="n">
        <v>0</v>
      </c>
      <c r="W1773" s="27" t="n">
        <f aca="false">MATCH(A1773,DATAS,0)</f>
        <v>1</v>
      </c>
      <c r="X1773" s="27" t="n">
        <f aca="false">IF(AND(E1773&gt;0,OR(AND(B1773&gt;=1,B1773&lt;=6),B1773=10)),1,0)</f>
        <v>1</v>
      </c>
      <c r="Y1773" s="27" t="n">
        <f aca="false">IF(AND(E1773&gt;0,B1773=10),1,0)</f>
        <v>0</v>
      </c>
      <c r="Z1773" s="0" t="str">
        <f aca="false">IF(AND(C1772=C1773,W1772=W1773-1),X1772,"")</f>
        <v/>
      </c>
      <c r="AA1773" s="0" t="str">
        <f aca="false">IF(AND(C1772=C1773,W1772=W1773-1),Y1772,"")</f>
        <v/>
      </c>
      <c r="AB1773" s="0" t="str">
        <f aca="false">IF(W1773=1,"",IF(AND(X1773=1,Z1773&lt;&gt;1),1,0))</f>
        <v/>
      </c>
      <c r="AC1773" s="0" t="str">
        <f aca="false">IF(W1773=1,"",IF(AND(Y1773=1,AA1773&lt;&gt;1),1,0))</f>
        <v/>
      </c>
      <c r="AD1773" s="33" t="str">
        <f aca="false">IF(AND(E1773&gt;0,W1773&lt;1,NOT(AND(C1774=C1773,W1774=W1773+1))),INDEX(DATAS,W1773+1),"")</f>
        <v/>
      </c>
      <c r="AE1773" s="33" t="str">
        <f aca="false">IF(AND(Y1773=1,W1773&lt;1),IF(AND(C1774=C1773,W1774=W1773+1),IF(Y1774=1,"",INDEX(DATAS,W1773+1)),INDEX(DATAS,W1773+1)),"")</f>
        <v/>
      </c>
    </row>
    <row r="1774" customFormat="false" ht="15" hidden="false" customHeight="false" outlineLevel="0" collapsed="false">
      <c r="A1774" s="33" t="n">
        <v>46309</v>
      </c>
      <c r="B1774" s="0" t="n">
        <v>14</v>
      </c>
      <c r="C1774" s="0" t="n">
        <v>5962</v>
      </c>
      <c r="E1774" s="0" t="n">
        <v>0</v>
      </c>
      <c r="F1774" s="27" t="s">
        <v>1047</v>
      </c>
      <c r="I1774" s="27" t="s">
        <v>138</v>
      </c>
      <c r="L1774" s="0" t="n">
        <v>259</v>
      </c>
      <c r="U1774" s="0" t="n">
        <v>734</v>
      </c>
      <c r="V1774" s="0" t="n">
        <v>4</v>
      </c>
      <c r="W1774" s="27" t="n">
        <f aca="false">MATCH(A1774,DATAS,0)</f>
        <v>1</v>
      </c>
      <c r="X1774" s="27" t="n">
        <f aca="false">IF(AND(E1774&gt;0,OR(AND(B1774&gt;=1,B1774&lt;=6),B1774=10)),1,0)</f>
        <v>0</v>
      </c>
      <c r="Y1774" s="27" t="n">
        <f aca="false">IF(AND(E1774&gt;0,B1774=10),1,0)</f>
        <v>0</v>
      </c>
      <c r="Z1774" s="0" t="str">
        <f aca="false">IF(AND(C1773=C1774,W1773=W1774-1),X1773,"")</f>
        <v/>
      </c>
      <c r="AA1774" s="0" t="str">
        <f aca="false">IF(AND(C1773=C1774,W1773=W1774-1),Y1773,"")</f>
        <v/>
      </c>
      <c r="AB1774" s="0" t="str">
        <f aca="false">IF(W1774=1,"",IF(AND(X1774=1,Z1774&lt;&gt;1),1,0))</f>
        <v/>
      </c>
      <c r="AC1774" s="0" t="str">
        <f aca="false">IF(W1774=1,"",IF(AND(Y1774=1,AA1774&lt;&gt;1),1,0))</f>
        <v/>
      </c>
      <c r="AD1774" s="33" t="str">
        <f aca="false">IF(AND(E1774&gt;0,W1774&lt;1,NOT(AND(C1775=C1774,W1775=W1774+1))),INDEX(DATAS,W1774+1),"")</f>
        <v/>
      </c>
      <c r="AE1774" s="33" t="str">
        <f aca="false">IF(AND(Y1774=1,W1774&lt;1),IF(AND(C1775=C1774,W1775=W1774+1),IF(Y1775=1,"",INDEX(DATAS,W1774+1)),INDEX(DATAS,W1774+1)),"")</f>
        <v/>
      </c>
    </row>
    <row r="1775" customFormat="false" ht="15" hidden="false" customHeight="false" outlineLevel="0" collapsed="false">
      <c r="A1775" s="33" t="n">
        <v>46309</v>
      </c>
      <c r="B1775" s="0" t="n">
        <v>8</v>
      </c>
      <c r="C1775" s="0" t="n">
        <v>5963</v>
      </c>
      <c r="E1775" s="0" t="n">
        <v>0</v>
      </c>
      <c r="F1775" s="27" t="s">
        <v>1047</v>
      </c>
      <c r="I1775" s="27" t="s">
        <v>138</v>
      </c>
      <c r="L1775" s="0" t="n">
        <v>205</v>
      </c>
      <c r="U1775" s="0" t="n">
        <v>734</v>
      </c>
      <c r="V1775" s="0" t="n">
        <v>7</v>
      </c>
      <c r="W1775" s="27" t="n">
        <f aca="false">MATCH(A1775,DATAS,0)</f>
        <v>1</v>
      </c>
      <c r="X1775" s="27" t="n">
        <f aca="false">IF(AND(E1775&gt;0,OR(AND(B1775&gt;=1,B1775&lt;=6),B1775=10)),1,0)</f>
        <v>0</v>
      </c>
      <c r="Y1775" s="27" t="n">
        <f aca="false">IF(AND(E1775&gt;0,B1775=10),1,0)</f>
        <v>0</v>
      </c>
      <c r="Z1775" s="0" t="str">
        <f aca="false">IF(AND(C1774=C1775,W1774=W1775-1),X1774,"")</f>
        <v/>
      </c>
      <c r="AA1775" s="0" t="str">
        <f aca="false">IF(AND(C1774=C1775,W1774=W1775-1),Y1774,"")</f>
        <v/>
      </c>
      <c r="AB1775" s="0" t="str">
        <f aca="false">IF(W1775=1,"",IF(AND(X1775=1,Z1775&lt;&gt;1),1,0))</f>
        <v/>
      </c>
      <c r="AC1775" s="0" t="str">
        <f aca="false">IF(W1775=1,"",IF(AND(Y1775=1,AA1775&lt;&gt;1),1,0))</f>
        <v/>
      </c>
      <c r="AD1775" s="33" t="str">
        <f aca="false">IF(AND(E1775&gt;0,W1775&lt;1,NOT(AND(C1776=C1775,W1776=W1775+1))),INDEX(DATAS,W1775+1),"")</f>
        <v/>
      </c>
      <c r="AE1775" s="33" t="str">
        <f aca="false">IF(AND(Y1775=1,W1775&lt;1),IF(AND(C1776=C1775,W1776=W1775+1),IF(Y1776=1,"",INDEX(DATAS,W1775+1)),INDEX(DATAS,W1775+1)),"")</f>
        <v/>
      </c>
    </row>
    <row r="1776" customFormat="false" ht="15" hidden="false" customHeight="false" outlineLevel="0" collapsed="false">
      <c r="A1776" s="33" t="n">
        <v>46309</v>
      </c>
      <c r="B1776" s="0" t="n">
        <v>1</v>
      </c>
      <c r="C1776" s="0" t="n">
        <v>5965</v>
      </c>
      <c r="D1776" s="0" t="n">
        <v>19</v>
      </c>
      <c r="E1776" s="0" t="n">
        <v>1</v>
      </c>
      <c r="F1776" s="27" t="s">
        <v>1048</v>
      </c>
      <c r="G1776" s="0" t="n">
        <v>33.3</v>
      </c>
      <c r="H1776" s="0" t="n">
        <v>33</v>
      </c>
      <c r="I1776" s="27" t="s">
        <v>147</v>
      </c>
      <c r="J1776" s="0" t="n">
        <v>19</v>
      </c>
      <c r="R1776" s="0" t="n">
        <v>2848</v>
      </c>
      <c r="S1776" s="0" t="n">
        <v>5726</v>
      </c>
      <c r="U1776" s="0" t="n">
        <v>733</v>
      </c>
      <c r="V1776" s="0" t="n">
        <v>0</v>
      </c>
      <c r="W1776" s="27" t="n">
        <f aca="false">MATCH(A1776,DATAS,0)</f>
        <v>1</v>
      </c>
      <c r="X1776" s="27" t="n">
        <f aca="false">IF(AND(E1776&gt;0,OR(AND(B1776&gt;=1,B1776&lt;=6),B1776=10)),1,0)</f>
        <v>1</v>
      </c>
      <c r="Y1776" s="27" t="n">
        <f aca="false">IF(AND(E1776&gt;0,B1776=10),1,0)</f>
        <v>0</v>
      </c>
      <c r="Z1776" s="0" t="str">
        <f aca="false">IF(AND(C1775=C1776,W1775=W1776-1),X1775,"")</f>
        <v/>
      </c>
      <c r="AA1776" s="0" t="str">
        <f aca="false">IF(AND(C1775=C1776,W1775=W1776-1),Y1775,"")</f>
        <v/>
      </c>
      <c r="AB1776" s="0" t="str">
        <f aca="false">IF(W1776=1,"",IF(AND(X1776=1,Z1776&lt;&gt;1),1,0))</f>
        <v/>
      </c>
      <c r="AC1776" s="0" t="str">
        <f aca="false">IF(W1776=1,"",IF(AND(Y1776=1,AA1776&lt;&gt;1),1,0))</f>
        <v/>
      </c>
      <c r="AD1776" s="33" t="str">
        <f aca="false">IF(AND(E1776&gt;0,W1776&lt;1,NOT(AND(C1777=C1776,W1777=W1776+1))),INDEX(DATAS,W1776+1),"")</f>
        <v/>
      </c>
      <c r="AE1776" s="33" t="str">
        <f aca="false">IF(AND(Y1776=1,W1776&lt;1),IF(AND(C1777=C1776,W1777=W1776+1),IF(Y1777=1,"",INDEX(DATAS,W1776+1)),INDEX(DATAS,W1776+1)),"")</f>
        <v/>
      </c>
    </row>
    <row r="1777" customFormat="false" ht="15" hidden="false" customHeight="false" outlineLevel="0" collapsed="false">
      <c r="A1777" s="33" t="n">
        <v>46309</v>
      </c>
      <c r="B1777" s="0" t="n">
        <v>1</v>
      </c>
      <c r="C1777" s="0" t="n">
        <v>5966</v>
      </c>
      <c r="D1777" s="0" t="n">
        <v>82</v>
      </c>
      <c r="E1777" s="0" t="n">
        <v>1</v>
      </c>
      <c r="F1777" s="27" t="s">
        <v>1049</v>
      </c>
      <c r="G1777" s="0" t="n">
        <v>52.3</v>
      </c>
      <c r="H1777" s="0" t="n">
        <v>56</v>
      </c>
      <c r="I1777" s="27" t="s">
        <v>168</v>
      </c>
      <c r="J1777" s="0" t="n">
        <v>82</v>
      </c>
      <c r="K1777" s="0" t="n">
        <v>68</v>
      </c>
      <c r="P1777" s="0" t="n">
        <v>3.71</v>
      </c>
      <c r="Q1777" s="0" t="n">
        <v>2.88</v>
      </c>
      <c r="R1777" s="0" t="n">
        <v>4673</v>
      </c>
      <c r="S1777" s="0" t="n">
        <v>9395</v>
      </c>
      <c r="U1777" s="0" t="n">
        <v>732</v>
      </c>
      <c r="V1777" s="0" t="n">
        <v>1</v>
      </c>
      <c r="W1777" s="27" t="n">
        <f aca="false">MATCH(A1777,DATAS,0)</f>
        <v>1</v>
      </c>
      <c r="X1777" s="27" t="n">
        <f aca="false">IF(AND(E1777&gt;0,OR(AND(B1777&gt;=1,B1777&lt;=6),B1777=10)),1,0)</f>
        <v>1</v>
      </c>
      <c r="Y1777" s="27" t="n">
        <f aca="false">IF(AND(E1777&gt;0,B1777=10),1,0)</f>
        <v>0</v>
      </c>
      <c r="Z1777" s="0" t="str">
        <f aca="false">IF(AND(C1776=C1777,W1776=W1777-1),X1776,"")</f>
        <v/>
      </c>
      <c r="AA1777" s="0" t="str">
        <f aca="false">IF(AND(C1776=C1777,W1776=W1777-1),Y1776,"")</f>
        <v/>
      </c>
      <c r="AB1777" s="0" t="str">
        <f aca="false">IF(W1777=1,"",IF(AND(X1777=1,Z1777&lt;&gt;1),1,0))</f>
        <v/>
      </c>
      <c r="AC1777" s="0" t="str">
        <f aca="false">IF(W1777=1,"",IF(AND(Y1777=1,AA1777&lt;&gt;1),1,0))</f>
        <v/>
      </c>
      <c r="AD1777" s="33" t="str">
        <f aca="false">IF(AND(E1777&gt;0,W1777&lt;1,NOT(AND(C1778=C1777,W1778=W1777+1))),INDEX(DATAS,W1777+1),"")</f>
        <v/>
      </c>
      <c r="AE1777" s="33" t="str">
        <f aca="false">IF(AND(Y1777=1,W1777&lt;1),IF(AND(C1778=C1777,W1778=W1777+1),IF(Y1778=1,"",INDEX(DATAS,W1777+1)),INDEX(DATAS,W1777+1)),"")</f>
        <v/>
      </c>
    </row>
    <row r="1778" customFormat="false" ht="15" hidden="false" customHeight="false" outlineLevel="0" collapsed="false">
      <c r="A1778" s="33" t="n">
        <v>46309</v>
      </c>
      <c r="B1778" s="0" t="n">
        <v>7</v>
      </c>
      <c r="C1778" s="0" t="n">
        <v>5968</v>
      </c>
      <c r="E1778" s="0" t="n">
        <v>0</v>
      </c>
      <c r="F1778" s="27" t="s">
        <v>1049</v>
      </c>
      <c r="I1778" s="27" t="s">
        <v>138</v>
      </c>
      <c r="L1778" s="0" t="n">
        <v>182</v>
      </c>
      <c r="U1778" s="0" t="n">
        <v>732</v>
      </c>
      <c r="V1778" s="0" t="n">
        <v>2</v>
      </c>
      <c r="W1778" s="27" t="n">
        <f aca="false">MATCH(A1778,DATAS,0)</f>
        <v>1</v>
      </c>
      <c r="X1778" s="27" t="n">
        <f aca="false">IF(AND(E1778&gt;0,OR(AND(B1778&gt;=1,B1778&lt;=6),B1778=10)),1,0)</f>
        <v>0</v>
      </c>
      <c r="Y1778" s="27" t="n">
        <f aca="false">IF(AND(E1778&gt;0,B1778=10),1,0)</f>
        <v>0</v>
      </c>
      <c r="Z1778" s="0" t="str">
        <f aca="false">IF(AND(C1777=C1778,W1777=W1778-1),X1777,"")</f>
        <v/>
      </c>
      <c r="AA1778" s="0" t="str">
        <f aca="false">IF(AND(C1777=C1778,W1777=W1778-1),Y1777,"")</f>
        <v/>
      </c>
      <c r="AB1778" s="0" t="str">
        <f aca="false">IF(W1778=1,"",IF(AND(X1778=1,Z1778&lt;&gt;1),1,0))</f>
        <v/>
      </c>
      <c r="AC1778" s="0" t="str">
        <f aca="false">IF(W1778=1,"",IF(AND(Y1778=1,AA1778&lt;&gt;1),1,0))</f>
        <v/>
      </c>
      <c r="AD1778" s="33" t="str">
        <f aca="false">IF(AND(E1778&gt;0,W1778&lt;1,NOT(AND(C1779=C1778,W1779=W1778+1))),INDEX(DATAS,W1778+1),"")</f>
        <v/>
      </c>
      <c r="AE1778" s="33" t="str">
        <f aca="false">IF(AND(Y1778=1,W1778&lt;1),IF(AND(C1779=C1778,W1779=W1778+1),IF(Y1779=1,"",INDEX(DATAS,W1778+1)),INDEX(DATAS,W1778+1)),"")</f>
        <v/>
      </c>
    </row>
    <row r="1779" customFormat="false" ht="15" hidden="false" customHeight="false" outlineLevel="0" collapsed="false">
      <c r="A1779" s="33" t="n">
        <v>46309</v>
      </c>
      <c r="B1779" s="0" t="n">
        <v>1</v>
      </c>
      <c r="C1779" s="0" t="n">
        <v>5969</v>
      </c>
      <c r="D1779" s="0" t="n">
        <v>15</v>
      </c>
      <c r="E1779" s="0" t="n">
        <v>1</v>
      </c>
      <c r="F1779" s="27" t="s">
        <v>1050</v>
      </c>
      <c r="G1779" s="0" t="n">
        <v>21.6</v>
      </c>
      <c r="H1779" s="0" t="n">
        <v>20</v>
      </c>
      <c r="I1779" s="27" t="s">
        <v>147</v>
      </c>
      <c r="J1779" s="0" t="n">
        <v>15</v>
      </c>
      <c r="R1779" s="0" t="n">
        <v>1849</v>
      </c>
      <c r="S1779" s="0" t="n">
        <v>3717</v>
      </c>
      <c r="U1779" s="0" t="n">
        <v>731</v>
      </c>
      <c r="V1779" s="0" t="n">
        <v>0</v>
      </c>
      <c r="W1779" s="27" t="n">
        <f aca="false">MATCH(A1779,DATAS,0)</f>
        <v>1</v>
      </c>
      <c r="X1779" s="27" t="n">
        <f aca="false">IF(AND(E1779&gt;0,OR(AND(B1779&gt;=1,B1779&lt;=6),B1779=10)),1,0)</f>
        <v>1</v>
      </c>
      <c r="Y1779" s="27" t="n">
        <f aca="false">IF(AND(E1779&gt;0,B1779=10),1,0)</f>
        <v>0</v>
      </c>
      <c r="Z1779" s="0" t="str">
        <f aca="false">IF(AND(C1778=C1779,W1778=W1779-1),X1778,"")</f>
        <v/>
      </c>
      <c r="AA1779" s="0" t="str">
        <f aca="false">IF(AND(C1778=C1779,W1778=W1779-1),Y1778,"")</f>
        <v/>
      </c>
      <c r="AB1779" s="0" t="str">
        <f aca="false">IF(W1779=1,"",IF(AND(X1779=1,Z1779&lt;&gt;1),1,0))</f>
        <v/>
      </c>
      <c r="AC1779" s="0" t="str">
        <f aca="false">IF(W1779=1,"",IF(AND(Y1779=1,AA1779&lt;&gt;1),1,0))</f>
        <v/>
      </c>
      <c r="AD1779" s="33" t="str">
        <f aca="false">IF(AND(E1779&gt;0,W1779&lt;1,NOT(AND(C1780=C1779,W1780=W1779+1))),INDEX(DATAS,W1779+1),"")</f>
        <v/>
      </c>
      <c r="AE1779" s="33" t="str">
        <f aca="false">IF(AND(Y1779=1,W1779&lt;1),IF(AND(C1780=C1779,W1780=W1779+1),IF(Y1780=1,"",INDEX(DATAS,W1779+1)),INDEX(DATAS,W1779+1)),"")</f>
        <v/>
      </c>
    </row>
    <row r="1780" customFormat="false" ht="15" hidden="false" customHeight="false" outlineLevel="0" collapsed="false">
      <c r="A1780" s="33" t="n">
        <v>46309</v>
      </c>
      <c r="B1780" s="0" t="n">
        <v>1</v>
      </c>
      <c r="C1780" s="0" t="n">
        <v>5971</v>
      </c>
      <c r="D1780" s="0" t="n">
        <v>102</v>
      </c>
      <c r="E1780" s="0" t="n">
        <v>1</v>
      </c>
      <c r="F1780" s="27" t="s">
        <v>1051</v>
      </c>
      <c r="G1780" s="0" t="n">
        <v>59.8</v>
      </c>
      <c r="H1780" s="0" t="n">
        <v>58</v>
      </c>
      <c r="I1780" s="27" t="s">
        <v>138</v>
      </c>
      <c r="J1780" s="0" t="n">
        <v>67</v>
      </c>
      <c r="K1780" s="0" t="n">
        <v>67</v>
      </c>
      <c r="L1780" s="0" t="n">
        <v>35</v>
      </c>
      <c r="P1780" s="0" t="n">
        <v>3.55</v>
      </c>
      <c r="Q1780" s="0" t="n">
        <v>2.95</v>
      </c>
      <c r="R1780" s="0" t="n">
        <v>4699</v>
      </c>
      <c r="S1780" s="0" t="n">
        <v>9492</v>
      </c>
      <c r="T1780" s="0" t="n">
        <v>54</v>
      </c>
      <c r="U1780" s="0" t="n">
        <v>730</v>
      </c>
      <c r="V1780" s="0" t="n">
        <v>1</v>
      </c>
      <c r="W1780" s="27" t="n">
        <f aca="false">MATCH(A1780,DATAS,0)</f>
        <v>1</v>
      </c>
      <c r="X1780" s="27" t="n">
        <f aca="false">IF(AND(E1780&gt;0,OR(AND(B1780&gt;=1,B1780&lt;=6),B1780=10)),1,0)</f>
        <v>1</v>
      </c>
      <c r="Y1780" s="27" t="n">
        <f aca="false">IF(AND(E1780&gt;0,B1780=10),1,0)</f>
        <v>0</v>
      </c>
      <c r="Z1780" s="0" t="str">
        <f aca="false">IF(AND(C1779=C1780,W1779=W1780-1),X1779,"")</f>
        <v/>
      </c>
      <c r="AA1780" s="0" t="str">
        <f aca="false">IF(AND(C1779=C1780,W1779=W1780-1),Y1779,"")</f>
        <v/>
      </c>
      <c r="AB1780" s="0" t="str">
        <f aca="false">IF(W1780=1,"",IF(AND(X1780=1,Z1780&lt;&gt;1),1,0))</f>
        <v/>
      </c>
      <c r="AC1780" s="0" t="str">
        <f aca="false">IF(W1780=1,"",IF(AND(Y1780=1,AA1780&lt;&gt;1),1,0))</f>
        <v/>
      </c>
      <c r="AD1780" s="33" t="str">
        <f aca="false">IF(AND(E1780&gt;0,W1780&lt;1,NOT(AND(C1781=C1780,W1781=W1780+1))),INDEX(DATAS,W1780+1),"")</f>
        <v/>
      </c>
      <c r="AE1780" s="33" t="str">
        <f aca="false">IF(AND(Y1780=1,W1780&lt;1),IF(AND(C1781=C1780,W1781=W1780+1),IF(Y1781=1,"",INDEX(DATAS,W1780+1)),INDEX(DATAS,W1780+1)),"")</f>
        <v/>
      </c>
    </row>
    <row r="1781" customFormat="false" ht="15" hidden="false" customHeight="false" outlineLevel="0" collapsed="false">
      <c r="A1781" s="33" t="n">
        <v>46309</v>
      </c>
      <c r="B1781" s="0" t="n">
        <v>1</v>
      </c>
      <c r="C1781" s="0" t="n">
        <v>5973</v>
      </c>
      <c r="D1781" s="0" t="n">
        <v>93</v>
      </c>
      <c r="E1781" s="0" t="n">
        <v>1</v>
      </c>
      <c r="F1781" s="27" t="s">
        <v>1051</v>
      </c>
      <c r="G1781" s="0" t="n">
        <v>51.8</v>
      </c>
      <c r="H1781" s="0" t="n">
        <v>54</v>
      </c>
      <c r="I1781" s="27" t="s">
        <v>168</v>
      </c>
      <c r="J1781" s="0" t="n">
        <v>93</v>
      </c>
      <c r="K1781" s="0" t="n">
        <v>65</v>
      </c>
      <c r="P1781" s="0" t="n">
        <v>3.23</v>
      </c>
      <c r="Q1781" s="0" t="n">
        <v>3.44</v>
      </c>
      <c r="R1781" s="0" t="n">
        <v>4858</v>
      </c>
      <c r="S1781" s="0" t="n">
        <v>9766</v>
      </c>
      <c r="T1781" s="0" t="n">
        <v>52.7</v>
      </c>
      <c r="U1781" s="0" t="n">
        <v>730</v>
      </c>
      <c r="V1781" s="0" t="n">
        <v>1</v>
      </c>
      <c r="W1781" s="27" t="n">
        <f aca="false">MATCH(A1781,DATAS,0)</f>
        <v>1</v>
      </c>
      <c r="X1781" s="27" t="n">
        <f aca="false">IF(AND(E1781&gt;0,OR(AND(B1781&gt;=1,B1781&lt;=6),B1781=10)),1,0)</f>
        <v>1</v>
      </c>
      <c r="Y1781" s="27" t="n">
        <f aca="false">IF(AND(E1781&gt;0,B1781=10),1,0)</f>
        <v>0</v>
      </c>
      <c r="Z1781" s="0" t="str">
        <f aca="false">IF(AND(C1780=C1781,W1780=W1781-1),X1780,"")</f>
        <v/>
      </c>
      <c r="AA1781" s="0" t="str">
        <f aca="false">IF(AND(C1780=C1781,W1780=W1781-1),Y1780,"")</f>
        <v/>
      </c>
      <c r="AB1781" s="0" t="str">
        <f aca="false">IF(W1781=1,"",IF(AND(X1781=1,Z1781&lt;&gt;1),1,0))</f>
        <v/>
      </c>
      <c r="AC1781" s="0" t="str">
        <f aca="false">IF(W1781=1,"",IF(AND(Y1781=1,AA1781&lt;&gt;1),1,0))</f>
        <v/>
      </c>
      <c r="AD1781" s="33" t="str">
        <f aca="false">IF(AND(E1781&gt;0,W1781&lt;1,NOT(AND(C1782=C1781,W1782=W1781+1))),INDEX(DATAS,W1781+1),"")</f>
        <v/>
      </c>
      <c r="AE1781" s="33" t="str">
        <f aca="false">IF(AND(Y1781=1,W1781&lt;1),IF(AND(C1782=C1781,W1782=W1781+1),IF(Y1782=1,"",INDEX(DATAS,W1781+1)),INDEX(DATAS,W1781+1)),"")</f>
        <v/>
      </c>
    </row>
    <row r="1782" customFormat="false" ht="15" hidden="false" customHeight="false" outlineLevel="0" collapsed="false">
      <c r="A1782" s="33" t="n">
        <v>46309</v>
      </c>
      <c r="B1782" s="0" t="n">
        <v>14</v>
      </c>
      <c r="C1782" s="0" t="n">
        <v>5974</v>
      </c>
      <c r="E1782" s="0" t="n">
        <v>0</v>
      </c>
      <c r="F1782" s="27" t="s">
        <v>1051</v>
      </c>
      <c r="I1782" s="27" t="s">
        <v>138</v>
      </c>
      <c r="L1782" s="0" t="n">
        <v>274</v>
      </c>
      <c r="U1782" s="0" t="n">
        <v>730</v>
      </c>
      <c r="V1782" s="0" t="n">
        <v>4</v>
      </c>
      <c r="W1782" s="27" t="n">
        <f aca="false">MATCH(A1782,DATAS,0)</f>
        <v>1</v>
      </c>
      <c r="X1782" s="27" t="n">
        <f aca="false">IF(AND(E1782&gt;0,OR(AND(B1782&gt;=1,B1782&lt;=6),B1782=10)),1,0)</f>
        <v>0</v>
      </c>
      <c r="Y1782" s="27" t="n">
        <f aca="false">IF(AND(E1782&gt;0,B1782=10),1,0)</f>
        <v>0</v>
      </c>
      <c r="Z1782" s="0" t="str">
        <f aca="false">IF(AND(C1781=C1782,W1781=W1782-1),X1781,"")</f>
        <v/>
      </c>
      <c r="AA1782" s="0" t="str">
        <f aca="false">IF(AND(C1781=C1782,W1781=W1782-1),Y1781,"")</f>
        <v/>
      </c>
      <c r="AB1782" s="0" t="str">
        <f aca="false">IF(W1782=1,"",IF(AND(X1782=1,Z1782&lt;&gt;1),1,0))</f>
        <v/>
      </c>
      <c r="AC1782" s="0" t="str">
        <f aca="false">IF(W1782=1,"",IF(AND(Y1782=1,AA1782&lt;&gt;1),1,0))</f>
        <v/>
      </c>
      <c r="AD1782" s="33" t="str">
        <f aca="false">IF(AND(E1782&gt;0,W1782&lt;1,NOT(AND(C1783=C1782,W1783=W1782+1))),INDEX(DATAS,W1782+1),"")</f>
        <v/>
      </c>
      <c r="AE1782" s="33" t="str">
        <f aca="false">IF(AND(Y1782=1,W1782&lt;1),IF(AND(C1783=C1782,W1783=W1782+1),IF(Y1783=1,"",INDEX(DATAS,W1782+1)),INDEX(DATAS,W1782+1)),"")</f>
        <v/>
      </c>
    </row>
    <row r="1783" customFormat="false" ht="15" hidden="false" customHeight="false" outlineLevel="0" collapsed="false">
      <c r="A1783" s="33" t="n">
        <v>46309</v>
      </c>
      <c r="B1783" s="0" t="n">
        <v>11</v>
      </c>
      <c r="C1783" s="0" t="n">
        <v>5976</v>
      </c>
      <c r="E1783" s="0" t="n">
        <v>0</v>
      </c>
      <c r="F1783" s="27" t="s">
        <v>1052</v>
      </c>
      <c r="I1783" s="27" t="s">
        <v>176</v>
      </c>
      <c r="U1783" s="0" t="n">
        <v>729</v>
      </c>
      <c r="V1783" s="0" t="n">
        <v>10</v>
      </c>
      <c r="W1783" s="27" t="n">
        <f aca="false">MATCH(A1783,DATAS,0)</f>
        <v>1</v>
      </c>
      <c r="X1783" s="27" t="n">
        <f aca="false">IF(AND(E1783&gt;0,OR(AND(B1783&gt;=1,B1783&lt;=6),B1783=10)),1,0)</f>
        <v>0</v>
      </c>
      <c r="Y1783" s="27" t="n">
        <f aca="false">IF(AND(E1783&gt;0,B1783=10),1,0)</f>
        <v>0</v>
      </c>
      <c r="Z1783" s="0" t="str">
        <f aca="false">IF(AND(C1782=C1783,W1782=W1783-1),X1782,"")</f>
        <v/>
      </c>
      <c r="AA1783" s="0" t="str">
        <f aca="false">IF(AND(C1782=C1783,W1782=W1783-1),Y1782,"")</f>
        <v/>
      </c>
      <c r="AB1783" s="0" t="str">
        <f aca="false">IF(W1783=1,"",IF(AND(X1783=1,Z1783&lt;&gt;1),1,0))</f>
        <v/>
      </c>
      <c r="AC1783" s="0" t="str">
        <f aca="false">IF(W1783=1,"",IF(AND(Y1783=1,AA1783&lt;&gt;1),1,0))</f>
        <v/>
      </c>
      <c r="AD1783" s="33" t="str">
        <f aca="false">IF(AND(E1783&gt;0,W1783&lt;1,NOT(AND(C1784=C1783,W1784=W1783+1))),INDEX(DATAS,W1783+1),"")</f>
        <v/>
      </c>
      <c r="AE1783" s="33" t="str">
        <f aca="false">IF(AND(Y1783=1,W1783&lt;1),IF(AND(C1784=C1783,W1784=W1783+1),IF(Y1784=1,"",INDEX(DATAS,W1783+1)),INDEX(DATAS,W1783+1)),"")</f>
        <v/>
      </c>
    </row>
    <row r="1784" customFormat="false" ht="15" hidden="false" customHeight="false" outlineLevel="0" collapsed="false">
      <c r="A1784" s="33" t="n">
        <v>46309</v>
      </c>
      <c r="B1784" s="0" t="n">
        <v>8</v>
      </c>
      <c r="C1784" s="0" t="n">
        <v>5978</v>
      </c>
      <c r="E1784" s="0" t="n">
        <v>0</v>
      </c>
      <c r="F1784" s="27" t="s">
        <v>1052</v>
      </c>
      <c r="I1784" s="27" t="s">
        <v>138</v>
      </c>
      <c r="L1784" s="0" t="n">
        <v>219</v>
      </c>
      <c r="U1784" s="0" t="n">
        <v>729</v>
      </c>
      <c r="V1784" s="0" t="n">
        <v>5</v>
      </c>
      <c r="W1784" s="27" t="n">
        <f aca="false">MATCH(A1784,DATAS,0)</f>
        <v>1</v>
      </c>
      <c r="X1784" s="27" t="n">
        <f aca="false">IF(AND(E1784&gt;0,OR(AND(B1784&gt;=1,B1784&lt;=6),B1784=10)),1,0)</f>
        <v>0</v>
      </c>
      <c r="Y1784" s="27" t="n">
        <f aca="false">IF(AND(E1784&gt;0,B1784=10),1,0)</f>
        <v>0</v>
      </c>
      <c r="Z1784" s="0" t="str">
        <f aca="false">IF(AND(C1783=C1784,W1783=W1784-1),X1783,"")</f>
        <v/>
      </c>
      <c r="AA1784" s="0" t="str">
        <f aca="false">IF(AND(C1783=C1784,W1783=W1784-1),Y1783,"")</f>
        <v/>
      </c>
      <c r="AB1784" s="0" t="str">
        <f aca="false">IF(W1784=1,"",IF(AND(X1784=1,Z1784&lt;&gt;1),1,0))</f>
        <v/>
      </c>
      <c r="AC1784" s="0" t="str">
        <f aca="false">IF(W1784=1,"",IF(AND(Y1784=1,AA1784&lt;&gt;1),1,0))</f>
        <v/>
      </c>
      <c r="AD1784" s="33" t="str">
        <f aca="false">IF(AND(E1784&gt;0,W1784&lt;1,NOT(AND(C1785=C1784,W1785=W1784+1))),INDEX(DATAS,W1784+1),"")</f>
        <v/>
      </c>
      <c r="AE1784" s="33" t="str">
        <f aca="false">IF(AND(Y1784=1,W1784&lt;1),IF(AND(C1785=C1784,W1785=W1784+1),IF(Y1785=1,"",INDEX(DATAS,W1784+1)),INDEX(DATAS,W1784+1)),"")</f>
        <v/>
      </c>
    </row>
    <row r="1785" customFormat="false" ht="15" hidden="false" customHeight="false" outlineLevel="0" collapsed="false">
      <c r="A1785" s="33" t="n">
        <v>46309</v>
      </c>
      <c r="B1785" s="0" t="n">
        <v>1</v>
      </c>
      <c r="C1785" s="0" t="n">
        <v>5979</v>
      </c>
      <c r="D1785" s="0" t="n">
        <v>65</v>
      </c>
      <c r="E1785" s="0" t="n">
        <v>1</v>
      </c>
      <c r="F1785" s="27" t="s">
        <v>1053</v>
      </c>
      <c r="H1785" s="0" t="n">
        <v>20</v>
      </c>
      <c r="I1785" s="27" t="s">
        <v>168</v>
      </c>
      <c r="J1785" s="0" t="n">
        <v>65</v>
      </c>
      <c r="K1785" s="0" t="n">
        <v>65</v>
      </c>
      <c r="P1785" s="0" t="n">
        <v>3.95</v>
      </c>
      <c r="Q1785" s="0" t="n">
        <v>3.38</v>
      </c>
      <c r="R1785" s="0" t="n">
        <v>1682</v>
      </c>
      <c r="S1785" s="0" t="n">
        <v>3381</v>
      </c>
      <c r="U1785" s="0" t="n">
        <v>728</v>
      </c>
      <c r="V1785" s="0" t="n">
        <v>1</v>
      </c>
      <c r="W1785" s="27" t="n">
        <f aca="false">MATCH(A1785,DATAS,0)</f>
        <v>1</v>
      </c>
      <c r="X1785" s="27" t="n">
        <f aca="false">IF(AND(E1785&gt;0,OR(AND(B1785&gt;=1,B1785&lt;=6),B1785=10)),1,0)</f>
        <v>1</v>
      </c>
      <c r="Y1785" s="27" t="n">
        <f aca="false">IF(AND(E1785&gt;0,B1785=10),1,0)</f>
        <v>0</v>
      </c>
      <c r="Z1785" s="0" t="str">
        <f aca="false">IF(AND(C1784=C1785,W1784=W1785-1),X1784,"")</f>
        <v/>
      </c>
      <c r="AA1785" s="0" t="str">
        <f aca="false">IF(AND(C1784=C1785,W1784=W1785-1),Y1784,"")</f>
        <v/>
      </c>
      <c r="AB1785" s="0" t="str">
        <f aca="false">IF(W1785=1,"",IF(AND(X1785=1,Z1785&lt;&gt;1),1,0))</f>
        <v/>
      </c>
      <c r="AC1785" s="0" t="str">
        <f aca="false">IF(W1785=1,"",IF(AND(Y1785=1,AA1785&lt;&gt;1),1,0))</f>
        <v/>
      </c>
      <c r="AD1785" s="33" t="str">
        <f aca="false">IF(AND(E1785&gt;0,W1785&lt;1,NOT(AND(C1786=C1785,W1786=W1785+1))),INDEX(DATAS,W1785+1),"")</f>
        <v/>
      </c>
      <c r="AE1785" s="33" t="str">
        <f aca="false">IF(AND(Y1785=1,W1785&lt;1),IF(AND(C1786=C1785,W1786=W1785+1),IF(Y1786=1,"",INDEX(DATAS,W1785+1)),INDEX(DATAS,W1785+1)),"")</f>
        <v/>
      </c>
    </row>
    <row r="1786" customFormat="false" ht="15" hidden="false" customHeight="false" outlineLevel="0" collapsed="false">
      <c r="A1786" s="33" t="n">
        <v>46309</v>
      </c>
      <c r="B1786" s="0" t="n">
        <v>1</v>
      </c>
      <c r="C1786" s="0" t="n">
        <v>5980</v>
      </c>
      <c r="D1786" s="0" t="n">
        <v>51</v>
      </c>
      <c r="E1786" s="0" t="n">
        <v>1</v>
      </c>
      <c r="F1786" s="27" t="s">
        <v>1053</v>
      </c>
      <c r="G1786" s="0" t="n">
        <v>43.9</v>
      </c>
      <c r="H1786" s="0" t="n">
        <v>49</v>
      </c>
      <c r="I1786" s="27" t="s">
        <v>147</v>
      </c>
      <c r="J1786" s="0" t="n">
        <v>51</v>
      </c>
      <c r="P1786" s="0" t="n">
        <v>3.48</v>
      </c>
      <c r="Q1786" s="0" t="n">
        <v>3.18</v>
      </c>
      <c r="R1786" s="0" t="n">
        <v>4137</v>
      </c>
      <c r="S1786" s="0" t="n">
        <v>8317</v>
      </c>
      <c r="U1786" s="0" t="n">
        <v>728</v>
      </c>
      <c r="V1786" s="0" t="n">
        <v>0</v>
      </c>
      <c r="W1786" s="27" t="n">
        <f aca="false">MATCH(A1786,DATAS,0)</f>
        <v>1</v>
      </c>
      <c r="X1786" s="27" t="n">
        <f aca="false">IF(AND(E1786&gt;0,OR(AND(B1786&gt;=1,B1786&lt;=6),B1786=10)),1,0)</f>
        <v>1</v>
      </c>
      <c r="Y1786" s="27" t="n">
        <f aca="false">IF(AND(E1786&gt;0,B1786=10),1,0)</f>
        <v>0</v>
      </c>
      <c r="Z1786" s="0" t="str">
        <f aca="false">IF(AND(C1785=C1786,W1785=W1786-1),X1785,"")</f>
        <v/>
      </c>
      <c r="AA1786" s="0" t="str">
        <f aca="false">IF(AND(C1785=C1786,W1785=W1786-1),Y1785,"")</f>
        <v/>
      </c>
      <c r="AB1786" s="0" t="str">
        <f aca="false">IF(W1786=1,"",IF(AND(X1786=1,Z1786&lt;&gt;1),1,0))</f>
        <v/>
      </c>
      <c r="AC1786" s="0" t="str">
        <f aca="false">IF(W1786=1,"",IF(AND(Y1786=1,AA1786&lt;&gt;1),1,0))</f>
        <v/>
      </c>
      <c r="AD1786" s="33" t="str">
        <f aca="false">IF(AND(E1786&gt;0,W1786&lt;1,NOT(AND(C1787=C1786,W1787=W1786+1))),INDEX(DATAS,W1786+1),"")</f>
        <v/>
      </c>
      <c r="AE1786" s="33" t="str">
        <f aca="false">IF(AND(Y1786=1,W1786&lt;1),IF(AND(C1787=C1786,W1787=W1786+1),IF(Y1787=1,"",INDEX(DATAS,W1786+1)),INDEX(DATAS,W1786+1)),"")</f>
        <v/>
      </c>
    </row>
    <row r="1787" customFormat="false" ht="15" hidden="false" customHeight="false" outlineLevel="0" collapsed="false">
      <c r="A1787" s="33" t="n">
        <v>46309</v>
      </c>
      <c r="B1787" s="0" t="n">
        <v>1</v>
      </c>
      <c r="C1787" s="0" t="n">
        <v>5983</v>
      </c>
      <c r="D1787" s="0" t="n">
        <v>99</v>
      </c>
      <c r="E1787" s="0" t="n">
        <v>1</v>
      </c>
      <c r="F1787" s="27" t="s">
        <v>1054</v>
      </c>
      <c r="G1787" s="0" t="n">
        <v>50.8</v>
      </c>
      <c r="H1787" s="0" t="n">
        <v>47</v>
      </c>
      <c r="I1787" s="27" t="s">
        <v>176</v>
      </c>
      <c r="J1787" s="0" t="n">
        <v>99</v>
      </c>
      <c r="K1787" s="0" t="n">
        <v>64</v>
      </c>
      <c r="P1787" s="0" t="n">
        <v>3.5</v>
      </c>
      <c r="Q1787" s="0" t="n">
        <v>2.94</v>
      </c>
      <c r="R1787" s="0" t="n">
        <v>4193</v>
      </c>
      <c r="S1787" s="0" t="n">
        <v>8428</v>
      </c>
      <c r="T1787" s="0" t="n">
        <v>47</v>
      </c>
      <c r="U1787" s="0" t="n">
        <v>727</v>
      </c>
      <c r="V1787" s="0" t="n">
        <v>1</v>
      </c>
      <c r="W1787" s="27" t="n">
        <f aca="false">MATCH(A1787,DATAS,0)</f>
        <v>1</v>
      </c>
      <c r="X1787" s="27" t="n">
        <f aca="false">IF(AND(E1787&gt;0,OR(AND(B1787&gt;=1,B1787&lt;=6),B1787=10)),1,0)</f>
        <v>1</v>
      </c>
      <c r="Y1787" s="27" t="n">
        <f aca="false">IF(AND(E1787&gt;0,B1787=10),1,0)</f>
        <v>0</v>
      </c>
      <c r="Z1787" s="0" t="str">
        <f aca="false">IF(AND(C1786=C1787,W1786=W1787-1),X1786,"")</f>
        <v/>
      </c>
      <c r="AA1787" s="0" t="str">
        <f aca="false">IF(AND(C1786=C1787,W1786=W1787-1),Y1786,"")</f>
        <v/>
      </c>
      <c r="AB1787" s="0" t="str">
        <f aca="false">IF(W1787=1,"",IF(AND(X1787=1,Z1787&lt;&gt;1),1,0))</f>
        <v/>
      </c>
      <c r="AC1787" s="0" t="str">
        <f aca="false">IF(W1787=1,"",IF(AND(Y1787=1,AA1787&lt;&gt;1),1,0))</f>
        <v/>
      </c>
      <c r="AD1787" s="33" t="str">
        <f aca="false">IF(AND(E1787&gt;0,W1787&lt;1,NOT(AND(C1788=C1787,W1788=W1787+1))),INDEX(DATAS,W1787+1),"")</f>
        <v/>
      </c>
      <c r="AE1787" s="33" t="str">
        <f aca="false">IF(AND(Y1787=1,W1787&lt;1),IF(AND(C1788=C1787,W1788=W1787+1),IF(Y1788=1,"",INDEX(DATAS,W1787+1)),INDEX(DATAS,W1787+1)),"")</f>
        <v/>
      </c>
    </row>
    <row r="1788" customFormat="false" ht="15" hidden="false" customHeight="false" outlineLevel="0" collapsed="false">
      <c r="A1788" s="33" t="n">
        <v>46309</v>
      </c>
      <c r="B1788" s="0" t="n">
        <v>7</v>
      </c>
      <c r="C1788" s="0" t="n">
        <v>5984</v>
      </c>
      <c r="E1788" s="0" t="n">
        <v>0</v>
      </c>
      <c r="F1788" s="27" t="s">
        <v>1054</v>
      </c>
      <c r="I1788" s="27" t="s">
        <v>138</v>
      </c>
      <c r="L1788" s="0" t="n">
        <v>203</v>
      </c>
      <c r="U1788" s="0" t="n">
        <v>727</v>
      </c>
      <c r="V1788" s="0" t="n">
        <v>5</v>
      </c>
      <c r="W1788" s="27" t="n">
        <f aca="false">MATCH(A1788,DATAS,0)</f>
        <v>1</v>
      </c>
      <c r="X1788" s="27" t="n">
        <f aca="false">IF(AND(E1788&gt;0,OR(AND(B1788&gt;=1,B1788&lt;=6),B1788=10)),1,0)</f>
        <v>0</v>
      </c>
      <c r="Y1788" s="27" t="n">
        <f aca="false">IF(AND(E1788&gt;0,B1788=10),1,0)</f>
        <v>0</v>
      </c>
      <c r="Z1788" s="0" t="str">
        <f aca="false">IF(AND(C1787=C1788,W1787=W1788-1),X1787,"")</f>
        <v/>
      </c>
      <c r="AA1788" s="0" t="str">
        <f aca="false">IF(AND(C1787=C1788,W1787=W1788-1),Y1787,"")</f>
        <v/>
      </c>
      <c r="AB1788" s="0" t="str">
        <f aca="false">IF(W1788=1,"",IF(AND(X1788=1,Z1788&lt;&gt;1),1,0))</f>
        <v/>
      </c>
      <c r="AC1788" s="0" t="str">
        <f aca="false">IF(W1788=1,"",IF(AND(Y1788=1,AA1788&lt;&gt;1),1,0))</f>
        <v/>
      </c>
      <c r="AD1788" s="33" t="str">
        <f aca="false">IF(AND(E1788&gt;0,W1788&lt;1,NOT(AND(C1789=C1788,W1789=W1788+1))),INDEX(DATAS,W1788+1),"")</f>
        <v/>
      </c>
      <c r="AE1788" s="33" t="str">
        <f aca="false">IF(AND(Y1788=1,W1788&lt;1),IF(AND(C1789=C1788,W1789=W1788+1),IF(Y1789=1,"",INDEX(DATAS,W1788+1)),INDEX(DATAS,W1788+1)),"")</f>
        <v/>
      </c>
    </row>
    <row r="1789" customFormat="false" ht="15" hidden="false" customHeight="false" outlineLevel="0" collapsed="false">
      <c r="A1789" s="33" t="n">
        <v>46309</v>
      </c>
      <c r="B1789" s="0" t="n">
        <v>1</v>
      </c>
      <c r="C1789" s="0" t="n">
        <v>5985</v>
      </c>
      <c r="D1789" s="0" t="n">
        <v>100</v>
      </c>
      <c r="E1789" s="0" t="n">
        <v>1</v>
      </c>
      <c r="F1789" s="27" t="s">
        <v>1054</v>
      </c>
      <c r="G1789" s="0" t="n">
        <v>39.7</v>
      </c>
      <c r="H1789" s="0" t="n">
        <v>40</v>
      </c>
      <c r="I1789" s="27" t="s">
        <v>138</v>
      </c>
      <c r="J1789" s="0" t="n">
        <v>65</v>
      </c>
      <c r="K1789" s="0" t="n">
        <v>65</v>
      </c>
      <c r="L1789" s="0" t="n">
        <v>35</v>
      </c>
      <c r="P1789" s="0" t="n">
        <v>4.1</v>
      </c>
      <c r="Q1789" s="0" t="n">
        <v>3.51</v>
      </c>
      <c r="R1789" s="0" t="n">
        <v>3425</v>
      </c>
      <c r="S1789" s="0" t="n">
        <v>6885</v>
      </c>
      <c r="T1789" s="0" t="n">
        <v>37.55</v>
      </c>
      <c r="U1789" s="0" t="n">
        <v>727</v>
      </c>
      <c r="V1789" s="0" t="n">
        <v>1</v>
      </c>
      <c r="W1789" s="27" t="n">
        <f aca="false">MATCH(A1789,DATAS,0)</f>
        <v>1</v>
      </c>
      <c r="X1789" s="27" t="n">
        <f aca="false">IF(AND(E1789&gt;0,OR(AND(B1789&gt;=1,B1789&lt;=6),B1789=10)),1,0)</f>
        <v>1</v>
      </c>
      <c r="Y1789" s="27" t="n">
        <f aca="false">IF(AND(E1789&gt;0,B1789=10),1,0)</f>
        <v>0</v>
      </c>
      <c r="Z1789" s="0" t="str">
        <f aca="false">IF(AND(C1788=C1789,W1788=W1789-1),X1788,"")</f>
        <v/>
      </c>
      <c r="AA1789" s="0" t="str">
        <f aca="false">IF(AND(C1788=C1789,W1788=W1789-1),Y1788,"")</f>
        <v/>
      </c>
      <c r="AB1789" s="0" t="str">
        <f aca="false">IF(W1789=1,"",IF(AND(X1789=1,Z1789&lt;&gt;1),1,0))</f>
        <v/>
      </c>
      <c r="AC1789" s="0" t="str">
        <f aca="false">IF(W1789=1,"",IF(AND(Y1789=1,AA1789&lt;&gt;1),1,0))</f>
        <v/>
      </c>
      <c r="AD1789" s="33" t="str">
        <f aca="false">IF(AND(E1789&gt;0,W1789&lt;1,NOT(AND(C1790=C1789,W1790=W1789+1))),INDEX(DATAS,W1789+1),"")</f>
        <v/>
      </c>
      <c r="AE1789" s="33" t="str">
        <f aca="false">IF(AND(Y1789=1,W1789&lt;1),IF(AND(C1790=C1789,W1790=W1789+1),IF(Y1790=1,"",INDEX(DATAS,W1789+1)),INDEX(DATAS,W1789+1)),"")</f>
        <v/>
      </c>
    </row>
    <row r="1790" customFormat="false" ht="15" hidden="false" customHeight="false" outlineLevel="0" collapsed="false">
      <c r="A1790" s="33" t="n">
        <v>46309</v>
      </c>
      <c r="B1790" s="0" t="n">
        <v>1</v>
      </c>
      <c r="C1790" s="0" t="n">
        <v>5986</v>
      </c>
      <c r="D1790" s="0" t="n">
        <v>98</v>
      </c>
      <c r="E1790" s="0" t="n">
        <v>1</v>
      </c>
      <c r="F1790" s="27" t="s">
        <v>1054</v>
      </c>
      <c r="G1790" s="0" t="n">
        <v>44.2</v>
      </c>
      <c r="H1790" s="0" t="n">
        <v>43</v>
      </c>
      <c r="I1790" s="27" t="s">
        <v>138</v>
      </c>
      <c r="J1790" s="0" t="n">
        <v>63</v>
      </c>
      <c r="K1790" s="0" t="n">
        <v>63</v>
      </c>
      <c r="L1790" s="0" t="n">
        <v>35</v>
      </c>
      <c r="P1790" s="0" t="n">
        <v>3.19</v>
      </c>
      <c r="Q1790" s="0" t="n">
        <v>3.22</v>
      </c>
      <c r="R1790" s="0" t="n">
        <v>3494</v>
      </c>
      <c r="S1790" s="0" t="n">
        <v>7023</v>
      </c>
      <c r="T1790" s="0" t="n">
        <v>39.25</v>
      </c>
      <c r="U1790" s="0" t="n">
        <v>727</v>
      </c>
      <c r="V1790" s="0" t="n">
        <v>1</v>
      </c>
      <c r="W1790" s="27" t="n">
        <f aca="false">MATCH(A1790,DATAS,0)</f>
        <v>1</v>
      </c>
      <c r="X1790" s="27" t="n">
        <f aca="false">IF(AND(E1790&gt;0,OR(AND(B1790&gt;=1,B1790&lt;=6),B1790=10)),1,0)</f>
        <v>1</v>
      </c>
      <c r="Y1790" s="27" t="n">
        <f aca="false">IF(AND(E1790&gt;0,B1790=10),1,0)</f>
        <v>0</v>
      </c>
      <c r="Z1790" s="0" t="str">
        <f aca="false">IF(AND(C1789=C1790,W1789=W1790-1),X1789,"")</f>
        <v/>
      </c>
      <c r="AA1790" s="0" t="str">
        <f aca="false">IF(AND(C1789=C1790,W1789=W1790-1),Y1789,"")</f>
        <v/>
      </c>
      <c r="AB1790" s="0" t="str">
        <f aca="false">IF(W1790=1,"",IF(AND(X1790=1,Z1790&lt;&gt;1),1,0))</f>
        <v/>
      </c>
      <c r="AC1790" s="0" t="str">
        <f aca="false">IF(W1790=1,"",IF(AND(Y1790=1,AA1790&lt;&gt;1),1,0))</f>
        <v/>
      </c>
      <c r="AD1790" s="33" t="str">
        <f aca="false">IF(AND(E1790&gt;0,W1790&lt;1,NOT(AND(C1791=C1790,W1791=W1790+1))),INDEX(DATAS,W1790+1),"")</f>
        <v/>
      </c>
      <c r="AE1790" s="33" t="str">
        <f aca="false">IF(AND(Y1790=1,W1790&lt;1),IF(AND(C1791=C1790,W1791=W1790+1),IF(Y1791=1,"",INDEX(DATAS,W1790+1)),INDEX(DATAS,W1790+1)),"")</f>
        <v/>
      </c>
    </row>
    <row r="1791" customFormat="false" ht="15" hidden="false" customHeight="false" outlineLevel="0" collapsed="false">
      <c r="A1791" s="33" t="n">
        <v>46309</v>
      </c>
      <c r="B1791" s="0" t="n">
        <v>14</v>
      </c>
      <c r="C1791" s="0" t="n">
        <v>5987</v>
      </c>
      <c r="E1791" s="0" t="n">
        <v>0</v>
      </c>
      <c r="F1791" s="27" t="s">
        <v>1055</v>
      </c>
      <c r="I1791" s="27" t="s">
        <v>138</v>
      </c>
      <c r="L1791" s="0" t="n">
        <v>266</v>
      </c>
      <c r="U1791" s="0" t="n">
        <v>726</v>
      </c>
      <c r="V1791" s="0" t="n">
        <v>3</v>
      </c>
      <c r="W1791" s="27" t="n">
        <f aca="false">MATCH(A1791,DATAS,0)</f>
        <v>1</v>
      </c>
      <c r="X1791" s="27" t="n">
        <f aca="false">IF(AND(E1791&gt;0,OR(AND(B1791&gt;=1,B1791&lt;=6),B1791=10)),1,0)</f>
        <v>0</v>
      </c>
      <c r="Y1791" s="27" t="n">
        <f aca="false">IF(AND(E1791&gt;0,B1791=10),1,0)</f>
        <v>0</v>
      </c>
      <c r="Z1791" s="0" t="str">
        <f aca="false">IF(AND(C1790=C1791,W1790=W1791-1),X1790,"")</f>
        <v/>
      </c>
      <c r="AA1791" s="0" t="str">
        <f aca="false">IF(AND(C1790=C1791,W1790=W1791-1),Y1790,"")</f>
        <v/>
      </c>
      <c r="AB1791" s="0" t="str">
        <f aca="false">IF(W1791=1,"",IF(AND(X1791=1,Z1791&lt;&gt;1),1,0))</f>
        <v/>
      </c>
      <c r="AC1791" s="0" t="str">
        <f aca="false">IF(W1791=1,"",IF(AND(Y1791=1,AA1791&lt;&gt;1),1,0))</f>
        <v/>
      </c>
      <c r="AD1791" s="33" t="str">
        <f aca="false">IF(AND(E1791&gt;0,W1791&lt;1,NOT(AND(C1792=C1791,W1792=W1791+1))),INDEX(DATAS,W1791+1),"")</f>
        <v/>
      </c>
      <c r="AE1791" s="33" t="str">
        <f aca="false">IF(AND(Y1791=1,W1791&lt;1),IF(AND(C1792=C1791,W1792=W1791+1),IF(Y1792=1,"",INDEX(DATAS,W1791+1)),INDEX(DATAS,W1791+1)),"")</f>
        <v/>
      </c>
    </row>
    <row r="1792" customFormat="false" ht="15" hidden="false" customHeight="false" outlineLevel="0" collapsed="false">
      <c r="A1792" s="33" t="n">
        <v>46309</v>
      </c>
      <c r="B1792" s="0" t="n">
        <v>1</v>
      </c>
      <c r="C1792" s="0" t="n">
        <v>5989</v>
      </c>
      <c r="D1792" s="0" t="n">
        <v>98</v>
      </c>
      <c r="E1792" s="0" t="n">
        <v>1</v>
      </c>
      <c r="F1792" s="27" t="s">
        <v>1055</v>
      </c>
      <c r="G1792" s="0" t="n">
        <v>40.8</v>
      </c>
      <c r="H1792" s="0" t="n">
        <v>48</v>
      </c>
      <c r="I1792" s="27" t="s">
        <v>168</v>
      </c>
      <c r="J1792" s="0" t="n">
        <v>98</v>
      </c>
      <c r="K1792" s="0" t="n">
        <v>63</v>
      </c>
      <c r="P1792" s="0" t="n">
        <v>3.76</v>
      </c>
      <c r="Q1792" s="0" t="n">
        <v>2.74</v>
      </c>
      <c r="R1792" s="0" t="n">
        <v>4210</v>
      </c>
      <c r="S1792" s="0" t="n">
        <v>8463</v>
      </c>
      <c r="T1792" s="0" t="n">
        <v>46.95</v>
      </c>
      <c r="U1792" s="0" t="n">
        <v>726</v>
      </c>
      <c r="V1792" s="0" t="n">
        <v>2</v>
      </c>
      <c r="W1792" s="27" t="n">
        <f aca="false">MATCH(A1792,DATAS,0)</f>
        <v>1</v>
      </c>
      <c r="X1792" s="27" t="n">
        <f aca="false">IF(AND(E1792&gt;0,OR(AND(B1792&gt;=1,B1792&lt;=6),B1792=10)),1,0)</f>
        <v>1</v>
      </c>
      <c r="Y1792" s="27" t="n">
        <f aca="false">IF(AND(E1792&gt;0,B1792=10),1,0)</f>
        <v>0</v>
      </c>
      <c r="Z1792" s="0" t="str">
        <f aca="false">IF(AND(C1791=C1792,W1791=W1792-1),X1791,"")</f>
        <v/>
      </c>
      <c r="AA1792" s="0" t="str">
        <f aca="false">IF(AND(C1791=C1792,W1791=W1792-1),Y1791,"")</f>
        <v/>
      </c>
      <c r="AB1792" s="0" t="str">
        <f aca="false">IF(W1792=1,"",IF(AND(X1792=1,Z1792&lt;&gt;1),1,0))</f>
        <v/>
      </c>
      <c r="AC1792" s="0" t="str">
        <f aca="false">IF(W1792=1,"",IF(AND(Y1792=1,AA1792&lt;&gt;1),1,0))</f>
        <v/>
      </c>
      <c r="AD1792" s="33" t="str">
        <f aca="false">IF(AND(E1792&gt;0,W1792&lt;1,NOT(AND(C1793=C1792,W1793=W1792+1))),INDEX(DATAS,W1792+1),"")</f>
        <v/>
      </c>
      <c r="AE1792" s="33" t="str">
        <f aca="false">IF(AND(Y1792=1,W1792&lt;1),IF(AND(C1793=C1792,W1793=W1792+1),IF(Y1793=1,"",INDEX(DATAS,W1792+1)),INDEX(DATAS,W1792+1)),"")</f>
        <v/>
      </c>
    </row>
    <row r="1793" customFormat="false" ht="15" hidden="false" customHeight="false" outlineLevel="0" collapsed="false">
      <c r="A1793" s="33" t="n">
        <v>46309</v>
      </c>
      <c r="B1793" s="0" t="n">
        <v>1</v>
      </c>
      <c r="C1793" s="0" t="n">
        <v>5991</v>
      </c>
      <c r="D1793" s="0" t="n">
        <v>43</v>
      </c>
      <c r="E1793" s="0" t="n">
        <v>1</v>
      </c>
      <c r="F1793" s="27" t="s">
        <v>1056</v>
      </c>
      <c r="G1793" s="0" t="n">
        <v>46</v>
      </c>
      <c r="H1793" s="0" t="n">
        <v>44</v>
      </c>
      <c r="I1793" s="27" t="s">
        <v>147</v>
      </c>
      <c r="J1793" s="0" t="n">
        <v>43</v>
      </c>
      <c r="P1793" s="0" t="n">
        <v>4.95</v>
      </c>
      <c r="Q1793" s="0" t="n">
        <v>3.74</v>
      </c>
      <c r="R1793" s="0" t="n">
        <v>3927</v>
      </c>
      <c r="S1793" s="0" t="n">
        <v>7895</v>
      </c>
      <c r="U1793" s="0" t="n">
        <v>724</v>
      </c>
      <c r="V1793" s="0" t="n">
        <v>0</v>
      </c>
      <c r="W1793" s="27" t="n">
        <f aca="false">MATCH(A1793,DATAS,0)</f>
        <v>1</v>
      </c>
      <c r="X1793" s="27" t="n">
        <f aca="false">IF(AND(E1793&gt;0,OR(AND(B1793&gt;=1,B1793&lt;=6),B1793=10)),1,0)</f>
        <v>1</v>
      </c>
      <c r="Y1793" s="27" t="n">
        <f aca="false">IF(AND(E1793&gt;0,B1793=10),1,0)</f>
        <v>0</v>
      </c>
      <c r="Z1793" s="0" t="str">
        <f aca="false">IF(AND(C1792=C1793,W1792=W1793-1),X1792,"")</f>
        <v/>
      </c>
      <c r="AA1793" s="0" t="str">
        <f aca="false">IF(AND(C1792=C1793,W1792=W1793-1),Y1792,"")</f>
        <v/>
      </c>
      <c r="AB1793" s="0" t="str">
        <f aca="false">IF(W1793=1,"",IF(AND(X1793=1,Z1793&lt;&gt;1),1,0))</f>
        <v/>
      </c>
      <c r="AC1793" s="0" t="str">
        <f aca="false">IF(W1793=1,"",IF(AND(Y1793=1,AA1793&lt;&gt;1),1,0))</f>
        <v/>
      </c>
      <c r="AD1793" s="33" t="str">
        <f aca="false">IF(AND(E1793&gt;0,W1793&lt;1,NOT(AND(C1794=C1793,W1794=W1793+1))),INDEX(DATAS,W1793+1),"")</f>
        <v/>
      </c>
      <c r="AE1793" s="33" t="str">
        <f aca="false">IF(AND(Y1793=1,W1793&lt;1),IF(AND(C1794=C1793,W1794=W1793+1),IF(Y1794=1,"",INDEX(DATAS,W1793+1)),INDEX(DATAS,W1793+1)),"")</f>
        <v/>
      </c>
    </row>
    <row r="1794" customFormat="false" ht="15" hidden="false" customHeight="false" outlineLevel="0" collapsed="false">
      <c r="A1794" s="33" t="n">
        <v>46309</v>
      </c>
      <c r="B1794" s="0" t="n">
        <v>1</v>
      </c>
      <c r="C1794" s="0" t="n">
        <v>5993</v>
      </c>
      <c r="D1794" s="0" t="n">
        <v>92</v>
      </c>
      <c r="E1794" s="0" t="n">
        <v>1</v>
      </c>
      <c r="F1794" s="27" t="s">
        <v>1056</v>
      </c>
      <c r="G1794" s="0" t="n">
        <v>56.2</v>
      </c>
      <c r="H1794" s="0" t="n">
        <v>57</v>
      </c>
      <c r="I1794" s="27" t="s">
        <v>168</v>
      </c>
      <c r="J1794" s="0" t="n">
        <v>92</v>
      </c>
      <c r="K1794" s="0" t="n">
        <v>64</v>
      </c>
      <c r="P1794" s="0" t="n">
        <v>3.71</v>
      </c>
      <c r="Q1794" s="0" t="n">
        <v>2.9</v>
      </c>
      <c r="R1794" s="0" t="n">
        <v>4722</v>
      </c>
      <c r="S1794" s="0" t="n">
        <v>9493</v>
      </c>
      <c r="T1794" s="0" t="n">
        <v>50.3</v>
      </c>
      <c r="U1794" s="0" t="n">
        <v>724</v>
      </c>
      <c r="V1794" s="0" t="n">
        <v>1</v>
      </c>
      <c r="W1794" s="27" t="n">
        <f aca="false">MATCH(A1794,DATAS,0)</f>
        <v>1</v>
      </c>
      <c r="X1794" s="27" t="n">
        <f aca="false">IF(AND(E1794&gt;0,OR(AND(B1794&gt;=1,B1794&lt;=6),B1794=10)),1,0)</f>
        <v>1</v>
      </c>
      <c r="Y1794" s="27" t="n">
        <f aca="false">IF(AND(E1794&gt;0,B1794=10),1,0)</f>
        <v>0</v>
      </c>
      <c r="Z1794" s="0" t="str">
        <f aca="false">IF(AND(C1793=C1794,W1793=W1794-1),X1793,"")</f>
        <v/>
      </c>
      <c r="AA1794" s="0" t="str">
        <f aca="false">IF(AND(C1793=C1794,W1793=W1794-1),Y1793,"")</f>
        <v/>
      </c>
      <c r="AB1794" s="0" t="str">
        <f aca="false">IF(W1794=1,"",IF(AND(X1794=1,Z1794&lt;&gt;1),1,0))</f>
        <v/>
      </c>
      <c r="AC1794" s="0" t="str">
        <f aca="false">IF(W1794=1,"",IF(AND(Y1794=1,AA1794&lt;&gt;1),1,0))</f>
        <v/>
      </c>
      <c r="AD1794" s="33" t="str">
        <f aca="false">IF(AND(E1794&gt;0,W1794&lt;1,NOT(AND(C1795=C1794,W1795=W1794+1))),INDEX(DATAS,W1794+1),"")</f>
        <v/>
      </c>
      <c r="AE1794" s="33" t="str">
        <f aca="false">IF(AND(Y1794=1,W1794&lt;1),IF(AND(C1795=C1794,W1795=W1794+1),IF(Y1795=1,"",INDEX(DATAS,W1794+1)),INDEX(DATAS,W1794+1)),"")</f>
        <v/>
      </c>
    </row>
    <row r="1795" customFormat="false" ht="15" hidden="false" customHeight="false" outlineLevel="0" collapsed="false">
      <c r="A1795" s="33" t="n">
        <v>46309</v>
      </c>
      <c r="B1795" s="0" t="n">
        <v>1</v>
      </c>
      <c r="C1795" s="0" t="n">
        <v>5994</v>
      </c>
      <c r="D1795" s="0" t="n">
        <v>65</v>
      </c>
      <c r="E1795" s="0" t="n">
        <v>1</v>
      </c>
      <c r="F1795" s="27" t="s">
        <v>1056</v>
      </c>
      <c r="G1795" s="0" t="n">
        <v>46.9</v>
      </c>
      <c r="H1795" s="0" t="n">
        <v>44</v>
      </c>
      <c r="I1795" s="27" t="s">
        <v>168</v>
      </c>
      <c r="J1795" s="0" t="n">
        <v>65</v>
      </c>
      <c r="K1795" s="0" t="n">
        <v>65</v>
      </c>
      <c r="P1795" s="0" t="n">
        <v>4.16</v>
      </c>
      <c r="Q1795" s="0" t="n">
        <v>3.17</v>
      </c>
      <c r="R1795" s="0" t="n">
        <v>3856</v>
      </c>
      <c r="S1795" s="0" t="n">
        <v>7752</v>
      </c>
      <c r="U1795" s="0" t="n">
        <v>724</v>
      </c>
      <c r="V1795" s="0" t="n">
        <v>1</v>
      </c>
      <c r="W1795" s="27" t="n">
        <f aca="false">MATCH(A1795,DATAS,0)</f>
        <v>1</v>
      </c>
      <c r="X1795" s="27" t="n">
        <f aca="false">IF(AND(E1795&gt;0,OR(AND(B1795&gt;=1,B1795&lt;=6),B1795=10)),1,0)</f>
        <v>1</v>
      </c>
      <c r="Y1795" s="27" t="n">
        <f aca="false">IF(AND(E1795&gt;0,B1795=10),1,0)</f>
        <v>0</v>
      </c>
      <c r="Z1795" s="0" t="str">
        <f aca="false">IF(AND(C1794=C1795,W1794=W1795-1),X1794,"")</f>
        <v/>
      </c>
      <c r="AA1795" s="0" t="str">
        <f aca="false">IF(AND(C1794=C1795,W1794=W1795-1),Y1794,"")</f>
        <v/>
      </c>
      <c r="AB1795" s="0" t="str">
        <f aca="false">IF(W1795=1,"",IF(AND(X1795=1,Z1795&lt;&gt;1),1,0))</f>
        <v/>
      </c>
      <c r="AC1795" s="0" t="str">
        <f aca="false">IF(W1795=1,"",IF(AND(Y1795=1,AA1795&lt;&gt;1),1,0))</f>
        <v/>
      </c>
      <c r="AD1795" s="33" t="str">
        <f aca="false">IF(AND(E1795&gt;0,W1795&lt;1,NOT(AND(C1796=C1795,W1796=W1795+1))),INDEX(DATAS,W1795+1),"")</f>
        <v/>
      </c>
      <c r="AE1795" s="33" t="str">
        <f aca="false">IF(AND(Y1795=1,W1795&lt;1),IF(AND(C1796=C1795,W1796=W1795+1),IF(Y1796=1,"",INDEX(DATAS,W1795+1)),INDEX(DATAS,W1795+1)),"")</f>
        <v/>
      </c>
    </row>
    <row r="1796" customFormat="false" ht="15" hidden="false" customHeight="false" outlineLevel="0" collapsed="false">
      <c r="A1796" s="33" t="n">
        <v>46309</v>
      </c>
      <c r="B1796" s="0" t="n">
        <v>1</v>
      </c>
      <c r="C1796" s="0" t="n">
        <v>5995</v>
      </c>
      <c r="D1796" s="0" t="n">
        <v>51</v>
      </c>
      <c r="E1796" s="0" t="n">
        <v>1</v>
      </c>
      <c r="F1796" s="27" t="s">
        <v>1056</v>
      </c>
      <c r="G1796" s="0" t="n">
        <v>42.5</v>
      </c>
      <c r="H1796" s="0" t="n">
        <v>40</v>
      </c>
      <c r="I1796" s="27" t="s">
        <v>147</v>
      </c>
      <c r="J1796" s="0" t="n">
        <v>51</v>
      </c>
      <c r="P1796" s="0" t="n">
        <v>5.38</v>
      </c>
      <c r="Q1796" s="0" t="n">
        <v>2.98</v>
      </c>
      <c r="R1796" s="0" t="n">
        <v>3644</v>
      </c>
      <c r="S1796" s="0" t="n">
        <v>7325</v>
      </c>
      <c r="U1796" s="0" t="n">
        <v>724</v>
      </c>
      <c r="V1796" s="0" t="n">
        <v>0</v>
      </c>
      <c r="W1796" s="27" t="n">
        <f aca="false">MATCH(A1796,DATAS,0)</f>
        <v>1</v>
      </c>
      <c r="X1796" s="27" t="n">
        <f aca="false">IF(AND(E1796&gt;0,OR(AND(B1796&gt;=1,B1796&lt;=6),B1796=10)),1,0)</f>
        <v>1</v>
      </c>
      <c r="Y1796" s="27" t="n">
        <f aca="false">IF(AND(E1796&gt;0,B1796=10),1,0)</f>
        <v>0</v>
      </c>
      <c r="Z1796" s="0" t="str">
        <f aca="false">IF(AND(C1795=C1796,W1795=W1796-1),X1795,"")</f>
        <v/>
      </c>
      <c r="AA1796" s="0" t="str">
        <f aca="false">IF(AND(C1795=C1796,W1795=W1796-1),Y1795,"")</f>
        <v/>
      </c>
      <c r="AB1796" s="0" t="str">
        <f aca="false">IF(W1796=1,"",IF(AND(X1796=1,Z1796&lt;&gt;1),1,0))</f>
        <v/>
      </c>
      <c r="AC1796" s="0" t="str">
        <f aca="false">IF(W1796=1,"",IF(AND(Y1796=1,AA1796&lt;&gt;1),1,0))</f>
        <v/>
      </c>
      <c r="AD1796" s="33" t="str">
        <f aca="false">IF(AND(E1796&gt;0,W1796&lt;1,NOT(AND(C1797=C1796,W1797=W1796+1))),INDEX(DATAS,W1796+1),"")</f>
        <v/>
      </c>
      <c r="AE1796" s="33" t="str">
        <f aca="false">IF(AND(Y1796=1,W1796&lt;1),IF(AND(C1797=C1796,W1797=W1796+1),IF(Y1797=1,"",INDEX(DATAS,W1796+1)),INDEX(DATAS,W1796+1)),"")</f>
        <v/>
      </c>
    </row>
    <row r="1797" customFormat="false" ht="15" hidden="false" customHeight="false" outlineLevel="0" collapsed="false">
      <c r="A1797" s="33" t="n">
        <v>46309</v>
      </c>
      <c r="B1797" s="0" t="n">
        <v>11</v>
      </c>
      <c r="C1797" s="0" t="n">
        <v>5996</v>
      </c>
      <c r="E1797" s="0" t="n">
        <v>0</v>
      </c>
      <c r="F1797" s="27" t="s">
        <v>1057</v>
      </c>
      <c r="I1797" s="27" t="s">
        <v>168</v>
      </c>
      <c r="U1797" s="0" t="n">
        <v>723</v>
      </c>
      <c r="V1797" s="0" t="n">
        <v>12</v>
      </c>
      <c r="W1797" s="27" t="n">
        <f aca="false">MATCH(A1797,DATAS,0)</f>
        <v>1</v>
      </c>
      <c r="X1797" s="27" t="n">
        <f aca="false">IF(AND(E1797&gt;0,OR(AND(B1797&gt;=1,B1797&lt;=6),B1797=10)),1,0)</f>
        <v>0</v>
      </c>
      <c r="Y1797" s="27" t="n">
        <f aca="false">IF(AND(E1797&gt;0,B1797=10),1,0)</f>
        <v>0</v>
      </c>
      <c r="Z1797" s="0" t="str">
        <f aca="false">IF(AND(C1796=C1797,W1796=W1797-1),X1796,"")</f>
        <v/>
      </c>
      <c r="AA1797" s="0" t="str">
        <f aca="false">IF(AND(C1796=C1797,W1796=W1797-1),Y1796,"")</f>
        <v/>
      </c>
      <c r="AB1797" s="0" t="str">
        <f aca="false">IF(W1797=1,"",IF(AND(X1797=1,Z1797&lt;&gt;1),1,0))</f>
        <v/>
      </c>
      <c r="AC1797" s="0" t="str">
        <f aca="false">IF(W1797=1,"",IF(AND(Y1797=1,AA1797&lt;&gt;1),1,0))</f>
        <v/>
      </c>
      <c r="AD1797" s="33" t="str">
        <f aca="false">IF(AND(E1797&gt;0,W1797&lt;1,NOT(AND(C1798=C1797,W1798=W1797+1))),INDEX(DATAS,W1797+1),"")</f>
        <v/>
      </c>
      <c r="AE1797" s="33" t="str">
        <f aca="false">IF(AND(Y1797=1,W1797&lt;1),IF(AND(C1798=C1797,W1798=W1797+1),IF(Y1798=1,"",INDEX(DATAS,W1797+1)),INDEX(DATAS,W1797+1)),"")</f>
        <v/>
      </c>
    </row>
    <row r="1798" customFormat="false" ht="15" hidden="false" customHeight="false" outlineLevel="0" collapsed="false">
      <c r="A1798" s="33" t="n">
        <v>46309</v>
      </c>
      <c r="B1798" s="0" t="n">
        <v>8</v>
      </c>
      <c r="C1798" s="0" t="n">
        <v>5997</v>
      </c>
      <c r="E1798" s="0" t="n">
        <v>0</v>
      </c>
      <c r="F1798" s="27" t="s">
        <v>1057</v>
      </c>
      <c r="I1798" s="27" t="s">
        <v>138</v>
      </c>
      <c r="L1798" s="0" t="n">
        <v>126</v>
      </c>
      <c r="U1798" s="0" t="n">
        <v>723</v>
      </c>
      <c r="V1798" s="0" t="n">
        <v>7</v>
      </c>
      <c r="W1798" s="27" t="n">
        <f aca="false">MATCH(A1798,DATAS,0)</f>
        <v>1</v>
      </c>
      <c r="X1798" s="27" t="n">
        <f aca="false">IF(AND(E1798&gt;0,OR(AND(B1798&gt;=1,B1798&lt;=6),B1798=10)),1,0)</f>
        <v>0</v>
      </c>
      <c r="Y1798" s="27" t="n">
        <f aca="false">IF(AND(E1798&gt;0,B1798=10),1,0)</f>
        <v>0</v>
      </c>
      <c r="Z1798" s="0" t="str">
        <f aca="false">IF(AND(C1797=C1798,W1797=W1798-1),X1797,"")</f>
        <v/>
      </c>
      <c r="AA1798" s="0" t="str">
        <f aca="false">IF(AND(C1797=C1798,W1797=W1798-1),Y1797,"")</f>
        <v/>
      </c>
      <c r="AB1798" s="0" t="str">
        <f aca="false">IF(W1798=1,"",IF(AND(X1798=1,Z1798&lt;&gt;1),1,0))</f>
        <v/>
      </c>
      <c r="AC1798" s="0" t="str">
        <f aca="false">IF(W1798=1,"",IF(AND(Y1798=1,AA1798&lt;&gt;1),1,0))</f>
        <v/>
      </c>
      <c r="AD1798" s="33" t="str">
        <f aca="false">IF(AND(E1798&gt;0,W1798&lt;1,NOT(AND(C1799=C1798,W1799=W1798+1))),INDEX(DATAS,W1798+1),"")</f>
        <v/>
      </c>
      <c r="AE1798" s="33" t="str">
        <f aca="false">IF(AND(Y1798=1,W1798&lt;1),IF(AND(C1799=C1798,W1799=W1798+1),IF(Y1799=1,"",INDEX(DATAS,W1798+1)),INDEX(DATAS,W1798+1)),"")</f>
        <v/>
      </c>
    </row>
    <row r="1799" customFormat="false" ht="15" hidden="false" customHeight="false" outlineLevel="0" collapsed="false">
      <c r="A1799" s="33" t="n">
        <v>46309</v>
      </c>
      <c r="B1799" s="0" t="n">
        <v>1</v>
      </c>
      <c r="C1799" s="0" t="n">
        <v>5998</v>
      </c>
      <c r="D1799" s="0" t="n">
        <v>65</v>
      </c>
      <c r="E1799" s="0" t="n">
        <v>1</v>
      </c>
      <c r="F1799" s="27" t="s">
        <v>1057</v>
      </c>
      <c r="G1799" s="0" t="n">
        <v>45.9</v>
      </c>
      <c r="H1799" s="0" t="n">
        <v>47</v>
      </c>
      <c r="I1799" s="27" t="s">
        <v>168</v>
      </c>
      <c r="J1799" s="0" t="n">
        <v>65</v>
      </c>
      <c r="K1799" s="0" t="n">
        <v>65</v>
      </c>
      <c r="P1799" s="0" t="n">
        <v>3.63</v>
      </c>
      <c r="Q1799" s="0" t="n">
        <v>2.89</v>
      </c>
      <c r="R1799" s="0" t="n">
        <v>4869</v>
      </c>
      <c r="S1799" s="0" t="n">
        <v>9787</v>
      </c>
      <c r="U1799" s="0" t="n">
        <v>723</v>
      </c>
      <c r="V1799" s="0" t="n">
        <v>1</v>
      </c>
      <c r="W1799" s="27" t="n">
        <f aca="false">MATCH(A1799,DATAS,0)</f>
        <v>1</v>
      </c>
      <c r="X1799" s="27" t="n">
        <f aca="false">IF(AND(E1799&gt;0,OR(AND(B1799&gt;=1,B1799&lt;=6),B1799=10)),1,0)</f>
        <v>1</v>
      </c>
      <c r="Y1799" s="27" t="n">
        <f aca="false">IF(AND(E1799&gt;0,B1799=10),1,0)</f>
        <v>0</v>
      </c>
      <c r="Z1799" s="0" t="str">
        <f aca="false">IF(AND(C1798=C1799,W1798=W1799-1),X1798,"")</f>
        <v/>
      </c>
      <c r="AA1799" s="0" t="str">
        <f aca="false">IF(AND(C1798=C1799,W1798=W1799-1),Y1798,"")</f>
        <v/>
      </c>
      <c r="AB1799" s="0" t="str">
        <f aca="false">IF(W1799=1,"",IF(AND(X1799=1,Z1799&lt;&gt;1),1,0))</f>
        <v/>
      </c>
      <c r="AC1799" s="0" t="str">
        <f aca="false">IF(W1799=1,"",IF(AND(Y1799=1,AA1799&lt;&gt;1),1,0))</f>
        <v/>
      </c>
      <c r="AD1799" s="33" t="str">
        <f aca="false">IF(AND(E1799&gt;0,W1799&lt;1,NOT(AND(C1800=C1799,W1800=W1799+1))),INDEX(DATAS,W1799+1),"")</f>
        <v/>
      </c>
      <c r="AE1799" s="33" t="str">
        <f aca="false">IF(AND(Y1799=1,W1799&lt;1),IF(AND(C1800=C1799,W1800=W1799+1),IF(Y1800=1,"",INDEX(DATAS,W1799+1)),INDEX(DATAS,W1799+1)),"")</f>
        <v/>
      </c>
    </row>
    <row r="1800" customFormat="false" ht="15" hidden="false" customHeight="false" outlineLevel="0" collapsed="false">
      <c r="A1800" s="33" t="n">
        <v>46309</v>
      </c>
      <c r="B1800" s="0" t="n">
        <v>1</v>
      </c>
      <c r="C1800" s="0" t="n">
        <v>5999</v>
      </c>
      <c r="D1800" s="0" t="n">
        <v>89</v>
      </c>
      <c r="E1800" s="0" t="n">
        <v>1</v>
      </c>
      <c r="F1800" s="27" t="s">
        <v>1058</v>
      </c>
      <c r="G1800" s="0" t="n">
        <v>49.4</v>
      </c>
      <c r="H1800" s="0" t="n">
        <v>50</v>
      </c>
      <c r="I1800" s="27" t="s">
        <v>168</v>
      </c>
      <c r="J1800" s="0" t="n">
        <v>89</v>
      </c>
      <c r="K1800" s="0" t="n">
        <v>68</v>
      </c>
      <c r="P1800" s="0" t="n">
        <v>2.81</v>
      </c>
      <c r="Q1800" s="0" t="n">
        <v>3.26</v>
      </c>
      <c r="R1800" s="0" t="n">
        <v>3839</v>
      </c>
      <c r="S1800" s="0" t="n">
        <v>7717</v>
      </c>
      <c r="U1800" s="0" t="n">
        <v>722</v>
      </c>
      <c r="V1800" s="0" t="n">
        <v>1</v>
      </c>
      <c r="W1800" s="27" t="n">
        <f aca="false">MATCH(A1800,DATAS,0)</f>
        <v>1</v>
      </c>
      <c r="X1800" s="27" t="n">
        <f aca="false">IF(AND(E1800&gt;0,OR(AND(B1800&gt;=1,B1800&lt;=6),B1800=10)),1,0)</f>
        <v>1</v>
      </c>
      <c r="Y1800" s="27" t="n">
        <f aca="false">IF(AND(E1800&gt;0,B1800=10),1,0)</f>
        <v>0</v>
      </c>
      <c r="Z1800" s="0" t="str">
        <f aca="false">IF(AND(C1799=C1800,W1799=W1800-1),X1799,"")</f>
        <v/>
      </c>
      <c r="AA1800" s="0" t="str">
        <f aca="false">IF(AND(C1799=C1800,W1799=W1800-1),Y1799,"")</f>
        <v/>
      </c>
      <c r="AB1800" s="0" t="str">
        <f aca="false">IF(W1800=1,"",IF(AND(X1800=1,Z1800&lt;&gt;1),1,0))</f>
        <v/>
      </c>
      <c r="AC1800" s="0" t="str">
        <f aca="false">IF(W1800=1,"",IF(AND(Y1800=1,AA1800&lt;&gt;1),1,0))</f>
        <v/>
      </c>
      <c r="AD1800" s="33" t="str">
        <f aca="false">IF(AND(E1800&gt;0,W1800&lt;1,NOT(AND(C1801=C1800,W1801=W1800+1))),INDEX(DATAS,W1800+1),"")</f>
        <v/>
      </c>
      <c r="AE1800" s="33" t="str">
        <f aca="false">IF(AND(Y1800=1,W1800&lt;1),IF(AND(C1801=C1800,W1801=W1800+1),IF(Y1801=1,"",INDEX(DATAS,W1800+1)),INDEX(DATAS,W1800+1)),"")</f>
        <v/>
      </c>
    </row>
    <row r="1801" customFormat="false" ht="15" hidden="false" customHeight="false" outlineLevel="0" collapsed="false">
      <c r="A1801" s="33" t="n">
        <v>46309</v>
      </c>
      <c r="B1801" s="0" t="n">
        <v>1</v>
      </c>
      <c r="C1801" s="0" t="n">
        <v>6003</v>
      </c>
      <c r="D1801" s="0" t="n">
        <v>53</v>
      </c>
      <c r="E1801" s="0" t="n">
        <v>1</v>
      </c>
      <c r="F1801" s="27" t="s">
        <v>1059</v>
      </c>
      <c r="G1801" s="0" t="n">
        <v>51.4</v>
      </c>
      <c r="H1801" s="0" t="n">
        <v>46</v>
      </c>
      <c r="I1801" s="27" t="s">
        <v>147</v>
      </c>
      <c r="J1801" s="0" t="n">
        <v>53</v>
      </c>
      <c r="P1801" s="0" t="n">
        <v>3.18</v>
      </c>
      <c r="Q1801" s="0" t="n">
        <v>3.13</v>
      </c>
      <c r="R1801" s="0" t="n">
        <v>4137</v>
      </c>
      <c r="S1801" s="0" t="n">
        <v>8316</v>
      </c>
      <c r="U1801" s="0" t="n">
        <v>720</v>
      </c>
      <c r="V1801" s="0" t="n">
        <v>0</v>
      </c>
      <c r="W1801" s="27" t="n">
        <f aca="false">MATCH(A1801,DATAS,0)</f>
        <v>1</v>
      </c>
      <c r="X1801" s="27" t="n">
        <f aca="false">IF(AND(E1801&gt;0,OR(AND(B1801&gt;=1,B1801&lt;=6),B1801=10)),1,0)</f>
        <v>1</v>
      </c>
      <c r="Y1801" s="27" t="n">
        <f aca="false">IF(AND(E1801&gt;0,B1801=10),1,0)</f>
        <v>0</v>
      </c>
      <c r="Z1801" s="0" t="str">
        <f aca="false">IF(AND(C1800=C1801,W1800=W1801-1),X1800,"")</f>
        <v/>
      </c>
      <c r="AA1801" s="0" t="str">
        <f aca="false">IF(AND(C1800=C1801,W1800=W1801-1),Y1800,"")</f>
        <v/>
      </c>
      <c r="AB1801" s="0" t="str">
        <f aca="false">IF(W1801=1,"",IF(AND(X1801=1,Z1801&lt;&gt;1),1,0))</f>
        <v/>
      </c>
      <c r="AC1801" s="0" t="str">
        <f aca="false">IF(W1801=1,"",IF(AND(Y1801=1,AA1801&lt;&gt;1),1,0))</f>
        <v/>
      </c>
      <c r="AD1801" s="33" t="str">
        <f aca="false">IF(AND(E1801&gt;0,W1801&lt;1,NOT(AND(C1802=C1801,W1802=W1801+1))),INDEX(DATAS,W1801+1),"")</f>
        <v/>
      </c>
      <c r="AE1801" s="33" t="str">
        <f aca="false">IF(AND(Y1801=1,W1801&lt;1),IF(AND(C1802=C1801,W1802=W1801+1),IF(Y1802=1,"",INDEX(DATAS,W1801+1)),INDEX(DATAS,W1801+1)),"")</f>
        <v/>
      </c>
    </row>
    <row r="1802" customFormat="false" ht="15" hidden="false" customHeight="false" outlineLevel="0" collapsed="false">
      <c r="A1802" s="33" t="n">
        <v>46309</v>
      </c>
      <c r="B1802" s="0" t="n">
        <v>1</v>
      </c>
      <c r="C1802" s="0" t="n">
        <v>6004</v>
      </c>
      <c r="D1802" s="0" t="n">
        <v>60</v>
      </c>
      <c r="E1802" s="0" t="n">
        <v>1</v>
      </c>
      <c r="F1802" s="27" t="s">
        <v>1059</v>
      </c>
      <c r="G1802" s="0" t="n">
        <v>47.1</v>
      </c>
      <c r="H1802" s="0" t="n">
        <v>50</v>
      </c>
      <c r="I1802" s="27" t="s">
        <v>147</v>
      </c>
      <c r="J1802" s="0" t="n">
        <v>60</v>
      </c>
      <c r="P1802" s="0" t="n">
        <v>4.21</v>
      </c>
      <c r="Q1802" s="0" t="n">
        <v>3.08</v>
      </c>
      <c r="R1802" s="0" t="n">
        <v>4554</v>
      </c>
      <c r="S1802" s="0" t="n">
        <v>9155</v>
      </c>
      <c r="U1802" s="0" t="n">
        <v>720</v>
      </c>
      <c r="V1802" s="0" t="n">
        <v>0</v>
      </c>
      <c r="W1802" s="27" t="n">
        <f aca="false">MATCH(A1802,DATAS,0)</f>
        <v>1</v>
      </c>
      <c r="X1802" s="27" t="n">
        <f aca="false">IF(AND(E1802&gt;0,OR(AND(B1802&gt;=1,B1802&lt;=6),B1802=10)),1,0)</f>
        <v>1</v>
      </c>
      <c r="Y1802" s="27" t="n">
        <f aca="false">IF(AND(E1802&gt;0,B1802=10),1,0)</f>
        <v>0</v>
      </c>
      <c r="Z1802" s="0" t="str">
        <f aca="false">IF(AND(C1801=C1802,W1801=W1802-1),X1801,"")</f>
        <v/>
      </c>
      <c r="AA1802" s="0" t="str">
        <f aca="false">IF(AND(C1801=C1802,W1801=W1802-1),Y1801,"")</f>
        <v/>
      </c>
      <c r="AB1802" s="0" t="str">
        <f aca="false">IF(W1802=1,"",IF(AND(X1802=1,Z1802&lt;&gt;1),1,0))</f>
        <v/>
      </c>
      <c r="AC1802" s="0" t="str">
        <f aca="false">IF(W1802=1,"",IF(AND(Y1802=1,AA1802&lt;&gt;1),1,0))</f>
        <v/>
      </c>
      <c r="AD1802" s="33" t="str">
        <f aca="false">IF(AND(E1802&gt;0,W1802&lt;1,NOT(AND(C1803=C1802,W1803=W1802+1))),INDEX(DATAS,W1802+1),"")</f>
        <v/>
      </c>
      <c r="AE1802" s="33" t="str">
        <f aca="false">IF(AND(Y1802=1,W1802&lt;1),IF(AND(C1803=C1802,W1803=W1802+1),IF(Y1803=1,"",INDEX(DATAS,W1802+1)),INDEX(DATAS,W1802+1)),"")</f>
        <v/>
      </c>
    </row>
    <row r="1803" customFormat="false" ht="15" hidden="false" customHeight="false" outlineLevel="0" collapsed="false">
      <c r="A1803" s="33" t="n">
        <v>46309</v>
      </c>
      <c r="B1803" s="0" t="n">
        <v>8</v>
      </c>
      <c r="C1803" s="0" t="n">
        <v>6005</v>
      </c>
      <c r="E1803" s="0" t="n">
        <v>0</v>
      </c>
      <c r="F1803" s="27" t="s">
        <v>1059</v>
      </c>
      <c r="I1803" s="27" t="s">
        <v>138</v>
      </c>
      <c r="L1803" s="0" t="n">
        <v>35</v>
      </c>
      <c r="U1803" s="0" t="n">
        <v>720</v>
      </c>
      <c r="V1803" s="0" t="n">
        <v>7</v>
      </c>
      <c r="W1803" s="27" t="n">
        <f aca="false">MATCH(A1803,DATAS,0)</f>
        <v>1</v>
      </c>
      <c r="X1803" s="27" t="n">
        <f aca="false">IF(AND(E1803&gt;0,OR(AND(B1803&gt;=1,B1803&lt;=6),B1803=10)),1,0)</f>
        <v>0</v>
      </c>
      <c r="Y1803" s="27" t="n">
        <f aca="false">IF(AND(E1803&gt;0,B1803=10),1,0)</f>
        <v>0</v>
      </c>
      <c r="Z1803" s="0" t="str">
        <f aca="false">IF(AND(C1802=C1803,W1802=W1803-1),X1802,"")</f>
        <v/>
      </c>
      <c r="AA1803" s="0" t="str">
        <f aca="false">IF(AND(C1802=C1803,W1802=W1803-1),Y1802,"")</f>
        <v/>
      </c>
      <c r="AB1803" s="0" t="str">
        <f aca="false">IF(W1803=1,"",IF(AND(X1803=1,Z1803&lt;&gt;1),1,0))</f>
        <v/>
      </c>
      <c r="AC1803" s="0" t="str">
        <f aca="false">IF(W1803=1,"",IF(AND(Y1803=1,AA1803&lt;&gt;1),1,0))</f>
        <v/>
      </c>
      <c r="AD1803" s="33" t="str">
        <f aca="false">IF(AND(E1803&gt;0,W1803&lt;1,NOT(AND(C1804=C1803,W1804=W1803+1))),INDEX(DATAS,W1803+1),"")</f>
        <v/>
      </c>
      <c r="AE1803" s="33" t="str">
        <f aca="false">IF(AND(Y1803=1,W1803&lt;1),IF(AND(C1804=C1803,W1804=W1803+1),IF(Y1804=1,"",INDEX(DATAS,W1803+1)),INDEX(DATAS,W1803+1)),"")</f>
        <v/>
      </c>
    </row>
    <row r="1804" customFormat="false" ht="15" hidden="false" customHeight="false" outlineLevel="0" collapsed="false">
      <c r="A1804" s="33" t="n">
        <v>46309</v>
      </c>
      <c r="B1804" s="0" t="n">
        <v>1</v>
      </c>
      <c r="C1804" s="0" t="n">
        <v>6006</v>
      </c>
      <c r="D1804" s="0" t="n">
        <v>35</v>
      </c>
      <c r="E1804" s="0" t="n">
        <v>1</v>
      </c>
      <c r="F1804" s="27" t="s">
        <v>1060</v>
      </c>
      <c r="I1804" s="27" t="s">
        <v>147</v>
      </c>
      <c r="J1804" s="0" t="n">
        <v>35</v>
      </c>
      <c r="U1804" s="0" t="n">
        <v>719</v>
      </c>
      <c r="V1804" s="0" t="n">
        <v>0</v>
      </c>
      <c r="W1804" s="27" t="n">
        <f aca="false">MATCH(A1804,DATAS,0)</f>
        <v>1</v>
      </c>
      <c r="X1804" s="27" t="n">
        <f aca="false">IF(AND(E1804&gt;0,OR(AND(B1804&gt;=1,B1804&lt;=6),B1804=10)),1,0)</f>
        <v>1</v>
      </c>
      <c r="Y1804" s="27" t="n">
        <f aca="false">IF(AND(E1804&gt;0,B1804=10),1,0)</f>
        <v>0</v>
      </c>
      <c r="Z1804" s="0" t="str">
        <f aca="false">IF(AND(C1803=C1804,W1803=W1804-1),X1803,"")</f>
        <v/>
      </c>
      <c r="AA1804" s="0" t="str">
        <f aca="false">IF(AND(C1803=C1804,W1803=W1804-1),Y1803,"")</f>
        <v/>
      </c>
      <c r="AB1804" s="0" t="str">
        <f aca="false">IF(W1804=1,"",IF(AND(X1804=1,Z1804&lt;&gt;1),1,0))</f>
        <v/>
      </c>
      <c r="AC1804" s="0" t="str">
        <f aca="false">IF(W1804=1,"",IF(AND(Y1804=1,AA1804&lt;&gt;1),1,0))</f>
        <v/>
      </c>
      <c r="AD1804" s="33" t="str">
        <f aca="false">IF(AND(E1804&gt;0,W1804&lt;1,NOT(AND(C1805=C1804,W1805=W1804+1))),INDEX(DATAS,W1804+1),"")</f>
        <v/>
      </c>
      <c r="AE1804" s="33" t="str">
        <f aca="false">IF(AND(Y1804=1,W1804&lt;1),IF(AND(C1805=C1804,W1805=W1804+1),IF(Y1805=1,"",INDEX(DATAS,W1804+1)),INDEX(DATAS,W1804+1)),"")</f>
        <v/>
      </c>
    </row>
    <row r="1805" customFormat="false" ht="15" hidden="false" customHeight="false" outlineLevel="0" collapsed="false">
      <c r="A1805" s="33" t="n">
        <v>46309</v>
      </c>
      <c r="B1805" s="0" t="n">
        <v>1</v>
      </c>
      <c r="C1805" s="0" t="n">
        <v>6007</v>
      </c>
      <c r="D1805" s="0" t="n">
        <v>56</v>
      </c>
      <c r="E1805" s="0" t="n">
        <v>1</v>
      </c>
      <c r="F1805" s="27" t="s">
        <v>1060</v>
      </c>
      <c r="G1805" s="0" t="n">
        <v>49.1</v>
      </c>
      <c r="H1805" s="0" t="n">
        <v>49</v>
      </c>
      <c r="I1805" s="27" t="s">
        <v>147</v>
      </c>
      <c r="J1805" s="0" t="n">
        <v>56</v>
      </c>
      <c r="P1805" s="0" t="n">
        <v>5.21</v>
      </c>
      <c r="Q1805" s="0" t="n">
        <v>2.78</v>
      </c>
      <c r="R1805" s="0" t="n">
        <v>4111</v>
      </c>
      <c r="S1805" s="0" t="n">
        <v>8265</v>
      </c>
      <c r="U1805" s="0" t="n">
        <v>719</v>
      </c>
      <c r="V1805" s="0" t="n">
        <v>0</v>
      </c>
      <c r="W1805" s="27" t="n">
        <f aca="false">MATCH(A1805,DATAS,0)</f>
        <v>1</v>
      </c>
      <c r="X1805" s="27" t="n">
        <f aca="false">IF(AND(E1805&gt;0,OR(AND(B1805&gt;=1,B1805&lt;=6),B1805=10)),1,0)</f>
        <v>1</v>
      </c>
      <c r="Y1805" s="27" t="n">
        <f aca="false">IF(AND(E1805&gt;0,B1805=10),1,0)</f>
        <v>0</v>
      </c>
      <c r="Z1805" s="0" t="str">
        <f aca="false">IF(AND(C1804=C1805,W1804=W1805-1),X1804,"")</f>
        <v/>
      </c>
      <c r="AA1805" s="0" t="str">
        <f aca="false">IF(AND(C1804=C1805,W1804=W1805-1),Y1804,"")</f>
        <v/>
      </c>
      <c r="AB1805" s="0" t="str">
        <f aca="false">IF(W1805=1,"",IF(AND(X1805=1,Z1805&lt;&gt;1),1,0))</f>
        <v/>
      </c>
      <c r="AC1805" s="0" t="str">
        <f aca="false">IF(W1805=1,"",IF(AND(Y1805=1,AA1805&lt;&gt;1),1,0))</f>
        <v/>
      </c>
      <c r="AD1805" s="33" t="str">
        <f aca="false">IF(AND(E1805&gt;0,W1805&lt;1,NOT(AND(C1806=C1805,W1806=W1805+1))),INDEX(DATAS,W1805+1),"")</f>
        <v/>
      </c>
      <c r="AE1805" s="33" t="str">
        <f aca="false">IF(AND(Y1805=1,W1805&lt;1),IF(AND(C1806=C1805,W1806=W1805+1),IF(Y1806=1,"",INDEX(DATAS,W1805+1)),INDEX(DATAS,W1805+1)),"")</f>
        <v/>
      </c>
    </row>
    <row r="1806" customFormat="false" ht="15" hidden="false" customHeight="false" outlineLevel="0" collapsed="false">
      <c r="A1806" s="33" t="n">
        <v>46309</v>
      </c>
      <c r="B1806" s="0" t="n">
        <v>1</v>
      </c>
      <c r="C1806" s="0" t="n">
        <v>6009</v>
      </c>
      <c r="D1806" s="0" t="n">
        <v>78</v>
      </c>
      <c r="E1806" s="0" t="n">
        <v>1</v>
      </c>
      <c r="F1806" s="27" t="s">
        <v>1061</v>
      </c>
      <c r="G1806" s="0" t="n">
        <v>52.3</v>
      </c>
      <c r="H1806" s="0" t="n">
        <v>51</v>
      </c>
      <c r="I1806" s="27" t="s">
        <v>168</v>
      </c>
      <c r="J1806" s="0" t="n">
        <v>78</v>
      </c>
      <c r="K1806" s="0" t="n">
        <v>64</v>
      </c>
      <c r="P1806" s="0" t="n">
        <v>3.85</v>
      </c>
      <c r="Q1806" s="0" t="n">
        <v>2.94</v>
      </c>
      <c r="R1806" s="0" t="n">
        <v>4460</v>
      </c>
      <c r="S1806" s="0" t="n">
        <v>8965</v>
      </c>
      <c r="U1806" s="0" t="n">
        <v>718</v>
      </c>
      <c r="V1806" s="0" t="n">
        <v>2</v>
      </c>
      <c r="W1806" s="27" t="n">
        <f aca="false">MATCH(A1806,DATAS,0)</f>
        <v>1</v>
      </c>
      <c r="X1806" s="27" t="n">
        <f aca="false">IF(AND(E1806&gt;0,OR(AND(B1806&gt;=1,B1806&lt;=6),B1806=10)),1,0)</f>
        <v>1</v>
      </c>
      <c r="Y1806" s="27" t="n">
        <f aca="false">IF(AND(E1806&gt;0,B1806=10),1,0)</f>
        <v>0</v>
      </c>
      <c r="Z1806" s="0" t="str">
        <f aca="false">IF(AND(C1805=C1806,W1805=W1806-1),X1805,"")</f>
        <v/>
      </c>
      <c r="AA1806" s="0" t="str">
        <f aca="false">IF(AND(C1805=C1806,W1805=W1806-1),Y1805,"")</f>
        <v/>
      </c>
      <c r="AB1806" s="0" t="str">
        <f aca="false">IF(W1806=1,"",IF(AND(X1806=1,Z1806&lt;&gt;1),1,0))</f>
        <v/>
      </c>
      <c r="AC1806" s="0" t="str">
        <f aca="false">IF(W1806=1,"",IF(AND(Y1806=1,AA1806&lt;&gt;1),1,0))</f>
        <v/>
      </c>
      <c r="AD1806" s="33" t="str">
        <f aca="false">IF(AND(E1806&gt;0,W1806&lt;1,NOT(AND(C1807=C1806,W1807=W1806+1))),INDEX(DATAS,W1806+1),"")</f>
        <v/>
      </c>
      <c r="AE1806" s="33" t="str">
        <f aca="false">IF(AND(Y1806=1,W1806&lt;1),IF(AND(C1807=C1806,W1807=W1806+1),IF(Y1807=1,"",INDEX(DATAS,W1806+1)),INDEX(DATAS,W1806+1)),"")</f>
        <v/>
      </c>
    </row>
    <row r="1807" customFormat="false" ht="15" hidden="false" customHeight="false" outlineLevel="0" collapsed="false">
      <c r="A1807" s="33" t="n">
        <v>46309</v>
      </c>
      <c r="B1807" s="0" t="n">
        <v>1</v>
      </c>
      <c r="C1807" s="0" t="n">
        <v>6010</v>
      </c>
      <c r="D1807" s="0" t="n">
        <v>18</v>
      </c>
      <c r="E1807" s="0" t="n">
        <v>1</v>
      </c>
      <c r="F1807" s="27" t="s">
        <v>1061</v>
      </c>
      <c r="G1807" s="0" t="n">
        <v>24.4</v>
      </c>
      <c r="H1807" s="0" t="n">
        <v>28</v>
      </c>
      <c r="I1807" s="27" t="s">
        <v>147</v>
      </c>
      <c r="J1807" s="0" t="n">
        <v>18</v>
      </c>
      <c r="R1807" s="0" t="n">
        <v>2092</v>
      </c>
      <c r="S1807" s="0" t="n">
        <v>4206</v>
      </c>
      <c r="U1807" s="0" t="n">
        <v>718</v>
      </c>
      <c r="V1807" s="0" t="n">
        <v>0</v>
      </c>
      <c r="W1807" s="27" t="n">
        <f aca="false">MATCH(A1807,DATAS,0)</f>
        <v>1</v>
      </c>
      <c r="X1807" s="27" t="n">
        <f aca="false">IF(AND(E1807&gt;0,OR(AND(B1807&gt;=1,B1807&lt;=6),B1807=10)),1,0)</f>
        <v>1</v>
      </c>
      <c r="Y1807" s="27" t="n">
        <f aca="false">IF(AND(E1807&gt;0,B1807=10),1,0)</f>
        <v>0</v>
      </c>
      <c r="Z1807" s="0" t="str">
        <f aca="false">IF(AND(C1806=C1807,W1806=W1807-1),X1806,"")</f>
        <v/>
      </c>
      <c r="AA1807" s="0" t="str">
        <f aca="false">IF(AND(C1806=C1807,W1806=W1807-1),Y1806,"")</f>
        <v/>
      </c>
      <c r="AB1807" s="0" t="str">
        <f aca="false">IF(W1807=1,"",IF(AND(X1807=1,Z1807&lt;&gt;1),1,0))</f>
        <v/>
      </c>
      <c r="AC1807" s="0" t="str">
        <f aca="false">IF(W1807=1,"",IF(AND(Y1807=1,AA1807&lt;&gt;1),1,0))</f>
        <v/>
      </c>
      <c r="AD1807" s="33" t="str">
        <f aca="false">IF(AND(E1807&gt;0,W1807&lt;1,NOT(AND(C1808=C1807,W1808=W1807+1))),INDEX(DATAS,W1807+1),"")</f>
        <v/>
      </c>
      <c r="AE1807" s="33" t="str">
        <f aca="false">IF(AND(Y1807=1,W1807&lt;1),IF(AND(C1808=C1807,W1808=W1807+1),IF(Y1808=1,"",INDEX(DATAS,W1807+1)),INDEX(DATAS,W1807+1)),"")</f>
        <v/>
      </c>
    </row>
    <row r="1808" customFormat="false" ht="15" hidden="false" customHeight="false" outlineLevel="0" collapsed="false">
      <c r="A1808" s="33" t="n">
        <v>46309</v>
      </c>
      <c r="B1808" s="0" t="n">
        <v>1</v>
      </c>
      <c r="C1808" s="0" t="n">
        <v>6011</v>
      </c>
      <c r="D1808" s="0" t="n">
        <v>71</v>
      </c>
      <c r="E1808" s="0" t="n">
        <v>1</v>
      </c>
      <c r="F1808" s="27" t="s">
        <v>1061</v>
      </c>
      <c r="G1808" s="0" t="n">
        <v>49</v>
      </c>
      <c r="H1808" s="0" t="n">
        <v>44</v>
      </c>
      <c r="I1808" s="27" t="s">
        <v>168</v>
      </c>
      <c r="J1808" s="0" t="n">
        <v>71</v>
      </c>
      <c r="K1808" s="0" t="n">
        <v>64</v>
      </c>
      <c r="P1808" s="0" t="n">
        <v>2.87</v>
      </c>
      <c r="Q1808" s="0" t="n">
        <v>2.97</v>
      </c>
      <c r="R1808" s="0" t="n">
        <v>4224</v>
      </c>
      <c r="S1808" s="0" t="n">
        <v>8491</v>
      </c>
      <c r="U1808" s="0" t="n">
        <v>718</v>
      </c>
      <c r="V1808" s="0" t="n">
        <v>1</v>
      </c>
      <c r="W1808" s="27" t="n">
        <f aca="false">MATCH(A1808,DATAS,0)</f>
        <v>1</v>
      </c>
      <c r="X1808" s="27" t="n">
        <f aca="false">IF(AND(E1808&gt;0,OR(AND(B1808&gt;=1,B1808&lt;=6),B1808=10)),1,0)</f>
        <v>1</v>
      </c>
      <c r="Y1808" s="27" t="n">
        <f aca="false">IF(AND(E1808&gt;0,B1808=10),1,0)</f>
        <v>0</v>
      </c>
      <c r="Z1808" s="0" t="str">
        <f aca="false">IF(AND(C1807=C1808,W1807=W1808-1),X1807,"")</f>
        <v/>
      </c>
      <c r="AA1808" s="0" t="str">
        <f aca="false">IF(AND(C1807=C1808,W1807=W1808-1),Y1807,"")</f>
        <v/>
      </c>
      <c r="AB1808" s="0" t="str">
        <f aca="false">IF(W1808=1,"",IF(AND(X1808=1,Z1808&lt;&gt;1),1,0))</f>
        <v/>
      </c>
      <c r="AC1808" s="0" t="str">
        <f aca="false">IF(W1808=1,"",IF(AND(Y1808=1,AA1808&lt;&gt;1),1,0))</f>
        <v/>
      </c>
      <c r="AD1808" s="33" t="str">
        <f aca="false">IF(AND(E1808&gt;0,W1808&lt;1,NOT(AND(C1809=C1808,W1809=W1808+1))),INDEX(DATAS,W1808+1),"")</f>
        <v/>
      </c>
      <c r="AE1808" s="33" t="str">
        <f aca="false">IF(AND(Y1808=1,W1808&lt;1),IF(AND(C1809=C1808,W1809=W1808+1),IF(Y1809=1,"",INDEX(DATAS,W1808+1)),INDEX(DATAS,W1808+1)),"")</f>
        <v/>
      </c>
    </row>
    <row r="1809" customFormat="false" ht="15" hidden="false" customHeight="false" outlineLevel="0" collapsed="false">
      <c r="A1809" s="33" t="n">
        <v>46309</v>
      </c>
      <c r="B1809" s="0" t="n">
        <v>1</v>
      </c>
      <c r="C1809" s="0" t="n">
        <v>6012</v>
      </c>
      <c r="D1809" s="0" t="n">
        <v>34</v>
      </c>
      <c r="E1809" s="0" t="n">
        <v>1</v>
      </c>
      <c r="F1809" s="27" t="s">
        <v>1062</v>
      </c>
      <c r="G1809" s="0" t="n">
        <v>53.4</v>
      </c>
      <c r="H1809" s="0" t="n">
        <v>51</v>
      </c>
      <c r="I1809" s="27" t="s">
        <v>147</v>
      </c>
      <c r="J1809" s="0" t="n">
        <v>34</v>
      </c>
      <c r="P1809" s="0" t="n">
        <v>5.6</v>
      </c>
      <c r="Q1809" s="0" t="n">
        <v>3.4</v>
      </c>
      <c r="R1809" s="0" t="n">
        <v>4397</v>
      </c>
      <c r="S1809" s="0" t="n">
        <v>8838</v>
      </c>
      <c r="U1809" s="0" t="n">
        <v>715</v>
      </c>
      <c r="V1809" s="0" t="n">
        <v>0</v>
      </c>
      <c r="W1809" s="27" t="n">
        <f aca="false">MATCH(A1809,DATAS,0)</f>
        <v>1</v>
      </c>
      <c r="X1809" s="27" t="n">
        <f aca="false">IF(AND(E1809&gt;0,OR(AND(B1809&gt;=1,B1809&lt;=6),B1809=10)),1,0)</f>
        <v>1</v>
      </c>
      <c r="Y1809" s="27" t="n">
        <f aca="false">IF(AND(E1809&gt;0,B1809=10),1,0)</f>
        <v>0</v>
      </c>
      <c r="Z1809" s="0" t="str">
        <f aca="false">IF(AND(C1808=C1809,W1808=W1809-1),X1808,"")</f>
        <v/>
      </c>
      <c r="AA1809" s="0" t="str">
        <f aca="false">IF(AND(C1808=C1809,W1808=W1809-1),Y1808,"")</f>
        <v/>
      </c>
      <c r="AB1809" s="0" t="str">
        <f aca="false">IF(W1809=1,"",IF(AND(X1809=1,Z1809&lt;&gt;1),1,0))</f>
        <v/>
      </c>
      <c r="AC1809" s="0" t="str">
        <f aca="false">IF(W1809=1,"",IF(AND(Y1809=1,AA1809&lt;&gt;1),1,0))</f>
        <v/>
      </c>
      <c r="AD1809" s="33" t="str">
        <f aca="false">IF(AND(E1809&gt;0,W1809&lt;1,NOT(AND(C1810=C1809,W1810=W1809+1))),INDEX(DATAS,W1809+1),"")</f>
        <v/>
      </c>
      <c r="AE1809" s="33" t="str">
        <f aca="false">IF(AND(Y1809=1,W1809&lt;1),IF(AND(C1810=C1809,W1810=W1809+1),IF(Y1810=1,"",INDEX(DATAS,W1809+1)),INDEX(DATAS,W1809+1)),"")</f>
        <v/>
      </c>
    </row>
    <row r="1810" customFormat="false" ht="15" hidden="false" customHeight="false" outlineLevel="0" collapsed="false">
      <c r="A1810" s="33" t="n">
        <v>46309</v>
      </c>
      <c r="B1810" s="0" t="n">
        <v>1</v>
      </c>
      <c r="C1810" s="0" t="n">
        <v>6014</v>
      </c>
      <c r="D1810" s="0" t="n">
        <v>49</v>
      </c>
      <c r="E1810" s="0" t="n">
        <v>1</v>
      </c>
      <c r="F1810" s="27" t="s">
        <v>1062</v>
      </c>
      <c r="G1810" s="0" t="n">
        <v>38.7</v>
      </c>
      <c r="H1810" s="0" t="n">
        <v>38</v>
      </c>
      <c r="I1810" s="27" t="s">
        <v>147</v>
      </c>
      <c r="J1810" s="0" t="n">
        <v>49</v>
      </c>
      <c r="P1810" s="0" t="n">
        <v>3.89</v>
      </c>
      <c r="Q1810" s="0" t="n">
        <v>3.32</v>
      </c>
      <c r="R1810" s="0" t="n">
        <v>3142</v>
      </c>
      <c r="S1810" s="0" t="n">
        <v>6317</v>
      </c>
      <c r="U1810" s="0" t="n">
        <v>715</v>
      </c>
      <c r="V1810" s="0" t="n">
        <v>0</v>
      </c>
      <c r="W1810" s="27" t="n">
        <f aca="false">MATCH(A1810,DATAS,0)</f>
        <v>1</v>
      </c>
      <c r="X1810" s="27" t="n">
        <f aca="false">IF(AND(E1810&gt;0,OR(AND(B1810&gt;=1,B1810&lt;=6),B1810=10)),1,0)</f>
        <v>1</v>
      </c>
      <c r="Y1810" s="27" t="n">
        <f aca="false">IF(AND(E1810&gt;0,B1810=10),1,0)</f>
        <v>0</v>
      </c>
      <c r="Z1810" s="0" t="str">
        <f aca="false">IF(AND(C1809=C1810,W1809=W1810-1),X1809,"")</f>
        <v/>
      </c>
      <c r="AA1810" s="0" t="str">
        <f aca="false">IF(AND(C1809=C1810,W1809=W1810-1),Y1809,"")</f>
        <v/>
      </c>
      <c r="AB1810" s="0" t="str">
        <f aca="false">IF(W1810=1,"",IF(AND(X1810=1,Z1810&lt;&gt;1),1,0))</f>
        <v/>
      </c>
      <c r="AC1810" s="0" t="str">
        <f aca="false">IF(W1810=1,"",IF(AND(Y1810=1,AA1810&lt;&gt;1),1,0))</f>
        <v/>
      </c>
      <c r="AD1810" s="33" t="str">
        <f aca="false">IF(AND(E1810&gt;0,W1810&lt;1,NOT(AND(C1811=C1810,W1811=W1810+1))),INDEX(DATAS,W1810+1),"")</f>
        <v/>
      </c>
      <c r="AE1810" s="33" t="str">
        <f aca="false">IF(AND(Y1810=1,W1810&lt;1),IF(AND(C1811=C1810,W1811=W1810+1),IF(Y1811=1,"",INDEX(DATAS,W1810+1)),INDEX(DATAS,W1810+1)),"")</f>
        <v/>
      </c>
    </row>
    <row r="1811" customFormat="false" ht="15" hidden="false" customHeight="false" outlineLevel="0" collapsed="false">
      <c r="A1811" s="33" t="n">
        <v>46309</v>
      </c>
      <c r="B1811" s="0" t="n">
        <v>14</v>
      </c>
      <c r="C1811" s="0" t="n">
        <v>6015</v>
      </c>
      <c r="E1811" s="0" t="n">
        <v>0</v>
      </c>
      <c r="F1811" s="27" t="s">
        <v>1062</v>
      </c>
      <c r="I1811" s="27" t="s">
        <v>138</v>
      </c>
      <c r="L1811" s="0" t="n">
        <v>255</v>
      </c>
      <c r="U1811" s="0" t="n">
        <v>715</v>
      </c>
      <c r="V1811" s="0" t="n">
        <v>4</v>
      </c>
      <c r="W1811" s="27" t="n">
        <f aca="false">MATCH(A1811,DATAS,0)</f>
        <v>1</v>
      </c>
      <c r="X1811" s="27" t="n">
        <f aca="false">IF(AND(E1811&gt;0,OR(AND(B1811&gt;=1,B1811&lt;=6),B1811=10)),1,0)</f>
        <v>0</v>
      </c>
      <c r="Y1811" s="27" t="n">
        <f aca="false">IF(AND(E1811&gt;0,B1811=10),1,0)</f>
        <v>0</v>
      </c>
      <c r="Z1811" s="0" t="str">
        <f aca="false">IF(AND(C1810=C1811,W1810=W1811-1),X1810,"")</f>
        <v/>
      </c>
      <c r="AA1811" s="0" t="str">
        <f aca="false">IF(AND(C1810=C1811,W1810=W1811-1),Y1810,"")</f>
        <v/>
      </c>
      <c r="AB1811" s="0" t="str">
        <f aca="false">IF(W1811=1,"",IF(AND(X1811=1,Z1811&lt;&gt;1),1,0))</f>
        <v/>
      </c>
      <c r="AC1811" s="0" t="str">
        <f aca="false">IF(W1811=1,"",IF(AND(Y1811=1,AA1811&lt;&gt;1),1,0))</f>
        <v/>
      </c>
      <c r="AD1811" s="33" t="str">
        <f aca="false">IF(AND(E1811&gt;0,W1811&lt;1,NOT(AND(C1812=C1811,W1812=W1811+1))),INDEX(DATAS,W1811+1),"")</f>
        <v/>
      </c>
      <c r="AE1811" s="33" t="str">
        <f aca="false">IF(AND(Y1811=1,W1811&lt;1),IF(AND(C1812=C1811,W1812=W1811+1),IF(Y1812=1,"",INDEX(DATAS,W1811+1)),INDEX(DATAS,W1811+1)),"")</f>
        <v/>
      </c>
    </row>
    <row r="1812" customFormat="false" ht="15" hidden="false" customHeight="false" outlineLevel="0" collapsed="false">
      <c r="A1812" s="33" t="n">
        <v>46309</v>
      </c>
      <c r="B1812" s="0" t="n">
        <v>1</v>
      </c>
      <c r="C1812" s="0" t="n">
        <v>6017</v>
      </c>
      <c r="D1812" s="0" t="n">
        <v>30</v>
      </c>
      <c r="E1812" s="0" t="n">
        <v>1</v>
      </c>
      <c r="F1812" s="27" t="s">
        <v>1062</v>
      </c>
      <c r="G1812" s="0" t="n">
        <v>35.7</v>
      </c>
      <c r="H1812" s="0" t="n">
        <v>34</v>
      </c>
      <c r="I1812" s="27" t="s">
        <v>147</v>
      </c>
      <c r="J1812" s="0" t="n">
        <v>30</v>
      </c>
      <c r="P1812" s="0" t="n">
        <v>5.1</v>
      </c>
      <c r="Q1812" s="0" t="n">
        <v>4.08</v>
      </c>
      <c r="R1812" s="0" t="n">
        <v>3275</v>
      </c>
      <c r="S1812" s="0" t="n">
        <v>6583</v>
      </c>
      <c r="U1812" s="0" t="n">
        <v>715</v>
      </c>
      <c r="V1812" s="0" t="n">
        <v>0</v>
      </c>
      <c r="W1812" s="27" t="n">
        <f aca="false">MATCH(A1812,DATAS,0)</f>
        <v>1</v>
      </c>
      <c r="X1812" s="27" t="n">
        <f aca="false">IF(AND(E1812&gt;0,OR(AND(B1812&gt;=1,B1812&lt;=6),B1812=10)),1,0)</f>
        <v>1</v>
      </c>
      <c r="Y1812" s="27" t="n">
        <f aca="false">IF(AND(E1812&gt;0,B1812=10),1,0)</f>
        <v>0</v>
      </c>
      <c r="Z1812" s="0" t="str">
        <f aca="false">IF(AND(C1811=C1812,W1811=W1812-1),X1811,"")</f>
        <v/>
      </c>
      <c r="AA1812" s="0" t="str">
        <f aca="false">IF(AND(C1811=C1812,W1811=W1812-1),Y1811,"")</f>
        <v/>
      </c>
      <c r="AB1812" s="0" t="str">
        <f aca="false">IF(W1812=1,"",IF(AND(X1812=1,Z1812&lt;&gt;1),1,0))</f>
        <v/>
      </c>
      <c r="AC1812" s="0" t="str">
        <f aca="false">IF(W1812=1,"",IF(AND(Y1812=1,AA1812&lt;&gt;1),1,0))</f>
        <v/>
      </c>
      <c r="AD1812" s="33" t="str">
        <f aca="false">IF(AND(E1812&gt;0,W1812&lt;1,NOT(AND(C1813=C1812,W1813=W1812+1))),INDEX(DATAS,W1812+1),"")</f>
        <v/>
      </c>
      <c r="AE1812" s="33" t="str">
        <f aca="false">IF(AND(Y1812=1,W1812&lt;1),IF(AND(C1813=C1812,W1813=W1812+1),IF(Y1813=1,"",INDEX(DATAS,W1812+1)),INDEX(DATAS,W1812+1)),"")</f>
        <v/>
      </c>
    </row>
    <row r="1813" customFormat="false" ht="15" hidden="false" customHeight="false" outlineLevel="0" collapsed="false">
      <c r="A1813" s="33" t="n">
        <v>46309</v>
      </c>
      <c r="B1813" s="0" t="n">
        <v>1</v>
      </c>
      <c r="C1813" s="0" t="n">
        <v>6018</v>
      </c>
      <c r="D1813" s="0" t="n">
        <v>55</v>
      </c>
      <c r="E1813" s="0" t="n">
        <v>1</v>
      </c>
      <c r="F1813" s="27" t="s">
        <v>1062</v>
      </c>
      <c r="G1813" s="0" t="n">
        <v>41.8</v>
      </c>
      <c r="H1813" s="0" t="n">
        <v>45</v>
      </c>
      <c r="I1813" s="27" t="s">
        <v>147</v>
      </c>
      <c r="J1813" s="0" t="n">
        <v>55</v>
      </c>
      <c r="P1813" s="0" t="n">
        <v>4.53</v>
      </c>
      <c r="Q1813" s="0" t="n">
        <v>3.39</v>
      </c>
      <c r="R1813" s="0" t="n">
        <v>3964</v>
      </c>
      <c r="S1813" s="0" t="n">
        <v>7969</v>
      </c>
      <c r="U1813" s="0" t="n">
        <v>715</v>
      </c>
      <c r="V1813" s="0" t="n">
        <v>0</v>
      </c>
      <c r="W1813" s="27" t="n">
        <f aca="false">MATCH(A1813,DATAS,0)</f>
        <v>1</v>
      </c>
      <c r="X1813" s="27" t="n">
        <f aca="false">IF(AND(E1813&gt;0,OR(AND(B1813&gt;=1,B1813&lt;=6),B1813=10)),1,0)</f>
        <v>1</v>
      </c>
      <c r="Y1813" s="27" t="n">
        <f aca="false">IF(AND(E1813&gt;0,B1813=10),1,0)</f>
        <v>0</v>
      </c>
      <c r="Z1813" s="0" t="str">
        <f aca="false">IF(AND(C1812=C1813,W1812=W1813-1),X1812,"")</f>
        <v/>
      </c>
      <c r="AA1813" s="0" t="str">
        <f aca="false">IF(AND(C1812=C1813,W1812=W1813-1),Y1812,"")</f>
        <v/>
      </c>
      <c r="AB1813" s="0" t="str">
        <f aca="false">IF(W1813=1,"",IF(AND(X1813=1,Z1813&lt;&gt;1),1,0))</f>
        <v/>
      </c>
      <c r="AC1813" s="0" t="str">
        <f aca="false">IF(W1813=1,"",IF(AND(Y1813=1,AA1813&lt;&gt;1),1,0))</f>
        <v/>
      </c>
      <c r="AD1813" s="33" t="str">
        <f aca="false">IF(AND(E1813&gt;0,W1813&lt;1,NOT(AND(C1814=C1813,W1814=W1813+1))),INDEX(DATAS,W1813+1),"")</f>
        <v/>
      </c>
      <c r="AE1813" s="33" t="str">
        <f aca="false">IF(AND(Y1813=1,W1813&lt;1),IF(AND(C1814=C1813,W1814=W1813+1),IF(Y1814=1,"",INDEX(DATAS,W1813+1)),INDEX(DATAS,W1813+1)),"")</f>
        <v/>
      </c>
    </row>
    <row r="1814" customFormat="false" ht="15" hidden="false" customHeight="false" outlineLevel="0" collapsed="false">
      <c r="A1814" s="33" t="n">
        <v>46309</v>
      </c>
      <c r="B1814" s="0" t="n">
        <v>14</v>
      </c>
      <c r="C1814" s="0" t="n">
        <v>6021</v>
      </c>
      <c r="E1814" s="0" t="n">
        <v>0</v>
      </c>
      <c r="F1814" s="27" t="s">
        <v>1063</v>
      </c>
      <c r="I1814" s="27" t="s">
        <v>138</v>
      </c>
      <c r="L1814" s="0" t="n">
        <v>260</v>
      </c>
      <c r="U1814" s="0" t="n">
        <v>714</v>
      </c>
      <c r="V1814" s="0" t="n">
        <v>4</v>
      </c>
      <c r="W1814" s="27" t="n">
        <f aca="false">MATCH(A1814,DATAS,0)</f>
        <v>1</v>
      </c>
      <c r="X1814" s="27" t="n">
        <f aca="false">IF(AND(E1814&gt;0,OR(AND(B1814&gt;=1,B1814&lt;=6),B1814=10)),1,0)</f>
        <v>0</v>
      </c>
      <c r="Y1814" s="27" t="n">
        <f aca="false">IF(AND(E1814&gt;0,B1814=10),1,0)</f>
        <v>0</v>
      </c>
      <c r="Z1814" s="0" t="str">
        <f aca="false">IF(AND(C1813=C1814,W1813=W1814-1),X1813,"")</f>
        <v/>
      </c>
      <c r="AA1814" s="0" t="str">
        <f aca="false">IF(AND(C1813=C1814,W1813=W1814-1),Y1813,"")</f>
        <v/>
      </c>
      <c r="AB1814" s="0" t="str">
        <f aca="false">IF(W1814=1,"",IF(AND(X1814=1,Z1814&lt;&gt;1),1,0))</f>
        <v/>
      </c>
      <c r="AC1814" s="0" t="str">
        <f aca="false">IF(W1814=1,"",IF(AND(Y1814=1,AA1814&lt;&gt;1),1,0))</f>
        <v/>
      </c>
      <c r="AD1814" s="33" t="str">
        <f aca="false">IF(AND(E1814&gt;0,W1814&lt;1,NOT(AND(C1815=C1814,W1815=W1814+1))),INDEX(DATAS,W1814+1),"")</f>
        <v/>
      </c>
      <c r="AE1814" s="33" t="str">
        <f aca="false">IF(AND(Y1814=1,W1814&lt;1),IF(AND(C1815=C1814,W1815=W1814+1),IF(Y1815=1,"",INDEX(DATAS,W1814+1)),INDEX(DATAS,W1814+1)),"")</f>
        <v/>
      </c>
    </row>
    <row r="1815" customFormat="false" ht="15" hidden="false" customHeight="false" outlineLevel="0" collapsed="false">
      <c r="A1815" s="33" t="n">
        <v>46309</v>
      </c>
      <c r="B1815" s="0" t="n">
        <v>1</v>
      </c>
      <c r="C1815" s="0" t="n">
        <v>6024</v>
      </c>
      <c r="D1815" s="0" t="n">
        <v>53</v>
      </c>
      <c r="E1815" s="0" t="n">
        <v>1</v>
      </c>
      <c r="F1815" s="27" t="s">
        <v>1064</v>
      </c>
      <c r="G1815" s="0" t="n">
        <v>47.4</v>
      </c>
      <c r="H1815" s="0" t="n">
        <v>48</v>
      </c>
      <c r="I1815" s="27" t="s">
        <v>147</v>
      </c>
      <c r="J1815" s="0" t="n">
        <v>53</v>
      </c>
      <c r="P1815" s="0" t="n">
        <v>3.51</v>
      </c>
      <c r="Q1815" s="0" t="n">
        <v>3.01</v>
      </c>
      <c r="R1815" s="0" t="n">
        <v>3671</v>
      </c>
      <c r="S1815" s="0" t="n">
        <v>7379</v>
      </c>
      <c r="U1815" s="0" t="n">
        <v>713</v>
      </c>
      <c r="V1815" s="0" t="n">
        <v>0</v>
      </c>
      <c r="W1815" s="27" t="n">
        <f aca="false">MATCH(A1815,DATAS,0)</f>
        <v>1</v>
      </c>
      <c r="X1815" s="27" t="n">
        <f aca="false">IF(AND(E1815&gt;0,OR(AND(B1815&gt;=1,B1815&lt;=6),B1815=10)),1,0)</f>
        <v>1</v>
      </c>
      <c r="Y1815" s="27" t="n">
        <f aca="false">IF(AND(E1815&gt;0,B1815=10),1,0)</f>
        <v>0</v>
      </c>
      <c r="Z1815" s="0" t="str">
        <f aca="false">IF(AND(C1814=C1815,W1814=W1815-1),X1814,"")</f>
        <v/>
      </c>
      <c r="AA1815" s="0" t="str">
        <f aca="false">IF(AND(C1814=C1815,W1814=W1815-1),Y1814,"")</f>
        <v/>
      </c>
      <c r="AB1815" s="0" t="str">
        <f aca="false">IF(W1815=1,"",IF(AND(X1815=1,Z1815&lt;&gt;1),1,0))</f>
        <v/>
      </c>
      <c r="AC1815" s="0" t="str">
        <f aca="false">IF(W1815=1,"",IF(AND(Y1815=1,AA1815&lt;&gt;1),1,0))</f>
        <v/>
      </c>
      <c r="AD1815" s="33" t="str">
        <f aca="false">IF(AND(E1815&gt;0,W1815&lt;1,NOT(AND(C1816=C1815,W1816=W1815+1))),INDEX(DATAS,W1815+1),"")</f>
        <v/>
      </c>
      <c r="AE1815" s="33" t="str">
        <f aca="false">IF(AND(Y1815=1,W1815&lt;1),IF(AND(C1816=C1815,W1816=W1815+1),IF(Y1816=1,"",INDEX(DATAS,W1815+1)),INDEX(DATAS,W1815+1)),"")</f>
        <v/>
      </c>
    </row>
    <row r="1816" customFormat="false" ht="15" hidden="false" customHeight="false" outlineLevel="0" collapsed="false">
      <c r="A1816" s="33" t="n">
        <v>46309</v>
      </c>
      <c r="B1816" s="0" t="n">
        <v>1</v>
      </c>
      <c r="C1816" s="0" t="n">
        <v>6025</v>
      </c>
      <c r="D1816" s="0" t="n">
        <v>63</v>
      </c>
      <c r="E1816" s="0" t="n">
        <v>1</v>
      </c>
      <c r="F1816" s="27" t="s">
        <v>1065</v>
      </c>
      <c r="G1816" s="0" t="n">
        <v>43</v>
      </c>
      <c r="H1816" s="0" t="n">
        <v>42</v>
      </c>
      <c r="I1816" s="27" t="s">
        <v>168</v>
      </c>
      <c r="J1816" s="0" t="n">
        <v>63</v>
      </c>
      <c r="K1816" s="0" t="n">
        <v>63</v>
      </c>
      <c r="P1816" s="0" t="n">
        <v>3.9</v>
      </c>
      <c r="Q1816" s="0" t="n">
        <v>3</v>
      </c>
      <c r="R1816" s="0" t="n">
        <v>3505</v>
      </c>
      <c r="S1816" s="0" t="n">
        <v>7046</v>
      </c>
      <c r="U1816" s="0" t="n">
        <v>712</v>
      </c>
      <c r="V1816" s="0" t="n">
        <v>1</v>
      </c>
      <c r="W1816" s="27" t="n">
        <f aca="false">MATCH(A1816,DATAS,0)</f>
        <v>1</v>
      </c>
      <c r="X1816" s="27" t="n">
        <f aca="false">IF(AND(E1816&gt;0,OR(AND(B1816&gt;=1,B1816&lt;=6),B1816=10)),1,0)</f>
        <v>1</v>
      </c>
      <c r="Y1816" s="27" t="n">
        <f aca="false">IF(AND(E1816&gt;0,B1816=10),1,0)</f>
        <v>0</v>
      </c>
      <c r="Z1816" s="0" t="str">
        <f aca="false">IF(AND(C1815=C1816,W1815=W1816-1),X1815,"")</f>
        <v/>
      </c>
      <c r="AA1816" s="0" t="str">
        <f aca="false">IF(AND(C1815=C1816,W1815=W1816-1),Y1815,"")</f>
        <v/>
      </c>
      <c r="AB1816" s="0" t="str">
        <f aca="false">IF(W1816=1,"",IF(AND(X1816=1,Z1816&lt;&gt;1),1,0))</f>
        <v/>
      </c>
      <c r="AC1816" s="0" t="str">
        <f aca="false">IF(W1816=1,"",IF(AND(Y1816=1,AA1816&lt;&gt;1),1,0))</f>
        <v/>
      </c>
      <c r="AD1816" s="33" t="str">
        <f aca="false">IF(AND(E1816&gt;0,W1816&lt;1,NOT(AND(C1817=C1816,W1817=W1816+1))),INDEX(DATAS,W1816+1),"")</f>
        <v/>
      </c>
      <c r="AE1816" s="33" t="str">
        <f aca="false">IF(AND(Y1816=1,W1816&lt;1),IF(AND(C1817=C1816,W1817=W1816+1),IF(Y1817=1,"",INDEX(DATAS,W1816+1)),INDEX(DATAS,W1816+1)),"")</f>
        <v/>
      </c>
    </row>
    <row r="1817" customFormat="false" ht="15" hidden="false" customHeight="false" outlineLevel="0" collapsed="false">
      <c r="A1817" s="33" t="n">
        <v>46309</v>
      </c>
      <c r="B1817" s="0" t="n">
        <v>1</v>
      </c>
      <c r="C1817" s="0" t="n">
        <v>6026</v>
      </c>
      <c r="D1817" s="0" t="n">
        <v>66</v>
      </c>
      <c r="E1817" s="0" t="n">
        <v>1</v>
      </c>
      <c r="F1817" s="27" t="s">
        <v>1065</v>
      </c>
      <c r="G1817" s="0" t="n">
        <v>46.2</v>
      </c>
      <c r="H1817" s="0" t="n">
        <v>42</v>
      </c>
      <c r="I1817" s="27" t="s">
        <v>168</v>
      </c>
      <c r="J1817" s="0" t="n">
        <v>66</v>
      </c>
      <c r="K1817" s="0" t="n">
        <v>66</v>
      </c>
      <c r="P1817" s="0" t="n">
        <v>4.16</v>
      </c>
      <c r="Q1817" s="0" t="n">
        <v>3.48</v>
      </c>
      <c r="R1817" s="0" t="n">
        <v>3631</v>
      </c>
      <c r="S1817" s="0" t="n">
        <v>7300</v>
      </c>
      <c r="U1817" s="0" t="n">
        <v>712</v>
      </c>
      <c r="V1817" s="0" t="n">
        <v>1</v>
      </c>
      <c r="W1817" s="27" t="n">
        <f aca="false">MATCH(A1817,DATAS,0)</f>
        <v>1</v>
      </c>
      <c r="X1817" s="27" t="n">
        <f aca="false">IF(AND(E1817&gt;0,OR(AND(B1817&gt;=1,B1817&lt;=6),B1817=10)),1,0)</f>
        <v>1</v>
      </c>
      <c r="Y1817" s="27" t="n">
        <f aca="false">IF(AND(E1817&gt;0,B1817=10),1,0)</f>
        <v>0</v>
      </c>
      <c r="Z1817" s="0" t="str">
        <f aca="false">IF(AND(C1816=C1817,W1816=W1817-1),X1816,"")</f>
        <v/>
      </c>
      <c r="AA1817" s="0" t="str">
        <f aca="false">IF(AND(C1816=C1817,W1816=W1817-1),Y1816,"")</f>
        <v/>
      </c>
      <c r="AB1817" s="0" t="str">
        <f aca="false">IF(W1817=1,"",IF(AND(X1817=1,Z1817&lt;&gt;1),1,0))</f>
        <v/>
      </c>
      <c r="AC1817" s="0" t="str">
        <f aca="false">IF(W1817=1,"",IF(AND(Y1817=1,AA1817&lt;&gt;1),1,0))</f>
        <v/>
      </c>
      <c r="AD1817" s="33" t="str">
        <f aca="false">IF(AND(E1817&gt;0,W1817&lt;1,NOT(AND(C1818=C1817,W1818=W1817+1))),INDEX(DATAS,W1817+1),"")</f>
        <v/>
      </c>
      <c r="AE1817" s="33" t="str">
        <f aca="false">IF(AND(Y1817=1,W1817&lt;1),IF(AND(C1818=C1817,W1818=W1817+1),IF(Y1818=1,"",INDEX(DATAS,W1817+1)),INDEX(DATAS,W1817+1)),"")</f>
        <v/>
      </c>
    </row>
    <row r="1818" customFormat="false" ht="15" hidden="false" customHeight="false" outlineLevel="0" collapsed="false">
      <c r="A1818" s="33" t="n">
        <v>46309</v>
      </c>
      <c r="B1818" s="0" t="n">
        <v>1</v>
      </c>
      <c r="C1818" s="0" t="n">
        <v>6027</v>
      </c>
      <c r="D1818" s="0" t="n">
        <v>74</v>
      </c>
      <c r="E1818" s="0" t="n">
        <v>1</v>
      </c>
      <c r="F1818" s="27" t="s">
        <v>1065</v>
      </c>
      <c r="G1818" s="0" t="n">
        <v>57.9</v>
      </c>
      <c r="H1818" s="0" t="n">
        <v>55</v>
      </c>
      <c r="I1818" s="27" t="s">
        <v>168</v>
      </c>
      <c r="J1818" s="0" t="n">
        <v>74</v>
      </c>
      <c r="K1818" s="0" t="n">
        <v>67</v>
      </c>
      <c r="P1818" s="0" t="n">
        <v>3.05</v>
      </c>
      <c r="Q1818" s="0" t="n">
        <v>2.82</v>
      </c>
      <c r="R1818" s="0" t="n">
        <v>5155</v>
      </c>
      <c r="S1818" s="0" t="n">
        <v>10362</v>
      </c>
      <c r="U1818" s="0" t="n">
        <v>712</v>
      </c>
      <c r="V1818" s="0" t="n">
        <v>1</v>
      </c>
      <c r="W1818" s="27" t="n">
        <f aca="false">MATCH(A1818,DATAS,0)</f>
        <v>1</v>
      </c>
      <c r="X1818" s="27" t="n">
        <f aca="false">IF(AND(E1818&gt;0,OR(AND(B1818&gt;=1,B1818&lt;=6),B1818=10)),1,0)</f>
        <v>1</v>
      </c>
      <c r="Y1818" s="27" t="n">
        <f aca="false">IF(AND(E1818&gt;0,B1818=10),1,0)</f>
        <v>0</v>
      </c>
      <c r="Z1818" s="0" t="str">
        <f aca="false">IF(AND(C1817=C1818,W1817=W1818-1),X1817,"")</f>
        <v/>
      </c>
      <c r="AA1818" s="0" t="str">
        <f aca="false">IF(AND(C1817=C1818,W1817=W1818-1),Y1817,"")</f>
        <v/>
      </c>
      <c r="AB1818" s="0" t="str">
        <f aca="false">IF(W1818=1,"",IF(AND(X1818=1,Z1818&lt;&gt;1),1,0))</f>
        <v/>
      </c>
      <c r="AC1818" s="0" t="str">
        <f aca="false">IF(W1818=1,"",IF(AND(Y1818=1,AA1818&lt;&gt;1),1,0))</f>
        <v/>
      </c>
      <c r="AD1818" s="33" t="str">
        <f aca="false">IF(AND(E1818&gt;0,W1818&lt;1,NOT(AND(C1819=C1818,W1819=W1818+1))),INDEX(DATAS,W1818+1),"")</f>
        <v/>
      </c>
      <c r="AE1818" s="33" t="str">
        <f aca="false">IF(AND(Y1818=1,W1818&lt;1),IF(AND(C1819=C1818,W1819=W1818+1),IF(Y1819=1,"",INDEX(DATAS,W1818+1)),INDEX(DATAS,W1818+1)),"")</f>
        <v/>
      </c>
    </row>
    <row r="1819" customFormat="false" ht="15" hidden="false" customHeight="false" outlineLevel="0" collapsed="false">
      <c r="A1819" s="33" t="n">
        <v>46309</v>
      </c>
      <c r="B1819" s="0" t="n">
        <v>8</v>
      </c>
      <c r="C1819" s="0" t="n">
        <v>6028</v>
      </c>
      <c r="E1819" s="0" t="n">
        <v>0</v>
      </c>
      <c r="F1819" s="27" t="s">
        <v>1065</v>
      </c>
      <c r="I1819" s="27" t="s">
        <v>138</v>
      </c>
      <c r="L1819" s="0" t="n">
        <v>42</v>
      </c>
      <c r="U1819" s="0" t="n">
        <v>712</v>
      </c>
      <c r="V1819" s="0" t="n">
        <v>5</v>
      </c>
      <c r="W1819" s="27" t="n">
        <f aca="false">MATCH(A1819,DATAS,0)</f>
        <v>1</v>
      </c>
      <c r="X1819" s="27" t="n">
        <f aca="false">IF(AND(E1819&gt;0,OR(AND(B1819&gt;=1,B1819&lt;=6),B1819=10)),1,0)</f>
        <v>0</v>
      </c>
      <c r="Y1819" s="27" t="n">
        <f aca="false">IF(AND(E1819&gt;0,B1819=10),1,0)</f>
        <v>0</v>
      </c>
      <c r="Z1819" s="0" t="str">
        <f aca="false">IF(AND(C1818=C1819,W1818=W1819-1),X1818,"")</f>
        <v/>
      </c>
      <c r="AA1819" s="0" t="str">
        <f aca="false">IF(AND(C1818=C1819,W1818=W1819-1),Y1818,"")</f>
        <v/>
      </c>
      <c r="AB1819" s="0" t="str">
        <f aca="false">IF(W1819=1,"",IF(AND(X1819=1,Z1819&lt;&gt;1),1,0))</f>
        <v/>
      </c>
      <c r="AC1819" s="0" t="str">
        <f aca="false">IF(W1819=1,"",IF(AND(Y1819=1,AA1819&lt;&gt;1),1,0))</f>
        <v/>
      </c>
      <c r="AD1819" s="33" t="str">
        <f aca="false">IF(AND(E1819&gt;0,W1819&lt;1,NOT(AND(C1820=C1819,W1820=W1819+1))),INDEX(DATAS,W1819+1),"")</f>
        <v/>
      </c>
      <c r="AE1819" s="33" t="str">
        <f aca="false">IF(AND(Y1819=1,W1819&lt;1),IF(AND(C1820=C1819,W1820=W1819+1),IF(Y1820=1,"",INDEX(DATAS,W1819+1)),INDEX(DATAS,W1819+1)),"")</f>
        <v/>
      </c>
    </row>
    <row r="1820" customFormat="false" ht="15" hidden="false" customHeight="false" outlineLevel="0" collapsed="false">
      <c r="A1820" s="33" t="n">
        <v>46309</v>
      </c>
      <c r="B1820" s="0" t="n">
        <v>1</v>
      </c>
      <c r="C1820" s="0" t="n">
        <v>6029</v>
      </c>
      <c r="D1820" s="0" t="n">
        <v>25</v>
      </c>
      <c r="E1820" s="0" t="n">
        <v>1</v>
      </c>
      <c r="F1820" s="27" t="s">
        <v>1066</v>
      </c>
      <c r="G1820" s="0" t="n">
        <v>33.1</v>
      </c>
      <c r="H1820" s="0" t="n">
        <v>30</v>
      </c>
      <c r="I1820" s="27" t="s">
        <v>147</v>
      </c>
      <c r="J1820" s="0" t="n">
        <v>25</v>
      </c>
      <c r="R1820" s="0" t="n">
        <v>2467</v>
      </c>
      <c r="S1820" s="0" t="n">
        <v>4959</v>
      </c>
      <c r="U1820" s="0" t="n">
        <v>711</v>
      </c>
      <c r="V1820" s="0" t="n">
        <v>0</v>
      </c>
      <c r="W1820" s="27" t="n">
        <f aca="false">MATCH(A1820,DATAS,0)</f>
        <v>1</v>
      </c>
      <c r="X1820" s="27" t="n">
        <f aca="false">IF(AND(E1820&gt;0,OR(AND(B1820&gt;=1,B1820&lt;=6),B1820=10)),1,0)</f>
        <v>1</v>
      </c>
      <c r="Y1820" s="27" t="n">
        <f aca="false">IF(AND(E1820&gt;0,B1820=10),1,0)</f>
        <v>0</v>
      </c>
      <c r="Z1820" s="0" t="str">
        <f aca="false">IF(AND(C1819=C1820,W1819=W1820-1),X1819,"")</f>
        <v/>
      </c>
      <c r="AA1820" s="0" t="str">
        <f aca="false">IF(AND(C1819=C1820,W1819=W1820-1),Y1819,"")</f>
        <v/>
      </c>
      <c r="AB1820" s="0" t="str">
        <f aca="false">IF(W1820=1,"",IF(AND(X1820=1,Z1820&lt;&gt;1),1,0))</f>
        <v/>
      </c>
      <c r="AC1820" s="0" t="str">
        <f aca="false">IF(W1820=1,"",IF(AND(Y1820=1,AA1820&lt;&gt;1),1,0))</f>
        <v/>
      </c>
      <c r="AD1820" s="33" t="str">
        <f aca="false">IF(AND(E1820&gt;0,W1820&lt;1,NOT(AND(C1821=C1820,W1821=W1820+1))),INDEX(DATAS,W1820+1),"")</f>
        <v/>
      </c>
      <c r="AE1820" s="33" t="str">
        <f aca="false">IF(AND(Y1820=1,W1820&lt;1),IF(AND(C1821=C1820,W1821=W1820+1),IF(Y1821=1,"",INDEX(DATAS,W1820+1)),INDEX(DATAS,W1820+1)),"")</f>
        <v/>
      </c>
    </row>
    <row r="1821" customFormat="false" ht="15" hidden="false" customHeight="false" outlineLevel="0" collapsed="false">
      <c r="A1821" s="33" t="n">
        <v>46309</v>
      </c>
      <c r="B1821" s="0" t="n">
        <v>1</v>
      </c>
      <c r="C1821" s="0" t="n">
        <v>6030</v>
      </c>
      <c r="D1821" s="0" t="n">
        <v>59</v>
      </c>
      <c r="E1821" s="0" t="n">
        <v>1</v>
      </c>
      <c r="F1821" s="27" t="s">
        <v>1066</v>
      </c>
      <c r="G1821" s="0" t="n">
        <v>48.9</v>
      </c>
      <c r="H1821" s="0" t="n">
        <v>47</v>
      </c>
      <c r="I1821" s="27" t="s">
        <v>147</v>
      </c>
      <c r="J1821" s="0" t="n">
        <v>59</v>
      </c>
      <c r="P1821" s="0" t="n">
        <v>3.38</v>
      </c>
      <c r="Q1821" s="0" t="n">
        <v>2.89</v>
      </c>
      <c r="R1821" s="0" t="n">
        <v>4380</v>
      </c>
      <c r="S1821" s="0" t="n">
        <v>8804</v>
      </c>
      <c r="U1821" s="0" t="n">
        <v>711</v>
      </c>
      <c r="V1821" s="0" t="n">
        <v>0</v>
      </c>
      <c r="W1821" s="27" t="n">
        <f aca="false">MATCH(A1821,DATAS,0)</f>
        <v>1</v>
      </c>
      <c r="X1821" s="27" t="n">
        <f aca="false">IF(AND(E1821&gt;0,OR(AND(B1821&gt;=1,B1821&lt;=6),B1821=10)),1,0)</f>
        <v>1</v>
      </c>
      <c r="Y1821" s="27" t="n">
        <f aca="false">IF(AND(E1821&gt;0,B1821=10),1,0)</f>
        <v>0</v>
      </c>
      <c r="Z1821" s="0" t="str">
        <f aca="false">IF(AND(C1820=C1821,W1820=W1821-1),X1820,"")</f>
        <v/>
      </c>
      <c r="AA1821" s="0" t="str">
        <f aca="false">IF(AND(C1820=C1821,W1820=W1821-1),Y1820,"")</f>
        <v/>
      </c>
      <c r="AB1821" s="0" t="str">
        <f aca="false">IF(W1821=1,"",IF(AND(X1821=1,Z1821&lt;&gt;1),1,0))</f>
        <v/>
      </c>
      <c r="AC1821" s="0" t="str">
        <f aca="false">IF(W1821=1,"",IF(AND(Y1821=1,AA1821&lt;&gt;1),1,0))</f>
        <v/>
      </c>
      <c r="AD1821" s="33" t="str">
        <f aca="false">IF(AND(E1821&gt;0,W1821&lt;1,NOT(AND(C1822=C1821,W1822=W1821+1))),INDEX(DATAS,W1821+1),"")</f>
        <v/>
      </c>
      <c r="AE1821" s="33" t="str">
        <f aca="false">IF(AND(Y1821=1,W1821&lt;1),IF(AND(C1822=C1821,W1822=W1821+1),IF(Y1822=1,"",INDEX(DATAS,W1821+1)),INDEX(DATAS,W1821+1)),"")</f>
        <v/>
      </c>
    </row>
    <row r="1822" customFormat="false" ht="15" hidden="false" customHeight="false" outlineLevel="0" collapsed="false">
      <c r="A1822" s="33" t="n">
        <v>46309</v>
      </c>
      <c r="B1822" s="0" t="n">
        <v>1</v>
      </c>
      <c r="C1822" s="0" t="n">
        <v>6033</v>
      </c>
      <c r="D1822" s="0" t="n">
        <v>67</v>
      </c>
      <c r="E1822" s="0" t="n">
        <v>1</v>
      </c>
      <c r="F1822" s="27" t="s">
        <v>1067</v>
      </c>
      <c r="G1822" s="0" t="n">
        <v>34.2</v>
      </c>
      <c r="H1822" s="0" t="n">
        <v>36</v>
      </c>
      <c r="I1822" s="27" t="s">
        <v>168</v>
      </c>
      <c r="J1822" s="0" t="n">
        <v>67</v>
      </c>
      <c r="K1822" s="0" t="n">
        <v>67</v>
      </c>
      <c r="P1822" s="0" t="n">
        <v>4.5</v>
      </c>
      <c r="Q1822" s="0" t="n">
        <v>3.31</v>
      </c>
      <c r="R1822" s="0" t="n">
        <v>3822</v>
      </c>
      <c r="S1822" s="0" t="n">
        <v>7682</v>
      </c>
      <c r="U1822" s="0" t="n">
        <v>708</v>
      </c>
      <c r="V1822" s="0" t="n">
        <v>1</v>
      </c>
      <c r="W1822" s="27" t="n">
        <f aca="false">MATCH(A1822,DATAS,0)</f>
        <v>1</v>
      </c>
      <c r="X1822" s="27" t="n">
        <f aca="false">IF(AND(E1822&gt;0,OR(AND(B1822&gt;=1,B1822&lt;=6),B1822=10)),1,0)</f>
        <v>1</v>
      </c>
      <c r="Y1822" s="27" t="n">
        <f aca="false">IF(AND(E1822&gt;0,B1822=10),1,0)</f>
        <v>0</v>
      </c>
      <c r="Z1822" s="0" t="str">
        <f aca="false">IF(AND(C1821=C1822,W1821=W1822-1),X1821,"")</f>
        <v/>
      </c>
      <c r="AA1822" s="0" t="str">
        <f aca="false">IF(AND(C1821=C1822,W1821=W1822-1),Y1821,"")</f>
        <v/>
      </c>
      <c r="AB1822" s="0" t="str">
        <f aca="false">IF(W1822=1,"",IF(AND(X1822=1,Z1822&lt;&gt;1),1,0))</f>
        <v/>
      </c>
      <c r="AC1822" s="0" t="str">
        <f aca="false">IF(W1822=1,"",IF(AND(Y1822=1,AA1822&lt;&gt;1),1,0))</f>
        <v/>
      </c>
      <c r="AD1822" s="33" t="str">
        <f aca="false">IF(AND(E1822&gt;0,W1822&lt;1,NOT(AND(C1823=C1822,W1823=W1822+1))),INDEX(DATAS,W1822+1),"")</f>
        <v/>
      </c>
      <c r="AE1822" s="33" t="str">
        <f aca="false">IF(AND(Y1822=1,W1822&lt;1),IF(AND(C1823=C1822,W1823=W1822+1),IF(Y1823=1,"",INDEX(DATAS,W1822+1)),INDEX(DATAS,W1822+1)),"")</f>
        <v/>
      </c>
    </row>
    <row r="1823" customFormat="false" ht="15" hidden="false" customHeight="false" outlineLevel="0" collapsed="false">
      <c r="A1823" s="33" t="n">
        <v>46309</v>
      </c>
      <c r="B1823" s="0" t="n">
        <v>8</v>
      </c>
      <c r="C1823" s="0" t="n">
        <v>6034</v>
      </c>
      <c r="E1823" s="0" t="n">
        <v>0</v>
      </c>
      <c r="F1823" s="27" t="s">
        <v>1067</v>
      </c>
      <c r="I1823" s="27" t="s">
        <v>138</v>
      </c>
      <c r="L1823" s="0" t="n">
        <v>224</v>
      </c>
      <c r="U1823" s="0" t="n">
        <v>708</v>
      </c>
      <c r="V1823" s="0" t="n">
        <v>4</v>
      </c>
      <c r="W1823" s="27" t="n">
        <f aca="false">MATCH(A1823,DATAS,0)</f>
        <v>1</v>
      </c>
      <c r="X1823" s="27" t="n">
        <f aca="false">IF(AND(E1823&gt;0,OR(AND(B1823&gt;=1,B1823&lt;=6),B1823=10)),1,0)</f>
        <v>0</v>
      </c>
      <c r="Y1823" s="27" t="n">
        <f aca="false">IF(AND(E1823&gt;0,B1823=10),1,0)</f>
        <v>0</v>
      </c>
      <c r="Z1823" s="0" t="str">
        <f aca="false">IF(AND(C1822=C1823,W1822=W1823-1),X1822,"")</f>
        <v/>
      </c>
      <c r="AA1823" s="0" t="str">
        <f aca="false">IF(AND(C1822=C1823,W1822=W1823-1),Y1822,"")</f>
        <v/>
      </c>
      <c r="AB1823" s="0" t="str">
        <f aca="false">IF(W1823=1,"",IF(AND(X1823=1,Z1823&lt;&gt;1),1,0))</f>
        <v/>
      </c>
      <c r="AC1823" s="0" t="str">
        <f aca="false">IF(W1823=1,"",IF(AND(Y1823=1,AA1823&lt;&gt;1),1,0))</f>
        <v/>
      </c>
      <c r="AD1823" s="33" t="str">
        <f aca="false">IF(AND(E1823&gt;0,W1823&lt;1,NOT(AND(C1824=C1823,W1824=W1823+1))),INDEX(DATAS,W1823+1),"")</f>
        <v/>
      </c>
      <c r="AE1823" s="33" t="str">
        <f aca="false">IF(AND(Y1823=1,W1823&lt;1),IF(AND(C1824=C1823,W1824=W1823+1),IF(Y1824=1,"",INDEX(DATAS,W1823+1)),INDEX(DATAS,W1823+1)),"")</f>
        <v/>
      </c>
    </row>
    <row r="1824" customFormat="false" ht="15" hidden="false" customHeight="false" outlineLevel="0" collapsed="false">
      <c r="A1824" s="33" t="n">
        <v>46309</v>
      </c>
      <c r="B1824" s="0" t="n">
        <v>1</v>
      </c>
      <c r="C1824" s="0" t="n">
        <v>6035</v>
      </c>
      <c r="D1824" s="0" t="n">
        <v>35</v>
      </c>
      <c r="E1824" s="0" t="n">
        <v>1</v>
      </c>
      <c r="F1824" s="27" t="s">
        <v>1067</v>
      </c>
      <c r="G1824" s="0" t="n">
        <v>48.3</v>
      </c>
      <c r="H1824" s="0" t="n">
        <v>47</v>
      </c>
      <c r="I1824" s="27" t="s">
        <v>147</v>
      </c>
      <c r="J1824" s="0" t="n">
        <v>35</v>
      </c>
      <c r="P1824" s="0" t="n">
        <v>5.72</v>
      </c>
      <c r="Q1824" s="0" t="n">
        <v>3.37</v>
      </c>
      <c r="R1824" s="0" t="n">
        <v>4218</v>
      </c>
      <c r="S1824" s="0" t="n">
        <v>8480</v>
      </c>
      <c r="U1824" s="0" t="n">
        <v>708</v>
      </c>
      <c r="V1824" s="0" t="n">
        <v>0</v>
      </c>
      <c r="W1824" s="27" t="n">
        <f aca="false">MATCH(A1824,DATAS,0)</f>
        <v>1</v>
      </c>
      <c r="X1824" s="27" t="n">
        <f aca="false">IF(AND(E1824&gt;0,OR(AND(B1824&gt;=1,B1824&lt;=6),B1824=10)),1,0)</f>
        <v>1</v>
      </c>
      <c r="Y1824" s="27" t="n">
        <f aca="false">IF(AND(E1824&gt;0,B1824=10),1,0)</f>
        <v>0</v>
      </c>
      <c r="Z1824" s="0" t="str">
        <f aca="false">IF(AND(C1823=C1824,W1823=W1824-1),X1823,"")</f>
        <v/>
      </c>
      <c r="AA1824" s="0" t="str">
        <f aca="false">IF(AND(C1823=C1824,W1823=W1824-1),Y1823,"")</f>
        <v/>
      </c>
      <c r="AB1824" s="0" t="str">
        <f aca="false">IF(W1824=1,"",IF(AND(X1824=1,Z1824&lt;&gt;1),1,0))</f>
        <v/>
      </c>
      <c r="AC1824" s="0" t="str">
        <f aca="false">IF(W1824=1,"",IF(AND(Y1824=1,AA1824&lt;&gt;1),1,0))</f>
        <v/>
      </c>
      <c r="AD1824" s="33" t="str">
        <f aca="false">IF(AND(E1824&gt;0,W1824&lt;1,NOT(AND(C1825=C1824,W1825=W1824+1))),INDEX(DATAS,W1824+1),"")</f>
        <v/>
      </c>
      <c r="AE1824" s="33" t="str">
        <f aca="false">IF(AND(Y1824=1,W1824&lt;1),IF(AND(C1825=C1824,W1825=W1824+1),IF(Y1825=1,"",INDEX(DATAS,W1824+1)),INDEX(DATAS,W1824+1)),"")</f>
        <v/>
      </c>
    </row>
    <row r="1825" customFormat="false" ht="15" hidden="false" customHeight="false" outlineLevel="0" collapsed="false">
      <c r="A1825" s="33" t="n">
        <v>46309</v>
      </c>
      <c r="B1825" s="0" t="n">
        <v>1</v>
      </c>
      <c r="C1825" s="0" t="n">
        <v>6037</v>
      </c>
      <c r="D1825" s="0" t="n">
        <v>44</v>
      </c>
      <c r="E1825" s="0" t="n">
        <v>1</v>
      </c>
      <c r="F1825" s="27" t="s">
        <v>1067</v>
      </c>
      <c r="G1825" s="0" t="n">
        <v>47.1</v>
      </c>
      <c r="H1825" s="0" t="n">
        <v>47</v>
      </c>
      <c r="I1825" s="27" t="s">
        <v>147</v>
      </c>
      <c r="J1825" s="0" t="n">
        <v>44</v>
      </c>
      <c r="P1825" s="0" t="n">
        <v>4.1</v>
      </c>
      <c r="Q1825" s="0" t="n">
        <v>3.44</v>
      </c>
      <c r="R1825" s="0" t="n">
        <v>3959</v>
      </c>
      <c r="S1825" s="0" t="n">
        <v>7959</v>
      </c>
      <c r="U1825" s="0" t="n">
        <v>708</v>
      </c>
      <c r="V1825" s="0" t="n">
        <v>0</v>
      </c>
      <c r="W1825" s="27" t="n">
        <f aca="false">MATCH(A1825,DATAS,0)</f>
        <v>1</v>
      </c>
      <c r="X1825" s="27" t="n">
        <f aca="false">IF(AND(E1825&gt;0,OR(AND(B1825&gt;=1,B1825&lt;=6),B1825=10)),1,0)</f>
        <v>1</v>
      </c>
      <c r="Y1825" s="27" t="n">
        <f aca="false">IF(AND(E1825&gt;0,B1825=10),1,0)</f>
        <v>0</v>
      </c>
      <c r="Z1825" s="0" t="str">
        <f aca="false">IF(AND(C1824=C1825,W1824=W1825-1),X1824,"")</f>
        <v/>
      </c>
      <c r="AA1825" s="0" t="str">
        <f aca="false">IF(AND(C1824=C1825,W1824=W1825-1),Y1824,"")</f>
        <v/>
      </c>
      <c r="AB1825" s="0" t="str">
        <f aca="false">IF(W1825=1,"",IF(AND(X1825=1,Z1825&lt;&gt;1),1,0))</f>
        <v/>
      </c>
      <c r="AC1825" s="0" t="str">
        <f aca="false">IF(W1825=1,"",IF(AND(Y1825=1,AA1825&lt;&gt;1),1,0))</f>
        <v/>
      </c>
      <c r="AD1825" s="33" t="str">
        <f aca="false">IF(AND(E1825&gt;0,W1825&lt;1,NOT(AND(C1826=C1825,W1826=W1825+1))),INDEX(DATAS,W1825+1),"")</f>
        <v/>
      </c>
      <c r="AE1825" s="33" t="str">
        <f aca="false">IF(AND(Y1825=1,W1825&lt;1),IF(AND(C1826=C1825,W1826=W1825+1),IF(Y1826=1,"",INDEX(DATAS,W1825+1)),INDEX(DATAS,W1825+1)),"")</f>
        <v/>
      </c>
    </row>
    <row r="1826" customFormat="false" ht="15" hidden="false" customHeight="false" outlineLevel="0" collapsed="false">
      <c r="A1826" s="33" t="n">
        <v>46309</v>
      </c>
      <c r="B1826" s="0" t="n">
        <v>7</v>
      </c>
      <c r="C1826" s="0" t="n">
        <v>6038</v>
      </c>
      <c r="E1826" s="0" t="n">
        <v>0</v>
      </c>
      <c r="F1826" s="27" t="s">
        <v>1068</v>
      </c>
      <c r="I1826" s="27" t="s">
        <v>138</v>
      </c>
      <c r="L1826" s="0" t="n">
        <v>128</v>
      </c>
      <c r="U1826" s="0" t="n">
        <v>707</v>
      </c>
      <c r="V1826" s="0" t="n">
        <v>8</v>
      </c>
      <c r="W1826" s="27" t="n">
        <f aca="false">MATCH(A1826,DATAS,0)</f>
        <v>1</v>
      </c>
      <c r="X1826" s="27" t="n">
        <f aca="false">IF(AND(E1826&gt;0,OR(AND(B1826&gt;=1,B1826&lt;=6),B1826=10)),1,0)</f>
        <v>0</v>
      </c>
      <c r="Y1826" s="27" t="n">
        <f aca="false">IF(AND(E1826&gt;0,B1826=10),1,0)</f>
        <v>0</v>
      </c>
      <c r="Z1826" s="0" t="str">
        <f aca="false">IF(AND(C1825=C1826,W1825=W1826-1),X1825,"")</f>
        <v/>
      </c>
      <c r="AA1826" s="0" t="str">
        <f aca="false">IF(AND(C1825=C1826,W1825=W1826-1),Y1825,"")</f>
        <v/>
      </c>
      <c r="AB1826" s="0" t="str">
        <f aca="false">IF(W1826=1,"",IF(AND(X1826=1,Z1826&lt;&gt;1),1,0))</f>
        <v/>
      </c>
      <c r="AC1826" s="0" t="str">
        <f aca="false">IF(W1826=1,"",IF(AND(Y1826=1,AA1826&lt;&gt;1),1,0))</f>
        <v/>
      </c>
      <c r="AD1826" s="33" t="str">
        <f aca="false">IF(AND(E1826&gt;0,W1826&lt;1,NOT(AND(C1827=C1826,W1827=W1826+1))),INDEX(DATAS,W1826+1),"")</f>
        <v/>
      </c>
      <c r="AE1826" s="33" t="str">
        <f aca="false">IF(AND(Y1826=1,W1826&lt;1),IF(AND(C1827=C1826,W1827=W1826+1),IF(Y1827=1,"",INDEX(DATAS,W1826+1)),INDEX(DATAS,W1826+1)),"")</f>
        <v/>
      </c>
    </row>
    <row r="1827" customFormat="false" ht="15" hidden="false" customHeight="false" outlineLevel="0" collapsed="false">
      <c r="A1827" s="33" t="n">
        <v>46309</v>
      </c>
      <c r="B1827" s="0" t="n">
        <v>7</v>
      </c>
      <c r="C1827" s="0" t="n">
        <v>6039</v>
      </c>
      <c r="E1827" s="0" t="n">
        <v>0</v>
      </c>
      <c r="F1827" s="27" t="s">
        <v>1069</v>
      </c>
      <c r="I1827" s="27" t="s">
        <v>138</v>
      </c>
      <c r="L1827" s="0" t="n">
        <v>215</v>
      </c>
      <c r="U1827" s="0" t="n">
        <v>706</v>
      </c>
      <c r="V1827" s="0" t="n">
        <v>4</v>
      </c>
      <c r="W1827" s="27" t="n">
        <f aca="false">MATCH(A1827,DATAS,0)</f>
        <v>1</v>
      </c>
      <c r="X1827" s="27" t="n">
        <f aca="false">IF(AND(E1827&gt;0,OR(AND(B1827&gt;=1,B1827&lt;=6),B1827=10)),1,0)</f>
        <v>0</v>
      </c>
      <c r="Y1827" s="27" t="n">
        <f aca="false">IF(AND(E1827&gt;0,B1827=10),1,0)</f>
        <v>0</v>
      </c>
      <c r="Z1827" s="0" t="str">
        <f aca="false">IF(AND(C1826=C1827,W1826=W1827-1),X1826,"")</f>
        <v/>
      </c>
      <c r="AA1827" s="0" t="str">
        <f aca="false">IF(AND(C1826=C1827,W1826=W1827-1),Y1826,"")</f>
        <v/>
      </c>
      <c r="AB1827" s="0" t="str">
        <f aca="false">IF(W1827=1,"",IF(AND(X1827=1,Z1827&lt;&gt;1),1,0))</f>
        <v/>
      </c>
      <c r="AC1827" s="0" t="str">
        <f aca="false">IF(W1827=1,"",IF(AND(Y1827=1,AA1827&lt;&gt;1),1,0))</f>
        <v/>
      </c>
      <c r="AD1827" s="33" t="str">
        <f aca="false">IF(AND(E1827&gt;0,W1827&lt;1,NOT(AND(C1828=C1827,W1828=W1827+1))),INDEX(DATAS,W1827+1),"")</f>
        <v/>
      </c>
      <c r="AE1827" s="33" t="str">
        <f aca="false">IF(AND(Y1827=1,W1827&lt;1),IF(AND(C1828=C1827,W1828=W1827+1),IF(Y1828=1,"",INDEX(DATAS,W1827+1)),INDEX(DATAS,W1827+1)),"")</f>
        <v/>
      </c>
    </row>
    <row r="1828" customFormat="false" ht="15" hidden="false" customHeight="false" outlineLevel="0" collapsed="false">
      <c r="A1828" s="33" t="n">
        <v>46309</v>
      </c>
      <c r="B1828" s="0" t="n">
        <v>1</v>
      </c>
      <c r="C1828" s="0" t="n">
        <v>6040</v>
      </c>
      <c r="D1828" s="0" t="n">
        <v>40</v>
      </c>
      <c r="E1828" s="0" t="n">
        <v>1</v>
      </c>
      <c r="F1828" s="27" t="s">
        <v>1069</v>
      </c>
      <c r="G1828" s="0" t="n">
        <v>44.1</v>
      </c>
      <c r="H1828" s="0" t="n">
        <v>49</v>
      </c>
      <c r="I1828" s="27" t="s">
        <v>147</v>
      </c>
      <c r="J1828" s="0" t="n">
        <v>40</v>
      </c>
      <c r="P1828" s="0" t="n">
        <v>4.34</v>
      </c>
      <c r="Q1828" s="0" t="n">
        <v>3.44</v>
      </c>
      <c r="R1828" s="0" t="n">
        <v>4040</v>
      </c>
      <c r="S1828" s="0" t="n">
        <v>8121</v>
      </c>
      <c r="U1828" s="0" t="n">
        <v>706</v>
      </c>
      <c r="V1828" s="0" t="n">
        <v>0</v>
      </c>
      <c r="W1828" s="27" t="n">
        <f aca="false">MATCH(A1828,DATAS,0)</f>
        <v>1</v>
      </c>
      <c r="X1828" s="27" t="n">
        <f aca="false">IF(AND(E1828&gt;0,OR(AND(B1828&gt;=1,B1828&lt;=6),B1828=10)),1,0)</f>
        <v>1</v>
      </c>
      <c r="Y1828" s="27" t="n">
        <f aca="false">IF(AND(E1828&gt;0,B1828=10),1,0)</f>
        <v>0</v>
      </c>
      <c r="Z1828" s="0" t="str">
        <f aca="false">IF(AND(C1827=C1828,W1827=W1828-1),X1827,"")</f>
        <v/>
      </c>
      <c r="AA1828" s="0" t="str">
        <f aca="false">IF(AND(C1827=C1828,W1827=W1828-1),Y1827,"")</f>
        <v/>
      </c>
      <c r="AB1828" s="0" t="str">
        <f aca="false">IF(W1828=1,"",IF(AND(X1828=1,Z1828&lt;&gt;1),1,0))</f>
        <v/>
      </c>
      <c r="AC1828" s="0" t="str">
        <f aca="false">IF(W1828=1,"",IF(AND(Y1828=1,AA1828&lt;&gt;1),1,0))</f>
        <v/>
      </c>
      <c r="AD1828" s="33" t="str">
        <f aca="false">IF(AND(E1828&gt;0,W1828&lt;1,NOT(AND(C1829=C1828,W1829=W1828+1))),INDEX(DATAS,W1828+1),"")</f>
        <v/>
      </c>
      <c r="AE1828" s="33" t="str">
        <f aca="false">IF(AND(Y1828=1,W1828&lt;1),IF(AND(C1829=C1828,W1829=W1828+1),IF(Y1829=1,"",INDEX(DATAS,W1828+1)),INDEX(DATAS,W1828+1)),"")</f>
        <v/>
      </c>
    </row>
    <row r="1829" customFormat="false" ht="15" hidden="false" customHeight="false" outlineLevel="0" collapsed="false">
      <c r="A1829" s="33" t="n">
        <v>46309</v>
      </c>
      <c r="B1829" s="0" t="n">
        <v>7</v>
      </c>
      <c r="C1829" s="0" t="n">
        <v>6041</v>
      </c>
      <c r="E1829" s="0" t="n">
        <v>0</v>
      </c>
      <c r="F1829" s="27" t="s">
        <v>1070</v>
      </c>
      <c r="I1829" s="27" t="s">
        <v>138</v>
      </c>
      <c r="L1829" s="0" t="n">
        <v>231</v>
      </c>
      <c r="U1829" s="0" t="n">
        <v>705</v>
      </c>
      <c r="V1829" s="0" t="n">
        <v>3</v>
      </c>
      <c r="W1829" s="27" t="n">
        <f aca="false">MATCH(A1829,DATAS,0)</f>
        <v>1</v>
      </c>
      <c r="X1829" s="27" t="n">
        <f aca="false">IF(AND(E1829&gt;0,OR(AND(B1829&gt;=1,B1829&lt;=6),B1829=10)),1,0)</f>
        <v>0</v>
      </c>
      <c r="Y1829" s="27" t="n">
        <f aca="false">IF(AND(E1829&gt;0,B1829=10),1,0)</f>
        <v>0</v>
      </c>
      <c r="Z1829" s="0" t="str">
        <f aca="false">IF(AND(C1828=C1829,W1828=W1829-1),X1828,"")</f>
        <v/>
      </c>
      <c r="AA1829" s="0" t="str">
        <f aca="false">IF(AND(C1828=C1829,W1828=W1829-1),Y1828,"")</f>
        <v/>
      </c>
      <c r="AB1829" s="0" t="str">
        <f aca="false">IF(W1829=1,"",IF(AND(X1829=1,Z1829&lt;&gt;1),1,0))</f>
        <v/>
      </c>
      <c r="AC1829" s="0" t="str">
        <f aca="false">IF(W1829=1,"",IF(AND(Y1829=1,AA1829&lt;&gt;1),1,0))</f>
        <v/>
      </c>
      <c r="AD1829" s="33" t="str">
        <f aca="false">IF(AND(E1829&gt;0,W1829&lt;1,NOT(AND(C1830=C1829,W1830=W1829+1))),INDEX(DATAS,W1829+1),"")</f>
        <v/>
      </c>
      <c r="AE1829" s="33" t="str">
        <f aca="false">IF(AND(Y1829=1,W1829&lt;1),IF(AND(C1830=C1829,W1830=W1829+1),IF(Y1830=1,"",INDEX(DATAS,W1829+1)),INDEX(DATAS,W1829+1)),"")</f>
        <v/>
      </c>
    </row>
    <row r="1830" customFormat="false" ht="15" hidden="false" customHeight="false" outlineLevel="0" collapsed="false">
      <c r="A1830" s="33" t="n">
        <v>46309</v>
      </c>
      <c r="B1830" s="0" t="n">
        <v>14</v>
      </c>
      <c r="C1830" s="0" t="n">
        <v>6042</v>
      </c>
      <c r="E1830" s="0" t="n">
        <v>0</v>
      </c>
      <c r="F1830" s="27" t="s">
        <v>1070</v>
      </c>
      <c r="I1830" s="27" t="s">
        <v>138</v>
      </c>
      <c r="L1830" s="0" t="n">
        <v>256</v>
      </c>
      <c r="U1830" s="0" t="n">
        <v>705</v>
      </c>
      <c r="V1830" s="0" t="n">
        <v>1</v>
      </c>
      <c r="W1830" s="27" t="n">
        <f aca="false">MATCH(A1830,DATAS,0)</f>
        <v>1</v>
      </c>
      <c r="X1830" s="27" t="n">
        <f aca="false">IF(AND(E1830&gt;0,OR(AND(B1830&gt;=1,B1830&lt;=6),B1830=10)),1,0)</f>
        <v>0</v>
      </c>
      <c r="Y1830" s="27" t="n">
        <f aca="false">IF(AND(E1830&gt;0,B1830=10),1,0)</f>
        <v>0</v>
      </c>
      <c r="Z1830" s="0" t="str">
        <f aca="false">IF(AND(C1829=C1830,W1829=W1830-1),X1829,"")</f>
        <v/>
      </c>
      <c r="AA1830" s="0" t="str">
        <f aca="false">IF(AND(C1829=C1830,W1829=W1830-1),Y1829,"")</f>
        <v/>
      </c>
      <c r="AB1830" s="0" t="str">
        <f aca="false">IF(W1830=1,"",IF(AND(X1830=1,Z1830&lt;&gt;1),1,0))</f>
        <v/>
      </c>
      <c r="AC1830" s="0" t="str">
        <f aca="false">IF(W1830=1,"",IF(AND(Y1830=1,AA1830&lt;&gt;1),1,0))</f>
        <v/>
      </c>
      <c r="AD1830" s="33" t="str">
        <f aca="false">IF(AND(E1830&gt;0,W1830&lt;1,NOT(AND(C1831=C1830,W1831=W1830+1))),INDEX(DATAS,W1830+1),"")</f>
        <v/>
      </c>
      <c r="AE1830" s="33" t="str">
        <f aca="false">IF(AND(Y1830=1,W1830&lt;1),IF(AND(C1831=C1830,W1831=W1830+1),IF(Y1831=1,"",INDEX(DATAS,W1830+1)),INDEX(DATAS,W1830+1)),"")</f>
        <v/>
      </c>
    </row>
    <row r="1831" customFormat="false" ht="15" hidden="false" customHeight="false" outlineLevel="0" collapsed="false">
      <c r="A1831" s="33" t="n">
        <v>46309</v>
      </c>
      <c r="B1831" s="0" t="n">
        <v>1</v>
      </c>
      <c r="C1831" s="0" t="n">
        <v>6043</v>
      </c>
      <c r="D1831" s="0" t="n">
        <v>72</v>
      </c>
      <c r="E1831" s="0" t="n">
        <v>1</v>
      </c>
      <c r="F1831" s="27" t="s">
        <v>1070</v>
      </c>
      <c r="G1831" s="0" t="n">
        <v>35.4</v>
      </c>
      <c r="H1831" s="0" t="n">
        <v>35</v>
      </c>
      <c r="I1831" s="27" t="s">
        <v>168</v>
      </c>
      <c r="J1831" s="0" t="n">
        <v>72</v>
      </c>
      <c r="K1831" s="0" t="n">
        <v>65</v>
      </c>
      <c r="P1831" s="0" t="n">
        <v>2.87</v>
      </c>
      <c r="Q1831" s="0" t="n">
        <v>2.73</v>
      </c>
      <c r="R1831" s="0" t="n">
        <v>3003</v>
      </c>
      <c r="S1831" s="0" t="n">
        <v>6037</v>
      </c>
      <c r="U1831" s="0" t="n">
        <v>705</v>
      </c>
      <c r="V1831" s="0" t="n">
        <v>1</v>
      </c>
      <c r="W1831" s="27" t="n">
        <f aca="false">MATCH(A1831,DATAS,0)</f>
        <v>1</v>
      </c>
      <c r="X1831" s="27" t="n">
        <f aca="false">IF(AND(E1831&gt;0,OR(AND(B1831&gt;=1,B1831&lt;=6),B1831=10)),1,0)</f>
        <v>1</v>
      </c>
      <c r="Y1831" s="27" t="n">
        <f aca="false">IF(AND(E1831&gt;0,B1831=10),1,0)</f>
        <v>0</v>
      </c>
      <c r="Z1831" s="0" t="str">
        <f aca="false">IF(AND(C1830=C1831,W1830=W1831-1),X1830,"")</f>
        <v/>
      </c>
      <c r="AA1831" s="0" t="str">
        <f aca="false">IF(AND(C1830=C1831,W1830=W1831-1),Y1830,"")</f>
        <v/>
      </c>
      <c r="AB1831" s="0" t="str">
        <f aca="false">IF(W1831=1,"",IF(AND(X1831=1,Z1831&lt;&gt;1),1,0))</f>
        <v/>
      </c>
      <c r="AC1831" s="0" t="str">
        <f aca="false">IF(W1831=1,"",IF(AND(Y1831=1,AA1831&lt;&gt;1),1,0))</f>
        <v/>
      </c>
      <c r="AD1831" s="33" t="str">
        <f aca="false">IF(AND(E1831&gt;0,W1831&lt;1,NOT(AND(C1832=C1831,W1832=W1831+1))),INDEX(DATAS,W1831+1),"")</f>
        <v/>
      </c>
      <c r="AE1831" s="33" t="str">
        <f aca="false">IF(AND(Y1831=1,W1831&lt;1),IF(AND(C1832=C1831,W1832=W1831+1),IF(Y1832=1,"",INDEX(DATAS,W1831+1)),INDEX(DATAS,W1831+1)),"")</f>
        <v/>
      </c>
    </row>
    <row r="1832" customFormat="false" ht="15" hidden="false" customHeight="false" outlineLevel="0" collapsed="false">
      <c r="A1832" s="33" t="n">
        <v>46309</v>
      </c>
      <c r="B1832" s="0" t="n">
        <v>1</v>
      </c>
      <c r="C1832" s="0" t="n">
        <v>6046</v>
      </c>
      <c r="D1832" s="0" t="n">
        <v>17</v>
      </c>
      <c r="E1832" s="0" t="n">
        <v>1</v>
      </c>
      <c r="F1832" s="27" t="s">
        <v>1071</v>
      </c>
      <c r="G1832" s="0" t="n">
        <v>38.4</v>
      </c>
      <c r="H1832" s="0" t="n">
        <v>36</v>
      </c>
      <c r="I1832" s="27" t="s">
        <v>147</v>
      </c>
      <c r="J1832" s="0" t="n">
        <v>17</v>
      </c>
      <c r="R1832" s="0" t="n">
        <v>2808</v>
      </c>
      <c r="S1832" s="0" t="n">
        <v>5645</v>
      </c>
      <c r="U1832" s="0" t="n">
        <v>704</v>
      </c>
      <c r="V1832" s="0" t="n">
        <v>0</v>
      </c>
      <c r="W1832" s="27" t="n">
        <f aca="false">MATCH(A1832,DATAS,0)</f>
        <v>1</v>
      </c>
      <c r="X1832" s="27" t="n">
        <f aca="false">IF(AND(E1832&gt;0,OR(AND(B1832&gt;=1,B1832&lt;=6),B1832=10)),1,0)</f>
        <v>1</v>
      </c>
      <c r="Y1832" s="27" t="n">
        <f aca="false">IF(AND(E1832&gt;0,B1832=10),1,0)</f>
        <v>0</v>
      </c>
      <c r="Z1832" s="0" t="str">
        <f aca="false">IF(AND(C1831=C1832,W1831=W1832-1),X1831,"")</f>
        <v/>
      </c>
      <c r="AA1832" s="0" t="str">
        <f aca="false">IF(AND(C1831=C1832,W1831=W1832-1),Y1831,"")</f>
        <v/>
      </c>
      <c r="AB1832" s="0" t="str">
        <f aca="false">IF(W1832=1,"",IF(AND(X1832=1,Z1832&lt;&gt;1),1,0))</f>
        <v/>
      </c>
      <c r="AC1832" s="0" t="str">
        <f aca="false">IF(W1832=1,"",IF(AND(Y1832=1,AA1832&lt;&gt;1),1,0))</f>
        <v/>
      </c>
      <c r="AD1832" s="33" t="str">
        <f aca="false">IF(AND(E1832&gt;0,W1832&lt;1,NOT(AND(C1833=C1832,W1833=W1832+1))),INDEX(DATAS,W1832+1),"")</f>
        <v/>
      </c>
      <c r="AE1832" s="33" t="str">
        <f aca="false">IF(AND(Y1832=1,W1832&lt;1),IF(AND(C1833=C1832,W1833=W1832+1),IF(Y1833=1,"",INDEX(DATAS,W1832+1)),INDEX(DATAS,W1832+1)),"")</f>
        <v/>
      </c>
    </row>
    <row r="1833" customFormat="false" ht="15" hidden="false" customHeight="false" outlineLevel="0" collapsed="false">
      <c r="A1833" s="33" t="n">
        <v>46309</v>
      </c>
      <c r="B1833" s="0" t="n">
        <v>1</v>
      </c>
      <c r="C1833" s="0" t="n">
        <v>6047</v>
      </c>
      <c r="D1833" s="0" t="n">
        <v>59</v>
      </c>
      <c r="E1833" s="0" t="n">
        <v>1</v>
      </c>
      <c r="F1833" s="27" t="s">
        <v>1071</v>
      </c>
      <c r="G1833" s="0" t="n">
        <v>44.2</v>
      </c>
      <c r="H1833" s="0" t="n">
        <v>41</v>
      </c>
      <c r="I1833" s="27" t="s">
        <v>147</v>
      </c>
      <c r="J1833" s="0" t="n">
        <v>59</v>
      </c>
      <c r="P1833" s="0" t="n">
        <v>4.35</v>
      </c>
      <c r="Q1833" s="0" t="n">
        <v>3.09</v>
      </c>
      <c r="R1833" s="0" t="n">
        <v>3255</v>
      </c>
      <c r="S1833" s="0" t="n">
        <v>6544</v>
      </c>
      <c r="U1833" s="0" t="n">
        <v>704</v>
      </c>
      <c r="V1833" s="0" t="n">
        <v>0</v>
      </c>
      <c r="W1833" s="27" t="n">
        <f aca="false">MATCH(A1833,DATAS,0)</f>
        <v>1</v>
      </c>
      <c r="X1833" s="27" t="n">
        <f aca="false">IF(AND(E1833&gt;0,OR(AND(B1833&gt;=1,B1833&lt;=6),B1833=10)),1,0)</f>
        <v>1</v>
      </c>
      <c r="Y1833" s="27" t="n">
        <f aca="false">IF(AND(E1833&gt;0,B1833=10),1,0)</f>
        <v>0</v>
      </c>
      <c r="Z1833" s="0" t="str">
        <f aca="false">IF(AND(C1832=C1833,W1832=W1833-1),X1832,"")</f>
        <v/>
      </c>
      <c r="AA1833" s="0" t="str">
        <f aca="false">IF(AND(C1832=C1833,W1832=W1833-1),Y1832,"")</f>
        <v/>
      </c>
      <c r="AB1833" s="0" t="str">
        <f aca="false">IF(W1833=1,"",IF(AND(X1833=1,Z1833&lt;&gt;1),1,0))</f>
        <v/>
      </c>
      <c r="AC1833" s="0" t="str">
        <f aca="false">IF(W1833=1,"",IF(AND(Y1833=1,AA1833&lt;&gt;1),1,0))</f>
        <v/>
      </c>
      <c r="AD1833" s="33" t="str">
        <f aca="false">IF(AND(E1833&gt;0,W1833&lt;1,NOT(AND(C1834=C1833,W1834=W1833+1))),INDEX(DATAS,W1833+1),"")</f>
        <v/>
      </c>
      <c r="AE1833" s="33" t="str">
        <f aca="false">IF(AND(Y1833=1,W1833&lt;1),IF(AND(C1834=C1833,W1834=W1833+1),IF(Y1834=1,"",INDEX(DATAS,W1833+1)),INDEX(DATAS,W1833+1)),"")</f>
        <v/>
      </c>
    </row>
    <row r="1834" customFormat="false" ht="15" hidden="false" customHeight="false" outlineLevel="0" collapsed="false">
      <c r="A1834" s="33" t="n">
        <v>46309</v>
      </c>
      <c r="B1834" s="0" t="n">
        <v>1</v>
      </c>
      <c r="C1834" s="0" t="n">
        <v>6048</v>
      </c>
      <c r="D1834" s="0" t="n">
        <v>58</v>
      </c>
      <c r="E1834" s="0" t="n">
        <v>1</v>
      </c>
      <c r="F1834" s="27" t="s">
        <v>1072</v>
      </c>
      <c r="G1834" s="0" t="n">
        <v>37</v>
      </c>
      <c r="H1834" s="0" t="n">
        <v>42</v>
      </c>
      <c r="I1834" s="27" t="s">
        <v>147</v>
      </c>
      <c r="J1834" s="0" t="n">
        <v>58</v>
      </c>
      <c r="P1834" s="0" t="n">
        <v>3.31</v>
      </c>
      <c r="Q1834" s="0" t="n">
        <v>3.07</v>
      </c>
      <c r="R1834" s="0" t="n">
        <v>3810</v>
      </c>
      <c r="S1834" s="0" t="n">
        <v>7659</v>
      </c>
      <c r="U1834" s="0" t="n">
        <v>703</v>
      </c>
      <c r="V1834" s="0" t="n">
        <v>0</v>
      </c>
      <c r="W1834" s="27" t="n">
        <f aca="false">MATCH(A1834,DATAS,0)</f>
        <v>1</v>
      </c>
      <c r="X1834" s="27" t="n">
        <f aca="false">IF(AND(E1834&gt;0,OR(AND(B1834&gt;=1,B1834&lt;=6),B1834=10)),1,0)</f>
        <v>1</v>
      </c>
      <c r="Y1834" s="27" t="n">
        <f aca="false">IF(AND(E1834&gt;0,B1834=10),1,0)</f>
        <v>0</v>
      </c>
      <c r="Z1834" s="0" t="str">
        <f aca="false">IF(AND(C1833=C1834,W1833=W1834-1),X1833,"")</f>
        <v/>
      </c>
      <c r="AA1834" s="0" t="str">
        <f aca="false">IF(AND(C1833=C1834,W1833=W1834-1),Y1833,"")</f>
        <v/>
      </c>
      <c r="AB1834" s="0" t="str">
        <f aca="false">IF(W1834=1,"",IF(AND(X1834=1,Z1834&lt;&gt;1),1,0))</f>
        <v/>
      </c>
      <c r="AC1834" s="0" t="str">
        <f aca="false">IF(W1834=1,"",IF(AND(Y1834=1,AA1834&lt;&gt;1),1,0))</f>
        <v/>
      </c>
      <c r="AD1834" s="33" t="str">
        <f aca="false">IF(AND(E1834&gt;0,W1834&lt;1,NOT(AND(C1835=C1834,W1835=W1834+1))),INDEX(DATAS,W1834+1),"")</f>
        <v/>
      </c>
      <c r="AE1834" s="33" t="str">
        <f aca="false">IF(AND(Y1834=1,W1834&lt;1),IF(AND(C1835=C1834,W1835=W1834+1),IF(Y1835=1,"",INDEX(DATAS,W1834+1)),INDEX(DATAS,W1834+1)),"")</f>
        <v/>
      </c>
    </row>
    <row r="1835" customFormat="false" ht="15" hidden="false" customHeight="false" outlineLevel="0" collapsed="false">
      <c r="A1835" s="33" t="n">
        <v>46309</v>
      </c>
      <c r="B1835" s="0" t="n">
        <v>1</v>
      </c>
      <c r="C1835" s="0" t="n">
        <v>6049</v>
      </c>
      <c r="D1835" s="0" t="n">
        <v>56</v>
      </c>
      <c r="E1835" s="0" t="n">
        <v>1</v>
      </c>
      <c r="F1835" s="27" t="s">
        <v>1072</v>
      </c>
      <c r="G1835" s="0" t="n">
        <v>41.9</v>
      </c>
      <c r="H1835" s="0" t="n">
        <v>40</v>
      </c>
      <c r="I1835" s="27" t="s">
        <v>147</v>
      </c>
      <c r="J1835" s="0" t="n">
        <v>56</v>
      </c>
      <c r="P1835" s="0" t="n">
        <v>4.16</v>
      </c>
      <c r="Q1835" s="0" t="n">
        <v>3.23</v>
      </c>
      <c r="R1835" s="0" t="n">
        <v>4043</v>
      </c>
      <c r="S1835" s="0" t="n">
        <v>8128</v>
      </c>
      <c r="U1835" s="0" t="n">
        <v>703</v>
      </c>
      <c r="V1835" s="0" t="n">
        <v>0</v>
      </c>
      <c r="W1835" s="27" t="n">
        <f aca="false">MATCH(A1835,DATAS,0)</f>
        <v>1</v>
      </c>
      <c r="X1835" s="27" t="n">
        <f aca="false">IF(AND(E1835&gt;0,OR(AND(B1835&gt;=1,B1835&lt;=6),B1835=10)),1,0)</f>
        <v>1</v>
      </c>
      <c r="Y1835" s="27" t="n">
        <f aca="false">IF(AND(E1835&gt;0,B1835=10),1,0)</f>
        <v>0</v>
      </c>
      <c r="Z1835" s="0" t="str">
        <f aca="false">IF(AND(C1834=C1835,W1834=W1835-1),X1834,"")</f>
        <v/>
      </c>
      <c r="AA1835" s="0" t="str">
        <f aca="false">IF(AND(C1834=C1835,W1834=W1835-1),Y1834,"")</f>
        <v/>
      </c>
      <c r="AB1835" s="0" t="str">
        <f aca="false">IF(W1835=1,"",IF(AND(X1835=1,Z1835&lt;&gt;1),1,0))</f>
        <v/>
      </c>
      <c r="AC1835" s="0" t="str">
        <f aca="false">IF(W1835=1,"",IF(AND(Y1835=1,AA1835&lt;&gt;1),1,0))</f>
        <v/>
      </c>
      <c r="AD1835" s="33" t="str">
        <f aca="false">IF(AND(E1835&gt;0,W1835&lt;1,NOT(AND(C1836=C1835,W1836=W1835+1))),INDEX(DATAS,W1835+1),"")</f>
        <v/>
      </c>
      <c r="AE1835" s="33" t="str">
        <f aca="false">IF(AND(Y1835=1,W1835&lt;1),IF(AND(C1836=C1835,W1836=W1835+1),IF(Y1836=1,"",INDEX(DATAS,W1835+1)),INDEX(DATAS,W1835+1)),"")</f>
        <v/>
      </c>
    </row>
    <row r="1836" customFormat="false" ht="15" hidden="false" customHeight="false" outlineLevel="0" collapsed="false">
      <c r="A1836" s="33" t="n">
        <v>46309</v>
      </c>
      <c r="B1836" s="0" t="n">
        <v>8</v>
      </c>
      <c r="C1836" s="0" t="n">
        <v>6050</v>
      </c>
      <c r="E1836" s="0" t="n">
        <v>0</v>
      </c>
      <c r="F1836" s="27" t="s">
        <v>1072</v>
      </c>
      <c r="I1836" s="27" t="s">
        <v>138</v>
      </c>
      <c r="L1836" s="0" t="n">
        <v>182</v>
      </c>
      <c r="U1836" s="0" t="n">
        <v>703</v>
      </c>
      <c r="V1836" s="0" t="n">
        <v>4</v>
      </c>
      <c r="W1836" s="27" t="n">
        <f aca="false">MATCH(A1836,DATAS,0)</f>
        <v>1</v>
      </c>
      <c r="X1836" s="27" t="n">
        <f aca="false">IF(AND(E1836&gt;0,OR(AND(B1836&gt;=1,B1836&lt;=6),B1836=10)),1,0)</f>
        <v>0</v>
      </c>
      <c r="Y1836" s="27" t="n">
        <f aca="false">IF(AND(E1836&gt;0,B1836=10),1,0)</f>
        <v>0</v>
      </c>
      <c r="Z1836" s="0" t="str">
        <f aca="false">IF(AND(C1835=C1836,W1835=W1836-1),X1835,"")</f>
        <v/>
      </c>
      <c r="AA1836" s="0" t="str">
        <f aca="false">IF(AND(C1835=C1836,W1835=W1836-1),Y1835,"")</f>
        <v/>
      </c>
      <c r="AB1836" s="0" t="str">
        <f aca="false">IF(W1836=1,"",IF(AND(X1836=1,Z1836&lt;&gt;1),1,0))</f>
        <v/>
      </c>
      <c r="AC1836" s="0" t="str">
        <f aca="false">IF(W1836=1,"",IF(AND(Y1836=1,AA1836&lt;&gt;1),1,0))</f>
        <v/>
      </c>
      <c r="AD1836" s="33" t="str">
        <f aca="false">IF(AND(E1836&gt;0,W1836&lt;1,NOT(AND(C1837=C1836,W1837=W1836+1))),INDEX(DATAS,W1836+1),"")</f>
        <v/>
      </c>
      <c r="AE1836" s="33" t="str">
        <f aca="false">IF(AND(Y1836=1,W1836&lt;1),IF(AND(C1837=C1836,W1837=W1836+1),IF(Y1837=1,"",INDEX(DATAS,W1836+1)),INDEX(DATAS,W1836+1)),"")</f>
        <v/>
      </c>
    </row>
    <row r="1837" customFormat="false" ht="15" hidden="false" customHeight="false" outlineLevel="0" collapsed="false">
      <c r="A1837" s="33" t="n">
        <v>46309</v>
      </c>
      <c r="B1837" s="0" t="n">
        <v>1</v>
      </c>
      <c r="C1837" s="0" t="n">
        <v>6051</v>
      </c>
      <c r="D1837" s="0" t="n">
        <v>3</v>
      </c>
      <c r="E1837" s="0" t="n">
        <v>1</v>
      </c>
      <c r="F1837" s="27" t="s">
        <v>1073</v>
      </c>
      <c r="H1837" s="0" t="n">
        <v>17</v>
      </c>
      <c r="I1837" s="27" t="s">
        <v>147</v>
      </c>
      <c r="J1837" s="0" t="n">
        <v>3</v>
      </c>
      <c r="U1837" s="0" t="n">
        <v>702</v>
      </c>
      <c r="V1837" s="0" t="n">
        <v>0</v>
      </c>
      <c r="W1837" s="27" t="n">
        <f aca="false">MATCH(A1837,DATAS,0)</f>
        <v>1</v>
      </c>
      <c r="X1837" s="27" t="n">
        <f aca="false">IF(AND(E1837&gt;0,OR(AND(B1837&gt;=1,B1837&lt;=6),B1837=10)),1,0)</f>
        <v>1</v>
      </c>
      <c r="Y1837" s="27" t="n">
        <f aca="false">IF(AND(E1837&gt;0,B1837=10),1,0)</f>
        <v>0</v>
      </c>
      <c r="Z1837" s="0" t="str">
        <f aca="false">IF(AND(C1836=C1837,W1836=W1837-1),X1836,"")</f>
        <v/>
      </c>
      <c r="AA1837" s="0" t="str">
        <f aca="false">IF(AND(C1836=C1837,W1836=W1837-1),Y1836,"")</f>
        <v/>
      </c>
      <c r="AB1837" s="0" t="str">
        <f aca="false">IF(W1837=1,"",IF(AND(X1837=1,Z1837&lt;&gt;1),1,0))</f>
        <v/>
      </c>
      <c r="AC1837" s="0" t="str">
        <f aca="false">IF(W1837=1,"",IF(AND(Y1837=1,AA1837&lt;&gt;1),1,0))</f>
        <v/>
      </c>
      <c r="AD1837" s="33" t="str">
        <f aca="false">IF(AND(E1837&gt;0,W1837&lt;1,NOT(AND(C1838=C1837,W1838=W1837+1))),INDEX(DATAS,W1837+1),"")</f>
        <v/>
      </c>
      <c r="AE1837" s="33" t="str">
        <f aca="false">IF(AND(Y1837=1,W1837&lt;1),IF(AND(C1838=C1837,W1838=W1837+1),IF(Y1838=1,"",INDEX(DATAS,W1837+1)),INDEX(DATAS,W1837+1)),"")</f>
        <v/>
      </c>
    </row>
    <row r="1838" customFormat="false" ht="15" hidden="false" customHeight="false" outlineLevel="0" collapsed="false">
      <c r="A1838" s="33" t="n">
        <v>46309</v>
      </c>
      <c r="B1838" s="0" t="n">
        <v>1</v>
      </c>
      <c r="C1838" s="0" t="n">
        <v>6052</v>
      </c>
      <c r="D1838" s="0" t="n">
        <v>51</v>
      </c>
      <c r="E1838" s="0" t="n">
        <v>1</v>
      </c>
      <c r="F1838" s="27" t="s">
        <v>1073</v>
      </c>
      <c r="G1838" s="0" t="n">
        <v>42.3</v>
      </c>
      <c r="H1838" s="0" t="n">
        <v>44</v>
      </c>
      <c r="I1838" s="27" t="s">
        <v>147</v>
      </c>
      <c r="J1838" s="0" t="n">
        <v>51</v>
      </c>
      <c r="P1838" s="0" t="n">
        <v>3.96</v>
      </c>
      <c r="Q1838" s="0" t="n">
        <v>2.95</v>
      </c>
      <c r="R1838" s="0" t="n">
        <v>3760</v>
      </c>
      <c r="S1838" s="0" t="n">
        <v>7558</v>
      </c>
      <c r="U1838" s="0" t="n">
        <v>702</v>
      </c>
      <c r="V1838" s="0" t="n">
        <v>0</v>
      </c>
      <c r="W1838" s="27" t="n">
        <f aca="false">MATCH(A1838,DATAS,0)</f>
        <v>1</v>
      </c>
      <c r="X1838" s="27" t="n">
        <f aca="false">IF(AND(E1838&gt;0,OR(AND(B1838&gt;=1,B1838&lt;=6),B1838=10)),1,0)</f>
        <v>1</v>
      </c>
      <c r="Y1838" s="27" t="n">
        <f aca="false">IF(AND(E1838&gt;0,B1838=10),1,0)</f>
        <v>0</v>
      </c>
      <c r="Z1838" s="0" t="str">
        <f aca="false">IF(AND(C1837=C1838,W1837=W1838-1),X1837,"")</f>
        <v/>
      </c>
      <c r="AA1838" s="0" t="str">
        <f aca="false">IF(AND(C1837=C1838,W1837=W1838-1),Y1837,"")</f>
        <v/>
      </c>
      <c r="AB1838" s="0" t="str">
        <f aca="false">IF(W1838=1,"",IF(AND(X1838=1,Z1838&lt;&gt;1),1,0))</f>
        <v/>
      </c>
      <c r="AC1838" s="0" t="str">
        <f aca="false">IF(W1838=1,"",IF(AND(Y1838=1,AA1838&lt;&gt;1),1,0))</f>
        <v/>
      </c>
      <c r="AD1838" s="33" t="str">
        <f aca="false">IF(AND(E1838&gt;0,W1838&lt;1,NOT(AND(C1839=C1838,W1839=W1838+1))),INDEX(DATAS,W1838+1),"")</f>
        <v/>
      </c>
      <c r="AE1838" s="33" t="str">
        <f aca="false">IF(AND(Y1838=1,W1838&lt;1),IF(AND(C1839=C1838,W1839=W1838+1),IF(Y1839=1,"",INDEX(DATAS,W1838+1)),INDEX(DATAS,W1838+1)),"")</f>
        <v/>
      </c>
    </row>
    <row r="1839" customFormat="false" ht="15" hidden="false" customHeight="false" outlineLevel="0" collapsed="false">
      <c r="A1839" s="33" t="n">
        <v>46309</v>
      </c>
      <c r="B1839" s="0" t="n">
        <v>1</v>
      </c>
      <c r="C1839" s="0" t="n">
        <v>6053</v>
      </c>
      <c r="D1839" s="0" t="n">
        <v>52</v>
      </c>
      <c r="E1839" s="0" t="n">
        <v>1</v>
      </c>
      <c r="F1839" s="27" t="s">
        <v>1074</v>
      </c>
      <c r="G1839" s="0" t="n">
        <v>46.1</v>
      </c>
      <c r="H1839" s="0" t="n">
        <v>47</v>
      </c>
      <c r="I1839" s="27" t="s">
        <v>147</v>
      </c>
      <c r="J1839" s="0" t="n">
        <v>52</v>
      </c>
      <c r="P1839" s="0" t="n">
        <v>4.02</v>
      </c>
      <c r="Q1839" s="0" t="n">
        <v>3.13</v>
      </c>
      <c r="R1839" s="0" t="n">
        <v>4254</v>
      </c>
      <c r="S1839" s="0" t="n">
        <v>8552</v>
      </c>
      <c r="U1839" s="0" t="n">
        <v>701</v>
      </c>
      <c r="V1839" s="0" t="n">
        <v>0</v>
      </c>
      <c r="W1839" s="27" t="n">
        <f aca="false">MATCH(A1839,DATAS,0)</f>
        <v>1</v>
      </c>
      <c r="X1839" s="27" t="n">
        <f aca="false">IF(AND(E1839&gt;0,OR(AND(B1839&gt;=1,B1839&lt;=6),B1839=10)),1,0)</f>
        <v>1</v>
      </c>
      <c r="Y1839" s="27" t="n">
        <f aca="false">IF(AND(E1839&gt;0,B1839=10),1,0)</f>
        <v>0</v>
      </c>
      <c r="Z1839" s="0" t="str">
        <f aca="false">IF(AND(C1838=C1839,W1838=W1839-1),X1838,"")</f>
        <v/>
      </c>
      <c r="AA1839" s="0" t="str">
        <f aca="false">IF(AND(C1838=C1839,W1838=W1839-1),Y1838,"")</f>
        <v/>
      </c>
      <c r="AB1839" s="0" t="str">
        <f aca="false">IF(W1839=1,"",IF(AND(X1839=1,Z1839&lt;&gt;1),1,0))</f>
        <v/>
      </c>
      <c r="AC1839" s="0" t="str">
        <f aca="false">IF(W1839=1,"",IF(AND(Y1839=1,AA1839&lt;&gt;1),1,0))</f>
        <v/>
      </c>
      <c r="AD1839" s="33" t="str">
        <f aca="false">IF(AND(E1839&gt;0,W1839&lt;1,NOT(AND(C1840=C1839,W1840=W1839+1))),INDEX(DATAS,W1839+1),"")</f>
        <v/>
      </c>
      <c r="AE1839" s="33" t="str">
        <f aca="false">IF(AND(Y1839=1,W1839&lt;1),IF(AND(C1840=C1839,W1840=W1839+1),IF(Y1840=1,"",INDEX(DATAS,W1839+1)),INDEX(DATAS,W1839+1)),"")</f>
        <v/>
      </c>
    </row>
    <row r="1840" customFormat="false" ht="15" hidden="false" customHeight="false" outlineLevel="0" collapsed="false">
      <c r="A1840" s="33" t="n">
        <v>46309</v>
      </c>
      <c r="B1840" s="0" t="n">
        <v>7</v>
      </c>
      <c r="C1840" s="0" t="n">
        <v>6054</v>
      </c>
      <c r="E1840" s="0" t="n">
        <v>0</v>
      </c>
      <c r="F1840" s="27" t="s">
        <v>1074</v>
      </c>
      <c r="I1840" s="27" t="s">
        <v>138</v>
      </c>
      <c r="L1840" s="0" t="n">
        <v>177</v>
      </c>
      <c r="U1840" s="0" t="n">
        <v>701</v>
      </c>
      <c r="V1840" s="0" t="n">
        <v>7</v>
      </c>
      <c r="W1840" s="27" t="n">
        <f aca="false">MATCH(A1840,DATAS,0)</f>
        <v>1</v>
      </c>
      <c r="X1840" s="27" t="n">
        <f aca="false">IF(AND(E1840&gt;0,OR(AND(B1840&gt;=1,B1840&lt;=6),B1840=10)),1,0)</f>
        <v>0</v>
      </c>
      <c r="Y1840" s="27" t="n">
        <f aca="false">IF(AND(E1840&gt;0,B1840=10),1,0)</f>
        <v>0</v>
      </c>
      <c r="Z1840" s="0" t="str">
        <f aca="false">IF(AND(C1839=C1840,W1839=W1840-1),X1839,"")</f>
        <v/>
      </c>
      <c r="AA1840" s="0" t="str">
        <f aca="false">IF(AND(C1839=C1840,W1839=W1840-1),Y1839,"")</f>
        <v/>
      </c>
      <c r="AB1840" s="0" t="str">
        <f aca="false">IF(W1840=1,"",IF(AND(X1840=1,Z1840&lt;&gt;1),1,0))</f>
        <v/>
      </c>
      <c r="AC1840" s="0" t="str">
        <f aca="false">IF(W1840=1,"",IF(AND(Y1840=1,AA1840&lt;&gt;1),1,0))</f>
        <v/>
      </c>
      <c r="AD1840" s="33" t="str">
        <f aca="false">IF(AND(E1840&gt;0,W1840&lt;1,NOT(AND(C1841=C1840,W1841=W1840+1))),INDEX(DATAS,W1840+1),"")</f>
        <v/>
      </c>
      <c r="AE1840" s="33" t="str">
        <f aca="false">IF(AND(Y1840=1,W1840&lt;1),IF(AND(C1841=C1840,W1841=W1840+1),IF(Y1841=1,"",INDEX(DATAS,W1840+1)),INDEX(DATAS,W1840+1)),"")</f>
        <v/>
      </c>
    </row>
    <row r="1841" customFormat="false" ht="15" hidden="false" customHeight="false" outlineLevel="0" collapsed="false">
      <c r="A1841" s="33" t="n">
        <v>46309</v>
      </c>
      <c r="B1841" s="0" t="n">
        <v>1</v>
      </c>
      <c r="C1841" s="0" t="n">
        <v>6056</v>
      </c>
      <c r="D1841" s="0" t="n">
        <v>68</v>
      </c>
      <c r="E1841" s="0" t="n">
        <v>1</v>
      </c>
      <c r="F1841" s="27" t="s">
        <v>1074</v>
      </c>
      <c r="G1841" s="0" t="n">
        <v>45.7</v>
      </c>
      <c r="H1841" s="0" t="n">
        <v>47</v>
      </c>
      <c r="I1841" s="27" t="s">
        <v>168</v>
      </c>
      <c r="J1841" s="0" t="n">
        <v>68</v>
      </c>
      <c r="K1841" s="0" t="n">
        <v>68</v>
      </c>
      <c r="P1841" s="0" t="n">
        <v>4.07</v>
      </c>
      <c r="Q1841" s="0" t="n">
        <v>3.15</v>
      </c>
      <c r="R1841" s="0" t="n">
        <v>3957</v>
      </c>
      <c r="S1841" s="0" t="n">
        <v>7954</v>
      </c>
      <c r="U1841" s="0" t="n">
        <v>701</v>
      </c>
      <c r="V1841" s="0" t="n">
        <v>1</v>
      </c>
      <c r="W1841" s="27" t="n">
        <f aca="false">MATCH(A1841,DATAS,0)</f>
        <v>1</v>
      </c>
      <c r="X1841" s="27" t="n">
        <f aca="false">IF(AND(E1841&gt;0,OR(AND(B1841&gt;=1,B1841&lt;=6),B1841=10)),1,0)</f>
        <v>1</v>
      </c>
      <c r="Y1841" s="27" t="n">
        <f aca="false">IF(AND(E1841&gt;0,B1841=10),1,0)</f>
        <v>0</v>
      </c>
      <c r="Z1841" s="0" t="str">
        <f aca="false">IF(AND(C1840=C1841,W1840=W1841-1),X1840,"")</f>
        <v/>
      </c>
      <c r="AA1841" s="0" t="str">
        <f aca="false">IF(AND(C1840=C1841,W1840=W1841-1),Y1840,"")</f>
        <v/>
      </c>
      <c r="AB1841" s="0" t="str">
        <f aca="false">IF(W1841=1,"",IF(AND(X1841=1,Z1841&lt;&gt;1),1,0))</f>
        <v/>
      </c>
      <c r="AC1841" s="0" t="str">
        <f aca="false">IF(W1841=1,"",IF(AND(Y1841=1,AA1841&lt;&gt;1),1,0))</f>
        <v/>
      </c>
      <c r="AD1841" s="33" t="str">
        <f aca="false">IF(AND(E1841&gt;0,W1841&lt;1,NOT(AND(C1842=C1841,W1842=W1841+1))),INDEX(DATAS,W1841+1),"")</f>
        <v/>
      </c>
      <c r="AE1841" s="33" t="str">
        <f aca="false">IF(AND(Y1841=1,W1841&lt;1),IF(AND(C1842=C1841,W1842=W1841+1),IF(Y1842=1,"",INDEX(DATAS,W1841+1)),INDEX(DATAS,W1841+1)),"")</f>
        <v/>
      </c>
    </row>
    <row r="1842" customFormat="false" ht="15" hidden="false" customHeight="false" outlineLevel="0" collapsed="false">
      <c r="A1842" s="33" t="n">
        <v>46309</v>
      </c>
      <c r="B1842" s="0" t="n">
        <v>1</v>
      </c>
      <c r="C1842" s="0" t="n">
        <v>6057</v>
      </c>
      <c r="D1842" s="0" t="n">
        <v>12</v>
      </c>
      <c r="E1842" s="0" t="n">
        <v>1</v>
      </c>
      <c r="F1842" s="27" t="s">
        <v>1074</v>
      </c>
      <c r="G1842" s="0" t="n">
        <v>41.2</v>
      </c>
      <c r="H1842" s="0" t="n">
        <v>36</v>
      </c>
      <c r="I1842" s="27" t="s">
        <v>147</v>
      </c>
      <c r="J1842" s="0" t="n">
        <v>12</v>
      </c>
      <c r="R1842" s="0" t="n">
        <v>3417</v>
      </c>
      <c r="S1842" s="0" t="n">
        <v>6868</v>
      </c>
      <c r="U1842" s="0" t="n">
        <v>701</v>
      </c>
      <c r="V1842" s="0" t="n">
        <v>0</v>
      </c>
      <c r="W1842" s="27" t="n">
        <f aca="false">MATCH(A1842,DATAS,0)</f>
        <v>1</v>
      </c>
      <c r="X1842" s="27" t="n">
        <f aca="false">IF(AND(E1842&gt;0,OR(AND(B1842&gt;=1,B1842&lt;=6),B1842=10)),1,0)</f>
        <v>1</v>
      </c>
      <c r="Y1842" s="27" t="n">
        <f aca="false">IF(AND(E1842&gt;0,B1842=10),1,0)</f>
        <v>0</v>
      </c>
      <c r="Z1842" s="0" t="str">
        <f aca="false">IF(AND(C1841=C1842,W1841=W1842-1),X1841,"")</f>
        <v/>
      </c>
      <c r="AA1842" s="0" t="str">
        <f aca="false">IF(AND(C1841=C1842,W1841=W1842-1),Y1841,"")</f>
        <v/>
      </c>
      <c r="AB1842" s="0" t="str">
        <f aca="false">IF(W1842=1,"",IF(AND(X1842=1,Z1842&lt;&gt;1),1,0))</f>
        <v/>
      </c>
      <c r="AC1842" s="0" t="str">
        <f aca="false">IF(W1842=1,"",IF(AND(Y1842=1,AA1842&lt;&gt;1),1,0))</f>
        <v/>
      </c>
      <c r="AD1842" s="33" t="str">
        <f aca="false">IF(AND(E1842&gt;0,W1842&lt;1,NOT(AND(C1843=C1842,W1843=W1842+1))),INDEX(DATAS,W1842+1),"")</f>
        <v/>
      </c>
      <c r="AE1842" s="33" t="str">
        <f aca="false">IF(AND(Y1842=1,W1842&lt;1),IF(AND(C1843=C1842,W1843=W1842+1),IF(Y1843=1,"",INDEX(DATAS,W1842+1)),INDEX(DATAS,W1842+1)),"")</f>
        <v/>
      </c>
    </row>
    <row r="1843" customFormat="false" ht="15" hidden="false" customHeight="false" outlineLevel="0" collapsed="false">
      <c r="A1843" s="33" t="n">
        <v>46309</v>
      </c>
      <c r="B1843" s="0" t="n">
        <v>6</v>
      </c>
      <c r="C1843" s="0" t="n">
        <v>6058</v>
      </c>
      <c r="D1843" s="0" t="n">
        <v>56</v>
      </c>
      <c r="E1843" s="0" t="n">
        <v>1</v>
      </c>
      <c r="F1843" s="27" t="s">
        <v>1074</v>
      </c>
      <c r="G1843" s="0" t="n">
        <v>28.9</v>
      </c>
      <c r="H1843" s="0" t="n">
        <v>27</v>
      </c>
      <c r="I1843" s="27" t="s">
        <v>147</v>
      </c>
      <c r="J1843" s="0" t="n">
        <v>56</v>
      </c>
      <c r="P1843" s="0" t="n">
        <v>4.42</v>
      </c>
      <c r="Q1843" s="0" t="n">
        <v>3.39</v>
      </c>
      <c r="R1843" s="0" t="n">
        <v>2123</v>
      </c>
      <c r="S1843" s="0" t="n">
        <v>4269</v>
      </c>
      <c r="U1843" s="0" t="n">
        <v>701</v>
      </c>
      <c r="V1843" s="0" t="n">
        <v>0</v>
      </c>
      <c r="W1843" s="27" t="n">
        <f aca="false">MATCH(A1843,DATAS,0)</f>
        <v>1</v>
      </c>
      <c r="X1843" s="27" t="n">
        <f aca="false">IF(AND(E1843&gt;0,OR(AND(B1843&gt;=1,B1843&lt;=6),B1843=10)),1,0)</f>
        <v>1</v>
      </c>
      <c r="Y1843" s="27" t="n">
        <f aca="false">IF(AND(E1843&gt;0,B1843=10),1,0)</f>
        <v>0</v>
      </c>
      <c r="Z1843" s="0" t="str">
        <f aca="false">IF(AND(C1842=C1843,W1842=W1843-1),X1842,"")</f>
        <v/>
      </c>
      <c r="AA1843" s="0" t="str">
        <f aca="false">IF(AND(C1842=C1843,W1842=W1843-1),Y1842,"")</f>
        <v/>
      </c>
      <c r="AB1843" s="0" t="str">
        <f aca="false">IF(W1843=1,"",IF(AND(X1843=1,Z1843&lt;&gt;1),1,0))</f>
        <v/>
      </c>
      <c r="AC1843" s="0" t="str">
        <f aca="false">IF(W1843=1,"",IF(AND(Y1843=1,AA1843&lt;&gt;1),1,0))</f>
        <v/>
      </c>
      <c r="AD1843" s="33" t="str">
        <f aca="false">IF(AND(E1843&gt;0,W1843&lt;1,NOT(AND(C1844=C1843,W1844=W1843+1))),INDEX(DATAS,W1843+1),"")</f>
        <v/>
      </c>
      <c r="AE1843" s="33" t="str">
        <f aca="false">IF(AND(Y1843=1,W1843&lt;1),IF(AND(C1844=C1843,W1844=W1843+1),IF(Y1844=1,"",INDEX(DATAS,W1843+1)),INDEX(DATAS,W1843+1)),"")</f>
        <v/>
      </c>
    </row>
    <row r="1844" customFormat="false" ht="15" hidden="false" customHeight="false" outlineLevel="0" collapsed="false">
      <c r="A1844" s="33" t="n">
        <v>46309</v>
      </c>
      <c r="B1844" s="0" t="n">
        <v>1</v>
      </c>
      <c r="C1844" s="0" t="n">
        <v>6059</v>
      </c>
      <c r="D1844" s="0" t="n">
        <v>55</v>
      </c>
      <c r="E1844" s="0" t="n">
        <v>1</v>
      </c>
      <c r="F1844" s="27" t="s">
        <v>1074</v>
      </c>
      <c r="G1844" s="0" t="n">
        <v>50.9</v>
      </c>
      <c r="H1844" s="0" t="n">
        <v>52</v>
      </c>
      <c r="I1844" s="27" t="s">
        <v>147</v>
      </c>
      <c r="J1844" s="0" t="n">
        <v>55</v>
      </c>
      <c r="P1844" s="0" t="n">
        <v>3.19</v>
      </c>
      <c r="Q1844" s="0" t="n">
        <v>3.08</v>
      </c>
      <c r="R1844" s="0" t="n">
        <v>4564</v>
      </c>
      <c r="S1844" s="0" t="n">
        <v>9176</v>
      </c>
      <c r="U1844" s="0" t="n">
        <v>701</v>
      </c>
      <c r="V1844" s="0" t="n">
        <v>0</v>
      </c>
      <c r="W1844" s="27" t="n">
        <f aca="false">MATCH(A1844,DATAS,0)</f>
        <v>1</v>
      </c>
      <c r="X1844" s="27" t="n">
        <f aca="false">IF(AND(E1844&gt;0,OR(AND(B1844&gt;=1,B1844&lt;=6),B1844=10)),1,0)</f>
        <v>1</v>
      </c>
      <c r="Y1844" s="27" t="n">
        <f aca="false">IF(AND(E1844&gt;0,B1844=10),1,0)</f>
        <v>0</v>
      </c>
      <c r="Z1844" s="0" t="str">
        <f aca="false">IF(AND(C1843=C1844,W1843=W1844-1),X1843,"")</f>
        <v/>
      </c>
      <c r="AA1844" s="0" t="str">
        <f aca="false">IF(AND(C1843=C1844,W1843=W1844-1),Y1843,"")</f>
        <v/>
      </c>
      <c r="AB1844" s="0" t="str">
        <f aca="false">IF(W1844=1,"",IF(AND(X1844=1,Z1844&lt;&gt;1),1,0))</f>
        <v/>
      </c>
      <c r="AC1844" s="0" t="str">
        <f aca="false">IF(W1844=1,"",IF(AND(Y1844=1,AA1844&lt;&gt;1),1,0))</f>
        <v/>
      </c>
      <c r="AD1844" s="33" t="str">
        <f aca="false">IF(AND(E1844&gt;0,W1844&lt;1,NOT(AND(C1845=C1844,W1845=W1844+1))),INDEX(DATAS,W1844+1),"")</f>
        <v/>
      </c>
      <c r="AE1844" s="33" t="str">
        <f aca="false">IF(AND(Y1844=1,W1844&lt;1),IF(AND(C1845=C1844,W1845=W1844+1),IF(Y1845=1,"",INDEX(DATAS,W1844+1)),INDEX(DATAS,W1844+1)),"")</f>
        <v/>
      </c>
    </row>
    <row r="1845" customFormat="false" ht="15" hidden="false" customHeight="false" outlineLevel="0" collapsed="false">
      <c r="A1845" s="33" t="n">
        <v>46309</v>
      </c>
      <c r="B1845" s="0" t="n">
        <v>14</v>
      </c>
      <c r="C1845" s="0" t="n">
        <v>6060</v>
      </c>
      <c r="E1845" s="0" t="n">
        <v>0</v>
      </c>
      <c r="F1845" s="27" t="s">
        <v>1075</v>
      </c>
      <c r="I1845" s="27" t="s">
        <v>138</v>
      </c>
      <c r="L1845" s="0" t="n">
        <v>273</v>
      </c>
      <c r="U1845" s="0" t="n">
        <v>700</v>
      </c>
      <c r="V1845" s="0" t="n">
        <v>3</v>
      </c>
      <c r="W1845" s="27" t="n">
        <f aca="false">MATCH(A1845,DATAS,0)</f>
        <v>1</v>
      </c>
      <c r="X1845" s="27" t="n">
        <f aca="false">IF(AND(E1845&gt;0,OR(AND(B1845&gt;=1,B1845&lt;=6),B1845=10)),1,0)</f>
        <v>0</v>
      </c>
      <c r="Y1845" s="27" t="n">
        <f aca="false">IF(AND(E1845&gt;0,B1845=10),1,0)</f>
        <v>0</v>
      </c>
      <c r="Z1845" s="0" t="str">
        <f aca="false">IF(AND(C1844=C1845,W1844=W1845-1),X1844,"")</f>
        <v/>
      </c>
      <c r="AA1845" s="0" t="str">
        <f aca="false">IF(AND(C1844=C1845,W1844=W1845-1),Y1844,"")</f>
        <v/>
      </c>
      <c r="AB1845" s="0" t="str">
        <f aca="false">IF(W1845=1,"",IF(AND(X1845=1,Z1845&lt;&gt;1),1,0))</f>
        <v/>
      </c>
      <c r="AC1845" s="0" t="str">
        <f aca="false">IF(W1845=1,"",IF(AND(Y1845=1,AA1845&lt;&gt;1),1,0))</f>
        <v/>
      </c>
      <c r="AD1845" s="33" t="str">
        <f aca="false">IF(AND(E1845&gt;0,W1845&lt;1,NOT(AND(C1846=C1845,W1846=W1845+1))),INDEX(DATAS,W1845+1),"")</f>
        <v/>
      </c>
      <c r="AE1845" s="33" t="str">
        <f aca="false">IF(AND(Y1845=1,W1845&lt;1),IF(AND(C1846=C1845,W1846=W1845+1),IF(Y1846=1,"",INDEX(DATAS,W1845+1)),INDEX(DATAS,W1845+1)),"")</f>
        <v/>
      </c>
    </row>
    <row r="1846" customFormat="false" ht="15" hidden="false" customHeight="false" outlineLevel="0" collapsed="false">
      <c r="A1846" s="33" t="n">
        <v>46309</v>
      </c>
      <c r="B1846" s="0" t="n">
        <v>1</v>
      </c>
      <c r="C1846" s="0" t="n">
        <v>6062</v>
      </c>
      <c r="D1846" s="0" t="n">
        <v>62</v>
      </c>
      <c r="E1846" s="0" t="n">
        <v>1</v>
      </c>
      <c r="F1846" s="27" t="s">
        <v>1076</v>
      </c>
      <c r="G1846" s="0" t="n">
        <v>37.2</v>
      </c>
      <c r="H1846" s="0" t="n">
        <v>38</v>
      </c>
      <c r="I1846" s="27" t="s">
        <v>168</v>
      </c>
      <c r="J1846" s="0" t="n">
        <v>62</v>
      </c>
      <c r="K1846" s="0" t="n">
        <v>62</v>
      </c>
      <c r="P1846" s="0" t="n">
        <v>4.41</v>
      </c>
      <c r="Q1846" s="0" t="n">
        <v>3.12</v>
      </c>
      <c r="R1846" s="0" t="n">
        <v>3550</v>
      </c>
      <c r="S1846" s="0" t="n">
        <v>7136</v>
      </c>
      <c r="U1846" s="0" t="n">
        <v>699</v>
      </c>
      <c r="V1846" s="0" t="n">
        <v>1</v>
      </c>
      <c r="W1846" s="27" t="n">
        <f aca="false">MATCH(A1846,DATAS,0)</f>
        <v>1</v>
      </c>
      <c r="X1846" s="27" t="n">
        <f aca="false">IF(AND(E1846&gt;0,OR(AND(B1846&gt;=1,B1846&lt;=6),B1846=10)),1,0)</f>
        <v>1</v>
      </c>
      <c r="Y1846" s="27" t="n">
        <f aca="false">IF(AND(E1846&gt;0,B1846=10),1,0)</f>
        <v>0</v>
      </c>
      <c r="Z1846" s="0" t="str">
        <f aca="false">IF(AND(C1845=C1846,W1845=W1846-1),X1845,"")</f>
        <v/>
      </c>
      <c r="AA1846" s="0" t="str">
        <f aca="false">IF(AND(C1845=C1846,W1845=W1846-1),Y1845,"")</f>
        <v/>
      </c>
      <c r="AB1846" s="0" t="str">
        <f aca="false">IF(W1846=1,"",IF(AND(X1846=1,Z1846&lt;&gt;1),1,0))</f>
        <v/>
      </c>
      <c r="AC1846" s="0" t="str">
        <f aca="false">IF(W1846=1,"",IF(AND(Y1846=1,AA1846&lt;&gt;1),1,0))</f>
        <v/>
      </c>
      <c r="AD1846" s="33" t="str">
        <f aca="false">IF(AND(E1846&gt;0,W1846&lt;1,NOT(AND(C1847=C1846,W1847=W1846+1))),INDEX(DATAS,W1846+1),"")</f>
        <v/>
      </c>
      <c r="AE1846" s="33" t="str">
        <f aca="false">IF(AND(Y1846=1,W1846&lt;1),IF(AND(C1847=C1846,W1847=W1846+1),IF(Y1847=1,"",INDEX(DATAS,W1846+1)),INDEX(DATAS,W1846+1)),"")</f>
        <v/>
      </c>
    </row>
    <row r="1847" customFormat="false" ht="15" hidden="false" customHeight="false" outlineLevel="0" collapsed="false">
      <c r="A1847" s="33" t="n">
        <v>46309</v>
      </c>
      <c r="B1847" s="0" t="n">
        <v>14</v>
      </c>
      <c r="C1847" s="0" t="n">
        <v>6063</v>
      </c>
      <c r="E1847" s="0" t="n">
        <v>0</v>
      </c>
      <c r="F1847" s="27" t="s">
        <v>1076</v>
      </c>
      <c r="I1847" s="27" t="s">
        <v>138</v>
      </c>
      <c r="L1847" s="0" t="n">
        <v>259</v>
      </c>
      <c r="U1847" s="0" t="n">
        <v>699</v>
      </c>
      <c r="V1847" s="0" t="n">
        <v>4</v>
      </c>
      <c r="W1847" s="27" t="n">
        <f aca="false">MATCH(A1847,DATAS,0)</f>
        <v>1</v>
      </c>
      <c r="X1847" s="27" t="n">
        <f aca="false">IF(AND(E1847&gt;0,OR(AND(B1847&gt;=1,B1847&lt;=6),B1847=10)),1,0)</f>
        <v>0</v>
      </c>
      <c r="Y1847" s="27" t="n">
        <f aca="false">IF(AND(E1847&gt;0,B1847=10),1,0)</f>
        <v>0</v>
      </c>
      <c r="Z1847" s="0" t="str">
        <f aca="false">IF(AND(C1846=C1847,W1846=W1847-1),X1846,"")</f>
        <v/>
      </c>
      <c r="AA1847" s="0" t="str">
        <f aca="false">IF(AND(C1846=C1847,W1846=W1847-1),Y1846,"")</f>
        <v/>
      </c>
      <c r="AB1847" s="0" t="str">
        <f aca="false">IF(W1847=1,"",IF(AND(X1847=1,Z1847&lt;&gt;1),1,0))</f>
        <v/>
      </c>
      <c r="AC1847" s="0" t="str">
        <f aca="false">IF(W1847=1,"",IF(AND(Y1847=1,AA1847&lt;&gt;1),1,0))</f>
        <v/>
      </c>
      <c r="AD1847" s="33" t="str">
        <f aca="false">IF(AND(E1847&gt;0,W1847&lt;1,NOT(AND(C1848=C1847,W1848=W1847+1))),INDEX(DATAS,W1847+1),"")</f>
        <v/>
      </c>
      <c r="AE1847" s="33" t="str">
        <f aca="false">IF(AND(Y1847=1,W1847&lt;1),IF(AND(C1848=C1847,W1848=W1847+1),IF(Y1848=1,"",INDEX(DATAS,W1847+1)),INDEX(DATAS,W1847+1)),"")</f>
        <v/>
      </c>
    </row>
    <row r="1848" customFormat="false" ht="15" hidden="false" customHeight="false" outlineLevel="0" collapsed="false">
      <c r="A1848" s="33" t="n">
        <v>46309</v>
      </c>
      <c r="B1848" s="0" t="n">
        <v>1</v>
      </c>
      <c r="C1848" s="0" t="n">
        <v>6064</v>
      </c>
      <c r="D1848" s="0" t="n">
        <v>53</v>
      </c>
      <c r="E1848" s="0" t="n">
        <v>1</v>
      </c>
      <c r="F1848" s="27" t="s">
        <v>1076</v>
      </c>
      <c r="G1848" s="0" t="n">
        <v>48.4</v>
      </c>
      <c r="H1848" s="0" t="n">
        <v>46</v>
      </c>
      <c r="I1848" s="27" t="s">
        <v>147</v>
      </c>
      <c r="J1848" s="0" t="n">
        <v>53</v>
      </c>
      <c r="P1848" s="0" t="n">
        <v>3.69</v>
      </c>
      <c r="Q1848" s="0" t="n">
        <v>3.25</v>
      </c>
      <c r="R1848" s="0" t="n">
        <v>3937</v>
      </c>
      <c r="S1848" s="0" t="n">
        <v>7914</v>
      </c>
      <c r="U1848" s="0" t="n">
        <v>699</v>
      </c>
      <c r="V1848" s="0" t="n">
        <v>0</v>
      </c>
      <c r="W1848" s="27" t="n">
        <f aca="false">MATCH(A1848,DATAS,0)</f>
        <v>1</v>
      </c>
      <c r="X1848" s="27" t="n">
        <f aca="false">IF(AND(E1848&gt;0,OR(AND(B1848&gt;=1,B1848&lt;=6),B1848=10)),1,0)</f>
        <v>1</v>
      </c>
      <c r="Y1848" s="27" t="n">
        <f aca="false">IF(AND(E1848&gt;0,B1848=10),1,0)</f>
        <v>0</v>
      </c>
      <c r="Z1848" s="0" t="str">
        <f aca="false">IF(AND(C1847=C1848,W1847=W1848-1),X1847,"")</f>
        <v/>
      </c>
      <c r="AA1848" s="0" t="str">
        <f aca="false">IF(AND(C1847=C1848,W1847=W1848-1),Y1847,"")</f>
        <v/>
      </c>
      <c r="AB1848" s="0" t="str">
        <f aca="false">IF(W1848=1,"",IF(AND(X1848=1,Z1848&lt;&gt;1),1,0))</f>
        <v/>
      </c>
      <c r="AC1848" s="0" t="str">
        <f aca="false">IF(W1848=1,"",IF(AND(Y1848=1,AA1848&lt;&gt;1),1,0))</f>
        <v/>
      </c>
      <c r="AD1848" s="33" t="str">
        <f aca="false">IF(AND(E1848&gt;0,W1848&lt;1,NOT(AND(C1849=C1848,W1849=W1848+1))),INDEX(DATAS,W1848+1),"")</f>
        <v/>
      </c>
      <c r="AE1848" s="33" t="str">
        <f aca="false">IF(AND(Y1848=1,W1848&lt;1),IF(AND(C1849=C1848,W1849=W1848+1),IF(Y1849=1,"",INDEX(DATAS,W1848+1)),INDEX(DATAS,W1848+1)),"")</f>
        <v/>
      </c>
    </row>
    <row r="1849" customFormat="false" ht="15" hidden="false" customHeight="false" outlineLevel="0" collapsed="false">
      <c r="A1849" s="33" t="n">
        <v>46309</v>
      </c>
      <c r="B1849" s="0" t="n">
        <v>8</v>
      </c>
      <c r="C1849" s="0" t="n">
        <v>6065</v>
      </c>
      <c r="E1849" s="0" t="n">
        <v>0</v>
      </c>
      <c r="F1849" s="27" t="s">
        <v>1076</v>
      </c>
      <c r="I1849" s="27" t="s">
        <v>138</v>
      </c>
      <c r="L1849" s="0" t="n">
        <v>178</v>
      </c>
      <c r="U1849" s="0" t="n">
        <v>699</v>
      </c>
      <c r="V1849" s="0" t="n">
        <v>2</v>
      </c>
      <c r="W1849" s="27" t="n">
        <f aca="false">MATCH(A1849,DATAS,0)</f>
        <v>1</v>
      </c>
      <c r="X1849" s="27" t="n">
        <f aca="false">IF(AND(E1849&gt;0,OR(AND(B1849&gt;=1,B1849&lt;=6),B1849=10)),1,0)</f>
        <v>0</v>
      </c>
      <c r="Y1849" s="27" t="n">
        <f aca="false">IF(AND(E1849&gt;0,B1849=10),1,0)</f>
        <v>0</v>
      </c>
      <c r="Z1849" s="0" t="str">
        <f aca="false">IF(AND(C1848=C1849,W1848=W1849-1),X1848,"")</f>
        <v/>
      </c>
      <c r="AA1849" s="0" t="str">
        <f aca="false">IF(AND(C1848=C1849,W1848=W1849-1),Y1848,"")</f>
        <v/>
      </c>
      <c r="AB1849" s="0" t="str">
        <f aca="false">IF(W1849=1,"",IF(AND(X1849=1,Z1849&lt;&gt;1),1,0))</f>
        <v/>
      </c>
      <c r="AC1849" s="0" t="str">
        <f aca="false">IF(W1849=1,"",IF(AND(Y1849=1,AA1849&lt;&gt;1),1,0))</f>
        <v/>
      </c>
      <c r="AD1849" s="33" t="str">
        <f aca="false">IF(AND(E1849&gt;0,W1849&lt;1,NOT(AND(C1850=C1849,W1850=W1849+1))),INDEX(DATAS,W1849+1),"")</f>
        <v/>
      </c>
      <c r="AE1849" s="33" t="str">
        <f aca="false">IF(AND(Y1849=1,W1849&lt;1),IF(AND(C1850=C1849,W1850=W1849+1),IF(Y1850=1,"",INDEX(DATAS,W1849+1)),INDEX(DATAS,W1849+1)),"")</f>
        <v/>
      </c>
    </row>
    <row r="1850" customFormat="false" ht="15" hidden="false" customHeight="false" outlineLevel="0" collapsed="false">
      <c r="A1850" s="33" t="n">
        <v>46309</v>
      </c>
      <c r="B1850" s="0" t="n">
        <v>1</v>
      </c>
      <c r="C1850" s="0" t="n">
        <v>6066</v>
      </c>
      <c r="D1850" s="0" t="n">
        <v>37</v>
      </c>
      <c r="E1850" s="0" t="n">
        <v>1</v>
      </c>
      <c r="F1850" s="27" t="s">
        <v>1076</v>
      </c>
      <c r="G1850" s="0" t="n">
        <v>48.1</v>
      </c>
      <c r="H1850" s="0" t="n">
        <v>47</v>
      </c>
      <c r="I1850" s="27" t="s">
        <v>147</v>
      </c>
      <c r="J1850" s="0" t="n">
        <v>37</v>
      </c>
      <c r="P1850" s="0" t="n">
        <v>5.01</v>
      </c>
      <c r="Q1850" s="0" t="n">
        <v>3.79</v>
      </c>
      <c r="R1850" s="0" t="n">
        <v>3767</v>
      </c>
      <c r="S1850" s="0" t="n">
        <v>7573</v>
      </c>
      <c r="U1850" s="0" t="n">
        <v>699</v>
      </c>
      <c r="V1850" s="0" t="n">
        <v>0</v>
      </c>
      <c r="W1850" s="27" t="n">
        <f aca="false">MATCH(A1850,DATAS,0)</f>
        <v>1</v>
      </c>
      <c r="X1850" s="27" t="n">
        <f aca="false">IF(AND(E1850&gt;0,OR(AND(B1850&gt;=1,B1850&lt;=6),B1850=10)),1,0)</f>
        <v>1</v>
      </c>
      <c r="Y1850" s="27" t="n">
        <f aca="false">IF(AND(E1850&gt;0,B1850=10),1,0)</f>
        <v>0</v>
      </c>
      <c r="Z1850" s="0" t="str">
        <f aca="false">IF(AND(C1849=C1850,W1849=W1850-1),X1849,"")</f>
        <v/>
      </c>
      <c r="AA1850" s="0" t="str">
        <f aca="false">IF(AND(C1849=C1850,W1849=W1850-1),Y1849,"")</f>
        <v/>
      </c>
      <c r="AB1850" s="0" t="str">
        <f aca="false">IF(W1850=1,"",IF(AND(X1850=1,Z1850&lt;&gt;1),1,0))</f>
        <v/>
      </c>
      <c r="AC1850" s="0" t="str">
        <f aca="false">IF(W1850=1,"",IF(AND(Y1850=1,AA1850&lt;&gt;1),1,0))</f>
        <v/>
      </c>
      <c r="AD1850" s="33" t="str">
        <f aca="false">IF(AND(E1850&gt;0,W1850&lt;1,NOT(AND(C1851=C1850,W1851=W1850+1))),INDEX(DATAS,W1850+1),"")</f>
        <v/>
      </c>
      <c r="AE1850" s="33" t="str">
        <f aca="false">IF(AND(Y1850=1,W1850&lt;1),IF(AND(C1851=C1850,W1851=W1850+1),IF(Y1851=1,"",INDEX(DATAS,W1850+1)),INDEX(DATAS,W1850+1)),"")</f>
        <v/>
      </c>
    </row>
    <row r="1851" customFormat="false" ht="15" hidden="false" customHeight="false" outlineLevel="0" collapsed="false">
      <c r="A1851" s="33" t="n">
        <v>46309</v>
      </c>
      <c r="B1851" s="0" t="n">
        <v>8</v>
      </c>
      <c r="C1851" s="0" t="n">
        <v>6067</v>
      </c>
      <c r="E1851" s="0" t="n">
        <v>0</v>
      </c>
      <c r="F1851" s="27" t="s">
        <v>1076</v>
      </c>
      <c r="I1851" s="27" t="s">
        <v>138</v>
      </c>
      <c r="L1851" s="0" t="n">
        <v>219</v>
      </c>
      <c r="U1851" s="0" t="n">
        <v>699</v>
      </c>
      <c r="V1851" s="0" t="n">
        <v>5</v>
      </c>
      <c r="W1851" s="27" t="n">
        <f aca="false">MATCH(A1851,DATAS,0)</f>
        <v>1</v>
      </c>
      <c r="X1851" s="27" t="n">
        <f aca="false">IF(AND(E1851&gt;0,OR(AND(B1851&gt;=1,B1851&lt;=6),B1851=10)),1,0)</f>
        <v>0</v>
      </c>
      <c r="Y1851" s="27" t="n">
        <f aca="false">IF(AND(E1851&gt;0,B1851=10),1,0)</f>
        <v>0</v>
      </c>
      <c r="Z1851" s="0" t="str">
        <f aca="false">IF(AND(C1850=C1851,W1850=W1851-1),X1850,"")</f>
        <v/>
      </c>
      <c r="AA1851" s="0" t="str">
        <f aca="false">IF(AND(C1850=C1851,W1850=W1851-1),Y1850,"")</f>
        <v/>
      </c>
      <c r="AB1851" s="0" t="str">
        <f aca="false">IF(W1851=1,"",IF(AND(X1851=1,Z1851&lt;&gt;1),1,0))</f>
        <v/>
      </c>
      <c r="AC1851" s="0" t="str">
        <f aca="false">IF(W1851=1,"",IF(AND(Y1851=1,AA1851&lt;&gt;1),1,0))</f>
        <v/>
      </c>
      <c r="AD1851" s="33" t="str">
        <f aca="false">IF(AND(E1851&gt;0,W1851&lt;1,NOT(AND(C1852=C1851,W1852=W1851+1))),INDEX(DATAS,W1851+1),"")</f>
        <v/>
      </c>
      <c r="AE1851" s="33" t="str">
        <f aca="false">IF(AND(Y1851=1,W1851&lt;1),IF(AND(C1852=C1851,W1852=W1851+1),IF(Y1852=1,"",INDEX(DATAS,W1851+1)),INDEX(DATAS,W1851+1)),"")</f>
        <v/>
      </c>
    </row>
    <row r="1852" customFormat="false" ht="15" hidden="false" customHeight="false" outlineLevel="0" collapsed="false">
      <c r="A1852" s="33" t="n">
        <v>46309</v>
      </c>
      <c r="B1852" s="0" t="n">
        <v>1</v>
      </c>
      <c r="C1852" s="0" t="n">
        <v>6068</v>
      </c>
      <c r="D1852" s="0" t="n">
        <v>24</v>
      </c>
      <c r="E1852" s="0" t="n">
        <v>1</v>
      </c>
      <c r="F1852" s="27" t="s">
        <v>1077</v>
      </c>
      <c r="G1852" s="0" t="n">
        <v>35.2</v>
      </c>
      <c r="H1852" s="0" t="n">
        <v>30</v>
      </c>
      <c r="I1852" s="27" t="s">
        <v>147</v>
      </c>
      <c r="J1852" s="0" t="n">
        <v>24</v>
      </c>
      <c r="R1852" s="0" t="n">
        <v>2718</v>
      </c>
      <c r="S1852" s="0" t="n">
        <v>5463</v>
      </c>
      <c r="U1852" s="0" t="n">
        <v>698</v>
      </c>
      <c r="V1852" s="0" t="n">
        <v>0</v>
      </c>
      <c r="W1852" s="27" t="n">
        <f aca="false">MATCH(A1852,DATAS,0)</f>
        <v>1</v>
      </c>
      <c r="X1852" s="27" t="n">
        <f aca="false">IF(AND(E1852&gt;0,OR(AND(B1852&gt;=1,B1852&lt;=6),B1852=10)),1,0)</f>
        <v>1</v>
      </c>
      <c r="Y1852" s="27" t="n">
        <f aca="false">IF(AND(E1852&gt;0,B1852=10),1,0)</f>
        <v>0</v>
      </c>
      <c r="Z1852" s="0" t="str">
        <f aca="false">IF(AND(C1851=C1852,W1851=W1852-1),X1851,"")</f>
        <v/>
      </c>
      <c r="AA1852" s="0" t="str">
        <f aca="false">IF(AND(C1851=C1852,W1851=W1852-1),Y1851,"")</f>
        <v/>
      </c>
      <c r="AB1852" s="0" t="str">
        <f aca="false">IF(W1852=1,"",IF(AND(X1852=1,Z1852&lt;&gt;1),1,0))</f>
        <v/>
      </c>
      <c r="AC1852" s="0" t="str">
        <f aca="false">IF(W1852=1,"",IF(AND(Y1852=1,AA1852&lt;&gt;1),1,0))</f>
        <v/>
      </c>
      <c r="AD1852" s="33" t="str">
        <f aca="false">IF(AND(E1852&gt;0,W1852&lt;1,NOT(AND(C1853=C1852,W1853=W1852+1))),INDEX(DATAS,W1852+1),"")</f>
        <v/>
      </c>
      <c r="AE1852" s="33" t="str">
        <f aca="false">IF(AND(Y1852=1,W1852&lt;1),IF(AND(C1853=C1852,W1853=W1852+1),IF(Y1853=1,"",INDEX(DATAS,W1852+1)),INDEX(DATAS,W1852+1)),"")</f>
        <v/>
      </c>
    </row>
    <row r="1853" customFormat="false" ht="15" hidden="false" customHeight="false" outlineLevel="0" collapsed="false">
      <c r="A1853" s="33" t="n">
        <v>46309</v>
      </c>
      <c r="B1853" s="0" t="n">
        <v>1</v>
      </c>
      <c r="C1853" s="0" t="n">
        <v>6071</v>
      </c>
      <c r="D1853" s="0" t="n">
        <v>52</v>
      </c>
      <c r="E1853" s="0" t="n">
        <v>1</v>
      </c>
      <c r="F1853" s="27" t="s">
        <v>1077</v>
      </c>
      <c r="G1853" s="0" t="n">
        <v>51.4</v>
      </c>
      <c r="H1853" s="0" t="n">
        <v>49</v>
      </c>
      <c r="I1853" s="27" t="s">
        <v>147</v>
      </c>
      <c r="J1853" s="0" t="n">
        <v>52</v>
      </c>
      <c r="P1853" s="0" t="n">
        <v>3.64</v>
      </c>
      <c r="Q1853" s="0" t="n">
        <v>3.32</v>
      </c>
      <c r="R1853" s="0" t="n">
        <v>3870</v>
      </c>
      <c r="S1853" s="0" t="n">
        <v>7780</v>
      </c>
      <c r="U1853" s="0" t="n">
        <v>698</v>
      </c>
      <c r="V1853" s="0" t="n">
        <v>0</v>
      </c>
      <c r="W1853" s="27" t="n">
        <f aca="false">MATCH(A1853,DATAS,0)</f>
        <v>1</v>
      </c>
      <c r="X1853" s="27" t="n">
        <f aca="false">IF(AND(E1853&gt;0,OR(AND(B1853&gt;=1,B1853&lt;=6),B1853=10)),1,0)</f>
        <v>1</v>
      </c>
      <c r="Y1853" s="27" t="n">
        <f aca="false">IF(AND(E1853&gt;0,B1853=10),1,0)</f>
        <v>0</v>
      </c>
      <c r="Z1853" s="0" t="str">
        <f aca="false">IF(AND(C1852=C1853,W1852=W1853-1),X1852,"")</f>
        <v/>
      </c>
      <c r="AA1853" s="0" t="str">
        <f aca="false">IF(AND(C1852=C1853,W1852=W1853-1),Y1852,"")</f>
        <v/>
      </c>
      <c r="AB1853" s="0" t="str">
        <f aca="false">IF(W1853=1,"",IF(AND(X1853=1,Z1853&lt;&gt;1),1,0))</f>
        <v/>
      </c>
      <c r="AC1853" s="0" t="str">
        <f aca="false">IF(W1853=1,"",IF(AND(Y1853=1,AA1853&lt;&gt;1),1,0))</f>
        <v/>
      </c>
      <c r="AD1853" s="33" t="str">
        <f aca="false">IF(AND(E1853&gt;0,W1853&lt;1,NOT(AND(C1854=C1853,W1854=W1853+1))),INDEX(DATAS,W1853+1),"")</f>
        <v/>
      </c>
      <c r="AE1853" s="33" t="str">
        <f aca="false">IF(AND(Y1853=1,W1853&lt;1),IF(AND(C1854=C1853,W1854=W1853+1),IF(Y1854=1,"",INDEX(DATAS,W1853+1)),INDEX(DATAS,W1853+1)),"")</f>
        <v/>
      </c>
    </row>
    <row r="1854" customFormat="false" ht="15" hidden="false" customHeight="false" outlineLevel="0" collapsed="false">
      <c r="A1854" s="33" t="n">
        <v>46309</v>
      </c>
      <c r="B1854" s="0" t="n">
        <v>8</v>
      </c>
      <c r="C1854" s="0" t="n">
        <v>6072</v>
      </c>
      <c r="E1854" s="0" t="n">
        <v>0</v>
      </c>
      <c r="F1854" s="27" t="s">
        <v>1078</v>
      </c>
      <c r="I1854" s="27" t="s">
        <v>138</v>
      </c>
      <c r="L1854" s="0" t="n">
        <v>252</v>
      </c>
      <c r="U1854" s="0" t="n">
        <v>697</v>
      </c>
      <c r="V1854" s="0" t="n">
        <v>5</v>
      </c>
      <c r="W1854" s="27" t="n">
        <f aca="false">MATCH(A1854,DATAS,0)</f>
        <v>1</v>
      </c>
      <c r="X1854" s="27" t="n">
        <f aca="false">IF(AND(E1854&gt;0,OR(AND(B1854&gt;=1,B1854&lt;=6),B1854=10)),1,0)</f>
        <v>0</v>
      </c>
      <c r="Y1854" s="27" t="n">
        <f aca="false">IF(AND(E1854&gt;0,B1854=10),1,0)</f>
        <v>0</v>
      </c>
      <c r="Z1854" s="0" t="str">
        <f aca="false">IF(AND(C1853=C1854,W1853=W1854-1),X1853,"")</f>
        <v/>
      </c>
      <c r="AA1854" s="0" t="str">
        <f aca="false">IF(AND(C1853=C1854,W1853=W1854-1),Y1853,"")</f>
        <v/>
      </c>
      <c r="AB1854" s="0" t="str">
        <f aca="false">IF(W1854=1,"",IF(AND(X1854=1,Z1854&lt;&gt;1),1,0))</f>
        <v/>
      </c>
      <c r="AC1854" s="0" t="str">
        <f aca="false">IF(W1854=1,"",IF(AND(Y1854=1,AA1854&lt;&gt;1),1,0))</f>
        <v/>
      </c>
      <c r="AD1854" s="33" t="str">
        <f aca="false">IF(AND(E1854&gt;0,W1854&lt;1,NOT(AND(C1855=C1854,W1855=W1854+1))),INDEX(DATAS,W1854+1),"")</f>
        <v/>
      </c>
      <c r="AE1854" s="33" t="str">
        <f aca="false">IF(AND(Y1854=1,W1854&lt;1),IF(AND(C1855=C1854,W1855=W1854+1),IF(Y1855=1,"",INDEX(DATAS,W1854+1)),INDEX(DATAS,W1854+1)),"")</f>
        <v/>
      </c>
    </row>
    <row r="1855" customFormat="false" ht="15" hidden="false" customHeight="false" outlineLevel="0" collapsed="false">
      <c r="A1855" s="33" t="n">
        <v>46309</v>
      </c>
      <c r="B1855" s="0" t="n">
        <v>1</v>
      </c>
      <c r="C1855" s="0" t="n">
        <v>6073</v>
      </c>
      <c r="D1855" s="0" t="n">
        <v>30</v>
      </c>
      <c r="E1855" s="0" t="n">
        <v>1</v>
      </c>
      <c r="F1855" s="27" t="s">
        <v>1078</v>
      </c>
      <c r="G1855" s="0" t="n">
        <v>45.1</v>
      </c>
      <c r="H1855" s="0" t="n">
        <v>43</v>
      </c>
      <c r="I1855" s="27" t="s">
        <v>147</v>
      </c>
      <c r="J1855" s="0" t="n">
        <v>30</v>
      </c>
      <c r="R1855" s="0" t="n">
        <v>3903</v>
      </c>
      <c r="S1855" s="0" t="n">
        <v>7845</v>
      </c>
      <c r="U1855" s="0" t="n">
        <v>697</v>
      </c>
      <c r="V1855" s="0" t="n">
        <v>0</v>
      </c>
      <c r="W1855" s="27" t="n">
        <f aca="false">MATCH(A1855,DATAS,0)</f>
        <v>1</v>
      </c>
      <c r="X1855" s="27" t="n">
        <f aca="false">IF(AND(E1855&gt;0,OR(AND(B1855&gt;=1,B1855&lt;=6),B1855=10)),1,0)</f>
        <v>1</v>
      </c>
      <c r="Y1855" s="27" t="n">
        <f aca="false">IF(AND(E1855&gt;0,B1855=10),1,0)</f>
        <v>0</v>
      </c>
      <c r="Z1855" s="0" t="str">
        <f aca="false">IF(AND(C1854=C1855,W1854=W1855-1),X1854,"")</f>
        <v/>
      </c>
      <c r="AA1855" s="0" t="str">
        <f aca="false">IF(AND(C1854=C1855,W1854=W1855-1),Y1854,"")</f>
        <v/>
      </c>
      <c r="AB1855" s="0" t="str">
        <f aca="false">IF(W1855=1,"",IF(AND(X1855=1,Z1855&lt;&gt;1),1,0))</f>
        <v/>
      </c>
      <c r="AC1855" s="0" t="str">
        <f aca="false">IF(W1855=1,"",IF(AND(Y1855=1,AA1855&lt;&gt;1),1,0))</f>
        <v/>
      </c>
      <c r="AD1855" s="33" t="str">
        <f aca="false">IF(AND(E1855&gt;0,W1855&lt;1,NOT(AND(C1856=C1855,W1856=W1855+1))),INDEX(DATAS,W1855+1),"")</f>
        <v/>
      </c>
      <c r="AE1855" s="33" t="str">
        <f aca="false">IF(AND(Y1855=1,W1855&lt;1),IF(AND(C1856=C1855,W1856=W1855+1),IF(Y1856=1,"",INDEX(DATAS,W1855+1)),INDEX(DATAS,W1855+1)),"")</f>
        <v/>
      </c>
    </row>
    <row r="1856" customFormat="false" ht="15" hidden="false" customHeight="false" outlineLevel="0" collapsed="false">
      <c r="A1856" s="33" t="n">
        <v>46309</v>
      </c>
      <c r="B1856" s="0" t="n">
        <v>1</v>
      </c>
      <c r="C1856" s="0" t="n">
        <v>6075</v>
      </c>
      <c r="D1856" s="0" t="n">
        <v>54</v>
      </c>
      <c r="E1856" s="0" t="n">
        <v>1</v>
      </c>
      <c r="F1856" s="27" t="s">
        <v>1079</v>
      </c>
      <c r="G1856" s="0" t="n">
        <v>44.7</v>
      </c>
      <c r="H1856" s="0" t="n">
        <v>44</v>
      </c>
      <c r="I1856" s="27" t="s">
        <v>147</v>
      </c>
      <c r="J1856" s="0" t="n">
        <v>54</v>
      </c>
      <c r="P1856" s="0" t="n">
        <v>4.75</v>
      </c>
      <c r="Q1856" s="0" t="n">
        <v>3.1</v>
      </c>
      <c r="R1856" s="0" t="n">
        <v>4207</v>
      </c>
      <c r="S1856" s="0" t="n">
        <v>8458</v>
      </c>
      <c r="U1856" s="0" t="n">
        <v>695</v>
      </c>
      <c r="V1856" s="0" t="n">
        <v>0</v>
      </c>
      <c r="W1856" s="27" t="n">
        <f aca="false">MATCH(A1856,DATAS,0)</f>
        <v>1</v>
      </c>
      <c r="X1856" s="27" t="n">
        <f aca="false">IF(AND(E1856&gt;0,OR(AND(B1856&gt;=1,B1856&lt;=6),B1856=10)),1,0)</f>
        <v>1</v>
      </c>
      <c r="Y1856" s="27" t="n">
        <f aca="false">IF(AND(E1856&gt;0,B1856=10),1,0)</f>
        <v>0</v>
      </c>
      <c r="Z1856" s="0" t="str">
        <f aca="false">IF(AND(C1855=C1856,W1855=W1856-1),X1855,"")</f>
        <v/>
      </c>
      <c r="AA1856" s="0" t="str">
        <f aca="false">IF(AND(C1855=C1856,W1855=W1856-1),Y1855,"")</f>
        <v/>
      </c>
      <c r="AB1856" s="0" t="str">
        <f aca="false">IF(W1856=1,"",IF(AND(X1856=1,Z1856&lt;&gt;1),1,0))</f>
        <v/>
      </c>
      <c r="AC1856" s="0" t="str">
        <f aca="false">IF(W1856=1,"",IF(AND(Y1856=1,AA1856&lt;&gt;1),1,0))</f>
        <v/>
      </c>
      <c r="AD1856" s="33" t="str">
        <f aca="false">IF(AND(E1856&gt;0,W1856&lt;1,NOT(AND(C1857=C1856,W1857=W1856+1))),INDEX(DATAS,W1856+1),"")</f>
        <v/>
      </c>
      <c r="AE1856" s="33" t="str">
        <f aca="false">IF(AND(Y1856=1,W1856&lt;1),IF(AND(C1857=C1856,W1857=W1856+1),IF(Y1857=1,"",INDEX(DATAS,W1856+1)),INDEX(DATAS,W1856+1)),"")</f>
        <v/>
      </c>
    </row>
    <row r="1857" customFormat="false" ht="15" hidden="false" customHeight="false" outlineLevel="0" collapsed="false">
      <c r="A1857" s="33" t="n">
        <v>46309</v>
      </c>
      <c r="B1857" s="0" t="n">
        <v>1</v>
      </c>
      <c r="C1857" s="0" t="n">
        <v>6076</v>
      </c>
      <c r="D1857" s="0" t="n">
        <v>32</v>
      </c>
      <c r="E1857" s="0" t="n">
        <v>1</v>
      </c>
      <c r="F1857" s="27" t="s">
        <v>1080</v>
      </c>
      <c r="G1857" s="0" t="n">
        <v>61.2</v>
      </c>
      <c r="H1857" s="0" t="n">
        <v>60</v>
      </c>
      <c r="I1857" s="27" t="s">
        <v>147</v>
      </c>
      <c r="J1857" s="0" t="n">
        <v>32</v>
      </c>
      <c r="P1857" s="0" t="n">
        <v>4.68</v>
      </c>
      <c r="Q1857" s="0" t="n">
        <v>3.9</v>
      </c>
      <c r="R1857" s="0" t="n">
        <v>4835</v>
      </c>
      <c r="S1857" s="0" t="n">
        <v>9720</v>
      </c>
      <c r="U1857" s="0" t="n">
        <v>694</v>
      </c>
      <c r="V1857" s="0" t="n">
        <v>0</v>
      </c>
      <c r="W1857" s="27" t="n">
        <f aca="false">MATCH(A1857,DATAS,0)</f>
        <v>1</v>
      </c>
      <c r="X1857" s="27" t="n">
        <f aca="false">IF(AND(E1857&gt;0,OR(AND(B1857&gt;=1,B1857&lt;=6),B1857=10)),1,0)</f>
        <v>1</v>
      </c>
      <c r="Y1857" s="27" t="n">
        <f aca="false">IF(AND(E1857&gt;0,B1857=10),1,0)</f>
        <v>0</v>
      </c>
      <c r="Z1857" s="0" t="str">
        <f aca="false">IF(AND(C1856=C1857,W1856=W1857-1),X1856,"")</f>
        <v/>
      </c>
      <c r="AA1857" s="0" t="str">
        <f aca="false">IF(AND(C1856=C1857,W1856=W1857-1),Y1856,"")</f>
        <v/>
      </c>
      <c r="AB1857" s="0" t="str">
        <f aca="false">IF(W1857=1,"",IF(AND(X1857=1,Z1857&lt;&gt;1),1,0))</f>
        <v/>
      </c>
      <c r="AC1857" s="0" t="str">
        <f aca="false">IF(W1857=1,"",IF(AND(Y1857=1,AA1857&lt;&gt;1),1,0))</f>
        <v/>
      </c>
      <c r="AD1857" s="33" t="str">
        <f aca="false">IF(AND(E1857&gt;0,W1857&lt;1,NOT(AND(C1858=C1857,W1858=W1857+1))),INDEX(DATAS,W1857+1),"")</f>
        <v/>
      </c>
      <c r="AE1857" s="33" t="str">
        <f aca="false">IF(AND(Y1857=1,W1857&lt;1),IF(AND(C1858=C1857,W1858=W1857+1),IF(Y1858=1,"",INDEX(DATAS,W1857+1)),INDEX(DATAS,W1857+1)),"")</f>
        <v/>
      </c>
    </row>
    <row r="1858" customFormat="false" ht="15" hidden="false" customHeight="false" outlineLevel="0" collapsed="false">
      <c r="A1858" s="33" t="n">
        <v>46309</v>
      </c>
      <c r="B1858" s="0" t="n">
        <v>7</v>
      </c>
      <c r="C1858" s="0" t="n">
        <v>6077</v>
      </c>
      <c r="E1858" s="0" t="n">
        <v>0</v>
      </c>
      <c r="F1858" s="27" t="s">
        <v>1080</v>
      </c>
      <c r="I1858" s="27" t="s">
        <v>138</v>
      </c>
      <c r="L1858" s="0" t="n">
        <v>246</v>
      </c>
      <c r="U1858" s="0" t="n">
        <v>694</v>
      </c>
      <c r="V1858" s="0" t="n">
        <v>2</v>
      </c>
      <c r="W1858" s="27" t="n">
        <f aca="false">MATCH(A1858,DATAS,0)</f>
        <v>1</v>
      </c>
      <c r="X1858" s="27" t="n">
        <f aca="false">IF(AND(E1858&gt;0,OR(AND(B1858&gt;=1,B1858&lt;=6),B1858=10)),1,0)</f>
        <v>0</v>
      </c>
      <c r="Y1858" s="27" t="n">
        <f aca="false">IF(AND(E1858&gt;0,B1858=10),1,0)</f>
        <v>0</v>
      </c>
      <c r="Z1858" s="0" t="str">
        <f aca="false">IF(AND(C1857=C1858,W1857=W1858-1),X1857,"")</f>
        <v/>
      </c>
      <c r="AA1858" s="0" t="str">
        <f aca="false">IF(AND(C1857=C1858,W1857=W1858-1),Y1857,"")</f>
        <v/>
      </c>
      <c r="AB1858" s="0" t="str">
        <f aca="false">IF(W1858=1,"",IF(AND(X1858=1,Z1858&lt;&gt;1),1,0))</f>
        <v/>
      </c>
      <c r="AC1858" s="0" t="str">
        <f aca="false">IF(W1858=1,"",IF(AND(Y1858=1,AA1858&lt;&gt;1),1,0))</f>
        <v/>
      </c>
      <c r="AD1858" s="33" t="str">
        <f aca="false">IF(AND(E1858&gt;0,W1858&lt;1,NOT(AND(C1859=C1858,W1859=W1858+1))),INDEX(DATAS,W1858+1),"")</f>
        <v/>
      </c>
      <c r="AE1858" s="33" t="str">
        <f aca="false">IF(AND(Y1858=1,W1858&lt;1),IF(AND(C1859=C1858,W1859=W1858+1),IF(Y1859=1,"",INDEX(DATAS,W1858+1)),INDEX(DATAS,W1858+1)),"")</f>
        <v/>
      </c>
    </row>
    <row r="1859" customFormat="false" ht="15" hidden="false" customHeight="false" outlineLevel="0" collapsed="false">
      <c r="A1859" s="33" t="n">
        <v>46309</v>
      </c>
      <c r="B1859" s="0" t="n">
        <v>8</v>
      </c>
      <c r="C1859" s="0" t="n">
        <v>6080</v>
      </c>
      <c r="E1859" s="0" t="n">
        <v>0</v>
      </c>
      <c r="F1859" s="27" t="s">
        <v>1081</v>
      </c>
      <c r="I1859" s="27" t="s">
        <v>138</v>
      </c>
      <c r="L1859" s="0" t="n">
        <v>147</v>
      </c>
      <c r="U1859" s="0" t="n">
        <v>693</v>
      </c>
      <c r="V1859" s="0" t="n">
        <v>7</v>
      </c>
      <c r="W1859" s="27" t="n">
        <f aca="false">MATCH(A1859,DATAS,0)</f>
        <v>1</v>
      </c>
      <c r="X1859" s="27" t="n">
        <f aca="false">IF(AND(E1859&gt;0,OR(AND(B1859&gt;=1,B1859&lt;=6),B1859=10)),1,0)</f>
        <v>0</v>
      </c>
      <c r="Y1859" s="27" t="n">
        <f aca="false">IF(AND(E1859&gt;0,B1859=10),1,0)</f>
        <v>0</v>
      </c>
      <c r="Z1859" s="0" t="str">
        <f aca="false">IF(AND(C1858=C1859,W1858=W1859-1),X1858,"")</f>
        <v/>
      </c>
      <c r="AA1859" s="0" t="str">
        <f aca="false">IF(AND(C1858=C1859,W1858=W1859-1),Y1858,"")</f>
        <v/>
      </c>
      <c r="AB1859" s="0" t="str">
        <f aca="false">IF(W1859=1,"",IF(AND(X1859=1,Z1859&lt;&gt;1),1,0))</f>
        <v/>
      </c>
      <c r="AC1859" s="0" t="str">
        <f aca="false">IF(W1859=1,"",IF(AND(Y1859=1,AA1859&lt;&gt;1),1,0))</f>
        <v/>
      </c>
      <c r="AD1859" s="33" t="str">
        <f aca="false">IF(AND(E1859&gt;0,W1859&lt;1,NOT(AND(C1860=C1859,W1860=W1859+1))),INDEX(DATAS,W1859+1),"")</f>
        <v/>
      </c>
      <c r="AE1859" s="33" t="str">
        <f aca="false">IF(AND(Y1859=1,W1859&lt;1),IF(AND(C1860=C1859,W1860=W1859+1),IF(Y1860=1,"",INDEX(DATAS,W1859+1)),INDEX(DATAS,W1859+1)),"")</f>
        <v/>
      </c>
    </row>
    <row r="1860" customFormat="false" ht="15" hidden="false" customHeight="false" outlineLevel="0" collapsed="false">
      <c r="A1860" s="33" t="n">
        <v>46309</v>
      </c>
      <c r="B1860" s="0" t="n">
        <v>1</v>
      </c>
      <c r="C1860" s="0" t="n">
        <v>6081</v>
      </c>
      <c r="D1860" s="0" t="n">
        <v>45</v>
      </c>
      <c r="E1860" s="0" t="n">
        <v>1</v>
      </c>
      <c r="F1860" s="27" t="s">
        <v>1082</v>
      </c>
      <c r="G1860" s="0" t="n">
        <v>45.8</v>
      </c>
      <c r="H1860" s="0" t="n">
        <v>45</v>
      </c>
      <c r="I1860" s="27" t="s">
        <v>147</v>
      </c>
      <c r="J1860" s="0" t="n">
        <v>45</v>
      </c>
      <c r="P1860" s="0" t="n">
        <v>4.02</v>
      </c>
      <c r="Q1860" s="0" t="n">
        <v>3.53</v>
      </c>
      <c r="R1860" s="0" t="n">
        <v>3895</v>
      </c>
      <c r="S1860" s="0" t="n">
        <v>7829</v>
      </c>
      <c r="U1860" s="0" t="n">
        <v>692</v>
      </c>
      <c r="V1860" s="0" t="n">
        <v>0</v>
      </c>
      <c r="W1860" s="27" t="n">
        <f aca="false">MATCH(A1860,DATAS,0)</f>
        <v>1</v>
      </c>
      <c r="X1860" s="27" t="n">
        <f aca="false">IF(AND(E1860&gt;0,OR(AND(B1860&gt;=1,B1860&lt;=6),B1860=10)),1,0)</f>
        <v>1</v>
      </c>
      <c r="Y1860" s="27" t="n">
        <f aca="false">IF(AND(E1860&gt;0,B1860=10),1,0)</f>
        <v>0</v>
      </c>
      <c r="Z1860" s="0" t="str">
        <f aca="false">IF(AND(C1859=C1860,W1859=W1860-1),X1859,"")</f>
        <v/>
      </c>
      <c r="AA1860" s="0" t="str">
        <f aca="false">IF(AND(C1859=C1860,W1859=W1860-1),Y1859,"")</f>
        <v/>
      </c>
      <c r="AB1860" s="0" t="str">
        <f aca="false">IF(W1860=1,"",IF(AND(X1860=1,Z1860&lt;&gt;1),1,0))</f>
        <v/>
      </c>
      <c r="AC1860" s="0" t="str">
        <f aca="false">IF(W1860=1,"",IF(AND(Y1860=1,AA1860&lt;&gt;1),1,0))</f>
        <v/>
      </c>
      <c r="AD1860" s="33" t="str">
        <f aca="false">IF(AND(E1860&gt;0,W1860&lt;1,NOT(AND(C1861=C1860,W1861=W1860+1))),INDEX(DATAS,W1860+1),"")</f>
        <v/>
      </c>
      <c r="AE1860" s="33" t="str">
        <f aca="false">IF(AND(Y1860=1,W1860&lt;1),IF(AND(C1861=C1860,W1861=W1860+1),IF(Y1861=1,"",INDEX(DATAS,W1860+1)),INDEX(DATAS,W1860+1)),"")</f>
        <v/>
      </c>
    </row>
    <row r="1861" customFormat="false" ht="15" hidden="false" customHeight="false" outlineLevel="0" collapsed="false">
      <c r="A1861" s="33" t="n">
        <v>46309</v>
      </c>
      <c r="B1861" s="0" t="n">
        <v>1</v>
      </c>
      <c r="C1861" s="0" t="n">
        <v>6082</v>
      </c>
      <c r="D1861" s="0" t="n">
        <v>51</v>
      </c>
      <c r="E1861" s="0" t="n">
        <v>1</v>
      </c>
      <c r="F1861" s="27" t="s">
        <v>1082</v>
      </c>
      <c r="G1861" s="0" t="n">
        <v>37.7</v>
      </c>
      <c r="H1861" s="0" t="n">
        <v>36</v>
      </c>
      <c r="I1861" s="27" t="s">
        <v>147</v>
      </c>
      <c r="J1861" s="0" t="n">
        <v>51</v>
      </c>
      <c r="P1861" s="0" t="n">
        <v>3.42</v>
      </c>
      <c r="Q1861" s="0" t="n">
        <v>3.32</v>
      </c>
      <c r="R1861" s="0" t="n">
        <v>3042</v>
      </c>
      <c r="S1861" s="0" t="n">
        <v>6116</v>
      </c>
      <c r="U1861" s="0" t="n">
        <v>692</v>
      </c>
      <c r="V1861" s="0" t="n">
        <v>0</v>
      </c>
      <c r="W1861" s="27" t="n">
        <f aca="false">MATCH(A1861,DATAS,0)</f>
        <v>1</v>
      </c>
      <c r="X1861" s="27" t="n">
        <f aca="false">IF(AND(E1861&gt;0,OR(AND(B1861&gt;=1,B1861&lt;=6),B1861=10)),1,0)</f>
        <v>1</v>
      </c>
      <c r="Y1861" s="27" t="n">
        <f aca="false">IF(AND(E1861&gt;0,B1861=10),1,0)</f>
        <v>0</v>
      </c>
      <c r="Z1861" s="0" t="str">
        <f aca="false">IF(AND(C1860=C1861,W1860=W1861-1),X1860,"")</f>
        <v/>
      </c>
      <c r="AA1861" s="0" t="str">
        <f aca="false">IF(AND(C1860=C1861,W1860=W1861-1),Y1860,"")</f>
        <v/>
      </c>
      <c r="AB1861" s="0" t="str">
        <f aca="false">IF(W1861=1,"",IF(AND(X1861=1,Z1861&lt;&gt;1),1,0))</f>
        <v/>
      </c>
      <c r="AC1861" s="0" t="str">
        <f aca="false">IF(W1861=1,"",IF(AND(Y1861=1,AA1861&lt;&gt;1),1,0))</f>
        <v/>
      </c>
      <c r="AD1861" s="33" t="str">
        <f aca="false">IF(AND(E1861&gt;0,W1861&lt;1,NOT(AND(C1862=C1861,W1862=W1861+1))),INDEX(DATAS,W1861+1),"")</f>
        <v/>
      </c>
      <c r="AE1861" s="33" t="str">
        <f aca="false">IF(AND(Y1861=1,W1861&lt;1),IF(AND(C1862=C1861,W1862=W1861+1),IF(Y1862=1,"",INDEX(DATAS,W1861+1)),INDEX(DATAS,W1861+1)),"")</f>
        <v/>
      </c>
    </row>
    <row r="1862" customFormat="false" ht="15" hidden="false" customHeight="false" outlineLevel="0" collapsed="false">
      <c r="A1862" s="33" t="n">
        <v>46309</v>
      </c>
      <c r="B1862" s="0" t="n">
        <v>8</v>
      </c>
      <c r="C1862" s="0" t="n">
        <v>6083</v>
      </c>
      <c r="E1862" s="0" t="n">
        <v>0</v>
      </c>
      <c r="F1862" s="27" t="s">
        <v>1083</v>
      </c>
      <c r="I1862" s="27" t="s">
        <v>138</v>
      </c>
      <c r="L1862" s="0" t="n">
        <v>235</v>
      </c>
      <c r="U1862" s="0" t="n">
        <v>691</v>
      </c>
      <c r="V1862" s="0" t="n">
        <v>3</v>
      </c>
      <c r="W1862" s="27" t="n">
        <f aca="false">MATCH(A1862,DATAS,0)</f>
        <v>1</v>
      </c>
      <c r="X1862" s="27" t="n">
        <f aca="false">IF(AND(E1862&gt;0,OR(AND(B1862&gt;=1,B1862&lt;=6),B1862=10)),1,0)</f>
        <v>0</v>
      </c>
      <c r="Y1862" s="27" t="n">
        <f aca="false">IF(AND(E1862&gt;0,B1862=10),1,0)</f>
        <v>0</v>
      </c>
      <c r="Z1862" s="0" t="str">
        <f aca="false">IF(AND(C1861=C1862,W1861=W1862-1),X1861,"")</f>
        <v/>
      </c>
      <c r="AA1862" s="0" t="str">
        <f aca="false">IF(AND(C1861=C1862,W1861=W1862-1),Y1861,"")</f>
        <v/>
      </c>
      <c r="AB1862" s="0" t="str">
        <f aca="false">IF(W1862=1,"",IF(AND(X1862=1,Z1862&lt;&gt;1),1,0))</f>
        <v/>
      </c>
      <c r="AC1862" s="0" t="str">
        <f aca="false">IF(W1862=1,"",IF(AND(Y1862=1,AA1862&lt;&gt;1),1,0))</f>
        <v/>
      </c>
      <c r="AD1862" s="33" t="str">
        <f aca="false">IF(AND(E1862&gt;0,W1862&lt;1,NOT(AND(C1863=C1862,W1863=W1862+1))),INDEX(DATAS,W1862+1),"")</f>
        <v/>
      </c>
      <c r="AE1862" s="33" t="str">
        <f aca="false">IF(AND(Y1862=1,W1862&lt;1),IF(AND(C1863=C1862,W1863=W1862+1),IF(Y1863=1,"",INDEX(DATAS,W1862+1)),INDEX(DATAS,W1862+1)),"")</f>
        <v/>
      </c>
    </row>
    <row r="1863" customFormat="false" ht="15" hidden="false" customHeight="false" outlineLevel="0" collapsed="false">
      <c r="A1863" s="33" t="n">
        <v>46309</v>
      </c>
      <c r="B1863" s="0" t="n">
        <v>8</v>
      </c>
      <c r="C1863" s="0" t="n">
        <v>6085</v>
      </c>
      <c r="E1863" s="0" t="n">
        <v>0</v>
      </c>
      <c r="F1863" s="27" t="s">
        <v>1083</v>
      </c>
      <c r="I1863" s="27" t="s">
        <v>138</v>
      </c>
      <c r="L1863" s="0" t="n">
        <v>154</v>
      </c>
      <c r="U1863" s="0" t="n">
        <v>691</v>
      </c>
      <c r="V1863" s="0" t="n">
        <v>8</v>
      </c>
      <c r="W1863" s="27" t="n">
        <f aca="false">MATCH(A1863,DATAS,0)</f>
        <v>1</v>
      </c>
      <c r="X1863" s="27" t="n">
        <f aca="false">IF(AND(E1863&gt;0,OR(AND(B1863&gt;=1,B1863&lt;=6),B1863=10)),1,0)</f>
        <v>0</v>
      </c>
      <c r="Y1863" s="27" t="n">
        <f aca="false">IF(AND(E1863&gt;0,B1863=10),1,0)</f>
        <v>0</v>
      </c>
      <c r="Z1863" s="0" t="str">
        <f aca="false">IF(AND(C1862=C1863,W1862=W1863-1),X1862,"")</f>
        <v/>
      </c>
      <c r="AA1863" s="0" t="str">
        <f aca="false">IF(AND(C1862=C1863,W1862=W1863-1),Y1862,"")</f>
        <v/>
      </c>
      <c r="AB1863" s="0" t="str">
        <f aca="false">IF(W1863=1,"",IF(AND(X1863=1,Z1863&lt;&gt;1),1,0))</f>
        <v/>
      </c>
      <c r="AC1863" s="0" t="str">
        <f aca="false">IF(W1863=1,"",IF(AND(Y1863=1,AA1863&lt;&gt;1),1,0))</f>
        <v/>
      </c>
      <c r="AD1863" s="33" t="str">
        <f aca="false">IF(AND(E1863&gt;0,W1863&lt;1,NOT(AND(C1864=C1863,W1864=W1863+1))),INDEX(DATAS,W1863+1),"")</f>
        <v/>
      </c>
      <c r="AE1863" s="33" t="str">
        <f aca="false">IF(AND(Y1863=1,W1863&lt;1),IF(AND(C1864=C1863,W1864=W1863+1),IF(Y1864=1,"",INDEX(DATAS,W1863+1)),INDEX(DATAS,W1863+1)),"")</f>
        <v/>
      </c>
    </row>
    <row r="1864" customFormat="false" ht="15" hidden="false" customHeight="false" outlineLevel="0" collapsed="false">
      <c r="A1864" s="33" t="n">
        <v>46309</v>
      </c>
      <c r="B1864" s="0" t="n">
        <v>1</v>
      </c>
      <c r="C1864" s="0" t="n">
        <v>6086</v>
      </c>
      <c r="D1864" s="0" t="n">
        <v>62</v>
      </c>
      <c r="E1864" s="0" t="n">
        <v>1</v>
      </c>
      <c r="F1864" s="27" t="s">
        <v>1083</v>
      </c>
      <c r="G1864" s="0" t="n">
        <v>59.4</v>
      </c>
      <c r="H1864" s="0" t="n">
        <v>54</v>
      </c>
      <c r="I1864" s="27" t="s">
        <v>147</v>
      </c>
      <c r="J1864" s="0" t="n">
        <v>62</v>
      </c>
      <c r="P1864" s="0" t="n">
        <v>2.52</v>
      </c>
      <c r="Q1864" s="0" t="n">
        <v>3.05</v>
      </c>
      <c r="R1864" s="0" t="n">
        <v>4623</v>
      </c>
      <c r="S1864" s="0" t="n">
        <v>9293</v>
      </c>
      <c r="U1864" s="0" t="n">
        <v>691</v>
      </c>
      <c r="V1864" s="0" t="n">
        <v>0</v>
      </c>
      <c r="W1864" s="27" t="n">
        <f aca="false">MATCH(A1864,DATAS,0)</f>
        <v>1</v>
      </c>
      <c r="X1864" s="27" t="n">
        <f aca="false">IF(AND(E1864&gt;0,OR(AND(B1864&gt;=1,B1864&lt;=6),B1864=10)),1,0)</f>
        <v>1</v>
      </c>
      <c r="Y1864" s="27" t="n">
        <f aca="false">IF(AND(E1864&gt;0,B1864=10),1,0)</f>
        <v>0</v>
      </c>
      <c r="Z1864" s="0" t="str">
        <f aca="false">IF(AND(C1863=C1864,W1863=W1864-1),X1863,"")</f>
        <v/>
      </c>
      <c r="AA1864" s="0" t="str">
        <f aca="false">IF(AND(C1863=C1864,W1863=W1864-1),Y1863,"")</f>
        <v/>
      </c>
      <c r="AB1864" s="0" t="str">
        <f aca="false">IF(W1864=1,"",IF(AND(X1864=1,Z1864&lt;&gt;1),1,0))</f>
        <v/>
      </c>
      <c r="AC1864" s="0" t="str">
        <f aca="false">IF(W1864=1,"",IF(AND(Y1864=1,AA1864&lt;&gt;1),1,0))</f>
        <v/>
      </c>
      <c r="AD1864" s="33" t="str">
        <f aca="false">IF(AND(E1864&gt;0,W1864&lt;1,NOT(AND(C1865=C1864,W1865=W1864+1))),INDEX(DATAS,W1864+1),"")</f>
        <v/>
      </c>
      <c r="AE1864" s="33" t="str">
        <f aca="false">IF(AND(Y1864=1,W1864&lt;1),IF(AND(C1865=C1864,W1865=W1864+1),IF(Y1865=1,"",INDEX(DATAS,W1864+1)),INDEX(DATAS,W1864+1)),"")</f>
        <v/>
      </c>
    </row>
    <row r="1865" customFormat="false" ht="15" hidden="false" customHeight="false" outlineLevel="0" collapsed="false">
      <c r="A1865" s="33" t="n">
        <v>46309</v>
      </c>
      <c r="B1865" s="0" t="n">
        <v>1</v>
      </c>
      <c r="C1865" s="0" t="n">
        <v>6087</v>
      </c>
      <c r="D1865" s="0" t="n">
        <v>2</v>
      </c>
      <c r="E1865" s="0" t="n">
        <v>1</v>
      </c>
      <c r="F1865" s="27" t="s">
        <v>1083</v>
      </c>
      <c r="I1865" s="27" t="s">
        <v>147</v>
      </c>
      <c r="J1865" s="0" t="n">
        <v>2</v>
      </c>
      <c r="U1865" s="0" t="n">
        <v>691</v>
      </c>
      <c r="V1865" s="0" t="n">
        <v>0</v>
      </c>
      <c r="W1865" s="27" t="n">
        <f aca="false">MATCH(A1865,DATAS,0)</f>
        <v>1</v>
      </c>
      <c r="X1865" s="27" t="n">
        <f aca="false">IF(AND(E1865&gt;0,OR(AND(B1865&gt;=1,B1865&lt;=6),B1865=10)),1,0)</f>
        <v>1</v>
      </c>
      <c r="Y1865" s="27" t="n">
        <f aca="false">IF(AND(E1865&gt;0,B1865=10),1,0)</f>
        <v>0</v>
      </c>
      <c r="Z1865" s="0" t="str">
        <f aca="false">IF(AND(C1864=C1865,W1864=W1865-1),X1864,"")</f>
        <v/>
      </c>
      <c r="AA1865" s="0" t="str">
        <f aca="false">IF(AND(C1864=C1865,W1864=W1865-1),Y1864,"")</f>
        <v/>
      </c>
      <c r="AB1865" s="0" t="str">
        <f aca="false">IF(W1865=1,"",IF(AND(X1865=1,Z1865&lt;&gt;1),1,0))</f>
        <v/>
      </c>
      <c r="AC1865" s="0" t="str">
        <f aca="false">IF(W1865=1,"",IF(AND(Y1865=1,AA1865&lt;&gt;1),1,0))</f>
        <v/>
      </c>
      <c r="AD1865" s="33" t="str">
        <f aca="false">IF(AND(E1865&gt;0,W1865&lt;1,NOT(AND(C1866=C1865,W1866=W1865+1))),INDEX(DATAS,W1865+1),"")</f>
        <v/>
      </c>
      <c r="AE1865" s="33" t="str">
        <f aca="false">IF(AND(Y1865=1,W1865&lt;1),IF(AND(C1866=C1865,W1866=W1865+1),IF(Y1866=1,"",INDEX(DATAS,W1865+1)),INDEX(DATAS,W1865+1)),"")</f>
        <v/>
      </c>
    </row>
    <row r="1866" customFormat="false" ht="15" hidden="false" customHeight="false" outlineLevel="0" collapsed="false">
      <c r="A1866" s="33" t="n">
        <v>46309</v>
      </c>
      <c r="B1866" s="0" t="n">
        <v>1</v>
      </c>
      <c r="C1866" s="0" t="n">
        <v>6088</v>
      </c>
      <c r="D1866" s="0" t="n">
        <v>50</v>
      </c>
      <c r="E1866" s="0" t="n">
        <v>1</v>
      </c>
      <c r="F1866" s="27" t="s">
        <v>1084</v>
      </c>
      <c r="G1866" s="0" t="n">
        <v>51.1</v>
      </c>
      <c r="H1866" s="0" t="n">
        <v>48</v>
      </c>
      <c r="I1866" s="27" t="s">
        <v>147</v>
      </c>
      <c r="J1866" s="0" t="n">
        <v>50</v>
      </c>
      <c r="P1866" s="0" t="n">
        <v>4.83</v>
      </c>
      <c r="Q1866" s="0" t="n">
        <v>3.33</v>
      </c>
      <c r="R1866" s="0" t="n">
        <v>3679</v>
      </c>
      <c r="S1866" s="0" t="n">
        <v>7396</v>
      </c>
      <c r="U1866" s="0" t="n">
        <v>690</v>
      </c>
      <c r="V1866" s="0" t="n">
        <v>0</v>
      </c>
      <c r="W1866" s="27" t="n">
        <f aca="false">MATCH(A1866,DATAS,0)</f>
        <v>1</v>
      </c>
      <c r="X1866" s="27" t="n">
        <f aca="false">IF(AND(E1866&gt;0,OR(AND(B1866&gt;=1,B1866&lt;=6),B1866=10)),1,0)</f>
        <v>1</v>
      </c>
      <c r="Y1866" s="27" t="n">
        <f aca="false">IF(AND(E1866&gt;0,B1866=10),1,0)</f>
        <v>0</v>
      </c>
      <c r="Z1866" s="0" t="str">
        <f aca="false">IF(AND(C1865=C1866,W1865=W1866-1),X1865,"")</f>
        <v/>
      </c>
      <c r="AA1866" s="0" t="str">
        <f aca="false">IF(AND(C1865=C1866,W1865=W1866-1),Y1865,"")</f>
        <v/>
      </c>
      <c r="AB1866" s="0" t="str">
        <f aca="false">IF(W1866=1,"",IF(AND(X1866=1,Z1866&lt;&gt;1),1,0))</f>
        <v/>
      </c>
      <c r="AC1866" s="0" t="str">
        <f aca="false">IF(W1866=1,"",IF(AND(Y1866=1,AA1866&lt;&gt;1),1,0))</f>
        <v/>
      </c>
      <c r="AD1866" s="33" t="str">
        <f aca="false">IF(AND(E1866&gt;0,W1866&lt;1,NOT(AND(C1867=C1866,W1867=W1866+1))),INDEX(DATAS,W1866+1),"")</f>
        <v/>
      </c>
      <c r="AE1866" s="33" t="str">
        <f aca="false">IF(AND(Y1866=1,W1866&lt;1),IF(AND(C1867=C1866,W1867=W1866+1),IF(Y1867=1,"",INDEX(DATAS,W1866+1)),INDEX(DATAS,W1866+1)),"")</f>
        <v/>
      </c>
    </row>
    <row r="1867" customFormat="false" ht="15" hidden="false" customHeight="false" outlineLevel="0" collapsed="false">
      <c r="A1867" s="33" t="n">
        <v>46309</v>
      </c>
      <c r="B1867" s="0" t="n">
        <v>8</v>
      </c>
      <c r="C1867" s="0" t="n">
        <v>6089</v>
      </c>
      <c r="E1867" s="0" t="n">
        <v>0</v>
      </c>
      <c r="F1867" s="27" t="s">
        <v>1085</v>
      </c>
      <c r="I1867" s="27" t="s">
        <v>138</v>
      </c>
      <c r="L1867" s="0" t="n">
        <v>169</v>
      </c>
      <c r="U1867" s="0" t="n">
        <v>689</v>
      </c>
      <c r="V1867" s="0" t="n">
        <v>8</v>
      </c>
      <c r="W1867" s="27" t="n">
        <f aca="false">MATCH(A1867,DATAS,0)</f>
        <v>1</v>
      </c>
      <c r="X1867" s="27" t="n">
        <f aca="false">IF(AND(E1867&gt;0,OR(AND(B1867&gt;=1,B1867&lt;=6),B1867=10)),1,0)</f>
        <v>0</v>
      </c>
      <c r="Y1867" s="27" t="n">
        <f aca="false">IF(AND(E1867&gt;0,B1867=10),1,0)</f>
        <v>0</v>
      </c>
      <c r="Z1867" s="0" t="str">
        <f aca="false">IF(AND(C1866=C1867,W1866=W1867-1),X1866,"")</f>
        <v/>
      </c>
      <c r="AA1867" s="0" t="str">
        <f aca="false">IF(AND(C1866=C1867,W1866=W1867-1),Y1866,"")</f>
        <v/>
      </c>
      <c r="AB1867" s="0" t="str">
        <f aca="false">IF(W1867=1,"",IF(AND(X1867=1,Z1867&lt;&gt;1),1,0))</f>
        <v/>
      </c>
      <c r="AC1867" s="0" t="str">
        <f aca="false">IF(W1867=1,"",IF(AND(Y1867=1,AA1867&lt;&gt;1),1,0))</f>
        <v/>
      </c>
      <c r="AD1867" s="33" t="str">
        <f aca="false">IF(AND(E1867&gt;0,W1867&lt;1,NOT(AND(C1868=C1867,W1868=W1867+1))),INDEX(DATAS,W1867+1),"")</f>
        <v/>
      </c>
      <c r="AE1867" s="33" t="str">
        <f aca="false">IF(AND(Y1867=1,W1867&lt;1),IF(AND(C1868=C1867,W1868=W1867+1),IF(Y1868=1,"",INDEX(DATAS,W1867+1)),INDEX(DATAS,W1867+1)),"")</f>
        <v/>
      </c>
    </row>
    <row r="1868" customFormat="false" ht="15" hidden="false" customHeight="false" outlineLevel="0" collapsed="false">
      <c r="A1868" s="33" t="n">
        <v>46309</v>
      </c>
      <c r="B1868" s="0" t="n">
        <v>7</v>
      </c>
      <c r="C1868" s="0" t="n">
        <v>6090</v>
      </c>
      <c r="E1868" s="0" t="n">
        <v>0</v>
      </c>
      <c r="F1868" s="27" t="s">
        <v>1086</v>
      </c>
      <c r="I1868" s="27" t="s">
        <v>138</v>
      </c>
      <c r="L1868" s="0" t="n">
        <v>214</v>
      </c>
      <c r="U1868" s="0" t="n">
        <v>687</v>
      </c>
      <c r="V1868" s="0" t="n">
        <v>5</v>
      </c>
      <c r="W1868" s="27" t="n">
        <f aca="false">MATCH(A1868,DATAS,0)</f>
        <v>1</v>
      </c>
      <c r="X1868" s="27" t="n">
        <f aca="false">IF(AND(E1868&gt;0,OR(AND(B1868&gt;=1,B1868&lt;=6),B1868=10)),1,0)</f>
        <v>0</v>
      </c>
      <c r="Y1868" s="27" t="n">
        <f aca="false">IF(AND(E1868&gt;0,B1868=10),1,0)</f>
        <v>0</v>
      </c>
      <c r="Z1868" s="0" t="str">
        <f aca="false">IF(AND(C1867=C1868,W1867=W1868-1),X1867,"")</f>
        <v/>
      </c>
      <c r="AA1868" s="0" t="str">
        <f aca="false">IF(AND(C1867=C1868,W1867=W1868-1),Y1867,"")</f>
        <v/>
      </c>
      <c r="AB1868" s="0" t="str">
        <f aca="false">IF(W1868=1,"",IF(AND(X1868=1,Z1868&lt;&gt;1),1,0))</f>
        <v/>
      </c>
      <c r="AC1868" s="0" t="str">
        <f aca="false">IF(W1868=1,"",IF(AND(Y1868=1,AA1868&lt;&gt;1),1,0))</f>
        <v/>
      </c>
      <c r="AD1868" s="33" t="str">
        <f aca="false">IF(AND(E1868&gt;0,W1868&lt;1,NOT(AND(C1869=C1868,W1869=W1868+1))),INDEX(DATAS,W1868+1),"")</f>
        <v/>
      </c>
      <c r="AE1868" s="33" t="str">
        <f aca="false">IF(AND(Y1868=1,W1868&lt;1),IF(AND(C1869=C1868,W1869=W1868+1),IF(Y1869=1,"",INDEX(DATAS,W1868+1)),INDEX(DATAS,W1868+1)),"")</f>
        <v/>
      </c>
    </row>
    <row r="1869" customFormat="false" ht="15" hidden="false" customHeight="false" outlineLevel="0" collapsed="false">
      <c r="A1869" s="33" t="n">
        <v>46309</v>
      </c>
      <c r="B1869" s="0" t="n">
        <v>1</v>
      </c>
      <c r="C1869" s="0" t="n">
        <v>6092</v>
      </c>
      <c r="D1869" s="0" t="n">
        <v>51</v>
      </c>
      <c r="E1869" s="0" t="n">
        <v>1</v>
      </c>
      <c r="F1869" s="27" t="s">
        <v>1087</v>
      </c>
      <c r="G1869" s="0" t="n">
        <v>37</v>
      </c>
      <c r="H1869" s="0" t="n">
        <v>31</v>
      </c>
      <c r="I1869" s="27" t="s">
        <v>147</v>
      </c>
      <c r="J1869" s="0" t="n">
        <v>51</v>
      </c>
      <c r="P1869" s="0" t="n">
        <v>4.23</v>
      </c>
      <c r="Q1869" s="0" t="n">
        <v>3.25</v>
      </c>
      <c r="R1869" s="0" t="n">
        <v>3118</v>
      </c>
      <c r="S1869" s="0" t="n">
        <v>6268</v>
      </c>
      <c r="U1869" s="0" t="n">
        <v>686</v>
      </c>
      <c r="V1869" s="0" t="n">
        <v>0</v>
      </c>
      <c r="W1869" s="27" t="n">
        <f aca="false">MATCH(A1869,DATAS,0)</f>
        <v>1</v>
      </c>
      <c r="X1869" s="27" t="n">
        <f aca="false">IF(AND(E1869&gt;0,OR(AND(B1869&gt;=1,B1869&lt;=6),B1869=10)),1,0)</f>
        <v>1</v>
      </c>
      <c r="Y1869" s="27" t="n">
        <f aca="false">IF(AND(E1869&gt;0,B1869=10),1,0)</f>
        <v>0</v>
      </c>
      <c r="Z1869" s="0" t="str">
        <f aca="false">IF(AND(C1868=C1869,W1868=W1869-1),X1868,"")</f>
        <v/>
      </c>
      <c r="AA1869" s="0" t="str">
        <f aca="false">IF(AND(C1868=C1869,W1868=W1869-1),Y1868,"")</f>
        <v/>
      </c>
      <c r="AB1869" s="0" t="str">
        <f aca="false">IF(W1869=1,"",IF(AND(X1869=1,Z1869&lt;&gt;1),1,0))</f>
        <v/>
      </c>
      <c r="AC1869" s="0" t="str">
        <f aca="false">IF(W1869=1,"",IF(AND(Y1869=1,AA1869&lt;&gt;1),1,0))</f>
        <v/>
      </c>
      <c r="AD1869" s="33" t="str">
        <f aca="false">IF(AND(E1869&gt;0,W1869&lt;1,NOT(AND(C1870=C1869,W1870=W1869+1))),INDEX(DATAS,W1869+1),"")</f>
        <v/>
      </c>
      <c r="AE1869" s="33" t="str">
        <f aca="false">IF(AND(Y1869=1,W1869&lt;1),IF(AND(C1870=C1869,W1870=W1869+1),IF(Y1870=1,"",INDEX(DATAS,W1869+1)),INDEX(DATAS,W1869+1)),"")</f>
        <v/>
      </c>
    </row>
    <row r="1870" customFormat="false" ht="15" hidden="false" customHeight="false" outlineLevel="0" collapsed="false">
      <c r="A1870" s="33" t="n">
        <v>46309</v>
      </c>
      <c r="B1870" s="0" t="n">
        <v>1</v>
      </c>
      <c r="C1870" s="0" t="n">
        <v>6093</v>
      </c>
      <c r="D1870" s="0" t="n">
        <v>25</v>
      </c>
      <c r="E1870" s="0" t="n">
        <v>1</v>
      </c>
      <c r="F1870" s="27" t="s">
        <v>1087</v>
      </c>
      <c r="G1870" s="0" t="n">
        <v>40.1</v>
      </c>
      <c r="H1870" s="0" t="n">
        <v>37</v>
      </c>
      <c r="I1870" s="27" t="s">
        <v>147</v>
      </c>
      <c r="J1870" s="0" t="n">
        <v>25</v>
      </c>
      <c r="R1870" s="0" t="n">
        <v>3248</v>
      </c>
      <c r="S1870" s="0" t="n">
        <v>6530</v>
      </c>
      <c r="U1870" s="0" t="n">
        <v>686</v>
      </c>
      <c r="V1870" s="0" t="n">
        <v>0</v>
      </c>
      <c r="W1870" s="27" t="n">
        <f aca="false">MATCH(A1870,DATAS,0)</f>
        <v>1</v>
      </c>
      <c r="X1870" s="27" t="n">
        <f aca="false">IF(AND(E1870&gt;0,OR(AND(B1870&gt;=1,B1870&lt;=6),B1870=10)),1,0)</f>
        <v>1</v>
      </c>
      <c r="Y1870" s="27" t="n">
        <f aca="false">IF(AND(E1870&gt;0,B1870=10),1,0)</f>
        <v>0</v>
      </c>
      <c r="Z1870" s="0" t="str">
        <f aca="false">IF(AND(C1869=C1870,W1869=W1870-1),X1869,"")</f>
        <v/>
      </c>
      <c r="AA1870" s="0" t="str">
        <f aca="false">IF(AND(C1869=C1870,W1869=W1870-1),Y1869,"")</f>
        <v/>
      </c>
      <c r="AB1870" s="0" t="str">
        <f aca="false">IF(W1870=1,"",IF(AND(X1870=1,Z1870&lt;&gt;1),1,0))</f>
        <v/>
      </c>
      <c r="AC1870" s="0" t="str">
        <f aca="false">IF(W1870=1,"",IF(AND(Y1870=1,AA1870&lt;&gt;1),1,0))</f>
        <v/>
      </c>
      <c r="AD1870" s="33" t="str">
        <f aca="false">IF(AND(E1870&gt;0,W1870&lt;1,NOT(AND(C1871=C1870,W1871=W1870+1))),INDEX(DATAS,W1870+1),"")</f>
        <v/>
      </c>
      <c r="AE1870" s="33" t="str">
        <f aca="false">IF(AND(Y1870=1,W1870&lt;1),IF(AND(C1871=C1870,W1871=W1870+1),IF(Y1871=1,"",INDEX(DATAS,W1870+1)),INDEX(DATAS,W1870+1)),"")</f>
        <v/>
      </c>
    </row>
    <row r="1871" customFormat="false" ht="15" hidden="false" customHeight="false" outlineLevel="0" collapsed="false">
      <c r="A1871" s="33" t="n">
        <v>46309</v>
      </c>
      <c r="B1871" s="0" t="n">
        <v>14</v>
      </c>
      <c r="C1871" s="0" t="n">
        <v>6096</v>
      </c>
      <c r="E1871" s="0" t="n">
        <v>0</v>
      </c>
      <c r="F1871" s="27" t="s">
        <v>1088</v>
      </c>
      <c r="I1871" s="27" t="s">
        <v>138</v>
      </c>
      <c r="L1871" s="0" t="n">
        <v>259</v>
      </c>
      <c r="U1871" s="0" t="n">
        <v>685</v>
      </c>
      <c r="V1871" s="0" t="n">
        <v>2</v>
      </c>
      <c r="W1871" s="27" t="n">
        <f aca="false">MATCH(A1871,DATAS,0)</f>
        <v>1</v>
      </c>
      <c r="X1871" s="27" t="n">
        <f aca="false">IF(AND(E1871&gt;0,OR(AND(B1871&gt;=1,B1871&lt;=6),B1871=10)),1,0)</f>
        <v>0</v>
      </c>
      <c r="Y1871" s="27" t="n">
        <f aca="false">IF(AND(E1871&gt;0,B1871=10),1,0)</f>
        <v>0</v>
      </c>
      <c r="Z1871" s="0" t="str">
        <f aca="false">IF(AND(C1870=C1871,W1870=W1871-1),X1870,"")</f>
        <v/>
      </c>
      <c r="AA1871" s="0" t="str">
        <f aca="false">IF(AND(C1870=C1871,W1870=W1871-1),Y1870,"")</f>
        <v/>
      </c>
      <c r="AB1871" s="0" t="str">
        <f aca="false">IF(W1871=1,"",IF(AND(X1871=1,Z1871&lt;&gt;1),1,0))</f>
        <v/>
      </c>
      <c r="AC1871" s="0" t="str">
        <f aca="false">IF(W1871=1,"",IF(AND(Y1871=1,AA1871&lt;&gt;1),1,0))</f>
        <v/>
      </c>
      <c r="AD1871" s="33" t="str">
        <f aca="false">IF(AND(E1871&gt;0,W1871&lt;1,NOT(AND(C1872=C1871,W1872=W1871+1))),INDEX(DATAS,W1871+1),"")</f>
        <v/>
      </c>
      <c r="AE1871" s="33" t="str">
        <f aca="false">IF(AND(Y1871=1,W1871&lt;1),IF(AND(C1872=C1871,W1872=W1871+1),IF(Y1872=1,"",INDEX(DATAS,W1871+1)),INDEX(DATAS,W1871+1)),"")</f>
        <v/>
      </c>
    </row>
    <row r="1872" customFormat="false" ht="15" hidden="false" customHeight="false" outlineLevel="0" collapsed="false">
      <c r="A1872" s="33" t="n">
        <v>46309</v>
      </c>
      <c r="B1872" s="0" t="n">
        <v>14</v>
      </c>
      <c r="C1872" s="0" t="n">
        <v>6098</v>
      </c>
      <c r="E1872" s="0" t="n">
        <v>0</v>
      </c>
      <c r="F1872" s="27" t="s">
        <v>1089</v>
      </c>
      <c r="I1872" s="27" t="s">
        <v>138</v>
      </c>
      <c r="L1872" s="0" t="n">
        <v>265</v>
      </c>
      <c r="U1872" s="0" t="n">
        <v>684</v>
      </c>
      <c r="V1872" s="0" t="n">
        <v>3</v>
      </c>
      <c r="W1872" s="27" t="n">
        <f aca="false">MATCH(A1872,DATAS,0)</f>
        <v>1</v>
      </c>
      <c r="X1872" s="27" t="n">
        <f aca="false">IF(AND(E1872&gt;0,OR(AND(B1872&gt;=1,B1872&lt;=6),B1872=10)),1,0)</f>
        <v>0</v>
      </c>
      <c r="Y1872" s="27" t="n">
        <f aca="false">IF(AND(E1872&gt;0,B1872=10),1,0)</f>
        <v>0</v>
      </c>
      <c r="Z1872" s="0" t="str">
        <f aca="false">IF(AND(C1871=C1872,W1871=W1872-1),X1871,"")</f>
        <v/>
      </c>
      <c r="AA1872" s="0" t="str">
        <f aca="false">IF(AND(C1871=C1872,W1871=W1872-1),Y1871,"")</f>
        <v/>
      </c>
      <c r="AB1872" s="0" t="str">
        <f aca="false">IF(W1872=1,"",IF(AND(X1872=1,Z1872&lt;&gt;1),1,0))</f>
        <v/>
      </c>
      <c r="AC1872" s="0" t="str">
        <f aca="false">IF(W1872=1,"",IF(AND(Y1872=1,AA1872&lt;&gt;1),1,0))</f>
        <v/>
      </c>
      <c r="AD1872" s="33" t="str">
        <f aca="false">IF(AND(E1872&gt;0,W1872&lt;1,NOT(AND(C1873=C1872,W1873=W1872+1))),INDEX(DATAS,W1872+1),"")</f>
        <v/>
      </c>
      <c r="AE1872" s="33" t="str">
        <f aca="false">IF(AND(Y1872=1,W1872&lt;1),IF(AND(C1873=C1872,W1873=W1872+1),IF(Y1873=1,"",INDEX(DATAS,W1872+1)),INDEX(DATAS,W1872+1)),"")</f>
        <v/>
      </c>
    </row>
    <row r="1873" customFormat="false" ht="15" hidden="false" customHeight="false" outlineLevel="0" collapsed="false">
      <c r="A1873" s="33" t="n">
        <v>46309</v>
      </c>
      <c r="B1873" s="0" t="n">
        <v>14</v>
      </c>
      <c r="C1873" s="0" t="n">
        <v>6099</v>
      </c>
      <c r="E1873" s="0" t="n">
        <v>0</v>
      </c>
      <c r="F1873" s="27" t="s">
        <v>1090</v>
      </c>
      <c r="I1873" s="27" t="s">
        <v>138</v>
      </c>
      <c r="L1873" s="0" t="n">
        <v>266</v>
      </c>
      <c r="U1873" s="0" t="n">
        <v>682</v>
      </c>
      <c r="V1873" s="0" t="n">
        <v>2</v>
      </c>
      <c r="W1873" s="27" t="n">
        <f aca="false">MATCH(A1873,DATAS,0)</f>
        <v>1</v>
      </c>
      <c r="X1873" s="27" t="n">
        <f aca="false">IF(AND(E1873&gt;0,OR(AND(B1873&gt;=1,B1873&lt;=6),B1873=10)),1,0)</f>
        <v>0</v>
      </c>
      <c r="Y1873" s="27" t="n">
        <f aca="false">IF(AND(E1873&gt;0,B1873=10),1,0)</f>
        <v>0</v>
      </c>
      <c r="Z1873" s="0" t="str">
        <f aca="false">IF(AND(C1872=C1873,W1872=W1873-1),X1872,"")</f>
        <v/>
      </c>
      <c r="AA1873" s="0" t="str">
        <f aca="false">IF(AND(C1872=C1873,W1872=W1873-1),Y1872,"")</f>
        <v/>
      </c>
      <c r="AB1873" s="0" t="str">
        <f aca="false">IF(W1873=1,"",IF(AND(X1873=1,Z1873&lt;&gt;1),1,0))</f>
        <v/>
      </c>
      <c r="AC1873" s="0" t="str">
        <f aca="false">IF(W1873=1,"",IF(AND(Y1873=1,AA1873&lt;&gt;1),1,0))</f>
        <v/>
      </c>
      <c r="AD1873" s="33" t="str">
        <f aca="false">IF(AND(E1873&gt;0,W1873&lt;1,NOT(AND(C1874=C1873,W1874=W1873+1))),INDEX(DATAS,W1873+1),"")</f>
        <v/>
      </c>
      <c r="AE1873" s="33" t="str">
        <f aca="false">IF(AND(Y1873=1,W1873&lt;1),IF(AND(C1874=C1873,W1874=W1873+1),IF(Y1874=1,"",INDEX(DATAS,W1873+1)),INDEX(DATAS,W1873+1)),"")</f>
        <v/>
      </c>
    </row>
    <row r="1874" customFormat="false" ht="15" hidden="false" customHeight="false" outlineLevel="0" collapsed="false">
      <c r="A1874" s="33" t="n">
        <v>46309</v>
      </c>
      <c r="B1874" s="0" t="n">
        <v>7</v>
      </c>
      <c r="C1874" s="0" t="n">
        <v>6100</v>
      </c>
      <c r="E1874" s="0" t="n">
        <v>0</v>
      </c>
      <c r="F1874" s="27" t="s">
        <v>1091</v>
      </c>
      <c r="I1874" s="27" t="s">
        <v>138</v>
      </c>
      <c r="L1874" s="0" t="n">
        <v>246</v>
      </c>
      <c r="U1874" s="0" t="n">
        <v>681</v>
      </c>
      <c r="V1874" s="0" t="n">
        <v>3</v>
      </c>
      <c r="W1874" s="27" t="n">
        <f aca="false">MATCH(A1874,DATAS,0)</f>
        <v>1</v>
      </c>
      <c r="X1874" s="27" t="n">
        <f aca="false">IF(AND(E1874&gt;0,OR(AND(B1874&gt;=1,B1874&lt;=6),B1874=10)),1,0)</f>
        <v>0</v>
      </c>
      <c r="Y1874" s="27" t="n">
        <f aca="false">IF(AND(E1874&gt;0,B1874=10),1,0)</f>
        <v>0</v>
      </c>
      <c r="Z1874" s="0" t="str">
        <f aca="false">IF(AND(C1873=C1874,W1873=W1874-1),X1873,"")</f>
        <v/>
      </c>
      <c r="AA1874" s="0" t="str">
        <f aca="false">IF(AND(C1873=C1874,W1873=W1874-1),Y1873,"")</f>
        <v/>
      </c>
      <c r="AB1874" s="0" t="str">
        <f aca="false">IF(W1874=1,"",IF(AND(X1874=1,Z1874&lt;&gt;1),1,0))</f>
        <v/>
      </c>
      <c r="AC1874" s="0" t="str">
        <f aca="false">IF(W1874=1,"",IF(AND(Y1874=1,AA1874&lt;&gt;1),1,0))</f>
        <v/>
      </c>
      <c r="AD1874" s="33" t="str">
        <f aca="false">IF(AND(E1874&gt;0,W1874&lt;1,NOT(AND(C1875=C1874,W1875=W1874+1))),INDEX(DATAS,W1874+1),"")</f>
        <v/>
      </c>
      <c r="AE1874" s="33" t="str">
        <f aca="false">IF(AND(Y1874=1,W1874&lt;1),IF(AND(C1875=C1874,W1875=W1874+1),IF(Y1875=1,"",INDEX(DATAS,W1874+1)),INDEX(DATAS,W1874+1)),"")</f>
        <v/>
      </c>
    </row>
    <row r="1875" customFormat="false" ht="15" hidden="false" customHeight="false" outlineLevel="0" collapsed="false">
      <c r="A1875" s="33" t="n">
        <v>46309</v>
      </c>
      <c r="B1875" s="0" t="n">
        <v>1</v>
      </c>
      <c r="C1875" s="0" t="n">
        <v>6102</v>
      </c>
      <c r="D1875" s="0" t="n">
        <v>36</v>
      </c>
      <c r="E1875" s="0" t="n">
        <v>1</v>
      </c>
      <c r="F1875" s="27" t="s">
        <v>1092</v>
      </c>
      <c r="G1875" s="0" t="n">
        <v>51.4</v>
      </c>
      <c r="H1875" s="0" t="n">
        <v>49</v>
      </c>
      <c r="I1875" s="27" t="s">
        <v>147</v>
      </c>
      <c r="J1875" s="0" t="n">
        <v>36</v>
      </c>
      <c r="P1875" s="0" t="n">
        <v>5.59</v>
      </c>
      <c r="Q1875" s="0" t="n">
        <v>3.29</v>
      </c>
      <c r="R1875" s="0" t="n">
        <v>3949</v>
      </c>
      <c r="S1875" s="0" t="n">
        <v>7939</v>
      </c>
      <c r="U1875" s="0" t="n">
        <v>680</v>
      </c>
      <c r="V1875" s="0" t="n">
        <v>0</v>
      </c>
      <c r="W1875" s="27" t="n">
        <f aca="false">MATCH(A1875,DATAS,0)</f>
        <v>1</v>
      </c>
      <c r="X1875" s="27" t="n">
        <f aca="false">IF(AND(E1875&gt;0,OR(AND(B1875&gt;=1,B1875&lt;=6),B1875=10)),1,0)</f>
        <v>1</v>
      </c>
      <c r="Y1875" s="27" t="n">
        <f aca="false">IF(AND(E1875&gt;0,B1875=10),1,0)</f>
        <v>0</v>
      </c>
      <c r="Z1875" s="0" t="str">
        <f aca="false">IF(AND(C1874=C1875,W1874=W1875-1),X1874,"")</f>
        <v/>
      </c>
      <c r="AA1875" s="0" t="str">
        <f aca="false">IF(AND(C1874=C1875,W1874=W1875-1),Y1874,"")</f>
        <v/>
      </c>
      <c r="AB1875" s="0" t="str">
        <f aca="false">IF(W1875=1,"",IF(AND(X1875=1,Z1875&lt;&gt;1),1,0))</f>
        <v/>
      </c>
      <c r="AC1875" s="0" t="str">
        <f aca="false">IF(W1875=1,"",IF(AND(Y1875=1,AA1875&lt;&gt;1),1,0))</f>
        <v/>
      </c>
      <c r="AD1875" s="33" t="str">
        <f aca="false">IF(AND(E1875&gt;0,W1875&lt;1,NOT(AND(C1876=C1875,W1876=W1875+1))),INDEX(DATAS,W1875+1),"")</f>
        <v/>
      </c>
      <c r="AE1875" s="33" t="str">
        <f aca="false">IF(AND(Y1875=1,W1875&lt;1),IF(AND(C1876=C1875,W1876=W1875+1),IF(Y1876=1,"",INDEX(DATAS,W1875+1)),INDEX(DATAS,W1875+1)),"")</f>
        <v/>
      </c>
    </row>
    <row r="1876" customFormat="false" ht="15" hidden="false" customHeight="false" outlineLevel="0" collapsed="false">
      <c r="A1876" s="33" t="n">
        <v>46309</v>
      </c>
      <c r="B1876" s="0" t="n">
        <v>7</v>
      </c>
      <c r="C1876" s="0" t="n">
        <v>6103</v>
      </c>
      <c r="E1876" s="0" t="n">
        <v>0</v>
      </c>
      <c r="F1876" s="27" t="s">
        <v>1093</v>
      </c>
      <c r="I1876" s="27" t="s">
        <v>138</v>
      </c>
      <c r="L1876" s="0" t="n">
        <v>192</v>
      </c>
      <c r="U1876" s="0" t="n">
        <v>678</v>
      </c>
      <c r="V1876" s="0" t="n">
        <v>4</v>
      </c>
      <c r="W1876" s="27" t="n">
        <f aca="false">MATCH(A1876,DATAS,0)</f>
        <v>1</v>
      </c>
      <c r="X1876" s="27" t="n">
        <f aca="false">IF(AND(E1876&gt;0,OR(AND(B1876&gt;=1,B1876&lt;=6),B1876=10)),1,0)</f>
        <v>0</v>
      </c>
      <c r="Y1876" s="27" t="n">
        <f aca="false">IF(AND(E1876&gt;0,B1876=10),1,0)</f>
        <v>0</v>
      </c>
      <c r="Z1876" s="0" t="str">
        <f aca="false">IF(AND(C1875=C1876,W1875=W1876-1),X1875,"")</f>
        <v/>
      </c>
      <c r="AA1876" s="0" t="str">
        <f aca="false">IF(AND(C1875=C1876,W1875=W1876-1),Y1875,"")</f>
        <v/>
      </c>
      <c r="AB1876" s="0" t="str">
        <f aca="false">IF(W1876=1,"",IF(AND(X1876=1,Z1876&lt;&gt;1),1,0))</f>
        <v/>
      </c>
      <c r="AC1876" s="0" t="str">
        <f aca="false">IF(W1876=1,"",IF(AND(Y1876=1,AA1876&lt;&gt;1),1,0))</f>
        <v/>
      </c>
      <c r="AD1876" s="33" t="str">
        <f aca="false">IF(AND(E1876&gt;0,W1876&lt;1,NOT(AND(C1877=C1876,W1877=W1876+1))),INDEX(DATAS,W1876+1),"")</f>
        <v/>
      </c>
      <c r="AE1876" s="33" t="str">
        <f aca="false">IF(AND(Y1876=1,W1876&lt;1),IF(AND(C1877=C1876,W1877=W1876+1),IF(Y1877=1,"",INDEX(DATAS,W1876+1)),INDEX(DATAS,W1876+1)),"")</f>
        <v/>
      </c>
    </row>
    <row r="1877" customFormat="false" ht="15" hidden="false" customHeight="false" outlineLevel="0" collapsed="false">
      <c r="A1877" s="33" t="n">
        <v>46309</v>
      </c>
      <c r="B1877" s="0" t="n">
        <v>1</v>
      </c>
      <c r="C1877" s="0" t="n">
        <v>6105</v>
      </c>
      <c r="D1877" s="0" t="n">
        <v>35</v>
      </c>
      <c r="E1877" s="0" t="n">
        <v>1</v>
      </c>
      <c r="F1877" s="27" t="s">
        <v>1093</v>
      </c>
      <c r="G1877" s="0" t="n">
        <v>49.4</v>
      </c>
      <c r="H1877" s="0" t="n">
        <v>50</v>
      </c>
      <c r="I1877" s="27" t="s">
        <v>147</v>
      </c>
      <c r="J1877" s="0" t="n">
        <v>35</v>
      </c>
      <c r="P1877" s="0" t="n">
        <v>5.32</v>
      </c>
      <c r="Q1877" s="0" t="n">
        <v>3.6</v>
      </c>
      <c r="R1877" s="0" t="n">
        <v>4303</v>
      </c>
      <c r="S1877" s="0" t="n">
        <v>8651</v>
      </c>
      <c r="U1877" s="0" t="n">
        <v>678</v>
      </c>
      <c r="V1877" s="0" t="n">
        <v>0</v>
      </c>
      <c r="W1877" s="27" t="n">
        <f aca="false">MATCH(A1877,DATAS,0)</f>
        <v>1</v>
      </c>
      <c r="X1877" s="27" t="n">
        <f aca="false">IF(AND(E1877&gt;0,OR(AND(B1877&gt;=1,B1877&lt;=6),B1877=10)),1,0)</f>
        <v>1</v>
      </c>
      <c r="Y1877" s="27" t="n">
        <f aca="false">IF(AND(E1877&gt;0,B1877=10),1,0)</f>
        <v>0</v>
      </c>
      <c r="Z1877" s="0" t="str">
        <f aca="false">IF(AND(C1876=C1877,W1876=W1877-1),X1876,"")</f>
        <v/>
      </c>
      <c r="AA1877" s="0" t="str">
        <f aca="false">IF(AND(C1876=C1877,W1876=W1877-1),Y1876,"")</f>
        <v/>
      </c>
      <c r="AB1877" s="0" t="str">
        <f aca="false">IF(W1877=1,"",IF(AND(X1877=1,Z1877&lt;&gt;1),1,0))</f>
        <v/>
      </c>
      <c r="AC1877" s="0" t="str">
        <f aca="false">IF(W1877=1,"",IF(AND(Y1877=1,AA1877&lt;&gt;1),1,0))</f>
        <v/>
      </c>
      <c r="AD1877" s="33" t="str">
        <f aca="false">IF(AND(E1877&gt;0,W1877&lt;1,NOT(AND(C1878=C1877,W1878=W1877+1))),INDEX(DATAS,W1877+1),"")</f>
        <v/>
      </c>
      <c r="AE1877" s="33" t="str">
        <f aca="false">IF(AND(Y1877=1,W1877&lt;1),IF(AND(C1878=C1877,W1878=W1877+1),IF(Y1878=1,"",INDEX(DATAS,W1877+1)),INDEX(DATAS,W1877+1)),"")</f>
        <v/>
      </c>
    </row>
    <row r="1878" customFormat="false" ht="15" hidden="false" customHeight="false" outlineLevel="0" collapsed="false">
      <c r="A1878" s="33" t="n">
        <v>46309</v>
      </c>
      <c r="B1878" s="0" t="n">
        <v>7</v>
      </c>
      <c r="C1878" s="0" t="n">
        <v>6106</v>
      </c>
      <c r="E1878" s="0" t="n">
        <v>0</v>
      </c>
      <c r="F1878" s="27" t="s">
        <v>1094</v>
      </c>
      <c r="I1878" s="27" t="s">
        <v>138</v>
      </c>
      <c r="L1878" s="0" t="n">
        <v>219</v>
      </c>
      <c r="U1878" s="0" t="n">
        <v>677</v>
      </c>
      <c r="V1878" s="0" t="n">
        <v>4</v>
      </c>
      <c r="W1878" s="27" t="n">
        <f aca="false">MATCH(A1878,DATAS,0)</f>
        <v>1</v>
      </c>
      <c r="X1878" s="27" t="n">
        <f aca="false">IF(AND(E1878&gt;0,OR(AND(B1878&gt;=1,B1878&lt;=6),B1878=10)),1,0)</f>
        <v>0</v>
      </c>
      <c r="Y1878" s="27" t="n">
        <f aca="false">IF(AND(E1878&gt;0,B1878=10),1,0)</f>
        <v>0</v>
      </c>
      <c r="Z1878" s="0" t="str">
        <f aca="false">IF(AND(C1877=C1878,W1877=W1878-1),X1877,"")</f>
        <v/>
      </c>
      <c r="AA1878" s="0" t="str">
        <f aca="false">IF(AND(C1877=C1878,W1877=W1878-1),Y1877,"")</f>
        <v/>
      </c>
      <c r="AB1878" s="0" t="str">
        <f aca="false">IF(W1878=1,"",IF(AND(X1878=1,Z1878&lt;&gt;1),1,0))</f>
        <v/>
      </c>
      <c r="AC1878" s="0" t="str">
        <f aca="false">IF(W1878=1,"",IF(AND(Y1878=1,AA1878&lt;&gt;1),1,0))</f>
        <v/>
      </c>
      <c r="AD1878" s="33" t="str">
        <f aca="false">IF(AND(E1878&gt;0,W1878&lt;1,NOT(AND(C1879=C1878,W1879=W1878+1))),INDEX(DATAS,W1878+1),"")</f>
        <v/>
      </c>
      <c r="AE1878" s="33" t="str">
        <f aca="false">IF(AND(Y1878=1,W1878&lt;1),IF(AND(C1879=C1878,W1879=W1878+1),IF(Y1879=1,"",INDEX(DATAS,W1878+1)),INDEX(DATAS,W1878+1)),"")</f>
        <v/>
      </c>
    </row>
    <row r="1879" customFormat="false" ht="15" hidden="false" customHeight="false" outlineLevel="0" collapsed="false">
      <c r="A1879" s="33" t="n">
        <v>46309</v>
      </c>
      <c r="B1879" s="0" t="n">
        <v>7</v>
      </c>
      <c r="C1879" s="0" t="n">
        <v>6107</v>
      </c>
      <c r="E1879" s="0" t="n">
        <v>0</v>
      </c>
      <c r="F1879" s="27" t="s">
        <v>1094</v>
      </c>
      <c r="I1879" s="27" t="s">
        <v>138</v>
      </c>
      <c r="L1879" s="0" t="n">
        <v>231</v>
      </c>
      <c r="U1879" s="0" t="n">
        <v>677</v>
      </c>
      <c r="V1879" s="0" t="n">
        <v>2</v>
      </c>
      <c r="W1879" s="27" t="n">
        <f aca="false">MATCH(A1879,DATAS,0)</f>
        <v>1</v>
      </c>
      <c r="X1879" s="27" t="n">
        <f aca="false">IF(AND(E1879&gt;0,OR(AND(B1879&gt;=1,B1879&lt;=6),B1879=10)),1,0)</f>
        <v>0</v>
      </c>
      <c r="Y1879" s="27" t="n">
        <f aca="false">IF(AND(E1879&gt;0,B1879=10),1,0)</f>
        <v>0</v>
      </c>
      <c r="Z1879" s="0" t="str">
        <f aca="false">IF(AND(C1878=C1879,W1878=W1879-1),X1878,"")</f>
        <v/>
      </c>
      <c r="AA1879" s="0" t="str">
        <f aca="false">IF(AND(C1878=C1879,W1878=W1879-1),Y1878,"")</f>
        <v/>
      </c>
      <c r="AB1879" s="0" t="str">
        <f aca="false">IF(W1879=1,"",IF(AND(X1879=1,Z1879&lt;&gt;1),1,0))</f>
        <v/>
      </c>
      <c r="AC1879" s="0" t="str">
        <f aca="false">IF(W1879=1,"",IF(AND(Y1879=1,AA1879&lt;&gt;1),1,0))</f>
        <v/>
      </c>
      <c r="AD1879" s="33" t="str">
        <f aca="false">IF(AND(E1879&gt;0,W1879&lt;1,NOT(AND(C1880=C1879,W1880=W1879+1))),INDEX(DATAS,W1879+1),"")</f>
        <v/>
      </c>
      <c r="AE1879" s="33" t="str">
        <f aca="false">IF(AND(Y1879=1,W1879&lt;1),IF(AND(C1880=C1879,W1880=W1879+1),IF(Y1880=1,"",INDEX(DATAS,W1879+1)),INDEX(DATAS,W1879+1)),"")</f>
        <v/>
      </c>
    </row>
    <row r="1880" customFormat="false" ht="15" hidden="false" customHeight="false" outlineLevel="0" collapsed="false">
      <c r="A1880" s="33" t="n">
        <v>46309</v>
      </c>
      <c r="B1880" s="0" t="n">
        <v>1</v>
      </c>
      <c r="C1880" s="0" t="n">
        <v>6108</v>
      </c>
      <c r="D1880" s="0" t="n">
        <v>44</v>
      </c>
      <c r="E1880" s="0" t="n">
        <v>1</v>
      </c>
      <c r="F1880" s="27" t="s">
        <v>1094</v>
      </c>
      <c r="G1880" s="0" t="n">
        <v>33.8</v>
      </c>
      <c r="H1880" s="0" t="n">
        <v>31</v>
      </c>
      <c r="I1880" s="27" t="s">
        <v>147</v>
      </c>
      <c r="J1880" s="0" t="n">
        <v>44</v>
      </c>
      <c r="P1880" s="0" t="n">
        <v>4.82</v>
      </c>
      <c r="Q1880" s="0" t="n">
        <v>3.95</v>
      </c>
      <c r="R1880" s="0" t="n">
        <v>2258</v>
      </c>
      <c r="S1880" s="0" t="n">
        <v>4540</v>
      </c>
      <c r="U1880" s="0" t="n">
        <v>677</v>
      </c>
      <c r="V1880" s="0" t="n">
        <v>0</v>
      </c>
      <c r="W1880" s="27" t="n">
        <f aca="false">MATCH(A1880,DATAS,0)</f>
        <v>1</v>
      </c>
      <c r="X1880" s="27" t="n">
        <f aca="false">IF(AND(E1880&gt;0,OR(AND(B1880&gt;=1,B1880&lt;=6),B1880=10)),1,0)</f>
        <v>1</v>
      </c>
      <c r="Y1880" s="27" t="n">
        <f aca="false">IF(AND(E1880&gt;0,B1880=10),1,0)</f>
        <v>0</v>
      </c>
      <c r="Z1880" s="0" t="str">
        <f aca="false">IF(AND(C1879=C1880,W1879=W1880-1),X1879,"")</f>
        <v/>
      </c>
      <c r="AA1880" s="0" t="str">
        <f aca="false">IF(AND(C1879=C1880,W1879=W1880-1),Y1879,"")</f>
        <v/>
      </c>
      <c r="AB1880" s="0" t="str">
        <f aca="false">IF(W1880=1,"",IF(AND(X1880=1,Z1880&lt;&gt;1),1,0))</f>
        <v/>
      </c>
      <c r="AC1880" s="0" t="str">
        <f aca="false">IF(W1880=1,"",IF(AND(Y1880=1,AA1880&lt;&gt;1),1,0))</f>
        <v/>
      </c>
      <c r="AD1880" s="33" t="str">
        <f aca="false">IF(AND(E1880&gt;0,W1880&lt;1,NOT(AND(C1881=C1880,W1881=W1880+1))),INDEX(DATAS,W1880+1),"")</f>
        <v/>
      </c>
      <c r="AE1880" s="33" t="str">
        <f aca="false">IF(AND(Y1880=1,W1880&lt;1),IF(AND(C1881=C1880,W1881=W1880+1),IF(Y1881=1,"",INDEX(DATAS,W1880+1)),INDEX(DATAS,W1880+1)),"")</f>
        <v/>
      </c>
    </row>
    <row r="1881" customFormat="false" ht="15" hidden="false" customHeight="false" outlineLevel="0" collapsed="false">
      <c r="A1881" s="33" t="n">
        <v>46309</v>
      </c>
      <c r="B1881" s="0" t="n">
        <v>7</v>
      </c>
      <c r="C1881" s="0" t="n">
        <v>6109</v>
      </c>
      <c r="E1881" s="0" t="n">
        <v>0</v>
      </c>
      <c r="F1881" s="27" t="s">
        <v>1095</v>
      </c>
      <c r="I1881" s="27" t="s">
        <v>138</v>
      </c>
      <c r="L1881" s="0" t="n">
        <v>253</v>
      </c>
      <c r="U1881" s="0" t="n">
        <v>676</v>
      </c>
      <c r="V1881" s="0" t="n">
        <v>3</v>
      </c>
      <c r="W1881" s="27" t="n">
        <f aca="false">MATCH(A1881,DATAS,0)</f>
        <v>1</v>
      </c>
      <c r="X1881" s="27" t="n">
        <f aca="false">IF(AND(E1881&gt;0,OR(AND(B1881&gt;=1,B1881&lt;=6),B1881=10)),1,0)</f>
        <v>0</v>
      </c>
      <c r="Y1881" s="27" t="n">
        <f aca="false">IF(AND(E1881&gt;0,B1881=10),1,0)</f>
        <v>0</v>
      </c>
      <c r="Z1881" s="0" t="str">
        <f aca="false">IF(AND(C1880=C1881,W1880=W1881-1),X1880,"")</f>
        <v/>
      </c>
      <c r="AA1881" s="0" t="str">
        <f aca="false">IF(AND(C1880=C1881,W1880=W1881-1),Y1880,"")</f>
        <v/>
      </c>
      <c r="AB1881" s="0" t="str">
        <f aca="false">IF(W1881=1,"",IF(AND(X1881=1,Z1881&lt;&gt;1),1,0))</f>
        <v/>
      </c>
      <c r="AC1881" s="0" t="str">
        <f aca="false">IF(W1881=1,"",IF(AND(Y1881=1,AA1881&lt;&gt;1),1,0))</f>
        <v/>
      </c>
      <c r="AD1881" s="33" t="str">
        <f aca="false">IF(AND(E1881&gt;0,W1881&lt;1,NOT(AND(C1882=C1881,W1882=W1881+1))),INDEX(DATAS,W1881+1),"")</f>
        <v/>
      </c>
      <c r="AE1881" s="33" t="str">
        <f aca="false">IF(AND(Y1881=1,W1881&lt;1),IF(AND(C1882=C1881,W1882=W1881+1),IF(Y1882=1,"",INDEX(DATAS,W1881+1)),INDEX(DATAS,W1881+1)),"")</f>
        <v/>
      </c>
    </row>
    <row r="1882" customFormat="false" ht="15" hidden="false" customHeight="false" outlineLevel="0" collapsed="false">
      <c r="A1882" s="33" t="n">
        <v>46309</v>
      </c>
      <c r="B1882" s="0" t="n">
        <v>8</v>
      </c>
      <c r="C1882" s="0" t="n">
        <v>6110</v>
      </c>
      <c r="E1882" s="0" t="n">
        <v>0</v>
      </c>
      <c r="F1882" s="27" t="s">
        <v>1095</v>
      </c>
      <c r="I1882" s="27" t="s">
        <v>138</v>
      </c>
      <c r="L1882" s="0" t="n">
        <v>273</v>
      </c>
      <c r="U1882" s="0" t="n">
        <v>676</v>
      </c>
      <c r="V1882" s="0" t="n">
        <v>2</v>
      </c>
      <c r="W1882" s="27" t="n">
        <f aca="false">MATCH(A1882,DATAS,0)</f>
        <v>1</v>
      </c>
      <c r="X1882" s="27" t="n">
        <f aca="false">IF(AND(E1882&gt;0,OR(AND(B1882&gt;=1,B1882&lt;=6),B1882=10)),1,0)</f>
        <v>0</v>
      </c>
      <c r="Y1882" s="27" t="n">
        <f aca="false">IF(AND(E1882&gt;0,B1882=10),1,0)</f>
        <v>0</v>
      </c>
      <c r="Z1882" s="0" t="str">
        <f aca="false">IF(AND(C1881=C1882,W1881=W1882-1),X1881,"")</f>
        <v/>
      </c>
      <c r="AA1882" s="0" t="str">
        <f aca="false">IF(AND(C1881=C1882,W1881=W1882-1),Y1881,"")</f>
        <v/>
      </c>
      <c r="AB1882" s="0" t="str">
        <f aca="false">IF(W1882=1,"",IF(AND(X1882=1,Z1882&lt;&gt;1),1,0))</f>
        <v/>
      </c>
      <c r="AC1882" s="0" t="str">
        <f aca="false">IF(W1882=1,"",IF(AND(Y1882=1,AA1882&lt;&gt;1),1,0))</f>
        <v/>
      </c>
      <c r="AD1882" s="33" t="str">
        <f aca="false">IF(AND(E1882&gt;0,W1882&lt;1,NOT(AND(C1883=C1882,W1883=W1882+1))),INDEX(DATAS,W1882+1),"")</f>
        <v/>
      </c>
      <c r="AE1882" s="33" t="str">
        <f aca="false">IF(AND(Y1882=1,W1882&lt;1),IF(AND(C1883=C1882,W1883=W1882+1),IF(Y1883=1,"",INDEX(DATAS,W1882+1)),INDEX(DATAS,W1882+1)),"")</f>
        <v/>
      </c>
    </row>
    <row r="1883" customFormat="false" ht="15" hidden="false" customHeight="false" outlineLevel="0" collapsed="false">
      <c r="A1883" s="33" t="n">
        <v>46309</v>
      </c>
      <c r="B1883" s="0" t="n">
        <v>1</v>
      </c>
      <c r="C1883" s="0" t="n">
        <v>6111</v>
      </c>
      <c r="D1883" s="0" t="n">
        <v>36</v>
      </c>
      <c r="E1883" s="0" t="n">
        <v>1</v>
      </c>
      <c r="F1883" s="27" t="s">
        <v>1095</v>
      </c>
      <c r="G1883" s="0" t="n">
        <v>41</v>
      </c>
      <c r="H1883" s="0" t="n">
        <v>38</v>
      </c>
      <c r="I1883" s="27" t="s">
        <v>147</v>
      </c>
      <c r="J1883" s="0" t="n">
        <v>36</v>
      </c>
      <c r="P1883" s="0" t="n">
        <v>4.11</v>
      </c>
      <c r="Q1883" s="0" t="n">
        <v>3.2</v>
      </c>
      <c r="R1883" s="0" t="n">
        <v>3111</v>
      </c>
      <c r="S1883" s="0" t="n">
        <v>6254</v>
      </c>
      <c r="U1883" s="0" t="n">
        <v>676</v>
      </c>
      <c r="V1883" s="0" t="n">
        <v>0</v>
      </c>
      <c r="W1883" s="27" t="n">
        <f aca="false">MATCH(A1883,DATAS,0)</f>
        <v>1</v>
      </c>
      <c r="X1883" s="27" t="n">
        <f aca="false">IF(AND(E1883&gt;0,OR(AND(B1883&gt;=1,B1883&lt;=6),B1883=10)),1,0)</f>
        <v>1</v>
      </c>
      <c r="Y1883" s="27" t="n">
        <f aca="false">IF(AND(E1883&gt;0,B1883=10),1,0)</f>
        <v>0</v>
      </c>
      <c r="Z1883" s="0" t="str">
        <f aca="false">IF(AND(C1882=C1883,W1882=W1883-1),X1882,"")</f>
        <v/>
      </c>
      <c r="AA1883" s="0" t="str">
        <f aca="false">IF(AND(C1882=C1883,W1882=W1883-1),Y1882,"")</f>
        <v/>
      </c>
      <c r="AB1883" s="0" t="str">
        <f aca="false">IF(W1883=1,"",IF(AND(X1883=1,Z1883&lt;&gt;1),1,0))</f>
        <v/>
      </c>
      <c r="AC1883" s="0" t="str">
        <f aca="false">IF(W1883=1,"",IF(AND(Y1883=1,AA1883&lt;&gt;1),1,0))</f>
        <v/>
      </c>
      <c r="AD1883" s="33" t="str">
        <f aca="false">IF(AND(E1883&gt;0,W1883&lt;1,NOT(AND(C1884=C1883,W1884=W1883+1))),INDEX(DATAS,W1883+1),"")</f>
        <v/>
      </c>
      <c r="AE1883" s="33" t="str">
        <f aca="false">IF(AND(Y1883=1,W1883&lt;1),IF(AND(C1884=C1883,W1884=W1883+1),IF(Y1884=1,"",INDEX(DATAS,W1883+1)),INDEX(DATAS,W1883+1)),"")</f>
        <v/>
      </c>
    </row>
    <row r="1884" customFormat="false" ht="15" hidden="false" customHeight="false" outlineLevel="0" collapsed="false">
      <c r="A1884" s="33" t="n">
        <v>46309</v>
      </c>
      <c r="B1884" s="0" t="n">
        <v>1</v>
      </c>
      <c r="C1884" s="0" t="n">
        <v>6112</v>
      </c>
      <c r="D1884" s="0" t="n">
        <v>8</v>
      </c>
      <c r="E1884" s="0" t="n">
        <v>1</v>
      </c>
      <c r="F1884" s="27" t="s">
        <v>1095</v>
      </c>
      <c r="G1884" s="0" t="n">
        <v>26.1</v>
      </c>
      <c r="H1884" s="0" t="n">
        <v>24</v>
      </c>
      <c r="I1884" s="27" t="s">
        <v>147</v>
      </c>
      <c r="J1884" s="0" t="n">
        <v>8</v>
      </c>
      <c r="R1884" s="0" t="n">
        <v>2564</v>
      </c>
      <c r="S1884" s="0" t="n">
        <v>5154</v>
      </c>
      <c r="U1884" s="0" t="n">
        <v>676</v>
      </c>
      <c r="V1884" s="0" t="n">
        <v>0</v>
      </c>
      <c r="W1884" s="27" t="n">
        <f aca="false">MATCH(A1884,DATAS,0)</f>
        <v>1</v>
      </c>
      <c r="X1884" s="27" t="n">
        <f aca="false">IF(AND(E1884&gt;0,OR(AND(B1884&gt;=1,B1884&lt;=6),B1884=10)),1,0)</f>
        <v>1</v>
      </c>
      <c r="Y1884" s="27" t="n">
        <f aca="false">IF(AND(E1884&gt;0,B1884=10),1,0)</f>
        <v>0</v>
      </c>
      <c r="Z1884" s="0" t="str">
        <f aca="false">IF(AND(C1883=C1884,W1883=W1884-1),X1883,"")</f>
        <v/>
      </c>
      <c r="AA1884" s="0" t="str">
        <f aca="false">IF(AND(C1883=C1884,W1883=W1884-1),Y1883,"")</f>
        <v/>
      </c>
      <c r="AB1884" s="0" t="str">
        <f aca="false">IF(W1884=1,"",IF(AND(X1884=1,Z1884&lt;&gt;1),1,0))</f>
        <v/>
      </c>
      <c r="AC1884" s="0" t="str">
        <f aca="false">IF(W1884=1,"",IF(AND(Y1884=1,AA1884&lt;&gt;1),1,0))</f>
        <v/>
      </c>
      <c r="AD1884" s="33" t="str">
        <f aca="false">IF(AND(E1884&gt;0,W1884&lt;1,NOT(AND(C1885=C1884,W1885=W1884+1))),INDEX(DATAS,W1884+1),"")</f>
        <v/>
      </c>
      <c r="AE1884" s="33" t="str">
        <f aca="false">IF(AND(Y1884=1,W1884&lt;1),IF(AND(C1885=C1884,W1885=W1884+1),IF(Y1885=1,"",INDEX(DATAS,W1884+1)),INDEX(DATAS,W1884+1)),"")</f>
        <v/>
      </c>
    </row>
    <row r="1885" customFormat="false" ht="15" hidden="false" customHeight="false" outlineLevel="0" collapsed="false">
      <c r="A1885" s="33" t="n">
        <v>46309</v>
      </c>
      <c r="B1885" s="0" t="n">
        <v>8</v>
      </c>
      <c r="C1885" s="0" t="n">
        <v>6113</v>
      </c>
      <c r="E1885" s="0" t="n">
        <v>0</v>
      </c>
      <c r="F1885" s="27" t="s">
        <v>1096</v>
      </c>
      <c r="I1885" s="27" t="s">
        <v>138</v>
      </c>
      <c r="L1885" s="0" t="n">
        <v>246</v>
      </c>
      <c r="U1885" s="0" t="n">
        <v>675</v>
      </c>
      <c r="V1885" s="0" t="n">
        <v>4</v>
      </c>
      <c r="W1885" s="27" t="n">
        <f aca="false">MATCH(A1885,DATAS,0)</f>
        <v>1</v>
      </c>
      <c r="X1885" s="27" t="n">
        <f aca="false">IF(AND(E1885&gt;0,OR(AND(B1885&gt;=1,B1885&lt;=6),B1885=10)),1,0)</f>
        <v>0</v>
      </c>
      <c r="Y1885" s="27" t="n">
        <f aca="false">IF(AND(E1885&gt;0,B1885=10),1,0)</f>
        <v>0</v>
      </c>
      <c r="Z1885" s="0" t="str">
        <f aca="false">IF(AND(C1884=C1885,W1884=W1885-1),X1884,"")</f>
        <v/>
      </c>
      <c r="AA1885" s="0" t="str">
        <f aca="false">IF(AND(C1884=C1885,W1884=W1885-1),Y1884,"")</f>
        <v/>
      </c>
      <c r="AB1885" s="0" t="str">
        <f aca="false">IF(W1885=1,"",IF(AND(X1885=1,Z1885&lt;&gt;1),1,0))</f>
        <v/>
      </c>
      <c r="AC1885" s="0" t="str">
        <f aca="false">IF(W1885=1,"",IF(AND(Y1885=1,AA1885&lt;&gt;1),1,0))</f>
        <v/>
      </c>
      <c r="AD1885" s="33" t="str">
        <f aca="false">IF(AND(E1885&gt;0,W1885&lt;1,NOT(AND(C1886=C1885,W1886=W1885+1))),INDEX(DATAS,W1885+1),"")</f>
        <v/>
      </c>
      <c r="AE1885" s="33" t="str">
        <f aca="false">IF(AND(Y1885=1,W1885&lt;1),IF(AND(C1886=C1885,W1886=W1885+1),IF(Y1886=1,"",INDEX(DATAS,W1885+1)),INDEX(DATAS,W1885+1)),"")</f>
        <v/>
      </c>
    </row>
    <row r="1886" customFormat="false" ht="15" hidden="false" customHeight="false" outlineLevel="0" collapsed="false">
      <c r="A1886" s="33" t="n">
        <v>46309</v>
      </c>
      <c r="B1886" s="0" t="n">
        <v>1</v>
      </c>
      <c r="C1886" s="0" t="n">
        <v>6114</v>
      </c>
      <c r="D1886" s="0" t="n">
        <v>25</v>
      </c>
      <c r="E1886" s="0" t="n">
        <v>1</v>
      </c>
      <c r="F1886" s="27" t="s">
        <v>1096</v>
      </c>
      <c r="G1886" s="0" t="n">
        <v>37.3</v>
      </c>
      <c r="H1886" s="0" t="n">
        <v>36</v>
      </c>
      <c r="I1886" s="27" t="s">
        <v>147</v>
      </c>
      <c r="J1886" s="0" t="n">
        <v>25</v>
      </c>
      <c r="R1886" s="0" t="n">
        <v>3096</v>
      </c>
      <c r="S1886" s="0" t="n">
        <v>6223</v>
      </c>
      <c r="U1886" s="0" t="n">
        <v>675</v>
      </c>
      <c r="V1886" s="0" t="n">
        <v>0</v>
      </c>
      <c r="W1886" s="27" t="n">
        <f aca="false">MATCH(A1886,DATAS,0)</f>
        <v>1</v>
      </c>
      <c r="X1886" s="27" t="n">
        <f aca="false">IF(AND(E1886&gt;0,OR(AND(B1886&gt;=1,B1886&lt;=6),B1886=10)),1,0)</f>
        <v>1</v>
      </c>
      <c r="Y1886" s="27" t="n">
        <f aca="false">IF(AND(E1886&gt;0,B1886=10),1,0)</f>
        <v>0</v>
      </c>
      <c r="Z1886" s="0" t="str">
        <f aca="false">IF(AND(C1885=C1886,W1885=W1886-1),X1885,"")</f>
        <v/>
      </c>
      <c r="AA1886" s="0" t="str">
        <f aca="false">IF(AND(C1885=C1886,W1885=W1886-1),Y1885,"")</f>
        <v/>
      </c>
      <c r="AB1886" s="0" t="str">
        <f aca="false">IF(W1886=1,"",IF(AND(X1886=1,Z1886&lt;&gt;1),1,0))</f>
        <v/>
      </c>
      <c r="AC1886" s="0" t="str">
        <f aca="false">IF(W1886=1,"",IF(AND(Y1886=1,AA1886&lt;&gt;1),1,0))</f>
        <v/>
      </c>
      <c r="AD1886" s="33" t="str">
        <f aca="false">IF(AND(E1886&gt;0,W1886&lt;1,NOT(AND(C1887=C1886,W1887=W1886+1))),INDEX(DATAS,W1886+1),"")</f>
        <v/>
      </c>
      <c r="AE1886" s="33" t="str">
        <f aca="false">IF(AND(Y1886=1,W1886&lt;1),IF(AND(C1887=C1886,W1887=W1886+1),IF(Y1887=1,"",INDEX(DATAS,W1886+1)),INDEX(DATAS,W1886+1)),"")</f>
        <v/>
      </c>
    </row>
    <row r="1887" customFormat="false" ht="15" hidden="false" customHeight="false" outlineLevel="0" collapsed="false">
      <c r="A1887" s="33" t="n">
        <v>46309</v>
      </c>
      <c r="B1887" s="0" t="n">
        <v>1</v>
      </c>
      <c r="C1887" s="0" t="n">
        <v>6116</v>
      </c>
      <c r="D1887" s="0" t="n">
        <v>25</v>
      </c>
      <c r="E1887" s="0" t="n">
        <v>1</v>
      </c>
      <c r="F1887" s="27" t="s">
        <v>1097</v>
      </c>
      <c r="G1887" s="0" t="n">
        <v>29.6</v>
      </c>
      <c r="H1887" s="0" t="n">
        <v>28</v>
      </c>
      <c r="I1887" s="27" t="s">
        <v>147</v>
      </c>
      <c r="J1887" s="0" t="n">
        <v>25</v>
      </c>
      <c r="R1887" s="0" t="n">
        <v>2526</v>
      </c>
      <c r="S1887" s="0" t="n">
        <v>5077</v>
      </c>
      <c r="U1887" s="0" t="n">
        <v>673</v>
      </c>
      <c r="V1887" s="0" t="n">
        <v>0</v>
      </c>
      <c r="W1887" s="27" t="n">
        <f aca="false">MATCH(A1887,DATAS,0)</f>
        <v>1</v>
      </c>
      <c r="X1887" s="27" t="n">
        <f aca="false">IF(AND(E1887&gt;0,OR(AND(B1887&gt;=1,B1887&lt;=6),B1887=10)),1,0)</f>
        <v>1</v>
      </c>
      <c r="Y1887" s="27" t="n">
        <f aca="false">IF(AND(E1887&gt;0,B1887=10),1,0)</f>
        <v>0</v>
      </c>
      <c r="Z1887" s="0" t="str">
        <f aca="false">IF(AND(C1886=C1887,W1886=W1887-1),X1886,"")</f>
        <v/>
      </c>
      <c r="AA1887" s="0" t="str">
        <f aca="false">IF(AND(C1886=C1887,W1886=W1887-1),Y1886,"")</f>
        <v/>
      </c>
      <c r="AB1887" s="0" t="str">
        <f aca="false">IF(W1887=1,"",IF(AND(X1887=1,Z1887&lt;&gt;1),1,0))</f>
        <v/>
      </c>
      <c r="AC1887" s="0" t="str">
        <f aca="false">IF(W1887=1,"",IF(AND(Y1887=1,AA1887&lt;&gt;1),1,0))</f>
        <v/>
      </c>
      <c r="AD1887" s="33" t="str">
        <f aca="false">IF(AND(E1887&gt;0,W1887&lt;1,NOT(AND(C1888=C1887,W1888=W1887+1))),INDEX(DATAS,W1887+1),"")</f>
        <v/>
      </c>
      <c r="AE1887" s="33" t="str">
        <f aca="false">IF(AND(Y1887=1,W1887&lt;1),IF(AND(C1888=C1887,W1888=W1887+1),IF(Y1888=1,"",INDEX(DATAS,W1887+1)),INDEX(DATAS,W1887+1)),"")</f>
        <v/>
      </c>
    </row>
    <row r="1888" customFormat="false" ht="15" hidden="false" customHeight="false" outlineLevel="0" collapsed="false">
      <c r="A1888" s="33" t="n">
        <v>46309</v>
      </c>
      <c r="B1888" s="0" t="n">
        <v>7</v>
      </c>
      <c r="C1888" s="0" t="n">
        <v>6117</v>
      </c>
      <c r="E1888" s="0" t="n">
        <v>0</v>
      </c>
      <c r="F1888" s="27" t="s">
        <v>1097</v>
      </c>
      <c r="I1888" s="27" t="s">
        <v>138</v>
      </c>
      <c r="L1888" s="0" t="n">
        <v>248</v>
      </c>
      <c r="U1888" s="0" t="n">
        <v>673</v>
      </c>
      <c r="V1888" s="0" t="n">
        <v>3</v>
      </c>
      <c r="W1888" s="27" t="n">
        <f aca="false">MATCH(A1888,DATAS,0)</f>
        <v>1</v>
      </c>
      <c r="X1888" s="27" t="n">
        <f aca="false">IF(AND(E1888&gt;0,OR(AND(B1888&gt;=1,B1888&lt;=6),B1888=10)),1,0)</f>
        <v>0</v>
      </c>
      <c r="Y1888" s="27" t="n">
        <f aca="false">IF(AND(E1888&gt;0,B1888=10),1,0)</f>
        <v>0</v>
      </c>
      <c r="Z1888" s="0" t="str">
        <f aca="false">IF(AND(C1887=C1888,W1887=W1888-1),X1887,"")</f>
        <v/>
      </c>
      <c r="AA1888" s="0" t="str">
        <f aca="false">IF(AND(C1887=C1888,W1887=W1888-1),Y1887,"")</f>
        <v/>
      </c>
      <c r="AB1888" s="0" t="str">
        <f aca="false">IF(W1888=1,"",IF(AND(X1888=1,Z1888&lt;&gt;1),1,0))</f>
        <v/>
      </c>
      <c r="AC1888" s="0" t="str">
        <f aca="false">IF(W1888=1,"",IF(AND(Y1888=1,AA1888&lt;&gt;1),1,0))</f>
        <v/>
      </c>
      <c r="AD1888" s="33" t="str">
        <f aca="false">IF(AND(E1888&gt;0,W1888&lt;1,NOT(AND(C1889=C1888,W1889=W1888+1))),INDEX(DATAS,W1888+1),"")</f>
        <v/>
      </c>
      <c r="AE1888" s="33" t="str">
        <f aca="false">IF(AND(Y1888=1,W1888&lt;1),IF(AND(C1889=C1888,W1889=W1888+1),IF(Y1889=1,"",INDEX(DATAS,W1888+1)),INDEX(DATAS,W1888+1)),"")</f>
        <v/>
      </c>
    </row>
    <row r="1889" customFormat="false" ht="15" hidden="false" customHeight="false" outlineLevel="0" collapsed="false">
      <c r="A1889" s="33" t="n">
        <v>46309</v>
      </c>
      <c r="B1889" s="0" t="n">
        <v>10</v>
      </c>
      <c r="C1889" s="0" t="n">
        <v>6118</v>
      </c>
      <c r="D1889" s="0" t="n">
        <v>30</v>
      </c>
      <c r="E1889" s="0" t="n">
        <v>1</v>
      </c>
      <c r="F1889" s="27" t="s">
        <v>1097</v>
      </c>
      <c r="G1889" s="0" t="n">
        <v>28.2</v>
      </c>
      <c r="H1889" s="0" t="n">
        <v>34</v>
      </c>
      <c r="I1889" s="27" t="s">
        <v>147</v>
      </c>
      <c r="J1889" s="0" t="n">
        <v>30</v>
      </c>
      <c r="R1889" s="0" t="n">
        <v>3405</v>
      </c>
      <c r="S1889" s="0" t="n">
        <v>6845</v>
      </c>
      <c r="U1889" s="0" t="n">
        <v>673</v>
      </c>
      <c r="V1889" s="0" t="n">
        <v>0</v>
      </c>
      <c r="W1889" s="27" t="n">
        <f aca="false">MATCH(A1889,DATAS,0)</f>
        <v>1</v>
      </c>
      <c r="X1889" s="27" t="n">
        <f aca="false">IF(AND(E1889&gt;0,OR(AND(B1889&gt;=1,B1889&lt;=6),B1889=10)),1,0)</f>
        <v>1</v>
      </c>
      <c r="Y1889" s="27" t="n">
        <f aca="false">IF(AND(E1889&gt;0,B1889=10),1,0)</f>
        <v>1</v>
      </c>
      <c r="Z1889" s="0" t="str">
        <f aca="false">IF(AND(C1888=C1889,W1888=W1889-1),X1888,"")</f>
        <v/>
      </c>
      <c r="AA1889" s="0" t="str">
        <f aca="false">IF(AND(C1888=C1889,W1888=W1889-1),Y1888,"")</f>
        <v/>
      </c>
      <c r="AB1889" s="0" t="str">
        <f aca="false">IF(W1889=1,"",IF(AND(X1889=1,Z1889&lt;&gt;1),1,0))</f>
        <v/>
      </c>
      <c r="AC1889" s="0" t="str">
        <f aca="false">IF(W1889=1,"",IF(AND(Y1889=1,AA1889&lt;&gt;1),1,0))</f>
        <v/>
      </c>
      <c r="AD1889" s="33" t="str">
        <f aca="false">IF(AND(E1889&gt;0,W1889&lt;1,NOT(AND(C1890=C1889,W1890=W1889+1))),INDEX(DATAS,W1889+1),"")</f>
        <v/>
      </c>
      <c r="AE1889" s="33" t="str">
        <f aca="false">IF(AND(Y1889=1,W1889&lt;1),IF(AND(C1890=C1889,W1890=W1889+1),IF(Y1890=1,"",INDEX(DATAS,W1889+1)),INDEX(DATAS,W1889+1)),"")</f>
        <v/>
      </c>
    </row>
    <row r="1890" customFormat="false" ht="15" hidden="false" customHeight="false" outlineLevel="0" collapsed="false">
      <c r="A1890" s="33" t="n">
        <v>46309</v>
      </c>
      <c r="B1890" s="0" t="n">
        <v>14</v>
      </c>
      <c r="C1890" s="0" t="n">
        <v>6120</v>
      </c>
      <c r="E1890" s="0" t="n">
        <v>0</v>
      </c>
      <c r="F1890" s="27" t="s">
        <v>1098</v>
      </c>
      <c r="I1890" s="27" t="s">
        <v>138</v>
      </c>
      <c r="L1890" s="0" t="n">
        <v>262</v>
      </c>
      <c r="U1890" s="0" t="n">
        <v>672</v>
      </c>
      <c r="V1890" s="0" t="n">
        <v>3</v>
      </c>
      <c r="W1890" s="27" t="n">
        <f aca="false">MATCH(A1890,DATAS,0)</f>
        <v>1</v>
      </c>
      <c r="X1890" s="27" t="n">
        <f aca="false">IF(AND(E1890&gt;0,OR(AND(B1890&gt;=1,B1890&lt;=6),B1890=10)),1,0)</f>
        <v>0</v>
      </c>
      <c r="Y1890" s="27" t="n">
        <f aca="false">IF(AND(E1890&gt;0,B1890=10),1,0)</f>
        <v>0</v>
      </c>
      <c r="Z1890" s="0" t="str">
        <f aca="false">IF(AND(C1889=C1890,W1889=W1890-1),X1889,"")</f>
        <v/>
      </c>
      <c r="AA1890" s="0" t="str">
        <f aca="false">IF(AND(C1889=C1890,W1889=W1890-1),Y1889,"")</f>
        <v/>
      </c>
      <c r="AB1890" s="0" t="str">
        <f aca="false">IF(W1890=1,"",IF(AND(X1890=1,Z1890&lt;&gt;1),1,0))</f>
        <v/>
      </c>
      <c r="AC1890" s="0" t="str">
        <f aca="false">IF(W1890=1,"",IF(AND(Y1890=1,AA1890&lt;&gt;1),1,0))</f>
        <v/>
      </c>
      <c r="AD1890" s="33" t="str">
        <f aca="false">IF(AND(E1890&gt;0,W1890&lt;1,NOT(AND(C1891=C1890,W1891=W1890+1))),INDEX(DATAS,W1890+1),"")</f>
        <v/>
      </c>
      <c r="AE1890" s="33" t="str">
        <f aca="false">IF(AND(Y1890=1,W1890&lt;1),IF(AND(C1891=C1890,W1891=W1890+1),IF(Y1891=1,"",INDEX(DATAS,W1890+1)),INDEX(DATAS,W1890+1)),"")</f>
        <v/>
      </c>
    </row>
    <row r="1891" customFormat="false" ht="15" hidden="false" customHeight="false" outlineLevel="0" collapsed="false">
      <c r="A1891" s="33" t="n">
        <v>46309</v>
      </c>
      <c r="B1891" s="0" t="n">
        <v>8</v>
      </c>
      <c r="C1891" s="0" t="n">
        <v>6121</v>
      </c>
      <c r="E1891" s="0" t="n">
        <v>0</v>
      </c>
      <c r="F1891" s="27" t="s">
        <v>1098</v>
      </c>
      <c r="I1891" s="27" t="s">
        <v>138</v>
      </c>
      <c r="L1891" s="0" t="n">
        <v>112</v>
      </c>
      <c r="U1891" s="0" t="n">
        <v>672</v>
      </c>
      <c r="V1891" s="0" t="n">
        <v>5</v>
      </c>
      <c r="W1891" s="27" t="n">
        <f aca="false">MATCH(A1891,DATAS,0)</f>
        <v>1</v>
      </c>
      <c r="X1891" s="27" t="n">
        <f aca="false">IF(AND(E1891&gt;0,OR(AND(B1891&gt;=1,B1891&lt;=6),B1891=10)),1,0)</f>
        <v>0</v>
      </c>
      <c r="Y1891" s="27" t="n">
        <f aca="false">IF(AND(E1891&gt;0,B1891=10),1,0)</f>
        <v>0</v>
      </c>
      <c r="Z1891" s="0" t="str">
        <f aca="false">IF(AND(C1890=C1891,W1890=W1891-1),X1890,"")</f>
        <v/>
      </c>
      <c r="AA1891" s="0" t="str">
        <f aca="false">IF(AND(C1890=C1891,W1890=W1891-1),Y1890,"")</f>
        <v/>
      </c>
      <c r="AB1891" s="0" t="str">
        <f aca="false">IF(W1891=1,"",IF(AND(X1891=1,Z1891&lt;&gt;1),1,0))</f>
        <v/>
      </c>
      <c r="AC1891" s="0" t="str">
        <f aca="false">IF(W1891=1,"",IF(AND(Y1891=1,AA1891&lt;&gt;1),1,0))</f>
        <v/>
      </c>
      <c r="AD1891" s="33" t="str">
        <f aca="false">IF(AND(E1891&gt;0,W1891&lt;1,NOT(AND(C1892=C1891,W1892=W1891+1))),INDEX(DATAS,W1891+1),"")</f>
        <v/>
      </c>
      <c r="AE1891" s="33" t="str">
        <f aca="false">IF(AND(Y1891=1,W1891&lt;1),IF(AND(C1892=C1891,W1892=W1891+1),IF(Y1892=1,"",INDEX(DATAS,W1891+1)),INDEX(DATAS,W1891+1)),"")</f>
        <v/>
      </c>
    </row>
    <row r="1892" customFormat="false" ht="15" hidden="false" customHeight="false" outlineLevel="0" collapsed="false">
      <c r="A1892" s="33" t="n">
        <v>46309</v>
      </c>
      <c r="B1892" s="0" t="n">
        <v>1</v>
      </c>
      <c r="C1892" s="0" t="n">
        <v>6122</v>
      </c>
      <c r="D1892" s="0" t="n">
        <v>33</v>
      </c>
      <c r="E1892" s="0" t="n">
        <v>1</v>
      </c>
      <c r="F1892" s="27" t="s">
        <v>1098</v>
      </c>
      <c r="G1892" s="0" t="n">
        <v>34.9</v>
      </c>
      <c r="H1892" s="0" t="n">
        <v>37</v>
      </c>
      <c r="I1892" s="27" t="s">
        <v>147</v>
      </c>
      <c r="J1892" s="0" t="n">
        <v>33</v>
      </c>
      <c r="P1892" s="0" t="n">
        <v>6.77</v>
      </c>
      <c r="Q1892" s="0" t="n">
        <v>3.73</v>
      </c>
      <c r="R1892" s="0" t="n">
        <v>2997</v>
      </c>
      <c r="S1892" s="0" t="n">
        <v>6025</v>
      </c>
      <c r="U1892" s="0" t="n">
        <v>672</v>
      </c>
      <c r="V1892" s="0" t="n">
        <v>0</v>
      </c>
      <c r="W1892" s="27" t="n">
        <f aca="false">MATCH(A1892,DATAS,0)</f>
        <v>1</v>
      </c>
      <c r="X1892" s="27" t="n">
        <f aca="false">IF(AND(E1892&gt;0,OR(AND(B1892&gt;=1,B1892&lt;=6),B1892=10)),1,0)</f>
        <v>1</v>
      </c>
      <c r="Y1892" s="27" t="n">
        <f aca="false">IF(AND(E1892&gt;0,B1892=10),1,0)</f>
        <v>0</v>
      </c>
      <c r="Z1892" s="0" t="str">
        <f aca="false">IF(AND(C1891=C1892,W1891=W1892-1),X1891,"")</f>
        <v/>
      </c>
      <c r="AA1892" s="0" t="str">
        <f aca="false">IF(AND(C1891=C1892,W1891=W1892-1),Y1891,"")</f>
        <v/>
      </c>
      <c r="AB1892" s="0" t="str">
        <f aca="false">IF(W1892=1,"",IF(AND(X1892=1,Z1892&lt;&gt;1),1,0))</f>
        <v/>
      </c>
      <c r="AC1892" s="0" t="str">
        <f aca="false">IF(W1892=1,"",IF(AND(Y1892=1,AA1892&lt;&gt;1),1,0))</f>
        <v/>
      </c>
      <c r="AD1892" s="33" t="str">
        <f aca="false">IF(AND(E1892&gt;0,W1892&lt;1,NOT(AND(C1893=C1892,W1893=W1892+1))),INDEX(DATAS,W1892+1),"")</f>
        <v/>
      </c>
      <c r="AE1892" s="33" t="str">
        <f aca="false">IF(AND(Y1892=1,W1892&lt;1),IF(AND(C1893=C1892,W1893=W1892+1),IF(Y1893=1,"",INDEX(DATAS,W1892+1)),INDEX(DATAS,W1892+1)),"")</f>
        <v/>
      </c>
    </row>
    <row r="1893" customFormat="false" ht="15" hidden="false" customHeight="false" outlineLevel="0" collapsed="false">
      <c r="A1893" s="33" t="n">
        <v>46309</v>
      </c>
      <c r="B1893" s="0" t="n">
        <v>1</v>
      </c>
      <c r="C1893" s="0" t="n">
        <v>6123</v>
      </c>
      <c r="D1893" s="0" t="n">
        <v>25</v>
      </c>
      <c r="E1893" s="0" t="n">
        <v>1</v>
      </c>
      <c r="F1893" s="27" t="s">
        <v>1098</v>
      </c>
      <c r="G1893" s="0" t="n">
        <v>42.1</v>
      </c>
      <c r="H1893" s="0" t="n">
        <v>42</v>
      </c>
      <c r="I1893" s="27" t="s">
        <v>147</v>
      </c>
      <c r="J1893" s="0" t="n">
        <v>25</v>
      </c>
      <c r="R1893" s="0" t="n">
        <v>3693</v>
      </c>
      <c r="S1893" s="0" t="n">
        <v>7423</v>
      </c>
      <c r="U1893" s="0" t="n">
        <v>672</v>
      </c>
      <c r="V1893" s="0" t="n">
        <v>0</v>
      </c>
      <c r="W1893" s="27" t="n">
        <f aca="false">MATCH(A1893,DATAS,0)</f>
        <v>1</v>
      </c>
      <c r="X1893" s="27" t="n">
        <f aca="false">IF(AND(E1893&gt;0,OR(AND(B1893&gt;=1,B1893&lt;=6),B1893=10)),1,0)</f>
        <v>1</v>
      </c>
      <c r="Y1893" s="27" t="n">
        <f aca="false">IF(AND(E1893&gt;0,B1893=10),1,0)</f>
        <v>0</v>
      </c>
      <c r="Z1893" s="0" t="str">
        <f aca="false">IF(AND(C1892=C1893,W1892=W1893-1),X1892,"")</f>
        <v/>
      </c>
      <c r="AA1893" s="0" t="str">
        <f aca="false">IF(AND(C1892=C1893,W1892=W1893-1),Y1892,"")</f>
        <v/>
      </c>
      <c r="AB1893" s="0" t="str">
        <f aca="false">IF(W1893=1,"",IF(AND(X1893=1,Z1893&lt;&gt;1),1,0))</f>
        <v/>
      </c>
      <c r="AC1893" s="0" t="str">
        <f aca="false">IF(W1893=1,"",IF(AND(Y1893=1,AA1893&lt;&gt;1),1,0))</f>
        <v/>
      </c>
      <c r="AD1893" s="33" t="str">
        <f aca="false">IF(AND(E1893&gt;0,W1893&lt;1,NOT(AND(C1894=C1893,W1894=W1893+1))),INDEX(DATAS,W1893+1),"")</f>
        <v/>
      </c>
      <c r="AE1893" s="33" t="str">
        <f aca="false">IF(AND(Y1893=1,W1893&lt;1),IF(AND(C1894=C1893,W1894=W1893+1),IF(Y1894=1,"",INDEX(DATAS,W1893+1)),INDEX(DATAS,W1893+1)),"")</f>
        <v/>
      </c>
    </row>
    <row r="1894" customFormat="false" ht="15" hidden="false" customHeight="false" outlineLevel="0" collapsed="false">
      <c r="A1894" s="33" t="n">
        <v>46309</v>
      </c>
      <c r="B1894" s="0" t="n">
        <v>1</v>
      </c>
      <c r="C1894" s="0" t="n">
        <v>6124</v>
      </c>
      <c r="D1894" s="0" t="n">
        <v>29</v>
      </c>
      <c r="E1894" s="0" t="n">
        <v>1</v>
      </c>
      <c r="F1894" s="27" t="s">
        <v>1099</v>
      </c>
      <c r="G1894" s="0" t="n">
        <v>41.4</v>
      </c>
      <c r="H1894" s="0" t="n">
        <v>39</v>
      </c>
      <c r="I1894" s="27" t="s">
        <v>147</v>
      </c>
      <c r="J1894" s="0" t="n">
        <v>29</v>
      </c>
      <c r="P1894" s="0" t="n">
        <v>5.28</v>
      </c>
      <c r="Q1894" s="0" t="n">
        <v>4.19</v>
      </c>
      <c r="R1894" s="0" t="n">
        <v>3029</v>
      </c>
      <c r="S1894" s="0" t="n">
        <v>6089</v>
      </c>
      <c r="U1894" s="0" t="n">
        <v>671</v>
      </c>
      <c r="V1894" s="0" t="n">
        <v>0</v>
      </c>
      <c r="W1894" s="27" t="n">
        <f aca="false">MATCH(A1894,DATAS,0)</f>
        <v>1</v>
      </c>
      <c r="X1894" s="27" t="n">
        <f aca="false">IF(AND(E1894&gt;0,OR(AND(B1894&gt;=1,B1894&lt;=6),B1894=10)),1,0)</f>
        <v>1</v>
      </c>
      <c r="Y1894" s="27" t="n">
        <f aca="false">IF(AND(E1894&gt;0,B1894=10),1,0)</f>
        <v>0</v>
      </c>
      <c r="Z1894" s="0" t="str">
        <f aca="false">IF(AND(C1893=C1894,W1893=W1894-1),X1893,"")</f>
        <v/>
      </c>
      <c r="AA1894" s="0" t="str">
        <f aca="false">IF(AND(C1893=C1894,W1893=W1894-1),Y1893,"")</f>
        <v/>
      </c>
      <c r="AB1894" s="0" t="str">
        <f aca="false">IF(W1894=1,"",IF(AND(X1894=1,Z1894&lt;&gt;1),1,0))</f>
        <v/>
      </c>
      <c r="AC1894" s="0" t="str">
        <f aca="false">IF(W1894=1,"",IF(AND(Y1894=1,AA1894&lt;&gt;1),1,0))</f>
        <v/>
      </c>
      <c r="AD1894" s="33" t="str">
        <f aca="false">IF(AND(E1894&gt;0,W1894&lt;1,NOT(AND(C1895=C1894,W1895=W1894+1))),INDEX(DATAS,W1894+1),"")</f>
        <v/>
      </c>
      <c r="AE1894" s="33" t="str">
        <f aca="false">IF(AND(Y1894=1,W1894&lt;1),IF(AND(C1895=C1894,W1895=W1894+1),IF(Y1895=1,"",INDEX(DATAS,W1894+1)),INDEX(DATAS,W1894+1)),"")</f>
        <v/>
      </c>
    </row>
    <row r="1895" customFormat="false" ht="15" hidden="false" customHeight="false" outlineLevel="0" collapsed="false">
      <c r="A1895" s="33" t="n">
        <v>46309</v>
      </c>
      <c r="B1895" s="0" t="n">
        <v>1</v>
      </c>
      <c r="C1895" s="0" t="n">
        <v>6125</v>
      </c>
      <c r="D1895" s="0" t="n">
        <v>39</v>
      </c>
      <c r="E1895" s="0" t="n">
        <v>1</v>
      </c>
      <c r="F1895" s="27" t="s">
        <v>1099</v>
      </c>
      <c r="G1895" s="0" t="n">
        <v>39.9</v>
      </c>
      <c r="H1895" s="0" t="n">
        <v>40</v>
      </c>
      <c r="I1895" s="27" t="s">
        <v>147</v>
      </c>
      <c r="J1895" s="0" t="n">
        <v>39</v>
      </c>
      <c r="P1895" s="0" t="n">
        <v>3.93</v>
      </c>
      <c r="Q1895" s="0" t="n">
        <v>3.73</v>
      </c>
      <c r="R1895" s="0" t="n">
        <v>3648</v>
      </c>
      <c r="S1895" s="0" t="n">
        <v>7334</v>
      </c>
      <c r="U1895" s="0" t="n">
        <v>671</v>
      </c>
      <c r="V1895" s="0" t="n">
        <v>0</v>
      </c>
      <c r="W1895" s="27" t="n">
        <f aca="false">MATCH(A1895,DATAS,0)</f>
        <v>1</v>
      </c>
      <c r="X1895" s="27" t="n">
        <f aca="false">IF(AND(E1895&gt;0,OR(AND(B1895&gt;=1,B1895&lt;=6),B1895=10)),1,0)</f>
        <v>1</v>
      </c>
      <c r="Y1895" s="27" t="n">
        <f aca="false">IF(AND(E1895&gt;0,B1895=10),1,0)</f>
        <v>0</v>
      </c>
      <c r="Z1895" s="0" t="str">
        <f aca="false">IF(AND(C1894=C1895,W1894=W1895-1),X1894,"")</f>
        <v/>
      </c>
      <c r="AA1895" s="0" t="str">
        <f aca="false">IF(AND(C1894=C1895,W1894=W1895-1),Y1894,"")</f>
        <v/>
      </c>
      <c r="AB1895" s="0" t="str">
        <f aca="false">IF(W1895=1,"",IF(AND(X1895=1,Z1895&lt;&gt;1),1,0))</f>
        <v/>
      </c>
      <c r="AC1895" s="0" t="str">
        <f aca="false">IF(W1895=1,"",IF(AND(Y1895=1,AA1895&lt;&gt;1),1,0))</f>
        <v/>
      </c>
      <c r="AD1895" s="33" t="str">
        <f aca="false">IF(AND(E1895&gt;0,W1895&lt;1,NOT(AND(C1896=C1895,W1896=W1895+1))),INDEX(DATAS,W1895+1),"")</f>
        <v/>
      </c>
      <c r="AE1895" s="33" t="str">
        <f aca="false">IF(AND(Y1895=1,W1895&lt;1),IF(AND(C1896=C1895,W1896=W1895+1),IF(Y1896=1,"",INDEX(DATAS,W1895+1)),INDEX(DATAS,W1895+1)),"")</f>
        <v/>
      </c>
    </row>
    <row r="1896" customFormat="false" ht="15" hidden="false" customHeight="false" outlineLevel="0" collapsed="false">
      <c r="A1896" s="33" t="n">
        <v>46309</v>
      </c>
      <c r="B1896" s="0" t="n">
        <v>7</v>
      </c>
      <c r="C1896" s="0" t="n">
        <v>6126</v>
      </c>
      <c r="E1896" s="0" t="n">
        <v>0</v>
      </c>
      <c r="F1896" s="27" t="s">
        <v>1099</v>
      </c>
      <c r="I1896" s="27" t="s">
        <v>138</v>
      </c>
      <c r="L1896" s="0" t="n">
        <v>243</v>
      </c>
      <c r="U1896" s="0" t="n">
        <v>671</v>
      </c>
      <c r="V1896" s="0" t="n">
        <v>3</v>
      </c>
      <c r="W1896" s="27" t="n">
        <f aca="false">MATCH(A1896,DATAS,0)</f>
        <v>1</v>
      </c>
      <c r="X1896" s="27" t="n">
        <f aca="false">IF(AND(E1896&gt;0,OR(AND(B1896&gt;=1,B1896&lt;=6),B1896=10)),1,0)</f>
        <v>0</v>
      </c>
      <c r="Y1896" s="27" t="n">
        <f aca="false">IF(AND(E1896&gt;0,B1896=10),1,0)</f>
        <v>0</v>
      </c>
      <c r="Z1896" s="0" t="str">
        <f aca="false">IF(AND(C1895=C1896,W1895=W1896-1),X1895,"")</f>
        <v/>
      </c>
      <c r="AA1896" s="0" t="str">
        <f aca="false">IF(AND(C1895=C1896,W1895=W1896-1),Y1895,"")</f>
        <v/>
      </c>
      <c r="AB1896" s="0" t="str">
        <f aca="false">IF(W1896=1,"",IF(AND(X1896=1,Z1896&lt;&gt;1),1,0))</f>
        <v/>
      </c>
      <c r="AC1896" s="0" t="str">
        <f aca="false">IF(W1896=1,"",IF(AND(Y1896=1,AA1896&lt;&gt;1),1,0))</f>
        <v/>
      </c>
      <c r="AD1896" s="33" t="str">
        <f aca="false">IF(AND(E1896&gt;0,W1896&lt;1,NOT(AND(C1897=C1896,W1897=W1896+1))),INDEX(DATAS,W1896+1),"")</f>
        <v/>
      </c>
      <c r="AE1896" s="33" t="str">
        <f aca="false">IF(AND(Y1896=1,W1896&lt;1),IF(AND(C1897=C1896,W1897=W1896+1),IF(Y1897=1,"",INDEX(DATAS,W1896+1)),INDEX(DATAS,W1896+1)),"")</f>
        <v/>
      </c>
    </row>
    <row r="1897" customFormat="false" ht="15" hidden="false" customHeight="false" outlineLevel="0" collapsed="false">
      <c r="A1897" s="33" t="n">
        <v>46309</v>
      </c>
      <c r="B1897" s="0" t="n">
        <v>8</v>
      </c>
      <c r="C1897" s="0" t="n">
        <v>6127</v>
      </c>
      <c r="E1897" s="0" t="n">
        <v>0</v>
      </c>
      <c r="F1897" s="27" t="s">
        <v>1099</v>
      </c>
      <c r="I1897" s="27" t="s">
        <v>138</v>
      </c>
      <c r="L1897" s="0" t="n">
        <v>119</v>
      </c>
      <c r="U1897" s="0" t="n">
        <v>671</v>
      </c>
      <c r="V1897" s="0" t="n">
        <v>7</v>
      </c>
      <c r="W1897" s="27" t="n">
        <f aca="false">MATCH(A1897,DATAS,0)</f>
        <v>1</v>
      </c>
      <c r="X1897" s="27" t="n">
        <f aca="false">IF(AND(E1897&gt;0,OR(AND(B1897&gt;=1,B1897&lt;=6),B1897=10)),1,0)</f>
        <v>0</v>
      </c>
      <c r="Y1897" s="27" t="n">
        <f aca="false">IF(AND(E1897&gt;0,B1897=10),1,0)</f>
        <v>0</v>
      </c>
      <c r="Z1897" s="0" t="str">
        <f aca="false">IF(AND(C1896=C1897,W1896=W1897-1),X1896,"")</f>
        <v/>
      </c>
      <c r="AA1897" s="0" t="str">
        <f aca="false">IF(AND(C1896=C1897,W1896=W1897-1),Y1896,"")</f>
        <v/>
      </c>
      <c r="AB1897" s="0" t="str">
        <f aca="false">IF(W1897=1,"",IF(AND(X1897=1,Z1897&lt;&gt;1),1,0))</f>
        <v/>
      </c>
      <c r="AC1897" s="0" t="str">
        <f aca="false">IF(W1897=1,"",IF(AND(Y1897=1,AA1897&lt;&gt;1),1,0))</f>
        <v/>
      </c>
      <c r="AD1897" s="33" t="str">
        <f aca="false">IF(AND(E1897&gt;0,W1897&lt;1,NOT(AND(C1898=C1897,W1898=W1897+1))),INDEX(DATAS,W1897+1),"")</f>
        <v/>
      </c>
      <c r="AE1897" s="33" t="str">
        <f aca="false">IF(AND(Y1897=1,W1897&lt;1),IF(AND(C1898=C1897,W1898=W1897+1),IF(Y1898=1,"",INDEX(DATAS,W1897+1)),INDEX(DATAS,W1897+1)),"")</f>
        <v/>
      </c>
    </row>
    <row r="1898" customFormat="false" ht="15" hidden="false" customHeight="false" outlineLevel="0" collapsed="false">
      <c r="A1898" s="33" t="n">
        <v>46309</v>
      </c>
      <c r="B1898" s="0" t="n">
        <v>1</v>
      </c>
      <c r="C1898" s="0" t="n">
        <v>6128</v>
      </c>
      <c r="D1898" s="0" t="n">
        <v>31</v>
      </c>
      <c r="E1898" s="0" t="n">
        <v>1</v>
      </c>
      <c r="F1898" s="27" t="s">
        <v>1100</v>
      </c>
      <c r="G1898" s="0" t="n">
        <v>42.6</v>
      </c>
      <c r="H1898" s="0" t="n">
        <v>39</v>
      </c>
      <c r="I1898" s="27" t="s">
        <v>147</v>
      </c>
      <c r="J1898" s="0" t="n">
        <v>31</v>
      </c>
      <c r="P1898" s="0" t="n">
        <v>4.36</v>
      </c>
      <c r="Q1898" s="0" t="n">
        <v>3.68</v>
      </c>
      <c r="R1898" s="0" t="n">
        <v>2950</v>
      </c>
      <c r="S1898" s="0" t="n">
        <v>5930</v>
      </c>
      <c r="U1898" s="0" t="n">
        <v>670</v>
      </c>
      <c r="V1898" s="0" t="n">
        <v>0</v>
      </c>
      <c r="W1898" s="27" t="n">
        <f aca="false">MATCH(A1898,DATAS,0)</f>
        <v>1</v>
      </c>
      <c r="X1898" s="27" t="n">
        <f aca="false">IF(AND(E1898&gt;0,OR(AND(B1898&gt;=1,B1898&lt;=6),B1898=10)),1,0)</f>
        <v>1</v>
      </c>
      <c r="Y1898" s="27" t="n">
        <f aca="false">IF(AND(E1898&gt;0,B1898=10),1,0)</f>
        <v>0</v>
      </c>
      <c r="Z1898" s="0" t="str">
        <f aca="false">IF(AND(C1897=C1898,W1897=W1898-1),X1897,"")</f>
        <v/>
      </c>
      <c r="AA1898" s="0" t="str">
        <f aca="false">IF(AND(C1897=C1898,W1897=W1898-1),Y1897,"")</f>
        <v/>
      </c>
      <c r="AB1898" s="0" t="str">
        <f aca="false">IF(W1898=1,"",IF(AND(X1898=1,Z1898&lt;&gt;1),1,0))</f>
        <v/>
      </c>
      <c r="AC1898" s="0" t="str">
        <f aca="false">IF(W1898=1,"",IF(AND(Y1898=1,AA1898&lt;&gt;1),1,0))</f>
        <v/>
      </c>
      <c r="AD1898" s="33" t="str">
        <f aca="false">IF(AND(E1898&gt;0,W1898&lt;1,NOT(AND(C1899=C1898,W1899=W1898+1))),INDEX(DATAS,W1898+1),"")</f>
        <v/>
      </c>
      <c r="AE1898" s="33" t="str">
        <f aca="false">IF(AND(Y1898=1,W1898&lt;1),IF(AND(C1899=C1898,W1899=W1898+1),IF(Y1899=1,"",INDEX(DATAS,W1898+1)),INDEX(DATAS,W1898+1)),"")</f>
        <v/>
      </c>
    </row>
    <row r="1899" customFormat="false" ht="15" hidden="false" customHeight="false" outlineLevel="0" collapsed="false">
      <c r="A1899" s="33" t="n">
        <v>46309</v>
      </c>
      <c r="B1899" s="0" t="n">
        <v>1</v>
      </c>
      <c r="C1899" s="0" t="n">
        <v>6130</v>
      </c>
      <c r="D1899" s="0" t="n">
        <v>17</v>
      </c>
      <c r="E1899" s="0" t="n">
        <v>1</v>
      </c>
      <c r="F1899" s="27" t="s">
        <v>1100</v>
      </c>
      <c r="G1899" s="0" t="n">
        <v>34.5</v>
      </c>
      <c r="H1899" s="0" t="n">
        <v>34</v>
      </c>
      <c r="I1899" s="27" t="s">
        <v>147</v>
      </c>
      <c r="J1899" s="0" t="n">
        <v>17</v>
      </c>
      <c r="R1899" s="0" t="n">
        <v>3474</v>
      </c>
      <c r="S1899" s="0" t="n">
        <v>6984</v>
      </c>
      <c r="U1899" s="0" t="n">
        <v>670</v>
      </c>
      <c r="V1899" s="0" t="n">
        <v>0</v>
      </c>
      <c r="W1899" s="27" t="n">
        <f aca="false">MATCH(A1899,DATAS,0)</f>
        <v>1</v>
      </c>
      <c r="X1899" s="27" t="n">
        <f aca="false">IF(AND(E1899&gt;0,OR(AND(B1899&gt;=1,B1899&lt;=6),B1899=10)),1,0)</f>
        <v>1</v>
      </c>
      <c r="Y1899" s="27" t="n">
        <f aca="false">IF(AND(E1899&gt;0,B1899=10),1,0)</f>
        <v>0</v>
      </c>
      <c r="Z1899" s="0" t="str">
        <f aca="false">IF(AND(C1898=C1899,W1898=W1899-1),X1898,"")</f>
        <v/>
      </c>
      <c r="AA1899" s="0" t="str">
        <f aca="false">IF(AND(C1898=C1899,W1898=W1899-1),Y1898,"")</f>
        <v/>
      </c>
      <c r="AB1899" s="0" t="str">
        <f aca="false">IF(W1899=1,"",IF(AND(X1899=1,Z1899&lt;&gt;1),1,0))</f>
        <v/>
      </c>
      <c r="AC1899" s="0" t="str">
        <f aca="false">IF(W1899=1,"",IF(AND(Y1899=1,AA1899&lt;&gt;1),1,0))</f>
        <v/>
      </c>
      <c r="AD1899" s="33" t="str">
        <f aca="false">IF(AND(E1899&gt;0,W1899&lt;1,NOT(AND(C1900=C1899,W1900=W1899+1))),INDEX(DATAS,W1899+1),"")</f>
        <v/>
      </c>
      <c r="AE1899" s="33" t="str">
        <f aca="false">IF(AND(Y1899=1,W1899&lt;1),IF(AND(C1900=C1899,W1900=W1899+1),IF(Y1900=1,"",INDEX(DATAS,W1899+1)),INDEX(DATAS,W1899+1)),"")</f>
        <v/>
      </c>
    </row>
    <row r="1900" customFormat="false" ht="15" hidden="false" customHeight="false" outlineLevel="0" collapsed="false">
      <c r="A1900" s="33" t="n">
        <v>46309</v>
      </c>
      <c r="B1900" s="0" t="n">
        <v>1</v>
      </c>
      <c r="C1900" s="0" t="n">
        <v>6131</v>
      </c>
      <c r="D1900" s="0" t="n">
        <v>16</v>
      </c>
      <c r="E1900" s="0" t="n">
        <v>1</v>
      </c>
      <c r="F1900" s="27" t="s">
        <v>1101</v>
      </c>
      <c r="G1900" s="0" t="n">
        <v>34.9</v>
      </c>
      <c r="H1900" s="0" t="n">
        <v>33</v>
      </c>
      <c r="I1900" s="27" t="s">
        <v>147</v>
      </c>
      <c r="J1900" s="0" t="n">
        <v>16</v>
      </c>
      <c r="R1900" s="0" t="n">
        <v>3293</v>
      </c>
      <c r="S1900" s="0" t="n">
        <v>6621</v>
      </c>
      <c r="U1900" s="0" t="n">
        <v>668</v>
      </c>
      <c r="V1900" s="0" t="n">
        <v>0</v>
      </c>
      <c r="W1900" s="27" t="n">
        <f aca="false">MATCH(A1900,DATAS,0)</f>
        <v>1</v>
      </c>
      <c r="X1900" s="27" t="n">
        <f aca="false">IF(AND(E1900&gt;0,OR(AND(B1900&gt;=1,B1900&lt;=6),B1900=10)),1,0)</f>
        <v>1</v>
      </c>
      <c r="Y1900" s="27" t="n">
        <f aca="false">IF(AND(E1900&gt;0,B1900=10),1,0)</f>
        <v>0</v>
      </c>
      <c r="Z1900" s="0" t="str">
        <f aca="false">IF(AND(C1899=C1900,W1899=W1900-1),X1899,"")</f>
        <v/>
      </c>
      <c r="AA1900" s="0" t="str">
        <f aca="false">IF(AND(C1899=C1900,W1899=W1900-1),Y1899,"")</f>
        <v/>
      </c>
      <c r="AB1900" s="0" t="str">
        <f aca="false">IF(W1900=1,"",IF(AND(X1900=1,Z1900&lt;&gt;1),1,0))</f>
        <v/>
      </c>
      <c r="AC1900" s="0" t="str">
        <f aca="false">IF(W1900=1,"",IF(AND(Y1900=1,AA1900&lt;&gt;1),1,0))</f>
        <v/>
      </c>
      <c r="AD1900" s="33" t="str">
        <f aca="false">IF(AND(E1900&gt;0,W1900&lt;1,NOT(AND(C1901=C1900,W1901=W1900+1))),INDEX(DATAS,W1900+1),"")</f>
        <v/>
      </c>
      <c r="AE1900" s="33" t="str">
        <f aca="false">IF(AND(Y1900=1,W1900&lt;1),IF(AND(C1901=C1900,W1901=W1900+1),IF(Y1901=1,"",INDEX(DATAS,W1900+1)),INDEX(DATAS,W1900+1)),"")</f>
        <v/>
      </c>
    </row>
    <row r="1901" customFormat="false" ht="15" hidden="false" customHeight="false" outlineLevel="0" collapsed="false">
      <c r="A1901" s="33" t="n">
        <v>46309</v>
      </c>
      <c r="B1901" s="0" t="n">
        <v>8</v>
      </c>
      <c r="C1901" s="0" t="n">
        <v>6132</v>
      </c>
      <c r="E1901" s="0" t="n">
        <v>0</v>
      </c>
      <c r="F1901" s="27" t="s">
        <v>1102</v>
      </c>
      <c r="I1901" s="27" t="s">
        <v>138</v>
      </c>
      <c r="L1901" s="0" t="n">
        <v>231</v>
      </c>
      <c r="U1901" s="0" t="n">
        <v>667</v>
      </c>
      <c r="V1901" s="0" t="n">
        <v>3</v>
      </c>
      <c r="W1901" s="27" t="n">
        <f aca="false">MATCH(A1901,DATAS,0)</f>
        <v>1</v>
      </c>
      <c r="X1901" s="27" t="n">
        <f aca="false">IF(AND(E1901&gt;0,OR(AND(B1901&gt;=1,B1901&lt;=6),B1901=10)),1,0)</f>
        <v>0</v>
      </c>
      <c r="Y1901" s="27" t="n">
        <f aca="false">IF(AND(E1901&gt;0,B1901=10),1,0)</f>
        <v>0</v>
      </c>
      <c r="Z1901" s="0" t="str">
        <f aca="false">IF(AND(C1900=C1901,W1900=W1901-1),X1900,"")</f>
        <v/>
      </c>
      <c r="AA1901" s="0" t="str">
        <f aca="false">IF(AND(C1900=C1901,W1900=W1901-1),Y1900,"")</f>
        <v/>
      </c>
      <c r="AB1901" s="0" t="str">
        <f aca="false">IF(W1901=1,"",IF(AND(X1901=1,Z1901&lt;&gt;1),1,0))</f>
        <v/>
      </c>
      <c r="AC1901" s="0" t="str">
        <f aca="false">IF(W1901=1,"",IF(AND(Y1901=1,AA1901&lt;&gt;1),1,0))</f>
        <v/>
      </c>
      <c r="AD1901" s="33" t="str">
        <f aca="false">IF(AND(E1901&gt;0,W1901&lt;1,NOT(AND(C1902=C1901,W1902=W1901+1))),INDEX(DATAS,W1901+1),"")</f>
        <v/>
      </c>
      <c r="AE1901" s="33" t="str">
        <f aca="false">IF(AND(Y1901=1,W1901&lt;1),IF(AND(C1902=C1901,W1902=W1901+1),IF(Y1902=1,"",INDEX(DATAS,W1901+1)),INDEX(DATAS,W1901+1)),"")</f>
        <v/>
      </c>
    </row>
    <row r="1902" customFormat="false" ht="15" hidden="false" customHeight="false" outlineLevel="0" collapsed="false">
      <c r="A1902" s="33" t="n">
        <v>46309</v>
      </c>
      <c r="B1902" s="0" t="n">
        <v>14</v>
      </c>
      <c r="C1902" s="0" t="n">
        <v>6134</v>
      </c>
      <c r="E1902" s="0" t="n">
        <v>0</v>
      </c>
      <c r="F1902" s="27" t="s">
        <v>1102</v>
      </c>
      <c r="I1902" s="27" t="s">
        <v>138</v>
      </c>
      <c r="L1902" s="0" t="n">
        <v>256</v>
      </c>
      <c r="U1902" s="0" t="n">
        <v>667</v>
      </c>
      <c r="V1902" s="0" t="n">
        <v>3</v>
      </c>
      <c r="W1902" s="27" t="n">
        <f aca="false">MATCH(A1902,DATAS,0)</f>
        <v>1</v>
      </c>
      <c r="X1902" s="27" t="n">
        <f aca="false">IF(AND(E1902&gt;0,OR(AND(B1902&gt;=1,B1902&lt;=6),B1902=10)),1,0)</f>
        <v>0</v>
      </c>
      <c r="Y1902" s="27" t="n">
        <f aca="false">IF(AND(E1902&gt;0,B1902=10),1,0)</f>
        <v>0</v>
      </c>
      <c r="Z1902" s="0" t="str">
        <f aca="false">IF(AND(C1901=C1902,W1901=W1902-1),X1901,"")</f>
        <v/>
      </c>
      <c r="AA1902" s="0" t="str">
        <f aca="false">IF(AND(C1901=C1902,W1901=W1902-1),Y1901,"")</f>
        <v/>
      </c>
      <c r="AB1902" s="0" t="str">
        <f aca="false">IF(W1902=1,"",IF(AND(X1902=1,Z1902&lt;&gt;1),1,0))</f>
        <v/>
      </c>
      <c r="AC1902" s="0" t="str">
        <f aca="false">IF(W1902=1,"",IF(AND(Y1902=1,AA1902&lt;&gt;1),1,0))</f>
        <v/>
      </c>
      <c r="AD1902" s="33" t="str">
        <f aca="false">IF(AND(E1902&gt;0,W1902&lt;1,NOT(AND(C1903=C1902,W1903=W1902+1))),INDEX(DATAS,W1902+1),"")</f>
        <v/>
      </c>
      <c r="AE1902" s="33" t="str">
        <f aca="false">IF(AND(Y1902=1,W1902&lt;1),IF(AND(C1903=C1902,W1903=W1902+1),IF(Y1903=1,"",INDEX(DATAS,W1902+1)),INDEX(DATAS,W1902+1)),"")</f>
        <v/>
      </c>
    </row>
    <row r="1903" customFormat="false" ht="15" hidden="false" customHeight="false" outlineLevel="0" collapsed="false">
      <c r="A1903" s="33" t="n">
        <v>46309</v>
      </c>
      <c r="B1903" s="0" t="n">
        <v>14</v>
      </c>
      <c r="C1903" s="0" t="n">
        <v>6135</v>
      </c>
      <c r="E1903" s="0" t="n">
        <v>0</v>
      </c>
      <c r="F1903" s="27" t="s">
        <v>1102</v>
      </c>
      <c r="I1903" s="27" t="s">
        <v>138</v>
      </c>
      <c r="L1903" s="0" t="n">
        <v>280</v>
      </c>
      <c r="U1903" s="0" t="n">
        <v>667</v>
      </c>
      <c r="V1903" s="0" t="n">
        <v>1</v>
      </c>
      <c r="W1903" s="27" t="n">
        <f aca="false">MATCH(A1903,DATAS,0)</f>
        <v>1</v>
      </c>
      <c r="X1903" s="27" t="n">
        <f aca="false">IF(AND(E1903&gt;0,OR(AND(B1903&gt;=1,B1903&lt;=6),B1903=10)),1,0)</f>
        <v>0</v>
      </c>
      <c r="Y1903" s="27" t="n">
        <f aca="false">IF(AND(E1903&gt;0,B1903=10),1,0)</f>
        <v>0</v>
      </c>
      <c r="Z1903" s="0" t="str">
        <f aca="false">IF(AND(C1902=C1903,W1902=W1903-1),X1902,"")</f>
        <v/>
      </c>
      <c r="AA1903" s="0" t="str">
        <f aca="false">IF(AND(C1902=C1903,W1902=W1903-1),Y1902,"")</f>
        <v/>
      </c>
      <c r="AB1903" s="0" t="str">
        <f aca="false">IF(W1903=1,"",IF(AND(X1903=1,Z1903&lt;&gt;1),1,0))</f>
        <v/>
      </c>
      <c r="AC1903" s="0" t="str">
        <f aca="false">IF(W1903=1,"",IF(AND(Y1903=1,AA1903&lt;&gt;1),1,0))</f>
        <v/>
      </c>
      <c r="AD1903" s="33" t="str">
        <f aca="false">IF(AND(E1903&gt;0,W1903&lt;1,NOT(AND(C1904=C1903,W1904=W1903+1))),INDEX(DATAS,W1903+1),"")</f>
        <v/>
      </c>
      <c r="AE1903" s="33" t="str">
        <f aca="false">IF(AND(Y1903=1,W1903&lt;1),IF(AND(C1904=C1903,W1904=W1903+1),IF(Y1904=1,"",INDEX(DATAS,W1903+1)),INDEX(DATAS,W1903+1)),"")</f>
        <v/>
      </c>
    </row>
    <row r="1904" customFormat="false" ht="15" hidden="false" customHeight="false" outlineLevel="0" collapsed="false">
      <c r="A1904" s="33" t="n">
        <v>46309</v>
      </c>
      <c r="B1904" s="0" t="n">
        <v>1</v>
      </c>
      <c r="C1904" s="0" t="n">
        <v>6138</v>
      </c>
      <c r="D1904" s="0" t="n">
        <v>25</v>
      </c>
      <c r="E1904" s="0" t="n">
        <v>1</v>
      </c>
      <c r="F1904" s="27" t="s">
        <v>1103</v>
      </c>
      <c r="G1904" s="0" t="n">
        <v>40.6</v>
      </c>
      <c r="H1904" s="0" t="n">
        <v>41</v>
      </c>
      <c r="I1904" s="27" t="s">
        <v>147</v>
      </c>
      <c r="J1904" s="0" t="n">
        <v>25</v>
      </c>
      <c r="R1904" s="0" t="n">
        <v>3689</v>
      </c>
      <c r="S1904" s="0" t="n">
        <v>7415</v>
      </c>
      <c r="U1904" s="0" t="n">
        <v>666</v>
      </c>
      <c r="V1904" s="0" t="n">
        <v>0</v>
      </c>
      <c r="W1904" s="27" t="n">
        <f aca="false">MATCH(A1904,DATAS,0)</f>
        <v>1</v>
      </c>
      <c r="X1904" s="27" t="n">
        <f aca="false">IF(AND(E1904&gt;0,OR(AND(B1904&gt;=1,B1904&lt;=6),B1904=10)),1,0)</f>
        <v>1</v>
      </c>
      <c r="Y1904" s="27" t="n">
        <f aca="false">IF(AND(E1904&gt;0,B1904=10),1,0)</f>
        <v>0</v>
      </c>
      <c r="Z1904" s="0" t="str">
        <f aca="false">IF(AND(C1903=C1904,W1903=W1904-1),X1903,"")</f>
        <v/>
      </c>
      <c r="AA1904" s="0" t="str">
        <f aca="false">IF(AND(C1903=C1904,W1903=W1904-1),Y1903,"")</f>
        <v/>
      </c>
      <c r="AB1904" s="0" t="str">
        <f aca="false">IF(W1904=1,"",IF(AND(X1904=1,Z1904&lt;&gt;1),1,0))</f>
        <v/>
      </c>
      <c r="AC1904" s="0" t="str">
        <f aca="false">IF(W1904=1,"",IF(AND(Y1904=1,AA1904&lt;&gt;1),1,0))</f>
        <v/>
      </c>
      <c r="AD1904" s="33" t="str">
        <f aca="false">IF(AND(E1904&gt;0,W1904&lt;1,NOT(AND(C1905=C1904,W1905=W1904+1))),INDEX(DATAS,W1904+1),"")</f>
        <v/>
      </c>
      <c r="AE1904" s="33" t="str">
        <f aca="false">IF(AND(Y1904=1,W1904&lt;1),IF(AND(C1905=C1904,W1905=W1904+1),IF(Y1905=1,"",INDEX(DATAS,W1904+1)),INDEX(DATAS,W1904+1)),"")</f>
        <v/>
      </c>
    </row>
    <row r="1905" customFormat="false" ht="15" hidden="false" customHeight="false" outlineLevel="0" collapsed="false">
      <c r="A1905" s="33" t="n">
        <v>46309</v>
      </c>
      <c r="B1905" s="0" t="n">
        <v>8</v>
      </c>
      <c r="C1905" s="0" t="n">
        <v>6139</v>
      </c>
      <c r="E1905" s="0" t="n">
        <v>0</v>
      </c>
      <c r="F1905" s="27" t="s">
        <v>1103</v>
      </c>
      <c r="I1905" s="27" t="s">
        <v>138</v>
      </c>
      <c r="L1905" s="0" t="n">
        <v>212</v>
      </c>
      <c r="U1905" s="0" t="n">
        <v>666</v>
      </c>
      <c r="V1905" s="0" t="n">
        <v>5</v>
      </c>
      <c r="W1905" s="27" t="n">
        <f aca="false">MATCH(A1905,DATAS,0)</f>
        <v>1</v>
      </c>
      <c r="X1905" s="27" t="n">
        <f aca="false">IF(AND(E1905&gt;0,OR(AND(B1905&gt;=1,B1905&lt;=6),B1905=10)),1,0)</f>
        <v>0</v>
      </c>
      <c r="Y1905" s="27" t="n">
        <f aca="false">IF(AND(E1905&gt;0,B1905=10),1,0)</f>
        <v>0</v>
      </c>
      <c r="Z1905" s="0" t="str">
        <f aca="false">IF(AND(C1904=C1905,W1904=W1905-1),X1904,"")</f>
        <v/>
      </c>
      <c r="AA1905" s="0" t="str">
        <f aca="false">IF(AND(C1904=C1905,W1904=W1905-1),Y1904,"")</f>
        <v/>
      </c>
      <c r="AB1905" s="0" t="str">
        <f aca="false">IF(W1905=1,"",IF(AND(X1905=1,Z1905&lt;&gt;1),1,0))</f>
        <v/>
      </c>
      <c r="AC1905" s="0" t="str">
        <f aca="false">IF(W1905=1,"",IF(AND(Y1905=1,AA1905&lt;&gt;1),1,0))</f>
        <v/>
      </c>
      <c r="AD1905" s="33" t="str">
        <f aca="false">IF(AND(E1905&gt;0,W1905&lt;1,NOT(AND(C1906=C1905,W1906=W1905+1))),INDEX(DATAS,W1905+1),"")</f>
        <v/>
      </c>
      <c r="AE1905" s="33" t="str">
        <f aca="false">IF(AND(Y1905=1,W1905&lt;1),IF(AND(C1906=C1905,W1906=W1905+1),IF(Y1906=1,"",INDEX(DATAS,W1905+1)),INDEX(DATAS,W1905+1)),"")</f>
        <v/>
      </c>
    </row>
    <row r="1906" customFormat="false" ht="15" hidden="false" customHeight="false" outlineLevel="0" collapsed="false">
      <c r="A1906" s="33" t="n">
        <v>46309</v>
      </c>
      <c r="B1906" s="0" t="n">
        <v>8</v>
      </c>
      <c r="C1906" s="0" t="n">
        <v>6140</v>
      </c>
      <c r="E1906" s="0" t="n">
        <v>0</v>
      </c>
      <c r="F1906" s="27" t="s">
        <v>1103</v>
      </c>
      <c r="I1906" s="27" t="s">
        <v>138</v>
      </c>
      <c r="L1906" s="0" t="n">
        <v>216</v>
      </c>
      <c r="U1906" s="0" t="n">
        <v>666</v>
      </c>
      <c r="V1906" s="0" t="n">
        <v>4</v>
      </c>
      <c r="W1906" s="27" t="n">
        <f aca="false">MATCH(A1906,DATAS,0)</f>
        <v>1</v>
      </c>
      <c r="X1906" s="27" t="n">
        <f aca="false">IF(AND(E1906&gt;0,OR(AND(B1906&gt;=1,B1906&lt;=6),B1906=10)),1,0)</f>
        <v>0</v>
      </c>
      <c r="Y1906" s="27" t="n">
        <f aca="false">IF(AND(E1906&gt;0,B1906=10),1,0)</f>
        <v>0</v>
      </c>
      <c r="Z1906" s="0" t="str">
        <f aca="false">IF(AND(C1905=C1906,W1905=W1906-1),X1905,"")</f>
        <v/>
      </c>
      <c r="AA1906" s="0" t="str">
        <f aca="false">IF(AND(C1905=C1906,W1905=W1906-1),Y1905,"")</f>
        <v/>
      </c>
      <c r="AB1906" s="0" t="str">
        <f aca="false">IF(W1906=1,"",IF(AND(X1906=1,Z1906&lt;&gt;1),1,0))</f>
        <v/>
      </c>
      <c r="AC1906" s="0" t="str">
        <f aca="false">IF(W1906=1,"",IF(AND(Y1906=1,AA1906&lt;&gt;1),1,0))</f>
        <v/>
      </c>
      <c r="AD1906" s="33" t="str">
        <f aca="false">IF(AND(E1906&gt;0,W1906&lt;1,NOT(AND(C1907=C1906,W1907=W1906+1))),INDEX(DATAS,W1906+1),"")</f>
        <v/>
      </c>
      <c r="AE1906" s="33" t="str">
        <f aca="false">IF(AND(Y1906=1,W1906&lt;1),IF(AND(C1907=C1906,W1907=W1906+1),IF(Y1907=1,"",INDEX(DATAS,W1906+1)),INDEX(DATAS,W1906+1)),"")</f>
        <v/>
      </c>
    </row>
    <row r="1907" customFormat="false" ht="15" hidden="false" customHeight="false" outlineLevel="0" collapsed="false">
      <c r="A1907" s="33" t="n">
        <v>46309</v>
      </c>
      <c r="B1907" s="0" t="n">
        <v>8</v>
      </c>
      <c r="C1907" s="0" t="n">
        <v>6142</v>
      </c>
      <c r="E1907" s="0" t="n">
        <v>0</v>
      </c>
      <c r="F1907" s="27" t="s">
        <v>1103</v>
      </c>
      <c r="I1907" s="27" t="s">
        <v>138</v>
      </c>
      <c r="L1907" s="0" t="n">
        <v>175</v>
      </c>
      <c r="U1907" s="0" t="n">
        <v>666</v>
      </c>
      <c r="V1907" s="0" t="n">
        <v>6</v>
      </c>
      <c r="W1907" s="27" t="n">
        <f aca="false">MATCH(A1907,DATAS,0)</f>
        <v>1</v>
      </c>
      <c r="X1907" s="27" t="n">
        <f aca="false">IF(AND(E1907&gt;0,OR(AND(B1907&gt;=1,B1907&lt;=6),B1907=10)),1,0)</f>
        <v>0</v>
      </c>
      <c r="Y1907" s="27" t="n">
        <f aca="false">IF(AND(E1907&gt;0,B1907=10),1,0)</f>
        <v>0</v>
      </c>
      <c r="Z1907" s="0" t="str">
        <f aca="false">IF(AND(C1906=C1907,W1906=W1907-1),X1906,"")</f>
        <v/>
      </c>
      <c r="AA1907" s="0" t="str">
        <f aca="false">IF(AND(C1906=C1907,W1906=W1907-1),Y1906,"")</f>
        <v/>
      </c>
      <c r="AB1907" s="0" t="str">
        <f aca="false">IF(W1907=1,"",IF(AND(X1907=1,Z1907&lt;&gt;1),1,0))</f>
        <v/>
      </c>
      <c r="AC1907" s="0" t="str">
        <f aca="false">IF(W1907=1,"",IF(AND(Y1907=1,AA1907&lt;&gt;1),1,0))</f>
        <v/>
      </c>
      <c r="AD1907" s="33" t="str">
        <f aca="false">IF(AND(E1907&gt;0,W1907&lt;1,NOT(AND(C1908=C1907,W1908=W1907+1))),INDEX(DATAS,W1907+1),"")</f>
        <v/>
      </c>
      <c r="AE1907" s="33" t="str">
        <f aca="false">IF(AND(Y1907=1,W1907&lt;1),IF(AND(C1908=C1907,W1908=W1907+1),IF(Y1908=1,"",INDEX(DATAS,W1907+1)),INDEX(DATAS,W1907+1)),"")</f>
        <v/>
      </c>
    </row>
    <row r="1908" customFormat="false" ht="15" hidden="false" customHeight="false" outlineLevel="0" collapsed="false">
      <c r="A1908" s="33" t="n">
        <v>46309</v>
      </c>
      <c r="B1908" s="0" t="n">
        <v>1</v>
      </c>
      <c r="C1908" s="0" t="n">
        <v>6143</v>
      </c>
      <c r="D1908" s="0" t="n">
        <v>21</v>
      </c>
      <c r="E1908" s="0" t="n">
        <v>1</v>
      </c>
      <c r="F1908" s="27" t="s">
        <v>1104</v>
      </c>
      <c r="G1908" s="0" t="n">
        <v>31.8</v>
      </c>
      <c r="H1908" s="0" t="n">
        <v>30</v>
      </c>
      <c r="I1908" s="27" t="s">
        <v>147</v>
      </c>
      <c r="J1908" s="0" t="n">
        <v>21</v>
      </c>
      <c r="R1908" s="0" t="n">
        <v>2879</v>
      </c>
      <c r="S1908" s="0" t="n">
        <v>5788</v>
      </c>
      <c r="U1908" s="0" t="n">
        <v>665</v>
      </c>
      <c r="V1908" s="0" t="n">
        <v>0</v>
      </c>
      <c r="W1908" s="27" t="n">
        <f aca="false">MATCH(A1908,DATAS,0)</f>
        <v>1</v>
      </c>
      <c r="X1908" s="27" t="n">
        <f aca="false">IF(AND(E1908&gt;0,OR(AND(B1908&gt;=1,B1908&lt;=6),B1908=10)),1,0)</f>
        <v>1</v>
      </c>
      <c r="Y1908" s="27" t="n">
        <f aca="false">IF(AND(E1908&gt;0,B1908=10),1,0)</f>
        <v>0</v>
      </c>
      <c r="Z1908" s="0" t="str">
        <f aca="false">IF(AND(C1907=C1908,W1907=W1908-1),X1907,"")</f>
        <v/>
      </c>
      <c r="AA1908" s="0" t="str">
        <f aca="false">IF(AND(C1907=C1908,W1907=W1908-1),Y1907,"")</f>
        <v/>
      </c>
      <c r="AB1908" s="0" t="str">
        <f aca="false">IF(W1908=1,"",IF(AND(X1908=1,Z1908&lt;&gt;1),1,0))</f>
        <v/>
      </c>
      <c r="AC1908" s="0" t="str">
        <f aca="false">IF(W1908=1,"",IF(AND(Y1908=1,AA1908&lt;&gt;1),1,0))</f>
        <v/>
      </c>
      <c r="AD1908" s="33" t="str">
        <f aca="false">IF(AND(E1908&gt;0,W1908&lt;1,NOT(AND(C1909=C1908,W1909=W1908+1))),INDEX(DATAS,W1908+1),"")</f>
        <v/>
      </c>
      <c r="AE1908" s="33" t="str">
        <f aca="false">IF(AND(Y1908=1,W1908&lt;1),IF(AND(C1909=C1908,W1909=W1908+1),IF(Y1909=1,"",INDEX(DATAS,W1908+1)),INDEX(DATAS,W1908+1)),"")</f>
        <v/>
      </c>
    </row>
    <row r="1909" customFormat="false" ht="15" hidden="false" customHeight="false" outlineLevel="0" collapsed="false">
      <c r="A1909" s="33" t="n">
        <v>46309</v>
      </c>
      <c r="B1909" s="0" t="n">
        <v>1</v>
      </c>
      <c r="C1909" s="0" t="n">
        <v>6145</v>
      </c>
      <c r="D1909" s="0" t="n">
        <v>20</v>
      </c>
      <c r="E1909" s="0" t="n">
        <v>1</v>
      </c>
      <c r="F1909" s="27" t="s">
        <v>1104</v>
      </c>
      <c r="G1909" s="0" t="n">
        <v>43.5</v>
      </c>
      <c r="H1909" s="0" t="n">
        <v>43</v>
      </c>
      <c r="I1909" s="27" t="s">
        <v>147</v>
      </c>
      <c r="J1909" s="0" t="n">
        <v>20</v>
      </c>
      <c r="R1909" s="0" t="n">
        <v>3740</v>
      </c>
      <c r="S1909" s="0" t="n">
        <v>7518</v>
      </c>
      <c r="U1909" s="0" t="n">
        <v>665</v>
      </c>
      <c r="V1909" s="0" t="n">
        <v>0</v>
      </c>
      <c r="W1909" s="27" t="n">
        <f aca="false">MATCH(A1909,DATAS,0)</f>
        <v>1</v>
      </c>
      <c r="X1909" s="27" t="n">
        <f aca="false">IF(AND(E1909&gt;0,OR(AND(B1909&gt;=1,B1909&lt;=6),B1909=10)),1,0)</f>
        <v>1</v>
      </c>
      <c r="Y1909" s="27" t="n">
        <f aca="false">IF(AND(E1909&gt;0,B1909=10),1,0)</f>
        <v>0</v>
      </c>
      <c r="Z1909" s="0" t="str">
        <f aca="false">IF(AND(C1908=C1909,W1908=W1909-1),X1908,"")</f>
        <v/>
      </c>
      <c r="AA1909" s="0" t="str">
        <f aca="false">IF(AND(C1908=C1909,W1908=W1909-1),Y1908,"")</f>
        <v/>
      </c>
      <c r="AB1909" s="0" t="str">
        <f aca="false">IF(W1909=1,"",IF(AND(X1909=1,Z1909&lt;&gt;1),1,0))</f>
        <v/>
      </c>
      <c r="AC1909" s="0" t="str">
        <f aca="false">IF(W1909=1,"",IF(AND(Y1909=1,AA1909&lt;&gt;1),1,0))</f>
        <v/>
      </c>
      <c r="AD1909" s="33" t="str">
        <f aca="false">IF(AND(E1909&gt;0,W1909&lt;1,NOT(AND(C1910=C1909,W1910=W1909+1))),INDEX(DATAS,W1909+1),"")</f>
        <v/>
      </c>
      <c r="AE1909" s="33" t="str">
        <f aca="false">IF(AND(Y1909=1,W1909&lt;1),IF(AND(C1910=C1909,W1910=W1909+1),IF(Y1910=1,"",INDEX(DATAS,W1909+1)),INDEX(DATAS,W1909+1)),"")</f>
        <v/>
      </c>
    </row>
    <row r="1910" customFormat="false" ht="15" hidden="false" customHeight="false" outlineLevel="0" collapsed="false">
      <c r="A1910" s="33" t="n">
        <v>46309</v>
      </c>
      <c r="B1910" s="0" t="n">
        <v>8</v>
      </c>
      <c r="C1910" s="0" t="n">
        <v>6146</v>
      </c>
      <c r="E1910" s="0" t="n">
        <v>0</v>
      </c>
      <c r="F1910" s="27" t="s">
        <v>1104</v>
      </c>
      <c r="I1910" s="27" t="s">
        <v>138</v>
      </c>
      <c r="L1910" s="0" t="n">
        <v>201</v>
      </c>
      <c r="U1910" s="0" t="n">
        <v>665</v>
      </c>
      <c r="V1910" s="0" t="n">
        <v>4</v>
      </c>
      <c r="W1910" s="27" t="n">
        <f aca="false">MATCH(A1910,DATAS,0)</f>
        <v>1</v>
      </c>
      <c r="X1910" s="27" t="n">
        <f aca="false">IF(AND(E1910&gt;0,OR(AND(B1910&gt;=1,B1910&lt;=6),B1910=10)),1,0)</f>
        <v>0</v>
      </c>
      <c r="Y1910" s="27" t="n">
        <f aca="false">IF(AND(E1910&gt;0,B1910=10),1,0)</f>
        <v>0</v>
      </c>
      <c r="Z1910" s="0" t="str">
        <f aca="false">IF(AND(C1909=C1910,W1909=W1910-1),X1909,"")</f>
        <v/>
      </c>
      <c r="AA1910" s="0" t="str">
        <f aca="false">IF(AND(C1909=C1910,W1909=W1910-1),Y1909,"")</f>
        <v/>
      </c>
      <c r="AB1910" s="0" t="str">
        <f aca="false">IF(W1910=1,"",IF(AND(X1910=1,Z1910&lt;&gt;1),1,0))</f>
        <v/>
      </c>
      <c r="AC1910" s="0" t="str">
        <f aca="false">IF(W1910=1,"",IF(AND(Y1910=1,AA1910&lt;&gt;1),1,0))</f>
        <v/>
      </c>
      <c r="AD1910" s="33" t="str">
        <f aca="false">IF(AND(E1910&gt;0,W1910&lt;1,NOT(AND(C1911=C1910,W1911=W1910+1))),INDEX(DATAS,W1910+1),"")</f>
        <v/>
      </c>
      <c r="AE1910" s="33" t="str">
        <f aca="false">IF(AND(Y1910=1,W1910&lt;1),IF(AND(C1911=C1910,W1911=W1910+1),IF(Y1911=1,"",INDEX(DATAS,W1910+1)),INDEX(DATAS,W1910+1)),"")</f>
        <v/>
      </c>
    </row>
    <row r="1911" customFormat="false" ht="15" hidden="false" customHeight="false" outlineLevel="0" collapsed="false">
      <c r="A1911" s="33" t="n">
        <v>46309</v>
      </c>
      <c r="B1911" s="0" t="n">
        <v>1</v>
      </c>
      <c r="C1911" s="0" t="n">
        <v>6147</v>
      </c>
      <c r="D1911" s="0" t="n">
        <v>26</v>
      </c>
      <c r="E1911" s="0" t="n">
        <v>1</v>
      </c>
      <c r="F1911" s="27" t="s">
        <v>1104</v>
      </c>
      <c r="G1911" s="0" t="n">
        <v>29.6</v>
      </c>
      <c r="H1911" s="0" t="n">
        <v>29</v>
      </c>
      <c r="I1911" s="27" t="s">
        <v>147</v>
      </c>
      <c r="J1911" s="0" t="n">
        <v>26</v>
      </c>
      <c r="R1911" s="0" t="n">
        <v>2590</v>
      </c>
      <c r="S1911" s="0" t="n">
        <v>5208</v>
      </c>
      <c r="U1911" s="0" t="n">
        <v>665</v>
      </c>
      <c r="V1911" s="0" t="n">
        <v>0</v>
      </c>
      <c r="W1911" s="27" t="n">
        <f aca="false">MATCH(A1911,DATAS,0)</f>
        <v>1</v>
      </c>
      <c r="X1911" s="27" t="n">
        <f aca="false">IF(AND(E1911&gt;0,OR(AND(B1911&gt;=1,B1911&lt;=6),B1911=10)),1,0)</f>
        <v>1</v>
      </c>
      <c r="Y1911" s="27" t="n">
        <f aca="false">IF(AND(E1911&gt;0,B1911=10),1,0)</f>
        <v>0</v>
      </c>
      <c r="Z1911" s="0" t="str">
        <f aca="false">IF(AND(C1910=C1911,W1910=W1911-1),X1910,"")</f>
        <v/>
      </c>
      <c r="AA1911" s="0" t="str">
        <f aca="false">IF(AND(C1910=C1911,W1910=W1911-1),Y1910,"")</f>
        <v/>
      </c>
      <c r="AB1911" s="0" t="str">
        <f aca="false">IF(W1911=1,"",IF(AND(X1911=1,Z1911&lt;&gt;1),1,0))</f>
        <v/>
      </c>
      <c r="AC1911" s="0" t="str">
        <f aca="false">IF(W1911=1,"",IF(AND(Y1911=1,AA1911&lt;&gt;1),1,0))</f>
        <v/>
      </c>
      <c r="AD1911" s="33" t="str">
        <f aca="false">IF(AND(E1911&gt;0,W1911&lt;1,NOT(AND(C1912=C1911,W1912=W1911+1))),INDEX(DATAS,W1911+1),"")</f>
        <v/>
      </c>
      <c r="AE1911" s="33" t="str">
        <f aca="false">IF(AND(Y1911=1,W1911&lt;1),IF(AND(C1912=C1911,W1912=W1911+1),IF(Y1912=1,"",INDEX(DATAS,W1911+1)),INDEX(DATAS,W1911+1)),"")</f>
        <v/>
      </c>
    </row>
    <row r="1912" customFormat="false" ht="15" hidden="false" customHeight="false" outlineLevel="0" collapsed="false">
      <c r="A1912" s="33" t="n">
        <v>46309</v>
      </c>
      <c r="B1912" s="0" t="n">
        <v>8</v>
      </c>
      <c r="C1912" s="0" t="n">
        <v>6148</v>
      </c>
      <c r="E1912" s="0" t="n">
        <v>0</v>
      </c>
      <c r="F1912" s="27" t="s">
        <v>1104</v>
      </c>
      <c r="I1912" s="27" t="s">
        <v>138</v>
      </c>
      <c r="L1912" s="0" t="n">
        <v>232</v>
      </c>
      <c r="U1912" s="0" t="n">
        <v>665</v>
      </c>
      <c r="V1912" s="0" t="n">
        <v>4</v>
      </c>
      <c r="W1912" s="27" t="n">
        <f aca="false">MATCH(A1912,DATAS,0)</f>
        <v>1</v>
      </c>
      <c r="X1912" s="27" t="n">
        <f aca="false">IF(AND(E1912&gt;0,OR(AND(B1912&gt;=1,B1912&lt;=6),B1912=10)),1,0)</f>
        <v>0</v>
      </c>
      <c r="Y1912" s="27" t="n">
        <f aca="false">IF(AND(E1912&gt;0,B1912=10),1,0)</f>
        <v>0</v>
      </c>
      <c r="Z1912" s="0" t="str">
        <f aca="false">IF(AND(C1911=C1912,W1911=W1912-1),X1911,"")</f>
        <v/>
      </c>
      <c r="AA1912" s="0" t="str">
        <f aca="false">IF(AND(C1911=C1912,W1911=W1912-1),Y1911,"")</f>
        <v/>
      </c>
      <c r="AB1912" s="0" t="str">
        <f aca="false">IF(W1912=1,"",IF(AND(X1912=1,Z1912&lt;&gt;1),1,0))</f>
        <v/>
      </c>
      <c r="AC1912" s="0" t="str">
        <f aca="false">IF(W1912=1,"",IF(AND(Y1912=1,AA1912&lt;&gt;1),1,0))</f>
        <v/>
      </c>
      <c r="AD1912" s="33" t="str">
        <f aca="false">IF(AND(E1912&gt;0,W1912&lt;1,NOT(AND(C1913=C1912,W1913=W1912+1))),INDEX(DATAS,W1912+1),"")</f>
        <v/>
      </c>
      <c r="AE1912" s="33" t="str">
        <f aca="false">IF(AND(Y1912=1,W1912&lt;1),IF(AND(C1913=C1912,W1913=W1912+1),IF(Y1913=1,"",INDEX(DATAS,W1912+1)),INDEX(DATAS,W1912+1)),"")</f>
        <v/>
      </c>
    </row>
    <row r="1913" customFormat="false" ht="15" hidden="false" customHeight="false" outlineLevel="0" collapsed="false">
      <c r="A1913" s="33" t="n">
        <v>46309</v>
      </c>
      <c r="B1913" s="0" t="n">
        <v>1</v>
      </c>
      <c r="C1913" s="0" t="n">
        <v>6149</v>
      </c>
      <c r="D1913" s="0" t="n">
        <v>6</v>
      </c>
      <c r="E1913" s="0" t="n">
        <v>1</v>
      </c>
      <c r="F1913" s="27" t="s">
        <v>1105</v>
      </c>
      <c r="I1913" s="27" t="s">
        <v>147</v>
      </c>
      <c r="J1913" s="0" t="n">
        <v>6</v>
      </c>
      <c r="U1913" s="0" t="n">
        <v>664</v>
      </c>
      <c r="V1913" s="0" t="n">
        <v>0</v>
      </c>
      <c r="W1913" s="27" t="n">
        <f aca="false">MATCH(A1913,DATAS,0)</f>
        <v>1</v>
      </c>
      <c r="X1913" s="27" t="n">
        <f aca="false">IF(AND(E1913&gt;0,OR(AND(B1913&gt;=1,B1913&lt;=6),B1913=10)),1,0)</f>
        <v>1</v>
      </c>
      <c r="Y1913" s="27" t="n">
        <f aca="false">IF(AND(E1913&gt;0,B1913=10),1,0)</f>
        <v>0</v>
      </c>
      <c r="Z1913" s="0" t="str">
        <f aca="false">IF(AND(C1912=C1913,W1912=W1913-1),X1912,"")</f>
        <v/>
      </c>
      <c r="AA1913" s="0" t="str">
        <f aca="false">IF(AND(C1912=C1913,W1912=W1913-1),Y1912,"")</f>
        <v/>
      </c>
      <c r="AB1913" s="0" t="str">
        <f aca="false">IF(W1913=1,"",IF(AND(X1913=1,Z1913&lt;&gt;1),1,0))</f>
        <v/>
      </c>
      <c r="AC1913" s="0" t="str">
        <f aca="false">IF(W1913=1,"",IF(AND(Y1913=1,AA1913&lt;&gt;1),1,0))</f>
        <v/>
      </c>
      <c r="AD1913" s="33" t="str">
        <f aca="false">IF(AND(E1913&gt;0,W1913&lt;1,NOT(AND(C1914=C1913,W1914=W1913+1))),INDEX(DATAS,W1913+1),"")</f>
        <v/>
      </c>
      <c r="AE1913" s="33" t="str">
        <f aca="false">IF(AND(Y1913=1,W1913&lt;1),IF(AND(C1914=C1913,W1914=W1913+1),IF(Y1914=1,"",INDEX(DATAS,W1913+1)),INDEX(DATAS,W1913+1)),"")</f>
        <v/>
      </c>
    </row>
    <row r="1914" customFormat="false" ht="15" hidden="false" customHeight="false" outlineLevel="0" collapsed="false">
      <c r="A1914" s="33" t="n">
        <v>46309</v>
      </c>
      <c r="B1914" s="0" t="n">
        <v>1</v>
      </c>
      <c r="C1914" s="0" t="n">
        <v>6150</v>
      </c>
      <c r="D1914" s="0" t="n">
        <v>21</v>
      </c>
      <c r="E1914" s="0" t="n">
        <v>1</v>
      </c>
      <c r="F1914" s="27" t="s">
        <v>1105</v>
      </c>
      <c r="G1914" s="0" t="n">
        <v>54.3</v>
      </c>
      <c r="H1914" s="0" t="n">
        <v>51</v>
      </c>
      <c r="I1914" s="27" t="s">
        <v>147</v>
      </c>
      <c r="J1914" s="0" t="n">
        <v>21</v>
      </c>
      <c r="R1914" s="0" t="n">
        <v>4225</v>
      </c>
      <c r="S1914" s="0" t="n">
        <v>8494</v>
      </c>
      <c r="U1914" s="0" t="n">
        <v>664</v>
      </c>
      <c r="V1914" s="0" t="n">
        <v>0</v>
      </c>
      <c r="W1914" s="27" t="n">
        <f aca="false">MATCH(A1914,DATAS,0)</f>
        <v>1</v>
      </c>
      <c r="X1914" s="27" t="n">
        <f aca="false">IF(AND(E1914&gt;0,OR(AND(B1914&gt;=1,B1914&lt;=6),B1914=10)),1,0)</f>
        <v>1</v>
      </c>
      <c r="Y1914" s="27" t="n">
        <f aca="false">IF(AND(E1914&gt;0,B1914=10),1,0)</f>
        <v>0</v>
      </c>
      <c r="Z1914" s="0" t="str">
        <f aca="false">IF(AND(C1913=C1914,W1913=W1914-1),X1913,"")</f>
        <v/>
      </c>
      <c r="AA1914" s="0" t="str">
        <f aca="false">IF(AND(C1913=C1914,W1913=W1914-1),Y1913,"")</f>
        <v/>
      </c>
      <c r="AB1914" s="0" t="str">
        <f aca="false">IF(W1914=1,"",IF(AND(X1914=1,Z1914&lt;&gt;1),1,0))</f>
        <v/>
      </c>
      <c r="AC1914" s="0" t="str">
        <f aca="false">IF(W1914=1,"",IF(AND(Y1914=1,AA1914&lt;&gt;1),1,0))</f>
        <v/>
      </c>
      <c r="AD1914" s="33" t="str">
        <f aca="false">IF(AND(E1914&gt;0,W1914&lt;1,NOT(AND(C1915=C1914,W1915=W1914+1))),INDEX(DATAS,W1914+1),"")</f>
        <v/>
      </c>
      <c r="AE1914" s="33" t="str">
        <f aca="false">IF(AND(Y1914=1,W1914&lt;1),IF(AND(C1915=C1914,W1915=W1914+1),IF(Y1915=1,"",INDEX(DATAS,W1914+1)),INDEX(DATAS,W1914+1)),"")</f>
        <v/>
      </c>
    </row>
    <row r="1915" customFormat="false" ht="15" hidden="false" customHeight="false" outlineLevel="0" collapsed="false">
      <c r="A1915" s="33" t="n">
        <v>46309</v>
      </c>
      <c r="B1915" s="0" t="n">
        <v>14</v>
      </c>
      <c r="C1915" s="0" t="n">
        <v>6151</v>
      </c>
      <c r="E1915" s="0" t="n">
        <v>0</v>
      </c>
      <c r="F1915" s="27" t="s">
        <v>1105</v>
      </c>
      <c r="I1915" s="27" t="s">
        <v>138</v>
      </c>
      <c r="L1915" s="0" t="n">
        <v>273</v>
      </c>
      <c r="U1915" s="0" t="n">
        <v>664</v>
      </c>
      <c r="V1915" s="0" t="n">
        <v>1</v>
      </c>
      <c r="W1915" s="27" t="n">
        <f aca="false">MATCH(A1915,DATAS,0)</f>
        <v>1</v>
      </c>
      <c r="X1915" s="27" t="n">
        <f aca="false">IF(AND(E1915&gt;0,OR(AND(B1915&gt;=1,B1915&lt;=6),B1915=10)),1,0)</f>
        <v>0</v>
      </c>
      <c r="Y1915" s="27" t="n">
        <f aca="false">IF(AND(E1915&gt;0,B1915=10),1,0)</f>
        <v>0</v>
      </c>
      <c r="Z1915" s="0" t="str">
        <f aca="false">IF(AND(C1914=C1915,W1914=W1915-1),X1914,"")</f>
        <v/>
      </c>
      <c r="AA1915" s="0" t="str">
        <f aca="false">IF(AND(C1914=C1915,W1914=W1915-1),Y1914,"")</f>
        <v/>
      </c>
      <c r="AB1915" s="0" t="str">
        <f aca="false">IF(W1915=1,"",IF(AND(X1915=1,Z1915&lt;&gt;1),1,0))</f>
        <v/>
      </c>
      <c r="AC1915" s="0" t="str">
        <f aca="false">IF(W1915=1,"",IF(AND(Y1915=1,AA1915&lt;&gt;1),1,0))</f>
        <v/>
      </c>
      <c r="AD1915" s="33" t="str">
        <f aca="false">IF(AND(E1915&gt;0,W1915&lt;1,NOT(AND(C1916=C1915,W1916=W1915+1))),INDEX(DATAS,W1915+1),"")</f>
        <v/>
      </c>
      <c r="AE1915" s="33" t="str">
        <f aca="false">IF(AND(Y1915=1,W1915&lt;1),IF(AND(C1916=C1915,W1916=W1915+1),IF(Y1916=1,"",INDEX(DATAS,W1915+1)),INDEX(DATAS,W1915+1)),"")</f>
        <v/>
      </c>
    </row>
    <row r="1916" customFormat="false" ht="15" hidden="false" customHeight="false" outlineLevel="0" collapsed="false">
      <c r="A1916" s="33" t="n">
        <v>46309</v>
      </c>
      <c r="B1916" s="0" t="n">
        <v>1</v>
      </c>
      <c r="C1916" s="0" t="n">
        <v>6152</v>
      </c>
      <c r="D1916" s="0" t="n">
        <v>26</v>
      </c>
      <c r="E1916" s="0" t="n">
        <v>1</v>
      </c>
      <c r="F1916" s="27" t="s">
        <v>1106</v>
      </c>
      <c r="G1916" s="0" t="n">
        <v>37.8</v>
      </c>
      <c r="H1916" s="0" t="n">
        <v>36</v>
      </c>
      <c r="I1916" s="27" t="s">
        <v>147</v>
      </c>
      <c r="J1916" s="0" t="n">
        <v>26</v>
      </c>
      <c r="R1916" s="0" t="n">
        <v>3204</v>
      </c>
      <c r="S1916" s="0" t="n">
        <v>6440</v>
      </c>
      <c r="U1916" s="0" t="n">
        <v>663</v>
      </c>
      <c r="V1916" s="0" t="n">
        <v>0</v>
      </c>
      <c r="W1916" s="27" t="n">
        <f aca="false">MATCH(A1916,DATAS,0)</f>
        <v>1</v>
      </c>
      <c r="X1916" s="27" t="n">
        <f aca="false">IF(AND(E1916&gt;0,OR(AND(B1916&gt;=1,B1916&lt;=6),B1916=10)),1,0)</f>
        <v>1</v>
      </c>
      <c r="Y1916" s="27" t="n">
        <f aca="false">IF(AND(E1916&gt;0,B1916=10),1,0)</f>
        <v>0</v>
      </c>
      <c r="Z1916" s="0" t="str">
        <f aca="false">IF(AND(C1915=C1916,W1915=W1916-1),X1915,"")</f>
        <v/>
      </c>
      <c r="AA1916" s="0" t="str">
        <f aca="false">IF(AND(C1915=C1916,W1915=W1916-1),Y1915,"")</f>
        <v/>
      </c>
      <c r="AB1916" s="0" t="str">
        <f aca="false">IF(W1916=1,"",IF(AND(X1916=1,Z1916&lt;&gt;1),1,0))</f>
        <v/>
      </c>
      <c r="AC1916" s="0" t="str">
        <f aca="false">IF(W1916=1,"",IF(AND(Y1916=1,AA1916&lt;&gt;1),1,0))</f>
        <v/>
      </c>
      <c r="AD1916" s="33" t="str">
        <f aca="false">IF(AND(E1916&gt;0,W1916&lt;1,NOT(AND(C1917=C1916,W1917=W1916+1))),INDEX(DATAS,W1916+1),"")</f>
        <v/>
      </c>
      <c r="AE1916" s="33" t="str">
        <f aca="false">IF(AND(Y1916=1,W1916&lt;1),IF(AND(C1917=C1916,W1917=W1916+1),IF(Y1917=1,"",INDEX(DATAS,W1916+1)),INDEX(DATAS,W1916+1)),"")</f>
        <v/>
      </c>
    </row>
    <row r="1917" customFormat="false" ht="15" hidden="false" customHeight="false" outlineLevel="0" collapsed="false">
      <c r="A1917" s="33" t="n">
        <v>46309</v>
      </c>
      <c r="B1917" s="0" t="n">
        <v>8</v>
      </c>
      <c r="C1917" s="0" t="n">
        <v>6153</v>
      </c>
      <c r="E1917" s="0" t="n">
        <v>0</v>
      </c>
      <c r="F1917" s="27" t="s">
        <v>1106</v>
      </c>
      <c r="I1917" s="27" t="s">
        <v>138</v>
      </c>
      <c r="L1917" s="0" t="n">
        <v>127</v>
      </c>
      <c r="U1917" s="0" t="n">
        <v>663</v>
      </c>
      <c r="V1917" s="0" t="n">
        <v>8</v>
      </c>
      <c r="W1917" s="27" t="n">
        <f aca="false">MATCH(A1917,DATAS,0)</f>
        <v>1</v>
      </c>
      <c r="X1917" s="27" t="n">
        <f aca="false">IF(AND(E1917&gt;0,OR(AND(B1917&gt;=1,B1917&lt;=6),B1917=10)),1,0)</f>
        <v>0</v>
      </c>
      <c r="Y1917" s="27" t="n">
        <f aca="false">IF(AND(E1917&gt;0,B1917=10),1,0)</f>
        <v>0</v>
      </c>
      <c r="Z1917" s="0" t="str">
        <f aca="false">IF(AND(C1916=C1917,W1916=W1917-1),X1916,"")</f>
        <v/>
      </c>
      <c r="AA1917" s="0" t="str">
        <f aca="false">IF(AND(C1916=C1917,W1916=W1917-1),Y1916,"")</f>
        <v/>
      </c>
      <c r="AB1917" s="0" t="str">
        <f aca="false">IF(W1917=1,"",IF(AND(X1917=1,Z1917&lt;&gt;1),1,0))</f>
        <v/>
      </c>
      <c r="AC1917" s="0" t="str">
        <f aca="false">IF(W1917=1,"",IF(AND(Y1917=1,AA1917&lt;&gt;1),1,0))</f>
        <v/>
      </c>
      <c r="AD1917" s="33" t="str">
        <f aca="false">IF(AND(E1917&gt;0,W1917&lt;1,NOT(AND(C1918=C1917,W1918=W1917+1))),INDEX(DATAS,W1917+1),"")</f>
        <v/>
      </c>
      <c r="AE1917" s="33" t="str">
        <f aca="false">IF(AND(Y1917=1,W1917&lt;1),IF(AND(C1918=C1917,W1918=W1917+1),IF(Y1918=1,"",INDEX(DATAS,W1917+1)),INDEX(DATAS,W1917+1)),"")</f>
        <v/>
      </c>
    </row>
    <row r="1918" customFormat="false" ht="15" hidden="false" customHeight="false" outlineLevel="0" collapsed="false">
      <c r="A1918" s="33" t="n">
        <v>46309</v>
      </c>
      <c r="B1918" s="0" t="n">
        <v>14</v>
      </c>
      <c r="C1918" s="0" t="n">
        <v>6155</v>
      </c>
      <c r="E1918" s="0" t="n">
        <v>0</v>
      </c>
      <c r="F1918" s="27" t="s">
        <v>1107</v>
      </c>
      <c r="G1918" s="0" t="n">
        <v>23.8</v>
      </c>
      <c r="H1918" s="0" t="n">
        <v>28</v>
      </c>
      <c r="I1918" s="27" t="s">
        <v>138</v>
      </c>
      <c r="L1918" s="0" t="n">
        <v>288</v>
      </c>
      <c r="U1918" s="0" t="n">
        <v>662</v>
      </c>
      <c r="V1918" s="0" t="n">
        <v>1</v>
      </c>
      <c r="W1918" s="27" t="n">
        <f aca="false">MATCH(A1918,DATAS,0)</f>
        <v>1</v>
      </c>
      <c r="X1918" s="27" t="n">
        <f aca="false">IF(AND(E1918&gt;0,OR(AND(B1918&gt;=1,B1918&lt;=6),B1918=10)),1,0)</f>
        <v>0</v>
      </c>
      <c r="Y1918" s="27" t="n">
        <f aca="false">IF(AND(E1918&gt;0,B1918=10),1,0)</f>
        <v>0</v>
      </c>
      <c r="Z1918" s="0" t="str">
        <f aca="false">IF(AND(C1917=C1918,W1917=W1918-1),X1917,"")</f>
        <v/>
      </c>
      <c r="AA1918" s="0" t="str">
        <f aca="false">IF(AND(C1917=C1918,W1917=W1918-1),Y1917,"")</f>
        <v/>
      </c>
      <c r="AB1918" s="0" t="str">
        <f aca="false">IF(W1918=1,"",IF(AND(X1918=1,Z1918&lt;&gt;1),1,0))</f>
        <v/>
      </c>
      <c r="AC1918" s="0" t="str">
        <f aca="false">IF(W1918=1,"",IF(AND(Y1918=1,AA1918&lt;&gt;1),1,0))</f>
        <v/>
      </c>
      <c r="AD1918" s="33" t="str">
        <f aca="false">IF(AND(E1918&gt;0,W1918&lt;1,NOT(AND(C1919=C1918,W1919=W1918+1))),INDEX(DATAS,W1918+1),"")</f>
        <v/>
      </c>
      <c r="AE1918" s="33" t="str">
        <f aca="false">IF(AND(Y1918=1,W1918&lt;1),IF(AND(C1919=C1918,W1919=W1918+1),IF(Y1919=1,"",INDEX(DATAS,W1918+1)),INDEX(DATAS,W1918+1)),"")</f>
        <v/>
      </c>
    </row>
    <row r="1919" customFormat="false" ht="15" hidden="false" customHeight="false" outlineLevel="0" collapsed="false">
      <c r="A1919" s="33" t="n">
        <v>46309</v>
      </c>
      <c r="B1919" s="0" t="n">
        <v>1</v>
      </c>
      <c r="C1919" s="0" t="n">
        <v>6156</v>
      </c>
      <c r="D1919" s="0" t="n">
        <v>5</v>
      </c>
      <c r="E1919" s="0" t="n">
        <v>1</v>
      </c>
      <c r="F1919" s="27" t="s">
        <v>1107</v>
      </c>
      <c r="H1919" s="0" t="n">
        <v>17</v>
      </c>
      <c r="I1919" s="27" t="s">
        <v>147</v>
      </c>
      <c r="J1919" s="0" t="n">
        <v>5</v>
      </c>
      <c r="U1919" s="0" t="n">
        <v>662</v>
      </c>
      <c r="V1919" s="0" t="n">
        <v>0</v>
      </c>
      <c r="W1919" s="27" t="n">
        <f aca="false">MATCH(A1919,DATAS,0)</f>
        <v>1</v>
      </c>
      <c r="X1919" s="27" t="n">
        <f aca="false">IF(AND(E1919&gt;0,OR(AND(B1919&gt;=1,B1919&lt;=6),B1919=10)),1,0)</f>
        <v>1</v>
      </c>
      <c r="Y1919" s="27" t="n">
        <f aca="false">IF(AND(E1919&gt;0,B1919=10),1,0)</f>
        <v>0</v>
      </c>
      <c r="Z1919" s="0" t="str">
        <f aca="false">IF(AND(C1918=C1919,W1918=W1919-1),X1918,"")</f>
        <v/>
      </c>
      <c r="AA1919" s="0" t="str">
        <f aca="false">IF(AND(C1918=C1919,W1918=W1919-1),Y1918,"")</f>
        <v/>
      </c>
      <c r="AB1919" s="0" t="str">
        <f aca="false">IF(W1919=1,"",IF(AND(X1919=1,Z1919&lt;&gt;1),1,0))</f>
        <v/>
      </c>
      <c r="AC1919" s="0" t="str">
        <f aca="false">IF(W1919=1,"",IF(AND(Y1919=1,AA1919&lt;&gt;1),1,0))</f>
        <v/>
      </c>
      <c r="AD1919" s="33" t="str">
        <f aca="false">IF(AND(E1919&gt;0,W1919&lt;1,NOT(AND(C1920=C1919,W1920=W1919+1))),INDEX(DATAS,W1919+1),"")</f>
        <v/>
      </c>
      <c r="AE1919" s="33" t="str">
        <f aca="false">IF(AND(Y1919=1,W1919&lt;1),IF(AND(C1920=C1919,W1920=W1919+1),IF(Y1920=1,"",INDEX(DATAS,W1919+1)),INDEX(DATAS,W1919+1)),"")</f>
        <v/>
      </c>
    </row>
    <row r="1920" customFormat="false" ht="15" hidden="false" customHeight="false" outlineLevel="0" collapsed="false">
      <c r="A1920" s="33" t="n">
        <v>46309</v>
      </c>
      <c r="B1920" s="0" t="n">
        <v>8</v>
      </c>
      <c r="C1920" s="0" t="n">
        <v>6158</v>
      </c>
      <c r="E1920" s="0" t="n">
        <v>0</v>
      </c>
      <c r="F1920" s="27" t="s">
        <v>1107</v>
      </c>
      <c r="I1920" s="27" t="s">
        <v>138</v>
      </c>
      <c r="L1920" s="0" t="n">
        <v>231</v>
      </c>
      <c r="U1920" s="0" t="n">
        <v>662</v>
      </c>
      <c r="V1920" s="0" t="n">
        <v>3</v>
      </c>
      <c r="W1920" s="27" t="n">
        <f aca="false">MATCH(A1920,DATAS,0)</f>
        <v>1</v>
      </c>
      <c r="X1920" s="27" t="n">
        <f aca="false">IF(AND(E1920&gt;0,OR(AND(B1920&gt;=1,B1920&lt;=6),B1920=10)),1,0)</f>
        <v>0</v>
      </c>
      <c r="Y1920" s="27" t="n">
        <f aca="false">IF(AND(E1920&gt;0,B1920=10),1,0)</f>
        <v>0</v>
      </c>
      <c r="Z1920" s="0" t="str">
        <f aca="false">IF(AND(C1919=C1920,W1919=W1920-1),X1919,"")</f>
        <v/>
      </c>
      <c r="AA1920" s="0" t="str">
        <f aca="false">IF(AND(C1919=C1920,W1919=W1920-1),Y1919,"")</f>
        <v/>
      </c>
      <c r="AB1920" s="0" t="str">
        <f aca="false">IF(W1920=1,"",IF(AND(X1920=1,Z1920&lt;&gt;1),1,0))</f>
        <v/>
      </c>
      <c r="AC1920" s="0" t="str">
        <f aca="false">IF(W1920=1,"",IF(AND(Y1920=1,AA1920&lt;&gt;1),1,0))</f>
        <v/>
      </c>
      <c r="AD1920" s="33" t="str">
        <f aca="false">IF(AND(E1920&gt;0,W1920&lt;1,NOT(AND(C1921=C1920,W1921=W1920+1))),INDEX(DATAS,W1920+1),"")</f>
        <v/>
      </c>
      <c r="AE1920" s="33" t="str">
        <f aca="false">IF(AND(Y1920=1,W1920&lt;1),IF(AND(C1921=C1920,W1921=W1920+1),IF(Y1921=1,"",INDEX(DATAS,W1920+1)),INDEX(DATAS,W1920+1)),"")</f>
        <v/>
      </c>
    </row>
    <row r="1921" customFormat="false" ht="15" hidden="false" customHeight="false" outlineLevel="0" collapsed="false">
      <c r="A1921" s="33" t="n">
        <v>46309</v>
      </c>
      <c r="B1921" s="0" t="n">
        <v>8</v>
      </c>
      <c r="C1921" s="0" t="n">
        <v>6159</v>
      </c>
      <c r="E1921" s="0" t="n">
        <v>0</v>
      </c>
      <c r="F1921" s="27" t="s">
        <v>1107</v>
      </c>
      <c r="I1921" s="27" t="s">
        <v>138</v>
      </c>
      <c r="L1921" s="0" t="n">
        <v>98</v>
      </c>
      <c r="U1921" s="0" t="n">
        <v>662</v>
      </c>
      <c r="V1921" s="0" t="n">
        <v>7</v>
      </c>
      <c r="W1921" s="27" t="n">
        <f aca="false">MATCH(A1921,DATAS,0)</f>
        <v>1</v>
      </c>
      <c r="X1921" s="27" t="n">
        <f aca="false">IF(AND(E1921&gt;0,OR(AND(B1921&gt;=1,B1921&lt;=6),B1921=10)),1,0)</f>
        <v>0</v>
      </c>
      <c r="Y1921" s="27" t="n">
        <f aca="false">IF(AND(E1921&gt;0,B1921=10),1,0)</f>
        <v>0</v>
      </c>
      <c r="Z1921" s="0" t="str">
        <f aca="false">IF(AND(C1920=C1921,W1920=W1921-1),X1920,"")</f>
        <v/>
      </c>
      <c r="AA1921" s="0" t="str">
        <f aca="false">IF(AND(C1920=C1921,W1920=W1921-1),Y1920,"")</f>
        <v/>
      </c>
      <c r="AB1921" s="0" t="str">
        <f aca="false">IF(W1921=1,"",IF(AND(X1921=1,Z1921&lt;&gt;1),1,0))</f>
        <v/>
      </c>
      <c r="AC1921" s="0" t="str">
        <f aca="false">IF(W1921=1,"",IF(AND(Y1921=1,AA1921&lt;&gt;1),1,0))</f>
        <v/>
      </c>
      <c r="AD1921" s="33" t="str">
        <f aca="false">IF(AND(E1921&gt;0,W1921&lt;1,NOT(AND(C1922=C1921,W1922=W1921+1))),INDEX(DATAS,W1921+1),"")</f>
        <v/>
      </c>
      <c r="AE1921" s="33" t="str">
        <f aca="false">IF(AND(Y1921=1,W1921&lt;1),IF(AND(C1922=C1921,W1922=W1921+1),IF(Y1922=1,"",INDEX(DATAS,W1921+1)),INDEX(DATAS,W1921+1)),"")</f>
        <v/>
      </c>
    </row>
    <row r="1922" customFormat="false" ht="15" hidden="false" customHeight="false" outlineLevel="0" collapsed="false">
      <c r="A1922" s="33" t="n">
        <v>46309</v>
      </c>
      <c r="B1922" s="0" t="n">
        <v>1</v>
      </c>
      <c r="C1922" s="0" t="n">
        <v>6161</v>
      </c>
      <c r="D1922" s="0" t="n">
        <v>7</v>
      </c>
      <c r="E1922" s="0" t="n">
        <v>1</v>
      </c>
      <c r="F1922" s="27" t="s">
        <v>1108</v>
      </c>
      <c r="G1922" s="0" t="n">
        <v>18.1</v>
      </c>
      <c r="H1922" s="0" t="n">
        <v>17</v>
      </c>
      <c r="I1922" s="27" t="s">
        <v>147</v>
      </c>
      <c r="J1922" s="0" t="n">
        <v>7</v>
      </c>
      <c r="R1922" s="0" t="n">
        <v>1920</v>
      </c>
      <c r="S1922" s="0" t="n">
        <v>3860</v>
      </c>
      <c r="U1922" s="0" t="n">
        <v>660</v>
      </c>
      <c r="V1922" s="0" t="n">
        <v>0</v>
      </c>
      <c r="W1922" s="27" t="n">
        <f aca="false">MATCH(A1922,DATAS,0)</f>
        <v>1</v>
      </c>
      <c r="X1922" s="27" t="n">
        <f aca="false">IF(AND(E1922&gt;0,OR(AND(B1922&gt;=1,B1922&lt;=6),B1922=10)),1,0)</f>
        <v>1</v>
      </c>
      <c r="Y1922" s="27" t="n">
        <f aca="false">IF(AND(E1922&gt;0,B1922=10),1,0)</f>
        <v>0</v>
      </c>
      <c r="Z1922" s="0" t="str">
        <f aca="false">IF(AND(C1921=C1922,W1921=W1922-1),X1921,"")</f>
        <v/>
      </c>
      <c r="AA1922" s="0" t="str">
        <f aca="false">IF(AND(C1921=C1922,W1921=W1922-1),Y1921,"")</f>
        <v/>
      </c>
      <c r="AB1922" s="0" t="str">
        <f aca="false">IF(W1922=1,"",IF(AND(X1922=1,Z1922&lt;&gt;1),1,0))</f>
        <v/>
      </c>
      <c r="AC1922" s="0" t="str">
        <f aca="false">IF(W1922=1,"",IF(AND(Y1922=1,AA1922&lt;&gt;1),1,0))</f>
        <v/>
      </c>
      <c r="AD1922" s="33" t="str">
        <f aca="false">IF(AND(E1922&gt;0,W1922&lt;1,NOT(AND(C1923=C1922,W1923=W1922+1))),INDEX(DATAS,W1922+1),"")</f>
        <v/>
      </c>
      <c r="AE1922" s="33" t="str">
        <f aca="false">IF(AND(Y1922=1,W1922&lt;1),IF(AND(C1923=C1922,W1923=W1922+1),IF(Y1923=1,"",INDEX(DATAS,W1922+1)),INDEX(DATAS,W1922+1)),"")</f>
        <v/>
      </c>
    </row>
    <row r="1923" customFormat="false" ht="15" hidden="false" customHeight="false" outlineLevel="0" collapsed="false">
      <c r="A1923" s="33" t="n">
        <v>46309</v>
      </c>
      <c r="B1923" s="0" t="n">
        <v>1</v>
      </c>
      <c r="C1923" s="0" t="n">
        <v>6162</v>
      </c>
      <c r="D1923" s="0" t="n">
        <v>10</v>
      </c>
      <c r="E1923" s="0" t="n">
        <v>1</v>
      </c>
      <c r="F1923" s="27" t="s">
        <v>1108</v>
      </c>
      <c r="G1923" s="0" t="n">
        <v>32</v>
      </c>
      <c r="H1923" s="0" t="n">
        <v>28</v>
      </c>
      <c r="I1923" s="27" t="s">
        <v>147</v>
      </c>
      <c r="J1923" s="0" t="n">
        <v>10</v>
      </c>
      <c r="R1923" s="0" t="n">
        <v>2482</v>
      </c>
      <c r="S1923" s="0" t="n">
        <v>4989</v>
      </c>
      <c r="U1923" s="0" t="n">
        <v>660</v>
      </c>
      <c r="V1923" s="0" t="n">
        <v>0</v>
      </c>
      <c r="W1923" s="27" t="n">
        <f aca="false">MATCH(A1923,DATAS,0)</f>
        <v>1</v>
      </c>
      <c r="X1923" s="27" t="n">
        <f aca="false">IF(AND(E1923&gt;0,OR(AND(B1923&gt;=1,B1923&lt;=6),B1923=10)),1,0)</f>
        <v>1</v>
      </c>
      <c r="Y1923" s="27" t="n">
        <f aca="false">IF(AND(E1923&gt;0,B1923=10),1,0)</f>
        <v>0</v>
      </c>
      <c r="Z1923" s="0" t="str">
        <f aca="false">IF(AND(C1922=C1923,W1922=W1923-1),X1922,"")</f>
        <v/>
      </c>
      <c r="AA1923" s="0" t="str">
        <f aca="false">IF(AND(C1922=C1923,W1922=W1923-1),Y1922,"")</f>
        <v/>
      </c>
      <c r="AB1923" s="0" t="str">
        <f aca="false">IF(W1923=1,"",IF(AND(X1923=1,Z1923&lt;&gt;1),1,0))</f>
        <v/>
      </c>
      <c r="AC1923" s="0" t="str">
        <f aca="false">IF(W1923=1,"",IF(AND(Y1923=1,AA1923&lt;&gt;1),1,0))</f>
        <v/>
      </c>
      <c r="AD1923" s="33" t="str">
        <f aca="false">IF(AND(E1923&gt;0,W1923&lt;1,NOT(AND(C1924=C1923,W1924=W1923+1))),INDEX(DATAS,W1923+1),"")</f>
        <v/>
      </c>
      <c r="AE1923" s="33" t="str">
        <f aca="false">IF(AND(Y1923=1,W1923&lt;1),IF(AND(C1924=C1923,W1924=W1923+1),IF(Y1924=1,"",INDEX(DATAS,W1923+1)),INDEX(DATAS,W1923+1)),"")</f>
        <v/>
      </c>
    </row>
    <row r="1924" customFormat="false" ht="15" hidden="false" customHeight="false" outlineLevel="0" collapsed="false">
      <c r="A1924" s="33" t="n">
        <v>46309</v>
      </c>
      <c r="B1924" s="0" t="n">
        <v>1</v>
      </c>
      <c r="C1924" s="0" t="n">
        <v>6163</v>
      </c>
      <c r="D1924" s="0" t="n">
        <v>1</v>
      </c>
      <c r="E1924" s="0" t="n">
        <v>1</v>
      </c>
      <c r="F1924" s="27" t="s">
        <v>1109</v>
      </c>
      <c r="I1924" s="27" t="s">
        <v>147</v>
      </c>
      <c r="J1924" s="0" t="n">
        <v>1</v>
      </c>
      <c r="U1924" s="0" t="n">
        <v>325</v>
      </c>
      <c r="V1924" s="0" t="n">
        <v>0</v>
      </c>
      <c r="W1924" s="27" t="n">
        <f aca="false">MATCH(A1924,DATAS,0)</f>
        <v>1</v>
      </c>
      <c r="X1924" s="27" t="n">
        <f aca="false">IF(AND(E1924&gt;0,OR(AND(B1924&gt;=1,B1924&lt;=6),B1924=10)),1,0)</f>
        <v>1</v>
      </c>
      <c r="Y1924" s="27" t="n">
        <f aca="false">IF(AND(E1924&gt;0,B1924=10),1,0)</f>
        <v>0</v>
      </c>
      <c r="Z1924" s="0" t="str">
        <f aca="false">IF(AND(C1923=C1924,W1923=W1924-1),X1923,"")</f>
        <v/>
      </c>
      <c r="AA1924" s="0" t="str">
        <f aca="false">IF(AND(C1923=C1924,W1923=W1924-1),Y1923,"")</f>
        <v/>
      </c>
      <c r="AB1924" s="0" t="str">
        <f aca="false">IF(W1924=1,"",IF(AND(X1924=1,Z1924&lt;&gt;1),1,0))</f>
        <v/>
      </c>
      <c r="AC1924" s="0" t="str">
        <f aca="false">IF(W1924=1,"",IF(AND(Y1924=1,AA1924&lt;&gt;1),1,0))</f>
        <v/>
      </c>
      <c r="AD1924" s="33" t="str">
        <f aca="false">IF(AND(E1924&gt;0,W1924&lt;1,NOT(AND(C1925=C1924,W1925=W1924+1))),INDEX(DATAS,W1924+1),"")</f>
        <v/>
      </c>
      <c r="AE1924" s="33" t="str">
        <f aca="false">IF(AND(Y1924=1,W1924&lt;1),IF(AND(C1925=C1924,W1925=W1924+1),IF(Y1925=1,"",INDEX(DATAS,W1924+1)),INDEX(DATAS,W1924+1)),"")</f>
        <v/>
      </c>
    </row>
    <row r="1925" customFormat="false" ht="15" hidden="false" customHeight="false" outlineLevel="0" collapsed="false">
      <c r="A1925" s="33" t="n">
        <v>46309</v>
      </c>
      <c r="B1925" s="0" t="n">
        <v>1</v>
      </c>
      <c r="C1925" s="0" t="n">
        <v>6164</v>
      </c>
      <c r="D1925" s="0" t="n">
        <v>8</v>
      </c>
      <c r="E1925" s="0" t="n">
        <v>1</v>
      </c>
      <c r="F1925" s="27" t="s">
        <v>1108</v>
      </c>
      <c r="H1925" s="0" t="n">
        <v>21</v>
      </c>
      <c r="I1925" s="27" t="s">
        <v>147</v>
      </c>
      <c r="J1925" s="0" t="n">
        <v>8</v>
      </c>
      <c r="R1925" s="0" t="n">
        <v>2049</v>
      </c>
      <c r="S1925" s="0" t="n">
        <v>4119</v>
      </c>
      <c r="U1925" s="0" t="n">
        <v>660</v>
      </c>
      <c r="V1925" s="0" t="n">
        <v>0</v>
      </c>
      <c r="W1925" s="27" t="n">
        <f aca="false">MATCH(A1925,DATAS,0)</f>
        <v>1</v>
      </c>
      <c r="X1925" s="27" t="n">
        <f aca="false">IF(AND(E1925&gt;0,OR(AND(B1925&gt;=1,B1925&lt;=6),B1925=10)),1,0)</f>
        <v>1</v>
      </c>
      <c r="Y1925" s="27" t="n">
        <f aca="false">IF(AND(E1925&gt;0,B1925=10),1,0)</f>
        <v>0</v>
      </c>
      <c r="Z1925" s="0" t="str">
        <f aca="false">IF(AND(C1924=C1925,W1924=W1925-1),X1924,"")</f>
        <v/>
      </c>
      <c r="AA1925" s="0" t="str">
        <f aca="false">IF(AND(C1924=C1925,W1924=W1925-1),Y1924,"")</f>
        <v/>
      </c>
      <c r="AB1925" s="0" t="str">
        <f aca="false">IF(W1925=1,"",IF(AND(X1925=1,Z1925&lt;&gt;1),1,0))</f>
        <v/>
      </c>
      <c r="AC1925" s="0" t="str">
        <f aca="false">IF(W1925=1,"",IF(AND(Y1925=1,AA1925&lt;&gt;1),1,0))</f>
        <v/>
      </c>
      <c r="AD1925" s="33" t="str">
        <f aca="false">IF(AND(E1925&gt;0,W1925&lt;1,NOT(AND(C1926=C1925,W1926=W1925+1))),INDEX(DATAS,W1925+1),"")</f>
        <v/>
      </c>
      <c r="AE1925" s="33" t="str">
        <f aca="false">IF(AND(Y1925=1,W1925&lt;1),IF(AND(C1926=C1925,W1926=W1925+1),IF(Y1926=1,"",INDEX(DATAS,W1925+1)),INDEX(DATAS,W1925+1)),"")</f>
        <v/>
      </c>
    </row>
    <row r="1926" customFormat="false" ht="15" hidden="false" customHeight="false" outlineLevel="0" collapsed="false">
      <c r="A1926" s="33" t="n">
        <v>46309</v>
      </c>
      <c r="B1926" s="0" t="n">
        <v>1</v>
      </c>
      <c r="C1926" s="0" t="n">
        <v>6165</v>
      </c>
      <c r="D1926" s="0" t="n">
        <v>10</v>
      </c>
      <c r="E1926" s="0" t="n">
        <v>1</v>
      </c>
      <c r="F1926" s="27" t="s">
        <v>1110</v>
      </c>
      <c r="G1926" s="0" t="n">
        <v>20.7</v>
      </c>
      <c r="H1926" s="0" t="n">
        <v>19</v>
      </c>
      <c r="I1926" s="27" t="s">
        <v>147</v>
      </c>
      <c r="J1926" s="0" t="n">
        <v>10</v>
      </c>
      <c r="R1926" s="0" t="n">
        <v>1916</v>
      </c>
      <c r="S1926" s="0" t="n">
        <v>3851</v>
      </c>
      <c r="U1926" s="0" t="n">
        <v>659</v>
      </c>
      <c r="V1926" s="0" t="n">
        <v>0</v>
      </c>
      <c r="W1926" s="27" t="n">
        <f aca="false">MATCH(A1926,DATAS,0)</f>
        <v>1</v>
      </c>
      <c r="X1926" s="27" t="n">
        <f aca="false">IF(AND(E1926&gt;0,OR(AND(B1926&gt;=1,B1926&lt;=6),B1926=10)),1,0)</f>
        <v>1</v>
      </c>
      <c r="Y1926" s="27" t="n">
        <f aca="false">IF(AND(E1926&gt;0,B1926=10),1,0)</f>
        <v>0</v>
      </c>
      <c r="Z1926" s="0" t="str">
        <f aca="false">IF(AND(C1925=C1926,W1925=W1926-1),X1925,"")</f>
        <v/>
      </c>
      <c r="AA1926" s="0" t="str">
        <f aca="false">IF(AND(C1925=C1926,W1925=W1926-1),Y1925,"")</f>
        <v/>
      </c>
      <c r="AB1926" s="0" t="str">
        <f aca="false">IF(W1926=1,"",IF(AND(X1926=1,Z1926&lt;&gt;1),1,0))</f>
        <v/>
      </c>
      <c r="AC1926" s="0" t="str">
        <f aca="false">IF(W1926=1,"",IF(AND(Y1926=1,AA1926&lt;&gt;1),1,0))</f>
        <v/>
      </c>
      <c r="AD1926" s="33" t="str">
        <f aca="false">IF(AND(E1926&gt;0,W1926&lt;1,NOT(AND(C1927=C1926,W1927=W1926+1))),INDEX(DATAS,W1926+1),"")</f>
        <v/>
      </c>
      <c r="AE1926" s="33" t="str">
        <f aca="false">IF(AND(Y1926=1,W1926&lt;1),IF(AND(C1927=C1926,W1927=W1926+1),IF(Y1927=1,"",INDEX(DATAS,W1926+1)),INDEX(DATAS,W1926+1)),"")</f>
        <v/>
      </c>
    </row>
    <row r="1927" customFormat="false" ht="15" hidden="false" customHeight="false" outlineLevel="0" collapsed="false">
      <c r="A1927" s="33" t="n">
        <v>46309</v>
      </c>
      <c r="B1927" s="0" t="n">
        <v>8</v>
      </c>
      <c r="C1927" s="0" t="n">
        <v>6166</v>
      </c>
      <c r="E1927" s="0" t="n">
        <v>0</v>
      </c>
      <c r="F1927" s="27" t="s">
        <v>1111</v>
      </c>
      <c r="I1927" s="27" t="s">
        <v>138</v>
      </c>
      <c r="L1927" s="0" t="n">
        <v>233</v>
      </c>
      <c r="U1927" s="0" t="n">
        <v>658</v>
      </c>
      <c r="V1927" s="0" t="n">
        <v>4</v>
      </c>
      <c r="W1927" s="27" t="n">
        <f aca="false">MATCH(A1927,DATAS,0)</f>
        <v>1</v>
      </c>
      <c r="X1927" s="27" t="n">
        <f aca="false">IF(AND(E1927&gt;0,OR(AND(B1927&gt;=1,B1927&lt;=6),B1927=10)),1,0)</f>
        <v>0</v>
      </c>
      <c r="Y1927" s="27" t="n">
        <f aca="false">IF(AND(E1927&gt;0,B1927=10),1,0)</f>
        <v>0</v>
      </c>
      <c r="Z1927" s="0" t="str">
        <f aca="false">IF(AND(C1926=C1927,W1926=W1927-1),X1926,"")</f>
        <v/>
      </c>
      <c r="AA1927" s="0" t="str">
        <f aca="false">IF(AND(C1926=C1927,W1926=W1927-1),Y1926,"")</f>
        <v/>
      </c>
      <c r="AB1927" s="0" t="str">
        <f aca="false">IF(W1927=1,"",IF(AND(X1927=1,Z1927&lt;&gt;1),1,0))</f>
        <v/>
      </c>
      <c r="AC1927" s="0" t="str">
        <f aca="false">IF(W1927=1,"",IF(AND(Y1927=1,AA1927&lt;&gt;1),1,0))</f>
        <v/>
      </c>
      <c r="AD1927" s="33" t="str">
        <f aca="false">IF(AND(E1927&gt;0,W1927&lt;1,NOT(AND(C1928=C1927,W1928=W1927+1))),INDEX(DATAS,W1927+1),"")</f>
        <v/>
      </c>
      <c r="AE1927" s="33" t="str">
        <f aca="false">IF(AND(Y1927=1,W1927&lt;1),IF(AND(C1928=C1927,W1928=W1927+1),IF(Y1928=1,"",INDEX(DATAS,W1927+1)),INDEX(DATAS,W1927+1)),"")</f>
        <v/>
      </c>
    </row>
    <row r="1928" customFormat="false" ht="15" hidden="false" customHeight="false" outlineLevel="0" collapsed="false">
      <c r="A1928" s="33" t="n">
        <v>46309</v>
      </c>
      <c r="B1928" s="0" t="n">
        <v>7</v>
      </c>
      <c r="C1928" s="0" t="n">
        <v>6167</v>
      </c>
      <c r="E1928" s="0" t="n">
        <v>0</v>
      </c>
      <c r="F1928" s="27" t="s">
        <v>1111</v>
      </c>
      <c r="I1928" s="27" t="s">
        <v>138</v>
      </c>
      <c r="L1928" s="0" t="n">
        <v>252</v>
      </c>
      <c r="U1928" s="0" t="n">
        <v>658</v>
      </c>
      <c r="V1928" s="0" t="n">
        <v>2</v>
      </c>
      <c r="W1928" s="27" t="n">
        <f aca="false">MATCH(A1928,DATAS,0)</f>
        <v>1</v>
      </c>
      <c r="X1928" s="27" t="n">
        <f aca="false">IF(AND(E1928&gt;0,OR(AND(B1928&gt;=1,B1928&lt;=6),B1928=10)),1,0)</f>
        <v>0</v>
      </c>
      <c r="Y1928" s="27" t="n">
        <f aca="false">IF(AND(E1928&gt;0,B1928=10),1,0)</f>
        <v>0</v>
      </c>
      <c r="Z1928" s="0" t="str">
        <f aca="false">IF(AND(C1927=C1928,W1927=W1928-1),X1927,"")</f>
        <v/>
      </c>
      <c r="AA1928" s="0" t="str">
        <f aca="false">IF(AND(C1927=C1928,W1927=W1928-1),Y1927,"")</f>
        <v/>
      </c>
      <c r="AB1928" s="0" t="str">
        <f aca="false">IF(W1928=1,"",IF(AND(X1928=1,Z1928&lt;&gt;1),1,0))</f>
        <v/>
      </c>
      <c r="AC1928" s="0" t="str">
        <f aca="false">IF(W1928=1,"",IF(AND(Y1928=1,AA1928&lt;&gt;1),1,0))</f>
        <v/>
      </c>
      <c r="AD1928" s="33" t="str">
        <f aca="false">IF(AND(E1928&gt;0,W1928&lt;1,NOT(AND(C1929=C1928,W1929=W1928+1))),INDEX(DATAS,W1928+1),"")</f>
        <v/>
      </c>
      <c r="AE1928" s="33" t="str">
        <f aca="false">IF(AND(Y1928=1,W1928&lt;1),IF(AND(C1929=C1928,W1929=W1928+1),IF(Y1929=1,"",INDEX(DATAS,W1928+1)),INDEX(DATAS,W1928+1)),"")</f>
        <v/>
      </c>
    </row>
    <row r="1929" customFormat="false" ht="15" hidden="false" customHeight="false" outlineLevel="0" collapsed="false">
      <c r="A1929" s="33" t="n">
        <v>46309</v>
      </c>
      <c r="B1929" s="0" t="n">
        <v>1</v>
      </c>
      <c r="C1929" s="0" t="n">
        <v>6168</v>
      </c>
      <c r="D1929" s="0" t="n">
        <v>8</v>
      </c>
      <c r="E1929" s="0" t="n">
        <v>1</v>
      </c>
      <c r="F1929" s="27" t="s">
        <v>1111</v>
      </c>
      <c r="G1929" s="0" t="n">
        <v>28.4</v>
      </c>
      <c r="H1929" s="0" t="n">
        <v>22</v>
      </c>
      <c r="I1929" s="27" t="s">
        <v>147</v>
      </c>
      <c r="J1929" s="0" t="n">
        <v>8</v>
      </c>
      <c r="R1929" s="0" t="n">
        <v>2058</v>
      </c>
      <c r="S1929" s="0" t="n">
        <v>4138</v>
      </c>
      <c r="U1929" s="0" t="n">
        <v>658</v>
      </c>
      <c r="V1929" s="0" t="n">
        <v>0</v>
      </c>
      <c r="W1929" s="27" t="n">
        <f aca="false">MATCH(A1929,DATAS,0)</f>
        <v>1</v>
      </c>
      <c r="X1929" s="27" t="n">
        <f aca="false">IF(AND(E1929&gt;0,OR(AND(B1929&gt;=1,B1929&lt;=6),B1929=10)),1,0)</f>
        <v>1</v>
      </c>
      <c r="Y1929" s="27" t="n">
        <f aca="false">IF(AND(E1929&gt;0,B1929=10),1,0)</f>
        <v>0</v>
      </c>
      <c r="Z1929" s="0" t="str">
        <f aca="false">IF(AND(C1928=C1929,W1928=W1929-1),X1928,"")</f>
        <v/>
      </c>
      <c r="AA1929" s="0" t="str">
        <f aca="false">IF(AND(C1928=C1929,W1928=W1929-1),Y1928,"")</f>
        <v/>
      </c>
      <c r="AB1929" s="0" t="str">
        <f aca="false">IF(W1929=1,"",IF(AND(X1929=1,Z1929&lt;&gt;1),1,0))</f>
        <v/>
      </c>
      <c r="AC1929" s="0" t="str">
        <f aca="false">IF(W1929=1,"",IF(AND(Y1929=1,AA1929&lt;&gt;1),1,0))</f>
        <v/>
      </c>
      <c r="AD1929" s="33" t="str">
        <f aca="false">IF(AND(E1929&gt;0,W1929&lt;1,NOT(AND(C1930=C1929,W1930=W1929+1))),INDEX(DATAS,W1929+1),"")</f>
        <v/>
      </c>
      <c r="AE1929" s="33" t="str">
        <f aca="false">IF(AND(Y1929=1,W1929&lt;1),IF(AND(C1930=C1929,W1930=W1929+1),IF(Y1930=1,"",INDEX(DATAS,W1929+1)),INDEX(DATAS,W1929+1)),"")</f>
        <v/>
      </c>
    </row>
    <row r="1930" customFormat="false" ht="15" hidden="false" customHeight="false" outlineLevel="0" collapsed="false">
      <c r="A1930" s="33" t="n">
        <v>46309</v>
      </c>
      <c r="B1930" s="0" t="n">
        <v>8</v>
      </c>
      <c r="C1930" s="0" t="n">
        <v>6169</v>
      </c>
      <c r="E1930" s="0" t="n">
        <v>0</v>
      </c>
      <c r="F1930" s="27" t="s">
        <v>1111</v>
      </c>
      <c r="I1930" s="27" t="s">
        <v>138</v>
      </c>
      <c r="L1930" s="0" t="n">
        <v>161</v>
      </c>
      <c r="U1930" s="0" t="n">
        <v>658</v>
      </c>
      <c r="V1930" s="0" t="n">
        <v>7</v>
      </c>
      <c r="W1930" s="27" t="n">
        <f aca="false">MATCH(A1930,DATAS,0)</f>
        <v>1</v>
      </c>
      <c r="X1930" s="27" t="n">
        <f aca="false">IF(AND(E1930&gt;0,OR(AND(B1930&gt;=1,B1930&lt;=6),B1930=10)),1,0)</f>
        <v>0</v>
      </c>
      <c r="Y1930" s="27" t="n">
        <f aca="false">IF(AND(E1930&gt;0,B1930=10),1,0)</f>
        <v>0</v>
      </c>
      <c r="Z1930" s="0" t="str">
        <f aca="false">IF(AND(C1929=C1930,W1929=W1930-1),X1929,"")</f>
        <v/>
      </c>
      <c r="AA1930" s="0" t="str">
        <f aca="false">IF(AND(C1929=C1930,W1929=W1930-1),Y1929,"")</f>
        <v/>
      </c>
      <c r="AB1930" s="0" t="str">
        <f aca="false">IF(W1930=1,"",IF(AND(X1930=1,Z1930&lt;&gt;1),1,0))</f>
        <v/>
      </c>
      <c r="AC1930" s="0" t="str">
        <f aca="false">IF(W1930=1,"",IF(AND(Y1930=1,AA1930&lt;&gt;1),1,0))</f>
        <v/>
      </c>
      <c r="AD1930" s="33" t="str">
        <f aca="false">IF(AND(E1930&gt;0,W1930&lt;1,NOT(AND(C1931=C1930,W1931=W1930+1))),INDEX(DATAS,W1930+1),"")</f>
        <v/>
      </c>
      <c r="AE1930" s="33" t="str">
        <f aca="false">IF(AND(Y1930=1,W1930&lt;1),IF(AND(C1931=C1930,W1931=W1930+1),IF(Y1931=1,"",INDEX(DATAS,W1930+1)),INDEX(DATAS,W1930+1)),"")</f>
        <v/>
      </c>
    </row>
    <row r="1931" customFormat="false" ht="15" hidden="false" customHeight="false" outlineLevel="0" collapsed="false">
      <c r="A1931" s="33" t="n">
        <v>46309</v>
      </c>
      <c r="B1931" s="0" t="n">
        <v>1</v>
      </c>
      <c r="C1931" s="0" t="n">
        <v>6171</v>
      </c>
      <c r="D1931" s="0" t="n">
        <v>15</v>
      </c>
      <c r="E1931" s="0" t="n">
        <v>1</v>
      </c>
      <c r="F1931" s="27" t="s">
        <v>1111</v>
      </c>
      <c r="G1931" s="0" t="n">
        <v>33</v>
      </c>
      <c r="H1931" s="0" t="n">
        <v>28</v>
      </c>
      <c r="I1931" s="27" t="s">
        <v>147</v>
      </c>
      <c r="J1931" s="0" t="n">
        <v>15</v>
      </c>
      <c r="R1931" s="0" t="n">
        <v>2643</v>
      </c>
      <c r="S1931" s="0" t="n">
        <v>5313</v>
      </c>
      <c r="U1931" s="0" t="n">
        <v>658</v>
      </c>
      <c r="V1931" s="0" t="n">
        <v>0</v>
      </c>
      <c r="W1931" s="27" t="n">
        <f aca="false">MATCH(A1931,DATAS,0)</f>
        <v>1</v>
      </c>
      <c r="X1931" s="27" t="n">
        <f aca="false">IF(AND(E1931&gt;0,OR(AND(B1931&gt;=1,B1931&lt;=6),B1931=10)),1,0)</f>
        <v>1</v>
      </c>
      <c r="Y1931" s="27" t="n">
        <f aca="false">IF(AND(E1931&gt;0,B1931=10),1,0)</f>
        <v>0</v>
      </c>
      <c r="Z1931" s="0" t="str">
        <f aca="false">IF(AND(C1930=C1931,W1930=W1931-1),X1930,"")</f>
        <v/>
      </c>
      <c r="AA1931" s="0" t="str">
        <f aca="false">IF(AND(C1930=C1931,W1930=W1931-1),Y1930,"")</f>
        <v/>
      </c>
      <c r="AB1931" s="0" t="str">
        <f aca="false">IF(W1931=1,"",IF(AND(X1931=1,Z1931&lt;&gt;1),1,0))</f>
        <v/>
      </c>
      <c r="AC1931" s="0" t="str">
        <f aca="false">IF(W1931=1,"",IF(AND(Y1931=1,AA1931&lt;&gt;1),1,0))</f>
        <v/>
      </c>
      <c r="AD1931" s="33" t="str">
        <f aca="false">IF(AND(E1931&gt;0,W1931&lt;1,NOT(AND(C1932=C1931,W1932=W1931+1))),INDEX(DATAS,W1931+1),"")</f>
        <v/>
      </c>
      <c r="AE1931" s="33" t="str">
        <f aca="false">IF(AND(Y1931=1,W1931&lt;1),IF(AND(C1932=C1931,W1932=W1931+1),IF(Y1932=1,"",INDEX(DATAS,W1931+1)),INDEX(DATAS,W1931+1)),"")</f>
        <v/>
      </c>
    </row>
    <row r="1932" customFormat="false" ht="15" hidden="false" customHeight="false" outlineLevel="0" collapsed="false">
      <c r="A1932" s="33" t="n">
        <v>46309</v>
      </c>
      <c r="B1932" s="0" t="n">
        <v>1</v>
      </c>
      <c r="C1932" s="0" t="n">
        <v>6173</v>
      </c>
      <c r="D1932" s="0" t="n">
        <v>10</v>
      </c>
      <c r="E1932" s="0" t="n">
        <v>1</v>
      </c>
      <c r="F1932" s="27" t="s">
        <v>1112</v>
      </c>
      <c r="G1932" s="0" t="n">
        <v>7.3</v>
      </c>
      <c r="H1932" s="0" t="n">
        <v>10</v>
      </c>
      <c r="I1932" s="27" t="s">
        <v>147</v>
      </c>
      <c r="J1932" s="0" t="n">
        <v>10</v>
      </c>
      <c r="R1932" s="0" t="n">
        <v>1111</v>
      </c>
      <c r="S1932" s="0" t="n">
        <v>2233</v>
      </c>
      <c r="U1932" s="0" t="n">
        <v>657</v>
      </c>
      <c r="V1932" s="0" t="n">
        <v>0</v>
      </c>
      <c r="W1932" s="27" t="n">
        <f aca="false">MATCH(A1932,DATAS,0)</f>
        <v>1</v>
      </c>
      <c r="X1932" s="27" t="n">
        <f aca="false">IF(AND(E1932&gt;0,OR(AND(B1932&gt;=1,B1932&lt;=6),B1932=10)),1,0)</f>
        <v>1</v>
      </c>
      <c r="Y1932" s="27" t="n">
        <f aca="false">IF(AND(E1932&gt;0,B1932=10),1,0)</f>
        <v>0</v>
      </c>
      <c r="Z1932" s="0" t="str">
        <f aca="false">IF(AND(C1931=C1932,W1931=W1932-1),X1931,"")</f>
        <v/>
      </c>
      <c r="AA1932" s="0" t="str">
        <f aca="false">IF(AND(C1931=C1932,W1931=W1932-1),Y1931,"")</f>
        <v/>
      </c>
      <c r="AB1932" s="0" t="str">
        <f aca="false">IF(W1932=1,"",IF(AND(X1932=1,Z1932&lt;&gt;1),1,0))</f>
        <v/>
      </c>
      <c r="AC1932" s="0" t="str">
        <f aca="false">IF(W1932=1,"",IF(AND(Y1932=1,AA1932&lt;&gt;1),1,0))</f>
        <v/>
      </c>
      <c r="AD1932" s="33" t="str">
        <f aca="false">IF(AND(E1932&gt;0,W1932&lt;1,NOT(AND(C1933=C1932,W1933=W1932+1))),INDEX(DATAS,W1932+1),"")</f>
        <v/>
      </c>
      <c r="AE1932" s="33" t="str">
        <f aca="false">IF(AND(Y1932=1,W1932&lt;1),IF(AND(C1933=C1932,W1933=W1932+1),IF(Y1933=1,"",INDEX(DATAS,W1932+1)),INDEX(DATAS,W1932+1)),"")</f>
        <v/>
      </c>
    </row>
    <row r="1933" customFormat="false" ht="15" hidden="false" customHeight="false" outlineLevel="0" collapsed="false">
      <c r="A1933" s="33" t="n">
        <v>46309</v>
      </c>
      <c r="B1933" s="0" t="n">
        <v>8</v>
      </c>
      <c r="C1933" s="0" t="n">
        <v>6174</v>
      </c>
      <c r="E1933" s="0" t="n">
        <v>0</v>
      </c>
      <c r="F1933" s="27" t="s">
        <v>1112</v>
      </c>
      <c r="I1933" s="27" t="s">
        <v>138</v>
      </c>
      <c r="L1933" s="0" t="n">
        <v>238</v>
      </c>
      <c r="U1933" s="0" t="n">
        <v>657</v>
      </c>
      <c r="V1933" s="0" t="n">
        <v>3</v>
      </c>
      <c r="W1933" s="27" t="n">
        <f aca="false">MATCH(A1933,DATAS,0)</f>
        <v>1</v>
      </c>
      <c r="X1933" s="27" t="n">
        <f aca="false">IF(AND(E1933&gt;0,OR(AND(B1933&gt;=1,B1933&lt;=6),B1933=10)),1,0)</f>
        <v>0</v>
      </c>
      <c r="Y1933" s="27" t="n">
        <f aca="false">IF(AND(E1933&gt;0,B1933=10),1,0)</f>
        <v>0</v>
      </c>
      <c r="Z1933" s="0" t="str">
        <f aca="false">IF(AND(C1932=C1933,W1932=W1933-1),X1932,"")</f>
        <v/>
      </c>
      <c r="AA1933" s="0" t="str">
        <f aca="false">IF(AND(C1932=C1933,W1932=W1933-1),Y1932,"")</f>
        <v/>
      </c>
      <c r="AB1933" s="0" t="str">
        <f aca="false">IF(W1933=1,"",IF(AND(X1933=1,Z1933&lt;&gt;1),1,0))</f>
        <v/>
      </c>
      <c r="AC1933" s="0" t="str">
        <f aca="false">IF(W1933=1,"",IF(AND(Y1933=1,AA1933&lt;&gt;1),1,0))</f>
        <v/>
      </c>
      <c r="AD1933" s="33" t="str">
        <f aca="false">IF(AND(E1933&gt;0,W1933&lt;1,NOT(AND(C1934=C1933,W1934=W1933+1))),INDEX(DATAS,W1933+1),"")</f>
        <v/>
      </c>
      <c r="AE1933" s="33" t="str">
        <f aca="false">IF(AND(Y1933=1,W1933&lt;1),IF(AND(C1934=C1933,W1934=W1933+1),IF(Y1934=1,"",INDEX(DATAS,W1933+1)),INDEX(DATAS,W1933+1)),"")</f>
        <v/>
      </c>
    </row>
    <row r="1934" customFormat="false" ht="15" hidden="false" customHeight="false" outlineLevel="0" collapsed="false">
      <c r="A1934" s="33" t="n">
        <v>46309</v>
      </c>
      <c r="B1934" s="0" t="n">
        <v>7</v>
      </c>
      <c r="C1934" s="0" t="n">
        <v>6175</v>
      </c>
      <c r="E1934" s="0" t="n">
        <v>0</v>
      </c>
      <c r="F1934" s="27" t="s">
        <v>1112</v>
      </c>
      <c r="I1934" s="27" t="s">
        <v>138</v>
      </c>
      <c r="L1934" s="0" t="n">
        <v>224</v>
      </c>
      <c r="U1934" s="0" t="n">
        <v>657</v>
      </c>
      <c r="V1934" s="0" t="n">
        <v>3</v>
      </c>
      <c r="W1934" s="27" t="n">
        <f aca="false">MATCH(A1934,DATAS,0)</f>
        <v>1</v>
      </c>
      <c r="X1934" s="27" t="n">
        <f aca="false">IF(AND(E1934&gt;0,OR(AND(B1934&gt;=1,B1934&lt;=6),B1934=10)),1,0)</f>
        <v>0</v>
      </c>
      <c r="Y1934" s="27" t="n">
        <f aca="false">IF(AND(E1934&gt;0,B1934=10),1,0)</f>
        <v>0</v>
      </c>
      <c r="Z1934" s="0" t="str">
        <f aca="false">IF(AND(C1933=C1934,W1933=W1934-1),X1933,"")</f>
        <v/>
      </c>
      <c r="AA1934" s="0" t="str">
        <f aca="false">IF(AND(C1933=C1934,W1933=W1934-1),Y1933,"")</f>
        <v/>
      </c>
      <c r="AB1934" s="0" t="str">
        <f aca="false">IF(W1934=1,"",IF(AND(X1934=1,Z1934&lt;&gt;1),1,0))</f>
        <v/>
      </c>
      <c r="AC1934" s="0" t="str">
        <f aca="false">IF(W1934=1,"",IF(AND(Y1934=1,AA1934&lt;&gt;1),1,0))</f>
        <v/>
      </c>
      <c r="AD1934" s="33" t="str">
        <f aca="false">IF(AND(E1934&gt;0,W1934&lt;1,NOT(AND(C1935=C1934,W1935=W1934+1))),INDEX(DATAS,W1934+1),"")</f>
        <v/>
      </c>
      <c r="AE1934" s="33" t="str">
        <f aca="false">IF(AND(Y1934=1,W1934&lt;1),IF(AND(C1935=C1934,W1935=W1934+1),IF(Y1935=1,"",INDEX(DATAS,W1934+1)),INDEX(DATAS,W1934+1)),"")</f>
        <v/>
      </c>
    </row>
    <row r="1935" customFormat="false" ht="15" hidden="false" customHeight="false" outlineLevel="0" collapsed="false">
      <c r="A1935" s="33" t="n">
        <v>46309</v>
      </c>
      <c r="B1935" s="0" t="n">
        <v>8</v>
      </c>
      <c r="C1935" s="0" t="n">
        <v>6176</v>
      </c>
      <c r="E1935" s="0" t="n">
        <v>0</v>
      </c>
      <c r="F1935" s="27" t="s">
        <v>1112</v>
      </c>
      <c r="I1935" s="27" t="s">
        <v>138</v>
      </c>
      <c r="L1935" s="0" t="n">
        <v>231</v>
      </c>
      <c r="U1935" s="0" t="n">
        <v>657</v>
      </c>
      <c r="V1935" s="0" t="n">
        <v>4</v>
      </c>
      <c r="W1935" s="27" t="n">
        <f aca="false">MATCH(A1935,DATAS,0)</f>
        <v>1</v>
      </c>
      <c r="X1935" s="27" t="n">
        <f aca="false">IF(AND(E1935&gt;0,OR(AND(B1935&gt;=1,B1935&lt;=6),B1935=10)),1,0)</f>
        <v>0</v>
      </c>
      <c r="Y1935" s="27" t="n">
        <f aca="false">IF(AND(E1935&gt;0,B1935=10),1,0)</f>
        <v>0</v>
      </c>
      <c r="Z1935" s="0" t="str">
        <f aca="false">IF(AND(C1934=C1935,W1934=W1935-1),X1934,"")</f>
        <v/>
      </c>
      <c r="AA1935" s="0" t="str">
        <f aca="false">IF(AND(C1934=C1935,W1934=W1935-1),Y1934,"")</f>
        <v/>
      </c>
      <c r="AB1935" s="0" t="str">
        <f aca="false">IF(W1935=1,"",IF(AND(X1935=1,Z1935&lt;&gt;1),1,0))</f>
        <v/>
      </c>
      <c r="AC1935" s="0" t="str">
        <f aca="false">IF(W1935=1,"",IF(AND(Y1935=1,AA1935&lt;&gt;1),1,0))</f>
        <v/>
      </c>
      <c r="AD1935" s="33" t="str">
        <f aca="false">IF(AND(E1935&gt;0,W1935&lt;1,NOT(AND(C1936=C1935,W1936=W1935+1))),INDEX(DATAS,W1935+1),"")</f>
        <v/>
      </c>
      <c r="AE1935" s="33" t="str">
        <f aca="false">IF(AND(Y1935=1,W1935&lt;1),IF(AND(C1936=C1935,W1936=W1935+1),IF(Y1936=1,"",INDEX(DATAS,W1935+1)),INDEX(DATAS,W1935+1)),"")</f>
        <v/>
      </c>
    </row>
    <row r="1936" customFormat="false" ht="15" hidden="false" customHeight="false" outlineLevel="0" collapsed="false">
      <c r="A1936" s="33" t="n">
        <v>46309</v>
      </c>
      <c r="B1936" s="0" t="n">
        <v>7</v>
      </c>
      <c r="C1936" s="0" t="n">
        <v>6177</v>
      </c>
      <c r="E1936" s="0" t="n">
        <v>0</v>
      </c>
      <c r="F1936" s="27" t="s">
        <v>1112</v>
      </c>
      <c r="I1936" s="27" t="s">
        <v>138</v>
      </c>
      <c r="L1936" s="0" t="n">
        <v>246</v>
      </c>
      <c r="U1936" s="0" t="n">
        <v>657</v>
      </c>
      <c r="V1936" s="0" t="n">
        <v>2</v>
      </c>
      <c r="W1936" s="27" t="n">
        <f aca="false">MATCH(A1936,DATAS,0)</f>
        <v>1</v>
      </c>
      <c r="X1936" s="27" t="n">
        <f aca="false">IF(AND(E1936&gt;0,OR(AND(B1936&gt;=1,B1936&lt;=6),B1936=10)),1,0)</f>
        <v>0</v>
      </c>
      <c r="Y1936" s="27" t="n">
        <f aca="false">IF(AND(E1936&gt;0,B1936=10),1,0)</f>
        <v>0</v>
      </c>
      <c r="Z1936" s="0" t="str">
        <f aca="false">IF(AND(C1935=C1936,W1935=W1936-1),X1935,"")</f>
        <v/>
      </c>
      <c r="AA1936" s="0" t="str">
        <f aca="false">IF(AND(C1935=C1936,W1935=W1936-1),Y1935,"")</f>
        <v/>
      </c>
      <c r="AB1936" s="0" t="str">
        <f aca="false">IF(W1936=1,"",IF(AND(X1936=1,Z1936&lt;&gt;1),1,0))</f>
        <v/>
      </c>
      <c r="AC1936" s="0" t="str">
        <f aca="false">IF(W1936=1,"",IF(AND(Y1936=1,AA1936&lt;&gt;1),1,0))</f>
        <v/>
      </c>
      <c r="AD1936" s="33" t="str">
        <f aca="false">IF(AND(E1936&gt;0,W1936&lt;1,NOT(AND(C1937=C1936,W1937=W1936+1))),INDEX(DATAS,W1936+1),"")</f>
        <v/>
      </c>
      <c r="AE1936" s="33" t="str">
        <f aca="false">IF(AND(Y1936=1,W1936&lt;1),IF(AND(C1937=C1936,W1937=W1936+1),IF(Y1937=1,"",INDEX(DATAS,W1936+1)),INDEX(DATAS,W1936+1)),"")</f>
        <v/>
      </c>
    </row>
    <row r="1937" customFormat="false" ht="15" hidden="false" customHeight="false" outlineLevel="0" collapsed="false">
      <c r="A1937" s="33" t="n">
        <v>46309</v>
      </c>
      <c r="B1937" s="0" t="n">
        <v>11</v>
      </c>
      <c r="C1937" s="0" t="n">
        <v>6178</v>
      </c>
      <c r="E1937" s="0" t="n">
        <v>0</v>
      </c>
      <c r="F1937" s="27" t="s">
        <v>1112</v>
      </c>
      <c r="I1937" s="27" t="s">
        <v>168</v>
      </c>
      <c r="U1937" s="0" t="n">
        <v>657</v>
      </c>
      <c r="V1937" s="0" t="n">
        <v>12</v>
      </c>
      <c r="W1937" s="27" t="n">
        <f aca="false">MATCH(A1937,DATAS,0)</f>
        <v>1</v>
      </c>
      <c r="X1937" s="27" t="n">
        <f aca="false">IF(AND(E1937&gt;0,OR(AND(B1937&gt;=1,B1937&lt;=6),B1937=10)),1,0)</f>
        <v>0</v>
      </c>
      <c r="Y1937" s="27" t="n">
        <f aca="false">IF(AND(E1937&gt;0,B1937=10),1,0)</f>
        <v>0</v>
      </c>
      <c r="Z1937" s="0" t="str">
        <f aca="false">IF(AND(C1936=C1937,W1936=W1937-1),X1936,"")</f>
        <v/>
      </c>
      <c r="AA1937" s="0" t="str">
        <f aca="false">IF(AND(C1936=C1937,W1936=W1937-1),Y1936,"")</f>
        <v/>
      </c>
      <c r="AB1937" s="0" t="str">
        <f aca="false">IF(W1937=1,"",IF(AND(X1937=1,Z1937&lt;&gt;1),1,0))</f>
        <v/>
      </c>
      <c r="AC1937" s="0" t="str">
        <f aca="false">IF(W1937=1,"",IF(AND(Y1937=1,AA1937&lt;&gt;1),1,0))</f>
        <v/>
      </c>
      <c r="AD1937" s="33" t="str">
        <f aca="false">IF(AND(E1937&gt;0,W1937&lt;1,NOT(AND(C1938=C1937,W1938=W1937+1))),INDEX(DATAS,W1937+1),"")</f>
        <v/>
      </c>
      <c r="AE1937" s="33" t="str">
        <f aca="false">IF(AND(Y1937=1,W1937&lt;1),IF(AND(C1938=C1937,W1938=W1937+1),IF(Y1938=1,"",INDEX(DATAS,W1937+1)),INDEX(DATAS,W1937+1)),"")</f>
        <v/>
      </c>
    </row>
    <row r="1938" customFormat="false" ht="15" hidden="false" customHeight="false" outlineLevel="0" collapsed="false">
      <c r="A1938" s="33" t="n">
        <v>46309</v>
      </c>
      <c r="B1938" s="0" t="n">
        <v>1</v>
      </c>
      <c r="C1938" s="0" t="n">
        <v>6180</v>
      </c>
      <c r="D1938" s="0" t="n">
        <v>58</v>
      </c>
      <c r="E1938" s="0" t="n">
        <v>1</v>
      </c>
      <c r="F1938" s="27" t="s">
        <v>1113</v>
      </c>
      <c r="G1938" s="0" t="n">
        <v>26.9</v>
      </c>
      <c r="H1938" s="0" t="n">
        <v>26</v>
      </c>
      <c r="I1938" s="27" t="s">
        <v>147</v>
      </c>
      <c r="J1938" s="0" t="n">
        <v>58</v>
      </c>
      <c r="P1938" s="0" t="n">
        <v>4.37</v>
      </c>
      <c r="Q1938" s="0" t="n">
        <v>3.66</v>
      </c>
      <c r="R1938" s="0" t="n">
        <v>2044</v>
      </c>
      <c r="S1938" s="0" t="n">
        <v>4110</v>
      </c>
      <c r="U1938" s="0" t="n">
        <v>656</v>
      </c>
      <c r="V1938" s="0" t="n">
        <v>0</v>
      </c>
      <c r="W1938" s="27" t="n">
        <f aca="false">MATCH(A1938,DATAS,0)</f>
        <v>1</v>
      </c>
      <c r="X1938" s="27" t="n">
        <f aca="false">IF(AND(E1938&gt;0,OR(AND(B1938&gt;=1,B1938&lt;=6),B1938=10)),1,0)</f>
        <v>1</v>
      </c>
      <c r="Y1938" s="27" t="n">
        <f aca="false">IF(AND(E1938&gt;0,B1938=10),1,0)</f>
        <v>0</v>
      </c>
      <c r="Z1938" s="0" t="str">
        <f aca="false">IF(AND(C1937=C1938,W1937=W1938-1),X1937,"")</f>
        <v/>
      </c>
      <c r="AA1938" s="0" t="str">
        <f aca="false">IF(AND(C1937=C1938,W1937=W1938-1),Y1937,"")</f>
        <v/>
      </c>
      <c r="AB1938" s="0" t="str">
        <f aca="false">IF(W1938=1,"",IF(AND(X1938=1,Z1938&lt;&gt;1),1,0))</f>
        <v/>
      </c>
      <c r="AC1938" s="0" t="str">
        <f aca="false">IF(W1938=1,"",IF(AND(Y1938=1,AA1938&lt;&gt;1),1,0))</f>
        <v/>
      </c>
      <c r="AD1938" s="33" t="str">
        <f aca="false">IF(AND(E1938&gt;0,W1938&lt;1,NOT(AND(C1939=C1938,W1939=W1938+1))),INDEX(DATAS,W1938+1),"")</f>
        <v/>
      </c>
      <c r="AE1938" s="33" t="str">
        <f aca="false">IF(AND(Y1938=1,W1938&lt;1),IF(AND(C1939=C1938,W1939=W1938+1),IF(Y1939=1,"",INDEX(DATAS,W1938+1)),INDEX(DATAS,W1938+1)),"")</f>
        <v/>
      </c>
    </row>
    <row r="1939" customFormat="false" ht="15" hidden="false" customHeight="false" outlineLevel="0" collapsed="false">
      <c r="A1939" s="33" t="n">
        <v>46309</v>
      </c>
      <c r="B1939" s="0" t="n">
        <v>8</v>
      </c>
      <c r="C1939" s="0" t="n">
        <v>6181</v>
      </c>
      <c r="E1939" s="0" t="n">
        <v>0</v>
      </c>
      <c r="F1939" s="27" t="s">
        <v>1113</v>
      </c>
      <c r="I1939" s="27" t="s">
        <v>138</v>
      </c>
      <c r="L1939" s="0" t="n">
        <v>201</v>
      </c>
      <c r="U1939" s="0" t="n">
        <v>656</v>
      </c>
      <c r="V1939" s="0" t="n">
        <v>4</v>
      </c>
      <c r="W1939" s="27" t="n">
        <f aca="false">MATCH(A1939,DATAS,0)</f>
        <v>1</v>
      </c>
      <c r="X1939" s="27" t="n">
        <f aca="false">IF(AND(E1939&gt;0,OR(AND(B1939&gt;=1,B1939&lt;=6),B1939=10)),1,0)</f>
        <v>0</v>
      </c>
      <c r="Y1939" s="27" t="n">
        <f aca="false">IF(AND(E1939&gt;0,B1939=10),1,0)</f>
        <v>0</v>
      </c>
      <c r="Z1939" s="0" t="str">
        <f aca="false">IF(AND(C1938=C1939,W1938=W1939-1),X1938,"")</f>
        <v/>
      </c>
      <c r="AA1939" s="0" t="str">
        <f aca="false">IF(AND(C1938=C1939,W1938=W1939-1),Y1938,"")</f>
        <v/>
      </c>
      <c r="AB1939" s="0" t="str">
        <f aca="false">IF(W1939=1,"",IF(AND(X1939=1,Z1939&lt;&gt;1),1,0))</f>
        <v/>
      </c>
      <c r="AC1939" s="0" t="str">
        <f aca="false">IF(W1939=1,"",IF(AND(Y1939=1,AA1939&lt;&gt;1),1,0))</f>
        <v/>
      </c>
      <c r="AD1939" s="33" t="str">
        <f aca="false">IF(AND(E1939&gt;0,W1939&lt;1,NOT(AND(C1940=C1939,W1940=W1939+1))),INDEX(DATAS,W1939+1),"")</f>
        <v/>
      </c>
      <c r="AE1939" s="33" t="str">
        <f aca="false">IF(AND(Y1939=1,W1939&lt;1),IF(AND(C1940=C1939,W1940=W1939+1),IF(Y1940=1,"",INDEX(DATAS,W1939+1)),INDEX(DATAS,W1939+1)),"")</f>
        <v/>
      </c>
    </row>
    <row r="1940" customFormat="false" ht="15" hidden="false" customHeight="false" outlineLevel="0" collapsed="false">
      <c r="A1940" s="33" t="n">
        <v>46309</v>
      </c>
      <c r="B1940" s="0" t="n">
        <v>8</v>
      </c>
      <c r="C1940" s="0" t="n">
        <v>6183</v>
      </c>
      <c r="E1940" s="0" t="n">
        <v>0</v>
      </c>
      <c r="F1940" s="27" t="s">
        <v>1114</v>
      </c>
      <c r="I1940" s="27" t="s">
        <v>138</v>
      </c>
      <c r="L1940" s="0" t="n">
        <v>248</v>
      </c>
      <c r="U1940" s="0" t="n">
        <v>655</v>
      </c>
      <c r="V1940" s="0" t="n">
        <v>2</v>
      </c>
      <c r="W1940" s="27" t="n">
        <f aca="false">MATCH(A1940,DATAS,0)</f>
        <v>1</v>
      </c>
      <c r="X1940" s="27" t="n">
        <f aca="false">IF(AND(E1940&gt;0,OR(AND(B1940&gt;=1,B1940&lt;=6),B1940=10)),1,0)</f>
        <v>0</v>
      </c>
      <c r="Y1940" s="27" t="n">
        <f aca="false">IF(AND(E1940&gt;0,B1940=10),1,0)</f>
        <v>0</v>
      </c>
      <c r="Z1940" s="0" t="str">
        <f aca="false">IF(AND(C1939=C1940,W1939=W1940-1),X1939,"")</f>
        <v/>
      </c>
      <c r="AA1940" s="0" t="str">
        <f aca="false">IF(AND(C1939=C1940,W1939=W1940-1),Y1939,"")</f>
        <v/>
      </c>
      <c r="AB1940" s="0" t="str">
        <f aca="false">IF(W1940=1,"",IF(AND(X1940=1,Z1940&lt;&gt;1),1,0))</f>
        <v/>
      </c>
      <c r="AC1940" s="0" t="str">
        <f aca="false">IF(W1940=1,"",IF(AND(Y1940=1,AA1940&lt;&gt;1),1,0))</f>
        <v/>
      </c>
      <c r="AD1940" s="33" t="str">
        <f aca="false">IF(AND(E1940&gt;0,W1940&lt;1,NOT(AND(C1941=C1940,W1941=W1940+1))),INDEX(DATAS,W1940+1),"")</f>
        <v/>
      </c>
      <c r="AE1940" s="33" t="str">
        <f aca="false">IF(AND(Y1940=1,W1940&lt;1),IF(AND(C1941=C1940,W1941=W1940+1),IF(Y1941=1,"",INDEX(DATAS,W1940+1)),INDEX(DATAS,W1940+1)),"")</f>
        <v/>
      </c>
    </row>
    <row r="1941" customFormat="false" ht="15" hidden="false" customHeight="false" outlineLevel="0" collapsed="false">
      <c r="A1941" s="33" t="n">
        <v>46309</v>
      </c>
      <c r="B1941" s="0" t="n">
        <v>14</v>
      </c>
      <c r="C1941" s="0" t="n">
        <v>6185</v>
      </c>
      <c r="E1941" s="0" t="n">
        <v>0</v>
      </c>
      <c r="F1941" s="27" t="s">
        <v>1115</v>
      </c>
      <c r="I1941" s="27" t="s">
        <v>138</v>
      </c>
      <c r="L1941" s="0" t="n">
        <v>259</v>
      </c>
      <c r="U1941" s="0" t="n">
        <v>654</v>
      </c>
      <c r="V1941" s="0" t="n">
        <v>2</v>
      </c>
      <c r="W1941" s="27" t="n">
        <f aca="false">MATCH(A1941,DATAS,0)</f>
        <v>1</v>
      </c>
      <c r="X1941" s="27" t="n">
        <f aca="false">IF(AND(E1941&gt;0,OR(AND(B1941&gt;=1,B1941&lt;=6),B1941=10)),1,0)</f>
        <v>0</v>
      </c>
      <c r="Y1941" s="27" t="n">
        <f aca="false">IF(AND(E1941&gt;0,B1941=10),1,0)</f>
        <v>0</v>
      </c>
      <c r="Z1941" s="0" t="str">
        <f aca="false">IF(AND(C1940=C1941,W1940=W1941-1),X1940,"")</f>
        <v/>
      </c>
      <c r="AA1941" s="0" t="str">
        <f aca="false">IF(AND(C1940=C1941,W1940=W1941-1),Y1940,"")</f>
        <v/>
      </c>
      <c r="AB1941" s="0" t="str">
        <f aca="false">IF(W1941=1,"",IF(AND(X1941=1,Z1941&lt;&gt;1),1,0))</f>
        <v/>
      </c>
      <c r="AC1941" s="0" t="str">
        <f aca="false">IF(W1941=1,"",IF(AND(Y1941=1,AA1941&lt;&gt;1),1,0))</f>
        <v/>
      </c>
      <c r="AD1941" s="33" t="str">
        <f aca="false">IF(AND(E1941&gt;0,W1941&lt;1,NOT(AND(C1942=C1941,W1942=W1941+1))),INDEX(DATAS,W1941+1),"")</f>
        <v/>
      </c>
      <c r="AE1941" s="33" t="str">
        <f aca="false">IF(AND(Y1941=1,W1941&lt;1),IF(AND(C1942=C1941,W1942=W1941+1),IF(Y1942=1,"",INDEX(DATAS,W1941+1)),INDEX(DATAS,W1941+1)),"")</f>
        <v/>
      </c>
    </row>
    <row r="1942" customFormat="false" ht="15" hidden="false" customHeight="false" outlineLevel="0" collapsed="false">
      <c r="A1942" s="33" t="n">
        <v>46309</v>
      </c>
      <c r="B1942" s="0" t="n">
        <v>8</v>
      </c>
      <c r="C1942" s="0" t="n">
        <v>6186</v>
      </c>
      <c r="E1942" s="0" t="n">
        <v>0</v>
      </c>
      <c r="F1942" s="27" t="s">
        <v>1116</v>
      </c>
      <c r="I1942" s="27" t="s">
        <v>138</v>
      </c>
      <c r="L1942" s="0" t="n">
        <v>141</v>
      </c>
      <c r="U1942" s="0" t="n">
        <v>653</v>
      </c>
      <c r="V1942" s="0" t="n">
        <v>7</v>
      </c>
      <c r="W1942" s="27" t="n">
        <f aca="false">MATCH(A1942,DATAS,0)</f>
        <v>1</v>
      </c>
      <c r="X1942" s="27" t="n">
        <f aca="false">IF(AND(E1942&gt;0,OR(AND(B1942&gt;=1,B1942&lt;=6),B1942=10)),1,0)</f>
        <v>0</v>
      </c>
      <c r="Y1942" s="27" t="n">
        <f aca="false">IF(AND(E1942&gt;0,B1942=10),1,0)</f>
        <v>0</v>
      </c>
      <c r="Z1942" s="0" t="str">
        <f aca="false">IF(AND(C1941=C1942,W1941=W1942-1),X1941,"")</f>
        <v/>
      </c>
      <c r="AA1942" s="0" t="str">
        <f aca="false">IF(AND(C1941=C1942,W1941=W1942-1),Y1941,"")</f>
        <v/>
      </c>
      <c r="AB1942" s="0" t="str">
        <f aca="false">IF(W1942=1,"",IF(AND(X1942=1,Z1942&lt;&gt;1),1,0))</f>
        <v/>
      </c>
      <c r="AC1942" s="0" t="str">
        <f aca="false">IF(W1942=1,"",IF(AND(Y1942=1,AA1942&lt;&gt;1),1,0))</f>
        <v/>
      </c>
      <c r="AD1942" s="33" t="str">
        <f aca="false">IF(AND(E1942&gt;0,W1942&lt;1,NOT(AND(C1943=C1942,W1943=W1942+1))),INDEX(DATAS,W1942+1),"")</f>
        <v/>
      </c>
      <c r="AE1942" s="33" t="str">
        <f aca="false">IF(AND(Y1942=1,W1942&lt;1),IF(AND(C1943=C1942,W1943=W1942+1),IF(Y1943=1,"",INDEX(DATAS,W1942+1)),INDEX(DATAS,W1942+1)),"")</f>
        <v/>
      </c>
    </row>
    <row r="1943" customFormat="false" ht="15" hidden="false" customHeight="false" outlineLevel="0" collapsed="false">
      <c r="A1943" s="33" t="n">
        <v>46309</v>
      </c>
      <c r="B1943" s="0" t="n">
        <v>8</v>
      </c>
      <c r="C1943" s="0" t="n">
        <v>6187</v>
      </c>
      <c r="E1943" s="0" t="n">
        <v>0</v>
      </c>
      <c r="F1943" s="27" t="s">
        <v>1116</v>
      </c>
      <c r="I1943" s="27" t="s">
        <v>138</v>
      </c>
      <c r="L1943" s="0" t="n">
        <v>185</v>
      </c>
      <c r="U1943" s="0" t="n">
        <v>653</v>
      </c>
      <c r="V1943" s="0" t="n">
        <v>5</v>
      </c>
      <c r="W1943" s="27" t="n">
        <f aca="false">MATCH(A1943,DATAS,0)</f>
        <v>1</v>
      </c>
      <c r="X1943" s="27" t="n">
        <f aca="false">IF(AND(E1943&gt;0,OR(AND(B1943&gt;=1,B1943&lt;=6),B1943=10)),1,0)</f>
        <v>0</v>
      </c>
      <c r="Y1943" s="27" t="n">
        <f aca="false">IF(AND(E1943&gt;0,B1943=10),1,0)</f>
        <v>0</v>
      </c>
      <c r="Z1943" s="0" t="str">
        <f aca="false">IF(AND(C1942=C1943,W1942=W1943-1),X1942,"")</f>
        <v/>
      </c>
      <c r="AA1943" s="0" t="str">
        <f aca="false">IF(AND(C1942=C1943,W1942=W1943-1),Y1942,"")</f>
        <v/>
      </c>
      <c r="AB1943" s="0" t="str">
        <f aca="false">IF(W1943=1,"",IF(AND(X1943=1,Z1943&lt;&gt;1),1,0))</f>
        <v/>
      </c>
      <c r="AC1943" s="0" t="str">
        <f aca="false">IF(W1943=1,"",IF(AND(Y1943=1,AA1943&lt;&gt;1),1,0))</f>
        <v/>
      </c>
      <c r="AD1943" s="33" t="str">
        <f aca="false">IF(AND(E1943&gt;0,W1943&lt;1,NOT(AND(C1944=C1943,W1944=W1943+1))),INDEX(DATAS,W1943+1),"")</f>
        <v/>
      </c>
      <c r="AE1943" s="33" t="str">
        <f aca="false">IF(AND(Y1943=1,W1943&lt;1),IF(AND(C1944=C1943,W1944=W1943+1),IF(Y1944=1,"",INDEX(DATAS,W1943+1)),INDEX(DATAS,W1943+1)),"")</f>
        <v/>
      </c>
    </row>
    <row r="1944" customFormat="false" ht="15" hidden="false" customHeight="false" outlineLevel="0" collapsed="false">
      <c r="A1944" s="33" t="n">
        <v>46309</v>
      </c>
      <c r="B1944" s="0" t="n">
        <v>1</v>
      </c>
      <c r="C1944" s="0" t="n">
        <v>6188</v>
      </c>
      <c r="D1944" s="0" t="n">
        <v>18</v>
      </c>
      <c r="E1944" s="0" t="n">
        <v>1</v>
      </c>
      <c r="F1944" s="27" t="s">
        <v>1116</v>
      </c>
      <c r="G1944" s="0" t="n">
        <v>39.2</v>
      </c>
      <c r="H1944" s="0" t="n">
        <v>40</v>
      </c>
      <c r="I1944" s="27" t="s">
        <v>147</v>
      </c>
      <c r="J1944" s="0" t="n">
        <v>18</v>
      </c>
      <c r="R1944" s="0" t="n">
        <v>3430</v>
      </c>
      <c r="S1944" s="0" t="n">
        <v>6896</v>
      </c>
      <c r="U1944" s="0" t="n">
        <v>653</v>
      </c>
      <c r="V1944" s="0" t="n">
        <v>0</v>
      </c>
      <c r="W1944" s="27" t="n">
        <f aca="false">MATCH(A1944,DATAS,0)</f>
        <v>1</v>
      </c>
      <c r="X1944" s="27" t="n">
        <f aca="false">IF(AND(E1944&gt;0,OR(AND(B1944&gt;=1,B1944&lt;=6),B1944=10)),1,0)</f>
        <v>1</v>
      </c>
      <c r="Y1944" s="27" t="n">
        <f aca="false">IF(AND(E1944&gt;0,B1944=10),1,0)</f>
        <v>0</v>
      </c>
      <c r="Z1944" s="0" t="str">
        <f aca="false">IF(AND(C1943=C1944,W1943=W1944-1),X1943,"")</f>
        <v/>
      </c>
      <c r="AA1944" s="0" t="str">
        <f aca="false">IF(AND(C1943=C1944,W1943=W1944-1),Y1943,"")</f>
        <v/>
      </c>
      <c r="AB1944" s="0" t="str">
        <f aca="false">IF(W1944=1,"",IF(AND(X1944=1,Z1944&lt;&gt;1),1,0))</f>
        <v/>
      </c>
      <c r="AC1944" s="0" t="str">
        <f aca="false">IF(W1944=1,"",IF(AND(Y1944=1,AA1944&lt;&gt;1),1,0))</f>
        <v/>
      </c>
      <c r="AD1944" s="33" t="str">
        <f aca="false">IF(AND(E1944&gt;0,W1944&lt;1,NOT(AND(C1945=C1944,W1945=W1944+1))),INDEX(DATAS,W1944+1),"")</f>
        <v/>
      </c>
      <c r="AE1944" s="33" t="str">
        <f aca="false">IF(AND(Y1944=1,W1944&lt;1),IF(AND(C1945=C1944,W1945=W1944+1),IF(Y1945=1,"",INDEX(DATAS,W1944+1)),INDEX(DATAS,W1944+1)),"")</f>
        <v/>
      </c>
    </row>
    <row r="1945" customFormat="false" ht="15" hidden="false" customHeight="false" outlineLevel="0" collapsed="false">
      <c r="A1945" s="33" t="n">
        <v>46309</v>
      </c>
      <c r="B1945" s="0" t="n">
        <v>8</v>
      </c>
      <c r="C1945" s="0" t="n">
        <v>6189</v>
      </c>
      <c r="E1945" s="0" t="n">
        <v>0</v>
      </c>
      <c r="F1945" s="27" t="s">
        <v>1116</v>
      </c>
      <c r="I1945" s="27" t="s">
        <v>138</v>
      </c>
      <c r="L1945" s="0" t="n">
        <v>210</v>
      </c>
      <c r="U1945" s="0" t="n">
        <v>653</v>
      </c>
      <c r="V1945" s="0" t="n">
        <v>3</v>
      </c>
      <c r="W1945" s="27" t="n">
        <f aca="false">MATCH(A1945,DATAS,0)</f>
        <v>1</v>
      </c>
      <c r="X1945" s="27" t="n">
        <f aca="false">IF(AND(E1945&gt;0,OR(AND(B1945&gt;=1,B1945&lt;=6),B1945=10)),1,0)</f>
        <v>0</v>
      </c>
      <c r="Y1945" s="27" t="n">
        <f aca="false">IF(AND(E1945&gt;0,B1945=10),1,0)</f>
        <v>0</v>
      </c>
      <c r="Z1945" s="0" t="str">
        <f aca="false">IF(AND(C1944=C1945,W1944=W1945-1),X1944,"")</f>
        <v/>
      </c>
      <c r="AA1945" s="0" t="str">
        <f aca="false">IF(AND(C1944=C1945,W1944=W1945-1),Y1944,"")</f>
        <v/>
      </c>
      <c r="AB1945" s="0" t="str">
        <f aca="false">IF(W1945=1,"",IF(AND(X1945=1,Z1945&lt;&gt;1),1,0))</f>
        <v/>
      </c>
      <c r="AC1945" s="0" t="str">
        <f aca="false">IF(W1945=1,"",IF(AND(Y1945=1,AA1945&lt;&gt;1),1,0))</f>
        <v/>
      </c>
      <c r="AD1945" s="33" t="str">
        <f aca="false">IF(AND(E1945&gt;0,W1945&lt;1,NOT(AND(C1946=C1945,W1946=W1945+1))),INDEX(DATAS,W1945+1),"")</f>
        <v/>
      </c>
      <c r="AE1945" s="33" t="str">
        <f aca="false">IF(AND(Y1945=1,W1945&lt;1),IF(AND(C1946=C1945,W1946=W1945+1),IF(Y1946=1,"",INDEX(DATAS,W1945+1)),INDEX(DATAS,W1945+1)),"")</f>
        <v/>
      </c>
    </row>
    <row r="1946" customFormat="false" ht="15" hidden="false" customHeight="false" outlineLevel="0" collapsed="false">
      <c r="A1946" s="33" t="n">
        <v>46309</v>
      </c>
      <c r="B1946" s="0" t="n">
        <v>8</v>
      </c>
      <c r="C1946" s="0" t="n">
        <v>6190</v>
      </c>
      <c r="E1946" s="0" t="n">
        <v>0</v>
      </c>
      <c r="F1946" s="27" t="s">
        <v>1117</v>
      </c>
      <c r="I1946" s="27" t="s">
        <v>138</v>
      </c>
      <c r="L1946" s="0" t="n">
        <v>160</v>
      </c>
      <c r="U1946" s="0" t="n">
        <v>652</v>
      </c>
      <c r="V1946" s="0" t="n">
        <v>4</v>
      </c>
      <c r="W1946" s="27" t="n">
        <f aca="false">MATCH(A1946,DATAS,0)</f>
        <v>1</v>
      </c>
      <c r="X1946" s="27" t="n">
        <f aca="false">IF(AND(E1946&gt;0,OR(AND(B1946&gt;=1,B1946&lt;=6),B1946=10)),1,0)</f>
        <v>0</v>
      </c>
      <c r="Y1946" s="27" t="n">
        <f aca="false">IF(AND(E1946&gt;0,B1946=10),1,0)</f>
        <v>0</v>
      </c>
      <c r="Z1946" s="0" t="str">
        <f aca="false">IF(AND(C1945=C1946,W1945=W1946-1),X1945,"")</f>
        <v/>
      </c>
      <c r="AA1946" s="0" t="str">
        <f aca="false">IF(AND(C1945=C1946,W1945=W1946-1),Y1945,"")</f>
        <v/>
      </c>
      <c r="AB1946" s="0" t="str">
        <f aca="false">IF(W1946=1,"",IF(AND(X1946=1,Z1946&lt;&gt;1),1,0))</f>
        <v/>
      </c>
      <c r="AC1946" s="0" t="str">
        <f aca="false">IF(W1946=1,"",IF(AND(Y1946=1,AA1946&lt;&gt;1),1,0))</f>
        <v/>
      </c>
      <c r="AD1946" s="33" t="str">
        <f aca="false">IF(AND(E1946&gt;0,W1946&lt;1,NOT(AND(C1947=C1946,W1947=W1946+1))),INDEX(DATAS,W1946+1),"")</f>
        <v/>
      </c>
      <c r="AE1946" s="33" t="str">
        <f aca="false">IF(AND(Y1946=1,W1946&lt;1),IF(AND(C1947=C1946,W1947=W1946+1),IF(Y1947=1,"",INDEX(DATAS,W1946+1)),INDEX(DATAS,W1946+1)),"")</f>
        <v/>
      </c>
    </row>
    <row r="1947" customFormat="false" ht="15" hidden="false" customHeight="false" outlineLevel="0" collapsed="false">
      <c r="A1947" s="33" t="n">
        <v>46309</v>
      </c>
      <c r="B1947" s="0" t="n">
        <v>8</v>
      </c>
      <c r="C1947" s="0" t="n">
        <v>6191</v>
      </c>
      <c r="E1947" s="0" t="n">
        <v>0</v>
      </c>
      <c r="F1947" s="27" t="s">
        <v>1118</v>
      </c>
      <c r="I1947" s="27" t="s">
        <v>138</v>
      </c>
      <c r="L1947" s="0" t="n">
        <v>109</v>
      </c>
      <c r="U1947" s="0" t="n">
        <v>651</v>
      </c>
      <c r="V1947" s="0" t="n">
        <v>6</v>
      </c>
      <c r="W1947" s="27" t="n">
        <f aca="false">MATCH(A1947,DATAS,0)</f>
        <v>1</v>
      </c>
      <c r="X1947" s="27" t="n">
        <f aca="false">IF(AND(E1947&gt;0,OR(AND(B1947&gt;=1,B1947&lt;=6),B1947=10)),1,0)</f>
        <v>0</v>
      </c>
      <c r="Y1947" s="27" t="n">
        <f aca="false">IF(AND(E1947&gt;0,B1947=10),1,0)</f>
        <v>0</v>
      </c>
      <c r="Z1947" s="0" t="str">
        <f aca="false">IF(AND(C1946=C1947,W1946=W1947-1),X1946,"")</f>
        <v/>
      </c>
      <c r="AA1947" s="0" t="str">
        <f aca="false">IF(AND(C1946=C1947,W1946=W1947-1),Y1946,"")</f>
        <v/>
      </c>
      <c r="AB1947" s="0" t="str">
        <f aca="false">IF(W1947=1,"",IF(AND(X1947=1,Z1947&lt;&gt;1),1,0))</f>
        <v/>
      </c>
      <c r="AC1947" s="0" t="str">
        <f aca="false">IF(W1947=1,"",IF(AND(Y1947=1,AA1947&lt;&gt;1),1,0))</f>
        <v/>
      </c>
      <c r="AD1947" s="33" t="str">
        <f aca="false">IF(AND(E1947&gt;0,W1947&lt;1,NOT(AND(C1948=C1947,W1948=W1947+1))),INDEX(DATAS,W1947+1),"")</f>
        <v/>
      </c>
      <c r="AE1947" s="33" t="str">
        <f aca="false">IF(AND(Y1947=1,W1947&lt;1),IF(AND(C1948=C1947,W1948=W1947+1),IF(Y1948=1,"",INDEX(DATAS,W1947+1)),INDEX(DATAS,W1947+1)),"")</f>
        <v/>
      </c>
    </row>
    <row r="1948" customFormat="false" ht="15" hidden="false" customHeight="false" outlineLevel="0" collapsed="false">
      <c r="A1948" s="33" t="n">
        <v>46309</v>
      </c>
      <c r="B1948" s="0" t="n">
        <v>1</v>
      </c>
      <c r="C1948" s="0" t="n">
        <v>6193</v>
      </c>
      <c r="D1948" s="0" t="n">
        <v>7</v>
      </c>
      <c r="E1948" s="0" t="n">
        <v>1</v>
      </c>
      <c r="F1948" s="27" t="s">
        <v>1118</v>
      </c>
      <c r="G1948" s="0" t="n">
        <v>29.3</v>
      </c>
      <c r="H1948" s="0" t="n">
        <v>24</v>
      </c>
      <c r="I1948" s="27" t="s">
        <v>147</v>
      </c>
      <c r="J1948" s="0" t="n">
        <v>7</v>
      </c>
      <c r="R1948" s="0" t="n">
        <v>2505</v>
      </c>
      <c r="S1948" s="0" t="n">
        <v>5035</v>
      </c>
      <c r="U1948" s="0" t="n">
        <v>651</v>
      </c>
      <c r="V1948" s="0" t="n">
        <v>0</v>
      </c>
      <c r="W1948" s="27" t="n">
        <f aca="false">MATCH(A1948,DATAS,0)</f>
        <v>1</v>
      </c>
      <c r="X1948" s="27" t="n">
        <f aca="false">IF(AND(E1948&gt;0,OR(AND(B1948&gt;=1,B1948&lt;=6),B1948=10)),1,0)</f>
        <v>1</v>
      </c>
      <c r="Y1948" s="27" t="n">
        <f aca="false">IF(AND(E1948&gt;0,B1948=10),1,0)</f>
        <v>0</v>
      </c>
      <c r="Z1948" s="0" t="str">
        <f aca="false">IF(AND(C1947=C1948,W1947=W1948-1),X1947,"")</f>
        <v/>
      </c>
      <c r="AA1948" s="0" t="str">
        <f aca="false">IF(AND(C1947=C1948,W1947=W1948-1),Y1947,"")</f>
        <v/>
      </c>
      <c r="AB1948" s="0" t="str">
        <f aca="false">IF(W1948=1,"",IF(AND(X1948=1,Z1948&lt;&gt;1),1,0))</f>
        <v/>
      </c>
      <c r="AC1948" s="0" t="str">
        <f aca="false">IF(W1948=1,"",IF(AND(Y1948=1,AA1948&lt;&gt;1),1,0))</f>
        <v/>
      </c>
      <c r="AD1948" s="33" t="str">
        <f aca="false">IF(AND(E1948&gt;0,W1948&lt;1,NOT(AND(C1949=C1948,W1949=W1948+1))),INDEX(DATAS,W1948+1),"")</f>
        <v/>
      </c>
      <c r="AE1948" s="33" t="str">
        <f aca="false">IF(AND(Y1948=1,W1948&lt;1),IF(AND(C1949=C1948,W1949=W1948+1),IF(Y1949=1,"",INDEX(DATAS,W1948+1)),INDEX(DATAS,W1948+1)),"")</f>
        <v/>
      </c>
    </row>
    <row r="1949" customFormat="false" ht="15" hidden="false" customHeight="false" outlineLevel="0" collapsed="false">
      <c r="A1949" s="33" t="n">
        <v>46309</v>
      </c>
      <c r="B1949" s="0" t="n">
        <v>1</v>
      </c>
      <c r="C1949" s="0" t="n">
        <v>6195</v>
      </c>
      <c r="D1949" s="0" t="n">
        <v>24</v>
      </c>
      <c r="E1949" s="0" t="n">
        <v>1</v>
      </c>
      <c r="F1949" s="27" t="s">
        <v>1118</v>
      </c>
      <c r="G1949" s="0" t="n">
        <v>16.3</v>
      </c>
      <c r="H1949" s="0" t="n">
        <v>13</v>
      </c>
      <c r="I1949" s="27" t="s">
        <v>147</v>
      </c>
      <c r="J1949" s="0" t="n">
        <v>24</v>
      </c>
      <c r="R1949" s="0" t="n">
        <v>865</v>
      </c>
      <c r="S1949" s="0" t="n">
        <v>1739</v>
      </c>
      <c r="U1949" s="0" t="n">
        <v>651</v>
      </c>
      <c r="V1949" s="0" t="n">
        <v>0</v>
      </c>
      <c r="W1949" s="27" t="n">
        <f aca="false">MATCH(A1949,DATAS,0)</f>
        <v>1</v>
      </c>
      <c r="X1949" s="27" t="n">
        <f aca="false">IF(AND(E1949&gt;0,OR(AND(B1949&gt;=1,B1949&lt;=6),B1949=10)),1,0)</f>
        <v>1</v>
      </c>
      <c r="Y1949" s="27" t="n">
        <f aca="false">IF(AND(E1949&gt;0,B1949=10),1,0)</f>
        <v>0</v>
      </c>
      <c r="Z1949" s="0" t="str">
        <f aca="false">IF(AND(C1948=C1949,W1948=W1949-1),X1948,"")</f>
        <v/>
      </c>
      <c r="AA1949" s="0" t="str">
        <f aca="false">IF(AND(C1948=C1949,W1948=W1949-1),Y1948,"")</f>
        <v/>
      </c>
      <c r="AB1949" s="0" t="str">
        <f aca="false">IF(W1949=1,"",IF(AND(X1949=1,Z1949&lt;&gt;1),1,0))</f>
        <v/>
      </c>
      <c r="AC1949" s="0" t="str">
        <f aca="false">IF(W1949=1,"",IF(AND(Y1949=1,AA1949&lt;&gt;1),1,0))</f>
        <v/>
      </c>
      <c r="AD1949" s="33" t="str">
        <f aca="false">IF(AND(E1949&gt;0,W1949&lt;1,NOT(AND(C1950=C1949,W1950=W1949+1))),INDEX(DATAS,W1949+1),"")</f>
        <v/>
      </c>
      <c r="AE1949" s="33" t="str">
        <f aca="false">IF(AND(Y1949=1,W1949&lt;1),IF(AND(C1950=C1949,W1950=W1949+1),IF(Y1950=1,"",INDEX(DATAS,W1949+1)),INDEX(DATAS,W1949+1)),"")</f>
        <v/>
      </c>
    </row>
    <row r="1950" customFormat="false" ht="15" hidden="false" customHeight="false" outlineLevel="0" collapsed="false">
      <c r="A1950" s="33" t="n">
        <v>46309</v>
      </c>
      <c r="B1950" s="0" t="n">
        <v>13</v>
      </c>
      <c r="C1950" s="0" t="n">
        <v>6196</v>
      </c>
      <c r="E1950" s="0" t="n">
        <v>0</v>
      </c>
      <c r="F1950" s="27" t="s">
        <v>1119</v>
      </c>
      <c r="I1950" s="27" t="s">
        <v>176</v>
      </c>
      <c r="U1950" s="0" t="n">
        <v>649</v>
      </c>
      <c r="V1950" s="0" t="n">
        <v>0</v>
      </c>
      <c r="W1950" s="27" t="n">
        <f aca="false">MATCH(A1950,DATAS,0)</f>
        <v>1</v>
      </c>
      <c r="X1950" s="27" t="n">
        <f aca="false">IF(AND(E1950&gt;0,OR(AND(B1950&gt;=1,B1950&lt;=6),B1950=10)),1,0)</f>
        <v>0</v>
      </c>
      <c r="Y1950" s="27" t="n">
        <f aca="false">IF(AND(E1950&gt;0,B1950=10),1,0)</f>
        <v>0</v>
      </c>
      <c r="Z1950" s="0" t="str">
        <f aca="false">IF(AND(C1949=C1950,W1949=W1950-1),X1949,"")</f>
        <v/>
      </c>
      <c r="AA1950" s="0" t="str">
        <f aca="false">IF(AND(C1949=C1950,W1949=W1950-1),Y1949,"")</f>
        <v/>
      </c>
      <c r="AB1950" s="0" t="str">
        <f aca="false">IF(W1950=1,"",IF(AND(X1950=1,Z1950&lt;&gt;1),1,0))</f>
        <v/>
      </c>
      <c r="AC1950" s="0" t="str">
        <f aca="false">IF(W1950=1,"",IF(AND(Y1950=1,AA1950&lt;&gt;1),1,0))</f>
        <v/>
      </c>
      <c r="AD1950" s="33" t="str">
        <f aca="false">IF(AND(E1950&gt;0,W1950&lt;1,NOT(AND(C1951=C1950,W1951=W1950+1))),INDEX(DATAS,W1950+1),"")</f>
        <v/>
      </c>
      <c r="AE1950" s="33" t="str">
        <f aca="false">IF(AND(Y1950=1,W1950&lt;1),IF(AND(C1951=C1950,W1951=W1950+1),IF(Y1951=1,"",INDEX(DATAS,W1950+1)),INDEX(DATAS,W1950+1)),"")</f>
        <v/>
      </c>
    </row>
    <row r="1951" customFormat="false" ht="15" hidden="false" customHeight="false" outlineLevel="0" collapsed="false">
      <c r="A1951" s="33" t="n">
        <v>46309</v>
      </c>
      <c r="B1951" s="0" t="n">
        <v>8</v>
      </c>
      <c r="C1951" s="0" t="n">
        <v>6197</v>
      </c>
      <c r="E1951" s="0" t="n">
        <v>0</v>
      </c>
      <c r="F1951" s="27" t="s">
        <v>1119</v>
      </c>
      <c r="I1951" s="27" t="s">
        <v>138</v>
      </c>
      <c r="L1951" s="0" t="n">
        <v>78</v>
      </c>
      <c r="U1951" s="0" t="n">
        <v>649</v>
      </c>
      <c r="V1951" s="0" t="n">
        <v>7</v>
      </c>
      <c r="W1951" s="27" t="n">
        <f aca="false">MATCH(A1951,DATAS,0)</f>
        <v>1</v>
      </c>
      <c r="X1951" s="27" t="n">
        <f aca="false">IF(AND(E1951&gt;0,OR(AND(B1951&gt;=1,B1951&lt;=6),B1951=10)),1,0)</f>
        <v>0</v>
      </c>
      <c r="Y1951" s="27" t="n">
        <f aca="false">IF(AND(E1951&gt;0,B1951=10),1,0)</f>
        <v>0</v>
      </c>
      <c r="Z1951" s="0" t="str">
        <f aca="false">IF(AND(C1950=C1951,W1950=W1951-1),X1950,"")</f>
        <v/>
      </c>
      <c r="AA1951" s="0" t="str">
        <f aca="false">IF(AND(C1950=C1951,W1950=W1951-1),Y1950,"")</f>
        <v/>
      </c>
      <c r="AB1951" s="0" t="str">
        <f aca="false">IF(W1951=1,"",IF(AND(X1951=1,Z1951&lt;&gt;1),1,0))</f>
        <v/>
      </c>
      <c r="AC1951" s="0" t="str">
        <f aca="false">IF(W1951=1,"",IF(AND(Y1951=1,AA1951&lt;&gt;1),1,0))</f>
        <v/>
      </c>
      <c r="AD1951" s="33" t="str">
        <f aca="false">IF(AND(E1951&gt;0,W1951&lt;1,NOT(AND(C1952=C1951,W1952=W1951+1))),INDEX(DATAS,W1951+1),"")</f>
        <v/>
      </c>
      <c r="AE1951" s="33" t="str">
        <f aca="false">IF(AND(Y1951=1,W1951&lt;1),IF(AND(C1952=C1951,W1952=W1951+1),IF(Y1952=1,"",INDEX(DATAS,W1951+1)),INDEX(DATAS,W1951+1)),"")</f>
        <v/>
      </c>
    </row>
    <row r="1952" customFormat="false" ht="15" hidden="false" customHeight="false" outlineLevel="0" collapsed="false">
      <c r="A1952" s="33" t="n">
        <v>46309</v>
      </c>
      <c r="B1952" s="0" t="n">
        <v>10</v>
      </c>
      <c r="C1952" s="0" t="n">
        <v>6199</v>
      </c>
      <c r="D1952" s="0" t="n">
        <v>11</v>
      </c>
      <c r="E1952" s="0" t="n">
        <v>1</v>
      </c>
      <c r="F1952" s="27" t="s">
        <v>1120</v>
      </c>
      <c r="H1952" s="0" t="n">
        <v>21</v>
      </c>
      <c r="I1952" s="27" t="s">
        <v>147</v>
      </c>
      <c r="J1952" s="0" t="n">
        <v>11</v>
      </c>
      <c r="R1952" s="0" t="n">
        <v>1906</v>
      </c>
      <c r="S1952" s="0" t="n">
        <v>3831</v>
      </c>
      <c r="U1952" s="0" t="n">
        <v>647</v>
      </c>
      <c r="V1952" s="0" t="n">
        <v>0</v>
      </c>
      <c r="W1952" s="27" t="n">
        <f aca="false">MATCH(A1952,DATAS,0)</f>
        <v>1</v>
      </c>
      <c r="X1952" s="27" t="n">
        <f aca="false">IF(AND(E1952&gt;0,OR(AND(B1952&gt;=1,B1952&lt;=6),B1952=10)),1,0)</f>
        <v>1</v>
      </c>
      <c r="Y1952" s="27" t="n">
        <f aca="false">IF(AND(E1952&gt;0,B1952=10),1,0)</f>
        <v>1</v>
      </c>
      <c r="Z1952" s="0" t="str">
        <f aca="false">IF(AND(C1951=C1952,W1951=W1952-1),X1951,"")</f>
        <v/>
      </c>
      <c r="AA1952" s="0" t="str">
        <f aca="false">IF(AND(C1951=C1952,W1951=W1952-1),Y1951,"")</f>
        <v/>
      </c>
      <c r="AB1952" s="0" t="str">
        <f aca="false">IF(W1952=1,"",IF(AND(X1952=1,Z1952&lt;&gt;1),1,0))</f>
        <v/>
      </c>
      <c r="AC1952" s="0" t="str">
        <f aca="false">IF(W1952=1,"",IF(AND(Y1952=1,AA1952&lt;&gt;1),1,0))</f>
        <v/>
      </c>
      <c r="AD1952" s="33" t="str">
        <f aca="false">IF(AND(E1952&gt;0,W1952&lt;1,NOT(AND(C1953=C1952,W1953=W1952+1))),INDEX(DATAS,W1952+1),"")</f>
        <v/>
      </c>
      <c r="AE1952" s="33" t="str">
        <f aca="false">IF(AND(Y1952=1,W1952&lt;1),IF(AND(C1953=C1952,W1953=W1952+1),IF(Y1953=1,"",INDEX(DATAS,W1952+1)),INDEX(DATAS,W1952+1)),"")</f>
        <v/>
      </c>
    </row>
    <row r="1953" customFormat="false" ht="15" hidden="false" customHeight="false" outlineLevel="0" collapsed="false">
      <c r="A1953" s="33" t="n">
        <v>46309</v>
      </c>
      <c r="B1953" s="0" t="n">
        <v>14</v>
      </c>
      <c r="C1953" s="0" t="n">
        <v>6200</v>
      </c>
      <c r="E1953" s="0" t="n">
        <v>0</v>
      </c>
      <c r="F1953" s="27" t="s">
        <v>1120</v>
      </c>
      <c r="I1953" s="27" t="s">
        <v>138</v>
      </c>
      <c r="L1953" s="0" t="n">
        <v>283</v>
      </c>
      <c r="U1953" s="0" t="n">
        <v>647</v>
      </c>
      <c r="V1953" s="0" t="n">
        <v>1</v>
      </c>
      <c r="W1953" s="27" t="n">
        <f aca="false">MATCH(A1953,DATAS,0)</f>
        <v>1</v>
      </c>
      <c r="X1953" s="27" t="n">
        <f aca="false">IF(AND(E1953&gt;0,OR(AND(B1953&gt;=1,B1953&lt;=6),B1953=10)),1,0)</f>
        <v>0</v>
      </c>
      <c r="Y1953" s="27" t="n">
        <f aca="false">IF(AND(E1953&gt;0,B1953=10),1,0)</f>
        <v>0</v>
      </c>
      <c r="Z1953" s="0" t="str">
        <f aca="false">IF(AND(C1952=C1953,W1952=W1953-1),X1952,"")</f>
        <v/>
      </c>
      <c r="AA1953" s="0" t="str">
        <f aca="false">IF(AND(C1952=C1953,W1952=W1953-1),Y1952,"")</f>
        <v/>
      </c>
      <c r="AB1953" s="0" t="str">
        <f aca="false">IF(W1953=1,"",IF(AND(X1953=1,Z1953&lt;&gt;1),1,0))</f>
        <v/>
      </c>
      <c r="AC1953" s="0" t="str">
        <f aca="false">IF(W1953=1,"",IF(AND(Y1953=1,AA1953&lt;&gt;1),1,0))</f>
        <v/>
      </c>
      <c r="AD1953" s="33" t="str">
        <f aca="false">IF(AND(E1953&gt;0,W1953&lt;1,NOT(AND(C1954=C1953,W1954=W1953+1))),INDEX(DATAS,W1953+1),"")</f>
        <v/>
      </c>
      <c r="AE1953" s="33" t="str">
        <f aca="false">IF(AND(Y1953=1,W1953&lt;1),IF(AND(C1954=C1953,W1954=W1953+1),IF(Y1954=1,"",INDEX(DATAS,W1953+1)),INDEX(DATAS,W1953+1)),"")</f>
        <v/>
      </c>
    </row>
    <row r="1954" customFormat="false" ht="15" hidden="false" customHeight="false" outlineLevel="0" collapsed="false">
      <c r="A1954" s="33" t="n">
        <v>46309</v>
      </c>
      <c r="B1954" s="0" t="n">
        <v>1</v>
      </c>
      <c r="C1954" s="0" t="n">
        <v>6202</v>
      </c>
      <c r="D1954" s="0" t="n">
        <v>5</v>
      </c>
      <c r="E1954" s="0" t="n">
        <v>1</v>
      </c>
      <c r="F1954" s="27" t="s">
        <v>1120</v>
      </c>
      <c r="G1954" s="0" t="n">
        <v>27.2</v>
      </c>
      <c r="H1954" s="0" t="n">
        <v>24</v>
      </c>
      <c r="I1954" s="27" t="s">
        <v>147</v>
      </c>
      <c r="J1954" s="0" t="n">
        <v>5</v>
      </c>
      <c r="R1954" s="0" t="n">
        <v>2658</v>
      </c>
      <c r="S1954" s="0" t="n">
        <v>5343</v>
      </c>
      <c r="U1954" s="0" t="n">
        <v>647</v>
      </c>
      <c r="V1954" s="0" t="n">
        <v>0</v>
      </c>
      <c r="W1954" s="27" t="n">
        <f aca="false">MATCH(A1954,DATAS,0)</f>
        <v>1</v>
      </c>
      <c r="X1954" s="27" t="n">
        <f aca="false">IF(AND(E1954&gt;0,OR(AND(B1954&gt;=1,B1954&lt;=6),B1954=10)),1,0)</f>
        <v>1</v>
      </c>
      <c r="Y1954" s="27" t="n">
        <f aca="false">IF(AND(E1954&gt;0,B1954=10),1,0)</f>
        <v>0</v>
      </c>
      <c r="Z1954" s="0" t="str">
        <f aca="false">IF(AND(C1953=C1954,W1953=W1954-1),X1953,"")</f>
        <v/>
      </c>
      <c r="AA1954" s="0" t="str">
        <f aca="false">IF(AND(C1953=C1954,W1953=W1954-1),Y1953,"")</f>
        <v/>
      </c>
      <c r="AB1954" s="0" t="str">
        <f aca="false">IF(W1954=1,"",IF(AND(X1954=1,Z1954&lt;&gt;1),1,0))</f>
        <v/>
      </c>
      <c r="AC1954" s="0" t="str">
        <f aca="false">IF(W1954=1,"",IF(AND(Y1954=1,AA1954&lt;&gt;1),1,0))</f>
        <v/>
      </c>
      <c r="AD1954" s="33" t="str">
        <f aca="false">IF(AND(E1954&gt;0,W1954&lt;1,NOT(AND(C1955=C1954,W1955=W1954+1))),INDEX(DATAS,W1954+1),"")</f>
        <v/>
      </c>
      <c r="AE1954" s="33" t="str">
        <f aca="false">IF(AND(Y1954=1,W1954&lt;1),IF(AND(C1955=C1954,W1955=W1954+1),IF(Y1955=1,"",INDEX(DATAS,W1954+1)),INDEX(DATAS,W1954+1)),"")</f>
        <v/>
      </c>
    </row>
    <row r="1955" customFormat="false" ht="15" hidden="false" customHeight="false" outlineLevel="0" collapsed="false">
      <c r="A1955" s="33" t="n">
        <v>46309</v>
      </c>
      <c r="B1955" s="0" t="n">
        <v>1</v>
      </c>
      <c r="C1955" s="0" t="n">
        <v>6203</v>
      </c>
      <c r="D1955" s="0" t="n">
        <v>14</v>
      </c>
      <c r="E1955" s="0" t="n">
        <v>1</v>
      </c>
      <c r="F1955" s="27" t="s">
        <v>1120</v>
      </c>
      <c r="I1955" s="27" t="s">
        <v>147</v>
      </c>
      <c r="J1955" s="0" t="n">
        <v>14</v>
      </c>
      <c r="U1955" s="0" t="n">
        <v>647</v>
      </c>
      <c r="V1955" s="0" t="n">
        <v>0</v>
      </c>
      <c r="W1955" s="27" t="n">
        <f aca="false">MATCH(A1955,DATAS,0)</f>
        <v>1</v>
      </c>
      <c r="X1955" s="27" t="n">
        <f aca="false">IF(AND(E1955&gt;0,OR(AND(B1955&gt;=1,B1955&lt;=6),B1955=10)),1,0)</f>
        <v>1</v>
      </c>
      <c r="Y1955" s="27" t="n">
        <f aca="false">IF(AND(E1955&gt;0,B1955=10),1,0)</f>
        <v>0</v>
      </c>
      <c r="Z1955" s="0" t="str">
        <f aca="false">IF(AND(C1954=C1955,W1954=W1955-1),X1954,"")</f>
        <v/>
      </c>
      <c r="AA1955" s="0" t="str">
        <f aca="false">IF(AND(C1954=C1955,W1954=W1955-1),Y1954,"")</f>
        <v/>
      </c>
      <c r="AB1955" s="0" t="str">
        <f aca="false">IF(W1955=1,"",IF(AND(X1955=1,Z1955&lt;&gt;1),1,0))</f>
        <v/>
      </c>
      <c r="AC1955" s="0" t="str">
        <f aca="false">IF(W1955=1,"",IF(AND(Y1955=1,AA1955&lt;&gt;1),1,0))</f>
        <v/>
      </c>
      <c r="AD1955" s="33" t="str">
        <f aca="false">IF(AND(E1955&gt;0,W1955&lt;1,NOT(AND(C1956=C1955,W1956=W1955+1))),INDEX(DATAS,W1955+1),"")</f>
        <v/>
      </c>
      <c r="AE1955" s="33" t="str">
        <f aca="false">IF(AND(Y1955=1,W1955&lt;1),IF(AND(C1956=C1955,W1956=W1955+1),IF(Y1956=1,"",INDEX(DATAS,W1955+1)),INDEX(DATAS,W1955+1)),"")</f>
        <v/>
      </c>
    </row>
    <row r="1956" customFormat="false" ht="15" hidden="false" customHeight="false" outlineLevel="0" collapsed="false">
      <c r="A1956" s="33" t="n">
        <v>46309</v>
      </c>
      <c r="B1956" s="0" t="n">
        <v>1</v>
      </c>
      <c r="C1956" s="0" t="n">
        <v>6206</v>
      </c>
      <c r="D1956" s="0" t="n">
        <v>11</v>
      </c>
      <c r="E1956" s="0" t="n">
        <v>1</v>
      </c>
      <c r="F1956" s="27" t="s">
        <v>1121</v>
      </c>
      <c r="I1956" s="27" t="s">
        <v>147</v>
      </c>
      <c r="J1956" s="0" t="n">
        <v>11</v>
      </c>
      <c r="U1956" s="0" t="n">
        <v>646</v>
      </c>
      <c r="V1956" s="0" t="n">
        <v>0</v>
      </c>
      <c r="W1956" s="27" t="n">
        <f aca="false">MATCH(A1956,DATAS,0)</f>
        <v>1</v>
      </c>
      <c r="X1956" s="27" t="n">
        <f aca="false">IF(AND(E1956&gt;0,OR(AND(B1956&gt;=1,B1956&lt;=6),B1956=10)),1,0)</f>
        <v>1</v>
      </c>
      <c r="Y1956" s="27" t="n">
        <f aca="false">IF(AND(E1956&gt;0,B1956=10),1,0)</f>
        <v>0</v>
      </c>
      <c r="Z1956" s="0" t="str">
        <f aca="false">IF(AND(C1955=C1956,W1955=W1956-1),X1955,"")</f>
        <v/>
      </c>
      <c r="AA1956" s="0" t="str">
        <f aca="false">IF(AND(C1955=C1956,W1955=W1956-1),Y1955,"")</f>
        <v/>
      </c>
      <c r="AB1956" s="0" t="str">
        <f aca="false">IF(W1956=1,"",IF(AND(X1956=1,Z1956&lt;&gt;1),1,0))</f>
        <v/>
      </c>
      <c r="AC1956" s="0" t="str">
        <f aca="false">IF(W1956=1,"",IF(AND(Y1956=1,AA1956&lt;&gt;1),1,0))</f>
        <v/>
      </c>
      <c r="AD1956" s="33" t="str">
        <f aca="false">IF(AND(E1956&gt;0,W1956&lt;1,NOT(AND(C1957=C1956,W1957=W1956+1))),INDEX(DATAS,W1956+1),"")</f>
        <v/>
      </c>
      <c r="AE1956" s="33" t="str">
        <f aca="false">IF(AND(Y1956=1,W1956&lt;1),IF(AND(C1957=C1956,W1957=W1956+1),IF(Y1957=1,"",INDEX(DATAS,W1956+1)),INDEX(DATAS,W1956+1)),"")</f>
        <v/>
      </c>
    </row>
    <row r="1957" customFormat="false" ht="15" hidden="false" customHeight="false" outlineLevel="0" collapsed="false">
      <c r="A1957" s="33" t="n">
        <v>46309</v>
      </c>
      <c r="B1957" s="0" t="n">
        <v>14</v>
      </c>
      <c r="C1957" s="0" t="n">
        <v>6209</v>
      </c>
      <c r="E1957" s="0" t="n">
        <v>0</v>
      </c>
      <c r="F1957" s="27" t="s">
        <v>1122</v>
      </c>
      <c r="I1957" s="27" t="s">
        <v>138</v>
      </c>
      <c r="L1957" s="0" t="n">
        <v>261</v>
      </c>
      <c r="U1957" s="0" t="n">
        <v>644</v>
      </c>
      <c r="V1957" s="0" t="n">
        <v>1</v>
      </c>
      <c r="W1957" s="27" t="n">
        <f aca="false">MATCH(A1957,DATAS,0)</f>
        <v>1</v>
      </c>
      <c r="X1957" s="27" t="n">
        <f aca="false">IF(AND(E1957&gt;0,OR(AND(B1957&gt;=1,B1957&lt;=6),B1957=10)),1,0)</f>
        <v>0</v>
      </c>
      <c r="Y1957" s="27" t="n">
        <f aca="false">IF(AND(E1957&gt;0,B1957=10),1,0)</f>
        <v>0</v>
      </c>
      <c r="Z1957" s="0" t="str">
        <f aca="false">IF(AND(C1956=C1957,W1956=W1957-1),X1956,"")</f>
        <v/>
      </c>
      <c r="AA1957" s="0" t="str">
        <f aca="false">IF(AND(C1956=C1957,W1956=W1957-1),Y1956,"")</f>
        <v/>
      </c>
      <c r="AB1957" s="0" t="str">
        <f aca="false">IF(W1957=1,"",IF(AND(X1957=1,Z1957&lt;&gt;1),1,0))</f>
        <v/>
      </c>
      <c r="AC1957" s="0" t="str">
        <f aca="false">IF(W1957=1,"",IF(AND(Y1957=1,AA1957&lt;&gt;1),1,0))</f>
        <v/>
      </c>
      <c r="AD1957" s="33" t="str">
        <f aca="false">IF(AND(E1957&gt;0,W1957&lt;1,NOT(AND(C1958=C1957,W1958=W1957+1))),INDEX(DATAS,W1957+1),"")</f>
        <v/>
      </c>
      <c r="AE1957" s="33" t="str">
        <f aca="false">IF(AND(Y1957=1,W1957&lt;1),IF(AND(C1958=C1957,W1958=W1957+1),IF(Y1958=1,"",INDEX(DATAS,W1957+1)),INDEX(DATAS,W1957+1)),"")</f>
        <v/>
      </c>
    </row>
    <row r="1958" customFormat="false" ht="15" hidden="false" customHeight="false" outlineLevel="0" collapsed="false">
      <c r="A1958" s="33" t="n">
        <v>46309</v>
      </c>
      <c r="B1958" s="0" t="n">
        <v>14</v>
      </c>
      <c r="C1958" s="0" t="n">
        <v>6211</v>
      </c>
      <c r="E1958" s="0" t="n">
        <v>0</v>
      </c>
      <c r="F1958" s="27" t="s">
        <v>1123</v>
      </c>
      <c r="I1958" s="27" t="s">
        <v>138</v>
      </c>
      <c r="L1958" s="0" t="n">
        <v>265</v>
      </c>
      <c r="U1958" s="0" t="n">
        <v>643</v>
      </c>
      <c r="V1958" s="0" t="n">
        <v>1</v>
      </c>
      <c r="W1958" s="27" t="n">
        <f aca="false">MATCH(A1958,DATAS,0)</f>
        <v>1</v>
      </c>
      <c r="X1958" s="27" t="n">
        <f aca="false">IF(AND(E1958&gt;0,OR(AND(B1958&gt;=1,B1958&lt;=6),B1958=10)),1,0)</f>
        <v>0</v>
      </c>
      <c r="Y1958" s="27" t="n">
        <f aca="false">IF(AND(E1958&gt;0,B1958=10),1,0)</f>
        <v>0</v>
      </c>
      <c r="Z1958" s="0" t="str">
        <f aca="false">IF(AND(C1957=C1958,W1957=W1958-1),X1957,"")</f>
        <v/>
      </c>
      <c r="AA1958" s="0" t="str">
        <f aca="false">IF(AND(C1957=C1958,W1957=W1958-1),Y1957,"")</f>
        <v/>
      </c>
      <c r="AB1958" s="0" t="str">
        <f aca="false">IF(W1958=1,"",IF(AND(X1958=1,Z1958&lt;&gt;1),1,0))</f>
        <v/>
      </c>
      <c r="AC1958" s="0" t="str">
        <f aca="false">IF(W1958=1,"",IF(AND(Y1958=1,AA1958&lt;&gt;1),1,0))</f>
        <v/>
      </c>
      <c r="AD1958" s="33" t="str">
        <f aca="false">IF(AND(E1958&gt;0,W1958&lt;1,NOT(AND(C1959=C1958,W1959=W1958+1))),INDEX(DATAS,W1958+1),"")</f>
        <v/>
      </c>
      <c r="AE1958" s="33" t="str">
        <f aca="false">IF(AND(Y1958=1,W1958&lt;1),IF(AND(C1959=C1958,W1959=W1958+1),IF(Y1959=1,"",INDEX(DATAS,W1958+1)),INDEX(DATAS,W1958+1)),"")</f>
        <v/>
      </c>
    </row>
    <row r="1959" customFormat="false" ht="15" hidden="false" customHeight="false" outlineLevel="0" collapsed="false">
      <c r="A1959" s="33" t="n">
        <v>46309</v>
      </c>
      <c r="B1959" s="0" t="n">
        <v>8</v>
      </c>
      <c r="C1959" s="0" t="n">
        <v>6212</v>
      </c>
      <c r="E1959" s="0" t="n">
        <v>0</v>
      </c>
      <c r="F1959" s="27" t="s">
        <v>1123</v>
      </c>
      <c r="I1959" s="27" t="s">
        <v>138</v>
      </c>
      <c r="L1959" s="0" t="n">
        <v>212</v>
      </c>
      <c r="U1959" s="0" t="n">
        <v>643</v>
      </c>
      <c r="V1959" s="0" t="n">
        <v>4</v>
      </c>
      <c r="W1959" s="27" t="n">
        <f aca="false">MATCH(A1959,DATAS,0)</f>
        <v>1</v>
      </c>
      <c r="X1959" s="27" t="n">
        <f aca="false">IF(AND(E1959&gt;0,OR(AND(B1959&gt;=1,B1959&lt;=6),B1959=10)),1,0)</f>
        <v>0</v>
      </c>
      <c r="Y1959" s="27" t="n">
        <f aca="false">IF(AND(E1959&gt;0,B1959=10),1,0)</f>
        <v>0</v>
      </c>
      <c r="Z1959" s="0" t="str">
        <f aca="false">IF(AND(C1958=C1959,W1958=W1959-1),X1958,"")</f>
        <v/>
      </c>
      <c r="AA1959" s="0" t="str">
        <f aca="false">IF(AND(C1958=C1959,W1958=W1959-1),Y1958,"")</f>
        <v/>
      </c>
      <c r="AB1959" s="0" t="str">
        <f aca="false">IF(W1959=1,"",IF(AND(X1959=1,Z1959&lt;&gt;1),1,0))</f>
        <v/>
      </c>
      <c r="AC1959" s="0" t="str">
        <f aca="false">IF(W1959=1,"",IF(AND(Y1959=1,AA1959&lt;&gt;1),1,0))</f>
        <v/>
      </c>
      <c r="AD1959" s="33" t="str">
        <f aca="false">IF(AND(E1959&gt;0,W1959&lt;1,NOT(AND(C1960=C1959,W1960=W1959+1))),INDEX(DATAS,W1959+1),"")</f>
        <v/>
      </c>
      <c r="AE1959" s="33" t="str">
        <f aca="false">IF(AND(Y1959=1,W1959&lt;1),IF(AND(C1960=C1959,W1960=W1959+1),IF(Y1960=1,"",INDEX(DATAS,W1959+1)),INDEX(DATAS,W1959+1)),"")</f>
        <v/>
      </c>
    </row>
    <row r="1960" customFormat="false" ht="15" hidden="false" customHeight="false" outlineLevel="0" collapsed="false">
      <c r="A1960" s="33" t="n">
        <v>46309</v>
      </c>
      <c r="B1960" s="0" t="n">
        <v>8</v>
      </c>
      <c r="C1960" s="0" t="n">
        <v>6213</v>
      </c>
      <c r="E1960" s="0" t="n">
        <v>0</v>
      </c>
      <c r="F1960" s="27" t="s">
        <v>1124</v>
      </c>
      <c r="I1960" s="27" t="s">
        <v>138</v>
      </c>
      <c r="L1960" s="0" t="n">
        <v>49</v>
      </c>
      <c r="U1960" s="0" t="n">
        <v>642</v>
      </c>
      <c r="V1960" s="0" t="n">
        <v>7</v>
      </c>
      <c r="W1960" s="27" t="n">
        <f aca="false">MATCH(A1960,DATAS,0)</f>
        <v>1</v>
      </c>
      <c r="X1960" s="27" t="n">
        <f aca="false">IF(AND(E1960&gt;0,OR(AND(B1960&gt;=1,B1960&lt;=6),B1960=10)),1,0)</f>
        <v>0</v>
      </c>
      <c r="Y1960" s="27" t="n">
        <f aca="false">IF(AND(E1960&gt;0,B1960=10),1,0)</f>
        <v>0</v>
      </c>
      <c r="Z1960" s="0" t="str">
        <f aca="false">IF(AND(C1959=C1960,W1959=W1960-1),X1959,"")</f>
        <v/>
      </c>
      <c r="AA1960" s="0" t="str">
        <f aca="false">IF(AND(C1959=C1960,W1959=W1960-1),Y1959,"")</f>
        <v/>
      </c>
      <c r="AB1960" s="0" t="str">
        <f aca="false">IF(W1960=1,"",IF(AND(X1960=1,Z1960&lt;&gt;1),1,0))</f>
        <v/>
      </c>
      <c r="AC1960" s="0" t="str">
        <f aca="false">IF(W1960=1,"",IF(AND(Y1960=1,AA1960&lt;&gt;1),1,0))</f>
        <v/>
      </c>
      <c r="AD1960" s="33" t="str">
        <f aca="false">IF(AND(E1960&gt;0,W1960&lt;1,NOT(AND(C1961=C1960,W1961=W1960+1))),INDEX(DATAS,W1960+1),"")</f>
        <v/>
      </c>
      <c r="AE1960" s="33" t="str">
        <f aca="false">IF(AND(Y1960=1,W1960&lt;1),IF(AND(C1961=C1960,W1961=W1960+1),IF(Y1961=1,"",INDEX(DATAS,W1960+1)),INDEX(DATAS,W1960+1)),"")</f>
        <v/>
      </c>
    </row>
    <row r="1961" customFormat="false" ht="15" hidden="false" customHeight="false" outlineLevel="0" collapsed="false">
      <c r="A1961" s="33" t="n">
        <v>46309</v>
      </c>
      <c r="B1961" s="0" t="n">
        <v>8</v>
      </c>
      <c r="C1961" s="0" t="n">
        <v>6214</v>
      </c>
      <c r="E1961" s="0" t="n">
        <v>0</v>
      </c>
      <c r="F1961" s="27" t="s">
        <v>1124</v>
      </c>
      <c r="I1961" s="27" t="s">
        <v>138</v>
      </c>
      <c r="L1961" s="0" t="n">
        <v>128</v>
      </c>
      <c r="U1961" s="0" t="n">
        <v>642</v>
      </c>
      <c r="V1961" s="0" t="n">
        <v>7</v>
      </c>
      <c r="W1961" s="27" t="n">
        <f aca="false">MATCH(A1961,DATAS,0)</f>
        <v>1</v>
      </c>
      <c r="X1961" s="27" t="n">
        <f aca="false">IF(AND(E1961&gt;0,OR(AND(B1961&gt;=1,B1961&lt;=6),B1961=10)),1,0)</f>
        <v>0</v>
      </c>
      <c r="Y1961" s="27" t="n">
        <f aca="false">IF(AND(E1961&gt;0,B1961=10),1,0)</f>
        <v>0</v>
      </c>
      <c r="Z1961" s="0" t="str">
        <f aca="false">IF(AND(C1960=C1961,W1960=W1961-1),X1960,"")</f>
        <v/>
      </c>
      <c r="AA1961" s="0" t="str">
        <f aca="false">IF(AND(C1960=C1961,W1960=W1961-1),Y1960,"")</f>
        <v/>
      </c>
      <c r="AB1961" s="0" t="str">
        <f aca="false">IF(W1961=1,"",IF(AND(X1961=1,Z1961&lt;&gt;1),1,0))</f>
        <v/>
      </c>
      <c r="AC1961" s="0" t="str">
        <f aca="false">IF(W1961=1,"",IF(AND(Y1961=1,AA1961&lt;&gt;1),1,0))</f>
        <v/>
      </c>
      <c r="AD1961" s="33" t="str">
        <f aca="false">IF(AND(E1961&gt;0,W1961&lt;1,NOT(AND(C1962=C1961,W1962=W1961+1))),INDEX(DATAS,W1961+1),"")</f>
        <v/>
      </c>
      <c r="AE1961" s="33" t="str">
        <f aca="false">IF(AND(Y1961=1,W1961&lt;1),IF(AND(C1962=C1961,W1962=W1961+1),IF(Y1962=1,"",INDEX(DATAS,W1961+1)),INDEX(DATAS,W1961+1)),"")</f>
        <v/>
      </c>
    </row>
    <row r="1962" customFormat="false" ht="15" hidden="false" customHeight="false" outlineLevel="0" collapsed="false">
      <c r="A1962" s="33" t="n">
        <v>46309</v>
      </c>
      <c r="B1962" s="0" t="n">
        <v>8</v>
      </c>
      <c r="C1962" s="0" t="n">
        <v>6216</v>
      </c>
      <c r="E1962" s="0" t="n">
        <v>0</v>
      </c>
      <c r="F1962" s="27" t="s">
        <v>1125</v>
      </c>
      <c r="I1962" s="27" t="s">
        <v>138</v>
      </c>
      <c r="L1962" s="0" t="n">
        <v>100</v>
      </c>
      <c r="U1962" s="0" t="n">
        <v>641</v>
      </c>
      <c r="V1962" s="0" t="n">
        <v>9</v>
      </c>
      <c r="W1962" s="27" t="n">
        <f aca="false">MATCH(A1962,DATAS,0)</f>
        <v>1</v>
      </c>
      <c r="X1962" s="27" t="n">
        <f aca="false">IF(AND(E1962&gt;0,OR(AND(B1962&gt;=1,B1962&lt;=6),B1962=10)),1,0)</f>
        <v>0</v>
      </c>
      <c r="Y1962" s="27" t="n">
        <f aca="false">IF(AND(E1962&gt;0,B1962=10),1,0)</f>
        <v>0</v>
      </c>
      <c r="Z1962" s="0" t="str">
        <f aca="false">IF(AND(C1961=C1962,W1961=W1962-1),X1961,"")</f>
        <v/>
      </c>
      <c r="AA1962" s="0" t="str">
        <f aca="false">IF(AND(C1961=C1962,W1961=W1962-1),Y1961,"")</f>
        <v/>
      </c>
      <c r="AB1962" s="0" t="str">
        <f aca="false">IF(W1962=1,"",IF(AND(X1962=1,Z1962&lt;&gt;1),1,0))</f>
        <v/>
      </c>
      <c r="AC1962" s="0" t="str">
        <f aca="false">IF(W1962=1,"",IF(AND(Y1962=1,AA1962&lt;&gt;1),1,0))</f>
        <v/>
      </c>
      <c r="AD1962" s="33" t="str">
        <f aca="false">IF(AND(E1962&gt;0,W1962&lt;1,NOT(AND(C1963=C1962,W1963=W1962+1))),INDEX(DATAS,W1962+1),"")</f>
        <v/>
      </c>
      <c r="AE1962" s="33" t="str">
        <f aca="false">IF(AND(Y1962=1,W1962&lt;1),IF(AND(C1963=C1962,W1963=W1962+1),IF(Y1963=1,"",INDEX(DATAS,W1962+1)),INDEX(DATAS,W1962+1)),"")</f>
        <v/>
      </c>
    </row>
    <row r="1963" customFormat="false" ht="15" hidden="false" customHeight="false" outlineLevel="0" collapsed="false">
      <c r="A1963" s="33" t="n">
        <v>46309</v>
      </c>
      <c r="B1963" s="0" t="n">
        <v>10</v>
      </c>
      <c r="C1963" s="0" t="n">
        <v>6217</v>
      </c>
      <c r="D1963" s="0" t="n">
        <v>10</v>
      </c>
      <c r="E1963" s="0" t="n">
        <v>1</v>
      </c>
      <c r="F1963" s="27" t="s">
        <v>1126</v>
      </c>
      <c r="G1963" s="0" t="n">
        <v>29.4</v>
      </c>
      <c r="H1963" s="0" t="n">
        <v>23</v>
      </c>
      <c r="I1963" s="27" t="s">
        <v>147</v>
      </c>
      <c r="J1963" s="0" t="n">
        <v>10</v>
      </c>
      <c r="R1963" s="0" t="n">
        <v>2054</v>
      </c>
      <c r="S1963" s="0" t="n">
        <v>4129</v>
      </c>
      <c r="U1963" s="0" t="n">
        <v>640</v>
      </c>
      <c r="V1963" s="0" t="n">
        <v>0</v>
      </c>
      <c r="W1963" s="27" t="n">
        <f aca="false">MATCH(A1963,DATAS,0)</f>
        <v>1</v>
      </c>
      <c r="X1963" s="27" t="n">
        <f aca="false">IF(AND(E1963&gt;0,OR(AND(B1963&gt;=1,B1963&lt;=6),B1963=10)),1,0)</f>
        <v>1</v>
      </c>
      <c r="Y1963" s="27" t="n">
        <f aca="false">IF(AND(E1963&gt;0,B1963=10),1,0)</f>
        <v>1</v>
      </c>
      <c r="Z1963" s="0" t="str">
        <f aca="false">IF(AND(C1962=C1963,W1962=W1963-1),X1962,"")</f>
        <v/>
      </c>
      <c r="AA1963" s="0" t="str">
        <f aca="false">IF(AND(C1962=C1963,W1962=W1963-1),Y1962,"")</f>
        <v/>
      </c>
      <c r="AB1963" s="0" t="str">
        <f aca="false">IF(W1963=1,"",IF(AND(X1963=1,Z1963&lt;&gt;1),1,0))</f>
        <v/>
      </c>
      <c r="AC1963" s="0" t="str">
        <f aca="false">IF(W1963=1,"",IF(AND(Y1963=1,AA1963&lt;&gt;1),1,0))</f>
        <v/>
      </c>
      <c r="AD1963" s="33" t="str">
        <f aca="false">IF(AND(E1963&gt;0,W1963&lt;1,NOT(AND(C1964=C1963,W1964=W1963+1))),INDEX(DATAS,W1963+1),"")</f>
        <v/>
      </c>
      <c r="AE1963" s="33" t="str">
        <f aca="false">IF(AND(Y1963=1,W1963&lt;1),IF(AND(C1964=C1963,W1964=W1963+1),IF(Y1964=1,"",INDEX(DATAS,W1963+1)),INDEX(DATAS,W1963+1)),"")</f>
        <v/>
      </c>
    </row>
    <row r="1964" customFormat="false" ht="15" hidden="false" customHeight="false" outlineLevel="0" collapsed="false">
      <c r="A1964" s="33" t="n">
        <v>46309</v>
      </c>
      <c r="B1964" s="0" t="n">
        <v>7</v>
      </c>
      <c r="C1964" s="0" t="n">
        <v>6218</v>
      </c>
      <c r="E1964" s="0" t="n">
        <v>0</v>
      </c>
      <c r="F1964" s="27" t="s">
        <v>1126</v>
      </c>
      <c r="I1964" s="27" t="s">
        <v>138</v>
      </c>
      <c r="L1964" s="0" t="n">
        <v>246</v>
      </c>
      <c r="U1964" s="0" t="n">
        <v>640</v>
      </c>
      <c r="V1964" s="0" t="n">
        <v>1</v>
      </c>
      <c r="W1964" s="27" t="n">
        <f aca="false">MATCH(A1964,DATAS,0)</f>
        <v>1</v>
      </c>
      <c r="X1964" s="27" t="n">
        <f aca="false">IF(AND(E1964&gt;0,OR(AND(B1964&gt;=1,B1964&lt;=6),B1964=10)),1,0)</f>
        <v>0</v>
      </c>
      <c r="Y1964" s="27" t="n">
        <f aca="false">IF(AND(E1964&gt;0,B1964=10),1,0)</f>
        <v>0</v>
      </c>
      <c r="Z1964" s="0" t="str">
        <f aca="false">IF(AND(C1963=C1964,W1963=W1964-1),X1963,"")</f>
        <v/>
      </c>
      <c r="AA1964" s="0" t="str">
        <f aca="false">IF(AND(C1963=C1964,W1963=W1964-1),Y1963,"")</f>
        <v/>
      </c>
      <c r="AB1964" s="0" t="str">
        <f aca="false">IF(W1964=1,"",IF(AND(X1964=1,Z1964&lt;&gt;1),1,0))</f>
        <v/>
      </c>
      <c r="AC1964" s="0" t="str">
        <f aca="false">IF(W1964=1,"",IF(AND(Y1964=1,AA1964&lt;&gt;1),1,0))</f>
        <v/>
      </c>
      <c r="AD1964" s="33" t="str">
        <f aca="false">IF(AND(E1964&gt;0,W1964&lt;1,NOT(AND(C1965=C1964,W1965=W1964+1))),INDEX(DATAS,W1964+1),"")</f>
        <v/>
      </c>
      <c r="AE1964" s="33" t="str">
        <f aca="false">IF(AND(Y1964=1,W1964&lt;1),IF(AND(C1965=C1964,W1965=W1964+1),IF(Y1965=1,"",INDEX(DATAS,W1964+1)),INDEX(DATAS,W1964+1)),"")</f>
        <v/>
      </c>
    </row>
    <row r="1965" customFormat="false" ht="15" hidden="false" customHeight="false" outlineLevel="0" collapsed="false">
      <c r="A1965" s="33" t="n">
        <v>46309</v>
      </c>
      <c r="B1965" s="0" t="n">
        <v>8</v>
      </c>
      <c r="C1965" s="0" t="n">
        <v>6219</v>
      </c>
      <c r="E1965" s="0" t="n">
        <v>0</v>
      </c>
      <c r="F1965" s="27" t="s">
        <v>1127</v>
      </c>
      <c r="I1965" s="27" t="s">
        <v>138</v>
      </c>
      <c r="L1965" s="0" t="n">
        <v>182</v>
      </c>
      <c r="U1965" s="0" t="n">
        <v>639</v>
      </c>
      <c r="V1965" s="0" t="n">
        <v>4</v>
      </c>
      <c r="W1965" s="27" t="n">
        <f aca="false">MATCH(A1965,DATAS,0)</f>
        <v>1</v>
      </c>
      <c r="X1965" s="27" t="n">
        <f aca="false">IF(AND(E1965&gt;0,OR(AND(B1965&gt;=1,B1965&lt;=6),B1965=10)),1,0)</f>
        <v>0</v>
      </c>
      <c r="Y1965" s="27" t="n">
        <f aca="false">IF(AND(E1965&gt;0,B1965=10),1,0)</f>
        <v>0</v>
      </c>
      <c r="Z1965" s="0" t="str">
        <f aca="false">IF(AND(C1964=C1965,W1964=W1965-1),X1964,"")</f>
        <v/>
      </c>
      <c r="AA1965" s="0" t="str">
        <f aca="false">IF(AND(C1964=C1965,W1964=W1965-1),Y1964,"")</f>
        <v/>
      </c>
      <c r="AB1965" s="0" t="str">
        <f aca="false">IF(W1965=1,"",IF(AND(X1965=1,Z1965&lt;&gt;1),1,0))</f>
        <v/>
      </c>
      <c r="AC1965" s="0" t="str">
        <f aca="false">IF(W1965=1,"",IF(AND(Y1965=1,AA1965&lt;&gt;1),1,0))</f>
        <v/>
      </c>
      <c r="AD1965" s="33" t="str">
        <f aca="false">IF(AND(E1965&gt;0,W1965&lt;1,NOT(AND(C1966=C1965,W1966=W1965+1))),INDEX(DATAS,W1965+1),"")</f>
        <v/>
      </c>
      <c r="AE1965" s="33" t="str">
        <f aca="false">IF(AND(Y1965=1,W1965&lt;1),IF(AND(C1966=C1965,W1966=W1965+1),IF(Y1966=1,"",INDEX(DATAS,W1965+1)),INDEX(DATAS,W1965+1)),"")</f>
        <v/>
      </c>
    </row>
    <row r="1966" customFormat="false" ht="15" hidden="false" customHeight="false" outlineLevel="0" collapsed="false">
      <c r="A1966" s="33" t="n">
        <v>46309</v>
      </c>
      <c r="B1966" s="0" t="n">
        <v>14</v>
      </c>
      <c r="C1966" s="0" t="n">
        <v>6220</v>
      </c>
      <c r="E1966" s="0" t="n">
        <v>0</v>
      </c>
      <c r="F1966" s="27" t="s">
        <v>1127</v>
      </c>
      <c r="I1966" s="27" t="s">
        <v>138</v>
      </c>
      <c r="L1966" s="0" t="n">
        <v>267</v>
      </c>
      <c r="U1966" s="0" t="n">
        <v>639</v>
      </c>
      <c r="V1966" s="0" t="n">
        <v>1</v>
      </c>
      <c r="W1966" s="27" t="n">
        <f aca="false">MATCH(A1966,DATAS,0)</f>
        <v>1</v>
      </c>
      <c r="X1966" s="27" t="n">
        <f aca="false">IF(AND(E1966&gt;0,OR(AND(B1966&gt;=1,B1966&lt;=6),B1966=10)),1,0)</f>
        <v>0</v>
      </c>
      <c r="Y1966" s="27" t="n">
        <f aca="false">IF(AND(E1966&gt;0,B1966=10),1,0)</f>
        <v>0</v>
      </c>
      <c r="Z1966" s="0" t="str">
        <f aca="false">IF(AND(C1965=C1966,W1965=W1966-1),X1965,"")</f>
        <v/>
      </c>
      <c r="AA1966" s="0" t="str">
        <f aca="false">IF(AND(C1965=C1966,W1965=W1966-1),Y1965,"")</f>
        <v/>
      </c>
      <c r="AB1966" s="0" t="str">
        <f aca="false">IF(W1966=1,"",IF(AND(X1966=1,Z1966&lt;&gt;1),1,0))</f>
        <v/>
      </c>
      <c r="AC1966" s="0" t="str">
        <f aca="false">IF(W1966=1,"",IF(AND(Y1966=1,AA1966&lt;&gt;1),1,0))</f>
        <v/>
      </c>
      <c r="AD1966" s="33" t="str">
        <f aca="false">IF(AND(E1966&gt;0,W1966&lt;1,NOT(AND(C1967=C1966,W1967=W1966+1))),INDEX(DATAS,W1966+1),"")</f>
        <v/>
      </c>
      <c r="AE1966" s="33" t="str">
        <f aca="false">IF(AND(Y1966=1,W1966&lt;1),IF(AND(C1967=C1966,W1967=W1966+1),IF(Y1967=1,"",INDEX(DATAS,W1966+1)),INDEX(DATAS,W1966+1)),"")</f>
        <v/>
      </c>
    </row>
    <row r="1967" customFormat="false" ht="15" hidden="false" customHeight="false" outlineLevel="0" collapsed="false">
      <c r="A1967" s="33" t="n">
        <v>46309</v>
      </c>
      <c r="B1967" s="0" t="n">
        <v>8</v>
      </c>
      <c r="C1967" s="0" t="n">
        <v>6221</v>
      </c>
      <c r="E1967" s="0" t="n">
        <v>0</v>
      </c>
      <c r="F1967" s="27" t="s">
        <v>1128</v>
      </c>
      <c r="I1967" s="27" t="s">
        <v>138</v>
      </c>
      <c r="L1967" s="0" t="n">
        <v>259</v>
      </c>
      <c r="U1967" s="0" t="n">
        <v>638</v>
      </c>
      <c r="V1967" s="0" t="n">
        <v>1</v>
      </c>
      <c r="W1967" s="27" t="n">
        <f aca="false">MATCH(A1967,DATAS,0)</f>
        <v>1</v>
      </c>
      <c r="X1967" s="27" t="n">
        <f aca="false">IF(AND(E1967&gt;0,OR(AND(B1967&gt;=1,B1967&lt;=6),B1967=10)),1,0)</f>
        <v>0</v>
      </c>
      <c r="Y1967" s="27" t="n">
        <f aca="false">IF(AND(E1967&gt;0,B1967=10),1,0)</f>
        <v>0</v>
      </c>
      <c r="Z1967" s="0" t="str">
        <f aca="false">IF(AND(C1966=C1967,W1966=W1967-1),X1966,"")</f>
        <v/>
      </c>
      <c r="AA1967" s="0" t="str">
        <f aca="false">IF(AND(C1966=C1967,W1966=W1967-1),Y1966,"")</f>
        <v/>
      </c>
      <c r="AB1967" s="0" t="str">
        <f aca="false">IF(W1967=1,"",IF(AND(X1967=1,Z1967&lt;&gt;1),1,0))</f>
        <v/>
      </c>
      <c r="AC1967" s="0" t="str">
        <f aca="false">IF(W1967=1,"",IF(AND(Y1967=1,AA1967&lt;&gt;1),1,0))</f>
        <v/>
      </c>
      <c r="AD1967" s="33" t="str">
        <f aca="false">IF(AND(E1967&gt;0,W1967&lt;1,NOT(AND(C1968=C1967,W1968=W1967+1))),INDEX(DATAS,W1967+1),"")</f>
        <v/>
      </c>
      <c r="AE1967" s="33" t="str">
        <f aca="false">IF(AND(Y1967=1,W1967&lt;1),IF(AND(C1968=C1967,W1968=W1967+1),IF(Y1968=1,"",INDEX(DATAS,W1967+1)),INDEX(DATAS,W1967+1)),"")</f>
        <v/>
      </c>
    </row>
    <row r="1968" customFormat="false" ht="15" hidden="false" customHeight="false" outlineLevel="0" collapsed="false">
      <c r="A1968" s="33" t="n">
        <v>46309</v>
      </c>
      <c r="B1968" s="0" t="n">
        <v>8</v>
      </c>
      <c r="C1968" s="0" t="n">
        <v>6222</v>
      </c>
      <c r="E1968" s="0" t="n">
        <v>0</v>
      </c>
      <c r="F1968" s="27" t="s">
        <v>1128</v>
      </c>
      <c r="I1968" s="27" t="s">
        <v>138</v>
      </c>
      <c r="L1968" s="0" t="n">
        <v>150</v>
      </c>
      <c r="U1968" s="0" t="n">
        <v>638</v>
      </c>
      <c r="V1968" s="0" t="n">
        <v>4</v>
      </c>
      <c r="W1968" s="27" t="n">
        <f aca="false">MATCH(A1968,DATAS,0)</f>
        <v>1</v>
      </c>
      <c r="X1968" s="27" t="n">
        <f aca="false">IF(AND(E1968&gt;0,OR(AND(B1968&gt;=1,B1968&lt;=6),B1968=10)),1,0)</f>
        <v>0</v>
      </c>
      <c r="Y1968" s="27" t="n">
        <f aca="false">IF(AND(E1968&gt;0,B1968=10),1,0)</f>
        <v>0</v>
      </c>
      <c r="Z1968" s="0" t="str">
        <f aca="false">IF(AND(C1967=C1968,W1967=W1968-1),X1967,"")</f>
        <v/>
      </c>
      <c r="AA1968" s="0" t="str">
        <f aca="false">IF(AND(C1967=C1968,W1967=W1968-1),Y1967,"")</f>
        <v/>
      </c>
      <c r="AB1968" s="0" t="str">
        <f aca="false">IF(W1968=1,"",IF(AND(X1968=1,Z1968&lt;&gt;1),1,0))</f>
        <v/>
      </c>
      <c r="AC1968" s="0" t="str">
        <f aca="false">IF(W1968=1,"",IF(AND(Y1968=1,AA1968&lt;&gt;1),1,0))</f>
        <v/>
      </c>
      <c r="AD1968" s="33" t="str">
        <f aca="false">IF(AND(E1968&gt;0,W1968&lt;1,NOT(AND(C1969=C1968,W1969=W1968+1))),INDEX(DATAS,W1968+1),"")</f>
        <v/>
      </c>
      <c r="AE1968" s="33" t="str">
        <f aca="false">IF(AND(Y1968=1,W1968&lt;1),IF(AND(C1969=C1968,W1969=W1968+1),IF(Y1969=1,"",INDEX(DATAS,W1968+1)),INDEX(DATAS,W1968+1)),"")</f>
        <v/>
      </c>
    </row>
    <row r="1969" customFormat="false" ht="15" hidden="false" customHeight="false" outlineLevel="0" collapsed="false">
      <c r="A1969" s="33" t="n">
        <v>46309</v>
      </c>
      <c r="B1969" s="0" t="n">
        <v>14</v>
      </c>
      <c r="C1969" s="0" t="n">
        <v>6223</v>
      </c>
      <c r="E1969" s="0" t="n">
        <v>0</v>
      </c>
      <c r="F1969" s="27" t="s">
        <v>1128</v>
      </c>
      <c r="I1969" s="27" t="s">
        <v>138</v>
      </c>
      <c r="L1969" s="0" t="n">
        <v>262</v>
      </c>
      <c r="U1969" s="0" t="n">
        <v>638</v>
      </c>
      <c r="V1969" s="0" t="n">
        <v>1</v>
      </c>
      <c r="W1969" s="27" t="n">
        <f aca="false">MATCH(A1969,DATAS,0)</f>
        <v>1</v>
      </c>
      <c r="X1969" s="27" t="n">
        <f aca="false">IF(AND(E1969&gt;0,OR(AND(B1969&gt;=1,B1969&lt;=6),B1969=10)),1,0)</f>
        <v>0</v>
      </c>
      <c r="Y1969" s="27" t="n">
        <f aca="false">IF(AND(E1969&gt;0,B1969=10),1,0)</f>
        <v>0</v>
      </c>
      <c r="Z1969" s="0" t="str">
        <f aca="false">IF(AND(C1968=C1969,W1968=W1969-1),X1968,"")</f>
        <v/>
      </c>
      <c r="AA1969" s="0" t="str">
        <f aca="false">IF(AND(C1968=C1969,W1968=W1969-1),Y1968,"")</f>
        <v/>
      </c>
      <c r="AB1969" s="0" t="str">
        <f aca="false">IF(W1969=1,"",IF(AND(X1969=1,Z1969&lt;&gt;1),1,0))</f>
        <v/>
      </c>
      <c r="AC1969" s="0" t="str">
        <f aca="false">IF(W1969=1,"",IF(AND(Y1969=1,AA1969&lt;&gt;1),1,0))</f>
        <v/>
      </c>
      <c r="AD1969" s="33" t="str">
        <f aca="false">IF(AND(E1969&gt;0,W1969&lt;1,NOT(AND(C1970=C1969,W1970=W1969+1))),INDEX(DATAS,W1969+1),"")</f>
        <v/>
      </c>
      <c r="AE1969" s="33" t="str">
        <f aca="false">IF(AND(Y1969=1,W1969&lt;1),IF(AND(C1970=C1969,W1970=W1969+1),IF(Y1970=1,"",INDEX(DATAS,W1969+1)),INDEX(DATAS,W1969+1)),"")</f>
        <v/>
      </c>
    </row>
    <row r="1970" customFormat="false" ht="15" hidden="false" customHeight="false" outlineLevel="0" collapsed="false">
      <c r="A1970" s="33" t="n">
        <v>46309</v>
      </c>
      <c r="B1970" s="0" t="n">
        <v>8</v>
      </c>
      <c r="C1970" s="0" t="n">
        <v>6224</v>
      </c>
      <c r="E1970" s="0" t="n">
        <v>0</v>
      </c>
      <c r="F1970" s="27" t="s">
        <v>1129</v>
      </c>
      <c r="I1970" s="27" t="s">
        <v>138</v>
      </c>
      <c r="L1970" s="0" t="n">
        <v>183</v>
      </c>
      <c r="U1970" s="0" t="n">
        <v>637</v>
      </c>
      <c r="V1970" s="0" t="n">
        <v>4</v>
      </c>
      <c r="W1970" s="27" t="n">
        <f aca="false">MATCH(A1970,DATAS,0)</f>
        <v>1</v>
      </c>
      <c r="X1970" s="27" t="n">
        <f aca="false">IF(AND(E1970&gt;0,OR(AND(B1970&gt;=1,B1970&lt;=6),B1970=10)),1,0)</f>
        <v>0</v>
      </c>
      <c r="Y1970" s="27" t="n">
        <f aca="false">IF(AND(E1970&gt;0,B1970=10),1,0)</f>
        <v>0</v>
      </c>
      <c r="Z1970" s="0" t="str">
        <f aca="false">IF(AND(C1969=C1970,W1969=W1970-1),X1969,"")</f>
        <v/>
      </c>
      <c r="AA1970" s="0" t="str">
        <f aca="false">IF(AND(C1969=C1970,W1969=W1970-1),Y1969,"")</f>
        <v/>
      </c>
      <c r="AB1970" s="0" t="str">
        <f aca="false">IF(W1970=1,"",IF(AND(X1970=1,Z1970&lt;&gt;1),1,0))</f>
        <v/>
      </c>
      <c r="AC1970" s="0" t="str">
        <f aca="false">IF(W1970=1,"",IF(AND(Y1970=1,AA1970&lt;&gt;1),1,0))</f>
        <v/>
      </c>
      <c r="AD1970" s="33" t="str">
        <f aca="false">IF(AND(E1970&gt;0,W1970&lt;1,NOT(AND(C1971=C1970,W1971=W1970+1))),INDEX(DATAS,W1970+1),"")</f>
        <v/>
      </c>
      <c r="AE1970" s="33" t="str">
        <f aca="false">IF(AND(Y1970=1,W1970&lt;1),IF(AND(C1971=C1970,W1971=W1970+1),IF(Y1971=1,"",INDEX(DATAS,W1970+1)),INDEX(DATAS,W1970+1)),"")</f>
        <v/>
      </c>
    </row>
    <row r="1971" customFormat="false" ht="15" hidden="false" customHeight="false" outlineLevel="0" collapsed="false">
      <c r="A1971" s="33" t="n">
        <v>46309</v>
      </c>
      <c r="B1971" s="0" t="n">
        <v>8</v>
      </c>
      <c r="C1971" s="0" t="n">
        <v>6225</v>
      </c>
      <c r="E1971" s="0" t="n">
        <v>0</v>
      </c>
      <c r="F1971" s="27" t="s">
        <v>1130</v>
      </c>
      <c r="I1971" s="27" t="s">
        <v>138</v>
      </c>
      <c r="L1971" s="0" t="n">
        <v>143</v>
      </c>
      <c r="U1971" s="0" t="n">
        <v>636</v>
      </c>
      <c r="V1971" s="0" t="n">
        <v>4</v>
      </c>
      <c r="W1971" s="27" t="n">
        <f aca="false">MATCH(A1971,DATAS,0)</f>
        <v>1</v>
      </c>
      <c r="X1971" s="27" t="n">
        <f aca="false">IF(AND(E1971&gt;0,OR(AND(B1971&gt;=1,B1971&lt;=6),B1971=10)),1,0)</f>
        <v>0</v>
      </c>
      <c r="Y1971" s="27" t="n">
        <f aca="false">IF(AND(E1971&gt;0,B1971=10),1,0)</f>
        <v>0</v>
      </c>
      <c r="Z1971" s="0" t="str">
        <f aca="false">IF(AND(C1970=C1971,W1970=W1971-1),X1970,"")</f>
        <v/>
      </c>
      <c r="AA1971" s="0" t="str">
        <f aca="false">IF(AND(C1970=C1971,W1970=W1971-1),Y1970,"")</f>
        <v/>
      </c>
      <c r="AB1971" s="0" t="str">
        <f aca="false">IF(W1971=1,"",IF(AND(X1971=1,Z1971&lt;&gt;1),1,0))</f>
        <v/>
      </c>
      <c r="AC1971" s="0" t="str">
        <f aca="false">IF(W1971=1,"",IF(AND(Y1971=1,AA1971&lt;&gt;1),1,0))</f>
        <v/>
      </c>
      <c r="AD1971" s="33" t="str">
        <f aca="false">IF(AND(E1971&gt;0,W1971&lt;1,NOT(AND(C1972=C1971,W1972=W1971+1))),INDEX(DATAS,W1971+1),"")</f>
        <v/>
      </c>
      <c r="AE1971" s="33" t="str">
        <f aca="false">IF(AND(Y1971=1,W1971&lt;1),IF(AND(C1972=C1971,W1972=W1971+1),IF(Y1972=1,"",INDEX(DATAS,W1971+1)),INDEX(DATAS,W1971+1)),"")</f>
        <v/>
      </c>
    </row>
    <row r="1972" customFormat="false" ht="15" hidden="false" customHeight="false" outlineLevel="0" collapsed="false">
      <c r="A1972" s="33" t="n">
        <v>46309</v>
      </c>
      <c r="B1972" s="0" t="n">
        <v>8</v>
      </c>
      <c r="C1972" s="0" t="n">
        <v>6227</v>
      </c>
      <c r="E1972" s="0" t="n">
        <v>0</v>
      </c>
      <c r="F1972" s="27" t="s">
        <v>1131</v>
      </c>
      <c r="I1972" s="27" t="s">
        <v>138</v>
      </c>
      <c r="L1972" s="0" t="n">
        <v>188</v>
      </c>
      <c r="U1972" s="0" t="n">
        <v>635</v>
      </c>
      <c r="V1972" s="0" t="n">
        <v>2</v>
      </c>
      <c r="W1972" s="27" t="n">
        <f aca="false">MATCH(A1972,DATAS,0)</f>
        <v>1</v>
      </c>
      <c r="X1972" s="27" t="n">
        <f aca="false">IF(AND(E1972&gt;0,OR(AND(B1972&gt;=1,B1972&lt;=6),B1972=10)),1,0)</f>
        <v>0</v>
      </c>
      <c r="Y1972" s="27" t="n">
        <f aca="false">IF(AND(E1972&gt;0,B1972=10),1,0)</f>
        <v>0</v>
      </c>
      <c r="Z1972" s="0" t="str">
        <f aca="false">IF(AND(C1971=C1972,W1971=W1972-1),X1971,"")</f>
        <v/>
      </c>
      <c r="AA1972" s="0" t="str">
        <f aca="false">IF(AND(C1971=C1972,W1971=W1972-1),Y1971,"")</f>
        <v/>
      </c>
      <c r="AB1972" s="0" t="str">
        <f aca="false">IF(W1972=1,"",IF(AND(X1972=1,Z1972&lt;&gt;1),1,0))</f>
        <v/>
      </c>
      <c r="AC1972" s="0" t="str">
        <f aca="false">IF(W1972=1,"",IF(AND(Y1972=1,AA1972&lt;&gt;1),1,0))</f>
        <v/>
      </c>
      <c r="AD1972" s="33" t="str">
        <f aca="false">IF(AND(E1972&gt;0,W1972&lt;1,NOT(AND(C1973=C1972,W1973=W1972+1))),INDEX(DATAS,W1972+1),"")</f>
        <v/>
      </c>
      <c r="AE1972" s="33" t="str">
        <f aca="false">IF(AND(Y1972=1,W1972&lt;1),IF(AND(C1973=C1972,W1973=W1972+1),IF(Y1973=1,"",INDEX(DATAS,W1972+1)),INDEX(DATAS,W1972+1)),"")</f>
        <v/>
      </c>
    </row>
    <row r="1973" customFormat="false" ht="15" hidden="false" customHeight="false" outlineLevel="0" collapsed="false">
      <c r="A1973" s="33" t="n">
        <v>46309</v>
      </c>
      <c r="B1973" s="0" t="n">
        <v>7</v>
      </c>
      <c r="C1973" s="0" t="n">
        <v>6228</v>
      </c>
      <c r="E1973" s="0" t="n">
        <v>0</v>
      </c>
      <c r="F1973" s="27" t="s">
        <v>1131</v>
      </c>
      <c r="I1973" s="27" t="s">
        <v>138</v>
      </c>
      <c r="L1973" s="0" t="n">
        <v>247</v>
      </c>
      <c r="U1973" s="0" t="n">
        <v>635</v>
      </c>
      <c r="V1973" s="0" t="n">
        <v>2</v>
      </c>
      <c r="W1973" s="27" t="n">
        <f aca="false">MATCH(A1973,DATAS,0)</f>
        <v>1</v>
      </c>
      <c r="X1973" s="27" t="n">
        <f aca="false">IF(AND(E1973&gt;0,OR(AND(B1973&gt;=1,B1973&lt;=6),B1973=10)),1,0)</f>
        <v>0</v>
      </c>
      <c r="Y1973" s="27" t="n">
        <f aca="false">IF(AND(E1973&gt;0,B1973=10),1,0)</f>
        <v>0</v>
      </c>
      <c r="Z1973" s="0" t="str">
        <f aca="false">IF(AND(C1972=C1973,W1972=W1973-1),X1972,"")</f>
        <v/>
      </c>
      <c r="AA1973" s="0" t="str">
        <f aca="false">IF(AND(C1972=C1973,W1972=W1973-1),Y1972,"")</f>
        <v/>
      </c>
      <c r="AB1973" s="0" t="str">
        <f aca="false">IF(W1973=1,"",IF(AND(X1973=1,Z1973&lt;&gt;1),1,0))</f>
        <v/>
      </c>
      <c r="AC1973" s="0" t="str">
        <f aca="false">IF(W1973=1,"",IF(AND(Y1973=1,AA1973&lt;&gt;1),1,0))</f>
        <v/>
      </c>
      <c r="AD1973" s="33" t="str">
        <f aca="false">IF(AND(E1973&gt;0,W1973&lt;1,NOT(AND(C1974=C1973,W1974=W1973+1))),INDEX(DATAS,W1973+1),"")</f>
        <v/>
      </c>
      <c r="AE1973" s="33" t="str">
        <f aca="false">IF(AND(Y1973=1,W1973&lt;1),IF(AND(C1974=C1973,W1974=W1973+1),IF(Y1974=1,"",INDEX(DATAS,W1973+1)),INDEX(DATAS,W1973+1)),"")</f>
        <v/>
      </c>
    </row>
    <row r="1974" customFormat="false" ht="15" hidden="false" customHeight="false" outlineLevel="0" collapsed="false">
      <c r="A1974" s="33" t="n">
        <v>46309</v>
      </c>
      <c r="B1974" s="0" t="n">
        <v>14</v>
      </c>
      <c r="C1974" s="0" t="n">
        <v>6232</v>
      </c>
      <c r="E1974" s="0" t="n">
        <v>0</v>
      </c>
      <c r="F1974" s="27" t="s">
        <v>1131</v>
      </c>
      <c r="I1974" s="27" t="s">
        <v>138</v>
      </c>
      <c r="L1974" s="0" t="n">
        <v>265</v>
      </c>
      <c r="U1974" s="0" t="n">
        <v>635</v>
      </c>
      <c r="V1974" s="0" t="n">
        <v>1</v>
      </c>
      <c r="W1974" s="27" t="n">
        <f aca="false">MATCH(A1974,DATAS,0)</f>
        <v>1</v>
      </c>
      <c r="X1974" s="27" t="n">
        <f aca="false">IF(AND(E1974&gt;0,OR(AND(B1974&gt;=1,B1974&lt;=6),B1974=10)),1,0)</f>
        <v>0</v>
      </c>
      <c r="Y1974" s="27" t="n">
        <f aca="false">IF(AND(E1974&gt;0,B1974=10),1,0)</f>
        <v>0</v>
      </c>
      <c r="Z1974" s="0" t="str">
        <f aca="false">IF(AND(C1973=C1974,W1973=W1974-1),X1973,"")</f>
        <v/>
      </c>
      <c r="AA1974" s="0" t="str">
        <f aca="false">IF(AND(C1973=C1974,W1973=W1974-1),Y1973,"")</f>
        <v/>
      </c>
      <c r="AB1974" s="0" t="str">
        <f aca="false">IF(W1974=1,"",IF(AND(X1974=1,Z1974&lt;&gt;1),1,0))</f>
        <v/>
      </c>
      <c r="AC1974" s="0" t="str">
        <f aca="false">IF(W1974=1,"",IF(AND(Y1974=1,AA1974&lt;&gt;1),1,0))</f>
        <v/>
      </c>
      <c r="AD1974" s="33" t="str">
        <f aca="false">IF(AND(E1974&gt;0,W1974&lt;1,NOT(AND(C1975=C1974,W1975=W1974+1))),INDEX(DATAS,W1974+1),"")</f>
        <v/>
      </c>
      <c r="AE1974" s="33" t="str">
        <f aca="false">IF(AND(Y1974=1,W1974&lt;1),IF(AND(C1975=C1974,W1975=W1974+1),IF(Y1975=1,"",INDEX(DATAS,W1974+1)),INDEX(DATAS,W1974+1)),"")</f>
        <v/>
      </c>
    </row>
    <row r="1975" customFormat="false" ht="15" hidden="false" customHeight="false" outlineLevel="0" collapsed="false">
      <c r="A1975" s="33" t="n">
        <v>46309</v>
      </c>
      <c r="B1975" s="0" t="n">
        <v>14</v>
      </c>
      <c r="C1975" s="0" t="n">
        <v>6233</v>
      </c>
      <c r="E1975" s="0" t="n">
        <v>0</v>
      </c>
      <c r="F1975" s="27" t="s">
        <v>1132</v>
      </c>
      <c r="I1975" s="27" t="s">
        <v>138</v>
      </c>
      <c r="L1975" s="0" t="n">
        <v>269</v>
      </c>
      <c r="U1975" s="0" t="n">
        <v>633</v>
      </c>
      <c r="V1975" s="0" t="n">
        <v>1</v>
      </c>
      <c r="W1975" s="27" t="n">
        <f aca="false">MATCH(A1975,DATAS,0)</f>
        <v>1</v>
      </c>
      <c r="X1975" s="27" t="n">
        <f aca="false">IF(AND(E1975&gt;0,OR(AND(B1975&gt;=1,B1975&lt;=6),B1975=10)),1,0)</f>
        <v>0</v>
      </c>
      <c r="Y1975" s="27" t="n">
        <f aca="false">IF(AND(E1975&gt;0,B1975=10),1,0)</f>
        <v>0</v>
      </c>
      <c r="Z1975" s="0" t="str">
        <f aca="false">IF(AND(C1974=C1975,W1974=W1975-1),X1974,"")</f>
        <v/>
      </c>
      <c r="AA1975" s="0" t="str">
        <f aca="false">IF(AND(C1974=C1975,W1974=W1975-1),Y1974,"")</f>
        <v/>
      </c>
      <c r="AB1975" s="0" t="str">
        <f aca="false">IF(W1975=1,"",IF(AND(X1975=1,Z1975&lt;&gt;1),1,0))</f>
        <v/>
      </c>
      <c r="AC1975" s="0" t="str">
        <f aca="false">IF(W1975=1,"",IF(AND(Y1975=1,AA1975&lt;&gt;1),1,0))</f>
        <v/>
      </c>
      <c r="AD1975" s="33" t="str">
        <f aca="false">IF(AND(E1975&gt;0,W1975&lt;1,NOT(AND(C1976=C1975,W1976=W1975+1))),INDEX(DATAS,W1975+1),"")</f>
        <v/>
      </c>
      <c r="AE1975" s="33" t="str">
        <f aca="false">IF(AND(Y1975=1,W1975&lt;1),IF(AND(C1976=C1975,W1976=W1975+1),IF(Y1976=1,"",INDEX(DATAS,W1975+1)),INDEX(DATAS,W1975+1)),"")</f>
        <v/>
      </c>
    </row>
    <row r="1976" customFormat="false" ht="15" hidden="false" customHeight="false" outlineLevel="0" collapsed="false">
      <c r="A1976" s="33" t="n">
        <v>46309</v>
      </c>
      <c r="B1976" s="0" t="n">
        <v>7</v>
      </c>
      <c r="C1976" s="0" t="n">
        <v>6234</v>
      </c>
      <c r="E1976" s="0" t="n">
        <v>0</v>
      </c>
      <c r="F1976" s="27" t="s">
        <v>1124</v>
      </c>
      <c r="I1976" s="27" t="s">
        <v>138</v>
      </c>
      <c r="L1976" s="0" t="n">
        <v>252</v>
      </c>
      <c r="U1976" s="0" t="n">
        <v>642</v>
      </c>
      <c r="V1976" s="0" t="n">
        <v>1</v>
      </c>
      <c r="W1976" s="27" t="n">
        <f aca="false">MATCH(A1976,DATAS,0)</f>
        <v>1</v>
      </c>
      <c r="X1976" s="27" t="n">
        <f aca="false">IF(AND(E1976&gt;0,OR(AND(B1976&gt;=1,B1976&lt;=6),B1976=10)),1,0)</f>
        <v>0</v>
      </c>
      <c r="Y1976" s="27" t="n">
        <f aca="false">IF(AND(E1976&gt;0,B1976=10),1,0)</f>
        <v>0</v>
      </c>
      <c r="Z1976" s="0" t="str">
        <f aca="false">IF(AND(C1975=C1976,W1975=W1976-1),X1975,"")</f>
        <v/>
      </c>
      <c r="AA1976" s="0" t="str">
        <f aca="false">IF(AND(C1975=C1976,W1975=W1976-1),Y1975,"")</f>
        <v/>
      </c>
      <c r="AB1976" s="0" t="str">
        <f aca="false">IF(W1976=1,"",IF(AND(X1976=1,Z1976&lt;&gt;1),1,0))</f>
        <v/>
      </c>
      <c r="AC1976" s="0" t="str">
        <f aca="false">IF(W1976=1,"",IF(AND(Y1976=1,AA1976&lt;&gt;1),1,0))</f>
        <v/>
      </c>
      <c r="AD1976" s="33" t="str">
        <f aca="false">IF(AND(E1976&gt;0,W1976&lt;1,NOT(AND(C1977=C1976,W1977=W1976+1))),INDEX(DATAS,W1976+1),"")</f>
        <v/>
      </c>
      <c r="AE1976" s="33" t="str">
        <f aca="false">IF(AND(Y1976=1,W1976&lt;1),IF(AND(C1977=C1976,W1977=W1976+1),IF(Y1977=1,"",INDEX(DATAS,W1976+1)),INDEX(DATAS,W1976+1)),"")</f>
        <v/>
      </c>
    </row>
    <row r="1977" customFormat="false" ht="15" hidden="false" customHeight="false" outlineLevel="0" collapsed="false">
      <c r="A1977" s="33" t="n">
        <v>46309</v>
      </c>
      <c r="B1977" s="0" t="n">
        <v>8</v>
      </c>
      <c r="C1977" s="0" t="n">
        <v>6235</v>
      </c>
      <c r="E1977" s="0" t="n">
        <v>0</v>
      </c>
      <c r="F1977" s="27" t="s">
        <v>1133</v>
      </c>
      <c r="I1977" s="27" t="s">
        <v>138</v>
      </c>
      <c r="L1977" s="0" t="n">
        <v>212</v>
      </c>
      <c r="U1977" s="0" t="n">
        <v>632</v>
      </c>
      <c r="V1977" s="0" t="n">
        <v>2</v>
      </c>
      <c r="W1977" s="27" t="n">
        <f aca="false">MATCH(A1977,DATAS,0)</f>
        <v>1</v>
      </c>
      <c r="X1977" s="27" t="n">
        <f aca="false">IF(AND(E1977&gt;0,OR(AND(B1977&gt;=1,B1977&lt;=6),B1977=10)),1,0)</f>
        <v>0</v>
      </c>
      <c r="Y1977" s="27" t="n">
        <f aca="false">IF(AND(E1977&gt;0,B1977=10),1,0)</f>
        <v>0</v>
      </c>
      <c r="Z1977" s="0" t="str">
        <f aca="false">IF(AND(C1976=C1977,W1976=W1977-1),X1976,"")</f>
        <v/>
      </c>
      <c r="AA1977" s="0" t="str">
        <f aca="false">IF(AND(C1976=C1977,W1976=W1977-1),Y1976,"")</f>
        <v/>
      </c>
      <c r="AB1977" s="0" t="str">
        <f aca="false">IF(W1977=1,"",IF(AND(X1977=1,Z1977&lt;&gt;1),1,0))</f>
        <v/>
      </c>
      <c r="AC1977" s="0" t="str">
        <f aca="false">IF(W1977=1,"",IF(AND(Y1977=1,AA1977&lt;&gt;1),1,0))</f>
        <v/>
      </c>
      <c r="AD1977" s="33" t="str">
        <f aca="false">IF(AND(E1977&gt;0,W1977&lt;1,NOT(AND(C1978=C1977,W1978=W1977+1))),INDEX(DATAS,W1977+1),"")</f>
        <v/>
      </c>
      <c r="AE1977" s="33" t="str">
        <f aca="false">IF(AND(Y1977=1,W1977&lt;1),IF(AND(C1978=C1977,W1978=W1977+1),IF(Y1978=1,"",INDEX(DATAS,W1977+1)),INDEX(DATAS,W1977+1)),"")</f>
        <v/>
      </c>
    </row>
    <row r="1978" customFormat="false" ht="15" hidden="false" customHeight="false" outlineLevel="0" collapsed="false">
      <c r="A1978" s="33" t="n">
        <v>46309</v>
      </c>
      <c r="B1978" s="0" t="n">
        <v>10</v>
      </c>
      <c r="C1978" s="0" t="n">
        <v>6237</v>
      </c>
      <c r="D1978" s="0" t="n">
        <v>10</v>
      </c>
      <c r="E1978" s="0" t="n">
        <v>1</v>
      </c>
      <c r="F1978" s="27" t="s">
        <v>1134</v>
      </c>
      <c r="H1978" s="0" t="n">
        <v>20</v>
      </c>
      <c r="I1978" s="27" t="s">
        <v>147</v>
      </c>
      <c r="J1978" s="0" t="n">
        <v>10</v>
      </c>
      <c r="R1978" s="0" t="n">
        <v>1726</v>
      </c>
      <c r="S1978" s="0" t="n">
        <v>3469</v>
      </c>
      <c r="U1978" s="0" t="n">
        <v>630</v>
      </c>
      <c r="V1978" s="0" t="n">
        <v>0</v>
      </c>
      <c r="W1978" s="27" t="n">
        <f aca="false">MATCH(A1978,DATAS,0)</f>
        <v>1</v>
      </c>
      <c r="X1978" s="27" t="n">
        <f aca="false">IF(AND(E1978&gt;0,OR(AND(B1978&gt;=1,B1978&lt;=6),B1978=10)),1,0)</f>
        <v>1</v>
      </c>
      <c r="Y1978" s="27" t="n">
        <f aca="false">IF(AND(E1978&gt;0,B1978=10),1,0)</f>
        <v>1</v>
      </c>
      <c r="Z1978" s="0" t="str">
        <f aca="false">IF(AND(C1977=C1978,W1977=W1978-1),X1977,"")</f>
        <v/>
      </c>
      <c r="AA1978" s="0" t="str">
        <f aca="false">IF(AND(C1977=C1978,W1977=W1978-1),Y1977,"")</f>
        <v/>
      </c>
      <c r="AB1978" s="0" t="str">
        <f aca="false">IF(W1978=1,"",IF(AND(X1978=1,Z1978&lt;&gt;1),1,0))</f>
        <v/>
      </c>
      <c r="AC1978" s="0" t="str">
        <f aca="false">IF(W1978=1,"",IF(AND(Y1978=1,AA1978&lt;&gt;1),1,0))</f>
        <v/>
      </c>
      <c r="AD1978" s="33" t="str">
        <f aca="false">IF(AND(E1978&gt;0,W1978&lt;1,NOT(AND(C1979=C1978,W1979=W1978+1))),INDEX(DATAS,W1978+1),"")</f>
        <v/>
      </c>
      <c r="AE1978" s="33" t="str">
        <f aca="false">IF(AND(Y1978=1,W1978&lt;1),IF(AND(C1979=C1978,W1979=W1978+1),IF(Y1979=1,"",INDEX(DATAS,W1978+1)),INDEX(DATAS,W1978+1)),"")</f>
        <v/>
      </c>
    </row>
    <row r="1979" customFormat="false" ht="15" hidden="false" customHeight="false" outlineLevel="0" collapsed="false">
      <c r="A1979" s="33" t="n">
        <v>46309</v>
      </c>
      <c r="B1979" s="0" t="n">
        <v>14</v>
      </c>
      <c r="C1979" s="0" t="n">
        <v>6239</v>
      </c>
      <c r="E1979" s="0" t="n">
        <v>0</v>
      </c>
      <c r="F1979" s="27" t="s">
        <v>1134</v>
      </c>
      <c r="I1979" s="27" t="s">
        <v>138</v>
      </c>
      <c r="L1979" s="0" t="n">
        <v>271</v>
      </c>
      <c r="U1979" s="0" t="n">
        <v>630</v>
      </c>
      <c r="V1979" s="0" t="n">
        <v>1</v>
      </c>
      <c r="W1979" s="27" t="n">
        <f aca="false">MATCH(A1979,DATAS,0)</f>
        <v>1</v>
      </c>
      <c r="X1979" s="27" t="n">
        <f aca="false">IF(AND(E1979&gt;0,OR(AND(B1979&gt;=1,B1979&lt;=6),B1979=10)),1,0)</f>
        <v>0</v>
      </c>
      <c r="Y1979" s="27" t="n">
        <f aca="false">IF(AND(E1979&gt;0,B1979=10),1,0)</f>
        <v>0</v>
      </c>
      <c r="Z1979" s="0" t="str">
        <f aca="false">IF(AND(C1978=C1979,W1978=W1979-1),X1978,"")</f>
        <v/>
      </c>
      <c r="AA1979" s="0" t="str">
        <f aca="false">IF(AND(C1978=C1979,W1978=W1979-1),Y1978,"")</f>
        <v/>
      </c>
      <c r="AB1979" s="0" t="str">
        <f aca="false">IF(W1979=1,"",IF(AND(X1979=1,Z1979&lt;&gt;1),1,0))</f>
        <v/>
      </c>
      <c r="AC1979" s="0" t="str">
        <f aca="false">IF(W1979=1,"",IF(AND(Y1979=1,AA1979&lt;&gt;1),1,0))</f>
        <v/>
      </c>
      <c r="AD1979" s="33" t="str">
        <f aca="false">IF(AND(E1979&gt;0,W1979&lt;1,NOT(AND(C1980=C1979,W1980=W1979+1))),INDEX(DATAS,W1979+1),"")</f>
        <v/>
      </c>
      <c r="AE1979" s="33" t="str">
        <f aca="false">IF(AND(Y1979=1,W1979&lt;1),IF(AND(C1980=C1979,W1980=W1979+1),IF(Y1980=1,"",INDEX(DATAS,W1979+1)),INDEX(DATAS,W1979+1)),"")</f>
        <v/>
      </c>
    </row>
    <row r="1980" customFormat="false" ht="15" hidden="false" customHeight="false" outlineLevel="0" collapsed="false">
      <c r="A1980" s="33" t="n">
        <v>46309</v>
      </c>
      <c r="B1980" s="0" t="n">
        <v>8</v>
      </c>
      <c r="C1980" s="0" t="n">
        <v>6240</v>
      </c>
      <c r="E1980" s="0" t="n">
        <v>0</v>
      </c>
      <c r="F1980" s="27" t="s">
        <v>1134</v>
      </c>
      <c r="I1980" s="27" t="s">
        <v>138</v>
      </c>
      <c r="L1980" s="0" t="n">
        <v>162</v>
      </c>
      <c r="U1980" s="0" t="n">
        <v>630</v>
      </c>
      <c r="V1980" s="0" t="n">
        <v>5</v>
      </c>
      <c r="W1980" s="27" t="n">
        <f aca="false">MATCH(A1980,DATAS,0)</f>
        <v>1</v>
      </c>
      <c r="X1980" s="27" t="n">
        <f aca="false">IF(AND(E1980&gt;0,OR(AND(B1980&gt;=1,B1980&lt;=6),B1980=10)),1,0)</f>
        <v>0</v>
      </c>
      <c r="Y1980" s="27" t="n">
        <f aca="false">IF(AND(E1980&gt;0,B1980=10),1,0)</f>
        <v>0</v>
      </c>
      <c r="Z1980" s="0" t="str">
        <f aca="false">IF(AND(C1979=C1980,W1979=W1980-1),X1979,"")</f>
        <v/>
      </c>
      <c r="AA1980" s="0" t="str">
        <f aca="false">IF(AND(C1979=C1980,W1979=W1980-1),Y1979,"")</f>
        <v/>
      </c>
      <c r="AB1980" s="0" t="str">
        <f aca="false">IF(W1980=1,"",IF(AND(X1980=1,Z1980&lt;&gt;1),1,0))</f>
        <v/>
      </c>
      <c r="AC1980" s="0" t="str">
        <f aca="false">IF(W1980=1,"",IF(AND(Y1980=1,AA1980&lt;&gt;1),1,0))</f>
        <v/>
      </c>
      <c r="AD1980" s="33" t="str">
        <f aca="false">IF(AND(E1980&gt;0,W1980&lt;1,NOT(AND(C1981=C1980,W1981=W1980+1))),INDEX(DATAS,W1980+1),"")</f>
        <v/>
      </c>
      <c r="AE1980" s="33" t="str">
        <f aca="false">IF(AND(Y1980=1,W1980&lt;1),IF(AND(C1981=C1980,W1981=W1980+1),IF(Y1981=1,"",INDEX(DATAS,W1980+1)),INDEX(DATAS,W1980+1)),"")</f>
        <v/>
      </c>
    </row>
    <row r="1981" customFormat="false" ht="15" hidden="false" customHeight="false" outlineLevel="0" collapsed="false">
      <c r="A1981" s="33" t="n">
        <v>46309</v>
      </c>
      <c r="B1981" s="0" t="n">
        <v>8</v>
      </c>
      <c r="C1981" s="0" t="n">
        <v>6241</v>
      </c>
      <c r="E1981" s="0" t="n">
        <v>0</v>
      </c>
      <c r="F1981" s="27" t="s">
        <v>1134</v>
      </c>
      <c r="I1981" s="27" t="s">
        <v>138</v>
      </c>
      <c r="L1981" s="0" t="n">
        <v>209</v>
      </c>
      <c r="U1981" s="0" t="n">
        <v>630</v>
      </c>
      <c r="V1981" s="0" t="n">
        <v>3</v>
      </c>
      <c r="W1981" s="27" t="n">
        <f aca="false">MATCH(A1981,DATAS,0)</f>
        <v>1</v>
      </c>
      <c r="X1981" s="27" t="n">
        <f aca="false">IF(AND(E1981&gt;0,OR(AND(B1981&gt;=1,B1981&lt;=6),B1981=10)),1,0)</f>
        <v>0</v>
      </c>
      <c r="Y1981" s="27" t="n">
        <f aca="false">IF(AND(E1981&gt;0,B1981=10),1,0)</f>
        <v>0</v>
      </c>
      <c r="Z1981" s="0" t="str">
        <f aca="false">IF(AND(C1980=C1981,W1980=W1981-1),X1980,"")</f>
        <v/>
      </c>
      <c r="AA1981" s="0" t="str">
        <f aca="false">IF(AND(C1980=C1981,W1980=W1981-1),Y1980,"")</f>
        <v/>
      </c>
      <c r="AB1981" s="0" t="str">
        <f aca="false">IF(W1981=1,"",IF(AND(X1981=1,Z1981&lt;&gt;1),1,0))</f>
        <v/>
      </c>
      <c r="AC1981" s="0" t="str">
        <f aca="false">IF(W1981=1,"",IF(AND(Y1981=1,AA1981&lt;&gt;1),1,0))</f>
        <v/>
      </c>
      <c r="AD1981" s="33" t="str">
        <f aca="false">IF(AND(E1981&gt;0,W1981&lt;1,NOT(AND(C1982=C1981,W1982=W1981+1))),INDEX(DATAS,W1981+1),"")</f>
        <v/>
      </c>
      <c r="AE1981" s="33" t="str">
        <f aca="false">IF(AND(Y1981=1,W1981&lt;1),IF(AND(C1982=C1981,W1982=W1981+1),IF(Y1982=1,"",INDEX(DATAS,W1981+1)),INDEX(DATAS,W1981+1)),"")</f>
        <v/>
      </c>
    </row>
    <row r="1982" customFormat="false" ht="15" hidden="false" customHeight="false" outlineLevel="0" collapsed="false">
      <c r="A1982" s="33" t="n">
        <v>46309</v>
      </c>
      <c r="B1982" s="0" t="n">
        <v>11</v>
      </c>
      <c r="C1982" s="0" t="n">
        <v>6242</v>
      </c>
      <c r="E1982" s="0" t="n">
        <v>0</v>
      </c>
      <c r="F1982" s="27" t="s">
        <v>1134</v>
      </c>
      <c r="I1982" s="27" t="s">
        <v>168</v>
      </c>
      <c r="U1982" s="0" t="n">
        <v>630</v>
      </c>
      <c r="V1982" s="0" t="n">
        <v>7</v>
      </c>
      <c r="W1982" s="27" t="n">
        <f aca="false">MATCH(A1982,DATAS,0)</f>
        <v>1</v>
      </c>
      <c r="X1982" s="27" t="n">
        <f aca="false">IF(AND(E1982&gt;0,OR(AND(B1982&gt;=1,B1982&lt;=6),B1982=10)),1,0)</f>
        <v>0</v>
      </c>
      <c r="Y1982" s="27" t="n">
        <f aca="false">IF(AND(E1982&gt;0,B1982=10),1,0)</f>
        <v>0</v>
      </c>
      <c r="Z1982" s="0" t="str">
        <f aca="false">IF(AND(C1981=C1982,W1981=W1982-1),X1981,"")</f>
        <v/>
      </c>
      <c r="AA1982" s="0" t="str">
        <f aca="false">IF(AND(C1981=C1982,W1981=W1982-1),Y1981,"")</f>
        <v/>
      </c>
      <c r="AB1982" s="0" t="str">
        <f aca="false">IF(W1982=1,"",IF(AND(X1982=1,Z1982&lt;&gt;1),1,0))</f>
        <v/>
      </c>
      <c r="AC1982" s="0" t="str">
        <f aca="false">IF(W1982=1,"",IF(AND(Y1982=1,AA1982&lt;&gt;1),1,0))</f>
        <v/>
      </c>
      <c r="AD1982" s="33" t="str">
        <f aca="false">IF(AND(E1982&gt;0,W1982&lt;1,NOT(AND(C1983=C1982,W1983=W1982+1))),INDEX(DATAS,W1982+1),"")</f>
        <v/>
      </c>
      <c r="AE1982" s="33" t="str">
        <f aca="false">IF(AND(Y1982=1,W1982&lt;1),IF(AND(C1983=C1982,W1983=W1982+1),IF(Y1983=1,"",INDEX(DATAS,W1982+1)),INDEX(DATAS,W1982+1)),"")</f>
        <v/>
      </c>
    </row>
    <row r="1983" customFormat="false" ht="15" hidden="false" customHeight="false" outlineLevel="0" collapsed="false">
      <c r="A1983" s="33" t="n">
        <v>46309</v>
      </c>
      <c r="B1983" s="0" t="n">
        <v>14</v>
      </c>
      <c r="C1983" s="0" t="n">
        <v>6243</v>
      </c>
      <c r="E1983" s="0" t="n">
        <v>0</v>
      </c>
      <c r="F1983" s="27" t="s">
        <v>141</v>
      </c>
      <c r="I1983" s="27" t="s">
        <v>138</v>
      </c>
      <c r="L1983" s="0" t="n">
        <v>255</v>
      </c>
      <c r="U1983" s="0" t="n">
        <v>629</v>
      </c>
      <c r="V1983" s="0" t="n">
        <v>1</v>
      </c>
      <c r="W1983" s="27" t="n">
        <f aca="false">MATCH(A1983,DATAS,0)</f>
        <v>1</v>
      </c>
      <c r="X1983" s="27" t="n">
        <f aca="false">IF(AND(E1983&gt;0,OR(AND(B1983&gt;=1,B1983&lt;=6),B1983=10)),1,0)</f>
        <v>0</v>
      </c>
      <c r="Y1983" s="27" t="n">
        <f aca="false">IF(AND(E1983&gt;0,B1983=10),1,0)</f>
        <v>0</v>
      </c>
      <c r="Z1983" s="0" t="str">
        <f aca="false">IF(AND(C1982=C1983,W1982=W1983-1),X1982,"")</f>
        <v/>
      </c>
      <c r="AA1983" s="0" t="str">
        <f aca="false">IF(AND(C1982=C1983,W1982=W1983-1),Y1982,"")</f>
        <v/>
      </c>
      <c r="AB1983" s="0" t="str">
        <f aca="false">IF(W1983=1,"",IF(AND(X1983=1,Z1983&lt;&gt;1),1,0))</f>
        <v/>
      </c>
      <c r="AC1983" s="0" t="str">
        <f aca="false">IF(W1983=1,"",IF(AND(Y1983=1,AA1983&lt;&gt;1),1,0))</f>
        <v/>
      </c>
      <c r="AD1983" s="33" t="str">
        <f aca="false">IF(AND(E1983&gt;0,W1983&lt;1,NOT(AND(C1984=C1983,W1984=W1983+1))),INDEX(DATAS,W1983+1),"")</f>
        <v/>
      </c>
      <c r="AE1983" s="33" t="str">
        <f aca="false">IF(AND(Y1983=1,W1983&lt;1),IF(AND(C1984=C1983,W1984=W1983+1),IF(Y1984=1,"",INDEX(DATAS,W1983+1)),INDEX(DATAS,W1983+1)),"")</f>
        <v/>
      </c>
    </row>
    <row r="1984" customFormat="false" ht="15" hidden="false" customHeight="false" outlineLevel="0" collapsed="false">
      <c r="A1984" s="33" t="n">
        <v>46309</v>
      </c>
      <c r="B1984" s="0" t="n">
        <v>8</v>
      </c>
      <c r="C1984" s="0" t="n">
        <v>6244</v>
      </c>
      <c r="E1984" s="0" t="n">
        <v>0</v>
      </c>
      <c r="F1984" s="27" t="s">
        <v>141</v>
      </c>
      <c r="I1984" s="27" t="s">
        <v>138</v>
      </c>
      <c r="L1984" s="0" t="n">
        <v>260</v>
      </c>
      <c r="U1984" s="0" t="n">
        <v>629</v>
      </c>
      <c r="V1984" s="0" t="n">
        <v>1</v>
      </c>
      <c r="W1984" s="27" t="n">
        <f aca="false">MATCH(A1984,DATAS,0)</f>
        <v>1</v>
      </c>
      <c r="X1984" s="27" t="n">
        <f aca="false">IF(AND(E1984&gt;0,OR(AND(B1984&gt;=1,B1984&lt;=6),B1984=10)),1,0)</f>
        <v>0</v>
      </c>
      <c r="Y1984" s="27" t="n">
        <f aca="false">IF(AND(E1984&gt;0,B1984=10),1,0)</f>
        <v>0</v>
      </c>
      <c r="Z1984" s="0" t="str">
        <f aca="false">IF(AND(C1983=C1984,W1983=W1984-1),X1983,"")</f>
        <v/>
      </c>
      <c r="AA1984" s="0" t="str">
        <f aca="false">IF(AND(C1983=C1984,W1983=W1984-1),Y1983,"")</f>
        <v/>
      </c>
      <c r="AB1984" s="0" t="str">
        <f aca="false">IF(W1984=1,"",IF(AND(X1984=1,Z1984&lt;&gt;1),1,0))</f>
        <v/>
      </c>
      <c r="AC1984" s="0" t="str">
        <f aca="false">IF(W1984=1,"",IF(AND(Y1984=1,AA1984&lt;&gt;1),1,0))</f>
        <v/>
      </c>
      <c r="AD1984" s="33" t="str">
        <f aca="false">IF(AND(E1984&gt;0,W1984&lt;1,NOT(AND(C1985=C1984,W1985=W1984+1))),INDEX(DATAS,W1984+1),"")</f>
        <v/>
      </c>
      <c r="AE1984" s="33" t="str">
        <f aca="false">IF(AND(Y1984=1,W1984&lt;1),IF(AND(C1985=C1984,W1985=W1984+1),IF(Y1985=1,"",INDEX(DATAS,W1984+1)),INDEX(DATAS,W1984+1)),"")</f>
        <v/>
      </c>
    </row>
    <row r="1985" customFormat="false" ht="15" hidden="false" customHeight="false" outlineLevel="0" collapsed="false">
      <c r="A1985" s="33" t="n">
        <v>46309</v>
      </c>
      <c r="B1985" s="0" t="n">
        <v>7</v>
      </c>
      <c r="C1985" s="0" t="n">
        <v>6245</v>
      </c>
      <c r="E1985" s="0" t="n">
        <v>0</v>
      </c>
      <c r="F1985" s="27" t="s">
        <v>141</v>
      </c>
      <c r="I1985" s="27" t="s">
        <v>138</v>
      </c>
      <c r="L1985" s="0" t="n">
        <v>253</v>
      </c>
      <c r="U1985" s="0" t="n">
        <v>629</v>
      </c>
      <c r="V1985" s="0" t="n">
        <v>1</v>
      </c>
      <c r="W1985" s="27" t="n">
        <f aca="false">MATCH(A1985,DATAS,0)</f>
        <v>1</v>
      </c>
      <c r="X1985" s="27" t="n">
        <f aca="false">IF(AND(E1985&gt;0,OR(AND(B1985&gt;=1,B1985&lt;=6),B1985=10)),1,0)</f>
        <v>0</v>
      </c>
      <c r="Y1985" s="27" t="n">
        <f aca="false">IF(AND(E1985&gt;0,B1985=10),1,0)</f>
        <v>0</v>
      </c>
      <c r="Z1985" s="0" t="str">
        <f aca="false">IF(AND(C1984=C1985,W1984=W1985-1),X1984,"")</f>
        <v/>
      </c>
      <c r="AA1985" s="0" t="str">
        <f aca="false">IF(AND(C1984=C1985,W1984=W1985-1),Y1984,"")</f>
        <v/>
      </c>
      <c r="AB1985" s="0" t="str">
        <f aca="false">IF(W1985=1,"",IF(AND(X1985=1,Z1985&lt;&gt;1),1,0))</f>
        <v/>
      </c>
      <c r="AC1985" s="0" t="str">
        <f aca="false">IF(W1985=1,"",IF(AND(Y1985=1,AA1985&lt;&gt;1),1,0))</f>
        <v/>
      </c>
      <c r="AD1985" s="33" t="str">
        <f aca="false">IF(AND(E1985&gt;0,W1985&lt;1,NOT(AND(C1986=C1985,W1986=W1985+1))),INDEX(DATAS,W1985+1),"")</f>
        <v/>
      </c>
      <c r="AE1985" s="33" t="str">
        <f aca="false">IF(AND(Y1985=1,W1985&lt;1),IF(AND(C1986=C1985,W1986=W1985+1),IF(Y1986=1,"",INDEX(DATAS,W1985+1)),INDEX(DATAS,W1985+1)),"")</f>
        <v/>
      </c>
    </row>
    <row r="1986" customFormat="false" ht="15" hidden="false" customHeight="false" outlineLevel="0" collapsed="false">
      <c r="A1986" s="33" t="n">
        <v>46309</v>
      </c>
      <c r="B1986" s="0" t="n">
        <v>13</v>
      </c>
      <c r="C1986" s="0" t="n">
        <v>6246</v>
      </c>
      <c r="E1986" s="0" t="n">
        <v>0</v>
      </c>
      <c r="F1986" s="27" t="s">
        <v>141</v>
      </c>
      <c r="I1986" s="27" t="s">
        <v>176</v>
      </c>
      <c r="U1986" s="0" t="n">
        <v>629</v>
      </c>
      <c r="V1986" s="0" t="n">
        <v>0</v>
      </c>
      <c r="W1986" s="27" t="n">
        <f aca="false">MATCH(A1986,DATAS,0)</f>
        <v>1</v>
      </c>
      <c r="X1986" s="27" t="n">
        <f aca="false">IF(AND(E1986&gt;0,OR(AND(B1986&gt;=1,B1986&lt;=6),B1986=10)),1,0)</f>
        <v>0</v>
      </c>
      <c r="Y1986" s="27" t="n">
        <f aca="false">IF(AND(E1986&gt;0,B1986=10),1,0)</f>
        <v>0</v>
      </c>
      <c r="Z1986" s="0" t="str">
        <f aca="false">IF(AND(C1985=C1986,W1985=W1986-1),X1985,"")</f>
        <v/>
      </c>
      <c r="AA1986" s="0" t="str">
        <f aca="false">IF(AND(C1985=C1986,W1985=W1986-1),Y1985,"")</f>
        <v/>
      </c>
      <c r="AB1986" s="0" t="str">
        <f aca="false">IF(W1986=1,"",IF(AND(X1986=1,Z1986&lt;&gt;1),1,0))</f>
        <v/>
      </c>
      <c r="AC1986" s="0" t="str">
        <f aca="false">IF(W1986=1,"",IF(AND(Y1986=1,AA1986&lt;&gt;1),1,0))</f>
        <v/>
      </c>
      <c r="AD1986" s="33" t="str">
        <f aca="false">IF(AND(E1986&gt;0,W1986&lt;1,NOT(AND(C1987=C1986,W1987=W1986+1))),INDEX(DATAS,W1986+1),"")</f>
        <v/>
      </c>
      <c r="AE1986" s="33" t="str">
        <f aca="false">IF(AND(Y1986=1,W1986&lt;1),IF(AND(C1987=C1986,W1987=W1986+1),IF(Y1987=1,"",INDEX(DATAS,W1986+1)),INDEX(DATAS,W1986+1)),"")</f>
        <v/>
      </c>
    </row>
    <row r="1987" customFormat="false" ht="15" hidden="false" customHeight="false" outlineLevel="0" collapsed="false">
      <c r="A1987" s="33" t="n">
        <v>46309</v>
      </c>
      <c r="B1987" s="0" t="n">
        <v>14</v>
      </c>
      <c r="C1987" s="0" t="n">
        <v>6249</v>
      </c>
      <c r="E1987" s="0" t="n">
        <v>0</v>
      </c>
      <c r="F1987" s="27" t="s">
        <v>1135</v>
      </c>
      <c r="I1987" s="27" t="s">
        <v>138</v>
      </c>
      <c r="L1987" s="0" t="n">
        <v>260</v>
      </c>
      <c r="U1987" s="0" t="n">
        <v>628</v>
      </c>
      <c r="V1987" s="0" t="n">
        <v>1</v>
      </c>
      <c r="W1987" s="27" t="n">
        <f aca="false">MATCH(A1987,DATAS,0)</f>
        <v>1</v>
      </c>
      <c r="X1987" s="27" t="n">
        <f aca="false">IF(AND(E1987&gt;0,OR(AND(B1987&gt;=1,B1987&lt;=6),B1987=10)),1,0)</f>
        <v>0</v>
      </c>
      <c r="Y1987" s="27" t="n">
        <f aca="false">IF(AND(E1987&gt;0,B1987=10),1,0)</f>
        <v>0</v>
      </c>
      <c r="Z1987" s="0" t="str">
        <f aca="false">IF(AND(C1986=C1987,W1986=W1987-1),X1986,"")</f>
        <v/>
      </c>
      <c r="AA1987" s="0" t="str">
        <f aca="false">IF(AND(C1986=C1987,W1986=W1987-1),Y1986,"")</f>
        <v/>
      </c>
      <c r="AB1987" s="0" t="str">
        <f aca="false">IF(W1987=1,"",IF(AND(X1987=1,Z1987&lt;&gt;1),1,0))</f>
        <v/>
      </c>
      <c r="AC1987" s="0" t="str">
        <f aca="false">IF(W1987=1,"",IF(AND(Y1987=1,AA1987&lt;&gt;1),1,0))</f>
        <v/>
      </c>
      <c r="AD1987" s="33" t="str">
        <f aca="false">IF(AND(E1987&gt;0,W1987&lt;1,NOT(AND(C1988=C1987,W1988=W1987+1))),INDEX(DATAS,W1987+1),"")</f>
        <v/>
      </c>
      <c r="AE1987" s="33" t="str">
        <f aca="false">IF(AND(Y1987=1,W1987&lt;1),IF(AND(C1988=C1987,W1988=W1987+1),IF(Y1988=1,"",INDEX(DATAS,W1987+1)),INDEX(DATAS,W1987+1)),"")</f>
        <v/>
      </c>
    </row>
    <row r="1988" customFormat="false" ht="15" hidden="false" customHeight="false" outlineLevel="0" collapsed="false">
      <c r="A1988" s="33" t="n">
        <v>46309</v>
      </c>
      <c r="B1988" s="0" t="n">
        <v>8</v>
      </c>
      <c r="C1988" s="0" t="n">
        <v>6250</v>
      </c>
      <c r="E1988" s="0" t="n">
        <v>0</v>
      </c>
      <c r="F1988" s="27" t="s">
        <v>1136</v>
      </c>
      <c r="I1988" s="27" t="s">
        <v>138</v>
      </c>
      <c r="L1988" s="0" t="n">
        <v>215</v>
      </c>
      <c r="U1988" s="0" t="n">
        <v>627</v>
      </c>
      <c r="V1988" s="0" t="n">
        <v>2</v>
      </c>
      <c r="W1988" s="27" t="n">
        <f aca="false">MATCH(A1988,DATAS,0)</f>
        <v>1</v>
      </c>
      <c r="X1988" s="27" t="n">
        <f aca="false">IF(AND(E1988&gt;0,OR(AND(B1988&gt;=1,B1988&lt;=6),B1988=10)),1,0)</f>
        <v>0</v>
      </c>
      <c r="Y1988" s="27" t="n">
        <f aca="false">IF(AND(E1988&gt;0,B1988=10),1,0)</f>
        <v>0</v>
      </c>
      <c r="Z1988" s="0" t="str">
        <f aca="false">IF(AND(C1987=C1988,W1987=W1988-1),X1987,"")</f>
        <v/>
      </c>
      <c r="AA1988" s="0" t="str">
        <f aca="false">IF(AND(C1987=C1988,W1987=W1988-1),Y1987,"")</f>
        <v/>
      </c>
      <c r="AB1988" s="0" t="str">
        <f aca="false">IF(W1988=1,"",IF(AND(X1988=1,Z1988&lt;&gt;1),1,0))</f>
        <v/>
      </c>
      <c r="AC1988" s="0" t="str">
        <f aca="false">IF(W1988=1,"",IF(AND(Y1988=1,AA1988&lt;&gt;1),1,0))</f>
        <v/>
      </c>
      <c r="AD1988" s="33" t="str">
        <f aca="false">IF(AND(E1988&gt;0,W1988&lt;1,NOT(AND(C1989=C1988,W1989=W1988+1))),INDEX(DATAS,W1988+1),"")</f>
        <v/>
      </c>
      <c r="AE1988" s="33" t="str">
        <f aca="false">IF(AND(Y1988=1,W1988&lt;1),IF(AND(C1989=C1988,W1989=W1988+1),IF(Y1989=1,"",INDEX(DATAS,W1988+1)),INDEX(DATAS,W1988+1)),"")</f>
        <v/>
      </c>
    </row>
    <row r="1989" customFormat="false" ht="15" hidden="false" customHeight="false" outlineLevel="0" collapsed="false">
      <c r="A1989" s="33" t="n">
        <v>46309</v>
      </c>
      <c r="B1989" s="0" t="n">
        <v>8</v>
      </c>
      <c r="C1989" s="0" t="n">
        <v>6251</v>
      </c>
      <c r="E1989" s="0" t="n">
        <v>0</v>
      </c>
      <c r="F1989" s="27" t="s">
        <v>1136</v>
      </c>
      <c r="I1989" s="27" t="s">
        <v>138</v>
      </c>
      <c r="L1989" s="0" t="n">
        <v>140</v>
      </c>
      <c r="U1989" s="0" t="n">
        <v>627</v>
      </c>
      <c r="V1989" s="0" t="n">
        <v>3</v>
      </c>
      <c r="W1989" s="27" t="n">
        <f aca="false">MATCH(A1989,DATAS,0)</f>
        <v>1</v>
      </c>
      <c r="X1989" s="27" t="n">
        <f aca="false">IF(AND(E1989&gt;0,OR(AND(B1989&gt;=1,B1989&lt;=6),B1989=10)),1,0)</f>
        <v>0</v>
      </c>
      <c r="Y1989" s="27" t="n">
        <f aca="false">IF(AND(E1989&gt;0,B1989=10),1,0)</f>
        <v>0</v>
      </c>
      <c r="Z1989" s="0" t="str">
        <f aca="false">IF(AND(C1988=C1989,W1988=W1989-1),X1988,"")</f>
        <v/>
      </c>
      <c r="AA1989" s="0" t="str">
        <f aca="false">IF(AND(C1988=C1989,W1988=W1989-1),Y1988,"")</f>
        <v/>
      </c>
      <c r="AB1989" s="0" t="str">
        <f aca="false">IF(W1989=1,"",IF(AND(X1989=1,Z1989&lt;&gt;1),1,0))</f>
        <v/>
      </c>
      <c r="AC1989" s="0" t="str">
        <f aca="false">IF(W1989=1,"",IF(AND(Y1989=1,AA1989&lt;&gt;1),1,0))</f>
        <v/>
      </c>
      <c r="AD1989" s="33" t="str">
        <f aca="false">IF(AND(E1989&gt;0,W1989&lt;1,NOT(AND(C1990=C1989,W1990=W1989+1))),INDEX(DATAS,W1989+1),"")</f>
        <v/>
      </c>
      <c r="AE1989" s="33" t="str">
        <f aca="false">IF(AND(Y1989=1,W1989&lt;1),IF(AND(C1990=C1989,W1990=W1989+1),IF(Y1990=1,"",INDEX(DATAS,W1989+1)),INDEX(DATAS,W1989+1)),"")</f>
        <v/>
      </c>
    </row>
    <row r="1990" customFormat="false" ht="15" hidden="false" customHeight="false" outlineLevel="0" collapsed="false">
      <c r="A1990" s="33" t="n">
        <v>46309</v>
      </c>
      <c r="B1990" s="0" t="n">
        <v>8</v>
      </c>
      <c r="C1990" s="0" t="n">
        <v>6252</v>
      </c>
      <c r="E1990" s="0" t="n">
        <v>0</v>
      </c>
      <c r="F1990" s="27" t="s">
        <v>1136</v>
      </c>
      <c r="I1990" s="27" t="s">
        <v>138</v>
      </c>
      <c r="L1990" s="0" t="n">
        <v>217</v>
      </c>
      <c r="U1990" s="0" t="n">
        <v>627</v>
      </c>
      <c r="V1990" s="0" t="n">
        <v>3</v>
      </c>
      <c r="W1990" s="27" t="n">
        <f aca="false">MATCH(A1990,DATAS,0)</f>
        <v>1</v>
      </c>
      <c r="X1990" s="27" t="n">
        <f aca="false">IF(AND(E1990&gt;0,OR(AND(B1990&gt;=1,B1990&lt;=6),B1990=10)),1,0)</f>
        <v>0</v>
      </c>
      <c r="Y1990" s="27" t="n">
        <f aca="false">IF(AND(E1990&gt;0,B1990=10),1,0)</f>
        <v>0</v>
      </c>
      <c r="Z1990" s="0" t="str">
        <f aca="false">IF(AND(C1989=C1990,W1989=W1990-1),X1989,"")</f>
        <v/>
      </c>
      <c r="AA1990" s="0" t="str">
        <f aca="false">IF(AND(C1989=C1990,W1989=W1990-1),Y1989,"")</f>
        <v/>
      </c>
      <c r="AB1990" s="0" t="str">
        <f aca="false">IF(W1990=1,"",IF(AND(X1990=1,Z1990&lt;&gt;1),1,0))</f>
        <v/>
      </c>
      <c r="AC1990" s="0" t="str">
        <f aca="false">IF(W1990=1,"",IF(AND(Y1990=1,AA1990&lt;&gt;1),1,0))</f>
        <v/>
      </c>
      <c r="AD1990" s="33" t="str">
        <f aca="false">IF(AND(E1990&gt;0,W1990&lt;1,NOT(AND(C1991=C1990,W1991=W1990+1))),INDEX(DATAS,W1990+1),"")</f>
        <v/>
      </c>
      <c r="AE1990" s="33" t="str">
        <f aca="false">IF(AND(Y1990=1,W1990&lt;1),IF(AND(C1991=C1990,W1991=W1990+1),IF(Y1991=1,"",INDEX(DATAS,W1990+1)),INDEX(DATAS,W1990+1)),"")</f>
        <v/>
      </c>
    </row>
    <row r="1991" customFormat="false" ht="15" hidden="false" customHeight="false" outlineLevel="0" collapsed="false">
      <c r="A1991" s="33" t="n">
        <v>46309</v>
      </c>
      <c r="B1991" s="0" t="n">
        <v>8</v>
      </c>
      <c r="C1991" s="0" t="n">
        <v>6254</v>
      </c>
      <c r="E1991" s="0" t="n">
        <v>0</v>
      </c>
      <c r="F1991" s="27" t="s">
        <v>1137</v>
      </c>
      <c r="I1991" s="27" t="s">
        <v>138</v>
      </c>
      <c r="L1991" s="0" t="n">
        <v>183</v>
      </c>
      <c r="U1991" s="0" t="n">
        <v>626</v>
      </c>
      <c r="V1991" s="0" t="n">
        <v>2</v>
      </c>
      <c r="W1991" s="27" t="n">
        <f aca="false">MATCH(A1991,DATAS,0)</f>
        <v>1</v>
      </c>
      <c r="X1991" s="27" t="n">
        <f aca="false">IF(AND(E1991&gt;0,OR(AND(B1991&gt;=1,B1991&lt;=6),B1991=10)),1,0)</f>
        <v>0</v>
      </c>
      <c r="Y1991" s="27" t="n">
        <f aca="false">IF(AND(E1991&gt;0,B1991=10),1,0)</f>
        <v>0</v>
      </c>
      <c r="Z1991" s="0" t="str">
        <f aca="false">IF(AND(C1990=C1991,W1990=W1991-1),X1990,"")</f>
        <v/>
      </c>
      <c r="AA1991" s="0" t="str">
        <f aca="false">IF(AND(C1990=C1991,W1990=W1991-1),Y1990,"")</f>
        <v/>
      </c>
      <c r="AB1991" s="0" t="str">
        <f aca="false">IF(W1991=1,"",IF(AND(X1991=1,Z1991&lt;&gt;1),1,0))</f>
        <v/>
      </c>
      <c r="AC1991" s="0" t="str">
        <f aca="false">IF(W1991=1,"",IF(AND(Y1991=1,AA1991&lt;&gt;1),1,0))</f>
        <v/>
      </c>
      <c r="AD1991" s="33" t="str">
        <f aca="false">IF(AND(E1991&gt;0,W1991&lt;1,NOT(AND(C1992=C1991,W1992=W1991+1))),INDEX(DATAS,W1991+1),"")</f>
        <v/>
      </c>
      <c r="AE1991" s="33" t="str">
        <f aca="false">IF(AND(Y1991=1,W1991&lt;1),IF(AND(C1992=C1991,W1992=W1991+1),IF(Y1992=1,"",INDEX(DATAS,W1991+1)),INDEX(DATAS,W1991+1)),"")</f>
        <v/>
      </c>
    </row>
    <row r="1992" customFormat="false" ht="15" hidden="false" customHeight="false" outlineLevel="0" collapsed="false">
      <c r="A1992" s="33" t="n">
        <v>46309</v>
      </c>
      <c r="B1992" s="0" t="n">
        <v>7</v>
      </c>
      <c r="C1992" s="0" t="n">
        <v>6256</v>
      </c>
      <c r="E1992" s="0" t="n">
        <v>0</v>
      </c>
      <c r="F1992" s="27" t="s">
        <v>1137</v>
      </c>
      <c r="I1992" s="27" t="s">
        <v>138</v>
      </c>
      <c r="L1992" s="0" t="n">
        <v>234</v>
      </c>
      <c r="U1992" s="0" t="n">
        <v>626</v>
      </c>
      <c r="V1992" s="0" t="n">
        <v>2</v>
      </c>
      <c r="W1992" s="27" t="n">
        <f aca="false">MATCH(A1992,DATAS,0)</f>
        <v>1</v>
      </c>
      <c r="X1992" s="27" t="n">
        <f aca="false">IF(AND(E1992&gt;0,OR(AND(B1992&gt;=1,B1992&lt;=6),B1992=10)),1,0)</f>
        <v>0</v>
      </c>
      <c r="Y1992" s="27" t="n">
        <f aca="false">IF(AND(E1992&gt;0,B1992=10),1,0)</f>
        <v>0</v>
      </c>
      <c r="Z1992" s="0" t="str">
        <f aca="false">IF(AND(C1991=C1992,W1991=W1992-1),X1991,"")</f>
        <v/>
      </c>
      <c r="AA1992" s="0" t="str">
        <f aca="false">IF(AND(C1991=C1992,W1991=W1992-1),Y1991,"")</f>
        <v/>
      </c>
      <c r="AB1992" s="0" t="str">
        <f aca="false">IF(W1992=1,"",IF(AND(X1992=1,Z1992&lt;&gt;1),1,0))</f>
        <v/>
      </c>
      <c r="AC1992" s="0" t="str">
        <f aca="false">IF(W1992=1,"",IF(AND(Y1992=1,AA1992&lt;&gt;1),1,0))</f>
        <v/>
      </c>
      <c r="AD1992" s="33" t="str">
        <f aca="false">IF(AND(E1992&gt;0,W1992&lt;1,NOT(AND(C1993=C1992,W1993=W1992+1))),INDEX(DATAS,W1992+1),"")</f>
        <v/>
      </c>
      <c r="AE1992" s="33" t="str">
        <f aca="false">IF(AND(Y1992=1,W1992&lt;1),IF(AND(C1993=C1992,W1993=W1992+1),IF(Y1993=1,"",INDEX(DATAS,W1992+1)),INDEX(DATAS,W1992+1)),"")</f>
        <v/>
      </c>
    </row>
    <row r="1993" customFormat="false" ht="15" hidden="false" customHeight="false" outlineLevel="0" collapsed="false">
      <c r="A1993" s="33" t="n">
        <v>46309</v>
      </c>
      <c r="B1993" s="0" t="n">
        <v>14</v>
      </c>
      <c r="C1993" s="0" t="n">
        <v>6257</v>
      </c>
      <c r="E1993" s="0" t="n">
        <v>0</v>
      </c>
      <c r="F1993" s="27" t="s">
        <v>1138</v>
      </c>
      <c r="I1993" s="27" t="s">
        <v>138</v>
      </c>
      <c r="L1993" s="0" t="n">
        <v>263</v>
      </c>
      <c r="U1993" s="0" t="n">
        <v>625</v>
      </c>
      <c r="V1993" s="0" t="n">
        <v>1</v>
      </c>
      <c r="W1993" s="27" t="n">
        <f aca="false">MATCH(A1993,DATAS,0)</f>
        <v>1</v>
      </c>
      <c r="X1993" s="27" t="n">
        <f aca="false">IF(AND(E1993&gt;0,OR(AND(B1993&gt;=1,B1993&lt;=6),B1993=10)),1,0)</f>
        <v>0</v>
      </c>
      <c r="Y1993" s="27" t="n">
        <f aca="false">IF(AND(E1993&gt;0,B1993=10),1,0)</f>
        <v>0</v>
      </c>
      <c r="Z1993" s="0" t="str">
        <f aca="false">IF(AND(C1992=C1993,W1992=W1993-1),X1992,"")</f>
        <v/>
      </c>
      <c r="AA1993" s="0" t="str">
        <f aca="false">IF(AND(C1992=C1993,W1992=W1993-1),Y1992,"")</f>
        <v/>
      </c>
      <c r="AB1993" s="0" t="str">
        <f aca="false">IF(W1993=1,"",IF(AND(X1993=1,Z1993&lt;&gt;1),1,0))</f>
        <v/>
      </c>
      <c r="AC1993" s="0" t="str">
        <f aca="false">IF(W1993=1,"",IF(AND(Y1993=1,AA1993&lt;&gt;1),1,0))</f>
        <v/>
      </c>
      <c r="AD1993" s="33" t="str">
        <f aca="false">IF(AND(E1993&gt;0,W1993&lt;1,NOT(AND(C1994=C1993,W1994=W1993+1))),INDEX(DATAS,W1993+1),"")</f>
        <v/>
      </c>
      <c r="AE1993" s="33" t="str">
        <f aca="false">IF(AND(Y1993=1,W1993&lt;1),IF(AND(C1994=C1993,W1994=W1993+1),IF(Y1994=1,"",INDEX(DATAS,W1993+1)),INDEX(DATAS,W1993+1)),"")</f>
        <v/>
      </c>
    </row>
    <row r="1994" customFormat="false" ht="15" hidden="false" customHeight="false" outlineLevel="0" collapsed="false">
      <c r="A1994" s="33" t="n">
        <v>46309</v>
      </c>
      <c r="B1994" s="0" t="n">
        <v>7</v>
      </c>
      <c r="C1994" s="0" t="n">
        <v>6258</v>
      </c>
      <c r="E1994" s="0" t="n">
        <v>0</v>
      </c>
      <c r="F1994" s="27" t="s">
        <v>1139</v>
      </c>
      <c r="I1994" s="27" t="s">
        <v>138</v>
      </c>
      <c r="L1994" s="0" t="n">
        <v>237</v>
      </c>
      <c r="U1994" s="0" t="n">
        <v>623</v>
      </c>
      <c r="V1994" s="0" t="n">
        <v>2</v>
      </c>
      <c r="W1994" s="27" t="n">
        <f aca="false">MATCH(A1994,DATAS,0)</f>
        <v>1</v>
      </c>
      <c r="X1994" s="27" t="n">
        <f aca="false">IF(AND(E1994&gt;0,OR(AND(B1994&gt;=1,B1994&lt;=6),B1994=10)),1,0)</f>
        <v>0</v>
      </c>
      <c r="Y1994" s="27" t="n">
        <f aca="false">IF(AND(E1994&gt;0,B1994=10),1,0)</f>
        <v>0</v>
      </c>
      <c r="Z1994" s="0" t="str">
        <f aca="false">IF(AND(C1993=C1994,W1993=W1994-1),X1993,"")</f>
        <v/>
      </c>
      <c r="AA1994" s="0" t="str">
        <f aca="false">IF(AND(C1993=C1994,W1993=W1994-1),Y1993,"")</f>
        <v/>
      </c>
      <c r="AB1994" s="0" t="str">
        <f aca="false">IF(W1994=1,"",IF(AND(X1994=1,Z1994&lt;&gt;1),1,0))</f>
        <v/>
      </c>
      <c r="AC1994" s="0" t="str">
        <f aca="false">IF(W1994=1,"",IF(AND(Y1994=1,AA1994&lt;&gt;1),1,0))</f>
        <v/>
      </c>
      <c r="AD1994" s="33" t="str">
        <f aca="false">IF(AND(E1994&gt;0,W1994&lt;1,NOT(AND(C1995=C1994,W1995=W1994+1))),INDEX(DATAS,W1994+1),"")</f>
        <v/>
      </c>
      <c r="AE1994" s="33" t="str">
        <f aca="false">IF(AND(Y1994=1,W1994&lt;1),IF(AND(C1995=C1994,W1995=W1994+1),IF(Y1995=1,"",INDEX(DATAS,W1994+1)),INDEX(DATAS,W1994+1)),"")</f>
        <v/>
      </c>
    </row>
    <row r="1995" customFormat="false" ht="15" hidden="false" customHeight="false" outlineLevel="0" collapsed="false">
      <c r="A1995" s="33" t="n">
        <v>46309</v>
      </c>
      <c r="B1995" s="0" t="n">
        <v>8</v>
      </c>
      <c r="C1995" s="0" t="n">
        <v>6260</v>
      </c>
      <c r="E1995" s="0" t="n">
        <v>0</v>
      </c>
      <c r="F1995" s="27" t="s">
        <v>1139</v>
      </c>
      <c r="I1995" s="27" t="s">
        <v>138</v>
      </c>
      <c r="L1995" s="0" t="n">
        <v>232</v>
      </c>
      <c r="U1995" s="0" t="n">
        <v>623</v>
      </c>
      <c r="V1995" s="0" t="n">
        <v>2</v>
      </c>
      <c r="W1995" s="27" t="n">
        <f aca="false">MATCH(A1995,DATAS,0)</f>
        <v>1</v>
      </c>
      <c r="X1995" s="27" t="n">
        <f aca="false">IF(AND(E1995&gt;0,OR(AND(B1995&gt;=1,B1995&lt;=6),B1995=10)),1,0)</f>
        <v>0</v>
      </c>
      <c r="Y1995" s="27" t="n">
        <f aca="false">IF(AND(E1995&gt;0,B1995=10),1,0)</f>
        <v>0</v>
      </c>
      <c r="Z1995" s="0" t="str">
        <f aca="false">IF(AND(C1994=C1995,W1994=W1995-1),X1994,"")</f>
        <v/>
      </c>
      <c r="AA1995" s="0" t="str">
        <f aca="false">IF(AND(C1994=C1995,W1994=W1995-1),Y1994,"")</f>
        <v/>
      </c>
      <c r="AB1995" s="0" t="str">
        <f aca="false">IF(W1995=1,"",IF(AND(X1995=1,Z1995&lt;&gt;1),1,0))</f>
        <v/>
      </c>
      <c r="AC1995" s="0" t="str">
        <f aca="false">IF(W1995=1,"",IF(AND(Y1995=1,AA1995&lt;&gt;1),1,0))</f>
        <v/>
      </c>
      <c r="AD1995" s="33" t="str">
        <f aca="false">IF(AND(E1995&gt;0,W1995&lt;1,NOT(AND(C1996=C1995,W1996=W1995+1))),INDEX(DATAS,W1995+1),"")</f>
        <v/>
      </c>
      <c r="AE1995" s="33" t="str">
        <f aca="false">IF(AND(Y1995=1,W1995&lt;1),IF(AND(C1996=C1995,W1996=W1995+1),IF(Y1996=1,"",INDEX(DATAS,W1995+1)),INDEX(DATAS,W1995+1)),"")</f>
        <v/>
      </c>
    </row>
    <row r="1996" customFormat="false" ht="15" hidden="false" customHeight="false" outlineLevel="0" collapsed="false">
      <c r="A1996" s="33" t="n">
        <v>46309</v>
      </c>
      <c r="B1996" s="0" t="n">
        <v>14</v>
      </c>
      <c r="C1996" s="0" t="n">
        <v>6262</v>
      </c>
      <c r="E1996" s="0" t="n">
        <v>0</v>
      </c>
      <c r="F1996" s="27" t="s">
        <v>1139</v>
      </c>
      <c r="I1996" s="27" t="s">
        <v>138</v>
      </c>
      <c r="L1996" s="0" t="n">
        <v>260</v>
      </c>
      <c r="U1996" s="0" t="n">
        <v>623</v>
      </c>
      <c r="V1996" s="0" t="n">
        <v>1</v>
      </c>
      <c r="W1996" s="27" t="n">
        <f aca="false">MATCH(A1996,DATAS,0)</f>
        <v>1</v>
      </c>
      <c r="X1996" s="27" t="n">
        <f aca="false">IF(AND(E1996&gt;0,OR(AND(B1996&gt;=1,B1996&lt;=6),B1996=10)),1,0)</f>
        <v>0</v>
      </c>
      <c r="Y1996" s="27" t="n">
        <f aca="false">IF(AND(E1996&gt;0,B1996=10),1,0)</f>
        <v>0</v>
      </c>
      <c r="Z1996" s="0" t="str">
        <f aca="false">IF(AND(C1995=C1996,W1995=W1996-1),X1995,"")</f>
        <v/>
      </c>
      <c r="AA1996" s="0" t="str">
        <f aca="false">IF(AND(C1995=C1996,W1995=W1996-1),Y1995,"")</f>
        <v/>
      </c>
      <c r="AB1996" s="0" t="str">
        <f aca="false">IF(W1996=1,"",IF(AND(X1996=1,Z1996&lt;&gt;1),1,0))</f>
        <v/>
      </c>
      <c r="AC1996" s="0" t="str">
        <f aca="false">IF(W1996=1,"",IF(AND(Y1996=1,AA1996&lt;&gt;1),1,0))</f>
        <v/>
      </c>
      <c r="AD1996" s="33" t="str">
        <f aca="false">IF(AND(E1996&gt;0,W1996&lt;1,NOT(AND(C1997=C1996,W1997=W1996+1))),INDEX(DATAS,W1996+1),"")</f>
        <v/>
      </c>
      <c r="AE1996" s="33" t="str">
        <f aca="false">IF(AND(Y1996=1,W1996&lt;1),IF(AND(C1997=C1996,W1997=W1996+1),IF(Y1997=1,"",INDEX(DATAS,W1996+1)),INDEX(DATAS,W1996+1)),"")</f>
        <v/>
      </c>
    </row>
    <row r="1997" customFormat="false" ht="15" hidden="false" customHeight="false" outlineLevel="0" collapsed="false">
      <c r="A1997" s="33" t="n">
        <v>46309</v>
      </c>
      <c r="B1997" s="0" t="n">
        <v>8</v>
      </c>
      <c r="C1997" s="0" t="n">
        <v>6263</v>
      </c>
      <c r="E1997" s="0" t="n">
        <v>0</v>
      </c>
      <c r="F1997" s="27" t="s">
        <v>1140</v>
      </c>
      <c r="I1997" s="27" t="s">
        <v>138</v>
      </c>
      <c r="L1997" s="0" t="n">
        <v>173</v>
      </c>
      <c r="U1997" s="0" t="n">
        <v>622</v>
      </c>
      <c r="V1997" s="0" t="n">
        <v>3</v>
      </c>
      <c r="W1997" s="27" t="n">
        <f aca="false">MATCH(A1997,DATAS,0)</f>
        <v>1</v>
      </c>
      <c r="X1997" s="27" t="n">
        <f aca="false">IF(AND(E1997&gt;0,OR(AND(B1997&gt;=1,B1997&lt;=6),B1997=10)),1,0)</f>
        <v>0</v>
      </c>
      <c r="Y1997" s="27" t="n">
        <f aca="false">IF(AND(E1997&gt;0,B1997=10),1,0)</f>
        <v>0</v>
      </c>
      <c r="Z1997" s="0" t="str">
        <f aca="false">IF(AND(C1996=C1997,W1996=W1997-1),X1996,"")</f>
        <v/>
      </c>
      <c r="AA1997" s="0" t="str">
        <f aca="false">IF(AND(C1996=C1997,W1996=W1997-1),Y1996,"")</f>
        <v/>
      </c>
      <c r="AB1997" s="0" t="str">
        <f aca="false">IF(W1997=1,"",IF(AND(X1997=1,Z1997&lt;&gt;1),1,0))</f>
        <v/>
      </c>
      <c r="AC1997" s="0" t="str">
        <f aca="false">IF(W1997=1,"",IF(AND(Y1997=1,AA1997&lt;&gt;1),1,0))</f>
        <v/>
      </c>
      <c r="AD1997" s="33" t="str">
        <f aca="false">IF(AND(E1997&gt;0,W1997&lt;1,NOT(AND(C1998=C1997,W1998=W1997+1))),INDEX(DATAS,W1997+1),"")</f>
        <v/>
      </c>
      <c r="AE1997" s="33" t="str">
        <f aca="false">IF(AND(Y1997=1,W1997&lt;1),IF(AND(C1998=C1997,W1998=W1997+1),IF(Y1998=1,"",INDEX(DATAS,W1997+1)),INDEX(DATAS,W1997+1)),"")</f>
        <v/>
      </c>
    </row>
    <row r="1998" customFormat="false" ht="15" hidden="false" customHeight="false" outlineLevel="0" collapsed="false">
      <c r="A1998" s="33" t="n">
        <v>46309</v>
      </c>
      <c r="B1998" s="0" t="n">
        <v>14</v>
      </c>
      <c r="C1998" s="0" t="n">
        <v>6264</v>
      </c>
      <c r="E1998" s="0" t="n">
        <v>0</v>
      </c>
      <c r="F1998" s="27" t="s">
        <v>1140</v>
      </c>
      <c r="I1998" s="27" t="s">
        <v>138</v>
      </c>
      <c r="L1998" s="0" t="n">
        <v>255</v>
      </c>
      <c r="U1998" s="0" t="n">
        <v>622</v>
      </c>
      <c r="V1998" s="0" t="n">
        <v>1</v>
      </c>
      <c r="W1998" s="27" t="n">
        <f aca="false">MATCH(A1998,DATAS,0)</f>
        <v>1</v>
      </c>
      <c r="X1998" s="27" t="n">
        <f aca="false">IF(AND(E1998&gt;0,OR(AND(B1998&gt;=1,B1998&lt;=6),B1998=10)),1,0)</f>
        <v>0</v>
      </c>
      <c r="Y1998" s="27" t="n">
        <f aca="false">IF(AND(E1998&gt;0,B1998=10),1,0)</f>
        <v>0</v>
      </c>
      <c r="Z1998" s="0" t="str">
        <f aca="false">IF(AND(C1997=C1998,W1997=W1998-1),X1997,"")</f>
        <v/>
      </c>
      <c r="AA1998" s="0" t="str">
        <f aca="false">IF(AND(C1997=C1998,W1997=W1998-1),Y1997,"")</f>
        <v/>
      </c>
      <c r="AB1998" s="0" t="str">
        <f aca="false">IF(W1998=1,"",IF(AND(X1998=1,Z1998&lt;&gt;1),1,0))</f>
        <v/>
      </c>
      <c r="AC1998" s="0" t="str">
        <f aca="false">IF(W1998=1,"",IF(AND(Y1998=1,AA1998&lt;&gt;1),1,0))</f>
        <v/>
      </c>
      <c r="AD1998" s="33" t="str">
        <f aca="false">IF(AND(E1998&gt;0,W1998&lt;1,NOT(AND(C1999=C1998,W1999=W1998+1))),INDEX(DATAS,W1998+1),"")</f>
        <v/>
      </c>
      <c r="AE1998" s="33" t="str">
        <f aca="false">IF(AND(Y1998=1,W1998&lt;1),IF(AND(C1999=C1998,W1999=W1998+1),IF(Y1999=1,"",INDEX(DATAS,W1998+1)),INDEX(DATAS,W1998+1)),"")</f>
        <v/>
      </c>
    </row>
    <row r="1999" customFormat="false" ht="15" hidden="false" customHeight="false" outlineLevel="0" collapsed="false">
      <c r="A1999" s="33" t="n">
        <v>46309</v>
      </c>
      <c r="B1999" s="0" t="n">
        <v>8</v>
      </c>
      <c r="C1999" s="0" t="n">
        <v>6265</v>
      </c>
      <c r="E1999" s="0" t="n">
        <v>0</v>
      </c>
      <c r="F1999" s="27" t="s">
        <v>1140</v>
      </c>
      <c r="I1999" s="27" t="s">
        <v>138</v>
      </c>
      <c r="L1999" s="0" t="n">
        <v>119</v>
      </c>
      <c r="U1999" s="0" t="n">
        <v>622</v>
      </c>
      <c r="V1999" s="0" t="n">
        <v>2</v>
      </c>
      <c r="W1999" s="27" t="n">
        <f aca="false">MATCH(A1999,DATAS,0)</f>
        <v>1</v>
      </c>
      <c r="X1999" s="27" t="n">
        <f aca="false">IF(AND(E1999&gt;0,OR(AND(B1999&gt;=1,B1999&lt;=6),B1999=10)),1,0)</f>
        <v>0</v>
      </c>
      <c r="Y1999" s="27" t="n">
        <f aca="false">IF(AND(E1999&gt;0,B1999=10),1,0)</f>
        <v>0</v>
      </c>
      <c r="Z1999" s="0" t="str">
        <f aca="false">IF(AND(C1998=C1999,W1998=W1999-1),X1998,"")</f>
        <v/>
      </c>
      <c r="AA1999" s="0" t="str">
        <f aca="false">IF(AND(C1998=C1999,W1998=W1999-1),Y1998,"")</f>
        <v/>
      </c>
      <c r="AB1999" s="0" t="str">
        <f aca="false">IF(W1999=1,"",IF(AND(X1999=1,Z1999&lt;&gt;1),1,0))</f>
        <v/>
      </c>
      <c r="AC1999" s="0" t="str">
        <f aca="false">IF(W1999=1,"",IF(AND(Y1999=1,AA1999&lt;&gt;1),1,0))</f>
        <v/>
      </c>
      <c r="AD1999" s="33" t="str">
        <f aca="false">IF(AND(E1999&gt;0,W1999&lt;1,NOT(AND(C2000=C1999,W2000=W1999+1))),INDEX(DATAS,W1999+1),"")</f>
        <v/>
      </c>
      <c r="AE1999" s="33" t="str">
        <f aca="false">IF(AND(Y1999=1,W1999&lt;1),IF(AND(C2000=C1999,W2000=W1999+1),IF(Y2000=1,"",INDEX(DATAS,W1999+1)),INDEX(DATAS,W1999+1)),"")</f>
        <v/>
      </c>
    </row>
    <row r="2000" customFormat="false" ht="15" hidden="false" customHeight="false" outlineLevel="0" collapsed="false">
      <c r="A2000" s="33" t="n">
        <v>46309</v>
      </c>
      <c r="B2000" s="0" t="n">
        <v>8</v>
      </c>
      <c r="C2000" s="0" t="n">
        <v>6266</v>
      </c>
      <c r="E2000" s="0" t="n">
        <v>0</v>
      </c>
      <c r="F2000" s="27" t="s">
        <v>1141</v>
      </c>
      <c r="I2000" s="27" t="s">
        <v>138</v>
      </c>
      <c r="L2000" s="0" t="n">
        <v>161</v>
      </c>
      <c r="U2000" s="0" t="n">
        <v>621</v>
      </c>
      <c r="V2000" s="0" t="n">
        <v>3</v>
      </c>
      <c r="W2000" s="27" t="n">
        <f aca="false">MATCH(A2000,DATAS,0)</f>
        <v>1</v>
      </c>
      <c r="X2000" s="27" t="n">
        <f aca="false">IF(AND(E2000&gt;0,OR(AND(B2000&gt;=1,B2000&lt;=6),B2000=10)),1,0)</f>
        <v>0</v>
      </c>
      <c r="Y2000" s="27" t="n">
        <f aca="false">IF(AND(E2000&gt;0,B2000=10),1,0)</f>
        <v>0</v>
      </c>
      <c r="Z2000" s="0" t="str">
        <f aca="false">IF(AND(C1999=C2000,W1999=W2000-1),X1999,"")</f>
        <v/>
      </c>
      <c r="AA2000" s="0" t="str">
        <f aca="false">IF(AND(C1999=C2000,W1999=W2000-1),Y1999,"")</f>
        <v/>
      </c>
      <c r="AB2000" s="0" t="str">
        <f aca="false">IF(W2000=1,"",IF(AND(X2000=1,Z2000&lt;&gt;1),1,0))</f>
        <v/>
      </c>
      <c r="AC2000" s="0" t="str">
        <f aca="false">IF(W2000=1,"",IF(AND(Y2000=1,AA2000&lt;&gt;1),1,0))</f>
        <v/>
      </c>
      <c r="AD2000" s="33" t="str">
        <f aca="false">IF(AND(E2000&gt;0,W2000&lt;1,NOT(AND(C2001=C2000,W2001=W2000+1))),INDEX(DATAS,W2000+1),"")</f>
        <v/>
      </c>
      <c r="AE2000" s="33" t="str">
        <f aca="false">IF(AND(Y2000=1,W2000&lt;1),IF(AND(C2001=C2000,W2001=W2000+1),IF(Y2001=1,"",INDEX(DATAS,W2000+1)),INDEX(DATAS,W2000+1)),"")</f>
        <v/>
      </c>
    </row>
    <row r="2001" customFormat="false" ht="15" hidden="false" customHeight="false" outlineLevel="0" collapsed="false">
      <c r="A2001" s="33" t="n">
        <v>46309</v>
      </c>
      <c r="B2001" s="0" t="n">
        <v>8</v>
      </c>
      <c r="C2001" s="0" t="n">
        <v>6267</v>
      </c>
      <c r="E2001" s="0" t="n">
        <v>0</v>
      </c>
      <c r="F2001" s="27" t="s">
        <v>1141</v>
      </c>
      <c r="I2001" s="27" t="s">
        <v>138</v>
      </c>
      <c r="L2001" s="0" t="n">
        <v>210</v>
      </c>
      <c r="U2001" s="0" t="n">
        <v>621</v>
      </c>
      <c r="V2001" s="0" t="n">
        <v>3</v>
      </c>
      <c r="W2001" s="27" t="n">
        <f aca="false">MATCH(A2001,DATAS,0)</f>
        <v>1</v>
      </c>
      <c r="X2001" s="27" t="n">
        <f aca="false">IF(AND(E2001&gt;0,OR(AND(B2001&gt;=1,B2001&lt;=6),B2001=10)),1,0)</f>
        <v>0</v>
      </c>
      <c r="Y2001" s="27" t="n">
        <f aca="false">IF(AND(E2001&gt;0,B2001=10),1,0)</f>
        <v>0</v>
      </c>
      <c r="Z2001" s="0" t="str">
        <f aca="false">IF(AND(C2000=C2001,W2000=W2001-1),X2000,"")</f>
        <v/>
      </c>
      <c r="AA2001" s="0" t="str">
        <f aca="false">IF(AND(C2000=C2001,W2000=W2001-1),Y2000,"")</f>
        <v/>
      </c>
      <c r="AB2001" s="0" t="str">
        <f aca="false">IF(W2001=1,"",IF(AND(X2001=1,Z2001&lt;&gt;1),1,0))</f>
        <v/>
      </c>
      <c r="AC2001" s="0" t="str">
        <f aca="false">IF(W2001=1,"",IF(AND(Y2001=1,AA2001&lt;&gt;1),1,0))</f>
        <v/>
      </c>
      <c r="AD2001" s="33" t="str">
        <f aca="false">IF(AND(E2001&gt;0,W2001&lt;1,NOT(AND(C2002=C2001,W2002=W2001+1))),INDEX(DATAS,W2001+1),"")</f>
        <v/>
      </c>
      <c r="AE2001" s="33" t="str">
        <f aca="false">IF(AND(Y2001=1,W2001&lt;1),IF(AND(C2002=C2001,W2002=W2001+1),IF(Y2002=1,"",INDEX(DATAS,W2001+1)),INDEX(DATAS,W2001+1)),"")</f>
        <v/>
      </c>
    </row>
    <row r="2002" customFormat="false" ht="15" hidden="false" customHeight="false" outlineLevel="0" collapsed="false">
      <c r="A2002" s="33" t="n">
        <v>46309</v>
      </c>
      <c r="B2002" s="0" t="n">
        <v>14</v>
      </c>
      <c r="C2002" s="0" t="n">
        <v>6268</v>
      </c>
      <c r="E2002" s="0" t="n">
        <v>0</v>
      </c>
      <c r="F2002" s="27" t="s">
        <v>1141</v>
      </c>
      <c r="I2002" s="27" t="s">
        <v>138</v>
      </c>
      <c r="L2002" s="0" t="n">
        <v>263</v>
      </c>
      <c r="U2002" s="0" t="n">
        <v>621</v>
      </c>
      <c r="V2002" s="0" t="n">
        <v>1</v>
      </c>
      <c r="W2002" s="27" t="n">
        <f aca="false">MATCH(A2002,DATAS,0)</f>
        <v>1</v>
      </c>
      <c r="X2002" s="27" t="n">
        <f aca="false">IF(AND(E2002&gt;0,OR(AND(B2002&gt;=1,B2002&lt;=6),B2002=10)),1,0)</f>
        <v>0</v>
      </c>
      <c r="Y2002" s="27" t="n">
        <f aca="false">IF(AND(E2002&gt;0,B2002=10),1,0)</f>
        <v>0</v>
      </c>
      <c r="Z2002" s="0" t="str">
        <f aca="false">IF(AND(C2001=C2002,W2001=W2002-1),X2001,"")</f>
        <v/>
      </c>
      <c r="AA2002" s="0" t="str">
        <f aca="false">IF(AND(C2001=C2002,W2001=W2002-1),Y2001,"")</f>
        <v/>
      </c>
      <c r="AB2002" s="0" t="str">
        <f aca="false">IF(W2002=1,"",IF(AND(X2002=1,Z2002&lt;&gt;1),1,0))</f>
        <v/>
      </c>
      <c r="AC2002" s="0" t="str">
        <f aca="false">IF(W2002=1,"",IF(AND(Y2002=1,AA2002&lt;&gt;1),1,0))</f>
        <v/>
      </c>
      <c r="AD2002" s="33" t="str">
        <f aca="false">IF(AND(E2002&gt;0,W2002&lt;1,NOT(AND(C2003=C2002,W2003=W2002+1))),INDEX(DATAS,W2002+1),"")</f>
        <v/>
      </c>
      <c r="AE2002" s="33" t="str">
        <f aca="false">IF(AND(Y2002=1,W2002&lt;1),IF(AND(C2003=C2002,W2003=W2002+1),IF(Y2003=1,"",INDEX(DATAS,W2002+1)),INDEX(DATAS,W2002+1)),"")</f>
        <v/>
      </c>
    </row>
    <row r="2003" customFormat="false" ht="15" hidden="false" customHeight="false" outlineLevel="0" collapsed="false">
      <c r="A2003" s="33" t="n">
        <v>46309</v>
      </c>
      <c r="B2003" s="0" t="n">
        <v>8</v>
      </c>
      <c r="C2003" s="0" t="n">
        <v>6269</v>
      </c>
      <c r="E2003" s="0" t="n">
        <v>0</v>
      </c>
      <c r="F2003" s="27" t="s">
        <v>1141</v>
      </c>
      <c r="I2003" s="27" t="s">
        <v>138</v>
      </c>
      <c r="L2003" s="0" t="n">
        <v>212</v>
      </c>
      <c r="U2003" s="0" t="n">
        <v>621</v>
      </c>
      <c r="V2003" s="0" t="n">
        <v>3</v>
      </c>
      <c r="W2003" s="27" t="n">
        <f aca="false">MATCH(A2003,DATAS,0)</f>
        <v>1</v>
      </c>
      <c r="X2003" s="27" t="n">
        <f aca="false">IF(AND(E2003&gt;0,OR(AND(B2003&gt;=1,B2003&lt;=6),B2003=10)),1,0)</f>
        <v>0</v>
      </c>
      <c r="Y2003" s="27" t="n">
        <f aca="false">IF(AND(E2003&gt;0,B2003=10),1,0)</f>
        <v>0</v>
      </c>
      <c r="Z2003" s="0" t="str">
        <f aca="false">IF(AND(C2002=C2003,W2002=W2003-1),X2002,"")</f>
        <v/>
      </c>
      <c r="AA2003" s="0" t="str">
        <f aca="false">IF(AND(C2002=C2003,W2002=W2003-1),Y2002,"")</f>
        <v/>
      </c>
      <c r="AB2003" s="0" t="str">
        <f aca="false">IF(W2003=1,"",IF(AND(X2003=1,Z2003&lt;&gt;1),1,0))</f>
        <v/>
      </c>
      <c r="AC2003" s="0" t="str">
        <f aca="false">IF(W2003=1,"",IF(AND(Y2003=1,AA2003&lt;&gt;1),1,0))</f>
        <v/>
      </c>
      <c r="AD2003" s="33" t="str">
        <f aca="false">IF(AND(E2003&gt;0,W2003&lt;1,NOT(AND(C2004=C2003,W2004=W2003+1))),INDEX(DATAS,W2003+1),"")</f>
        <v/>
      </c>
      <c r="AE2003" s="33" t="str">
        <f aca="false">IF(AND(Y2003=1,W2003&lt;1),IF(AND(C2004=C2003,W2004=W2003+1),IF(Y2004=1,"",INDEX(DATAS,W2003+1)),INDEX(DATAS,W2003+1)),"")</f>
        <v/>
      </c>
    </row>
    <row r="2004" customFormat="false" ht="15" hidden="false" customHeight="false" outlineLevel="0" collapsed="false">
      <c r="A2004" s="33" t="n">
        <v>46309</v>
      </c>
      <c r="B2004" s="0" t="n">
        <v>8</v>
      </c>
      <c r="C2004" s="0" t="n">
        <v>6270</v>
      </c>
      <c r="E2004" s="0" t="n">
        <v>0</v>
      </c>
      <c r="F2004" s="27" t="s">
        <v>1142</v>
      </c>
      <c r="I2004" s="27" t="s">
        <v>138</v>
      </c>
      <c r="L2004" s="0" t="n">
        <v>133</v>
      </c>
      <c r="U2004" s="0" t="n">
        <v>620</v>
      </c>
      <c r="V2004" s="0" t="n">
        <v>2</v>
      </c>
      <c r="W2004" s="27" t="n">
        <f aca="false">MATCH(A2004,DATAS,0)</f>
        <v>1</v>
      </c>
      <c r="X2004" s="27" t="n">
        <f aca="false">IF(AND(E2004&gt;0,OR(AND(B2004&gt;=1,B2004&lt;=6),B2004=10)),1,0)</f>
        <v>0</v>
      </c>
      <c r="Y2004" s="27" t="n">
        <f aca="false">IF(AND(E2004&gt;0,B2004=10),1,0)</f>
        <v>0</v>
      </c>
      <c r="Z2004" s="0" t="str">
        <f aca="false">IF(AND(C2003=C2004,W2003=W2004-1),X2003,"")</f>
        <v/>
      </c>
      <c r="AA2004" s="0" t="str">
        <f aca="false">IF(AND(C2003=C2004,W2003=W2004-1),Y2003,"")</f>
        <v/>
      </c>
      <c r="AB2004" s="0" t="str">
        <f aca="false">IF(W2004=1,"",IF(AND(X2004=1,Z2004&lt;&gt;1),1,0))</f>
        <v/>
      </c>
      <c r="AC2004" s="0" t="str">
        <f aca="false">IF(W2004=1,"",IF(AND(Y2004=1,AA2004&lt;&gt;1),1,0))</f>
        <v/>
      </c>
      <c r="AD2004" s="33" t="str">
        <f aca="false">IF(AND(E2004&gt;0,W2004&lt;1,NOT(AND(C2005=C2004,W2005=W2004+1))),INDEX(DATAS,W2004+1),"")</f>
        <v/>
      </c>
      <c r="AE2004" s="33" t="str">
        <f aca="false">IF(AND(Y2004=1,W2004&lt;1),IF(AND(C2005=C2004,W2005=W2004+1),IF(Y2005=1,"",INDEX(DATAS,W2004+1)),INDEX(DATAS,W2004+1)),"")</f>
        <v/>
      </c>
    </row>
    <row r="2005" customFormat="false" ht="15" hidden="false" customHeight="false" outlineLevel="0" collapsed="false">
      <c r="A2005" s="33" t="n">
        <v>46309</v>
      </c>
      <c r="B2005" s="0" t="n">
        <v>8</v>
      </c>
      <c r="C2005" s="0" t="n">
        <v>6272</v>
      </c>
      <c r="E2005" s="0" t="n">
        <v>0</v>
      </c>
      <c r="F2005" s="27" t="s">
        <v>1143</v>
      </c>
      <c r="I2005" s="27" t="s">
        <v>138</v>
      </c>
      <c r="L2005" s="0" t="n">
        <v>231</v>
      </c>
      <c r="U2005" s="0" t="n">
        <v>619</v>
      </c>
      <c r="V2005" s="0" t="n">
        <v>1</v>
      </c>
      <c r="W2005" s="27" t="n">
        <f aca="false">MATCH(A2005,DATAS,0)</f>
        <v>1</v>
      </c>
      <c r="X2005" s="27" t="n">
        <f aca="false">IF(AND(E2005&gt;0,OR(AND(B2005&gt;=1,B2005&lt;=6),B2005=10)),1,0)</f>
        <v>0</v>
      </c>
      <c r="Y2005" s="27" t="n">
        <f aca="false">IF(AND(E2005&gt;0,B2005=10),1,0)</f>
        <v>0</v>
      </c>
      <c r="Z2005" s="0" t="str">
        <f aca="false">IF(AND(C2004=C2005,W2004=W2005-1),X2004,"")</f>
        <v/>
      </c>
      <c r="AA2005" s="0" t="str">
        <f aca="false">IF(AND(C2004=C2005,W2004=W2005-1),Y2004,"")</f>
        <v/>
      </c>
      <c r="AB2005" s="0" t="str">
        <f aca="false">IF(W2005=1,"",IF(AND(X2005=1,Z2005&lt;&gt;1),1,0))</f>
        <v/>
      </c>
      <c r="AC2005" s="0" t="str">
        <f aca="false">IF(W2005=1,"",IF(AND(Y2005=1,AA2005&lt;&gt;1),1,0))</f>
        <v/>
      </c>
      <c r="AD2005" s="33" t="str">
        <f aca="false">IF(AND(E2005&gt;0,W2005&lt;1,NOT(AND(C2006=C2005,W2006=W2005+1))),INDEX(DATAS,W2005+1),"")</f>
        <v/>
      </c>
      <c r="AE2005" s="33" t="str">
        <f aca="false">IF(AND(Y2005=1,W2005&lt;1),IF(AND(C2006=C2005,W2006=W2005+1),IF(Y2006=1,"",INDEX(DATAS,W2005+1)),INDEX(DATAS,W2005+1)),"")</f>
        <v/>
      </c>
    </row>
    <row r="2006" customFormat="false" ht="15" hidden="false" customHeight="false" outlineLevel="0" collapsed="false">
      <c r="A2006" s="33" t="n">
        <v>46309</v>
      </c>
      <c r="B2006" s="0" t="n">
        <v>7</v>
      </c>
      <c r="C2006" s="0" t="n">
        <v>6274</v>
      </c>
      <c r="E2006" s="0" t="n">
        <v>0</v>
      </c>
      <c r="F2006" s="27" t="s">
        <v>1144</v>
      </c>
      <c r="I2006" s="27" t="s">
        <v>138</v>
      </c>
      <c r="L2006" s="0" t="n">
        <v>246</v>
      </c>
      <c r="U2006" s="0" t="n">
        <v>618</v>
      </c>
      <c r="V2006" s="0" t="n">
        <v>1</v>
      </c>
      <c r="W2006" s="27" t="n">
        <f aca="false">MATCH(A2006,DATAS,0)</f>
        <v>1</v>
      </c>
      <c r="X2006" s="27" t="n">
        <f aca="false">IF(AND(E2006&gt;0,OR(AND(B2006&gt;=1,B2006&lt;=6),B2006=10)),1,0)</f>
        <v>0</v>
      </c>
      <c r="Y2006" s="27" t="n">
        <f aca="false">IF(AND(E2006&gt;0,B2006=10),1,0)</f>
        <v>0</v>
      </c>
      <c r="Z2006" s="0" t="str">
        <f aca="false">IF(AND(C2005=C2006,W2005=W2006-1),X2005,"")</f>
        <v/>
      </c>
      <c r="AA2006" s="0" t="str">
        <f aca="false">IF(AND(C2005=C2006,W2005=W2006-1),Y2005,"")</f>
        <v/>
      </c>
      <c r="AB2006" s="0" t="str">
        <f aca="false">IF(W2006=1,"",IF(AND(X2006=1,Z2006&lt;&gt;1),1,0))</f>
        <v/>
      </c>
      <c r="AC2006" s="0" t="str">
        <f aca="false">IF(W2006=1,"",IF(AND(Y2006=1,AA2006&lt;&gt;1),1,0))</f>
        <v/>
      </c>
      <c r="AD2006" s="33" t="str">
        <f aca="false">IF(AND(E2006&gt;0,W2006&lt;1,NOT(AND(C2007=C2006,W2007=W2006+1))),INDEX(DATAS,W2006+1),"")</f>
        <v/>
      </c>
      <c r="AE2006" s="33" t="str">
        <f aca="false">IF(AND(Y2006=1,W2006&lt;1),IF(AND(C2007=C2006,W2007=W2006+1),IF(Y2007=1,"",INDEX(DATAS,W2006+1)),INDEX(DATAS,W2006+1)),"")</f>
        <v/>
      </c>
    </row>
    <row r="2007" customFormat="false" ht="15" hidden="false" customHeight="false" outlineLevel="0" collapsed="false">
      <c r="A2007" s="33" t="n">
        <v>46309</v>
      </c>
      <c r="B2007" s="0" t="n">
        <v>8</v>
      </c>
      <c r="C2007" s="0" t="n">
        <v>6275</v>
      </c>
      <c r="E2007" s="0" t="n">
        <v>0</v>
      </c>
      <c r="F2007" s="27" t="s">
        <v>1145</v>
      </c>
      <c r="I2007" s="27" t="s">
        <v>138</v>
      </c>
      <c r="L2007" s="0" t="n">
        <v>184</v>
      </c>
      <c r="U2007" s="0" t="n">
        <v>617</v>
      </c>
      <c r="V2007" s="0" t="n">
        <v>4</v>
      </c>
      <c r="W2007" s="27" t="n">
        <f aca="false">MATCH(A2007,DATAS,0)</f>
        <v>1</v>
      </c>
      <c r="X2007" s="27" t="n">
        <f aca="false">IF(AND(E2007&gt;0,OR(AND(B2007&gt;=1,B2007&lt;=6),B2007=10)),1,0)</f>
        <v>0</v>
      </c>
      <c r="Y2007" s="27" t="n">
        <f aca="false">IF(AND(E2007&gt;0,B2007=10),1,0)</f>
        <v>0</v>
      </c>
      <c r="Z2007" s="0" t="str">
        <f aca="false">IF(AND(C2006=C2007,W2006=W2007-1),X2006,"")</f>
        <v/>
      </c>
      <c r="AA2007" s="0" t="str">
        <f aca="false">IF(AND(C2006=C2007,W2006=W2007-1),Y2006,"")</f>
        <v/>
      </c>
      <c r="AB2007" s="0" t="str">
        <f aca="false">IF(W2007=1,"",IF(AND(X2007=1,Z2007&lt;&gt;1),1,0))</f>
        <v/>
      </c>
      <c r="AC2007" s="0" t="str">
        <f aca="false">IF(W2007=1,"",IF(AND(Y2007=1,AA2007&lt;&gt;1),1,0))</f>
        <v/>
      </c>
      <c r="AD2007" s="33" t="str">
        <f aca="false">IF(AND(E2007&gt;0,W2007&lt;1,NOT(AND(C2008=C2007,W2008=W2007+1))),INDEX(DATAS,W2007+1),"")</f>
        <v/>
      </c>
      <c r="AE2007" s="33" t="str">
        <f aca="false">IF(AND(Y2007=1,W2007&lt;1),IF(AND(C2008=C2007,W2008=W2007+1),IF(Y2008=1,"",INDEX(DATAS,W2007+1)),INDEX(DATAS,W2007+1)),"")</f>
        <v/>
      </c>
    </row>
    <row r="2008" customFormat="false" ht="15" hidden="false" customHeight="false" outlineLevel="0" collapsed="false">
      <c r="A2008" s="33" t="n">
        <v>46309</v>
      </c>
      <c r="B2008" s="0" t="n">
        <v>8</v>
      </c>
      <c r="C2008" s="0" t="n">
        <v>6276</v>
      </c>
      <c r="E2008" s="0" t="n">
        <v>0</v>
      </c>
      <c r="F2008" s="27" t="s">
        <v>1145</v>
      </c>
      <c r="I2008" s="27" t="s">
        <v>138</v>
      </c>
      <c r="L2008" s="0" t="n">
        <v>234</v>
      </c>
      <c r="U2008" s="0" t="n">
        <v>617</v>
      </c>
      <c r="V2008" s="0" t="n">
        <v>2</v>
      </c>
      <c r="W2008" s="27" t="n">
        <f aca="false">MATCH(A2008,DATAS,0)</f>
        <v>1</v>
      </c>
      <c r="X2008" s="27" t="n">
        <f aca="false">IF(AND(E2008&gt;0,OR(AND(B2008&gt;=1,B2008&lt;=6),B2008=10)),1,0)</f>
        <v>0</v>
      </c>
      <c r="Y2008" s="27" t="n">
        <f aca="false">IF(AND(E2008&gt;0,B2008=10),1,0)</f>
        <v>0</v>
      </c>
      <c r="Z2008" s="0" t="str">
        <f aca="false">IF(AND(C2007=C2008,W2007=W2008-1),X2007,"")</f>
        <v/>
      </c>
      <c r="AA2008" s="0" t="str">
        <f aca="false">IF(AND(C2007=C2008,W2007=W2008-1),Y2007,"")</f>
        <v/>
      </c>
      <c r="AB2008" s="0" t="str">
        <f aca="false">IF(W2008=1,"",IF(AND(X2008=1,Z2008&lt;&gt;1),1,0))</f>
        <v/>
      </c>
      <c r="AC2008" s="0" t="str">
        <f aca="false">IF(W2008=1,"",IF(AND(Y2008=1,AA2008&lt;&gt;1),1,0))</f>
        <v/>
      </c>
      <c r="AD2008" s="33" t="str">
        <f aca="false">IF(AND(E2008&gt;0,W2008&lt;1,NOT(AND(C2009=C2008,W2009=W2008+1))),INDEX(DATAS,W2008+1),"")</f>
        <v/>
      </c>
      <c r="AE2008" s="33" t="str">
        <f aca="false">IF(AND(Y2008=1,W2008&lt;1),IF(AND(C2009=C2008,W2009=W2008+1),IF(Y2009=1,"",INDEX(DATAS,W2008+1)),INDEX(DATAS,W2008+1)),"")</f>
        <v/>
      </c>
    </row>
    <row r="2009" customFormat="false" ht="15" hidden="false" customHeight="false" outlineLevel="0" collapsed="false">
      <c r="A2009" s="33" t="n">
        <v>46309</v>
      </c>
      <c r="B2009" s="0" t="n">
        <v>8</v>
      </c>
      <c r="C2009" s="0" t="n">
        <v>6278</v>
      </c>
      <c r="E2009" s="0" t="n">
        <v>0</v>
      </c>
      <c r="F2009" s="27" t="s">
        <v>1145</v>
      </c>
      <c r="I2009" s="27" t="s">
        <v>138</v>
      </c>
      <c r="L2009" s="0" t="n">
        <v>203</v>
      </c>
      <c r="U2009" s="0" t="n">
        <v>617</v>
      </c>
      <c r="V2009" s="0" t="n">
        <v>2</v>
      </c>
      <c r="W2009" s="27" t="n">
        <f aca="false">MATCH(A2009,DATAS,0)</f>
        <v>1</v>
      </c>
      <c r="X2009" s="27" t="n">
        <f aca="false">IF(AND(E2009&gt;0,OR(AND(B2009&gt;=1,B2009&lt;=6),B2009=10)),1,0)</f>
        <v>0</v>
      </c>
      <c r="Y2009" s="27" t="n">
        <f aca="false">IF(AND(E2009&gt;0,B2009=10),1,0)</f>
        <v>0</v>
      </c>
      <c r="Z2009" s="0" t="str">
        <f aca="false">IF(AND(C2008=C2009,W2008=W2009-1),X2008,"")</f>
        <v/>
      </c>
      <c r="AA2009" s="0" t="str">
        <f aca="false">IF(AND(C2008=C2009,W2008=W2009-1),Y2008,"")</f>
        <v/>
      </c>
      <c r="AB2009" s="0" t="str">
        <f aca="false">IF(W2009=1,"",IF(AND(X2009=1,Z2009&lt;&gt;1),1,0))</f>
        <v/>
      </c>
      <c r="AC2009" s="0" t="str">
        <f aca="false">IF(W2009=1,"",IF(AND(Y2009=1,AA2009&lt;&gt;1),1,0))</f>
        <v/>
      </c>
      <c r="AD2009" s="33" t="str">
        <f aca="false">IF(AND(E2009&gt;0,W2009&lt;1,NOT(AND(C2010=C2009,W2010=W2009+1))),INDEX(DATAS,W2009+1),"")</f>
        <v/>
      </c>
      <c r="AE2009" s="33" t="str">
        <f aca="false">IF(AND(Y2009=1,W2009&lt;1),IF(AND(C2010=C2009,W2010=W2009+1),IF(Y2010=1,"",INDEX(DATAS,W2009+1)),INDEX(DATAS,W2009+1)),"")</f>
        <v/>
      </c>
    </row>
    <row r="2010" customFormat="false" ht="15" hidden="false" customHeight="false" outlineLevel="0" collapsed="false">
      <c r="A2010" s="33" t="n">
        <v>46309</v>
      </c>
      <c r="B2010" s="0" t="n">
        <v>7</v>
      </c>
      <c r="C2010" s="0" t="n">
        <v>6280</v>
      </c>
      <c r="E2010" s="0" t="n">
        <v>0</v>
      </c>
      <c r="F2010" s="27" t="s">
        <v>1146</v>
      </c>
      <c r="I2010" s="27" t="s">
        <v>138</v>
      </c>
      <c r="L2010" s="0" t="n">
        <v>250</v>
      </c>
      <c r="U2010" s="0" t="n">
        <v>616</v>
      </c>
      <c r="V2010" s="0" t="n">
        <v>1</v>
      </c>
      <c r="W2010" s="27" t="n">
        <f aca="false">MATCH(A2010,DATAS,0)</f>
        <v>1</v>
      </c>
      <c r="X2010" s="27" t="n">
        <f aca="false">IF(AND(E2010&gt;0,OR(AND(B2010&gt;=1,B2010&lt;=6),B2010=10)),1,0)</f>
        <v>0</v>
      </c>
      <c r="Y2010" s="27" t="n">
        <f aca="false">IF(AND(E2010&gt;0,B2010=10),1,0)</f>
        <v>0</v>
      </c>
      <c r="Z2010" s="0" t="str">
        <f aca="false">IF(AND(C2009=C2010,W2009=W2010-1),X2009,"")</f>
        <v/>
      </c>
      <c r="AA2010" s="0" t="str">
        <f aca="false">IF(AND(C2009=C2010,W2009=W2010-1),Y2009,"")</f>
        <v/>
      </c>
      <c r="AB2010" s="0" t="str">
        <f aca="false">IF(W2010=1,"",IF(AND(X2010=1,Z2010&lt;&gt;1),1,0))</f>
        <v/>
      </c>
      <c r="AC2010" s="0" t="str">
        <f aca="false">IF(W2010=1,"",IF(AND(Y2010=1,AA2010&lt;&gt;1),1,0))</f>
        <v/>
      </c>
      <c r="AD2010" s="33" t="str">
        <f aca="false">IF(AND(E2010&gt;0,W2010&lt;1,NOT(AND(C2011=C2010,W2011=W2010+1))),INDEX(DATAS,W2010+1),"")</f>
        <v/>
      </c>
      <c r="AE2010" s="33" t="str">
        <f aca="false">IF(AND(Y2010=1,W2010&lt;1),IF(AND(C2011=C2010,W2011=W2010+1),IF(Y2011=1,"",INDEX(DATAS,W2010+1)),INDEX(DATAS,W2010+1)),"")</f>
        <v/>
      </c>
    </row>
    <row r="2011" customFormat="false" ht="15" hidden="false" customHeight="false" outlineLevel="0" collapsed="false">
      <c r="A2011" s="33" t="n">
        <v>46309</v>
      </c>
      <c r="B2011" s="0" t="n">
        <v>8</v>
      </c>
      <c r="C2011" s="0" t="n">
        <v>6281</v>
      </c>
      <c r="E2011" s="0" t="n">
        <v>0</v>
      </c>
      <c r="F2011" s="27" t="s">
        <v>1147</v>
      </c>
      <c r="I2011" s="27" t="s">
        <v>138</v>
      </c>
      <c r="L2011" s="0" t="n">
        <v>248</v>
      </c>
      <c r="U2011" s="0" t="n">
        <v>615</v>
      </c>
      <c r="V2011" s="0" t="n">
        <v>1</v>
      </c>
      <c r="W2011" s="27" t="n">
        <f aca="false">MATCH(A2011,DATAS,0)</f>
        <v>1</v>
      </c>
      <c r="X2011" s="27" t="n">
        <f aca="false">IF(AND(E2011&gt;0,OR(AND(B2011&gt;=1,B2011&lt;=6),B2011=10)),1,0)</f>
        <v>0</v>
      </c>
      <c r="Y2011" s="27" t="n">
        <f aca="false">IF(AND(E2011&gt;0,B2011=10),1,0)</f>
        <v>0</v>
      </c>
      <c r="Z2011" s="0" t="str">
        <f aca="false">IF(AND(C2010=C2011,W2010=W2011-1),X2010,"")</f>
        <v/>
      </c>
      <c r="AA2011" s="0" t="str">
        <f aca="false">IF(AND(C2010=C2011,W2010=W2011-1),Y2010,"")</f>
        <v/>
      </c>
      <c r="AB2011" s="0" t="str">
        <f aca="false">IF(W2011=1,"",IF(AND(X2011=1,Z2011&lt;&gt;1),1,0))</f>
        <v/>
      </c>
      <c r="AC2011" s="0" t="str">
        <f aca="false">IF(W2011=1,"",IF(AND(Y2011=1,AA2011&lt;&gt;1),1,0))</f>
        <v/>
      </c>
      <c r="AD2011" s="33" t="str">
        <f aca="false">IF(AND(E2011&gt;0,W2011&lt;1,NOT(AND(C2012=C2011,W2012=W2011+1))),INDEX(DATAS,W2011+1),"")</f>
        <v/>
      </c>
      <c r="AE2011" s="33" t="str">
        <f aca="false">IF(AND(Y2011=1,W2011&lt;1),IF(AND(C2012=C2011,W2012=W2011+1),IF(Y2012=1,"",INDEX(DATAS,W2011+1)),INDEX(DATAS,W2011+1)),"")</f>
        <v/>
      </c>
    </row>
    <row r="2012" customFormat="false" ht="15" hidden="false" customHeight="false" outlineLevel="0" collapsed="false">
      <c r="A2012" s="33" t="n">
        <v>46309</v>
      </c>
      <c r="B2012" s="0" t="n">
        <v>7</v>
      </c>
      <c r="C2012" s="0" t="n">
        <v>6282</v>
      </c>
      <c r="E2012" s="0" t="n">
        <v>0</v>
      </c>
      <c r="F2012" s="27" t="s">
        <v>1147</v>
      </c>
      <c r="I2012" s="27" t="s">
        <v>138</v>
      </c>
      <c r="L2012" s="0" t="n">
        <v>220</v>
      </c>
      <c r="U2012" s="0" t="n">
        <v>615</v>
      </c>
      <c r="V2012" s="0" t="n">
        <v>1</v>
      </c>
      <c r="W2012" s="27" t="n">
        <f aca="false">MATCH(A2012,DATAS,0)</f>
        <v>1</v>
      </c>
      <c r="X2012" s="27" t="n">
        <f aca="false">IF(AND(E2012&gt;0,OR(AND(B2012&gt;=1,B2012&lt;=6),B2012=10)),1,0)</f>
        <v>0</v>
      </c>
      <c r="Y2012" s="27" t="n">
        <f aca="false">IF(AND(E2012&gt;0,B2012=10),1,0)</f>
        <v>0</v>
      </c>
      <c r="Z2012" s="0" t="str">
        <f aca="false">IF(AND(C2011=C2012,W2011=W2012-1),X2011,"")</f>
        <v/>
      </c>
      <c r="AA2012" s="0" t="str">
        <f aca="false">IF(AND(C2011=C2012,W2011=W2012-1),Y2011,"")</f>
        <v/>
      </c>
      <c r="AB2012" s="0" t="str">
        <f aca="false">IF(W2012=1,"",IF(AND(X2012=1,Z2012&lt;&gt;1),1,0))</f>
        <v/>
      </c>
      <c r="AC2012" s="0" t="str">
        <f aca="false">IF(W2012=1,"",IF(AND(Y2012=1,AA2012&lt;&gt;1),1,0))</f>
        <v/>
      </c>
      <c r="AD2012" s="33" t="str">
        <f aca="false">IF(AND(E2012&gt;0,W2012&lt;1,NOT(AND(C2013=C2012,W2013=W2012+1))),INDEX(DATAS,W2012+1),"")</f>
        <v/>
      </c>
      <c r="AE2012" s="33" t="str">
        <f aca="false">IF(AND(Y2012=1,W2012&lt;1),IF(AND(C2013=C2012,W2013=W2012+1),IF(Y2013=1,"",INDEX(DATAS,W2012+1)),INDEX(DATAS,W2012+1)),"")</f>
        <v/>
      </c>
    </row>
    <row r="2013" customFormat="false" ht="15" hidden="false" customHeight="false" outlineLevel="0" collapsed="false">
      <c r="A2013" s="33" t="n">
        <v>46309</v>
      </c>
      <c r="B2013" s="0" t="n">
        <v>8</v>
      </c>
      <c r="C2013" s="0" t="n">
        <v>6283</v>
      </c>
      <c r="E2013" s="0" t="n">
        <v>0</v>
      </c>
      <c r="F2013" s="27" t="s">
        <v>1147</v>
      </c>
      <c r="I2013" s="27" t="s">
        <v>138</v>
      </c>
      <c r="L2013" s="0" t="n">
        <v>246</v>
      </c>
      <c r="U2013" s="0" t="n">
        <v>615</v>
      </c>
      <c r="V2013" s="0" t="n">
        <v>1</v>
      </c>
      <c r="W2013" s="27" t="n">
        <f aca="false">MATCH(A2013,DATAS,0)</f>
        <v>1</v>
      </c>
      <c r="X2013" s="27" t="n">
        <f aca="false">IF(AND(E2013&gt;0,OR(AND(B2013&gt;=1,B2013&lt;=6),B2013=10)),1,0)</f>
        <v>0</v>
      </c>
      <c r="Y2013" s="27" t="n">
        <f aca="false">IF(AND(E2013&gt;0,B2013=10),1,0)</f>
        <v>0</v>
      </c>
      <c r="Z2013" s="0" t="str">
        <f aca="false">IF(AND(C2012=C2013,W2012=W2013-1),X2012,"")</f>
        <v/>
      </c>
      <c r="AA2013" s="0" t="str">
        <f aca="false">IF(AND(C2012=C2013,W2012=W2013-1),Y2012,"")</f>
        <v/>
      </c>
      <c r="AB2013" s="0" t="str">
        <f aca="false">IF(W2013=1,"",IF(AND(X2013=1,Z2013&lt;&gt;1),1,0))</f>
        <v/>
      </c>
      <c r="AC2013" s="0" t="str">
        <f aca="false">IF(W2013=1,"",IF(AND(Y2013=1,AA2013&lt;&gt;1),1,0))</f>
        <v/>
      </c>
      <c r="AD2013" s="33" t="str">
        <f aca="false">IF(AND(E2013&gt;0,W2013&lt;1,NOT(AND(C2014=C2013,W2014=W2013+1))),INDEX(DATAS,W2013+1),"")</f>
        <v/>
      </c>
      <c r="AE2013" s="33" t="str">
        <f aca="false">IF(AND(Y2013=1,W2013&lt;1),IF(AND(C2014=C2013,W2014=W2013+1),IF(Y2014=1,"",INDEX(DATAS,W2013+1)),INDEX(DATAS,W2013+1)),"")</f>
        <v/>
      </c>
    </row>
    <row r="2014" customFormat="false" ht="15" hidden="false" customHeight="false" outlineLevel="0" collapsed="false">
      <c r="A2014" s="33" t="n">
        <v>46309</v>
      </c>
      <c r="B2014" s="0" t="n">
        <v>8</v>
      </c>
      <c r="C2014" s="0" t="n">
        <v>6284</v>
      </c>
      <c r="E2014" s="0" t="n">
        <v>0</v>
      </c>
      <c r="F2014" s="27" t="s">
        <v>1147</v>
      </c>
      <c r="I2014" s="27" t="s">
        <v>138</v>
      </c>
      <c r="L2014" s="0" t="n">
        <v>234</v>
      </c>
      <c r="U2014" s="0" t="n">
        <v>615</v>
      </c>
      <c r="V2014" s="0" t="n">
        <v>1</v>
      </c>
      <c r="W2014" s="27" t="n">
        <f aca="false">MATCH(A2014,DATAS,0)</f>
        <v>1</v>
      </c>
      <c r="X2014" s="27" t="n">
        <f aca="false">IF(AND(E2014&gt;0,OR(AND(B2014&gt;=1,B2014&lt;=6),B2014=10)),1,0)</f>
        <v>0</v>
      </c>
      <c r="Y2014" s="27" t="n">
        <f aca="false">IF(AND(E2014&gt;0,B2014=10),1,0)</f>
        <v>0</v>
      </c>
      <c r="Z2014" s="0" t="str">
        <f aca="false">IF(AND(C2013=C2014,W2013=W2014-1),X2013,"")</f>
        <v/>
      </c>
      <c r="AA2014" s="0" t="str">
        <f aca="false">IF(AND(C2013=C2014,W2013=W2014-1),Y2013,"")</f>
        <v/>
      </c>
      <c r="AB2014" s="0" t="str">
        <f aca="false">IF(W2014=1,"",IF(AND(X2014=1,Z2014&lt;&gt;1),1,0))</f>
        <v/>
      </c>
      <c r="AC2014" s="0" t="str">
        <f aca="false">IF(W2014=1,"",IF(AND(Y2014=1,AA2014&lt;&gt;1),1,0))</f>
        <v/>
      </c>
      <c r="AD2014" s="33" t="str">
        <f aca="false">IF(AND(E2014&gt;0,W2014&lt;1,NOT(AND(C2015=C2014,W2015=W2014+1))),INDEX(DATAS,W2014+1),"")</f>
        <v/>
      </c>
      <c r="AE2014" s="33" t="str">
        <f aca="false">IF(AND(Y2014=1,W2014&lt;1),IF(AND(C2015=C2014,W2015=W2014+1),IF(Y2015=1,"",INDEX(DATAS,W2014+1)),INDEX(DATAS,W2014+1)),"")</f>
        <v/>
      </c>
    </row>
    <row r="2015" customFormat="false" ht="15" hidden="false" customHeight="false" outlineLevel="0" collapsed="false">
      <c r="A2015" s="33" t="n">
        <v>46309</v>
      </c>
      <c r="B2015" s="0" t="n">
        <v>8</v>
      </c>
      <c r="C2015" s="0" t="n">
        <v>6286</v>
      </c>
      <c r="E2015" s="0" t="n">
        <v>0</v>
      </c>
      <c r="F2015" s="27" t="s">
        <v>1147</v>
      </c>
      <c r="I2015" s="27" t="s">
        <v>138</v>
      </c>
      <c r="L2015" s="0" t="n">
        <v>140</v>
      </c>
      <c r="U2015" s="0" t="n">
        <v>615</v>
      </c>
      <c r="V2015" s="0" t="n">
        <v>4</v>
      </c>
      <c r="W2015" s="27" t="n">
        <f aca="false">MATCH(A2015,DATAS,0)</f>
        <v>1</v>
      </c>
      <c r="X2015" s="27" t="n">
        <f aca="false">IF(AND(E2015&gt;0,OR(AND(B2015&gt;=1,B2015&lt;=6),B2015=10)),1,0)</f>
        <v>0</v>
      </c>
      <c r="Y2015" s="27" t="n">
        <f aca="false">IF(AND(E2015&gt;0,B2015=10),1,0)</f>
        <v>0</v>
      </c>
      <c r="Z2015" s="0" t="str">
        <f aca="false">IF(AND(C2014=C2015,W2014=W2015-1),X2014,"")</f>
        <v/>
      </c>
      <c r="AA2015" s="0" t="str">
        <f aca="false">IF(AND(C2014=C2015,W2014=W2015-1),Y2014,"")</f>
        <v/>
      </c>
      <c r="AB2015" s="0" t="str">
        <f aca="false">IF(W2015=1,"",IF(AND(X2015=1,Z2015&lt;&gt;1),1,0))</f>
        <v/>
      </c>
      <c r="AC2015" s="0" t="str">
        <f aca="false">IF(W2015=1,"",IF(AND(Y2015=1,AA2015&lt;&gt;1),1,0))</f>
        <v/>
      </c>
      <c r="AD2015" s="33" t="str">
        <f aca="false">IF(AND(E2015&gt;0,W2015&lt;1,NOT(AND(C2016=C2015,W2016=W2015+1))),INDEX(DATAS,W2015+1),"")</f>
        <v/>
      </c>
      <c r="AE2015" s="33" t="str">
        <f aca="false">IF(AND(Y2015=1,W2015&lt;1),IF(AND(C2016=C2015,W2016=W2015+1),IF(Y2016=1,"",INDEX(DATAS,W2015+1)),INDEX(DATAS,W2015+1)),"")</f>
        <v/>
      </c>
    </row>
    <row r="2016" customFormat="false" ht="15" hidden="false" customHeight="false" outlineLevel="0" collapsed="false">
      <c r="A2016" s="33" t="n">
        <v>46309</v>
      </c>
      <c r="B2016" s="0" t="n">
        <v>7</v>
      </c>
      <c r="C2016" s="0" t="n">
        <v>6287</v>
      </c>
      <c r="E2016" s="0" t="n">
        <v>0</v>
      </c>
      <c r="F2016" s="27" t="s">
        <v>1148</v>
      </c>
      <c r="I2016" s="27" t="s">
        <v>138</v>
      </c>
      <c r="L2016" s="0" t="n">
        <v>246</v>
      </c>
      <c r="U2016" s="0" t="n">
        <v>614</v>
      </c>
      <c r="V2016" s="0" t="n">
        <v>1</v>
      </c>
      <c r="W2016" s="27" t="n">
        <f aca="false">MATCH(A2016,DATAS,0)</f>
        <v>1</v>
      </c>
      <c r="X2016" s="27" t="n">
        <f aca="false">IF(AND(E2016&gt;0,OR(AND(B2016&gt;=1,B2016&lt;=6),B2016=10)),1,0)</f>
        <v>0</v>
      </c>
      <c r="Y2016" s="27" t="n">
        <f aca="false">IF(AND(E2016&gt;0,B2016=10),1,0)</f>
        <v>0</v>
      </c>
      <c r="Z2016" s="0" t="str">
        <f aca="false">IF(AND(C2015=C2016,W2015=W2016-1),X2015,"")</f>
        <v/>
      </c>
      <c r="AA2016" s="0" t="str">
        <f aca="false">IF(AND(C2015=C2016,W2015=W2016-1),Y2015,"")</f>
        <v/>
      </c>
      <c r="AB2016" s="0" t="str">
        <f aca="false">IF(W2016=1,"",IF(AND(X2016=1,Z2016&lt;&gt;1),1,0))</f>
        <v/>
      </c>
      <c r="AC2016" s="0" t="str">
        <f aca="false">IF(W2016=1,"",IF(AND(Y2016=1,AA2016&lt;&gt;1),1,0))</f>
        <v/>
      </c>
      <c r="AD2016" s="33" t="str">
        <f aca="false">IF(AND(E2016&gt;0,W2016&lt;1,NOT(AND(C2017=C2016,W2017=W2016+1))),INDEX(DATAS,W2016+1),"")</f>
        <v/>
      </c>
      <c r="AE2016" s="33" t="str">
        <f aca="false">IF(AND(Y2016=1,W2016&lt;1),IF(AND(C2017=C2016,W2017=W2016+1),IF(Y2017=1,"",INDEX(DATAS,W2016+1)),INDEX(DATAS,W2016+1)),"")</f>
        <v/>
      </c>
    </row>
    <row r="2017" customFormat="false" ht="15" hidden="false" customHeight="false" outlineLevel="0" collapsed="false">
      <c r="A2017" s="33" t="n">
        <v>46309</v>
      </c>
      <c r="B2017" s="0" t="n">
        <v>7</v>
      </c>
      <c r="C2017" s="0" t="n">
        <v>6288</v>
      </c>
      <c r="E2017" s="0" t="n">
        <v>0</v>
      </c>
      <c r="F2017" s="27" t="s">
        <v>1148</v>
      </c>
      <c r="I2017" s="27" t="s">
        <v>138</v>
      </c>
      <c r="L2017" s="0" t="n">
        <v>253</v>
      </c>
      <c r="U2017" s="0" t="n">
        <v>614</v>
      </c>
      <c r="V2017" s="0" t="n">
        <v>1</v>
      </c>
      <c r="W2017" s="27" t="n">
        <f aca="false">MATCH(A2017,DATAS,0)</f>
        <v>1</v>
      </c>
      <c r="X2017" s="27" t="n">
        <f aca="false">IF(AND(E2017&gt;0,OR(AND(B2017&gt;=1,B2017&lt;=6),B2017=10)),1,0)</f>
        <v>0</v>
      </c>
      <c r="Y2017" s="27" t="n">
        <f aca="false">IF(AND(E2017&gt;0,B2017=10),1,0)</f>
        <v>0</v>
      </c>
      <c r="Z2017" s="0" t="str">
        <f aca="false">IF(AND(C2016=C2017,W2016=W2017-1),X2016,"")</f>
        <v/>
      </c>
      <c r="AA2017" s="0" t="str">
        <f aca="false">IF(AND(C2016=C2017,W2016=W2017-1),Y2016,"")</f>
        <v/>
      </c>
      <c r="AB2017" s="0" t="str">
        <f aca="false">IF(W2017=1,"",IF(AND(X2017=1,Z2017&lt;&gt;1),1,0))</f>
        <v/>
      </c>
      <c r="AC2017" s="0" t="str">
        <f aca="false">IF(W2017=1,"",IF(AND(Y2017=1,AA2017&lt;&gt;1),1,0))</f>
        <v/>
      </c>
      <c r="AD2017" s="33" t="str">
        <f aca="false">IF(AND(E2017&gt;0,W2017&lt;1,NOT(AND(C2018=C2017,W2018=W2017+1))),INDEX(DATAS,W2017+1),"")</f>
        <v/>
      </c>
      <c r="AE2017" s="33" t="str">
        <f aca="false">IF(AND(Y2017=1,W2017&lt;1),IF(AND(C2018=C2017,W2018=W2017+1),IF(Y2018=1,"",INDEX(DATAS,W2017+1)),INDEX(DATAS,W2017+1)),"")</f>
        <v/>
      </c>
    </row>
    <row r="2018" customFormat="false" ht="15" hidden="false" customHeight="false" outlineLevel="0" collapsed="false">
      <c r="A2018" s="33" t="n">
        <v>46309</v>
      </c>
      <c r="B2018" s="0" t="n">
        <v>7</v>
      </c>
      <c r="C2018" s="0" t="n">
        <v>6289</v>
      </c>
      <c r="E2018" s="0" t="n">
        <v>0</v>
      </c>
      <c r="F2018" s="27" t="s">
        <v>1148</v>
      </c>
      <c r="I2018" s="27" t="s">
        <v>138</v>
      </c>
      <c r="L2018" s="0" t="n">
        <v>244</v>
      </c>
      <c r="U2018" s="0" t="n">
        <v>614</v>
      </c>
      <c r="V2018" s="0" t="n">
        <v>1</v>
      </c>
      <c r="W2018" s="27" t="n">
        <f aca="false">MATCH(A2018,DATAS,0)</f>
        <v>1</v>
      </c>
      <c r="X2018" s="27" t="n">
        <f aca="false">IF(AND(E2018&gt;0,OR(AND(B2018&gt;=1,B2018&lt;=6),B2018=10)),1,0)</f>
        <v>0</v>
      </c>
      <c r="Y2018" s="27" t="n">
        <f aca="false">IF(AND(E2018&gt;0,B2018=10),1,0)</f>
        <v>0</v>
      </c>
      <c r="Z2018" s="0" t="str">
        <f aca="false">IF(AND(C2017=C2018,W2017=W2018-1),X2017,"")</f>
        <v/>
      </c>
      <c r="AA2018" s="0" t="str">
        <f aca="false">IF(AND(C2017=C2018,W2017=W2018-1),Y2017,"")</f>
        <v/>
      </c>
      <c r="AB2018" s="0" t="str">
        <f aca="false">IF(W2018=1,"",IF(AND(X2018=1,Z2018&lt;&gt;1),1,0))</f>
        <v/>
      </c>
      <c r="AC2018" s="0" t="str">
        <f aca="false">IF(W2018=1,"",IF(AND(Y2018=1,AA2018&lt;&gt;1),1,0))</f>
        <v/>
      </c>
      <c r="AD2018" s="33" t="str">
        <f aca="false">IF(AND(E2018&gt;0,W2018&lt;1,NOT(AND(C2019=C2018,W2019=W2018+1))),INDEX(DATAS,W2018+1),"")</f>
        <v/>
      </c>
      <c r="AE2018" s="33" t="str">
        <f aca="false">IF(AND(Y2018=1,W2018&lt;1),IF(AND(C2019=C2018,W2019=W2018+1),IF(Y2019=1,"",INDEX(DATAS,W2018+1)),INDEX(DATAS,W2018+1)),"")</f>
        <v/>
      </c>
    </row>
    <row r="2019" customFormat="false" ht="15" hidden="false" customHeight="false" outlineLevel="0" collapsed="false">
      <c r="A2019" s="33" t="n">
        <v>46309</v>
      </c>
      <c r="B2019" s="0" t="n">
        <v>8</v>
      </c>
      <c r="C2019" s="0" t="n">
        <v>6290</v>
      </c>
      <c r="E2019" s="0" t="n">
        <v>0</v>
      </c>
      <c r="F2019" s="27" t="s">
        <v>1149</v>
      </c>
      <c r="I2019" s="27" t="s">
        <v>138</v>
      </c>
      <c r="L2019" s="0" t="n">
        <v>145</v>
      </c>
      <c r="U2019" s="0" t="n">
        <v>613</v>
      </c>
      <c r="V2019" s="0" t="n">
        <v>4</v>
      </c>
      <c r="W2019" s="27" t="n">
        <f aca="false">MATCH(A2019,DATAS,0)</f>
        <v>1</v>
      </c>
      <c r="X2019" s="27" t="n">
        <f aca="false">IF(AND(E2019&gt;0,OR(AND(B2019&gt;=1,B2019&lt;=6),B2019=10)),1,0)</f>
        <v>0</v>
      </c>
      <c r="Y2019" s="27" t="n">
        <f aca="false">IF(AND(E2019&gt;0,B2019=10),1,0)</f>
        <v>0</v>
      </c>
      <c r="Z2019" s="0" t="str">
        <f aca="false">IF(AND(C2018=C2019,W2018=W2019-1),X2018,"")</f>
        <v/>
      </c>
      <c r="AA2019" s="0" t="str">
        <f aca="false">IF(AND(C2018=C2019,W2018=W2019-1),Y2018,"")</f>
        <v/>
      </c>
      <c r="AB2019" s="0" t="str">
        <f aca="false">IF(W2019=1,"",IF(AND(X2019=1,Z2019&lt;&gt;1),1,0))</f>
        <v/>
      </c>
      <c r="AC2019" s="0" t="str">
        <f aca="false">IF(W2019=1,"",IF(AND(Y2019=1,AA2019&lt;&gt;1),1,0))</f>
        <v/>
      </c>
      <c r="AD2019" s="33" t="str">
        <f aca="false">IF(AND(E2019&gt;0,W2019&lt;1,NOT(AND(C2020=C2019,W2020=W2019+1))),INDEX(DATAS,W2019+1),"")</f>
        <v/>
      </c>
      <c r="AE2019" s="33" t="str">
        <f aca="false">IF(AND(Y2019=1,W2019&lt;1),IF(AND(C2020=C2019,W2020=W2019+1),IF(Y2020=1,"",INDEX(DATAS,W2019+1)),INDEX(DATAS,W2019+1)),"")</f>
        <v/>
      </c>
    </row>
    <row r="2020" customFormat="false" ht="15" hidden="false" customHeight="false" outlineLevel="0" collapsed="false">
      <c r="A2020" s="33" t="n">
        <v>46309</v>
      </c>
      <c r="B2020" s="0" t="n">
        <v>8</v>
      </c>
      <c r="C2020" s="0" t="n">
        <v>6292</v>
      </c>
      <c r="E2020" s="0" t="n">
        <v>0</v>
      </c>
      <c r="F2020" s="27" t="s">
        <v>1150</v>
      </c>
      <c r="I2020" s="27" t="s">
        <v>138</v>
      </c>
      <c r="L2020" s="0" t="n">
        <v>188</v>
      </c>
      <c r="U2020" s="0" t="n">
        <v>611</v>
      </c>
      <c r="V2020" s="0" t="n">
        <v>4</v>
      </c>
      <c r="W2020" s="27" t="n">
        <f aca="false">MATCH(A2020,DATAS,0)</f>
        <v>1</v>
      </c>
      <c r="X2020" s="27" t="n">
        <f aca="false">IF(AND(E2020&gt;0,OR(AND(B2020&gt;=1,B2020&lt;=6),B2020=10)),1,0)</f>
        <v>0</v>
      </c>
      <c r="Y2020" s="27" t="n">
        <f aca="false">IF(AND(E2020&gt;0,B2020=10),1,0)</f>
        <v>0</v>
      </c>
      <c r="Z2020" s="0" t="str">
        <f aca="false">IF(AND(C2019=C2020,W2019=W2020-1),X2019,"")</f>
        <v/>
      </c>
      <c r="AA2020" s="0" t="str">
        <f aca="false">IF(AND(C2019=C2020,W2019=W2020-1),Y2019,"")</f>
        <v/>
      </c>
      <c r="AB2020" s="0" t="str">
        <f aca="false">IF(W2020=1,"",IF(AND(X2020=1,Z2020&lt;&gt;1),1,0))</f>
        <v/>
      </c>
      <c r="AC2020" s="0" t="str">
        <f aca="false">IF(W2020=1,"",IF(AND(Y2020=1,AA2020&lt;&gt;1),1,0))</f>
        <v/>
      </c>
      <c r="AD2020" s="33" t="str">
        <f aca="false">IF(AND(E2020&gt;0,W2020&lt;1,NOT(AND(C2021=C2020,W2021=W2020+1))),INDEX(DATAS,W2020+1),"")</f>
        <v/>
      </c>
      <c r="AE2020" s="33" t="str">
        <f aca="false">IF(AND(Y2020=1,W2020&lt;1),IF(AND(C2021=C2020,W2021=W2020+1),IF(Y2021=1,"",INDEX(DATAS,W2020+1)),INDEX(DATAS,W2020+1)),"")</f>
        <v/>
      </c>
    </row>
    <row r="2021" customFormat="false" ht="15" hidden="false" customHeight="false" outlineLevel="0" collapsed="false">
      <c r="A2021" s="33" t="n">
        <v>46309</v>
      </c>
      <c r="B2021" s="0" t="n">
        <v>8</v>
      </c>
      <c r="C2021" s="0" t="n">
        <v>6293</v>
      </c>
      <c r="E2021" s="0" t="n">
        <v>0</v>
      </c>
      <c r="F2021" s="27" t="s">
        <v>1150</v>
      </c>
      <c r="I2021" s="27" t="s">
        <v>138</v>
      </c>
      <c r="L2021" s="0" t="n">
        <v>202</v>
      </c>
      <c r="U2021" s="0" t="n">
        <v>611</v>
      </c>
      <c r="V2021" s="0" t="n">
        <v>3</v>
      </c>
      <c r="W2021" s="27" t="n">
        <f aca="false">MATCH(A2021,DATAS,0)</f>
        <v>1</v>
      </c>
      <c r="X2021" s="27" t="n">
        <f aca="false">IF(AND(E2021&gt;0,OR(AND(B2021&gt;=1,B2021&lt;=6),B2021=10)),1,0)</f>
        <v>0</v>
      </c>
      <c r="Y2021" s="27" t="n">
        <f aca="false">IF(AND(E2021&gt;0,B2021=10),1,0)</f>
        <v>0</v>
      </c>
      <c r="Z2021" s="0" t="str">
        <f aca="false">IF(AND(C2020=C2021,W2020=W2021-1),X2020,"")</f>
        <v/>
      </c>
      <c r="AA2021" s="0" t="str">
        <f aca="false">IF(AND(C2020=C2021,W2020=W2021-1),Y2020,"")</f>
        <v/>
      </c>
      <c r="AB2021" s="0" t="str">
        <f aca="false">IF(W2021=1,"",IF(AND(X2021=1,Z2021&lt;&gt;1),1,0))</f>
        <v/>
      </c>
      <c r="AC2021" s="0" t="str">
        <f aca="false">IF(W2021=1,"",IF(AND(Y2021=1,AA2021&lt;&gt;1),1,0))</f>
        <v/>
      </c>
      <c r="AD2021" s="33" t="str">
        <f aca="false">IF(AND(E2021&gt;0,W2021&lt;1,NOT(AND(C2022=C2021,W2022=W2021+1))),INDEX(DATAS,W2021+1),"")</f>
        <v/>
      </c>
      <c r="AE2021" s="33" t="str">
        <f aca="false">IF(AND(Y2021=1,W2021&lt;1),IF(AND(C2022=C2021,W2022=W2021+1),IF(Y2022=1,"",INDEX(DATAS,W2021+1)),INDEX(DATAS,W2021+1)),"")</f>
        <v/>
      </c>
    </row>
    <row r="2022" customFormat="false" ht="15" hidden="false" customHeight="false" outlineLevel="0" collapsed="false">
      <c r="A2022" s="33" t="n">
        <v>46309</v>
      </c>
      <c r="B2022" s="0" t="n">
        <v>8</v>
      </c>
      <c r="C2022" s="0" t="n">
        <v>6294</v>
      </c>
      <c r="E2022" s="0" t="n">
        <v>0</v>
      </c>
      <c r="F2022" s="27" t="s">
        <v>1151</v>
      </c>
      <c r="I2022" s="27" t="s">
        <v>138</v>
      </c>
      <c r="L2022" s="0" t="n">
        <v>213</v>
      </c>
      <c r="U2022" s="0" t="n">
        <v>610</v>
      </c>
      <c r="V2022" s="0" t="n">
        <v>1</v>
      </c>
      <c r="W2022" s="27" t="n">
        <f aca="false">MATCH(A2022,DATAS,0)</f>
        <v>1</v>
      </c>
      <c r="X2022" s="27" t="n">
        <f aca="false">IF(AND(E2022&gt;0,OR(AND(B2022&gt;=1,B2022&lt;=6),B2022=10)),1,0)</f>
        <v>0</v>
      </c>
      <c r="Y2022" s="27" t="n">
        <f aca="false">IF(AND(E2022&gt;0,B2022=10),1,0)</f>
        <v>0</v>
      </c>
      <c r="Z2022" s="0" t="str">
        <f aca="false">IF(AND(C2021=C2022,W2021=W2022-1),X2021,"")</f>
        <v/>
      </c>
      <c r="AA2022" s="0" t="str">
        <f aca="false">IF(AND(C2021=C2022,W2021=W2022-1),Y2021,"")</f>
        <v/>
      </c>
      <c r="AB2022" s="0" t="str">
        <f aca="false">IF(W2022=1,"",IF(AND(X2022=1,Z2022&lt;&gt;1),1,0))</f>
        <v/>
      </c>
      <c r="AC2022" s="0" t="str">
        <f aca="false">IF(W2022=1,"",IF(AND(Y2022=1,AA2022&lt;&gt;1),1,0))</f>
        <v/>
      </c>
      <c r="AD2022" s="33" t="str">
        <f aca="false">IF(AND(E2022&gt;0,W2022&lt;1,NOT(AND(C2023=C2022,W2023=W2022+1))),INDEX(DATAS,W2022+1),"")</f>
        <v/>
      </c>
      <c r="AE2022" s="33" t="str">
        <f aca="false">IF(AND(Y2022=1,W2022&lt;1),IF(AND(C2023=C2022,W2023=W2022+1),IF(Y2023=1,"",INDEX(DATAS,W2022+1)),INDEX(DATAS,W2022+1)),"")</f>
        <v/>
      </c>
    </row>
    <row r="2023" customFormat="false" ht="15" hidden="false" customHeight="false" outlineLevel="0" collapsed="false">
      <c r="A2023" s="33" t="n">
        <v>46309</v>
      </c>
      <c r="B2023" s="0" t="n">
        <v>8</v>
      </c>
      <c r="C2023" s="0" t="n">
        <v>6295</v>
      </c>
      <c r="E2023" s="0" t="n">
        <v>0</v>
      </c>
      <c r="F2023" s="27" t="s">
        <v>1151</v>
      </c>
      <c r="I2023" s="27" t="s">
        <v>138</v>
      </c>
      <c r="L2023" s="0" t="n">
        <v>246</v>
      </c>
      <c r="U2023" s="0" t="n">
        <v>610</v>
      </c>
      <c r="V2023" s="0" t="n">
        <v>1</v>
      </c>
      <c r="W2023" s="27" t="n">
        <f aca="false">MATCH(A2023,DATAS,0)</f>
        <v>1</v>
      </c>
      <c r="X2023" s="27" t="n">
        <f aca="false">IF(AND(E2023&gt;0,OR(AND(B2023&gt;=1,B2023&lt;=6),B2023=10)),1,0)</f>
        <v>0</v>
      </c>
      <c r="Y2023" s="27" t="n">
        <f aca="false">IF(AND(E2023&gt;0,B2023=10),1,0)</f>
        <v>0</v>
      </c>
      <c r="Z2023" s="0" t="str">
        <f aca="false">IF(AND(C2022=C2023,W2022=W2023-1),X2022,"")</f>
        <v/>
      </c>
      <c r="AA2023" s="0" t="str">
        <f aca="false">IF(AND(C2022=C2023,W2022=W2023-1),Y2022,"")</f>
        <v/>
      </c>
      <c r="AB2023" s="0" t="str">
        <f aca="false">IF(W2023=1,"",IF(AND(X2023=1,Z2023&lt;&gt;1),1,0))</f>
        <v/>
      </c>
      <c r="AC2023" s="0" t="str">
        <f aca="false">IF(W2023=1,"",IF(AND(Y2023=1,AA2023&lt;&gt;1),1,0))</f>
        <v/>
      </c>
      <c r="AD2023" s="33" t="str">
        <f aca="false">IF(AND(E2023&gt;0,W2023&lt;1,NOT(AND(C2024=C2023,W2024=W2023+1))),INDEX(DATAS,W2023+1),"")</f>
        <v/>
      </c>
      <c r="AE2023" s="33" t="str">
        <f aca="false">IF(AND(Y2023=1,W2023&lt;1),IF(AND(C2024=C2023,W2024=W2023+1),IF(Y2024=1,"",INDEX(DATAS,W2023+1)),INDEX(DATAS,W2023+1)),"")</f>
        <v/>
      </c>
    </row>
    <row r="2024" customFormat="false" ht="15" hidden="false" customHeight="false" outlineLevel="0" collapsed="false">
      <c r="A2024" s="33" t="n">
        <v>46309</v>
      </c>
      <c r="B2024" s="0" t="n">
        <v>8</v>
      </c>
      <c r="C2024" s="0" t="n">
        <v>6296</v>
      </c>
      <c r="E2024" s="0" t="n">
        <v>0</v>
      </c>
      <c r="F2024" s="27" t="s">
        <v>1152</v>
      </c>
      <c r="I2024" s="27" t="s">
        <v>138</v>
      </c>
      <c r="L2024" s="0" t="n">
        <v>69</v>
      </c>
      <c r="U2024" s="0" t="n">
        <v>609</v>
      </c>
      <c r="V2024" s="0" t="n">
        <v>7</v>
      </c>
      <c r="W2024" s="27" t="n">
        <f aca="false">MATCH(A2024,DATAS,0)</f>
        <v>1</v>
      </c>
      <c r="X2024" s="27" t="n">
        <f aca="false">IF(AND(E2024&gt;0,OR(AND(B2024&gt;=1,B2024&lt;=6),B2024=10)),1,0)</f>
        <v>0</v>
      </c>
      <c r="Y2024" s="27" t="n">
        <f aca="false">IF(AND(E2024&gt;0,B2024=10),1,0)</f>
        <v>0</v>
      </c>
      <c r="Z2024" s="0" t="str">
        <f aca="false">IF(AND(C2023=C2024,W2023=W2024-1),X2023,"")</f>
        <v/>
      </c>
      <c r="AA2024" s="0" t="str">
        <f aca="false">IF(AND(C2023=C2024,W2023=W2024-1),Y2023,"")</f>
        <v/>
      </c>
      <c r="AB2024" s="0" t="str">
        <f aca="false">IF(W2024=1,"",IF(AND(X2024=1,Z2024&lt;&gt;1),1,0))</f>
        <v/>
      </c>
      <c r="AC2024" s="0" t="str">
        <f aca="false">IF(W2024=1,"",IF(AND(Y2024=1,AA2024&lt;&gt;1),1,0))</f>
        <v/>
      </c>
      <c r="AD2024" s="33" t="str">
        <f aca="false">IF(AND(E2024&gt;0,W2024&lt;1,NOT(AND(C2025=C2024,W2025=W2024+1))),INDEX(DATAS,W2024+1),"")</f>
        <v/>
      </c>
      <c r="AE2024" s="33" t="str">
        <f aca="false">IF(AND(Y2024=1,W2024&lt;1),IF(AND(C2025=C2024,W2025=W2024+1),IF(Y2025=1,"",INDEX(DATAS,W2024+1)),INDEX(DATAS,W2024+1)),"")</f>
        <v/>
      </c>
    </row>
    <row r="2025" customFormat="false" ht="15" hidden="false" customHeight="false" outlineLevel="0" collapsed="false">
      <c r="A2025" s="33" t="n">
        <v>46309</v>
      </c>
      <c r="B2025" s="0" t="n">
        <v>7</v>
      </c>
      <c r="C2025" s="0" t="n">
        <v>6297</v>
      </c>
      <c r="E2025" s="0" t="n">
        <v>0</v>
      </c>
      <c r="F2025" s="27" t="s">
        <v>1152</v>
      </c>
      <c r="I2025" s="27" t="s">
        <v>138</v>
      </c>
      <c r="L2025" s="0" t="n">
        <v>248</v>
      </c>
      <c r="U2025" s="0" t="n">
        <v>609</v>
      </c>
      <c r="V2025" s="0" t="n">
        <v>1</v>
      </c>
      <c r="W2025" s="27" t="n">
        <f aca="false">MATCH(A2025,DATAS,0)</f>
        <v>1</v>
      </c>
      <c r="X2025" s="27" t="n">
        <f aca="false">IF(AND(E2025&gt;0,OR(AND(B2025&gt;=1,B2025&lt;=6),B2025=10)),1,0)</f>
        <v>0</v>
      </c>
      <c r="Y2025" s="27" t="n">
        <f aca="false">IF(AND(E2025&gt;0,B2025=10),1,0)</f>
        <v>0</v>
      </c>
      <c r="Z2025" s="0" t="str">
        <f aca="false">IF(AND(C2024=C2025,W2024=W2025-1),X2024,"")</f>
        <v/>
      </c>
      <c r="AA2025" s="0" t="str">
        <f aca="false">IF(AND(C2024=C2025,W2024=W2025-1),Y2024,"")</f>
        <v/>
      </c>
      <c r="AB2025" s="0" t="str">
        <f aca="false">IF(W2025=1,"",IF(AND(X2025=1,Z2025&lt;&gt;1),1,0))</f>
        <v/>
      </c>
      <c r="AC2025" s="0" t="str">
        <f aca="false">IF(W2025=1,"",IF(AND(Y2025=1,AA2025&lt;&gt;1),1,0))</f>
        <v/>
      </c>
      <c r="AD2025" s="33" t="str">
        <f aca="false">IF(AND(E2025&gt;0,W2025&lt;1,NOT(AND(C2026=C2025,W2026=W2025+1))),INDEX(DATAS,W2025+1),"")</f>
        <v/>
      </c>
      <c r="AE2025" s="33" t="str">
        <f aca="false">IF(AND(Y2025=1,W2025&lt;1),IF(AND(C2026=C2025,W2026=W2025+1),IF(Y2026=1,"",INDEX(DATAS,W2025+1)),INDEX(DATAS,W2025+1)),"")</f>
        <v/>
      </c>
    </row>
    <row r="2026" customFormat="false" ht="15" hidden="false" customHeight="false" outlineLevel="0" collapsed="false">
      <c r="A2026" s="33" t="n">
        <v>46309</v>
      </c>
      <c r="B2026" s="0" t="n">
        <v>8</v>
      </c>
      <c r="C2026" s="0" t="n">
        <v>6298</v>
      </c>
      <c r="E2026" s="0" t="n">
        <v>0</v>
      </c>
      <c r="F2026" s="27" t="s">
        <v>1152</v>
      </c>
      <c r="I2026" s="27" t="s">
        <v>138</v>
      </c>
      <c r="L2026" s="0" t="n">
        <v>212</v>
      </c>
      <c r="U2026" s="0" t="n">
        <v>609</v>
      </c>
      <c r="V2026" s="0" t="n">
        <v>1</v>
      </c>
      <c r="W2026" s="27" t="n">
        <f aca="false">MATCH(A2026,DATAS,0)</f>
        <v>1</v>
      </c>
      <c r="X2026" s="27" t="n">
        <f aca="false">IF(AND(E2026&gt;0,OR(AND(B2026&gt;=1,B2026&lt;=6),B2026=10)),1,0)</f>
        <v>0</v>
      </c>
      <c r="Y2026" s="27" t="n">
        <f aca="false">IF(AND(E2026&gt;0,B2026=10),1,0)</f>
        <v>0</v>
      </c>
      <c r="Z2026" s="0" t="str">
        <f aca="false">IF(AND(C2025=C2026,W2025=W2026-1),X2025,"")</f>
        <v/>
      </c>
      <c r="AA2026" s="0" t="str">
        <f aca="false">IF(AND(C2025=C2026,W2025=W2026-1),Y2025,"")</f>
        <v/>
      </c>
      <c r="AB2026" s="0" t="str">
        <f aca="false">IF(W2026=1,"",IF(AND(X2026=1,Z2026&lt;&gt;1),1,0))</f>
        <v/>
      </c>
      <c r="AC2026" s="0" t="str">
        <f aca="false">IF(W2026=1,"",IF(AND(Y2026=1,AA2026&lt;&gt;1),1,0))</f>
        <v/>
      </c>
      <c r="AD2026" s="33" t="str">
        <f aca="false">IF(AND(E2026&gt;0,W2026&lt;1,NOT(AND(C2027=C2026,W2027=W2026+1))),INDEX(DATAS,W2026+1),"")</f>
        <v/>
      </c>
      <c r="AE2026" s="33" t="str">
        <f aca="false">IF(AND(Y2026=1,W2026&lt;1),IF(AND(C2027=C2026,W2027=W2026+1),IF(Y2027=1,"",INDEX(DATAS,W2026+1)),INDEX(DATAS,W2026+1)),"")</f>
        <v/>
      </c>
    </row>
    <row r="2027" customFormat="false" ht="15" hidden="false" customHeight="false" outlineLevel="0" collapsed="false">
      <c r="A2027" s="33" t="n">
        <v>46309</v>
      </c>
      <c r="B2027" s="0" t="n">
        <v>8</v>
      </c>
      <c r="C2027" s="0" t="n">
        <v>6299</v>
      </c>
      <c r="E2027" s="0" t="n">
        <v>0</v>
      </c>
      <c r="F2027" s="27" t="s">
        <v>1153</v>
      </c>
      <c r="I2027" s="27" t="s">
        <v>138</v>
      </c>
      <c r="L2027" s="0" t="n">
        <v>211</v>
      </c>
      <c r="U2027" s="0" t="n">
        <v>608</v>
      </c>
      <c r="V2027" s="0" t="n">
        <v>1</v>
      </c>
      <c r="W2027" s="27" t="n">
        <f aca="false">MATCH(A2027,DATAS,0)</f>
        <v>1</v>
      </c>
      <c r="X2027" s="27" t="n">
        <f aca="false">IF(AND(E2027&gt;0,OR(AND(B2027&gt;=1,B2027&lt;=6),B2027=10)),1,0)</f>
        <v>0</v>
      </c>
      <c r="Y2027" s="27" t="n">
        <f aca="false">IF(AND(E2027&gt;0,B2027=10),1,0)</f>
        <v>0</v>
      </c>
      <c r="Z2027" s="0" t="str">
        <f aca="false">IF(AND(C2026=C2027,W2026=W2027-1),X2026,"")</f>
        <v/>
      </c>
      <c r="AA2027" s="0" t="str">
        <f aca="false">IF(AND(C2026=C2027,W2026=W2027-1),Y2026,"")</f>
        <v/>
      </c>
      <c r="AB2027" s="0" t="str">
        <f aca="false">IF(W2027=1,"",IF(AND(X2027=1,Z2027&lt;&gt;1),1,0))</f>
        <v/>
      </c>
      <c r="AC2027" s="0" t="str">
        <f aca="false">IF(W2027=1,"",IF(AND(Y2027=1,AA2027&lt;&gt;1),1,0))</f>
        <v/>
      </c>
      <c r="AD2027" s="33" t="str">
        <f aca="false">IF(AND(E2027&gt;0,W2027&lt;1,NOT(AND(C2028=C2027,W2028=W2027+1))),INDEX(DATAS,W2027+1),"")</f>
        <v/>
      </c>
      <c r="AE2027" s="33" t="str">
        <f aca="false">IF(AND(Y2027=1,W2027&lt;1),IF(AND(C2028=C2027,W2028=W2027+1),IF(Y2028=1,"",INDEX(DATAS,W2027+1)),INDEX(DATAS,W2027+1)),"")</f>
        <v/>
      </c>
    </row>
    <row r="2028" customFormat="false" ht="15" hidden="false" customHeight="false" outlineLevel="0" collapsed="false">
      <c r="A2028" s="33" t="n">
        <v>46309</v>
      </c>
      <c r="B2028" s="0" t="n">
        <v>8</v>
      </c>
      <c r="C2028" s="0" t="n">
        <v>6302</v>
      </c>
      <c r="E2028" s="0" t="n">
        <v>0</v>
      </c>
      <c r="F2028" s="27" t="s">
        <v>1154</v>
      </c>
      <c r="I2028" s="27" t="s">
        <v>138</v>
      </c>
      <c r="L2028" s="0" t="n">
        <v>220</v>
      </c>
      <c r="U2028" s="0" t="n">
        <v>607</v>
      </c>
      <c r="V2028" s="0" t="n">
        <v>1</v>
      </c>
      <c r="W2028" s="27" t="n">
        <f aca="false">MATCH(A2028,DATAS,0)</f>
        <v>1</v>
      </c>
      <c r="X2028" s="27" t="n">
        <f aca="false">IF(AND(E2028&gt;0,OR(AND(B2028&gt;=1,B2028&lt;=6),B2028=10)),1,0)</f>
        <v>0</v>
      </c>
      <c r="Y2028" s="27" t="n">
        <f aca="false">IF(AND(E2028&gt;0,B2028=10),1,0)</f>
        <v>0</v>
      </c>
      <c r="Z2028" s="0" t="str">
        <f aca="false">IF(AND(C2027=C2028,W2027=W2028-1),X2027,"")</f>
        <v/>
      </c>
      <c r="AA2028" s="0" t="str">
        <f aca="false">IF(AND(C2027=C2028,W2027=W2028-1),Y2027,"")</f>
        <v/>
      </c>
      <c r="AB2028" s="0" t="str">
        <f aca="false">IF(W2028=1,"",IF(AND(X2028=1,Z2028&lt;&gt;1),1,0))</f>
        <v/>
      </c>
      <c r="AC2028" s="0" t="str">
        <f aca="false">IF(W2028=1,"",IF(AND(Y2028=1,AA2028&lt;&gt;1),1,0))</f>
        <v/>
      </c>
      <c r="AD2028" s="33" t="str">
        <f aca="false">IF(AND(E2028&gt;0,W2028&lt;1,NOT(AND(C2029=C2028,W2029=W2028+1))),INDEX(DATAS,W2028+1),"")</f>
        <v/>
      </c>
      <c r="AE2028" s="33" t="str">
        <f aca="false">IF(AND(Y2028=1,W2028&lt;1),IF(AND(C2029=C2028,W2029=W2028+1),IF(Y2029=1,"",INDEX(DATAS,W2028+1)),INDEX(DATAS,W2028+1)),"")</f>
        <v/>
      </c>
    </row>
    <row r="2029" customFormat="false" ht="15" hidden="false" customHeight="false" outlineLevel="0" collapsed="false">
      <c r="A2029" s="33" t="n">
        <v>46309</v>
      </c>
      <c r="B2029" s="0" t="n">
        <v>8</v>
      </c>
      <c r="C2029" s="0" t="n">
        <v>6303</v>
      </c>
      <c r="E2029" s="0" t="n">
        <v>0</v>
      </c>
      <c r="F2029" s="27" t="s">
        <v>1154</v>
      </c>
      <c r="I2029" s="27" t="s">
        <v>138</v>
      </c>
      <c r="L2029" s="0" t="n">
        <v>188</v>
      </c>
      <c r="U2029" s="0" t="n">
        <v>607</v>
      </c>
      <c r="V2029" s="0" t="n">
        <v>1</v>
      </c>
      <c r="W2029" s="27" t="n">
        <f aca="false">MATCH(A2029,DATAS,0)</f>
        <v>1</v>
      </c>
      <c r="X2029" s="27" t="n">
        <f aca="false">IF(AND(E2029&gt;0,OR(AND(B2029&gt;=1,B2029&lt;=6),B2029=10)),1,0)</f>
        <v>0</v>
      </c>
      <c r="Y2029" s="27" t="n">
        <f aca="false">IF(AND(E2029&gt;0,B2029=10),1,0)</f>
        <v>0</v>
      </c>
      <c r="Z2029" s="0" t="str">
        <f aca="false">IF(AND(C2028=C2029,W2028=W2029-1),X2028,"")</f>
        <v/>
      </c>
      <c r="AA2029" s="0" t="str">
        <f aca="false">IF(AND(C2028=C2029,W2028=W2029-1),Y2028,"")</f>
        <v/>
      </c>
      <c r="AB2029" s="0" t="str">
        <f aca="false">IF(W2029=1,"",IF(AND(X2029=1,Z2029&lt;&gt;1),1,0))</f>
        <v/>
      </c>
      <c r="AC2029" s="0" t="str">
        <f aca="false">IF(W2029=1,"",IF(AND(Y2029=1,AA2029&lt;&gt;1),1,0))</f>
        <v/>
      </c>
      <c r="AD2029" s="33" t="str">
        <f aca="false">IF(AND(E2029&gt;0,W2029&lt;1,NOT(AND(C2030=C2029,W2030=W2029+1))),INDEX(DATAS,W2029+1),"")</f>
        <v/>
      </c>
      <c r="AE2029" s="33" t="str">
        <f aca="false">IF(AND(Y2029=1,W2029&lt;1),IF(AND(C2030=C2029,W2030=W2029+1),IF(Y2030=1,"",INDEX(DATAS,W2029+1)),INDEX(DATAS,W2029+1)),"")</f>
        <v/>
      </c>
    </row>
    <row r="2030" customFormat="false" ht="15" hidden="false" customHeight="false" outlineLevel="0" collapsed="false">
      <c r="A2030" s="33" t="n">
        <v>46309</v>
      </c>
      <c r="B2030" s="0" t="n">
        <v>8</v>
      </c>
      <c r="C2030" s="0" t="n">
        <v>6304</v>
      </c>
      <c r="E2030" s="0" t="n">
        <v>0</v>
      </c>
      <c r="F2030" s="27" t="s">
        <v>1154</v>
      </c>
      <c r="I2030" s="27" t="s">
        <v>138</v>
      </c>
      <c r="L2030" s="0" t="n">
        <v>178</v>
      </c>
      <c r="U2030" s="0" t="n">
        <v>607</v>
      </c>
      <c r="V2030" s="0" t="n">
        <v>3</v>
      </c>
      <c r="W2030" s="27" t="n">
        <f aca="false">MATCH(A2030,DATAS,0)</f>
        <v>1</v>
      </c>
      <c r="X2030" s="27" t="n">
        <f aca="false">IF(AND(E2030&gt;0,OR(AND(B2030&gt;=1,B2030&lt;=6),B2030=10)),1,0)</f>
        <v>0</v>
      </c>
      <c r="Y2030" s="27" t="n">
        <f aca="false">IF(AND(E2030&gt;0,B2030=10),1,0)</f>
        <v>0</v>
      </c>
      <c r="Z2030" s="0" t="str">
        <f aca="false">IF(AND(C2029=C2030,W2029=W2030-1),X2029,"")</f>
        <v/>
      </c>
      <c r="AA2030" s="0" t="str">
        <f aca="false">IF(AND(C2029=C2030,W2029=W2030-1),Y2029,"")</f>
        <v/>
      </c>
      <c r="AB2030" s="0" t="str">
        <f aca="false">IF(W2030=1,"",IF(AND(X2030=1,Z2030&lt;&gt;1),1,0))</f>
        <v/>
      </c>
      <c r="AC2030" s="0" t="str">
        <f aca="false">IF(W2030=1,"",IF(AND(Y2030=1,AA2030&lt;&gt;1),1,0))</f>
        <v/>
      </c>
      <c r="AD2030" s="33" t="str">
        <f aca="false">IF(AND(E2030&gt;0,W2030&lt;1,NOT(AND(C2031=C2030,W2031=W2030+1))),INDEX(DATAS,W2030+1),"")</f>
        <v/>
      </c>
      <c r="AE2030" s="33" t="str">
        <f aca="false">IF(AND(Y2030=1,W2030&lt;1),IF(AND(C2031=C2030,W2031=W2030+1),IF(Y2031=1,"",INDEX(DATAS,W2030+1)),INDEX(DATAS,W2030+1)),"")</f>
        <v/>
      </c>
    </row>
    <row r="2031" customFormat="false" ht="15" hidden="false" customHeight="false" outlineLevel="0" collapsed="false">
      <c r="A2031" s="33" t="n">
        <v>46309</v>
      </c>
      <c r="B2031" s="0" t="n">
        <v>8</v>
      </c>
      <c r="C2031" s="0" t="n">
        <v>6305</v>
      </c>
      <c r="E2031" s="0" t="n">
        <v>0</v>
      </c>
      <c r="F2031" s="27" t="s">
        <v>1155</v>
      </c>
      <c r="I2031" s="27" t="s">
        <v>138</v>
      </c>
      <c r="L2031" s="0" t="n">
        <v>210</v>
      </c>
      <c r="U2031" s="0" t="n">
        <v>606</v>
      </c>
      <c r="V2031" s="0" t="n">
        <v>1</v>
      </c>
      <c r="W2031" s="27" t="n">
        <f aca="false">MATCH(A2031,DATAS,0)</f>
        <v>1</v>
      </c>
      <c r="X2031" s="27" t="n">
        <f aca="false">IF(AND(E2031&gt;0,OR(AND(B2031&gt;=1,B2031&lt;=6),B2031=10)),1,0)</f>
        <v>0</v>
      </c>
      <c r="Y2031" s="27" t="n">
        <f aca="false">IF(AND(E2031&gt;0,B2031=10),1,0)</f>
        <v>0</v>
      </c>
      <c r="Z2031" s="0" t="str">
        <f aca="false">IF(AND(C2030=C2031,W2030=W2031-1),X2030,"")</f>
        <v/>
      </c>
      <c r="AA2031" s="0" t="str">
        <f aca="false">IF(AND(C2030=C2031,W2030=W2031-1),Y2030,"")</f>
        <v/>
      </c>
      <c r="AB2031" s="0" t="str">
        <f aca="false">IF(W2031=1,"",IF(AND(X2031=1,Z2031&lt;&gt;1),1,0))</f>
        <v/>
      </c>
      <c r="AC2031" s="0" t="str">
        <f aca="false">IF(W2031=1,"",IF(AND(Y2031=1,AA2031&lt;&gt;1),1,0))</f>
        <v/>
      </c>
      <c r="AD2031" s="33" t="str">
        <f aca="false">IF(AND(E2031&gt;0,W2031&lt;1,NOT(AND(C2032=C2031,W2032=W2031+1))),INDEX(DATAS,W2031+1),"")</f>
        <v/>
      </c>
      <c r="AE2031" s="33" t="str">
        <f aca="false">IF(AND(Y2031=1,W2031&lt;1),IF(AND(C2032=C2031,W2032=W2031+1),IF(Y2032=1,"",INDEX(DATAS,W2031+1)),INDEX(DATAS,W2031+1)),"")</f>
        <v/>
      </c>
    </row>
    <row r="2032" customFormat="false" ht="15" hidden="false" customHeight="false" outlineLevel="0" collapsed="false">
      <c r="A2032" s="33" t="n">
        <v>46309</v>
      </c>
      <c r="B2032" s="0" t="n">
        <v>8</v>
      </c>
      <c r="C2032" s="0" t="n">
        <v>6306</v>
      </c>
      <c r="E2032" s="0" t="n">
        <v>0</v>
      </c>
      <c r="F2032" s="27" t="s">
        <v>1156</v>
      </c>
      <c r="I2032" s="27" t="s">
        <v>138</v>
      </c>
      <c r="L2032" s="0" t="n">
        <v>209</v>
      </c>
      <c r="U2032" s="0" t="n">
        <v>605</v>
      </c>
      <c r="V2032" s="0" t="n">
        <v>1</v>
      </c>
      <c r="W2032" s="27" t="n">
        <f aca="false">MATCH(A2032,DATAS,0)</f>
        <v>1</v>
      </c>
      <c r="X2032" s="27" t="n">
        <f aca="false">IF(AND(E2032&gt;0,OR(AND(B2032&gt;=1,B2032&lt;=6),B2032=10)),1,0)</f>
        <v>0</v>
      </c>
      <c r="Y2032" s="27" t="n">
        <f aca="false">IF(AND(E2032&gt;0,B2032=10),1,0)</f>
        <v>0</v>
      </c>
      <c r="Z2032" s="0" t="str">
        <f aca="false">IF(AND(C2031=C2032,W2031=W2032-1),X2031,"")</f>
        <v/>
      </c>
      <c r="AA2032" s="0" t="str">
        <f aca="false">IF(AND(C2031=C2032,W2031=W2032-1),Y2031,"")</f>
        <v/>
      </c>
      <c r="AB2032" s="0" t="str">
        <f aca="false">IF(W2032=1,"",IF(AND(X2032=1,Z2032&lt;&gt;1),1,0))</f>
        <v/>
      </c>
      <c r="AC2032" s="0" t="str">
        <f aca="false">IF(W2032=1,"",IF(AND(Y2032=1,AA2032&lt;&gt;1),1,0))</f>
        <v/>
      </c>
      <c r="AD2032" s="33" t="str">
        <f aca="false">IF(AND(E2032&gt;0,W2032&lt;1,NOT(AND(C2033=C2032,W2033=W2032+1))),INDEX(DATAS,W2032+1),"")</f>
        <v/>
      </c>
      <c r="AE2032" s="33" t="str">
        <f aca="false">IF(AND(Y2032=1,W2032&lt;1),IF(AND(C2033=C2032,W2033=W2032+1),IF(Y2033=1,"",INDEX(DATAS,W2032+1)),INDEX(DATAS,W2032+1)),"")</f>
        <v/>
      </c>
    </row>
    <row r="2033" customFormat="false" ht="15" hidden="false" customHeight="false" outlineLevel="0" collapsed="false">
      <c r="A2033" s="33" t="n">
        <v>46309</v>
      </c>
      <c r="B2033" s="0" t="n">
        <v>8</v>
      </c>
      <c r="C2033" s="0" t="n">
        <v>6307</v>
      </c>
      <c r="E2033" s="0" t="n">
        <v>0</v>
      </c>
      <c r="F2033" s="27" t="s">
        <v>1156</v>
      </c>
      <c r="I2033" s="27" t="s">
        <v>138</v>
      </c>
      <c r="L2033" s="0" t="n">
        <v>215</v>
      </c>
      <c r="U2033" s="0" t="n">
        <v>605</v>
      </c>
      <c r="V2033" s="0" t="n">
        <v>1</v>
      </c>
      <c r="W2033" s="27" t="n">
        <f aca="false">MATCH(A2033,DATAS,0)</f>
        <v>1</v>
      </c>
      <c r="X2033" s="27" t="n">
        <f aca="false">IF(AND(E2033&gt;0,OR(AND(B2033&gt;=1,B2033&lt;=6),B2033=10)),1,0)</f>
        <v>0</v>
      </c>
      <c r="Y2033" s="27" t="n">
        <f aca="false">IF(AND(E2033&gt;0,B2033=10),1,0)</f>
        <v>0</v>
      </c>
      <c r="Z2033" s="0" t="str">
        <f aca="false">IF(AND(C2032=C2033,W2032=W2033-1),X2032,"")</f>
        <v/>
      </c>
      <c r="AA2033" s="0" t="str">
        <f aca="false">IF(AND(C2032=C2033,W2032=W2033-1),Y2032,"")</f>
        <v/>
      </c>
      <c r="AB2033" s="0" t="str">
        <f aca="false">IF(W2033=1,"",IF(AND(X2033=1,Z2033&lt;&gt;1),1,0))</f>
        <v/>
      </c>
      <c r="AC2033" s="0" t="str">
        <f aca="false">IF(W2033=1,"",IF(AND(Y2033=1,AA2033&lt;&gt;1),1,0))</f>
        <v/>
      </c>
      <c r="AD2033" s="33" t="str">
        <f aca="false">IF(AND(E2033&gt;0,W2033&lt;1,NOT(AND(C2034=C2033,W2034=W2033+1))),INDEX(DATAS,W2033+1),"")</f>
        <v/>
      </c>
      <c r="AE2033" s="33" t="str">
        <f aca="false">IF(AND(Y2033=1,W2033&lt;1),IF(AND(C2034=C2033,W2034=W2033+1),IF(Y2034=1,"",INDEX(DATAS,W2033+1)),INDEX(DATAS,W2033+1)),"")</f>
        <v/>
      </c>
    </row>
    <row r="2034" customFormat="false" ht="15" hidden="false" customHeight="false" outlineLevel="0" collapsed="false">
      <c r="A2034" s="33" t="n">
        <v>46309</v>
      </c>
      <c r="B2034" s="0" t="n">
        <v>8</v>
      </c>
      <c r="C2034" s="0" t="n">
        <v>6308</v>
      </c>
      <c r="E2034" s="0" t="n">
        <v>0</v>
      </c>
      <c r="F2034" s="27" t="s">
        <v>1156</v>
      </c>
      <c r="I2034" s="27" t="s">
        <v>138</v>
      </c>
      <c r="L2034" s="0" t="n">
        <v>191</v>
      </c>
      <c r="U2034" s="0" t="n">
        <v>605</v>
      </c>
      <c r="V2034" s="0" t="n">
        <v>2</v>
      </c>
      <c r="W2034" s="27" t="n">
        <f aca="false">MATCH(A2034,DATAS,0)</f>
        <v>1</v>
      </c>
      <c r="X2034" s="27" t="n">
        <f aca="false">IF(AND(E2034&gt;0,OR(AND(B2034&gt;=1,B2034&lt;=6),B2034=10)),1,0)</f>
        <v>0</v>
      </c>
      <c r="Y2034" s="27" t="n">
        <f aca="false">IF(AND(E2034&gt;0,B2034=10),1,0)</f>
        <v>0</v>
      </c>
      <c r="Z2034" s="0" t="str">
        <f aca="false">IF(AND(C2033=C2034,W2033=W2034-1),X2033,"")</f>
        <v/>
      </c>
      <c r="AA2034" s="0" t="str">
        <f aca="false">IF(AND(C2033=C2034,W2033=W2034-1),Y2033,"")</f>
        <v/>
      </c>
      <c r="AB2034" s="0" t="str">
        <f aca="false">IF(W2034=1,"",IF(AND(X2034=1,Z2034&lt;&gt;1),1,0))</f>
        <v/>
      </c>
      <c r="AC2034" s="0" t="str">
        <f aca="false">IF(W2034=1,"",IF(AND(Y2034=1,AA2034&lt;&gt;1),1,0))</f>
        <v/>
      </c>
      <c r="AD2034" s="33" t="str">
        <f aca="false">IF(AND(E2034&gt;0,W2034&lt;1,NOT(AND(C2035=C2034,W2035=W2034+1))),INDEX(DATAS,W2034+1),"")</f>
        <v/>
      </c>
      <c r="AE2034" s="33" t="str">
        <f aca="false">IF(AND(Y2034=1,W2034&lt;1),IF(AND(C2035=C2034,W2035=W2034+1),IF(Y2035=1,"",INDEX(DATAS,W2034+1)),INDEX(DATAS,W2034+1)),"")</f>
        <v/>
      </c>
    </row>
    <row r="2035" customFormat="false" ht="15" hidden="false" customHeight="false" outlineLevel="0" collapsed="false">
      <c r="A2035" s="33" t="n">
        <v>46309</v>
      </c>
      <c r="B2035" s="0" t="n">
        <v>8</v>
      </c>
      <c r="C2035" s="0" t="n">
        <v>6310</v>
      </c>
      <c r="E2035" s="0" t="n">
        <v>0</v>
      </c>
      <c r="F2035" s="27" t="s">
        <v>1156</v>
      </c>
      <c r="I2035" s="27" t="s">
        <v>138</v>
      </c>
      <c r="L2035" s="0" t="n">
        <v>165</v>
      </c>
      <c r="U2035" s="0" t="n">
        <v>605</v>
      </c>
      <c r="V2035" s="0" t="n">
        <v>1</v>
      </c>
      <c r="W2035" s="27" t="n">
        <f aca="false">MATCH(A2035,DATAS,0)</f>
        <v>1</v>
      </c>
      <c r="X2035" s="27" t="n">
        <f aca="false">IF(AND(E2035&gt;0,OR(AND(B2035&gt;=1,B2035&lt;=6),B2035=10)),1,0)</f>
        <v>0</v>
      </c>
      <c r="Y2035" s="27" t="n">
        <f aca="false">IF(AND(E2035&gt;0,B2035=10),1,0)</f>
        <v>0</v>
      </c>
      <c r="Z2035" s="0" t="str">
        <f aca="false">IF(AND(C2034=C2035,W2034=W2035-1),X2034,"")</f>
        <v/>
      </c>
      <c r="AA2035" s="0" t="str">
        <f aca="false">IF(AND(C2034=C2035,W2034=W2035-1),Y2034,"")</f>
        <v/>
      </c>
      <c r="AB2035" s="0" t="str">
        <f aca="false">IF(W2035=1,"",IF(AND(X2035=1,Z2035&lt;&gt;1),1,0))</f>
        <v/>
      </c>
      <c r="AC2035" s="0" t="str">
        <f aca="false">IF(W2035=1,"",IF(AND(Y2035=1,AA2035&lt;&gt;1),1,0))</f>
        <v/>
      </c>
      <c r="AD2035" s="33" t="str">
        <f aca="false">IF(AND(E2035&gt;0,W2035&lt;1,NOT(AND(C2036=C2035,W2036=W2035+1))),INDEX(DATAS,W2035+1),"")</f>
        <v/>
      </c>
      <c r="AE2035" s="33" t="str">
        <f aca="false">IF(AND(Y2035=1,W2035&lt;1),IF(AND(C2036=C2035,W2036=W2035+1),IF(Y2036=1,"",INDEX(DATAS,W2035+1)),INDEX(DATAS,W2035+1)),"")</f>
        <v/>
      </c>
    </row>
    <row r="2036" customFormat="false" ht="15" hidden="false" customHeight="false" outlineLevel="0" collapsed="false">
      <c r="A2036" s="33" t="n">
        <v>46309</v>
      </c>
      <c r="B2036" s="0" t="n">
        <v>8</v>
      </c>
      <c r="C2036" s="0" t="n">
        <v>6311</v>
      </c>
      <c r="E2036" s="0" t="n">
        <v>0</v>
      </c>
      <c r="F2036" s="27" t="s">
        <v>1157</v>
      </c>
      <c r="I2036" s="27" t="s">
        <v>138</v>
      </c>
      <c r="L2036" s="0" t="n">
        <v>192</v>
      </c>
      <c r="U2036" s="0" t="n">
        <v>602</v>
      </c>
      <c r="V2036" s="0" t="n">
        <v>2</v>
      </c>
      <c r="W2036" s="27" t="n">
        <f aca="false">MATCH(A2036,DATAS,0)</f>
        <v>1</v>
      </c>
      <c r="X2036" s="27" t="n">
        <f aca="false">IF(AND(E2036&gt;0,OR(AND(B2036&gt;=1,B2036&lt;=6),B2036=10)),1,0)</f>
        <v>0</v>
      </c>
      <c r="Y2036" s="27" t="n">
        <f aca="false">IF(AND(E2036&gt;0,B2036=10),1,0)</f>
        <v>0</v>
      </c>
      <c r="Z2036" s="0" t="str">
        <f aca="false">IF(AND(C2035=C2036,W2035=W2036-1),X2035,"")</f>
        <v/>
      </c>
      <c r="AA2036" s="0" t="str">
        <f aca="false">IF(AND(C2035=C2036,W2035=W2036-1),Y2035,"")</f>
        <v/>
      </c>
      <c r="AB2036" s="0" t="str">
        <f aca="false">IF(W2036=1,"",IF(AND(X2036=1,Z2036&lt;&gt;1),1,0))</f>
        <v/>
      </c>
      <c r="AC2036" s="0" t="str">
        <f aca="false">IF(W2036=1,"",IF(AND(Y2036=1,AA2036&lt;&gt;1),1,0))</f>
        <v/>
      </c>
      <c r="AD2036" s="33" t="str">
        <f aca="false">IF(AND(E2036&gt;0,W2036&lt;1,NOT(AND(C2037=C2036,W2037=W2036+1))),INDEX(DATAS,W2036+1),"")</f>
        <v/>
      </c>
      <c r="AE2036" s="33" t="str">
        <f aca="false">IF(AND(Y2036=1,W2036&lt;1),IF(AND(C2037=C2036,W2037=W2036+1),IF(Y2037=1,"",INDEX(DATAS,W2036+1)),INDEX(DATAS,W2036+1)),"")</f>
        <v/>
      </c>
    </row>
    <row r="2037" customFormat="false" ht="15" hidden="false" customHeight="false" outlineLevel="0" collapsed="false">
      <c r="A2037" s="33" t="n">
        <v>46309</v>
      </c>
      <c r="B2037" s="0" t="n">
        <v>8</v>
      </c>
      <c r="C2037" s="0" t="n">
        <v>6312</v>
      </c>
      <c r="E2037" s="0" t="n">
        <v>0</v>
      </c>
      <c r="F2037" s="27" t="s">
        <v>1157</v>
      </c>
      <c r="I2037" s="27" t="s">
        <v>138</v>
      </c>
      <c r="L2037" s="0" t="n">
        <v>184</v>
      </c>
      <c r="U2037" s="0" t="n">
        <v>602</v>
      </c>
      <c r="V2037" s="0" t="n">
        <v>2</v>
      </c>
      <c r="W2037" s="27" t="n">
        <f aca="false">MATCH(A2037,DATAS,0)</f>
        <v>1</v>
      </c>
      <c r="X2037" s="27" t="n">
        <f aca="false">IF(AND(E2037&gt;0,OR(AND(B2037&gt;=1,B2037&lt;=6),B2037=10)),1,0)</f>
        <v>0</v>
      </c>
      <c r="Y2037" s="27" t="n">
        <f aca="false">IF(AND(E2037&gt;0,B2037=10),1,0)</f>
        <v>0</v>
      </c>
      <c r="Z2037" s="0" t="str">
        <f aca="false">IF(AND(C2036=C2037,W2036=W2037-1),X2036,"")</f>
        <v/>
      </c>
      <c r="AA2037" s="0" t="str">
        <f aca="false">IF(AND(C2036=C2037,W2036=W2037-1),Y2036,"")</f>
        <v/>
      </c>
      <c r="AB2037" s="0" t="str">
        <f aca="false">IF(W2037=1,"",IF(AND(X2037=1,Z2037&lt;&gt;1),1,0))</f>
        <v/>
      </c>
      <c r="AC2037" s="0" t="str">
        <f aca="false">IF(W2037=1,"",IF(AND(Y2037=1,AA2037&lt;&gt;1),1,0))</f>
        <v/>
      </c>
      <c r="AD2037" s="33" t="str">
        <f aca="false">IF(AND(E2037&gt;0,W2037&lt;1,NOT(AND(C2038=C2037,W2038=W2037+1))),INDEX(DATAS,W2037+1),"")</f>
        <v/>
      </c>
      <c r="AE2037" s="33" t="str">
        <f aca="false">IF(AND(Y2037=1,W2037&lt;1),IF(AND(C2038=C2037,W2038=W2037+1),IF(Y2038=1,"",INDEX(DATAS,W2037+1)),INDEX(DATAS,W2037+1)),"")</f>
        <v/>
      </c>
    </row>
    <row r="2038" customFormat="false" ht="15" hidden="false" customHeight="false" outlineLevel="0" collapsed="false">
      <c r="A2038" s="33" t="n">
        <v>46309</v>
      </c>
      <c r="B2038" s="0" t="n">
        <v>8</v>
      </c>
      <c r="C2038" s="0" t="n">
        <v>6314</v>
      </c>
      <c r="E2038" s="0" t="n">
        <v>0</v>
      </c>
      <c r="F2038" s="27" t="s">
        <v>1157</v>
      </c>
      <c r="I2038" s="27" t="s">
        <v>138</v>
      </c>
      <c r="L2038" s="0" t="n">
        <v>163</v>
      </c>
      <c r="U2038" s="0" t="n">
        <v>602</v>
      </c>
      <c r="V2038" s="0" t="n">
        <v>3</v>
      </c>
      <c r="W2038" s="27" t="n">
        <f aca="false">MATCH(A2038,DATAS,0)</f>
        <v>1</v>
      </c>
      <c r="X2038" s="27" t="n">
        <f aca="false">IF(AND(E2038&gt;0,OR(AND(B2038&gt;=1,B2038&lt;=6),B2038=10)),1,0)</f>
        <v>0</v>
      </c>
      <c r="Y2038" s="27" t="n">
        <f aca="false">IF(AND(E2038&gt;0,B2038=10),1,0)</f>
        <v>0</v>
      </c>
      <c r="Z2038" s="0" t="str">
        <f aca="false">IF(AND(C2037=C2038,W2037=W2038-1),X2037,"")</f>
        <v/>
      </c>
      <c r="AA2038" s="0" t="str">
        <f aca="false">IF(AND(C2037=C2038,W2037=W2038-1),Y2037,"")</f>
        <v/>
      </c>
      <c r="AB2038" s="0" t="str">
        <f aca="false">IF(W2038=1,"",IF(AND(X2038=1,Z2038&lt;&gt;1),1,0))</f>
        <v/>
      </c>
      <c r="AC2038" s="0" t="str">
        <f aca="false">IF(W2038=1,"",IF(AND(Y2038=1,AA2038&lt;&gt;1),1,0))</f>
        <v/>
      </c>
      <c r="AD2038" s="33" t="str">
        <f aca="false">IF(AND(E2038&gt;0,W2038&lt;1,NOT(AND(C2039=C2038,W2039=W2038+1))),INDEX(DATAS,W2038+1),"")</f>
        <v/>
      </c>
      <c r="AE2038" s="33" t="str">
        <f aca="false">IF(AND(Y2038=1,W2038&lt;1),IF(AND(C2039=C2038,W2039=W2038+1),IF(Y2039=1,"",INDEX(DATAS,W2038+1)),INDEX(DATAS,W2038+1)),"")</f>
        <v/>
      </c>
    </row>
    <row r="2039" customFormat="false" ht="15" hidden="false" customHeight="false" outlineLevel="0" collapsed="false">
      <c r="A2039" s="33" t="n">
        <v>46309</v>
      </c>
      <c r="B2039" s="0" t="n">
        <v>8</v>
      </c>
      <c r="C2039" s="0" t="n">
        <v>6315</v>
      </c>
      <c r="E2039" s="0" t="n">
        <v>0</v>
      </c>
      <c r="F2039" s="27" t="s">
        <v>1157</v>
      </c>
      <c r="I2039" s="27" t="s">
        <v>138</v>
      </c>
      <c r="L2039" s="0" t="n">
        <v>206</v>
      </c>
      <c r="U2039" s="0" t="n">
        <v>602</v>
      </c>
      <c r="V2039" s="0" t="n">
        <v>1</v>
      </c>
      <c r="W2039" s="27" t="n">
        <f aca="false">MATCH(A2039,DATAS,0)</f>
        <v>1</v>
      </c>
      <c r="X2039" s="27" t="n">
        <f aca="false">IF(AND(E2039&gt;0,OR(AND(B2039&gt;=1,B2039&lt;=6),B2039=10)),1,0)</f>
        <v>0</v>
      </c>
      <c r="Y2039" s="27" t="n">
        <f aca="false">IF(AND(E2039&gt;0,B2039=10),1,0)</f>
        <v>0</v>
      </c>
      <c r="Z2039" s="0" t="str">
        <f aca="false">IF(AND(C2038=C2039,W2038=W2039-1),X2038,"")</f>
        <v/>
      </c>
      <c r="AA2039" s="0" t="str">
        <f aca="false">IF(AND(C2038=C2039,W2038=W2039-1),Y2038,"")</f>
        <v/>
      </c>
      <c r="AB2039" s="0" t="str">
        <f aca="false">IF(W2039=1,"",IF(AND(X2039=1,Z2039&lt;&gt;1),1,0))</f>
        <v/>
      </c>
      <c r="AC2039" s="0" t="str">
        <f aca="false">IF(W2039=1,"",IF(AND(Y2039=1,AA2039&lt;&gt;1),1,0))</f>
        <v/>
      </c>
      <c r="AD2039" s="33" t="str">
        <f aca="false">IF(AND(E2039&gt;0,W2039&lt;1,NOT(AND(C2040=C2039,W2040=W2039+1))),INDEX(DATAS,W2039+1),"")</f>
        <v/>
      </c>
      <c r="AE2039" s="33" t="str">
        <f aca="false">IF(AND(Y2039=1,W2039&lt;1),IF(AND(C2040=C2039,W2040=W2039+1),IF(Y2040=1,"",INDEX(DATAS,W2039+1)),INDEX(DATAS,W2039+1)),"")</f>
        <v/>
      </c>
    </row>
    <row r="2040" customFormat="false" ht="15" hidden="false" customHeight="false" outlineLevel="0" collapsed="false">
      <c r="A2040" s="33" t="n">
        <v>46309</v>
      </c>
      <c r="B2040" s="0" t="n">
        <v>8</v>
      </c>
      <c r="C2040" s="0" t="n">
        <v>6316</v>
      </c>
      <c r="E2040" s="0" t="n">
        <v>0</v>
      </c>
      <c r="F2040" s="27" t="s">
        <v>1157</v>
      </c>
      <c r="I2040" s="27" t="s">
        <v>138</v>
      </c>
      <c r="L2040" s="0" t="n">
        <v>207</v>
      </c>
      <c r="U2040" s="0" t="n">
        <v>602</v>
      </c>
      <c r="V2040" s="0" t="n">
        <v>1</v>
      </c>
      <c r="W2040" s="27" t="n">
        <f aca="false">MATCH(A2040,DATAS,0)</f>
        <v>1</v>
      </c>
      <c r="X2040" s="27" t="n">
        <f aca="false">IF(AND(E2040&gt;0,OR(AND(B2040&gt;=1,B2040&lt;=6),B2040=10)),1,0)</f>
        <v>0</v>
      </c>
      <c r="Y2040" s="27" t="n">
        <f aca="false">IF(AND(E2040&gt;0,B2040=10),1,0)</f>
        <v>0</v>
      </c>
      <c r="Z2040" s="0" t="str">
        <f aca="false">IF(AND(C2039=C2040,W2039=W2040-1),X2039,"")</f>
        <v/>
      </c>
      <c r="AA2040" s="0" t="str">
        <f aca="false">IF(AND(C2039=C2040,W2039=W2040-1),Y2039,"")</f>
        <v/>
      </c>
      <c r="AB2040" s="0" t="str">
        <f aca="false">IF(W2040=1,"",IF(AND(X2040=1,Z2040&lt;&gt;1),1,0))</f>
        <v/>
      </c>
      <c r="AC2040" s="0" t="str">
        <f aca="false">IF(W2040=1,"",IF(AND(Y2040=1,AA2040&lt;&gt;1),1,0))</f>
        <v/>
      </c>
      <c r="AD2040" s="33" t="str">
        <f aca="false">IF(AND(E2040&gt;0,W2040&lt;1,NOT(AND(C2041=C2040,W2041=W2040+1))),INDEX(DATAS,W2040+1),"")</f>
        <v/>
      </c>
      <c r="AE2040" s="33" t="str">
        <f aca="false">IF(AND(Y2040=1,W2040&lt;1),IF(AND(C2041=C2040,W2041=W2040+1),IF(Y2041=1,"",INDEX(DATAS,W2040+1)),INDEX(DATAS,W2040+1)),"")</f>
        <v/>
      </c>
    </row>
    <row r="2041" customFormat="false" ht="15" hidden="false" customHeight="false" outlineLevel="0" collapsed="false">
      <c r="A2041" s="33" t="n">
        <v>46309</v>
      </c>
      <c r="B2041" s="0" t="n">
        <v>8</v>
      </c>
      <c r="C2041" s="0" t="n">
        <v>6317</v>
      </c>
      <c r="E2041" s="0" t="n">
        <v>0</v>
      </c>
      <c r="F2041" s="27" t="s">
        <v>1157</v>
      </c>
      <c r="I2041" s="27" t="s">
        <v>138</v>
      </c>
      <c r="L2041" s="0" t="n">
        <v>155</v>
      </c>
      <c r="U2041" s="0" t="n">
        <v>602</v>
      </c>
      <c r="V2041" s="0" t="n">
        <v>3</v>
      </c>
      <c r="W2041" s="27" t="n">
        <f aca="false">MATCH(A2041,DATAS,0)</f>
        <v>1</v>
      </c>
      <c r="X2041" s="27" t="n">
        <f aca="false">IF(AND(E2041&gt;0,OR(AND(B2041&gt;=1,B2041&lt;=6),B2041=10)),1,0)</f>
        <v>0</v>
      </c>
      <c r="Y2041" s="27" t="n">
        <f aca="false">IF(AND(E2041&gt;0,B2041=10),1,0)</f>
        <v>0</v>
      </c>
      <c r="Z2041" s="0" t="str">
        <f aca="false">IF(AND(C2040=C2041,W2040=W2041-1),X2040,"")</f>
        <v/>
      </c>
      <c r="AA2041" s="0" t="str">
        <f aca="false">IF(AND(C2040=C2041,W2040=W2041-1),Y2040,"")</f>
        <v/>
      </c>
      <c r="AB2041" s="0" t="str">
        <f aca="false">IF(W2041=1,"",IF(AND(X2041=1,Z2041&lt;&gt;1),1,0))</f>
        <v/>
      </c>
      <c r="AC2041" s="0" t="str">
        <f aca="false">IF(W2041=1,"",IF(AND(Y2041=1,AA2041&lt;&gt;1),1,0))</f>
        <v/>
      </c>
      <c r="AD2041" s="33" t="str">
        <f aca="false">IF(AND(E2041&gt;0,W2041&lt;1,NOT(AND(C2042=C2041,W2042=W2041+1))),INDEX(DATAS,W2041+1),"")</f>
        <v/>
      </c>
      <c r="AE2041" s="33" t="str">
        <f aca="false">IF(AND(Y2041=1,W2041&lt;1),IF(AND(C2042=C2041,W2042=W2041+1),IF(Y2042=1,"",INDEX(DATAS,W2041+1)),INDEX(DATAS,W2041+1)),"")</f>
        <v/>
      </c>
    </row>
    <row r="2042" customFormat="false" ht="15" hidden="false" customHeight="false" outlineLevel="0" collapsed="false">
      <c r="A2042" s="33" t="n">
        <v>46309</v>
      </c>
      <c r="B2042" s="0" t="n">
        <v>8</v>
      </c>
      <c r="C2042" s="0" t="n">
        <v>6318</v>
      </c>
      <c r="E2042" s="0" t="n">
        <v>0</v>
      </c>
      <c r="F2042" s="27" t="s">
        <v>1157</v>
      </c>
      <c r="I2042" s="27" t="s">
        <v>138</v>
      </c>
      <c r="L2042" s="0" t="n">
        <v>126</v>
      </c>
      <c r="U2042" s="0" t="n">
        <v>602</v>
      </c>
      <c r="V2042" s="0" t="n">
        <v>4</v>
      </c>
      <c r="W2042" s="27" t="n">
        <f aca="false">MATCH(A2042,DATAS,0)</f>
        <v>1</v>
      </c>
      <c r="X2042" s="27" t="n">
        <f aca="false">IF(AND(E2042&gt;0,OR(AND(B2042&gt;=1,B2042&lt;=6),B2042=10)),1,0)</f>
        <v>0</v>
      </c>
      <c r="Y2042" s="27" t="n">
        <f aca="false">IF(AND(E2042&gt;0,B2042=10),1,0)</f>
        <v>0</v>
      </c>
      <c r="Z2042" s="0" t="str">
        <f aca="false">IF(AND(C2041=C2042,W2041=W2042-1),X2041,"")</f>
        <v/>
      </c>
      <c r="AA2042" s="0" t="str">
        <f aca="false">IF(AND(C2041=C2042,W2041=W2042-1),Y2041,"")</f>
        <v/>
      </c>
      <c r="AB2042" s="0" t="str">
        <f aca="false">IF(W2042=1,"",IF(AND(X2042=1,Z2042&lt;&gt;1),1,0))</f>
        <v/>
      </c>
      <c r="AC2042" s="0" t="str">
        <f aca="false">IF(W2042=1,"",IF(AND(Y2042=1,AA2042&lt;&gt;1),1,0))</f>
        <v/>
      </c>
      <c r="AD2042" s="33" t="str">
        <f aca="false">IF(AND(E2042&gt;0,W2042&lt;1,NOT(AND(C2043=C2042,W2043=W2042+1))),INDEX(DATAS,W2042+1),"")</f>
        <v/>
      </c>
      <c r="AE2042" s="33" t="str">
        <f aca="false">IF(AND(Y2042=1,W2042&lt;1),IF(AND(C2043=C2042,W2043=W2042+1),IF(Y2043=1,"",INDEX(DATAS,W2042+1)),INDEX(DATAS,W2042+1)),"")</f>
        <v/>
      </c>
    </row>
    <row r="2043" customFormat="false" ht="15" hidden="false" customHeight="false" outlineLevel="0" collapsed="false">
      <c r="A2043" s="33" t="n">
        <v>46309</v>
      </c>
      <c r="B2043" s="0" t="n">
        <v>8</v>
      </c>
      <c r="C2043" s="0" t="n">
        <v>6319</v>
      </c>
      <c r="E2043" s="0" t="n">
        <v>0</v>
      </c>
      <c r="F2043" s="27" t="s">
        <v>1157</v>
      </c>
      <c r="I2043" s="27" t="s">
        <v>138</v>
      </c>
      <c r="L2043" s="0" t="n">
        <v>169</v>
      </c>
      <c r="U2043" s="0" t="n">
        <v>602</v>
      </c>
      <c r="V2043" s="0" t="n">
        <v>2</v>
      </c>
      <c r="W2043" s="27" t="n">
        <f aca="false">MATCH(A2043,DATAS,0)</f>
        <v>1</v>
      </c>
      <c r="X2043" s="27" t="n">
        <f aca="false">IF(AND(E2043&gt;0,OR(AND(B2043&gt;=1,B2043&lt;=6),B2043=10)),1,0)</f>
        <v>0</v>
      </c>
      <c r="Y2043" s="27" t="n">
        <f aca="false">IF(AND(E2043&gt;0,B2043=10),1,0)</f>
        <v>0</v>
      </c>
      <c r="Z2043" s="0" t="str">
        <f aca="false">IF(AND(C2042=C2043,W2042=W2043-1),X2042,"")</f>
        <v/>
      </c>
      <c r="AA2043" s="0" t="str">
        <f aca="false">IF(AND(C2042=C2043,W2042=W2043-1),Y2042,"")</f>
        <v/>
      </c>
      <c r="AB2043" s="0" t="str">
        <f aca="false">IF(W2043=1,"",IF(AND(X2043=1,Z2043&lt;&gt;1),1,0))</f>
        <v/>
      </c>
      <c r="AC2043" s="0" t="str">
        <f aca="false">IF(W2043=1,"",IF(AND(Y2043=1,AA2043&lt;&gt;1),1,0))</f>
        <v/>
      </c>
      <c r="AD2043" s="33" t="str">
        <f aca="false">IF(AND(E2043&gt;0,W2043&lt;1,NOT(AND(C2044=C2043,W2044=W2043+1))),INDEX(DATAS,W2043+1),"")</f>
        <v/>
      </c>
      <c r="AE2043" s="33" t="str">
        <f aca="false">IF(AND(Y2043=1,W2043&lt;1),IF(AND(C2044=C2043,W2044=W2043+1),IF(Y2044=1,"",INDEX(DATAS,W2043+1)),INDEX(DATAS,W2043+1)),"")</f>
        <v/>
      </c>
    </row>
    <row r="2044" customFormat="false" ht="15" hidden="false" customHeight="false" outlineLevel="0" collapsed="false">
      <c r="A2044" s="33" t="n">
        <v>46309</v>
      </c>
      <c r="B2044" s="0" t="n">
        <v>8</v>
      </c>
      <c r="C2044" s="0" t="n">
        <v>6320</v>
      </c>
      <c r="E2044" s="0" t="n">
        <v>0</v>
      </c>
      <c r="F2044" s="27" t="s">
        <v>1157</v>
      </c>
      <c r="I2044" s="27" t="s">
        <v>138</v>
      </c>
      <c r="L2044" s="0" t="n">
        <v>192</v>
      </c>
      <c r="U2044" s="0" t="n">
        <v>602</v>
      </c>
      <c r="V2044" s="0" t="n">
        <v>1</v>
      </c>
      <c r="W2044" s="27" t="n">
        <f aca="false">MATCH(A2044,DATAS,0)</f>
        <v>1</v>
      </c>
      <c r="X2044" s="27" t="n">
        <f aca="false">IF(AND(E2044&gt;0,OR(AND(B2044&gt;=1,B2044&lt;=6),B2044=10)),1,0)</f>
        <v>0</v>
      </c>
      <c r="Y2044" s="27" t="n">
        <f aca="false">IF(AND(E2044&gt;0,B2044=10),1,0)</f>
        <v>0</v>
      </c>
      <c r="Z2044" s="0" t="str">
        <f aca="false">IF(AND(C2043=C2044,W2043=W2044-1),X2043,"")</f>
        <v/>
      </c>
      <c r="AA2044" s="0" t="str">
        <f aca="false">IF(AND(C2043=C2044,W2043=W2044-1),Y2043,"")</f>
        <v/>
      </c>
      <c r="AB2044" s="0" t="str">
        <f aca="false">IF(W2044=1,"",IF(AND(X2044=1,Z2044&lt;&gt;1),1,0))</f>
        <v/>
      </c>
      <c r="AC2044" s="0" t="str">
        <f aca="false">IF(W2044=1,"",IF(AND(Y2044=1,AA2044&lt;&gt;1),1,0))</f>
        <v/>
      </c>
      <c r="AD2044" s="33" t="str">
        <f aca="false">IF(AND(E2044&gt;0,W2044&lt;1,NOT(AND(C2045=C2044,W2045=W2044+1))),INDEX(DATAS,W2044+1),"")</f>
        <v/>
      </c>
      <c r="AE2044" s="33" t="str">
        <f aca="false">IF(AND(Y2044=1,W2044&lt;1),IF(AND(C2045=C2044,W2045=W2044+1),IF(Y2045=1,"",INDEX(DATAS,W2044+1)),INDEX(DATAS,W2044+1)),"")</f>
        <v/>
      </c>
    </row>
    <row r="2045" customFormat="false" ht="15" hidden="false" customHeight="false" outlineLevel="0" collapsed="false">
      <c r="A2045" s="33" t="n">
        <v>46309</v>
      </c>
      <c r="B2045" s="0" t="n">
        <v>8</v>
      </c>
      <c r="C2045" s="0" t="n">
        <v>6322</v>
      </c>
      <c r="E2045" s="0" t="n">
        <v>0</v>
      </c>
      <c r="F2045" s="27" t="s">
        <v>1157</v>
      </c>
      <c r="I2045" s="27" t="s">
        <v>138</v>
      </c>
      <c r="L2045" s="0" t="n">
        <v>210</v>
      </c>
      <c r="U2045" s="0" t="n">
        <v>602</v>
      </c>
      <c r="V2045" s="0" t="n">
        <v>1</v>
      </c>
      <c r="W2045" s="27" t="n">
        <f aca="false">MATCH(A2045,DATAS,0)</f>
        <v>1</v>
      </c>
      <c r="X2045" s="27" t="n">
        <f aca="false">IF(AND(E2045&gt;0,OR(AND(B2045&gt;=1,B2045&lt;=6),B2045=10)),1,0)</f>
        <v>0</v>
      </c>
      <c r="Y2045" s="27" t="n">
        <f aca="false">IF(AND(E2045&gt;0,B2045=10),1,0)</f>
        <v>0</v>
      </c>
      <c r="Z2045" s="0" t="str">
        <f aca="false">IF(AND(C2044=C2045,W2044=W2045-1),X2044,"")</f>
        <v/>
      </c>
      <c r="AA2045" s="0" t="str">
        <f aca="false">IF(AND(C2044=C2045,W2044=W2045-1),Y2044,"")</f>
        <v/>
      </c>
      <c r="AB2045" s="0" t="str">
        <f aca="false">IF(W2045=1,"",IF(AND(X2045=1,Z2045&lt;&gt;1),1,0))</f>
        <v/>
      </c>
      <c r="AC2045" s="0" t="str">
        <f aca="false">IF(W2045=1,"",IF(AND(Y2045=1,AA2045&lt;&gt;1),1,0))</f>
        <v/>
      </c>
      <c r="AD2045" s="33" t="str">
        <f aca="false">IF(AND(E2045&gt;0,W2045&lt;1,NOT(AND(C2046=C2045,W2046=W2045+1))),INDEX(DATAS,W2045+1),"")</f>
        <v/>
      </c>
      <c r="AE2045" s="33" t="str">
        <f aca="false">IF(AND(Y2045=1,W2045&lt;1),IF(AND(C2046=C2045,W2046=W2045+1),IF(Y2046=1,"",INDEX(DATAS,W2045+1)),INDEX(DATAS,W2045+1)),"")</f>
        <v/>
      </c>
    </row>
    <row r="2046" customFormat="false" ht="15" hidden="false" customHeight="false" outlineLevel="0" collapsed="false">
      <c r="A2046" s="33" t="n">
        <v>46309</v>
      </c>
      <c r="B2046" s="0" t="n">
        <v>8</v>
      </c>
      <c r="C2046" s="0" t="n">
        <v>6324</v>
      </c>
      <c r="E2046" s="0" t="n">
        <v>0</v>
      </c>
      <c r="F2046" s="27" t="s">
        <v>1158</v>
      </c>
      <c r="I2046" s="27" t="s">
        <v>138</v>
      </c>
      <c r="L2046" s="0" t="n">
        <v>204</v>
      </c>
      <c r="U2046" s="0" t="n">
        <v>600</v>
      </c>
      <c r="V2046" s="0" t="n">
        <v>1</v>
      </c>
      <c r="W2046" s="27" t="n">
        <f aca="false">MATCH(A2046,DATAS,0)</f>
        <v>1</v>
      </c>
      <c r="X2046" s="27" t="n">
        <f aca="false">IF(AND(E2046&gt;0,OR(AND(B2046&gt;=1,B2046&lt;=6),B2046=10)),1,0)</f>
        <v>0</v>
      </c>
      <c r="Y2046" s="27" t="n">
        <f aca="false">IF(AND(E2046&gt;0,B2046=10),1,0)</f>
        <v>0</v>
      </c>
      <c r="Z2046" s="0" t="str">
        <f aca="false">IF(AND(C2045=C2046,W2045=W2046-1),X2045,"")</f>
        <v/>
      </c>
      <c r="AA2046" s="0" t="str">
        <f aca="false">IF(AND(C2045=C2046,W2045=W2046-1),Y2045,"")</f>
        <v/>
      </c>
      <c r="AB2046" s="0" t="str">
        <f aca="false">IF(W2046=1,"",IF(AND(X2046=1,Z2046&lt;&gt;1),1,0))</f>
        <v/>
      </c>
      <c r="AC2046" s="0" t="str">
        <f aca="false">IF(W2046=1,"",IF(AND(Y2046=1,AA2046&lt;&gt;1),1,0))</f>
        <v/>
      </c>
      <c r="AD2046" s="33" t="str">
        <f aca="false">IF(AND(E2046&gt;0,W2046&lt;1,NOT(AND(C2047=C2046,W2047=W2046+1))),INDEX(DATAS,W2046+1),"")</f>
        <v/>
      </c>
      <c r="AE2046" s="33" t="str">
        <f aca="false">IF(AND(Y2046=1,W2046&lt;1),IF(AND(C2047=C2046,W2047=W2046+1),IF(Y2047=1,"",INDEX(DATAS,W2046+1)),INDEX(DATAS,W2046+1)),"")</f>
        <v/>
      </c>
    </row>
    <row r="2047" customFormat="false" ht="15" hidden="false" customHeight="false" outlineLevel="0" collapsed="false">
      <c r="A2047" s="33" t="n">
        <v>46309</v>
      </c>
      <c r="B2047" s="0" t="n">
        <v>8</v>
      </c>
      <c r="C2047" s="0" t="n">
        <v>6325</v>
      </c>
      <c r="E2047" s="0" t="n">
        <v>0</v>
      </c>
      <c r="F2047" s="27" t="s">
        <v>1158</v>
      </c>
      <c r="I2047" s="27" t="s">
        <v>138</v>
      </c>
      <c r="L2047" s="0" t="n">
        <v>161</v>
      </c>
      <c r="U2047" s="0" t="n">
        <v>600</v>
      </c>
      <c r="V2047" s="0" t="n">
        <v>1</v>
      </c>
      <c r="W2047" s="27" t="n">
        <f aca="false">MATCH(A2047,DATAS,0)</f>
        <v>1</v>
      </c>
      <c r="X2047" s="27" t="n">
        <f aca="false">IF(AND(E2047&gt;0,OR(AND(B2047&gt;=1,B2047&lt;=6),B2047=10)),1,0)</f>
        <v>0</v>
      </c>
      <c r="Y2047" s="27" t="n">
        <f aca="false">IF(AND(E2047&gt;0,B2047=10),1,0)</f>
        <v>0</v>
      </c>
      <c r="Z2047" s="0" t="str">
        <f aca="false">IF(AND(C2046=C2047,W2046=W2047-1),X2046,"")</f>
        <v/>
      </c>
      <c r="AA2047" s="0" t="str">
        <f aca="false">IF(AND(C2046=C2047,W2046=W2047-1),Y2046,"")</f>
        <v/>
      </c>
      <c r="AB2047" s="0" t="str">
        <f aca="false">IF(W2047=1,"",IF(AND(X2047=1,Z2047&lt;&gt;1),1,0))</f>
        <v/>
      </c>
      <c r="AC2047" s="0" t="str">
        <f aca="false">IF(W2047=1,"",IF(AND(Y2047=1,AA2047&lt;&gt;1),1,0))</f>
        <v/>
      </c>
      <c r="AD2047" s="33" t="str">
        <f aca="false">IF(AND(E2047&gt;0,W2047&lt;1,NOT(AND(C2048=C2047,W2048=W2047+1))),INDEX(DATAS,W2047+1),"")</f>
        <v/>
      </c>
      <c r="AE2047" s="33" t="str">
        <f aca="false">IF(AND(Y2047=1,W2047&lt;1),IF(AND(C2048=C2047,W2048=W2047+1),IF(Y2048=1,"",INDEX(DATAS,W2047+1)),INDEX(DATAS,W2047+1)),"")</f>
        <v/>
      </c>
    </row>
    <row r="2048" customFormat="false" ht="15" hidden="false" customHeight="false" outlineLevel="0" collapsed="false">
      <c r="A2048" s="33" t="n">
        <v>46309</v>
      </c>
      <c r="B2048" s="0" t="n">
        <v>8</v>
      </c>
      <c r="C2048" s="0" t="n">
        <v>6326</v>
      </c>
      <c r="E2048" s="0" t="n">
        <v>0</v>
      </c>
      <c r="F2048" s="27" t="s">
        <v>1158</v>
      </c>
      <c r="I2048" s="27" t="s">
        <v>138</v>
      </c>
      <c r="L2048" s="0" t="n">
        <v>201</v>
      </c>
      <c r="U2048" s="0" t="n">
        <v>600</v>
      </c>
      <c r="V2048" s="0" t="n">
        <v>1</v>
      </c>
      <c r="W2048" s="27" t="n">
        <f aca="false">MATCH(A2048,DATAS,0)</f>
        <v>1</v>
      </c>
      <c r="X2048" s="27" t="n">
        <f aca="false">IF(AND(E2048&gt;0,OR(AND(B2048&gt;=1,B2048&lt;=6),B2048=10)),1,0)</f>
        <v>0</v>
      </c>
      <c r="Y2048" s="27" t="n">
        <f aca="false">IF(AND(E2048&gt;0,B2048=10),1,0)</f>
        <v>0</v>
      </c>
      <c r="Z2048" s="0" t="str">
        <f aca="false">IF(AND(C2047=C2048,W2047=W2048-1),X2047,"")</f>
        <v/>
      </c>
      <c r="AA2048" s="0" t="str">
        <f aca="false">IF(AND(C2047=C2048,W2047=W2048-1),Y2047,"")</f>
        <v/>
      </c>
      <c r="AB2048" s="0" t="str">
        <f aca="false">IF(W2048=1,"",IF(AND(X2048=1,Z2048&lt;&gt;1),1,0))</f>
        <v/>
      </c>
      <c r="AC2048" s="0" t="str">
        <f aca="false">IF(W2048=1,"",IF(AND(Y2048=1,AA2048&lt;&gt;1),1,0))</f>
        <v/>
      </c>
      <c r="AD2048" s="33" t="str">
        <f aca="false">IF(AND(E2048&gt;0,W2048&lt;1,NOT(AND(C2049=C2048,W2049=W2048+1))),INDEX(DATAS,W2048+1),"")</f>
        <v/>
      </c>
      <c r="AE2048" s="33" t="str">
        <f aca="false">IF(AND(Y2048=1,W2048&lt;1),IF(AND(C2049=C2048,W2049=W2048+1),IF(Y2049=1,"",INDEX(DATAS,W2048+1)),INDEX(DATAS,W2048+1)),"")</f>
        <v/>
      </c>
    </row>
    <row r="2049" customFormat="false" ht="15" hidden="false" customHeight="false" outlineLevel="0" collapsed="false">
      <c r="A2049" s="33" t="n">
        <v>46309</v>
      </c>
      <c r="B2049" s="0" t="n">
        <v>8</v>
      </c>
      <c r="C2049" s="0" t="n">
        <v>6327</v>
      </c>
      <c r="E2049" s="0" t="n">
        <v>0</v>
      </c>
      <c r="F2049" s="27" t="s">
        <v>1159</v>
      </c>
      <c r="I2049" s="27" t="s">
        <v>138</v>
      </c>
      <c r="L2049" s="0" t="n">
        <v>119</v>
      </c>
      <c r="U2049" s="0" t="n">
        <v>597</v>
      </c>
      <c r="V2049" s="0" t="n">
        <v>2</v>
      </c>
      <c r="W2049" s="27" t="n">
        <f aca="false">MATCH(A2049,DATAS,0)</f>
        <v>1</v>
      </c>
      <c r="X2049" s="27" t="n">
        <f aca="false">IF(AND(E2049&gt;0,OR(AND(B2049&gt;=1,B2049&lt;=6),B2049=10)),1,0)</f>
        <v>0</v>
      </c>
      <c r="Y2049" s="27" t="n">
        <f aca="false">IF(AND(E2049&gt;0,B2049=10),1,0)</f>
        <v>0</v>
      </c>
      <c r="Z2049" s="0" t="str">
        <f aca="false">IF(AND(C2048=C2049,W2048=W2049-1),X2048,"")</f>
        <v/>
      </c>
      <c r="AA2049" s="0" t="str">
        <f aca="false">IF(AND(C2048=C2049,W2048=W2049-1),Y2048,"")</f>
        <v/>
      </c>
      <c r="AB2049" s="0" t="str">
        <f aca="false">IF(W2049=1,"",IF(AND(X2049=1,Z2049&lt;&gt;1),1,0))</f>
        <v/>
      </c>
      <c r="AC2049" s="0" t="str">
        <f aca="false">IF(W2049=1,"",IF(AND(Y2049=1,AA2049&lt;&gt;1),1,0))</f>
        <v/>
      </c>
      <c r="AD2049" s="33" t="str">
        <f aca="false">IF(AND(E2049&gt;0,W2049&lt;1,NOT(AND(C2050=C2049,W2050=W2049+1))),INDEX(DATAS,W2049+1),"")</f>
        <v/>
      </c>
      <c r="AE2049" s="33" t="str">
        <f aca="false">IF(AND(Y2049=1,W2049&lt;1),IF(AND(C2050=C2049,W2050=W2049+1),IF(Y2050=1,"",INDEX(DATAS,W2049+1)),INDEX(DATAS,W2049+1)),"")</f>
        <v/>
      </c>
    </row>
    <row r="2050" customFormat="false" ht="15" hidden="false" customHeight="false" outlineLevel="0" collapsed="false">
      <c r="A2050" s="33" t="n">
        <v>46309</v>
      </c>
      <c r="B2050" s="0" t="n">
        <v>8</v>
      </c>
      <c r="C2050" s="0" t="n">
        <v>6328</v>
      </c>
      <c r="E2050" s="0" t="n">
        <v>0</v>
      </c>
      <c r="F2050" s="27" t="s">
        <v>1159</v>
      </c>
      <c r="I2050" s="27" t="s">
        <v>138</v>
      </c>
      <c r="L2050" s="0" t="n">
        <v>206</v>
      </c>
      <c r="U2050" s="0" t="n">
        <v>597</v>
      </c>
      <c r="V2050" s="0" t="n">
        <v>1</v>
      </c>
      <c r="W2050" s="27" t="n">
        <f aca="false">MATCH(A2050,DATAS,0)</f>
        <v>1</v>
      </c>
      <c r="X2050" s="27" t="n">
        <f aca="false">IF(AND(E2050&gt;0,OR(AND(B2050&gt;=1,B2050&lt;=6),B2050=10)),1,0)</f>
        <v>0</v>
      </c>
      <c r="Y2050" s="27" t="n">
        <f aca="false">IF(AND(E2050&gt;0,B2050=10),1,0)</f>
        <v>0</v>
      </c>
      <c r="Z2050" s="0" t="str">
        <f aca="false">IF(AND(C2049=C2050,W2049=W2050-1),X2049,"")</f>
        <v/>
      </c>
      <c r="AA2050" s="0" t="str">
        <f aca="false">IF(AND(C2049=C2050,W2049=W2050-1),Y2049,"")</f>
        <v/>
      </c>
      <c r="AB2050" s="0" t="str">
        <f aca="false">IF(W2050=1,"",IF(AND(X2050=1,Z2050&lt;&gt;1),1,0))</f>
        <v/>
      </c>
      <c r="AC2050" s="0" t="str">
        <f aca="false">IF(W2050=1,"",IF(AND(Y2050=1,AA2050&lt;&gt;1),1,0))</f>
        <v/>
      </c>
      <c r="AD2050" s="33" t="str">
        <f aca="false">IF(AND(E2050&gt;0,W2050&lt;1,NOT(AND(C2051=C2050,W2051=W2050+1))),INDEX(DATAS,W2050+1),"")</f>
        <v/>
      </c>
      <c r="AE2050" s="33" t="str">
        <f aca="false">IF(AND(Y2050=1,W2050&lt;1),IF(AND(C2051=C2050,W2051=W2050+1),IF(Y2051=1,"",INDEX(DATAS,W2050+1)),INDEX(DATAS,W2050+1)),"")</f>
        <v/>
      </c>
    </row>
    <row r="2051" customFormat="false" ht="15" hidden="false" customHeight="false" outlineLevel="0" collapsed="false">
      <c r="A2051" s="33" t="n">
        <v>46309</v>
      </c>
      <c r="B2051" s="0" t="n">
        <v>8</v>
      </c>
      <c r="C2051" s="0" t="n">
        <v>6329</v>
      </c>
      <c r="E2051" s="0" t="n">
        <v>0</v>
      </c>
      <c r="F2051" s="27" t="s">
        <v>1159</v>
      </c>
      <c r="I2051" s="27" t="s">
        <v>138</v>
      </c>
      <c r="L2051" s="0" t="n">
        <v>51</v>
      </c>
      <c r="U2051" s="0" t="n">
        <v>597</v>
      </c>
      <c r="V2051" s="0" t="n">
        <v>7</v>
      </c>
      <c r="W2051" s="27" t="n">
        <f aca="false">MATCH(A2051,DATAS,0)</f>
        <v>1</v>
      </c>
      <c r="X2051" s="27" t="n">
        <f aca="false">IF(AND(E2051&gt;0,OR(AND(B2051&gt;=1,B2051&lt;=6),B2051=10)),1,0)</f>
        <v>0</v>
      </c>
      <c r="Y2051" s="27" t="n">
        <f aca="false">IF(AND(E2051&gt;0,B2051=10),1,0)</f>
        <v>0</v>
      </c>
      <c r="Z2051" s="0" t="str">
        <f aca="false">IF(AND(C2050=C2051,W2050=W2051-1),X2050,"")</f>
        <v/>
      </c>
      <c r="AA2051" s="0" t="str">
        <f aca="false">IF(AND(C2050=C2051,W2050=W2051-1),Y2050,"")</f>
        <v/>
      </c>
      <c r="AB2051" s="0" t="str">
        <f aca="false">IF(W2051=1,"",IF(AND(X2051=1,Z2051&lt;&gt;1),1,0))</f>
        <v/>
      </c>
      <c r="AC2051" s="0" t="str">
        <f aca="false">IF(W2051=1,"",IF(AND(Y2051=1,AA2051&lt;&gt;1),1,0))</f>
        <v/>
      </c>
      <c r="AD2051" s="33" t="str">
        <f aca="false">IF(AND(E2051&gt;0,W2051&lt;1,NOT(AND(C2052=C2051,W2052=W2051+1))),INDEX(DATAS,W2051+1),"")</f>
        <v/>
      </c>
      <c r="AE2051" s="33" t="str">
        <f aca="false">IF(AND(Y2051=1,W2051&lt;1),IF(AND(C2052=C2051,W2052=W2051+1),IF(Y2052=1,"",INDEX(DATAS,W2051+1)),INDEX(DATAS,W2051+1)),"")</f>
        <v/>
      </c>
    </row>
    <row r="2052" customFormat="false" ht="15" hidden="false" customHeight="false" outlineLevel="0" collapsed="false">
      <c r="A2052" s="33" t="n">
        <v>46309</v>
      </c>
      <c r="B2052" s="0" t="n">
        <v>8</v>
      </c>
      <c r="C2052" s="0" t="n">
        <v>6330</v>
      </c>
      <c r="E2052" s="0" t="n">
        <v>0</v>
      </c>
      <c r="F2052" s="27" t="s">
        <v>1159</v>
      </c>
      <c r="I2052" s="27" t="s">
        <v>138</v>
      </c>
      <c r="L2052" s="0" t="n">
        <v>119</v>
      </c>
      <c r="U2052" s="0" t="n">
        <v>597</v>
      </c>
      <c r="V2052" s="0" t="n">
        <v>3</v>
      </c>
      <c r="W2052" s="27" t="n">
        <f aca="false">MATCH(A2052,DATAS,0)</f>
        <v>1</v>
      </c>
      <c r="X2052" s="27" t="n">
        <f aca="false">IF(AND(E2052&gt;0,OR(AND(B2052&gt;=1,B2052&lt;=6),B2052=10)),1,0)</f>
        <v>0</v>
      </c>
      <c r="Y2052" s="27" t="n">
        <f aca="false">IF(AND(E2052&gt;0,B2052=10),1,0)</f>
        <v>0</v>
      </c>
      <c r="Z2052" s="0" t="str">
        <f aca="false">IF(AND(C2051=C2052,W2051=W2052-1),X2051,"")</f>
        <v/>
      </c>
      <c r="AA2052" s="0" t="str">
        <f aca="false">IF(AND(C2051=C2052,W2051=W2052-1),Y2051,"")</f>
        <v/>
      </c>
      <c r="AB2052" s="0" t="str">
        <f aca="false">IF(W2052=1,"",IF(AND(X2052=1,Z2052&lt;&gt;1),1,0))</f>
        <v/>
      </c>
      <c r="AC2052" s="0" t="str">
        <f aca="false">IF(W2052=1,"",IF(AND(Y2052=1,AA2052&lt;&gt;1),1,0))</f>
        <v/>
      </c>
      <c r="AD2052" s="33" t="str">
        <f aca="false">IF(AND(E2052&gt;0,W2052&lt;1,NOT(AND(C2053=C2052,W2053=W2052+1))),INDEX(DATAS,W2052+1),"")</f>
        <v/>
      </c>
      <c r="AE2052" s="33" t="str">
        <f aca="false">IF(AND(Y2052=1,W2052&lt;1),IF(AND(C2053=C2052,W2053=W2052+1),IF(Y2053=1,"",INDEX(DATAS,W2052+1)),INDEX(DATAS,W2052+1)),"")</f>
        <v/>
      </c>
    </row>
    <row r="2053" customFormat="false" ht="15" hidden="false" customHeight="false" outlineLevel="0" collapsed="false">
      <c r="A2053" s="33" t="n">
        <v>46309</v>
      </c>
      <c r="B2053" s="0" t="n">
        <v>8</v>
      </c>
      <c r="C2053" s="0" t="n">
        <v>6331</v>
      </c>
      <c r="E2053" s="0" t="n">
        <v>0</v>
      </c>
      <c r="F2053" s="27" t="s">
        <v>1160</v>
      </c>
      <c r="I2053" s="27" t="s">
        <v>138</v>
      </c>
      <c r="L2053" s="0" t="n">
        <v>203</v>
      </c>
      <c r="U2053" s="0" t="n">
        <v>596</v>
      </c>
      <c r="V2053" s="0" t="n">
        <v>1</v>
      </c>
      <c r="W2053" s="27" t="n">
        <f aca="false">MATCH(A2053,DATAS,0)</f>
        <v>1</v>
      </c>
      <c r="X2053" s="27" t="n">
        <f aca="false">IF(AND(E2053&gt;0,OR(AND(B2053&gt;=1,B2053&lt;=6),B2053=10)),1,0)</f>
        <v>0</v>
      </c>
      <c r="Y2053" s="27" t="n">
        <f aca="false">IF(AND(E2053&gt;0,B2053=10),1,0)</f>
        <v>0</v>
      </c>
      <c r="Z2053" s="0" t="str">
        <f aca="false">IF(AND(C2052=C2053,W2052=W2053-1),X2052,"")</f>
        <v/>
      </c>
      <c r="AA2053" s="0" t="str">
        <f aca="false">IF(AND(C2052=C2053,W2052=W2053-1),Y2052,"")</f>
        <v/>
      </c>
      <c r="AB2053" s="0" t="str">
        <f aca="false">IF(W2053=1,"",IF(AND(X2053=1,Z2053&lt;&gt;1),1,0))</f>
        <v/>
      </c>
      <c r="AC2053" s="0" t="str">
        <f aca="false">IF(W2053=1,"",IF(AND(Y2053=1,AA2053&lt;&gt;1),1,0))</f>
        <v/>
      </c>
      <c r="AD2053" s="33" t="str">
        <f aca="false">IF(AND(E2053&gt;0,W2053&lt;1,NOT(AND(C2054=C2053,W2054=W2053+1))),INDEX(DATAS,W2053+1),"")</f>
        <v/>
      </c>
      <c r="AE2053" s="33" t="str">
        <f aca="false">IF(AND(Y2053=1,W2053&lt;1),IF(AND(C2054=C2053,W2054=W2053+1),IF(Y2054=1,"",INDEX(DATAS,W2053+1)),INDEX(DATAS,W2053+1)),"")</f>
        <v/>
      </c>
    </row>
    <row r="2054" customFormat="false" ht="15" hidden="false" customHeight="false" outlineLevel="0" collapsed="false">
      <c r="A2054" s="33" t="n">
        <v>46309</v>
      </c>
      <c r="B2054" s="0" t="n">
        <v>8</v>
      </c>
      <c r="C2054" s="0" t="n">
        <v>6332</v>
      </c>
      <c r="E2054" s="0" t="n">
        <v>0</v>
      </c>
      <c r="F2054" s="27" t="s">
        <v>1160</v>
      </c>
      <c r="I2054" s="27" t="s">
        <v>138</v>
      </c>
      <c r="L2054" s="0" t="n">
        <v>155</v>
      </c>
      <c r="U2054" s="0" t="n">
        <v>596</v>
      </c>
      <c r="V2054" s="0" t="n">
        <v>2</v>
      </c>
      <c r="W2054" s="27" t="n">
        <f aca="false">MATCH(A2054,DATAS,0)</f>
        <v>1</v>
      </c>
      <c r="X2054" s="27" t="n">
        <f aca="false">IF(AND(E2054&gt;0,OR(AND(B2054&gt;=1,B2054&lt;=6),B2054=10)),1,0)</f>
        <v>0</v>
      </c>
      <c r="Y2054" s="27" t="n">
        <f aca="false">IF(AND(E2054&gt;0,B2054=10),1,0)</f>
        <v>0</v>
      </c>
      <c r="Z2054" s="0" t="str">
        <f aca="false">IF(AND(C2053=C2054,W2053=W2054-1),X2053,"")</f>
        <v/>
      </c>
      <c r="AA2054" s="0" t="str">
        <f aca="false">IF(AND(C2053=C2054,W2053=W2054-1),Y2053,"")</f>
        <v/>
      </c>
      <c r="AB2054" s="0" t="str">
        <f aca="false">IF(W2054=1,"",IF(AND(X2054=1,Z2054&lt;&gt;1),1,0))</f>
        <v/>
      </c>
      <c r="AC2054" s="0" t="str">
        <f aca="false">IF(W2054=1,"",IF(AND(Y2054=1,AA2054&lt;&gt;1),1,0))</f>
        <v/>
      </c>
      <c r="AD2054" s="33" t="str">
        <f aca="false">IF(AND(E2054&gt;0,W2054&lt;1,NOT(AND(C2055=C2054,W2055=W2054+1))),INDEX(DATAS,W2054+1),"")</f>
        <v/>
      </c>
      <c r="AE2054" s="33" t="str">
        <f aca="false">IF(AND(Y2054=1,W2054&lt;1),IF(AND(C2055=C2054,W2055=W2054+1),IF(Y2055=1,"",INDEX(DATAS,W2054+1)),INDEX(DATAS,W2054+1)),"")</f>
        <v/>
      </c>
    </row>
    <row r="2055" customFormat="false" ht="15" hidden="false" customHeight="false" outlineLevel="0" collapsed="false">
      <c r="A2055" s="33" t="n">
        <v>46309</v>
      </c>
      <c r="B2055" s="0" t="n">
        <v>8</v>
      </c>
      <c r="C2055" s="0" t="n">
        <v>6333</v>
      </c>
      <c r="E2055" s="0" t="n">
        <v>0</v>
      </c>
      <c r="F2055" s="27" t="s">
        <v>1160</v>
      </c>
      <c r="I2055" s="27" t="s">
        <v>138</v>
      </c>
      <c r="L2055" s="0" t="n">
        <v>175</v>
      </c>
      <c r="U2055" s="0" t="n">
        <v>596</v>
      </c>
      <c r="V2055" s="0" t="n">
        <v>2</v>
      </c>
      <c r="W2055" s="27" t="n">
        <f aca="false">MATCH(A2055,DATAS,0)</f>
        <v>1</v>
      </c>
      <c r="X2055" s="27" t="n">
        <f aca="false">IF(AND(E2055&gt;0,OR(AND(B2055&gt;=1,B2055&lt;=6),B2055=10)),1,0)</f>
        <v>0</v>
      </c>
      <c r="Y2055" s="27" t="n">
        <f aca="false">IF(AND(E2055&gt;0,B2055=10),1,0)</f>
        <v>0</v>
      </c>
      <c r="Z2055" s="0" t="str">
        <f aca="false">IF(AND(C2054=C2055,W2054=W2055-1),X2054,"")</f>
        <v/>
      </c>
      <c r="AA2055" s="0" t="str">
        <f aca="false">IF(AND(C2054=C2055,W2054=W2055-1),Y2054,"")</f>
        <v/>
      </c>
      <c r="AB2055" s="0" t="str">
        <f aca="false">IF(W2055=1,"",IF(AND(X2055=1,Z2055&lt;&gt;1),1,0))</f>
        <v/>
      </c>
      <c r="AC2055" s="0" t="str">
        <f aca="false">IF(W2055=1,"",IF(AND(Y2055=1,AA2055&lt;&gt;1),1,0))</f>
        <v/>
      </c>
      <c r="AD2055" s="33" t="str">
        <f aca="false">IF(AND(E2055&gt;0,W2055&lt;1,NOT(AND(C2056=C2055,W2056=W2055+1))),INDEX(DATAS,W2055+1),"")</f>
        <v/>
      </c>
      <c r="AE2055" s="33" t="str">
        <f aca="false">IF(AND(Y2055=1,W2055&lt;1),IF(AND(C2056=C2055,W2056=W2055+1),IF(Y2056=1,"",INDEX(DATAS,W2055+1)),INDEX(DATAS,W2055+1)),"")</f>
        <v/>
      </c>
    </row>
    <row r="2056" customFormat="false" ht="15" hidden="false" customHeight="false" outlineLevel="0" collapsed="false">
      <c r="A2056" s="33" t="n">
        <v>46309</v>
      </c>
      <c r="B2056" s="0" t="n">
        <v>8</v>
      </c>
      <c r="C2056" s="0" t="n">
        <v>6334</v>
      </c>
      <c r="E2056" s="0" t="n">
        <v>0</v>
      </c>
      <c r="F2056" s="27" t="s">
        <v>1160</v>
      </c>
      <c r="I2056" s="27" t="s">
        <v>138</v>
      </c>
      <c r="L2056" s="0" t="n">
        <v>188</v>
      </c>
      <c r="U2056" s="0" t="n">
        <v>596</v>
      </c>
      <c r="V2056" s="0" t="n">
        <v>1</v>
      </c>
      <c r="W2056" s="27" t="n">
        <f aca="false">MATCH(A2056,DATAS,0)</f>
        <v>1</v>
      </c>
      <c r="X2056" s="27" t="n">
        <f aca="false">IF(AND(E2056&gt;0,OR(AND(B2056&gt;=1,B2056&lt;=6),B2056=10)),1,0)</f>
        <v>0</v>
      </c>
      <c r="Y2056" s="27" t="n">
        <f aca="false">IF(AND(E2056&gt;0,B2056=10),1,0)</f>
        <v>0</v>
      </c>
      <c r="Z2056" s="0" t="str">
        <f aca="false">IF(AND(C2055=C2056,W2055=W2056-1),X2055,"")</f>
        <v/>
      </c>
      <c r="AA2056" s="0" t="str">
        <f aca="false">IF(AND(C2055=C2056,W2055=W2056-1),Y2055,"")</f>
        <v/>
      </c>
      <c r="AB2056" s="0" t="str">
        <f aca="false">IF(W2056=1,"",IF(AND(X2056=1,Z2056&lt;&gt;1),1,0))</f>
        <v/>
      </c>
      <c r="AC2056" s="0" t="str">
        <f aca="false">IF(W2056=1,"",IF(AND(Y2056=1,AA2056&lt;&gt;1),1,0))</f>
        <v/>
      </c>
      <c r="AD2056" s="33" t="str">
        <f aca="false">IF(AND(E2056&gt;0,W2056&lt;1,NOT(AND(C2057=C2056,W2057=W2056+1))),INDEX(DATAS,W2056+1),"")</f>
        <v/>
      </c>
      <c r="AE2056" s="33" t="str">
        <f aca="false">IF(AND(Y2056=1,W2056&lt;1),IF(AND(C2057=C2056,W2057=W2056+1),IF(Y2057=1,"",INDEX(DATAS,W2056+1)),INDEX(DATAS,W2056+1)),"")</f>
        <v/>
      </c>
    </row>
    <row r="2057" customFormat="false" ht="15" hidden="false" customHeight="false" outlineLevel="0" collapsed="false">
      <c r="A2057" s="33" t="n">
        <v>46309</v>
      </c>
      <c r="B2057" s="0" t="n">
        <v>8</v>
      </c>
      <c r="C2057" s="0" t="n">
        <v>6335</v>
      </c>
      <c r="E2057" s="0" t="n">
        <v>0</v>
      </c>
      <c r="F2057" s="27" t="s">
        <v>1161</v>
      </c>
      <c r="I2057" s="27" t="s">
        <v>138</v>
      </c>
      <c r="L2057" s="0" t="n">
        <v>198</v>
      </c>
      <c r="U2057" s="0" t="n">
        <v>595</v>
      </c>
      <c r="V2057" s="0" t="n">
        <v>1</v>
      </c>
      <c r="W2057" s="27" t="n">
        <f aca="false">MATCH(A2057,DATAS,0)</f>
        <v>1</v>
      </c>
      <c r="X2057" s="27" t="n">
        <f aca="false">IF(AND(E2057&gt;0,OR(AND(B2057&gt;=1,B2057&lt;=6),B2057=10)),1,0)</f>
        <v>0</v>
      </c>
      <c r="Y2057" s="27" t="n">
        <f aca="false">IF(AND(E2057&gt;0,B2057=10),1,0)</f>
        <v>0</v>
      </c>
      <c r="Z2057" s="0" t="str">
        <f aca="false">IF(AND(C2056=C2057,W2056=W2057-1),X2056,"")</f>
        <v/>
      </c>
      <c r="AA2057" s="0" t="str">
        <f aca="false">IF(AND(C2056=C2057,W2056=W2057-1),Y2056,"")</f>
        <v/>
      </c>
      <c r="AB2057" s="0" t="str">
        <f aca="false">IF(W2057=1,"",IF(AND(X2057=1,Z2057&lt;&gt;1),1,0))</f>
        <v/>
      </c>
      <c r="AC2057" s="0" t="str">
        <f aca="false">IF(W2057=1,"",IF(AND(Y2057=1,AA2057&lt;&gt;1),1,0))</f>
        <v/>
      </c>
      <c r="AD2057" s="33" t="str">
        <f aca="false">IF(AND(E2057&gt;0,W2057&lt;1,NOT(AND(C2058=C2057,W2058=W2057+1))),INDEX(DATAS,W2057+1),"")</f>
        <v/>
      </c>
      <c r="AE2057" s="33" t="str">
        <f aca="false">IF(AND(Y2057=1,W2057&lt;1),IF(AND(C2058=C2057,W2058=W2057+1),IF(Y2058=1,"",INDEX(DATAS,W2057+1)),INDEX(DATAS,W2057+1)),"")</f>
        <v/>
      </c>
    </row>
    <row r="2058" customFormat="false" ht="15" hidden="false" customHeight="false" outlineLevel="0" collapsed="false">
      <c r="A2058" s="33" t="n">
        <v>46309</v>
      </c>
      <c r="B2058" s="0" t="n">
        <v>8</v>
      </c>
      <c r="C2058" s="0" t="n">
        <v>6336</v>
      </c>
      <c r="E2058" s="0" t="n">
        <v>0</v>
      </c>
      <c r="F2058" s="27" t="s">
        <v>1161</v>
      </c>
      <c r="I2058" s="27" t="s">
        <v>138</v>
      </c>
      <c r="L2058" s="0" t="n">
        <v>197</v>
      </c>
      <c r="U2058" s="0" t="n">
        <v>595</v>
      </c>
      <c r="V2058" s="0" t="n">
        <v>1</v>
      </c>
      <c r="W2058" s="27" t="n">
        <f aca="false">MATCH(A2058,DATAS,0)</f>
        <v>1</v>
      </c>
      <c r="X2058" s="27" t="n">
        <f aca="false">IF(AND(E2058&gt;0,OR(AND(B2058&gt;=1,B2058&lt;=6),B2058=10)),1,0)</f>
        <v>0</v>
      </c>
      <c r="Y2058" s="27" t="n">
        <f aca="false">IF(AND(E2058&gt;0,B2058=10),1,0)</f>
        <v>0</v>
      </c>
      <c r="Z2058" s="0" t="str">
        <f aca="false">IF(AND(C2057=C2058,W2057=W2058-1),X2057,"")</f>
        <v/>
      </c>
      <c r="AA2058" s="0" t="str">
        <f aca="false">IF(AND(C2057=C2058,W2057=W2058-1),Y2057,"")</f>
        <v/>
      </c>
      <c r="AB2058" s="0" t="str">
        <f aca="false">IF(W2058=1,"",IF(AND(X2058=1,Z2058&lt;&gt;1),1,0))</f>
        <v/>
      </c>
      <c r="AC2058" s="0" t="str">
        <f aca="false">IF(W2058=1,"",IF(AND(Y2058=1,AA2058&lt;&gt;1),1,0))</f>
        <v/>
      </c>
      <c r="AD2058" s="33" t="str">
        <f aca="false">IF(AND(E2058&gt;0,W2058&lt;1,NOT(AND(C2059=C2058,W2059=W2058+1))),INDEX(DATAS,W2058+1),"")</f>
        <v/>
      </c>
      <c r="AE2058" s="33" t="str">
        <f aca="false">IF(AND(Y2058=1,W2058&lt;1),IF(AND(C2059=C2058,W2059=W2058+1),IF(Y2059=1,"",INDEX(DATAS,W2058+1)),INDEX(DATAS,W2058+1)),"")</f>
        <v/>
      </c>
    </row>
    <row r="2059" customFormat="false" ht="15" hidden="false" customHeight="false" outlineLevel="0" collapsed="false">
      <c r="A2059" s="33" t="n">
        <v>46309</v>
      </c>
      <c r="B2059" s="0" t="n">
        <v>8</v>
      </c>
      <c r="C2059" s="0" t="n">
        <v>6337</v>
      </c>
      <c r="E2059" s="0" t="n">
        <v>0</v>
      </c>
      <c r="F2059" s="27" t="s">
        <v>1161</v>
      </c>
      <c r="I2059" s="27" t="s">
        <v>138</v>
      </c>
      <c r="L2059" s="0" t="n">
        <v>197</v>
      </c>
      <c r="U2059" s="0" t="n">
        <v>595</v>
      </c>
      <c r="V2059" s="0" t="n">
        <v>1</v>
      </c>
      <c r="W2059" s="27" t="n">
        <f aca="false">MATCH(A2059,DATAS,0)</f>
        <v>1</v>
      </c>
      <c r="X2059" s="27" t="n">
        <f aca="false">IF(AND(E2059&gt;0,OR(AND(B2059&gt;=1,B2059&lt;=6),B2059=10)),1,0)</f>
        <v>0</v>
      </c>
      <c r="Y2059" s="27" t="n">
        <f aca="false">IF(AND(E2059&gt;0,B2059=10),1,0)</f>
        <v>0</v>
      </c>
      <c r="Z2059" s="0" t="str">
        <f aca="false">IF(AND(C2058=C2059,W2058=W2059-1),X2058,"")</f>
        <v/>
      </c>
      <c r="AA2059" s="0" t="str">
        <f aca="false">IF(AND(C2058=C2059,W2058=W2059-1),Y2058,"")</f>
        <v/>
      </c>
      <c r="AB2059" s="0" t="str">
        <f aca="false">IF(W2059=1,"",IF(AND(X2059=1,Z2059&lt;&gt;1),1,0))</f>
        <v/>
      </c>
      <c r="AC2059" s="0" t="str">
        <f aca="false">IF(W2059=1,"",IF(AND(Y2059=1,AA2059&lt;&gt;1),1,0))</f>
        <v/>
      </c>
      <c r="AD2059" s="33" t="str">
        <f aca="false">IF(AND(E2059&gt;0,W2059&lt;1,NOT(AND(C2060=C2059,W2060=W2059+1))),INDEX(DATAS,W2059+1),"")</f>
        <v/>
      </c>
      <c r="AE2059" s="33" t="str">
        <f aca="false">IF(AND(Y2059=1,W2059&lt;1),IF(AND(C2060=C2059,W2060=W2059+1),IF(Y2060=1,"",INDEX(DATAS,W2059+1)),INDEX(DATAS,W2059+1)),"")</f>
        <v/>
      </c>
    </row>
    <row r="2060" customFormat="false" ht="15" hidden="false" customHeight="false" outlineLevel="0" collapsed="false">
      <c r="A2060" s="33" t="n">
        <v>46309</v>
      </c>
      <c r="B2060" s="0" t="n">
        <v>8</v>
      </c>
      <c r="C2060" s="0" t="n">
        <v>6338</v>
      </c>
      <c r="E2060" s="0" t="n">
        <v>0</v>
      </c>
      <c r="F2060" s="27" t="s">
        <v>1161</v>
      </c>
      <c r="I2060" s="27" t="s">
        <v>138</v>
      </c>
      <c r="L2060" s="0" t="n">
        <v>197</v>
      </c>
      <c r="U2060" s="0" t="n">
        <v>595</v>
      </c>
      <c r="V2060" s="0" t="n">
        <v>1</v>
      </c>
      <c r="W2060" s="27" t="n">
        <f aca="false">MATCH(A2060,DATAS,0)</f>
        <v>1</v>
      </c>
      <c r="X2060" s="27" t="n">
        <f aca="false">IF(AND(E2060&gt;0,OR(AND(B2060&gt;=1,B2060&lt;=6),B2060=10)),1,0)</f>
        <v>0</v>
      </c>
      <c r="Y2060" s="27" t="n">
        <f aca="false">IF(AND(E2060&gt;0,B2060=10),1,0)</f>
        <v>0</v>
      </c>
      <c r="Z2060" s="0" t="str">
        <f aca="false">IF(AND(C2059=C2060,W2059=W2060-1),X2059,"")</f>
        <v/>
      </c>
      <c r="AA2060" s="0" t="str">
        <f aca="false">IF(AND(C2059=C2060,W2059=W2060-1),Y2059,"")</f>
        <v/>
      </c>
      <c r="AB2060" s="0" t="str">
        <f aca="false">IF(W2060=1,"",IF(AND(X2060=1,Z2060&lt;&gt;1),1,0))</f>
        <v/>
      </c>
      <c r="AC2060" s="0" t="str">
        <f aca="false">IF(W2060=1,"",IF(AND(Y2060=1,AA2060&lt;&gt;1),1,0))</f>
        <v/>
      </c>
      <c r="AD2060" s="33" t="str">
        <f aca="false">IF(AND(E2060&gt;0,W2060&lt;1,NOT(AND(C2061=C2060,W2061=W2060+1))),INDEX(DATAS,W2060+1),"")</f>
        <v/>
      </c>
      <c r="AE2060" s="33" t="str">
        <f aca="false">IF(AND(Y2060=1,W2060&lt;1),IF(AND(C2061=C2060,W2061=W2060+1),IF(Y2061=1,"",INDEX(DATAS,W2060+1)),INDEX(DATAS,W2060+1)),"")</f>
        <v/>
      </c>
    </row>
    <row r="2061" customFormat="false" ht="15" hidden="false" customHeight="false" outlineLevel="0" collapsed="false">
      <c r="A2061" s="33" t="n">
        <v>46309</v>
      </c>
      <c r="B2061" s="0" t="n">
        <v>8</v>
      </c>
      <c r="C2061" s="0" t="n">
        <v>6339</v>
      </c>
      <c r="E2061" s="0" t="n">
        <v>0</v>
      </c>
      <c r="F2061" s="27" t="s">
        <v>1162</v>
      </c>
      <c r="I2061" s="27" t="s">
        <v>138</v>
      </c>
      <c r="L2061" s="0" t="n">
        <v>176</v>
      </c>
      <c r="U2061" s="0" t="n">
        <v>594</v>
      </c>
      <c r="V2061" s="0" t="n">
        <v>2</v>
      </c>
      <c r="W2061" s="27" t="n">
        <f aca="false">MATCH(A2061,DATAS,0)</f>
        <v>1</v>
      </c>
      <c r="X2061" s="27" t="n">
        <f aca="false">IF(AND(E2061&gt;0,OR(AND(B2061&gt;=1,B2061&lt;=6),B2061=10)),1,0)</f>
        <v>0</v>
      </c>
      <c r="Y2061" s="27" t="n">
        <f aca="false">IF(AND(E2061&gt;0,B2061=10),1,0)</f>
        <v>0</v>
      </c>
      <c r="Z2061" s="0" t="str">
        <f aca="false">IF(AND(C2060=C2061,W2060=W2061-1),X2060,"")</f>
        <v/>
      </c>
      <c r="AA2061" s="0" t="str">
        <f aca="false">IF(AND(C2060=C2061,W2060=W2061-1),Y2060,"")</f>
        <v/>
      </c>
      <c r="AB2061" s="0" t="str">
        <f aca="false">IF(W2061=1,"",IF(AND(X2061=1,Z2061&lt;&gt;1),1,0))</f>
        <v/>
      </c>
      <c r="AC2061" s="0" t="str">
        <f aca="false">IF(W2061=1,"",IF(AND(Y2061=1,AA2061&lt;&gt;1),1,0))</f>
        <v/>
      </c>
      <c r="AD2061" s="33" t="str">
        <f aca="false">IF(AND(E2061&gt;0,W2061&lt;1,NOT(AND(C2062=C2061,W2062=W2061+1))),INDEX(DATAS,W2061+1),"")</f>
        <v/>
      </c>
      <c r="AE2061" s="33" t="str">
        <f aca="false">IF(AND(Y2061=1,W2061&lt;1),IF(AND(C2062=C2061,W2062=W2061+1),IF(Y2062=1,"",INDEX(DATAS,W2061+1)),INDEX(DATAS,W2061+1)),"")</f>
        <v/>
      </c>
    </row>
    <row r="2062" customFormat="false" ht="15" hidden="false" customHeight="false" outlineLevel="0" collapsed="false">
      <c r="A2062" s="33" t="n">
        <v>46309</v>
      </c>
      <c r="B2062" s="0" t="n">
        <v>8</v>
      </c>
      <c r="C2062" s="0" t="n">
        <v>6340</v>
      </c>
      <c r="E2062" s="0" t="n">
        <v>0</v>
      </c>
      <c r="F2062" s="27" t="s">
        <v>1162</v>
      </c>
      <c r="I2062" s="27" t="s">
        <v>138</v>
      </c>
      <c r="L2062" s="0" t="n">
        <v>62</v>
      </c>
      <c r="U2062" s="0" t="n">
        <v>594</v>
      </c>
      <c r="V2062" s="0" t="n">
        <v>4</v>
      </c>
      <c r="W2062" s="27" t="n">
        <f aca="false">MATCH(A2062,DATAS,0)</f>
        <v>1</v>
      </c>
      <c r="X2062" s="27" t="n">
        <f aca="false">IF(AND(E2062&gt;0,OR(AND(B2062&gt;=1,B2062&lt;=6),B2062=10)),1,0)</f>
        <v>0</v>
      </c>
      <c r="Y2062" s="27" t="n">
        <f aca="false">IF(AND(E2062&gt;0,B2062=10),1,0)</f>
        <v>0</v>
      </c>
      <c r="Z2062" s="0" t="str">
        <f aca="false">IF(AND(C2061=C2062,W2061=W2062-1),X2061,"")</f>
        <v/>
      </c>
      <c r="AA2062" s="0" t="str">
        <f aca="false">IF(AND(C2061=C2062,W2061=W2062-1),Y2061,"")</f>
        <v/>
      </c>
      <c r="AB2062" s="0" t="str">
        <f aca="false">IF(W2062=1,"",IF(AND(X2062=1,Z2062&lt;&gt;1),1,0))</f>
        <v/>
      </c>
      <c r="AC2062" s="0" t="str">
        <f aca="false">IF(W2062=1,"",IF(AND(Y2062=1,AA2062&lt;&gt;1),1,0))</f>
        <v/>
      </c>
      <c r="AD2062" s="33" t="str">
        <f aca="false">IF(AND(E2062&gt;0,W2062&lt;1,NOT(AND(C2063=C2062,W2063=W2062+1))),INDEX(DATAS,W2062+1),"")</f>
        <v/>
      </c>
      <c r="AE2062" s="33" t="str">
        <f aca="false">IF(AND(Y2062=1,W2062&lt;1),IF(AND(C2063=C2062,W2063=W2062+1),IF(Y2063=1,"",INDEX(DATAS,W2062+1)),INDEX(DATAS,W2062+1)),"")</f>
        <v/>
      </c>
    </row>
    <row r="2063" customFormat="false" ht="15" hidden="false" customHeight="false" outlineLevel="0" collapsed="false">
      <c r="A2063" s="33" t="n">
        <v>46309</v>
      </c>
      <c r="B2063" s="0" t="n">
        <v>8</v>
      </c>
      <c r="C2063" s="0" t="n">
        <v>6341</v>
      </c>
      <c r="E2063" s="0" t="n">
        <v>0</v>
      </c>
      <c r="F2063" s="27" t="s">
        <v>1162</v>
      </c>
      <c r="I2063" s="27" t="s">
        <v>138</v>
      </c>
      <c r="L2063" s="0" t="n">
        <v>202</v>
      </c>
      <c r="U2063" s="0" t="n">
        <v>594</v>
      </c>
      <c r="V2063" s="0" t="n">
        <v>1</v>
      </c>
      <c r="W2063" s="27" t="n">
        <f aca="false">MATCH(A2063,DATAS,0)</f>
        <v>1</v>
      </c>
      <c r="X2063" s="27" t="n">
        <f aca="false">IF(AND(E2063&gt;0,OR(AND(B2063&gt;=1,B2063&lt;=6),B2063=10)),1,0)</f>
        <v>0</v>
      </c>
      <c r="Y2063" s="27" t="n">
        <f aca="false">IF(AND(E2063&gt;0,B2063=10),1,0)</f>
        <v>0</v>
      </c>
      <c r="Z2063" s="0" t="str">
        <f aca="false">IF(AND(C2062=C2063,W2062=W2063-1),X2062,"")</f>
        <v/>
      </c>
      <c r="AA2063" s="0" t="str">
        <f aca="false">IF(AND(C2062=C2063,W2062=W2063-1),Y2062,"")</f>
        <v/>
      </c>
      <c r="AB2063" s="0" t="str">
        <f aca="false">IF(W2063=1,"",IF(AND(X2063=1,Z2063&lt;&gt;1),1,0))</f>
        <v/>
      </c>
      <c r="AC2063" s="0" t="str">
        <f aca="false">IF(W2063=1,"",IF(AND(Y2063=1,AA2063&lt;&gt;1),1,0))</f>
        <v/>
      </c>
      <c r="AD2063" s="33" t="str">
        <f aca="false">IF(AND(E2063&gt;0,W2063&lt;1,NOT(AND(C2064=C2063,W2064=W2063+1))),INDEX(DATAS,W2063+1),"")</f>
        <v/>
      </c>
      <c r="AE2063" s="33" t="str">
        <f aca="false">IF(AND(Y2063=1,W2063&lt;1),IF(AND(C2064=C2063,W2064=W2063+1),IF(Y2064=1,"",INDEX(DATAS,W2063+1)),INDEX(DATAS,W2063+1)),"")</f>
        <v/>
      </c>
    </row>
    <row r="2064" customFormat="false" ht="15" hidden="false" customHeight="false" outlineLevel="0" collapsed="false">
      <c r="A2064" s="33" t="n">
        <v>46309</v>
      </c>
      <c r="B2064" s="0" t="n">
        <v>8</v>
      </c>
      <c r="C2064" s="0" t="n">
        <v>6342</v>
      </c>
      <c r="E2064" s="0" t="n">
        <v>0</v>
      </c>
      <c r="F2064" s="27" t="s">
        <v>1163</v>
      </c>
      <c r="I2064" s="27" t="s">
        <v>138</v>
      </c>
      <c r="L2064" s="0" t="n">
        <v>83</v>
      </c>
      <c r="U2064" s="0" t="n">
        <v>593</v>
      </c>
      <c r="V2064" s="0" t="n">
        <v>4</v>
      </c>
      <c r="W2064" s="27" t="n">
        <f aca="false">MATCH(A2064,DATAS,0)</f>
        <v>1</v>
      </c>
      <c r="X2064" s="27" t="n">
        <f aca="false">IF(AND(E2064&gt;0,OR(AND(B2064&gt;=1,B2064&lt;=6),B2064=10)),1,0)</f>
        <v>0</v>
      </c>
      <c r="Y2064" s="27" t="n">
        <f aca="false">IF(AND(E2064&gt;0,B2064=10),1,0)</f>
        <v>0</v>
      </c>
      <c r="Z2064" s="0" t="str">
        <f aca="false">IF(AND(C2063=C2064,W2063=W2064-1),X2063,"")</f>
        <v/>
      </c>
      <c r="AA2064" s="0" t="str">
        <f aca="false">IF(AND(C2063=C2064,W2063=W2064-1),Y2063,"")</f>
        <v/>
      </c>
      <c r="AB2064" s="0" t="str">
        <f aca="false">IF(W2064=1,"",IF(AND(X2064=1,Z2064&lt;&gt;1),1,0))</f>
        <v/>
      </c>
      <c r="AC2064" s="0" t="str">
        <f aca="false">IF(W2064=1,"",IF(AND(Y2064=1,AA2064&lt;&gt;1),1,0))</f>
        <v/>
      </c>
      <c r="AD2064" s="33" t="str">
        <f aca="false">IF(AND(E2064&gt;0,W2064&lt;1,NOT(AND(C2065=C2064,W2065=W2064+1))),INDEX(DATAS,W2064+1),"")</f>
        <v/>
      </c>
      <c r="AE2064" s="33" t="str">
        <f aca="false">IF(AND(Y2064=1,W2064&lt;1),IF(AND(C2065=C2064,W2065=W2064+1),IF(Y2065=1,"",INDEX(DATAS,W2064+1)),INDEX(DATAS,W2064+1)),"")</f>
        <v/>
      </c>
    </row>
    <row r="2065" customFormat="false" ht="15" hidden="false" customHeight="false" outlineLevel="0" collapsed="false">
      <c r="A2065" s="33" t="n">
        <v>46309</v>
      </c>
      <c r="B2065" s="0" t="n">
        <v>8</v>
      </c>
      <c r="C2065" s="0" t="n">
        <v>6343</v>
      </c>
      <c r="E2065" s="0" t="n">
        <v>0</v>
      </c>
      <c r="F2065" s="27" t="s">
        <v>1163</v>
      </c>
      <c r="I2065" s="27" t="s">
        <v>138</v>
      </c>
      <c r="L2065" s="0" t="n">
        <v>150</v>
      </c>
      <c r="U2065" s="0" t="n">
        <v>593</v>
      </c>
      <c r="V2065" s="0" t="n">
        <v>2</v>
      </c>
      <c r="W2065" s="27" t="n">
        <f aca="false">MATCH(A2065,DATAS,0)</f>
        <v>1</v>
      </c>
      <c r="X2065" s="27" t="n">
        <f aca="false">IF(AND(E2065&gt;0,OR(AND(B2065&gt;=1,B2065&lt;=6),B2065=10)),1,0)</f>
        <v>0</v>
      </c>
      <c r="Y2065" s="27" t="n">
        <f aca="false">IF(AND(E2065&gt;0,B2065=10),1,0)</f>
        <v>0</v>
      </c>
      <c r="Z2065" s="0" t="str">
        <f aca="false">IF(AND(C2064=C2065,W2064=W2065-1),X2064,"")</f>
        <v/>
      </c>
      <c r="AA2065" s="0" t="str">
        <f aca="false">IF(AND(C2064=C2065,W2064=W2065-1),Y2064,"")</f>
        <v/>
      </c>
      <c r="AB2065" s="0" t="str">
        <f aca="false">IF(W2065=1,"",IF(AND(X2065=1,Z2065&lt;&gt;1),1,0))</f>
        <v/>
      </c>
      <c r="AC2065" s="0" t="str">
        <f aca="false">IF(W2065=1,"",IF(AND(Y2065=1,AA2065&lt;&gt;1),1,0))</f>
        <v/>
      </c>
      <c r="AD2065" s="33" t="str">
        <f aca="false">IF(AND(E2065&gt;0,W2065&lt;1,NOT(AND(C2066=C2065,W2066=W2065+1))),INDEX(DATAS,W2065+1),"")</f>
        <v/>
      </c>
      <c r="AE2065" s="33" t="str">
        <f aca="false">IF(AND(Y2065=1,W2065&lt;1),IF(AND(C2066=C2065,W2066=W2065+1),IF(Y2066=1,"",INDEX(DATAS,W2065+1)),INDEX(DATAS,W2065+1)),"")</f>
        <v/>
      </c>
    </row>
    <row r="2066" customFormat="false" ht="15" hidden="false" customHeight="false" outlineLevel="0" collapsed="false">
      <c r="A2066" s="33" t="n">
        <v>46309</v>
      </c>
      <c r="B2066" s="0" t="n">
        <v>8</v>
      </c>
      <c r="C2066" s="0" t="n">
        <v>6344</v>
      </c>
      <c r="E2066" s="0" t="n">
        <v>0</v>
      </c>
      <c r="F2066" s="27" t="s">
        <v>1163</v>
      </c>
      <c r="I2066" s="27" t="s">
        <v>138</v>
      </c>
      <c r="L2066" s="0" t="n">
        <v>182</v>
      </c>
      <c r="U2066" s="0" t="n">
        <v>593</v>
      </c>
      <c r="V2066" s="0" t="n">
        <v>1</v>
      </c>
      <c r="W2066" s="27" t="n">
        <f aca="false">MATCH(A2066,DATAS,0)</f>
        <v>1</v>
      </c>
      <c r="X2066" s="27" t="n">
        <f aca="false">IF(AND(E2066&gt;0,OR(AND(B2066&gt;=1,B2066&lt;=6),B2066=10)),1,0)</f>
        <v>0</v>
      </c>
      <c r="Y2066" s="27" t="n">
        <f aca="false">IF(AND(E2066&gt;0,B2066=10),1,0)</f>
        <v>0</v>
      </c>
      <c r="Z2066" s="0" t="str">
        <f aca="false">IF(AND(C2065=C2066,W2065=W2066-1),X2065,"")</f>
        <v/>
      </c>
      <c r="AA2066" s="0" t="str">
        <f aca="false">IF(AND(C2065=C2066,W2065=W2066-1),Y2065,"")</f>
        <v/>
      </c>
      <c r="AB2066" s="0" t="str">
        <f aca="false">IF(W2066=1,"",IF(AND(X2066=1,Z2066&lt;&gt;1),1,0))</f>
        <v/>
      </c>
      <c r="AC2066" s="0" t="str">
        <f aca="false">IF(W2066=1,"",IF(AND(Y2066=1,AA2066&lt;&gt;1),1,0))</f>
        <v/>
      </c>
      <c r="AD2066" s="33" t="str">
        <f aca="false">IF(AND(E2066&gt;0,W2066&lt;1,NOT(AND(C2067=C2066,W2067=W2066+1))),INDEX(DATAS,W2066+1),"")</f>
        <v/>
      </c>
      <c r="AE2066" s="33" t="str">
        <f aca="false">IF(AND(Y2066=1,W2066&lt;1),IF(AND(C2067=C2066,W2067=W2066+1),IF(Y2067=1,"",INDEX(DATAS,W2066+1)),INDEX(DATAS,W2066+1)),"")</f>
        <v/>
      </c>
    </row>
    <row r="2067" customFormat="false" ht="15" hidden="false" customHeight="false" outlineLevel="0" collapsed="false">
      <c r="A2067" s="33" t="n">
        <v>46309</v>
      </c>
      <c r="B2067" s="0" t="n">
        <v>8</v>
      </c>
      <c r="C2067" s="0" t="n">
        <v>6345</v>
      </c>
      <c r="E2067" s="0" t="n">
        <v>0</v>
      </c>
      <c r="F2067" s="27" t="s">
        <v>1164</v>
      </c>
      <c r="I2067" s="27" t="s">
        <v>138</v>
      </c>
      <c r="L2067" s="0" t="n">
        <v>192</v>
      </c>
      <c r="U2067" s="0" t="n">
        <v>592</v>
      </c>
      <c r="V2067" s="0" t="n">
        <v>1</v>
      </c>
      <c r="W2067" s="27" t="n">
        <f aca="false">MATCH(A2067,DATAS,0)</f>
        <v>1</v>
      </c>
      <c r="X2067" s="27" t="n">
        <f aca="false">IF(AND(E2067&gt;0,OR(AND(B2067&gt;=1,B2067&lt;=6),B2067=10)),1,0)</f>
        <v>0</v>
      </c>
      <c r="Y2067" s="27" t="n">
        <f aca="false">IF(AND(E2067&gt;0,B2067=10),1,0)</f>
        <v>0</v>
      </c>
      <c r="Z2067" s="0" t="str">
        <f aca="false">IF(AND(C2066=C2067,W2066=W2067-1),X2066,"")</f>
        <v/>
      </c>
      <c r="AA2067" s="0" t="str">
        <f aca="false">IF(AND(C2066=C2067,W2066=W2067-1),Y2066,"")</f>
        <v/>
      </c>
      <c r="AB2067" s="0" t="str">
        <f aca="false">IF(W2067=1,"",IF(AND(X2067=1,Z2067&lt;&gt;1),1,0))</f>
        <v/>
      </c>
      <c r="AC2067" s="0" t="str">
        <f aca="false">IF(W2067=1,"",IF(AND(Y2067=1,AA2067&lt;&gt;1),1,0))</f>
        <v/>
      </c>
      <c r="AD2067" s="33" t="str">
        <f aca="false">IF(AND(E2067&gt;0,W2067&lt;1,NOT(AND(C2068=C2067,W2068=W2067+1))),INDEX(DATAS,W2067+1),"")</f>
        <v/>
      </c>
      <c r="AE2067" s="33" t="str">
        <f aca="false">IF(AND(Y2067=1,W2067&lt;1),IF(AND(C2068=C2067,W2068=W2067+1),IF(Y2068=1,"",INDEX(DATAS,W2067+1)),INDEX(DATAS,W2067+1)),"")</f>
        <v/>
      </c>
    </row>
    <row r="2068" customFormat="false" ht="15" hidden="false" customHeight="false" outlineLevel="0" collapsed="false">
      <c r="A2068" s="33" t="n">
        <v>46309</v>
      </c>
      <c r="B2068" s="0" t="n">
        <v>8</v>
      </c>
      <c r="C2068" s="0" t="n">
        <v>6346</v>
      </c>
      <c r="E2068" s="0" t="n">
        <v>0</v>
      </c>
      <c r="F2068" s="27" t="s">
        <v>1165</v>
      </c>
      <c r="I2068" s="27" t="s">
        <v>138</v>
      </c>
      <c r="L2068" s="0" t="n">
        <v>177</v>
      </c>
      <c r="U2068" s="0" t="n">
        <v>590</v>
      </c>
      <c r="V2068" s="0" t="n">
        <v>2</v>
      </c>
      <c r="W2068" s="27" t="n">
        <f aca="false">MATCH(A2068,DATAS,0)</f>
        <v>1</v>
      </c>
      <c r="X2068" s="27" t="n">
        <f aca="false">IF(AND(E2068&gt;0,OR(AND(B2068&gt;=1,B2068&lt;=6),B2068=10)),1,0)</f>
        <v>0</v>
      </c>
      <c r="Y2068" s="27" t="n">
        <f aca="false">IF(AND(E2068&gt;0,B2068=10),1,0)</f>
        <v>0</v>
      </c>
      <c r="Z2068" s="0" t="str">
        <f aca="false">IF(AND(C2067=C2068,W2067=W2068-1),X2067,"")</f>
        <v/>
      </c>
      <c r="AA2068" s="0" t="str">
        <f aca="false">IF(AND(C2067=C2068,W2067=W2068-1),Y2067,"")</f>
        <v/>
      </c>
      <c r="AB2068" s="0" t="str">
        <f aca="false">IF(W2068=1,"",IF(AND(X2068=1,Z2068&lt;&gt;1),1,0))</f>
        <v/>
      </c>
      <c r="AC2068" s="0" t="str">
        <f aca="false">IF(W2068=1,"",IF(AND(Y2068=1,AA2068&lt;&gt;1),1,0))</f>
        <v/>
      </c>
      <c r="AD2068" s="33" t="str">
        <f aca="false">IF(AND(E2068&gt;0,W2068&lt;1,NOT(AND(C2069=C2068,W2069=W2068+1))),INDEX(DATAS,W2068+1),"")</f>
        <v/>
      </c>
      <c r="AE2068" s="33" t="str">
        <f aca="false">IF(AND(Y2068=1,W2068&lt;1),IF(AND(C2069=C2068,W2069=W2068+1),IF(Y2069=1,"",INDEX(DATAS,W2068+1)),INDEX(DATAS,W2068+1)),"")</f>
        <v/>
      </c>
    </row>
    <row r="2069" customFormat="false" ht="15" hidden="false" customHeight="false" outlineLevel="0" collapsed="false">
      <c r="A2069" s="33" t="n">
        <v>46309</v>
      </c>
      <c r="B2069" s="0" t="n">
        <v>8</v>
      </c>
      <c r="C2069" s="0" t="n">
        <v>6347</v>
      </c>
      <c r="E2069" s="0" t="n">
        <v>0</v>
      </c>
      <c r="F2069" s="27" t="s">
        <v>1165</v>
      </c>
      <c r="I2069" s="27" t="s">
        <v>138</v>
      </c>
      <c r="L2069" s="0" t="n">
        <v>188</v>
      </c>
      <c r="U2069" s="0" t="n">
        <v>590</v>
      </c>
      <c r="V2069" s="0" t="n">
        <v>1</v>
      </c>
      <c r="W2069" s="27" t="n">
        <f aca="false">MATCH(A2069,DATAS,0)</f>
        <v>1</v>
      </c>
      <c r="X2069" s="27" t="n">
        <f aca="false">IF(AND(E2069&gt;0,OR(AND(B2069&gt;=1,B2069&lt;=6),B2069=10)),1,0)</f>
        <v>0</v>
      </c>
      <c r="Y2069" s="27" t="n">
        <f aca="false">IF(AND(E2069&gt;0,B2069=10),1,0)</f>
        <v>0</v>
      </c>
      <c r="Z2069" s="0" t="str">
        <f aca="false">IF(AND(C2068=C2069,W2068=W2069-1),X2068,"")</f>
        <v/>
      </c>
      <c r="AA2069" s="0" t="str">
        <f aca="false">IF(AND(C2068=C2069,W2068=W2069-1),Y2068,"")</f>
        <v/>
      </c>
      <c r="AB2069" s="0" t="str">
        <f aca="false">IF(W2069=1,"",IF(AND(X2069=1,Z2069&lt;&gt;1),1,0))</f>
        <v/>
      </c>
      <c r="AC2069" s="0" t="str">
        <f aca="false">IF(W2069=1,"",IF(AND(Y2069=1,AA2069&lt;&gt;1),1,0))</f>
        <v/>
      </c>
      <c r="AD2069" s="33" t="str">
        <f aca="false">IF(AND(E2069&gt;0,W2069&lt;1,NOT(AND(C2070=C2069,W2070=W2069+1))),INDEX(DATAS,W2069+1),"")</f>
        <v/>
      </c>
      <c r="AE2069" s="33" t="str">
        <f aca="false">IF(AND(Y2069=1,W2069&lt;1),IF(AND(C2070=C2069,W2070=W2069+1),IF(Y2070=1,"",INDEX(DATAS,W2069+1)),INDEX(DATAS,W2069+1)),"")</f>
        <v/>
      </c>
    </row>
    <row r="2070" customFormat="false" ht="15" hidden="false" customHeight="false" outlineLevel="0" collapsed="false">
      <c r="A2070" s="33" t="n">
        <v>46309</v>
      </c>
      <c r="B2070" s="0" t="n">
        <v>8</v>
      </c>
      <c r="C2070" s="0" t="n">
        <v>6348</v>
      </c>
      <c r="E2070" s="0" t="n">
        <v>0</v>
      </c>
      <c r="F2070" s="27" t="s">
        <v>1165</v>
      </c>
      <c r="I2070" s="27" t="s">
        <v>138</v>
      </c>
      <c r="L2070" s="0" t="n">
        <v>163</v>
      </c>
      <c r="U2070" s="0" t="n">
        <v>590</v>
      </c>
      <c r="V2070" s="0" t="n">
        <v>2</v>
      </c>
      <c r="W2070" s="27" t="n">
        <f aca="false">MATCH(A2070,DATAS,0)</f>
        <v>1</v>
      </c>
      <c r="X2070" s="27" t="n">
        <f aca="false">IF(AND(E2070&gt;0,OR(AND(B2070&gt;=1,B2070&lt;=6),B2070=10)),1,0)</f>
        <v>0</v>
      </c>
      <c r="Y2070" s="27" t="n">
        <f aca="false">IF(AND(E2070&gt;0,B2070=10),1,0)</f>
        <v>0</v>
      </c>
      <c r="Z2070" s="0" t="str">
        <f aca="false">IF(AND(C2069=C2070,W2069=W2070-1),X2069,"")</f>
        <v/>
      </c>
      <c r="AA2070" s="0" t="str">
        <f aca="false">IF(AND(C2069=C2070,W2069=W2070-1),Y2069,"")</f>
        <v/>
      </c>
      <c r="AB2070" s="0" t="str">
        <f aca="false">IF(W2070=1,"",IF(AND(X2070=1,Z2070&lt;&gt;1),1,0))</f>
        <v/>
      </c>
      <c r="AC2070" s="0" t="str">
        <f aca="false">IF(W2070=1,"",IF(AND(Y2070=1,AA2070&lt;&gt;1),1,0))</f>
        <v/>
      </c>
      <c r="AD2070" s="33" t="str">
        <f aca="false">IF(AND(E2070&gt;0,W2070&lt;1,NOT(AND(C2071=C2070,W2071=W2070+1))),INDEX(DATAS,W2070+1),"")</f>
        <v/>
      </c>
      <c r="AE2070" s="33" t="str">
        <f aca="false">IF(AND(Y2070=1,W2070&lt;1),IF(AND(C2071=C2070,W2071=W2070+1),IF(Y2071=1,"",INDEX(DATAS,W2070+1)),INDEX(DATAS,W2070+1)),"")</f>
        <v/>
      </c>
    </row>
    <row r="2071" customFormat="false" ht="15" hidden="false" customHeight="false" outlineLevel="0" collapsed="false">
      <c r="A2071" s="33" t="n">
        <v>46309</v>
      </c>
      <c r="B2071" s="0" t="n">
        <v>8</v>
      </c>
      <c r="C2071" s="0" t="n">
        <v>6349</v>
      </c>
      <c r="E2071" s="0" t="n">
        <v>0</v>
      </c>
      <c r="F2071" s="27" t="s">
        <v>1165</v>
      </c>
      <c r="I2071" s="27" t="s">
        <v>138</v>
      </c>
      <c r="L2071" s="0" t="n">
        <v>133</v>
      </c>
      <c r="U2071" s="0" t="n">
        <v>590</v>
      </c>
      <c r="V2071" s="0" t="n">
        <v>3</v>
      </c>
      <c r="W2071" s="27" t="n">
        <f aca="false">MATCH(A2071,DATAS,0)</f>
        <v>1</v>
      </c>
      <c r="X2071" s="27" t="n">
        <f aca="false">IF(AND(E2071&gt;0,OR(AND(B2071&gt;=1,B2071&lt;=6),B2071=10)),1,0)</f>
        <v>0</v>
      </c>
      <c r="Y2071" s="27" t="n">
        <f aca="false">IF(AND(E2071&gt;0,B2071=10),1,0)</f>
        <v>0</v>
      </c>
      <c r="Z2071" s="0" t="str">
        <f aca="false">IF(AND(C2070=C2071,W2070=W2071-1),X2070,"")</f>
        <v/>
      </c>
      <c r="AA2071" s="0" t="str">
        <f aca="false">IF(AND(C2070=C2071,W2070=W2071-1),Y2070,"")</f>
        <v/>
      </c>
      <c r="AB2071" s="0" t="str">
        <f aca="false">IF(W2071=1,"",IF(AND(X2071=1,Z2071&lt;&gt;1),1,0))</f>
        <v/>
      </c>
      <c r="AC2071" s="0" t="str">
        <f aca="false">IF(W2071=1,"",IF(AND(Y2071=1,AA2071&lt;&gt;1),1,0))</f>
        <v/>
      </c>
      <c r="AD2071" s="33" t="str">
        <f aca="false">IF(AND(E2071&gt;0,W2071&lt;1,NOT(AND(C2072=C2071,W2072=W2071+1))),INDEX(DATAS,W2071+1),"")</f>
        <v/>
      </c>
      <c r="AE2071" s="33" t="str">
        <f aca="false">IF(AND(Y2071=1,W2071&lt;1),IF(AND(C2072=C2071,W2072=W2071+1),IF(Y2072=1,"",INDEX(DATAS,W2071+1)),INDEX(DATAS,W2071+1)),"")</f>
        <v/>
      </c>
    </row>
    <row r="2072" customFormat="false" ht="15" hidden="false" customHeight="false" outlineLevel="0" collapsed="false">
      <c r="A2072" s="33" t="n">
        <v>46309</v>
      </c>
      <c r="B2072" s="0" t="n">
        <v>8</v>
      </c>
      <c r="C2072" s="0" t="n">
        <v>6350</v>
      </c>
      <c r="E2072" s="0" t="n">
        <v>0</v>
      </c>
      <c r="F2072" s="27" t="s">
        <v>1165</v>
      </c>
      <c r="I2072" s="27" t="s">
        <v>138</v>
      </c>
      <c r="L2072" s="0" t="n">
        <v>94</v>
      </c>
      <c r="U2072" s="0" t="n">
        <v>590</v>
      </c>
      <c r="V2072" s="0" t="n">
        <v>5</v>
      </c>
      <c r="W2072" s="27" t="n">
        <f aca="false">MATCH(A2072,DATAS,0)</f>
        <v>1</v>
      </c>
      <c r="X2072" s="27" t="n">
        <f aca="false">IF(AND(E2072&gt;0,OR(AND(B2072&gt;=1,B2072&lt;=6),B2072=10)),1,0)</f>
        <v>0</v>
      </c>
      <c r="Y2072" s="27" t="n">
        <f aca="false">IF(AND(E2072&gt;0,B2072=10),1,0)</f>
        <v>0</v>
      </c>
      <c r="Z2072" s="0" t="str">
        <f aca="false">IF(AND(C2071=C2072,W2071=W2072-1),X2071,"")</f>
        <v/>
      </c>
      <c r="AA2072" s="0" t="str">
        <f aca="false">IF(AND(C2071=C2072,W2071=W2072-1),Y2071,"")</f>
        <v/>
      </c>
      <c r="AB2072" s="0" t="str">
        <f aca="false">IF(W2072=1,"",IF(AND(X2072=1,Z2072&lt;&gt;1),1,0))</f>
        <v/>
      </c>
      <c r="AC2072" s="0" t="str">
        <f aca="false">IF(W2072=1,"",IF(AND(Y2072=1,AA2072&lt;&gt;1),1,0))</f>
        <v/>
      </c>
      <c r="AD2072" s="33" t="str">
        <f aca="false">IF(AND(E2072&gt;0,W2072&lt;1,NOT(AND(C2073=C2072,W2073=W2072+1))),INDEX(DATAS,W2072+1),"")</f>
        <v/>
      </c>
      <c r="AE2072" s="33" t="str">
        <f aca="false">IF(AND(Y2072=1,W2072&lt;1),IF(AND(C2073=C2072,W2073=W2072+1),IF(Y2073=1,"",INDEX(DATAS,W2072+1)),INDEX(DATAS,W2072+1)),"")</f>
        <v/>
      </c>
    </row>
    <row r="2073" customFormat="false" ht="15" hidden="false" customHeight="false" outlineLevel="0" collapsed="false">
      <c r="A2073" s="33" t="n">
        <v>46309</v>
      </c>
      <c r="B2073" s="0" t="n">
        <v>8</v>
      </c>
      <c r="C2073" s="0" t="n">
        <v>6351</v>
      </c>
      <c r="E2073" s="0" t="n">
        <v>0</v>
      </c>
      <c r="F2073" s="27" t="s">
        <v>1165</v>
      </c>
      <c r="I2073" s="27" t="s">
        <v>138</v>
      </c>
      <c r="L2073" s="0" t="n">
        <v>163</v>
      </c>
      <c r="U2073" s="0" t="n">
        <v>590</v>
      </c>
      <c r="V2073" s="0" t="n">
        <v>2</v>
      </c>
      <c r="W2073" s="27" t="n">
        <f aca="false">MATCH(A2073,DATAS,0)</f>
        <v>1</v>
      </c>
      <c r="X2073" s="27" t="n">
        <f aca="false">IF(AND(E2073&gt;0,OR(AND(B2073&gt;=1,B2073&lt;=6),B2073=10)),1,0)</f>
        <v>0</v>
      </c>
      <c r="Y2073" s="27" t="n">
        <f aca="false">IF(AND(E2073&gt;0,B2073=10),1,0)</f>
        <v>0</v>
      </c>
      <c r="Z2073" s="0" t="str">
        <f aca="false">IF(AND(C2072=C2073,W2072=W2073-1),X2072,"")</f>
        <v/>
      </c>
      <c r="AA2073" s="0" t="str">
        <f aca="false">IF(AND(C2072=C2073,W2072=W2073-1),Y2072,"")</f>
        <v/>
      </c>
      <c r="AB2073" s="0" t="str">
        <f aca="false">IF(W2073=1,"",IF(AND(X2073=1,Z2073&lt;&gt;1),1,0))</f>
        <v/>
      </c>
      <c r="AC2073" s="0" t="str">
        <f aca="false">IF(W2073=1,"",IF(AND(Y2073=1,AA2073&lt;&gt;1),1,0))</f>
        <v/>
      </c>
      <c r="AD2073" s="33" t="str">
        <f aca="false">IF(AND(E2073&gt;0,W2073&lt;1,NOT(AND(C2074=C2073,W2074=W2073+1))),INDEX(DATAS,W2073+1),"")</f>
        <v/>
      </c>
      <c r="AE2073" s="33" t="str">
        <f aca="false">IF(AND(Y2073=1,W2073&lt;1),IF(AND(C2074=C2073,W2074=W2073+1),IF(Y2074=1,"",INDEX(DATAS,W2073+1)),INDEX(DATAS,W2073+1)),"")</f>
        <v/>
      </c>
    </row>
    <row r="2074" customFormat="false" ht="15" hidden="false" customHeight="false" outlineLevel="0" collapsed="false">
      <c r="A2074" s="33" t="n">
        <v>46309</v>
      </c>
      <c r="B2074" s="0" t="n">
        <v>8</v>
      </c>
      <c r="C2074" s="0" t="n">
        <v>6353</v>
      </c>
      <c r="E2074" s="0" t="n">
        <v>0</v>
      </c>
      <c r="F2074" s="27" t="s">
        <v>1165</v>
      </c>
      <c r="I2074" s="27" t="s">
        <v>138</v>
      </c>
      <c r="L2074" s="0" t="n">
        <v>133</v>
      </c>
      <c r="U2074" s="0" t="n">
        <v>590</v>
      </c>
      <c r="V2074" s="0" t="n">
        <v>2</v>
      </c>
      <c r="W2074" s="27" t="n">
        <f aca="false">MATCH(A2074,DATAS,0)</f>
        <v>1</v>
      </c>
      <c r="X2074" s="27" t="n">
        <f aca="false">IF(AND(E2074&gt;0,OR(AND(B2074&gt;=1,B2074&lt;=6),B2074=10)),1,0)</f>
        <v>0</v>
      </c>
      <c r="Y2074" s="27" t="n">
        <f aca="false">IF(AND(E2074&gt;0,B2074=10),1,0)</f>
        <v>0</v>
      </c>
      <c r="Z2074" s="0" t="str">
        <f aca="false">IF(AND(C2073=C2074,W2073=W2074-1),X2073,"")</f>
        <v/>
      </c>
      <c r="AA2074" s="0" t="str">
        <f aca="false">IF(AND(C2073=C2074,W2073=W2074-1),Y2073,"")</f>
        <v/>
      </c>
      <c r="AB2074" s="0" t="str">
        <f aca="false">IF(W2074=1,"",IF(AND(X2074=1,Z2074&lt;&gt;1),1,0))</f>
        <v/>
      </c>
      <c r="AC2074" s="0" t="str">
        <f aca="false">IF(W2074=1,"",IF(AND(Y2074=1,AA2074&lt;&gt;1),1,0))</f>
        <v/>
      </c>
      <c r="AD2074" s="33" t="str">
        <f aca="false">IF(AND(E2074&gt;0,W2074&lt;1,NOT(AND(C2075=C2074,W2075=W2074+1))),INDEX(DATAS,W2074+1),"")</f>
        <v/>
      </c>
      <c r="AE2074" s="33" t="str">
        <f aca="false">IF(AND(Y2074=1,W2074&lt;1),IF(AND(C2075=C2074,W2075=W2074+1),IF(Y2075=1,"",INDEX(DATAS,W2074+1)),INDEX(DATAS,W2074+1)),"")</f>
        <v/>
      </c>
    </row>
    <row r="2075" customFormat="false" ht="15" hidden="false" customHeight="false" outlineLevel="0" collapsed="false">
      <c r="A2075" s="33" t="n">
        <v>46309</v>
      </c>
      <c r="B2075" s="0" t="n">
        <v>8</v>
      </c>
      <c r="C2075" s="0" t="n">
        <v>6355</v>
      </c>
      <c r="E2075" s="0" t="n">
        <v>0</v>
      </c>
      <c r="F2075" s="27" t="s">
        <v>1165</v>
      </c>
      <c r="I2075" s="27" t="s">
        <v>138</v>
      </c>
      <c r="L2075" s="0" t="n">
        <v>191</v>
      </c>
      <c r="U2075" s="0" t="n">
        <v>590</v>
      </c>
      <c r="V2075" s="0" t="n">
        <v>1</v>
      </c>
      <c r="W2075" s="27" t="n">
        <f aca="false">MATCH(A2075,DATAS,0)</f>
        <v>1</v>
      </c>
      <c r="X2075" s="27" t="n">
        <f aca="false">IF(AND(E2075&gt;0,OR(AND(B2075&gt;=1,B2075&lt;=6),B2075=10)),1,0)</f>
        <v>0</v>
      </c>
      <c r="Y2075" s="27" t="n">
        <f aca="false">IF(AND(E2075&gt;0,B2075=10),1,0)</f>
        <v>0</v>
      </c>
      <c r="Z2075" s="0" t="str">
        <f aca="false">IF(AND(C2074=C2075,W2074=W2075-1),X2074,"")</f>
        <v/>
      </c>
      <c r="AA2075" s="0" t="str">
        <f aca="false">IF(AND(C2074=C2075,W2074=W2075-1),Y2074,"")</f>
        <v/>
      </c>
      <c r="AB2075" s="0" t="str">
        <f aca="false">IF(W2075=1,"",IF(AND(X2075=1,Z2075&lt;&gt;1),1,0))</f>
        <v/>
      </c>
      <c r="AC2075" s="0" t="str">
        <f aca="false">IF(W2075=1,"",IF(AND(Y2075=1,AA2075&lt;&gt;1),1,0))</f>
        <v/>
      </c>
      <c r="AD2075" s="33" t="str">
        <f aca="false">IF(AND(E2075&gt;0,W2075&lt;1,NOT(AND(C2076=C2075,W2076=W2075+1))),INDEX(DATAS,W2075+1),"")</f>
        <v/>
      </c>
      <c r="AE2075" s="33" t="str">
        <f aca="false">IF(AND(Y2075=1,W2075&lt;1),IF(AND(C2076=C2075,W2076=W2075+1),IF(Y2076=1,"",INDEX(DATAS,W2075+1)),INDEX(DATAS,W2075+1)),"")</f>
        <v/>
      </c>
    </row>
    <row r="2076" customFormat="false" ht="15" hidden="false" customHeight="false" outlineLevel="0" collapsed="false">
      <c r="A2076" s="33" t="n">
        <v>46309</v>
      </c>
      <c r="B2076" s="0" t="n">
        <v>8</v>
      </c>
      <c r="C2076" s="0" t="n">
        <v>6356</v>
      </c>
      <c r="E2076" s="0" t="n">
        <v>0</v>
      </c>
      <c r="F2076" s="27" t="s">
        <v>1165</v>
      </c>
      <c r="I2076" s="27" t="s">
        <v>138</v>
      </c>
      <c r="L2076" s="0" t="n">
        <v>150</v>
      </c>
      <c r="U2076" s="0" t="n">
        <v>590</v>
      </c>
      <c r="V2076" s="0" t="n">
        <v>2</v>
      </c>
      <c r="W2076" s="27" t="n">
        <f aca="false">MATCH(A2076,DATAS,0)</f>
        <v>1</v>
      </c>
      <c r="X2076" s="27" t="n">
        <f aca="false">IF(AND(E2076&gt;0,OR(AND(B2076&gt;=1,B2076&lt;=6),B2076=10)),1,0)</f>
        <v>0</v>
      </c>
      <c r="Y2076" s="27" t="n">
        <f aca="false">IF(AND(E2076&gt;0,B2076=10),1,0)</f>
        <v>0</v>
      </c>
      <c r="Z2076" s="0" t="str">
        <f aca="false">IF(AND(C2075=C2076,W2075=W2076-1),X2075,"")</f>
        <v/>
      </c>
      <c r="AA2076" s="0" t="str">
        <f aca="false">IF(AND(C2075=C2076,W2075=W2076-1),Y2075,"")</f>
        <v/>
      </c>
      <c r="AB2076" s="0" t="str">
        <f aca="false">IF(W2076=1,"",IF(AND(X2076=1,Z2076&lt;&gt;1),1,0))</f>
        <v/>
      </c>
      <c r="AC2076" s="0" t="str">
        <f aca="false">IF(W2076=1,"",IF(AND(Y2076=1,AA2076&lt;&gt;1),1,0))</f>
        <v/>
      </c>
      <c r="AD2076" s="33" t="str">
        <f aca="false">IF(AND(E2076&gt;0,W2076&lt;1,NOT(AND(C2077=C2076,W2077=W2076+1))),INDEX(DATAS,W2076+1),"")</f>
        <v/>
      </c>
      <c r="AE2076" s="33" t="str">
        <f aca="false">IF(AND(Y2076=1,W2076&lt;1),IF(AND(C2077=C2076,W2077=W2076+1),IF(Y2077=1,"",INDEX(DATAS,W2076+1)),INDEX(DATAS,W2076+1)),"")</f>
        <v/>
      </c>
    </row>
    <row r="2077" customFormat="false" ht="15" hidden="false" customHeight="false" outlineLevel="0" collapsed="false">
      <c r="A2077" s="33" t="n">
        <v>46309</v>
      </c>
      <c r="B2077" s="0" t="n">
        <v>8</v>
      </c>
      <c r="C2077" s="0" t="n">
        <v>6357</v>
      </c>
      <c r="E2077" s="0" t="n">
        <v>0</v>
      </c>
      <c r="F2077" s="27" t="s">
        <v>1166</v>
      </c>
      <c r="I2077" s="27" t="s">
        <v>138</v>
      </c>
      <c r="L2077" s="0" t="n">
        <v>184</v>
      </c>
      <c r="U2077" s="0" t="n">
        <v>589</v>
      </c>
      <c r="V2077" s="0" t="n">
        <v>1</v>
      </c>
      <c r="W2077" s="27" t="n">
        <f aca="false">MATCH(A2077,DATAS,0)</f>
        <v>1</v>
      </c>
      <c r="X2077" s="27" t="n">
        <f aca="false">IF(AND(E2077&gt;0,OR(AND(B2077&gt;=1,B2077&lt;=6),B2077=10)),1,0)</f>
        <v>0</v>
      </c>
      <c r="Y2077" s="27" t="n">
        <f aca="false">IF(AND(E2077&gt;0,B2077=10),1,0)</f>
        <v>0</v>
      </c>
      <c r="Z2077" s="0" t="str">
        <f aca="false">IF(AND(C2076=C2077,W2076=W2077-1),X2076,"")</f>
        <v/>
      </c>
      <c r="AA2077" s="0" t="str">
        <f aca="false">IF(AND(C2076=C2077,W2076=W2077-1),Y2076,"")</f>
        <v/>
      </c>
      <c r="AB2077" s="0" t="str">
        <f aca="false">IF(W2077=1,"",IF(AND(X2077=1,Z2077&lt;&gt;1),1,0))</f>
        <v/>
      </c>
      <c r="AC2077" s="0" t="str">
        <f aca="false">IF(W2077=1,"",IF(AND(Y2077=1,AA2077&lt;&gt;1),1,0))</f>
        <v/>
      </c>
      <c r="AD2077" s="33" t="str">
        <f aca="false">IF(AND(E2077&gt;0,W2077&lt;1,NOT(AND(C2078=C2077,W2078=W2077+1))),INDEX(DATAS,W2077+1),"")</f>
        <v/>
      </c>
      <c r="AE2077" s="33" t="str">
        <f aca="false">IF(AND(Y2077=1,W2077&lt;1),IF(AND(C2078=C2077,W2078=W2077+1),IF(Y2078=1,"",INDEX(DATAS,W2077+1)),INDEX(DATAS,W2077+1)),"")</f>
        <v/>
      </c>
    </row>
    <row r="2078" customFormat="false" ht="15" hidden="false" customHeight="false" outlineLevel="0" collapsed="false">
      <c r="A2078" s="33" t="n">
        <v>46309</v>
      </c>
      <c r="B2078" s="0" t="n">
        <v>8</v>
      </c>
      <c r="C2078" s="0" t="n">
        <v>6358</v>
      </c>
      <c r="E2078" s="0" t="n">
        <v>0</v>
      </c>
      <c r="F2078" s="27" t="s">
        <v>1166</v>
      </c>
      <c r="I2078" s="27" t="s">
        <v>138</v>
      </c>
      <c r="L2078" s="0" t="n">
        <v>182</v>
      </c>
      <c r="U2078" s="0" t="n">
        <v>589</v>
      </c>
      <c r="V2078" s="0" t="n">
        <v>1</v>
      </c>
      <c r="W2078" s="27" t="n">
        <f aca="false">MATCH(A2078,DATAS,0)</f>
        <v>1</v>
      </c>
      <c r="X2078" s="27" t="n">
        <f aca="false">IF(AND(E2078&gt;0,OR(AND(B2078&gt;=1,B2078&lt;=6),B2078=10)),1,0)</f>
        <v>0</v>
      </c>
      <c r="Y2078" s="27" t="n">
        <f aca="false">IF(AND(E2078&gt;0,B2078=10),1,0)</f>
        <v>0</v>
      </c>
      <c r="Z2078" s="0" t="str">
        <f aca="false">IF(AND(C2077=C2078,W2077=W2078-1),X2077,"")</f>
        <v/>
      </c>
      <c r="AA2078" s="0" t="str">
        <f aca="false">IF(AND(C2077=C2078,W2077=W2078-1),Y2077,"")</f>
        <v/>
      </c>
      <c r="AB2078" s="0" t="str">
        <f aca="false">IF(W2078=1,"",IF(AND(X2078=1,Z2078&lt;&gt;1),1,0))</f>
        <v/>
      </c>
      <c r="AC2078" s="0" t="str">
        <f aca="false">IF(W2078=1,"",IF(AND(Y2078=1,AA2078&lt;&gt;1),1,0))</f>
        <v/>
      </c>
      <c r="AD2078" s="33" t="str">
        <f aca="false">IF(AND(E2078&gt;0,W2078&lt;1,NOT(AND(C2079=C2078,W2079=W2078+1))),INDEX(DATAS,W2078+1),"")</f>
        <v/>
      </c>
      <c r="AE2078" s="33" t="str">
        <f aca="false">IF(AND(Y2078=1,W2078&lt;1),IF(AND(C2079=C2078,W2079=W2078+1),IF(Y2079=1,"",INDEX(DATAS,W2078+1)),INDEX(DATAS,W2078+1)),"")</f>
        <v/>
      </c>
    </row>
    <row r="2079" customFormat="false" ht="15" hidden="false" customHeight="false" outlineLevel="0" collapsed="false">
      <c r="A2079" s="33" t="n">
        <v>46309</v>
      </c>
      <c r="B2079" s="0" t="n">
        <v>8</v>
      </c>
      <c r="C2079" s="0" t="n">
        <v>6359</v>
      </c>
      <c r="E2079" s="0" t="n">
        <v>0</v>
      </c>
      <c r="F2079" s="27" t="s">
        <v>1167</v>
      </c>
      <c r="I2079" s="27" t="s">
        <v>138</v>
      </c>
      <c r="L2079" s="0" t="n">
        <v>160</v>
      </c>
      <c r="U2079" s="0" t="n">
        <v>587</v>
      </c>
      <c r="V2079" s="0" t="n">
        <v>2</v>
      </c>
      <c r="W2079" s="27" t="n">
        <f aca="false">MATCH(A2079,DATAS,0)</f>
        <v>1</v>
      </c>
      <c r="X2079" s="27" t="n">
        <f aca="false">IF(AND(E2079&gt;0,OR(AND(B2079&gt;=1,B2079&lt;=6),B2079=10)),1,0)</f>
        <v>0</v>
      </c>
      <c r="Y2079" s="27" t="n">
        <f aca="false">IF(AND(E2079&gt;0,B2079=10),1,0)</f>
        <v>0</v>
      </c>
      <c r="Z2079" s="0" t="str">
        <f aca="false">IF(AND(C2078=C2079,W2078=W2079-1),X2078,"")</f>
        <v/>
      </c>
      <c r="AA2079" s="0" t="str">
        <f aca="false">IF(AND(C2078=C2079,W2078=W2079-1),Y2078,"")</f>
        <v/>
      </c>
      <c r="AB2079" s="0" t="str">
        <f aca="false">IF(W2079=1,"",IF(AND(X2079=1,Z2079&lt;&gt;1),1,0))</f>
        <v/>
      </c>
      <c r="AC2079" s="0" t="str">
        <f aca="false">IF(W2079=1,"",IF(AND(Y2079=1,AA2079&lt;&gt;1),1,0))</f>
        <v/>
      </c>
      <c r="AD2079" s="33" t="str">
        <f aca="false">IF(AND(E2079&gt;0,W2079&lt;1,NOT(AND(C2080=C2079,W2080=W2079+1))),INDEX(DATAS,W2079+1),"")</f>
        <v/>
      </c>
      <c r="AE2079" s="33" t="str">
        <f aca="false">IF(AND(Y2079=1,W2079&lt;1),IF(AND(C2080=C2079,W2080=W2079+1),IF(Y2080=1,"",INDEX(DATAS,W2079+1)),INDEX(DATAS,W2079+1)),"")</f>
        <v/>
      </c>
    </row>
    <row r="2080" customFormat="false" ht="15" hidden="false" customHeight="false" outlineLevel="0" collapsed="false">
      <c r="A2080" s="33" t="n">
        <v>46309</v>
      </c>
      <c r="B2080" s="0" t="n">
        <v>8</v>
      </c>
      <c r="C2080" s="0" t="n">
        <v>6360</v>
      </c>
      <c r="E2080" s="0" t="n">
        <v>0</v>
      </c>
      <c r="F2080" s="27" t="s">
        <v>1167</v>
      </c>
      <c r="I2080" s="27" t="s">
        <v>138</v>
      </c>
      <c r="L2080" s="0" t="n">
        <v>122</v>
      </c>
      <c r="U2080" s="0" t="n">
        <v>587</v>
      </c>
      <c r="V2080" s="0" t="n">
        <v>4</v>
      </c>
      <c r="W2080" s="27" t="n">
        <f aca="false">MATCH(A2080,DATAS,0)</f>
        <v>1</v>
      </c>
      <c r="X2080" s="27" t="n">
        <f aca="false">IF(AND(E2080&gt;0,OR(AND(B2080&gt;=1,B2080&lt;=6),B2080=10)),1,0)</f>
        <v>0</v>
      </c>
      <c r="Y2080" s="27" t="n">
        <f aca="false">IF(AND(E2080&gt;0,B2080=10),1,0)</f>
        <v>0</v>
      </c>
      <c r="Z2080" s="0" t="str">
        <f aca="false">IF(AND(C2079=C2080,W2079=W2080-1),X2079,"")</f>
        <v/>
      </c>
      <c r="AA2080" s="0" t="str">
        <f aca="false">IF(AND(C2079=C2080,W2079=W2080-1),Y2079,"")</f>
        <v/>
      </c>
      <c r="AB2080" s="0" t="str">
        <f aca="false">IF(W2080=1,"",IF(AND(X2080=1,Z2080&lt;&gt;1),1,0))</f>
        <v/>
      </c>
      <c r="AC2080" s="0" t="str">
        <f aca="false">IF(W2080=1,"",IF(AND(Y2080=1,AA2080&lt;&gt;1),1,0))</f>
        <v/>
      </c>
      <c r="AD2080" s="33" t="str">
        <f aca="false">IF(AND(E2080&gt;0,W2080&lt;1,NOT(AND(C2081=C2080,W2081=W2080+1))),INDEX(DATAS,W2080+1),"")</f>
        <v/>
      </c>
      <c r="AE2080" s="33" t="str">
        <f aca="false">IF(AND(Y2080=1,W2080&lt;1),IF(AND(C2081=C2080,W2081=W2080+1),IF(Y2081=1,"",INDEX(DATAS,W2080+1)),INDEX(DATAS,W2080+1)),"")</f>
        <v/>
      </c>
    </row>
    <row r="2081" customFormat="false" ht="15" hidden="false" customHeight="false" outlineLevel="0" collapsed="false">
      <c r="A2081" s="33" t="n">
        <v>46309</v>
      </c>
      <c r="B2081" s="0" t="n">
        <v>8</v>
      </c>
      <c r="C2081" s="0" t="n">
        <v>6361</v>
      </c>
      <c r="E2081" s="0" t="n">
        <v>0</v>
      </c>
      <c r="F2081" s="27" t="s">
        <v>1167</v>
      </c>
      <c r="I2081" s="27" t="s">
        <v>138</v>
      </c>
      <c r="L2081" s="0" t="n">
        <v>147</v>
      </c>
      <c r="U2081" s="0" t="n">
        <v>587</v>
      </c>
      <c r="V2081" s="0" t="n">
        <v>1</v>
      </c>
      <c r="W2081" s="27" t="n">
        <f aca="false">MATCH(A2081,DATAS,0)</f>
        <v>1</v>
      </c>
      <c r="X2081" s="27" t="n">
        <f aca="false">IF(AND(E2081&gt;0,OR(AND(B2081&gt;=1,B2081&lt;=6),B2081=10)),1,0)</f>
        <v>0</v>
      </c>
      <c r="Y2081" s="27" t="n">
        <f aca="false">IF(AND(E2081&gt;0,B2081=10),1,0)</f>
        <v>0</v>
      </c>
      <c r="Z2081" s="0" t="str">
        <f aca="false">IF(AND(C2080=C2081,W2080=W2081-1),X2080,"")</f>
        <v/>
      </c>
      <c r="AA2081" s="0" t="str">
        <f aca="false">IF(AND(C2080=C2081,W2080=W2081-1),Y2080,"")</f>
        <v/>
      </c>
      <c r="AB2081" s="0" t="str">
        <f aca="false">IF(W2081=1,"",IF(AND(X2081=1,Z2081&lt;&gt;1),1,0))</f>
        <v/>
      </c>
      <c r="AC2081" s="0" t="str">
        <f aca="false">IF(W2081=1,"",IF(AND(Y2081=1,AA2081&lt;&gt;1),1,0))</f>
        <v/>
      </c>
      <c r="AD2081" s="33" t="str">
        <f aca="false">IF(AND(E2081&gt;0,W2081&lt;1,NOT(AND(C2082=C2081,W2082=W2081+1))),INDEX(DATAS,W2081+1),"")</f>
        <v/>
      </c>
      <c r="AE2081" s="33" t="str">
        <f aca="false">IF(AND(Y2081=1,W2081&lt;1),IF(AND(C2082=C2081,W2082=W2081+1),IF(Y2082=1,"",INDEX(DATAS,W2081+1)),INDEX(DATAS,W2081+1)),"")</f>
        <v/>
      </c>
    </row>
    <row r="2082" customFormat="false" ht="15" hidden="false" customHeight="false" outlineLevel="0" collapsed="false">
      <c r="A2082" s="33" t="n">
        <v>46309</v>
      </c>
      <c r="B2082" s="0" t="n">
        <v>8</v>
      </c>
      <c r="C2082" s="0" t="n">
        <v>6362</v>
      </c>
      <c r="E2082" s="0" t="n">
        <v>0</v>
      </c>
      <c r="F2082" s="27" t="s">
        <v>1167</v>
      </c>
      <c r="I2082" s="27" t="s">
        <v>138</v>
      </c>
      <c r="L2082" s="0" t="n">
        <v>184</v>
      </c>
      <c r="U2082" s="0" t="n">
        <v>587</v>
      </c>
      <c r="V2082" s="0" t="n">
        <v>1</v>
      </c>
      <c r="W2082" s="27" t="n">
        <f aca="false">MATCH(A2082,DATAS,0)</f>
        <v>1</v>
      </c>
      <c r="X2082" s="27" t="n">
        <f aca="false">IF(AND(E2082&gt;0,OR(AND(B2082&gt;=1,B2082&lt;=6),B2082=10)),1,0)</f>
        <v>0</v>
      </c>
      <c r="Y2082" s="27" t="n">
        <f aca="false">IF(AND(E2082&gt;0,B2082=10),1,0)</f>
        <v>0</v>
      </c>
      <c r="Z2082" s="0" t="str">
        <f aca="false">IF(AND(C2081=C2082,W2081=W2082-1),X2081,"")</f>
        <v/>
      </c>
      <c r="AA2082" s="0" t="str">
        <f aca="false">IF(AND(C2081=C2082,W2081=W2082-1),Y2081,"")</f>
        <v/>
      </c>
      <c r="AB2082" s="0" t="str">
        <f aca="false">IF(W2082=1,"",IF(AND(X2082=1,Z2082&lt;&gt;1),1,0))</f>
        <v/>
      </c>
      <c r="AC2082" s="0" t="str">
        <f aca="false">IF(W2082=1,"",IF(AND(Y2082=1,AA2082&lt;&gt;1),1,0))</f>
        <v/>
      </c>
      <c r="AD2082" s="33" t="str">
        <f aca="false">IF(AND(E2082&gt;0,W2082&lt;1,NOT(AND(C2083=C2082,W2083=W2082+1))),INDEX(DATAS,W2082+1),"")</f>
        <v/>
      </c>
      <c r="AE2082" s="33" t="str">
        <f aca="false">IF(AND(Y2082=1,W2082&lt;1),IF(AND(C2083=C2082,W2083=W2082+1),IF(Y2083=1,"",INDEX(DATAS,W2082+1)),INDEX(DATAS,W2082+1)),"")</f>
        <v/>
      </c>
    </row>
    <row r="2083" customFormat="false" ht="15" hidden="false" customHeight="false" outlineLevel="0" collapsed="false">
      <c r="A2083" s="33" t="n">
        <v>46309</v>
      </c>
      <c r="B2083" s="0" t="n">
        <v>8</v>
      </c>
      <c r="C2083" s="0" t="n">
        <v>6363</v>
      </c>
      <c r="E2083" s="0" t="n">
        <v>0</v>
      </c>
      <c r="F2083" s="27" t="s">
        <v>1167</v>
      </c>
      <c r="I2083" s="27" t="s">
        <v>138</v>
      </c>
      <c r="L2083" s="0" t="n">
        <v>190</v>
      </c>
      <c r="U2083" s="0" t="n">
        <v>587</v>
      </c>
      <c r="V2083" s="0" t="n">
        <v>1</v>
      </c>
      <c r="W2083" s="27" t="n">
        <f aca="false">MATCH(A2083,DATAS,0)</f>
        <v>1</v>
      </c>
      <c r="X2083" s="27" t="n">
        <f aca="false">IF(AND(E2083&gt;0,OR(AND(B2083&gt;=1,B2083&lt;=6),B2083=10)),1,0)</f>
        <v>0</v>
      </c>
      <c r="Y2083" s="27" t="n">
        <f aca="false">IF(AND(E2083&gt;0,B2083=10),1,0)</f>
        <v>0</v>
      </c>
      <c r="Z2083" s="0" t="str">
        <f aca="false">IF(AND(C2082=C2083,W2082=W2083-1),X2082,"")</f>
        <v/>
      </c>
      <c r="AA2083" s="0" t="str">
        <f aca="false">IF(AND(C2082=C2083,W2082=W2083-1),Y2082,"")</f>
        <v/>
      </c>
      <c r="AB2083" s="0" t="str">
        <f aca="false">IF(W2083=1,"",IF(AND(X2083=1,Z2083&lt;&gt;1),1,0))</f>
        <v/>
      </c>
      <c r="AC2083" s="0" t="str">
        <f aca="false">IF(W2083=1,"",IF(AND(Y2083=1,AA2083&lt;&gt;1),1,0))</f>
        <v/>
      </c>
      <c r="AD2083" s="33" t="str">
        <f aca="false">IF(AND(E2083&gt;0,W2083&lt;1,NOT(AND(C2084=C2083,W2084=W2083+1))),INDEX(DATAS,W2083+1),"")</f>
        <v/>
      </c>
      <c r="AE2083" s="33" t="str">
        <f aca="false">IF(AND(Y2083=1,W2083&lt;1),IF(AND(C2084=C2083,W2084=W2083+1),IF(Y2084=1,"",INDEX(DATAS,W2083+1)),INDEX(DATAS,W2083+1)),"")</f>
        <v/>
      </c>
    </row>
    <row r="2084" customFormat="false" ht="15" hidden="false" customHeight="false" outlineLevel="0" collapsed="false">
      <c r="A2084" s="33" t="n">
        <v>46309</v>
      </c>
      <c r="B2084" s="0" t="n">
        <v>8</v>
      </c>
      <c r="C2084" s="0" t="n">
        <v>6364</v>
      </c>
      <c r="E2084" s="0" t="n">
        <v>0</v>
      </c>
      <c r="F2084" s="27" t="s">
        <v>1168</v>
      </c>
      <c r="I2084" s="27" t="s">
        <v>138</v>
      </c>
      <c r="L2084" s="0" t="n">
        <v>182</v>
      </c>
      <c r="U2084" s="0" t="n">
        <v>586</v>
      </c>
      <c r="V2084" s="0" t="n">
        <v>1</v>
      </c>
      <c r="W2084" s="27" t="n">
        <f aca="false">MATCH(A2084,DATAS,0)</f>
        <v>1</v>
      </c>
      <c r="X2084" s="27" t="n">
        <f aca="false">IF(AND(E2084&gt;0,OR(AND(B2084&gt;=1,B2084&lt;=6),B2084=10)),1,0)</f>
        <v>0</v>
      </c>
      <c r="Y2084" s="27" t="n">
        <f aca="false">IF(AND(E2084&gt;0,B2084=10),1,0)</f>
        <v>0</v>
      </c>
      <c r="Z2084" s="0" t="str">
        <f aca="false">IF(AND(C2083=C2084,W2083=W2084-1),X2083,"")</f>
        <v/>
      </c>
      <c r="AA2084" s="0" t="str">
        <f aca="false">IF(AND(C2083=C2084,W2083=W2084-1),Y2083,"")</f>
        <v/>
      </c>
      <c r="AB2084" s="0" t="str">
        <f aca="false">IF(W2084=1,"",IF(AND(X2084=1,Z2084&lt;&gt;1),1,0))</f>
        <v/>
      </c>
      <c r="AC2084" s="0" t="str">
        <f aca="false">IF(W2084=1,"",IF(AND(Y2084=1,AA2084&lt;&gt;1),1,0))</f>
        <v/>
      </c>
      <c r="AD2084" s="33" t="str">
        <f aca="false">IF(AND(E2084&gt;0,W2084&lt;1,NOT(AND(C2085=C2084,W2085=W2084+1))),INDEX(DATAS,W2084+1),"")</f>
        <v/>
      </c>
      <c r="AE2084" s="33" t="str">
        <f aca="false">IF(AND(Y2084=1,W2084&lt;1),IF(AND(C2085=C2084,W2085=W2084+1),IF(Y2085=1,"",INDEX(DATAS,W2084+1)),INDEX(DATAS,W2084+1)),"")</f>
        <v/>
      </c>
    </row>
    <row r="2085" customFormat="false" ht="15" hidden="false" customHeight="false" outlineLevel="0" collapsed="false">
      <c r="A2085" s="33" t="n">
        <v>46309</v>
      </c>
      <c r="B2085" s="0" t="n">
        <v>8</v>
      </c>
      <c r="C2085" s="0" t="n">
        <v>6365</v>
      </c>
      <c r="E2085" s="0" t="n">
        <v>0</v>
      </c>
      <c r="F2085" s="27" t="s">
        <v>1168</v>
      </c>
      <c r="I2085" s="27" t="s">
        <v>138</v>
      </c>
      <c r="L2085" s="0" t="n">
        <v>192</v>
      </c>
      <c r="U2085" s="0" t="n">
        <v>586</v>
      </c>
      <c r="V2085" s="0" t="n">
        <v>1</v>
      </c>
      <c r="W2085" s="27" t="n">
        <f aca="false">MATCH(A2085,DATAS,0)</f>
        <v>1</v>
      </c>
      <c r="X2085" s="27" t="n">
        <f aca="false">IF(AND(E2085&gt;0,OR(AND(B2085&gt;=1,B2085&lt;=6),B2085=10)),1,0)</f>
        <v>0</v>
      </c>
      <c r="Y2085" s="27" t="n">
        <f aca="false">IF(AND(E2085&gt;0,B2085=10),1,0)</f>
        <v>0</v>
      </c>
      <c r="Z2085" s="0" t="str">
        <f aca="false">IF(AND(C2084=C2085,W2084=W2085-1),X2084,"")</f>
        <v/>
      </c>
      <c r="AA2085" s="0" t="str">
        <f aca="false">IF(AND(C2084=C2085,W2084=W2085-1),Y2084,"")</f>
        <v/>
      </c>
      <c r="AB2085" s="0" t="str">
        <f aca="false">IF(W2085=1,"",IF(AND(X2085=1,Z2085&lt;&gt;1),1,0))</f>
        <v/>
      </c>
      <c r="AC2085" s="0" t="str">
        <f aca="false">IF(W2085=1,"",IF(AND(Y2085=1,AA2085&lt;&gt;1),1,0))</f>
        <v/>
      </c>
      <c r="AD2085" s="33" t="str">
        <f aca="false">IF(AND(E2085&gt;0,W2085&lt;1,NOT(AND(C2086=C2085,W2086=W2085+1))),INDEX(DATAS,W2085+1),"")</f>
        <v/>
      </c>
      <c r="AE2085" s="33" t="str">
        <f aca="false">IF(AND(Y2085=1,W2085&lt;1),IF(AND(C2086=C2085,W2086=W2085+1),IF(Y2086=1,"",INDEX(DATAS,W2085+1)),INDEX(DATAS,W2085+1)),"")</f>
        <v/>
      </c>
    </row>
    <row r="2086" customFormat="false" ht="15" hidden="false" customHeight="false" outlineLevel="0" collapsed="false">
      <c r="A2086" s="33" t="n">
        <v>46309</v>
      </c>
      <c r="B2086" s="0" t="n">
        <v>8</v>
      </c>
      <c r="C2086" s="0" t="n">
        <v>6366</v>
      </c>
      <c r="E2086" s="0" t="n">
        <v>0</v>
      </c>
      <c r="F2086" s="27" t="s">
        <v>1169</v>
      </c>
      <c r="I2086" s="27" t="s">
        <v>138</v>
      </c>
      <c r="L2086" s="0" t="n">
        <v>182</v>
      </c>
      <c r="U2086" s="0" t="n">
        <v>585</v>
      </c>
      <c r="V2086" s="0" t="n">
        <v>1</v>
      </c>
      <c r="W2086" s="27" t="n">
        <f aca="false">MATCH(A2086,DATAS,0)</f>
        <v>1</v>
      </c>
      <c r="X2086" s="27" t="n">
        <f aca="false">IF(AND(E2086&gt;0,OR(AND(B2086&gt;=1,B2086&lt;=6),B2086=10)),1,0)</f>
        <v>0</v>
      </c>
      <c r="Y2086" s="27" t="n">
        <f aca="false">IF(AND(E2086&gt;0,B2086=10),1,0)</f>
        <v>0</v>
      </c>
      <c r="Z2086" s="0" t="str">
        <f aca="false">IF(AND(C2085=C2086,W2085=W2086-1),X2085,"")</f>
        <v/>
      </c>
      <c r="AA2086" s="0" t="str">
        <f aca="false">IF(AND(C2085=C2086,W2085=W2086-1),Y2085,"")</f>
        <v/>
      </c>
      <c r="AB2086" s="0" t="str">
        <f aca="false">IF(W2086=1,"",IF(AND(X2086=1,Z2086&lt;&gt;1),1,0))</f>
        <v/>
      </c>
      <c r="AC2086" s="0" t="str">
        <f aca="false">IF(W2086=1,"",IF(AND(Y2086=1,AA2086&lt;&gt;1),1,0))</f>
        <v/>
      </c>
      <c r="AD2086" s="33" t="str">
        <f aca="false">IF(AND(E2086&gt;0,W2086&lt;1,NOT(AND(C2087=C2086,W2087=W2086+1))),INDEX(DATAS,W2086+1),"")</f>
        <v/>
      </c>
      <c r="AE2086" s="33" t="str">
        <f aca="false">IF(AND(Y2086=1,W2086&lt;1),IF(AND(C2087=C2086,W2087=W2086+1),IF(Y2087=1,"",INDEX(DATAS,W2086+1)),INDEX(DATAS,W2086+1)),"")</f>
        <v/>
      </c>
    </row>
    <row r="2087" customFormat="false" ht="15" hidden="false" customHeight="false" outlineLevel="0" collapsed="false">
      <c r="A2087" s="33" t="n">
        <v>46309</v>
      </c>
      <c r="B2087" s="0" t="n">
        <v>8</v>
      </c>
      <c r="C2087" s="0" t="n">
        <v>6367</v>
      </c>
      <c r="E2087" s="0" t="n">
        <v>0</v>
      </c>
      <c r="F2087" s="27" t="s">
        <v>1169</v>
      </c>
      <c r="I2087" s="27" t="s">
        <v>138</v>
      </c>
      <c r="L2087" s="0" t="n">
        <v>169</v>
      </c>
      <c r="U2087" s="0" t="n">
        <v>585</v>
      </c>
      <c r="V2087" s="0" t="n">
        <v>2</v>
      </c>
      <c r="W2087" s="27" t="n">
        <f aca="false">MATCH(A2087,DATAS,0)</f>
        <v>1</v>
      </c>
      <c r="X2087" s="27" t="n">
        <f aca="false">IF(AND(E2087&gt;0,OR(AND(B2087&gt;=1,B2087&lt;=6),B2087=10)),1,0)</f>
        <v>0</v>
      </c>
      <c r="Y2087" s="27" t="n">
        <f aca="false">IF(AND(E2087&gt;0,B2087=10),1,0)</f>
        <v>0</v>
      </c>
      <c r="Z2087" s="0" t="str">
        <f aca="false">IF(AND(C2086=C2087,W2086=W2087-1),X2086,"")</f>
        <v/>
      </c>
      <c r="AA2087" s="0" t="str">
        <f aca="false">IF(AND(C2086=C2087,W2086=W2087-1),Y2086,"")</f>
        <v/>
      </c>
      <c r="AB2087" s="0" t="str">
        <f aca="false">IF(W2087=1,"",IF(AND(X2087=1,Z2087&lt;&gt;1),1,0))</f>
        <v/>
      </c>
      <c r="AC2087" s="0" t="str">
        <f aca="false">IF(W2087=1,"",IF(AND(Y2087=1,AA2087&lt;&gt;1),1,0))</f>
        <v/>
      </c>
      <c r="AD2087" s="33" t="str">
        <f aca="false">IF(AND(E2087&gt;0,W2087&lt;1,NOT(AND(C2088=C2087,W2088=W2087+1))),INDEX(DATAS,W2087+1),"")</f>
        <v/>
      </c>
      <c r="AE2087" s="33" t="str">
        <f aca="false">IF(AND(Y2087=1,W2087&lt;1),IF(AND(C2088=C2087,W2088=W2087+1),IF(Y2088=1,"",INDEX(DATAS,W2087+1)),INDEX(DATAS,W2087+1)),"")</f>
        <v/>
      </c>
    </row>
    <row r="2088" customFormat="false" ht="15" hidden="false" customHeight="false" outlineLevel="0" collapsed="false">
      <c r="A2088" s="33" t="n">
        <v>46309</v>
      </c>
      <c r="B2088" s="0" t="n">
        <v>8</v>
      </c>
      <c r="C2088" s="0" t="n">
        <v>6368</v>
      </c>
      <c r="E2088" s="0" t="n">
        <v>0</v>
      </c>
      <c r="F2088" s="27" t="s">
        <v>1169</v>
      </c>
      <c r="I2088" s="27" t="s">
        <v>138</v>
      </c>
      <c r="L2088" s="0" t="n">
        <v>170</v>
      </c>
      <c r="U2088" s="0" t="n">
        <v>585</v>
      </c>
      <c r="V2088" s="0" t="n">
        <v>2</v>
      </c>
      <c r="W2088" s="27" t="n">
        <f aca="false">MATCH(A2088,DATAS,0)</f>
        <v>1</v>
      </c>
      <c r="X2088" s="27" t="n">
        <f aca="false">IF(AND(E2088&gt;0,OR(AND(B2088&gt;=1,B2088&lt;=6),B2088=10)),1,0)</f>
        <v>0</v>
      </c>
      <c r="Y2088" s="27" t="n">
        <f aca="false">IF(AND(E2088&gt;0,B2088=10),1,0)</f>
        <v>0</v>
      </c>
      <c r="Z2088" s="0" t="str">
        <f aca="false">IF(AND(C2087=C2088,W2087=W2088-1),X2087,"")</f>
        <v/>
      </c>
      <c r="AA2088" s="0" t="str">
        <f aca="false">IF(AND(C2087=C2088,W2087=W2088-1),Y2087,"")</f>
        <v/>
      </c>
      <c r="AB2088" s="0" t="str">
        <f aca="false">IF(W2088=1,"",IF(AND(X2088=1,Z2088&lt;&gt;1),1,0))</f>
        <v/>
      </c>
      <c r="AC2088" s="0" t="str">
        <f aca="false">IF(W2088=1,"",IF(AND(Y2088=1,AA2088&lt;&gt;1),1,0))</f>
        <v/>
      </c>
      <c r="AD2088" s="33" t="str">
        <f aca="false">IF(AND(E2088&gt;0,W2088&lt;1,NOT(AND(C2089=C2088,W2089=W2088+1))),INDEX(DATAS,W2088+1),"")</f>
        <v/>
      </c>
      <c r="AE2088" s="33" t="str">
        <f aca="false">IF(AND(Y2088=1,W2088&lt;1),IF(AND(C2089=C2088,W2089=W2088+1),IF(Y2089=1,"",INDEX(DATAS,W2088+1)),INDEX(DATAS,W2088+1)),"")</f>
        <v/>
      </c>
    </row>
    <row r="2089" customFormat="false" ht="15" hidden="false" customHeight="false" outlineLevel="0" collapsed="false">
      <c r="A2089" s="33" t="n">
        <v>46309</v>
      </c>
      <c r="B2089" s="0" t="n">
        <v>8</v>
      </c>
      <c r="C2089" s="0" t="n">
        <v>6369</v>
      </c>
      <c r="E2089" s="0" t="n">
        <v>0</v>
      </c>
      <c r="F2089" s="27" t="s">
        <v>1170</v>
      </c>
      <c r="I2089" s="27" t="s">
        <v>138</v>
      </c>
      <c r="L2089" s="0" t="n">
        <v>181</v>
      </c>
      <c r="U2089" s="0" t="n">
        <v>584</v>
      </c>
      <c r="V2089" s="0" t="n">
        <v>1</v>
      </c>
      <c r="W2089" s="27" t="n">
        <f aca="false">MATCH(A2089,DATAS,0)</f>
        <v>1</v>
      </c>
      <c r="X2089" s="27" t="n">
        <f aca="false">IF(AND(E2089&gt;0,OR(AND(B2089&gt;=1,B2089&lt;=6),B2089=10)),1,0)</f>
        <v>0</v>
      </c>
      <c r="Y2089" s="27" t="n">
        <f aca="false">IF(AND(E2089&gt;0,B2089=10),1,0)</f>
        <v>0</v>
      </c>
      <c r="Z2089" s="0" t="str">
        <f aca="false">IF(AND(C2088=C2089,W2088=W2089-1),X2088,"")</f>
        <v/>
      </c>
      <c r="AA2089" s="0" t="str">
        <f aca="false">IF(AND(C2088=C2089,W2088=W2089-1),Y2088,"")</f>
        <v/>
      </c>
      <c r="AB2089" s="0" t="str">
        <f aca="false">IF(W2089=1,"",IF(AND(X2089=1,Z2089&lt;&gt;1),1,0))</f>
        <v/>
      </c>
      <c r="AC2089" s="0" t="str">
        <f aca="false">IF(W2089=1,"",IF(AND(Y2089=1,AA2089&lt;&gt;1),1,0))</f>
        <v/>
      </c>
      <c r="AD2089" s="33" t="str">
        <f aca="false">IF(AND(E2089&gt;0,W2089&lt;1,NOT(AND(C2090=C2089,W2090=W2089+1))),INDEX(DATAS,W2089+1),"")</f>
        <v/>
      </c>
      <c r="AE2089" s="33" t="str">
        <f aca="false">IF(AND(Y2089=1,W2089&lt;1),IF(AND(C2090=C2089,W2090=W2089+1),IF(Y2090=1,"",INDEX(DATAS,W2089+1)),INDEX(DATAS,W2089+1)),"")</f>
        <v/>
      </c>
    </row>
    <row r="2090" customFormat="false" ht="15" hidden="false" customHeight="false" outlineLevel="0" collapsed="false">
      <c r="A2090" s="33" t="n">
        <v>46309</v>
      </c>
      <c r="B2090" s="0" t="n">
        <v>8</v>
      </c>
      <c r="C2090" s="0" t="n">
        <v>6371</v>
      </c>
      <c r="E2090" s="0" t="n">
        <v>0</v>
      </c>
      <c r="F2090" s="27" t="s">
        <v>1170</v>
      </c>
      <c r="I2090" s="27" t="s">
        <v>138</v>
      </c>
      <c r="L2090" s="0" t="n">
        <v>119</v>
      </c>
      <c r="U2090" s="0" t="n">
        <v>584</v>
      </c>
      <c r="V2090" s="0" t="n">
        <v>2</v>
      </c>
      <c r="W2090" s="27" t="n">
        <f aca="false">MATCH(A2090,DATAS,0)</f>
        <v>1</v>
      </c>
      <c r="X2090" s="27" t="n">
        <f aca="false">IF(AND(E2090&gt;0,OR(AND(B2090&gt;=1,B2090&lt;=6),B2090=10)),1,0)</f>
        <v>0</v>
      </c>
      <c r="Y2090" s="27" t="n">
        <f aca="false">IF(AND(E2090&gt;0,B2090=10),1,0)</f>
        <v>0</v>
      </c>
      <c r="Z2090" s="0" t="str">
        <f aca="false">IF(AND(C2089=C2090,W2089=W2090-1),X2089,"")</f>
        <v/>
      </c>
      <c r="AA2090" s="0" t="str">
        <f aca="false">IF(AND(C2089=C2090,W2089=W2090-1),Y2089,"")</f>
        <v/>
      </c>
      <c r="AB2090" s="0" t="str">
        <f aca="false">IF(W2090=1,"",IF(AND(X2090=1,Z2090&lt;&gt;1),1,0))</f>
        <v/>
      </c>
      <c r="AC2090" s="0" t="str">
        <f aca="false">IF(W2090=1,"",IF(AND(Y2090=1,AA2090&lt;&gt;1),1,0))</f>
        <v/>
      </c>
      <c r="AD2090" s="33" t="str">
        <f aca="false">IF(AND(E2090&gt;0,W2090&lt;1,NOT(AND(C2091=C2090,W2091=W2090+1))),INDEX(DATAS,W2090+1),"")</f>
        <v/>
      </c>
      <c r="AE2090" s="33" t="str">
        <f aca="false">IF(AND(Y2090=1,W2090&lt;1),IF(AND(C2091=C2090,W2091=W2090+1),IF(Y2091=1,"",INDEX(DATAS,W2090+1)),INDEX(DATAS,W2090+1)),"")</f>
        <v/>
      </c>
    </row>
    <row r="2091" customFormat="false" ht="15" hidden="false" customHeight="false" outlineLevel="0" collapsed="false">
      <c r="A2091" s="33" t="n">
        <v>46309</v>
      </c>
      <c r="B2091" s="0" t="n">
        <v>13</v>
      </c>
      <c r="C2091" s="0" t="n">
        <v>6372</v>
      </c>
      <c r="E2091" s="0" t="n">
        <v>0</v>
      </c>
      <c r="F2091" s="27" t="s">
        <v>1171</v>
      </c>
      <c r="I2091" s="27" t="s">
        <v>176</v>
      </c>
      <c r="U2091" s="0" t="n">
        <v>583</v>
      </c>
      <c r="V2091" s="0" t="n">
        <v>0</v>
      </c>
      <c r="W2091" s="27" t="n">
        <f aca="false">MATCH(A2091,DATAS,0)</f>
        <v>1</v>
      </c>
      <c r="X2091" s="27" t="n">
        <f aca="false">IF(AND(E2091&gt;0,OR(AND(B2091&gt;=1,B2091&lt;=6),B2091=10)),1,0)</f>
        <v>0</v>
      </c>
      <c r="Y2091" s="27" t="n">
        <f aca="false">IF(AND(E2091&gt;0,B2091=10),1,0)</f>
        <v>0</v>
      </c>
      <c r="Z2091" s="0" t="str">
        <f aca="false">IF(AND(C2090=C2091,W2090=W2091-1),X2090,"")</f>
        <v/>
      </c>
      <c r="AA2091" s="0" t="str">
        <f aca="false">IF(AND(C2090=C2091,W2090=W2091-1),Y2090,"")</f>
        <v/>
      </c>
      <c r="AB2091" s="0" t="str">
        <f aca="false">IF(W2091=1,"",IF(AND(X2091=1,Z2091&lt;&gt;1),1,0))</f>
        <v/>
      </c>
      <c r="AC2091" s="0" t="str">
        <f aca="false">IF(W2091=1,"",IF(AND(Y2091=1,AA2091&lt;&gt;1),1,0))</f>
        <v/>
      </c>
      <c r="AD2091" s="33" t="str">
        <f aca="false">IF(AND(E2091&gt;0,W2091&lt;1,NOT(AND(C2092=C2091,W2092=W2091+1))),INDEX(DATAS,W2091+1),"")</f>
        <v/>
      </c>
      <c r="AE2091" s="33" t="str">
        <f aca="false">IF(AND(Y2091=1,W2091&lt;1),IF(AND(C2092=C2091,W2092=W2091+1),IF(Y2092=1,"",INDEX(DATAS,W2091+1)),INDEX(DATAS,W2091+1)),"")</f>
        <v/>
      </c>
    </row>
    <row r="2092" customFormat="false" ht="15" hidden="false" customHeight="false" outlineLevel="0" collapsed="false">
      <c r="A2092" s="33" t="n">
        <v>46309</v>
      </c>
      <c r="B2092" s="0" t="n">
        <v>8</v>
      </c>
      <c r="C2092" s="0" t="n">
        <v>6373</v>
      </c>
      <c r="E2092" s="0" t="n">
        <v>0</v>
      </c>
      <c r="F2092" s="27" t="s">
        <v>1171</v>
      </c>
      <c r="I2092" s="27" t="s">
        <v>138</v>
      </c>
      <c r="L2092" s="0" t="n">
        <v>180</v>
      </c>
      <c r="U2092" s="0" t="n">
        <v>583</v>
      </c>
      <c r="V2092" s="0" t="n">
        <v>1</v>
      </c>
      <c r="W2092" s="27" t="n">
        <f aca="false">MATCH(A2092,DATAS,0)</f>
        <v>1</v>
      </c>
      <c r="X2092" s="27" t="n">
        <f aca="false">IF(AND(E2092&gt;0,OR(AND(B2092&gt;=1,B2092&lt;=6),B2092=10)),1,0)</f>
        <v>0</v>
      </c>
      <c r="Y2092" s="27" t="n">
        <f aca="false">IF(AND(E2092&gt;0,B2092=10),1,0)</f>
        <v>0</v>
      </c>
      <c r="Z2092" s="0" t="str">
        <f aca="false">IF(AND(C2091=C2092,W2091=W2092-1),X2091,"")</f>
        <v/>
      </c>
      <c r="AA2092" s="0" t="str">
        <f aca="false">IF(AND(C2091=C2092,W2091=W2092-1),Y2091,"")</f>
        <v/>
      </c>
      <c r="AB2092" s="0" t="str">
        <f aca="false">IF(W2092=1,"",IF(AND(X2092=1,Z2092&lt;&gt;1),1,0))</f>
        <v/>
      </c>
      <c r="AC2092" s="0" t="str">
        <f aca="false">IF(W2092=1,"",IF(AND(Y2092=1,AA2092&lt;&gt;1),1,0))</f>
        <v/>
      </c>
      <c r="AD2092" s="33" t="str">
        <f aca="false">IF(AND(E2092&gt;0,W2092&lt;1,NOT(AND(C2093=C2092,W2093=W2092+1))),INDEX(DATAS,W2092+1),"")</f>
        <v/>
      </c>
      <c r="AE2092" s="33" t="str">
        <f aca="false">IF(AND(Y2092=1,W2092&lt;1),IF(AND(C2093=C2092,W2093=W2092+1),IF(Y2093=1,"",INDEX(DATAS,W2092+1)),INDEX(DATAS,W2092+1)),"")</f>
        <v/>
      </c>
    </row>
    <row r="2093" customFormat="false" ht="15" hidden="false" customHeight="false" outlineLevel="0" collapsed="false">
      <c r="A2093" s="33" t="n">
        <v>46309</v>
      </c>
      <c r="B2093" s="0" t="n">
        <v>11</v>
      </c>
      <c r="C2093" s="0" t="n">
        <v>6374</v>
      </c>
      <c r="E2093" s="0" t="n">
        <v>0</v>
      </c>
      <c r="F2093" s="27" t="s">
        <v>1171</v>
      </c>
      <c r="I2093" s="27" t="s">
        <v>168</v>
      </c>
      <c r="U2093" s="0" t="n">
        <v>583</v>
      </c>
      <c r="V2093" s="0" t="n">
        <v>6</v>
      </c>
      <c r="W2093" s="27" t="n">
        <f aca="false">MATCH(A2093,DATAS,0)</f>
        <v>1</v>
      </c>
      <c r="X2093" s="27" t="n">
        <f aca="false">IF(AND(E2093&gt;0,OR(AND(B2093&gt;=1,B2093&lt;=6),B2093=10)),1,0)</f>
        <v>0</v>
      </c>
      <c r="Y2093" s="27" t="n">
        <f aca="false">IF(AND(E2093&gt;0,B2093=10),1,0)</f>
        <v>0</v>
      </c>
      <c r="Z2093" s="0" t="str">
        <f aca="false">IF(AND(C2092=C2093,W2092=W2093-1),X2092,"")</f>
        <v/>
      </c>
      <c r="AA2093" s="0" t="str">
        <f aca="false">IF(AND(C2092=C2093,W2092=W2093-1),Y2092,"")</f>
        <v/>
      </c>
      <c r="AB2093" s="0" t="str">
        <f aca="false">IF(W2093=1,"",IF(AND(X2093=1,Z2093&lt;&gt;1),1,0))</f>
        <v/>
      </c>
      <c r="AC2093" s="0" t="str">
        <f aca="false">IF(W2093=1,"",IF(AND(Y2093=1,AA2093&lt;&gt;1),1,0))</f>
        <v/>
      </c>
      <c r="AD2093" s="33" t="str">
        <f aca="false">IF(AND(E2093&gt;0,W2093&lt;1,NOT(AND(C2094=C2093,W2094=W2093+1))),INDEX(DATAS,W2093+1),"")</f>
        <v/>
      </c>
      <c r="AE2093" s="33" t="str">
        <f aca="false">IF(AND(Y2093=1,W2093&lt;1),IF(AND(C2094=C2093,W2094=W2093+1),IF(Y2094=1,"",INDEX(DATAS,W2093+1)),INDEX(DATAS,W2093+1)),"")</f>
        <v/>
      </c>
    </row>
    <row r="2094" customFormat="false" ht="15" hidden="false" customHeight="false" outlineLevel="0" collapsed="false">
      <c r="A2094" s="33" t="n">
        <v>46309</v>
      </c>
      <c r="B2094" s="0" t="n">
        <v>8</v>
      </c>
      <c r="C2094" s="0" t="n">
        <v>6375</v>
      </c>
      <c r="E2094" s="0" t="n">
        <v>0</v>
      </c>
      <c r="F2094" s="27" t="s">
        <v>1172</v>
      </c>
      <c r="I2094" s="27" t="s">
        <v>138</v>
      </c>
      <c r="L2094" s="0" t="n">
        <v>185</v>
      </c>
      <c r="U2094" s="0" t="n">
        <v>582</v>
      </c>
      <c r="V2094" s="0" t="n">
        <v>1</v>
      </c>
      <c r="W2094" s="27" t="n">
        <f aca="false">MATCH(A2094,DATAS,0)</f>
        <v>1</v>
      </c>
      <c r="X2094" s="27" t="n">
        <f aca="false">IF(AND(E2094&gt;0,OR(AND(B2094&gt;=1,B2094&lt;=6),B2094=10)),1,0)</f>
        <v>0</v>
      </c>
      <c r="Y2094" s="27" t="n">
        <f aca="false">IF(AND(E2094&gt;0,B2094=10),1,0)</f>
        <v>0</v>
      </c>
      <c r="Z2094" s="0" t="str">
        <f aca="false">IF(AND(C2093=C2094,W2093=W2094-1),X2093,"")</f>
        <v/>
      </c>
      <c r="AA2094" s="0" t="str">
        <f aca="false">IF(AND(C2093=C2094,W2093=W2094-1),Y2093,"")</f>
        <v/>
      </c>
      <c r="AB2094" s="0" t="str">
        <f aca="false">IF(W2094=1,"",IF(AND(X2094=1,Z2094&lt;&gt;1),1,0))</f>
        <v/>
      </c>
      <c r="AC2094" s="0" t="str">
        <f aca="false">IF(W2094=1,"",IF(AND(Y2094=1,AA2094&lt;&gt;1),1,0))</f>
        <v/>
      </c>
      <c r="AD2094" s="33" t="str">
        <f aca="false">IF(AND(E2094&gt;0,W2094&lt;1,NOT(AND(C2095=C2094,W2095=W2094+1))),INDEX(DATAS,W2094+1),"")</f>
        <v/>
      </c>
      <c r="AE2094" s="33" t="str">
        <f aca="false">IF(AND(Y2094=1,W2094&lt;1),IF(AND(C2095=C2094,W2095=W2094+1),IF(Y2095=1,"",INDEX(DATAS,W2094+1)),INDEX(DATAS,W2094+1)),"")</f>
        <v/>
      </c>
    </row>
    <row r="2095" customFormat="false" ht="15" hidden="false" customHeight="false" outlineLevel="0" collapsed="false">
      <c r="A2095" s="33" t="n">
        <v>46309</v>
      </c>
      <c r="B2095" s="0" t="n">
        <v>8</v>
      </c>
      <c r="C2095" s="0" t="n">
        <v>6376</v>
      </c>
      <c r="E2095" s="0" t="n">
        <v>0</v>
      </c>
      <c r="F2095" s="27" t="s">
        <v>1172</v>
      </c>
      <c r="I2095" s="27" t="s">
        <v>138</v>
      </c>
      <c r="L2095" s="0" t="n">
        <v>162</v>
      </c>
      <c r="U2095" s="0" t="n">
        <v>582</v>
      </c>
      <c r="V2095" s="0" t="n">
        <v>2</v>
      </c>
      <c r="W2095" s="27" t="n">
        <f aca="false">MATCH(A2095,DATAS,0)</f>
        <v>1</v>
      </c>
      <c r="X2095" s="27" t="n">
        <f aca="false">IF(AND(E2095&gt;0,OR(AND(B2095&gt;=1,B2095&lt;=6),B2095=10)),1,0)</f>
        <v>0</v>
      </c>
      <c r="Y2095" s="27" t="n">
        <f aca="false">IF(AND(E2095&gt;0,B2095=10),1,0)</f>
        <v>0</v>
      </c>
      <c r="Z2095" s="0" t="str">
        <f aca="false">IF(AND(C2094=C2095,W2094=W2095-1),X2094,"")</f>
        <v/>
      </c>
      <c r="AA2095" s="0" t="str">
        <f aca="false">IF(AND(C2094=C2095,W2094=W2095-1),Y2094,"")</f>
        <v/>
      </c>
      <c r="AB2095" s="0" t="str">
        <f aca="false">IF(W2095=1,"",IF(AND(X2095=1,Z2095&lt;&gt;1),1,0))</f>
        <v/>
      </c>
      <c r="AC2095" s="0" t="str">
        <f aca="false">IF(W2095=1,"",IF(AND(Y2095=1,AA2095&lt;&gt;1),1,0))</f>
        <v/>
      </c>
      <c r="AD2095" s="33" t="str">
        <f aca="false">IF(AND(E2095&gt;0,W2095&lt;1,NOT(AND(C2096=C2095,W2096=W2095+1))),INDEX(DATAS,W2095+1),"")</f>
        <v/>
      </c>
      <c r="AE2095" s="33" t="str">
        <f aca="false">IF(AND(Y2095=1,W2095&lt;1),IF(AND(C2096=C2095,W2096=W2095+1),IF(Y2096=1,"",INDEX(DATAS,W2095+1)),INDEX(DATAS,W2095+1)),"")</f>
        <v/>
      </c>
    </row>
    <row r="2096" customFormat="false" ht="15" hidden="false" customHeight="false" outlineLevel="0" collapsed="false">
      <c r="A2096" s="33" t="n">
        <v>46309</v>
      </c>
      <c r="B2096" s="0" t="n">
        <v>8</v>
      </c>
      <c r="C2096" s="0" t="n">
        <v>6377</v>
      </c>
      <c r="E2096" s="0" t="n">
        <v>0</v>
      </c>
      <c r="F2096" s="27" t="s">
        <v>1172</v>
      </c>
      <c r="I2096" s="27" t="s">
        <v>138</v>
      </c>
      <c r="L2096" s="0" t="n">
        <v>169</v>
      </c>
      <c r="U2096" s="0" t="n">
        <v>582</v>
      </c>
      <c r="V2096" s="0" t="n">
        <v>1</v>
      </c>
      <c r="W2096" s="27" t="n">
        <f aca="false">MATCH(A2096,DATAS,0)</f>
        <v>1</v>
      </c>
      <c r="X2096" s="27" t="n">
        <f aca="false">IF(AND(E2096&gt;0,OR(AND(B2096&gt;=1,B2096&lt;=6),B2096=10)),1,0)</f>
        <v>0</v>
      </c>
      <c r="Y2096" s="27" t="n">
        <f aca="false">IF(AND(E2096&gt;0,B2096=10),1,0)</f>
        <v>0</v>
      </c>
      <c r="Z2096" s="0" t="str">
        <f aca="false">IF(AND(C2095=C2096,W2095=W2096-1),X2095,"")</f>
        <v/>
      </c>
      <c r="AA2096" s="0" t="str">
        <f aca="false">IF(AND(C2095=C2096,W2095=W2096-1),Y2095,"")</f>
        <v/>
      </c>
      <c r="AB2096" s="0" t="str">
        <f aca="false">IF(W2096=1,"",IF(AND(X2096=1,Z2096&lt;&gt;1),1,0))</f>
        <v/>
      </c>
      <c r="AC2096" s="0" t="str">
        <f aca="false">IF(W2096=1,"",IF(AND(Y2096=1,AA2096&lt;&gt;1),1,0))</f>
        <v/>
      </c>
      <c r="AD2096" s="33" t="str">
        <f aca="false">IF(AND(E2096&gt;0,W2096&lt;1,NOT(AND(C2097=C2096,W2097=W2096+1))),INDEX(DATAS,W2096+1),"")</f>
        <v/>
      </c>
      <c r="AE2096" s="33" t="str">
        <f aca="false">IF(AND(Y2096=1,W2096&lt;1),IF(AND(C2097=C2096,W2097=W2096+1),IF(Y2097=1,"",INDEX(DATAS,W2096+1)),INDEX(DATAS,W2096+1)),"")</f>
        <v/>
      </c>
    </row>
    <row r="2097" customFormat="false" ht="15" hidden="false" customHeight="false" outlineLevel="0" collapsed="false">
      <c r="A2097" s="33" t="n">
        <v>46309</v>
      </c>
      <c r="B2097" s="0" t="n">
        <v>8</v>
      </c>
      <c r="C2097" s="0" t="n">
        <v>6378</v>
      </c>
      <c r="E2097" s="0" t="n">
        <v>0</v>
      </c>
      <c r="F2097" s="27" t="s">
        <v>1173</v>
      </c>
      <c r="I2097" s="27" t="s">
        <v>138</v>
      </c>
      <c r="L2097" s="0" t="n">
        <v>182</v>
      </c>
      <c r="U2097" s="0" t="n">
        <v>581</v>
      </c>
      <c r="V2097" s="0" t="n">
        <v>1</v>
      </c>
      <c r="W2097" s="27" t="n">
        <f aca="false">MATCH(A2097,DATAS,0)</f>
        <v>1</v>
      </c>
      <c r="X2097" s="27" t="n">
        <f aca="false">IF(AND(E2097&gt;0,OR(AND(B2097&gt;=1,B2097&lt;=6),B2097=10)),1,0)</f>
        <v>0</v>
      </c>
      <c r="Y2097" s="27" t="n">
        <f aca="false">IF(AND(E2097&gt;0,B2097=10),1,0)</f>
        <v>0</v>
      </c>
      <c r="Z2097" s="0" t="str">
        <f aca="false">IF(AND(C2096=C2097,W2096=W2097-1),X2096,"")</f>
        <v/>
      </c>
      <c r="AA2097" s="0" t="str">
        <f aca="false">IF(AND(C2096=C2097,W2096=W2097-1),Y2096,"")</f>
        <v/>
      </c>
      <c r="AB2097" s="0" t="str">
        <f aca="false">IF(W2097=1,"",IF(AND(X2097=1,Z2097&lt;&gt;1),1,0))</f>
        <v/>
      </c>
      <c r="AC2097" s="0" t="str">
        <f aca="false">IF(W2097=1,"",IF(AND(Y2097=1,AA2097&lt;&gt;1),1,0))</f>
        <v/>
      </c>
      <c r="AD2097" s="33" t="str">
        <f aca="false">IF(AND(E2097&gt;0,W2097&lt;1,NOT(AND(C2098=C2097,W2098=W2097+1))),INDEX(DATAS,W2097+1),"")</f>
        <v/>
      </c>
      <c r="AE2097" s="33" t="str">
        <f aca="false">IF(AND(Y2097=1,W2097&lt;1),IF(AND(C2098=C2097,W2098=W2097+1),IF(Y2098=1,"",INDEX(DATAS,W2097+1)),INDEX(DATAS,W2097+1)),"")</f>
        <v/>
      </c>
    </row>
    <row r="2098" customFormat="false" ht="15" hidden="false" customHeight="false" outlineLevel="0" collapsed="false">
      <c r="A2098" s="33" t="n">
        <v>46309</v>
      </c>
      <c r="B2098" s="0" t="n">
        <v>8</v>
      </c>
      <c r="C2098" s="0" t="n">
        <v>6379</v>
      </c>
      <c r="E2098" s="0" t="n">
        <v>0</v>
      </c>
      <c r="F2098" s="27" t="s">
        <v>1173</v>
      </c>
      <c r="I2098" s="27" t="s">
        <v>138</v>
      </c>
      <c r="L2098" s="0" t="n">
        <v>190</v>
      </c>
      <c r="U2098" s="0" t="n">
        <v>581</v>
      </c>
      <c r="V2098" s="0" t="n">
        <v>1</v>
      </c>
      <c r="W2098" s="27" t="n">
        <f aca="false">MATCH(A2098,DATAS,0)</f>
        <v>1</v>
      </c>
      <c r="X2098" s="27" t="n">
        <f aca="false">IF(AND(E2098&gt;0,OR(AND(B2098&gt;=1,B2098&lt;=6),B2098=10)),1,0)</f>
        <v>0</v>
      </c>
      <c r="Y2098" s="27" t="n">
        <f aca="false">IF(AND(E2098&gt;0,B2098=10),1,0)</f>
        <v>0</v>
      </c>
      <c r="Z2098" s="0" t="str">
        <f aca="false">IF(AND(C2097=C2098,W2097=W2098-1),X2097,"")</f>
        <v/>
      </c>
      <c r="AA2098" s="0" t="str">
        <f aca="false">IF(AND(C2097=C2098,W2097=W2098-1),Y2097,"")</f>
        <v/>
      </c>
      <c r="AB2098" s="0" t="str">
        <f aca="false">IF(W2098=1,"",IF(AND(X2098=1,Z2098&lt;&gt;1),1,0))</f>
        <v/>
      </c>
      <c r="AC2098" s="0" t="str">
        <f aca="false">IF(W2098=1,"",IF(AND(Y2098=1,AA2098&lt;&gt;1),1,0))</f>
        <v/>
      </c>
      <c r="AD2098" s="33" t="str">
        <f aca="false">IF(AND(E2098&gt;0,W2098&lt;1,NOT(AND(C2099=C2098,W2099=W2098+1))),INDEX(DATAS,W2098+1),"")</f>
        <v/>
      </c>
      <c r="AE2098" s="33" t="str">
        <f aca="false">IF(AND(Y2098=1,W2098&lt;1),IF(AND(C2099=C2098,W2099=W2098+1),IF(Y2099=1,"",INDEX(DATAS,W2098+1)),INDEX(DATAS,W2098+1)),"")</f>
        <v/>
      </c>
    </row>
    <row r="2099" customFormat="false" ht="15" hidden="false" customHeight="false" outlineLevel="0" collapsed="false">
      <c r="A2099" s="33" t="n">
        <v>46309</v>
      </c>
      <c r="B2099" s="0" t="n">
        <v>8</v>
      </c>
      <c r="C2099" s="0" t="n">
        <v>6380</v>
      </c>
      <c r="E2099" s="0" t="n">
        <v>0</v>
      </c>
      <c r="F2099" s="27" t="s">
        <v>1174</v>
      </c>
      <c r="I2099" s="27" t="s">
        <v>138</v>
      </c>
      <c r="L2099" s="0" t="n">
        <v>101</v>
      </c>
      <c r="U2099" s="0" t="n">
        <v>580</v>
      </c>
      <c r="V2099" s="0" t="n">
        <v>3</v>
      </c>
      <c r="W2099" s="27" t="n">
        <f aca="false">MATCH(A2099,DATAS,0)</f>
        <v>1</v>
      </c>
      <c r="X2099" s="27" t="n">
        <f aca="false">IF(AND(E2099&gt;0,OR(AND(B2099&gt;=1,B2099&lt;=6),B2099=10)),1,0)</f>
        <v>0</v>
      </c>
      <c r="Y2099" s="27" t="n">
        <f aca="false">IF(AND(E2099&gt;0,B2099=10),1,0)</f>
        <v>0</v>
      </c>
      <c r="Z2099" s="0" t="str">
        <f aca="false">IF(AND(C2098=C2099,W2098=W2099-1),X2098,"")</f>
        <v/>
      </c>
      <c r="AA2099" s="0" t="str">
        <f aca="false">IF(AND(C2098=C2099,W2098=W2099-1),Y2098,"")</f>
        <v/>
      </c>
      <c r="AB2099" s="0" t="str">
        <f aca="false">IF(W2099=1,"",IF(AND(X2099=1,Z2099&lt;&gt;1),1,0))</f>
        <v/>
      </c>
      <c r="AC2099" s="0" t="str">
        <f aca="false">IF(W2099=1,"",IF(AND(Y2099=1,AA2099&lt;&gt;1),1,0))</f>
        <v/>
      </c>
      <c r="AD2099" s="33" t="str">
        <f aca="false">IF(AND(E2099&gt;0,W2099&lt;1,NOT(AND(C2100=C2099,W2100=W2099+1))),INDEX(DATAS,W2099+1),"")</f>
        <v/>
      </c>
      <c r="AE2099" s="33" t="str">
        <f aca="false">IF(AND(Y2099=1,W2099&lt;1),IF(AND(C2100=C2099,W2100=W2099+1),IF(Y2100=1,"",INDEX(DATAS,W2099+1)),INDEX(DATAS,W2099+1)),"")</f>
        <v/>
      </c>
    </row>
    <row r="2100" customFormat="false" ht="15" hidden="false" customHeight="false" outlineLevel="0" collapsed="false">
      <c r="A2100" s="33" t="n">
        <v>46309</v>
      </c>
      <c r="B2100" s="0" t="n">
        <v>8</v>
      </c>
      <c r="C2100" s="0" t="n">
        <v>6381</v>
      </c>
      <c r="E2100" s="0" t="n">
        <v>0</v>
      </c>
      <c r="F2100" s="27" t="s">
        <v>1174</v>
      </c>
      <c r="I2100" s="27" t="s">
        <v>138</v>
      </c>
      <c r="L2100" s="0" t="n">
        <v>162</v>
      </c>
      <c r="U2100" s="0" t="n">
        <v>580</v>
      </c>
      <c r="V2100" s="0" t="n">
        <v>1</v>
      </c>
      <c r="W2100" s="27" t="n">
        <f aca="false">MATCH(A2100,DATAS,0)</f>
        <v>1</v>
      </c>
      <c r="X2100" s="27" t="n">
        <f aca="false">IF(AND(E2100&gt;0,OR(AND(B2100&gt;=1,B2100&lt;=6),B2100=10)),1,0)</f>
        <v>0</v>
      </c>
      <c r="Y2100" s="27" t="n">
        <f aca="false">IF(AND(E2100&gt;0,B2100=10),1,0)</f>
        <v>0</v>
      </c>
      <c r="Z2100" s="0" t="str">
        <f aca="false">IF(AND(C2099=C2100,W2099=W2100-1),X2099,"")</f>
        <v/>
      </c>
      <c r="AA2100" s="0" t="str">
        <f aca="false">IF(AND(C2099=C2100,W2099=W2100-1),Y2099,"")</f>
        <v/>
      </c>
      <c r="AB2100" s="0" t="str">
        <f aca="false">IF(W2100=1,"",IF(AND(X2100=1,Z2100&lt;&gt;1),1,0))</f>
        <v/>
      </c>
      <c r="AC2100" s="0" t="str">
        <f aca="false">IF(W2100=1,"",IF(AND(Y2100=1,AA2100&lt;&gt;1),1,0))</f>
        <v/>
      </c>
      <c r="AD2100" s="33" t="str">
        <f aca="false">IF(AND(E2100&gt;0,W2100&lt;1,NOT(AND(C2101=C2100,W2101=W2100+1))),INDEX(DATAS,W2100+1),"")</f>
        <v/>
      </c>
      <c r="AE2100" s="33" t="str">
        <f aca="false">IF(AND(Y2100=1,W2100&lt;1),IF(AND(C2101=C2100,W2101=W2100+1),IF(Y2101=1,"",INDEX(DATAS,W2100+1)),INDEX(DATAS,W2100+1)),"")</f>
        <v/>
      </c>
    </row>
    <row r="2101" customFormat="false" ht="15" hidden="false" customHeight="false" outlineLevel="0" collapsed="false">
      <c r="A2101" s="33" t="n">
        <v>46309</v>
      </c>
      <c r="B2101" s="0" t="n">
        <v>8</v>
      </c>
      <c r="C2101" s="0" t="n">
        <v>6383</v>
      </c>
      <c r="E2101" s="0" t="n">
        <v>0</v>
      </c>
      <c r="F2101" s="27" t="s">
        <v>1175</v>
      </c>
      <c r="I2101" s="27" t="s">
        <v>138</v>
      </c>
      <c r="L2101" s="0" t="n">
        <v>118</v>
      </c>
      <c r="U2101" s="0" t="n">
        <v>579</v>
      </c>
      <c r="V2101" s="0" t="n">
        <v>2</v>
      </c>
      <c r="W2101" s="27" t="n">
        <f aca="false">MATCH(A2101,DATAS,0)</f>
        <v>1</v>
      </c>
      <c r="X2101" s="27" t="n">
        <f aca="false">IF(AND(E2101&gt;0,OR(AND(B2101&gt;=1,B2101&lt;=6),B2101=10)),1,0)</f>
        <v>0</v>
      </c>
      <c r="Y2101" s="27" t="n">
        <f aca="false">IF(AND(E2101&gt;0,B2101=10),1,0)</f>
        <v>0</v>
      </c>
      <c r="Z2101" s="0" t="str">
        <f aca="false">IF(AND(C2100=C2101,W2100=W2101-1),X2100,"")</f>
        <v/>
      </c>
      <c r="AA2101" s="0" t="str">
        <f aca="false">IF(AND(C2100=C2101,W2100=W2101-1),Y2100,"")</f>
        <v/>
      </c>
      <c r="AB2101" s="0" t="str">
        <f aca="false">IF(W2101=1,"",IF(AND(X2101=1,Z2101&lt;&gt;1),1,0))</f>
        <v/>
      </c>
      <c r="AC2101" s="0" t="str">
        <f aca="false">IF(W2101=1,"",IF(AND(Y2101=1,AA2101&lt;&gt;1),1,0))</f>
        <v/>
      </c>
      <c r="AD2101" s="33" t="str">
        <f aca="false">IF(AND(E2101&gt;0,W2101&lt;1,NOT(AND(C2102=C2101,W2102=W2101+1))),INDEX(DATAS,W2101+1),"")</f>
        <v/>
      </c>
      <c r="AE2101" s="33" t="str">
        <f aca="false">IF(AND(Y2101=1,W2101&lt;1),IF(AND(C2102=C2101,W2102=W2101+1),IF(Y2102=1,"",INDEX(DATAS,W2101+1)),INDEX(DATAS,W2101+1)),"")</f>
        <v/>
      </c>
    </row>
    <row r="2102" customFormat="false" ht="15" hidden="false" customHeight="false" outlineLevel="0" collapsed="false">
      <c r="A2102" s="33" t="n">
        <v>46309</v>
      </c>
      <c r="B2102" s="0" t="n">
        <v>11</v>
      </c>
      <c r="C2102" s="0" t="n">
        <v>6384</v>
      </c>
      <c r="E2102" s="0" t="n">
        <v>0</v>
      </c>
      <c r="F2102" s="27" t="s">
        <v>1175</v>
      </c>
      <c r="I2102" s="27" t="s">
        <v>168</v>
      </c>
      <c r="U2102" s="0" t="n">
        <v>579</v>
      </c>
      <c r="V2102" s="0" t="n">
        <v>6</v>
      </c>
      <c r="W2102" s="27" t="n">
        <f aca="false">MATCH(A2102,DATAS,0)</f>
        <v>1</v>
      </c>
      <c r="X2102" s="27" t="n">
        <f aca="false">IF(AND(E2102&gt;0,OR(AND(B2102&gt;=1,B2102&lt;=6),B2102=10)),1,0)</f>
        <v>0</v>
      </c>
      <c r="Y2102" s="27" t="n">
        <f aca="false">IF(AND(E2102&gt;0,B2102=10),1,0)</f>
        <v>0</v>
      </c>
      <c r="Z2102" s="0" t="str">
        <f aca="false">IF(AND(C2101=C2102,W2101=W2102-1),X2101,"")</f>
        <v/>
      </c>
      <c r="AA2102" s="0" t="str">
        <f aca="false">IF(AND(C2101=C2102,W2101=W2102-1),Y2101,"")</f>
        <v/>
      </c>
      <c r="AB2102" s="0" t="str">
        <f aca="false">IF(W2102=1,"",IF(AND(X2102=1,Z2102&lt;&gt;1),1,0))</f>
        <v/>
      </c>
      <c r="AC2102" s="0" t="str">
        <f aca="false">IF(W2102=1,"",IF(AND(Y2102=1,AA2102&lt;&gt;1),1,0))</f>
        <v/>
      </c>
      <c r="AD2102" s="33" t="str">
        <f aca="false">IF(AND(E2102&gt;0,W2102&lt;1,NOT(AND(C2103=C2102,W2103=W2102+1))),INDEX(DATAS,W2102+1),"")</f>
        <v/>
      </c>
      <c r="AE2102" s="33" t="str">
        <f aca="false">IF(AND(Y2102=1,W2102&lt;1),IF(AND(C2103=C2102,W2103=W2102+1),IF(Y2103=1,"",INDEX(DATAS,W2102+1)),INDEX(DATAS,W2102+1)),"")</f>
        <v/>
      </c>
    </row>
    <row r="2103" customFormat="false" ht="15" hidden="false" customHeight="false" outlineLevel="0" collapsed="false">
      <c r="A2103" s="33" t="n">
        <v>46309</v>
      </c>
      <c r="B2103" s="0" t="n">
        <v>8</v>
      </c>
      <c r="C2103" s="0" t="n">
        <v>6385</v>
      </c>
      <c r="E2103" s="0" t="n">
        <v>0</v>
      </c>
      <c r="F2103" s="27" t="s">
        <v>1176</v>
      </c>
      <c r="I2103" s="27" t="s">
        <v>138</v>
      </c>
      <c r="L2103" s="0" t="n">
        <v>123</v>
      </c>
      <c r="U2103" s="0" t="n">
        <v>577</v>
      </c>
      <c r="V2103" s="0" t="n">
        <v>4</v>
      </c>
      <c r="W2103" s="27" t="n">
        <f aca="false">MATCH(A2103,DATAS,0)</f>
        <v>1</v>
      </c>
      <c r="X2103" s="27" t="n">
        <f aca="false">IF(AND(E2103&gt;0,OR(AND(B2103&gt;=1,B2103&lt;=6),B2103=10)),1,0)</f>
        <v>0</v>
      </c>
      <c r="Y2103" s="27" t="n">
        <f aca="false">IF(AND(E2103&gt;0,B2103=10),1,0)</f>
        <v>0</v>
      </c>
      <c r="Z2103" s="0" t="str">
        <f aca="false">IF(AND(C2102=C2103,W2102=W2103-1),X2102,"")</f>
        <v/>
      </c>
      <c r="AA2103" s="0" t="str">
        <f aca="false">IF(AND(C2102=C2103,W2102=W2103-1),Y2102,"")</f>
        <v/>
      </c>
      <c r="AB2103" s="0" t="str">
        <f aca="false">IF(W2103=1,"",IF(AND(X2103=1,Z2103&lt;&gt;1),1,0))</f>
        <v/>
      </c>
      <c r="AC2103" s="0" t="str">
        <f aca="false">IF(W2103=1,"",IF(AND(Y2103=1,AA2103&lt;&gt;1),1,0))</f>
        <v/>
      </c>
      <c r="AD2103" s="33" t="str">
        <f aca="false">IF(AND(E2103&gt;0,W2103&lt;1,NOT(AND(C2104=C2103,W2104=W2103+1))),INDEX(DATAS,W2103+1),"")</f>
        <v/>
      </c>
      <c r="AE2103" s="33" t="str">
        <f aca="false">IF(AND(Y2103=1,W2103&lt;1),IF(AND(C2104=C2103,W2104=W2103+1),IF(Y2104=1,"",INDEX(DATAS,W2103+1)),INDEX(DATAS,W2103+1)),"")</f>
        <v/>
      </c>
    </row>
    <row r="2104" customFormat="false" ht="15" hidden="false" customHeight="false" outlineLevel="0" collapsed="false">
      <c r="A2104" s="33" t="n">
        <v>46309</v>
      </c>
      <c r="B2104" s="0" t="n">
        <v>8</v>
      </c>
      <c r="C2104" s="0" t="n">
        <v>6386</v>
      </c>
      <c r="E2104" s="0" t="n">
        <v>0</v>
      </c>
      <c r="F2104" s="27" t="s">
        <v>1176</v>
      </c>
      <c r="I2104" s="27" t="s">
        <v>138</v>
      </c>
      <c r="L2104" s="0" t="n">
        <v>175</v>
      </c>
      <c r="U2104" s="0" t="n">
        <v>577</v>
      </c>
      <c r="V2104" s="0" t="n">
        <v>1</v>
      </c>
      <c r="W2104" s="27" t="n">
        <f aca="false">MATCH(A2104,DATAS,0)</f>
        <v>1</v>
      </c>
      <c r="X2104" s="27" t="n">
        <f aca="false">IF(AND(E2104&gt;0,OR(AND(B2104&gt;=1,B2104&lt;=6),B2104=10)),1,0)</f>
        <v>0</v>
      </c>
      <c r="Y2104" s="27" t="n">
        <f aca="false">IF(AND(E2104&gt;0,B2104=10),1,0)</f>
        <v>0</v>
      </c>
      <c r="Z2104" s="0" t="str">
        <f aca="false">IF(AND(C2103=C2104,W2103=W2104-1),X2103,"")</f>
        <v/>
      </c>
      <c r="AA2104" s="0" t="str">
        <f aca="false">IF(AND(C2103=C2104,W2103=W2104-1),Y2103,"")</f>
        <v/>
      </c>
      <c r="AB2104" s="0" t="str">
        <f aca="false">IF(W2104=1,"",IF(AND(X2104=1,Z2104&lt;&gt;1),1,0))</f>
        <v/>
      </c>
      <c r="AC2104" s="0" t="str">
        <f aca="false">IF(W2104=1,"",IF(AND(Y2104=1,AA2104&lt;&gt;1),1,0))</f>
        <v/>
      </c>
      <c r="AD2104" s="33" t="str">
        <f aca="false">IF(AND(E2104&gt;0,W2104&lt;1,NOT(AND(C2105=C2104,W2105=W2104+1))),INDEX(DATAS,W2104+1),"")</f>
        <v/>
      </c>
      <c r="AE2104" s="33" t="str">
        <f aca="false">IF(AND(Y2104=1,W2104&lt;1),IF(AND(C2105=C2104,W2105=W2104+1),IF(Y2105=1,"",INDEX(DATAS,W2104+1)),INDEX(DATAS,W2104+1)),"")</f>
        <v/>
      </c>
    </row>
    <row r="2105" customFormat="false" ht="15" hidden="false" customHeight="false" outlineLevel="0" collapsed="false">
      <c r="A2105" s="33" t="n">
        <v>46309</v>
      </c>
      <c r="B2105" s="0" t="n">
        <v>8</v>
      </c>
      <c r="C2105" s="0" t="n">
        <v>6387</v>
      </c>
      <c r="E2105" s="0" t="n">
        <v>0</v>
      </c>
      <c r="F2105" s="27" t="s">
        <v>1177</v>
      </c>
      <c r="I2105" s="27" t="s">
        <v>138</v>
      </c>
      <c r="L2105" s="0" t="n">
        <v>175</v>
      </c>
      <c r="U2105" s="0" t="n">
        <v>578</v>
      </c>
      <c r="V2105" s="0" t="n">
        <v>1</v>
      </c>
      <c r="W2105" s="27" t="n">
        <f aca="false">MATCH(A2105,DATAS,0)</f>
        <v>1</v>
      </c>
      <c r="X2105" s="27" t="n">
        <f aca="false">IF(AND(E2105&gt;0,OR(AND(B2105&gt;=1,B2105&lt;=6),B2105=10)),1,0)</f>
        <v>0</v>
      </c>
      <c r="Y2105" s="27" t="n">
        <f aca="false">IF(AND(E2105&gt;0,B2105=10),1,0)</f>
        <v>0</v>
      </c>
      <c r="Z2105" s="0" t="str">
        <f aca="false">IF(AND(C2104=C2105,W2104=W2105-1),X2104,"")</f>
        <v/>
      </c>
      <c r="AA2105" s="0" t="str">
        <f aca="false">IF(AND(C2104=C2105,W2104=W2105-1),Y2104,"")</f>
        <v/>
      </c>
      <c r="AB2105" s="0" t="str">
        <f aca="false">IF(W2105=1,"",IF(AND(X2105=1,Z2105&lt;&gt;1),1,0))</f>
        <v/>
      </c>
      <c r="AC2105" s="0" t="str">
        <f aca="false">IF(W2105=1,"",IF(AND(Y2105=1,AA2105&lt;&gt;1),1,0))</f>
        <v/>
      </c>
      <c r="AD2105" s="33" t="str">
        <f aca="false">IF(AND(E2105&gt;0,W2105&lt;1,NOT(AND(C2106=C2105,W2106=W2105+1))),INDEX(DATAS,W2105+1),"")</f>
        <v/>
      </c>
      <c r="AE2105" s="33" t="str">
        <f aca="false">IF(AND(Y2105=1,W2105&lt;1),IF(AND(C2106=C2105,W2106=W2105+1),IF(Y2106=1,"",INDEX(DATAS,W2105+1)),INDEX(DATAS,W2105+1)),"")</f>
        <v/>
      </c>
    </row>
    <row r="2106" customFormat="false" ht="15" hidden="false" customHeight="false" outlineLevel="0" collapsed="false">
      <c r="A2106" s="33" t="n">
        <v>46309</v>
      </c>
      <c r="B2106" s="0" t="n">
        <v>8</v>
      </c>
      <c r="C2106" s="0" t="n">
        <v>6388</v>
      </c>
      <c r="E2106" s="0" t="n">
        <v>0</v>
      </c>
      <c r="F2106" s="27" t="s">
        <v>1176</v>
      </c>
      <c r="I2106" s="27" t="s">
        <v>138</v>
      </c>
      <c r="L2106" s="0" t="n">
        <v>157</v>
      </c>
      <c r="U2106" s="0" t="n">
        <v>577</v>
      </c>
      <c r="V2106" s="0" t="n">
        <v>1</v>
      </c>
      <c r="W2106" s="27" t="n">
        <f aca="false">MATCH(A2106,DATAS,0)</f>
        <v>1</v>
      </c>
      <c r="X2106" s="27" t="n">
        <f aca="false">IF(AND(E2106&gt;0,OR(AND(B2106&gt;=1,B2106&lt;=6),B2106=10)),1,0)</f>
        <v>0</v>
      </c>
      <c r="Y2106" s="27" t="n">
        <f aca="false">IF(AND(E2106&gt;0,B2106=10),1,0)</f>
        <v>0</v>
      </c>
      <c r="Z2106" s="0" t="str">
        <f aca="false">IF(AND(C2105=C2106,W2105=W2106-1),X2105,"")</f>
        <v/>
      </c>
      <c r="AA2106" s="0" t="str">
        <f aca="false">IF(AND(C2105=C2106,W2105=W2106-1),Y2105,"")</f>
        <v/>
      </c>
      <c r="AB2106" s="0" t="str">
        <f aca="false">IF(W2106=1,"",IF(AND(X2106=1,Z2106&lt;&gt;1),1,0))</f>
        <v/>
      </c>
      <c r="AC2106" s="0" t="str">
        <f aca="false">IF(W2106=1,"",IF(AND(Y2106=1,AA2106&lt;&gt;1),1,0))</f>
        <v/>
      </c>
      <c r="AD2106" s="33" t="str">
        <f aca="false">IF(AND(E2106&gt;0,W2106&lt;1,NOT(AND(C2107=C2106,W2107=W2106+1))),INDEX(DATAS,W2106+1),"")</f>
        <v/>
      </c>
      <c r="AE2106" s="33" t="str">
        <f aca="false">IF(AND(Y2106=1,W2106&lt;1),IF(AND(C2107=C2106,W2107=W2106+1),IF(Y2107=1,"",INDEX(DATAS,W2106+1)),INDEX(DATAS,W2106+1)),"")</f>
        <v/>
      </c>
    </row>
    <row r="2107" customFormat="false" ht="15" hidden="false" customHeight="false" outlineLevel="0" collapsed="false">
      <c r="A2107" s="33" t="n">
        <v>46309</v>
      </c>
      <c r="B2107" s="0" t="n">
        <v>8</v>
      </c>
      <c r="C2107" s="0" t="n">
        <v>6389</v>
      </c>
      <c r="E2107" s="0" t="n">
        <v>0</v>
      </c>
      <c r="F2107" s="27" t="s">
        <v>1176</v>
      </c>
      <c r="I2107" s="27" t="s">
        <v>138</v>
      </c>
      <c r="L2107" s="0" t="n">
        <v>176</v>
      </c>
      <c r="U2107" s="0" t="n">
        <v>577</v>
      </c>
      <c r="V2107" s="0" t="n">
        <v>1</v>
      </c>
      <c r="W2107" s="27" t="n">
        <f aca="false">MATCH(A2107,DATAS,0)</f>
        <v>1</v>
      </c>
      <c r="X2107" s="27" t="n">
        <f aca="false">IF(AND(E2107&gt;0,OR(AND(B2107&gt;=1,B2107&lt;=6),B2107=10)),1,0)</f>
        <v>0</v>
      </c>
      <c r="Y2107" s="27" t="n">
        <f aca="false">IF(AND(E2107&gt;0,B2107=10),1,0)</f>
        <v>0</v>
      </c>
      <c r="Z2107" s="0" t="str">
        <f aca="false">IF(AND(C2106=C2107,W2106=W2107-1),X2106,"")</f>
        <v/>
      </c>
      <c r="AA2107" s="0" t="str">
        <f aca="false">IF(AND(C2106=C2107,W2106=W2107-1),Y2106,"")</f>
        <v/>
      </c>
      <c r="AB2107" s="0" t="str">
        <f aca="false">IF(W2107=1,"",IF(AND(X2107=1,Z2107&lt;&gt;1),1,0))</f>
        <v/>
      </c>
      <c r="AC2107" s="0" t="str">
        <f aca="false">IF(W2107=1,"",IF(AND(Y2107=1,AA2107&lt;&gt;1),1,0))</f>
        <v/>
      </c>
      <c r="AD2107" s="33" t="str">
        <f aca="false">IF(AND(E2107&gt;0,W2107&lt;1,NOT(AND(C2108=C2107,W2108=W2107+1))),INDEX(DATAS,W2107+1),"")</f>
        <v/>
      </c>
      <c r="AE2107" s="33" t="str">
        <f aca="false">IF(AND(Y2107=1,W2107&lt;1),IF(AND(C2108=C2107,W2108=W2107+1),IF(Y2108=1,"",INDEX(DATAS,W2107+1)),INDEX(DATAS,W2107+1)),"")</f>
        <v/>
      </c>
    </row>
    <row r="2108" customFormat="false" ht="15" hidden="false" customHeight="false" outlineLevel="0" collapsed="false">
      <c r="A2108" s="33" t="n">
        <v>46309</v>
      </c>
      <c r="B2108" s="0" t="n">
        <v>8</v>
      </c>
      <c r="C2108" s="0" t="n">
        <v>6391</v>
      </c>
      <c r="E2108" s="0" t="n">
        <v>0</v>
      </c>
      <c r="F2108" s="27" t="s">
        <v>1178</v>
      </c>
      <c r="I2108" s="27" t="s">
        <v>138</v>
      </c>
      <c r="L2108" s="0" t="n">
        <v>153</v>
      </c>
      <c r="U2108" s="0" t="n">
        <v>576</v>
      </c>
      <c r="V2108" s="0" t="n">
        <v>1</v>
      </c>
      <c r="W2108" s="27" t="n">
        <f aca="false">MATCH(A2108,DATAS,0)</f>
        <v>1</v>
      </c>
      <c r="X2108" s="27" t="n">
        <f aca="false">IF(AND(E2108&gt;0,OR(AND(B2108&gt;=1,B2108&lt;=6),B2108=10)),1,0)</f>
        <v>0</v>
      </c>
      <c r="Y2108" s="27" t="n">
        <f aca="false">IF(AND(E2108&gt;0,B2108=10),1,0)</f>
        <v>0</v>
      </c>
      <c r="Z2108" s="0" t="str">
        <f aca="false">IF(AND(C2107=C2108,W2107=W2108-1),X2107,"")</f>
        <v/>
      </c>
      <c r="AA2108" s="0" t="str">
        <f aca="false">IF(AND(C2107=C2108,W2107=W2108-1),Y2107,"")</f>
        <v/>
      </c>
      <c r="AB2108" s="0" t="str">
        <f aca="false">IF(W2108=1,"",IF(AND(X2108=1,Z2108&lt;&gt;1),1,0))</f>
        <v/>
      </c>
      <c r="AC2108" s="0" t="str">
        <f aca="false">IF(W2108=1,"",IF(AND(Y2108=1,AA2108&lt;&gt;1),1,0))</f>
        <v/>
      </c>
      <c r="AD2108" s="33" t="str">
        <f aca="false">IF(AND(E2108&gt;0,W2108&lt;1,NOT(AND(C2109=C2108,W2109=W2108+1))),INDEX(DATAS,W2108+1),"")</f>
        <v/>
      </c>
      <c r="AE2108" s="33" t="str">
        <f aca="false">IF(AND(Y2108=1,W2108&lt;1),IF(AND(C2109=C2108,W2109=W2108+1),IF(Y2109=1,"",INDEX(DATAS,W2108+1)),INDEX(DATAS,W2108+1)),"")</f>
        <v/>
      </c>
    </row>
    <row r="2109" customFormat="false" ht="15" hidden="false" customHeight="false" outlineLevel="0" collapsed="false">
      <c r="A2109" s="33" t="n">
        <v>46309</v>
      </c>
      <c r="B2109" s="0" t="n">
        <v>8</v>
      </c>
      <c r="C2109" s="0" t="n">
        <v>6392</v>
      </c>
      <c r="E2109" s="0" t="n">
        <v>0</v>
      </c>
      <c r="F2109" s="27" t="s">
        <v>1178</v>
      </c>
      <c r="I2109" s="27" t="s">
        <v>138</v>
      </c>
      <c r="L2109" s="0" t="n">
        <v>162</v>
      </c>
      <c r="U2109" s="0" t="n">
        <v>576</v>
      </c>
      <c r="V2109" s="0" t="n">
        <v>1</v>
      </c>
      <c r="W2109" s="27" t="n">
        <f aca="false">MATCH(A2109,DATAS,0)</f>
        <v>1</v>
      </c>
      <c r="X2109" s="27" t="n">
        <f aca="false">IF(AND(E2109&gt;0,OR(AND(B2109&gt;=1,B2109&lt;=6),B2109=10)),1,0)</f>
        <v>0</v>
      </c>
      <c r="Y2109" s="27" t="n">
        <f aca="false">IF(AND(E2109&gt;0,B2109=10),1,0)</f>
        <v>0</v>
      </c>
      <c r="Z2109" s="0" t="str">
        <f aca="false">IF(AND(C2108=C2109,W2108=W2109-1),X2108,"")</f>
        <v/>
      </c>
      <c r="AA2109" s="0" t="str">
        <f aca="false">IF(AND(C2108=C2109,W2108=W2109-1),Y2108,"")</f>
        <v/>
      </c>
      <c r="AB2109" s="0" t="str">
        <f aca="false">IF(W2109=1,"",IF(AND(X2109=1,Z2109&lt;&gt;1),1,0))</f>
        <v/>
      </c>
      <c r="AC2109" s="0" t="str">
        <f aca="false">IF(W2109=1,"",IF(AND(Y2109=1,AA2109&lt;&gt;1),1,0))</f>
        <v/>
      </c>
      <c r="AD2109" s="33" t="str">
        <f aca="false">IF(AND(E2109&gt;0,W2109&lt;1,NOT(AND(C2110=C2109,W2110=W2109+1))),INDEX(DATAS,W2109+1),"")</f>
        <v/>
      </c>
      <c r="AE2109" s="33" t="str">
        <f aca="false">IF(AND(Y2109=1,W2109&lt;1),IF(AND(C2110=C2109,W2110=W2109+1),IF(Y2110=1,"",INDEX(DATAS,W2109+1)),INDEX(DATAS,W2109+1)),"")</f>
        <v/>
      </c>
    </row>
    <row r="2110" customFormat="false" ht="15" hidden="false" customHeight="false" outlineLevel="0" collapsed="false">
      <c r="A2110" s="33" t="n">
        <v>46309</v>
      </c>
      <c r="B2110" s="0" t="n">
        <v>8</v>
      </c>
      <c r="C2110" s="0" t="n">
        <v>6393</v>
      </c>
      <c r="E2110" s="0" t="n">
        <v>0</v>
      </c>
      <c r="F2110" s="27" t="s">
        <v>1178</v>
      </c>
      <c r="I2110" s="27" t="s">
        <v>138</v>
      </c>
      <c r="L2110" s="0" t="n">
        <v>175</v>
      </c>
      <c r="U2110" s="0" t="n">
        <v>576</v>
      </c>
      <c r="V2110" s="0" t="n">
        <v>1</v>
      </c>
      <c r="W2110" s="27" t="n">
        <f aca="false">MATCH(A2110,DATAS,0)</f>
        <v>1</v>
      </c>
      <c r="X2110" s="27" t="n">
        <f aca="false">IF(AND(E2110&gt;0,OR(AND(B2110&gt;=1,B2110&lt;=6),B2110=10)),1,0)</f>
        <v>0</v>
      </c>
      <c r="Y2110" s="27" t="n">
        <f aca="false">IF(AND(E2110&gt;0,B2110=10),1,0)</f>
        <v>0</v>
      </c>
      <c r="Z2110" s="0" t="str">
        <f aca="false">IF(AND(C2109=C2110,W2109=W2110-1),X2109,"")</f>
        <v/>
      </c>
      <c r="AA2110" s="0" t="str">
        <f aca="false">IF(AND(C2109=C2110,W2109=W2110-1),Y2109,"")</f>
        <v/>
      </c>
      <c r="AB2110" s="0" t="str">
        <f aca="false">IF(W2110=1,"",IF(AND(X2110=1,Z2110&lt;&gt;1),1,0))</f>
        <v/>
      </c>
      <c r="AC2110" s="0" t="str">
        <f aca="false">IF(W2110=1,"",IF(AND(Y2110=1,AA2110&lt;&gt;1),1,0))</f>
        <v/>
      </c>
      <c r="AD2110" s="33" t="str">
        <f aca="false">IF(AND(E2110&gt;0,W2110&lt;1,NOT(AND(C2111=C2110,W2111=W2110+1))),INDEX(DATAS,W2110+1),"")</f>
        <v/>
      </c>
      <c r="AE2110" s="33" t="str">
        <f aca="false">IF(AND(Y2110=1,W2110&lt;1),IF(AND(C2111=C2110,W2111=W2110+1),IF(Y2111=1,"",INDEX(DATAS,W2110+1)),INDEX(DATAS,W2110+1)),"")</f>
        <v/>
      </c>
    </row>
    <row r="2111" customFormat="false" ht="15" hidden="false" customHeight="false" outlineLevel="0" collapsed="false">
      <c r="A2111" s="33" t="n">
        <v>46309</v>
      </c>
      <c r="B2111" s="0" t="n">
        <v>8</v>
      </c>
      <c r="C2111" s="0" t="n">
        <v>6394</v>
      </c>
      <c r="E2111" s="0" t="n">
        <v>0</v>
      </c>
      <c r="F2111" s="27" t="s">
        <v>1179</v>
      </c>
      <c r="I2111" s="27" t="s">
        <v>138</v>
      </c>
      <c r="L2111" s="0" t="n">
        <v>181</v>
      </c>
      <c r="U2111" s="0" t="n">
        <v>575</v>
      </c>
      <c r="V2111" s="0" t="n">
        <v>1</v>
      </c>
      <c r="W2111" s="27" t="n">
        <f aca="false">MATCH(A2111,DATAS,0)</f>
        <v>1</v>
      </c>
      <c r="X2111" s="27" t="n">
        <f aca="false">IF(AND(E2111&gt;0,OR(AND(B2111&gt;=1,B2111&lt;=6),B2111=10)),1,0)</f>
        <v>0</v>
      </c>
      <c r="Y2111" s="27" t="n">
        <f aca="false">IF(AND(E2111&gt;0,B2111=10),1,0)</f>
        <v>0</v>
      </c>
      <c r="Z2111" s="0" t="str">
        <f aca="false">IF(AND(C2110=C2111,W2110=W2111-1),X2110,"")</f>
        <v/>
      </c>
      <c r="AA2111" s="0" t="str">
        <f aca="false">IF(AND(C2110=C2111,W2110=W2111-1),Y2110,"")</f>
        <v/>
      </c>
      <c r="AB2111" s="0" t="str">
        <f aca="false">IF(W2111=1,"",IF(AND(X2111=1,Z2111&lt;&gt;1),1,0))</f>
        <v/>
      </c>
      <c r="AC2111" s="0" t="str">
        <f aca="false">IF(W2111=1,"",IF(AND(Y2111=1,AA2111&lt;&gt;1),1,0))</f>
        <v/>
      </c>
      <c r="AD2111" s="33" t="str">
        <f aca="false">IF(AND(E2111&gt;0,W2111&lt;1,NOT(AND(C2112=C2111,W2112=W2111+1))),INDEX(DATAS,W2111+1),"")</f>
        <v/>
      </c>
      <c r="AE2111" s="33" t="str">
        <f aca="false">IF(AND(Y2111=1,W2111&lt;1),IF(AND(C2112=C2111,W2112=W2111+1),IF(Y2112=1,"",INDEX(DATAS,W2111+1)),INDEX(DATAS,W2111+1)),"")</f>
        <v/>
      </c>
    </row>
    <row r="2112" customFormat="false" ht="15" hidden="false" customHeight="false" outlineLevel="0" collapsed="false">
      <c r="A2112" s="33" t="n">
        <v>46309</v>
      </c>
      <c r="B2112" s="0" t="n">
        <v>8</v>
      </c>
      <c r="C2112" s="0" t="n">
        <v>6395</v>
      </c>
      <c r="E2112" s="0" t="n">
        <v>0</v>
      </c>
      <c r="F2112" s="27" t="s">
        <v>1179</v>
      </c>
      <c r="I2112" s="27" t="s">
        <v>138</v>
      </c>
      <c r="L2112" s="0" t="n">
        <v>152</v>
      </c>
      <c r="U2112" s="0" t="n">
        <v>575</v>
      </c>
      <c r="V2112" s="0" t="n">
        <v>2</v>
      </c>
      <c r="W2112" s="27" t="n">
        <f aca="false">MATCH(A2112,DATAS,0)</f>
        <v>1</v>
      </c>
      <c r="X2112" s="27" t="n">
        <f aca="false">IF(AND(E2112&gt;0,OR(AND(B2112&gt;=1,B2112&lt;=6),B2112=10)),1,0)</f>
        <v>0</v>
      </c>
      <c r="Y2112" s="27" t="n">
        <f aca="false">IF(AND(E2112&gt;0,B2112=10),1,0)</f>
        <v>0</v>
      </c>
      <c r="Z2112" s="0" t="str">
        <f aca="false">IF(AND(C2111=C2112,W2111=W2112-1),X2111,"")</f>
        <v/>
      </c>
      <c r="AA2112" s="0" t="str">
        <f aca="false">IF(AND(C2111=C2112,W2111=W2112-1),Y2111,"")</f>
        <v/>
      </c>
      <c r="AB2112" s="0" t="str">
        <f aca="false">IF(W2112=1,"",IF(AND(X2112=1,Z2112&lt;&gt;1),1,0))</f>
        <v/>
      </c>
      <c r="AC2112" s="0" t="str">
        <f aca="false">IF(W2112=1,"",IF(AND(Y2112=1,AA2112&lt;&gt;1),1,0))</f>
        <v/>
      </c>
      <c r="AD2112" s="33" t="str">
        <f aca="false">IF(AND(E2112&gt;0,W2112&lt;1,NOT(AND(C2113=C2112,W2113=W2112+1))),INDEX(DATAS,W2112+1),"")</f>
        <v/>
      </c>
      <c r="AE2112" s="33" t="str">
        <f aca="false">IF(AND(Y2112=1,W2112&lt;1),IF(AND(C2113=C2112,W2113=W2112+1),IF(Y2113=1,"",INDEX(DATAS,W2112+1)),INDEX(DATAS,W2112+1)),"")</f>
        <v/>
      </c>
    </row>
    <row r="2113" customFormat="false" ht="15" hidden="false" customHeight="false" outlineLevel="0" collapsed="false">
      <c r="A2113" s="33" t="n">
        <v>46309</v>
      </c>
      <c r="B2113" s="0" t="n">
        <v>8</v>
      </c>
      <c r="C2113" s="0" t="n">
        <v>6396</v>
      </c>
      <c r="E2113" s="0" t="n">
        <v>0</v>
      </c>
      <c r="F2113" s="27" t="s">
        <v>1179</v>
      </c>
      <c r="I2113" s="27" t="s">
        <v>138</v>
      </c>
      <c r="L2113" s="0" t="n">
        <v>50</v>
      </c>
      <c r="U2113" s="0" t="n">
        <v>575</v>
      </c>
      <c r="V2113" s="0" t="n">
        <v>3</v>
      </c>
      <c r="W2113" s="27" t="n">
        <f aca="false">MATCH(A2113,DATAS,0)</f>
        <v>1</v>
      </c>
      <c r="X2113" s="27" t="n">
        <f aca="false">IF(AND(E2113&gt;0,OR(AND(B2113&gt;=1,B2113&lt;=6),B2113=10)),1,0)</f>
        <v>0</v>
      </c>
      <c r="Y2113" s="27" t="n">
        <f aca="false">IF(AND(E2113&gt;0,B2113=10),1,0)</f>
        <v>0</v>
      </c>
      <c r="Z2113" s="0" t="str">
        <f aca="false">IF(AND(C2112=C2113,W2112=W2113-1),X2112,"")</f>
        <v/>
      </c>
      <c r="AA2113" s="0" t="str">
        <f aca="false">IF(AND(C2112=C2113,W2112=W2113-1),Y2112,"")</f>
        <v/>
      </c>
      <c r="AB2113" s="0" t="str">
        <f aca="false">IF(W2113=1,"",IF(AND(X2113=1,Z2113&lt;&gt;1),1,0))</f>
        <v/>
      </c>
      <c r="AC2113" s="0" t="str">
        <f aca="false">IF(W2113=1,"",IF(AND(Y2113=1,AA2113&lt;&gt;1),1,0))</f>
        <v/>
      </c>
      <c r="AD2113" s="33" t="str">
        <f aca="false">IF(AND(E2113&gt;0,W2113&lt;1,NOT(AND(C2114=C2113,W2114=W2113+1))),INDEX(DATAS,W2113+1),"")</f>
        <v/>
      </c>
      <c r="AE2113" s="33" t="str">
        <f aca="false">IF(AND(Y2113=1,W2113&lt;1),IF(AND(C2114=C2113,W2114=W2113+1),IF(Y2114=1,"",INDEX(DATAS,W2113+1)),INDEX(DATAS,W2113+1)),"")</f>
        <v/>
      </c>
    </row>
    <row r="2114" customFormat="false" ht="15" hidden="false" customHeight="false" outlineLevel="0" collapsed="false">
      <c r="A2114" s="33" t="n">
        <v>46309</v>
      </c>
      <c r="B2114" s="0" t="n">
        <v>8</v>
      </c>
      <c r="C2114" s="0" t="n">
        <v>6397</v>
      </c>
      <c r="E2114" s="0" t="n">
        <v>0</v>
      </c>
      <c r="F2114" s="27" t="s">
        <v>1179</v>
      </c>
      <c r="I2114" s="27" t="s">
        <v>138</v>
      </c>
      <c r="L2114" s="0" t="n">
        <v>169</v>
      </c>
      <c r="U2114" s="0" t="n">
        <v>575</v>
      </c>
      <c r="V2114" s="0" t="n">
        <v>1</v>
      </c>
      <c r="W2114" s="27" t="n">
        <f aca="false">MATCH(A2114,DATAS,0)</f>
        <v>1</v>
      </c>
      <c r="X2114" s="27" t="n">
        <f aca="false">IF(AND(E2114&gt;0,OR(AND(B2114&gt;=1,B2114&lt;=6),B2114=10)),1,0)</f>
        <v>0</v>
      </c>
      <c r="Y2114" s="27" t="n">
        <f aca="false">IF(AND(E2114&gt;0,B2114=10),1,0)</f>
        <v>0</v>
      </c>
      <c r="Z2114" s="0" t="str">
        <f aca="false">IF(AND(C2113=C2114,W2113=W2114-1),X2113,"")</f>
        <v/>
      </c>
      <c r="AA2114" s="0" t="str">
        <f aca="false">IF(AND(C2113=C2114,W2113=W2114-1),Y2113,"")</f>
        <v/>
      </c>
      <c r="AB2114" s="0" t="str">
        <f aca="false">IF(W2114=1,"",IF(AND(X2114=1,Z2114&lt;&gt;1),1,0))</f>
        <v/>
      </c>
      <c r="AC2114" s="0" t="str">
        <f aca="false">IF(W2114=1,"",IF(AND(Y2114=1,AA2114&lt;&gt;1),1,0))</f>
        <v/>
      </c>
      <c r="AD2114" s="33" t="str">
        <f aca="false">IF(AND(E2114&gt;0,W2114&lt;1,NOT(AND(C2115=C2114,W2115=W2114+1))),INDEX(DATAS,W2114+1),"")</f>
        <v/>
      </c>
      <c r="AE2114" s="33" t="str">
        <f aca="false">IF(AND(Y2114=1,W2114&lt;1),IF(AND(C2115=C2114,W2115=W2114+1),IF(Y2115=1,"",INDEX(DATAS,W2114+1)),INDEX(DATAS,W2114+1)),"")</f>
        <v/>
      </c>
    </row>
    <row r="2115" customFormat="false" ht="15" hidden="false" customHeight="false" outlineLevel="0" collapsed="false">
      <c r="A2115" s="33" t="n">
        <v>46309</v>
      </c>
      <c r="B2115" s="0" t="n">
        <v>8</v>
      </c>
      <c r="C2115" s="0" t="n">
        <v>6398</v>
      </c>
      <c r="E2115" s="0" t="n">
        <v>0</v>
      </c>
      <c r="F2115" s="27" t="s">
        <v>1179</v>
      </c>
      <c r="I2115" s="27" t="s">
        <v>138</v>
      </c>
      <c r="L2115" s="0" t="n">
        <v>176</v>
      </c>
      <c r="U2115" s="0" t="n">
        <v>575</v>
      </c>
      <c r="V2115" s="0" t="n">
        <v>1</v>
      </c>
      <c r="W2115" s="27" t="n">
        <f aca="false">MATCH(A2115,DATAS,0)</f>
        <v>1</v>
      </c>
      <c r="X2115" s="27" t="n">
        <f aca="false">IF(AND(E2115&gt;0,OR(AND(B2115&gt;=1,B2115&lt;=6),B2115=10)),1,0)</f>
        <v>0</v>
      </c>
      <c r="Y2115" s="27" t="n">
        <f aca="false">IF(AND(E2115&gt;0,B2115=10),1,0)</f>
        <v>0</v>
      </c>
      <c r="Z2115" s="0" t="str">
        <f aca="false">IF(AND(C2114=C2115,W2114=W2115-1),X2114,"")</f>
        <v/>
      </c>
      <c r="AA2115" s="0" t="str">
        <f aca="false">IF(AND(C2114=C2115,W2114=W2115-1),Y2114,"")</f>
        <v/>
      </c>
      <c r="AB2115" s="0" t="str">
        <f aca="false">IF(W2115=1,"",IF(AND(X2115=1,Z2115&lt;&gt;1),1,0))</f>
        <v/>
      </c>
      <c r="AC2115" s="0" t="str">
        <f aca="false">IF(W2115=1,"",IF(AND(Y2115=1,AA2115&lt;&gt;1),1,0))</f>
        <v/>
      </c>
      <c r="AD2115" s="33" t="str">
        <f aca="false">IF(AND(E2115&gt;0,W2115&lt;1,NOT(AND(C2116=C2115,W2116=W2115+1))),INDEX(DATAS,W2115+1),"")</f>
        <v/>
      </c>
      <c r="AE2115" s="33" t="str">
        <f aca="false">IF(AND(Y2115=1,W2115&lt;1),IF(AND(C2116=C2115,W2116=W2115+1),IF(Y2116=1,"",INDEX(DATAS,W2115+1)),INDEX(DATAS,W2115+1)),"")</f>
        <v/>
      </c>
    </row>
    <row r="2116" customFormat="false" ht="15" hidden="false" customHeight="false" outlineLevel="0" collapsed="false">
      <c r="A2116" s="33" t="n">
        <v>46309</v>
      </c>
      <c r="B2116" s="0" t="n">
        <v>8</v>
      </c>
      <c r="C2116" s="0" t="n">
        <v>6399</v>
      </c>
      <c r="E2116" s="0" t="n">
        <v>0</v>
      </c>
      <c r="F2116" s="27" t="s">
        <v>1180</v>
      </c>
      <c r="I2116" s="27" t="s">
        <v>138</v>
      </c>
      <c r="L2116" s="0" t="n">
        <v>176</v>
      </c>
      <c r="U2116" s="0" t="n">
        <v>573</v>
      </c>
      <c r="V2116" s="0" t="n">
        <v>1</v>
      </c>
      <c r="W2116" s="27" t="n">
        <f aca="false">MATCH(A2116,DATAS,0)</f>
        <v>1</v>
      </c>
      <c r="X2116" s="27" t="n">
        <f aca="false">IF(AND(E2116&gt;0,OR(AND(B2116&gt;=1,B2116&lt;=6),B2116=10)),1,0)</f>
        <v>0</v>
      </c>
      <c r="Y2116" s="27" t="n">
        <f aca="false">IF(AND(E2116&gt;0,B2116=10),1,0)</f>
        <v>0</v>
      </c>
      <c r="Z2116" s="0" t="str">
        <f aca="false">IF(AND(C2115=C2116,W2115=W2116-1),X2115,"")</f>
        <v/>
      </c>
      <c r="AA2116" s="0" t="str">
        <f aca="false">IF(AND(C2115=C2116,W2115=W2116-1),Y2115,"")</f>
        <v/>
      </c>
      <c r="AB2116" s="0" t="str">
        <f aca="false">IF(W2116=1,"",IF(AND(X2116=1,Z2116&lt;&gt;1),1,0))</f>
        <v/>
      </c>
      <c r="AC2116" s="0" t="str">
        <f aca="false">IF(W2116=1,"",IF(AND(Y2116=1,AA2116&lt;&gt;1),1,0))</f>
        <v/>
      </c>
      <c r="AD2116" s="33" t="str">
        <f aca="false">IF(AND(E2116&gt;0,W2116&lt;1,NOT(AND(C2117=C2116,W2117=W2116+1))),INDEX(DATAS,W2116+1),"")</f>
        <v/>
      </c>
      <c r="AE2116" s="33" t="str">
        <f aca="false">IF(AND(Y2116=1,W2116&lt;1),IF(AND(C2117=C2116,W2117=W2116+1),IF(Y2117=1,"",INDEX(DATAS,W2116+1)),INDEX(DATAS,W2116+1)),"")</f>
        <v/>
      </c>
    </row>
    <row r="2117" customFormat="false" ht="15" hidden="false" customHeight="false" outlineLevel="0" collapsed="false">
      <c r="A2117" s="33" t="n">
        <v>46309</v>
      </c>
      <c r="B2117" s="0" t="n">
        <v>8</v>
      </c>
      <c r="C2117" s="0" t="n">
        <v>6400</v>
      </c>
      <c r="E2117" s="0" t="n">
        <v>0</v>
      </c>
      <c r="F2117" s="27" t="s">
        <v>1180</v>
      </c>
      <c r="I2117" s="27" t="s">
        <v>138</v>
      </c>
      <c r="L2117" s="0" t="n">
        <v>145</v>
      </c>
      <c r="U2117" s="0" t="n">
        <v>573</v>
      </c>
      <c r="V2117" s="0" t="n">
        <v>2</v>
      </c>
      <c r="W2117" s="27" t="n">
        <f aca="false">MATCH(A2117,DATAS,0)</f>
        <v>1</v>
      </c>
      <c r="X2117" s="27" t="n">
        <f aca="false">IF(AND(E2117&gt;0,OR(AND(B2117&gt;=1,B2117&lt;=6),B2117=10)),1,0)</f>
        <v>0</v>
      </c>
      <c r="Y2117" s="27" t="n">
        <f aca="false">IF(AND(E2117&gt;0,B2117=10),1,0)</f>
        <v>0</v>
      </c>
      <c r="Z2117" s="0" t="str">
        <f aca="false">IF(AND(C2116=C2117,W2116=W2117-1),X2116,"")</f>
        <v/>
      </c>
      <c r="AA2117" s="0" t="str">
        <f aca="false">IF(AND(C2116=C2117,W2116=W2117-1),Y2116,"")</f>
        <v/>
      </c>
      <c r="AB2117" s="0" t="str">
        <f aca="false">IF(W2117=1,"",IF(AND(X2117=1,Z2117&lt;&gt;1),1,0))</f>
        <v/>
      </c>
      <c r="AC2117" s="0" t="str">
        <f aca="false">IF(W2117=1,"",IF(AND(Y2117=1,AA2117&lt;&gt;1),1,0))</f>
        <v/>
      </c>
      <c r="AD2117" s="33" t="str">
        <f aca="false">IF(AND(E2117&gt;0,W2117&lt;1,NOT(AND(C2118=C2117,W2118=W2117+1))),INDEX(DATAS,W2117+1),"")</f>
        <v/>
      </c>
      <c r="AE2117" s="33" t="str">
        <f aca="false">IF(AND(Y2117=1,W2117&lt;1),IF(AND(C2118=C2117,W2118=W2117+1),IF(Y2118=1,"",INDEX(DATAS,W2117+1)),INDEX(DATAS,W2117+1)),"")</f>
        <v/>
      </c>
    </row>
    <row r="2118" customFormat="false" ht="15" hidden="false" customHeight="false" outlineLevel="0" collapsed="false">
      <c r="A2118" s="33" t="n">
        <v>46309</v>
      </c>
      <c r="B2118" s="0" t="n">
        <v>8</v>
      </c>
      <c r="C2118" s="0" t="n">
        <v>6401</v>
      </c>
      <c r="E2118" s="0" t="n">
        <v>0</v>
      </c>
      <c r="F2118" s="27" t="s">
        <v>1180</v>
      </c>
      <c r="I2118" s="27" t="s">
        <v>138</v>
      </c>
      <c r="L2118" s="0" t="n">
        <v>162</v>
      </c>
      <c r="U2118" s="0" t="n">
        <v>573</v>
      </c>
      <c r="V2118" s="0" t="n">
        <v>1</v>
      </c>
      <c r="W2118" s="27" t="n">
        <f aca="false">MATCH(A2118,DATAS,0)</f>
        <v>1</v>
      </c>
      <c r="X2118" s="27" t="n">
        <f aca="false">IF(AND(E2118&gt;0,OR(AND(B2118&gt;=1,B2118&lt;=6),B2118=10)),1,0)</f>
        <v>0</v>
      </c>
      <c r="Y2118" s="27" t="n">
        <f aca="false">IF(AND(E2118&gt;0,B2118=10),1,0)</f>
        <v>0</v>
      </c>
      <c r="Z2118" s="0" t="str">
        <f aca="false">IF(AND(C2117=C2118,W2117=W2118-1),X2117,"")</f>
        <v/>
      </c>
      <c r="AA2118" s="0" t="str">
        <f aca="false">IF(AND(C2117=C2118,W2117=W2118-1),Y2117,"")</f>
        <v/>
      </c>
      <c r="AB2118" s="0" t="str">
        <f aca="false">IF(W2118=1,"",IF(AND(X2118=1,Z2118&lt;&gt;1),1,0))</f>
        <v/>
      </c>
      <c r="AC2118" s="0" t="str">
        <f aca="false">IF(W2118=1,"",IF(AND(Y2118=1,AA2118&lt;&gt;1),1,0))</f>
        <v/>
      </c>
      <c r="AD2118" s="33" t="str">
        <f aca="false">IF(AND(E2118&gt;0,W2118&lt;1,NOT(AND(C2119=C2118,W2119=W2118+1))),INDEX(DATAS,W2118+1),"")</f>
        <v/>
      </c>
      <c r="AE2118" s="33" t="str">
        <f aca="false">IF(AND(Y2118=1,W2118&lt;1),IF(AND(C2119=C2118,W2119=W2118+1),IF(Y2119=1,"",INDEX(DATAS,W2118+1)),INDEX(DATAS,W2118+1)),"")</f>
        <v/>
      </c>
    </row>
    <row r="2119" customFormat="false" ht="15" hidden="false" customHeight="false" outlineLevel="0" collapsed="false">
      <c r="A2119" s="33" t="n">
        <v>46309</v>
      </c>
      <c r="B2119" s="0" t="n">
        <v>8</v>
      </c>
      <c r="C2119" s="0" t="n">
        <v>6402</v>
      </c>
      <c r="E2119" s="0" t="n">
        <v>0</v>
      </c>
      <c r="F2119" s="27" t="s">
        <v>1180</v>
      </c>
      <c r="I2119" s="27" t="s">
        <v>138</v>
      </c>
      <c r="L2119" s="0" t="n">
        <v>167</v>
      </c>
      <c r="U2119" s="0" t="n">
        <v>573</v>
      </c>
      <c r="V2119" s="0" t="n">
        <v>1</v>
      </c>
      <c r="W2119" s="27" t="n">
        <f aca="false">MATCH(A2119,DATAS,0)</f>
        <v>1</v>
      </c>
      <c r="X2119" s="27" t="n">
        <f aca="false">IF(AND(E2119&gt;0,OR(AND(B2119&gt;=1,B2119&lt;=6),B2119=10)),1,0)</f>
        <v>0</v>
      </c>
      <c r="Y2119" s="27" t="n">
        <f aca="false">IF(AND(E2119&gt;0,B2119=10),1,0)</f>
        <v>0</v>
      </c>
      <c r="Z2119" s="0" t="str">
        <f aca="false">IF(AND(C2118=C2119,W2118=W2119-1),X2118,"")</f>
        <v/>
      </c>
      <c r="AA2119" s="0" t="str">
        <f aca="false">IF(AND(C2118=C2119,W2118=W2119-1),Y2118,"")</f>
        <v/>
      </c>
      <c r="AB2119" s="0" t="str">
        <f aca="false">IF(W2119=1,"",IF(AND(X2119=1,Z2119&lt;&gt;1),1,0))</f>
        <v/>
      </c>
      <c r="AC2119" s="0" t="str">
        <f aca="false">IF(W2119=1,"",IF(AND(Y2119=1,AA2119&lt;&gt;1),1,0))</f>
        <v/>
      </c>
      <c r="AD2119" s="33" t="str">
        <f aca="false">IF(AND(E2119&gt;0,W2119&lt;1,NOT(AND(C2120=C2119,W2120=W2119+1))),INDEX(DATAS,W2119+1),"")</f>
        <v/>
      </c>
      <c r="AE2119" s="33" t="str">
        <f aca="false">IF(AND(Y2119=1,W2119&lt;1),IF(AND(C2120=C2119,W2120=W2119+1),IF(Y2120=1,"",INDEX(DATAS,W2119+1)),INDEX(DATAS,W2119+1)),"")</f>
        <v/>
      </c>
    </row>
    <row r="2120" customFormat="false" ht="15" hidden="false" customHeight="false" outlineLevel="0" collapsed="false">
      <c r="A2120" s="33" t="n">
        <v>46309</v>
      </c>
      <c r="B2120" s="0" t="n">
        <v>8</v>
      </c>
      <c r="C2120" s="0" t="n">
        <v>6403</v>
      </c>
      <c r="E2120" s="0" t="n">
        <v>0</v>
      </c>
      <c r="F2120" s="27" t="s">
        <v>1181</v>
      </c>
      <c r="I2120" s="27" t="s">
        <v>138</v>
      </c>
      <c r="L2120" s="0" t="n">
        <v>154</v>
      </c>
      <c r="U2120" s="0" t="n">
        <v>570</v>
      </c>
      <c r="V2120" s="0" t="n">
        <v>1</v>
      </c>
      <c r="W2120" s="27" t="n">
        <f aca="false">MATCH(A2120,DATAS,0)</f>
        <v>1</v>
      </c>
      <c r="X2120" s="27" t="n">
        <f aca="false">IF(AND(E2120&gt;0,OR(AND(B2120&gt;=1,B2120&lt;=6),B2120=10)),1,0)</f>
        <v>0</v>
      </c>
      <c r="Y2120" s="27" t="n">
        <f aca="false">IF(AND(E2120&gt;0,B2120=10),1,0)</f>
        <v>0</v>
      </c>
      <c r="Z2120" s="0" t="str">
        <f aca="false">IF(AND(C2119=C2120,W2119=W2120-1),X2119,"")</f>
        <v/>
      </c>
      <c r="AA2120" s="0" t="str">
        <f aca="false">IF(AND(C2119=C2120,W2119=W2120-1),Y2119,"")</f>
        <v/>
      </c>
      <c r="AB2120" s="0" t="str">
        <f aca="false">IF(W2120=1,"",IF(AND(X2120=1,Z2120&lt;&gt;1),1,0))</f>
        <v/>
      </c>
      <c r="AC2120" s="0" t="str">
        <f aca="false">IF(W2120=1,"",IF(AND(Y2120=1,AA2120&lt;&gt;1),1,0))</f>
        <v/>
      </c>
      <c r="AD2120" s="33" t="str">
        <f aca="false">IF(AND(E2120&gt;0,W2120&lt;1,NOT(AND(C2121=C2120,W2121=W2120+1))),INDEX(DATAS,W2120+1),"")</f>
        <v/>
      </c>
      <c r="AE2120" s="33" t="str">
        <f aca="false">IF(AND(Y2120=1,W2120&lt;1),IF(AND(C2121=C2120,W2121=W2120+1),IF(Y2121=1,"",INDEX(DATAS,W2120+1)),INDEX(DATAS,W2120+1)),"")</f>
        <v/>
      </c>
    </row>
    <row r="2121" customFormat="false" ht="15" hidden="false" customHeight="false" outlineLevel="0" collapsed="false">
      <c r="A2121" s="33" t="n">
        <v>46309</v>
      </c>
      <c r="B2121" s="0" t="n">
        <v>8</v>
      </c>
      <c r="C2121" s="0" t="n">
        <v>6404</v>
      </c>
      <c r="E2121" s="0" t="n">
        <v>0</v>
      </c>
      <c r="F2121" s="27" t="s">
        <v>1181</v>
      </c>
      <c r="I2121" s="27" t="s">
        <v>138</v>
      </c>
      <c r="L2121" s="0" t="n">
        <v>111</v>
      </c>
      <c r="U2121" s="0" t="n">
        <v>570</v>
      </c>
      <c r="V2121" s="0" t="n">
        <v>4</v>
      </c>
      <c r="W2121" s="27" t="n">
        <f aca="false">MATCH(A2121,DATAS,0)</f>
        <v>1</v>
      </c>
      <c r="X2121" s="27" t="n">
        <f aca="false">IF(AND(E2121&gt;0,OR(AND(B2121&gt;=1,B2121&lt;=6),B2121=10)),1,0)</f>
        <v>0</v>
      </c>
      <c r="Y2121" s="27" t="n">
        <f aca="false">IF(AND(E2121&gt;0,B2121=10),1,0)</f>
        <v>0</v>
      </c>
      <c r="Z2121" s="0" t="str">
        <f aca="false">IF(AND(C2120=C2121,W2120=W2121-1),X2120,"")</f>
        <v/>
      </c>
      <c r="AA2121" s="0" t="str">
        <f aca="false">IF(AND(C2120=C2121,W2120=W2121-1),Y2120,"")</f>
        <v/>
      </c>
      <c r="AB2121" s="0" t="str">
        <f aca="false">IF(W2121=1,"",IF(AND(X2121=1,Z2121&lt;&gt;1),1,0))</f>
        <v/>
      </c>
      <c r="AC2121" s="0" t="str">
        <f aca="false">IF(W2121=1,"",IF(AND(Y2121=1,AA2121&lt;&gt;1),1,0))</f>
        <v/>
      </c>
      <c r="AD2121" s="33" t="str">
        <f aca="false">IF(AND(E2121&gt;0,W2121&lt;1,NOT(AND(C2122=C2121,W2122=W2121+1))),INDEX(DATAS,W2121+1),"")</f>
        <v/>
      </c>
      <c r="AE2121" s="33" t="str">
        <f aca="false">IF(AND(Y2121=1,W2121&lt;1),IF(AND(C2122=C2121,W2122=W2121+1),IF(Y2122=1,"",INDEX(DATAS,W2121+1)),INDEX(DATAS,W2121+1)),"")</f>
        <v/>
      </c>
    </row>
    <row r="2122" customFormat="false" ht="15" hidden="false" customHeight="false" outlineLevel="0" collapsed="false">
      <c r="A2122" s="33" t="n">
        <v>46309</v>
      </c>
      <c r="B2122" s="0" t="n">
        <v>8</v>
      </c>
      <c r="C2122" s="0" t="n">
        <v>6405</v>
      </c>
      <c r="E2122" s="0" t="n">
        <v>0</v>
      </c>
      <c r="F2122" s="27" t="s">
        <v>1181</v>
      </c>
      <c r="I2122" s="27" t="s">
        <v>138</v>
      </c>
      <c r="L2122" s="0" t="n">
        <v>169</v>
      </c>
      <c r="U2122" s="0" t="n">
        <v>570</v>
      </c>
      <c r="V2122" s="0" t="n">
        <v>1</v>
      </c>
      <c r="W2122" s="27" t="n">
        <f aca="false">MATCH(A2122,DATAS,0)</f>
        <v>1</v>
      </c>
      <c r="X2122" s="27" t="n">
        <f aca="false">IF(AND(E2122&gt;0,OR(AND(B2122&gt;=1,B2122&lt;=6),B2122=10)),1,0)</f>
        <v>0</v>
      </c>
      <c r="Y2122" s="27" t="n">
        <f aca="false">IF(AND(E2122&gt;0,B2122=10),1,0)</f>
        <v>0</v>
      </c>
      <c r="Z2122" s="0" t="str">
        <f aca="false">IF(AND(C2121=C2122,W2121=W2122-1),X2121,"")</f>
        <v/>
      </c>
      <c r="AA2122" s="0" t="str">
        <f aca="false">IF(AND(C2121=C2122,W2121=W2122-1),Y2121,"")</f>
        <v/>
      </c>
      <c r="AB2122" s="0" t="str">
        <f aca="false">IF(W2122=1,"",IF(AND(X2122=1,Z2122&lt;&gt;1),1,0))</f>
        <v/>
      </c>
      <c r="AC2122" s="0" t="str">
        <f aca="false">IF(W2122=1,"",IF(AND(Y2122=1,AA2122&lt;&gt;1),1,0))</f>
        <v/>
      </c>
      <c r="AD2122" s="33" t="str">
        <f aca="false">IF(AND(E2122&gt;0,W2122&lt;1,NOT(AND(C2123=C2122,W2123=W2122+1))),INDEX(DATAS,W2122+1),"")</f>
        <v/>
      </c>
      <c r="AE2122" s="33" t="str">
        <f aca="false">IF(AND(Y2122=1,W2122&lt;1),IF(AND(C2123=C2122,W2123=W2122+1),IF(Y2123=1,"",INDEX(DATAS,W2122+1)),INDEX(DATAS,W2122+1)),"")</f>
        <v/>
      </c>
    </row>
    <row r="2123" customFormat="false" ht="15" hidden="false" customHeight="false" outlineLevel="0" collapsed="false">
      <c r="A2123" s="33" t="n">
        <v>46309</v>
      </c>
      <c r="B2123" s="0" t="n">
        <v>8</v>
      </c>
      <c r="C2123" s="0" t="n">
        <v>6406</v>
      </c>
      <c r="E2123" s="0" t="n">
        <v>0</v>
      </c>
      <c r="F2123" s="27" t="s">
        <v>1181</v>
      </c>
      <c r="I2123" s="27" t="s">
        <v>138</v>
      </c>
      <c r="L2123" s="0" t="n">
        <v>169</v>
      </c>
      <c r="U2123" s="0" t="n">
        <v>570</v>
      </c>
      <c r="V2123" s="0" t="n">
        <v>1</v>
      </c>
      <c r="W2123" s="27" t="n">
        <f aca="false">MATCH(A2123,DATAS,0)</f>
        <v>1</v>
      </c>
      <c r="X2123" s="27" t="n">
        <f aca="false">IF(AND(E2123&gt;0,OR(AND(B2123&gt;=1,B2123&lt;=6),B2123=10)),1,0)</f>
        <v>0</v>
      </c>
      <c r="Y2123" s="27" t="n">
        <f aca="false">IF(AND(E2123&gt;0,B2123=10),1,0)</f>
        <v>0</v>
      </c>
      <c r="Z2123" s="0" t="str">
        <f aca="false">IF(AND(C2122=C2123,W2122=W2123-1),X2122,"")</f>
        <v/>
      </c>
      <c r="AA2123" s="0" t="str">
        <f aca="false">IF(AND(C2122=C2123,W2122=W2123-1),Y2122,"")</f>
        <v/>
      </c>
      <c r="AB2123" s="0" t="str">
        <f aca="false">IF(W2123=1,"",IF(AND(X2123=1,Z2123&lt;&gt;1),1,0))</f>
        <v/>
      </c>
      <c r="AC2123" s="0" t="str">
        <f aca="false">IF(W2123=1,"",IF(AND(Y2123=1,AA2123&lt;&gt;1),1,0))</f>
        <v/>
      </c>
      <c r="AD2123" s="33" t="str">
        <f aca="false">IF(AND(E2123&gt;0,W2123&lt;1,NOT(AND(C2124=C2123,W2124=W2123+1))),INDEX(DATAS,W2123+1),"")</f>
        <v/>
      </c>
      <c r="AE2123" s="33" t="str">
        <f aca="false">IF(AND(Y2123=1,W2123&lt;1),IF(AND(C2124=C2123,W2124=W2123+1),IF(Y2124=1,"",INDEX(DATAS,W2123+1)),INDEX(DATAS,W2123+1)),"")</f>
        <v/>
      </c>
    </row>
    <row r="2124" customFormat="false" ht="15" hidden="false" customHeight="false" outlineLevel="0" collapsed="false">
      <c r="A2124" s="33" t="n">
        <v>46309</v>
      </c>
      <c r="B2124" s="0" t="n">
        <v>8</v>
      </c>
      <c r="C2124" s="0" t="n">
        <v>6407</v>
      </c>
      <c r="E2124" s="0" t="n">
        <v>0</v>
      </c>
      <c r="F2124" s="27" t="s">
        <v>1181</v>
      </c>
      <c r="I2124" s="27" t="s">
        <v>138</v>
      </c>
      <c r="L2124" s="0" t="n">
        <v>170</v>
      </c>
      <c r="U2124" s="0" t="n">
        <v>570</v>
      </c>
      <c r="V2124" s="0" t="n">
        <v>1</v>
      </c>
      <c r="W2124" s="27" t="n">
        <f aca="false">MATCH(A2124,DATAS,0)</f>
        <v>1</v>
      </c>
      <c r="X2124" s="27" t="n">
        <f aca="false">IF(AND(E2124&gt;0,OR(AND(B2124&gt;=1,B2124&lt;=6),B2124=10)),1,0)</f>
        <v>0</v>
      </c>
      <c r="Y2124" s="27" t="n">
        <f aca="false">IF(AND(E2124&gt;0,B2124=10),1,0)</f>
        <v>0</v>
      </c>
      <c r="Z2124" s="0" t="str">
        <f aca="false">IF(AND(C2123=C2124,W2123=W2124-1),X2123,"")</f>
        <v/>
      </c>
      <c r="AA2124" s="0" t="str">
        <f aca="false">IF(AND(C2123=C2124,W2123=W2124-1),Y2123,"")</f>
        <v/>
      </c>
      <c r="AB2124" s="0" t="str">
        <f aca="false">IF(W2124=1,"",IF(AND(X2124=1,Z2124&lt;&gt;1),1,0))</f>
        <v/>
      </c>
      <c r="AC2124" s="0" t="str">
        <f aca="false">IF(W2124=1,"",IF(AND(Y2124=1,AA2124&lt;&gt;1),1,0))</f>
        <v/>
      </c>
      <c r="AD2124" s="33" t="str">
        <f aca="false">IF(AND(E2124&gt;0,W2124&lt;1,NOT(AND(C2125=C2124,W2125=W2124+1))),INDEX(DATAS,W2124+1),"")</f>
        <v/>
      </c>
      <c r="AE2124" s="33" t="str">
        <f aca="false">IF(AND(Y2124=1,W2124&lt;1),IF(AND(C2125=C2124,W2125=W2124+1),IF(Y2125=1,"",INDEX(DATAS,W2124+1)),INDEX(DATAS,W2124+1)),"")</f>
        <v/>
      </c>
    </row>
    <row r="2125" customFormat="false" ht="15" hidden="false" customHeight="false" outlineLevel="0" collapsed="false">
      <c r="A2125" s="33" t="n">
        <v>46309</v>
      </c>
      <c r="B2125" s="0" t="n">
        <v>8</v>
      </c>
      <c r="C2125" s="0" t="n">
        <v>6408</v>
      </c>
      <c r="E2125" s="0" t="n">
        <v>0</v>
      </c>
      <c r="F2125" s="27" t="s">
        <v>1181</v>
      </c>
      <c r="I2125" s="27" t="s">
        <v>138</v>
      </c>
      <c r="L2125" s="0" t="n">
        <v>169</v>
      </c>
      <c r="U2125" s="0" t="n">
        <v>570</v>
      </c>
      <c r="V2125" s="0" t="n">
        <v>1</v>
      </c>
      <c r="W2125" s="27" t="n">
        <f aca="false">MATCH(A2125,DATAS,0)</f>
        <v>1</v>
      </c>
      <c r="X2125" s="27" t="n">
        <f aca="false">IF(AND(E2125&gt;0,OR(AND(B2125&gt;=1,B2125&lt;=6),B2125=10)),1,0)</f>
        <v>0</v>
      </c>
      <c r="Y2125" s="27" t="n">
        <f aca="false">IF(AND(E2125&gt;0,B2125=10),1,0)</f>
        <v>0</v>
      </c>
      <c r="Z2125" s="0" t="str">
        <f aca="false">IF(AND(C2124=C2125,W2124=W2125-1),X2124,"")</f>
        <v/>
      </c>
      <c r="AA2125" s="0" t="str">
        <f aca="false">IF(AND(C2124=C2125,W2124=W2125-1),Y2124,"")</f>
        <v/>
      </c>
      <c r="AB2125" s="0" t="str">
        <f aca="false">IF(W2125=1,"",IF(AND(X2125=1,Z2125&lt;&gt;1),1,0))</f>
        <v/>
      </c>
      <c r="AC2125" s="0" t="str">
        <f aca="false">IF(W2125=1,"",IF(AND(Y2125=1,AA2125&lt;&gt;1),1,0))</f>
        <v/>
      </c>
      <c r="AD2125" s="33" t="str">
        <f aca="false">IF(AND(E2125&gt;0,W2125&lt;1,NOT(AND(C2126=C2125,W2126=W2125+1))),INDEX(DATAS,W2125+1),"")</f>
        <v/>
      </c>
      <c r="AE2125" s="33" t="str">
        <f aca="false">IF(AND(Y2125=1,W2125&lt;1),IF(AND(C2126=C2125,W2126=W2125+1),IF(Y2126=1,"",INDEX(DATAS,W2125+1)),INDEX(DATAS,W2125+1)),"")</f>
        <v/>
      </c>
    </row>
    <row r="2126" customFormat="false" ht="15" hidden="false" customHeight="false" outlineLevel="0" collapsed="false">
      <c r="A2126" s="33" t="n">
        <v>46309</v>
      </c>
      <c r="B2126" s="0" t="n">
        <v>11</v>
      </c>
      <c r="C2126" s="0" t="n">
        <v>6409</v>
      </c>
      <c r="E2126" s="0" t="n">
        <v>0</v>
      </c>
      <c r="F2126" s="27" t="s">
        <v>1181</v>
      </c>
      <c r="I2126" s="27" t="s">
        <v>168</v>
      </c>
      <c r="U2126" s="0" t="n">
        <v>570</v>
      </c>
      <c r="V2126" s="0" t="n">
        <v>5</v>
      </c>
      <c r="W2126" s="27" t="n">
        <f aca="false">MATCH(A2126,DATAS,0)</f>
        <v>1</v>
      </c>
      <c r="X2126" s="27" t="n">
        <f aca="false">IF(AND(E2126&gt;0,OR(AND(B2126&gt;=1,B2126&lt;=6),B2126=10)),1,0)</f>
        <v>0</v>
      </c>
      <c r="Y2126" s="27" t="n">
        <f aca="false">IF(AND(E2126&gt;0,B2126=10),1,0)</f>
        <v>0</v>
      </c>
      <c r="Z2126" s="0" t="str">
        <f aca="false">IF(AND(C2125=C2126,W2125=W2126-1),X2125,"")</f>
        <v/>
      </c>
      <c r="AA2126" s="0" t="str">
        <f aca="false">IF(AND(C2125=C2126,W2125=W2126-1),Y2125,"")</f>
        <v/>
      </c>
      <c r="AB2126" s="0" t="str">
        <f aca="false">IF(W2126=1,"",IF(AND(X2126=1,Z2126&lt;&gt;1),1,0))</f>
        <v/>
      </c>
      <c r="AC2126" s="0" t="str">
        <f aca="false">IF(W2126=1,"",IF(AND(Y2126=1,AA2126&lt;&gt;1),1,0))</f>
        <v/>
      </c>
      <c r="AD2126" s="33" t="str">
        <f aca="false">IF(AND(E2126&gt;0,W2126&lt;1,NOT(AND(C2127=C2126,W2127=W2126+1))),INDEX(DATAS,W2126+1),"")</f>
        <v/>
      </c>
      <c r="AE2126" s="33" t="str">
        <f aca="false">IF(AND(Y2126=1,W2126&lt;1),IF(AND(C2127=C2126,W2127=W2126+1),IF(Y2127=1,"",INDEX(DATAS,W2126+1)),INDEX(DATAS,W2126+1)),"")</f>
        <v/>
      </c>
    </row>
    <row r="2127" customFormat="false" ht="15" hidden="false" customHeight="false" outlineLevel="0" collapsed="false">
      <c r="A2127" s="33" t="n">
        <v>46309</v>
      </c>
      <c r="B2127" s="0" t="n">
        <v>8</v>
      </c>
      <c r="C2127" s="0" t="n">
        <v>6410</v>
      </c>
      <c r="E2127" s="0" t="n">
        <v>0</v>
      </c>
      <c r="F2127" s="27" t="s">
        <v>1182</v>
      </c>
      <c r="I2127" s="27" t="s">
        <v>138</v>
      </c>
      <c r="L2127" s="0" t="n">
        <v>169</v>
      </c>
      <c r="U2127" s="0" t="n">
        <v>568</v>
      </c>
      <c r="V2127" s="0" t="n">
        <v>1</v>
      </c>
      <c r="W2127" s="27" t="n">
        <f aca="false">MATCH(A2127,DATAS,0)</f>
        <v>1</v>
      </c>
      <c r="X2127" s="27" t="n">
        <f aca="false">IF(AND(E2127&gt;0,OR(AND(B2127&gt;=1,B2127&lt;=6),B2127=10)),1,0)</f>
        <v>0</v>
      </c>
      <c r="Y2127" s="27" t="n">
        <f aca="false">IF(AND(E2127&gt;0,B2127=10),1,0)</f>
        <v>0</v>
      </c>
      <c r="Z2127" s="0" t="str">
        <f aca="false">IF(AND(C2126=C2127,W2126=W2127-1),X2126,"")</f>
        <v/>
      </c>
      <c r="AA2127" s="0" t="str">
        <f aca="false">IF(AND(C2126=C2127,W2126=W2127-1),Y2126,"")</f>
        <v/>
      </c>
      <c r="AB2127" s="0" t="str">
        <f aca="false">IF(W2127=1,"",IF(AND(X2127=1,Z2127&lt;&gt;1),1,0))</f>
        <v/>
      </c>
      <c r="AC2127" s="0" t="str">
        <f aca="false">IF(W2127=1,"",IF(AND(Y2127=1,AA2127&lt;&gt;1),1,0))</f>
        <v/>
      </c>
      <c r="AD2127" s="33" t="str">
        <f aca="false">IF(AND(E2127&gt;0,W2127&lt;1,NOT(AND(C2128=C2127,W2128=W2127+1))),INDEX(DATAS,W2127+1),"")</f>
        <v/>
      </c>
      <c r="AE2127" s="33" t="str">
        <f aca="false">IF(AND(Y2127=1,W2127&lt;1),IF(AND(C2128=C2127,W2128=W2127+1),IF(Y2128=1,"",INDEX(DATAS,W2127+1)),INDEX(DATAS,W2127+1)),"")</f>
        <v/>
      </c>
    </row>
    <row r="2128" customFormat="false" ht="15" hidden="false" customHeight="false" outlineLevel="0" collapsed="false">
      <c r="A2128" s="33" t="n">
        <v>46309</v>
      </c>
      <c r="B2128" s="0" t="n">
        <v>8</v>
      </c>
      <c r="C2128" s="0" t="n">
        <v>6411</v>
      </c>
      <c r="E2128" s="0" t="n">
        <v>0</v>
      </c>
      <c r="F2128" s="27" t="s">
        <v>1182</v>
      </c>
      <c r="I2128" s="27" t="s">
        <v>138</v>
      </c>
      <c r="L2128" s="0" t="n">
        <v>169</v>
      </c>
      <c r="U2128" s="0" t="n">
        <v>568</v>
      </c>
      <c r="V2128" s="0" t="n">
        <v>1</v>
      </c>
      <c r="W2128" s="27" t="n">
        <f aca="false">MATCH(A2128,DATAS,0)</f>
        <v>1</v>
      </c>
      <c r="X2128" s="27" t="n">
        <f aca="false">IF(AND(E2128&gt;0,OR(AND(B2128&gt;=1,B2128&lt;=6),B2128=10)),1,0)</f>
        <v>0</v>
      </c>
      <c r="Y2128" s="27" t="n">
        <f aca="false">IF(AND(E2128&gt;0,B2128=10),1,0)</f>
        <v>0</v>
      </c>
      <c r="Z2128" s="0" t="str">
        <f aca="false">IF(AND(C2127=C2128,W2127=W2128-1),X2127,"")</f>
        <v/>
      </c>
      <c r="AA2128" s="0" t="str">
        <f aca="false">IF(AND(C2127=C2128,W2127=W2128-1),Y2127,"")</f>
        <v/>
      </c>
      <c r="AB2128" s="0" t="str">
        <f aca="false">IF(W2128=1,"",IF(AND(X2128=1,Z2128&lt;&gt;1),1,0))</f>
        <v/>
      </c>
      <c r="AC2128" s="0" t="str">
        <f aca="false">IF(W2128=1,"",IF(AND(Y2128=1,AA2128&lt;&gt;1),1,0))</f>
        <v/>
      </c>
      <c r="AD2128" s="33" t="str">
        <f aca="false">IF(AND(E2128&gt;0,W2128&lt;1,NOT(AND(C2129=C2128,W2129=W2128+1))),INDEX(DATAS,W2128+1),"")</f>
        <v/>
      </c>
      <c r="AE2128" s="33" t="str">
        <f aca="false">IF(AND(Y2128=1,W2128&lt;1),IF(AND(C2129=C2128,W2129=W2128+1),IF(Y2129=1,"",INDEX(DATAS,W2128+1)),INDEX(DATAS,W2128+1)),"")</f>
        <v/>
      </c>
    </row>
    <row r="2129" customFormat="false" ht="15" hidden="false" customHeight="false" outlineLevel="0" collapsed="false">
      <c r="A2129" s="33" t="n">
        <v>46309</v>
      </c>
      <c r="B2129" s="0" t="n">
        <v>8</v>
      </c>
      <c r="C2129" s="0" t="n">
        <v>6412</v>
      </c>
      <c r="E2129" s="0" t="n">
        <v>0</v>
      </c>
      <c r="F2129" s="27" t="s">
        <v>1182</v>
      </c>
      <c r="I2129" s="27" t="s">
        <v>138</v>
      </c>
      <c r="L2129" s="0" t="n">
        <v>147</v>
      </c>
      <c r="U2129" s="0" t="n">
        <v>568</v>
      </c>
      <c r="V2129" s="0" t="n">
        <v>2</v>
      </c>
      <c r="W2129" s="27" t="n">
        <f aca="false">MATCH(A2129,DATAS,0)</f>
        <v>1</v>
      </c>
      <c r="X2129" s="27" t="n">
        <f aca="false">IF(AND(E2129&gt;0,OR(AND(B2129&gt;=1,B2129&lt;=6),B2129=10)),1,0)</f>
        <v>0</v>
      </c>
      <c r="Y2129" s="27" t="n">
        <f aca="false">IF(AND(E2129&gt;0,B2129=10),1,0)</f>
        <v>0</v>
      </c>
      <c r="Z2129" s="0" t="str">
        <f aca="false">IF(AND(C2128=C2129,W2128=W2129-1),X2128,"")</f>
        <v/>
      </c>
      <c r="AA2129" s="0" t="str">
        <f aca="false">IF(AND(C2128=C2129,W2128=W2129-1),Y2128,"")</f>
        <v/>
      </c>
      <c r="AB2129" s="0" t="str">
        <f aca="false">IF(W2129=1,"",IF(AND(X2129=1,Z2129&lt;&gt;1),1,0))</f>
        <v/>
      </c>
      <c r="AC2129" s="0" t="str">
        <f aca="false">IF(W2129=1,"",IF(AND(Y2129=1,AA2129&lt;&gt;1),1,0))</f>
        <v/>
      </c>
      <c r="AD2129" s="33" t="str">
        <f aca="false">IF(AND(E2129&gt;0,W2129&lt;1,NOT(AND(C2130=C2129,W2130=W2129+1))),INDEX(DATAS,W2129+1),"")</f>
        <v/>
      </c>
      <c r="AE2129" s="33" t="str">
        <f aca="false">IF(AND(Y2129=1,W2129&lt;1),IF(AND(C2130=C2129,W2130=W2129+1),IF(Y2130=1,"",INDEX(DATAS,W2129+1)),INDEX(DATAS,W2129+1)),"")</f>
        <v/>
      </c>
    </row>
    <row r="2130" customFormat="false" ht="15" hidden="false" customHeight="false" outlineLevel="0" collapsed="false">
      <c r="A2130" s="33" t="n">
        <v>46309</v>
      </c>
      <c r="B2130" s="0" t="n">
        <v>8</v>
      </c>
      <c r="C2130" s="0" t="n">
        <v>6413</v>
      </c>
      <c r="E2130" s="0" t="n">
        <v>0</v>
      </c>
      <c r="F2130" s="27" t="s">
        <v>1183</v>
      </c>
      <c r="I2130" s="27" t="s">
        <v>138</v>
      </c>
      <c r="L2130" s="0" t="n">
        <v>166</v>
      </c>
      <c r="U2130" s="0" t="n">
        <v>567</v>
      </c>
      <c r="V2130" s="0" t="n">
        <v>1</v>
      </c>
      <c r="W2130" s="27" t="n">
        <f aca="false">MATCH(A2130,DATAS,0)</f>
        <v>1</v>
      </c>
      <c r="X2130" s="27" t="n">
        <f aca="false">IF(AND(E2130&gt;0,OR(AND(B2130&gt;=1,B2130&lt;=6),B2130=10)),1,0)</f>
        <v>0</v>
      </c>
      <c r="Y2130" s="27" t="n">
        <f aca="false">IF(AND(E2130&gt;0,B2130=10),1,0)</f>
        <v>0</v>
      </c>
      <c r="Z2130" s="0" t="str">
        <f aca="false">IF(AND(C2129=C2130,W2129=W2130-1),X2129,"")</f>
        <v/>
      </c>
      <c r="AA2130" s="0" t="str">
        <f aca="false">IF(AND(C2129=C2130,W2129=W2130-1),Y2129,"")</f>
        <v/>
      </c>
      <c r="AB2130" s="0" t="str">
        <f aca="false">IF(W2130=1,"",IF(AND(X2130=1,Z2130&lt;&gt;1),1,0))</f>
        <v/>
      </c>
      <c r="AC2130" s="0" t="str">
        <f aca="false">IF(W2130=1,"",IF(AND(Y2130=1,AA2130&lt;&gt;1),1,0))</f>
        <v/>
      </c>
      <c r="AD2130" s="33" t="str">
        <f aca="false">IF(AND(E2130&gt;0,W2130&lt;1,NOT(AND(C2131=C2130,W2131=W2130+1))),INDEX(DATAS,W2130+1),"")</f>
        <v/>
      </c>
      <c r="AE2130" s="33" t="str">
        <f aca="false">IF(AND(Y2130=1,W2130&lt;1),IF(AND(C2131=C2130,W2131=W2130+1),IF(Y2131=1,"",INDEX(DATAS,W2130+1)),INDEX(DATAS,W2130+1)),"")</f>
        <v/>
      </c>
    </row>
    <row r="2131" customFormat="false" ht="15" hidden="false" customHeight="false" outlineLevel="0" collapsed="false">
      <c r="A2131" s="33" t="n">
        <v>46309</v>
      </c>
      <c r="B2131" s="0" t="n">
        <v>8</v>
      </c>
      <c r="C2131" s="0" t="n">
        <v>6414</v>
      </c>
      <c r="E2131" s="0" t="n">
        <v>0</v>
      </c>
      <c r="F2131" s="27" t="s">
        <v>1183</v>
      </c>
      <c r="I2131" s="27" t="s">
        <v>138</v>
      </c>
      <c r="L2131" s="0" t="n">
        <v>167</v>
      </c>
      <c r="U2131" s="0" t="n">
        <v>567</v>
      </c>
      <c r="V2131" s="0" t="n">
        <v>1</v>
      </c>
      <c r="W2131" s="27" t="n">
        <f aca="false">MATCH(A2131,DATAS,0)</f>
        <v>1</v>
      </c>
      <c r="X2131" s="27" t="n">
        <f aca="false">IF(AND(E2131&gt;0,OR(AND(B2131&gt;=1,B2131&lt;=6),B2131=10)),1,0)</f>
        <v>0</v>
      </c>
      <c r="Y2131" s="27" t="n">
        <f aca="false">IF(AND(E2131&gt;0,B2131=10),1,0)</f>
        <v>0</v>
      </c>
      <c r="Z2131" s="0" t="str">
        <f aca="false">IF(AND(C2130=C2131,W2130=W2131-1),X2130,"")</f>
        <v/>
      </c>
      <c r="AA2131" s="0" t="str">
        <f aca="false">IF(AND(C2130=C2131,W2130=W2131-1),Y2130,"")</f>
        <v/>
      </c>
      <c r="AB2131" s="0" t="str">
        <f aca="false">IF(W2131=1,"",IF(AND(X2131=1,Z2131&lt;&gt;1),1,0))</f>
        <v/>
      </c>
      <c r="AC2131" s="0" t="str">
        <f aca="false">IF(W2131=1,"",IF(AND(Y2131=1,AA2131&lt;&gt;1),1,0))</f>
        <v/>
      </c>
      <c r="AD2131" s="33" t="str">
        <f aca="false">IF(AND(E2131&gt;0,W2131&lt;1,NOT(AND(C2132=C2131,W2132=W2131+1))),INDEX(DATAS,W2131+1),"")</f>
        <v/>
      </c>
      <c r="AE2131" s="33" t="str">
        <f aca="false">IF(AND(Y2131=1,W2131&lt;1),IF(AND(C2132=C2131,W2132=W2131+1),IF(Y2132=1,"",INDEX(DATAS,W2131+1)),INDEX(DATAS,W2131+1)),"")</f>
        <v/>
      </c>
    </row>
    <row r="2132" customFormat="false" ht="15" hidden="false" customHeight="false" outlineLevel="0" collapsed="false">
      <c r="A2132" s="33" t="n">
        <v>46309</v>
      </c>
      <c r="B2132" s="0" t="n">
        <v>8</v>
      </c>
      <c r="C2132" s="0" t="n">
        <v>6415</v>
      </c>
      <c r="E2132" s="0" t="n">
        <v>0</v>
      </c>
      <c r="F2132" s="27" t="s">
        <v>1183</v>
      </c>
      <c r="I2132" s="27" t="s">
        <v>138</v>
      </c>
      <c r="L2132" s="0" t="n">
        <v>168</v>
      </c>
      <c r="U2132" s="0" t="n">
        <v>567</v>
      </c>
      <c r="V2132" s="0" t="n">
        <v>1</v>
      </c>
      <c r="W2132" s="27" t="n">
        <f aca="false">MATCH(A2132,DATAS,0)</f>
        <v>1</v>
      </c>
      <c r="X2132" s="27" t="n">
        <f aca="false">IF(AND(E2132&gt;0,OR(AND(B2132&gt;=1,B2132&lt;=6),B2132=10)),1,0)</f>
        <v>0</v>
      </c>
      <c r="Y2132" s="27" t="n">
        <f aca="false">IF(AND(E2132&gt;0,B2132=10),1,0)</f>
        <v>0</v>
      </c>
      <c r="Z2132" s="0" t="str">
        <f aca="false">IF(AND(C2131=C2132,W2131=W2132-1),X2131,"")</f>
        <v/>
      </c>
      <c r="AA2132" s="0" t="str">
        <f aca="false">IF(AND(C2131=C2132,W2131=W2132-1),Y2131,"")</f>
        <v/>
      </c>
      <c r="AB2132" s="0" t="str">
        <f aca="false">IF(W2132=1,"",IF(AND(X2132=1,Z2132&lt;&gt;1),1,0))</f>
        <v/>
      </c>
      <c r="AC2132" s="0" t="str">
        <f aca="false">IF(W2132=1,"",IF(AND(Y2132=1,AA2132&lt;&gt;1),1,0))</f>
        <v/>
      </c>
      <c r="AD2132" s="33" t="str">
        <f aca="false">IF(AND(E2132&gt;0,W2132&lt;1,NOT(AND(C2133=C2132,W2133=W2132+1))),INDEX(DATAS,W2132+1),"")</f>
        <v/>
      </c>
      <c r="AE2132" s="33" t="str">
        <f aca="false">IF(AND(Y2132=1,W2132&lt;1),IF(AND(C2133=C2132,W2133=W2132+1),IF(Y2133=1,"",INDEX(DATAS,W2132+1)),INDEX(DATAS,W2132+1)),"")</f>
        <v/>
      </c>
    </row>
    <row r="2133" customFormat="false" ht="15" hidden="false" customHeight="false" outlineLevel="0" collapsed="false">
      <c r="A2133" s="33" t="n">
        <v>46309</v>
      </c>
      <c r="B2133" s="0" t="n">
        <v>8</v>
      </c>
      <c r="C2133" s="0" t="n">
        <v>6416</v>
      </c>
      <c r="E2133" s="0" t="n">
        <v>0</v>
      </c>
      <c r="F2133" s="27" t="s">
        <v>1184</v>
      </c>
      <c r="I2133" s="27" t="s">
        <v>138</v>
      </c>
      <c r="L2133" s="0" t="n">
        <v>150</v>
      </c>
      <c r="U2133" s="0" t="n">
        <v>565</v>
      </c>
      <c r="V2133" s="0" t="n">
        <v>1</v>
      </c>
      <c r="W2133" s="27" t="n">
        <f aca="false">MATCH(A2133,DATAS,0)</f>
        <v>1</v>
      </c>
      <c r="X2133" s="27" t="n">
        <f aca="false">IF(AND(E2133&gt;0,OR(AND(B2133&gt;=1,B2133&lt;=6),B2133=10)),1,0)</f>
        <v>0</v>
      </c>
      <c r="Y2133" s="27" t="n">
        <f aca="false">IF(AND(E2133&gt;0,B2133=10),1,0)</f>
        <v>0</v>
      </c>
      <c r="Z2133" s="0" t="str">
        <f aca="false">IF(AND(C2132=C2133,W2132=W2133-1),X2132,"")</f>
        <v/>
      </c>
      <c r="AA2133" s="0" t="str">
        <f aca="false">IF(AND(C2132=C2133,W2132=W2133-1),Y2132,"")</f>
        <v/>
      </c>
      <c r="AB2133" s="0" t="str">
        <f aca="false">IF(W2133=1,"",IF(AND(X2133=1,Z2133&lt;&gt;1),1,0))</f>
        <v/>
      </c>
      <c r="AC2133" s="0" t="str">
        <f aca="false">IF(W2133=1,"",IF(AND(Y2133=1,AA2133&lt;&gt;1),1,0))</f>
        <v/>
      </c>
      <c r="AD2133" s="33" t="str">
        <f aca="false">IF(AND(E2133&gt;0,W2133&lt;1,NOT(AND(C2134=C2133,W2134=W2133+1))),INDEX(DATAS,W2133+1),"")</f>
        <v/>
      </c>
      <c r="AE2133" s="33" t="str">
        <f aca="false">IF(AND(Y2133=1,W2133&lt;1),IF(AND(C2134=C2133,W2134=W2133+1),IF(Y2134=1,"",INDEX(DATAS,W2133+1)),INDEX(DATAS,W2133+1)),"")</f>
        <v/>
      </c>
    </row>
    <row r="2134" customFormat="false" ht="15" hidden="false" customHeight="false" outlineLevel="0" collapsed="false">
      <c r="A2134" s="33" t="n">
        <v>46309</v>
      </c>
      <c r="B2134" s="0" t="n">
        <v>8</v>
      </c>
      <c r="C2134" s="0" t="n">
        <v>6417</v>
      </c>
      <c r="E2134" s="0" t="n">
        <v>0</v>
      </c>
      <c r="F2134" s="27" t="s">
        <v>1184</v>
      </c>
      <c r="I2134" s="27" t="s">
        <v>138</v>
      </c>
      <c r="L2134" s="0" t="n">
        <v>145</v>
      </c>
      <c r="U2134" s="0" t="n">
        <v>565</v>
      </c>
      <c r="V2134" s="0" t="n">
        <v>2</v>
      </c>
      <c r="W2134" s="27" t="n">
        <f aca="false">MATCH(A2134,DATAS,0)</f>
        <v>1</v>
      </c>
      <c r="X2134" s="27" t="n">
        <f aca="false">IF(AND(E2134&gt;0,OR(AND(B2134&gt;=1,B2134&lt;=6),B2134=10)),1,0)</f>
        <v>0</v>
      </c>
      <c r="Y2134" s="27" t="n">
        <f aca="false">IF(AND(E2134&gt;0,B2134=10),1,0)</f>
        <v>0</v>
      </c>
      <c r="Z2134" s="0" t="str">
        <f aca="false">IF(AND(C2133=C2134,W2133=W2134-1),X2133,"")</f>
        <v/>
      </c>
      <c r="AA2134" s="0" t="str">
        <f aca="false">IF(AND(C2133=C2134,W2133=W2134-1),Y2133,"")</f>
        <v/>
      </c>
      <c r="AB2134" s="0" t="str">
        <f aca="false">IF(W2134=1,"",IF(AND(X2134=1,Z2134&lt;&gt;1),1,0))</f>
        <v/>
      </c>
      <c r="AC2134" s="0" t="str">
        <f aca="false">IF(W2134=1,"",IF(AND(Y2134=1,AA2134&lt;&gt;1),1,0))</f>
        <v/>
      </c>
      <c r="AD2134" s="33" t="str">
        <f aca="false">IF(AND(E2134&gt;0,W2134&lt;1,NOT(AND(C2135=C2134,W2135=W2134+1))),INDEX(DATAS,W2134+1),"")</f>
        <v/>
      </c>
      <c r="AE2134" s="33" t="str">
        <f aca="false">IF(AND(Y2134=1,W2134&lt;1),IF(AND(C2135=C2134,W2135=W2134+1),IF(Y2135=1,"",INDEX(DATAS,W2134+1)),INDEX(DATAS,W2134+1)),"")</f>
        <v/>
      </c>
    </row>
    <row r="2135" customFormat="false" ht="15" hidden="false" customHeight="false" outlineLevel="0" collapsed="false">
      <c r="A2135" s="33" t="n">
        <v>46309</v>
      </c>
      <c r="B2135" s="0" t="n">
        <v>8</v>
      </c>
      <c r="C2135" s="0" t="n">
        <v>6418</v>
      </c>
      <c r="E2135" s="0" t="n">
        <v>0</v>
      </c>
      <c r="F2135" s="27" t="s">
        <v>1184</v>
      </c>
      <c r="I2135" s="27" t="s">
        <v>138</v>
      </c>
      <c r="L2135" s="0" t="n">
        <v>55</v>
      </c>
      <c r="U2135" s="0" t="n">
        <v>565</v>
      </c>
      <c r="V2135" s="0" t="n">
        <v>3</v>
      </c>
      <c r="W2135" s="27" t="n">
        <f aca="false">MATCH(A2135,DATAS,0)</f>
        <v>1</v>
      </c>
      <c r="X2135" s="27" t="n">
        <f aca="false">IF(AND(E2135&gt;0,OR(AND(B2135&gt;=1,B2135&lt;=6),B2135=10)),1,0)</f>
        <v>0</v>
      </c>
      <c r="Y2135" s="27" t="n">
        <f aca="false">IF(AND(E2135&gt;0,B2135=10),1,0)</f>
        <v>0</v>
      </c>
      <c r="Z2135" s="0" t="str">
        <f aca="false">IF(AND(C2134=C2135,W2134=W2135-1),X2134,"")</f>
        <v/>
      </c>
      <c r="AA2135" s="0" t="str">
        <f aca="false">IF(AND(C2134=C2135,W2134=W2135-1),Y2134,"")</f>
        <v/>
      </c>
      <c r="AB2135" s="0" t="str">
        <f aca="false">IF(W2135=1,"",IF(AND(X2135=1,Z2135&lt;&gt;1),1,0))</f>
        <v/>
      </c>
      <c r="AC2135" s="0" t="str">
        <f aca="false">IF(W2135=1,"",IF(AND(Y2135=1,AA2135&lt;&gt;1),1,0))</f>
        <v/>
      </c>
      <c r="AD2135" s="33" t="str">
        <f aca="false">IF(AND(E2135&gt;0,W2135&lt;1,NOT(AND(C2136=C2135,W2136=W2135+1))),INDEX(DATAS,W2135+1),"")</f>
        <v/>
      </c>
      <c r="AE2135" s="33" t="str">
        <f aca="false">IF(AND(Y2135=1,W2135&lt;1),IF(AND(C2136=C2135,W2136=W2135+1),IF(Y2136=1,"",INDEX(DATAS,W2135+1)),INDEX(DATAS,W2135+1)),"")</f>
        <v/>
      </c>
    </row>
    <row r="2136" customFormat="false" ht="15" hidden="false" customHeight="false" outlineLevel="0" collapsed="false">
      <c r="A2136" s="33" t="n">
        <v>46309</v>
      </c>
      <c r="B2136" s="0" t="n">
        <v>8</v>
      </c>
      <c r="C2136" s="0" t="n">
        <v>6419</v>
      </c>
      <c r="E2136" s="0" t="n">
        <v>0</v>
      </c>
      <c r="F2136" s="27" t="s">
        <v>1184</v>
      </c>
      <c r="I2136" s="27" t="s">
        <v>138</v>
      </c>
      <c r="L2136" s="0" t="n">
        <v>161</v>
      </c>
      <c r="U2136" s="0" t="n">
        <v>565</v>
      </c>
      <c r="V2136" s="0" t="n">
        <v>1</v>
      </c>
      <c r="W2136" s="27" t="n">
        <f aca="false">MATCH(A2136,DATAS,0)</f>
        <v>1</v>
      </c>
      <c r="X2136" s="27" t="n">
        <f aca="false">IF(AND(E2136&gt;0,OR(AND(B2136&gt;=1,B2136&lt;=6),B2136=10)),1,0)</f>
        <v>0</v>
      </c>
      <c r="Y2136" s="27" t="n">
        <f aca="false">IF(AND(E2136&gt;0,B2136=10),1,0)</f>
        <v>0</v>
      </c>
      <c r="Z2136" s="0" t="str">
        <f aca="false">IF(AND(C2135=C2136,W2135=W2136-1),X2135,"")</f>
        <v/>
      </c>
      <c r="AA2136" s="0" t="str">
        <f aca="false">IF(AND(C2135=C2136,W2135=W2136-1),Y2135,"")</f>
        <v/>
      </c>
      <c r="AB2136" s="0" t="str">
        <f aca="false">IF(W2136=1,"",IF(AND(X2136=1,Z2136&lt;&gt;1),1,0))</f>
        <v/>
      </c>
      <c r="AC2136" s="0" t="str">
        <f aca="false">IF(W2136=1,"",IF(AND(Y2136=1,AA2136&lt;&gt;1),1,0))</f>
        <v/>
      </c>
      <c r="AD2136" s="33" t="str">
        <f aca="false">IF(AND(E2136&gt;0,W2136&lt;1,NOT(AND(C2137=C2136,W2137=W2136+1))),INDEX(DATAS,W2136+1),"")</f>
        <v/>
      </c>
      <c r="AE2136" s="33" t="str">
        <f aca="false">IF(AND(Y2136=1,W2136&lt;1),IF(AND(C2137=C2136,W2137=W2136+1),IF(Y2137=1,"",INDEX(DATAS,W2136+1)),INDEX(DATAS,W2136+1)),"")</f>
        <v/>
      </c>
    </row>
    <row r="2137" customFormat="false" ht="15" hidden="false" customHeight="false" outlineLevel="0" collapsed="false">
      <c r="A2137" s="33" t="n">
        <v>46309</v>
      </c>
      <c r="B2137" s="0" t="n">
        <v>11</v>
      </c>
      <c r="C2137" s="0" t="n">
        <v>6420</v>
      </c>
      <c r="E2137" s="0" t="n">
        <v>0</v>
      </c>
      <c r="F2137" s="27" t="s">
        <v>1184</v>
      </c>
      <c r="I2137" s="27" t="s">
        <v>168</v>
      </c>
      <c r="U2137" s="0" t="n">
        <v>565</v>
      </c>
      <c r="V2137" s="0" t="n">
        <v>4</v>
      </c>
      <c r="W2137" s="27" t="n">
        <f aca="false">MATCH(A2137,DATAS,0)</f>
        <v>1</v>
      </c>
      <c r="X2137" s="27" t="n">
        <f aca="false">IF(AND(E2137&gt;0,OR(AND(B2137&gt;=1,B2137&lt;=6),B2137=10)),1,0)</f>
        <v>0</v>
      </c>
      <c r="Y2137" s="27" t="n">
        <f aca="false">IF(AND(E2137&gt;0,B2137=10),1,0)</f>
        <v>0</v>
      </c>
      <c r="Z2137" s="0" t="str">
        <f aca="false">IF(AND(C2136=C2137,W2136=W2137-1),X2136,"")</f>
        <v/>
      </c>
      <c r="AA2137" s="0" t="str">
        <f aca="false">IF(AND(C2136=C2137,W2136=W2137-1),Y2136,"")</f>
        <v/>
      </c>
      <c r="AB2137" s="0" t="str">
        <f aca="false">IF(W2137=1,"",IF(AND(X2137=1,Z2137&lt;&gt;1),1,0))</f>
        <v/>
      </c>
      <c r="AC2137" s="0" t="str">
        <f aca="false">IF(W2137=1,"",IF(AND(Y2137=1,AA2137&lt;&gt;1),1,0))</f>
        <v/>
      </c>
      <c r="AD2137" s="33" t="str">
        <f aca="false">IF(AND(E2137&gt;0,W2137&lt;1,NOT(AND(C2138=C2137,W2138=W2137+1))),INDEX(DATAS,W2137+1),"")</f>
        <v/>
      </c>
      <c r="AE2137" s="33" t="str">
        <f aca="false">IF(AND(Y2137=1,W2137&lt;1),IF(AND(C2138=C2137,W2138=W2137+1),IF(Y2138=1,"",INDEX(DATAS,W2137+1)),INDEX(DATAS,W2137+1)),"")</f>
        <v/>
      </c>
    </row>
    <row r="2138" customFormat="false" ht="15" hidden="false" customHeight="false" outlineLevel="0" collapsed="false">
      <c r="A2138" s="33" t="n">
        <v>46309</v>
      </c>
      <c r="B2138" s="0" t="n">
        <v>8</v>
      </c>
      <c r="C2138" s="0" t="n">
        <v>6421</v>
      </c>
      <c r="E2138" s="0" t="n">
        <v>0</v>
      </c>
      <c r="F2138" s="27" t="s">
        <v>1184</v>
      </c>
      <c r="I2138" s="27" t="s">
        <v>138</v>
      </c>
      <c r="L2138" s="0" t="n">
        <v>121</v>
      </c>
      <c r="U2138" s="0" t="n">
        <v>565</v>
      </c>
      <c r="V2138" s="0" t="n">
        <v>3</v>
      </c>
      <c r="W2138" s="27" t="n">
        <f aca="false">MATCH(A2138,DATAS,0)</f>
        <v>1</v>
      </c>
      <c r="X2138" s="27" t="n">
        <f aca="false">IF(AND(E2138&gt;0,OR(AND(B2138&gt;=1,B2138&lt;=6),B2138=10)),1,0)</f>
        <v>0</v>
      </c>
      <c r="Y2138" s="27" t="n">
        <f aca="false">IF(AND(E2138&gt;0,B2138=10),1,0)</f>
        <v>0</v>
      </c>
      <c r="Z2138" s="0" t="str">
        <f aca="false">IF(AND(C2137=C2138,W2137=W2138-1),X2137,"")</f>
        <v/>
      </c>
      <c r="AA2138" s="0" t="str">
        <f aca="false">IF(AND(C2137=C2138,W2137=W2138-1),Y2137,"")</f>
        <v/>
      </c>
      <c r="AB2138" s="0" t="str">
        <f aca="false">IF(W2138=1,"",IF(AND(X2138=1,Z2138&lt;&gt;1),1,0))</f>
        <v/>
      </c>
      <c r="AC2138" s="0" t="str">
        <f aca="false">IF(W2138=1,"",IF(AND(Y2138=1,AA2138&lt;&gt;1),1,0))</f>
        <v/>
      </c>
      <c r="AD2138" s="33" t="str">
        <f aca="false">IF(AND(E2138&gt;0,W2138&lt;1,NOT(AND(C2139=C2138,W2139=W2138+1))),INDEX(DATAS,W2138+1),"")</f>
        <v/>
      </c>
      <c r="AE2138" s="33" t="str">
        <f aca="false">IF(AND(Y2138=1,W2138&lt;1),IF(AND(C2139=C2138,W2139=W2138+1),IF(Y2139=1,"",INDEX(DATAS,W2138+1)),INDEX(DATAS,W2138+1)),"")</f>
        <v/>
      </c>
    </row>
    <row r="2139" customFormat="false" ht="15" hidden="false" customHeight="false" outlineLevel="0" collapsed="false">
      <c r="A2139" s="33" t="n">
        <v>46309</v>
      </c>
      <c r="B2139" s="0" t="n">
        <v>8</v>
      </c>
      <c r="C2139" s="0" t="n">
        <v>6423</v>
      </c>
      <c r="E2139" s="0" t="n">
        <v>0</v>
      </c>
      <c r="F2139" s="27" t="s">
        <v>1185</v>
      </c>
      <c r="I2139" s="27" t="s">
        <v>138</v>
      </c>
      <c r="L2139" s="0" t="n">
        <v>164</v>
      </c>
      <c r="U2139" s="0" t="n">
        <v>564</v>
      </c>
      <c r="V2139" s="0" t="n">
        <v>1</v>
      </c>
      <c r="W2139" s="27" t="n">
        <f aca="false">MATCH(A2139,DATAS,0)</f>
        <v>1</v>
      </c>
      <c r="X2139" s="27" t="n">
        <f aca="false">IF(AND(E2139&gt;0,OR(AND(B2139&gt;=1,B2139&lt;=6),B2139=10)),1,0)</f>
        <v>0</v>
      </c>
      <c r="Y2139" s="27" t="n">
        <f aca="false">IF(AND(E2139&gt;0,B2139=10),1,0)</f>
        <v>0</v>
      </c>
      <c r="Z2139" s="0" t="str">
        <f aca="false">IF(AND(C2138=C2139,W2138=W2139-1),X2138,"")</f>
        <v/>
      </c>
      <c r="AA2139" s="0" t="str">
        <f aca="false">IF(AND(C2138=C2139,W2138=W2139-1),Y2138,"")</f>
        <v/>
      </c>
      <c r="AB2139" s="0" t="str">
        <f aca="false">IF(W2139=1,"",IF(AND(X2139=1,Z2139&lt;&gt;1),1,0))</f>
        <v/>
      </c>
      <c r="AC2139" s="0" t="str">
        <f aca="false">IF(W2139=1,"",IF(AND(Y2139=1,AA2139&lt;&gt;1),1,0))</f>
        <v/>
      </c>
      <c r="AD2139" s="33" t="str">
        <f aca="false">IF(AND(E2139&gt;0,W2139&lt;1,NOT(AND(C2140=C2139,W2140=W2139+1))),INDEX(DATAS,W2139+1),"")</f>
        <v/>
      </c>
      <c r="AE2139" s="33" t="str">
        <f aca="false">IF(AND(Y2139=1,W2139&lt;1),IF(AND(C2140=C2139,W2140=W2139+1),IF(Y2140=1,"",INDEX(DATAS,W2139+1)),INDEX(DATAS,W2139+1)),"")</f>
        <v/>
      </c>
    </row>
    <row r="2140" customFormat="false" ht="15" hidden="false" customHeight="false" outlineLevel="0" collapsed="false">
      <c r="A2140" s="33" t="n">
        <v>46309</v>
      </c>
      <c r="B2140" s="0" t="n">
        <v>8</v>
      </c>
      <c r="C2140" s="0" t="n">
        <v>6424</v>
      </c>
      <c r="E2140" s="0" t="n">
        <v>0</v>
      </c>
      <c r="F2140" s="27" t="s">
        <v>1186</v>
      </c>
      <c r="I2140" s="27" t="s">
        <v>138</v>
      </c>
      <c r="L2140" s="0" t="n">
        <v>77</v>
      </c>
      <c r="U2140" s="0" t="n">
        <v>563</v>
      </c>
      <c r="V2140" s="0" t="n">
        <v>2</v>
      </c>
      <c r="W2140" s="27" t="n">
        <f aca="false">MATCH(A2140,DATAS,0)</f>
        <v>1</v>
      </c>
      <c r="X2140" s="27" t="n">
        <f aca="false">IF(AND(E2140&gt;0,OR(AND(B2140&gt;=1,B2140&lt;=6),B2140=10)),1,0)</f>
        <v>0</v>
      </c>
      <c r="Y2140" s="27" t="n">
        <f aca="false">IF(AND(E2140&gt;0,B2140=10),1,0)</f>
        <v>0</v>
      </c>
      <c r="Z2140" s="0" t="str">
        <f aca="false">IF(AND(C2139=C2140,W2139=W2140-1),X2139,"")</f>
        <v/>
      </c>
      <c r="AA2140" s="0" t="str">
        <f aca="false">IF(AND(C2139=C2140,W2139=W2140-1),Y2139,"")</f>
        <v/>
      </c>
      <c r="AB2140" s="0" t="str">
        <f aca="false">IF(W2140=1,"",IF(AND(X2140=1,Z2140&lt;&gt;1),1,0))</f>
        <v/>
      </c>
      <c r="AC2140" s="0" t="str">
        <f aca="false">IF(W2140=1,"",IF(AND(Y2140=1,AA2140&lt;&gt;1),1,0))</f>
        <v/>
      </c>
      <c r="AD2140" s="33" t="str">
        <f aca="false">IF(AND(E2140&gt;0,W2140&lt;1,NOT(AND(C2141=C2140,W2141=W2140+1))),INDEX(DATAS,W2140+1),"")</f>
        <v/>
      </c>
      <c r="AE2140" s="33" t="str">
        <f aca="false">IF(AND(Y2140=1,W2140&lt;1),IF(AND(C2141=C2140,W2141=W2140+1),IF(Y2141=1,"",INDEX(DATAS,W2140+1)),INDEX(DATAS,W2140+1)),"")</f>
        <v/>
      </c>
    </row>
    <row r="2141" customFormat="false" ht="15" hidden="false" customHeight="false" outlineLevel="0" collapsed="false">
      <c r="A2141" s="33" t="n">
        <v>46309</v>
      </c>
      <c r="B2141" s="0" t="n">
        <v>8</v>
      </c>
      <c r="C2141" s="0" t="n">
        <v>6425</v>
      </c>
      <c r="E2141" s="0" t="n">
        <v>0</v>
      </c>
      <c r="F2141" s="27" t="s">
        <v>1186</v>
      </c>
      <c r="I2141" s="27" t="s">
        <v>138</v>
      </c>
      <c r="L2141" s="0" t="n">
        <v>93</v>
      </c>
      <c r="U2141" s="0" t="n">
        <v>563</v>
      </c>
      <c r="V2141" s="0" t="n">
        <v>5</v>
      </c>
      <c r="W2141" s="27" t="n">
        <f aca="false">MATCH(A2141,DATAS,0)</f>
        <v>1</v>
      </c>
      <c r="X2141" s="27" t="n">
        <f aca="false">IF(AND(E2141&gt;0,OR(AND(B2141&gt;=1,B2141&lt;=6),B2141=10)),1,0)</f>
        <v>0</v>
      </c>
      <c r="Y2141" s="27" t="n">
        <f aca="false">IF(AND(E2141&gt;0,B2141=10),1,0)</f>
        <v>0</v>
      </c>
      <c r="Z2141" s="0" t="str">
        <f aca="false">IF(AND(C2140=C2141,W2140=W2141-1),X2140,"")</f>
        <v/>
      </c>
      <c r="AA2141" s="0" t="str">
        <f aca="false">IF(AND(C2140=C2141,W2140=W2141-1),Y2140,"")</f>
        <v/>
      </c>
      <c r="AB2141" s="0" t="str">
        <f aca="false">IF(W2141=1,"",IF(AND(X2141=1,Z2141&lt;&gt;1),1,0))</f>
        <v/>
      </c>
      <c r="AC2141" s="0" t="str">
        <f aca="false">IF(W2141=1,"",IF(AND(Y2141=1,AA2141&lt;&gt;1),1,0))</f>
        <v/>
      </c>
      <c r="AD2141" s="33" t="str">
        <f aca="false">IF(AND(E2141&gt;0,W2141&lt;1,NOT(AND(C2142=C2141,W2142=W2141+1))),INDEX(DATAS,W2141+1),"")</f>
        <v/>
      </c>
      <c r="AE2141" s="33" t="str">
        <f aca="false">IF(AND(Y2141=1,W2141&lt;1),IF(AND(C2142=C2141,W2142=W2141+1),IF(Y2142=1,"",INDEX(DATAS,W2141+1)),INDEX(DATAS,W2141+1)),"")</f>
        <v/>
      </c>
    </row>
    <row r="2142" customFormat="false" ht="15" hidden="false" customHeight="false" outlineLevel="0" collapsed="false">
      <c r="A2142" s="33" t="n">
        <v>46309</v>
      </c>
      <c r="B2142" s="0" t="n">
        <v>8</v>
      </c>
      <c r="C2142" s="0" t="n">
        <v>6426</v>
      </c>
      <c r="E2142" s="0" t="n">
        <v>0</v>
      </c>
      <c r="F2142" s="27" t="s">
        <v>1186</v>
      </c>
      <c r="I2142" s="27" t="s">
        <v>138</v>
      </c>
      <c r="L2142" s="0" t="n">
        <v>169</v>
      </c>
      <c r="U2142" s="0" t="n">
        <v>563</v>
      </c>
      <c r="V2142" s="0" t="n">
        <v>1</v>
      </c>
      <c r="W2142" s="27" t="n">
        <f aca="false">MATCH(A2142,DATAS,0)</f>
        <v>1</v>
      </c>
      <c r="X2142" s="27" t="n">
        <f aca="false">IF(AND(E2142&gt;0,OR(AND(B2142&gt;=1,B2142&lt;=6),B2142=10)),1,0)</f>
        <v>0</v>
      </c>
      <c r="Y2142" s="27" t="n">
        <f aca="false">IF(AND(E2142&gt;0,B2142=10),1,0)</f>
        <v>0</v>
      </c>
      <c r="Z2142" s="0" t="str">
        <f aca="false">IF(AND(C2141=C2142,W2141=W2142-1),X2141,"")</f>
        <v/>
      </c>
      <c r="AA2142" s="0" t="str">
        <f aca="false">IF(AND(C2141=C2142,W2141=W2142-1),Y2141,"")</f>
        <v/>
      </c>
      <c r="AB2142" s="0" t="str">
        <f aca="false">IF(W2142=1,"",IF(AND(X2142=1,Z2142&lt;&gt;1),1,0))</f>
        <v/>
      </c>
      <c r="AC2142" s="0" t="str">
        <f aca="false">IF(W2142=1,"",IF(AND(Y2142=1,AA2142&lt;&gt;1),1,0))</f>
        <v/>
      </c>
      <c r="AD2142" s="33" t="str">
        <f aca="false">IF(AND(E2142&gt;0,W2142&lt;1,NOT(AND(C2143=C2142,W2143=W2142+1))),INDEX(DATAS,W2142+1),"")</f>
        <v/>
      </c>
      <c r="AE2142" s="33" t="str">
        <f aca="false">IF(AND(Y2142=1,W2142&lt;1),IF(AND(C2143=C2142,W2143=W2142+1),IF(Y2143=1,"",INDEX(DATAS,W2142+1)),INDEX(DATAS,W2142+1)),"")</f>
        <v/>
      </c>
    </row>
    <row r="2143" customFormat="false" ht="15" hidden="false" customHeight="false" outlineLevel="0" collapsed="false">
      <c r="A2143" s="33" t="n">
        <v>46309</v>
      </c>
      <c r="B2143" s="0" t="n">
        <v>11</v>
      </c>
      <c r="C2143" s="0" t="n">
        <v>6427</v>
      </c>
      <c r="E2143" s="0" t="n">
        <v>0</v>
      </c>
      <c r="F2143" s="27" t="s">
        <v>1187</v>
      </c>
      <c r="I2143" s="27" t="s">
        <v>168</v>
      </c>
      <c r="U2143" s="0" t="n">
        <v>562</v>
      </c>
      <c r="V2143" s="0" t="n">
        <v>7</v>
      </c>
      <c r="W2143" s="27" t="n">
        <f aca="false">MATCH(A2143,DATAS,0)</f>
        <v>1</v>
      </c>
      <c r="X2143" s="27" t="n">
        <f aca="false">IF(AND(E2143&gt;0,OR(AND(B2143&gt;=1,B2143&lt;=6),B2143=10)),1,0)</f>
        <v>0</v>
      </c>
      <c r="Y2143" s="27" t="n">
        <f aca="false">IF(AND(E2143&gt;0,B2143=10),1,0)</f>
        <v>0</v>
      </c>
      <c r="Z2143" s="0" t="str">
        <f aca="false">IF(AND(C2142=C2143,W2142=W2143-1),X2142,"")</f>
        <v/>
      </c>
      <c r="AA2143" s="0" t="str">
        <f aca="false">IF(AND(C2142=C2143,W2142=W2143-1),Y2142,"")</f>
        <v/>
      </c>
      <c r="AB2143" s="0" t="str">
        <f aca="false">IF(W2143=1,"",IF(AND(X2143=1,Z2143&lt;&gt;1),1,0))</f>
        <v/>
      </c>
      <c r="AC2143" s="0" t="str">
        <f aca="false">IF(W2143=1,"",IF(AND(Y2143=1,AA2143&lt;&gt;1),1,0))</f>
        <v/>
      </c>
      <c r="AD2143" s="33" t="str">
        <f aca="false">IF(AND(E2143&gt;0,W2143&lt;1,NOT(AND(C2144=C2143,W2144=W2143+1))),INDEX(DATAS,W2143+1),"")</f>
        <v/>
      </c>
      <c r="AE2143" s="33" t="str">
        <f aca="false">IF(AND(Y2143=1,W2143&lt;1),IF(AND(C2144=C2143,W2144=W2143+1),IF(Y2144=1,"",INDEX(DATAS,W2143+1)),INDEX(DATAS,W2143+1)),"")</f>
        <v/>
      </c>
    </row>
    <row r="2144" customFormat="false" ht="15" hidden="false" customHeight="false" outlineLevel="0" collapsed="false">
      <c r="A2144" s="33" t="n">
        <v>46309</v>
      </c>
      <c r="B2144" s="0" t="n">
        <v>8</v>
      </c>
      <c r="C2144" s="0" t="n">
        <v>6428</v>
      </c>
      <c r="E2144" s="0" t="n">
        <v>0</v>
      </c>
      <c r="F2144" s="27" t="s">
        <v>1187</v>
      </c>
      <c r="I2144" s="27" t="s">
        <v>138</v>
      </c>
      <c r="L2144" s="0" t="n">
        <v>135</v>
      </c>
      <c r="U2144" s="0" t="n">
        <v>562</v>
      </c>
      <c r="V2144" s="0" t="n">
        <v>1</v>
      </c>
      <c r="W2144" s="27" t="n">
        <f aca="false">MATCH(A2144,DATAS,0)</f>
        <v>1</v>
      </c>
      <c r="X2144" s="27" t="n">
        <f aca="false">IF(AND(E2144&gt;0,OR(AND(B2144&gt;=1,B2144&lt;=6),B2144=10)),1,0)</f>
        <v>0</v>
      </c>
      <c r="Y2144" s="27" t="n">
        <f aca="false">IF(AND(E2144&gt;0,B2144=10),1,0)</f>
        <v>0</v>
      </c>
      <c r="Z2144" s="0" t="str">
        <f aca="false">IF(AND(C2143=C2144,W2143=W2144-1),X2143,"")</f>
        <v/>
      </c>
      <c r="AA2144" s="0" t="str">
        <f aca="false">IF(AND(C2143=C2144,W2143=W2144-1),Y2143,"")</f>
        <v/>
      </c>
      <c r="AB2144" s="0" t="str">
        <f aca="false">IF(W2144=1,"",IF(AND(X2144=1,Z2144&lt;&gt;1),1,0))</f>
        <v/>
      </c>
      <c r="AC2144" s="0" t="str">
        <f aca="false">IF(W2144=1,"",IF(AND(Y2144=1,AA2144&lt;&gt;1),1,0))</f>
        <v/>
      </c>
      <c r="AD2144" s="33" t="str">
        <f aca="false">IF(AND(E2144&gt;0,W2144&lt;1,NOT(AND(C2145=C2144,W2145=W2144+1))),INDEX(DATAS,W2144+1),"")</f>
        <v/>
      </c>
      <c r="AE2144" s="33" t="str">
        <f aca="false">IF(AND(Y2144=1,W2144&lt;1),IF(AND(C2145=C2144,W2145=W2144+1),IF(Y2145=1,"",INDEX(DATAS,W2144+1)),INDEX(DATAS,W2144+1)),"")</f>
        <v/>
      </c>
    </row>
    <row r="2145" customFormat="false" ht="15" hidden="false" customHeight="false" outlineLevel="0" collapsed="false">
      <c r="A2145" s="33" t="n">
        <v>46309</v>
      </c>
      <c r="B2145" s="0" t="n">
        <v>8</v>
      </c>
      <c r="C2145" s="0" t="n">
        <v>6429</v>
      </c>
      <c r="E2145" s="0" t="n">
        <v>0</v>
      </c>
      <c r="F2145" s="27" t="s">
        <v>1187</v>
      </c>
      <c r="I2145" s="27" t="s">
        <v>138</v>
      </c>
      <c r="L2145" s="0" t="n">
        <v>149</v>
      </c>
      <c r="U2145" s="0" t="n">
        <v>562</v>
      </c>
      <c r="V2145" s="0" t="n">
        <v>2</v>
      </c>
      <c r="W2145" s="27" t="n">
        <f aca="false">MATCH(A2145,DATAS,0)</f>
        <v>1</v>
      </c>
      <c r="X2145" s="27" t="n">
        <f aca="false">IF(AND(E2145&gt;0,OR(AND(B2145&gt;=1,B2145&lt;=6),B2145=10)),1,0)</f>
        <v>0</v>
      </c>
      <c r="Y2145" s="27" t="n">
        <f aca="false">IF(AND(E2145&gt;0,B2145=10),1,0)</f>
        <v>0</v>
      </c>
      <c r="Z2145" s="0" t="str">
        <f aca="false">IF(AND(C2144=C2145,W2144=W2145-1),X2144,"")</f>
        <v/>
      </c>
      <c r="AA2145" s="0" t="str">
        <f aca="false">IF(AND(C2144=C2145,W2144=W2145-1),Y2144,"")</f>
        <v/>
      </c>
      <c r="AB2145" s="0" t="str">
        <f aca="false">IF(W2145=1,"",IF(AND(X2145=1,Z2145&lt;&gt;1),1,0))</f>
        <v/>
      </c>
      <c r="AC2145" s="0" t="str">
        <f aca="false">IF(W2145=1,"",IF(AND(Y2145=1,AA2145&lt;&gt;1),1,0))</f>
        <v/>
      </c>
      <c r="AD2145" s="33" t="str">
        <f aca="false">IF(AND(E2145&gt;0,W2145&lt;1,NOT(AND(C2146=C2145,W2146=W2145+1))),INDEX(DATAS,W2145+1),"")</f>
        <v/>
      </c>
      <c r="AE2145" s="33" t="str">
        <f aca="false">IF(AND(Y2145=1,W2145&lt;1),IF(AND(C2146=C2145,W2146=W2145+1),IF(Y2146=1,"",INDEX(DATAS,W2145+1)),INDEX(DATAS,W2145+1)),"")</f>
        <v/>
      </c>
    </row>
    <row r="2146" customFormat="false" ht="15" hidden="false" customHeight="false" outlineLevel="0" collapsed="false">
      <c r="A2146" s="33" t="n">
        <v>46309</v>
      </c>
      <c r="B2146" s="0" t="n">
        <v>8</v>
      </c>
      <c r="C2146" s="0" t="n">
        <v>6430</v>
      </c>
      <c r="E2146" s="0" t="n">
        <v>0</v>
      </c>
      <c r="F2146" s="27" t="s">
        <v>1188</v>
      </c>
      <c r="I2146" s="27" t="s">
        <v>138</v>
      </c>
      <c r="L2146" s="0" t="n">
        <v>152</v>
      </c>
      <c r="U2146" s="0" t="n">
        <v>561</v>
      </c>
      <c r="V2146" s="0" t="n">
        <v>1</v>
      </c>
      <c r="W2146" s="27" t="n">
        <f aca="false">MATCH(A2146,DATAS,0)</f>
        <v>1</v>
      </c>
      <c r="X2146" s="27" t="n">
        <f aca="false">IF(AND(E2146&gt;0,OR(AND(B2146&gt;=1,B2146&lt;=6),B2146=10)),1,0)</f>
        <v>0</v>
      </c>
      <c r="Y2146" s="27" t="n">
        <f aca="false">IF(AND(E2146&gt;0,B2146=10),1,0)</f>
        <v>0</v>
      </c>
      <c r="Z2146" s="0" t="str">
        <f aca="false">IF(AND(C2145=C2146,W2145=W2146-1),X2145,"")</f>
        <v/>
      </c>
      <c r="AA2146" s="0" t="str">
        <f aca="false">IF(AND(C2145=C2146,W2145=W2146-1),Y2145,"")</f>
        <v/>
      </c>
      <c r="AB2146" s="0" t="str">
        <f aca="false">IF(W2146=1,"",IF(AND(X2146=1,Z2146&lt;&gt;1),1,0))</f>
        <v/>
      </c>
      <c r="AC2146" s="0" t="str">
        <f aca="false">IF(W2146=1,"",IF(AND(Y2146=1,AA2146&lt;&gt;1),1,0))</f>
        <v/>
      </c>
      <c r="AD2146" s="33" t="str">
        <f aca="false">IF(AND(E2146&gt;0,W2146&lt;1,NOT(AND(C2147=C2146,W2147=W2146+1))),INDEX(DATAS,W2146+1),"")</f>
        <v/>
      </c>
      <c r="AE2146" s="33" t="str">
        <f aca="false">IF(AND(Y2146=1,W2146&lt;1),IF(AND(C2147=C2146,W2147=W2146+1),IF(Y2147=1,"",INDEX(DATAS,W2146+1)),INDEX(DATAS,W2146+1)),"")</f>
        <v/>
      </c>
    </row>
    <row r="2147" customFormat="false" ht="15" hidden="false" customHeight="false" outlineLevel="0" collapsed="false">
      <c r="A2147" s="33" t="n">
        <v>46309</v>
      </c>
      <c r="B2147" s="0" t="n">
        <v>8</v>
      </c>
      <c r="C2147" s="0" t="n">
        <v>6431</v>
      </c>
      <c r="E2147" s="0" t="n">
        <v>0</v>
      </c>
      <c r="F2147" s="27" t="s">
        <v>1189</v>
      </c>
      <c r="I2147" s="27" t="s">
        <v>138</v>
      </c>
      <c r="L2147" s="0" t="n">
        <v>86</v>
      </c>
      <c r="U2147" s="0" t="n">
        <v>560</v>
      </c>
      <c r="V2147" s="0" t="n">
        <v>4</v>
      </c>
      <c r="W2147" s="27" t="n">
        <f aca="false">MATCH(A2147,DATAS,0)</f>
        <v>1</v>
      </c>
      <c r="X2147" s="27" t="n">
        <f aca="false">IF(AND(E2147&gt;0,OR(AND(B2147&gt;=1,B2147&lt;=6),B2147=10)),1,0)</f>
        <v>0</v>
      </c>
      <c r="Y2147" s="27" t="n">
        <f aca="false">IF(AND(E2147&gt;0,B2147=10),1,0)</f>
        <v>0</v>
      </c>
      <c r="Z2147" s="0" t="str">
        <f aca="false">IF(AND(C2146=C2147,W2146=W2147-1),X2146,"")</f>
        <v/>
      </c>
      <c r="AA2147" s="0" t="str">
        <f aca="false">IF(AND(C2146=C2147,W2146=W2147-1),Y2146,"")</f>
        <v/>
      </c>
      <c r="AB2147" s="0" t="str">
        <f aca="false">IF(W2147=1,"",IF(AND(X2147=1,Z2147&lt;&gt;1),1,0))</f>
        <v/>
      </c>
      <c r="AC2147" s="0" t="str">
        <f aca="false">IF(W2147=1,"",IF(AND(Y2147=1,AA2147&lt;&gt;1),1,0))</f>
        <v/>
      </c>
      <c r="AD2147" s="33" t="str">
        <f aca="false">IF(AND(E2147&gt;0,W2147&lt;1,NOT(AND(C2148=C2147,W2148=W2147+1))),INDEX(DATAS,W2147+1),"")</f>
        <v/>
      </c>
      <c r="AE2147" s="33" t="str">
        <f aca="false">IF(AND(Y2147=1,W2147&lt;1),IF(AND(C2148=C2147,W2148=W2147+1),IF(Y2148=1,"",INDEX(DATAS,W2147+1)),INDEX(DATAS,W2147+1)),"")</f>
        <v/>
      </c>
    </row>
    <row r="2148" customFormat="false" ht="15" hidden="false" customHeight="false" outlineLevel="0" collapsed="false">
      <c r="A2148" s="33" t="n">
        <v>46309</v>
      </c>
      <c r="B2148" s="0" t="n">
        <v>8</v>
      </c>
      <c r="C2148" s="0" t="n">
        <v>6432</v>
      </c>
      <c r="E2148" s="0" t="n">
        <v>0</v>
      </c>
      <c r="F2148" s="27" t="s">
        <v>1189</v>
      </c>
      <c r="I2148" s="27" t="s">
        <v>138</v>
      </c>
      <c r="L2148" s="0" t="n">
        <v>146</v>
      </c>
      <c r="U2148" s="0" t="n">
        <v>560</v>
      </c>
      <c r="V2148" s="0" t="n">
        <v>2</v>
      </c>
      <c r="W2148" s="27" t="n">
        <f aca="false">MATCH(A2148,DATAS,0)</f>
        <v>1</v>
      </c>
      <c r="X2148" s="27" t="n">
        <f aca="false">IF(AND(E2148&gt;0,OR(AND(B2148&gt;=1,B2148&lt;=6),B2148=10)),1,0)</f>
        <v>0</v>
      </c>
      <c r="Y2148" s="27" t="n">
        <f aca="false">IF(AND(E2148&gt;0,B2148=10),1,0)</f>
        <v>0</v>
      </c>
      <c r="Z2148" s="0" t="str">
        <f aca="false">IF(AND(C2147=C2148,W2147=W2148-1),X2147,"")</f>
        <v/>
      </c>
      <c r="AA2148" s="0" t="str">
        <f aca="false">IF(AND(C2147=C2148,W2147=W2148-1),Y2147,"")</f>
        <v/>
      </c>
      <c r="AB2148" s="0" t="str">
        <f aca="false">IF(W2148=1,"",IF(AND(X2148=1,Z2148&lt;&gt;1),1,0))</f>
        <v/>
      </c>
      <c r="AC2148" s="0" t="str">
        <f aca="false">IF(W2148=1,"",IF(AND(Y2148=1,AA2148&lt;&gt;1),1,0))</f>
        <v/>
      </c>
      <c r="AD2148" s="33" t="str">
        <f aca="false">IF(AND(E2148&gt;0,W2148&lt;1,NOT(AND(C2149=C2148,W2149=W2148+1))),INDEX(DATAS,W2148+1),"")</f>
        <v/>
      </c>
      <c r="AE2148" s="33" t="str">
        <f aca="false">IF(AND(Y2148=1,W2148&lt;1),IF(AND(C2149=C2148,W2149=W2148+1),IF(Y2149=1,"",INDEX(DATAS,W2148+1)),INDEX(DATAS,W2148+1)),"")</f>
        <v/>
      </c>
    </row>
    <row r="2149" customFormat="false" ht="15" hidden="false" customHeight="false" outlineLevel="0" collapsed="false">
      <c r="A2149" s="33" t="n">
        <v>46309</v>
      </c>
      <c r="B2149" s="0" t="n">
        <v>8</v>
      </c>
      <c r="C2149" s="0" t="n">
        <v>6433</v>
      </c>
      <c r="E2149" s="0" t="n">
        <v>0</v>
      </c>
      <c r="F2149" s="27" t="s">
        <v>1189</v>
      </c>
      <c r="I2149" s="27" t="s">
        <v>138</v>
      </c>
      <c r="L2149" s="0" t="n">
        <v>65</v>
      </c>
      <c r="U2149" s="0" t="n">
        <v>560</v>
      </c>
      <c r="V2149" s="0" t="n">
        <v>5</v>
      </c>
      <c r="W2149" s="27" t="n">
        <f aca="false">MATCH(A2149,DATAS,0)</f>
        <v>1</v>
      </c>
      <c r="X2149" s="27" t="n">
        <f aca="false">IF(AND(E2149&gt;0,OR(AND(B2149&gt;=1,B2149&lt;=6),B2149=10)),1,0)</f>
        <v>0</v>
      </c>
      <c r="Y2149" s="27" t="n">
        <f aca="false">IF(AND(E2149&gt;0,B2149=10),1,0)</f>
        <v>0</v>
      </c>
      <c r="Z2149" s="0" t="str">
        <f aca="false">IF(AND(C2148=C2149,W2148=W2149-1),X2148,"")</f>
        <v/>
      </c>
      <c r="AA2149" s="0" t="str">
        <f aca="false">IF(AND(C2148=C2149,W2148=W2149-1),Y2148,"")</f>
        <v/>
      </c>
      <c r="AB2149" s="0" t="str">
        <f aca="false">IF(W2149=1,"",IF(AND(X2149=1,Z2149&lt;&gt;1),1,0))</f>
        <v/>
      </c>
      <c r="AC2149" s="0" t="str">
        <f aca="false">IF(W2149=1,"",IF(AND(Y2149=1,AA2149&lt;&gt;1),1,0))</f>
        <v/>
      </c>
      <c r="AD2149" s="33" t="str">
        <f aca="false">IF(AND(E2149&gt;0,W2149&lt;1,NOT(AND(C2150=C2149,W2150=W2149+1))),INDEX(DATAS,W2149+1),"")</f>
        <v/>
      </c>
      <c r="AE2149" s="33" t="str">
        <f aca="false">IF(AND(Y2149=1,W2149&lt;1),IF(AND(C2150=C2149,W2150=W2149+1),IF(Y2150=1,"",INDEX(DATAS,W2149+1)),INDEX(DATAS,W2149+1)),"")</f>
        <v/>
      </c>
    </row>
    <row r="2150" customFormat="false" ht="15" hidden="false" customHeight="false" outlineLevel="0" collapsed="false">
      <c r="A2150" s="33" t="n">
        <v>46309</v>
      </c>
      <c r="B2150" s="0" t="n">
        <v>8</v>
      </c>
      <c r="C2150" s="0" t="n">
        <v>6434</v>
      </c>
      <c r="E2150" s="0" t="n">
        <v>0</v>
      </c>
      <c r="F2150" s="27" t="s">
        <v>1189</v>
      </c>
      <c r="I2150" s="27" t="s">
        <v>138</v>
      </c>
      <c r="L2150" s="0" t="n">
        <v>146</v>
      </c>
      <c r="U2150" s="0" t="n">
        <v>560</v>
      </c>
      <c r="V2150" s="0" t="n">
        <v>1</v>
      </c>
      <c r="W2150" s="27" t="n">
        <f aca="false">MATCH(A2150,DATAS,0)</f>
        <v>1</v>
      </c>
      <c r="X2150" s="27" t="n">
        <f aca="false">IF(AND(E2150&gt;0,OR(AND(B2150&gt;=1,B2150&lt;=6),B2150=10)),1,0)</f>
        <v>0</v>
      </c>
      <c r="Y2150" s="27" t="n">
        <f aca="false">IF(AND(E2150&gt;0,B2150=10),1,0)</f>
        <v>0</v>
      </c>
      <c r="Z2150" s="0" t="str">
        <f aca="false">IF(AND(C2149=C2150,W2149=W2150-1),X2149,"")</f>
        <v/>
      </c>
      <c r="AA2150" s="0" t="str">
        <f aca="false">IF(AND(C2149=C2150,W2149=W2150-1),Y2149,"")</f>
        <v/>
      </c>
      <c r="AB2150" s="0" t="str">
        <f aca="false">IF(W2150=1,"",IF(AND(X2150=1,Z2150&lt;&gt;1),1,0))</f>
        <v/>
      </c>
      <c r="AC2150" s="0" t="str">
        <f aca="false">IF(W2150=1,"",IF(AND(Y2150=1,AA2150&lt;&gt;1),1,0))</f>
        <v/>
      </c>
      <c r="AD2150" s="33" t="str">
        <f aca="false">IF(AND(E2150&gt;0,W2150&lt;1,NOT(AND(C2151=C2150,W2151=W2150+1))),INDEX(DATAS,W2150+1),"")</f>
        <v/>
      </c>
      <c r="AE2150" s="33" t="str">
        <f aca="false">IF(AND(Y2150=1,W2150&lt;1),IF(AND(C2151=C2150,W2151=W2150+1),IF(Y2151=1,"",INDEX(DATAS,W2150+1)),INDEX(DATAS,W2150+1)),"")</f>
        <v/>
      </c>
    </row>
    <row r="2151" customFormat="false" ht="15" hidden="false" customHeight="false" outlineLevel="0" collapsed="false">
      <c r="A2151" s="33" t="n">
        <v>46309</v>
      </c>
      <c r="B2151" s="0" t="n">
        <v>8</v>
      </c>
      <c r="C2151" s="0" t="n">
        <v>6435</v>
      </c>
      <c r="E2151" s="0" t="n">
        <v>0</v>
      </c>
      <c r="F2151" s="27" t="s">
        <v>1189</v>
      </c>
      <c r="I2151" s="27" t="s">
        <v>138</v>
      </c>
      <c r="L2151" s="0" t="n">
        <v>160</v>
      </c>
      <c r="U2151" s="0" t="n">
        <v>560</v>
      </c>
      <c r="V2151" s="0" t="n">
        <v>1</v>
      </c>
      <c r="W2151" s="27" t="n">
        <f aca="false">MATCH(A2151,DATAS,0)</f>
        <v>1</v>
      </c>
      <c r="X2151" s="27" t="n">
        <f aca="false">IF(AND(E2151&gt;0,OR(AND(B2151&gt;=1,B2151&lt;=6),B2151=10)),1,0)</f>
        <v>0</v>
      </c>
      <c r="Y2151" s="27" t="n">
        <f aca="false">IF(AND(E2151&gt;0,B2151=10),1,0)</f>
        <v>0</v>
      </c>
      <c r="Z2151" s="0" t="str">
        <f aca="false">IF(AND(C2150=C2151,W2150=W2151-1),X2150,"")</f>
        <v/>
      </c>
      <c r="AA2151" s="0" t="str">
        <f aca="false">IF(AND(C2150=C2151,W2150=W2151-1),Y2150,"")</f>
        <v/>
      </c>
      <c r="AB2151" s="0" t="str">
        <f aca="false">IF(W2151=1,"",IF(AND(X2151=1,Z2151&lt;&gt;1),1,0))</f>
        <v/>
      </c>
      <c r="AC2151" s="0" t="str">
        <f aca="false">IF(W2151=1,"",IF(AND(Y2151=1,AA2151&lt;&gt;1),1,0))</f>
        <v/>
      </c>
      <c r="AD2151" s="33" t="str">
        <f aca="false">IF(AND(E2151&gt;0,W2151&lt;1,NOT(AND(C2152=C2151,W2152=W2151+1))),INDEX(DATAS,W2151+1),"")</f>
        <v/>
      </c>
      <c r="AE2151" s="33" t="str">
        <f aca="false">IF(AND(Y2151=1,W2151&lt;1),IF(AND(C2152=C2151,W2152=W2151+1),IF(Y2152=1,"",INDEX(DATAS,W2151+1)),INDEX(DATAS,W2151+1)),"")</f>
        <v/>
      </c>
    </row>
    <row r="2152" customFormat="false" ht="15" hidden="false" customHeight="false" outlineLevel="0" collapsed="false">
      <c r="A2152" s="33" t="n">
        <v>46309</v>
      </c>
      <c r="B2152" s="0" t="n">
        <v>8</v>
      </c>
      <c r="C2152" s="0" t="n">
        <v>6436</v>
      </c>
      <c r="E2152" s="0" t="n">
        <v>0</v>
      </c>
      <c r="F2152" s="27" t="s">
        <v>1190</v>
      </c>
      <c r="I2152" s="27" t="s">
        <v>138</v>
      </c>
      <c r="L2152" s="0" t="n">
        <v>161</v>
      </c>
      <c r="U2152" s="0" t="n">
        <v>557</v>
      </c>
      <c r="V2152" s="0" t="n">
        <v>1</v>
      </c>
      <c r="W2152" s="27" t="n">
        <f aca="false">MATCH(A2152,DATAS,0)</f>
        <v>1</v>
      </c>
      <c r="X2152" s="27" t="n">
        <f aca="false">IF(AND(E2152&gt;0,OR(AND(B2152&gt;=1,B2152&lt;=6),B2152=10)),1,0)</f>
        <v>0</v>
      </c>
      <c r="Y2152" s="27" t="n">
        <f aca="false">IF(AND(E2152&gt;0,B2152=10),1,0)</f>
        <v>0</v>
      </c>
      <c r="Z2152" s="0" t="str">
        <f aca="false">IF(AND(C2151=C2152,W2151=W2152-1),X2151,"")</f>
        <v/>
      </c>
      <c r="AA2152" s="0" t="str">
        <f aca="false">IF(AND(C2151=C2152,W2151=W2152-1),Y2151,"")</f>
        <v/>
      </c>
      <c r="AB2152" s="0" t="str">
        <f aca="false">IF(W2152=1,"",IF(AND(X2152=1,Z2152&lt;&gt;1),1,0))</f>
        <v/>
      </c>
      <c r="AC2152" s="0" t="str">
        <f aca="false">IF(W2152=1,"",IF(AND(Y2152=1,AA2152&lt;&gt;1),1,0))</f>
        <v/>
      </c>
      <c r="AD2152" s="33" t="str">
        <f aca="false">IF(AND(E2152&gt;0,W2152&lt;1,NOT(AND(C2153=C2152,W2153=W2152+1))),INDEX(DATAS,W2152+1),"")</f>
        <v/>
      </c>
      <c r="AE2152" s="33" t="str">
        <f aca="false">IF(AND(Y2152=1,W2152&lt;1),IF(AND(C2153=C2152,W2153=W2152+1),IF(Y2153=1,"",INDEX(DATAS,W2152+1)),INDEX(DATAS,W2152+1)),"")</f>
        <v/>
      </c>
    </row>
    <row r="2153" customFormat="false" ht="15" hidden="false" customHeight="false" outlineLevel="0" collapsed="false">
      <c r="A2153" s="33" t="n">
        <v>46309</v>
      </c>
      <c r="B2153" s="0" t="n">
        <v>8</v>
      </c>
      <c r="C2153" s="0" t="n">
        <v>6437</v>
      </c>
      <c r="E2153" s="0" t="n">
        <v>0</v>
      </c>
      <c r="F2153" s="27" t="s">
        <v>1190</v>
      </c>
      <c r="I2153" s="27" t="s">
        <v>138</v>
      </c>
      <c r="L2153" s="0" t="n">
        <v>142</v>
      </c>
      <c r="U2153" s="0" t="n">
        <v>557</v>
      </c>
      <c r="V2153" s="0" t="n">
        <v>2</v>
      </c>
      <c r="W2153" s="27" t="n">
        <f aca="false">MATCH(A2153,DATAS,0)</f>
        <v>1</v>
      </c>
      <c r="X2153" s="27" t="n">
        <f aca="false">IF(AND(E2153&gt;0,OR(AND(B2153&gt;=1,B2153&lt;=6),B2153=10)),1,0)</f>
        <v>0</v>
      </c>
      <c r="Y2153" s="27" t="n">
        <f aca="false">IF(AND(E2153&gt;0,B2153=10),1,0)</f>
        <v>0</v>
      </c>
      <c r="Z2153" s="0" t="str">
        <f aca="false">IF(AND(C2152=C2153,W2152=W2153-1),X2152,"")</f>
        <v/>
      </c>
      <c r="AA2153" s="0" t="str">
        <f aca="false">IF(AND(C2152=C2153,W2152=W2153-1),Y2152,"")</f>
        <v/>
      </c>
      <c r="AB2153" s="0" t="str">
        <f aca="false">IF(W2153=1,"",IF(AND(X2153=1,Z2153&lt;&gt;1),1,0))</f>
        <v/>
      </c>
      <c r="AC2153" s="0" t="str">
        <f aca="false">IF(W2153=1,"",IF(AND(Y2153=1,AA2153&lt;&gt;1),1,0))</f>
        <v/>
      </c>
      <c r="AD2153" s="33" t="str">
        <f aca="false">IF(AND(E2153&gt;0,W2153&lt;1,NOT(AND(C2154=C2153,W2154=W2153+1))),INDEX(DATAS,W2153+1),"")</f>
        <v/>
      </c>
      <c r="AE2153" s="33" t="str">
        <f aca="false">IF(AND(Y2153=1,W2153&lt;1),IF(AND(C2154=C2153,W2154=W2153+1),IF(Y2154=1,"",INDEX(DATAS,W2153+1)),INDEX(DATAS,W2153+1)),"")</f>
        <v/>
      </c>
    </row>
    <row r="2154" customFormat="false" ht="15" hidden="false" customHeight="false" outlineLevel="0" collapsed="false">
      <c r="A2154" s="33" t="n">
        <v>46309</v>
      </c>
      <c r="B2154" s="0" t="n">
        <v>8</v>
      </c>
      <c r="C2154" s="0" t="n">
        <v>6438</v>
      </c>
      <c r="E2154" s="0" t="n">
        <v>0</v>
      </c>
      <c r="F2154" s="27" t="s">
        <v>1190</v>
      </c>
      <c r="I2154" s="27" t="s">
        <v>138</v>
      </c>
      <c r="L2154" s="0" t="n">
        <v>139</v>
      </c>
      <c r="U2154" s="0" t="n">
        <v>557</v>
      </c>
      <c r="V2154" s="0" t="n">
        <v>1</v>
      </c>
      <c r="W2154" s="27" t="n">
        <f aca="false">MATCH(A2154,DATAS,0)</f>
        <v>1</v>
      </c>
      <c r="X2154" s="27" t="n">
        <f aca="false">IF(AND(E2154&gt;0,OR(AND(B2154&gt;=1,B2154&lt;=6),B2154=10)),1,0)</f>
        <v>0</v>
      </c>
      <c r="Y2154" s="27" t="n">
        <f aca="false">IF(AND(E2154&gt;0,B2154=10),1,0)</f>
        <v>0</v>
      </c>
      <c r="Z2154" s="0" t="str">
        <f aca="false">IF(AND(C2153=C2154,W2153=W2154-1),X2153,"")</f>
        <v/>
      </c>
      <c r="AA2154" s="0" t="str">
        <f aca="false">IF(AND(C2153=C2154,W2153=W2154-1),Y2153,"")</f>
        <v/>
      </c>
      <c r="AB2154" s="0" t="str">
        <f aca="false">IF(W2154=1,"",IF(AND(X2154=1,Z2154&lt;&gt;1),1,0))</f>
        <v/>
      </c>
      <c r="AC2154" s="0" t="str">
        <f aca="false">IF(W2154=1,"",IF(AND(Y2154=1,AA2154&lt;&gt;1),1,0))</f>
        <v/>
      </c>
      <c r="AD2154" s="33" t="str">
        <f aca="false">IF(AND(E2154&gt;0,W2154&lt;1,NOT(AND(C2155=C2154,W2155=W2154+1))),INDEX(DATAS,W2154+1),"")</f>
        <v/>
      </c>
      <c r="AE2154" s="33" t="str">
        <f aca="false">IF(AND(Y2154=1,W2154&lt;1),IF(AND(C2155=C2154,W2155=W2154+1),IF(Y2155=1,"",INDEX(DATAS,W2154+1)),INDEX(DATAS,W2154+1)),"")</f>
        <v/>
      </c>
    </row>
    <row r="2155" customFormat="false" ht="15" hidden="false" customHeight="false" outlineLevel="0" collapsed="false">
      <c r="A2155" s="33" t="n">
        <v>46309</v>
      </c>
      <c r="B2155" s="0" t="n">
        <v>8</v>
      </c>
      <c r="C2155" s="0" t="n">
        <v>6439</v>
      </c>
      <c r="E2155" s="0" t="n">
        <v>0</v>
      </c>
      <c r="F2155" s="27" t="s">
        <v>1190</v>
      </c>
      <c r="I2155" s="27" t="s">
        <v>138</v>
      </c>
      <c r="L2155" s="0" t="n">
        <v>118</v>
      </c>
      <c r="U2155" s="0" t="n">
        <v>557</v>
      </c>
      <c r="V2155" s="0" t="n">
        <v>3</v>
      </c>
      <c r="W2155" s="27" t="n">
        <f aca="false">MATCH(A2155,DATAS,0)</f>
        <v>1</v>
      </c>
      <c r="X2155" s="27" t="n">
        <f aca="false">IF(AND(E2155&gt;0,OR(AND(B2155&gt;=1,B2155&lt;=6),B2155=10)),1,0)</f>
        <v>0</v>
      </c>
      <c r="Y2155" s="27" t="n">
        <f aca="false">IF(AND(E2155&gt;0,B2155=10),1,0)</f>
        <v>0</v>
      </c>
      <c r="Z2155" s="0" t="str">
        <f aca="false">IF(AND(C2154=C2155,W2154=W2155-1),X2154,"")</f>
        <v/>
      </c>
      <c r="AA2155" s="0" t="str">
        <f aca="false">IF(AND(C2154=C2155,W2154=W2155-1),Y2154,"")</f>
        <v/>
      </c>
      <c r="AB2155" s="0" t="str">
        <f aca="false">IF(W2155=1,"",IF(AND(X2155=1,Z2155&lt;&gt;1),1,0))</f>
        <v/>
      </c>
      <c r="AC2155" s="0" t="str">
        <f aca="false">IF(W2155=1,"",IF(AND(Y2155=1,AA2155&lt;&gt;1),1,0))</f>
        <v/>
      </c>
      <c r="AD2155" s="33" t="str">
        <f aca="false">IF(AND(E2155&gt;0,W2155&lt;1,NOT(AND(C2156=C2155,W2156=W2155+1))),INDEX(DATAS,W2155+1),"")</f>
        <v/>
      </c>
      <c r="AE2155" s="33" t="str">
        <f aca="false">IF(AND(Y2155=1,W2155&lt;1),IF(AND(C2156=C2155,W2156=W2155+1),IF(Y2156=1,"",INDEX(DATAS,W2155+1)),INDEX(DATAS,W2155+1)),"")</f>
        <v/>
      </c>
    </row>
    <row r="2156" customFormat="false" ht="15" hidden="false" customHeight="false" outlineLevel="0" collapsed="false">
      <c r="A2156" s="33" t="n">
        <v>46309</v>
      </c>
      <c r="B2156" s="0" t="n">
        <v>8</v>
      </c>
      <c r="C2156" s="0" t="n">
        <v>6440</v>
      </c>
      <c r="E2156" s="0" t="n">
        <v>0</v>
      </c>
      <c r="F2156" s="27" t="s">
        <v>1190</v>
      </c>
      <c r="I2156" s="27" t="s">
        <v>138</v>
      </c>
      <c r="L2156" s="0" t="n">
        <v>106</v>
      </c>
      <c r="U2156" s="0" t="n">
        <v>557</v>
      </c>
      <c r="V2156" s="0" t="n">
        <v>2</v>
      </c>
      <c r="W2156" s="27" t="n">
        <f aca="false">MATCH(A2156,DATAS,0)</f>
        <v>1</v>
      </c>
      <c r="X2156" s="27" t="n">
        <f aca="false">IF(AND(E2156&gt;0,OR(AND(B2156&gt;=1,B2156&lt;=6),B2156=10)),1,0)</f>
        <v>0</v>
      </c>
      <c r="Y2156" s="27" t="n">
        <f aca="false">IF(AND(E2156&gt;0,B2156=10),1,0)</f>
        <v>0</v>
      </c>
      <c r="Z2156" s="0" t="str">
        <f aca="false">IF(AND(C2155=C2156,W2155=W2156-1),X2155,"")</f>
        <v/>
      </c>
      <c r="AA2156" s="0" t="str">
        <f aca="false">IF(AND(C2155=C2156,W2155=W2156-1),Y2155,"")</f>
        <v/>
      </c>
      <c r="AB2156" s="0" t="str">
        <f aca="false">IF(W2156=1,"",IF(AND(X2156=1,Z2156&lt;&gt;1),1,0))</f>
        <v/>
      </c>
      <c r="AC2156" s="0" t="str">
        <f aca="false">IF(W2156=1,"",IF(AND(Y2156=1,AA2156&lt;&gt;1),1,0))</f>
        <v/>
      </c>
      <c r="AD2156" s="33" t="str">
        <f aca="false">IF(AND(E2156&gt;0,W2156&lt;1,NOT(AND(C2157=C2156,W2157=W2156+1))),INDEX(DATAS,W2156+1),"")</f>
        <v/>
      </c>
      <c r="AE2156" s="33" t="str">
        <f aca="false">IF(AND(Y2156=1,W2156&lt;1),IF(AND(C2157=C2156,W2157=W2156+1),IF(Y2157=1,"",INDEX(DATAS,W2156+1)),INDEX(DATAS,W2156+1)),"")</f>
        <v/>
      </c>
    </row>
    <row r="2157" customFormat="false" ht="15" hidden="false" customHeight="false" outlineLevel="0" collapsed="false">
      <c r="A2157" s="33" t="n">
        <v>46309</v>
      </c>
      <c r="B2157" s="0" t="n">
        <v>8</v>
      </c>
      <c r="C2157" s="0" t="n">
        <v>6441</v>
      </c>
      <c r="E2157" s="0" t="n">
        <v>0</v>
      </c>
      <c r="F2157" s="27" t="s">
        <v>1190</v>
      </c>
      <c r="I2157" s="27" t="s">
        <v>138</v>
      </c>
      <c r="L2157" s="0" t="n">
        <v>142</v>
      </c>
      <c r="U2157" s="0" t="n">
        <v>557</v>
      </c>
      <c r="V2157" s="0" t="n">
        <v>2</v>
      </c>
      <c r="W2157" s="27" t="n">
        <f aca="false">MATCH(A2157,DATAS,0)</f>
        <v>1</v>
      </c>
      <c r="X2157" s="27" t="n">
        <f aca="false">IF(AND(E2157&gt;0,OR(AND(B2157&gt;=1,B2157&lt;=6),B2157=10)),1,0)</f>
        <v>0</v>
      </c>
      <c r="Y2157" s="27" t="n">
        <f aca="false">IF(AND(E2157&gt;0,B2157=10),1,0)</f>
        <v>0</v>
      </c>
      <c r="Z2157" s="0" t="str">
        <f aca="false">IF(AND(C2156=C2157,W2156=W2157-1),X2156,"")</f>
        <v/>
      </c>
      <c r="AA2157" s="0" t="str">
        <f aca="false">IF(AND(C2156=C2157,W2156=W2157-1),Y2156,"")</f>
        <v/>
      </c>
      <c r="AB2157" s="0" t="str">
        <f aca="false">IF(W2157=1,"",IF(AND(X2157=1,Z2157&lt;&gt;1),1,0))</f>
        <v/>
      </c>
      <c r="AC2157" s="0" t="str">
        <f aca="false">IF(W2157=1,"",IF(AND(Y2157=1,AA2157&lt;&gt;1),1,0))</f>
        <v/>
      </c>
      <c r="AD2157" s="33" t="str">
        <f aca="false">IF(AND(E2157&gt;0,W2157&lt;1,NOT(AND(C2158=C2157,W2158=W2157+1))),INDEX(DATAS,W2157+1),"")</f>
        <v/>
      </c>
      <c r="AE2157" s="33" t="str">
        <f aca="false">IF(AND(Y2157=1,W2157&lt;1),IF(AND(C2158=C2157,W2158=W2157+1),IF(Y2158=1,"",INDEX(DATAS,W2157+1)),INDEX(DATAS,W2157+1)),"")</f>
        <v/>
      </c>
    </row>
    <row r="2158" customFormat="false" ht="15" hidden="false" customHeight="false" outlineLevel="0" collapsed="false">
      <c r="A2158" s="33" t="n">
        <v>46309</v>
      </c>
      <c r="B2158" s="0" t="n">
        <v>8</v>
      </c>
      <c r="C2158" s="0" t="n">
        <v>6442</v>
      </c>
      <c r="E2158" s="0" t="n">
        <v>0</v>
      </c>
      <c r="F2158" s="27" t="s">
        <v>1190</v>
      </c>
      <c r="I2158" s="27" t="s">
        <v>138</v>
      </c>
      <c r="L2158" s="0" t="n">
        <v>147</v>
      </c>
      <c r="U2158" s="0" t="n">
        <v>557</v>
      </c>
      <c r="V2158" s="0" t="n">
        <v>1</v>
      </c>
      <c r="W2158" s="27" t="n">
        <f aca="false">MATCH(A2158,DATAS,0)</f>
        <v>1</v>
      </c>
      <c r="X2158" s="27" t="n">
        <f aca="false">IF(AND(E2158&gt;0,OR(AND(B2158&gt;=1,B2158&lt;=6),B2158=10)),1,0)</f>
        <v>0</v>
      </c>
      <c r="Y2158" s="27" t="n">
        <f aca="false">IF(AND(E2158&gt;0,B2158=10),1,0)</f>
        <v>0</v>
      </c>
      <c r="Z2158" s="0" t="str">
        <f aca="false">IF(AND(C2157=C2158,W2157=W2158-1),X2157,"")</f>
        <v/>
      </c>
      <c r="AA2158" s="0" t="str">
        <f aca="false">IF(AND(C2157=C2158,W2157=W2158-1),Y2157,"")</f>
        <v/>
      </c>
      <c r="AB2158" s="0" t="str">
        <f aca="false">IF(W2158=1,"",IF(AND(X2158=1,Z2158&lt;&gt;1),1,0))</f>
        <v/>
      </c>
      <c r="AC2158" s="0" t="str">
        <f aca="false">IF(W2158=1,"",IF(AND(Y2158=1,AA2158&lt;&gt;1),1,0))</f>
        <v/>
      </c>
      <c r="AD2158" s="33" t="str">
        <f aca="false">IF(AND(E2158&gt;0,W2158&lt;1,NOT(AND(C2159=C2158,W2159=W2158+1))),INDEX(DATAS,W2158+1),"")</f>
        <v/>
      </c>
      <c r="AE2158" s="33" t="str">
        <f aca="false">IF(AND(Y2158=1,W2158&lt;1),IF(AND(C2159=C2158,W2159=W2158+1),IF(Y2159=1,"",INDEX(DATAS,W2158+1)),INDEX(DATAS,W2158+1)),"")</f>
        <v/>
      </c>
    </row>
    <row r="2159" customFormat="false" ht="15" hidden="false" customHeight="false" outlineLevel="0" collapsed="false">
      <c r="A2159" s="33" t="n">
        <v>46309</v>
      </c>
      <c r="B2159" s="0" t="n">
        <v>8</v>
      </c>
      <c r="C2159" s="0" t="n">
        <v>6443</v>
      </c>
      <c r="E2159" s="0" t="n">
        <v>0</v>
      </c>
      <c r="F2159" s="27" t="s">
        <v>1191</v>
      </c>
      <c r="I2159" s="27" t="s">
        <v>138</v>
      </c>
      <c r="L2159" s="0" t="n">
        <v>154</v>
      </c>
      <c r="U2159" s="0" t="n">
        <v>555</v>
      </c>
      <c r="V2159" s="0" t="n">
        <v>1</v>
      </c>
      <c r="W2159" s="27" t="n">
        <f aca="false">MATCH(A2159,DATAS,0)</f>
        <v>1</v>
      </c>
      <c r="X2159" s="27" t="n">
        <f aca="false">IF(AND(E2159&gt;0,OR(AND(B2159&gt;=1,B2159&lt;=6),B2159=10)),1,0)</f>
        <v>0</v>
      </c>
      <c r="Y2159" s="27" t="n">
        <f aca="false">IF(AND(E2159&gt;0,B2159=10),1,0)</f>
        <v>0</v>
      </c>
      <c r="Z2159" s="0" t="str">
        <f aca="false">IF(AND(C2158=C2159,W2158=W2159-1),X2158,"")</f>
        <v/>
      </c>
      <c r="AA2159" s="0" t="str">
        <f aca="false">IF(AND(C2158=C2159,W2158=W2159-1),Y2158,"")</f>
        <v/>
      </c>
      <c r="AB2159" s="0" t="str">
        <f aca="false">IF(W2159=1,"",IF(AND(X2159=1,Z2159&lt;&gt;1),1,0))</f>
        <v/>
      </c>
      <c r="AC2159" s="0" t="str">
        <f aca="false">IF(W2159=1,"",IF(AND(Y2159=1,AA2159&lt;&gt;1),1,0))</f>
        <v/>
      </c>
      <c r="AD2159" s="33" t="str">
        <f aca="false">IF(AND(E2159&gt;0,W2159&lt;1,NOT(AND(C2160=C2159,W2160=W2159+1))),INDEX(DATAS,W2159+1),"")</f>
        <v/>
      </c>
      <c r="AE2159" s="33" t="str">
        <f aca="false">IF(AND(Y2159=1,W2159&lt;1),IF(AND(C2160=C2159,W2160=W2159+1),IF(Y2160=1,"",INDEX(DATAS,W2159+1)),INDEX(DATAS,W2159+1)),"")</f>
        <v/>
      </c>
    </row>
    <row r="2160" customFormat="false" ht="15" hidden="false" customHeight="false" outlineLevel="0" collapsed="false">
      <c r="A2160" s="33" t="n">
        <v>46309</v>
      </c>
      <c r="B2160" s="0" t="n">
        <v>8</v>
      </c>
      <c r="C2160" s="0" t="n">
        <v>6444</v>
      </c>
      <c r="E2160" s="0" t="n">
        <v>0</v>
      </c>
      <c r="F2160" s="27" t="s">
        <v>1191</v>
      </c>
      <c r="I2160" s="27" t="s">
        <v>138</v>
      </c>
      <c r="L2160" s="0" t="n">
        <v>162</v>
      </c>
      <c r="U2160" s="0" t="n">
        <v>555</v>
      </c>
      <c r="V2160" s="0" t="n">
        <v>1</v>
      </c>
      <c r="W2160" s="27" t="n">
        <f aca="false">MATCH(A2160,DATAS,0)</f>
        <v>1</v>
      </c>
      <c r="X2160" s="27" t="n">
        <f aca="false">IF(AND(E2160&gt;0,OR(AND(B2160&gt;=1,B2160&lt;=6),B2160=10)),1,0)</f>
        <v>0</v>
      </c>
      <c r="Y2160" s="27" t="n">
        <f aca="false">IF(AND(E2160&gt;0,B2160=10),1,0)</f>
        <v>0</v>
      </c>
      <c r="Z2160" s="0" t="str">
        <f aca="false">IF(AND(C2159=C2160,W2159=W2160-1),X2159,"")</f>
        <v/>
      </c>
      <c r="AA2160" s="0" t="str">
        <f aca="false">IF(AND(C2159=C2160,W2159=W2160-1),Y2159,"")</f>
        <v/>
      </c>
      <c r="AB2160" s="0" t="str">
        <f aca="false">IF(W2160=1,"",IF(AND(X2160=1,Z2160&lt;&gt;1),1,0))</f>
        <v/>
      </c>
      <c r="AC2160" s="0" t="str">
        <f aca="false">IF(W2160=1,"",IF(AND(Y2160=1,AA2160&lt;&gt;1),1,0))</f>
        <v/>
      </c>
      <c r="AD2160" s="33" t="str">
        <f aca="false">IF(AND(E2160&gt;0,W2160&lt;1,NOT(AND(C2161=C2160,W2161=W2160+1))),INDEX(DATAS,W2160+1),"")</f>
        <v/>
      </c>
      <c r="AE2160" s="33" t="str">
        <f aca="false">IF(AND(Y2160=1,W2160&lt;1),IF(AND(C2161=C2160,W2161=W2160+1),IF(Y2161=1,"",INDEX(DATAS,W2160+1)),INDEX(DATAS,W2160+1)),"")</f>
        <v/>
      </c>
    </row>
    <row r="2161" customFormat="false" ht="15" hidden="false" customHeight="false" outlineLevel="0" collapsed="false">
      <c r="A2161" s="33" t="n">
        <v>46309</v>
      </c>
      <c r="B2161" s="0" t="n">
        <v>8</v>
      </c>
      <c r="C2161" s="0" t="n">
        <v>6445</v>
      </c>
      <c r="E2161" s="0" t="n">
        <v>0</v>
      </c>
      <c r="F2161" s="27" t="s">
        <v>1191</v>
      </c>
      <c r="I2161" s="27" t="s">
        <v>138</v>
      </c>
      <c r="L2161" s="0" t="n">
        <v>139</v>
      </c>
      <c r="U2161" s="0" t="n">
        <v>555</v>
      </c>
      <c r="V2161" s="0" t="n">
        <v>1</v>
      </c>
      <c r="W2161" s="27" t="n">
        <f aca="false">MATCH(A2161,DATAS,0)</f>
        <v>1</v>
      </c>
      <c r="X2161" s="27" t="n">
        <f aca="false">IF(AND(E2161&gt;0,OR(AND(B2161&gt;=1,B2161&lt;=6),B2161=10)),1,0)</f>
        <v>0</v>
      </c>
      <c r="Y2161" s="27" t="n">
        <f aca="false">IF(AND(E2161&gt;0,B2161=10),1,0)</f>
        <v>0</v>
      </c>
      <c r="Z2161" s="0" t="str">
        <f aca="false">IF(AND(C2160=C2161,W2160=W2161-1),X2160,"")</f>
        <v/>
      </c>
      <c r="AA2161" s="0" t="str">
        <f aca="false">IF(AND(C2160=C2161,W2160=W2161-1),Y2160,"")</f>
        <v/>
      </c>
      <c r="AB2161" s="0" t="str">
        <f aca="false">IF(W2161=1,"",IF(AND(X2161=1,Z2161&lt;&gt;1),1,0))</f>
        <v/>
      </c>
      <c r="AC2161" s="0" t="str">
        <f aca="false">IF(W2161=1,"",IF(AND(Y2161=1,AA2161&lt;&gt;1),1,0))</f>
        <v/>
      </c>
      <c r="AD2161" s="33" t="str">
        <f aca="false">IF(AND(E2161&gt;0,W2161&lt;1,NOT(AND(C2162=C2161,W2162=W2161+1))),INDEX(DATAS,W2161+1),"")</f>
        <v/>
      </c>
      <c r="AE2161" s="33" t="str">
        <f aca="false">IF(AND(Y2161=1,W2161&lt;1),IF(AND(C2162=C2161,W2162=W2161+1),IF(Y2162=1,"",INDEX(DATAS,W2161+1)),INDEX(DATAS,W2161+1)),"")</f>
        <v/>
      </c>
    </row>
    <row r="2162" customFormat="false" ht="15" hidden="false" customHeight="false" outlineLevel="0" collapsed="false">
      <c r="A2162" s="33" t="n">
        <v>46309</v>
      </c>
      <c r="B2162" s="0" t="n">
        <v>13</v>
      </c>
      <c r="C2162" s="0" t="n">
        <v>6446</v>
      </c>
      <c r="E2162" s="0" t="n">
        <v>0</v>
      </c>
      <c r="F2162" s="27" t="s">
        <v>1192</v>
      </c>
      <c r="I2162" s="27" t="s">
        <v>136</v>
      </c>
      <c r="U2162" s="0" t="n">
        <v>556</v>
      </c>
      <c r="V2162" s="0" t="n">
        <v>0</v>
      </c>
      <c r="W2162" s="27" t="n">
        <f aca="false">MATCH(A2162,DATAS,0)</f>
        <v>1</v>
      </c>
      <c r="X2162" s="27" t="n">
        <f aca="false">IF(AND(E2162&gt;0,OR(AND(B2162&gt;=1,B2162&lt;=6),B2162=10)),1,0)</f>
        <v>0</v>
      </c>
      <c r="Y2162" s="27" t="n">
        <f aca="false">IF(AND(E2162&gt;0,B2162=10),1,0)</f>
        <v>0</v>
      </c>
      <c r="Z2162" s="0" t="str">
        <f aca="false">IF(AND(C2161=C2162,W2161=W2162-1),X2161,"")</f>
        <v/>
      </c>
      <c r="AA2162" s="0" t="str">
        <f aca="false">IF(AND(C2161=C2162,W2161=W2162-1),Y2161,"")</f>
        <v/>
      </c>
      <c r="AB2162" s="0" t="str">
        <f aca="false">IF(W2162=1,"",IF(AND(X2162=1,Z2162&lt;&gt;1),1,0))</f>
        <v/>
      </c>
      <c r="AC2162" s="0" t="str">
        <f aca="false">IF(W2162=1,"",IF(AND(Y2162=1,AA2162&lt;&gt;1),1,0))</f>
        <v/>
      </c>
      <c r="AD2162" s="33" t="str">
        <f aca="false">IF(AND(E2162&gt;0,W2162&lt;1,NOT(AND(C2163=C2162,W2163=W2162+1))),INDEX(DATAS,W2162+1),"")</f>
        <v/>
      </c>
      <c r="AE2162" s="33" t="str">
        <f aca="false">IF(AND(Y2162=1,W2162&lt;1),IF(AND(C2163=C2162,W2163=W2162+1),IF(Y2163=1,"",INDEX(DATAS,W2162+1)),INDEX(DATAS,W2162+1)),"")</f>
        <v/>
      </c>
    </row>
    <row r="2163" customFormat="false" ht="15" hidden="false" customHeight="false" outlineLevel="0" collapsed="false">
      <c r="A2163" s="33" t="n">
        <v>46309</v>
      </c>
      <c r="B2163" s="0" t="n">
        <v>8</v>
      </c>
      <c r="C2163" s="0" t="n">
        <v>6447</v>
      </c>
      <c r="E2163" s="0" t="n">
        <v>0</v>
      </c>
      <c r="F2163" s="27" t="s">
        <v>1191</v>
      </c>
      <c r="I2163" s="27" t="s">
        <v>138</v>
      </c>
      <c r="L2163" s="0" t="n">
        <v>148</v>
      </c>
      <c r="U2163" s="0" t="n">
        <v>555</v>
      </c>
      <c r="V2163" s="0" t="n">
        <v>1</v>
      </c>
      <c r="W2163" s="27" t="n">
        <f aca="false">MATCH(A2163,DATAS,0)</f>
        <v>1</v>
      </c>
      <c r="X2163" s="27" t="n">
        <f aca="false">IF(AND(E2163&gt;0,OR(AND(B2163&gt;=1,B2163&lt;=6),B2163=10)),1,0)</f>
        <v>0</v>
      </c>
      <c r="Y2163" s="27" t="n">
        <f aca="false">IF(AND(E2163&gt;0,B2163=10),1,0)</f>
        <v>0</v>
      </c>
      <c r="Z2163" s="0" t="str">
        <f aca="false">IF(AND(C2162=C2163,W2162=W2163-1),X2162,"")</f>
        <v/>
      </c>
      <c r="AA2163" s="0" t="str">
        <f aca="false">IF(AND(C2162=C2163,W2162=W2163-1),Y2162,"")</f>
        <v/>
      </c>
      <c r="AB2163" s="0" t="str">
        <f aca="false">IF(W2163=1,"",IF(AND(X2163=1,Z2163&lt;&gt;1),1,0))</f>
        <v/>
      </c>
      <c r="AC2163" s="0" t="str">
        <f aca="false">IF(W2163=1,"",IF(AND(Y2163=1,AA2163&lt;&gt;1),1,0))</f>
        <v/>
      </c>
      <c r="AD2163" s="33" t="str">
        <f aca="false">IF(AND(E2163&gt;0,W2163&lt;1,NOT(AND(C2164=C2163,W2164=W2163+1))),INDEX(DATAS,W2163+1),"")</f>
        <v/>
      </c>
      <c r="AE2163" s="33" t="str">
        <f aca="false">IF(AND(Y2163=1,W2163&lt;1),IF(AND(C2164=C2163,W2164=W2163+1),IF(Y2164=1,"",INDEX(DATAS,W2163+1)),INDEX(DATAS,W2163+1)),"")</f>
        <v/>
      </c>
    </row>
    <row r="2164" customFormat="false" ht="15" hidden="false" customHeight="false" outlineLevel="0" collapsed="false">
      <c r="A2164" s="33" t="n">
        <v>46309</v>
      </c>
      <c r="B2164" s="0" t="n">
        <v>8</v>
      </c>
      <c r="C2164" s="0" t="n">
        <v>6448</v>
      </c>
      <c r="E2164" s="0" t="n">
        <v>0</v>
      </c>
      <c r="F2164" s="27" t="s">
        <v>1191</v>
      </c>
      <c r="I2164" s="27" t="s">
        <v>138</v>
      </c>
      <c r="L2164" s="0" t="n">
        <v>121</v>
      </c>
      <c r="U2164" s="0" t="n">
        <v>555</v>
      </c>
      <c r="V2164" s="0" t="n">
        <v>2</v>
      </c>
      <c r="W2164" s="27" t="n">
        <f aca="false">MATCH(A2164,DATAS,0)</f>
        <v>1</v>
      </c>
      <c r="X2164" s="27" t="n">
        <f aca="false">IF(AND(E2164&gt;0,OR(AND(B2164&gt;=1,B2164&lt;=6),B2164=10)),1,0)</f>
        <v>0</v>
      </c>
      <c r="Y2164" s="27" t="n">
        <f aca="false">IF(AND(E2164&gt;0,B2164=10),1,0)</f>
        <v>0</v>
      </c>
      <c r="Z2164" s="0" t="str">
        <f aca="false">IF(AND(C2163=C2164,W2163=W2164-1),X2163,"")</f>
        <v/>
      </c>
      <c r="AA2164" s="0" t="str">
        <f aca="false">IF(AND(C2163=C2164,W2163=W2164-1),Y2163,"")</f>
        <v/>
      </c>
      <c r="AB2164" s="0" t="str">
        <f aca="false">IF(W2164=1,"",IF(AND(X2164=1,Z2164&lt;&gt;1),1,0))</f>
        <v/>
      </c>
      <c r="AC2164" s="0" t="str">
        <f aca="false">IF(W2164=1,"",IF(AND(Y2164=1,AA2164&lt;&gt;1),1,0))</f>
        <v/>
      </c>
      <c r="AD2164" s="33" t="str">
        <f aca="false">IF(AND(E2164&gt;0,W2164&lt;1,NOT(AND(C2165=C2164,W2165=W2164+1))),INDEX(DATAS,W2164+1),"")</f>
        <v/>
      </c>
      <c r="AE2164" s="33" t="str">
        <f aca="false">IF(AND(Y2164=1,W2164&lt;1),IF(AND(C2165=C2164,W2165=W2164+1),IF(Y2165=1,"",INDEX(DATAS,W2164+1)),INDEX(DATAS,W2164+1)),"")</f>
        <v/>
      </c>
    </row>
    <row r="2165" customFormat="false" ht="15" hidden="false" customHeight="false" outlineLevel="0" collapsed="false">
      <c r="A2165" s="33" t="n">
        <v>46309</v>
      </c>
      <c r="B2165" s="0" t="n">
        <v>8</v>
      </c>
      <c r="C2165" s="0" t="n">
        <v>6449</v>
      </c>
      <c r="E2165" s="0" t="n">
        <v>0</v>
      </c>
      <c r="F2165" s="27" t="s">
        <v>1191</v>
      </c>
      <c r="I2165" s="27" t="s">
        <v>138</v>
      </c>
      <c r="L2165" s="0" t="n">
        <v>139</v>
      </c>
      <c r="U2165" s="0" t="n">
        <v>555</v>
      </c>
      <c r="V2165" s="0" t="n">
        <v>1</v>
      </c>
      <c r="W2165" s="27" t="n">
        <f aca="false">MATCH(A2165,DATAS,0)</f>
        <v>1</v>
      </c>
      <c r="X2165" s="27" t="n">
        <f aca="false">IF(AND(E2165&gt;0,OR(AND(B2165&gt;=1,B2165&lt;=6),B2165=10)),1,0)</f>
        <v>0</v>
      </c>
      <c r="Y2165" s="27" t="n">
        <f aca="false">IF(AND(E2165&gt;0,B2165=10),1,0)</f>
        <v>0</v>
      </c>
      <c r="Z2165" s="0" t="str">
        <f aca="false">IF(AND(C2164=C2165,W2164=W2165-1),X2164,"")</f>
        <v/>
      </c>
      <c r="AA2165" s="0" t="str">
        <f aca="false">IF(AND(C2164=C2165,W2164=W2165-1),Y2164,"")</f>
        <v/>
      </c>
      <c r="AB2165" s="0" t="str">
        <f aca="false">IF(W2165=1,"",IF(AND(X2165=1,Z2165&lt;&gt;1),1,0))</f>
        <v/>
      </c>
      <c r="AC2165" s="0" t="str">
        <f aca="false">IF(W2165=1,"",IF(AND(Y2165=1,AA2165&lt;&gt;1),1,0))</f>
        <v/>
      </c>
      <c r="AD2165" s="33" t="str">
        <f aca="false">IF(AND(E2165&gt;0,W2165&lt;1,NOT(AND(C2166=C2165,W2166=W2165+1))),INDEX(DATAS,W2165+1),"")</f>
        <v/>
      </c>
      <c r="AE2165" s="33" t="str">
        <f aca="false">IF(AND(Y2165=1,W2165&lt;1),IF(AND(C2166=C2165,W2166=W2165+1),IF(Y2166=1,"",INDEX(DATAS,W2165+1)),INDEX(DATAS,W2165+1)),"")</f>
        <v/>
      </c>
    </row>
    <row r="2166" customFormat="false" ht="15" hidden="false" customHeight="false" outlineLevel="0" collapsed="false">
      <c r="A2166" s="33" t="n">
        <v>46309</v>
      </c>
      <c r="B2166" s="0" t="n">
        <v>13</v>
      </c>
      <c r="C2166" s="0" t="n">
        <v>6450</v>
      </c>
      <c r="E2166" s="0" t="n">
        <v>0</v>
      </c>
      <c r="F2166" s="27" t="s">
        <v>1191</v>
      </c>
      <c r="I2166" s="27" t="s">
        <v>176</v>
      </c>
      <c r="U2166" s="0" t="n">
        <v>555</v>
      </c>
      <c r="V2166" s="0" t="n">
        <v>0</v>
      </c>
      <c r="W2166" s="27" t="n">
        <f aca="false">MATCH(A2166,DATAS,0)</f>
        <v>1</v>
      </c>
      <c r="X2166" s="27" t="n">
        <f aca="false">IF(AND(E2166&gt;0,OR(AND(B2166&gt;=1,B2166&lt;=6),B2166=10)),1,0)</f>
        <v>0</v>
      </c>
      <c r="Y2166" s="27" t="n">
        <f aca="false">IF(AND(E2166&gt;0,B2166=10),1,0)</f>
        <v>0</v>
      </c>
      <c r="Z2166" s="0" t="str">
        <f aca="false">IF(AND(C2165=C2166,W2165=W2166-1),X2165,"")</f>
        <v/>
      </c>
      <c r="AA2166" s="0" t="str">
        <f aca="false">IF(AND(C2165=C2166,W2165=W2166-1),Y2165,"")</f>
        <v/>
      </c>
      <c r="AB2166" s="0" t="str">
        <f aca="false">IF(W2166=1,"",IF(AND(X2166=1,Z2166&lt;&gt;1),1,0))</f>
        <v/>
      </c>
      <c r="AC2166" s="0" t="str">
        <f aca="false">IF(W2166=1,"",IF(AND(Y2166=1,AA2166&lt;&gt;1),1,0))</f>
        <v/>
      </c>
      <c r="AD2166" s="33" t="str">
        <f aca="false">IF(AND(E2166&gt;0,W2166&lt;1,NOT(AND(C2167=C2166,W2167=W2166+1))),INDEX(DATAS,W2166+1),"")</f>
        <v/>
      </c>
      <c r="AE2166" s="33" t="str">
        <f aca="false">IF(AND(Y2166=1,W2166&lt;1),IF(AND(C2167=C2166,W2167=W2166+1),IF(Y2167=1,"",INDEX(DATAS,W2166+1)),INDEX(DATAS,W2166+1)),"")</f>
        <v/>
      </c>
    </row>
    <row r="2167" customFormat="false" ht="15" hidden="false" customHeight="false" outlineLevel="0" collapsed="false">
      <c r="A2167" s="33" t="n">
        <v>46309</v>
      </c>
      <c r="B2167" s="0" t="n">
        <v>11</v>
      </c>
      <c r="C2167" s="0" t="n">
        <v>6451</v>
      </c>
      <c r="E2167" s="0" t="n">
        <v>0</v>
      </c>
      <c r="F2167" s="27" t="s">
        <v>1191</v>
      </c>
      <c r="I2167" s="27" t="s">
        <v>168</v>
      </c>
      <c r="U2167" s="0" t="n">
        <v>555</v>
      </c>
      <c r="V2167" s="0" t="n">
        <v>6</v>
      </c>
      <c r="W2167" s="27" t="n">
        <f aca="false">MATCH(A2167,DATAS,0)</f>
        <v>1</v>
      </c>
      <c r="X2167" s="27" t="n">
        <f aca="false">IF(AND(E2167&gt;0,OR(AND(B2167&gt;=1,B2167&lt;=6),B2167=10)),1,0)</f>
        <v>0</v>
      </c>
      <c r="Y2167" s="27" t="n">
        <f aca="false">IF(AND(E2167&gt;0,B2167=10),1,0)</f>
        <v>0</v>
      </c>
      <c r="Z2167" s="0" t="str">
        <f aca="false">IF(AND(C2166=C2167,W2166=W2167-1),X2166,"")</f>
        <v/>
      </c>
      <c r="AA2167" s="0" t="str">
        <f aca="false">IF(AND(C2166=C2167,W2166=W2167-1),Y2166,"")</f>
        <v/>
      </c>
      <c r="AB2167" s="0" t="str">
        <f aca="false">IF(W2167=1,"",IF(AND(X2167=1,Z2167&lt;&gt;1),1,0))</f>
        <v/>
      </c>
      <c r="AC2167" s="0" t="str">
        <f aca="false">IF(W2167=1,"",IF(AND(Y2167=1,AA2167&lt;&gt;1),1,0))</f>
        <v/>
      </c>
      <c r="AD2167" s="33" t="str">
        <f aca="false">IF(AND(E2167&gt;0,W2167&lt;1,NOT(AND(C2168=C2167,W2168=W2167+1))),INDEX(DATAS,W2167+1),"")</f>
        <v/>
      </c>
      <c r="AE2167" s="33" t="str">
        <f aca="false">IF(AND(Y2167=1,W2167&lt;1),IF(AND(C2168=C2167,W2168=W2167+1),IF(Y2168=1,"",INDEX(DATAS,W2167+1)),INDEX(DATAS,W2167+1)),"")</f>
        <v/>
      </c>
    </row>
    <row r="2168" customFormat="false" ht="15" hidden="false" customHeight="false" outlineLevel="0" collapsed="false">
      <c r="A2168" s="33" t="n">
        <v>46309</v>
      </c>
      <c r="B2168" s="0" t="n">
        <v>11</v>
      </c>
      <c r="C2168" s="0" t="n">
        <v>6452</v>
      </c>
      <c r="E2168" s="0" t="n">
        <v>0</v>
      </c>
      <c r="F2168" s="27" t="s">
        <v>1193</v>
      </c>
      <c r="I2168" s="27" t="s">
        <v>168</v>
      </c>
      <c r="U2168" s="0" t="n">
        <v>554</v>
      </c>
      <c r="V2168" s="0" t="n">
        <v>6</v>
      </c>
      <c r="W2168" s="27" t="n">
        <f aca="false">MATCH(A2168,DATAS,0)</f>
        <v>1</v>
      </c>
      <c r="X2168" s="27" t="n">
        <f aca="false">IF(AND(E2168&gt;0,OR(AND(B2168&gt;=1,B2168&lt;=6),B2168=10)),1,0)</f>
        <v>0</v>
      </c>
      <c r="Y2168" s="27" t="n">
        <f aca="false">IF(AND(E2168&gt;0,B2168=10),1,0)</f>
        <v>0</v>
      </c>
      <c r="Z2168" s="0" t="str">
        <f aca="false">IF(AND(C2167=C2168,W2167=W2168-1),X2167,"")</f>
        <v/>
      </c>
      <c r="AA2168" s="0" t="str">
        <f aca="false">IF(AND(C2167=C2168,W2167=W2168-1),Y2167,"")</f>
        <v/>
      </c>
      <c r="AB2168" s="0" t="str">
        <f aca="false">IF(W2168=1,"",IF(AND(X2168=1,Z2168&lt;&gt;1),1,0))</f>
        <v/>
      </c>
      <c r="AC2168" s="0" t="str">
        <f aca="false">IF(W2168=1,"",IF(AND(Y2168=1,AA2168&lt;&gt;1),1,0))</f>
        <v/>
      </c>
      <c r="AD2168" s="33" t="str">
        <f aca="false">IF(AND(E2168&gt;0,W2168&lt;1,NOT(AND(C2169=C2168,W2169=W2168+1))),INDEX(DATAS,W2168+1),"")</f>
        <v/>
      </c>
      <c r="AE2168" s="33" t="str">
        <f aca="false">IF(AND(Y2168=1,W2168&lt;1),IF(AND(C2169=C2168,W2169=W2168+1),IF(Y2169=1,"",INDEX(DATAS,W2168+1)),INDEX(DATAS,W2168+1)),"")</f>
        <v/>
      </c>
    </row>
    <row r="2169" customFormat="false" ht="15" hidden="false" customHeight="false" outlineLevel="0" collapsed="false">
      <c r="A2169" s="33" t="n">
        <v>46309</v>
      </c>
      <c r="B2169" s="0" t="n">
        <v>8</v>
      </c>
      <c r="C2169" s="0" t="n">
        <v>6453</v>
      </c>
      <c r="E2169" s="0" t="n">
        <v>0</v>
      </c>
      <c r="F2169" s="27" t="s">
        <v>1194</v>
      </c>
      <c r="I2169" s="27" t="s">
        <v>138</v>
      </c>
      <c r="L2169" s="0" t="n">
        <v>150</v>
      </c>
      <c r="U2169" s="0" t="n">
        <v>553</v>
      </c>
      <c r="V2169" s="0" t="n">
        <v>1</v>
      </c>
      <c r="W2169" s="27" t="n">
        <f aca="false">MATCH(A2169,DATAS,0)</f>
        <v>1</v>
      </c>
      <c r="X2169" s="27" t="n">
        <f aca="false">IF(AND(E2169&gt;0,OR(AND(B2169&gt;=1,B2169&lt;=6),B2169=10)),1,0)</f>
        <v>0</v>
      </c>
      <c r="Y2169" s="27" t="n">
        <f aca="false">IF(AND(E2169&gt;0,B2169=10),1,0)</f>
        <v>0</v>
      </c>
      <c r="Z2169" s="0" t="str">
        <f aca="false">IF(AND(C2168=C2169,W2168=W2169-1),X2168,"")</f>
        <v/>
      </c>
      <c r="AA2169" s="0" t="str">
        <f aca="false">IF(AND(C2168=C2169,W2168=W2169-1),Y2168,"")</f>
        <v/>
      </c>
      <c r="AB2169" s="0" t="str">
        <f aca="false">IF(W2169=1,"",IF(AND(X2169=1,Z2169&lt;&gt;1),1,0))</f>
        <v/>
      </c>
      <c r="AC2169" s="0" t="str">
        <f aca="false">IF(W2169=1,"",IF(AND(Y2169=1,AA2169&lt;&gt;1),1,0))</f>
        <v/>
      </c>
      <c r="AD2169" s="33" t="str">
        <f aca="false">IF(AND(E2169&gt;0,W2169&lt;1,NOT(AND(C2170=C2169,W2170=W2169+1))),INDEX(DATAS,W2169+1),"")</f>
        <v/>
      </c>
      <c r="AE2169" s="33" t="str">
        <f aca="false">IF(AND(Y2169=1,W2169&lt;1),IF(AND(C2170=C2169,W2170=W2169+1),IF(Y2170=1,"",INDEX(DATAS,W2169+1)),INDEX(DATAS,W2169+1)),"")</f>
        <v/>
      </c>
    </row>
    <row r="2170" customFormat="false" ht="15" hidden="false" customHeight="false" outlineLevel="0" collapsed="false">
      <c r="A2170" s="33" t="n">
        <v>46309</v>
      </c>
      <c r="B2170" s="0" t="n">
        <v>8</v>
      </c>
      <c r="C2170" s="0" t="n">
        <v>6454</v>
      </c>
      <c r="E2170" s="0" t="n">
        <v>0</v>
      </c>
      <c r="F2170" s="27" t="s">
        <v>1194</v>
      </c>
      <c r="I2170" s="27" t="s">
        <v>138</v>
      </c>
      <c r="L2170" s="0" t="n">
        <v>150</v>
      </c>
      <c r="U2170" s="0" t="n">
        <v>553</v>
      </c>
      <c r="V2170" s="0" t="n">
        <v>1</v>
      </c>
      <c r="W2170" s="27" t="n">
        <f aca="false">MATCH(A2170,DATAS,0)</f>
        <v>1</v>
      </c>
      <c r="X2170" s="27" t="n">
        <f aca="false">IF(AND(E2170&gt;0,OR(AND(B2170&gt;=1,B2170&lt;=6),B2170=10)),1,0)</f>
        <v>0</v>
      </c>
      <c r="Y2170" s="27" t="n">
        <f aca="false">IF(AND(E2170&gt;0,B2170=10),1,0)</f>
        <v>0</v>
      </c>
      <c r="Z2170" s="0" t="str">
        <f aca="false">IF(AND(C2169=C2170,W2169=W2170-1),X2169,"")</f>
        <v/>
      </c>
      <c r="AA2170" s="0" t="str">
        <f aca="false">IF(AND(C2169=C2170,W2169=W2170-1),Y2169,"")</f>
        <v/>
      </c>
      <c r="AB2170" s="0" t="str">
        <f aca="false">IF(W2170=1,"",IF(AND(X2170=1,Z2170&lt;&gt;1),1,0))</f>
        <v/>
      </c>
      <c r="AC2170" s="0" t="str">
        <f aca="false">IF(W2170=1,"",IF(AND(Y2170=1,AA2170&lt;&gt;1),1,0))</f>
        <v/>
      </c>
      <c r="AD2170" s="33" t="str">
        <f aca="false">IF(AND(E2170&gt;0,W2170&lt;1,NOT(AND(C2171=C2170,W2171=W2170+1))),INDEX(DATAS,W2170+1),"")</f>
        <v/>
      </c>
      <c r="AE2170" s="33" t="str">
        <f aca="false">IF(AND(Y2170=1,W2170&lt;1),IF(AND(C2171=C2170,W2171=W2170+1),IF(Y2171=1,"",INDEX(DATAS,W2170+1)),INDEX(DATAS,W2170+1)),"")</f>
        <v/>
      </c>
    </row>
    <row r="2171" customFormat="false" ht="15" hidden="false" customHeight="false" outlineLevel="0" collapsed="false">
      <c r="A2171" s="33" t="n">
        <v>46309</v>
      </c>
      <c r="B2171" s="0" t="n">
        <v>8</v>
      </c>
      <c r="C2171" s="0" t="n">
        <v>6455</v>
      </c>
      <c r="E2171" s="0" t="n">
        <v>0</v>
      </c>
      <c r="F2171" s="27" t="s">
        <v>1194</v>
      </c>
      <c r="I2171" s="27" t="s">
        <v>138</v>
      </c>
      <c r="L2171" s="0" t="n">
        <v>150</v>
      </c>
      <c r="U2171" s="0" t="n">
        <v>553</v>
      </c>
      <c r="V2171" s="0" t="n">
        <v>1</v>
      </c>
      <c r="W2171" s="27" t="n">
        <f aca="false">MATCH(A2171,DATAS,0)</f>
        <v>1</v>
      </c>
      <c r="X2171" s="27" t="n">
        <f aca="false">IF(AND(E2171&gt;0,OR(AND(B2171&gt;=1,B2171&lt;=6),B2171=10)),1,0)</f>
        <v>0</v>
      </c>
      <c r="Y2171" s="27" t="n">
        <f aca="false">IF(AND(E2171&gt;0,B2171=10),1,0)</f>
        <v>0</v>
      </c>
      <c r="Z2171" s="0" t="str">
        <f aca="false">IF(AND(C2170=C2171,W2170=W2171-1),X2170,"")</f>
        <v/>
      </c>
      <c r="AA2171" s="0" t="str">
        <f aca="false">IF(AND(C2170=C2171,W2170=W2171-1),Y2170,"")</f>
        <v/>
      </c>
      <c r="AB2171" s="0" t="str">
        <f aca="false">IF(W2171=1,"",IF(AND(X2171=1,Z2171&lt;&gt;1),1,0))</f>
        <v/>
      </c>
      <c r="AC2171" s="0" t="str">
        <f aca="false">IF(W2171=1,"",IF(AND(Y2171=1,AA2171&lt;&gt;1),1,0))</f>
        <v/>
      </c>
      <c r="AD2171" s="33" t="str">
        <f aca="false">IF(AND(E2171&gt;0,W2171&lt;1,NOT(AND(C2172=C2171,W2172=W2171+1))),INDEX(DATAS,W2171+1),"")</f>
        <v/>
      </c>
      <c r="AE2171" s="33" t="str">
        <f aca="false">IF(AND(Y2171=1,W2171&lt;1),IF(AND(C2172=C2171,W2172=W2171+1),IF(Y2172=1,"",INDEX(DATAS,W2171+1)),INDEX(DATAS,W2171+1)),"")</f>
        <v/>
      </c>
    </row>
    <row r="2172" customFormat="false" ht="15" hidden="false" customHeight="false" outlineLevel="0" collapsed="false">
      <c r="A2172" s="33" t="n">
        <v>46309</v>
      </c>
      <c r="B2172" s="0" t="n">
        <v>8</v>
      </c>
      <c r="C2172" s="0" t="n">
        <v>6456</v>
      </c>
      <c r="E2172" s="0" t="n">
        <v>0</v>
      </c>
      <c r="F2172" s="27" t="s">
        <v>1194</v>
      </c>
      <c r="I2172" s="27" t="s">
        <v>138</v>
      </c>
      <c r="L2172" s="0" t="n">
        <v>150</v>
      </c>
      <c r="U2172" s="0" t="n">
        <v>553</v>
      </c>
      <c r="V2172" s="0" t="n">
        <v>1</v>
      </c>
      <c r="W2172" s="27" t="n">
        <f aca="false">MATCH(A2172,DATAS,0)</f>
        <v>1</v>
      </c>
      <c r="X2172" s="27" t="n">
        <f aca="false">IF(AND(E2172&gt;0,OR(AND(B2172&gt;=1,B2172&lt;=6),B2172=10)),1,0)</f>
        <v>0</v>
      </c>
      <c r="Y2172" s="27" t="n">
        <f aca="false">IF(AND(E2172&gt;0,B2172=10),1,0)</f>
        <v>0</v>
      </c>
      <c r="Z2172" s="0" t="str">
        <f aca="false">IF(AND(C2171=C2172,W2171=W2172-1),X2171,"")</f>
        <v/>
      </c>
      <c r="AA2172" s="0" t="str">
        <f aca="false">IF(AND(C2171=C2172,W2171=W2172-1),Y2171,"")</f>
        <v/>
      </c>
      <c r="AB2172" s="0" t="str">
        <f aca="false">IF(W2172=1,"",IF(AND(X2172=1,Z2172&lt;&gt;1),1,0))</f>
        <v/>
      </c>
      <c r="AC2172" s="0" t="str">
        <f aca="false">IF(W2172=1,"",IF(AND(Y2172=1,AA2172&lt;&gt;1),1,0))</f>
        <v/>
      </c>
      <c r="AD2172" s="33" t="str">
        <f aca="false">IF(AND(E2172&gt;0,W2172&lt;1,NOT(AND(C2173=C2172,W2173=W2172+1))),INDEX(DATAS,W2172+1),"")</f>
        <v/>
      </c>
      <c r="AE2172" s="33" t="str">
        <f aca="false">IF(AND(Y2172=1,W2172&lt;1),IF(AND(C2173=C2172,W2173=W2172+1),IF(Y2173=1,"",INDEX(DATAS,W2172+1)),INDEX(DATAS,W2172+1)),"")</f>
        <v/>
      </c>
    </row>
    <row r="2173" customFormat="false" ht="15" hidden="false" customHeight="false" outlineLevel="0" collapsed="false">
      <c r="A2173" s="33" t="n">
        <v>46309</v>
      </c>
      <c r="B2173" s="0" t="n">
        <v>8</v>
      </c>
      <c r="C2173" s="0" t="n">
        <v>6457</v>
      </c>
      <c r="E2173" s="0" t="n">
        <v>0</v>
      </c>
      <c r="F2173" s="27" t="s">
        <v>1194</v>
      </c>
      <c r="I2173" s="27" t="s">
        <v>138</v>
      </c>
      <c r="L2173" s="0" t="n">
        <v>134</v>
      </c>
      <c r="U2173" s="0" t="n">
        <v>553</v>
      </c>
      <c r="V2173" s="0" t="n">
        <v>2</v>
      </c>
      <c r="W2173" s="27" t="n">
        <f aca="false">MATCH(A2173,DATAS,0)</f>
        <v>1</v>
      </c>
      <c r="X2173" s="27" t="n">
        <f aca="false">IF(AND(E2173&gt;0,OR(AND(B2173&gt;=1,B2173&lt;=6),B2173=10)),1,0)</f>
        <v>0</v>
      </c>
      <c r="Y2173" s="27" t="n">
        <f aca="false">IF(AND(E2173&gt;0,B2173=10),1,0)</f>
        <v>0</v>
      </c>
      <c r="Z2173" s="0" t="str">
        <f aca="false">IF(AND(C2172=C2173,W2172=W2173-1),X2172,"")</f>
        <v/>
      </c>
      <c r="AA2173" s="0" t="str">
        <f aca="false">IF(AND(C2172=C2173,W2172=W2173-1),Y2172,"")</f>
        <v/>
      </c>
      <c r="AB2173" s="0" t="str">
        <f aca="false">IF(W2173=1,"",IF(AND(X2173=1,Z2173&lt;&gt;1),1,0))</f>
        <v/>
      </c>
      <c r="AC2173" s="0" t="str">
        <f aca="false">IF(W2173=1,"",IF(AND(Y2173=1,AA2173&lt;&gt;1),1,0))</f>
        <v/>
      </c>
      <c r="AD2173" s="33" t="str">
        <f aca="false">IF(AND(E2173&gt;0,W2173&lt;1,NOT(AND(C2174=C2173,W2174=W2173+1))),INDEX(DATAS,W2173+1),"")</f>
        <v/>
      </c>
      <c r="AE2173" s="33" t="str">
        <f aca="false">IF(AND(Y2173=1,W2173&lt;1),IF(AND(C2174=C2173,W2174=W2173+1),IF(Y2174=1,"",INDEX(DATAS,W2173+1)),INDEX(DATAS,W2173+1)),"")</f>
        <v/>
      </c>
    </row>
    <row r="2174" customFormat="false" ht="15" hidden="false" customHeight="false" outlineLevel="0" collapsed="false">
      <c r="A2174" s="33" t="n">
        <v>46309</v>
      </c>
      <c r="B2174" s="0" t="n">
        <v>8</v>
      </c>
      <c r="C2174" s="0" t="n">
        <v>6458</v>
      </c>
      <c r="E2174" s="0" t="n">
        <v>0</v>
      </c>
      <c r="F2174" s="27" t="s">
        <v>1194</v>
      </c>
      <c r="I2174" s="27" t="s">
        <v>138</v>
      </c>
      <c r="L2174" s="0" t="n">
        <v>141</v>
      </c>
      <c r="U2174" s="0" t="n">
        <v>553</v>
      </c>
      <c r="V2174" s="0" t="n">
        <v>2</v>
      </c>
      <c r="W2174" s="27" t="n">
        <f aca="false">MATCH(A2174,DATAS,0)</f>
        <v>1</v>
      </c>
      <c r="X2174" s="27" t="n">
        <f aca="false">IF(AND(E2174&gt;0,OR(AND(B2174&gt;=1,B2174&lt;=6),B2174=10)),1,0)</f>
        <v>0</v>
      </c>
      <c r="Y2174" s="27" t="n">
        <f aca="false">IF(AND(E2174&gt;0,B2174=10),1,0)</f>
        <v>0</v>
      </c>
      <c r="Z2174" s="0" t="str">
        <f aca="false">IF(AND(C2173=C2174,W2173=W2174-1),X2173,"")</f>
        <v/>
      </c>
      <c r="AA2174" s="0" t="str">
        <f aca="false">IF(AND(C2173=C2174,W2173=W2174-1),Y2173,"")</f>
        <v/>
      </c>
      <c r="AB2174" s="0" t="str">
        <f aca="false">IF(W2174=1,"",IF(AND(X2174=1,Z2174&lt;&gt;1),1,0))</f>
        <v/>
      </c>
      <c r="AC2174" s="0" t="str">
        <f aca="false">IF(W2174=1,"",IF(AND(Y2174=1,AA2174&lt;&gt;1),1,0))</f>
        <v/>
      </c>
      <c r="AD2174" s="33" t="str">
        <f aca="false">IF(AND(E2174&gt;0,W2174&lt;1,NOT(AND(C2175=C2174,W2175=W2174+1))),INDEX(DATAS,W2174+1),"")</f>
        <v/>
      </c>
      <c r="AE2174" s="33" t="str">
        <f aca="false">IF(AND(Y2174=1,W2174&lt;1),IF(AND(C2175=C2174,W2175=W2174+1),IF(Y2175=1,"",INDEX(DATAS,W2174+1)),INDEX(DATAS,W2174+1)),"")</f>
        <v/>
      </c>
    </row>
    <row r="2175" customFormat="false" ht="15" hidden="false" customHeight="false" outlineLevel="0" collapsed="false">
      <c r="A2175" s="33" t="n">
        <v>46309</v>
      </c>
      <c r="B2175" s="0" t="n">
        <v>8</v>
      </c>
      <c r="C2175" s="0" t="n">
        <v>6459</v>
      </c>
      <c r="E2175" s="0" t="n">
        <v>0</v>
      </c>
      <c r="F2175" s="27" t="s">
        <v>1194</v>
      </c>
      <c r="I2175" s="27" t="s">
        <v>138</v>
      </c>
      <c r="L2175" s="0" t="n">
        <v>84</v>
      </c>
      <c r="U2175" s="0" t="n">
        <v>553</v>
      </c>
      <c r="V2175" s="0" t="n">
        <v>3</v>
      </c>
      <c r="W2175" s="27" t="n">
        <f aca="false">MATCH(A2175,DATAS,0)</f>
        <v>1</v>
      </c>
      <c r="X2175" s="27" t="n">
        <f aca="false">IF(AND(E2175&gt;0,OR(AND(B2175&gt;=1,B2175&lt;=6),B2175=10)),1,0)</f>
        <v>0</v>
      </c>
      <c r="Y2175" s="27" t="n">
        <f aca="false">IF(AND(E2175&gt;0,B2175=10),1,0)</f>
        <v>0</v>
      </c>
      <c r="Z2175" s="0" t="str">
        <f aca="false">IF(AND(C2174=C2175,W2174=W2175-1),X2174,"")</f>
        <v/>
      </c>
      <c r="AA2175" s="0" t="str">
        <f aca="false">IF(AND(C2174=C2175,W2174=W2175-1),Y2174,"")</f>
        <v/>
      </c>
      <c r="AB2175" s="0" t="str">
        <f aca="false">IF(W2175=1,"",IF(AND(X2175=1,Z2175&lt;&gt;1),1,0))</f>
        <v/>
      </c>
      <c r="AC2175" s="0" t="str">
        <f aca="false">IF(W2175=1,"",IF(AND(Y2175=1,AA2175&lt;&gt;1),1,0))</f>
        <v/>
      </c>
      <c r="AD2175" s="33" t="str">
        <f aca="false">IF(AND(E2175&gt;0,W2175&lt;1,NOT(AND(C2176=C2175,W2176=W2175+1))),INDEX(DATAS,W2175+1),"")</f>
        <v/>
      </c>
      <c r="AE2175" s="33" t="str">
        <f aca="false">IF(AND(Y2175=1,W2175&lt;1),IF(AND(C2176=C2175,W2176=W2175+1),IF(Y2176=1,"",INDEX(DATAS,W2175+1)),INDEX(DATAS,W2175+1)),"")</f>
        <v/>
      </c>
    </row>
    <row r="2176" customFormat="false" ht="15" hidden="false" customHeight="false" outlineLevel="0" collapsed="false">
      <c r="A2176" s="33" t="n">
        <v>46309</v>
      </c>
      <c r="B2176" s="0" t="n">
        <v>8</v>
      </c>
      <c r="C2176" s="0" t="n">
        <v>6460</v>
      </c>
      <c r="E2176" s="0" t="n">
        <v>0</v>
      </c>
      <c r="F2176" s="27" t="s">
        <v>1195</v>
      </c>
      <c r="I2176" s="27" t="s">
        <v>138</v>
      </c>
      <c r="L2176" s="0" t="n">
        <v>128</v>
      </c>
      <c r="U2176" s="0" t="n">
        <v>552</v>
      </c>
      <c r="V2176" s="0" t="n">
        <v>2</v>
      </c>
      <c r="W2176" s="27" t="n">
        <f aca="false">MATCH(A2176,DATAS,0)</f>
        <v>1</v>
      </c>
      <c r="X2176" s="27" t="n">
        <f aca="false">IF(AND(E2176&gt;0,OR(AND(B2176&gt;=1,B2176&lt;=6),B2176=10)),1,0)</f>
        <v>0</v>
      </c>
      <c r="Y2176" s="27" t="n">
        <f aca="false">IF(AND(E2176&gt;0,B2176=10),1,0)</f>
        <v>0</v>
      </c>
      <c r="Z2176" s="0" t="str">
        <f aca="false">IF(AND(C2175=C2176,W2175=W2176-1),X2175,"")</f>
        <v/>
      </c>
      <c r="AA2176" s="0" t="str">
        <f aca="false">IF(AND(C2175=C2176,W2175=W2176-1),Y2175,"")</f>
        <v/>
      </c>
      <c r="AB2176" s="0" t="str">
        <f aca="false">IF(W2176=1,"",IF(AND(X2176=1,Z2176&lt;&gt;1),1,0))</f>
        <v/>
      </c>
      <c r="AC2176" s="0" t="str">
        <f aca="false">IF(W2176=1,"",IF(AND(Y2176=1,AA2176&lt;&gt;1),1,0))</f>
        <v/>
      </c>
      <c r="AD2176" s="33" t="str">
        <f aca="false">IF(AND(E2176&gt;0,W2176&lt;1,NOT(AND(C2177=C2176,W2177=W2176+1))),INDEX(DATAS,W2176+1),"")</f>
        <v/>
      </c>
      <c r="AE2176" s="33" t="str">
        <f aca="false">IF(AND(Y2176=1,W2176&lt;1),IF(AND(C2177=C2176,W2177=W2176+1),IF(Y2177=1,"",INDEX(DATAS,W2176+1)),INDEX(DATAS,W2176+1)),"")</f>
        <v/>
      </c>
    </row>
    <row r="2177" customFormat="false" ht="15" hidden="false" customHeight="false" outlineLevel="0" collapsed="false">
      <c r="A2177" s="33" t="n">
        <v>46309</v>
      </c>
      <c r="B2177" s="0" t="n">
        <v>8</v>
      </c>
      <c r="C2177" s="0" t="n">
        <v>6461</v>
      </c>
      <c r="E2177" s="0" t="n">
        <v>0</v>
      </c>
      <c r="F2177" s="27" t="s">
        <v>1195</v>
      </c>
      <c r="I2177" s="27" t="s">
        <v>138</v>
      </c>
      <c r="L2177" s="0" t="n">
        <v>154</v>
      </c>
      <c r="U2177" s="0" t="n">
        <v>552</v>
      </c>
      <c r="V2177" s="0" t="n">
        <v>1</v>
      </c>
      <c r="W2177" s="27" t="n">
        <f aca="false">MATCH(A2177,DATAS,0)</f>
        <v>1</v>
      </c>
      <c r="X2177" s="27" t="n">
        <f aca="false">IF(AND(E2177&gt;0,OR(AND(B2177&gt;=1,B2177&lt;=6),B2177=10)),1,0)</f>
        <v>0</v>
      </c>
      <c r="Y2177" s="27" t="n">
        <f aca="false">IF(AND(E2177&gt;0,B2177=10),1,0)</f>
        <v>0</v>
      </c>
      <c r="Z2177" s="0" t="str">
        <f aca="false">IF(AND(C2176=C2177,W2176=W2177-1),X2176,"")</f>
        <v/>
      </c>
      <c r="AA2177" s="0" t="str">
        <f aca="false">IF(AND(C2176=C2177,W2176=W2177-1),Y2176,"")</f>
        <v/>
      </c>
      <c r="AB2177" s="0" t="str">
        <f aca="false">IF(W2177=1,"",IF(AND(X2177=1,Z2177&lt;&gt;1),1,0))</f>
        <v/>
      </c>
      <c r="AC2177" s="0" t="str">
        <f aca="false">IF(W2177=1,"",IF(AND(Y2177=1,AA2177&lt;&gt;1),1,0))</f>
        <v/>
      </c>
      <c r="AD2177" s="33" t="str">
        <f aca="false">IF(AND(E2177&gt;0,W2177&lt;1,NOT(AND(C2178=C2177,W2178=W2177+1))),INDEX(DATAS,W2177+1),"")</f>
        <v/>
      </c>
      <c r="AE2177" s="33" t="str">
        <f aca="false">IF(AND(Y2177=1,W2177&lt;1),IF(AND(C2178=C2177,W2178=W2177+1),IF(Y2178=1,"",INDEX(DATAS,W2177+1)),INDEX(DATAS,W2177+1)),"")</f>
        <v/>
      </c>
    </row>
    <row r="2178" customFormat="false" ht="15" hidden="false" customHeight="false" outlineLevel="0" collapsed="false">
      <c r="A2178" s="33" t="n">
        <v>46309</v>
      </c>
      <c r="B2178" s="0" t="n">
        <v>8</v>
      </c>
      <c r="C2178" s="0" t="n">
        <v>6462</v>
      </c>
      <c r="E2178" s="0" t="n">
        <v>0</v>
      </c>
      <c r="F2178" s="27" t="s">
        <v>1196</v>
      </c>
      <c r="I2178" s="27" t="s">
        <v>138</v>
      </c>
      <c r="L2178" s="0" t="n">
        <v>148</v>
      </c>
      <c r="U2178" s="0" t="n">
        <v>551</v>
      </c>
      <c r="V2178" s="0" t="n">
        <v>1</v>
      </c>
      <c r="W2178" s="27" t="n">
        <f aca="false">MATCH(A2178,DATAS,0)</f>
        <v>1</v>
      </c>
      <c r="X2178" s="27" t="n">
        <f aca="false">IF(AND(E2178&gt;0,OR(AND(B2178&gt;=1,B2178&lt;=6),B2178=10)),1,0)</f>
        <v>0</v>
      </c>
      <c r="Y2178" s="27" t="n">
        <f aca="false">IF(AND(E2178&gt;0,B2178=10),1,0)</f>
        <v>0</v>
      </c>
      <c r="Z2178" s="0" t="str">
        <f aca="false">IF(AND(C2177=C2178,W2177=W2178-1),X2177,"")</f>
        <v/>
      </c>
      <c r="AA2178" s="0" t="str">
        <f aca="false">IF(AND(C2177=C2178,W2177=W2178-1),Y2177,"")</f>
        <v/>
      </c>
      <c r="AB2178" s="0" t="str">
        <f aca="false">IF(W2178=1,"",IF(AND(X2178=1,Z2178&lt;&gt;1),1,0))</f>
        <v/>
      </c>
      <c r="AC2178" s="0" t="str">
        <f aca="false">IF(W2178=1,"",IF(AND(Y2178=1,AA2178&lt;&gt;1),1,0))</f>
        <v/>
      </c>
      <c r="AD2178" s="33" t="str">
        <f aca="false">IF(AND(E2178&gt;0,W2178&lt;1,NOT(AND(C2179=C2178,W2179=W2178+1))),INDEX(DATAS,W2178+1),"")</f>
        <v/>
      </c>
      <c r="AE2178" s="33" t="str">
        <f aca="false">IF(AND(Y2178=1,W2178&lt;1),IF(AND(C2179=C2178,W2179=W2178+1),IF(Y2179=1,"",INDEX(DATAS,W2178+1)),INDEX(DATAS,W2178+1)),"")</f>
        <v/>
      </c>
    </row>
    <row r="2179" customFormat="false" ht="15" hidden="false" customHeight="false" outlineLevel="0" collapsed="false">
      <c r="A2179" s="33" t="n">
        <v>46309</v>
      </c>
      <c r="B2179" s="0" t="n">
        <v>8</v>
      </c>
      <c r="C2179" s="0" t="n">
        <v>6463</v>
      </c>
      <c r="E2179" s="0" t="n">
        <v>0</v>
      </c>
      <c r="F2179" s="27" t="s">
        <v>1196</v>
      </c>
      <c r="I2179" s="27" t="s">
        <v>138</v>
      </c>
      <c r="L2179" s="0" t="n">
        <v>62</v>
      </c>
      <c r="U2179" s="0" t="n">
        <v>551</v>
      </c>
      <c r="V2179" s="0" t="n">
        <v>4</v>
      </c>
      <c r="W2179" s="27" t="n">
        <f aca="false">MATCH(A2179,DATAS,0)</f>
        <v>1</v>
      </c>
      <c r="X2179" s="27" t="n">
        <f aca="false">IF(AND(E2179&gt;0,OR(AND(B2179&gt;=1,B2179&lt;=6),B2179=10)),1,0)</f>
        <v>0</v>
      </c>
      <c r="Y2179" s="27" t="n">
        <f aca="false">IF(AND(E2179&gt;0,B2179=10),1,0)</f>
        <v>0</v>
      </c>
      <c r="Z2179" s="0" t="str">
        <f aca="false">IF(AND(C2178=C2179,W2178=W2179-1),X2178,"")</f>
        <v/>
      </c>
      <c r="AA2179" s="0" t="str">
        <f aca="false">IF(AND(C2178=C2179,W2178=W2179-1),Y2178,"")</f>
        <v/>
      </c>
      <c r="AB2179" s="0" t="str">
        <f aca="false">IF(W2179=1,"",IF(AND(X2179=1,Z2179&lt;&gt;1),1,0))</f>
        <v/>
      </c>
      <c r="AC2179" s="0" t="str">
        <f aca="false">IF(W2179=1,"",IF(AND(Y2179=1,AA2179&lt;&gt;1),1,0))</f>
        <v/>
      </c>
      <c r="AD2179" s="33" t="str">
        <f aca="false">IF(AND(E2179&gt;0,W2179&lt;1,NOT(AND(C2180=C2179,W2180=W2179+1))),INDEX(DATAS,W2179+1),"")</f>
        <v/>
      </c>
      <c r="AE2179" s="33" t="str">
        <f aca="false">IF(AND(Y2179=1,W2179&lt;1),IF(AND(C2180=C2179,W2180=W2179+1),IF(Y2180=1,"",INDEX(DATAS,W2179+1)),INDEX(DATAS,W2179+1)),"")</f>
        <v/>
      </c>
    </row>
    <row r="2180" customFormat="false" ht="15" hidden="false" customHeight="false" outlineLevel="0" collapsed="false">
      <c r="A2180" s="33" t="n">
        <v>46309</v>
      </c>
      <c r="B2180" s="0" t="n">
        <v>8</v>
      </c>
      <c r="C2180" s="0" t="n">
        <v>6464</v>
      </c>
      <c r="E2180" s="0" t="n">
        <v>0</v>
      </c>
      <c r="F2180" s="27" t="s">
        <v>1197</v>
      </c>
      <c r="I2180" s="27" t="s">
        <v>138</v>
      </c>
      <c r="L2180" s="0" t="n">
        <v>93</v>
      </c>
      <c r="U2180" s="0" t="n">
        <v>550</v>
      </c>
      <c r="V2180" s="0" t="n">
        <v>4</v>
      </c>
      <c r="W2180" s="27" t="n">
        <f aca="false">MATCH(A2180,DATAS,0)</f>
        <v>1</v>
      </c>
      <c r="X2180" s="27" t="n">
        <f aca="false">IF(AND(E2180&gt;0,OR(AND(B2180&gt;=1,B2180&lt;=6),B2180=10)),1,0)</f>
        <v>0</v>
      </c>
      <c r="Y2180" s="27" t="n">
        <f aca="false">IF(AND(E2180&gt;0,B2180=10),1,0)</f>
        <v>0</v>
      </c>
      <c r="Z2180" s="0" t="str">
        <f aca="false">IF(AND(C2179=C2180,W2179=W2180-1),X2179,"")</f>
        <v/>
      </c>
      <c r="AA2180" s="0" t="str">
        <f aca="false">IF(AND(C2179=C2180,W2179=W2180-1),Y2179,"")</f>
        <v/>
      </c>
      <c r="AB2180" s="0" t="str">
        <f aca="false">IF(W2180=1,"",IF(AND(X2180=1,Z2180&lt;&gt;1),1,0))</f>
        <v/>
      </c>
      <c r="AC2180" s="0" t="str">
        <f aca="false">IF(W2180=1,"",IF(AND(Y2180=1,AA2180&lt;&gt;1),1,0))</f>
        <v/>
      </c>
      <c r="AD2180" s="33" t="str">
        <f aca="false">IF(AND(E2180&gt;0,W2180&lt;1,NOT(AND(C2181=C2180,W2181=W2180+1))),INDEX(DATAS,W2180+1),"")</f>
        <v/>
      </c>
      <c r="AE2180" s="33" t="str">
        <f aca="false">IF(AND(Y2180=1,W2180&lt;1),IF(AND(C2181=C2180,W2181=W2180+1),IF(Y2181=1,"",INDEX(DATAS,W2180+1)),INDEX(DATAS,W2180+1)),"")</f>
        <v/>
      </c>
    </row>
    <row r="2181" customFormat="false" ht="15" hidden="false" customHeight="false" outlineLevel="0" collapsed="false">
      <c r="A2181" s="33" t="n">
        <v>46309</v>
      </c>
      <c r="B2181" s="0" t="n">
        <v>8</v>
      </c>
      <c r="C2181" s="0" t="n">
        <v>6465</v>
      </c>
      <c r="E2181" s="0" t="n">
        <v>0</v>
      </c>
      <c r="F2181" s="27" t="s">
        <v>1197</v>
      </c>
      <c r="I2181" s="27" t="s">
        <v>138</v>
      </c>
      <c r="L2181" s="0" t="n">
        <v>126</v>
      </c>
      <c r="U2181" s="0" t="n">
        <v>550</v>
      </c>
      <c r="V2181" s="0" t="n">
        <v>2</v>
      </c>
      <c r="W2181" s="27" t="n">
        <f aca="false">MATCH(A2181,DATAS,0)</f>
        <v>1</v>
      </c>
      <c r="X2181" s="27" t="n">
        <f aca="false">IF(AND(E2181&gt;0,OR(AND(B2181&gt;=1,B2181&lt;=6),B2181=10)),1,0)</f>
        <v>0</v>
      </c>
      <c r="Y2181" s="27" t="n">
        <f aca="false">IF(AND(E2181&gt;0,B2181=10),1,0)</f>
        <v>0</v>
      </c>
      <c r="Z2181" s="0" t="str">
        <f aca="false">IF(AND(C2180=C2181,W2180=W2181-1),X2180,"")</f>
        <v/>
      </c>
      <c r="AA2181" s="0" t="str">
        <f aca="false">IF(AND(C2180=C2181,W2180=W2181-1),Y2180,"")</f>
        <v/>
      </c>
      <c r="AB2181" s="0" t="str">
        <f aca="false">IF(W2181=1,"",IF(AND(X2181=1,Z2181&lt;&gt;1),1,0))</f>
        <v/>
      </c>
      <c r="AC2181" s="0" t="str">
        <f aca="false">IF(W2181=1,"",IF(AND(Y2181=1,AA2181&lt;&gt;1),1,0))</f>
        <v/>
      </c>
      <c r="AD2181" s="33" t="str">
        <f aca="false">IF(AND(E2181&gt;0,W2181&lt;1,NOT(AND(C2182=C2181,W2182=W2181+1))),INDEX(DATAS,W2181+1),"")</f>
        <v/>
      </c>
      <c r="AE2181" s="33" t="str">
        <f aca="false">IF(AND(Y2181=1,W2181&lt;1),IF(AND(C2182=C2181,W2182=W2181+1),IF(Y2182=1,"",INDEX(DATAS,W2181+1)),INDEX(DATAS,W2181+1)),"")</f>
        <v/>
      </c>
    </row>
    <row r="2182" customFormat="false" ht="15" hidden="false" customHeight="false" outlineLevel="0" collapsed="false">
      <c r="A2182" s="33" t="n">
        <v>46309</v>
      </c>
      <c r="B2182" s="0" t="n">
        <v>8</v>
      </c>
      <c r="C2182" s="0" t="n">
        <v>6466</v>
      </c>
      <c r="E2182" s="0" t="n">
        <v>0</v>
      </c>
      <c r="F2182" s="27" t="s">
        <v>1197</v>
      </c>
      <c r="I2182" s="27" t="s">
        <v>138</v>
      </c>
      <c r="L2182" s="0" t="n">
        <v>142</v>
      </c>
      <c r="U2182" s="0" t="n">
        <v>550</v>
      </c>
      <c r="V2182" s="0" t="n">
        <v>1</v>
      </c>
      <c r="W2182" s="27" t="n">
        <f aca="false">MATCH(A2182,DATAS,0)</f>
        <v>1</v>
      </c>
      <c r="X2182" s="27" t="n">
        <f aca="false">IF(AND(E2182&gt;0,OR(AND(B2182&gt;=1,B2182&lt;=6),B2182=10)),1,0)</f>
        <v>0</v>
      </c>
      <c r="Y2182" s="27" t="n">
        <f aca="false">IF(AND(E2182&gt;0,B2182=10),1,0)</f>
        <v>0</v>
      </c>
      <c r="Z2182" s="0" t="str">
        <f aca="false">IF(AND(C2181=C2182,W2181=W2182-1),X2181,"")</f>
        <v/>
      </c>
      <c r="AA2182" s="0" t="str">
        <f aca="false">IF(AND(C2181=C2182,W2181=W2182-1),Y2181,"")</f>
        <v/>
      </c>
      <c r="AB2182" s="0" t="str">
        <f aca="false">IF(W2182=1,"",IF(AND(X2182=1,Z2182&lt;&gt;1),1,0))</f>
        <v/>
      </c>
      <c r="AC2182" s="0" t="str">
        <f aca="false">IF(W2182=1,"",IF(AND(Y2182=1,AA2182&lt;&gt;1),1,0))</f>
        <v/>
      </c>
      <c r="AD2182" s="33" t="str">
        <f aca="false">IF(AND(E2182&gt;0,W2182&lt;1,NOT(AND(C2183=C2182,W2183=W2182+1))),INDEX(DATAS,W2182+1),"")</f>
        <v/>
      </c>
      <c r="AE2182" s="33" t="str">
        <f aca="false">IF(AND(Y2182=1,W2182&lt;1),IF(AND(C2183=C2182,W2183=W2182+1),IF(Y2183=1,"",INDEX(DATAS,W2182+1)),INDEX(DATAS,W2182+1)),"")</f>
        <v/>
      </c>
    </row>
    <row r="2183" customFormat="false" ht="15" hidden="false" customHeight="false" outlineLevel="0" collapsed="false">
      <c r="A2183" s="33" t="n">
        <v>46309</v>
      </c>
      <c r="B2183" s="0" t="n">
        <v>8</v>
      </c>
      <c r="C2183" s="0" t="n">
        <v>6467</v>
      </c>
      <c r="E2183" s="0" t="n">
        <v>0</v>
      </c>
      <c r="F2183" s="27" t="s">
        <v>1198</v>
      </c>
      <c r="I2183" s="27" t="s">
        <v>138</v>
      </c>
      <c r="L2183" s="0" t="n">
        <v>145</v>
      </c>
      <c r="U2183" s="0" t="n">
        <v>549</v>
      </c>
      <c r="V2183" s="0" t="n">
        <v>1</v>
      </c>
      <c r="W2183" s="27" t="n">
        <f aca="false">MATCH(A2183,DATAS,0)</f>
        <v>1</v>
      </c>
      <c r="X2183" s="27" t="n">
        <f aca="false">IF(AND(E2183&gt;0,OR(AND(B2183&gt;=1,B2183&lt;=6),B2183=10)),1,0)</f>
        <v>0</v>
      </c>
      <c r="Y2183" s="27" t="n">
        <f aca="false">IF(AND(E2183&gt;0,B2183=10),1,0)</f>
        <v>0</v>
      </c>
      <c r="Z2183" s="0" t="str">
        <f aca="false">IF(AND(C2182=C2183,W2182=W2183-1),X2182,"")</f>
        <v/>
      </c>
      <c r="AA2183" s="0" t="str">
        <f aca="false">IF(AND(C2182=C2183,W2182=W2183-1),Y2182,"")</f>
        <v/>
      </c>
      <c r="AB2183" s="0" t="str">
        <f aca="false">IF(W2183=1,"",IF(AND(X2183=1,Z2183&lt;&gt;1),1,0))</f>
        <v/>
      </c>
      <c r="AC2183" s="0" t="str">
        <f aca="false">IF(W2183=1,"",IF(AND(Y2183=1,AA2183&lt;&gt;1),1,0))</f>
        <v/>
      </c>
      <c r="AD2183" s="33" t="str">
        <f aca="false">IF(AND(E2183&gt;0,W2183&lt;1,NOT(AND(C2184=C2183,W2184=W2183+1))),INDEX(DATAS,W2183+1),"")</f>
        <v/>
      </c>
      <c r="AE2183" s="33" t="str">
        <f aca="false">IF(AND(Y2183=1,W2183&lt;1),IF(AND(C2184=C2183,W2184=W2183+1),IF(Y2184=1,"",INDEX(DATAS,W2183+1)),INDEX(DATAS,W2183+1)),"")</f>
        <v/>
      </c>
    </row>
    <row r="2184" customFormat="false" ht="15" hidden="false" customHeight="false" outlineLevel="0" collapsed="false">
      <c r="A2184" s="33" t="n">
        <v>46309</v>
      </c>
      <c r="B2184" s="0" t="n">
        <v>8</v>
      </c>
      <c r="C2184" s="0" t="n">
        <v>6468</v>
      </c>
      <c r="E2184" s="0" t="n">
        <v>0</v>
      </c>
      <c r="F2184" s="27" t="s">
        <v>1199</v>
      </c>
      <c r="I2184" s="27" t="s">
        <v>138</v>
      </c>
      <c r="L2184" s="0" t="n">
        <v>139</v>
      </c>
      <c r="U2184" s="0" t="n">
        <v>547</v>
      </c>
      <c r="V2184" s="0" t="n">
        <v>1</v>
      </c>
      <c r="W2184" s="27" t="n">
        <f aca="false">MATCH(A2184,DATAS,0)</f>
        <v>1</v>
      </c>
      <c r="X2184" s="27" t="n">
        <f aca="false">IF(AND(E2184&gt;0,OR(AND(B2184&gt;=1,B2184&lt;=6),B2184=10)),1,0)</f>
        <v>0</v>
      </c>
      <c r="Y2184" s="27" t="n">
        <f aca="false">IF(AND(E2184&gt;0,B2184=10),1,0)</f>
        <v>0</v>
      </c>
      <c r="Z2184" s="0" t="str">
        <f aca="false">IF(AND(C2183=C2184,W2183=W2184-1),X2183,"")</f>
        <v/>
      </c>
      <c r="AA2184" s="0" t="str">
        <f aca="false">IF(AND(C2183=C2184,W2183=W2184-1),Y2183,"")</f>
        <v/>
      </c>
      <c r="AB2184" s="0" t="str">
        <f aca="false">IF(W2184=1,"",IF(AND(X2184=1,Z2184&lt;&gt;1),1,0))</f>
        <v/>
      </c>
      <c r="AC2184" s="0" t="str">
        <f aca="false">IF(W2184=1,"",IF(AND(Y2184=1,AA2184&lt;&gt;1),1,0))</f>
        <v/>
      </c>
      <c r="AD2184" s="33" t="str">
        <f aca="false">IF(AND(E2184&gt;0,W2184&lt;1,NOT(AND(C2185=C2184,W2185=W2184+1))),INDEX(DATAS,W2184+1),"")</f>
        <v/>
      </c>
      <c r="AE2184" s="33" t="str">
        <f aca="false">IF(AND(Y2184=1,W2184&lt;1),IF(AND(C2185=C2184,W2185=W2184+1),IF(Y2185=1,"",INDEX(DATAS,W2184+1)),INDEX(DATAS,W2184+1)),"")</f>
        <v/>
      </c>
    </row>
    <row r="2185" customFormat="false" ht="15" hidden="false" customHeight="false" outlineLevel="0" collapsed="false">
      <c r="A2185" s="33" t="n">
        <v>46309</v>
      </c>
      <c r="B2185" s="0" t="n">
        <v>8</v>
      </c>
      <c r="C2185" s="0" t="n">
        <v>6469</v>
      </c>
      <c r="E2185" s="0" t="n">
        <v>0</v>
      </c>
      <c r="F2185" s="27" t="s">
        <v>1199</v>
      </c>
      <c r="I2185" s="27" t="s">
        <v>138</v>
      </c>
      <c r="L2185" s="0" t="n">
        <v>147</v>
      </c>
      <c r="U2185" s="0" t="n">
        <v>547</v>
      </c>
      <c r="V2185" s="0" t="n">
        <v>1</v>
      </c>
      <c r="W2185" s="27" t="n">
        <f aca="false">MATCH(A2185,DATAS,0)</f>
        <v>1</v>
      </c>
      <c r="X2185" s="27" t="n">
        <f aca="false">IF(AND(E2185&gt;0,OR(AND(B2185&gt;=1,B2185&lt;=6),B2185=10)),1,0)</f>
        <v>0</v>
      </c>
      <c r="Y2185" s="27" t="n">
        <f aca="false">IF(AND(E2185&gt;0,B2185=10),1,0)</f>
        <v>0</v>
      </c>
      <c r="Z2185" s="0" t="str">
        <f aca="false">IF(AND(C2184=C2185,W2184=W2185-1),X2184,"")</f>
        <v/>
      </c>
      <c r="AA2185" s="0" t="str">
        <f aca="false">IF(AND(C2184=C2185,W2184=W2185-1),Y2184,"")</f>
        <v/>
      </c>
      <c r="AB2185" s="0" t="str">
        <f aca="false">IF(W2185=1,"",IF(AND(X2185=1,Z2185&lt;&gt;1),1,0))</f>
        <v/>
      </c>
      <c r="AC2185" s="0" t="str">
        <f aca="false">IF(W2185=1,"",IF(AND(Y2185=1,AA2185&lt;&gt;1),1,0))</f>
        <v/>
      </c>
      <c r="AD2185" s="33" t="str">
        <f aca="false">IF(AND(E2185&gt;0,W2185&lt;1,NOT(AND(C2186=C2185,W2186=W2185+1))),INDEX(DATAS,W2185+1),"")</f>
        <v/>
      </c>
      <c r="AE2185" s="33" t="str">
        <f aca="false">IF(AND(Y2185=1,W2185&lt;1),IF(AND(C2186=C2185,W2186=W2185+1),IF(Y2186=1,"",INDEX(DATAS,W2185+1)),INDEX(DATAS,W2185+1)),"")</f>
        <v/>
      </c>
    </row>
    <row r="2186" customFormat="false" ht="15" hidden="false" customHeight="false" outlineLevel="0" collapsed="false">
      <c r="A2186" s="33" t="n">
        <v>46309</v>
      </c>
      <c r="B2186" s="0" t="n">
        <v>8</v>
      </c>
      <c r="C2186" s="0" t="n">
        <v>6470</v>
      </c>
      <c r="E2186" s="0" t="n">
        <v>0</v>
      </c>
      <c r="F2186" s="27" t="s">
        <v>1199</v>
      </c>
      <c r="I2186" s="27" t="s">
        <v>138</v>
      </c>
      <c r="L2186" s="0" t="n">
        <v>92</v>
      </c>
      <c r="U2186" s="0" t="n">
        <v>547</v>
      </c>
      <c r="V2186" s="0" t="n">
        <v>3</v>
      </c>
      <c r="W2186" s="27" t="n">
        <f aca="false">MATCH(A2186,DATAS,0)</f>
        <v>1</v>
      </c>
      <c r="X2186" s="27" t="n">
        <f aca="false">IF(AND(E2186&gt;0,OR(AND(B2186&gt;=1,B2186&lt;=6),B2186=10)),1,0)</f>
        <v>0</v>
      </c>
      <c r="Y2186" s="27" t="n">
        <f aca="false">IF(AND(E2186&gt;0,B2186=10),1,0)</f>
        <v>0</v>
      </c>
      <c r="Z2186" s="0" t="str">
        <f aca="false">IF(AND(C2185=C2186,W2185=W2186-1),X2185,"")</f>
        <v/>
      </c>
      <c r="AA2186" s="0" t="str">
        <f aca="false">IF(AND(C2185=C2186,W2185=W2186-1),Y2185,"")</f>
        <v/>
      </c>
      <c r="AB2186" s="0" t="str">
        <f aca="false">IF(W2186=1,"",IF(AND(X2186=1,Z2186&lt;&gt;1),1,0))</f>
        <v/>
      </c>
      <c r="AC2186" s="0" t="str">
        <f aca="false">IF(W2186=1,"",IF(AND(Y2186=1,AA2186&lt;&gt;1),1,0))</f>
        <v/>
      </c>
      <c r="AD2186" s="33" t="str">
        <f aca="false">IF(AND(E2186&gt;0,W2186&lt;1,NOT(AND(C2187=C2186,W2187=W2186+1))),INDEX(DATAS,W2186+1),"")</f>
        <v/>
      </c>
      <c r="AE2186" s="33" t="str">
        <f aca="false">IF(AND(Y2186=1,W2186&lt;1),IF(AND(C2187=C2186,W2187=W2186+1),IF(Y2187=1,"",INDEX(DATAS,W2186+1)),INDEX(DATAS,W2186+1)),"")</f>
        <v/>
      </c>
    </row>
    <row r="2187" customFormat="false" ht="15" hidden="false" customHeight="false" outlineLevel="0" collapsed="false">
      <c r="A2187" s="33" t="n">
        <v>46309</v>
      </c>
      <c r="B2187" s="0" t="n">
        <v>8</v>
      </c>
      <c r="C2187" s="0" t="n">
        <v>6471</v>
      </c>
      <c r="E2187" s="0" t="n">
        <v>0</v>
      </c>
      <c r="F2187" s="27" t="s">
        <v>1199</v>
      </c>
      <c r="I2187" s="27" t="s">
        <v>138</v>
      </c>
      <c r="L2187" s="0" t="n">
        <v>70</v>
      </c>
      <c r="U2187" s="0" t="n">
        <v>547</v>
      </c>
      <c r="V2187" s="0" t="n">
        <v>4</v>
      </c>
      <c r="W2187" s="27" t="n">
        <f aca="false">MATCH(A2187,DATAS,0)</f>
        <v>1</v>
      </c>
      <c r="X2187" s="27" t="n">
        <f aca="false">IF(AND(E2187&gt;0,OR(AND(B2187&gt;=1,B2187&lt;=6),B2187=10)),1,0)</f>
        <v>0</v>
      </c>
      <c r="Y2187" s="27" t="n">
        <f aca="false">IF(AND(E2187&gt;0,B2187=10),1,0)</f>
        <v>0</v>
      </c>
      <c r="Z2187" s="0" t="str">
        <f aca="false">IF(AND(C2186=C2187,W2186=W2187-1),X2186,"")</f>
        <v/>
      </c>
      <c r="AA2187" s="0" t="str">
        <f aca="false">IF(AND(C2186=C2187,W2186=W2187-1),Y2186,"")</f>
        <v/>
      </c>
      <c r="AB2187" s="0" t="str">
        <f aca="false">IF(W2187=1,"",IF(AND(X2187=1,Z2187&lt;&gt;1),1,0))</f>
        <v/>
      </c>
      <c r="AC2187" s="0" t="str">
        <f aca="false">IF(W2187=1,"",IF(AND(Y2187=1,AA2187&lt;&gt;1),1,0))</f>
        <v/>
      </c>
      <c r="AD2187" s="33" t="str">
        <f aca="false">IF(AND(E2187&gt;0,W2187&lt;1,NOT(AND(C2188=C2187,W2188=W2187+1))),INDEX(DATAS,W2187+1),"")</f>
        <v/>
      </c>
      <c r="AE2187" s="33" t="str">
        <f aca="false">IF(AND(Y2187=1,W2187&lt;1),IF(AND(C2188=C2187,W2188=W2187+1),IF(Y2188=1,"",INDEX(DATAS,W2187+1)),INDEX(DATAS,W2187+1)),"")</f>
        <v/>
      </c>
    </row>
    <row r="2188" customFormat="false" ht="15" hidden="false" customHeight="false" outlineLevel="0" collapsed="false">
      <c r="A2188" s="33" t="n">
        <v>46309</v>
      </c>
      <c r="B2188" s="0" t="n">
        <v>8</v>
      </c>
      <c r="C2188" s="0" t="n">
        <v>6472</v>
      </c>
      <c r="E2188" s="0" t="n">
        <v>0</v>
      </c>
      <c r="F2188" s="27" t="s">
        <v>1199</v>
      </c>
      <c r="I2188" s="27" t="s">
        <v>138</v>
      </c>
      <c r="L2188" s="0" t="n">
        <v>149</v>
      </c>
      <c r="U2188" s="0" t="n">
        <v>547</v>
      </c>
      <c r="V2188" s="0" t="n">
        <v>1</v>
      </c>
      <c r="W2188" s="27" t="n">
        <f aca="false">MATCH(A2188,DATAS,0)</f>
        <v>1</v>
      </c>
      <c r="X2188" s="27" t="n">
        <f aca="false">IF(AND(E2188&gt;0,OR(AND(B2188&gt;=1,B2188&lt;=6),B2188=10)),1,0)</f>
        <v>0</v>
      </c>
      <c r="Y2188" s="27" t="n">
        <f aca="false">IF(AND(E2188&gt;0,B2188=10),1,0)</f>
        <v>0</v>
      </c>
      <c r="Z2188" s="0" t="str">
        <f aca="false">IF(AND(C2187=C2188,W2187=W2188-1),X2187,"")</f>
        <v/>
      </c>
      <c r="AA2188" s="0" t="str">
        <f aca="false">IF(AND(C2187=C2188,W2187=W2188-1),Y2187,"")</f>
        <v/>
      </c>
      <c r="AB2188" s="0" t="str">
        <f aca="false">IF(W2188=1,"",IF(AND(X2188=1,Z2188&lt;&gt;1),1,0))</f>
        <v/>
      </c>
      <c r="AC2188" s="0" t="str">
        <f aca="false">IF(W2188=1,"",IF(AND(Y2188=1,AA2188&lt;&gt;1),1,0))</f>
        <v/>
      </c>
      <c r="AD2188" s="33" t="str">
        <f aca="false">IF(AND(E2188&gt;0,W2188&lt;1,NOT(AND(C2189=C2188,W2189=W2188+1))),INDEX(DATAS,W2188+1),"")</f>
        <v/>
      </c>
      <c r="AE2188" s="33" t="str">
        <f aca="false">IF(AND(Y2188=1,W2188&lt;1),IF(AND(C2189=C2188,W2189=W2188+1),IF(Y2189=1,"",INDEX(DATAS,W2188+1)),INDEX(DATAS,W2188+1)),"")</f>
        <v/>
      </c>
    </row>
    <row r="2189" customFormat="false" ht="15" hidden="false" customHeight="false" outlineLevel="0" collapsed="false">
      <c r="A2189" s="33" t="n">
        <v>46309</v>
      </c>
      <c r="B2189" s="0" t="n">
        <v>8</v>
      </c>
      <c r="C2189" s="0" t="n">
        <v>6473</v>
      </c>
      <c r="E2189" s="0" t="n">
        <v>0</v>
      </c>
      <c r="F2189" s="27" t="s">
        <v>1200</v>
      </c>
      <c r="I2189" s="27" t="s">
        <v>138</v>
      </c>
      <c r="L2189" s="0" t="n">
        <v>153</v>
      </c>
      <c r="U2189" s="0" t="n">
        <v>545</v>
      </c>
      <c r="V2189" s="0" t="n">
        <v>1</v>
      </c>
      <c r="W2189" s="27" t="n">
        <f aca="false">MATCH(A2189,DATAS,0)</f>
        <v>1</v>
      </c>
      <c r="X2189" s="27" t="n">
        <f aca="false">IF(AND(E2189&gt;0,OR(AND(B2189&gt;=1,B2189&lt;=6),B2189=10)),1,0)</f>
        <v>0</v>
      </c>
      <c r="Y2189" s="27" t="n">
        <f aca="false">IF(AND(E2189&gt;0,B2189=10),1,0)</f>
        <v>0</v>
      </c>
      <c r="Z2189" s="0" t="str">
        <f aca="false">IF(AND(C2188=C2189,W2188=W2189-1),X2188,"")</f>
        <v/>
      </c>
      <c r="AA2189" s="0" t="str">
        <f aca="false">IF(AND(C2188=C2189,W2188=W2189-1),Y2188,"")</f>
        <v/>
      </c>
      <c r="AB2189" s="0" t="str">
        <f aca="false">IF(W2189=1,"",IF(AND(X2189=1,Z2189&lt;&gt;1),1,0))</f>
        <v/>
      </c>
      <c r="AC2189" s="0" t="str">
        <f aca="false">IF(W2189=1,"",IF(AND(Y2189=1,AA2189&lt;&gt;1),1,0))</f>
        <v/>
      </c>
      <c r="AD2189" s="33" t="str">
        <f aca="false">IF(AND(E2189&gt;0,W2189&lt;1,NOT(AND(C2190=C2189,W2190=W2189+1))),INDEX(DATAS,W2189+1),"")</f>
        <v/>
      </c>
      <c r="AE2189" s="33" t="str">
        <f aca="false">IF(AND(Y2189=1,W2189&lt;1),IF(AND(C2190=C2189,W2190=W2189+1),IF(Y2190=1,"",INDEX(DATAS,W2189+1)),INDEX(DATAS,W2189+1)),"")</f>
        <v/>
      </c>
    </row>
    <row r="2190" customFormat="false" ht="15" hidden="false" customHeight="false" outlineLevel="0" collapsed="false">
      <c r="A2190" s="33" t="n">
        <v>46309</v>
      </c>
      <c r="B2190" s="0" t="n">
        <v>8</v>
      </c>
      <c r="C2190" s="0" t="n">
        <v>6474</v>
      </c>
      <c r="E2190" s="0" t="n">
        <v>0</v>
      </c>
      <c r="F2190" s="27" t="s">
        <v>1200</v>
      </c>
      <c r="I2190" s="27" t="s">
        <v>138</v>
      </c>
      <c r="L2190" s="0" t="n">
        <v>140</v>
      </c>
      <c r="U2190" s="0" t="n">
        <v>545</v>
      </c>
      <c r="V2190" s="0" t="n">
        <v>1</v>
      </c>
      <c r="W2190" s="27" t="n">
        <f aca="false">MATCH(A2190,DATAS,0)</f>
        <v>1</v>
      </c>
      <c r="X2190" s="27" t="n">
        <f aca="false">IF(AND(E2190&gt;0,OR(AND(B2190&gt;=1,B2190&lt;=6),B2190=10)),1,0)</f>
        <v>0</v>
      </c>
      <c r="Y2190" s="27" t="n">
        <f aca="false">IF(AND(E2190&gt;0,B2190=10),1,0)</f>
        <v>0</v>
      </c>
      <c r="Z2190" s="0" t="str">
        <f aca="false">IF(AND(C2189=C2190,W2189=W2190-1),X2189,"")</f>
        <v/>
      </c>
      <c r="AA2190" s="0" t="str">
        <f aca="false">IF(AND(C2189=C2190,W2189=W2190-1),Y2189,"")</f>
        <v/>
      </c>
      <c r="AB2190" s="0" t="str">
        <f aca="false">IF(W2190=1,"",IF(AND(X2190=1,Z2190&lt;&gt;1),1,0))</f>
        <v/>
      </c>
      <c r="AC2190" s="0" t="str">
        <f aca="false">IF(W2190=1,"",IF(AND(Y2190=1,AA2190&lt;&gt;1),1,0))</f>
        <v/>
      </c>
      <c r="AD2190" s="33" t="str">
        <f aca="false">IF(AND(E2190&gt;0,W2190&lt;1,NOT(AND(C2191=C2190,W2191=W2190+1))),INDEX(DATAS,W2190+1),"")</f>
        <v/>
      </c>
      <c r="AE2190" s="33" t="str">
        <f aca="false">IF(AND(Y2190=1,W2190&lt;1),IF(AND(C2191=C2190,W2191=W2190+1),IF(Y2191=1,"",INDEX(DATAS,W2190+1)),INDEX(DATAS,W2190+1)),"")</f>
        <v/>
      </c>
    </row>
    <row r="2191" customFormat="false" ht="15" hidden="false" customHeight="false" outlineLevel="0" collapsed="false">
      <c r="A2191" s="33" t="n">
        <v>46309</v>
      </c>
      <c r="B2191" s="0" t="n">
        <v>8</v>
      </c>
      <c r="C2191" s="0" t="n">
        <v>6475</v>
      </c>
      <c r="E2191" s="0" t="n">
        <v>0</v>
      </c>
      <c r="F2191" s="27" t="s">
        <v>1200</v>
      </c>
      <c r="I2191" s="27" t="s">
        <v>138</v>
      </c>
      <c r="L2191" s="0" t="n">
        <v>153</v>
      </c>
      <c r="U2191" s="0" t="n">
        <v>545</v>
      </c>
      <c r="V2191" s="0" t="n">
        <v>1</v>
      </c>
      <c r="W2191" s="27" t="n">
        <f aca="false">MATCH(A2191,DATAS,0)</f>
        <v>1</v>
      </c>
      <c r="X2191" s="27" t="n">
        <f aca="false">IF(AND(E2191&gt;0,OR(AND(B2191&gt;=1,B2191&lt;=6),B2191=10)),1,0)</f>
        <v>0</v>
      </c>
      <c r="Y2191" s="27" t="n">
        <f aca="false">IF(AND(E2191&gt;0,B2191=10),1,0)</f>
        <v>0</v>
      </c>
      <c r="Z2191" s="0" t="str">
        <f aca="false">IF(AND(C2190=C2191,W2190=W2191-1),X2190,"")</f>
        <v/>
      </c>
      <c r="AA2191" s="0" t="str">
        <f aca="false">IF(AND(C2190=C2191,W2190=W2191-1),Y2190,"")</f>
        <v/>
      </c>
      <c r="AB2191" s="0" t="str">
        <f aca="false">IF(W2191=1,"",IF(AND(X2191=1,Z2191&lt;&gt;1),1,0))</f>
        <v/>
      </c>
      <c r="AC2191" s="0" t="str">
        <f aca="false">IF(W2191=1,"",IF(AND(Y2191=1,AA2191&lt;&gt;1),1,0))</f>
        <v/>
      </c>
      <c r="AD2191" s="33" t="str">
        <f aca="false">IF(AND(E2191&gt;0,W2191&lt;1,NOT(AND(C2192=C2191,W2192=W2191+1))),INDEX(DATAS,W2191+1),"")</f>
        <v/>
      </c>
      <c r="AE2191" s="33" t="str">
        <f aca="false">IF(AND(Y2191=1,W2191&lt;1),IF(AND(C2192=C2191,W2192=W2191+1),IF(Y2192=1,"",INDEX(DATAS,W2191+1)),INDEX(DATAS,W2191+1)),"")</f>
        <v/>
      </c>
    </row>
    <row r="2192" customFormat="false" ht="15" hidden="false" customHeight="false" outlineLevel="0" collapsed="false">
      <c r="A2192" s="33" t="n">
        <v>46309</v>
      </c>
      <c r="B2192" s="0" t="n">
        <v>8</v>
      </c>
      <c r="C2192" s="0" t="n">
        <v>6476</v>
      </c>
      <c r="E2192" s="0" t="n">
        <v>0</v>
      </c>
      <c r="F2192" s="27" t="s">
        <v>1200</v>
      </c>
      <c r="I2192" s="27" t="s">
        <v>138</v>
      </c>
      <c r="L2192" s="0" t="n">
        <v>79</v>
      </c>
      <c r="U2192" s="0" t="n">
        <v>545</v>
      </c>
      <c r="V2192" s="0" t="n">
        <v>3</v>
      </c>
      <c r="W2192" s="27" t="n">
        <f aca="false">MATCH(A2192,DATAS,0)</f>
        <v>1</v>
      </c>
      <c r="X2192" s="27" t="n">
        <f aca="false">IF(AND(E2192&gt;0,OR(AND(B2192&gt;=1,B2192&lt;=6),B2192=10)),1,0)</f>
        <v>0</v>
      </c>
      <c r="Y2192" s="27" t="n">
        <f aca="false">IF(AND(E2192&gt;0,B2192=10),1,0)</f>
        <v>0</v>
      </c>
      <c r="Z2192" s="0" t="str">
        <f aca="false">IF(AND(C2191=C2192,W2191=W2192-1),X2191,"")</f>
        <v/>
      </c>
      <c r="AA2192" s="0" t="str">
        <f aca="false">IF(AND(C2191=C2192,W2191=W2192-1),Y2191,"")</f>
        <v/>
      </c>
      <c r="AB2192" s="0" t="str">
        <f aca="false">IF(W2192=1,"",IF(AND(X2192=1,Z2192&lt;&gt;1),1,0))</f>
        <v/>
      </c>
      <c r="AC2192" s="0" t="str">
        <f aca="false">IF(W2192=1,"",IF(AND(Y2192=1,AA2192&lt;&gt;1),1,0))</f>
        <v/>
      </c>
      <c r="AD2192" s="33" t="str">
        <f aca="false">IF(AND(E2192&gt;0,W2192&lt;1,NOT(AND(C2193=C2192,W2193=W2192+1))),INDEX(DATAS,W2192+1),"")</f>
        <v/>
      </c>
      <c r="AE2192" s="33" t="str">
        <f aca="false">IF(AND(Y2192=1,W2192&lt;1),IF(AND(C2193=C2192,W2193=W2192+1),IF(Y2193=1,"",INDEX(DATAS,W2192+1)),INDEX(DATAS,W2192+1)),"")</f>
        <v/>
      </c>
    </row>
    <row r="2193" customFormat="false" ht="15" hidden="false" customHeight="false" outlineLevel="0" collapsed="false">
      <c r="A2193" s="33" t="n">
        <v>46309</v>
      </c>
      <c r="B2193" s="0" t="n">
        <v>8</v>
      </c>
      <c r="C2193" s="0" t="n">
        <v>6477</v>
      </c>
      <c r="E2193" s="0" t="n">
        <v>0</v>
      </c>
      <c r="F2193" s="27" t="s">
        <v>1200</v>
      </c>
      <c r="I2193" s="27" t="s">
        <v>138</v>
      </c>
      <c r="L2193" s="0" t="n">
        <v>146</v>
      </c>
      <c r="U2193" s="0" t="n">
        <v>545</v>
      </c>
      <c r="V2193" s="0" t="n">
        <v>1</v>
      </c>
      <c r="W2193" s="27" t="n">
        <f aca="false">MATCH(A2193,DATAS,0)</f>
        <v>1</v>
      </c>
      <c r="X2193" s="27" t="n">
        <f aca="false">IF(AND(E2193&gt;0,OR(AND(B2193&gt;=1,B2193&lt;=6),B2193=10)),1,0)</f>
        <v>0</v>
      </c>
      <c r="Y2193" s="27" t="n">
        <f aca="false">IF(AND(E2193&gt;0,B2193=10),1,0)</f>
        <v>0</v>
      </c>
      <c r="Z2193" s="0" t="str">
        <f aca="false">IF(AND(C2192=C2193,W2192=W2193-1),X2192,"")</f>
        <v/>
      </c>
      <c r="AA2193" s="0" t="str">
        <f aca="false">IF(AND(C2192=C2193,W2192=W2193-1),Y2192,"")</f>
        <v/>
      </c>
      <c r="AB2193" s="0" t="str">
        <f aca="false">IF(W2193=1,"",IF(AND(X2193=1,Z2193&lt;&gt;1),1,0))</f>
        <v/>
      </c>
      <c r="AC2193" s="0" t="str">
        <f aca="false">IF(W2193=1,"",IF(AND(Y2193=1,AA2193&lt;&gt;1),1,0))</f>
        <v/>
      </c>
      <c r="AD2193" s="33" t="str">
        <f aca="false">IF(AND(E2193&gt;0,W2193&lt;1,NOT(AND(C2194=C2193,W2194=W2193+1))),INDEX(DATAS,W2193+1),"")</f>
        <v/>
      </c>
      <c r="AE2193" s="33" t="str">
        <f aca="false">IF(AND(Y2193=1,W2193&lt;1),IF(AND(C2194=C2193,W2194=W2193+1),IF(Y2194=1,"",INDEX(DATAS,W2193+1)),INDEX(DATAS,W2193+1)),"")</f>
        <v/>
      </c>
    </row>
    <row r="2194" customFormat="false" ht="15" hidden="false" customHeight="false" outlineLevel="0" collapsed="false">
      <c r="A2194" s="33" t="n">
        <v>46309</v>
      </c>
      <c r="B2194" s="0" t="n">
        <v>8</v>
      </c>
      <c r="C2194" s="0" t="n">
        <v>6478</v>
      </c>
      <c r="E2194" s="0" t="n">
        <v>0</v>
      </c>
      <c r="F2194" s="27" t="s">
        <v>1201</v>
      </c>
      <c r="I2194" s="27" t="s">
        <v>138</v>
      </c>
      <c r="L2194" s="0" t="n">
        <v>140</v>
      </c>
      <c r="U2194" s="0" t="n">
        <v>544</v>
      </c>
      <c r="V2194" s="0" t="n">
        <v>1</v>
      </c>
      <c r="W2194" s="27" t="n">
        <f aca="false">MATCH(A2194,DATAS,0)</f>
        <v>1</v>
      </c>
      <c r="X2194" s="27" t="n">
        <f aca="false">IF(AND(E2194&gt;0,OR(AND(B2194&gt;=1,B2194&lt;=6),B2194=10)),1,0)</f>
        <v>0</v>
      </c>
      <c r="Y2194" s="27" t="n">
        <f aca="false">IF(AND(E2194&gt;0,B2194=10),1,0)</f>
        <v>0</v>
      </c>
      <c r="Z2194" s="0" t="str">
        <f aca="false">IF(AND(C2193=C2194,W2193=W2194-1),X2193,"")</f>
        <v/>
      </c>
      <c r="AA2194" s="0" t="str">
        <f aca="false">IF(AND(C2193=C2194,W2193=W2194-1),Y2193,"")</f>
        <v/>
      </c>
      <c r="AB2194" s="0" t="str">
        <f aca="false">IF(W2194=1,"",IF(AND(X2194=1,Z2194&lt;&gt;1),1,0))</f>
        <v/>
      </c>
      <c r="AC2194" s="0" t="str">
        <f aca="false">IF(W2194=1,"",IF(AND(Y2194=1,AA2194&lt;&gt;1),1,0))</f>
        <v/>
      </c>
      <c r="AD2194" s="33" t="str">
        <f aca="false">IF(AND(E2194&gt;0,W2194&lt;1,NOT(AND(C2195=C2194,W2195=W2194+1))),INDEX(DATAS,W2194+1),"")</f>
        <v/>
      </c>
      <c r="AE2194" s="33" t="str">
        <f aca="false">IF(AND(Y2194=1,W2194&lt;1),IF(AND(C2195=C2194,W2195=W2194+1),IF(Y2195=1,"",INDEX(DATAS,W2194+1)),INDEX(DATAS,W2194+1)),"")</f>
        <v/>
      </c>
    </row>
    <row r="2195" customFormat="false" ht="15" hidden="false" customHeight="false" outlineLevel="0" collapsed="false">
      <c r="A2195" s="33" t="n">
        <v>46309</v>
      </c>
      <c r="B2195" s="0" t="n">
        <v>8</v>
      </c>
      <c r="C2195" s="0" t="n">
        <v>6479</v>
      </c>
      <c r="E2195" s="0" t="n">
        <v>0</v>
      </c>
      <c r="F2195" s="27" t="s">
        <v>1201</v>
      </c>
      <c r="I2195" s="27" t="s">
        <v>138</v>
      </c>
      <c r="L2195" s="0" t="n">
        <v>77</v>
      </c>
      <c r="U2195" s="0" t="n">
        <v>544</v>
      </c>
      <c r="V2195" s="0" t="n">
        <v>1</v>
      </c>
      <c r="W2195" s="27" t="n">
        <f aca="false">MATCH(A2195,DATAS,0)</f>
        <v>1</v>
      </c>
      <c r="X2195" s="27" t="n">
        <f aca="false">IF(AND(E2195&gt;0,OR(AND(B2195&gt;=1,B2195&lt;=6),B2195=10)),1,0)</f>
        <v>0</v>
      </c>
      <c r="Y2195" s="27" t="n">
        <f aca="false">IF(AND(E2195&gt;0,B2195=10),1,0)</f>
        <v>0</v>
      </c>
      <c r="Z2195" s="0" t="str">
        <f aca="false">IF(AND(C2194=C2195,W2194=W2195-1),X2194,"")</f>
        <v/>
      </c>
      <c r="AA2195" s="0" t="str">
        <f aca="false">IF(AND(C2194=C2195,W2194=W2195-1),Y2194,"")</f>
        <v/>
      </c>
      <c r="AB2195" s="0" t="str">
        <f aca="false">IF(W2195=1,"",IF(AND(X2195=1,Z2195&lt;&gt;1),1,0))</f>
        <v/>
      </c>
      <c r="AC2195" s="0" t="str">
        <f aca="false">IF(W2195=1,"",IF(AND(Y2195=1,AA2195&lt;&gt;1),1,0))</f>
        <v/>
      </c>
      <c r="AD2195" s="33" t="str">
        <f aca="false">IF(AND(E2195&gt;0,W2195&lt;1,NOT(AND(C2196=C2195,W2196=W2195+1))),INDEX(DATAS,W2195+1),"")</f>
        <v/>
      </c>
      <c r="AE2195" s="33" t="str">
        <f aca="false">IF(AND(Y2195=1,W2195&lt;1),IF(AND(C2196=C2195,W2196=W2195+1),IF(Y2196=1,"",INDEX(DATAS,W2195+1)),INDEX(DATAS,W2195+1)),"")</f>
        <v/>
      </c>
    </row>
    <row r="2196" customFormat="false" ht="15" hidden="false" customHeight="false" outlineLevel="0" collapsed="false">
      <c r="A2196" s="33" t="n">
        <v>46309</v>
      </c>
      <c r="B2196" s="0" t="n">
        <v>8</v>
      </c>
      <c r="C2196" s="0" t="n">
        <v>6480</v>
      </c>
      <c r="E2196" s="0" t="n">
        <v>0</v>
      </c>
      <c r="F2196" s="27" t="s">
        <v>1201</v>
      </c>
      <c r="I2196" s="27" t="s">
        <v>138</v>
      </c>
      <c r="L2196" s="0" t="n">
        <v>133</v>
      </c>
      <c r="U2196" s="0" t="n">
        <v>544</v>
      </c>
      <c r="V2196" s="0" t="n">
        <v>1</v>
      </c>
      <c r="W2196" s="27" t="n">
        <f aca="false">MATCH(A2196,DATAS,0)</f>
        <v>1</v>
      </c>
      <c r="X2196" s="27" t="n">
        <f aca="false">IF(AND(E2196&gt;0,OR(AND(B2196&gt;=1,B2196&lt;=6),B2196=10)),1,0)</f>
        <v>0</v>
      </c>
      <c r="Y2196" s="27" t="n">
        <f aca="false">IF(AND(E2196&gt;0,B2196=10),1,0)</f>
        <v>0</v>
      </c>
      <c r="Z2196" s="0" t="str">
        <f aca="false">IF(AND(C2195=C2196,W2195=W2196-1),X2195,"")</f>
        <v/>
      </c>
      <c r="AA2196" s="0" t="str">
        <f aca="false">IF(AND(C2195=C2196,W2195=W2196-1),Y2195,"")</f>
        <v/>
      </c>
      <c r="AB2196" s="0" t="str">
        <f aca="false">IF(W2196=1,"",IF(AND(X2196=1,Z2196&lt;&gt;1),1,0))</f>
        <v/>
      </c>
      <c r="AC2196" s="0" t="str">
        <f aca="false">IF(W2196=1,"",IF(AND(Y2196=1,AA2196&lt;&gt;1),1,0))</f>
        <v/>
      </c>
      <c r="AD2196" s="33" t="str">
        <f aca="false">IF(AND(E2196&gt;0,W2196&lt;1,NOT(AND(C2197=C2196,W2197=W2196+1))),INDEX(DATAS,W2196+1),"")</f>
        <v/>
      </c>
      <c r="AE2196" s="33" t="str">
        <f aca="false">IF(AND(Y2196=1,W2196&lt;1),IF(AND(C2197=C2196,W2197=W2196+1),IF(Y2197=1,"",INDEX(DATAS,W2196+1)),INDEX(DATAS,W2196+1)),"")</f>
        <v/>
      </c>
    </row>
    <row r="2197" customFormat="false" ht="15" hidden="false" customHeight="false" outlineLevel="0" collapsed="false">
      <c r="A2197" s="33" t="n">
        <v>46309</v>
      </c>
      <c r="B2197" s="0" t="n">
        <v>8</v>
      </c>
      <c r="C2197" s="0" t="n">
        <v>6481</v>
      </c>
      <c r="E2197" s="0" t="n">
        <v>0</v>
      </c>
      <c r="F2197" s="27" t="s">
        <v>1201</v>
      </c>
      <c r="I2197" s="27" t="s">
        <v>138</v>
      </c>
      <c r="L2197" s="0" t="n">
        <v>143</v>
      </c>
      <c r="U2197" s="0" t="n">
        <v>544</v>
      </c>
      <c r="V2197" s="0" t="n">
        <v>1</v>
      </c>
      <c r="W2197" s="27" t="n">
        <f aca="false">MATCH(A2197,DATAS,0)</f>
        <v>1</v>
      </c>
      <c r="X2197" s="27" t="n">
        <f aca="false">IF(AND(E2197&gt;0,OR(AND(B2197&gt;=1,B2197&lt;=6),B2197=10)),1,0)</f>
        <v>0</v>
      </c>
      <c r="Y2197" s="27" t="n">
        <f aca="false">IF(AND(E2197&gt;0,B2197=10),1,0)</f>
        <v>0</v>
      </c>
      <c r="Z2197" s="0" t="str">
        <f aca="false">IF(AND(C2196=C2197,W2196=W2197-1),X2196,"")</f>
        <v/>
      </c>
      <c r="AA2197" s="0" t="str">
        <f aca="false">IF(AND(C2196=C2197,W2196=W2197-1),Y2196,"")</f>
        <v/>
      </c>
      <c r="AB2197" s="0" t="str">
        <f aca="false">IF(W2197=1,"",IF(AND(X2197=1,Z2197&lt;&gt;1),1,0))</f>
        <v/>
      </c>
      <c r="AC2197" s="0" t="str">
        <f aca="false">IF(W2197=1,"",IF(AND(Y2197=1,AA2197&lt;&gt;1),1,0))</f>
        <v/>
      </c>
      <c r="AD2197" s="33" t="str">
        <f aca="false">IF(AND(E2197&gt;0,W2197&lt;1,NOT(AND(C2198=C2197,W2198=W2197+1))),INDEX(DATAS,W2197+1),"")</f>
        <v/>
      </c>
      <c r="AE2197" s="33" t="str">
        <f aca="false">IF(AND(Y2197=1,W2197&lt;1),IF(AND(C2198=C2197,W2198=W2197+1),IF(Y2198=1,"",INDEX(DATAS,W2197+1)),INDEX(DATAS,W2197+1)),"")</f>
        <v/>
      </c>
    </row>
    <row r="2198" customFormat="false" ht="15" hidden="false" customHeight="false" outlineLevel="0" collapsed="false">
      <c r="A2198" s="33" t="n">
        <v>46309</v>
      </c>
      <c r="B2198" s="0" t="n">
        <v>8</v>
      </c>
      <c r="C2198" s="0" t="n">
        <v>6482</v>
      </c>
      <c r="E2198" s="0" t="n">
        <v>0</v>
      </c>
      <c r="F2198" s="27" t="s">
        <v>1201</v>
      </c>
      <c r="I2198" s="27" t="s">
        <v>138</v>
      </c>
      <c r="L2198" s="0" t="n">
        <v>143</v>
      </c>
      <c r="U2198" s="0" t="n">
        <v>544</v>
      </c>
      <c r="V2198" s="0" t="n">
        <v>1</v>
      </c>
      <c r="W2198" s="27" t="n">
        <f aca="false">MATCH(A2198,DATAS,0)</f>
        <v>1</v>
      </c>
      <c r="X2198" s="27" t="n">
        <f aca="false">IF(AND(E2198&gt;0,OR(AND(B2198&gt;=1,B2198&lt;=6),B2198=10)),1,0)</f>
        <v>0</v>
      </c>
      <c r="Y2198" s="27" t="n">
        <f aca="false">IF(AND(E2198&gt;0,B2198=10),1,0)</f>
        <v>0</v>
      </c>
      <c r="Z2198" s="0" t="str">
        <f aca="false">IF(AND(C2197=C2198,W2197=W2198-1),X2197,"")</f>
        <v/>
      </c>
      <c r="AA2198" s="0" t="str">
        <f aca="false">IF(AND(C2197=C2198,W2197=W2198-1),Y2197,"")</f>
        <v/>
      </c>
      <c r="AB2198" s="0" t="str">
        <f aca="false">IF(W2198=1,"",IF(AND(X2198=1,Z2198&lt;&gt;1),1,0))</f>
        <v/>
      </c>
      <c r="AC2198" s="0" t="str">
        <f aca="false">IF(W2198=1,"",IF(AND(Y2198=1,AA2198&lt;&gt;1),1,0))</f>
        <v/>
      </c>
      <c r="AD2198" s="33" t="str">
        <f aca="false">IF(AND(E2198&gt;0,W2198&lt;1,NOT(AND(C2199=C2198,W2199=W2198+1))),INDEX(DATAS,W2198+1),"")</f>
        <v/>
      </c>
      <c r="AE2198" s="33" t="str">
        <f aca="false">IF(AND(Y2198=1,W2198&lt;1),IF(AND(C2199=C2198,W2199=W2198+1),IF(Y2199=1,"",INDEX(DATAS,W2198+1)),INDEX(DATAS,W2198+1)),"")</f>
        <v/>
      </c>
    </row>
    <row r="2199" customFormat="false" ht="15" hidden="false" customHeight="false" outlineLevel="0" collapsed="false">
      <c r="A2199" s="33" t="n">
        <v>46309</v>
      </c>
      <c r="B2199" s="0" t="n">
        <v>8</v>
      </c>
      <c r="C2199" s="0" t="n">
        <v>6483</v>
      </c>
      <c r="E2199" s="0" t="n">
        <v>0</v>
      </c>
      <c r="F2199" s="27" t="s">
        <v>1202</v>
      </c>
      <c r="I2199" s="27" t="s">
        <v>138</v>
      </c>
      <c r="L2199" s="0" t="n">
        <v>55</v>
      </c>
      <c r="U2199" s="0" t="n">
        <v>543</v>
      </c>
      <c r="V2199" s="0" t="n">
        <v>3</v>
      </c>
      <c r="W2199" s="27" t="n">
        <f aca="false">MATCH(A2199,DATAS,0)</f>
        <v>1</v>
      </c>
      <c r="X2199" s="27" t="n">
        <f aca="false">IF(AND(E2199&gt;0,OR(AND(B2199&gt;=1,B2199&lt;=6),B2199=10)),1,0)</f>
        <v>0</v>
      </c>
      <c r="Y2199" s="27" t="n">
        <f aca="false">IF(AND(E2199&gt;0,B2199=10),1,0)</f>
        <v>0</v>
      </c>
      <c r="Z2199" s="0" t="str">
        <f aca="false">IF(AND(C2198=C2199,W2198=W2199-1),X2198,"")</f>
        <v/>
      </c>
      <c r="AA2199" s="0" t="str">
        <f aca="false">IF(AND(C2198=C2199,W2198=W2199-1),Y2198,"")</f>
        <v/>
      </c>
      <c r="AB2199" s="0" t="str">
        <f aca="false">IF(W2199=1,"",IF(AND(X2199=1,Z2199&lt;&gt;1),1,0))</f>
        <v/>
      </c>
      <c r="AC2199" s="0" t="str">
        <f aca="false">IF(W2199=1,"",IF(AND(Y2199=1,AA2199&lt;&gt;1),1,0))</f>
        <v/>
      </c>
      <c r="AD2199" s="33" t="str">
        <f aca="false">IF(AND(E2199&gt;0,W2199&lt;1,NOT(AND(C2200=C2199,W2200=W2199+1))),INDEX(DATAS,W2199+1),"")</f>
        <v/>
      </c>
      <c r="AE2199" s="33" t="str">
        <f aca="false">IF(AND(Y2199=1,W2199&lt;1),IF(AND(C2200=C2199,W2200=W2199+1),IF(Y2200=1,"",INDEX(DATAS,W2199+1)),INDEX(DATAS,W2199+1)),"")</f>
        <v/>
      </c>
    </row>
    <row r="2200" customFormat="false" ht="15" hidden="false" customHeight="false" outlineLevel="0" collapsed="false">
      <c r="A2200" s="33" t="n">
        <v>46309</v>
      </c>
      <c r="B2200" s="0" t="n">
        <v>8</v>
      </c>
      <c r="C2200" s="0" t="n">
        <v>6484</v>
      </c>
      <c r="E2200" s="0" t="n">
        <v>0</v>
      </c>
      <c r="F2200" s="27" t="s">
        <v>1202</v>
      </c>
      <c r="I2200" s="27" t="s">
        <v>138</v>
      </c>
      <c r="L2200" s="0" t="n">
        <v>149</v>
      </c>
      <c r="U2200" s="0" t="n">
        <v>543</v>
      </c>
      <c r="V2200" s="0" t="n">
        <v>1</v>
      </c>
      <c r="W2200" s="27" t="n">
        <f aca="false">MATCH(A2200,DATAS,0)</f>
        <v>1</v>
      </c>
      <c r="X2200" s="27" t="n">
        <f aca="false">IF(AND(E2200&gt;0,OR(AND(B2200&gt;=1,B2200&lt;=6),B2200=10)),1,0)</f>
        <v>0</v>
      </c>
      <c r="Y2200" s="27" t="n">
        <f aca="false">IF(AND(E2200&gt;0,B2200=10),1,0)</f>
        <v>0</v>
      </c>
      <c r="Z2200" s="0" t="str">
        <f aca="false">IF(AND(C2199=C2200,W2199=W2200-1),X2199,"")</f>
        <v/>
      </c>
      <c r="AA2200" s="0" t="str">
        <f aca="false">IF(AND(C2199=C2200,W2199=W2200-1),Y2199,"")</f>
        <v/>
      </c>
      <c r="AB2200" s="0" t="str">
        <f aca="false">IF(W2200=1,"",IF(AND(X2200=1,Z2200&lt;&gt;1),1,0))</f>
        <v/>
      </c>
      <c r="AC2200" s="0" t="str">
        <f aca="false">IF(W2200=1,"",IF(AND(Y2200=1,AA2200&lt;&gt;1),1,0))</f>
        <v/>
      </c>
      <c r="AD2200" s="33" t="str">
        <f aca="false">IF(AND(E2200&gt;0,W2200&lt;1,NOT(AND(C2201=C2200,W2201=W2200+1))),INDEX(DATAS,W2200+1),"")</f>
        <v/>
      </c>
      <c r="AE2200" s="33" t="str">
        <f aca="false">IF(AND(Y2200=1,W2200&lt;1),IF(AND(C2201=C2200,W2201=W2200+1),IF(Y2201=1,"",INDEX(DATAS,W2200+1)),INDEX(DATAS,W2200+1)),"")</f>
        <v/>
      </c>
    </row>
    <row r="2201" customFormat="false" ht="15" hidden="false" customHeight="false" outlineLevel="0" collapsed="false">
      <c r="A2201" s="33" t="n">
        <v>46309</v>
      </c>
      <c r="B2201" s="0" t="n">
        <v>8</v>
      </c>
      <c r="C2201" s="0" t="n">
        <v>6485</v>
      </c>
      <c r="E2201" s="0" t="n">
        <v>0</v>
      </c>
      <c r="F2201" s="27" t="s">
        <v>1203</v>
      </c>
      <c r="I2201" s="27" t="s">
        <v>138</v>
      </c>
      <c r="L2201" s="0" t="n">
        <v>61</v>
      </c>
      <c r="U2201" s="0" t="n">
        <v>542</v>
      </c>
      <c r="V2201" s="0" t="n">
        <v>4</v>
      </c>
      <c r="W2201" s="27" t="n">
        <f aca="false">MATCH(A2201,DATAS,0)</f>
        <v>1</v>
      </c>
      <c r="X2201" s="27" t="n">
        <f aca="false">IF(AND(E2201&gt;0,OR(AND(B2201&gt;=1,B2201&lt;=6),B2201=10)),1,0)</f>
        <v>0</v>
      </c>
      <c r="Y2201" s="27" t="n">
        <f aca="false">IF(AND(E2201&gt;0,B2201=10),1,0)</f>
        <v>0</v>
      </c>
      <c r="Z2201" s="0" t="str">
        <f aca="false">IF(AND(C2200=C2201,W2200=W2201-1),X2200,"")</f>
        <v/>
      </c>
      <c r="AA2201" s="0" t="str">
        <f aca="false">IF(AND(C2200=C2201,W2200=W2201-1),Y2200,"")</f>
        <v/>
      </c>
      <c r="AB2201" s="0" t="str">
        <f aca="false">IF(W2201=1,"",IF(AND(X2201=1,Z2201&lt;&gt;1),1,0))</f>
        <v/>
      </c>
      <c r="AC2201" s="0" t="str">
        <f aca="false">IF(W2201=1,"",IF(AND(Y2201=1,AA2201&lt;&gt;1),1,0))</f>
        <v/>
      </c>
      <c r="AD2201" s="33" t="str">
        <f aca="false">IF(AND(E2201&gt;0,W2201&lt;1,NOT(AND(C2202=C2201,W2202=W2201+1))),INDEX(DATAS,W2201+1),"")</f>
        <v/>
      </c>
      <c r="AE2201" s="33" t="str">
        <f aca="false">IF(AND(Y2201=1,W2201&lt;1),IF(AND(C2202=C2201,W2202=W2201+1),IF(Y2202=1,"",INDEX(DATAS,W2201+1)),INDEX(DATAS,W2201+1)),"")</f>
        <v/>
      </c>
    </row>
    <row r="2202" customFormat="false" ht="15" hidden="false" customHeight="false" outlineLevel="0" collapsed="false">
      <c r="A2202" s="33" t="n">
        <v>46309</v>
      </c>
      <c r="B2202" s="0" t="n">
        <v>8</v>
      </c>
      <c r="C2202" s="0" t="n">
        <v>6486</v>
      </c>
      <c r="E2202" s="0" t="n">
        <v>0</v>
      </c>
      <c r="F2202" s="27" t="s">
        <v>1203</v>
      </c>
      <c r="I2202" s="27" t="s">
        <v>138</v>
      </c>
      <c r="L2202" s="0" t="n">
        <v>145</v>
      </c>
      <c r="U2202" s="0" t="n">
        <v>542</v>
      </c>
      <c r="V2202" s="0" t="n">
        <v>1</v>
      </c>
      <c r="W2202" s="27" t="n">
        <f aca="false">MATCH(A2202,DATAS,0)</f>
        <v>1</v>
      </c>
      <c r="X2202" s="27" t="n">
        <f aca="false">IF(AND(E2202&gt;0,OR(AND(B2202&gt;=1,B2202&lt;=6),B2202=10)),1,0)</f>
        <v>0</v>
      </c>
      <c r="Y2202" s="27" t="n">
        <f aca="false">IF(AND(E2202&gt;0,B2202=10),1,0)</f>
        <v>0</v>
      </c>
      <c r="Z2202" s="0" t="str">
        <f aca="false">IF(AND(C2201=C2202,W2201=W2202-1),X2201,"")</f>
        <v/>
      </c>
      <c r="AA2202" s="0" t="str">
        <f aca="false">IF(AND(C2201=C2202,W2201=W2202-1),Y2201,"")</f>
        <v/>
      </c>
      <c r="AB2202" s="0" t="str">
        <f aca="false">IF(W2202=1,"",IF(AND(X2202=1,Z2202&lt;&gt;1),1,0))</f>
        <v/>
      </c>
      <c r="AC2202" s="0" t="str">
        <f aca="false">IF(W2202=1,"",IF(AND(Y2202=1,AA2202&lt;&gt;1),1,0))</f>
        <v/>
      </c>
      <c r="AD2202" s="33" t="str">
        <f aca="false">IF(AND(E2202&gt;0,W2202&lt;1,NOT(AND(C2203=C2202,W2203=W2202+1))),INDEX(DATAS,W2202+1),"")</f>
        <v/>
      </c>
      <c r="AE2202" s="33" t="str">
        <f aca="false">IF(AND(Y2202=1,W2202&lt;1),IF(AND(C2203=C2202,W2203=W2202+1),IF(Y2203=1,"",INDEX(DATAS,W2202+1)),INDEX(DATAS,W2202+1)),"")</f>
        <v/>
      </c>
    </row>
    <row r="2203" customFormat="false" ht="15" hidden="false" customHeight="false" outlineLevel="0" collapsed="false">
      <c r="A2203" s="33" t="n">
        <v>46309</v>
      </c>
      <c r="B2203" s="0" t="n">
        <v>8</v>
      </c>
      <c r="C2203" s="0" t="n">
        <v>6487</v>
      </c>
      <c r="E2203" s="0" t="n">
        <v>0</v>
      </c>
      <c r="F2203" s="27" t="s">
        <v>1203</v>
      </c>
      <c r="I2203" s="27" t="s">
        <v>138</v>
      </c>
      <c r="L2203" s="0" t="n">
        <v>118</v>
      </c>
      <c r="U2203" s="0" t="n">
        <v>542</v>
      </c>
      <c r="V2203" s="0" t="n">
        <v>2</v>
      </c>
      <c r="W2203" s="27" t="n">
        <f aca="false">MATCH(A2203,DATAS,0)</f>
        <v>1</v>
      </c>
      <c r="X2203" s="27" t="n">
        <f aca="false">IF(AND(E2203&gt;0,OR(AND(B2203&gt;=1,B2203&lt;=6),B2203=10)),1,0)</f>
        <v>0</v>
      </c>
      <c r="Y2203" s="27" t="n">
        <f aca="false">IF(AND(E2203&gt;0,B2203=10),1,0)</f>
        <v>0</v>
      </c>
      <c r="Z2203" s="0" t="str">
        <f aca="false">IF(AND(C2202=C2203,W2202=W2203-1),X2202,"")</f>
        <v/>
      </c>
      <c r="AA2203" s="0" t="str">
        <f aca="false">IF(AND(C2202=C2203,W2202=W2203-1),Y2202,"")</f>
        <v/>
      </c>
      <c r="AB2203" s="0" t="str">
        <f aca="false">IF(W2203=1,"",IF(AND(X2203=1,Z2203&lt;&gt;1),1,0))</f>
        <v/>
      </c>
      <c r="AC2203" s="0" t="str">
        <f aca="false">IF(W2203=1,"",IF(AND(Y2203=1,AA2203&lt;&gt;1),1,0))</f>
        <v/>
      </c>
      <c r="AD2203" s="33" t="str">
        <f aca="false">IF(AND(E2203&gt;0,W2203&lt;1,NOT(AND(C2204=C2203,W2204=W2203+1))),INDEX(DATAS,W2203+1),"")</f>
        <v/>
      </c>
      <c r="AE2203" s="33" t="str">
        <f aca="false">IF(AND(Y2203=1,W2203&lt;1),IF(AND(C2204=C2203,W2204=W2203+1),IF(Y2204=1,"",INDEX(DATAS,W2203+1)),INDEX(DATAS,W2203+1)),"")</f>
        <v/>
      </c>
    </row>
    <row r="2204" customFormat="false" ht="15" hidden="false" customHeight="false" outlineLevel="0" collapsed="false">
      <c r="A2204" s="33" t="n">
        <v>46309</v>
      </c>
      <c r="B2204" s="0" t="n">
        <v>8</v>
      </c>
      <c r="C2204" s="0" t="n">
        <v>6488</v>
      </c>
      <c r="E2204" s="0" t="n">
        <v>0</v>
      </c>
      <c r="F2204" s="27" t="s">
        <v>1203</v>
      </c>
      <c r="I2204" s="27" t="s">
        <v>138</v>
      </c>
      <c r="L2204" s="0" t="n">
        <v>147</v>
      </c>
      <c r="U2204" s="0" t="n">
        <v>542</v>
      </c>
      <c r="V2204" s="0" t="n">
        <v>1</v>
      </c>
      <c r="W2204" s="27" t="n">
        <f aca="false">MATCH(A2204,DATAS,0)</f>
        <v>1</v>
      </c>
      <c r="X2204" s="27" t="n">
        <f aca="false">IF(AND(E2204&gt;0,OR(AND(B2204&gt;=1,B2204&lt;=6),B2204=10)),1,0)</f>
        <v>0</v>
      </c>
      <c r="Y2204" s="27" t="n">
        <f aca="false">IF(AND(E2204&gt;0,B2204=10),1,0)</f>
        <v>0</v>
      </c>
      <c r="Z2204" s="0" t="str">
        <f aca="false">IF(AND(C2203=C2204,W2203=W2204-1),X2203,"")</f>
        <v/>
      </c>
      <c r="AA2204" s="0" t="str">
        <f aca="false">IF(AND(C2203=C2204,W2203=W2204-1),Y2203,"")</f>
        <v/>
      </c>
      <c r="AB2204" s="0" t="str">
        <f aca="false">IF(W2204=1,"",IF(AND(X2204=1,Z2204&lt;&gt;1),1,0))</f>
        <v/>
      </c>
      <c r="AC2204" s="0" t="str">
        <f aca="false">IF(W2204=1,"",IF(AND(Y2204=1,AA2204&lt;&gt;1),1,0))</f>
        <v/>
      </c>
      <c r="AD2204" s="33" t="str">
        <f aca="false">IF(AND(E2204&gt;0,W2204&lt;1,NOT(AND(C2205=C2204,W2205=W2204+1))),INDEX(DATAS,W2204+1),"")</f>
        <v/>
      </c>
      <c r="AE2204" s="33" t="str">
        <f aca="false">IF(AND(Y2204=1,W2204&lt;1),IF(AND(C2205=C2204,W2205=W2204+1),IF(Y2205=1,"",INDEX(DATAS,W2204+1)),INDEX(DATAS,W2204+1)),"")</f>
        <v/>
      </c>
    </row>
    <row r="2205" customFormat="false" ht="15" hidden="false" customHeight="false" outlineLevel="0" collapsed="false">
      <c r="A2205" s="33" t="n">
        <v>46309</v>
      </c>
      <c r="B2205" s="0" t="n">
        <v>8</v>
      </c>
      <c r="C2205" s="0" t="n">
        <v>6489</v>
      </c>
      <c r="E2205" s="0" t="n">
        <v>0</v>
      </c>
      <c r="F2205" s="27" t="s">
        <v>1203</v>
      </c>
      <c r="I2205" s="27" t="s">
        <v>138</v>
      </c>
      <c r="L2205" s="0" t="n">
        <v>139</v>
      </c>
      <c r="U2205" s="0" t="n">
        <v>542</v>
      </c>
      <c r="V2205" s="0" t="n">
        <v>1</v>
      </c>
      <c r="W2205" s="27" t="n">
        <f aca="false">MATCH(A2205,DATAS,0)</f>
        <v>1</v>
      </c>
      <c r="X2205" s="27" t="n">
        <f aca="false">IF(AND(E2205&gt;0,OR(AND(B2205&gt;=1,B2205&lt;=6),B2205=10)),1,0)</f>
        <v>0</v>
      </c>
      <c r="Y2205" s="27" t="n">
        <f aca="false">IF(AND(E2205&gt;0,B2205=10),1,0)</f>
        <v>0</v>
      </c>
      <c r="Z2205" s="0" t="str">
        <f aca="false">IF(AND(C2204=C2205,W2204=W2205-1),X2204,"")</f>
        <v/>
      </c>
      <c r="AA2205" s="0" t="str">
        <f aca="false">IF(AND(C2204=C2205,W2204=W2205-1),Y2204,"")</f>
        <v/>
      </c>
      <c r="AB2205" s="0" t="str">
        <f aca="false">IF(W2205=1,"",IF(AND(X2205=1,Z2205&lt;&gt;1),1,0))</f>
        <v/>
      </c>
      <c r="AC2205" s="0" t="str">
        <f aca="false">IF(W2205=1,"",IF(AND(Y2205=1,AA2205&lt;&gt;1),1,0))</f>
        <v/>
      </c>
      <c r="AD2205" s="33" t="str">
        <f aca="false">IF(AND(E2205&gt;0,W2205&lt;1,NOT(AND(C2206=C2205,W2206=W2205+1))),INDEX(DATAS,W2205+1),"")</f>
        <v/>
      </c>
      <c r="AE2205" s="33" t="str">
        <f aca="false">IF(AND(Y2205=1,W2205&lt;1),IF(AND(C2206=C2205,W2206=W2205+1),IF(Y2206=1,"",INDEX(DATAS,W2205+1)),INDEX(DATAS,W2205+1)),"")</f>
        <v/>
      </c>
    </row>
    <row r="2206" customFormat="false" ht="15" hidden="false" customHeight="false" outlineLevel="0" collapsed="false">
      <c r="A2206" s="33" t="n">
        <v>46309</v>
      </c>
      <c r="B2206" s="0" t="n">
        <v>8</v>
      </c>
      <c r="C2206" s="0" t="n">
        <v>6490</v>
      </c>
      <c r="E2206" s="0" t="n">
        <v>0</v>
      </c>
      <c r="F2206" s="27" t="s">
        <v>1204</v>
      </c>
      <c r="I2206" s="27" t="s">
        <v>138</v>
      </c>
      <c r="L2206" s="0" t="n">
        <v>105</v>
      </c>
      <c r="U2206" s="0" t="n">
        <v>540</v>
      </c>
      <c r="V2206" s="0" t="n">
        <v>3</v>
      </c>
      <c r="W2206" s="27" t="n">
        <f aca="false">MATCH(A2206,DATAS,0)</f>
        <v>1</v>
      </c>
      <c r="X2206" s="27" t="n">
        <f aca="false">IF(AND(E2206&gt;0,OR(AND(B2206&gt;=1,B2206&lt;=6),B2206=10)),1,0)</f>
        <v>0</v>
      </c>
      <c r="Y2206" s="27" t="n">
        <f aca="false">IF(AND(E2206&gt;0,B2206=10),1,0)</f>
        <v>0</v>
      </c>
      <c r="Z2206" s="0" t="str">
        <f aca="false">IF(AND(C2205=C2206,W2205=W2206-1),X2205,"")</f>
        <v/>
      </c>
      <c r="AA2206" s="0" t="str">
        <f aca="false">IF(AND(C2205=C2206,W2205=W2206-1),Y2205,"")</f>
        <v/>
      </c>
      <c r="AB2206" s="0" t="str">
        <f aca="false">IF(W2206=1,"",IF(AND(X2206=1,Z2206&lt;&gt;1),1,0))</f>
        <v/>
      </c>
      <c r="AC2206" s="0" t="str">
        <f aca="false">IF(W2206=1,"",IF(AND(Y2206=1,AA2206&lt;&gt;1),1,0))</f>
        <v/>
      </c>
      <c r="AD2206" s="33" t="str">
        <f aca="false">IF(AND(E2206&gt;0,W2206&lt;1,NOT(AND(C2207=C2206,W2207=W2206+1))),INDEX(DATAS,W2206+1),"")</f>
        <v/>
      </c>
      <c r="AE2206" s="33" t="str">
        <f aca="false">IF(AND(Y2206=1,W2206&lt;1),IF(AND(C2207=C2206,W2207=W2206+1),IF(Y2207=1,"",INDEX(DATAS,W2206+1)),INDEX(DATAS,W2206+1)),"")</f>
        <v/>
      </c>
    </row>
    <row r="2207" customFormat="false" ht="15" hidden="false" customHeight="false" outlineLevel="0" collapsed="false">
      <c r="A2207" s="33" t="n">
        <v>46309</v>
      </c>
      <c r="B2207" s="0" t="n">
        <v>8</v>
      </c>
      <c r="C2207" s="0" t="n">
        <v>6491</v>
      </c>
      <c r="E2207" s="0" t="n">
        <v>0</v>
      </c>
      <c r="F2207" s="27" t="s">
        <v>1204</v>
      </c>
      <c r="I2207" s="27" t="s">
        <v>138</v>
      </c>
      <c r="L2207" s="0" t="n">
        <v>81</v>
      </c>
      <c r="U2207" s="0" t="n">
        <v>540</v>
      </c>
      <c r="V2207" s="0" t="n">
        <v>4</v>
      </c>
      <c r="W2207" s="27" t="n">
        <f aca="false">MATCH(A2207,DATAS,0)</f>
        <v>1</v>
      </c>
      <c r="X2207" s="27" t="n">
        <f aca="false">IF(AND(E2207&gt;0,OR(AND(B2207&gt;=1,B2207&lt;=6),B2207=10)),1,0)</f>
        <v>0</v>
      </c>
      <c r="Y2207" s="27" t="n">
        <f aca="false">IF(AND(E2207&gt;0,B2207=10),1,0)</f>
        <v>0</v>
      </c>
      <c r="Z2207" s="0" t="str">
        <f aca="false">IF(AND(C2206=C2207,W2206=W2207-1),X2206,"")</f>
        <v/>
      </c>
      <c r="AA2207" s="0" t="str">
        <f aca="false">IF(AND(C2206=C2207,W2206=W2207-1),Y2206,"")</f>
        <v/>
      </c>
      <c r="AB2207" s="0" t="str">
        <f aca="false">IF(W2207=1,"",IF(AND(X2207=1,Z2207&lt;&gt;1),1,0))</f>
        <v/>
      </c>
      <c r="AC2207" s="0" t="str">
        <f aca="false">IF(W2207=1,"",IF(AND(Y2207=1,AA2207&lt;&gt;1),1,0))</f>
        <v/>
      </c>
      <c r="AD2207" s="33" t="str">
        <f aca="false">IF(AND(E2207&gt;0,W2207&lt;1,NOT(AND(C2208=C2207,W2208=W2207+1))),INDEX(DATAS,W2207+1),"")</f>
        <v/>
      </c>
      <c r="AE2207" s="33" t="str">
        <f aca="false">IF(AND(Y2207=1,W2207&lt;1),IF(AND(C2208=C2207,W2208=W2207+1),IF(Y2208=1,"",INDEX(DATAS,W2207+1)),INDEX(DATAS,W2207+1)),"")</f>
        <v/>
      </c>
    </row>
    <row r="2208" customFormat="false" ht="15" hidden="false" customHeight="false" outlineLevel="0" collapsed="false">
      <c r="A2208" s="33" t="n">
        <v>46309</v>
      </c>
      <c r="B2208" s="0" t="n">
        <v>11</v>
      </c>
      <c r="C2208" s="0" t="n">
        <v>6492</v>
      </c>
      <c r="E2208" s="0" t="n">
        <v>0</v>
      </c>
      <c r="F2208" s="27" t="s">
        <v>1204</v>
      </c>
      <c r="I2208" s="27" t="s">
        <v>168</v>
      </c>
      <c r="U2208" s="0" t="n">
        <v>540</v>
      </c>
      <c r="V2208" s="0" t="n">
        <v>3</v>
      </c>
      <c r="W2208" s="27" t="n">
        <f aca="false">MATCH(A2208,DATAS,0)</f>
        <v>1</v>
      </c>
      <c r="X2208" s="27" t="n">
        <f aca="false">IF(AND(E2208&gt;0,OR(AND(B2208&gt;=1,B2208&lt;=6),B2208=10)),1,0)</f>
        <v>0</v>
      </c>
      <c r="Y2208" s="27" t="n">
        <f aca="false">IF(AND(E2208&gt;0,B2208=10),1,0)</f>
        <v>0</v>
      </c>
      <c r="Z2208" s="0" t="str">
        <f aca="false">IF(AND(C2207=C2208,W2207=W2208-1),X2207,"")</f>
        <v/>
      </c>
      <c r="AA2208" s="0" t="str">
        <f aca="false">IF(AND(C2207=C2208,W2207=W2208-1),Y2207,"")</f>
        <v/>
      </c>
      <c r="AB2208" s="0" t="str">
        <f aca="false">IF(W2208=1,"",IF(AND(X2208=1,Z2208&lt;&gt;1),1,0))</f>
        <v/>
      </c>
      <c r="AC2208" s="0" t="str">
        <f aca="false">IF(W2208=1,"",IF(AND(Y2208=1,AA2208&lt;&gt;1),1,0))</f>
        <v/>
      </c>
      <c r="AD2208" s="33" t="str">
        <f aca="false">IF(AND(E2208&gt;0,W2208&lt;1,NOT(AND(C2209=C2208,W2209=W2208+1))),INDEX(DATAS,W2208+1),"")</f>
        <v/>
      </c>
      <c r="AE2208" s="33" t="str">
        <f aca="false">IF(AND(Y2208=1,W2208&lt;1),IF(AND(C2209=C2208,W2209=W2208+1),IF(Y2209=1,"",INDEX(DATAS,W2208+1)),INDEX(DATAS,W2208+1)),"")</f>
        <v/>
      </c>
    </row>
    <row r="2209" customFormat="false" ht="15" hidden="false" customHeight="false" outlineLevel="0" collapsed="false">
      <c r="A2209" s="33" t="n">
        <v>46309</v>
      </c>
      <c r="B2209" s="0" t="n">
        <v>8</v>
      </c>
      <c r="C2209" s="0" t="n">
        <v>6493</v>
      </c>
      <c r="E2209" s="0" t="n">
        <v>0</v>
      </c>
      <c r="F2209" s="27" t="s">
        <v>1204</v>
      </c>
      <c r="I2209" s="27" t="s">
        <v>138</v>
      </c>
      <c r="L2209" s="0" t="n">
        <v>140</v>
      </c>
      <c r="U2209" s="0" t="n">
        <v>540</v>
      </c>
      <c r="V2209" s="0" t="n">
        <v>1</v>
      </c>
      <c r="W2209" s="27" t="n">
        <f aca="false">MATCH(A2209,DATAS,0)</f>
        <v>1</v>
      </c>
      <c r="X2209" s="27" t="n">
        <f aca="false">IF(AND(E2209&gt;0,OR(AND(B2209&gt;=1,B2209&lt;=6),B2209=10)),1,0)</f>
        <v>0</v>
      </c>
      <c r="Y2209" s="27" t="n">
        <f aca="false">IF(AND(E2209&gt;0,B2209=10),1,0)</f>
        <v>0</v>
      </c>
      <c r="Z2209" s="0" t="str">
        <f aca="false">IF(AND(C2208=C2209,W2208=W2209-1),X2208,"")</f>
        <v/>
      </c>
      <c r="AA2209" s="0" t="str">
        <f aca="false">IF(AND(C2208=C2209,W2208=W2209-1),Y2208,"")</f>
        <v/>
      </c>
      <c r="AB2209" s="0" t="str">
        <f aca="false">IF(W2209=1,"",IF(AND(X2209=1,Z2209&lt;&gt;1),1,0))</f>
        <v/>
      </c>
      <c r="AC2209" s="0" t="str">
        <f aca="false">IF(W2209=1,"",IF(AND(Y2209=1,AA2209&lt;&gt;1),1,0))</f>
        <v/>
      </c>
      <c r="AD2209" s="33" t="str">
        <f aca="false">IF(AND(E2209&gt;0,W2209&lt;1,NOT(AND(C2210=C2209,W2210=W2209+1))),INDEX(DATAS,W2209+1),"")</f>
        <v/>
      </c>
      <c r="AE2209" s="33" t="str">
        <f aca="false">IF(AND(Y2209=1,W2209&lt;1),IF(AND(C2210=C2209,W2210=W2209+1),IF(Y2210=1,"",INDEX(DATAS,W2209+1)),INDEX(DATAS,W2209+1)),"")</f>
        <v/>
      </c>
    </row>
    <row r="2210" customFormat="false" ht="15" hidden="false" customHeight="false" outlineLevel="0" collapsed="false">
      <c r="A2210" s="33" t="n">
        <v>46309</v>
      </c>
      <c r="B2210" s="0" t="n">
        <v>8</v>
      </c>
      <c r="C2210" s="0" t="n">
        <v>6494</v>
      </c>
      <c r="E2210" s="0" t="n">
        <v>0</v>
      </c>
      <c r="F2210" s="27" t="s">
        <v>1204</v>
      </c>
      <c r="I2210" s="27" t="s">
        <v>138</v>
      </c>
      <c r="L2210" s="0" t="n">
        <v>131</v>
      </c>
      <c r="U2210" s="0" t="n">
        <v>540</v>
      </c>
      <c r="V2210" s="0" t="n">
        <v>1</v>
      </c>
      <c r="W2210" s="27" t="n">
        <f aca="false">MATCH(A2210,DATAS,0)</f>
        <v>1</v>
      </c>
      <c r="X2210" s="27" t="n">
        <f aca="false">IF(AND(E2210&gt;0,OR(AND(B2210&gt;=1,B2210&lt;=6),B2210=10)),1,0)</f>
        <v>0</v>
      </c>
      <c r="Y2210" s="27" t="n">
        <f aca="false">IF(AND(E2210&gt;0,B2210=10),1,0)</f>
        <v>0</v>
      </c>
      <c r="Z2210" s="0" t="str">
        <f aca="false">IF(AND(C2209=C2210,W2209=W2210-1),X2209,"")</f>
        <v/>
      </c>
      <c r="AA2210" s="0" t="str">
        <f aca="false">IF(AND(C2209=C2210,W2209=W2210-1),Y2209,"")</f>
        <v/>
      </c>
      <c r="AB2210" s="0" t="str">
        <f aca="false">IF(W2210=1,"",IF(AND(X2210=1,Z2210&lt;&gt;1),1,0))</f>
        <v/>
      </c>
      <c r="AC2210" s="0" t="str">
        <f aca="false">IF(W2210=1,"",IF(AND(Y2210=1,AA2210&lt;&gt;1),1,0))</f>
        <v/>
      </c>
      <c r="AD2210" s="33" t="str">
        <f aca="false">IF(AND(E2210&gt;0,W2210&lt;1,NOT(AND(C2211=C2210,W2211=W2210+1))),INDEX(DATAS,W2210+1),"")</f>
        <v/>
      </c>
      <c r="AE2210" s="33" t="str">
        <f aca="false">IF(AND(Y2210=1,W2210&lt;1),IF(AND(C2211=C2210,W2211=W2210+1),IF(Y2211=1,"",INDEX(DATAS,W2210+1)),INDEX(DATAS,W2210+1)),"")</f>
        <v/>
      </c>
    </row>
    <row r="2211" customFormat="false" ht="15" hidden="false" customHeight="false" outlineLevel="0" collapsed="false">
      <c r="A2211" s="33" t="n">
        <v>46309</v>
      </c>
      <c r="B2211" s="0" t="n">
        <v>8</v>
      </c>
      <c r="C2211" s="0" t="n">
        <v>6495</v>
      </c>
      <c r="E2211" s="0" t="n">
        <v>0</v>
      </c>
      <c r="F2211" s="27" t="s">
        <v>1204</v>
      </c>
      <c r="I2211" s="27" t="s">
        <v>138</v>
      </c>
      <c r="L2211" s="0" t="n">
        <v>105</v>
      </c>
      <c r="U2211" s="0" t="n">
        <v>540</v>
      </c>
      <c r="V2211" s="0" t="n">
        <v>1</v>
      </c>
      <c r="W2211" s="27" t="n">
        <f aca="false">MATCH(A2211,DATAS,0)</f>
        <v>1</v>
      </c>
      <c r="X2211" s="27" t="n">
        <f aca="false">IF(AND(E2211&gt;0,OR(AND(B2211&gt;=1,B2211&lt;=6),B2211=10)),1,0)</f>
        <v>0</v>
      </c>
      <c r="Y2211" s="27" t="n">
        <f aca="false">IF(AND(E2211&gt;0,B2211=10),1,0)</f>
        <v>0</v>
      </c>
      <c r="Z2211" s="0" t="str">
        <f aca="false">IF(AND(C2210=C2211,W2210=W2211-1),X2210,"")</f>
        <v/>
      </c>
      <c r="AA2211" s="0" t="str">
        <f aca="false">IF(AND(C2210=C2211,W2210=W2211-1),Y2210,"")</f>
        <v/>
      </c>
      <c r="AB2211" s="0" t="str">
        <f aca="false">IF(W2211=1,"",IF(AND(X2211=1,Z2211&lt;&gt;1),1,0))</f>
        <v/>
      </c>
      <c r="AC2211" s="0" t="str">
        <f aca="false">IF(W2211=1,"",IF(AND(Y2211=1,AA2211&lt;&gt;1),1,0))</f>
        <v/>
      </c>
      <c r="AD2211" s="33" t="str">
        <f aca="false">IF(AND(E2211&gt;0,W2211&lt;1,NOT(AND(C2212=C2211,W2212=W2211+1))),INDEX(DATAS,W2211+1),"")</f>
        <v/>
      </c>
      <c r="AE2211" s="33" t="str">
        <f aca="false">IF(AND(Y2211=1,W2211&lt;1),IF(AND(C2212=C2211,W2212=W2211+1),IF(Y2212=1,"",INDEX(DATAS,W2211+1)),INDEX(DATAS,W2211+1)),"")</f>
        <v/>
      </c>
    </row>
    <row r="2212" customFormat="false" ht="15" hidden="false" customHeight="false" outlineLevel="0" collapsed="false">
      <c r="A2212" s="33" t="n">
        <v>46309</v>
      </c>
      <c r="B2212" s="0" t="n">
        <v>8</v>
      </c>
      <c r="C2212" s="0" t="n">
        <v>6496</v>
      </c>
      <c r="E2212" s="0" t="n">
        <v>0</v>
      </c>
      <c r="F2212" s="27" t="s">
        <v>1204</v>
      </c>
      <c r="I2212" s="27" t="s">
        <v>138</v>
      </c>
      <c r="L2212" s="0" t="n">
        <v>122</v>
      </c>
      <c r="U2212" s="0" t="n">
        <v>540</v>
      </c>
      <c r="V2212" s="0" t="n">
        <v>2</v>
      </c>
      <c r="W2212" s="27" t="n">
        <f aca="false">MATCH(A2212,DATAS,0)</f>
        <v>1</v>
      </c>
      <c r="X2212" s="27" t="n">
        <f aca="false">IF(AND(E2212&gt;0,OR(AND(B2212&gt;=1,B2212&lt;=6),B2212=10)),1,0)</f>
        <v>0</v>
      </c>
      <c r="Y2212" s="27" t="n">
        <f aca="false">IF(AND(E2212&gt;0,B2212=10),1,0)</f>
        <v>0</v>
      </c>
      <c r="Z2212" s="0" t="str">
        <f aca="false">IF(AND(C2211=C2212,W2211=W2212-1),X2211,"")</f>
        <v/>
      </c>
      <c r="AA2212" s="0" t="str">
        <f aca="false">IF(AND(C2211=C2212,W2211=W2212-1),Y2211,"")</f>
        <v/>
      </c>
      <c r="AB2212" s="0" t="str">
        <f aca="false">IF(W2212=1,"",IF(AND(X2212=1,Z2212&lt;&gt;1),1,0))</f>
        <v/>
      </c>
      <c r="AC2212" s="0" t="str">
        <f aca="false">IF(W2212=1,"",IF(AND(Y2212=1,AA2212&lt;&gt;1),1,0))</f>
        <v/>
      </c>
      <c r="AD2212" s="33" t="str">
        <f aca="false">IF(AND(E2212&gt;0,W2212&lt;1,NOT(AND(C2213=C2212,W2213=W2212+1))),INDEX(DATAS,W2212+1),"")</f>
        <v/>
      </c>
      <c r="AE2212" s="33" t="str">
        <f aca="false">IF(AND(Y2212=1,W2212&lt;1),IF(AND(C2213=C2212,W2213=W2212+1),IF(Y2213=1,"",INDEX(DATAS,W2212+1)),INDEX(DATAS,W2212+1)),"")</f>
        <v/>
      </c>
    </row>
    <row r="2213" customFormat="false" ht="15" hidden="false" customHeight="false" outlineLevel="0" collapsed="false">
      <c r="A2213" s="33" t="n">
        <v>46309</v>
      </c>
      <c r="B2213" s="0" t="n">
        <v>8</v>
      </c>
      <c r="C2213" s="0" t="n">
        <v>6497</v>
      </c>
      <c r="E2213" s="0" t="n">
        <v>0</v>
      </c>
      <c r="F2213" s="27" t="s">
        <v>1204</v>
      </c>
      <c r="I2213" s="27" t="s">
        <v>138</v>
      </c>
      <c r="L2213" s="0" t="n">
        <v>65</v>
      </c>
      <c r="U2213" s="0" t="n">
        <v>540</v>
      </c>
      <c r="V2213" s="0" t="n">
        <v>4</v>
      </c>
      <c r="W2213" s="27" t="n">
        <f aca="false">MATCH(A2213,DATAS,0)</f>
        <v>1</v>
      </c>
      <c r="X2213" s="27" t="n">
        <f aca="false">IF(AND(E2213&gt;0,OR(AND(B2213&gt;=1,B2213&lt;=6),B2213=10)),1,0)</f>
        <v>0</v>
      </c>
      <c r="Y2213" s="27" t="n">
        <f aca="false">IF(AND(E2213&gt;0,B2213=10),1,0)</f>
        <v>0</v>
      </c>
      <c r="Z2213" s="0" t="str">
        <f aca="false">IF(AND(C2212=C2213,W2212=W2213-1),X2212,"")</f>
        <v/>
      </c>
      <c r="AA2213" s="0" t="str">
        <f aca="false">IF(AND(C2212=C2213,W2212=W2213-1),Y2212,"")</f>
        <v/>
      </c>
      <c r="AB2213" s="0" t="str">
        <f aca="false">IF(W2213=1,"",IF(AND(X2213=1,Z2213&lt;&gt;1),1,0))</f>
        <v/>
      </c>
      <c r="AC2213" s="0" t="str">
        <f aca="false">IF(W2213=1,"",IF(AND(Y2213=1,AA2213&lt;&gt;1),1,0))</f>
        <v/>
      </c>
      <c r="AD2213" s="33" t="str">
        <f aca="false">IF(AND(E2213&gt;0,W2213&lt;1,NOT(AND(C2214=C2213,W2214=W2213+1))),INDEX(DATAS,W2213+1),"")</f>
        <v/>
      </c>
      <c r="AE2213" s="33" t="str">
        <f aca="false">IF(AND(Y2213=1,W2213&lt;1),IF(AND(C2214=C2213,W2214=W2213+1),IF(Y2214=1,"",INDEX(DATAS,W2213+1)),INDEX(DATAS,W2213+1)),"")</f>
        <v/>
      </c>
    </row>
    <row r="2214" customFormat="false" ht="15" hidden="false" customHeight="false" outlineLevel="0" collapsed="false">
      <c r="A2214" s="33" t="n">
        <v>46309</v>
      </c>
      <c r="B2214" s="0" t="n">
        <v>8</v>
      </c>
      <c r="C2214" s="0" t="n">
        <v>6498</v>
      </c>
      <c r="E2214" s="0" t="n">
        <v>0</v>
      </c>
      <c r="F2214" s="27" t="s">
        <v>1205</v>
      </c>
      <c r="I2214" s="27" t="s">
        <v>138</v>
      </c>
      <c r="L2214" s="0" t="n">
        <v>103</v>
      </c>
      <c r="U2214" s="0" t="n">
        <v>539</v>
      </c>
      <c r="V2214" s="0" t="n">
        <v>2</v>
      </c>
      <c r="W2214" s="27" t="n">
        <f aca="false">MATCH(A2214,DATAS,0)</f>
        <v>1</v>
      </c>
      <c r="X2214" s="27" t="n">
        <f aca="false">IF(AND(E2214&gt;0,OR(AND(B2214&gt;=1,B2214&lt;=6),B2214=10)),1,0)</f>
        <v>0</v>
      </c>
      <c r="Y2214" s="27" t="n">
        <f aca="false">IF(AND(E2214&gt;0,B2214=10),1,0)</f>
        <v>0</v>
      </c>
      <c r="Z2214" s="0" t="str">
        <f aca="false">IF(AND(C2213=C2214,W2213=W2214-1),X2213,"")</f>
        <v/>
      </c>
      <c r="AA2214" s="0" t="str">
        <f aca="false">IF(AND(C2213=C2214,W2213=W2214-1),Y2213,"")</f>
        <v/>
      </c>
      <c r="AB2214" s="0" t="str">
        <f aca="false">IF(W2214=1,"",IF(AND(X2214=1,Z2214&lt;&gt;1),1,0))</f>
        <v/>
      </c>
      <c r="AC2214" s="0" t="str">
        <f aca="false">IF(W2214=1,"",IF(AND(Y2214=1,AA2214&lt;&gt;1),1,0))</f>
        <v/>
      </c>
      <c r="AD2214" s="33" t="str">
        <f aca="false">IF(AND(E2214&gt;0,W2214&lt;1,NOT(AND(C2215=C2214,W2215=W2214+1))),INDEX(DATAS,W2214+1),"")</f>
        <v/>
      </c>
      <c r="AE2214" s="33" t="str">
        <f aca="false">IF(AND(Y2214=1,W2214&lt;1),IF(AND(C2215=C2214,W2215=W2214+1),IF(Y2215=1,"",INDEX(DATAS,W2214+1)),INDEX(DATAS,W2214+1)),"")</f>
        <v/>
      </c>
    </row>
    <row r="2215" customFormat="false" ht="15" hidden="false" customHeight="false" outlineLevel="0" collapsed="false">
      <c r="A2215" s="33" t="n">
        <v>46309</v>
      </c>
      <c r="B2215" s="0" t="n">
        <v>8</v>
      </c>
      <c r="C2215" s="0" t="n">
        <v>6499</v>
      </c>
      <c r="E2215" s="0" t="n">
        <v>0</v>
      </c>
      <c r="F2215" s="27" t="s">
        <v>1205</v>
      </c>
      <c r="I2215" s="27" t="s">
        <v>138</v>
      </c>
      <c r="L2215" s="0" t="n">
        <v>135</v>
      </c>
      <c r="U2215" s="0" t="n">
        <v>539</v>
      </c>
      <c r="V2215" s="0" t="n">
        <v>1</v>
      </c>
      <c r="W2215" s="27" t="n">
        <f aca="false">MATCH(A2215,DATAS,0)</f>
        <v>1</v>
      </c>
      <c r="X2215" s="27" t="n">
        <f aca="false">IF(AND(E2215&gt;0,OR(AND(B2215&gt;=1,B2215&lt;=6),B2215=10)),1,0)</f>
        <v>0</v>
      </c>
      <c r="Y2215" s="27" t="n">
        <f aca="false">IF(AND(E2215&gt;0,B2215=10),1,0)</f>
        <v>0</v>
      </c>
      <c r="Z2215" s="0" t="str">
        <f aca="false">IF(AND(C2214=C2215,W2214=W2215-1),X2214,"")</f>
        <v/>
      </c>
      <c r="AA2215" s="0" t="str">
        <f aca="false">IF(AND(C2214=C2215,W2214=W2215-1),Y2214,"")</f>
        <v/>
      </c>
      <c r="AB2215" s="0" t="str">
        <f aca="false">IF(W2215=1,"",IF(AND(X2215=1,Z2215&lt;&gt;1),1,0))</f>
        <v/>
      </c>
      <c r="AC2215" s="0" t="str">
        <f aca="false">IF(W2215=1,"",IF(AND(Y2215=1,AA2215&lt;&gt;1),1,0))</f>
        <v/>
      </c>
      <c r="AD2215" s="33" t="str">
        <f aca="false">IF(AND(E2215&gt;0,W2215&lt;1,NOT(AND(C2216=C2215,W2216=W2215+1))),INDEX(DATAS,W2215+1),"")</f>
        <v/>
      </c>
      <c r="AE2215" s="33" t="str">
        <f aca="false">IF(AND(Y2215=1,W2215&lt;1),IF(AND(C2216=C2215,W2216=W2215+1),IF(Y2216=1,"",INDEX(DATAS,W2215+1)),INDEX(DATAS,W2215+1)),"")</f>
        <v/>
      </c>
    </row>
    <row r="2216" customFormat="false" ht="15" hidden="false" customHeight="false" outlineLevel="0" collapsed="false">
      <c r="A2216" s="33" t="n">
        <v>46309</v>
      </c>
      <c r="B2216" s="0" t="n">
        <v>8</v>
      </c>
      <c r="C2216" s="0" t="n">
        <v>6500</v>
      </c>
      <c r="E2216" s="0" t="n">
        <v>0</v>
      </c>
      <c r="F2216" s="27" t="s">
        <v>1205</v>
      </c>
      <c r="I2216" s="27" t="s">
        <v>138</v>
      </c>
      <c r="L2216" s="0" t="n">
        <v>126</v>
      </c>
      <c r="U2216" s="0" t="n">
        <v>539</v>
      </c>
      <c r="V2216" s="0" t="n">
        <v>1</v>
      </c>
      <c r="W2216" s="27" t="n">
        <f aca="false">MATCH(A2216,DATAS,0)</f>
        <v>1</v>
      </c>
      <c r="X2216" s="27" t="n">
        <f aca="false">IF(AND(E2216&gt;0,OR(AND(B2216&gt;=1,B2216&lt;=6),B2216=10)),1,0)</f>
        <v>0</v>
      </c>
      <c r="Y2216" s="27" t="n">
        <f aca="false">IF(AND(E2216&gt;0,B2216=10),1,0)</f>
        <v>0</v>
      </c>
      <c r="Z2216" s="0" t="str">
        <f aca="false">IF(AND(C2215=C2216,W2215=W2216-1),X2215,"")</f>
        <v/>
      </c>
      <c r="AA2216" s="0" t="str">
        <f aca="false">IF(AND(C2215=C2216,W2215=W2216-1),Y2215,"")</f>
        <v/>
      </c>
      <c r="AB2216" s="0" t="str">
        <f aca="false">IF(W2216=1,"",IF(AND(X2216=1,Z2216&lt;&gt;1),1,0))</f>
        <v/>
      </c>
      <c r="AC2216" s="0" t="str">
        <f aca="false">IF(W2216=1,"",IF(AND(Y2216=1,AA2216&lt;&gt;1),1,0))</f>
        <v/>
      </c>
      <c r="AD2216" s="33" t="str">
        <f aca="false">IF(AND(E2216&gt;0,W2216&lt;1,NOT(AND(C2217=C2216,W2217=W2216+1))),INDEX(DATAS,W2216+1),"")</f>
        <v/>
      </c>
      <c r="AE2216" s="33" t="str">
        <f aca="false">IF(AND(Y2216=1,W2216&lt;1),IF(AND(C2217=C2216,W2217=W2216+1),IF(Y2217=1,"",INDEX(DATAS,W2216+1)),INDEX(DATAS,W2216+1)),"")</f>
        <v/>
      </c>
    </row>
    <row r="2217" customFormat="false" ht="15" hidden="false" customHeight="false" outlineLevel="0" collapsed="false">
      <c r="A2217" s="33" t="n">
        <v>46309</v>
      </c>
      <c r="B2217" s="0" t="n">
        <v>8</v>
      </c>
      <c r="C2217" s="0" t="n">
        <v>6501</v>
      </c>
      <c r="E2217" s="0" t="n">
        <v>0</v>
      </c>
      <c r="F2217" s="27" t="s">
        <v>1205</v>
      </c>
      <c r="I2217" s="27" t="s">
        <v>138</v>
      </c>
      <c r="L2217" s="0" t="n">
        <v>140</v>
      </c>
      <c r="U2217" s="0" t="n">
        <v>539</v>
      </c>
      <c r="V2217" s="0" t="n">
        <v>1</v>
      </c>
      <c r="W2217" s="27" t="n">
        <f aca="false">MATCH(A2217,DATAS,0)</f>
        <v>1</v>
      </c>
      <c r="X2217" s="27" t="n">
        <f aca="false">IF(AND(E2217&gt;0,OR(AND(B2217&gt;=1,B2217&lt;=6),B2217=10)),1,0)</f>
        <v>0</v>
      </c>
      <c r="Y2217" s="27" t="n">
        <f aca="false">IF(AND(E2217&gt;0,B2217=10),1,0)</f>
        <v>0</v>
      </c>
      <c r="Z2217" s="0" t="str">
        <f aca="false">IF(AND(C2216=C2217,W2216=W2217-1),X2216,"")</f>
        <v/>
      </c>
      <c r="AA2217" s="0" t="str">
        <f aca="false">IF(AND(C2216=C2217,W2216=W2217-1),Y2216,"")</f>
        <v/>
      </c>
      <c r="AB2217" s="0" t="str">
        <f aca="false">IF(W2217=1,"",IF(AND(X2217=1,Z2217&lt;&gt;1),1,0))</f>
        <v/>
      </c>
      <c r="AC2217" s="0" t="str">
        <f aca="false">IF(W2217=1,"",IF(AND(Y2217=1,AA2217&lt;&gt;1),1,0))</f>
        <v/>
      </c>
      <c r="AD2217" s="33" t="str">
        <f aca="false">IF(AND(E2217&gt;0,W2217&lt;1,NOT(AND(C2218=C2217,W2218=W2217+1))),INDEX(DATAS,W2217+1),"")</f>
        <v/>
      </c>
      <c r="AE2217" s="33" t="str">
        <f aca="false">IF(AND(Y2217=1,W2217&lt;1),IF(AND(C2218=C2217,W2218=W2217+1),IF(Y2218=1,"",INDEX(DATAS,W2217+1)),INDEX(DATAS,W2217+1)),"")</f>
        <v/>
      </c>
    </row>
    <row r="2218" customFormat="false" ht="15" hidden="false" customHeight="false" outlineLevel="0" collapsed="false">
      <c r="A2218" s="33" t="n">
        <v>46309</v>
      </c>
      <c r="B2218" s="0" t="n">
        <v>8</v>
      </c>
      <c r="C2218" s="0" t="n">
        <v>6502</v>
      </c>
      <c r="E2218" s="0" t="n">
        <v>0</v>
      </c>
      <c r="F2218" s="27" t="s">
        <v>1205</v>
      </c>
      <c r="I2218" s="27" t="s">
        <v>138</v>
      </c>
      <c r="L2218" s="0" t="n">
        <v>98</v>
      </c>
      <c r="U2218" s="0" t="n">
        <v>539</v>
      </c>
      <c r="V2218" s="0" t="n">
        <v>3</v>
      </c>
      <c r="W2218" s="27" t="n">
        <f aca="false">MATCH(A2218,DATAS,0)</f>
        <v>1</v>
      </c>
      <c r="X2218" s="27" t="n">
        <f aca="false">IF(AND(E2218&gt;0,OR(AND(B2218&gt;=1,B2218&lt;=6),B2218=10)),1,0)</f>
        <v>0</v>
      </c>
      <c r="Y2218" s="27" t="n">
        <f aca="false">IF(AND(E2218&gt;0,B2218=10),1,0)</f>
        <v>0</v>
      </c>
      <c r="Z2218" s="0" t="str">
        <f aca="false">IF(AND(C2217=C2218,W2217=W2218-1),X2217,"")</f>
        <v/>
      </c>
      <c r="AA2218" s="0" t="str">
        <f aca="false">IF(AND(C2217=C2218,W2217=W2218-1),Y2217,"")</f>
        <v/>
      </c>
      <c r="AB2218" s="0" t="str">
        <f aca="false">IF(W2218=1,"",IF(AND(X2218=1,Z2218&lt;&gt;1),1,0))</f>
        <v/>
      </c>
      <c r="AC2218" s="0" t="str">
        <f aca="false">IF(W2218=1,"",IF(AND(Y2218=1,AA2218&lt;&gt;1),1,0))</f>
        <v/>
      </c>
      <c r="AD2218" s="33" t="str">
        <f aca="false">IF(AND(E2218&gt;0,W2218&lt;1,NOT(AND(C2219=C2218,W2219=W2218+1))),INDEX(DATAS,W2218+1),"")</f>
        <v/>
      </c>
      <c r="AE2218" s="33" t="str">
        <f aca="false">IF(AND(Y2218=1,W2218&lt;1),IF(AND(C2219=C2218,W2219=W2218+1),IF(Y2219=1,"",INDEX(DATAS,W2218+1)),INDEX(DATAS,W2218+1)),"")</f>
        <v/>
      </c>
    </row>
    <row r="2219" customFormat="false" ht="15" hidden="false" customHeight="false" outlineLevel="0" collapsed="false">
      <c r="A2219" s="33" t="n">
        <v>46309</v>
      </c>
      <c r="B2219" s="0" t="n">
        <v>8</v>
      </c>
      <c r="C2219" s="0" t="n">
        <v>6503</v>
      </c>
      <c r="E2219" s="0" t="n">
        <v>0</v>
      </c>
      <c r="F2219" s="27" t="s">
        <v>1206</v>
      </c>
      <c r="I2219" s="27" t="s">
        <v>138</v>
      </c>
      <c r="L2219" s="0" t="n">
        <v>43</v>
      </c>
      <c r="U2219" s="0" t="n">
        <v>538</v>
      </c>
      <c r="V2219" s="0" t="n">
        <v>3</v>
      </c>
      <c r="W2219" s="27" t="n">
        <f aca="false">MATCH(A2219,DATAS,0)</f>
        <v>1</v>
      </c>
      <c r="X2219" s="27" t="n">
        <f aca="false">IF(AND(E2219&gt;0,OR(AND(B2219&gt;=1,B2219&lt;=6),B2219=10)),1,0)</f>
        <v>0</v>
      </c>
      <c r="Y2219" s="27" t="n">
        <f aca="false">IF(AND(E2219&gt;0,B2219=10),1,0)</f>
        <v>0</v>
      </c>
      <c r="Z2219" s="0" t="str">
        <f aca="false">IF(AND(C2218=C2219,W2218=W2219-1),X2218,"")</f>
        <v/>
      </c>
      <c r="AA2219" s="0" t="str">
        <f aca="false">IF(AND(C2218=C2219,W2218=W2219-1),Y2218,"")</f>
        <v/>
      </c>
      <c r="AB2219" s="0" t="str">
        <f aca="false">IF(W2219=1,"",IF(AND(X2219=1,Z2219&lt;&gt;1),1,0))</f>
        <v/>
      </c>
      <c r="AC2219" s="0" t="str">
        <f aca="false">IF(W2219=1,"",IF(AND(Y2219=1,AA2219&lt;&gt;1),1,0))</f>
        <v/>
      </c>
      <c r="AD2219" s="33" t="str">
        <f aca="false">IF(AND(E2219&gt;0,W2219&lt;1,NOT(AND(C2220=C2219,W2220=W2219+1))),INDEX(DATAS,W2219+1),"")</f>
        <v/>
      </c>
      <c r="AE2219" s="33" t="str">
        <f aca="false">IF(AND(Y2219=1,W2219&lt;1),IF(AND(C2220=C2219,W2220=W2219+1),IF(Y2220=1,"",INDEX(DATAS,W2219+1)),INDEX(DATAS,W2219+1)),"")</f>
        <v/>
      </c>
    </row>
    <row r="2220" customFormat="false" ht="15" hidden="false" customHeight="false" outlineLevel="0" collapsed="false">
      <c r="A2220" s="33" t="n">
        <v>46309</v>
      </c>
      <c r="B2220" s="0" t="n">
        <v>8</v>
      </c>
      <c r="C2220" s="0" t="n">
        <v>6504</v>
      </c>
      <c r="E2220" s="0" t="n">
        <v>0</v>
      </c>
      <c r="F2220" s="27" t="s">
        <v>1207</v>
      </c>
      <c r="I2220" s="27" t="s">
        <v>138</v>
      </c>
      <c r="L2220" s="0" t="n">
        <v>55</v>
      </c>
      <c r="U2220" s="0" t="n">
        <v>537</v>
      </c>
      <c r="V2220" s="0" t="n">
        <v>2</v>
      </c>
      <c r="W2220" s="27" t="n">
        <f aca="false">MATCH(A2220,DATAS,0)</f>
        <v>1</v>
      </c>
      <c r="X2220" s="27" t="n">
        <f aca="false">IF(AND(E2220&gt;0,OR(AND(B2220&gt;=1,B2220&lt;=6),B2220=10)),1,0)</f>
        <v>0</v>
      </c>
      <c r="Y2220" s="27" t="n">
        <f aca="false">IF(AND(E2220&gt;0,B2220=10),1,0)</f>
        <v>0</v>
      </c>
      <c r="Z2220" s="0" t="str">
        <f aca="false">IF(AND(C2219=C2220,W2219=W2220-1),X2219,"")</f>
        <v/>
      </c>
      <c r="AA2220" s="0" t="str">
        <f aca="false">IF(AND(C2219=C2220,W2219=W2220-1),Y2219,"")</f>
        <v/>
      </c>
      <c r="AB2220" s="0" t="str">
        <f aca="false">IF(W2220=1,"",IF(AND(X2220=1,Z2220&lt;&gt;1),1,0))</f>
        <v/>
      </c>
      <c r="AC2220" s="0" t="str">
        <f aca="false">IF(W2220=1,"",IF(AND(Y2220=1,AA2220&lt;&gt;1),1,0))</f>
        <v/>
      </c>
      <c r="AD2220" s="33" t="str">
        <f aca="false">IF(AND(E2220&gt;0,W2220&lt;1,NOT(AND(C2221=C2220,W2221=W2220+1))),INDEX(DATAS,W2220+1),"")</f>
        <v/>
      </c>
      <c r="AE2220" s="33" t="str">
        <f aca="false">IF(AND(Y2220=1,W2220&lt;1),IF(AND(C2221=C2220,W2221=W2220+1),IF(Y2221=1,"",INDEX(DATAS,W2220+1)),INDEX(DATAS,W2220+1)),"")</f>
        <v/>
      </c>
    </row>
    <row r="2221" customFormat="false" ht="15" hidden="false" customHeight="false" outlineLevel="0" collapsed="false">
      <c r="A2221" s="33" t="n">
        <v>46309</v>
      </c>
      <c r="B2221" s="0" t="n">
        <v>8</v>
      </c>
      <c r="C2221" s="0" t="n">
        <v>6505</v>
      </c>
      <c r="E2221" s="0" t="n">
        <v>0</v>
      </c>
      <c r="F2221" s="27" t="s">
        <v>1207</v>
      </c>
      <c r="I2221" s="27" t="s">
        <v>138</v>
      </c>
      <c r="L2221" s="0" t="n">
        <v>133</v>
      </c>
      <c r="U2221" s="0" t="n">
        <v>537</v>
      </c>
      <c r="V2221" s="0" t="n">
        <v>1</v>
      </c>
      <c r="W2221" s="27" t="n">
        <f aca="false">MATCH(A2221,DATAS,0)</f>
        <v>1</v>
      </c>
      <c r="X2221" s="27" t="n">
        <f aca="false">IF(AND(E2221&gt;0,OR(AND(B2221&gt;=1,B2221&lt;=6),B2221=10)),1,0)</f>
        <v>0</v>
      </c>
      <c r="Y2221" s="27" t="n">
        <f aca="false">IF(AND(E2221&gt;0,B2221=10),1,0)</f>
        <v>0</v>
      </c>
      <c r="Z2221" s="0" t="str">
        <f aca="false">IF(AND(C2220=C2221,W2220=W2221-1),X2220,"")</f>
        <v/>
      </c>
      <c r="AA2221" s="0" t="str">
        <f aca="false">IF(AND(C2220=C2221,W2220=W2221-1),Y2220,"")</f>
        <v/>
      </c>
      <c r="AB2221" s="0" t="str">
        <f aca="false">IF(W2221=1,"",IF(AND(X2221=1,Z2221&lt;&gt;1),1,0))</f>
        <v/>
      </c>
      <c r="AC2221" s="0" t="str">
        <f aca="false">IF(W2221=1,"",IF(AND(Y2221=1,AA2221&lt;&gt;1),1,0))</f>
        <v/>
      </c>
      <c r="AD2221" s="33" t="str">
        <f aca="false">IF(AND(E2221&gt;0,W2221&lt;1,NOT(AND(C2222=C2221,W2222=W2221+1))),INDEX(DATAS,W2221+1),"")</f>
        <v/>
      </c>
      <c r="AE2221" s="33" t="str">
        <f aca="false">IF(AND(Y2221=1,W2221&lt;1),IF(AND(C2222=C2221,W2222=W2221+1),IF(Y2222=1,"",INDEX(DATAS,W2221+1)),INDEX(DATAS,W2221+1)),"")</f>
        <v/>
      </c>
    </row>
    <row r="2222" customFormat="false" ht="15" hidden="false" customHeight="false" outlineLevel="0" collapsed="false">
      <c r="A2222" s="33" t="n">
        <v>46309</v>
      </c>
      <c r="B2222" s="0" t="n">
        <v>8</v>
      </c>
      <c r="C2222" s="0" t="n">
        <v>6506</v>
      </c>
      <c r="E2222" s="0" t="n">
        <v>0</v>
      </c>
      <c r="F2222" s="27" t="s">
        <v>1208</v>
      </c>
      <c r="I2222" s="27" t="s">
        <v>138</v>
      </c>
      <c r="L2222" s="0" t="n">
        <v>133</v>
      </c>
      <c r="U2222" s="0" t="n">
        <v>533</v>
      </c>
      <c r="V2222" s="0" t="n">
        <v>1</v>
      </c>
      <c r="W2222" s="27" t="n">
        <f aca="false">MATCH(A2222,DATAS,0)</f>
        <v>1</v>
      </c>
      <c r="X2222" s="27" t="n">
        <f aca="false">IF(AND(E2222&gt;0,OR(AND(B2222&gt;=1,B2222&lt;=6),B2222=10)),1,0)</f>
        <v>0</v>
      </c>
      <c r="Y2222" s="27" t="n">
        <f aca="false">IF(AND(E2222&gt;0,B2222=10),1,0)</f>
        <v>0</v>
      </c>
      <c r="Z2222" s="0" t="str">
        <f aca="false">IF(AND(C2221=C2222,W2221=W2222-1),X2221,"")</f>
        <v/>
      </c>
      <c r="AA2222" s="0" t="str">
        <f aca="false">IF(AND(C2221=C2222,W2221=W2222-1),Y2221,"")</f>
        <v/>
      </c>
      <c r="AB2222" s="0" t="str">
        <f aca="false">IF(W2222=1,"",IF(AND(X2222=1,Z2222&lt;&gt;1),1,0))</f>
        <v/>
      </c>
      <c r="AC2222" s="0" t="str">
        <f aca="false">IF(W2222=1,"",IF(AND(Y2222=1,AA2222&lt;&gt;1),1,0))</f>
        <v/>
      </c>
      <c r="AD2222" s="33" t="str">
        <f aca="false">IF(AND(E2222&gt;0,W2222&lt;1,NOT(AND(C2223=C2222,W2223=W2222+1))),INDEX(DATAS,W2222+1),"")</f>
        <v/>
      </c>
      <c r="AE2222" s="33" t="str">
        <f aca="false">IF(AND(Y2222=1,W2222&lt;1),IF(AND(C2223=C2222,W2223=W2222+1),IF(Y2223=1,"",INDEX(DATAS,W2222+1)),INDEX(DATAS,W2222+1)),"")</f>
        <v/>
      </c>
    </row>
    <row r="2223" customFormat="false" ht="15" hidden="false" customHeight="false" outlineLevel="0" collapsed="false">
      <c r="A2223" s="33" t="n">
        <v>46309</v>
      </c>
      <c r="B2223" s="0" t="n">
        <v>8</v>
      </c>
      <c r="C2223" s="0" t="n">
        <v>6507</v>
      </c>
      <c r="E2223" s="0" t="n">
        <v>0</v>
      </c>
      <c r="F2223" s="27" t="s">
        <v>1208</v>
      </c>
      <c r="I2223" s="27" t="s">
        <v>138</v>
      </c>
      <c r="L2223" s="0" t="n">
        <v>105</v>
      </c>
      <c r="U2223" s="0" t="n">
        <v>533</v>
      </c>
      <c r="V2223" s="0" t="n">
        <v>2</v>
      </c>
      <c r="W2223" s="27" t="n">
        <f aca="false">MATCH(A2223,DATAS,0)</f>
        <v>1</v>
      </c>
      <c r="X2223" s="27" t="n">
        <f aca="false">IF(AND(E2223&gt;0,OR(AND(B2223&gt;=1,B2223&lt;=6),B2223=10)),1,0)</f>
        <v>0</v>
      </c>
      <c r="Y2223" s="27" t="n">
        <f aca="false">IF(AND(E2223&gt;0,B2223=10),1,0)</f>
        <v>0</v>
      </c>
      <c r="Z2223" s="0" t="str">
        <f aca="false">IF(AND(C2222=C2223,W2222=W2223-1),X2222,"")</f>
        <v/>
      </c>
      <c r="AA2223" s="0" t="str">
        <f aca="false">IF(AND(C2222=C2223,W2222=W2223-1),Y2222,"")</f>
        <v/>
      </c>
      <c r="AB2223" s="0" t="str">
        <f aca="false">IF(W2223=1,"",IF(AND(X2223=1,Z2223&lt;&gt;1),1,0))</f>
        <v/>
      </c>
      <c r="AC2223" s="0" t="str">
        <f aca="false">IF(W2223=1,"",IF(AND(Y2223=1,AA2223&lt;&gt;1),1,0))</f>
        <v/>
      </c>
      <c r="AD2223" s="33" t="str">
        <f aca="false">IF(AND(E2223&gt;0,W2223&lt;1,NOT(AND(C2224=C2223,W2224=W2223+1))),INDEX(DATAS,W2223+1),"")</f>
        <v/>
      </c>
      <c r="AE2223" s="33" t="str">
        <f aca="false">IF(AND(Y2223=1,W2223&lt;1),IF(AND(C2224=C2223,W2224=W2223+1),IF(Y2224=1,"",INDEX(DATAS,W2223+1)),INDEX(DATAS,W2223+1)),"")</f>
        <v/>
      </c>
    </row>
    <row r="2224" customFormat="false" ht="15" hidden="false" customHeight="false" outlineLevel="0" collapsed="false">
      <c r="A2224" s="33" t="n">
        <v>46309</v>
      </c>
      <c r="B2224" s="0" t="n">
        <v>8</v>
      </c>
      <c r="C2224" s="0" t="n">
        <v>6508</v>
      </c>
      <c r="E2224" s="0" t="n">
        <v>0</v>
      </c>
      <c r="F2224" s="27" t="s">
        <v>1208</v>
      </c>
      <c r="I2224" s="27" t="s">
        <v>138</v>
      </c>
      <c r="L2224" s="0" t="n">
        <v>118</v>
      </c>
      <c r="U2224" s="0" t="n">
        <v>533</v>
      </c>
      <c r="V2224" s="0" t="n">
        <v>2</v>
      </c>
      <c r="W2224" s="27" t="n">
        <f aca="false">MATCH(A2224,DATAS,0)</f>
        <v>1</v>
      </c>
      <c r="X2224" s="27" t="n">
        <f aca="false">IF(AND(E2224&gt;0,OR(AND(B2224&gt;=1,B2224&lt;=6),B2224=10)),1,0)</f>
        <v>0</v>
      </c>
      <c r="Y2224" s="27" t="n">
        <f aca="false">IF(AND(E2224&gt;0,B2224=10),1,0)</f>
        <v>0</v>
      </c>
      <c r="Z2224" s="0" t="str">
        <f aca="false">IF(AND(C2223=C2224,W2223=W2224-1),X2223,"")</f>
        <v/>
      </c>
      <c r="AA2224" s="0" t="str">
        <f aca="false">IF(AND(C2223=C2224,W2223=W2224-1),Y2223,"")</f>
        <v/>
      </c>
      <c r="AB2224" s="0" t="str">
        <f aca="false">IF(W2224=1,"",IF(AND(X2224=1,Z2224&lt;&gt;1),1,0))</f>
        <v/>
      </c>
      <c r="AC2224" s="0" t="str">
        <f aca="false">IF(W2224=1,"",IF(AND(Y2224=1,AA2224&lt;&gt;1),1,0))</f>
        <v/>
      </c>
      <c r="AD2224" s="33" t="str">
        <f aca="false">IF(AND(E2224&gt;0,W2224&lt;1,NOT(AND(C2225=C2224,W2225=W2224+1))),INDEX(DATAS,W2224+1),"")</f>
        <v/>
      </c>
      <c r="AE2224" s="33" t="str">
        <f aca="false">IF(AND(Y2224=1,W2224&lt;1),IF(AND(C2225=C2224,W2225=W2224+1),IF(Y2225=1,"",INDEX(DATAS,W2224+1)),INDEX(DATAS,W2224+1)),"")</f>
        <v/>
      </c>
    </row>
    <row r="2225" customFormat="false" ht="15" hidden="false" customHeight="false" outlineLevel="0" collapsed="false">
      <c r="A2225" s="33" t="n">
        <v>46309</v>
      </c>
      <c r="B2225" s="0" t="n">
        <v>8</v>
      </c>
      <c r="C2225" s="0" t="n">
        <v>6509</v>
      </c>
      <c r="E2225" s="0" t="n">
        <v>0</v>
      </c>
      <c r="F2225" s="27" t="s">
        <v>1209</v>
      </c>
      <c r="I2225" s="27" t="s">
        <v>138</v>
      </c>
      <c r="L2225" s="0" t="n">
        <v>43</v>
      </c>
      <c r="U2225" s="0" t="n">
        <v>532</v>
      </c>
      <c r="V2225" s="0" t="n">
        <v>3</v>
      </c>
      <c r="W2225" s="27" t="n">
        <f aca="false">MATCH(A2225,DATAS,0)</f>
        <v>1</v>
      </c>
      <c r="X2225" s="27" t="n">
        <f aca="false">IF(AND(E2225&gt;0,OR(AND(B2225&gt;=1,B2225&lt;=6),B2225=10)),1,0)</f>
        <v>0</v>
      </c>
      <c r="Y2225" s="27" t="n">
        <f aca="false">IF(AND(E2225&gt;0,B2225=10),1,0)</f>
        <v>0</v>
      </c>
      <c r="Z2225" s="0" t="str">
        <f aca="false">IF(AND(C2224=C2225,W2224=W2225-1),X2224,"")</f>
        <v/>
      </c>
      <c r="AA2225" s="0" t="str">
        <f aca="false">IF(AND(C2224=C2225,W2224=W2225-1),Y2224,"")</f>
        <v/>
      </c>
      <c r="AB2225" s="0" t="str">
        <f aca="false">IF(W2225=1,"",IF(AND(X2225=1,Z2225&lt;&gt;1),1,0))</f>
        <v/>
      </c>
      <c r="AC2225" s="0" t="str">
        <f aca="false">IF(W2225=1,"",IF(AND(Y2225=1,AA2225&lt;&gt;1),1,0))</f>
        <v/>
      </c>
      <c r="AD2225" s="33" t="str">
        <f aca="false">IF(AND(E2225&gt;0,W2225&lt;1,NOT(AND(C2226=C2225,W2226=W2225+1))),INDEX(DATAS,W2225+1),"")</f>
        <v/>
      </c>
      <c r="AE2225" s="33" t="str">
        <f aca="false">IF(AND(Y2225=1,W2225&lt;1),IF(AND(C2226=C2225,W2226=W2225+1),IF(Y2226=1,"",INDEX(DATAS,W2225+1)),INDEX(DATAS,W2225+1)),"")</f>
        <v/>
      </c>
    </row>
    <row r="2226" customFormat="false" ht="15" hidden="false" customHeight="false" outlineLevel="0" collapsed="false">
      <c r="A2226" s="33" t="n">
        <v>46309</v>
      </c>
      <c r="B2226" s="0" t="n">
        <v>8</v>
      </c>
      <c r="C2226" s="0" t="n">
        <v>6510</v>
      </c>
      <c r="E2226" s="0" t="n">
        <v>0</v>
      </c>
      <c r="F2226" s="27" t="s">
        <v>1209</v>
      </c>
      <c r="I2226" s="27" t="s">
        <v>138</v>
      </c>
      <c r="L2226" s="0" t="n">
        <v>134</v>
      </c>
      <c r="U2226" s="0" t="n">
        <v>532</v>
      </c>
      <c r="V2226" s="0" t="n">
        <v>1</v>
      </c>
      <c r="W2226" s="27" t="n">
        <f aca="false">MATCH(A2226,DATAS,0)</f>
        <v>1</v>
      </c>
      <c r="X2226" s="27" t="n">
        <f aca="false">IF(AND(E2226&gt;0,OR(AND(B2226&gt;=1,B2226&lt;=6),B2226=10)),1,0)</f>
        <v>0</v>
      </c>
      <c r="Y2226" s="27" t="n">
        <f aca="false">IF(AND(E2226&gt;0,B2226=10),1,0)</f>
        <v>0</v>
      </c>
      <c r="Z2226" s="0" t="str">
        <f aca="false">IF(AND(C2225=C2226,W2225=W2226-1),X2225,"")</f>
        <v/>
      </c>
      <c r="AA2226" s="0" t="str">
        <f aca="false">IF(AND(C2225=C2226,W2225=W2226-1),Y2225,"")</f>
        <v/>
      </c>
      <c r="AB2226" s="0" t="str">
        <f aca="false">IF(W2226=1,"",IF(AND(X2226=1,Z2226&lt;&gt;1),1,0))</f>
        <v/>
      </c>
      <c r="AC2226" s="0" t="str">
        <f aca="false">IF(W2226=1,"",IF(AND(Y2226=1,AA2226&lt;&gt;1),1,0))</f>
        <v/>
      </c>
      <c r="AD2226" s="33" t="str">
        <f aca="false">IF(AND(E2226&gt;0,W2226&lt;1,NOT(AND(C2227=C2226,W2227=W2226+1))),INDEX(DATAS,W2226+1),"")</f>
        <v/>
      </c>
      <c r="AE2226" s="33" t="str">
        <f aca="false">IF(AND(Y2226=1,W2226&lt;1),IF(AND(C2227=C2226,W2227=W2226+1),IF(Y2227=1,"",INDEX(DATAS,W2226+1)),INDEX(DATAS,W2226+1)),"")</f>
        <v/>
      </c>
    </row>
    <row r="2227" customFormat="false" ht="15" hidden="false" customHeight="false" outlineLevel="0" collapsed="false">
      <c r="A2227" s="33" t="n">
        <v>46309</v>
      </c>
      <c r="B2227" s="0" t="n">
        <v>8</v>
      </c>
      <c r="C2227" s="0" t="n">
        <v>6511</v>
      </c>
      <c r="E2227" s="0" t="n">
        <v>0</v>
      </c>
      <c r="F2227" s="27" t="s">
        <v>1210</v>
      </c>
      <c r="I2227" s="27" t="s">
        <v>138</v>
      </c>
      <c r="L2227" s="0" t="n">
        <v>134</v>
      </c>
      <c r="U2227" s="0" t="n">
        <v>531</v>
      </c>
      <c r="V2227" s="0" t="n">
        <v>1</v>
      </c>
      <c r="W2227" s="27" t="n">
        <f aca="false">MATCH(A2227,DATAS,0)</f>
        <v>1</v>
      </c>
      <c r="X2227" s="27" t="n">
        <f aca="false">IF(AND(E2227&gt;0,OR(AND(B2227&gt;=1,B2227&lt;=6),B2227=10)),1,0)</f>
        <v>0</v>
      </c>
      <c r="Y2227" s="27" t="n">
        <f aca="false">IF(AND(E2227&gt;0,B2227=10),1,0)</f>
        <v>0</v>
      </c>
      <c r="Z2227" s="0" t="str">
        <f aca="false">IF(AND(C2226=C2227,W2226=W2227-1),X2226,"")</f>
        <v/>
      </c>
      <c r="AA2227" s="0" t="str">
        <f aca="false">IF(AND(C2226=C2227,W2226=W2227-1),Y2226,"")</f>
        <v/>
      </c>
      <c r="AB2227" s="0" t="str">
        <f aca="false">IF(W2227=1,"",IF(AND(X2227=1,Z2227&lt;&gt;1),1,0))</f>
        <v/>
      </c>
      <c r="AC2227" s="0" t="str">
        <f aca="false">IF(W2227=1,"",IF(AND(Y2227=1,AA2227&lt;&gt;1),1,0))</f>
        <v/>
      </c>
      <c r="AD2227" s="33" t="str">
        <f aca="false">IF(AND(E2227&gt;0,W2227&lt;1,NOT(AND(C2228=C2227,W2228=W2227+1))),INDEX(DATAS,W2227+1),"")</f>
        <v/>
      </c>
      <c r="AE2227" s="33" t="str">
        <f aca="false">IF(AND(Y2227=1,W2227&lt;1),IF(AND(C2228=C2227,W2228=W2227+1),IF(Y2228=1,"",INDEX(DATAS,W2227+1)),INDEX(DATAS,W2227+1)),"")</f>
        <v/>
      </c>
    </row>
    <row r="2228" customFormat="false" ht="15" hidden="false" customHeight="false" outlineLevel="0" collapsed="false">
      <c r="A2228" s="33" t="n">
        <v>46309</v>
      </c>
      <c r="B2228" s="0" t="n">
        <v>8</v>
      </c>
      <c r="C2228" s="0" t="n">
        <v>6512</v>
      </c>
      <c r="E2228" s="0" t="n">
        <v>0</v>
      </c>
      <c r="F2228" s="27" t="s">
        <v>1210</v>
      </c>
      <c r="I2228" s="27" t="s">
        <v>138</v>
      </c>
      <c r="L2228" s="0" t="n">
        <v>133</v>
      </c>
      <c r="U2228" s="0" t="n">
        <v>531</v>
      </c>
      <c r="V2228" s="0" t="n">
        <v>1</v>
      </c>
      <c r="W2228" s="27" t="n">
        <f aca="false">MATCH(A2228,DATAS,0)</f>
        <v>1</v>
      </c>
      <c r="X2228" s="27" t="n">
        <f aca="false">IF(AND(E2228&gt;0,OR(AND(B2228&gt;=1,B2228&lt;=6),B2228=10)),1,0)</f>
        <v>0</v>
      </c>
      <c r="Y2228" s="27" t="n">
        <f aca="false">IF(AND(E2228&gt;0,B2228=10),1,0)</f>
        <v>0</v>
      </c>
      <c r="Z2228" s="0" t="str">
        <f aca="false">IF(AND(C2227=C2228,W2227=W2228-1),X2227,"")</f>
        <v/>
      </c>
      <c r="AA2228" s="0" t="str">
        <f aca="false">IF(AND(C2227=C2228,W2227=W2228-1),Y2227,"")</f>
        <v/>
      </c>
      <c r="AB2228" s="0" t="str">
        <f aca="false">IF(W2228=1,"",IF(AND(X2228=1,Z2228&lt;&gt;1),1,0))</f>
        <v/>
      </c>
      <c r="AC2228" s="0" t="str">
        <f aca="false">IF(W2228=1,"",IF(AND(Y2228=1,AA2228&lt;&gt;1),1,0))</f>
        <v/>
      </c>
      <c r="AD2228" s="33" t="str">
        <f aca="false">IF(AND(E2228&gt;0,W2228&lt;1,NOT(AND(C2229=C2228,W2229=W2228+1))),INDEX(DATAS,W2228+1),"")</f>
        <v/>
      </c>
      <c r="AE2228" s="33" t="str">
        <f aca="false">IF(AND(Y2228=1,W2228&lt;1),IF(AND(C2229=C2228,W2229=W2228+1),IF(Y2229=1,"",INDEX(DATAS,W2228+1)),INDEX(DATAS,W2228+1)),"")</f>
        <v/>
      </c>
    </row>
    <row r="2229" customFormat="false" ht="15" hidden="false" customHeight="false" outlineLevel="0" collapsed="false">
      <c r="A2229" s="33" t="n">
        <v>46309</v>
      </c>
      <c r="B2229" s="0" t="n">
        <v>8</v>
      </c>
      <c r="C2229" s="0" t="n">
        <v>6513</v>
      </c>
      <c r="E2229" s="0" t="n">
        <v>0</v>
      </c>
      <c r="F2229" s="27" t="s">
        <v>1210</v>
      </c>
      <c r="I2229" s="27" t="s">
        <v>138</v>
      </c>
      <c r="L2229" s="0" t="n">
        <v>84</v>
      </c>
      <c r="U2229" s="0" t="n">
        <v>531</v>
      </c>
      <c r="V2229" s="0" t="n">
        <v>3</v>
      </c>
      <c r="W2229" s="27" t="n">
        <f aca="false">MATCH(A2229,DATAS,0)</f>
        <v>1</v>
      </c>
      <c r="X2229" s="27" t="n">
        <f aca="false">IF(AND(E2229&gt;0,OR(AND(B2229&gt;=1,B2229&lt;=6),B2229=10)),1,0)</f>
        <v>0</v>
      </c>
      <c r="Y2229" s="27" t="n">
        <f aca="false">IF(AND(E2229&gt;0,B2229=10),1,0)</f>
        <v>0</v>
      </c>
      <c r="Z2229" s="0" t="str">
        <f aca="false">IF(AND(C2228=C2229,W2228=W2229-1),X2228,"")</f>
        <v/>
      </c>
      <c r="AA2229" s="0" t="str">
        <f aca="false">IF(AND(C2228=C2229,W2228=W2229-1),Y2228,"")</f>
        <v/>
      </c>
      <c r="AB2229" s="0" t="str">
        <f aca="false">IF(W2229=1,"",IF(AND(X2229=1,Z2229&lt;&gt;1),1,0))</f>
        <v/>
      </c>
      <c r="AC2229" s="0" t="str">
        <f aca="false">IF(W2229=1,"",IF(AND(Y2229=1,AA2229&lt;&gt;1),1,0))</f>
        <v/>
      </c>
      <c r="AD2229" s="33" t="str">
        <f aca="false">IF(AND(E2229&gt;0,W2229&lt;1,NOT(AND(C2230=C2229,W2230=W2229+1))),INDEX(DATAS,W2229+1),"")</f>
        <v/>
      </c>
      <c r="AE2229" s="33" t="str">
        <f aca="false">IF(AND(Y2229=1,W2229&lt;1),IF(AND(C2230=C2229,W2230=W2229+1),IF(Y2230=1,"",INDEX(DATAS,W2229+1)),INDEX(DATAS,W2229+1)),"")</f>
        <v/>
      </c>
    </row>
    <row r="2230" customFormat="false" ht="15" hidden="false" customHeight="false" outlineLevel="0" collapsed="false">
      <c r="A2230" s="33" t="n">
        <v>46309</v>
      </c>
      <c r="B2230" s="0" t="n">
        <v>8</v>
      </c>
      <c r="C2230" s="0" t="n">
        <v>6514</v>
      </c>
      <c r="E2230" s="0" t="n">
        <v>0</v>
      </c>
      <c r="F2230" s="27" t="s">
        <v>1210</v>
      </c>
      <c r="I2230" s="27" t="s">
        <v>138</v>
      </c>
      <c r="L2230" s="0" t="n">
        <v>111</v>
      </c>
      <c r="U2230" s="0" t="n">
        <v>531</v>
      </c>
      <c r="V2230" s="0" t="n">
        <v>2</v>
      </c>
      <c r="W2230" s="27" t="n">
        <f aca="false">MATCH(A2230,DATAS,0)</f>
        <v>1</v>
      </c>
      <c r="X2230" s="27" t="n">
        <f aca="false">IF(AND(E2230&gt;0,OR(AND(B2230&gt;=1,B2230&lt;=6),B2230=10)),1,0)</f>
        <v>0</v>
      </c>
      <c r="Y2230" s="27" t="n">
        <f aca="false">IF(AND(E2230&gt;0,B2230=10),1,0)</f>
        <v>0</v>
      </c>
      <c r="Z2230" s="0" t="str">
        <f aca="false">IF(AND(C2229=C2230,W2229=W2230-1),X2229,"")</f>
        <v/>
      </c>
      <c r="AA2230" s="0" t="str">
        <f aca="false">IF(AND(C2229=C2230,W2229=W2230-1),Y2229,"")</f>
        <v/>
      </c>
      <c r="AB2230" s="0" t="str">
        <f aca="false">IF(W2230=1,"",IF(AND(X2230=1,Z2230&lt;&gt;1),1,0))</f>
        <v/>
      </c>
      <c r="AC2230" s="0" t="str">
        <f aca="false">IF(W2230=1,"",IF(AND(Y2230=1,AA2230&lt;&gt;1),1,0))</f>
        <v/>
      </c>
      <c r="AD2230" s="33" t="str">
        <f aca="false">IF(AND(E2230&gt;0,W2230&lt;1,NOT(AND(C2231=C2230,W2231=W2230+1))),INDEX(DATAS,W2230+1),"")</f>
        <v/>
      </c>
      <c r="AE2230" s="33" t="str">
        <f aca="false">IF(AND(Y2230=1,W2230&lt;1),IF(AND(C2231=C2230,W2231=W2230+1),IF(Y2231=1,"",INDEX(DATAS,W2230+1)),INDEX(DATAS,W2230+1)),"")</f>
        <v/>
      </c>
    </row>
    <row r="2231" customFormat="false" ht="15" hidden="false" customHeight="false" outlineLevel="0" collapsed="false">
      <c r="A2231" s="33" t="n">
        <v>46309</v>
      </c>
      <c r="B2231" s="0" t="n">
        <v>8</v>
      </c>
      <c r="C2231" s="0" t="n">
        <v>6515</v>
      </c>
      <c r="E2231" s="0" t="n">
        <v>0</v>
      </c>
      <c r="F2231" s="27" t="s">
        <v>1211</v>
      </c>
      <c r="I2231" s="27" t="s">
        <v>138</v>
      </c>
      <c r="L2231" s="0" t="n">
        <v>112</v>
      </c>
      <c r="U2231" s="0" t="n">
        <v>530</v>
      </c>
      <c r="V2231" s="0" t="n">
        <v>1</v>
      </c>
      <c r="W2231" s="27" t="n">
        <f aca="false">MATCH(A2231,DATAS,0)</f>
        <v>1</v>
      </c>
      <c r="X2231" s="27" t="n">
        <f aca="false">IF(AND(E2231&gt;0,OR(AND(B2231&gt;=1,B2231&lt;=6),B2231=10)),1,0)</f>
        <v>0</v>
      </c>
      <c r="Y2231" s="27" t="n">
        <f aca="false">IF(AND(E2231&gt;0,B2231=10),1,0)</f>
        <v>0</v>
      </c>
      <c r="Z2231" s="0" t="str">
        <f aca="false">IF(AND(C2230=C2231,W2230=W2231-1),X2230,"")</f>
        <v/>
      </c>
      <c r="AA2231" s="0" t="str">
        <f aca="false">IF(AND(C2230=C2231,W2230=W2231-1),Y2230,"")</f>
        <v/>
      </c>
      <c r="AB2231" s="0" t="str">
        <f aca="false">IF(W2231=1,"",IF(AND(X2231=1,Z2231&lt;&gt;1),1,0))</f>
        <v/>
      </c>
      <c r="AC2231" s="0" t="str">
        <f aca="false">IF(W2231=1,"",IF(AND(Y2231=1,AA2231&lt;&gt;1),1,0))</f>
        <v/>
      </c>
      <c r="AD2231" s="33" t="str">
        <f aca="false">IF(AND(E2231&gt;0,W2231&lt;1,NOT(AND(C2232=C2231,W2232=W2231+1))),INDEX(DATAS,W2231+1),"")</f>
        <v/>
      </c>
      <c r="AE2231" s="33" t="str">
        <f aca="false">IF(AND(Y2231=1,W2231&lt;1),IF(AND(C2232=C2231,W2232=W2231+1),IF(Y2232=1,"",INDEX(DATAS,W2231+1)),INDEX(DATAS,W2231+1)),"")</f>
        <v/>
      </c>
    </row>
    <row r="2232" customFormat="false" ht="15" hidden="false" customHeight="false" outlineLevel="0" collapsed="false">
      <c r="A2232" s="33" t="n">
        <v>46309</v>
      </c>
      <c r="B2232" s="0" t="n">
        <v>8</v>
      </c>
      <c r="C2232" s="0" t="n">
        <v>6516</v>
      </c>
      <c r="E2232" s="0" t="n">
        <v>0</v>
      </c>
      <c r="F2232" s="27" t="s">
        <v>1212</v>
      </c>
      <c r="I2232" s="27" t="s">
        <v>138</v>
      </c>
      <c r="L2232" s="0" t="n">
        <v>85</v>
      </c>
      <c r="U2232" s="0" t="n">
        <v>527</v>
      </c>
      <c r="V2232" s="0" t="n">
        <v>3</v>
      </c>
      <c r="W2232" s="27" t="n">
        <f aca="false">MATCH(A2232,DATAS,0)</f>
        <v>1</v>
      </c>
      <c r="X2232" s="27" t="n">
        <f aca="false">IF(AND(E2232&gt;0,OR(AND(B2232&gt;=1,B2232&lt;=6),B2232=10)),1,0)</f>
        <v>0</v>
      </c>
      <c r="Y2232" s="27" t="n">
        <f aca="false">IF(AND(E2232&gt;0,B2232=10),1,0)</f>
        <v>0</v>
      </c>
      <c r="Z2232" s="0" t="str">
        <f aca="false">IF(AND(C2231=C2232,W2231=W2232-1),X2231,"")</f>
        <v/>
      </c>
      <c r="AA2232" s="0" t="str">
        <f aca="false">IF(AND(C2231=C2232,W2231=W2232-1),Y2231,"")</f>
        <v/>
      </c>
      <c r="AB2232" s="0" t="str">
        <f aca="false">IF(W2232=1,"",IF(AND(X2232=1,Z2232&lt;&gt;1),1,0))</f>
        <v/>
      </c>
      <c r="AC2232" s="0" t="str">
        <f aca="false">IF(W2232=1,"",IF(AND(Y2232=1,AA2232&lt;&gt;1),1,0))</f>
        <v/>
      </c>
      <c r="AD2232" s="33" t="str">
        <f aca="false">IF(AND(E2232&gt;0,W2232&lt;1,NOT(AND(C2233=C2232,W2233=W2232+1))),INDEX(DATAS,W2232+1),"")</f>
        <v/>
      </c>
      <c r="AE2232" s="33" t="str">
        <f aca="false">IF(AND(Y2232=1,W2232&lt;1),IF(AND(C2233=C2232,W2233=W2232+1),IF(Y2233=1,"",INDEX(DATAS,W2232+1)),INDEX(DATAS,W2232+1)),"")</f>
        <v/>
      </c>
    </row>
    <row r="2233" customFormat="false" ht="15" hidden="false" customHeight="false" outlineLevel="0" collapsed="false">
      <c r="A2233" s="33" t="n">
        <v>46309</v>
      </c>
      <c r="B2233" s="0" t="n">
        <v>8</v>
      </c>
      <c r="C2233" s="0" t="n">
        <v>6517</v>
      </c>
      <c r="E2233" s="0" t="n">
        <v>0</v>
      </c>
      <c r="F2233" s="27" t="s">
        <v>1212</v>
      </c>
      <c r="I2233" s="27" t="s">
        <v>138</v>
      </c>
      <c r="L2233" s="0" t="n">
        <v>125</v>
      </c>
      <c r="U2233" s="0" t="n">
        <v>527</v>
      </c>
      <c r="V2233" s="0" t="n">
        <v>1</v>
      </c>
      <c r="W2233" s="27" t="n">
        <f aca="false">MATCH(A2233,DATAS,0)</f>
        <v>1</v>
      </c>
      <c r="X2233" s="27" t="n">
        <f aca="false">IF(AND(E2233&gt;0,OR(AND(B2233&gt;=1,B2233&lt;=6),B2233=10)),1,0)</f>
        <v>0</v>
      </c>
      <c r="Y2233" s="27" t="n">
        <f aca="false">IF(AND(E2233&gt;0,B2233=10),1,0)</f>
        <v>0</v>
      </c>
      <c r="Z2233" s="0" t="str">
        <f aca="false">IF(AND(C2232=C2233,W2232=W2233-1),X2232,"")</f>
        <v/>
      </c>
      <c r="AA2233" s="0" t="str">
        <f aca="false">IF(AND(C2232=C2233,W2232=W2233-1),Y2232,"")</f>
        <v/>
      </c>
      <c r="AB2233" s="0" t="str">
        <f aca="false">IF(W2233=1,"",IF(AND(X2233=1,Z2233&lt;&gt;1),1,0))</f>
        <v/>
      </c>
      <c r="AC2233" s="0" t="str">
        <f aca="false">IF(W2233=1,"",IF(AND(Y2233=1,AA2233&lt;&gt;1),1,0))</f>
        <v/>
      </c>
      <c r="AD2233" s="33" t="str">
        <f aca="false">IF(AND(E2233&gt;0,W2233&lt;1,NOT(AND(C2234=C2233,W2234=W2233+1))),INDEX(DATAS,W2233+1),"")</f>
        <v/>
      </c>
      <c r="AE2233" s="33" t="str">
        <f aca="false">IF(AND(Y2233=1,W2233&lt;1),IF(AND(C2234=C2233,W2234=W2233+1),IF(Y2234=1,"",INDEX(DATAS,W2233+1)),INDEX(DATAS,W2233+1)),"")</f>
        <v/>
      </c>
    </row>
    <row r="2234" customFormat="false" ht="15" hidden="false" customHeight="false" outlineLevel="0" collapsed="false">
      <c r="A2234" s="33" t="n">
        <v>46309</v>
      </c>
      <c r="B2234" s="0" t="n">
        <v>11</v>
      </c>
      <c r="C2234" s="0" t="n">
        <v>6518</v>
      </c>
      <c r="E2234" s="0" t="n">
        <v>0</v>
      </c>
      <c r="F2234" s="27" t="s">
        <v>1212</v>
      </c>
      <c r="I2234" s="27" t="s">
        <v>168</v>
      </c>
      <c r="U2234" s="0" t="n">
        <v>527</v>
      </c>
      <c r="V2234" s="0" t="n">
        <v>4</v>
      </c>
      <c r="W2234" s="27" t="n">
        <f aca="false">MATCH(A2234,DATAS,0)</f>
        <v>1</v>
      </c>
      <c r="X2234" s="27" t="n">
        <f aca="false">IF(AND(E2234&gt;0,OR(AND(B2234&gt;=1,B2234&lt;=6),B2234=10)),1,0)</f>
        <v>0</v>
      </c>
      <c r="Y2234" s="27" t="n">
        <f aca="false">IF(AND(E2234&gt;0,B2234=10),1,0)</f>
        <v>0</v>
      </c>
      <c r="Z2234" s="0" t="str">
        <f aca="false">IF(AND(C2233=C2234,W2233=W2234-1),X2233,"")</f>
        <v/>
      </c>
      <c r="AA2234" s="0" t="str">
        <f aca="false">IF(AND(C2233=C2234,W2233=W2234-1),Y2233,"")</f>
        <v/>
      </c>
      <c r="AB2234" s="0" t="str">
        <f aca="false">IF(W2234=1,"",IF(AND(X2234=1,Z2234&lt;&gt;1),1,0))</f>
        <v/>
      </c>
      <c r="AC2234" s="0" t="str">
        <f aca="false">IF(W2234=1,"",IF(AND(Y2234=1,AA2234&lt;&gt;1),1,0))</f>
        <v/>
      </c>
      <c r="AD2234" s="33" t="str">
        <f aca="false">IF(AND(E2234&gt;0,W2234&lt;1,NOT(AND(C2235=C2234,W2235=W2234+1))),INDEX(DATAS,W2234+1),"")</f>
        <v/>
      </c>
      <c r="AE2234" s="33" t="str">
        <f aca="false">IF(AND(Y2234=1,W2234&lt;1),IF(AND(C2235=C2234,W2235=W2234+1),IF(Y2235=1,"",INDEX(DATAS,W2234+1)),INDEX(DATAS,W2234+1)),"")</f>
        <v/>
      </c>
    </row>
    <row r="2235" customFormat="false" ht="15" hidden="false" customHeight="false" outlineLevel="0" collapsed="false">
      <c r="A2235" s="33" t="n">
        <v>46309</v>
      </c>
      <c r="B2235" s="0" t="n">
        <v>11</v>
      </c>
      <c r="C2235" s="0" t="n">
        <v>6519</v>
      </c>
      <c r="E2235" s="0" t="n">
        <v>0</v>
      </c>
      <c r="F2235" s="27" t="s">
        <v>1212</v>
      </c>
      <c r="I2235" s="27" t="s">
        <v>168</v>
      </c>
      <c r="U2235" s="0" t="n">
        <v>527</v>
      </c>
      <c r="V2235" s="0" t="n">
        <v>2</v>
      </c>
      <c r="W2235" s="27" t="n">
        <f aca="false">MATCH(A2235,DATAS,0)</f>
        <v>1</v>
      </c>
      <c r="X2235" s="27" t="n">
        <f aca="false">IF(AND(E2235&gt;0,OR(AND(B2235&gt;=1,B2235&lt;=6),B2235=10)),1,0)</f>
        <v>0</v>
      </c>
      <c r="Y2235" s="27" t="n">
        <f aca="false">IF(AND(E2235&gt;0,B2235=10),1,0)</f>
        <v>0</v>
      </c>
      <c r="Z2235" s="0" t="str">
        <f aca="false">IF(AND(C2234=C2235,W2234=W2235-1),X2234,"")</f>
        <v/>
      </c>
      <c r="AA2235" s="0" t="str">
        <f aca="false">IF(AND(C2234=C2235,W2234=W2235-1),Y2234,"")</f>
        <v/>
      </c>
      <c r="AB2235" s="0" t="str">
        <f aca="false">IF(W2235=1,"",IF(AND(X2235=1,Z2235&lt;&gt;1),1,0))</f>
        <v/>
      </c>
      <c r="AC2235" s="0" t="str">
        <f aca="false">IF(W2235=1,"",IF(AND(Y2235=1,AA2235&lt;&gt;1),1,0))</f>
        <v/>
      </c>
      <c r="AD2235" s="33" t="str">
        <f aca="false">IF(AND(E2235&gt;0,W2235&lt;1,NOT(AND(C2236=C2235,W2236=W2235+1))),INDEX(DATAS,W2235+1),"")</f>
        <v/>
      </c>
      <c r="AE2235" s="33" t="str">
        <f aca="false">IF(AND(Y2235=1,W2235&lt;1),IF(AND(C2236=C2235,W2236=W2235+1),IF(Y2236=1,"",INDEX(DATAS,W2235+1)),INDEX(DATAS,W2235+1)),"")</f>
        <v/>
      </c>
    </row>
    <row r="2236" customFormat="false" ht="15" hidden="false" customHeight="false" outlineLevel="0" collapsed="false">
      <c r="A2236" s="33" t="n">
        <v>46309</v>
      </c>
      <c r="B2236" s="0" t="n">
        <v>8</v>
      </c>
      <c r="C2236" s="0" t="n">
        <v>6520</v>
      </c>
      <c r="E2236" s="0" t="n">
        <v>0</v>
      </c>
      <c r="F2236" s="27" t="s">
        <v>1212</v>
      </c>
      <c r="I2236" s="27" t="s">
        <v>138</v>
      </c>
      <c r="L2236" s="0" t="n">
        <v>35</v>
      </c>
      <c r="U2236" s="0" t="n">
        <v>527</v>
      </c>
      <c r="V2236" s="0" t="n">
        <v>2</v>
      </c>
      <c r="W2236" s="27" t="n">
        <f aca="false">MATCH(A2236,DATAS,0)</f>
        <v>1</v>
      </c>
      <c r="X2236" s="27" t="n">
        <f aca="false">IF(AND(E2236&gt;0,OR(AND(B2236&gt;=1,B2236&lt;=6),B2236=10)),1,0)</f>
        <v>0</v>
      </c>
      <c r="Y2236" s="27" t="n">
        <f aca="false">IF(AND(E2236&gt;0,B2236=10),1,0)</f>
        <v>0</v>
      </c>
      <c r="Z2236" s="0" t="str">
        <f aca="false">IF(AND(C2235=C2236,W2235=W2236-1),X2235,"")</f>
        <v/>
      </c>
      <c r="AA2236" s="0" t="str">
        <f aca="false">IF(AND(C2235=C2236,W2235=W2236-1),Y2235,"")</f>
        <v/>
      </c>
      <c r="AB2236" s="0" t="str">
        <f aca="false">IF(W2236=1,"",IF(AND(X2236=1,Z2236&lt;&gt;1),1,0))</f>
        <v/>
      </c>
      <c r="AC2236" s="0" t="str">
        <f aca="false">IF(W2236=1,"",IF(AND(Y2236=1,AA2236&lt;&gt;1),1,0))</f>
        <v/>
      </c>
      <c r="AD2236" s="33" t="str">
        <f aca="false">IF(AND(E2236&gt;0,W2236&lt;1,NOT(AND(C2237=C2236,W2237=W2236+1))),INDEX(DATAS,W2236+1),"")</f>
        <v/>
      </c>
      <c r="AE2236" s="33" t="str">
        <f aca="false">IF(AND(Y2236=1,W2236&lt;1),IF(AND(C2237=C2236,W2237=W2236+1),IF(Y2237=1,"",INDEX(DATAS,W2236+1)),INDEX(DATAS,W2236+1)),"")</f>
        <v/>
      </c>
    </row>
    <row r="2237" customFormat="false" ht="15" hidden="false" customHeight="false" outlineLevel="0" collapsed="false">
      <c r="A2237" s="33" t="n">
        <v>46309</v>
      </c>
      <c r="B2237" s="0" t="n">
        <v>8</v>
      </c>
      <c r="C2237" s="0" t="n">
        <v>6522</v>
      </c>
      <c r="E2237" s="0" t="n">
        <v>0</v>
      </c>
      <c r="F2237" s="27" t="s">
        <v>1212</v>
      </c>
      <c r="I2237" s="27" t="s">
        <v>138</v>
      </c>
      <c r="L2237" s="0" t="n">
        <v>109</v>
      </c>
      <c r="U2237" s="0" t="n">
        <v>527</v>
      </c>
      <c r="V2237" s="0" t="n">
        <v>2</v>
      </c>
      <c r="W2237" s="27" t="n">
        <f aca="false">MATCH(A2237,DATAS,0)</f>
        <v>1</v>
      </c>
      <c r="X2237" s="27" t="n">
        <f aca="false">IF(AND(E2237&gt;0,OR(AND(B2237&gt;=1,B2237&lt;=6),B2237=10)),1,0)</f>
        <v>0</v>
      </c>
      <c r="Y2237" s="27" t="n">
        <f aca="false">IF(AND(E2237&gt;0,B2237=10),1,0)</f>
        <v>0</v>
      </c>
      <c r="Z2237" s="0" t="str">
        <f aca="false">IF(AND(C2236=C2237,W2236=W2237-1),X2236,"")</f>
        <v/>
      </c>
      <c r="AA2237" s="0" t="str">
        <f aca="false">IF(AND(C2236=C2237,W2236=W2237-1),Y2236,"")</f>
        <v/>
      </c>
      <c r="AB2237" s="0" t="str">
        <f aca="false">IF(W2237=1,"",IF(AND(X2237=1,Z2237&lt;&gt;1),1,0))</f>
        <v/>
      </c>
      <c r="AC2237" s="0" t="str">
        <f aca="false">IF(W2237=1,"",IF(AND(Y2237=1,AA2237&lt;&gt;1),1,0))</f>
        <v/>
      </c>
      <c r="AD2237" s="33" t="str">
        <f aca="false">IF(AND(E2237&gt;0,W2237&lt;1,NOT(AND(C2238=C2237,W2238=W2237+1))),INDEX(DATAS,W2237+1),"")</f>
        <v/>
      </c>
      <c r="AE2237" s="33" t="str">
        <f aca="false">IF(AND(Y2237=1,W2237&lt;1),IF(AND(C2238=C2237,W2238=W2237+1),IF(Y2238=1,"",INDEX(DATAS,W2237+1)),INDEX(DATAS,W2237+1)),"")</f>
        <v/>
      </c>
    </row>
    <row r="2238" customFormat="false" ht="15" hidden="false" customHeight="false" outlineLevel="0" collapsed="false">
      <c r="A2238" s="33" t="n">
        <v>46309</v>
      </c>
      <c r="B2238" s="0" t="n">
        <v>8</v>
      </c>
      <c r="C2238" s="0" t="n">
        <v>6523</v>
      </c>
      <c r="E2238" s="0" t="n">
        <v>0</v>
      </c>
      <c r="F2238" s="27" t="s">
        <v>1213</v>
      </c>
      <c r="I2238" s="27" t="s">
        <v>138</v>
      </c>
      <c r="L2238" s="0" t="n">
        <v>133</v>
      </c>
      <c r="U2238" s="0" t="n">
        <v>525</v>
      </c>
      <c r="V2238" s="0" t="n">
        <v>1</v>
      </c>
      <c r="W2238" s="27" t="n">
        <f aca="false">MATCH(A2238,DATAS,0)</f>
        <v>1</v>
      </c>
      <c r="X2238" s="27" t="n">
        <f aca="false">IF(AND(E2238&gt;0,OR(AND(B2238&gt;=1,B2238&lt;=6),B2238=10)),1,0)</f>
        <v>0</v>
      </c>
      <c r="Y2238" s="27" t="n">
        <f aca="false">IF(AND(E2238&gt;0,B2238=10),1,0)</f>
        <v>0</v>
      </c>
      <c r="Z2238" s="0" t="str">
        <f aca="false">IF(AND(C2237=C2238,W2237=W2238-1),X2237,"")</f>
        <v/>
      </c>
      <c r="AA2238" s="0" t="str">
        <f aca="false">IF(AND(C2237=C2238,W2237=W2238-1),Y2237,"")</f>
        <v/>
      </c>
      <c r="AB2238" s="0" t="str">
        <f aca="false">IF(W2238=1,"",IF(AND(X2238=1,Z2238&lt;&gt;1),1,0))</f>
        <v/>
      </c>
      <c r="AC2238" s="0" t="str">
        <f aca="false">IF(W2238=1,"",IF(AND(Y2238=1,AA2238&lt;&gt;1),1,0))</f>
        <v/>
      </c>
      <c r="AD2238" s="33" t="str">
        <f aca="false">IF(AND(E2238&gt;0,W2238&lt;1,NOT(AND(C2239=C2238,W2239=W2238+1))),INDEX(DATAS,W2238+1),"")</f>
        <v/>
      </c>
      <c r="AE2238" s="33" t="str">
        <f aca="false">IF(AND(Y2238=1,W2238&lt;1),IF(AND(C2239=C2238,W2239=W2238+1),IF(Y2239=1,"",INDEX(DATAS,W2238+1)),INDEX(DATAS,W2238+1)),"")</f>
        <v/>
      </c>
    </row>
    <row r="2239" customFormat="false" ht="15" hidden="false" customHeight="false" outlineLevel="0" collapsed="false">
      <c r="A2239" s="33" t="n">
        <v>46309</v>
      </c>
      <c r="B2239" s="0" t="n">
        <v>8</v>
      </c>
      <c r="C2239" s="0" t="n">
        <v>6524</v>
      </c>
      <c r="E2239" s="0" t="n">
        <v>0</v>
      </c>
      <c r="F2239" s="27" t="s">
        <v>1213</v>
      </c>
      <c r="I2239" s="27" t="s">
        <v>138</v>
      </c>
      <c r="L2239" s="0" t="n">
        <v>108</v>
      </c>
      <c r="U2239" s="0" t="n">
        <v>525</v>
      </c>
      <c r="V2239" s="0" t="n">
        <v>2</v>
      </c>
      <c r="W2239" s="27" t="n">
        <f aca="false">MATCH(A2239,DATAS,0)</f>
        <v>1</v>
      </c>
      <c r="X2239" s="27" t="n">
        <f aca="false">IF(AND(E2239&gt;0,OR(AND(B2239&gt;=1,B2239&lt;=6),B2239=10)),1,0)</f>
        <v>0</v>
      </c>
      <c r="Y2239" s="27" t="n">
        <f aca="false">IF(AND(E2239&gt;0,B2239=10),1,0)</f>
        <v>0</v>
      </c>
      <c r="Z2239" s="0" t="str">
        <f aca="false">IF(AND(C2238=C2239,W2238=W2239-1),X2238,"")</f>
        <v/>
      </c>
      <c r="AA2239" s="0" t="str">
        <f aca="false">IF(AND(C2238=C2239,W2238=W2239-1),Y2238,"")</f>
        <v/>
      </c>
      <c r="AB2239" s="0" t="str">
        <f aca="false">IF(W2239=1,"",IF(AND(X2239=1,Z2239&lt;&gt;1),1,0))</f>
        <v/>
      </c>
      <c r="AC2239" s="0" t="str">
        <f aca="false">IF(W2239=1,"",IF(AND(Y2239=1,AA2239&lt;&gt;1),1,0))</f>
        <v/>
      </c>
      <c r="AD2239" s="33" t="str">
        <f aca="false">IF(AND(E2239&gt;0,W2239&lt;1,NOT(AND(C2240=C2239,W2240=W2239+1))),INDEX(DATAS,W2239+1),"")</f>
        <v/>
      </c>
      <c r="AE2239" s="33" t="str">
        <f aca="false">IF(AND(Y2239=1,W2239&lt;1),IF(AND(C2240=C2239,W2240=W2239+1),IF(Y2240=1,"",INDEX(DATAS,W2239+1)),INDEX(DATAS,W2239+1)),"")</f>
        <v/>
      </c>
    </row>
    <row r="2240" customFormat="false" ht="15" hidden="false" customHeight="false" outlineLevel="0" collapsed="false">
      <c r="A2240" s="33" t="n">
        <v>46309</v>
      </c>
      <c r="B2240" s="0" t="n">
        <v>8</v>
      </c>
      <c r="C2240" s="0" t="n">
        <v>6525</v>
      </c>
      <c r="E2240" s="0" t="n">
        <v>0</v>
      </c>
      <c r="F2240" s="27" t="s">
        <v>1214</v>
      </c>
      <c r="I2240" s="27" t="s">
        <v>138</v>
      </c>
      <c r="L2240" s="0" t="n">
        <v>125</v>
      </c>
      <c r="U2240" s="0" t="n">
        <v>524</v>
      </c>
      <c r="V2240" s="0" t="n">
        <v>1</v>
      </c>
      <c r="W2240" s="27" t="n">
        <f aca="false">MATCH(A2240,DATAS,0)</f>
        <v>1</v>
      </c>
      <c r="X2240" s="27" t="n">
        <f aca="false">IF(AND(E2240&gt;0,OR(AND(B2240&gt;=1,B2240&lt;=6),B2240=10)),1,0)</f>
        <v>0</v>
      </c>
      <c r="Y2240" s="27" t="n">
        <f aca="false">IF(AND(E2240&gt;0,B2240=10),1,0)</f>
        <v>0</v>
      </c>
      <c r="Z2240" s="0" t="str">
        <f aca="false">IF(AND(C2239=C2240,W2239=W2240-1),X2239,"")</f>
        <v/>
      </c>
      <c r="AA2240" s="0" t="str">
        <f aca="false">IF(AND(C2239=C2240,W2239=W2240-1),Y2239,"")</f>
        <v/>
      </c>
      <c r="AB2240" s="0" t="str">
        <f aca="false">IF(W2240=1,"",IF(AND(X2240=1,Z2240&lt;&gt;1),1,0))</f>
        <v/>
      </c>
      <c r="AC2240" s="0" t="str">
        <f aca="false">IF(W2240=1,"",IF(AND(Y2240=1,AA2240&lt;&gt;1),1,0))</f>
        <v/>
      </c>
      <c r="AD2240" s="33" t="str">
        <f aca="false">IF(AND(E2240&gt;0,W2240&lt;1,NOT(AND(C2241=C2240,W2241=W2240+1))),INDEX(DATAS,W2240+1),"")</f>
        <v/>
      </c>
      <c r="AE2240" s="33" t="str">
        <f aca="false">IF(AND(Y2240=1,W2240&lt;1),IF(AND(C2241=C2240,W2241=W2240+1),IF(Y2241=1,"",INDEX(DATAS,W2240+1)),INDEX(DATAS,W2240+1)),"")</f>
        <v/>
      </c>
    </row>
    <row r="2241" customFormat="false" ht="15" hidden="false" customHeight="false" outlineLevel="0" collapsed="false">
      <c r="A2241" s="33" t="n">
        <v>46309</v>
      </c>
      <c r="B2241" s="0" t="n">
        <v>8</v>
      </c>
      <c r="C2241" s="0" t="n">
        <v>6526</v>
      </c>
      <c r="E2241" s="0" t="n">
        <v>0</v>
      </c>
      <c r="F2241" s="27" t="s">
        <v>1214</v>
      </c>
      <c r="I2241" s="27" t="s">
        <v>138</v>
      </c>
      <c r="L2241" s="0" t="n">
        <v>120</v>
      </c>
      <c r="U2241" s="0" t="n">
        <v>524</v>
      </c>
      <c r="V2241" s="0" t="n">
        <v>1</v>
      </c>
      <c r="W2241" s="27" t="n">
        <f aca="false">MATCH(A2241,DATAS,0)</f>
        <v>1</v>
      </c>
      <c r="X2241" s="27" t="n">
        <f aca="false">IF(AND(E2241&gt;0,OR(AND(B2241&gt;=1,B2241&lt;=6),B2241=10)),1,0)</f>
        <v>0</v>
      </c>
      <c r="Y2241" s="27" t="n">
        <f aca="false">IF(AND(E2241&gt;0,B2241=10),1,0)</f>
        <v>0</v>
      </c>
      <c r="Z2241" s="0" t="str">
        <f aca="false">IF(AND(C2240=C2241,W2240=W2241-1),X2240,"")</f>
        <v/>
      </c>
      <c r="AA2241" s="0" t="str">
        <f aca="false">IF(AND(C2240=C2241,W2240=W2241-1),Y2240,"")</f>
        <v/>
      </c>
      <c r="AB2241" s="0" t="str">
        <f aca="false">IF(W2241=1,"",IF(AND(X2241=1,Z2241&lt;&gt;1),1,0))</f>
        <v/>
      </c>
      <c r="AC2241" s="0" t="str">
        <f aca="false">IF(W2241=1,"",IF(AND(Y2241=1,AA2241&lt;&gt;1),1,0))</f>
        <v/>
      </c>
      <c r="AD2241" s="33" t="str">
        <f aca="false">IF(AND(E2241&gt;0,W2241&lt;1,NOT(AND(C2242=C2241,W2242=W2241+1))),INDEX(DATAS,W2241+1),"")</f>
        <v/>
      </c>
      <c r="AE2241" s="33" t="str">
        <f aca="false">IF(AND(Y2241=1,W2241&lt;1),IF(AND(C2242=C2241,W2242=W2241+1),IF(Y2242=1,"",INDEX(DATAS,W2241+1)),INDEX(DATAS,W2241+1)),"")</f>
        <v/>
      </c>
    </row>
    <row r="2242" customFormat="false" ht="15" hidden="false" customHeight="false" outlineLevel="0" collapsed="false">
      <c r="A2242" s="33" t="n">
        <v>46309</v>
      </c>
      <c r="B2242" s="0" t="n">
        <v>8</v>
      </c>
      <c r="C2242" s="0" t="n">
        <v>6527</v>
      </c>
      <c r="E2242" s="0" t="n">
        <v>0</v>
      </c>
      <c r="F2242" s="27" t="s">
        <v>1214</v>
      </c>
      <c r="I2242" s="27" t="s">
        <v>138</v>
      </c>
      <c r="L2242" s="0" t="n">
        <v>125</v>
      </c>
      <c r="U2242" s="0" t="n">
        <v>524</v>
      </c>
      <c r="V2242" s="0" t="n">
        <v>1</v>
      </c>
      <c r="W2242" s="27" t="n">
        <f aca="false">MATCH(A2242,DATAS,0)</f>
        <v>1</v>
      </c>
      <c r="X2242" s="27" t="n">
        <f aca="false">IF(AND(E2242&gt;0,OR(AND(B2242&gt;=1,B2242&lt;=6),B2242=10)),1,0)</f>
        <v>0</v>
      </c>
      <c r="Y2242" s="27" t="n">
        <f aca="false">IF(AND(E2242&gt;0,B2242=10),1,0)</f>
        <v>0</v>
      </c>
      <c r="Z2242" s="0" t="str">
        <f aca="false">IF(AND(C2241=C2242,W2241=W2242-1),X2241,"")</f>
        <v/>
      </c>
      <c r="AA2242" s="0" t="str">
        <f aca="false">IF(AND(C2241=C2242,W2241=W2242-1),Y2241,"")</f>
        <v/>
      </c>
      <c r="AB2242" s="0" t="str">
        <f aca="false">IF(W2242=1,"",IF(AND(X2242=1,Z2242&lt;&gt;1),1,0))</f>
        <v/>
      </c>
      <c r="AC2242" s="0" t="str">
        <f aca="false">IF(W2242=1,"",IF(AND(Y2242=1,AA2242&lt;&gt;1),1,0))</f>
        <v/>
      </c>
      <c r="AD2242" s="33" t="str">
        <f aca="false">IF(AND(E2242&gt;0,W2242&lt;1,NOT(AND(C2243=C2242,W2243=W2242+1))),INDEX(DATAS,W2242+1),"")</f>
        <v/>
      </c>
      <c r="AE2242" s="33" t="str">
        <f aca="false">IF(AND(Y2242=1,W2242&lt;1),IF(AND(C2243=C2242,W2243=W2242+1),IF(Y2243=1,"",INDEX(DATAS,W2242+1)),INDEX(DATAS,W2242+1)),"")</f>
        <v/>
      </c>
    </row>
    <row r="2243" customFormat="false" ht="15" hidden="false" customHeight="false" outlineLevel="0" collapsed="false">
      <c r="A2243" s="33" t="n">
        <v>46309</v>
      </c>
      <c r="B2243" s="0" t="n">
        <v>8</v>
      </c>
      <c r="C2243" s="0" t="n">
        <v>6529</v>
      </c>
      <c r="E2243" s="0" t="n">
        <v>0</v>
      </c>
      <c r="F2243" s="27" t="s">
        <v>1215</v>
      </c>
      <c r="I2243" s="27" t="s">
        <v>138</v>
      </c>
      <c r="L2243" s="0" t="n">
        <v>126</v>
      </c>
      <c r="U2243" s="0" t="n">
        <v>523</v>
      </c>
      <c r="V2243" s="0" t="n">
        <v>1</v>
      </c>
      <c r="W2243" s="27" t="n">
        <f aca="false">MATCH(A2243,DATAS,0)</f>
        <v>1</v>
      </c>
      <c r="X2243" s="27" t="n">
        <f aca="false">IF(AND(E2243&gt;0,OR(AND(B2243&gt;=1,B2243&lt;=6),B2243=10)),1,0)</f>
        <v>0</v>
      </c>
      <c r="Y2243" s="27" t="n">
        <f aca="false">IF(AND(E2243&gt;0,B2243=10),1,0)</f>
        <v>0</v>
      </c>
      <c r="Z2243" s="0" t="str">
        <f aca="false">IF(AND(C2242=C2243,W2242=W2243-1),X2242,"")</f>
        <v/>
      </c>
      <c r="AA2243" s="0" t="str">
        <f aca="false">IF(AND(C2242=C2243,W2242=W2243-1),Y2242,"")</f>
        <v/>
      </c>
      <c r="AB2243" s="0" t="str">
        <f aca="false">IF(W2243=1,"",IF(AND(X2243=1,Z2243&lt;&gt;1),1,0))</f>
        <v/>
      </c>
      <c r="AC2243" s="0" t="str">
        <f aca="false">IF(W2243=1,"",IF(AND(Y2243=1,AA2243&lt;&gt;1),1,0))</f>
        <v/>
      </c>
      <c r="AD2243" s="33" t="str">
        <f aca="false">IF(AND(E2243&gt;0,W2243&lt;1,NOT(AND(C2244=C2243,W2244=W2243+1))),INDEX(DATAS,W2243+1),"")</f>
        <v/>
      </c>
      <c r="AE2243" s="33" t="str">
        <f aca="false">IF(AND(Y2243=1,W2243&lt;1),IF(AND(C2244=C2243,W2244=W2243+1),IF(Y2244=1,"",INDEX(DATAS,W2243+1)),INDEX(DATAS,W2243+1)),"")</f>
        <v/>
      </c>
    </row>
    <row r="2244" customFormat="false" ht="15" hidden="false" customHeight="false" outlineLevel="0" collapsed="false">
      <c r="A2244" s="33" t="n">
        <v>46309</v>
      </c>
      <c r="B2244" s="0" t="n">
        <v>8</v>
      </c>
      <c r="C2244" s="0" t="n">
        <v>6530</v>
      </c>
      <c r="E2244" s="0" t="n">
        <v>0</v>
      </c>
      <c r="F2244" s="27" t="s">
        <v>1215</v>
      </c>
      <c r="I2244" s="27" t="s">
        <v>138</v>
      </c>
      <c r="L2244" s="0" t="n">
        <v>87</v>
      </c>
      <c r="U2244" s="0" t="n">
        <v>523</v>
      </c>
      <c r="V2244" s="0" t="n">
        <v>3</v>
      </c>
      <c r="W2244" s="27" t="n">
        <f aca="false">MATCH(A2244,DATAS,0)</f>
        <v>1</v>
      </c>
      <c r="X2244" s="27" t="n">
        <f aca="false">IF(AND(E2244&gt;0,OR(AND(B2244&gt;=1,B2244&lt;=6),B2244=10)),1,0)</f>
        <v>0</v>
      </c>
      <c r="Y2244" s="27" t="n">
        <f aca="false">IF(AND(E2244&gt;0,B2244=10),1,0)</f>
        <v>0</v>
      </c>
      <c r="Z2244" s="0" t="str">
        <f aca="false">IF(AND(C2243=C2244,W2243=W2244-1),X2243,"")</f>
        <v/>
      </c>
      <c r="AA2244" s="0" t="str">
        <f aca="false">IF(AND(C2243=C2244,W2243=W2244-1),Y2243,"")</f>
        <v/>
      </c>
      <c r="AB2244" s="0" t="str">
        <f aca="false">IF(W2244=1,"",IF(AND(X2244=1,Z2244&lt;&gt;1),1,0))</f>
        <v/>
      </c>
      <c r="AC2244" s="0" t="str">
        <f aca="false">IF(W2244=1,"",IF(AND(Y2244=1,AA2244&lt;&gt;1),1,0))</f>
        <v/>
      </c>
      <c r="AD2244" s="33" t="str">
        <f aca="false">IF(AND(E2244&gt;0,W2244&lt;1,NOT(AND(C2245=C2244,W2245=W2244+1))),INDEX(DATAS,W2244+1),"")</f>
        <v/>
      </c>
      <c r="AE2244" s="33" t="str">
        <f aca="false">IF(AND(Y2244=1,W2244&lt;1),IF(AND(C2245=C2244,W2245=W2244+1),IF(Y2245=1,"",INDEX(DATAS,W2244+1)),INDEX(DATAS,W2244+1)),"")</f>
        <v/>
      </c>
    </row>
    <row r="2245" customFormat="false" ht="15" hidden="false" customHeight="false" outlineLevel="0" collapsed="false">
      <c r="A2245" s="33" t="n">
        <v>46309</v>
      </c>
      <c r="B2245" s="0" t="n">
        <v>8</v>
      </c>
      <c r="C2245" s="0" t="n">
        <v>6531</v>
      </c>
      <c r="E2245" s="0" t="n">
        <v>0</v>
      </c>
      <c r="F2245" s="27" t="s">
        <v>1216</v>
      </c>
      <c r="I2245" s="27" t="s">
        <v>138</v>
      </c>
      <c r="L2245" s="0" t="n">
        <v>66</v>
      </c>
      <c r="U2245" s="0" t="n">
        <v>519</v>
      </c>
      <c r="V2245" s="0" t="n">
        <v>4</v>
      </c>
      <c r="W2245" s="27" t="n">
        <f aca="false">MATCH(A2245,DATAS,0)</f>
        <v>1</v>
      </c>
      <c r="X2245" s="27" t="n">
        <f aca="false">IF(AND(E2245&gt;0,OR(AND(B2245&gt;=1,B2245&lt;=6),B2245=10)),1,0)</f>
        <v>0</v>
      </c>
      <c r="Y2245" s="27" t="n">
        <f aca="false">IF(AND(E2245&gt;0,B2245=10),1,0)</f>
        <v>0</v>
      </c>
      <c r="Z2245" s="0" t="str">
        <f aca="false">IF(AND(C2244=C2245,W2244=W2245-1),X2244,"")</f>
        <v/>
      </c>
      <c r="AA2245" s="0" t="str">
        <f aca="false">IF(AND(C2244=C2245,W2244=W2245-1),Y2244,"")</f>
        <v/>
      </c>
      <c r="AB2245" s="0" t="str">
        <f aca="false">IF(W2245=1,"",IF(AND(X2245=1,Z2245&lt;&gt;1),1,0))</f>
        <v/>
      </c>
      <c r="AC2245" s="0" t="str">
        <f aca="false">IF(W2245=1,"",IF(AND(Y2245=1,AA2245&lt;&gt;1),1,0))</f>
        <v/>
      </c>
      <c r="AD2245" s="33" t="str">
        <f aca="false">IF(AND(E2245&gt;0,W2245&lt;1,NOT(AND(C2246=C2245,W2246=W2245+1))),INDEX(DATAS,W2245+1),"")</f>
        <v/>
      </c>
      <c r="AE2245" s="33" t="str">
        <f aca="false">IF(AND(Y2245=1,W2245&lt;1),IF(AND(C2246=C2245,W2246=W2245+1),IF(Y2246=1,"",INDEX(DATAS,W2245+1)),INDEX(DATAS,W2245+1)),"")</f>
        <v/>
      </c>
    </row>
    <row r="2246" customFormat="false" ht="15" hidden="false" customHeight="false" outlineLevel="0" collapsed="false">
      <c r="A2246" s="33" t="n">
        <v>46309</v>
      </c>
      <c r="B2246" s="0" t="n">
        <v>8</v>
      </c>
      <c r="C2246" s="0" t="n">
        <v>6532</v>
      </c>
      <c r="E2246" s="0" t="n">
        <v>0</v>
      </c>
      <c r="F2246" s="27" t="s">
        <v>1217</v>
      </c>
      <c r="I2246" s="27" t="s">
        <v>138</v>
      </c>
      <c r="L2246" s="0" t="n">
        <v>101</v>
      </c>
      <c r="U2246" s="0" t="n">
        <v>522</v>
      </c>
      <c r="V2246" s="0" t="n">
        <v>2</v>
      </c>
      <c r="W2246" s="27" t="n">
        <f aca="false">MATCH(A2246,DATAS,0)</f>
        <v>1</v>
      </c>
      <c r="X2246" s="27" t="n">
        <f aca="false">IF(AND(E2246&gt;0,OR(AND(B2246&gt;=1,B2246&lt;=6),B2246=10)),1,0)</f>
        <v>0</v>
      </c>
      <c r="Y2246" s="27" t="n">
        <f aca="false">IF(AND(E2246&gt;0,B2246=10),1,0)</f>
        <v>0</v>
      </c>
      <c r="Z2246" s="0" t="str">
        <f aca="false">IF(AND(C2245=C2246,W2245=W2246-1),X2245,"")</f>
        <v/>
      </c>
      <c r="AA2246" s="0" t="str">
        <f aca="false">IF(AND(C2245=C2246,W2245=W2246-1),Y2245,"")</f>
        <v/>
      </c>
      <c r="AB2246" s="0" t="str">
        <f aca="false">IF(W2246=1,"",IF(AND(X2246=1,Z2246&lt;&gt;1),1,0))</f>
        <v/>
      </c>
      <c r="AC2246" s="0" t="str">
        <f aca="false">IF(W2246=1,"",IF(AND(Y2246=1,AA2246&lt;&gt;1),1,0))</f>
        <v/>
      </c>
      <c r="AD2246" s="33" t="str">
        <f aca="false">IF(AND(E2246&gt;0,W2246&lt;1,NOT(AND(C2247=C2246,W2247=W2246+1))),INDEX(DATAS,W2246+1),"")</f>
        <v/>
      </c>
      <c r="AE2246" s="33" t="str">
        <f aca="false">IF(AND(Y2246=1,W2246&lt;1),IF(AND(C2247=C2246,W2247=W2246+1),IF(Y2247=1,"",INDEX(DATAS,W2246+1)),INDEX(DATAS,W2246+1)),"")</f>
        <v/>
      </c>
    </row>
    <row r="2247" customFormat="false" ht="15" hidden="false" customHeight="false" outlineLevel="0" collapsed="false">
      <c r="A2247" s="33" t="n">
        <v>46309</v>
      </c>
      <c r="B2247" s="0" t="n">
        <v>8</v>
      </c>
      <c r="C2247" s="0" t="n">
        <v>6533</v>
      </c>
      <c r="E2247" s="0" t="n">
        <v>0</v>
      </c>
      <c r="F2247" s="27" t="s">
        <v>1217</v>
      </c>
      <c r="I2247" s="27" t="s">
        <v>138</v>
      </c>
      <c r="L2247" s="0" t="n">
        <v>63</v>
      </c>
      <c r="U2247" s="0" t="n">
        <v>522</v>
      </c>
      <c r="V2247" s="0" t="n">
        <v>1</v>
      </c>
      <c r="W2247" s="27" t="n">
        <f aca="false">MATCH(A2247,DATAS,0)</f>
        <v>1</v>
      </c>
      <c r="X2247" s="27" t="n">
        <f aca="false">IF(AND(E2247&gt;0,OR(AND(B2247&gt;=1,B2247&lt;=6),B2247=10)),1,0)</f>
        <v>0</v>
      </c>
      <c r="Y2247" s="27" t="n">
        <f aca="false">IF(AND(E2247&gt;0,B2247=10),1,0)</f>
        <v>0</v>
      </c>
      <c r="Z2247" s="0" t="str">
        <f aca="false">IF(AND(C2246=C2247,W2246=W2247-1),X2246,"")</f>
        <v/>
      </c>
      <c r="AA2247" s="0" t="str">
        <f aca="false">IF(AND(C2246=C2247,W2246=W2247-1),Y2246,"")</f>
        <v/>
      </c>
      <c r="AB2247" s="0" t="str">
        <f aca="false">IF(W2247=1,"",IF(AND(X2247=1,Z2247&lt;&gt;1),1,0))</f>
        <v/>
      </c>
      <c r="AC2247" s="0" t="str">
        <f aca="false">IF(W2247=1,"",IF(AND(Y2247=1,AA2247&lt;&gt;1),1,0))</f>
        <v/>
      </c>
      <c r="AD2247" s="33" t="str">
        <f aca="false">IF(AND(E2247&gt;0,W2247&lt;1,NOT(AND(C2248=C2247,W2248=W2247+1))),INDEX(DATAS,W2247+1),"")</f>
        <v/>
      </c>
      <c r="AE2247" s="33" t="str">
        <f aca="false">IF(AND(Y2247=1,W2247&lt;1),IF(AND(C2248=C2247,W2248=W2247+1),IF(Y2248=1,"",INDEX(DATAS,W2247+1)),INDEX(DATAS,W2247+1)),"")</f>
        <v/>
      </c>
    </row>
    <row r="2248" customFormat="false" ht="15" hidden="false" customHeight="false" outlineLevel="0" collapsed="false">
      <c r="A2248" s="33" t="n">
        <v>46309</v>
      </c>
      <c r="B2248" s="0" t="n">
        <v>8</v>
      </c>
      <c r="C2248" s="0" t="n">
        <v>6534</v>
      </c>
      <c r="E2248" s="0" t="n">
        <v>0</v>
      </c>
      <c r="F2248" s="27" t="s">
        <v>1217</v>
      </c>
      <c r="I2248" s="27" t="s">
        <v>138</v>
      </c>
      <c r="L2248" s="0" t="n">
        <v>105</v>
      </c>
      <c r="U2248" s="0" t="n">
        <v>522</v>
      </c>
      <c r="V2248" s="0" t="n">
        <v>2</v>
      </c>
      <c r="W2248" s="27" t="n">
        <f aca="false">MATCH(A2248,DATAS,0)</f>
        <v>1</v>
      </c>
      <c r="X2248" s="27" t="n">
        <f aca="false">IF(AND(E2248&gt;0,OR(AND(B2248&gt;=1,B2248&lt;=6),B2248=10)),1,0)</f>
        <v>0</v>
      </c>
      <c r="Y2248" s="27" t="n">
        <f aca="false">IF(AND(E2248&gt;0,B2248=10),1,0)</f>
        <v>0</v>
      </c>
      <c r="Z2248" s="0" t="str">
        <f aca="false">IF(AND(C2247=C2248,W2247=W2248-1),X2247,"")</f>
        <v/>
      </c>
      <c r="AA2248" s="0" t="str">
        <f aca="false">IF(AND(C2247=C2248,W2247=W2248-1),Y2247,"")</f>
        <v/>
      </c>
      <c r="AB2248" s="0" t="str">
        <f aca="false">IF(W2248=1,"",IF(AND(X2248=1,Z2248&lt;&gt;1),1,0))</f>
        <v/>
      </c>
      <c r="AC2248" s="0" t="str">
        <f aca="false">IF(W2248=1,"",IF(AND(Y2248=1,AA2248&lt;&gt;1),1,0))</f>
        <v/>
      </c>
      <c r="AD2248" s="33" t="str">
        <f aca="false">IF(AND(E2248&gt;0,W2248&lt;1,NOT(AND(C2249=C2248,W2249=W2248+1))),INDEX(DATAS,W2248+1),"")</f>
        <v/>
      </c>
      <c r="AE2248" s="33" t="str">
        <f aca="false">IF(AND(Y2248=1,W2248&lt;1),IF(AND(C2249=C2248,W2249=W2248+1),IF(Y2249=1,"",INDEX(DATAS,W2248+1)),INDEX(DATAS,W2248+1)),"")</f>
        <v/>
      </c>
    </row>
    <row r="2249" customFormat="false" ht="15" hidden="false" customHeight="false" outlineLevel="0" collapsed="false">
      <c r="A2249" s="33" t="n">
        <v>46309</v>
      </c>
      <c r="B2249" s="0" t="n">
        <v>8</v>
      </c>
      <c r="C2249" s="0" t="n">
        <v>6535</v>
      </c>
      <c r="E2249" s="0" t="n">
        <v>0</v>
      </c>
      <c r="F2249" s="27" t="s">
        <v>1218</v>
      </c>
      <c r="I2249" s="27" t="s">
        <v>138</v>
      </c>
      <c r="L2249" s="0" t="n">
        <v>92</v>
      </c>
      <c r="U2249" s="0" t="n">
        <v>521</v>
      </c>
      <c r="V2249" s="0" t="n">
        <v>2</v>
      </c>
      <c r="W2249" s="27" t="n">
        <f aca="false">MATCH(A2249,DATAS,0)</f>
        <v>1</v>
      </c>
      <c r="X2249" s="27" t="n">
        <f aca="false">IF(AND(E2249&gt;0,OR(AND(B2249&gt;=1,B2249&lt;=6),B2249=10)),1,0)</f>
        <v>0</v>
      </c>
      <c r="Y2249" s="27" t="n">
        <f aca="false">IF(AND(E2249&gt;0,B2249=10),1,0)</f>
        <v>0</v>
      </c>
      <c r="Z2249" s="0" t="str">
        <f aca="false">IF(AND(C2248=C2249,W2248=W2249-1),X2248,"")</f>
        <v/>
      </c>
      <c r="AA2249" s="0" t="str">
        <f aca="false">IF(AND(C2248=C2249,W2248=W2249-1),Y2248,"")</f>
        <v/>
      </c>
      <c r="AB2249" s="0" t="str">
        <f aca="false">IF(W2249=1,"",IF(AND(X2249=1,Z2249&lt;&gt;1),1,0))</f>
        <v/>
      </c>
      <c r="AC2249" s="0" t="str">
        <f aca="false">IF(W2249=1,"",IF(AND(Y2249=1,AA2249&lt;&gt;1),1,0))</f>
        <v/>
      </c>
      <c r="AD2249" s="33" t="str">
        <f aca="false">IF(AND(E2249&gt;0,W2249&lt;1,NOT(AND(C2250=C2249,W2250=W2249+1))),INDEX(DATAS,W2249+1),"")</f>
        <v/>
      </c>
      <c r="AE2249" s="33" t="str">
        <f aca="false">IF(AND(Y2249=1,W2249&lt;1),IF(AND(C2250=C2249,W2250=W2249+1),IF(Y2250=1,"",INDEX(DATAS,W2249+1)),INDEX(DATAS,W2249+1)),"")</f>
        <v/>
      </c>
    </row>
    <row r="2250" customFormat="false" ht="15" hidden="false" customHeight="false" outlineLevel="0" collapsed="false">
      <c r="A2250" s="33" t="n">
        <v>46309</v>
      </c>
      <c r="B2250" s="0" t="n">
        <v>8</v>
      </c>
      <c r="C2250" s="0" t="n">
        <v>6536</v>
      </c>
      <c r="E2250" s="0" t="n">
        <v>0</v>
      </c>
      <c r="F2250" s="27" t="s">
        <v>1218</v>
      </c>
      <c r="I2250" s="27" t="s">
        <v>138</v>
      </c>
      <c r="L2250" s="0" t="n">
        <v>86</v>
      </c>
      <c r="U2250" s="0" t="n">
        <v>521</v>
      </c>
      <c r="V2250" s="0" t="n">
        <v>2</v>
      </c>
      <c r="W2250" s="27" t="n">
        <f aca="false">MATCH(A2250,DATAS,0)</f>
        <v>1</v>
      </c>
      <c r="X2250" s="27" t="n">
        <f aca="false">IF(AND(E2250&gt;0,OR(AND(B2250&gt;=1,B2250&lt;=6),B2250=10)),1,0)</f>
        <v>0</v>
      </c>
      <c r="Y2250" s="27" t="n">
        <f aca="false">IF(AND(E2250&gt;0,B2250=10),1,0)</f>
        <v>0</v>
      </c>
      <c r="Z2250" s="0" t="str">
        <f aca="false">IF(AND(C2249=C2250,W2249=W2250-1),X2249,"")</f>
        <v/>
      </c>
      <c r="AA2250" s="0" t="str">
        <f aca="false">IF(AND(C2249=C2250,W2249=W2250-1),Y2249,"")</f>
        <v/>
      </c>
      <c r="AB2250" s="0" t="str">
        <f aca="false">IF(W2250=1,"",IF(AND(X2250=1,Z2250&lt;&gt;1),1,0))</f>
        <v/>
      </c>
      <c r="AC2250" s="0" t="str">
        <f aca="false">IF(W2250=1,"",IF(AND(Y2250=1,AA2250&lt;&gt;1),1,0))</f>
        <v/>
      </c>
      <c r="AD2250" s="33" t="str">
        <f aca="false">IF(AND(E2250&gt;0,W2250&lt;1,NOT(AND(C2251=C2250,W2251=W2250+1))),INDEX(DATAS,W2250+1),"")</f>
        <v/>
      </c>
      <c r="AE2250" s="33" t="str">
        <f aca="false">IF(AND(Y2250=1,W2250&lt;1),IF(AND(C2251=C2250,W2251=W2250+1),IF(Y2251=1,"",INDEX(DATAS,W2250+1)),INDEX(DATAS,W2250+1)),"")</f>
        <v/>
      </c>
    </row>
    <row r="2251" customFormat="false" ht="15" hidden="false" customHeight="false" outlineLevel="0" collapsed="false">
      <c r="A2251" s="33" t="n">
        <v>46309</v>
      </c>
      <c r="B2251" s="0" t="n">
        <v>8</v>
      </c>
      <c r="C2251" s="0" t="n">
        <v>6537</v>
      </c>
      <c r="E2251" s="0" t="n">
        <v>0</v>
      </c>
      <c r="F2251" s="27" t="s">
        <v>1218</v>
      </c>
      <c r="I2251" s="27" t="s">
        <v>138</v>
      </c>
      <c r="L2251" s="0" t="n">
        <v>63</v>
      </c>
      <c r="U2251" s="0" t="n">
        <v>521</v>
      </c>
      <c r="V2251" s="0" t="n">
        <v>3</v>
      </c>
      <c r="W2251" s="27" t="n">
        <f aca="false">MATCH(A2251,DATAS,0)</f>
        <v>1</v>
      </c>
      <c r="X2251" s="27" t="n">
        <f aca="false">IF(AND(E2251&gt;0,OR(AND(B2251&gt;=1,B2251&lt;=6),B2251=10)),1,0)</f>
        <v>0</v>
      </c>
      <c r="Y2251" s="27" t="n">
        <f aca="false">IF(AND(E2251&gt;0,B2251=10),1,0)</f>
        <v>0</v>
      </c>
      <c r="Z2251" s="0" t="str">
        <f aca="false">IF(AND(C2250=C2251,W2250=W2251-1),X2250,"")</f>
        <v/>
      </c>
      <c r="AA2251" s="0" t="str">
        <f aca="false">IF(AND(C2250=C2251,W2250=W2251-1),Y2250,"")</f>
        <v/>
      </c>
      <c r="AB2251" s="0" t="str">
        <f aca="false">IF(W2251=1,"",IF(AND(X2251=1,Z2251&lt;&gt;1),1,0))</f>
        <v/>
      </c>
      <c r="AC2251" s="0" t="str">
        <f aca="false">IF(W2251=1,"",IF(AND(Y2251=1,AA2251&lt;&gt;1),1,0))</f>
        <v/>
      </c>
      <c r="AD2251" s="33" t="str">
        <f aca="false">IF(AND(E2251&gt;0,W2251&lt;1,NOT(AND(C2252=C2251,W2252=W2251+1))),INDEX(DATAS,W2251+1),"")</f>
        <v/>
      </c>
      <c r="AE2251" s="33" t="str">
        <f aca="false">IF(AND(Y2251=1,W2251&lt;1),IF(AND(C2252=C2251,W2252=W2251+1),IF(Y2252=1,"",INDEX(DATAS,W2251+1)),INDEX(DATAS,W2251+1)),"")</f>
        <v/>
      </c>
    </row>
    <row r="2252" customFormat="false" ht="15" hidden="false" customHeight="false" outlineLevel="0" collapsed="false">
      <c r="A2252" s="33" t="n">
        <v>46309</v>
      </c>
      <c r="B2252" s="0" t="n">
        <v>8</v>
      </c>
      <c r="C2252" s="0" t="n">
        <v>6538</v>
      </c>
      <c r="E2252" s="0" t="n">
        <v>0</v>
      </c>
      <c r="F2252" s="27" t="s">
        <v>1219</v>
      </c>
      <c r="I2252" s="27" t="s">
        <v>138</v>
      </c>
      <c r="L2252" s="0" t="n">
        <v>105</v>
      </c>
      <c r="U2252" s="0" t="n">
        <v>520</v>
      </c>
      <c r="V2252" s="0" t="n">
        <v>1</v>
      </c>
      <c r="W2252" s="27" t="n">
        <f aca="false">MATCH(A2252,DATAS,0)</f>
        <v>1</v>
      </c>
      <c r="X2252" s="27" t="n">
        <f aca="false">IF(AND(E2252&gt;0,OR(AND(B2252&gt;=1,B2252&lt;=6),B2252=10)),1,0)</f>
        <v>0</v>
      </c>
      <c r="Y2252" s="27" t="n">
        <f aca="false">IF(AND(E2252&gt;0,B2252=10),1,0)</f>
        <v>0</v>
      </c>
      <c r="Z2252" s="0" t="str">
        <f aca="false">IF(AND(C2251=C2252,W2251=W2252-1),X2251,"")</f>
        <v/>
      </c>
      <c r="AA2252" s="0" t="str">
        <f aca="false">IF(AND(C2251=C2252,W2251=W2252-1),Y2251,"")</f>
        <v/>
      </c>
      <c r="AB2252" s="0" t="str">
        <f aca="false">IF(W2252=1,"",IF(AND(X2252=1,Z2252&lt;&gt;1),1,0))</f>
        <v/>
      </c>
      <c r="AC2252" s="0" t="str">
        <f aca="false">IF(W2252=1,"",IF(AND(Y2252=1,AA2252&lt;&gt;1),1,0))</f>
        <v/>
      </c>
      <c r="AD2252" s="33" t="str">
        <f aca="false">IF(AND(E2252&gt;0,W2252&lt;1,NOT(AND(C2253=C2252,W2253=W2252+1))),INDEX(DATAS,W2252+1),"")</f>
        <v/>
      </c>
      <c r="AE2252" s="33" t="str">
        <f aca="false">IF(AND(Y2252=1,W2252&lt;1),IF(AND(C2253=C2252,W2253=W2252+1),IF(Y2253=1,"",INDEX(DATAS,W2252+1)),INDEX(DATAS,W2252+1)),"")</f>
        <v/>
      </c>
    </row>
    <row r="2253" customFormat="false" ht="15" hidden="false" customHeight="false" outlineLevel="0" collapsed="false">
      <c r="A2253" s="33" t="n">
        <v>46309</v>
      </c>
      <c r="B2253" s="0" t="n">
        <v>8</v>
      </c>
      <c r="C2253" s="0" t="n">
        <v>6539</v>
      </c>
      <c r="E2253" s="0" t="n">
        <v>0</v>
      </c>
      <c r="F2253" s="27" t="s">
        <v>1216</v>
      </c>
      <c r="I2253" s="27" t="s">
        <v>138</v>
      </c>
      <c r="L2253" s="0" t="n">
        <v>120</v>
      </c>
      <c r="U2253" s="0" t="n">
        <v>519</v>
      </c>
      <c r="V2253" s="0" t="n">
        <v>1</v>
      </c>
      <c r="W2253" s="27" t="n">
        <f aca="false">MATCH(A2253,DATAS,0)</f>
        <v>1</v>
      </c>
      <c r="X2253" s="27" t="n">
        <f aca="false">IF(AND(E2253&gt;0,OR(AND(B2253&gt;=1,B2253&lt;=6),B2253=10)),1,0)</f>
        <v>0</v>
      </c>
      <c r="Y2253" s="27" t="n">
        <f aca="false">IF(AND(E2253&gt;0,B2253=10),1,0)</f>
        <v>0</v>
      </c>
      <c r="Z2253" s="0" t="str">
        <f aca="false">IF(AND(C2252=C2253,W2252=W2253-1),X2252,"")</f>
        <v/>
      </c>
      <c r="AA2253" s="0" t="str">
        <f aca="false">IF(AND(C2252=C2253,W2252=W2253-1),Y2252,"")</f>
        <v/>
      </c>
      <c r="AB2253" s="0" t="str">
        <f aca="false">IF(W2253=1,"",IF(AND(X2253=1,Z2253&lt;&gt;1),1,0))</f>
        <v/>
      </c>
      <c r="AC2253" s="0" t="str">
        <f aca="false">IF(W2253=1,"",IF(AND(Y2253=1,AA2253&lt;&gt;1),1,0))</f>
        <v/>
      </c>
      <c r="AD2253" s="33" t="str">
        <f aca="false">IF(AND(E2253&gt;0,W2253&lt;1,NOT(AND(C2254=C2253,W2254=W2253+1))),INDEX(DATAS,W2253+1),"")</f>
        <v/>
      </c>
      <c r="AE2253" s="33" t="str">
        <f aca="false">IF(AND(Y2253=1,W2253&lt;1),IF(AND(C2254=C2253,W2254=W2253+1),IF(Y2254=1,"",INDEX(DATAS,W2253+1)),INDEX(DATAS,W2253+1)),"")</f>
        <v/>
      </c>
    </row>
    <row r="2254" customFormat="false" ht="15" hidden="false" customHeight="false" outlineLevel="0" collapsed="false">
      <c r="A2254" s="33" t="n">
        <v>46309</v>
      </c>
      <c r="B2254" s="0" t="n">
        <v>8</v>
      </c>
      <c r="C2254" s="0" t="n">
        <v>6540</v>
      </c>
      <c r="E2254" s="0" t="n">
        <v>0</v>
      </c>
      <c r="F2254" s="27" t="s">
        <v>1216</v>
      </c>
      <c r="I2254" s="27" t="s">
        <v>138</v>
      </c>
      <c r="L2254" s="0" t="n">
        <v>82</v>
      </c>
      <c r="U2254" s="0" t="n">
        <v>519</v>
      </c>
      <c r="V2254" s="0" t="n">
        <v>3</v>
      </c>
      <c r="W2254" s="27" t="n">
        <f aca="false">MATCH(A2254,DATAS,0)</f>
        <v>1</v>
      </c>
      <c r="X2254" s="27" t="n">
        <f aca="false">IF(AND(E2254&gt;0,OR(AND(B2254&gt;=1,B2254&lt;=6),B2254=10)),1,0)</f>
        <v>0</v>
      </c>
      <c r="Y2254" s="27" t="n">
        <f aca="false">IF(AND(E2254&gt;0,B2254=10),1,0)</f>
        <v>0</v>
      </c>
      <c r="Z2254" s="0" t="str">
        <f aca="false">IF(AND(C2253=C2254,W2253=W2254-1),X2253,"")</f>
        <v/>
      </c>
      <c r="AA2254" s="0" t="str">
        <f aca="false">IF(AND(C2253=C2254,W2253=W2254-1),Y2253,"")</f>
        <v/>
      </c>
      <c r="AB2254" s="0" t="str">
        <f aca="false">IF(W2254=1,"",IF(AND(X2254=1,Z2254&lt;&gt;1),1,0))</f>
        <v/>
      </c>
      <c r="AC2254" s="0" t="str">
        <f aca="false">IF(W2254=1,"",IF(AND(Y2254=1,AA2254&lt;&gt;1),1,0))</f>
        <v/>
      </c>
      <c r="AD2254" s="33" t="str">
        <f aca="false">IF(AND(E2254&gt;0,W2254&lt;1,NOT(AND(C2255=C2254,W2255=W2254+1))),INDEX(DATAS,W2254+1),"")</f>
        <v/>
      </c>
      <c r="AE2254" s="33" t="str">
        <f aca="false">IF(AND(Y2254=1,W2254&lt;1),IF(AND(C2255=C2254,W2255=W2254+1),IF(Y2255=1,"",INDEX(DATAS,W2254+1)),INDEX(DATAS,W2254+1)),"")</f>
        <v/>
      </c>
    </row>
    <row r="2255" customFormat="false" ht="15" hidden="false" customHeight="false" outlineLevel="0" collapsed="false">
      <c r="A2255" s="33" t="n">
        <v>46309</v>
      </c>
      <c r="B2255" s="0" t="n">
        <v>8</v>
      </c>
      <c r="C2255" s="0" t="n">
        <v>6541</v>
      </c>
      <c r="E2255" s="0" t="n">
        <v>0</v>
      </c>
      <c r="F2255" s="27" t="s">
        <v>1216</v>
      </c>
      <c r="I2255" s="27" t="s">
        <v>138</v>
      </c>
      <c r="L2255" s="0" t="n">
        <v>120</v>
      </c>
      <c r="U2255" s="0" t="n">
        <v>519</v>
      </c>
      <c r="V2255" s="0" t="n">
        <v>1</v>
      </c>
      <c r="W2255" s="27" t="n">
        <f aca="false">MATCH(A2255,DATAS,0)</f>
        <v>1</v>
      </c>
      <c r="X2255" s="27" t="n">
        <f aca="false">IF(AND(E2255&gt;0,OR(AND(B2255&gt;=1,B2255&lt;=6),B2255=10)),1,0)</f>
        <v>0</v>
      </c>
      <c r="Y2255" s="27" t="n">
        <f aca="false">IF(AND(E2255&gt;0,B2255=10),1,0)</f>
        <v>0</v>
      </c>
      <c r="Z2255" s="0" t="str">
        <f aca="false">IF(AND(C2254=C2255,W2254=W2255-1),X2254,"")</f>
        <v/>
      </c>
      <c r="AA2255" s="0" t="str">
        <f aca="false">IF(AND(C2254=C2255,W2254=W2255-1),Y2254,"")</f>
        <v/>
      </c>
      <c r="AB2255" s="0" t="str">
        <f aca="false">IF(W2255=1,"",IF(AND(X2255=1,Z2255&lt;&gt;1),1,0))</f>
        <v/>
      </c>
      <c r="AC2255" s="0" t="str">
        <f aca="false">IF(W2255=1,"",IF(AND(Y2255=1,AA2255&lt;&gt;1),1,0))</f>
        <v/>
      </c>
      <c r="AD2255" s="33" t="str">
        <f aca="false">IF(AND(E2255&gt;0,W2255&lt;1,NOT(AND(C2256=C2255,W2256=W2255+1))),INDEX(DATAS,W2255+1),"")</f>
        <v/>
      </c>
      <c r="AE2255" s="33" t="str">
        <f aca="false">IF(AND(Y2255=1,W2255&lt;1),IF(AND(C2256=C2255,W2256=W2255+1),IF(Y2256=1,"",INDEX(DATAS,W2255+1)),INDEX(DATAS,W2255+1)),"")</f>
        <v/>
      </c>
    </row>
    <row r="2256" customFormat="false" ht="15" hidden="false" customHeight="false" outlineLevel="0" collapsed="false">
      <c r="A2256" s="33" t="n">
        <v>46309</v>
      </c>
      <c r="B2256" s="0" t="n">
        <v>8</v>
      </c>
      <c r="C2256" s="0" t="n">
        <v>6542</v>
      </c>
      <c r="E2256" s="0" t="n">
        <v>0</v>
      </c>
      <c r="F2256" s="27" t="s">
        <v>1216</v>
      </c>
      <c r="I2256" s="27" t="s">
        <v>138</v>
      </c>
      <c r="L2256" s="0" t="n">
        <v>43</v>
      </c>
      <c r="U2256" s="0" t="n">
        <v>519</v>
      </c>
      <c r="V2256" s="0" t="n">
        <v>3</v>
      </c>
      <c r="W2256" s="27" t="n">
        <f aca="false">MATCH(A2256,DATAS,0)</f>
        <v>1</v>
      </c>
      <c r="X2256" s="27" t="n">
        <f aca="false">IF(AND(E2256&gt;0,OR(AND(B2256&gt;=1,B2256&lt;=6),B2256=10)),1,0)</f>
        <v>0</v>
      </c>
      <c r="Y2256" s="27" t="n">
        <f aca="false">IF(AND(E2256&gt;0,B2256=10),1,0)</f>
        <v>0</v>
      </c>
      <c r="Z2256" s="0" t="str">
        <f aca="false">IF(AND(C2255=C2256,W2255=W2256-1),X2255,"")</f>
        <v/>
      </c>
      <c r="AA2256" s="0" t="str">
        <f aca="false">IF(AND(C2255=C2256,W2255=W2256-1),Y2255,"")</f>
        <v/>
      </c>
      <c r="AB2256" s="0" t="str">
        <f aca="false">IF(W2256=1,"",IF(AND(X2256=1,Z2256&lt;&gt;1),1,0))</f>
        <v/>
      </c>
      <c r="AC2256" s="0" t="str">
        <f aca="false">IF(W2256=1,"",IF(AND(Y2256=1,AA2256&lt;&gt;1),1,0))</f>
        <v/>
      </c>
      <c r="AD2256" s="33" t="str">
        <f aca="false">IF(AND(E2256&gt;0,W2256&lt;1,NOT(AND(C2257=C2256,W2257=W2256+1))),INDEX(DATAS,W2256+1),"")</f>
        <v/>
      </c>
      <c r="AE2256" s="33" t="str">
        <f aca="false">IF(AND(Y2256=1,W2256&lt;1),IF(AND(C2257=C2256,W2257=W2256+1),IF(Y2257=1,"",INDEX(DATAS,W2256+1)),INDEX(DATAS,W2256+1)),"")</f>
        <v/>
      </c>
    </row>
    <row r="2257" customFormat="false" ht="15" hidden="false" customHeight="false" outlineLevel="0" collapsed="false">
      <c r="A2257" s="33" t="n">
        <v>46309</v>
      </c>
      <c r="B2257" s="0" t="n">
        <v>11</v>
      </c>
      <c r="C2257" s="0" t="n">
        <v>6543</v>
      </c>
      <c r="E2257" s="0" t="n">
        <v>0</v>
      </c>
      <c r="F2257" s="27" t="s">
        <v>1216</v>
      </c>
      <c r="I2257" s="27" t="s">
        <v>168</v>
      </c>
      <c r="U2257" s="0" t="n">
        <v>519</v>
      </c>
      <c r="V2257" s="0" t="n">
        <v>4</v>
      </c>
      <c r="W2257" s="27" t="n">
        <f aca="false">MATCH(A2257,DATAS,0)</f>
        <v>1</v>
      </c>
      <c r="X2257" s="27" t="n">
        <f aca="false">IF(AND(E2257&gt;0,OR(AND(B2257&gt;=1,B2257&lt;=6),B2257=10)),1,0)</f>
        <v>0</v>
      </c>
      <c r="Y2257" s="27" t="n">
        <f aca="false">IF(AND(E2257&gt;0,B2257=10),1,0)</f>
        <v>0</v>
      </c>
      <c r="Z2257" s="0" t="str">
        <f aca="false">IF(AND(C2256=C2257,W2256=W2257-1),X2256,"")</f>
        <v/>
      </c>
      <c r="AA2257" s="0" t="str">
        <f aca="false">IF(AND(C2256=C2257,W2256=W2257-1),Y2256,"")</f>
        <v/>
      </c>
      <c r="AB2257" s="0" t="str">
        <f aca="false">IF(W2257=1,"",IF(AND(X2257=1,Z2257&lt;&gt;1),1,0))</f>
        <v/>
      </c>
      <c r="AC2257" s="0" t="str">
        <f aca="false">IF(W2257=1,"",IF(AND(Y2257=1,AA2257&lt;&gt;1),1,0))</f>
        <v/>
      </c>
      <c r="AD2257" s="33" t="str">
        <f aca="false">IF(AND(E2257&gt;0,W2257&lt;1,NOT(AND(C2258=C2257,W2258=W2257+1))),INDEX(DATAS,W2257+1),"")</f>
        <v/>
      </c>
      <c r="AE2257" s="33" t="str">
        <f aca="false">IF(AND(Y2257=1,W2257&lt;1),IF(AND(C2258=C2257,W2258=W2257+1),IF(Y2258=1,"",INDEX(DATAS,W2257+1)),INDEX(DATAS,W2257+1)),"")</f>
        <v/>
      </c>
    </row>
    <row r="2258" customFormat="false" ht="15" hidden="false" customHeight="false" outlineLevel="0" collapsed="false">
      <c r="A2258" s="33" t="n">
        <v>46309</v>
      </c>
      <c r="B2258" s="0" t="n">
        <v>8</v>
      </c>
      <c r="C2258" s="0" t="n">
        <v>6544</v>
      </c>
      <c r="E2258" s="0" t="n">
        <v>0</v>
      </c>
      <c r="F2258" s="27" t="s">
        <v>1216</v>
      </c>
      <c r="I2258" s="27" t="s">
        <v>138</v>
      </c>
      <c r="L2258" s="0" t="n">
        <v>59</v>
      </c>
      <c r="U2258" s="0" t="n">
        <v>519</v>
      </c>
      <c r="V2258" s="0" t="n">
        <v>4</v>
      </c>
      <c r="W2258" s="27" t="n">
        <f aca="false">MATCH(A2258,DATAS,0)</f>
        <v>1</v>
      </c>
      <c r="X2258" s="27" t="n">
        <f aca="false">IF(AND(E2258&gt;0,OR(AND(B2258&gt;=1,B2258&lt;=6),B2258=10)),1,0)</f>
        <v>0</v>
      </c>
      <c r="Y2258" s="27" t="n">
        <f aca="false">IF(AND(E2258&gt;0,B2258=10),1,0)</f>
        <v>0</v>
      </c>
      <c r="Z2258" s="0" t="str">
        <f aca="false">IF(AND(C2257=C2258,W2257=W2258-1),X2257,"")</f>
        <v/>
      </c>
      <c r="AA2258" s="0" t="str">
        <f aca="false">IF(AND(C2257=C2258,W2257=W2258-1),Y2257,"")</f>
        <v/>
      </c>
      <c r="AB2258" s="0" t="str">
        <f aca="false">IF(W2258=1,"",IF(AND(X2258=1,Z2258&lt;&gt;1),1,0))</f>
        <v/>
      </c>
      <c r="AC2258" s="0" t="str">
        <f aca="false">IF(W2258=1,"",IF(AND(Y2258=1,AA2258&lt;&gt;1),1,0))</f>
        <v/>
      </c>
      <c r="AD2258" s="33" t="str">
        <f aca="false">IF(AND(E2258&gt;0,W2258&lt;1,NOT(AND(C2259=C2258,W2259=W2258+1))),INDEX(DATAS,W2258+1),"")</f>
        <v/>
      </c>
      <c r="AE2258" s="33" t="str">
        <f aca="false">IF(AND(Y2258=1,W2258&lt;1),IF(AND(C2259=C2258,W2259=W2258+1),IF(Y2259=1,"",INDEX(DATAS,W2258+1)),INDEX(DATAS,W2258+1)),"")</f>
        <v/>
      </c>
    </row>
    <row r="2259" customFormat="false" ht="15" hidden="false" customHeight="false" outlineLevel="0" collapsed="false">
      <c r="A2259" s="33" t="n">
        <v>46309</v>
      </c>
      <c r="B2259" s="0" t="n">
        <v>8</v>
      </c>
      <c r="C2259" s="0" t="n">
        <v>6545</v>
      </c>
      <c r="E2259" s="0" t="n">
        <v>0</v>
      </c>
      <c r="F2259" s="27" t="s">
        <v>1216</v>
      </c>
      <c r="I2259" s="27" t="s">
        <v>138</v>
      </c>
      <c r="L2259" s="0" t="n">
        <v>120</v>
      </c>
      <c r="U2259" s="0" t="n">
        <v>519</v>
      </c>
      <c r="V2259" s="0" t="n">
        <v>1</v>
      </c>
      <c r="W2259" s="27" t="n">
        <f aca="false">MATCH(A2259,DATAS,0)</f>
        <v>1</v>
      </c>
      <c r="X2259" s="27" t="n">
        <f aca="false">IF(AND(E2259&gt;0,OR(AND(B2259&gt;=1,B2259&lt;=6),B2259=10)),1,0)</f>
        <v>0</v>
      </c>
      <c r="Y2259" s="27" t="n">
        <f aca="false">IF(AND(E2259&gt;0,B2259=10),1,0)</f>
        <v>0</v>
      </c>
      <c r="Z2259" s="0" t="str">
        <f aca="false">IF(AND(C2258=C2259,W2258=W2259-1),X2258,"")</f>
        <v/>
      </c>
      <c r="AA2259" s="0" t="str">
        <f aca="false">IF(AND(C2258=C2259,W2258=W2259-1),Y2258,"")</f>
        <v/>
      </c>
      <c r="AB2259" s="0" t="str">
        <f aca="false">IF(W2259=1,"",IF(AND(X2259=1,Z2259&lt;&gt;1),1,0))</f>
        <v/>
      </c>
      <c r="AC2259" s="0" t="str">
        <f aca="false">IF(W2259=1,"",IF(AND(Y2259=1,AA2259&lt;&gt;1),1,0))</f>
        <v/>
      </c>
      <c r="AD2259" s="33" t="str">
        <f aca="false">IF(AND(E2259&gt;0,W2259&lt;1,NOT(AND(C2260=C2259,W2260=W2259+1))),INDEX(DATAS,W2259+1),"")</f>
        <v/>
      </c>
      <c r="AE2259" s="33" t="str">
        <f aca="false">IF(AND(Y2259=1,W2259&lt;1),IF(AND(C2260=C2259,W2260=W2259+1),IF(Y2260=1,"",INDEX(DATAS,W2259+1)),INDEX(DATAS,W2259+1)),"")</f>
        <v/>
      </c>
    </row>
    <row r="2260" customFormat="false" ht="15" hidden="false" customHeight="false" outlineLevel="0" collapsed="false">
      <c r="A2260" s="33" t="n">
        <v>46309</v>
      </c>
      <c r="B2260" s="0" t="n">
        <v>8</v>
      </c>
      <c r="C2260" s="0" t="n">
        <v>6546</v>
      </c>
      <c r="E2260" s="0" t="n">
        <v>0</v>
      </c>
      <c r="F2260" s="27" t="s">
        <v>1220</v>
      </c>
      <c r="I2260" s="27" t="s">
        <v>138</v>
      </c>
      <c r="L2260" s="0" t="n">
        <v>120</v>
      </c>
      <c r="U2260" s="0" t="n">
        <v>518</v>
      </c>
      <c r="V2260" s="0" t="n">
        <v>1</v>
      </c>
      <c r="W2260" s="27" t="n">
        <f aca="false">MATCH(A2260,DATAS,0)</f>
        <v>1</v>
      </c>
      <c r="X2260" s="27" t="n">
        <f aca="false">IF(AND(E2260&gt;0,OR(AND(B2260&gt;=1,B2260&lt;=6),B2260=10)),1,0)</f>
        <v>0</v>
      </c>
      <c r="Y2260" s="27" t="n">
        <f aca="false">IF(AND(E2260&gt;0,B2260=10),1,0)</f>
        <v>0</v>
      </c>
      <c r="Z2260" s="0" t="str">
        <f aca="false">IF(AND(C2259=C2260,W2259=W2260-1),X2259,"")</f>
        <v/>
      </c>
      <c r="AA2260" s="0" t="str">
        <f aca="false">IF(AND(C2259=C2260,W2259=W2260-1),Y2259,"")</f>
        <v/>
      </c>
      <c r="AB2260" s="0" t="str">
        <f aca="false">IF(W2260=1,"",IF(AND(X2260=1,Z2260&lt;&gt;1),1,0))</f>
        <v/>
      </c>
      <c r="AC2260" s="0" t="str">
        <f aca="false">IF(W2260=1,"",IF(AND(Y2260=1,AA2260&lt;&gt;1),1,0))</f>
        <v/>
      </c>
      <c r="AD2260" s="33" t="str">
        <f aca="false">IF(AND(E2260&gt;0,W2260&lt;1,NOT(AND(C2261=C2260,W2261=W2260+1))),INDEX(DATAS,W2260+1),"")</f>
        <v/>
      </c>
      <c r="AE2260" s="33" t="str">
        <f aca="false">IF(AND(Y2260=1,W2260&lt;1),IF(AND(C2261=C2260,W2261=W2260+1),IF(Y2261=1,"",INDEX(DATAS,W2260+1)),INDEX(DATAS,W2260+1)),"")</f>
        <v/>
      </c>
    </row>
    <row r="2261" customFormat="false" ht="15" hidden="false" customHeight="false" outlineLevel="0" collapsed="false">
      <c r="A2261" s="33" t="n">
        <v>46309</v>
      </c>
      <c r="B2261" s="0" t="n">
        <v>8</v>
      </c>
      <c r="C2261" s="0" t="n">
        <v>6547</v>
      </c>
      <c r="E2261" s="0" t="n">
        <v>0</v>
      </c>
      <c r="F2261" s="27" t="s">
        <v>1220</v>
      </c>
      <c r="I2261" s="27" t="s">
        <v>138</v>
      </c>
      <c r="L2261" s="0" t="n">
        <v>84</v>
      </c>
      <c r="U2261" s="0" t="n">
        <v>518</v>
      </c>
      <c r="V2261" s="0" t="n">
        <v>2</v>
      </c>
      <c r="W2261" s="27" t="n">
        <f aca="false">MATCH(A2261,DATAS,0)</f>
        <v>1</v>
      </c>
      <c r="X2261" s="27" t="n">
        <f aca="false">IF(AND(E2261&gt;0,OR(AND(B2261&gt;=1,B2261&lt;=6),B2261=10)),1,0)</f>
        <v>0</v>
      </c>
      <c r="Y2261" s="27" t="n">
        <f aca="false">IF(AND(E2261&gt;0,B2261=10),1,0)</f>
        <v>0</v>
      </c>
      <c r="Z2261" s="0" t="str">
        <f aca="false">IF(AND(C2260=C2261,W2260=W2261-1),X2260,"")</f>
        <v/>
      </c>
      <c r="AA2261" s="0" t="str">
        <f aca="false">IF(AND(C2260=C2261,W2260=W2261-1),Y2260,"")</f>
        <v/>
      </c>
      <c r="AB2261" s="0" t="str">
        <f aca="false">IF(W2261=1,"",IF(AND(X2261=1,Z2261&lt;&gt;1),1,0))</f>
        <v/>
      </c>
      <c r="AC2261" s="0" t="str">
        <f aca="false">IF(W2261=1,"",IF(AND(Y2261=1,AA2261&lt;&gt;1),1,0))</f>
        <v/>
      </c>
      <c r="AD2261" s="33" t="str">
        <f aca="false">IF(AND(E2261&gt;0,W2261&lt;1,NOT(AND(C2262=C2261,W2262=W2261+1))),INDEX(DATAS,W2261+1),"")</f>
        <v/>
      </c>
      <c r="AE2261" s="33" t="str">
        <f aca="false">IF(AND(Y2261=1,W2261&lt;1),IF(AND(C2262=C2261,W2262=W2261+1),IF(Y2262=1,"",INDEX(DATAS,W2261+1)),INDEX(DATAS,W2261+1)),"")</f>
        <v/>
      </c>
    </row>
    <row r="2262" customFormat="false" ht="15" hidden="false" customHeight="false" outlineLevel="0" collapsed="false">
      <c r="A2262" s="33" t="n">
        <v>46309</v>
      </c>
      <c r="B2262" s="0" t="n">
        <v>8</v>
      </c>
      <c r="C2262" s="0" t="n">
        <v>6548</v>
      </c>
      <c r="E2262" s="0" t="n">
        <v>0</v>
      </c>
      <c r="F2262" s="27" t="s">
        <v>1220</v>
      </c>
      <c r="I2262" s="27" t="s">
        <v>138</v>
      </c>
      <c r="L2262" s="0" t="n">
        <v>111</v>
      </c>
      <c r="U2262" s="0" t="n">
        <v>518</v>
      </c>
      <c r="V2262" s="0" t="n">
        <v>1</v>
      </c>
      <c r="W2262" s="27" t="n">
        <f aca="false">MATCH(A2262,DATAS,0)</f>
        <v>1</v>
      </c>
      <c r="X2262" s="27" t="n">
        <f aca="false">IF(AND(E2262&gt;0,OR(AND(B2262&gt;=1,B2262&lt;=6),B2262=10)),1,0)</f>
        <v>0</v>
      </c>
      <c r="Y2262" s="27" t="n">
        <f aca="false">IF(AND(E2262&gt;0,B2262=10),1,0)</f>
        <v>0</v>
      </c>
      <c r="Z2262" s="0" t="str">
        <f aca="false">IF(AND(C2261=C2262,W2261=W2262-1),X2261,"")</f>
        <v/>
      </c>
      <c r="AA2262" s="0" t="str">
        <f aca="false">IF(AND(C2261=C2262,W2261=W2262-1),Y2261,"")</f>
        <v/>
      </c>
      <c r="AB2262" s="0" t="str">
        <f aca="false">IF(W2262=1,"",IF(AND(X2262=1,Z2262&lt;&gt;1),1,0))</f>
        <v/>
      </c>
      <c r="AC2262" s="0" t="str">
        <f aca="false">IF(W2262=1,"",IF(AND(Y2262=1,AA2262&lt;&gt;1),1,0))</f>
        <v/>
      </c>
      <c r="AD2262" s="33" t="str">
        <f aca="false">IF(AND(E2262&gt;0,W2262&lt;1,NOT(AND(C2263=C2262,W2263=W2262+1))),INDEX(DATAS,W2262+1),"")</f>
        <v/>
      </c>
      <c r="AE2262" s="33" t="str">
        <f aca="false">IF(AND(Y2262=1,W2262&lt;1),IF(AND(C2263=C2262,W2263=W2262+1),IF(Y2263=1,"",INDEX(DATAS,W2262+1)),INDEX(DATAS,W2262+1)),"")</f>
        <v/>
      </c>
    </row>
    <row r="2263" customFormat="false" ht="15" hidden="false" customHeight="false" outlineLevel="0" collapsed="false">
      <c r="A2263" s="33" t="n">
        <v>46309</v>
      </c>
      <c r="B2263" s="0" t="n">
        <v>8</v>
      </c>
      <c r="C2263" s="0" t="n">
        <v>6549</v>
      </c>
      <c r="E2263" s="0" t="n">
        <v>0</v>
      </c>
      <c r="F2263" s="27" t="s">
        <v>1221</v>
      </c>
      <c r="I2263" s="27" t="s">
        <v>138</v>
      </c>
      <c r="L2263" s="0" t="n">
        <v>106</v>
      </c>
      <c r="U2263" s="0" t="n">
        <v>517</v>
      </c>
      <c r="V2263" s="0" t="n">
        <v>1</v>
      </c>
      <c r="W2263" s="27" t="n">
        <f aca="false">MATCH(A2263,DATAS,0)</f>
        <v>1</v>
      </c>
      <c r="X2263" s="27" t="n">
        <f aca="false">IF(AND(E2263&gt;0,OR(AND(B2263&gt;=1,B2263&lt;=6),B2263=10)),1,0)</f>
        <v>0</v>
      </c>
      <c r="Y2263" s="27" t="n">
        <f aca="false">IF(AND(E2263&gt;0,B2263=10),1,0)</f>
        <v>0</v>
      </c>
      <c r="Z2263" s="0" t="str">
        <f aca="false">IF(AND(C2262=C2263,W2262=W2263-1),X2262,"")</f>
        <v/>
      </c>
      <c r="AA2263" s="0" t="str">
        <f aca="false">IF(AND(C2262=C2263,W2262=W2263-1),Y2262,"")</f>
        <v/>
      </c>
      <c r="AB2263" s="0" t="str">
        <f aca="false">IF(W2263=1,"",IF(AND(X2263=1,Z2263&lt;&gt;1),1,0))</f>
        <v/>
      </c>
      <c r="AC2263" s="0" t="str">
        <f aca="false">IF(W2263=1,"",IF(AND(Y2263=1,AA2263&lt;&gt;1),1,0))</f>
        <v/>
      </c>
      <c r="AD2263" s="33" t="str">
        <f aca="false">IF(AND(E2263&gt;0,W2263&lt;1,NOT(AND(C2264=C2263,W2264=W2263+1))),INDEX(DATAS,W2263+1),"")</f>
        <v/>
      </c>
      <c r="AE2263" s="33" t="str">
        <f aca="false">IF(AND(Y2263=1,W2263&lt;1),IF(AND(C2264=C2263,W2264=W2263+1),IF(Y2264=1,"",INDEX(DATAS,W2263+1)),INDEX(DATAS,W2263+1)),"")</f>
        <v/>
      </c>
    </row>
    <row r="2264" customFormat="false" ht="15" hidden="false" customHeight="false" outlineLevel="0" collapsed="false">
      <c r="A2264" s="33" t="n">
        <v>46309</v>
      </c>
      <c r="B2264" s="0" t="n">
        <v>8</v>
      </c>
      <c r="C2264" s="0" t="n">
        <v>6550</v>
      </c>
      <c r="E2264" s="0" t="n">
        <v>0</v>
      </c>
      <c r="F2264" s="27" t="s">
        <v>1221</v>
      </c>
      <c r="I2264" s="27" t="s">
        <v>138</v>
      </c>
      <c r="L2264" s="0" t="n">
        <v>84</v>
      </c>
      <c r="U2264" s="0" t="n">
        <v>517</v>
      </c>
      <c r="V2264" s="0" t="n">
        <v>2</v>
      </c>
      <c r="W2264" s="27" t="n">
        <f aca="false">MATCH(A2264,DATAS,0)</f>
        <v>1</v>
      </c>
      <c r="X2264" s="27" t="n">
        <f aca="false">IF(AND(E2264&gt;0,OR(AND(B2264&gt;=1,B2264&lt;=6),B2264=10)),1,0)</f>
        <v>0</v>
      </c>
      <c r="Y2264" s="27" t="n">
        <f aca="false">IF(AND(E2264&gt;0,B2264=10),1,0)</f>
        <v>0</v>
      </c>
      <c r="Z2264" s="0" t="str">
        <f aca="false">IF(AND(C2263=C2264,W2263=W2264-1),X2263,"")</f>
        <v/>
      </c>
      <c r="AA2264" s="0" t="str">
        <f aca="false">IF(AND(C2263=C2264,W2263=W2264-1),Y2263,"")</f>
        <v/>
      </c>
      <c r="AB2264" s="0" t="str">
        <f aca="false">IF(W2264=1,"",IF(AND(X2264=1,Z2264&lt;&gt;1),1,0))</f>
        <v/>
      </c>
      <c r="AC2264" s="0" t="str">
        <f aca="false">IF(W2264=1,"",IF(AND(Y2264=1,AA2264&lt;&gt;1),1,0))</f>
        <v/>
      </c>
      <c r="AD2264" s="33" t="str">
        <f aca="false">IF(AND(E2264&gt;0,W2264&lt;1,NOT(AND(C2265=C2264,W2265=W2264+1))),INDEX(DATAS,W2264+1),"")</f>
        <v/>
      </c>
      <c r="AE2264" s="33" t="str">
        <f aca="false">IF(AND(Y2264=1,W2264&lt;1),IF(AND(C2265=C2264,W2265=W2264+1),IF(Y2265=1,"",INDEX(DATAS,W2264+1)),INDEX(DATAS,W2264+1)),"")</f>
        <v/>
      </c>
    </row>
    <row r="2265" customFormat="false" ht="15" hidden="false" customHeight="false" outlineLevel="0" collapsed="false">
      <c r="A2265" s="33" t="n">
        <v>46309</v>
      </c>
      <c r="B2265" s="0" t="n">
        <v>8</v>
      </c>
      <c r="C2265" s="0" t="n">
        <v>6551</v>
      </c>
      <c r="E2265" s="0" t="n">
        <v>0</v>
      </c>
      <c r="F2265" s="27" t="s">
        <v>1221</v>
      </c>
      <c r="I2265" s="27" t="s">
        <v>138</v>
      </c>
      <c r="L2265" s="0" t="n">
        <v>118</v>
      </c>
      <c r="U2265" s="0" t="n">
        <v>517</v>
      </c>
      <c r="V2265" s="0" t="n">
        <v>1</v>
      </c>
      <c r="W2265" s="27" t="n">
        <f aca="false">MATCH(A2265,DATAS,0)</f>
        <v>1</v>
      </c>
      <c r="X2265" s="27" t="n">
        <f aca="false">IF(AND(E2265&gt;0,OR(AND(B2265&gt;=1,B2265&lt;=6),B2265=10)),1,0)</f>
        <v>0</v>
      </c>
      <c r="Y2265" s="27" t="n">
        <f aca="false">IF(AND(E2265&gt;0,B2265=10),1,0)</f>
        <v>0</v>
      </c>
      <c r="Z2265" s="0" t="str">
        <f aca="false">IF(AND(C2264=C2265,W2264=W2265-1),X2264,"")</f>
        <v/>
      </c>
      <c r="AA2265" s="0" t="str">
        <f aca="false">IF(AND(C2264=C2265,W2264=W2265-1),Y2264,"")</f>
        <v/>
      </c>
      <c r="AB2265" s="0" t="str">
        <f aca="false">IF(W2265=1,"",IF(AND(X2265=1,Z2265&lt;&gt;1),1,0))</f>
        <v/>
      </c>
      <c r="AC2265" s="0" t="str">
        <f aca="false">IF(W2265=1,"",IF(AND(Y2265=1,AA2265&lt;&gt;1),1,0))</f>
        <v/>
      </c>
      <c r="AD2265" s="33" t="str">
        <f aca="false">IF(AND(E2265&gt;0,W2265&lt;1,NOT(AND(C2266=C2265,W2266=W2265+1))),INDEX(DATAS,W2265+1),"")</f>
        <v/>
      </c>
      <c r="AE2265" s="33" t="str">
        <f aca="false">IF(AND(Y2265=1,W2265&lt;1),IF(AND(C2266=C2265,W2266=W2265+1),IF(Y2266=1,"",INDEX(DATAS,W2265+1)),INDEX(DATAS,W2265+1)),"")</f>
        <v/>
      </c>
    </row>
    <row r="2266" customFormat="false" ht="15" hidden="false" customHeight="false" outlineLevel="0" collapsed="false">
      <c r="A2266" s="33" t="n">
        <v>46309</v>
      </c>
      <c r="B2266" s="0" t="n">
        <v>8</v>
      </c>
      <c r="C2266" s="0" t="n">
        <v>6552</v>
      </c>
      <c r="E2266" s="0" t="n">
        <v>0</v>
      </c>
      <c r="F2266" s="27" t="s">
        <v>1222</v>
      </c>
      <c r="I2266" s="27" t="s">
        <v>138</v>
      </c>
      <c r="L2266" s="0" t="n">
        <v>109</v>
      </c>
      <c r="U2266" s="0" t="n">
        <v>516</v>
      </c>
      <c r="V2266" s="0" t="n">
        <v>1</v>
      </c>
      <c r="W2266" s="27" t="n">
        <f aca="false">MATCH(A2266,DATAS,0)</f>
        <v>1</v>
      </c>
      <c r="X2266" s="27" t="n">
        <f aca="false">IF(AND(E2266&gt;0,OR(AND(B2266&gt;=1,B2266&lt;=6),B2266=10)),1,0)</f>
        <v>0</v>
      </c>
      <c r="Y2266" s="27" t="n">
        <f aca="false">IF(AND(E2266&gt;0,B2266=10),1,0)</f>
        <v>0</v>
      </c>
      <c r="Z2266" s="0" t="str">
        <f aca="false">IF(AND(C2265=C2266,W2265=W2266-1),X2265,"")</f>
        <v/>
      </c>
      <c r="AA2266" s="0" t="str">
        <f aca="false">IF(AND(C2265=C2266,W2265=W2266-1),Y2265,"")</f>
        <v/>
      </c>
      <c r="AB2266" s="0" t="str">
        <f aca="false">IF(W2266=1,"",IF(AND(X2266=1,Z2266&lt;&gt;1),1,0))</f>
        <v/>
      </c>
      <c r="AC2266" s="0" t="str">
        <f aca="false">IF(W2266=1,"",IF(AND(Y2266=1,AA2266&lt;&gt;1),1,0))</f>
        <v/>
      </c>
      <c r="AD2266" s="33" t="str">
        <f aca="false">IF(AND(E2266&gt;0,W2266&lt;1,NOT(AND(C2267=C2266,W2267=W2266+1))),INDEX(DATAS,W2266+1),"")</f>
        <v/>
      </c>
      <c r="AE2266" s="33" t="str">
        <f aca="false">IF(AND(Y2266=1,W2266&lt;1),IF(AND(C2267=C2266,W2267=W2266+1),IF(Y2267=1,"",INDEX(DATAS,W2266+1)),INDEX(DATAS,W2266+1)),"")</f>
        <v/>
      </c>
    </row>
    <row r="2267" customFormat="false" ht="15" hidden="false" customHeight="false" outlineLevel="0" collapsed="false">
      <c r="A2267" s="33" t="n">
        <v>46309</v>
      </c>
      <c r="B2267" s="0" t="n">
        <v>8</v>
      </c>
      <c r="C2267" s="0" t="n">
        <v>6553</v>
      </c>
      <c r="E2267" s="0" t="n">
        <v>0</v>
      </c>
      <c r="F2267" s="27" t="s">
        <v>1222</v>
      </c>
      <c r="I2267" s="27" t="s">
        <v>138</v>
      </c>
      <c r="L2267" s="0" t="n">
        <v>64</v>
      </c>
      <c r="U2267" s="0" t="n">
        <v>516</v>
      </c>
      <c r="V2267" s="0" t="n">
        <v>3</v>
      </c>
      <c r="W2267" s="27" t="n">
        <f aca="false">MATCH(A2267,DATAS,0)</f>
        <v>1</v>
      </c>
      <c r="X2267" s="27" t="n">
        <f aca="false">IF(AND(E2267&gt;0,OR(AND(B2267&gt;=1,B2267&lt;=6),B2267=10)),1,0)</f>
        <v>0</v>
      </c>
      <c r="Y2267" s="27" t="n">
        <f aca="false">IF(AND(E2267&gt;0,B2267=10),1,0)</f>
        <v>0</v>
      </c>
      <c r="Z2267" s="0" t="str">
        <f aca="false">IF(AND(C2266=C2267,W2266=W2267-1),X2266,"")</f>
        <v/>
      </c>
      <c r="AA2267" s="0" t="str">
        <f aca="false">IF(AND(C2266=C2267,W2266=W2267-1),Y2266,"")</f>
        <v/>
      </c>
      <c r="AB2267" s="0" t="str">
        <f aca="false">IF(W2267=1,"",IF(AND(X2267=1,Z2267&lt;&gt;1),1,0))</f>
        <v/>
      </c>
      <c r="AC2267" s="0" t="str">
        <f aca="false">IF(W2267=1,"",IF(AND(Y2267=1,AA2267&lt;&gt;1),1,0))</f>
        <v/>
      </c>
      <c r="AD2267" s="33" t="str">
        <f aca="false">IF(AND(E2267&gt;0,W2267&lt;1,NOT(AND(C2268=C2267,W2268=W2267+1))),INDEX(DATAS,W2267+1),"")</f>
        <v/>
      </c>
      <c r="AE2267" s="33" t="str">
        <f aca="false">IF(AND(Y2267=1,W2267&lt;1),IF(AND(C2268=C2267,W2268=W2267+1),IF(Y2268=1,"",INDEX(DATAS,W2267+1)),INDEX(DATAS,W2267+1)),"")</f>
        <v/>
      </c>
    </row>
    <row r="2268" customFormat="false" ht="15" hidden="false" customHeight="false" outlineLevel="0" collapsed="false">
      <c r="A2268" s="33" t="n">
        <v>46309</v>
      </c>
      <c r="B2268" s="0" t="n">
        <v>8</v>
      </c>
      <c r="C2268" s="0" t="n">
        <v>6555</v>
      </c>
      <c r="E2268" s="0" t="n">
        <v>0</v>
      </c>
      <c r="F2268" s="27" t="s">
        <v>1222</v>
      </c>
      <c r="I2268" s="27" t="s">
        <v>138</v>
      </c>
      <c r="L2268" s="0" t="n">
        <v>94</v>
      </c>
      <c r="U2268" s="0" t="n">
        <v>516</v>
      </c>
      <c r="V2268" s="0" t="n">
        <v>2</v>
      </c>
      <c r="W2268" s="27" t="n">
        <f aca="false">MATCH(A2268,DATAS,0)</f>
        <v>1</v>
      </c>
      <c r="X2268" s="27" t="n">
        <f aca="false">IF(AND(E2268&gt;0,OR(AND(B2268&gt;=1,B2268&lt;=6),B2268=10)),1,0)</f>
        <v>0</v>
      </c>
      <c r="Y2268" s="27" t="n">
        <f aca="false">IF(AND(E2268&gt;0,B2268=10),1,0)</f>
        <v>0</v>
      </c>
      <c r="Z2268" s="0" t="str">
        <f aca="false">IF(AND(C2267=C2268,W2267=W2268-1),X2267,"")</f>
        <v/>
      </c>
      <c r="AA2268" s="0" t="str">
        <f aca="false">IF(AND(C2267=C2268,W2267=W2268-1),Y2267,"")</f>
        <v/>
      </c>
      <c r="AB2268" s="0" t="str">
        <f aca="false">IF(W2268=1,"",IF(AND(X2268=1,Z2268&lt;&gt;1),1,0))</f>
        <v/>
      </c>
      <c r="AC2268" s="0" t="str">
        <f aca="false">IF(W2268=1,"",IF(AND(Y2268=1,AA2268&lt;&gt;1),1,0))</f>
        <v/>
      </c>
      <c r="AD2268" s="33" t="str">
        <f aca="false">IF(AND(E2268&gt;0,W2268&lt;1,NOT(AND(C2269=C2268,W2269=W2268+1))),INDEX(DATAS,W2268+1),"")</f>
        <v/>
      </c>
      <c r="AE2268" s="33" t="str">
        <f aca="false">IF(AND(Y2268=1,W2268&lt;1),IF(AND(C2269=C2268,W2269=W2268+1),IF(Y2269=1,"",INDEX(DATAS,W2268+1)),INDEX(DATAS,W2268+1)),"")</f>
        <v/>
      </c>
    </row>
    <row r="2269" customFormat="false" ht="15" hidden="false" customHeight="false" outlineLevel="0" collapsed="false">
      <c r="A2269" s="33" t="n">
        <v>46309</v>
      </c>
      <c r="B2269" s="0" t="n">
        <v>8</v>
      </c>
      <c r="C2269" s="0" t="n">
        <v>6557</v>
      </c>
      <c r="E2269" s="0" t="n">
        <v>0</v>
      </c>
      <c r="F2269" s="27" t="s">
        <v>1222</v>
      </c>
      <c r="I2269" s="27" t="s">
        <v>138</v>
      </c>
      <c r="L2269" s="0" t="n">
        <v>93</v>
      </c>
      <c r="U2269" s="0" t="n">
        <v>516</v>
      </c>
      <c r="V2269" s="0" t="n">
        <v>1</v>
      </c>
      <c r="W2269" s="27" t="n">
        <f aca="false">MATCH(A2269,DATAS,0)</f>
        <v>1</v>
      </c>
      <c r="X2269" s="27" t="n">
        <f aca="false">IF(AND(E2269&gt;0,OR(AND(B2269&gt;=1,B2269&lt;=6),B2269=10)),1,0)</f>
        <v>0</v>
      </c>
      <c r="Y2269" s="27" t="n">
        <f aca="false">IF(AND(E2269&gt;0,B2269=10),1,0)</f>
        <v>0</v>
      </c>
      <c r="Z2269" s="0" t="str">
        <f aca="false">IF(AND(C2268=C2269,W2268=W2269-1),X2268,"")</f>
        <v/>
      </c>
      <c r="AA2269" s="0" t="str">
        <f aca="false">IF(AND(C2268=C2269,W2268=W2269-1),Y2268,"")</f>
        <v/>
      </c>
      <c r="AB2269" s="0" t="str">
        <f aca="false">IF(W2269=1,"",IF(AND(X2269=1,Z2269&lt;&gt;1),1,0))</f>
        <v/>
      </c>
      <c r="AC2269" s="0" t="str">
        <f aca="false">IF(W2269=1,"",IF(AND(Y2269=1,AA2269&lt;&gt;1),1,0))</f>
        <v/>
      </c>
      <c r="AD2269" s="33" t="str">
        <f aca="false">IF(AND(E2269&gt;0,W2269&lt;1,NOT(AND(C2270=C2269,W2270=W2269+1))),INDEX(DATAS,W2269+1),"")</f>
        <v/>
      </c>
      <c r="AE2269" s="33" t="str">
        <f aca="false">IF(AND(Y2269=1,W2269&lt;1),IF(AND(C2270=C2269,W2270=W2269+1),IF(Y2270=1,"",INDEX(DATAS,W2269+1)),INDEX(DATAS,W2269+1)),"")</f>
        <v/>
      </c>
    </row>
    <row r="2270" customFormat="false" ht="15" hidden="false" customHeight="false" outlineLevel="0" collapsed="false">
      <c r="A2270" s="33" t="n">
        <v>46309</v>
      </c>
      <c r="B2270" s="0" t="n">
        <v>8</v>
      </c>
      <c r="C2270" s="0" t="n">
        <v>6558</v>
      </c>
      <c r="E2270" s="0" t="n">
        <v>0</v>
      </c>
      <c r="F2270" s="27" t="s">
        <v>1222</v>
      </c>
      <c r="I2270" s="27" t="s">
        <v>138</v>
      </c>
      <c r="L2270" s="0" t="n">
        <v>48</v>
      </c>
      <c r="U2270" s="0" t="n">
        <v>516</v>
      </c>
      <c r="V2270" s="0" t="n">
        <v>4</v>
      </c>
      <c r="W2270" s="27" t="n">
        <f aca="false">MATCH(A2270,DATAS,0)</f>
        <v>1</v>
      </c>
      <c r="X2270" s="27" t="n">
        <f aca="false">IF(AND(E2270&gt;0,OR(AND(B2270&gt;=1,B2270&lt;=6),B2270=10)),1,0)</f>
        <v>0</v>
      </c>
      <c r="Y2270" s="27" t="n">
        <f aca="false">IF(AND(E2270&gt;0,B2270=10),1,0)</f>
        <v>0</v>
      </c>
      <c r="Z2270" s="0" t="str">
        <f aca="false">IF(AND(C2269=C2270,W2269=W2270-1),X2269,"")</f>
        <v/>
      </c>
      <c r="AA2270" s="0" t="str">
        <f aca="false">IF(AND(C2269=C2270,W2269=W2270-1),Y2269,"")</f>
        <v/>
      </c>
      <c r="AB2270" s="0" t="str">
        <f aca="false">IF(W2270=1,"",IF(AND(X2270=1,Z2270&lt;&gt;1),1,0))</f>
        <v/>
      </c>
      <c r="AC2270" s="0" t="str">
        <f aca="false">IF(W2270=1,"",IF(AND(Y2270=1,AA2270&lt;&gt;1),1,0))</f>
        <v/>
      </c>
      <c r="AD2270" s="33" t="str">
        <f aca="false">IF(AND(E2270&gt;0,W2270&lt;1,NOT(AND(C2271=C2270,W2271=W2270+1))),INDEX(DATAS,W2270+1),"")</f>
        <v/>
      </c>
      <c r="AE2270" s="33" t="str">
        <f aca="false">IF(AND(Y2270=1,W2270&lt;1),IF(AND(C2271=C2270,W2271=W2270+1),IF(Y2271=1,"",INDEX(DATAS,W2270+1)),INDEX(DATAS,W2270+1)),"")</f>
        <v/>
      </c>
    </row>
    <row r="2271" customFormat="false" ht="15" hidden="false" customHeight="false" outlineLevel="0" collapsed="false">
      <c r="A2271" s="33" t="n">
        <v>46309</v>
      </c>
      <c r="B2271" s="0" t="n">
        <v>8</v>
      </c>
      <c r="C2271" s="0" t="n">
        <v>6559</v>
      </c>
      <c r="E2271" s="0" t="n">
        <v>0</v>
      </c>
      <c r="F2271" s="27" t="s">
        <v>1222</v>
      </c>
      <c r="I2271" s="27" t="s">
        <v>138</v>
      </c>
      <c r="L2271" s="0" t="n">
        <v>110</v>
      </c>
      <c r="U2271" s="0" t="n">
        <v>516</v>
      </c>
      <c r="V2271" s="0" t="n">
        <v>1</v>
      </c>
      <c r="W2271" s="27" t="n">
        <f aca="false">MATCH(A2271,DATAS,0)</f>
        <v>1</v>
      </c>
      <c r="X2271" s="27" t="n">
        <f aca="false">IF(AND(E2271&gt;0,OR(AND(B2271&gt;=1,B2271&lt;=6),B2271=10)),1,0)</f>
        <v>0</v>
      </c>
      <c r="Y2271" s="27" t="n">
        <f aca="false">IF(AND(E2271&gt;0,B2271=10),1,0)</f>
        <v>0</v>
      </c>
      <c r="Z2271" s="0" t="str">
        <f aca="false">IF(AND(C2270=C2271,W2270=W2271-1),X2270,"")</f>
        <v/>
      </c>
      <c r="AA2271" s="0" t="str">
        <f aca="false">IF(AND(C2270=C2271,W2270=W2271-1),Y2270,"")</f>
        <v/>
      </c>
      <c r="AB2271" s="0" t="str">
        <f aca="false">IF(W2271=1,"",IF(AND(X2271=1,Z2271&lt;&gt;1),1,0))</f>
        <v/>
      </c>
      <c r="AC2271" s="0" t="str">
        <f aca="false">IF(W2271=1,"",IF(AND(Y2271=1,AA2271&lt;&gt;1),1,0))</f>
        <v/>
      </c>
      <c r="AD2271" s="33" t="str">
        <f aca="false">IF(AND(E2271&gt;0,W2271&lt;1,NOT(AND(C2272=C2271,W2272=W2271+1))),INDEX(DATAS,W2271+1),"")</f>
        <v/>
      </c>
      <c r="AE2271" s="33" t="str">
        <f aca="false">IF(AND(Y2271=1,W2271&lt;1),IF(AND(C2272=C2271,W2272=W2271+1),IF(Y2272=1,"",INDEX(DATAS,W2271+1)),INDEX(DATAS,W2271+1)),"")</f>
        <v/>
      </c>
    </row>
    <row r="2272" customFormat="false" ht="15" hidden="false" customHeight="false" outlineLevel="0" collapsed="false">
      <c r="A2272" s="33" t="n">
        <v>46309</v>
      </c>
      <c r="B2272" s="0" t="n">
        <v>8</v>
      </c>
      <c r="C2272" s="0" t="n">
        <v>6560</v>
      </c>
      <c r="E2272" s="0" t="n">
        <v>0</v>
      </c>
      <c r="F2272" s="27" t="s">
        <v>1223</v>
      </c>
      <c r="I2272" s="27" t="s">
        <v>138</v>
      </c>
      <c r="L2272" s="0" t="n">
        <v>122</v>
      </c>
      <c r="U2272" s="0" t="n">
        <v>515</v>
      </c>
      <c r="V2272" s="0" t="n">
        <v>1</v>
      </c>
      <c r="W2272" s="27" t="n">
        <f aca="false">MATCH(A2272,DATAS,0)</f>
        <v>1</v>
      </c>
      <c r="X2272" s="27" t="n">
        <f aca="false">IF(AND(E2272&gt;0,OR(AND(B2272&gt;=1,B2272&lt;=6),B2272=10)),1,0)</f>
        <v>0</v>
      </c>
      <c r="Y2272" s="27" t="n">
        <f aca="false">IF(AND(E2272&gt;0,B2272=10),1,0)</f>
        <v>0</v>
      </c>
      <c r="Z2272" s="0" t="str">
        <f aca="false">IF(AND(C2271=C2272,W2271=W2272-1),X2271,"")</f>
        <v/>
      </c>
      <c r="AA2272" s="0" t="str">
        <f aca="false">IF(AND(C2271=C2272,W2271=W2272-1),Y2271,"")</f>
        <v/>
      </c>
      <c r="AB2272" s="0" t="str">
        <f aca="false">IF(W2272=1,"",IF(AND(X2272=1,Z2272&lt;&gt;1),1,0))</f>
        <v/>
      </c>
      <c r="AC2272" s="0" t="str">
        <f aca="false">IF(W2272=1,"",IF(AND(Y2272=1,AA2272&lt;&gt;1),1,0))</f>
        <v/>
      </c>
      <c r="AD2272" s="33" t="str">
        <f aca="false">IF(AND(E2272&gt;0,W2272&lt;1,NOT(AND(C2273=C2272,W2273=W2272+1))),INDEX(DATAS,W2272+1),"")</f>
        <v/>
      </c>
      <c r="AE2272" s="33" t="str">
        <f aca="false">IF(AND(Y2272=1,W2272&lt;1),IF(AND(C2273=C2272,W2273=W2272+1),IF(Y2273=1,"",INDEX(DATAS,W2272+1)),INDEX(DATAS,W2272+1)),"")</f>
        <v/>
      </c>
    </row>
    <row r="2273" customFormat="false" ht="15" hidden="false" customHeight="false" outlineLevel="0" collapsed="false">
      <c r="A2273" s="33" t="n">
        <v>46309</v>
      </c>
      <c r="B2273" s="0" t="n">
        <v>8</v>
      </c>
      <c r="C2273" s="0" t="n">
        <v>6561</v>
      </c>
      <c r="E2273" s="0" t="n">
        <v>0</v>
      </c>
      <c r="F2273" s="27" t="s">
        <v>1223</v>
      </c>
      <c r="I2273" s="27" t="s">
        <v>138</v>
      </c>
      <c r="L2273" s="0" t="n">
        <v>93</v>
      </c>
      <c r="U2273" s="0" t="n">
        <v>515</v>
      </c>
      <c r="V2273" s="0" t="n">
        <v>2</v>
      </c>
      <c r="W2273" s="27" t="n">
        <f aca="false">MATCH(A2273,DATAS,0)</f>
        <v>1</v>
      </c>
      <c r="X2273" s="27" t="n">
        <f aca="false">IF(AND(E2273&gt;0,OR(AND(B2273&gt;=1,B2273&lt;=6),B2273=10)),1,0)</f>
        <v>0</v>
      </c>
      <c r="Y2273" s="27" t="n">
        <f aca="false">IF(AND(E2273&gt;0,B2273=10),1,0)</f>
        <v>0</v>
      </c>
      <c r="Z2273" s="0" t="str">
        <f aca="false">IF(AND(C2272=C2273,W2272=W2273-1),X2272,"")</f>
        <v/>
      </c>
      <c r="AA2273" s="0" t="str">
        <f aca="false">IF(AND(C2272=C2273,W2272=W2273-1),Y2272,"")</f>
        <v/>
      </c>
      <c r="AB2273" s="0" t="str">
        <f aca="false">IF(W2273=1,"",IF(AND(X2273=1,Z2273&lt;&gt;1),1,0))</f>
        <v/>
      </c>
      <c r="AC2273" s="0" t="str">
        <f aca="false">IF(W2273=1,"",IF(AND(Y2273=1,AA2273&lt;&gt;1),1,0))</f>
        <v/>
      </c>
      <c r="AD2273" s="33" t="str">
        <f aca="false">IF(AND(E2273&gt;0,W2273&lt;1,NOT(AND(C2274=C2273,W2274=W2273+1))),INDEX(DATAS,W2273+1),"")</f>
        <v/>
      </c>
      <c r="AE2273" s="33" t="str">
        <f aca="false">IF(AND(Y2273=1,W2273&lt;1),IF(AND(C2274=C2273,W2274=W2273+1),IF(Y2274=1,"",INDEX(DATAS,W2273+1)),INDEX(DATAS,W2273+1)),"")</f>
        <v/>
      </c>
    </row>
    <row r="2274" customFormat="false" ht="15" hidden="false" customHeight="false" outlineLevel="0" collapsed="false">
      <c r="A2274" s="33" t="n">
        <v>46309</v>
      </c>
      <c r="B2274" s="0" t="n">
        <v>11</v>
      </c>
      <c r="C2274" s="0" t="n">
        <v>6562</v>
      </c>
      <c r="E2274" s="0" t="n">
        <v>0</v>
      </c>
      <c r="F2274" s="27" t="s">
        <v>1223</v>
      </c>
      <c r="I2274" s="27" t="s">
        <v>168</v>
      </c>
      <c r="U2274" s="0" t="n">
        <v>515</v>
      </c>
      <c r="V2274" s="0" t="n">
        <v>4</v>
      </c>
      <c r="W2274" s="27" t="n">
        <f aca="false">MATCH(A2274,DATAS,0)</f>
        <v>1</v>
      </c>
      <c r="X2274" s="27" t="n">
        <f aca="false">IF(AND(E2274&gt;0,OR(AND(B2274&gt;=1,B2274&lt;=6),B2274=10)),1,0)</f>
        <v>0</v>
      </c>
      <c r="Y2274" s="27" t="n">
        <f aca="false">IF(AND(E2274&gt;0,B2274=10),1,0)</f>
        <v>0</v>
      </c>
      <c r="Z2274" s="0" t="str">
        <f aca="false">IF(AND(C2273=C2274,W2273=W2274-1),X2273,"")</f>
        <v/>
      </c>
      <c r="AA2274" s="0" t="str">
        <f aca="false">IF(AND(C2273=C2274,W2273=W2274-1),Y2273,"")</f>
        <v/>
      </c>
      <c r="AB2274" s="0" t="str">
        <f aca="false">IF(W2274=1,"",IF(AND(X2274=1,Z2274&lt;&gt;1),1,0))</f>
        <v/>
      </c>
      <c r="AC2274" s="0" t="str">
        <f aca="false">IF(W2274=1,"",IF(AND(Y2274=1,AA2274&lt;&gt;1),1,0))</f>
        <v/>
      </c>
      <c r="AD2274" s="33" t="str">
        <f aca="false">IF(AND(E2274&gt;0,W2274&lt;1,NOT(AND(C2275=C2274,W2275=W2274+1))),INDEX(DATAS,W2274+1),"")</f>
        <v/>
      </c>
      <c r="AE2274" s="33" t="str">
        <f aca="false">IF(AND(Y2274=1,W2274&lt;1),IF(AND(C2275=C2274,W2275=W2274+1),IF(Y2275=1,"",INDEX(DATAS,W2274+1)),INDEX(DATAS,W2274+1)),"")</f>
        <v/>
      </c>
    </row>
    <row r="2275" customFormat="false" ht="15" hidden="false" customHeight="false" outlineLevel="0" collapsed="false">
      <c r="A2275" s="33" t="n">
        <v>46309</v>
      </c>
      <c r="B2275" s="0" t="n">
        <v>8</v>
      </c>
      <c r="C2275" s="0" t="n">
        <v>6563</v>
      </c>
      <c r="E2275" s="0" t="n">
        <v>0</v>
      </c>
      <c r="F2275" s="27" t="s">
        <v>1223</v>
      </c>
      <c r="I2275" s="27" t="s">
        <v>138</v>
      </c>
      <c r="L2275" s="0" t="n">
        <v>95</v>
      </c>
      <c r="U2275" s="0" t="n">
        <v>515</v>
      </c>
      <c r="V2275" s="0" t="n">
        <v>2</v>
      </c>
      <c r="W2275" s="27" t="n">
        <f aca="false">MATCH(A2275,DATAS,0)</f>
        <v>1</v>
      </c>
      <c r="X2275" s="27" t="n">
        <f aca="false">IF(AND(E2275&gt;0,OR(AND(B2275&gt;=1,B2275&lt;=6),B2275=10)),1,0)</f>
        <v>0</v>
      </c>
      <c r="Y2275" s="27" t="n">
        <f aca="false">IF(AND(E2275&gt;0,B2275=10),1,0)</f>
        <v>0</v>
      </c>
      <c r="Z2275" s="0" t="str">
        <f aca="false">IF(AND(C2274=C2275,W2274=W2275-1),X2274,"")</f>
        <v/>
      </c>
      <c r="AA2275" s="0" t="str">
        <f aca="false">IF(AND(C2274=C2275,W2274=W2275-1),Y2274,"")</f>
        <v/>
      </c>
      <c r="AB2275" s="0" t="str">
        <f aca="false">IF(W2275=1,"",IF(AND(X2275=1,Z2275&lt;&gt;1),1,0))</f>
        <v/>
      </c>
      <c r="AC2275" s="0" t="str">
        <f aca="false">IF(W2275=1,"",IF(AND(Y2275=1,AA2275&lt;&gt;1),1,0))</f>
        <v/>
      </c>
      <c r="AD2275" s="33" t="str">
        <f aca="false">IF(AND(E2275&gt;0,W2275&lt;1,NOT(AND(C2276=C2275,W2276=W2275+1))),INDEX(DATAS,W2275+1),"")</f>
        <v/>
      </c>
      <c r="AE2275" s="33" t="str">
        <f aca="false">IF(AND(Y2275=1,W2275&lt;1),IF(AND(C2276=C2275,W2276=W2275+1),IF(Y2276=1,"",INDEX(DATAS,W2275+1)),INDEX(DATAS,W2275+1)),"")</f>
        <v/>
      </c>
    </row>
    <row r="2276" customFormat="false" ht="15" hidden="false" customHeight="false" outlineLevel="0" collapsed="false">
      <c r="A2276" s="33" t="n">
        <v>46309</v>
      </c>
      <c r="B2276" s="0" t="n">
        <v>8</v>
      </c>
      <c r="C2276" s="0" t="n">
        <v>6564</v>
      </c>
      <c r="E2276" s="0" t="n">
        <v>0</v>
      </c>
      <c r="F2276" s="27" t="s">
        <v>1224</v>
      </c>
      <c r="I2276" s="27" t="s">
        <v>138</v>
      </c>
      <c r="L2276" s="0" t="n">
        <v>69</v>
      </c>
      <c r="U2276" s="0" t="n">
        <v>514</v>
      </c>
      <c r="V2276" s="0" t="n">
        <v>3</v>
      </c>
      <c r="W2276" s="27" t="n">
        <f aca="false">MATCH(A2276,DATAS,0)</f>
        <v>1</v>
      </c>
      <c r="X2276" s="27" t="n">
        <f aca="false">IF(AND(E2276&gt;0,OR(AND(B2276&gt;=1,B2276&lt;=6),B2276=10)),1,0)</f>
        <v>0</v>
      </c>
      <c r="Y2276" s="27" t="n">
        <f aca="false">IF(AND(E2276&gt;0,B2276=10),1,0)</f>
        <v>0</v>
      </c>
      <c r="Z2276" s="0" t="str">
        <f aca="false">IF(AND(C2275=C2276,W2275=W2276-1),X2275,"")</f>
        <v/>
      </c>
      <c r="AA2276" s="0" t="str">
        <f aca="false">IF(AND(C2275=C2276,W2275=W2276-1),Y2275,"")</f>
        <v/>
      </c>
      <c r="AB2276" s="0" t="str">
        <f aca="false">IF(W2276=1,"",IF(AND(X2276=1,Z2276&lt;&gt;1),1,0))</f>
        <v/>
      </c>
      <c r="AC2276" s="0" t="str">
        <f aca="false">IF(W2276=1,"",IF(AND(Y2276=1,AA2276&lt;&gt;1),1,0))</f>
        <v/>
      </c>
      <c r="AD2276" s="33" t="str">
        <f aca="false">IF(AND(E2276&gt;0,W2276&lt;1,NOT(AND(C2277=C2276,W2277=W2276+1))),INDEX(DATAS,W2276+1),"")</f>
        <v/>
      </c>
      <c r="AE2276" s="33" t="str">
        <f aca="false">IF(AND(Y2276=1,W2276&lt;1),IF(AND(C2277=C2276,W2277=W2276+1),IF(Y2277=1,"",INDEX(DATAS,W2276+1)),INDEX(DATAS,W2276+1)),"")</f>
        <v/>
      </c>
    </row>
    <row r="2277" customFormat="false" ht="15" hidden="false" customHeight="false" outlineLevel="0" collapsed="false">
      <c r="A2277" s="33" t="n">
        <v>46309</v>
      </c>
      <c r="B2277" s="0" t="n">
        <v>11</v>
      </c>
      <c r="C2277" s="0" t="n">
        <v>6565</v>
      </c>
      <c r="E2277" s="0" t="n">
        <v>0</v>
      </c>
      <c r="F2277" s="27" t="s">
        <v>1224</v>
      </c>
      <c r="I2277" s="27" t="s">
        <v>168</v>
      </c>
      <c r="U2277" s="0" t="n">
        <v>514</v>
      </c>
      <c r="V2277" s="0" t="n">
        <v>4</v>
      </c>
      <c r="W2277" s="27" t="n">
        <f aca="false">MATCH(A2277,DATAS,0)</f>
        <v>1</v>
      </c>
      <c r="X2277" s="27" t="n">
        <f aca="false">IF(AND(E2277&gt;0,OR(AND(B2277&gt;=1,B2277&lt;=6),B2277=10)),1,0)</f>
        <v>0</v>
      </c>
      <c r="Y2277" s="27" t="n">
        <f aca="false">IF(AND(E2277&gt;0,B2277=10),1,0)</f>
        <v>0</v>
      </c>
      <c r="Z2277" s="0" t="str">
        <f aca="false">IF(AND(C2276=C2277,W2276=W2277-1),X2276,"")</f>
        <v/>
      </c>
      <c r="AA2277" s="0" t="str">
        <f aca="false">IF(AND(C2276=C2277,W2276=W2277-1),Y2276,"")</f>
        <v/>
      </c>
      <c r="AB2277" s="0" t="str">
        <f aca="false">IF(W2277=1,"",IF(AND(X2277=1,Z2277&lt;&gt;1),1,0))</f>
        <v/>
      </c>
      <c r="AC2277" s="0" t="str">
        <f aca="false">IF(W2277=1,"",IF(AND(Y2277=1,AA2277&lt;&gt;1),1,0))</f>
        <v/>
      </c>
      <c r="AD2277" s="33" t="str">
        <f aca="false">IF(AND(E2277&gt;0,W2277&lt;1,NOT(AND(C2278=C2277,W2278=W2277+1))),INDEX(DATAS,W2277+1),"")</f>
        <v/>
      </c>
      <c r="AE2277" s="33" t="str">
        <f aca="false">IF(AND(Y2277=1,W2277&lt;1),IF(AND(C2278=C2277,W2278=W2277+1),IF(Y2278=1,"",INDEX(DATAS,W2277+1)),INDEX(DATAS,W2277+1)),"")</f>
        <v/>
      </c>
    </row>
    <row r="2278" customFormat="false" ht="15" hidden="false" customHeight="false" outlineLevel="0" collapsed="false">
      <c r="A2278" s="33" t="n">
        <v>46309</v>
      </c>
      <c r="B2278" s="0" t="n">
        <v>8</v>
      </c>
      <c r="C2278" s="0" t="n">
        <v>6566</v>
      </c>
      <c r="E2278" s="0" t="n">
        <v>0</v>
      </c>
      <c r="F2278" s="27" t="s">
        <v>1224</v>
      </c>
      <c r="I2278" s="27" t="s">
        <v>138</v>
      </c>
      <c r="L2278" s="0" t="n">
        <v>110</v>
      </c>
      <c r="U2278" s="0" t="n">
        <v>514</v>
      </c>
      <c r="V2278" s="0" t="n">
        <v>1</v>
      </c>
      <c r="W2278" s="27" t="n">
        <f aca="false">MATCH(A2278,DATAS,0)</f>
        <v>1</v>
      </c>
      <c r="X2278" s="27" t="n">
        <f aca="false">IF(AND(E2278&gt;0,OR(AND(B2278&gt;=1,B2278&lt;=6),B2278=10)),1,0)</f>
        <v>0</v>
      </c>
      <c r="Y2278" s="27" t="n">
        <f aca="false">IF(AND(E2278&gt;0,B2278=10),1,0)</f>
        <v>0</v>
      </c>
      <c r="Z2278" s="0" t="str">
        <f aca="false">IF(AND(C2277=C2278,W2277=W2278-1),X2277,"")</f>
        <v/>
      </c>
      <c r="AA2278" s="0" t="str">
        <f aca="false">IF(AND(C2277=C2278,W2277=W2278-1),Y2277,"")</f>
        <v/>
      </c>
      <c r="AB2278" s="0" t="str">
        <f aca="false">IF(W2278=1,"",IF(AND(X2278=1,Z2278&lt;&gt;1),1,0))</f>
        <v/>
      </c>
      <c r="AC2278" s="0" t="str">
        <f aca="false">IF(W2278=1,"",IF(AND(Y2278=1,AA2278&lt;&gt;1),1,0))</f>
        <v/>
      </c>
      <c r="AD2278" s="33" t="str">
        <f aca="false">IF(AND(E2278&gt;0,W2278&lt;1,NOT(AND(C2279=C2278,W2279=W2278+1))),INDEX(DATAS,W2278+1),"")</f>
        <v/>
      </c>
      <c r="AE2278" s="33" t="str">
        <f aca="false">IF(AND(Y2278=1,W2278&lt;1),IF(AND(C2279=C2278,W2279=W2278+1),IF(Y2279=1,"",INDEX(DATAS,W2278+1)),INDEX(DATAS,W2278+1)),"")</f>
        <v/>
      </c>
    </row>
    <row r="2279" customFormat="false" ht="15" hidden="false" customHeight="false" outlineLevel="0" collapsed="false">
      <c r="A2279" s="33" t="n">
        <v>46309</v>
      </c>
      <c r="B2279" s="0" t="n">
        <v>8</v>
      </c>
      <c r="C2279" s="0" t="n">
        <v>6567</v>
      </c>
      <c r="E2279" s="0" t="n">
        <v>0</v>
      </c>
      <c r="F2279" s="27" t="s">
        <v>1224</v>
      </c>
      <c r="I2279" s="27" t="s">
        <v>138</v>
      </c>
      <c r="L2279" s="0" t="n">
        <v>49</v>
      </c>
      <c r="U2279" s="0" t="n">
        <v>514</v>
      </c>
      <c r="V2279" s="0" t="n">
        <v>2</v>
      </c>
      <c r="W2279" s="27" t="n">
        <f aca="false">MATCH(A2279,DATAS,0)</f>
        <v>1</v>
      </c>
      <c r="X2279" s="27" t="n">
        <f aca="false">IF(AND(E2279&gt;0,OR(AND(B2279&gt;=1,B2279&lt;=6),B2279=10)),1,0)</f>
        <v>0</v>
      </c>
      <c r="Y2279" s="27" t="n">
        <f aca="false">IF(AND(E2279&gt;0,B2279=10),1,0)</f>
        <v>0</v>
      </c>
      <c r="Z2279" s="0" t="str">
        <f aca="false">IF(AND(C2278=C2279,W2278=W2279-1),X2278,"")</f>
        <v/>
      </c>
      <c r="AA2279" s="0" t="str">
        <f aca="false">IF(AND(C2278=C2279,W2278=W2279-1),Y2278,"")</f>
        <v/>
      </c>
      <c r="AB2279" s="0" t="str">
        <f aca="false">IF(W2279=1,"",IF(AND(X2279=1,Z2279&lt;&gt;1),1,0))</f>
        <v/>
      </c>
      <c r="AC2279" s="0" t="str">
        <f aca="false">IF(W2279=1,"",IF(AND(Y2279=1,AA2279&lt;&gt;1),1,0))</f>
        <v/>
      </c>
      <c r="AD2279" s="33" t="str">
        <f aca="false">IF(AND(E2279&gt;0,W2279&lt;1,NOT(AND(C2280=C2279,W2280=W2279+1))),INDEX(DATAS,W2279+1),"")</f>
        <v/>
      </c>
      <c r="AE2279" s="33" t="str">
        <f aca="false">IF(AND(Y2279=1,W2279&lt;1),IF(AND(C2280=C2279,W2280=W2279+1),IF(Y2280=1,"",INDEX(DATAS,W2279+1)),INDEX(DATAS,W2279+1)),"")</f>
        <v/>
      </c>
    </row>
    <row r="2280" customFormat="false" ht="15" hidden="false" customHeight="false" outlineLevel="0" collapsed="false">
      <c r="A2280" s="33" t="n">
        <v>46309</v>
      </c>
      <c r="B2280" s="0" t="n">
        <v>8</v>
      </c>
      <c r="C2280" s="0" t="n">
        <v>6568</v>
      </c>
      <c r="E2280" s="0" t="n">
        <v>0</v>
      </c>
      <c r="F2280" s="27" t="s">
        <v>1224</v>
      </c>
      <c r="I2280" s="27" t="s">
        <v>138</v>
      </c>
      <c r="L2280" s="0" t="n">
        <v>28</v>
      </c>
      <c r="U2280" s="0" t="n">
        <v>514</v>
      </c>
      <c r="V2280" s="0" t="n">
        <v>1</v>
      </c>
      <c r="W2280" s="27" t="n">
        <f aca="false">MATCH(A2280,DATAS,0)</f>
        <v>1</v>
      </c>
      <c r="X2280" s="27" t="n">
        <f aca="false">IF(AND(E2280&gt;0,OR(AND(B2280&gt;=1,B2280&lt;=6),B2280=10)),1,0)</f>
        <v>0</v>
      </c>
      <c r="Y2280" s="27" t="n">
        <f aca="false">IF(AND(E2280&gt;0,B2280=10),1,0)</f>
        <v>0</v>
      </c>
      <c r="Z2280" s="0" t="str">
        <f aca="false">IF(AND(C2279=C2280,W2279=W2280-1),X2279,"")</f>
        <v/>
      </c>
      <c r="AA2280" s="0" t="str">
        <f aca="false">IF(AND(C2279=C2280,W2279=W2280-1),Y2279,"")</f>
        <v/>
      </c>
      <c r="AB2280" s="0" t="str">
        <f aca="false">IF(W2280=1,"",IF(AND(X2280=1,Z2280&lt;&gt;1),1,0))</f>
        <v/>
      </c>
      <c r="AC2280" s="0" t="str">
        <f aca="false">IF(W2280=1,"",IF(AND(Y2280=1,AA2280&lt;&gt;1),1,0))</f>
        <v/>
      </c>
      <c r="AD2280" s="33" t="str">
        <f aca="false">IF(AND(E2280&gt;0,W2280&lt;1,NOT(AND(C2281=C2280,W2281=W2280+1))),INDEX(DATAS,W2280+1),"")</f>
        <v/>
      </c>
      <c r="AE2280" s="33" t="str">
        <f aca="false">IF(AND(Y2280=1,W2280&lt;1),IF(AND(C2281=C2280,W2281=W2280+1),IF(Y2281=1,"",INDEX(DATAS,W2280+1)),INDEX(DATAS,W2280+1)),"")</f>
        <v/>
      </c>
    </row>
    <row r="2281" customFormat="false" ht="15" hidden="false" customHeight="false" outlineLevel="0" collapsed="false">
      <c r="A2281" s="33" t="n">
        <v>46309</v>
      </c>
      <c r="B2281" s="0" t="n">
        <v>11</v>
      </c>
      <c r="C2281" s="0" t="n">
        <v>6569</v>
      </c>
      <c r="E2281" s="0" t="n">
        <v>0</v>
      </c>
      <c r="F2281" s="27" t="s">
        <v>1224</v>
      </c>
      <c r="I2281" s="27" t="s">
        <v>168</v>
      </c>
      <c r="U2281" s="0" t="n">
        <v>514</v>
      </c>
      <c r="V2281" s="0" t="n">
        <v>5</v>
      </c>
      <c r="W2281" s="27" t="n">
        <f aca="false">MATCH(A2281,DATAS,0)</f>
        <v>1</v>
      </c>
      <c r="X2281" s="27" t="n">
        <f aca="false">IF(AND(E2281&gt;0,OR(AND(B2281&gt;=1,B2281&lt;=6),B2281=10)),1,0)</f>
        <v>0</v>
      </c>
      <c r="Y2281" s="27" t="n">
        <f aca="false">IF(AND(E2281&gt;0,B2281=10),1,0)</f>
        <v>0</v>
      </c>
      <c r="Z2281" s="0" t="str">
        <f aca="false">IF(AND(C2280=C2281,W2280=W2281-1),X2280,"")</f>
        <v/>
      </c>
      <c r="AA2281" s="0" t="str">
        <f aca="false">IF(AND(C2280=C2281,W2280=W2281-1),Y2280,"")</f>
        <v/>
      </c>
      <c r="AB2281" s="0" t="str">
        <f aca="false">IF(W2281=1,"",IF(AND(X2281=1,Z2281&lt;&gt;1),1,0))</f>
        <v/>
      </c>
      <c r="AC2281" s="0" t="str">
        <f aca="false">IF(W2281=1,"",IF(AND(Y2281=1,AA2281&lt;&gt;1),1,0))</f>
        <v/>
      </c>
      <c r="AD2281" s="33" t="str">
        <f aca="false">IF(AND(E2281&gt;0,W2281&lt;1,NOT(AND(C2282=C2281,W2282=W2281+1))),INDEX(DATAS,W2281+1),"")</f>
        <v/>
      </c>
      <c r="AE2281" s="33" t="str">
        <f aca="false">IF(AND(Y2281=1,W2281&lt;1),IF(AND(C2282=C2281,W2282=W2281+1),IF(Y2282=1,"",INDEX(DATAS,W2281+1)),INDEX(DATAS,W2281+1)),"")</f>
        <v/>
      </c>
    </row>
    <row r="2282" customFormat="false" ht="15" hidden="false" customHeight="false" outlineLevel="0" collapsed="false">
      <c r="A2282" s="33" t="n">
        <v>46309</v>
      </c>
      <c r="B2282" s="0" t="n">
        <v>8</v>
      </c>
      <c r="C2282" s="0" t="n">
        <v>6571</v>
      </c>
      <c r="E2282" s="0" t="n">
        <v>0</v>
      </c>
      <c r="F2282" s="27" t="s">
        <v>1225</v>
      </c>
      <c r="I2282" s="27" t="s">
        <v>138</v>
      </c>
      <c r="L2282" s="0" t="n">
        <v>42</v>
      </c>
      <c r="U2282" s="0" t="n">
        <v>513</v>
      </c>
      <c r="V2282" s="0" t="n">
        <v>2</v>
      </c>
      <c r="W2282" s="27" t="n">
        <f aca="false">MATCH(A2282,DATAS,0)</f>
        <v>1</v>
      </c>
      <c r="X2282" s="27" t="n">
        <f aca="false">IF(AND(E2282&gt;0,OR(AND(B2282&gt;=1,B2282&lt;=6),B2282=10)),1,0)</f>
        <v>0</v>
      </c>
      <c r="Y2282" s="27" t="n">
        <f aca="false">IF(AND(E2282&gt;0,B2282=10),1,0)</f>
        <v>0</v>
      </c>
      <c r="Z2282" s="0" t="str">
        <f aca="false">IF(AND(C2281=C2282,W2281=W2282-1),X2281,"")</f>
        <v/>
      </c>
      <c r="AA2282" s="0" t="str">
        <f aca="false">IF(AND(C2281=C2282,W2281=W2282-1),Y2281,"")</f>
        <v/>
      </c>
      <c r="AB2282" s="0" t="str">
        <f aca="false">IF(W2282=1,"",IF(AND(X2282=1,Z2282&lt;&gt;1),1,0))</f>
        <v/>
      </c>
      <c r="AC2282" s="0" t="str">
        <f aca="false">IF(W2282=1,"",IF(AND(Y2282=1,AA2282&lt;&gt;1),1,0))</f>
        <v/>
      </c>
      <c r="AD2282" s="33" t="str">
        <f aca="false">IF(AND(E2282&gt;0,W2282&lt;1,NOT(AND(C2283=C2282,W2283=W2282+1))),INDEX(DATAS,W2282+1),"")</f>
        <v/>
      </c>
      <c r="AE2282" s="33" t="str">
        <f aca="false">IF(AND(Y2282=1,W2282&lt;1),IF(AND(C2283=C2282,W2283=W2282+1),IF(Y2283=1,"",INDEX(DATAS,W2282+1)),INDEX(DATAS,W2282+1)),"")</f>
        <v/>
      </c>
    </row>
    <row r="2283" customFormat="false" ht="15" hidden="false" customHeight="false" outlineLevel="0" collapsed="false">
      <c r="A2283" s="33" t="n">
        <v>46309</v>
      </c>
      <c r="B2283" s="0" t="n">
        <v>8</v>
      </c>
      <c r="C2283" s="0" t="n">
        <v>6572</v>
      </c>
      <c r="E2283" s="0" t="n">
        <v>0</v>
      </c>
      <c r="F2283" s="27" t="s">
        <v>1225</v>
      </c>
      <c r="I2283" s="27" t="s">
        <v>138</v>
      </c>
      <c r="L2283" s="0" t="n">
        <v>86</v>
      </c>
      <c r="U2283" s="0" t="n">
        <v>513</v>
      </c>
      <c r="V2283" s="0" t="n">
        <v>2</v>
      </c>
      <c r="W2283" s="27" t="n">
        <f aca="false">MATCH(A2283,DATAS,0)</f>
        <v>1</v>
      </c>
      <c r="X2283" s="27" t="n">
        <f aca="false">IF(AND(E2283&gt;0,OR(AND(B2283&gt;=1,B2283&lt;=6),B2283=10)),1,0)</f>
        <v>0</v>
      </c>
      <c r="Y2283" s="27" t="n">
        <f aca="false">IF(AND(E2283&gt;0,B2283=10),1,0)</f>
        <v>0</v>
      </c>
      <c r="Z2283" s="0" t="str">
        <f aca="false">IF(AND(C2282=C2283,W2282=W2283-1),X2282,"")</f>
        <v/>
      </c>
      <c r="AA2283" s="0" t="str">
        <f aca="false">IF(AND(C2282=C2283,W2282=W2283-1),Y2282,"")</f>
        <v/>
      </c>
      <c r="AB2283" s="0" t="str">
        <f aca="false">IF(W2283=1,"",IF(AND(X2283=1,Z2283&lt;&gt;1),1,0))</f>
        <v/>
      </c>
      <c r="AC2283" s="0" t="str">
        <f aca="false">IF(W2283=1,"",IF(AND(Y2283=1,AA2283&lt;&gt;1),1,0))</f>
        <v/>
      </c>
      <c r="AD2283" s="33" t="str">
        <f aca="false">IF(AND(E2283&gt;0,W2283&lt;1,NOT(AND(C2284=C2283,W2284=W2283+1))),INDEX(DATAS,W2283+1),"")</f>
        <v/>
      </c>
      <c r="AE2283" s="33" t="str">
        <f aca="false">IF(AND(Y2283=1,W2283&lt;1),IF(AND(C2284=C2283,W2284=W2283+1),IF(Y2284=1,"",INDEX(DATAS,W2283+1)),INDEX(DATAS,W2283+1)),"")</f>
        <v/>
      </c>
    </row>
    <row r="2284" customFormat="false" ht="15" hidden="false" customHeight="false" outlineLevel="0" collapsed="false">
      <c r="A2284" s="33" t="n">
        <v>46309</v>
      </c>
      <c r="B2284" s="0" t="n">
        <v>8</v>
      </c>
      <c r="C2284" s="0" t="n">
        <v>6573</v>
      </c>
      <c r="E2284" s="0" t="n">
        <v>0</v>
      </c>
      <c r="F2284" s="27" t="s">
        <v>1225</v>
      </c>
      <c r="I2284" s="27" t="s">
        <v>138</v>
      </c>
      <c r="L2284" s="0" t="n">
        <v>114</v>
      </c>
      <c r="U2284" s="0" t="n">
        <v>513</v>
      </c>
      <c r="V2284" s="0" t="n">
        <v>1</v>
      </c>
      <c r="W2284" s="27" t="n">
        <f aca="false">MATCH(A2284,DATAS,0)</f>
        <v>1</v>
      </c>
      <c r="X2284" s="27" t="n">
        <f aca="false">IF(AND(E2284&gt;0,OR(AND(B2284&gt;=1,B2284&lt;=6),B2284=10)),1,0)</f>
        <v>0</v>
      </c>
      <c r="Y2284" s="27" t="n">
        <f aca="false">IF(AND(E2284&gt;0,B2284=10),1,0)</f>
        <v>0</v>
      </c>
      <c r="Z2284" s="0" t="str">
        <f aca="false">IF(AND(C2283=C2284,W2283=W2284-1),X2283,"")</f>
        <v/>
      </c>
      <c r="AA2284" s="0" t="str">
        <f aca="false">IF(AND(C2283=C2284,W2283=W2284-1),Y2283,"")</f>
        <v/>
      </c>
      <c r="AB2284" s="0" t="str">
        <f aca="false">IF(W2284=1,"",IF(AND(X2284=1,Z2284&lt;&gt;1),1,0))</f>
        <v/>
      </c>
      <c r="AC2284" s="0" t="str">
        <f aca="false">IF(W2284=1,"",IF(AND(Y2284=1,AA2284&lt;&gt;1),1,0))</f>
        <v/>
      </c>
      <c r="AD2284" s="33" t="str">
        <f aca="false">IF(AND(E2284&gt;0,W2284&lt;1,NOT(AND(C2285=C2284,W2285=W2284+1))),INDEX(DATAS,W2284+1),"")</f>
        <v/>
      </c>
      <c r="AE2284" s="33" t="str">
        <f aca="false">IF(AND(Y2284=1,W2284&lt;1),IF(AND(C2285=C2284,W2285=W2284+1),IF(Y2285=1,"",INDEX(DATAS,W2284+1)),INDEX(DATAS,W2284+1)),"")</f>
        <v/>
      </c>
    </row>
    <row r="2285" customFormat="false" ht="15" hidden="false" customHeight="false" outlineLevel="0" collapsed="false">
      <c r="A2285" s="33" t="n">
        <v>46309</v>
      </c>
      <c r="B2285" s="0" t="n">
        <v>8</v>
      </c>
      <c r="C2285" s="0" t="n">
        <v>6575</v>
      </c>
      <c r="E2285" s="0" t="n">
        <v>0</v>
      </c>
      <c r="F2285" s="27" t="s">
        <v>1225</v>
      </c>
      <c r="I2285" s="27" t="s">
        <v>138</v>
      </c>
      <c r="L2285" s="0" t="n">
        <v>109</v>
      </c>
      <c r="U2285" s="0" t="n">
        <v>513</v>
      </c>
      <c r="V2285" s="0" t="n">
        <v>1</v>
      </c>
      <c r="W2285" s="27" t="n">
        <f aca="false">MATCH(A2285,DATAS,0)</f>
        <v>1</v>
      </c>
      <c r="X2285" s="27" t="n">
        <f aca="false">IF(AND(E2285&gt;0,OR(AND(B2285&gt;=1,B2285&lt;=6),B2285=10)),1,0)</f>
        <v>0</v>
      </c>
      <c r="Y2285" s="27" t="n">
        <f aca="false">IF(AND(E2285&gt;0,B2285=10),1,0)</f>
        <v>0</v>
      </c>
      <c r="Z2285" s="0" t="str">
        <f aca="false">IF(AND(C2284=C2285,W2284=W2285-1),X2284,"")</f>
        <v/>
      </c>
      <c r="AA2285" s="0" t="str">
        <f aca="false">IF(AND(C2284=C2285,W2284=W2285-1),Y2284,"")</f>
        <v/>
      </c>
      <c r="AB2285" s="0" t="str">
        <f aca="false">IF(W2285=1,"",IF(AND(X2285=1,Z2285&lt;&gt;1),1,0))</f>
        <v/>
      </c>
      <c r="AC2285" s="0" t="str">
        <f aca="false">IF(W2285=1,"",IF(AND(Y2285=1,AA2285&lt;&gt;1),1,0))</f>
        <v/>
      </c>
      <c r="AD2285" s="33" t="str">
        <f aca="false">IF(AND(E2285&gt;0,W2285&lt;1,NOT(AND(C2286=C2285,W2286=W2285+1))),INDEX(DATAS,W2285+1),"")</f>
        <v/>
      </c>
      <c r="AE2285" s="33" t="str">
        <f aca="false">IF(AND(Y2285=1,W2285&lt;1),IF(AND(C2286=C2285,W2286=W2285+1),IF(Y2286=1,"",INDEX(DATAS,W2285+1)),INDEX(DATAS,W2285+1)),"")</f>
        <v/>
      </c>
    </row>
    <row r="2286" customFormat="false" ht="15" hidden="false" customHeight="false" outlineLevel="0" collapsed="false">
      <c r="A2286" s="33" t="n">
        <v>46309</v>
      </c>
      <c r="B2286" s="0" t="n">
        <v>8</v>
      </c>
      <c r="C2286" s="0" t="n">
        <v>6576</v>
      </c>
      <c r="E2286" s="0" t="n">
        <v>0</v>
      </c>
      <c r="F2286" s="27" t="s">
        <v>1226</v>
      </c>
      <c r="I2286" s="27" t="s">
        <v>138</v>
      </c>
      <c r="L2286" s="0" t="n">
        <v>91</v>
      </c>
      <c r="U2286" s="0" t="n">
        <v>511</v>
      </c>
      <c r="V2286" s="0" t="n">
        <v>1</v>
      </c>
      <c r="W2286" s="27" t="n">
        <f aca="false">MATCH(A2286,DATAS,0)</f>
        <v>1</v>
      </c>
      <c r="X2286" s="27" t="n">
        <f aca="false">IF(AND(E2286&gt;0,OR(AND(B2286&gt;=1,B2286&lt;=6),B2286=10)),1,0)</f>
        <v>0</v>
      </c>
      <c r="Y2286" s="27" t="n">
        <f aca="false">IF(AND(E2286&gt;0,B2286=10),1,0)</f>
        <v>0</v>
      </c>
      <c r="Z2286" s="0" t="str">
        <f aca="false">IF(AND(C2285=C2286,W2285=W2286-1),X2285,"")</f>
        <v/>
      </c>
      <c r="AA2286" s="0" t="str">
        <f aca="false">IF(AND(C2285=C2286,W2285=W2286-1),Y2285,"")</f>
        <v/>
      </c>
      <c r="AB2286" s="0" t="str">
        <f aca="false">IF(W2286=1,"",IF(AND(X2286=1,Z2286&lt;&gt;1),1,0))</f>
        <v/>
      </c>
      <c r="AC2286" s="0" t="str">
        <f aca="false">IF(W2286=1,"",IF(AND(Y2286=1,AA2286&lt;&gt;1),1,0))</f>
        <v/>
      </c>
      <c r="AD2286" s="33" t="str">
        <f aca="false">IF(AND(E2286&gt;0,W2286&lt;1,NOT(AND(C2287=C2286,W2287=W2286+1))),INDEX(DATAS,W2286+1),"")</f>
        <v/>
      </c>
      <c r="AE2286" s="33" t="str">
        <f aca="false">IF(AND(Y2286=1,W2286&lt;1),IF(AND(C2287=C2286,W2287=W2286+1),IF(Y2287=1,"",INDEX(DATAS,W2286+1)),INDEX(DATAS,W2286+1)),"")</f>
        <v/>
      </c>
    </row>
    <row r="2287" customFormat="false" ht="15" hidden="false" customHeight="false" outlineLevel="0" collapsed="false">
      <c r="A2287" s="33" t="n">
        <v>46309</v>
      </c>
      <c r="B2287" s="0" t="n">
        <v>11</v>
      </c>
      <c r="C2287" s="0" t="n">
        <v>6577</v>
      </c>
      <c r="E2287" s="0" t="n">
        <v>0</v>
      </c>
      <c r="F2287" s="27" t="s">
        <v>1227</v>
      </c>
      <c r="I2287" s="27" t="s">
        <v>168</v>
      </c>
      <c r="U2287" s="0" t="n">
        <v>510</v>
      </c>
      <c r="V2287" s="0" t="n">
        <v>4</v>
      </c>
      <c r="W2287" s="27" t="n">
        <f aca="false">MATCH(A2287,DATAS,0)</f>
        <v>1</v>
      </c>
      <c r="X2287" s="27" t="n">
        <f aca="false">IF(AND(E2287&gt;0,OR(AND(B2287&gt;=1,B2287&lt;=6),B2287=10)),1,0)</f>
        <v>0</v>
      </c>
      <c r="Y2287" s="27" t="n">
        <f aca="false">IF(AND(E2287&gt;0,B2287=10),1,0)</f>
        <v>0</v>
      </c>
      <c r="Z2287" s="0" t="str">
        <f aca="false">IF(AND(C2286=C2287,W2286=W2287-1),X2286,"")</f>
        <v/>
      </c>
      <c r="AA2287" s="0" t="str">
        <f aca="false">IF(AND(C2286=C2287,W2286=W2287-1),Y2286,"")</f>
        <v/>
      </c>
      <c r="AB2287" s="0" t="str">
        <f aca="false">IF(W2287=1,"",IF(AND(X2287=1,Z2287&lt;&gt;1),1,0))</f>
        <v/>
      </c>
      <c r="AC2287" s="0" t="str">
        <f aca="false">IF(W2287=1,"",IF(AND(Y2287=1,AA2287&lt;&gt;1),1,0))</f>
        <v/>
      </c>
      <c r="AD2287" s="33" t="str">
        <f aca="false">IF(AND(E2287&gt;0,W2287&lt;1,NOT(AND(C2288=C2287,W2288=W2287+1))),INDEX(DATAS,W2287+1),"")</f>
        <v/>
      </c>
      <c r="AE2287" s="33" t="str">
        <f aca="false">IF(AND(Y2287=1,W2287&lt;1),IF(AND(C2288=C2287,W2288=W2287+1),IF(Y2288=1,"",INDEX(DATAS,W2287+1)),INDEX(DATAS,W2287+1)),"")</f>
        <v/>
      </c>
    </row>
    <row r="2288" customFormat="false" ht="15" hidden="false" customHeight="false" outlineLevel="0" collapsed="false">
      <c r="A2288" s="33" t="n">
        <v>46309</v>
      </c>
      <c r="B2288" s="0" t="n">
        <v>8</v>
      </c>
      <c r="C2288" s="0" t="n">
        <v>6578</v>
      </c>
      <c r="E2288" s="0" t="n">
        <v>0</v>
      </c>
      <c r="F2288" s="27" t="s">
        <v>1227</v>
      </c>
      <c r="I2288" s="27" t="s">
        <v>138</v>
      </c>
      <c r="L2288" s="0" t="n">
        <v>73</v>
      </c>
      <c r="U2288" s="0" t="n">
        <v>510</v>
      </c>
      <c r="V2288" s="0" t="n">
        <v>3</v>
      </c>
      <c r="W2288" s="27" t="n">
        <f aca="false">MATCH(A2288,DATAS,0)</f>
        <v>1</v>
      </c>
      <c r="X2288" s="27" t="n">
        <f aca="false">IF(AND(E2288&gt;0,OR(AND(B2288&gt;=1,B2288&lt;=6),B2288=10)),1,0)</f>
        <v>0</v>
      </c>
      <c r="Y2288" s="27" t="n">
        <f aca="false">IF(AND(E2288&gt;0,B2288=10),1,0)</f>
        <v>0</v>
      </c>
      <c r="Z2288" s="0" t="str">
        <f aca="false">IF(AND(C2287=C2288,W2287=W2288-1),X2287,"")</f>
        <v/>
      </c>
      <c r="AA2288" s="0" t="str">
        <f aca="false">IF(AND(C2287=C2288,W2287=W2288-1),Y2287,"")</f>
        <v/>
      </c>
      <c r="AB2288" s="0" t="str">
        <f aca="false">IF(W2288=1,"",IF(AND(X2288=1,Z2288&lt;&gt;1),1,0))</f>
        <v/>
      </c>
      <c r="AC2288" s="0" t="str">
        <f aca="false">IF(W2288=1,"",IF(AND(Y2288=1,AA2288&lt;&gt;1),1,0))</f>
        <v/>
      </c>
      <c r="AD2288" s="33" t="str">
        <f aca="false">IF(AND(E2288&gt;0,W2288&lt;1,NOT(AND(C2289=C2288,W2289=W2288+1))),INDEX(DATAS,W2288+1),"")</f>
        <v/>
      </c>
      <c r="AE2288" s="33" t="str">
        <f aca="false">IF(AND(Y2288=1,W2288&lt;1),IF(AND(C2289=C2288,W2289=W2288+1),IF(Y2289=1,"",INDEX(DATAS,W2288+1)),INDEX(DATAS,W2288+1)),"")</f>
        <v/>
      </c>
    </row>
    <row r="2289" customFormat="false" ht="15" hidden="false" customHeight="false" outlineLevel="0" collapsed="false">
      <c r="A2289" s="33" t="n">
        <v>46309</v>
      </c>
      <c r="B2289" s="0" t="n">
        <v>8</v>
      </c>
      <c r="C2289" s="0" t="n">
        <v>6579</v>
      </c>
      <c r="E2289" s="0" t="n">
        <v>0</v>
      </c>
      <c r="F2289" s="27" t="s">
        <v>1227</v>
      </c>
      <c r="I2289" s="27" t="s">
        <v>138</v>
      </c>
      <c r="L2289" s="0" t="n">
        <v>111</v>
      </c>
      <c r="U2289" s="0" t="n">
        <v>510</v>
      </c>
      <c r="V2289" s="0" t="n">
        <v>1</v>
      </c>
      <c r="W2289" s="27" t="n">
        <f aca="false">MATCH(A2289,DATAS,0)</f>
        <v>1</v>
      </c>
      <c r="X2289" s="27" t="n">
        <f aca="false">IF(AND(E2289&gt;0,OR(AND(B2289&gt;=1,B2289&lt;=6),B2289=10)),1,0)</f>
        <v>0</v>
      </c>
      <c r="Y2289" s="27" t="n">
        <f aca="false">IF(AND(E2289&gt;0,B2289=10),1,0)</f>
        <v>0</v>
      </c>
      <c r="Z2289" s="0" t="str">
        <f aca="false">IF(AND(C2288=C2289,W2288=W2289-1),X2288,"")</f>
        <v/>
      </c>
      <c r="AA2289" s="0" t="str">
        <f aca="false">IF(AND(C2288=C2289,W2288=W2289-1),Y2288,"")</f>
        <v/>
      </c>
      <c r="AB2289" s="0" t="str">
        <f aca="false">IF(W2289=1,"",IF(AND(X2289=1,Z2289&lt;&gt;1),1,0))</f>
        <v/>
      </c>
      <c r="AC2289" s="0" t="str">
        <f aca="false">IF(W2289=1,"",IF(AND(Y2289=1,AA2289&lt;&gt;1),1,0))</f>
        <v/>
      </c>
      <c r="AD2289" s="33" t="str">
        <f aca="false">IF(AND(E2289&gt;0,W2289&lt;1,NOT(AND(C2290=C2289,W2290=W2289+1))),INDEX(DATAS,W2289+1),"")</f>
        <v/>
      </c>
      <c r="AE2289" s="33" t="str">
        <f aca="false">IF(AND(Y2289=1,W2289&lt;1),IF(AND(C2290=C2289,W2290=W2289+1),IF(Y2290=1,"",INDEX(DATAS,W2289+1)),INDEX(DATAS,W2289+1)),"")</f>
        <v/>
      </c>
    </row>
    <row r="2290" customFormat="false" ht="15" hidden="false" customHeight="false" outlineLevel="0" collapsed="false">
      <c r="A2290" s="33" t="n">
        <v>46309</v>
      </c>
      <c r="B2290" s="0" t="n">
        <v>8</v>
      </c>
      <c r="C2290" s="0" t="n">
        <v>6580</v>
      </c>
      <c r="E2290" s="0" t="n">
        <v>0</v>
      </c>
      <c r="F2290" s="27" t="s">
        <v>1227</v>
      </c>
      <c r="I2290" s="27" t="s">
        <v>138</v>
      </c>
      <c r="L2290" s="0" t="n">
        <v>63</v>
      </c>
      <c r="U2290" s="0" t="n">
        <v>510</v>
      </c>
      <c r="V2290" s="0" t="n">
        <v>1</v>
      </c>
      <c r="W2290" s="27" t="n">
        <f aca="false">MATCH(A2290,DATAS,0)</f>
        <v>1</v>
      </c>
      <c r="X2290" s="27" t="n">
        <f aca="false">IF(AND(E2290&gt;0,OR(AND(B2290&gt;=1,B2290&lt;=6),B2290=10)),1,0)</f>
        <v>0</v>
      </c>
      <c r="Y2290" s="27" t="n">
        <f aca="false">IF(AND(E2290&gt;0,B2290=10),1,0)</f>
        <v>0</v>
      </c>
      <c r="Z2290" s="0" t="str">
        <f aca="false">IF(AND(C2289=C2290,W2289=W2290-1),X2289,"")</f>
        <v/>
      </c>
      <c r="AA2290" s="0" t="str">
        <f aca="false">IF(AND(C2289=C2290,W2289=W2290-1),Y2289,"")</f>
        <v/>
      </c>
      <c r="AB2290" s="0" t="str">
        <f aca="false">IF(W2290=1,"",IF(AND(X2290=1,Z2290&lt;&gt;1),1,0))</f>
        <v/>
      </c>
      <c r="AC2290" s="0" t="str">
        <f aca="false">IF(W2290=1,"",IF(AND(Y2290=1,AA2290&lt;&gt;1),1,0))</f>
        <v/>
      </c>
      <c r="AD2290" s="33" t="str">
        <f aca="false">IF(AND(E2290&gt;0,W2290&lt;1,NOT(AND(C2291=C2290,W2291=W2290+1))),INDEX(DATAS,W2290+1),"")</f>
        <v/>
      </c>
      <c r="AE2290" s="33" t="str">
        <f aca="false">IF(AND(Y2290=1,W2290&lt;1),IF(AND(C2291=C2290,W2291=W2290+1),IF(Y2291=1,"",INDEX(DATAS,W2290+1)),INDEX(DATAS,W2290+1)),"")</f>
        <v/>
      </c>
    </row>
    <row r="2291" customFormat="false" ht="15" hidden="false" customHeight="false" outlineLevel="0" collapsed="false">
      <c r="A2291" s="33" t="n">
        <v>46309</v>
      </c>
      <c r="B2291" s="0" t="n">
        <v>8</v>
      </c>
      <c r="C2291" s="0" t="n">
        <v>6581</v>
      </c>
      <c r="E2291" s="0" t="n">
        <v>0</v>
      </c>
      <c r="F2291" s="27" t="s">
        <v>1227</v>
      </c>
      <c r="I2291" s="27" t="s">
        <v>138</v>
      </c>
      <c r="L2291" s="0" t="n">
        <v>91</v>
      </c>
      <c r="U2291" s="0" t="n">
        <v>510</v>
      </c>
      <c r="V2291" s="0" t="n">
        <v>2</v>
      </c>
      <c r="W2291" s="27" t="n">
        <f aca="false">MATCH(A2291,DATAS,0)</f>
        <v>1</v>
      </c>
      <c r="X2291" s="27" t="n">
        <f aca="false">IF(AND(E2291&gt;0,OR(AND(B2291&gt;=1,B2291&lt;=6),B2291=10)),1,0)</f>
        <v>0</v>
      </c>
      <c r="Y2291" s="27" t="n">
        <f aca="false">IF(AND(E2291&gt;0,B2291=10),1,0)</f>
        <v>0</v>
      </c>
      <c r="Z2291" s="0" t="str">
        <f aca="false">IF(AND(C2290=C2291,W2290=W2291-1),X2290,"")</f>
        <v/>
      </c>
      <c r="AA2291" s="0" t="str">
        <f aca="false">IF(AND(C2290=C2291,W2290=W2291-1),Y2290,"")</f>
        <v/>
      </c>
      <c r="AB2291" s="0" t="str">
        <f aca="false">IF(W2291=1,"",IF(AND(X2291=1,Z2291&lt;&gt;1),1,0))</f>
        <v/>
      </c>
      <c r="AC2291" s="0" t="str">
        <f aca="false">IF(W2291=1,"",IF(AND(Y2291=1,AA2291&lt;&gt;1),1,0))</f>
        <v/>
      </c>
      <c r="AD2291" s="33" t="str">
        <f aca="false">IF(AND(E2291&gt;0,W2291&lt;1,NOT(AND(C2292=C2291,W2292=W2291+1))),INDEX(DATAS,W2291+1),"")</f>
        <v/>
      </c>
      <c r="AE2291" s="33" t="str">
        <f aca="false">IF(AND(Y2291=1,W2291&lt;1),IF(AND(C2292=C2291,W2292=W2291+1),IF(Y2292=1,"",INDEX(DATAS,W2291+1)),INDEX(DATAS,W2291+1)),"")</f>
        <v/>
      </c>
    </row>
    <row r="2292" customFormat="false" ht="15" hidden="false" customHeight="false" outlineLevel="0" collapsed="false">
      <c r="A2292" s="33" t="n">
        <v>46309</v>
      </c>
      <c r="B2292" s="0" t="n">
        <v>11</v>
      </c>
      <c r="C2292" s="0" t="n">
        <v>6582</v>
      </c>
      <c r="E2292" s="0" t="n">
        <v>0</v>
      </c>
      <c r="F2292" s="27" t="s">
        <v>1228</v>
      </c>
      <c r="I2292" s="27" t="s">
        <v>168</v>
      </c>
      <c r="U2292" s="0" t="n">
        <v>507</v>
      </c>
      <c r="V2292" s="0" t="n">
        <v>5</v>
      </c>
      <c r="W2292" s="27" t="n">
        <f aca="false">MATCH(A2292,DATAS,0)</f>
        <v>1</v>
      </c>
      <c r="X2292" s="27" t="n">
        <f aca="false">IF(AND(E2292&gt;0,OR(AND(B2292&gt;=1,B2292&lt;=6),B2292=10)),1,0)</f>
        <v>0</v>
      </c>
      <c r="Y2292" s="27" t="n">
        <f aca="false">IF(AND(E2292&gt;0,B2292=10),1,0)</f>
        <v>0</v>
      </c>
      <c r="Z2292" s="0" t="str">
        <f aca="false">IF(AND(C2291=C2292,W2291=W2292-1),X2291,"")</f>
        <v/>
      </c>
      <c r="AA2292" s="0" t="str">
        <f aca="false">IF(AND(C2291=C2292,W2291=W2292-1),Y2291,"")</f>
        <v/>
      </c>
      <c r="AB2292" s="0" t="str">
        <f aca="false">IF(W2292=1,"",IF(AND(X2292=1,Z2292&lt;&gt;1),1,0))</f>
        <v/>
      </c>
      <c r="AC2292" s="0" t="str">
        <f aca="false">IF(W2292=1,"",IF(AND(Y2292=1,AA2292&lt;&gt;1),1,0))</f>
        <v/>
      </c>
      <c r="AD2292" s="33" t="str">
        <f aca="false">IF(AND(E2292&gt;0,W2292&lt;1,NOT(AND(C2293=C2292,W2293=W2292+1))),INDEX(DATAS,W2292+1),"")</f>
        <v/>
      </c>
      <c r="AE2292" s="33" t="str">
        <f aca="false">IF(AND(Y2292=1,W2292&lt;1),IF(AND(C2293=C2292,W2293=W2292+1),IF(Y2293=1,"",INDEX(DATAS,W2292+1)),INDEX(DATAS,W2292+1)),"")</f>
        <v/>
      </c>
    </row>
    <row r="2293" customFormat="false" ht="15" hidden="false" customHeight="false" outlineLevel="0" collapsed="false">
      <c r="A2293" s="33" t="n">
        <v>46309</v>
      </c>
      <c r="B2293" s="0" t="n">
        <v>11</v>
      </c>
      <c r="C2293" s="0" t="n">
        <v>6583</v>
      </c>
      <c r="E2293" s="0" t="n">
        <v>0</v>
      </c>
      <c r="F2293" s="27" t="s">
        <v>1228</v>
      </c>
      <c r="I2293" s="27" t="s">
        <v>168</v>
      </c>
      <c r="U2293" s="0" t="n">
        <v>507</v>
      </c>
      <c r="V2293" s="0" t="n">
        <v>4</v>
      </c>
      <c r="W2293" s="27" t="n">
        <f aca="false">MATCH(A2293,DATAS,0)</f>
        <v>1</v>
      </c>
      <c r="X2293" s="27" t="n">
        <f aca="false">IF(AND(E2293&gt;0,OR(AND(B2293&gt;=1,B2293&lt;=6),B2293=10)),1,0)</f>
        <v>0</v>
      </c>
      <c r="Y2293" s="27" t="n">
        <f aca="false">IF(AND(E2293&gt;0,B2293=10),1,0)</f>
        <v>0</v>
      </c>
      <c r="Z2293" s="0" t="str">
        <f aca="false">IF(AND(C2292=C2293,W2292=W2293-1),X2292,"")</f>
        <v/>
      </c>
      <c r="AA2293" s="0" t="str">
        <f aca="false">IF(AND(C2292=C2293,W2292=W2293-1),Y2292,"")</f>
        <v/>
      </c>
      <c r="AB2293" s="0" t="str">
        <f aca="false">IF(W2293=1,"",IF(AND(X2293=1,Z2293&lt;&gt;1),1,0))</f>
        <v/>
      </c>
      <c r="AC2293" s="0" t="str">
        <f aca="false">IF(W2293=1,"",IF(AND(Y2293=1,AA2293&lt;&gt;1),1,0))</f>
        <v/>
      </c>
      <c r="AD2293" s="33" t="str">
        <f aca="false">IF(AND(E2293&gt;0,W2293&lt;1,NOT(AND(C2294=C2293,W2294=W2293+1))),INDEX(DATAS,W2293+1),"")</f>
        <v/>
      </c>
      <c r="AE2293" s="33" t="str">
        <f aca="false">IF(AND(Y2293=1,W2293&lt;1),IF(AND(C2294=C2293,W2294=W2293+1),IF(Y2294=1,"",INDEX(DATAS,W2293+1)),INDEX(DATAS,W2293+1)),"")</f>
        <v/>
      </c>
    </row>
    <row r="2294" customFormat="false" ht="15" hidden="false" customHeight="false" outlineLevel="0" collapsed="false">
      <c r="A2294" s="33" t="n">
        <v>46309</v>
      </c>
      <c r="B2294" s="0" t="n">
        <v>8</v>
      </c>
      <c r="C2294" s="0" t="n">
        <v>6584</v>
      </c>
      <c r="E2294" s="0" t="n">
        <v>0</v>
      </c>
      <c r="F2294" s="27" t="s">
        <v>1228</v>
      </c>
      <c r="I2294" s="27" t="s">
        <v>138</v>
      </c>
      <c r="L2294" s="0" t="n">
        <v>105</v>
      </c>
      <c r="U2294" s="0" t="n">
        <v>507</v>
      </c>
      <c r="V2294" s="0" t="n">
        <v>1</v>
      </c>
      <c r="W2294" s="27" t="n">
        <f aca="false">MATCH(A2294,DATAS,0)</f>
        <v>1</v>
      </c>
      <c r="X2294" s="27" t="n">
        <f aca="false">IF(AND(E2294&gt;0,OR(AND(B2294&gt;=1,B2294&lt;=6),B2294=10)),1,0)</f>
        <v>0</v>
      </c>
      <c r="Y2294" s="27" t="n">
        <f aca="false">IF(AND(E2294&gt;0,B2294=10),1,0)</f>
        <v>0</v>
      </c>
      <c r="Z2294" s="0" t="str">
        <f aca="false">IF(AND(C2293=C2294,W2293=W2294-1),X2293,"")</f>
        <v/>
      </c>
      <c r="AA2294" s="0" t="str">
        <f aca="false">IF(AND(C2293=C2294,W2293=W2294-1),Y2293,"")</f>
        <v/>
      </c>
      <c r="AB2294" s="0" t="str">
        <f aca="false">IF(W2294=1,"",IF(AND(X2294=1,Z2294&lt;&gt;1),1,0))</f>
        <v/>
      </c>
      <c r="AC2294" s="0" t="str">
        <f aca="false">IF(W2294=1,"",IF(AND(Y2294=1,AA2294&lt;&gt;1),1,0))</f>
        <v/>
      </c>
      <c r="AD2294" s="33" t="str">
        <f aca="false">IF(AND(E2294&gt;0,W2294&lt;1,NOT(AND(C2295=C2294,W2295=W2294+1))),INDEX(DATAS,W2294+1),"")</f>
        <v/>
      </c>
      <c r="AE2294" s="33" t="str">
        <f aca="false">IF(AND(Y2294=1,W2294&lt;1),IF(AND(C2295=C2294,W2295=W2294+1),IF(Y2295=1,"",INDEX(DATAS,W2294+1)),INDEX(DATAS,W2294+1)),"")</f>
        <v/>
      </c>
    </row>
    <row r="2295" customFormat="false" ht="15" hidden="false" customHeight="false" outlineLevel="0" collapsed="false">
      <c r="A2295" s="33" t="n">
        <v>46309</v>
      </c>
      <c r="B2295" s="0" t="n">
        <v>13</v>
      </c>
      <c r="C2295" s="0" t="n">
        <v>6585</v>
      </c>
      <c r="E2295" s="0" t="n">
        <v>0</v>
      </c>
      <c r="F2295" s="27" t="s">
        <v>1228</v>
      </c>
      <c r="I2295" s="27" t="s">
        <v>176</v>
      </c>
      <c r="U2295" s="0" t="n">
        <v>507</v>
      </c>
      <c r="V2295" s="0" t="n">
        <v>0</v>
      </c>
      <c r="W2295" s="27" t="n">
        <f aca="false">MATCH(A2295,DATAS,0)</f>
        <v>1</v>
      </c>
      <c r="X2295" s="27" t="n">
        <f aca="false">IF(AND(E2295&gt;0,OR(AND(B2295&gt;=1,B2295&lt;=6),B2295=10)),1,0)</f>
        <v>0</v>
      </c>
      <c r="Y2295" s="27" t="n">
        <f aca="false">IF(AND(E2295&gt;0,B2295=10),1,0)</f>
        <v>0</v>
      </c>
      <c r="Z2295" s="0" t="str">
        <f aca="false">IF(AND(C2294=C2295,W2294=W2295-1),X2294,"")</f>
        <v/>
      </c>
      <c r="AA2295" s="0" t="str">
        <f aca="false">IF(AND(C2294=C2295,W2294=W2295-1),Y2294,"")</f>
        <v/>
      </c>
      <c r="AB2295" s="0" t="str">
        <f aca="false">IF(W2295=1,"",IF(AND(X2295=1,Z2295&lt;&gt;1),1,0))</f>
        <v/>
      </c>
      <c r="AC2295" s="0" t="str">
        <f aca="false">IF(W2295=1,"",IF(AND(Y2295=1,AA2295&lt;&gt;1),1,0))</f>
        <v/>
      </c>
      <c r="AD2295" s="33" t="str">
        <f aca="false">IF(AND(E2295&gt;0,W2295&lt;1,NOT(AND(C2296=C2295,W2296=W2295+1))),INDEX(DATAS,W2295+1),"")</f>
        <v/>
      </c>
      <c r="AE2295" s="33" t="str">
        <f aca="false">IF(AND(Y2295=1,W2295&lt;1),IF(AND(C2296=C2295,W2296=W2295+1),IF(Y2296=1,"",INDEX(DATAS,W2295+1)),INDEX(DATAS,W2295+1)),"")</f>
        <v/>
      </c>
    </row>
    <row r="2296" customFormat="false" ht="15" hidden="false" customHeight="false" outlineLevel="0" collapsed="false">
      <c r="A2296" s="33" t="n">
        <v>46309</v>
      </c>
      <c r="B2296" s="0" t="n">
        <v>8</v>
      </c>
      <c r="C2296" s="0" t="n">
        <v>6586</v>
      </c>
      <c r="E2296" s="0" t="n">
        <v>0</v>
      </c>
      <c r="F2296" s="27" t="s">
        <v>1228</v>
      </c>
      <c r="I2296" s="27" t="s">
        <v>138</v>
      </c>
      <c r="L2296" s="0" t="n">
        <v>87</v>
      </c>
      <c r="U2296" s="0" t="n">
        <v>507</v>
      </c>
      <c r="V2296" s="0" t="n">
        <v>2</v>
      </c>
      <c r="W2296" s="27" t="n">
        <f aca="false">MATCH(A2296,DATAS,0)</f>
        <v>1</v>
      </c>
      <c r="X2296" s="27" t="n">
        <f aca="false">IF(AND(E2296&gt;0,OR(AND(B2296&gt;=1,B2296&lt;=6),B2296=10)),1,0)</f>
        <v>0</v>
      </c>
      <c r="Y2296" s="27" t="n">
        <f aca="false">IF(AND(E2296&gt;0,B2296=10),1,0)</f>
        <v>0</v>
      </c>
      <c r="Z2296" s="0" t="str">
        <f aca="false">IF(AND(C2295=C2296,W2295=W2296-1),X2295,"")</f>
        <v/>
      </c>
      <c r="AA2296" s="0" t="str">
        <f aca="false">IF(AND(C2295=C2296,W2295=W2296-1),Y2295,"")</f>
        <v/>
      </c>
      <c r="AB2296" s="0" t="str">
        <f aca="false">IF(W2296=1,"",IF(AND(X2296=1,Z2296&lt;&gt;1),1,0))</f>
        <v/>
      </c>
      <c r="AC2296" s="0" t="str">
        <f aca="false">IF(W2296=1,"",IF(AND(Y2296=1,AA2296&lt;&gt;1),1,0))</f>
        <v/>
      </c>
      <c r="AD2296" s="33" t="str">
        <f aca="false">IF(AND(E2296&gt;0,W2296&lt;1,NOT(AND(C2297=C2296,W2297=W2296+1))),INDEX(DATAS,W2296+1),"")</f>
        <v/>
      </c>
      <c r="AE2296" s="33" t="str">
        <f aca="false">IF(AND(Y2296=1,W2296&lt;1),IF(AND(C2297=C2296,W2297=W2296+1),IF(Y2297=1,"",INDEX(DATAS,W2296+1)),INDEX(DATAS,W2296+1)),"")</f>
        <v/>
      </c>
    </row>
    <row r="2297" customFormat="false" ht="15" hidden="false" customHeight="false" outlineLevel="0" collapsed="false">
      <c r="A2297" s="33" t="n">
        <v>46309</v>
      </c>
      <c r="B2297" s="0" t="n">
        <v>8</v>
      </c>
      <c r="C2297" s="0" t="n">
        <v>6587</v>
      </c>
      <c r="E2297" s="0" t="n">
        <v>0</v>
      </c>
      <c r="F2297" s="27" t="s">
        <v>1228</v>
      </c>
      <c r="I2297" s="27" t="s">
        <v>138</v>
      </c>
      <c r="L2297" s="0" t="n">
        <v>95</v>
      </c>
      <c r="U2297" s="0" t="n">
        <v>507</v>
      </c>
      <c r="V2297" s="0" t="n">
        <v>1</v>
      </c>
      <c r="W2297" s="27" t="n">
        <f aca="false">MATCH(A2297,DATAS,0)</f>
        <v>1</v>
      </c>
      <c r="X2297" s="27" t="n">
        <f aca="false">IF(AND(E2297&gt;0,OR(AND(B2297&gt;=1,B2297&lt;=6),B2297=10)),1,0)</f>
        <v>0</v>
      </c>
      <c r="Y2297" s="27" t="n">
        <f aca="false">IF(AND(E2297&gt;0,B2297=10),1,0)</f>
        <v>0</v>
      </c>
      <c r="Z2297" s="0" t="str">
        <f aca="false">IF(AND(C2296=C2297,W2296=W2297-1),X2296,"")</f>
        <v/>
      </c>
      <c r="AA2297" s="0" t="str">
        <f aca="false">IF(AND(C2296=C2297,W2296=W2297-1),Y2296,"")</f>
        <v/>
      </c>
      <c r="AB2297" s="0" t="str">
        <f aca="false">IF(W2297=1,"",IF(AND(X2297=1,Z2297&lt;&gt;1),1,0))</f>
        <v/>
      </c>
      <c r="AC2297" s="0" t="str">
        <f aca="false">IF(W2297=1,"",IF(AND(Y2297=1,AA2297&lt;&gt;1),1,0))</f>
        <v/>
      </c>
      <c r="AD2297" s="33" t="str">
        <f aca="false">IF(AND(E2297&gt;0,W2297&lt;1,NOT(AND(C2298=C2297,W2298=W2297+1))),INDEX(DATAS,W2297+1),"")</f>
        <v/>
      </c>
      <c r="AE2297" s="33" t="str">
        <f aca="false">IF(AND(Y2297=1,W2297&lt;1),IF(AND(C2298=C2297,W2298=W2297+1),IF(Y2298=1,"",INDEX(DATAS,W2297+1)),INDEX(DATAS,W2297+1)),"")</f>
        <v/>
      </c>
    </row>
    <row r="2298" customFormat="false" ht="15" hidden="false" customHeight="false" outlineLevel="0" collapsed="false">
      <c r="A2298" s="33" t="n">
        <v>46309</v>
      </c>
      <c r="B2298" s="0" t="n">
        <v>11</v>
      </c>
      <c r="C2298" s="0" t="n">
        <v>6588</v>
      </c>
      <c r="E2298" s="0" t="n">
        <v>0</v>
      </c>
      <c r="F2298" s="27" t="s">
        <v>1228</v>
      </c>
      <c r="I2298" s="27" t="s">
        <v>176</v>
      </c>
      <c r="U2298" s="0" t="n">
        <v>507</v>
      </c>
      <c r="V2298" s="0" t="n">
        <v>2</v>
      </c>
      <c r="W2298" s="27" t="n">
        <f aca="false">MATCH(A2298,DATAS,0)</f>
        <v>1</v>
      </c>
      <c r="X2298" s="27" t="n">
        <f aca="false">IF(AND(E2298&gt;0,OR(AND(B2298&gt;=1,B2298&lt;=6),B2298=10)),1,0)</f>
        <v>0</v>
      </c>
      <c r="Y2298" s="27" t="n">
        <f aca="false">IF(AND(E2298&gt;0,B2298=10),1,0)</f>
        <v>0</v>
      </c>
      <c r="Z2298" s="0" t="str">
        <f aca="false">IF(AND(C2297=C2298,W2297=W2298-1),X2297,"")</f>
        <v/>
      </c>
      <c r="AA2298" s="0" t="str">
        <f aca="false">IF(AND(C2297=C2298,W2297=W2298-1),Y2297,"")</f>
        <v/>
      </c>
      <c r="AB2298" s="0" t="str">
        <f aca="false">IF(W2298=1,"",IF(AND(X2298=1,Z2298&lt;&gt;1),1,0))</f>
        <v/>
      </c>
      <c r="AC2298" s="0" t="str">
        <f aca="false">IF(W2298=1,"",IF(AND(Y2298=1,AA2298&lt;&gt;1),1,0))</f>
        <v/>
      </c>
      <c r="AD2298" s="33" t="str">
        <f aca="false">IF(AND(E2298&gt;0,W2298&lt;1,NOT(AND(C2299=C2298,W2299=W2298+1))),INDEX(DATAS,W2298+1),"")</f>
        <v/>
      </c>
      <c r="AE2298" s="33" t="str">
        <f aca="false">IF(AND(Y2298=1,W2298&lt;1),IF(AND(C2299=C2298,W2299=W2298+1),IF(Y2299=1,"",INDEX(DATAS,W2298+1)),INDEX(DATAS,W2298+1)),"")</f>
        <v/>
      </c>
    </row>
    <row r="2299" customFormat="false" ht="15" hidden="false" customHeight="false" outlineLevel="0" collapsed="false">
      <c r="A2299" s="33" t="n">
        <v>46309</v>
      </c>
      <c r="B2299" s="0" t="n">
        <v>8</v>
      </c>
      <c r="C2299" s="0" t="n">
        <v>6590</v>
      </c>
      <c r="E2299" s="0" t="n">
        <v>0</v>
      </c>
      <c r="F2299" s="27" t="s">
        <v>1228</v>
      </c>
      <c r="I2299" s="27" t="s">
        <v>138</v>
      </c>
      <c r="L2299" s="0" t="n">
        <v>105</v>
      </c>
      <c r="U2299" s="0" t="n">
        <v>507</v>
      </c>
      <c r="V2299" s="0" t="n">
        <v>1</v>
      </c>
      <c r="W2299" s="27" t="n">
        <f aca="false">MATCH(A2299,DATAS,0)</f>
        <v>1</v>
      </c>
      <c r="X2299" s="27" t="n">
        <f aca="false">IF(AND(E2299&gt;0,OR(AND(B2299&gt;=1,B2299&lt;=6),B2299=10)),1,0)</f>
        <v>0</v>
      </c>
      <c r="Y2299" s="27" t="n">
        <f aca="false">IF(AND(E2299&gt;0,B2299=10),1,0)</f>
        <v>0</v>
      </c>
      <c r="Z2299" s="0" t="str">
        <f aca="false">IF(AND(C2298=C2299,W2298=W2299-1),X2298,"")</f>
        <v/>
      </c>
      <c r="AA2299" s="0" t="str">
        <f aca="false">IF(AND(C2298=C2299,W2298=W2299-1),Y2298,"")</f>
        <v/>
      </c>
      <c r="AB2299" s="0" t="str">
        <f aca="false">IF(W2299=1,"",IF(AND(X2299=1,Z2299&lt;&gt;1),1,0))</f>
        <v/>
      </c>
      <c r="AC2299" s="0" t="str">
        <f aca="false">IF(W2299=1,"",IF(AND(Y2299=1,AA2299&lt;&gt;1),1,0))</f>
        <v/>
      </c>
      <c r="AD2299" s="33" t="str">
        <f aca="false">IF(AND(E2299&gt;0,W2299&lt;1,NOT(AND(C2300=C2299,W2300=W2299+1))),INDEX(DATAS,W2299+1),"")</f>
        <v/>
      </c>
      <c r="AE2299" s="33" t="str">
        <f aca="false">IF(AND(Y2299=1,W2299&lt;1),IF(AND(C2300=C2299,W2300=W2299+1),IF(Y2300=1,"",INDEX(DATAS,W2299+1)),INDEX(DATAS,W2299+1)),"")</f>
        <v/>
      </c>
    </row>
    <row r="2300" customFormat="false" ht="15" hidden="false" customHeight="false" outlineLevel="0" collapsed="false">
      <c r="A2300" s="33" t="n">
        <v>46309</v>
      </c>
      <c r="B2300" s="0" t="n">
        <v>8</v>
      </c>
      <c r="C2300" s="0" t="n">
        <v>6591</v>
      </c>
      <c r="E2300" s="0" t="n">
        <v>0</v>
      </c>
      <c r="F2300" s="27" t="s">
        <v>1228</v>
      </c>
      <c r="I2300" s="27" t="s">
        <v>138</v>
      </c>
      <c r="L2300" s="0" t="n">
        <v>105</v>
      </c>
      <c r="U2300" s="0" t="n">
        <v>507</v>
      </c>
      <c r="V2300" s="0" t="n">
        <v>1</v>
      </c>
      <c r="W2300" s="27" t="n">
        <f aca="false">MATCH(A2300,DATAS,0)</f>
        <v>1</v>
      </c>
      <c r="X2300" s="27" t="n">
        <f aca="false">IF(AND(E2300&gt;0,OR(AND(B2300&gt;=1,B2300&lt;=6),B2300=10)),1,0)</f>
        <v>0</v>
      </c>
      <c r="Y2300" s="27" t="n">
        <f aca="false">IF(AND(E2300&gt;0,B2300=10),1,0)</f>
        <v>0</v>
      </c>
      <c r="Z2300" s="0" t="str">
        <f aca="false">IF(AND(C2299=C2300,W2299=W2300-1),X2299,"")</f>
        <v/>
      </c>
      <c r="AA2300" s="0" t="str">
        <f aca="false">IF(AND(C2299=C2300,W2299=W2300-1),Y2299,"")</f>
        <v/>
      </c>
      <c r="AB2300" s="0" t="str">
        <f aca="false">IF(W2300=1,"",IF(AND(X2300=1,Z2300&lt;&gt;1),1,0))</f>
        <v/>
      </c>
      <c r="AC2300" s="0" t="str">
        <f aca="false">IF(W2300=1,"",IF(AND(Y2300=1,AA2300&lt;&gt;1),1,0))</f>
        <v/>
      </c>
      <c r="AD2300" s="33" t="str">
        <f aca="false">IF(AND(E2300&gt;0,W2300&lt;1,NOT(AND(C2301=C2300,W2301=W2300+1))),INDEX(DATAS,W2300+1),"")</f>
        <v/>
      </c>
      <c r="AE2300" s="33" t="str">
        <f aca="false">IF(AND(Y2300=1,W2300&lt;1),IF(AND(C2301=C2300,W2301=W2300+1),IF(Y2301=1,"",INDEX(DATAS,W2300+1)),INDEX(DATAS,W2300+1)),"")</f>
        <v/>
      </c>
    </row>
    <row r="2301" customFormat="false" ht="15" hidden="false" customHeight="false" outlineLevel="0" collapsed="false">
      <c r="A2301" s="33" t="n">
        <v>46309</v>
      </c>
      <c r="B2301" s="0" t="n">
        <v>8</v>
      </c>
      <c r="C2301" s="0" t="n">
        <v>6592</v>
      </c>
      <c r="E2301" s="0" t="n">
        <v>0</v>
      </c>
      <c r="F2301" s="27" t="s">
        <v>1228</v>
      </c>
      <c r="I2301" s="27" t="s">
        <v>138</v>
      </c>
      <c r="L2301" s="0" t="n">
        <v>97</v>
      </c>
      <c r="U2301" s="0" t="n">
        <v>507</v>
      </c>
      <c r="V2301" s="0" t="n">
        <v>1</v>
      </c>
      <c r="W2301" s="27" t="n">
        <f aca="false">MATCH(A2301,DATAS,0)</f>
        <v>1</v>
      </c>
      <c r="X2301" s="27" t="n">
        <f aca="false">IF(AND(E2301&gt;0,OR(AND(B2301&gt;=1,B2301&lt;=6),B2301=10)),1,0)</f>
        <v>0</v>
      </c>
      <c r="Y2301" s="27" t="n">
        <f aca="false">IF(AND(E2301&gt;0,B2301=10),1,0)</f>
        <v>0</v>
      </c>
      <c r="Z2301" s="0" t="str">
        <f aca="false">IF(AND(C2300=C2301,W2300=W2301-1),X2300,"")</f>
        <v/>
      </c>
      <c r="AA2301" s="0" t="str">
        <f aca="false">IF(AND(C2300=C2301,W2300=W2301-1),Y2300,"")</f>
        <v/>
      </c>
      <c r="AB2301" s="0" t="str">
        <f aca="false">IF(W2301=1,"",IF(AND(X2301=1,Z2301&lt;&gt;1),1,0))</f>
        <v/>
      </c>
      <c r="AC2301" s="0" t="str">
        <f aca="false">IF(W2301=1,"",IF(AND(Y2301=1,AA2301&lt;&gt;1),1,0))</f>
        <v/>
      </c>
      <c r="AD2301" s="33" t="str">
        <f aca="false">IF(AND(E2301&gt;0,W2301&lt;1,NOT(AND(C2302=C2301,W2302=W2301+1))),INDEX(DATAS,W2301+1),"")</f>
        <v/>
      </c>
      <c r="AE2301" s="33" t="str">
        <f aca="false">IF(AND(Y2301=1,W2301&lt;1),IF(AND(C2302=C2301,W2302=W2301+1),IF(Y2302=1,"",INDEX(DATAS,W2301+1)),INDEX(DATAS,W2301+1)),"")</f>
        <v/>
      </c>
    </row>
    <row r="2302" customFormat="false" ht="15" hidden="false" customHeight="false" outlineLevel="0" collapsed="false">
      <c r="A2302" s="33" t="n">
        <v>46309</v>
      </c>
      <c r="B2302" s="0" t="n">
        <v>11</v>
      </c>
      <c r="C2302" s="0" t="n">
        <v>6593</v>
      </c>
      <c r="E2302" s="0" t="n">
        <v>0</v>
      </c>
      <c r="F2302" s="27" t="s">
        <v>1229</v>
      </c>
      <c r="I2302" s="27" t="s">
        <v>176</v>
      </c>
      <c r="U2302" s="0" t="n">
        <v>506</v>
      </c>
      <c r="V2302" s="0" t="n">
        <v>2</v>
      </c>
      <c r="W2302" s="27" t="n">
        <f aca="false">MATCH(A2302,DATAS,0)</f>
        <v>1</v>
      </c>
      <c r="X2302" s="27" t="n">
        <f aca="false">IF(AND(E2302&gt;0,OR(AND(B2302&gt;=1,B2302&lt;=6),B2302=10)),1,0)</f>
        <v>0</v>
      </c>
      <c r="Y2302" s="27" t="n">
        <f aca="false">IF(AND(E2302&gt;0,B2302=10),1,0)</f>
        <v>0</v>
      </c>
      <c r="Z2302" s="0" t="str">
        <f aca="false">IF(AND(C2301=C2302,W2301=W2302-1),X2301,"")</f>
        <v/>
      </c>
      <c r="AA2302" s="0" t="str">
        <f aca="false">IF(AND(C2301=C2302,W2301=W2302-1),Y2301,"")</f>
        <v/>
      </c>
      <c r="AB2302" s="0" t="str">
        <f aca="false">IF(W2302=1,"",IF(AND(X2302=1,Z2302&lt;&gt;1),1,0))</f>
        <v/>
      </c>
      <c r="AC2302" s="0" t="str">
        <f aca="false">IF(W2302=1,"",IF(AND(Y2302=1,AA2302&lt;&gt;1),1,0))</f>
        <v/>
      </c>
      <c r="AD2302" s="33" t="str">
        <f aca="false">IF(AND(E2302&gt;0,W2302&lt;1,NOT(AND(C2303=C2302,W2303=W2302+1))),INDEX(DATAS,W2302+1),"")</f>
        <v/>
      </c>
      <c r="AE2302" s="33" t="str">
        <f aca="false">IF(AND(Y2302=1,W2302&lt;1),IF(AND(C2303=C2302,W2303=W2302+1),IF(Y2303=1,"",INDEX(DATAS,W2302+1)),INDEX(DATAS,W2302+1)),"")</f>
        <v/>
      </c>
    </row>
    <row r="2303" customFormat="false" ht="15" hidden="false" customHeight="false" outlineLevel="0" collapsed="false">
      <c r="A2303" s="33" t="n">
        <v>46309</v>
      </c>
      <c r="B2303" s="0" t="n">
        <v>11</v>
      </c>
      <c r="C2303" s="0" t="n">
        <v>6594</v>
      </c>
      <c r="E2303" s="0" t="n">
        <v>0</v>
      </c>
      <c r="F2303" s="27" t="s">
        <v>1230</v>
      </c>
      <c r="I2303" s="27" t="s">
        <v>168</v>
      </c>
      <c r="U2303" s="0" t="n">
        <v>505</v>
      </c>
      <c r="V2303" s="0" t="n">
        <v>2</v>
      </c>
      <c r="W2303" s="27" t="n">
        <f aca="false">MATCH(A2303,DATAS,0)</f>
        <v>1</v>
      </c>
      <c r="X2303" s="27" t="n">
        <f aca="false">IF(AND(E2303&gt;0,OR(AND(B2303&gt;=1,B2303&lt;=6),B2303=10)),1,0)</f>
        <v>0</v>
      </c>
      <c r="Y2303" s="27" t="n">
        <f aca="false">IF(AND(E2303&gt;0,B2303=10),1,0)</f>
        <v>0</v>
      </c>
      <c r="Z2303" s="0" t="str">
        <f aca="false">IF(AND(C2302=C2303,W2302=W2303-1),X2302,"")</f>
        <v/>
      </c>
      <c r="AA2303" s="0" t="str">
        <f aca="false">IF(AND(C2302=C2303,W2302=W2303-1),Y2302,"")</f>
        <v/>
      </c>
      <c r="AB2303" s="0" t="str">
        <f aca="false">IF(W2303=1,"",IF(AND(X2303=1,Z2303&lt;&gt;1),1,0))</f>
        <v/>
      </c>
      <c r="AC2303" s="0" t="str">
        <f aca="false">IF(W2303=1,"",IF(AND(Y2303=1,AA2303&lt;&gt;1),1,0))</f>
        <v/>
      </c>
      <c r="AD2303" s="33" t="str">
        <f aca="false">IF(AND(E2303&gt;0,W2303&lt;1,NOT(AND(C2304=C2303,W2304=W2303+1))),INDEX(DATAS,W2303+1),"")</f>
        <v/>
      </c>
      <c r="AE2303" s="33" t="str">
        <f aca="false">IF(AND(Y2303=1,W2303&lt;1),IF(AND(C2304=C2303,W2304=W2303+1),IF(Y2304=1,"",INDEX(DATAS,W2303+1)),INDEX(DATAS,W2303+1)),"")</f>
        <v/>
      </c>
    </row>
    <row r="2304" customFormat="false" ht="15" hidden="false" customHeight="false" outlineLevel="0" collapsed="false">
      <c r="A2304" s="33" t="n">
        <v>46309</v>
      </c>
      <c r="B2304" s="0" t="n">
        <v>11</v>
      </c>
      <c r="C2304" s="0" t="n">
        <v>6595</v>
      </c>
      <c r="E2304" s="0" t="n">
        <v>0</v>
      </c>
      <c r="F2304" s="27" t="s">
        <v>1230</v>
      </c>
      <c r="I2304" s="27" t="s">
        <v>168</v>
      </c>
      <c r="U2304" s="0" t="n">
        <v>505</v>
      </c>
      <c r="V2304" s="0" t="n">
        <v>4</v>
      </c>
      <c r="W2304" s="27" t="n">
        <f aca="false">MATCH(A2304,DATAS,0)</f>
        <v>1</v>
      </c>
      <c r="X2304" s="27" t="n">
        <f aca="false">IF(AND(E2304&gt;0,OR(AND(B2304&gt;=1,B2304&lt;=6),B2304=10)),1,0)</f>
        <v>0</v>
      </c>
      <c r="Y2304" s="27" t="n">
        <f aca="false">IF(AND(E2304&gt;0,B2304=10),1,0)</f>
        <v>0</v>
      </c>
      <c r="Z2304" s="0" t="str">
        <f aca="false">IF(AND(C2303=C2304,W2303=W2304-1),X2303,"")</f>
        <v/>
      </c>
      <c r="AA2304" s="0" t="str">
        <f aca="false">IF(AND(C2303=C2304,W2303=W2304-1),Y2303,"")</f>
        <v/>
      </c>
      <c r="AB2304" s="0" t="str">
        <f aca="false">IF(W2304=1,"",IF(AND(X2304=1,Z2304&lt;&gt;1),1,0))</f>
        <v/>
      </c>
      <c r="AC2304" s="0" t="str">
        <f aca="false">IF(W2304=1,"",IF(AND(Y2304=1,AA2304&lt;&gt;1),1,0))</f>
        <v/>
      </c>
      <c r="AD2304" s="33" t="str">
        <f aca="false">IF(AND(E2304&gt;0,W2304&lt;1,NOT(AND(C2305=C2304,W2305=W2304+1))),INDEX(DATAS,W2304+1),"")</f>
        <v/>
      </c>
      <c r="AE2304" s="33" t="str">
        <f aca="false">IF(AND(Y2304=1,W2304&lt;1),IF(AND(C2305=C2304,W2305=W2304+1),IF(Y2305=1,"",INDEX(DATAS,W2304+1)),INDEX(DATAS,W2304+1)),"")</f>
        <v/>
      </c>
    </row>
    <row r="2305" customFormat="false" ht="15" hidden="false" customHeight="false" outlineLevel="0" collapsed="false">
      <c r="A2305" s="33" t="n">
        <v>46309</v>
      </c>
      <c r="B2305" s="0" t="n">
        <v>8</v>
      </c>
      <c r="C2305" s="0" t="n">
        <v>6596</v>
      </c>
      <c r="E2305" s="0" t="n">
        <v>0</v>
      </c>
      <c r="F2305" s="27" t="s">
        <v>1230</v>
      </c>
      <c r="I2305" s="27" t="s">
        <v>138</v>
      </c>
      <c r="L2305" s="0" t="n">
        <v>105</v>
      </c>
      <c r="U2305" s="0" t="n">
        <v>505</v>
      </c>
      <c r="V2305" s="0" t="n">
        <v>1</v>
      </c>
      <c r="W2305" s="27" t="n">
        <f aca="false">MATCH(A2305,DATAS,0)</f>
        <v>1</v>
      </c>
      <c r="X2305" s="27" t="n">
        <f aca="false">IF(AND(E2305&gt;0,OR(AND(B2305&gt;=1,B2305&lt;=6),B2305=10)),1,0)</f>
        <v>0</v>
      </c>
      <c r="Y2305" s="27" t="n">
        <f aca="false">IF(AND(E2305&gt;0,B2305=10),1,0)</f>
        <v>0</v>
      </c>
      <c r="Z2305" s="0" t="str">
        <f aca="false">IF(AND(C2304=C2305,W2304=W2305-1),X2304,"")</f>
        <v/>
      </c>
      <c r="AA2305" s="0" t="str">
        <f aca="false">IF(AND(C2304=C2305,W2304=W2305-1),Y2304,"")</f>
        <v/>
      </c>
      <c r="AB2305" s="0" t="str">
        <f aca="false">IF(W2305=1,"",IF(AND(X2305=1,Z2305&lt;&gt;1),1,0))</f>
        <v/>
      </c>
      <c r="AC2305" s="0" t="str">
        <f aca="false">IF(W2305=1,"",IF(AND(Y2305=1,AA2305&lt;&gt;1),1,0))</f>
        <v/>
      </c>
      <c r="AD2305" s="33" t="str">
        <f aca="false">IF(AND(E2305&gt;0,W2305&lt;1,NOT(AND(C2306=C2305,W2306=W2305+1))),INDEX(DATAS,W2305+1),"")</f>
        <v/>
      </c>
      <c r="AE2305" s="33" t="str">
        <f aca="false">IF(AND(Y2305=1,W2305&lt;1),IF(AND(C2306=C2305,W2306=W2305+1),IF(Y2306=1,"",INDEX(DATAS,W2305+1)),INDEX(DATAS,W2305+1)),"")</f>
        <v/>
      </c>
    </row>
    <row r="2306" customFormat="false" ht="15" hidden="false" customHeight="false" outlineLevel="0" collapsed="false">
      <c r="A2306" s="33" t="n">
        <v>46309</v>
      </c>
      <c r="B2306" s="0" t="n">
        <v>8</v>
      </c>
      <c r="C2306" s="0" t="n">
        <v>6598</v>
      </c>
      <c r="E2306" s="0" t="n">
        <v>0</v>
      </c>
      <c r="F2306" s="27" t="s">
        <v>1231</v>
      </c>
      <c r="I2306" s="27" t="s">
        <v>138</v>
      </c>
      <c r="L2306" s="0" t="n">
        <v>88</v>
      </c>
      <c r="U2306" s="0" t="n">
        <v>503</v>
      </c>
      <c r="V2306" s="0" t="n">
        <v>2</v>
      </c>
      <c r="W2306" s="27" t="n">
        <f aca="false">MATCH(A2306,DATAS,0)</f>
        <v>1</v>
      </c>
      <c r="X2306" s="27" t="n">
        <f aca="false">IF(AND(E2306&gt;0,OR(AND(B2306&gt;=1,B2306&lt;=6),B2306=10)),1,0)</f>
        <v>0</v>
      </c>
      <c r="Y2306" s="27" t="n">
        <f aca="false">IF(AND(E2306&gt;0,B2306=10),1,0)</f>
        <v>0</v>
      </c>
      <c r="Z2306" s="0" t="str">
        <f aca="false">IF(AND(C2305=C2306,W2305=W2306-1),X2305,"")</f>
        <v/>
      </c>
      <c r="AA2306" s="0" t="str">
        <f aca="false">IF(AND(C2305=C2306,W2305=W2306-1),Y2305,"")</f>
        <v/>
      </c>
      <c r="AB2306" s="0" t="str">
        <f aca="false">IF(W2306=1,"",IF(AND(X2306=1,Z2306&lt;&gt;1),1,0))</f>
        <v/>
      </c>
      <c r="AC2306" s="0" t="str">
        <f aca="false">IF(W2306=1,"",IF(AND(Y2306=1,AA2306&lt;&gt;1),1,0))</f>
        <v/>
      </c>
      <c r="AD2306" s="33" t="str">
        <f aca="false">IF(AND(E2306&gt;0,W2306&lt;1,NOT(AND(C2307=C2306,W2307=W2306+1))),INDEX(DATAS,W2306+1),"")</f>
        <v/>
      </c>
      <c r="AE2306" s="33" t="str">
        <f aca="false">IF(AND(Y2306=1,W2306&lt;1),IF(AND(C2307=C2306,W2307=W2306+1),IF(Y2307=1,"",INDEX(DATAS,W2306+1)),INDEX(DATAS,W2306+1)),"")</f>
        <v/>
      </c>
    </row>
    <row r="2307" customFormat="false" ht="15" hidden="false" customHeight="false" outlineLevel="0" collapsed="false">
      <c r="A2307" s="33" t="n">
        <v>46309</v>
      </c>
      <c r="B2307" s="0" t="n">
        <v>11</v>
      </c>
      <c r="C2307" s="0" t="n">
        <v>6599</v>
      </c>
      <c r="E2307" s="0" t="n">
        <v>0</v>
      </c>
      <c r="F2307" s="27" t="s">
        <v>1231</v>
      </c>
      <c r="I2307" s="27" t="s">
        <v>168</v>
      </c>
      <c r="U2307" s="0" t="n">
        <v>503</v>
      </c>
      <c r="V2307" s="0" t="n">
        <v>4</v>
      </c>
      <c r="W2307" s="27" t="n">
        <f aca="false">MATCH(A2307,DATAS,0)</f>
        <v>1</v>
      </c>
      <c r="X2307" s="27" t="n">
        <f aca="false">IF(AND(E2307&gt;0,OR(AND(B2307&gt;=1,B2307&lt;=6),B2307=10)),1,0)</f>
        <v>0</v>
      </c>
      <c r="Y2307" s="27" t="n">
        <f aca="false">IF(AND(E2307&gt;0,B2307=10),1,0)</f>
        <v>0</v>
      </c>
      <c r="Z2307" s="0" t="str">
        <f aca="false">IF(AND(C2306=C2307,W2306=W2307-1),X2306,"")</f>
        <v/>
      </c>
      <c r="AA2307" s="0" t="str">
        <f aca="false">IF(AND(C2306=C2307,W2306=W2307-1),Y2306,"")</f>
        <v/>
      </c>
      <c r="AB2307" s="0" t="str">
        <f aca="false">IF(W2307=1,"",IF(AND(X2307=1,Z2307&lt;&gt;1),1,0))</f>
        <v/>
      </c>
      <c r="AC2307" s="0" t="str">
        <f aca="false">IF(W2307=1,"",IF(AND(Y2307=1,AA2307&lt;&gt;1),1,0))</f>
        <v/>
      </c>
      <c r="AD2307" s="33" t="str">
        <f aca="false">IF(AND(E2307&gt;0,W2307&lt;1,NOT(AND(C2308=C2307,W2308=W2307+1))),INDEX(DATAS,W2307+1),"")</f>
        <v/>
      </c>
      <c r="AE2307" s="33" t="str">
        <f aca="false">IF(AND(Y2307=1,W2307&lt;1),IF(AND(C2308=C2307,W2308=W2307+1),IF(Y2308=1,"",INDEX(DATAS,W2307+1)),INDEX(DATAS,W2307+1)),"")</f>
        <v/>
      </c>
    </row>
    <row r="2308" customFormat="false" ht="15" hidden="false" customHeight="false" outlineLevel="0" collapsed="false">
      <c r="A2308" s="33" t="n">
        <v>46309</v>
      </c>
      <c r="B2308" s="0" t="n">
        <v>8</v>
      </c>
      <c r="C2308" s="0" t="n">
        <v>6600</v>
      </c>
      <c r="E2308" s="0" t="n">
        <v>0</v>
      </c>
      <c r="F2308" s="27" t="s">
        <v>1232</v>
      </c>
      <c r="I2308" s="27" t="s">
        <v>138</v>
      </c>
      <c r="L2308" s="0" t="n">
        <v>70</v>
      </c>
      <c r="U2308" s="0" t="n">
        <v>502</v>
      </c>
      <c r="V2308" s="0" t="n">
        <v>2</v>
      </c>
      <c r="W2308" s="27" t="n">
        <f aca="false">MATCH(A2308,DATAS,0)</f>
        <v>1</v>
      </c>
      <c r="X2308" s="27" t="n">
        <f aca="false">IF(AND(E2308&gt;0,OR(AND(B2308&gt;=1,B2308&lt;=6),B2308=10)),1,0)</f>
        <v>0</v>
      </c>
      <c r="Y2308" s="27" t="n">
        <f aca="false">IF(AND(E2308&gt;0,B2308=10),1,0)</f>
        <v>0</v>
      </c>
      <c r="Z2308" s="0" t="str">
        <f aca="false">IF(AND(C2307=C2308,W2307=W2308-1),X2307,"")</f>
        <v/>
      </c>
      <c r="AA2308" s="0" t="str">
        <f aca="false">IF(AND(C2307=C2308,W2307=W2308-1),Y2307,"")</f>
        <v/>
      </c>
      <c r="AB2308" s="0" t="str">
        <f aca="false">IF(W2308=1,"",IF(AND(X2308=1,Z2308&lt;&gt;1),1,0))</f>
        <v/>
      </c>
      <c r="AC2308" s="0" t="str">
        <f aca="false">IF(W2308=1,"",IF(AND(Y2308=1,AA2308&lt;&gt;1),1,0))</f>
        <v/>
      </c>
      <c r="AD2308" s="33" t="str">
        <f aca="false">IF(AND(E2308&gt;0,W2308&lt;1,NOT(AND(C2309=C2308,W2309=W2308+1))),INDEX(DATAS,W2308+1),"")</f>
        <v/>
      </c>
      <c r="AE2308" s="33" t="str">
        <f aca="false">IF(AND(Y2308=1,W2308&lt;1),IF(AND(C2309=C2308,W2309=W2308+1),IF(Y2309=1,"",INDEX(DATAS,W2308+1)),INDEX(DATAS,W2308+1)),"")</f>
        <v/>
      </c>
    </row>
    <row r="2309" customFormat="false" ht="15" hidden="false" customHeight="false" outlineLevel="0" collapsed="false">
      <c r="A2309" s="33" t="n">
        <v>46309</v>
      </c>
      <c r="B2309" s="0" t="n">
        <v>8</v>
      </c>
      <c r="C2309" s="0" t="n">
        <v>6601</v>
      </c>
      <c r="E2309" s="0" t="n">
        <v>0</v>
      </c>
      <c r="F2309" s="27" t="s">
        <v>1232</v>
      </c>
      <c r="I2309" s="27" t="s">
        <v>138</v>
      </c>
      <c r="L2309" s="0" t="n">
        <v>103</v>
      </c>
      <c r="U2309" s="0" t="n">
        <v>502</v>
      </c>
      <c r="V2309" s="0" t="n">
        <v>1</v>
      </c>
      <c r="W2309" s="27" t="n">
        <f aca="false">MATCH(A2309,DATAS,0)</f>
        <v>1</v>
      </c>
      <c r="X2309" s="27" t="n">
        <f aca="false">IF(AND(E2309&gt;0,OR(AND(B2309&gt;=1,B2309&lt;=6),B2309=10)),1,0)</f>
        <v>0</v>
      </c>
      <c r="Y2309" s="27" t="n">
        <f aca="false">IF(AND(E2309&gt;0,B2309=10),1,0)</f>
        <v>0</v>
      </c>
      <c r="Z2309" s="0" t="str">
        <f aca="false">IF(AND(C2308=C2309,W2308=W2309-1),X2308,"")</f>
        <v/>
      </c>
      <c r="AA2309" s="0" t="str">
        <f aca="false">IF(AND(C2308=C2309,W2308=W2309-1),Y2308,"")</f>
        <v/>
      </c>
      <c r="AB2309" s="0" t="str">
        <f aca="false">IF(W2309=1,"",IF(AND(X2309=1,Z2309&lt;&gt;1),1,0))</f>
        <v/>
      </c>
      <c r="AC2309" s="0" t="str">
        <f aca="false">IF(W2309=1,"",IF(AND(Y2309=1,AA2309&lt;&gt;1),1,0))</f>
        <v/>
      </c>
      <c r="AD2309" s="33" t="str">
        <f aca="false">IF(AND(E2309&gt;0,W2309&lt;1,NOT(AND(C2310=C2309,W2310=W2309+1))),INDEX(DATAS,W2309+1),"")</f>
        <v/>
      </c>
      <c r="AE2309" s="33" t="str">
        <f aca="false">IF(AND(Y2309=1,W2309&lt;1),IF(AND(C2310=C2309,W2310=W2309+1),IF(Y2310=1,"",INDEX(DATAS,W2309+1)),INDEX(DATAS,W2309+1)),"")</f>
        <v/>
      </c>
    </row>
    <row r="2310" customFormat="false" ht="15" hidden="false" customHeight="false" outlineLevel="0" collapsed="false">
      <c r="A2310" s="33" t="n">
        <v>46309</v>
      </c>
      <c r="B2310" s="0" t="n">
        <v>8</v>
      </c>
      <c r="C2310" s="0" t="n">
        <v>6602</v>
      </c>
      <c r="E2310" s="0" t="n">
        <v>0</v>
      </c>
      <c r="F2310" s="27" t="s">
        <v>1232</v>
      </c>
      <c r="I2310" s="27" t="s">
        <v>138</v>
      </c>
      <c r="L2310" s="0" t="n">
        <v>89</v>
      </c>
      <c r="U2310" s="0" t="n">
        <v>502</v>
      </c>
      <c r="V2310" s="0" t="n">
        <v>1</v>
      </c>
      <c r="W2310" s="27" t="n">
        <f aca="false">MATCH(A2310,DATAS,0)</f>
        <v>1</v>
      </c>
      <c r="X2310" s="27" t="n">
        <f aca="false">IF(AND(E2310&gt;0,OR(AND(B2310&gt;=1,B2310&lt;=6),B2310=10)),1,0)</f>
        <v>0</v>
      </c>
      <c r="Y2310" s="27" t="n">
        <f aca="false">IF(AND(E2310&gt;0,B2310=10),1,0)</f>
        <v>0</v>
      </c>
      <c r="Z2310" s="0" t="str">
        <f aca="false">IF(AND(C2309=C2310,W2309=W2310-1),X2309,"")</f>
        <v/>
      </c>
      <c r="AA2310" s="0" t="str">
        <f aca="false">IF(AND(C2309=C2310,W2309=W2310-1),Y2309,"")</f>
        <v/>
      </c>
      <c r="AB2310" s="0" t="str">
        <f aca="false">IF(W2310=1,"",IF(AND(X2310=1,Z2310&lt;&gt;1),1,0))</f>
        <v/>
      </c>
      <c r="AC2310" s="0" t="str">
        <f aca="false">IF(W2310=1,"",IF(AND(Y2310=1,AA2310&lt;&gt;1),1,0))</f>
        <v/>
      </c>
      <c r="AD2310" s="33" t="str">
        <f aca="false">IF(AND(E2310&gt;0,W2310&lt;1,NOT(AND(C2311=C2310,W2311=W2310+1))),INDEX(DATAS,W2310+1),"")</f>
        <v/>
      </c>
      <c r="AE2310" s="33" t="str">
        <f aca="false">IF(AND(Y2310=1,W2310&lt;1),IF(AND(C2311=C2310,W2311=W2310+1),IF(Y2311=1,"",INDEX(DATAS,W2310+1)),INDEX(DATAS,W2310+1)),"")</f>
        <v/>
      </c>
    </row>
    <row r="2311" customFormat="false" ht="15" hidden="false" customHeight="false" outlineLevel="0" collapsed="false">
      <c r="A2311" s="33" t="n">
        <v>46309</v>
      </c>
      <c r="B2311" s="0" t="n">
        <v>8</v>
      </c>
      <c r="C2311" s="0" t="n">
        <v>6603</v>
      </c>
      <c r="E2311" s="0" t="n">
        <v>0</v>
      </c>
      <c r="F2311" s="27" t="s">
        <v>1232</v>
      </c>
      <c r="I2311" s="27" t="s">
        <v>138</v>
      </c>
      <c r="L2311" s="0" t="n">
        <v>104</v>
      </c>
      <c r="U2311" s="0" t="n">
        <v>502</v>
      </c>
      <c r="V2311" s="0" t="n">
        <v>1</v>
      </c>
      <c r="W2311" s="27" t="n">
        <f aca="false">MATCH(A2311,DATAS,0)</f>
        <v>1</v>
      </c>
      <c r="X2311" s="27" t="n">
        <f aca="false">IF(AND(E2311&gt;0,OR(AND(B2311&gt;=1,B2311&lt;=6),B2311=10)),1,0)</f>
        <v>0</v>
      </c>
      <c r="Y2311" s="27" t="n">
        <f aca="false">IF(AND(E2311&gt;0,B2311=10),1,0)</f>
        <v>0</v>
      </c>
      <c r="Z2311" s="0" t="str">
        <f aca="false">IF(AND(C2310=C2311,W2310=W2311-1),X2310,"")</f>
        <v/>
      </c>
      <c r="AA2311" s="0" t="str">
        <f aca="false">IF(AND(C2310=C2311,W2310=W2311-1),Y2310,"")</f>
        <v/>
      </c>
      <c r="AB2311" s="0" t="str">
        <f aca="false">IF(W2311=1,"",IF(AND(X2311=1,Z2311&lt;&gt;1),1,0))</f>
        <v/>
      </c>
      <c r="AC2311" s="0" t="str">
        <f aca="false">IF(W2311=1,"",IF(AND(Y2311=1,AA2311&lt;&gt;1),1,0))</f>
        <v/>
      </c>
      <c r="AD2311" s="33" t="str">
        <f aca="false">IF(AND(E2311&gt;0,W2311&lt;1,NOT(AND(C2312=C2311,W2312=W2311+1))),INDEX(DATAS,W2311+1),"")</f>
        <v/>
      </c>
      <c r="AE2311" s="33" t="str">
        <f aca="false">IF(AND(Y2311=1,W2311&lt;1),IF(AND(C2312=C2311,W2312=W2311+1),IF(Y2312=1,"",INDEX(DATAS,W2311+1)),INDEX(DATAS,W2311+1)),"")</f>
        <v/>
      </c>
    </row>
    <row r="2312" customFormat="false" ht="15" hidden="false" customHeight="false" outlineLevel="0" collapsed="false">
      <c r="A2312" s="33" t="n">
        <v>46309</v>
      </c>
      <c r="B2312" s="0" t="n">
        <v>8</v>
      </c>
      <c r="C2312" s="0" t="n">
        <v>6604</v>
      </c>
      <c r="E2312" s="0" t="n">
        <v>0</v>
      </c>
      <c r="F2312" s="27" t="s">
        <v>1232</v>
      </c>
      <c r="I2312" s="27" t="s">
        <v>138</v>
      </c>
      <c r="L2312" s="0" t="n">
        <v>70</v>
      </c>
      <c r="U2312" s="0" t="n">
        <v>502</v>
      </c>
      <c r="V2312" s="0" t="n">
        <v>1</v>
      </c>
      <c r="W2312" s="27" t="n">
        <f aca="false">MATCH(A2312,DATAS,0)</f>
        <v>1</v>
      </c>
      <c r="X2312" s="27" t="n">
        <f aca="false">IF(AND(E2312&gt;0,OR(AND(B2312&gt;=1,B2312&lt;=6),B2312=10)),1,0)</f>
        <v>0</v>
      </c>
      <c r="Y2312" s="27" t="n">
        <f aca="false">IF(AND(E2312&gt;0,B2312=10),1,0)</f>
        <v>0</v>
      </c>
      <c r="Z2312" s="0" t="str">
        <f aca="false">IF(AND(C2311=C2312,W2311=W2312-1),X2311,"")</f>
        <v/>
      </c>
      <c r="AA2312" s="0" t="str">
        <f aca="false">IF(AND(C2311=C2312,W2311=W2312-1),Y2311,"")</f>
        <v/>
      </c>
      <c r="AB2312" s="0" t="str">
        <f aca="false">IF(W2312=1,"",IF(AND(X2312=1,Z2312&lt;&gt;1),1,0))</f>
        <v/>
      </c>
      <c r="AC2312" s="0" t="str">
        <f aca="false">IF(W2312=1,"",IF(AND(Y2312=1,AA2312&lt;&gt;1),1,0))</f>
        <v/>
      </c>
      <c r="AD2312" s="33" t="str">
        <f aca="false">IF(AND(E2312&gt;0,W2312&lt;1,NOT(AND(C2313=C2312,W2313=W2312+1))),INDEX(DATAS,W2312+1),"")</f>
        <v/>
      </c>
      <c r="AE2312" s="33" t="str">
        <f aca="false">IF(AND(Y2312=1,W2312&lt;1),IF(AND(C2313=C2312,W2313=W2312+1),IF(Y2313=1,"",INDEX(DATAS,W2312+1)),INDEX(DATAS,W2312+1)),"")</f>
        <v/>
      </c>
    </row>
    <row r="2313" customFormat="false" ht="15" hidden="false" customHeight="false" outlineLevel="0" collapsed="false">
      <c r="A2313" s="33" t="n">
        <v>46309</v>
      </c>
      <c r="B2313" s="0" t="n">
        <v>8</v>
      </c>
      <c r="C2313" s="0" t="n">
        <v>6605</v>
      </c>
      <c r="E2313" s="0" t="n">
        <v>0</v>
      </c>
      <c r="F2313" s="27" t="s">
        <v>1232</v>
      </c>
      <c r="I2313" s="27" t="s">
        <v>138</v>
      </c>
      <c r="L2313" s="0" t="n">
        <v>81</v>
      </c>
      <c r="U2313" s="0" t="n">
        <v>502</v>
      </c>
      <c r="V2313" s="0" t="n">
        <v>2</v>
      </c>
      <c r="W2313" s="27" t="n">
        <f aca="false">MATCH(A2313,DATAS,0)</f>
        <v>1</v>
      </c>
      <c r="X2313" s="27" t="n">
        <f aca="false">IF(AND(E2313&gt;0,OR(AND(B2313&gt;=1,B2313&lt;=6),B2313=10)),1,0)</f>
        <v>0</v>
      </c>
      <c r="Y2313" s="27" t="n">
        <f aca="false">IF(AND(E2313&gt;0,B2313=10),1,0)</f>
        <v>0</v>
      </c>
      <c r="Z2313" s="0" t="str">
        <f aca="false">IF(AND(C2312=C2313,W2312=W2313-1),X2312,"")</f>
        <v/>
      </c>
      <c r="AA2313" s="0" t="str">
        <f aca="false">IF(AND(C2312=C2313,W2312=W2313-1),Y2312,"")</f>
        <v/>
      </c>
      <c r="AB2313" s="0" t="str">
        <f aca="false">IF(W2313=1,"",IF(AND(X2313=1,Z2313&lt;&gt;1),1,0))</f>
        <v/>
      </c>
      <c r="AC2313" s="0" t="str">
        <f aca="false">IF(W2313=1,"",IF(AND(Y2313=1,AA2313&lt;&gt;1),1,0))</f>
        <v/>
      </c>
      <c r="AD2313" s="33" t="str">
        <f aca="false">IF(AND(E2313&gt;0,W2313&lt;1,NOT(AND(C2314=C2313,W2314=W2313+1))),INDEX(DATAS,W2313+1),"")</f>
        <v/>
      </c>
      <c r="AE2313" s="33" t="str">
        <f aca="false">IF(AND(Y2313=1,W2313&lt;1),IF(AND(C2314=C2313,W2314=W2313+1),IF(Y2314=1,"",INDEX(DATAS,W2313+1)),INDEX(DATAS,W2313+1)),"")</f>
        <v/>
      </c>
    </row>
    <row r="2314" customFormat="false" ht="15" hidden="false" customHeight="false" outlineLevel="0" collapsed="false">
      <c r="A2314" s="33" t="n">
        <v>46309</v>
      </c>
      <c r="B2314" s="0" t="n">
        <v>8</v>
      </c>
      <c r="C2314" s="0" t="n">
        <v>6607</v>
      </c>
      <c r="E2314" s="0" t="n">
        <v>0</v>
      </c>
      <c r="F2314" s="27" t="s">
        <v>1233</v>
      </c>
      <c r="I2314" s="27" t="s">
        <v>138</v>
      </c>
      <c r="L2314" s="0" t="n">
        <v>106</v>
      </c>
      <c r="U2314" s="0" t="n">
        <v>501</v>
      </c>
      <c r="V2314" s="0" t="n">
        <v>1</v>
      </c>
      <c r="W2314" s="27" t="n">
        <f aca="false">MATCH(A2314,DATAS,0)</f>
        <v>1</v>
      </c>
      <c r="X2314" s="27" t="n">
        <f aca="false">IF(AND(E2314&gt;0,OR(AND(B2314&gt;=1,B2314&lt;=6),B2314=10)),1,0)</f>
        <v>0</v>
      </c>
      <c r="Y2314" s="27" t="n">
        <f aca="false">IF(AND(E2314&gt;0,B2314=10),1,0)</f>
        <v>0</v>
      </c>
      <c r="Z2314" s="0" t="str">
        <f aca="false">IF(AND(C2313=C2314,W2313=W2314-1),X2313,"")</f>
        <v/>
      </c>
      <c r="AA2314" s="0" t="str">
        <f aca="false">IF(AND(C2313=C2314,W2313=W2314-1),Y2313,"")</f>
        <v/>
      </c>
      <c r="AB2314" s="0" t="str">
        <f aca="false">IF(W2314=1,"",IF(AND(X2314=1,Z2314&lt;&gt;1),1,0))</f>
        <v/>
      </c>
      <c r="AC2314" s="0" t="str">
        <f aca="false">IF(W2314=1,"",IF(AND(Y2314=1,AA2314&lt;&gt;1),1,0))</f>
        <v/>
      </c>
      <c r="AD2314" s="33" t="str">
        <f aca="false">IF(AND(E2314&gt;0,W2314&lt;1,NOT(AND(C2315=C2314,W2315=W2314+1))),INDEX(DATAS,W2314+1),"")</f>
        <v/>
      </c>
      <c r="AE2314" s="33" t="str">
        <f aca="false">IF(AND(Y2314=1,W2314&lt;1),IF(AND(C2315=C2314,W2315=W2314+1),IF(Y2315=1,"",INDEX(DATAS,W2314+1)),INDEX(DATAS,W2314+1)),"")</f>
        <v/>
      </c>
    </row>
    <row r="2315" customFormat="false" ht="15" hidden="false" customHeight="false" outlineLevel="0" collapsed="false">
      <c r="A2315" s="33" t="n">
        <v>46309</v>
      </c>
      <c r="B2315" s="0" t="n">
        <v>8</v>
      </c>
      <c r="C2315" s="0" t="n">
        <v>6608</v>
      </c>
      <c r="E2315" s="0" t="n">
        <v>0</v>
      </c>
      <c r="F2315" s="27" t="s">
        <v>1234</v>
      </c>
      <c r="I2315" s="27" t="s">
        <v>138</v>
      </c>
      <c r="L2315" s="0" t="n">
        <v>72</v>
      </c>
      <c r="U2315" s="0" t="n">
        <v>500</v>
      </c>
      <c r="V2315" s="0" t="n">
        <v>1</v>
      </c>
      <c r="W2315" s="27" t="n">
        <f aca="false">MATCH(A2315,DATAS,0)</f>
        <v>1</v>
      </c>
      <c r="X2315" s="27" t="n">
        <f aca="false">IF(AND(E2315&gt;0,OR(AND(B2315&gt;=1,B2315&lt;=6),B2315=10)),1,0)</f>
        <v>0</v>
      </c>
      <c r="Y2315" s="27" t="n">
        <f aca="false">IF(AND(E2315&gt;0,B2315=10),1,0)</f>
        <v>0</v>
      </c>
      <c r="Z2315" s="0" t="str">
        <f aca="false">IF(AND(C2314=C2315,W2314=W2315-1),X2314,"")</f>
        <v/>
      </c>
      <c r="AA2315" s="0" t="str">
        <f aca="false">IF(AND(C2314=C2315,W2314=W2315-1),Y2314,"")</f>
        <v/>
      </c>
      <c r="AB2315" s="0" t="str">
        <f aca="false">IF(W2315=1,"",IF(AND(X2315=1,Z2315&lt;&gt;1),1,0))</f>
        <v/>
      </c>
      <c r="AC2315" s="0" t="str">
        <f aca="false">IF(W2315=1,"",IF(AND(Y2315=1,AA2315&lt;&gt;1),1,0))</f>
        <v/>
      </c>
      <c r="AD2315" s="33" t="str">
        <f aca="false">IF(AND(E2315&gt;0,W2315&lt;1,NOT(AND(C2316=C2315,W2316=W2315+1))),INDEX(DATAS,W2315+1),"")</f>
        <v/>
      </c>
      <c r="AE2315" s="33" t="str">
        <f aca="false">IF(AND(Y2315=1,W2315&lt;1),IF(AND(C2316=C2315,W2316=W2315+1),IF(Y2316=1,"",INDEX(DATAS,W2315+1)),INDEX(DATAS,W2315+1)),"")</f>
        <v/>
      </c>
    </row>
    <row r="2316" customFormat="false" ht="15" hidden="false" customHeight="false" outlineLevel="0" collapsed="false">
      <c r="A2316" s="33" t="n">
        <v>46309</v>
      </c>
      <c r="B2316" s="0" t="n">
        <v>8</v>
      </c>
      <c r="C2316" s="0" t="n">
        <v>6609</v>
      </c>
      <c r="E2316" s="0" t="n">
        <v>0</v>
      </c>
      <c r="F2316" s="27" t="s">
        <v>1233</v>
      </c>
      <c r="I2316" s="27" t="s">
        <v>138</v>
      </c>
      <c r="L2316" s="0" t="n">
        <v>103</v>
      </c>
      <c r="U2316" s="0" t="n">
        <v>501</v>
      </c>
      <c r="V2316" s="0" t="n">
        <v>1</v>
      </c>
      <c r="W2316" s="27" t="n">
        <f aca="false">MATCH(A2316,DATAS,0)</f>
        <v>1</v>
      </c>
      <c r="X2316" s="27" t="n">
        <f aca="false">IF(AND(E2316&gt;0,OR(AND(B2316&gt;=1,B2316&lt;=6),B2316=10)),1,0)</f>
        <v>0</v>
      </c>
      <c r="Y2316" s="27" t="n">
        <f aca="false">IF(AND(E2316&gt;0,B2316=10),1,0)</f>
        <v>0</v>
      </c>
      <c r="Z2316" s="0" t="str">
        <f aca="false">IF(AND(C2315=C2316,W2315=W2316-1),X2315,"")</f>
        <v/>
      </c>
      <c r="AA2316" s="0" t="str">
        <f aca="false">IF(AND(C2315=C2316,W2315=W2316-1),Y2315,"")</f>
        <v/>
      </c>
      <c r="AB2316" s="0" t="str">
        <f aca="false">IF(W2316=1,"",IF(AND(X2316=1,Z2316&lt;&gt;1),1,0))</f>
        <v/>
      </c>
      <c r="AC2316" s="0" t="str">
        <f aca="false">IF(W2316=1,"",IF(AND(Y2316=1,AA2316&lt;&gt;1),1,0))</f>
        <v/>
      </c>
      <c r="AD2316" s="33" t="str">
        <f aca="false">IF(AND(E2316&gt;0,W2316&lt;1,NOT(AND(C2317=C2316,W2317=W2316+1))),INDEX(DATAS,W2316+1),"")</f>
        <v/>
      </c>
      <c r="AE2316" s="33" t="str">
        <f aca="false">IF(AND(Y2316=1,W2316&lt;1),IF(AND(C2317=C2316,W2317=W2316+1),IF(Y2317=1,"",INDEX(DATAS,W2316+1)),INDEX(DATAS,W2316+1)),"")</f>
        <v/>
      </c>
    </row>
    <row r="2317" customFormat="false" ht="15" hidden="false" customHeight="false" outlineLevel="0" collapsed="false">
      <c r="A2317" s="33" t="n">
        <v>46309</v>
      </c>
      <c r="B2317" s="0" t="n">
        <v>8</v>
      </c>
      <c r="C2317" s="0" t="n">
        <v>6611</v>
      </c>
      <c r="E2317" s="0" t="n">
        <v>0</v>
      </c>
      <c r="F2317" s="27" t="s">
        <v>1233</v>
      </c>
      <c r="I2317" s="27" t="s">
        <v>138</v>
      </c>
      <c r="L2317" s="0" t="n">
        <v>72</v>
      </c>
      <c r="U2317" s="0" t="n">
        <v>501</v>
      </c>
      <c r="V2317" s="0" t="n">
        <v>2</v>
      </c>
      <c r="W2317" s="27" t="n">
        <f aca="false">MATCH(A2317,DATAS,0)</f>
        <v>1</v>
      </c>
      <c r="X2317" s="27" t="n">
        <f aca="false">IF(AND(E2317&gt;0,OR(AND(B2317&gt;=1,B2317&lt;=6),B2317=10)),1,0)</f>
        <v>0</v>
      </c>
      <c r="Y2317" s="27" t="n">
        <f aca="false">IF(AND(E2317&gt;0,B2317=10),1,0)</f>
        <v>0</v>
      </c>
      <c r="Z2317" s="0" t="str">
        <f aca="false">IF(AND(C2316=C2317,W2316=W2317-1),X2316,"")</f>
        <v/>
      </c>
      <c r="AA2317" s="0" t="str">
        <f aca="false">IF(AND(C2316=C2317,W2316=W2317-1),Y2316,"")</f>
        <v/>
      </c>
      <c r="AB2317" s="0" t="str">
        <f aca="false">IF(W2317=1,"",IF(AND(X2317=1,Z2317&lt;&gt;1),1,0))</f>
        <v/>
      </c>
      <c r="AC2317" s="0" t="str">
        <f aca="false">IF(W2317=1,"",IF(AND(Y2317=1,AA2317&lt;&gt;1),1,0))</f>
        <v/>
      </c>
      <c r="AD2317" s="33" t="str">
        <f aca="false">IF(AND(E2317&gt;0,W2317&lt;1,NOT(AND(C2318=C2317,W2318=W2317+1))),INDEX(DATAS,W2317+1),"")</f>
        <v/>
      </c>
      <c r="AE2317" s="33" t="str">
        <f aca="false">IF(AND(Y2317=1,W2317&lt;1),IF(AND(C2318=C2317,W2318=W2317+1),IF(Y2318=1,"",INDEX(DATAS,W2317+1)),INDEX(DATAS,W2317+1)),"")</f>
        <v/>
      </c>
    </row>
    <row r="2318" customFormat="false" ht="15" hidden="false" customHeight="false" outlineLevel="0" collapsed="false">
      <c r="A2318" s="33" t="n">
        <v>46309</v>
      </c>
      <c r="B2318" s="0" t="n">
        <v>8</v>
      </c>
      <c r="C2318" s="0" t="n">
        <v>6613</v>
      </c>
      <c r="E2318" s="0" t="n">
        <v>0</v>
      </c>
      <c r="F2318" s="27" t="s">
        <v>1235</v>
      </c>
      <c r="I2318" s="27" t="s">
        <v>138</v>
      </c>
      <c r="L2318" s="0" t="n">
        <v>63</v>
      </c>
      <c r="U2318" s="0" t="n">
        <v>499</v>
      </c>
      <c r="V2318" s="0" t="n">
        <v>1</v>
      </c>
      <c r="W2318" s="27" t="n">
        <f aca="false">MATCH(A2318,DATAS,0)</f>
        <v>1</v>
      </c>
      <c r="X2318" s="27" t="n">
        <f aca="false">IF(AND(E2318&gt;0,OR(AND(B2318&gt;=1,B2318&lt;=6),B2318=10)),1,0)</f>
        <v>0</v>
      </c>
      <c r="Y2318" s="27" t="n">
        <f aca="false">IF(AND(E2318&gt;0,B2318=10),1,0)</f>
        <v>0</v>
      </c>
      <c r="Z2318" s="0" t="str">
        <f aca="false">IF(AND(C2317=C2318,W2317=W2318-1),X2317,"")</f>
        <v/>
      </c>
      <c r="AA2318" s="0" t="str">
        <f aca="false">IF(AND(C2317=C2318,W2317=W2318-1),Y2317,"")</f>
        <v/>
      </c>
      <c r="AB2318" s="0" t="str">
        <f aca="false">IF(W2318=1,"",IF(AND(X2318=1,Z2318&lt;&gt;1),1,0))</f>
        <v/>
      </c>
      <c r="AC2318" s="0" t="str">
        <f aca="false">IF(W2318=1,"",IF(AND(Y2318=1,AA2318&lt;&gt;1),1,0))</f>
        <v/>
      </c>
      <c r="AD2318" s="33" t="str">
        <f aca="false">IF(AND(E2318&gt;0,W2318&lt;1,NOT(AND(C2319=C2318,W2319=W2318+1))),INDEX(DATAS,W2318+1),"")</f>
        <v/>
      </c>
      <c r="AE2318" s="33" t="str">
        <f aca="false">IF(AND(Y2318=1,W2318&lt;1),IF(AND(C2319=C2318,W2319=W2318+1),IF(Y2319=1,"",INDEX(DATAS,W2318+1)),INDEX(DATAS,W2318+1)),"")</f>
        <v/>
      </c>
    </row>
    <row r="2319" customFormat="false" ht="15" hidden="false" customHeight="false" outlineLevel="0" collapsed="false">
      <c r="A2319" s="33" t="n">
        <v>46309</v>
      </c>
      <c r="B2319" s="0" t="n">
        <v>8</v>
      </c>
      <c r="C2319" s="0" t="n">
        <v>6614</v>
      </c>
      <c r="E2319" s="0" t="n">
        <v>0</v>
      </c>
      <c r="F2319" s="27" t="s">
        <v>1235</v>
      </c>
      <c r="I2319" s="27" t="s">
        <v>138</v>
      </c>
      <c r="L2319" s="0" t="n">
        <v>84</v>
      </c>
      <c r="U2319" s="0" t="n">
        <v>499</v>
      </c>
      <c r="V2319" s="0" t="n">
        <v>1</v>
      </c>
      <c r="W2319" s="27" t="n">
        <f aca="false">MATCH(A2319,DATAS,0)</f>
        <v>1</v>
      </c>
      <c r="X2319" s="27" t="n">
        <f aca="false">IF(AND(E2319&gt;0,OR(AND(B2319&gt;=1,B2319&lt;=6),B2319=10)),1,0)</f>
        <v>0</v>
      </c>
      <c r="Y2319" s="27" t="n">
        <f aca="false">IF(AND(E2319&gt;0,B2319=10),1,0)</f>
        <v>0</v>
      </c>
      <c r="Z2319" s="0" t="str">
        <f aca="false">IF(AND(C2318=C2319,W2318=W2319-1),X2318,"")</f>
        <v/>
      </c>
      <c r="AA2319" s="0" t="str">
        <f aca="false">IF(AND(C2318=C2319,W2318=W2319-1),Y2318,"")</f>
        <v/>
      </c>
      <c r="AB2319" s="0" t="str">
        <f aca="false">IF(W2319=1,"",IF(AND(X2319=1,Z2319&lt;&gt;1),1,0))</f>
        <v/>
      </c>
      <c r="AC2319" s="0" t="str">
        <f aca="false">IF(W2319=1,"",IF(AND(Y2319=1,AA2319&lt;&gt;1),1,0))</f>
        <v/>
      </c>
      <c r="AD2319" s="33" t="str">
        <f aca="false">IF(AND(E2319&gt;0,W2319&lt;1,NOT(AND(C2320=C2319,W2320=W2319+1))),INDEX(DATAS,W2319+1),"")</f>
        <v/>
      </c>
      <c r="AE2319" s="33" t="str">
        <f aca="false">IF(AND(Y2319=1,W2319&lt;1),IF(AND(C2320=C2319,W2320=W2319+1),IF(Y2320=1,"",INDEX(DATAS,W2319+1)),INDEX(DATAS,W2319+1)),"")</f>
        <v/>
      </c>
    </row>
    <row r="2320" customFormat="false" ht="15" hidden="false" customHeight="false" outlineLevel="0" collapsed="false">
      <c r="A2320" s="33" t="n">
        <v>46309</v>
      </c>
      <c r="B2320" s="0" t="n">
        <v>8</v>
      </c>
      <c r="C2320" s="0" t="n">
        <v>6615</v>
      </c>
      <c r="E2320" s="0" t="n">
        <v>0</v>
      </c>
      <c r="F2320" s="27" t="s">
        <v>1236</v>
      </c>
      <c r="I2320" s="27" t="s">
        <v>138</v>
      </c>
      <c r="L2320" s="0" t="n">
        <v>62</v>
      </c>
      <c r="U2320" s="0" t="n">
        <v>498</v>
      </c>
      <c r="V2320" s="0" t="n">
        <v>1</v>
      </c>
      <c r="W2320" s="27" t="n">
        <f aca="false">MATCH(A2320,DATAS,0)</f>
        <v>1</v>
      </c>
      <c r="X2320" s="27" t="n">
        <f aca="false">IF(AND(E2320&gt;0,OR(AND(B2320&gt;=1,B2320&lt;=6),B2320=10)),1,0)</f>
        <v>0</v>
      </c>
      <c r="Y2320" s="27" t="n">
        <f aca="false">IF(AND(E2320&gt;0,B2320=10),1,0)</f>
        <v>0</v>
      </c>
      <c r="Z2320" s="0" t="str">
        <f aca="false">IF(AND(C2319=C2320,W2319=W2320-1),X2319,"")</f>
        <v/>
      </c>
      <c r="AA2320" s="0" t="str">
        <f aca="false">IF(AND(C2319=C2320,W2319=W2320-1),Y2319,"")</f>
        <v/>
      </c>
      <c r="AB2320" s="0" t="str">
        <f aca="false">IF(W2320=1,"",IF(AND(X2320=1,Z2320&lt;&gt;1),1,0))</f>
        <v/>
      </c>
      <c r="AC2320" s="0" t="str">
        <f aca="false">IF(W2320=1,"",IF(AND(Y2320=1,AA2320&lt;&gt;1),1,0))</f>
        <v/>
      </c>
      <c r="AD2320" s="33" t="str">
        <f aca="false">IF(AND(E2320&gt;0,W2320&lt;1,NOT(AND(C2321=C2320,W2321=W2320+1))),INDEX(DATAS,W2320+1),"")</f>
        <v/>
      </c>
      <c r="AE2320" s="33" t="str">
        <f aca="false">IF(AND(Y2320=1,W2320&lt;1),IF(AND(C2321=C2320,W2321=W2320+1),IF(Y2321=1,"",INDEX(DATAS,W2320+1)),INDEX(DATAS,W2320+1)),"")</f>
        <v/>
      </c>
    </row>
    <row r="2321" customFormat="false" ht="15" hidden="false" customHeight="false" outlineLevel="0" collapsed="false">
      <c r="A2321" s="33" t="n">
        <v>46309</v>
      </c>
      <c r="B2321" s="0" t="n">
        <v>8</v>
      </c>
      <c r="C2321" s="0" t="n">
        <v>6616</v>
      </c>
      <c r="E2321" s="0" t="n">
        <v>0</v>
      </c>
      <c r="F2321" s="27" t="s">
        <v>1236</v>
      </c>
      <c r="I2321" s="27" t="s">
        <v>138</v>
      </c>
      <c r="L2321" s="0" t="n">
        <v>77</v>
      </c>
      <c r="U2321" s="0" t="n">
        <v>498</v>
      </c>
      <c r="V2321" s="0" t="n">
        <v>1</v>
      </c>
      <c r="W2321" s="27" t="n">
        <f aca="false">MATCH(A2321,DATAS,0)</f>
        <v>1</v>
      </c>
      <c r="X2321" s="27" t="n">
        <f aca="false">IF(AND(E2321&gt;0,OR(AND(B2321&gt;=1,B2321&lt;=6),B2321=10)),1,0)</f>
        <v>0</v>
      </c>
      <c r="Y2321" s="27" t="n">
        <f aca="false">IF(AND(E2321&gt;0,B2321=10),1,0)</f>
        <v>0</v>
      </c>
      <c r="Z2321" s="0" t="str">
        <f aca="false">IF(AND(C2320=C2321,W2320=W2321-1),X2320,"")</f>
        <v/>
      </c>
      <c r="AA2321" s="0" t="str">
        <f aca="false">IF(AND(C2320=C2321,W2320=W2321-1),Y2320,"")</f>
        <v/>
      </c>
      <c r="AB2321" s="0" t="str">
        <f aca="false">IF(W2321=1,"",IF(AND(X2321=1,Z2321&lt;&gt;1),1,0))</f>
        <v/>
      </c>
      <c r="AC2321" s="0" t="str">
        <f aca="false">IF(W2321=1,"",IF(AND(Y2321=1,AA2321&lt;&gt;1),1,0))</f>
        <v/>
      </c>
      <c r="AD2321" s="33" t="str">
        <f aca="false">IF(AND(E2321&gt;0,W2321&lt;1,NOT(AND(C2322=C2321,W2322=W2321+1))),INDEX(DATAS,W2321+1),"")</f>
        <v/>
      </c>
      <c r="AE2321" s="33" t="str">
        <f aca="false">IF(AND(Y2321=1,W2321&lt;1),IF(AND(C2322=C2321,W2322=W2321+1),IF(Y2322=1,"",INDEX(DATAS,W2321+1)),INDEX(DATAS,W2321+1)),"")</f>
        <v/>
      </c>
    </row>
    <row r="2322" customFormat="false" ht="15" hidden="false" customHeight="false" outlineLevel="0" collapsed="false">
      <c r="A2322" s="33" t="n">
        <v>46309</v>
      </c>
      <c r="B2322" s="0" t="n">
        <v>8</v>
      </c>
      <c r="C2322" s="0" t="n">
        <v>6617</v>
      </c>
      <c r="E2322" s="0" t="n">
        <v>0</v>
      </c>
      <c r="F2322" s="27" t="s">
        <v>1236</v>
      </c>
      <c r="I2322" s="27" t="s">
        <v>138</v>
      </c>
      <c r="L2322" s="0" t="n">
        <v>98</v>
      </c>
      <c r="U2322" s="0" t="n">
        <v>498</v>
      </c>
      <c r="V2322" s="0" t="n">
        <v>1</v>
      </c>
      <c r="W2322" s="27" t="n">
        <f aca="false">MATCH(A2322,DATAS,0)</f>
        <v>1</v>
      </c>
      <c r="X2322" s="27" t="n">
        <f aca="false">IF(AND(E2322&gt;0,OR(AND(B2322&gt;=1,B2322&lt;=6),B2322=10)),1,0)</f>
        <v>0</v>
      </c>
      <c r="Y2322" s="27" t="n">
        <f aca="false">IF(AND(E2322&gt;0,B2322=10),1,0)</f>
        <v>0</v>
      </c>
      <c r="Z2322" s="0" t="str">
        <f aca="false">IF(AND(C2321=C2322,W2321=W2322-1),X2321,"")</f>
        <v/>
      </c>
      <c r="AA2322" s="0" t="str">
        <f aca="false">IF(AND(C2321=C2322,W2321=W2322-1),Y2321,"")</f>
        <v/>
      </c>
      <c r="AB2322" s="0" t="str">
        <f aca="false">IF(W2322=1,"",IF(AND(X2322=1,Z2322&lt;&gt;1),1,0))</f>
        <v/>
      </c>
      <c r="AC2322" s="0" t="str">
        <f aca="false">IF(W2322=1,"",IF(AND(Y2322=1,AA2322&lt;&gt;1),1,0))</f>
        <v/>
      </c>
      <c r="AD2322" s="33" t="str">
        <f aca="false">IF(AND(E2322&gt;0,W2322&lt;1,NOT(AND(C2323=C2322,W2323=W2322+1))),INDEX(DATAS,W2322+1),"")</f>
        <v/>
      </c>
      <c r="AE2322" s="33" t="str">
        <f aca="false">IF(AND(Y2322=1,W2322&lt;1),IF(AND(C2323=C2322,W2323=W2322+1),IF(Y2323=1,"",INDEX(DATAS,W2322+1)),INDEX(DATAS,W2322+1)),"")</f>
        <v/>
      </c>
    </row>
    <row r="2323" customFormat="false" ht="15" hidden="false" customHeight="false" outlineLevel="0" collapsed="false">
      <c r="A2323" s="33" t="n">
        <v>46309</v>
      </c>
      <c r="B2323" s="0" t="n">
        <v>8</v>
      </c>
      <c r="C2323" s="0" t="n">
        <v>6618</v>
      </c>
      <c r="E2323" s="0" t="n">
        <v>0</v>
      </c>
      <c r="F2323" s="27" t="s">
        <v>1236</v>
      </c>
      <c r="I2323" s="27" t="s">
        <v>138</v>
      </c>
      <c r="L2323" s="0" t="n">
        <v>96</v>
      </c>
      <c r="U2323" s="0" t="n">
        <v>498</v>
      </c>
      <c r="V2323" s="0" t="n">
        <v>1</v>
      </c>
      <c r="W2323" s="27" t="n">
        <f aca="false">MATCH(A2323,DATAS,0)</f>
        <v>1</v>
      </c>
      <c r="X2323" s="27" t="n">
        <f aca="false">IF(AND(E2323&gt;0,OR(AND(B2323&gt;=1,B2323&lt;=6),B2323=10)),1,0)</f>
        <v>0</v>
      </c>
      <c r="Y2323" s="27" t="n">
        <f aca="false">IF(AND(E2323&gt;0,B2323=10),1,0)</f>
        <v>0</v>
      </c>
      <c r="Z2323" s="0" t="str">
        <f aca="false">IF(AND(C2322=C2323,W2322=W2323-1),X2322,"")</f>
        <v/>
      </c>
      <c r="AA2323" s="0" t="str">
        <f aca="false">IF(AND(C2322=C2323,W2322=W2323-1),Y2322,"")</f>
        <v/>
      </c>
      <c r="AB2323" s="0" t="str">
        <f aca="false">IF(W2323=1,"",IF(AND(X2323=1,Z2323&lt;&gt;1),1,0))</f>
        <v/>
      </c>
      <c r="AC2323" s="0" t="str">
        <f aca="false">IF(W2323=1,"",IF(AND(Y2323=1,AA2323&lt;&gt;1),1,0))</f>
        <v/>
      </c>
      <c r="AD2323" s="33" t="str">
        <f aca="false">IF(AND(E2323&gt;0,W2323&lt;1,NOT(AND(C2324=C2323,W2324=W2323+1))),INDEX(DATAS,W2323+1),"")</f>
        <v/>
      </c>
      <c r="AE2323" s="33" t="str">
        <f aca="false">IF(AND(Y2323=1,W2323&lt;1),IF(AND(C2324=C2323,W2324=W2323+1),IF(Y2324=1,"",INDEX(DATAS,W2323+1)),INDEX(DATAS,W2323+1)),"")</f>
        <v/>
      </c>
    </row>
    <row r="2324" customFormat="false" ht="15" hidden="false" customHeight="false" outlineLevel="0" collapsed="false">
      <c r="A2324" s="33" t="n">
        <v>46309</v>
      </c>
      <c r="B2324" s="0" t="n">
        <v>8</v>
      </c>
      <c r="C2324" s="0" t="n">
        <v>6619</v>
      </c>
      <c r="E2324" s="0" t="n">
        <v>0</v>
      </c>
      <c r="F2324" s="27" t="s">
        <v>1237</v>
      </c>
      <c r="I2324" s="27" t="s">
        <v>138</v>
      </c>
      <c r="L2324" s="0" t="n">
        <v>92</v>
      </c>
      <c r="U2324" s="0" t="n">
        <v>496</v>
      </c>
      <c r="V2324" s="0" t="n">
        <v>1</v>
      </c>
      <c r="W2324" s="27" t="n">
        <f aca="false">MATCH(A2324,DATAS,0)</f>
        <v>1</v>
      </c>
      <c r="X2324" s="27" t="n">
        <f aca="false">IF(AND(E2324&gt;0,OR(AND(B2324&gt;=1,B2324&lt;=6),B2324=10)),1,0)</f>
        <v>0</v>
      </c>
      <c r="Y2324" s="27" t="n">
        <f aca="false">IF(AND(E2324&gt;0,B2324=10),1,0)</f>
        <v>0</v>
      </c>
      <c r="Z2324" s="0" t="str">
        <f aca="false">IF(AND(C2323=C2324,W2323=W2324-1),X2323,"")</f>
        <v/>
      </c>
      <c r="AA2324" s="0" t="str">
        <f aca="false">IF(AND(C2323=C2324,W2323=W2324-1),Y2323,"")</f>
        <v/>
      </c>
      <c r="AB2324" s="0" t="str">
        <f aca="false">IF(W2324=1,"",IF(AND(X2324=1,Z2324&lt;&gt;1),1,0))</f>
        <v/>
      </c>
      <c r="AC2324" s="0" t="str">
        <f aca="false">IF(W2324=1,"",IF(AND(Y2324=1,AA2324&lt;&gt;1),1,0))</f>
        <v/>
      </c>
      <c r="AD2324" s="33" t="str">
        <f aca="false">IF(AND(E2324&gt;0,W2324&lt;1,NOT(AND(C2325=C2324,W2325=W2324+1))),INDEX(DATAS,W2324+1),"")</f>
        <v/>
      </c>
      <c r="AE2324" s="33" t="str">
        <f aca="false">IF(AND(Y2324=1,W2324&lt;1),IF(AND(C2325=C2324,W2325=W2324+1),IF(Y2325=1,"",INDEX(DATAS,W2324+1)),INDEX(DATAS,W2324+1)),"")</f>
        <v/>
      </c>
    </row>
    <row r="2325" customFormat="false" ht="15" hidden="false" customHeight="false" outlineLevel="0" collapsed="false">
      <c r="A2325" s="33" t="n">
        <v>46309</v>
      </c>
      <c r="B2325" s="0" t="n">
        <v>8</v>
      </c>
      <c r="C2325" s="0" t="n">
        <v>6620</v>
      </c>
      <c r="E2325" s="0" t="n">
        <v>0</v>
      </c>
      <c r="F2325" s="27" t="s">
        <v>1237</v>
      </c>
      <c r="I2325" s="27" t="s">
        <v>138</v>
      </c>
      <c r="L2325" s="0" t="n">
        <v>85</v>
      </c>
      <c r="U2325" s="0" t="n">
        <v>496</v>
      </c>
      <c r="V2325" s="0" t="n">
        <v>2</v>
      </c>
      <c r="W2325" s="27" t="n">
        <f aca="false">MATCH(A2325,DATAS,0)</f>
        <v>1</v>
      </c>
      <c r="X2325" s="27" t="n">
        <f aca="false">IF(AND(E2325&gt;0,OR(AND(B2325&gt;=1,B2325&lt;=6),B2325=10)),1,0)</f>
        <v>0</v>
      </c>
      <c r="Y2325" s="27" t="n">
        <f aca="false">IF(AND(E2325&gt;0,B2325=10),1,0)</f>
        <v>0</v>
      </c>
      <c r="Z2325" s="0" t="str">
        <f aca="false">IF(AND(C2324=C2325,W2324=W2325-1),X2324,"")</f>
        <v/>
      </c>
      <c r="AA2325" s="0" t="str">
        <f aca="false">IF(AND(C2324=C2325,W2324=W2325-1),Y2324,"")</f>
        <v/>
      </c>
      <c r="AB2325" s="0" t="str">
        <f aca="false">IF(W2325=1,"",IF(AND(X2325=1,Z2325&lt;&gt;1),1,0))</f>
        <v/>
      </c>
      <c r="AC2325" s="0" t="str">
        <f aca="false">IF(W2325=1,"",IF(AND(Y2325=1,AA2325&lt;&gt;1),1,0))</f>
        <v/>
      </c>
      <c r="AD2325" s="33" t="str">
        <f aca="false">IF(AND(E2325&gt;0,W2325&lt;1,NOT(AND(C2326=C2325,W2326=W2325+1))),INDEX(DATAS,W2325+1),"")</f>
        <v/>
      </c>
      <c r="AE2325" s="33" t="str">
        <f aca="false">IF(AND(Y2325=1,W2325&lt;1),IF(AND(C2326=C2325,W2326=W2325+1),IF(Y2326=1,"",INDEX(DATAS,W2325+1)),INDEX(DATAS,W2325+1)),"")</f>
        <v/>
      </c>
    </row>
    <row r="2326" customFormat="false" ht="15" hidden="false" customHeight="false" outlineLevel="0" collapsed="false">
      <c r="A2326" s="33" t="n">
        <v>46309</v>
      </c>
      <c r="B2326" s="0" t="n">
        <v>11</v>
      </c>
      <c r="C2326" s="0" t="n">
        <v>6621</v>
      </c>
      <c r="E2326" s="0" t="n">
        <v>0</v>
      </c>
      <c r="F2326" s="27" t="s">
        <v>1237</v>
      </c>
      <c r="I2326" s="27" t="s">
        <v>168</v>
      </c>
      <c r="U2326" s="0" t="n">
        <v>496</v>
      </c>
      <c r="V2326" s="0" t="n">
        <v>4</v>
      </c>
      <c r="W2326" s="27" t="n">
        <f aca="false">MATCH(A2326,DATAS,0)</f>
        <v>1</v>
      </c>
      <c r="X2326" s="27" t="n">
        <f aca="false">IF(AND(E2326&gt;0,OR(AND(B2326&gt;=1,B2326&lt;=6),B2326=10)),1,0)</f>
        <v>0</v>
      </c>
      <c r="Y2326" s="27" t="n">
        <f aca="false">IF(AND(E2326&gt;0,B2326=10),1,0)</f>
        <v>0</v>
      </c>
      <c r="Z2326" s="0" t="str">
        <f aca="false">IF(AND(C2325=C2326,W2325=W2326-1),X2325,"")</f>
        <v/>
      </c>
      <c r="AA2326" s="0" t="str">
        <f aca="false">IF(AND(C2325=C2326,W2325=W2326-1),Y2325,"")</f>
        <v/>
      </c>
      <c r="AB2326" s="0" t="str">
        <f aca="false">IF(W2326=1,"",IF(AND(X2326=1,Z2326&lt;&gt;1),1,0))</f>
        <v/>
      </c>
      <c r="AC2326" s="0" t="str">
        <f aca="false">IF(W2326=1,"",IF(AND(Y2326=1,AA2326&lt;&gt;1),1,0))</f>
        <v/>
      </c>
      <c r="AD2326" s="33" t="str">
        <f aca="false">IF(AND(E2326&gt;0,W2326&lt;1,NOT(AND(C2327=C2326,W2327=W2326+1))),INDEX(DATAS,W2326+1),"")</f>
        <v/>
      </c>
      <c r="AE2326" s="33" t="str">
        <f aca="false">IF(AND(Y2326=1,W2326&lt;1),IF(AND(C2327=C2326,W2327=W2326+1),IF(Y2327=1,"",INDEX(DATAS,W2326+1)),INDEX(DATAS,W2326+1)),"")</f>
        <v/>
      </c>
    </row>
    <row r="2327" customFormat="false" ht="15" hidden="false" customHeight="false" outlineLevel="0" collapsed="false">
      <c r="A2327" s="33" t="n">
        <v>46309</v>
      </c>
      <c r="B2327" s="0" t="n">
        <v>8</v>
      </c>
      <c r="C2327" s="0" t="n">
        <v>6622</v>
      </c>
      <c r="E2327" s="0" t="n">
        <v>0</v>
      </c>
      <c r="F2327" s="27" t="s">
        <v>1237</v>
      </c>
      <c r="I2327" s="27" t="s">
        <v>138</v>
      </c>
      <c r="L2327" s="0" t="n">
        <v>55</v>
      </c>
      <c r="U2327" s="0" t="n">
        <v>496</v>
      </c>
      <c r="V2327" s="0" t="n">
        <v>2</v>
      </c>
      <c r="W2327" s="27" t="n">
        <f aca="false">MATCH(A2327,DATAS,0)</f>
        <v>1</v>
      </c>
      <c r="X2327" s="27" t="n">
        <f aca="false">IF(AND(E2327&gt;0,OR(AND(B2327&gt;=1,B2327&lt;=6),B2327=10)),1,0)</f>
        <v>0</v>
      </c>
      <c r="Y2327" s="27" t="n">
        <f aca="false">IF(AND(E2327&gt;0,B2327=10),1,0)</f>
        <v>0</v>
      </c>
      <c r="Z2327" s="0" t="str">
        <f aca="false">IF(AND(C2326=C2327,W2326=W2327-1),X2326,"")</f>
        <v/>
      </c>
      <c r="AA2327" s="0" t="str">
        <f aca="false">IF(AND(C2326=C2327,W2326=W2327-1),Y2326,"")</f>
        <v/>
      </c>
      <c r="AB2327" s="0" t="str">
        <f aca="false">IF(W2327=1,"",IF(AND(X2327=1,Z2327&lt;&gt;1),1,0))</f>
        <v/>
      </c>
      <c r="AC2327" s="0" t="str">
        <f aca="false">IF(W2327=1,"",IF(AND(Y2327=1,AA2327&lt;&gt;1),1,0))</f>
        <v/>
      </c>
      <c r="AD2327" s="33" t="str">
        <f aca="false">IF(AND(E2327&gt;0,W2327&lt;1,NOT(AND(C2328=C2327,W2328=W2327+1))),INDEX(DATAS,W2327+1),"")</f>
        <v/>
      </c>
      <c r="AE2327" s="33" t="str">
        <f aca="false">IF(AND(Y2327=1,W2327&lt;1),IF(AND(C2328=C2327,W2328=W2327+1),IF(Y2328=1,"",INDEX(DATAS,W2327+1)),INDEX(DATAS,W2327+1)),"")</f>
        <v/>
      </c>
    </row>
    <row r="2328" customFormat="false" ht="15" hidden="false" customHeight="false" outlineLevel="0" collapsed="false">
      <c r="A2328" s="33" t="n">
        <v>46309</v>
      </c>
      <c r="B2328" s="0" t="n">
        <v>8</v>
      </c>
      <c r="C2328" s="0" t="n">
        <v>6623</v>
      </c>
      <c r="E2328" s="0" t="n">
        <v>0</v>
      </c>
      <c r="F2328" s="27" t="s">
        <v>1237</v>
      </c>
      <c r="I2328" s="27" t="s">
        <v>138</v>
      </c>
      <c r="L2328" s="0" t="n">
        <v>96</v>
      </c>
      <c r="U2328" s="0" t="n">
        <v>496</v>
      </c>
      <c r="V2328" s="0" t="n">
        <v>1</v>
      </c>
      <c r="W2328" s="27" t="n">
        <f aca="false">MATCH(A2328,DATAS,0)</f>
        <v>1</v>
      </c>
      <c r="X2328" s="27" t="n">
        <f aca="false">IF(AND(E2328&gt;0,OR(AND(B2328&gt;=1,B2328&lt;=6),B2328=10)),1,0)</f>
        <v>0</v>
      </c>
      <c r="Y2328" s="27" t="n">
        <f aca="false">IF(AND(E2328&gt;0,B2328=10),1,0)</f>
        <v>0</v>
      </c>
      <c r="Z2328" s="0" t="str">
        <f aca="false">IF(AND(C2327=C2328,W2327=W2328-1),X2327,"")</f>
        <v/>
      </c>
      <c r="AA2328" s="0" t="str">
        <f aca="false">IF(AND(C2327=C2328,W2327=W2328-1),Y2327,"")</f>
        <v/>
      </c>
      <c r="AB2328" s="0" t="str">
        <f aca="false">IF(W2328=1,"",IF(AND(X2328=1,Z2328&lt;&gt;1),1,0))</f>
        <v/>
      </c>
      <c r="AC2328" s="0" t="str">
        <f aca="false">IF(W2328=1,"",IF(AND(Y2328=1,AA2328&lt;&gt;1),1,0))</f>
        <v/>
      </c>
      <c r="AD2328" s="33" t="str">
        <f aca="false">IF(AND(E2328&gt;0,W2328&lt;1,NOT(AND(C2329=C2328,W2329=W2328+1))),INDEX(DATAS,W2328+1),"")</f>
        <v/>
      </c>
      <c r="AE2328" s="33" t="str">
        <f aca="false">IF(AND(Y2328=1,W2328&lt;1),IF(AND(C2329=C2328,W2329=W2328+1),IF(Y2329=1,"",INDEX(DATAS,W2328+1)),INDEX(DATAS,W2328+1)),"")</f>
        <v/>
      </c>
    </row>
    <row r="2329" customFormat="false" ht="15" hidden="false" customHeight="false" outlineLevel="0" collapsed="false">
      <c r="A2329" s="33" t="n">
        <v>46309</v>
      </c>
      <c r="B2329" s="0" t="n">
        <v>8</v>
      </c>
      <c r="C2329" s="0" t="n">
        <v>6625</v>
      </c>
      <c r="E2329" s="0" t="n">
        <v>0</v>
      </c>
      <c r="F2329" s="27" t="s">
        <v>1237</v>
      </c>
      <c r="I2329" s="27" t="s">
        <v>138</v>
      </c>
      <c r="L2329" s="0" t="n">
        <v>92</v>
      </c>
      <c r="U2329" s="0" t="n">
        <v>496</v>
      </c>
      <c r="V2329" s="0" t="n">
        <v>1</v>
      </c>
      <c r="W2329" s="27" t="n">
        <f aca="false">MATCH(A2329,DATAS,0)</f>
        <v>1</v>
      </c>
      <c r="X2329" s="27" t="n">
        <f aca="false">IF(AND(E2329&gt;0,OR(AND(B2329&gt;=1,B2329&lt;=6),B2329=10)),1,0)</f>
        <v>0</v>
      </c>
      <c r="Y2329" s="27" t="n">
        <f aca="false">IF(AND(E2329&gt;0,B2329=10),1,0)</f>
        <v>0</v>
      </c>
      <c r="Z2329" s="0" t="str">
        <f aca="false">IF(AND(C2328=C2329,W2328=W2329-1),X2328,"")</f>
        <v/>
      </c>
      <c r="AA2329" s="0" t="str">
        <f aca="false">IF(AND(C2328=C2329,W2328=W2329-1),Y2328,"")</f>
        <v/>
      </c>
      <c r="AB2329" s="0" t="str">
        <f aca="false">IF(W2329=1,"",IF(AND(X2329=1,Z2329&lt;&gt;1),1,0))</f>
        <v/>
      </c>
      <c r="AC2329" s="0" t="str">
        <f aca="false">IF(W2329=1,"",IF(AND(Y2329=1,AA2329&lt;&gt;1),1,0))</f>
        <v/>
      </c>
      <c r="AD2329" s="33" t="str">
        <f aca="false">IF(AND(E2329&gt;0,W2329&lt;1,NOT(AND(C2330=C2329,W2330=W2329+1))),INDEX(DATAS,W2329+1),"")</f>
        <v/>
      </c>
      <c r="AE2329" s="33" t="str">
        <f aca="false">IF(AND(Y2329=1,W2329&lt;1),IF(AND(C2330=C2329,W2330=W2329+1),IF(Y2330=1,"",INDEX(DATAS,W2329+1)),INDEX(DATAS,W2329+1)),"")</f>
        <v/>
      </c>
    </row>
    <row r="2330" customFormat="false" ht="15" hidden="false" customHeight="false" outlineLevel="0" collapsed="false">
      <c r="A2330" s="33" t="n">
        <v>46309</v>
      </c>
      <c r="B2330" s="0" t="n">
        <v>8</v>
      </c>
      <c r="C2330" s="0" t="n">
        <v>6626</v>
      </c>
      <c r="E2330" s="0" t="n">
        <v>0</v>
      </c>
      <c r="F2330" s="27" t="s">
        <v>1238</v>
      </c>
      <c r="I2330" s="27" t="s">
        <v>138</v>
      </c>
      <c r="L2330" s="0" t="n">
        <v>72</v>
      </c>
      <c r="U2330" s="0" t="n">
        <v>495</v>
      </c>
      <c r="V2330" s="0" t="n">
        <v>2</v>
      </c>
      <c r="W2330" s="27" t="n">
        <f aca="false">MATCH(A2330,DATAS,0)</f>
        <v>1</v>
      </c>
      <c r="X2330" s="27" t="n">
        <f aca="false">IF(AND(E2330&gt;0,OR(AND(B2330&gt;=1,B2330&lt;=6),B2330=10)),1,0)</f>
        <v>0</v>
      </c>
      <c r="Y2330" s="27" t="n">
        <f aca="false">IF(AND(E2330&gt;0,B2330=10),1,0)</f>
        <v>0</v>
      </c>
      <c r="Z2330" s="0" t="str">
        <f aca="false">IF(AND(C2329=C2330,W2329=W2330-1),X2329,"")</f>
        <v/>
      </c>
      <c r="AA2330" s="0" t="str">
        <f aca="false">IF(AND(C2329=C2330,W2329=W2330-1),Y2329,"")</f>
        <v/>
      </c>
      <c r="AB2330" s="0" t="str">
        <f aca="false">IF(W2330=1,"",IF(AND(X2330=1,Z2330&lt;&gt;1),1,0))</f>
        <v/>
      </c>
      <c r="AC2330" s="0" t="str">
        <f aca="false">IF(W2330=1,"",IF(AND(Y2330=1,AA2330&lt;&gt;1),1,0))</f>
        <v/>
      </c>
      <c r="AD2330" s="33" t="str">
        <f aca="false">IF(AND(E2330&gt;0,W2330&lt;1,NOT(AND(C2331=C2330,W2331=W2330+1))),INDEX(DATAS,W2330+1),"")</f>
        <v/>
      </c>
      <c r="AE2330" s="33" t="str">
        <f aca="false">IF(AND(Y2330=1,W2330&lt;1),IF(AND(C2331=C2330,W2331=W2330+1),IF(Y2331=1,"",INDEX(DATAS,W2330+1)),INDEX(DATAS,W2330+1)),"")</f>
        <v/>
      </c>
    </row>
    <row r="2331" customFormat="false" ht="15" hidden="false" customHeight="false" outlineLevel="0" collapsed="false">
      <c r="A2331" s="33" t="n">
        <v>46309</v>
      </c>
      <c r="B2331" s="0" t="n">
        <v>8</v>
      </c>
      <c r="C2331" s="0" t="n">
        <v>6627</v>
      </c>
      <c r="E2331" s="0" t="n">
        <v>0</v>
      </c>
      <c r="F2331" s="27" t="s">
        <v>1238</v>
      </c>
      <c r="I2331" s="27" t="s">
        <v>138</v>
      </c>
      <c r="L2331" s="0" t="n">
        <v>71</v>
      </c>
      <c r="U2331" s="0" t="n">
        <v>495</v>
      </c>
      <c r="V2331" s="0" t="n">
        <v>2</v>
      </c>
      <c r="W2331" s="27" t="n">
        <f aca="false">MATCH(A2331,DATAS,0)</f>
        <v>1</v>
      </c>
      <c r="X2331" s="27" t="n">
        <f aca="false">IF(AND(E2331&gt;0,OR(AND(B2331&gt;=1,B2331&lt;=6),B2331=10)),1,0)</f>
        <v>0</v>
      </c>
      <c r="Y2331" s="27" t="n">
        <f aca="false">IF(AND(E2331&gt;0,B2331=10),1,0)</f>
        <v>0</v>
      </c>
      <c r="Z2331" s="0" t="str">
        <f aca="false">IF(AND(C2330=C2331,W2330=W2331-1),X2330,"")</f>
        <v/>
      </c>
      <c r="AA2331" s="0" t="str">
        <f aca="false">IF(AND(C2330=C2331,W2330=W2331-1),Y2330,"")</f>
        <v/>
      </c>
      <c r="AB2331" s="0" t="str">
        <f aca="false">IF(W2331=1,"",IF(AND(X2331=1,Z2331&lt;&gt;1),1,0))</f>
        <v/>
      </c>
      <c r="AC2331" s="0" t="str">
        <f aca="false">IF(W2331=1,"",IF(AND(Y2331=1,AA2331&lt;&gt;1),1,0))</f>
        <v/>
      </c>
      <c r="AD2331" s="33" t="str">
        <f aca="false">IF(AND(E2331&gt;0,W2331&lt;1,NOT(AND(C2332=C2331,W2332=W2331+1))),INDEX(DATAS,W2331+1),"")</f>
        <v/>
      </c>
      <c r="AE2331" s="33" t="str">
        <f aca="false">IF(AND(Y2331=1,W2331&lt;1),IF(AND(C2332=C2331,W2332=W2331+1),IF(Y2332=1,"",INDEX(DATAS,W2331+1)),INDEX(DATAS,W2331+1)),"")</f>
        <v/>
      </c>
    </row>
    <row r="2332" customFormat="false" ht="15" hidden="false" customHeight="false" outlineLevel="0" collapsed="false">
      <c r="A2332" s="33" t="n">
        <v>46309</v>
      </c>
      <c r="B2332" s="0" t="n">
        <v>11</v>
      </c>
      <c r="C2332" s="0" t="n">
        <v>6628</v>
      </c>
      <c r="E2332" s="0" t="n">
        <v>0</v>
      </c>
      <c r="F2332" s="27" t="s">
        <v>1238</v>
      </c>
      <c r="I2332" s="27" t="s">
        <v>168</v>
      </c>
      <c r="U2332" s="0" t="n">
        <v>495</v>
      </c>
      <c r="V2332" s="0" t="n">
        <v>3</v>
      </c>
      <c r="W2332" s="27" t="n">
        <f aca="false">MATCH(A2332,DATAS,0)</f>
        <v>1</v>
      </c>
      <c r="X2332" s="27" t="n">
        <f aca="false">IF(AND(E2332&gt;0,OR(AND(B2332&gt;=1,B2332&lt;=6),B2332=10)),1,0)</f>
        <v>0</v>
      </c>
      <c r="Y2332" s="27" t="n">
        <f aca="false">IF(AND(E2332&gt;0,B2332=10),1,0)</f>
        <v>0</v>
      </c>
      <c r="Z2332" s="0" t="str">
        <f aca="false">IF(AND(C2331=C2332,W2331=W2332-1),X2331,"")</f>
        <v/>
      </c>
      <c r="AA2332" s="0" t="str">
        <f aca="false">IF(AND(C2331=C2332,W2331=W2332-1),Y2331,"")</f>
        <v/>
      </c>
      <c r="AB2332" s="0" t="str">
        <f aca="false">IF(W2332=1,"",IF(AND(X2332=1,Z2332&lt;&gt;1),1,0))</f>
        <v/>
      </c>
      <c r="AC2332" s="0" t="str">
        <f aca="false">IF(W2332=1,"",IF(AND(Y2332=1,AA2332&lt;&gt;1),1,0))</f>
        <v/>
      </c>
      <c r="AD2332" s="33" t="str">
        <f aca="false">IF(AND(E2332&gt;0,W2332&lt;1,NOT(AND(C2333=C2332,W2333=W2332+1))),INDEX(DATAS,W2332+1),"")</f>
        <v/>
      </c>
      <c r="AE2332" s="33" t="str">
        <f aca="false">IF(AND(Y2332=1,W2332&lt;1),IF(AND(C2333=C2332,W2333=W2332+1),IF(Y2333=1,"",INDEX(DATAS,W2332+1)),INDEX(DATAS,W2332+1)),"")</f>
        <v/>
      </c>
    </row>
    <row r="2333" customFormat="false" ht="15" hidden="false" customHeight="false" outlineLevel="0" collapsed="false">
      <c r="A2333" s="33" t="n">
        <v>46309</v>
      </c>
      <c r="B2333" s="0" t="n">
        <v>11</v>
      </c>
      <c r="C2333" s="0" t="n">
        <v>6629</v>
      </c>
      <c r="E2333" s="0" t="n">
        <v>0</v>
      </c>
      <c r="F2333" s="27" t="s">
        <v>1238</v>
      </c>
      <c r="I2333" s="27" t="s">
        <v>176</v>
      </c>
      <c r="U2333" s="0" t="n">
        <v>495</v>
      </c>
      <c r="V2333" s="0" t="n">
        <v>4</v>
      </c>
      <c r="W2333" s="27" t="n">
        <f aca="false">MATCH(A2333,DATAS,0)</f>
        <v>1</v>
      </c>
      <c r="X2333" s="27" t="n">
        <f aca="false">IF(AND(E2333&gt;0,OR(AND(B2333&gt;=1,B2333&lt;=6),B2333=10)),1,0)</f>
        <v>0</v>
      </c>
      <c r="Y2333" s="27" t="n">
        <f aca="false">IF(AND(E2333&gt;0,B2333=10),1,0)</f>
        <v>0</v>
      </c>
      <c r="Z2333" s="0" t="str">
        <f aca="false">IF(AND(C2332=C2333,W2332=W2333-1),X2332,"")</f>
        <v/>
      </c>
      <c r="AA2333" s="0" t="str">
        <f aca="false">IF(AND(C2332=C2333,W2332=W2333-1),Y2332,"")</f>
        <v/>
      </c>
      <c r="AB2333" s="0" t="str">
        <f aca="false">IF(W2333=1,"",IF(AND(X2333=1,Z2333&lt;&gt;1),1,0))</f>
        <v/>
      </c>
      <c r="AC2333" s="0" t="str">
        <f aca="false">IF(W2333=1,"",IF(AND(Y2333=1,AA2333&lt;&gt;1),1,0))</f>
        <v/>
      </c>
      <c r="AD2333" s="33" t="str">
        <f aca="false">IF(AND(E2333&gt;0,W2333&lt;1,NOT(AND(C2334=C2333,W2334=W2333+1))),INDEX(DATAS,W2333+1),"")</f>
        <v/>
      </c>
      <c r="AE2333" s="33" t="str">
        <f aca="false">IF(AND(Y2333=1,W2333&lt;1),IF(AND(C2334=C2333,W2334=W2333+1),IF(Y2334=1,"",INDEX(DATAS,W2333+1)),INDEX(DATAS,W2333+1)),"")</f>
        <v/>
      </c>
    </row>
    <row r="2334" customFormat="false" ht="15" hidden="false" customHeight="false" outlineLevel="0" collapsed="false">
      <c r="A2334" s="33" t="n">
        <v>46309</v>
      </c>
      <c r="B2334" s="0" t="n">
        <v>8</v>
      </c>
      <c r="C2334" s="0" t="n">
        <v>6630</v>
      </c>
      <c r="E2334" s="0" t="n">
        <v>0</v>
      </c>
      <c r="F2334" s="27" t="s">
        <v>1238</v>
      </c>
      <c r="I2334" s="27" t="s">
        <v>138</v>
      </c>
      <c r="L2334" s="0" t="n">
        <v>91</v>
      </c>
      <c r="U2334" s="0" t="n">
        <v>495</v>
      </c>
      <c r="V2334" s="0" t="n">
        <v>1</v>
      </c>
      <c r="W2334" s="27" t="n">
        <f aca="false">MATCH(A2334,DATAS,0)</f>
        <v>1</v>
      </c>
      <c r="X2334" s="27" t="n">
        <f aca="false">IF(AND(E2334&gt;0,OR(AND(B2334&gt;=1,B2334&lt;=6),B2334=10)),1,0)</f>
        <v>0</v>
      </c>
      <c r="Y2334" s="27" t="n">
        <f aca="false">IF(AND(E2334&gt;0,B2334=10),1,0)</f>
        <v>0</v>
      </c>
      <c r="Z2334" s="0" t="str">
        <f aca="false">IF(AND(C2333=C2334,W2333=W2334-1),X2333,"")</f>
        <v/>
      </c>
      <c r="AA2334" s="0" t="str">
        <f aca="false">IF(AND(C2333=C2334,W2333=W2334-1),Y2333,"")</f>
        <v/>
      </c>
      <c r="AB2334" s="0" t="str">
        <f aca="false">IF(W2334=1,"",IF(AND(X2334=1,Z2334&lt;&gt;1),1,0))</f>
        <v/>
      </c>
      <c r="AC2334" s="0" t="str">
        <f aca="false">IF(W2334=1,"",IF(AND(Y2334=1,AA2334&lt;&gt;1),1,0))</f>
        <v/>
      </c>
      <c r="AD2334" s="33" t="str">
        <f aca="false">IF(AND(E2334&gt;0,W2334&lt;1,NOT(AND(C2335=C2334,W2335=W2334+1))),INDEX(DATAS,W2334+1),"")</f>
        <v/>
      </c>
      <c r="AE2334" s="33" t="str">
        <f aca="false">IF(AND(Y2334=1,W2334&lt;1),IF(AND(C2335=C2334,W2335=W2334+1),IF(Y2335=1,"",INDEX(DATAS,W2334+1)),INDEX(DATAS,W2334+1)),"")</f>
        <v/>
      </c>
    </row>
    <row r="2335" customFormat="false" ht="15" hidden="false" customHeight="false" outlineLevel="0" collapsed="false">
      <c r="A2335" s="33" t="n">
        <v>46309</v>
      </c>
      <c r="B2335" s="0" t="n">
        <v>11</v>
      </c>
      <c r="C2335" s="0" t="n">
        <v>6631</v>
      </c>
      <c r="E2335" s="0" t="n">
        <v>0</v>
      </c>
      <c r="F2335" s="27" t="s">
        <v>1239</v>
      </c>
      <c r="I2335" s="27" t="s">
        <v>168</v>
      </c>
      <c r="U2335" s="0" t="n">
        <v>494</v>
      </c>
      <c r="V2335" s="0" t="n">
        <v>5</v>
      </c>
      <c r="W2335" s="27" t="n">
        <f aca="false">MATCH(A2335,DATAS,0)</f>
        <v>1</v>
      </c>
      <c r="X2335" s="27" t="n">
        <f aca="false">IF(AND(E2335&gt;0,OR(AND(B2335&gt;=1,B2335&lt;=6),B2335=10)),1,0)</f>
        <v>0</v>
      </c>
      <c r="Y2335" s="27" t="n">
        <f aca="false">IF(AND(E2335&gt;0,B2335=10),1,0)</f>
        <v>0</v>
      </c>
      <c r="Z2335" s="0" t="str">
        <f aca="false">IF(AND(C2334=C2335,W2334=W2335-1),X2334,"")</f>
        <v/>
      </c>
      <c r="AA2335" s="0" t="str">
        <f aca="false">IF(AND(C2334=C2335,W2334=W2335-1),Y2334,"")</f>
        <v/>
      </c>
      <c r="AB2335" s="0" t="str">
        <f aca="false">IF(W2335=1,"",IF(AND(X2335=1,Z2335&lt;&gt;1),1,0))</f>
        <v/>
      </c>
      <c r="AC2335" s="0" t="str">
        <f aca="false">IF(W2335=1,"",IF(AND(Y2335=1,AA2335&lt;&gt;1),1,0))</f>
        <v/>
      </c>
      <c r="AD2335" s="33" t="str">
        <f aca="false">IF(AND(E2335&gt;0,W2335&lt;1,NOT(AND(C2336=C2335,W2336=W2335+1))),INDEX(DATAS,W2335+1),"")</f>
        <v/>
      </c>
      <c r="AE2335" s="33" t="str">
        <f aca="false">IF(AND(Y2335=1,W2335&lt;1),IF(AND(C2336=C2335,W2336=W2335+1),IF(Y2336=1,"",INDEX(DATAS,W2335+1)),INDEX(DATAS,W2335+1)),"")</f>
        <v/>
      </c>
    </row>
    <row r="2336" customFormat="false" ht="15" hidden="false" customHeight="false" outlineLevel="0" collapsed="false">
      <c r="A2336" s="33" t="n">
        <v>46309</v>
      </c>
      <c r="B2336" s="0" t="n">
        <v>11</v>
      </c>
      <c r="C2336" s="0" t="n">
        <v>6632</v>
      </c>
      <c r="E2336" s="0" t="n">
        <v>0</v>
      </c>
      <c r="F2336" s="27" t="s">
        <v>1239</v>
      </c>
      <c r="I2336" s="27" t="s">
        <v>168</v>
      </c>
      <c r="U2336" s="0" t="n">
        <v>494</v>
      </c>
      <c r="V2336" s="0" t="n">
        <v>4</v>
      </c>
      <c r="W2336" s="27" t="n">
        <f aca="false">MATCH(A2336,DATAS,0)</f>
        <v>1</v>
      </c>
      <c r="X2336" s="27" t="n">
        <f aca="false">IF(AND(E2336&gt;0,OR(AND(B2336&gt;=1,B2336&lt;=6),B2336=10)),1,0)</f>
        <v>0</v>
      </c>
      <c r="Y2336" s="27" t="n">
        <f aca="false">IF(AND(E2336&gt;0,B2336=10),1,0)</f>
        <v>0</v>
      </c>
      <c r="Z2336" s="0" t="str">
        <f aca="false">IF(AND(C2335=C2336,W2335=W2336-1),X2335,"")</f>
        <v/>
      </c>
      <c r="AA2336" s="0" t="str">
        <f aca="false">IF(AND(C2335=C2336,W2335=W2336-1),Y2335,"")</f>
        <v/>
      </c>
      <c r="AB2336" s="0" t="str">
        <f aca="false">IF(W2336=1,"",IF(AND(X2336=1,Z2336&lt;&gt;1),1,0))</f>
        <v/>
      </c>
      <c r="AC2336" s="0" t="str">
        <f aca="false">IF(W2336=1,"",IF(AND(Y2336=1,AA2336&lt;&gt;1),1,0))</f>
        <v/>
      </c>
      <c r="AD2336" s="33" t="str">
        <f aca="false">IF(AND(E2336&gt;0,W2336&lt;1,NOT(AND(C2337=C2336,W2337=W2336+1))),INDEX(DATAS,W2336+1),"")</f>
        <v/>
      </c>
      <c r="AE2336" s="33" t="str">
        <f aca="false">IF(AND(Y2336=1,W2336&lt;1),IF(AND(C2337=C2336,W2337=W2336+1),IF(Y2337=1,"",INDEX(DATAS,W2336+1)),INDEX(DATAS,W2336+1)),"")</f>
        <v/>
      </c>
    </row>
    <row r="2337" customFormat="false" ht="15" hidden="false" customHeight="false" outlineLevel="0" collapsed="false">
      <c r="A2337" s="33" t="n">
        <v>46309</v>
      </c>
      <c r="B2337" s="0" t="n">
        <v>8</v>
      </c>
      <c r="C2337" s="0" t="n">
        <v>6633</v>
      </c>
      <c r="E2337" s="0" t="n">
        <v>0</v>
      </c>
      <c r="F2337" s="27" t="s">
        <v>1239</v>
      </c>
      <c r="I2337" s="27" t="s">
        <v>138</v>
      </c>
      <c r="L2337" s="0" t="n">
        <v>71</v>
      </c>
      <c r="U2337" s="0" t="n">
        <v>494</v>
      </c>
      <c r="V2337" s="0" t="n">
        <v>2</v>
      </c>
      <c r="W2337" s="27" t="n">
        <f aca="false">MATCH(A2337,DATAS,0)</f>
        <v>1</v>
      </c>
      <c r="X2337" s="27" t="n">
        <f aca="false">IF(AND(E2337&gt;0,OR(AND(B2337&gt;=1,B2337&lt;=6),B2337=10)),1,0)</f>
        <v>0</v>
      </c>
      <c r="Y2337" s="27" t="n">
        <f aca="false">IF(AND(E2337&gt;0,B2337=10),1,0)</f>
        <v>0</v>
      </c>
      <c r="Z2337" s="0" t="str">
        <f aca="false">IF(AND(C2336=C2337,W2336=W2337-1),X2336,"")</f>
        <v/>
      </c>
      <c r="AA2337" s="0" t="str">
        <f aca="false">IF(AND(C2336=C2337,W2336=W2337-1),Y2336,"")</f>
        <v/>
      </c>
      <c r="AB2337" s="0" t="str">
        <f aca="false">IF(W2337=1,"",IF(AND(X2337=1,Z2337&lt;&gt;1),1,0))</f>
        <v/>
      </c>
      <c r="AC2337" s="0" t="str">
        <f aca="false">IF(W2337=1,"",IF(AND(Y2337=1,AA2337&lt;&gt;1),1,0))</f>
        <v/>
      </c>
      <c r="AD2337" s="33" t="str">
        <f aca="false">IF(AND(E2337&gt;0,W2337&lt;1,NOT(AND(C2338=C2337,W2338=W2337+1))),INDEX(DATAS,W2337+1),"")</f>
        <v/>
      </c>
      <c r="AE2337" s="33" t="str">
        <f aca="false">IF(AND(Y2337=1,W2337&lt;1),IF(AND(C2338=C2337,W2338=W2337+1),IF(Y2338=1,"",INDEX(DATAS,W2337+1)),INDEX(DATAS,W2337+1)),"")</f>
        <v/>
      </c>
    </row>
    <row r="2338" customFormat="false" ht="15" hidden="false" customHeight="false" outlineLevel="0" collapsed="false">
      <c r="A2338" s="33" t="n">
        <v>46309</v>
      </c>
      <c r="B2338" s="0" t="n">
        <v>8</v>
      </c>
      <c r="C2338" s="0" t="n">
        <v>6635</v>
      </c>
      <c r="E2338" s="0" t="n">
        <v>0</v>
      </c>
      <c r="F2338" s="27" t="s">
        <v>1239</v>
      </c>
      <c r="I2338" s="27" t="s">
        <v>138</v>
      </c>
      <c r="L2338" s="0" t="n">
        <v>55</v>
      </c>
      <c r="U2338" s="0" t="n">
        <v>494</v>
      </c>
      <c r="V2338" s="0" t="n">
        <v>2</v>
      </c>
      <c r="W2338" s="27" t="n">
        <f aca="false">MATCH(A2338,DATAS,0)</f>
        <v>1</v>
      </c>
      <c r="X2338" s="27" t="n">
        <f aca="false">IF(AND(E2338&gt;0,OR(AND(B2338&gt;=1,B2338&lt;=6),B2338=10)),1,0)</f>
        <v>0</v>
      </c>
      <c r="Y2338" s="27" t="n">
        <f aca="false">IF(AND(E2338&gt;0,B2338=10),1,0)</f>
        <v>0</v>
      </c>
      <c r="Z2338" s="0" t="str">
        <f aca="false">IF(AND(C2337=C2338,W2337=W2338-1),X2337,"")</f>
        <v/>
      </c>
      <c r="AA2338" s="0" t="str">
        <f aca="false">IF(AND(C2337=C2338,W2337=W2338-1),Y2337,"")</f>
        <v/>
      </c>
      <c r="AB2338" s="0" t="str">
        <f aca="false">IF(W2338=1,"",IF(AND(X2338=1,Z2338&lt;&gt;1),1,0))</f>
        <v/>
      </c>
      <c r="AC2338" s="0" t="str">
        <f aca="false">IF(W2338=1,"",IF(AND(Y2338=1,AA2338&lt;&gt;1),1,0))</f>
        <v/>
      </c>
      <c r="AD2338" s="33" t="str">
        <f aca="false">IF(AND(E2338&gt;0,W2338&lt;1,NOT(AND(C2339=C2338,W2339=W2338+1))),INDEX(DATAS,W2338+1),"")</f>
        <v/>
      </c>
      <c r="AE2338" s="33" t="str">
        <f aca="false">IF(AND(Y2338=1,W2338&lt;1),IF(AND(C2339=C2338,W2339=W2338+1),IF(Y2339=1,"",INDEX(DATAS,W2338+1)),INDEX(DATAS,W2338+1)),"")</f>
        <v/>
      </c>
    </row>
    <row r="2339" customFormat="false" ht="15" hidden="false" customHeight="false" outlineLevel="0" collapsed="false">
      <c r="A2339" s="33" t="n">
        <v>46309</v>
      </c>
      <c r="B2339" s="0" t="n">
        <v>8</v>
      </c>
      <c r="C2339" s="0" t="n">
        <v>6636</v>
      </c>
      <c r="E2339" s="0" t="n">
        <v>0</v>
      </c>
      <c r="F2339" s="27" t="s">
        <v>1239</v>
      </c>
      <c r="I2339" s="27" t="s">
        <v>138</v>
      </c>
      <c r="L2339" s="0" t="n">
        <v>70</v>
      </c>
      <c r="U2339" s="0" t="n">
        <v>494</v>
      </c>
      <c r="V2339" s="0" t="n">
        <v>1</v>
      </c>
      <c r="W2339" s="27" t="n">
        <f aca="false">MATCH(A2339,DATAS,0)</f>
        <v>1</v>
      </c>
      <c r="X2339" s="27" t="n">
        <f aca="false">IF(AND(E2339&gt;0,OR(AND(B2339&gt;=1,B2339&lt;=6),B2339=10)),1,0)</f>
        <v>0</v>
      </c>
      <c r="Y2339" s="27" t="n">
        <f aca="false">IF(AND(E2339&gt;0,B2339=10),1,0)</f>
        <v>0</v>
      </c>
      <c r="Z2339" s="0" t="str">
        <f aca="false">IF(AND(C2338=C2339,W2338=W2339-1),X2338,"")</f>
        <v/>
      </c>
      <c r="AA2339" s="0" t="str">
        <f aca="false">IF(AND(C2338=C2339,W2338=W2339-1),Y2338,"")</f>
        <v/>
      </c>
      <c r="AB2339" s="0" t="str">
        <f aca="false">IF(W2339=1,"",IF(AND(X2339=1,Z2339&lt;&gt;1),1,0))</f>
        <v/>
      </c>
      <c r="AC2339" s="0" t="str">
        <f aca="false">IF(W2339=1,"",IF(AND(Y2339=1,AA2339&lt;&gt;1),1,0))</f>
        <v/>
      </c>
      <c r="AD2339" s="33" t="str">
        <f aca="false">IF(AND(E2339&gt;0,W2339&lt;1,NOT(AND(C2340=C2339,W2340=W2339+1))),INDEX(DATAS,W2339+1),"")</f>
        <v/>
      </c>
      <c r="AE2339" s="33" t="str">
        <f aca="false">IF(AND(Y2339=1,W2339&lt;1),IF(AND(C2340=C2339,W2340=W2339+1),IF(Y2340=1,"",INDEX(DATAS,W2339+1)),INDEX(DATAS,W2339+1)),"")</f>
        <v/>
      </c>
    </row>
    <row r="2340" customFormat="false" ht="15" hidden="false" customHeight="false" outlineLevel="0" collapsed="false">
      <c r="A2340" s="33" t="n">
        <v>46309</v>
      </c>
      <c r="B2340" s="0" t="n">
        <v>8</v>
      </c>
      <c r="C2340" s="0" t="n">
        <v>6637</v>
      </c>
      <c r="E2340" s="0" t="n">
        <v>0</v>
      </c>
      <c r="F2340" s="27" t="s">
        <v>1239</v>
      </c>
      <c r="I2340" s="27" t="s">
        <v>138</v>
      </c>
      <c r="L2340" s="0" t="n">
        <v>89</v>
      </c>
      <c r="U2340" s="0" t="n">
        <v>494</v>
      </c>
      <c r="V2340" s="0" t="n">
        <v>1</v>
      </c>
      <c r="W2340" s="27" t="n">
        <f aca="false">MATCH(A2340,DATAS,0)</f>
        <v>1</v>
      </c>
      <c r="X2340" s="27" t="n">
        <f aca="false">IF(AND(E2340&gt;0,OR(AND(B2340&gt;=1,B2340&lt;=6),B2340=10)),1,0)</f>
        <v>0</v>
      </c>
      <c r="Y2340" s="27" t="n">
        <f aca="false">IF(AND(E2340&gt;0,B2340=10),1,0)</f>
        <v>0</v>
      </c>
      <c r="Z2340" s="0" t="str">
        <f aca="false">IF(AND(C2339=C2340,W2339=W2340-1),X2339,"")</f>
        <v/>
      </c>
      <c r="AA2340" s="0" t="str">
        <f aca="false">IF(AND(C2339=C2340,W2339=W2340-1),Y2339,"")</f>
        <v/>
      </c>
      <c r="AB2340" s="0" t="str">
        <f aca="false">IF(W2340=1,"",IF(AND(X2340=1,Z2340&lt;&gt;1),1,0))</f>
        <v/>
      </c>
      <c r="AC2340" s="0" t="str">
        <f aca="false">IF(W2340=1,"",IF(AND(Y2340=1,AA2340&lt;&gt;1),1,0))</f>
        <v/>
      </c>
      <c r="AD2340" s="33" t="str">
        <f aca="false">IF(AND(E2340&gt;0,W2340&lt;1,NOT(AND(C2341=C2340,W2341=W2340+1))),INDEX(DATAS,W2340+1),"")</f>
        <v/>
      </c>
      <c r="AE2340" s="33" t="str">
        <f aca="false">IF(AND(Y2340=1,W2340&lt;1),IF(AND(C2341=C2340,W2341=W2340+1),IF(Y2341=1,"",INDEX(DATAS,W2340+1)),INDEX(DATAS,W2340+1)),"")</f>
        <v/>
      </c>
    </row>
    <row r="2341" customFormat="false" ht="15" hidden="false" customHeight="false" outlineLevel="0" collapsed="false">
      <c r="A2341" s="33" t="n">
        <v>46309</v>
      </c>
      <c r="B2341" s="0" t="n">
        <v>8</v>
      </c>
      <c r="C2341" s="0" t="n">
        <v>6638</v>
      </c>
      <c r="E2341" s="0" t="n">
        <v>0</v>
      </c>
      <c r="F2341" s="27" t="s">
        <v>1240</v>
      </c>
      <c r="I2341" s="27" t="s">
        <v>138</v>
      </c>
      <c r="L2341" s="0" t="n">
        <v>77</v>
      </c>
      <c r="U2341" s="0" t="n">
        <v>492</v>
      </c>
      <c r="V2341" s="0" t="n">
        <v>1</v>
      </c>
      <c r="W2341" s="27" t="n">
        <f aca="false">MATCH(A2341,DATAS,0)</f>
        <v>1</v>
      </c>
      <c r="X2341" s="27" t="n">
        <f aca="false">IF(AND(E2341&gt;0,OR(AND(B2341&gt;=1,B2341&lt;=6),B2341=10)),1,0)</f>
        <v>0</v>
      </c>
      <c r="Y2341" s="27" t="n">
        <f aca="false">IF(AND(E2341&gt;0,B2341=10),1,0)</f>
        <v>0</v>
      </c>
      <c r="Z2341" s="0" t="str">
        <f aca="false">IF(AND(C2340=C2341,W2340=W2341-1),X2340,"")</f>
        <v/>
      </c>
      <c r="AA2341" s="0" t="str">
        <f aca="false">IF(AND(C2340=C2341,W2340=W2341-1),Y2340,"")</f>
        <v/>
      </c>
      <c r="AB2341" s="0" t="str">
        <f aca="false">IF(W2341=1,"",IF(AND(X2341=1,Z2341&lt;&gt;1),1,0))</f>
        <v/>
      </c>
      <c r="AC2341" s="0" t="str">
        <f aca="false">IF(W2341=1,"",IF(AND(Y2341=1,AA2341&lt;&gt;1),1,0))</f>
        <v/>
      </c>
      <c r="AD2341" s="33" t="str">
        <f aca="false">IF(AND(E2341&gt;0,W2341&lt;1,NOT(AND(C2342=C2341,W2342=W2341+1))),INDEX(DATAS,W2341+1),"")</f>
        <v/>
      </c>
      <c r="AE2341" s="33" t="str">
        <f aca="false">IF(AND(Y2341=1,W2341&lt;1),IF(AND(C2342=C2341,W2342=W2341+1),IF(Y2342=1,"",INDEX(DATAS,W2341+1)),INDEX(DATAS,W2341+1)),"")</f>
        <v/>
      </c>
    </row>
    <row r="2342" customFormat="false" ht="15" hidden="false" customHeight="false" outlineLevel="0" collapsed="false">
      <c r="A2342" s="33" t="n">
        <v>46309</v>
      </c>
      <c r="B2342" s="0" t="n">
        <v>8</v>
      </c>
      <c r="C2342" s="0" t="n">
        <v>6639</v>
      </c>
      <c r="E2342" s="0" t="n">
        <v>0</v>
      </c>
      <c r="F2342" s="27" t="s">
        <v>1240</v>
      </c>
      <c r="I2342" s="27" t="s">
        <v>138</v>
      </c>
      <c r="L2342" s="0" t="n">
        <v>44</v>
      </c>
      <c r="U2342" s="0" t="n">
        <v>492</v>
      </c>
      <c r="V2342" s="0" t="n">
        <v>3</v>
      </c>
      <c r="W2342" s="27" t="n">
        <f aca="false">MATCH(A2342,DATAS,0)</f>
        <v>1</v>
      </c>
      <c r="X2342" s="27" t="n">
        <f aca="false">IF(AND(E2342&gt;0,OR(AND(B2342&gt;=1,B2342&lt;=6),B2342=10)),1,0)</f>
        <v>0</v>
      </c>
      <c r="Y2342" s="27" t="n">
        <f aca="false">IF(AND(E2342&gt;0,B2342=10),1,0)</f>
        <v>0</v>
      </c>
      <c r="Z2342" s="0" t="str">
        <f aca="false">IF(AND(C2341=C2342,W2341=W2342-1),X2341,"")</f>
        <v/>
      </c>
      <c r="AA2342" s="0" t="str">
        <f aca="false">IF(AND(C2341=C2342,W2341=W2342-1),Y2341,"")</f>
        <v/>
      </c>
      <c r="AB2342" s="0" t="str">
        <f aca="false">IF(W2342=1,"",IF(AND(X2342=1,Z2342&lt;&gt;1),1,0))</f>
        <v/>
      </c>
      <c r="AC2342" s="0" t="str">
        <f aca="false">IF(W2342=1,"",IF(AND(Y2342=1,AA2342&lt;&gt;1),1,0))</f>
        <v/>
      </c>
      <c r="AD2342" s="33" t="str">
        <f aca="false">IF(AND(E2342&gt;0,W2342&lt;1,NOT(AND(C2343=C2342,W2343=W2342+1))),INDEX(DATAS,W2342+1),"")</f>
        <v/>
      </c>
      <c r="AE2342" s="33" t="str">
        <f aca="false">IF(AND(Y2342=1,W2342&lt;1),IF(AND(C2343=C2342,W2343=W2342+1),IF(Y2343=1,"",INDEX(DATAS,W2342+1)),INDEX(DATAS,W2342+1)),"")</f>
        <v/>
      </c>
    </row>
    <row r="2343" customFormat="false" ht="15" hidden="false" customHeight="false" outlineLevel="0" collapsed="false">
      <c r="A2343" s="33" t="n">
        <v>46309</v>
      </c>
      <c r="B2343" s="0" t="n">
        <v>8</v>
      </c>
      <c r="C2343" s="0" t="n">
        <v>6640</v>
      </c>
      <c r="E2343" s="0" t="n">
        <v>0</v>
      </c>
      <c r="F2343" s="27" t="s">
        <v>1241</v>
      </c>
      <c r="I2343" s="27" t="s">
        <v>138</v>
      </c>
      <c r="L2343" s="0" t="n">
        <v>93</v>
      </c>
      <c r="U2343" s="0" t="n">
        <v>491</v>
      </c>
      <c r="V2343" s="0" t="n">
        <v>1</v>
      </c>
      <c r="W2343" s="27" t="n">
        <f aca="false">MATCH(A2343,DATAS,0)</f>
        <v>1</v>
      </c>
      <c r="X2343" s="27" t="n">
        <f aca="false">IF(AND(E2343&gt;0,OR(AND(B2343&gt;=1,B2343&lt;=6),B2343=10)),1,0)</f>
        <v>0</v>
      </c>
      <c r="Y2343" s="27" t="n">
        <f aca="false">IF(AND(E2343&gt;0,B2343=10),1,0)</f>
        <v>0</v>
      </c>
      <c r="Z2343" s="0" t="str">
        <f aca="false">IF(AND(C2342=C2343,W2342=W2343-1),X2342,"")</f>
        <v/>
      </c>
      <c r="AA2343" s="0" t="str">
        <f aca="false">IF(AND(C2342=C2343,W2342=W2343-1),Y2342,"")</f>
        <v/>
      </c>
      <c r="AB2343" s="0" t="str">
        <f aca="false">IF(W2343=1,"",IF(AND(X2343=1,Z2343&lt;&gt;1),1,0))</f>
        <v/>
      </c>
      <c r="AC2343" s="0" t="str">
        <f aca="false">IF(W2343=1,"",IF(AND(Y2343=1,AA2343&lt;&gt;1),1,0))</f>
        <v/>
      </c>
      <c r="AD2343" s="33" t="str">
        <f aca="false">IF(AND(E2343&gt;0,W2343&lt;1,NOT(AND(C2344=C2343,W2344=W2343+1))),INDEX(DATAS,W2343+1),"")</f>
        <v/>
      </c>
      <c r="AE2343" s="33" t="str">
        <f aca="false">IF(AND(Y2343=1,W2343&lt;1),IF(AND(C2344=C2343,W2344=W2343+1),IF(Y2344=1,"",INDEX(DATAS,W2343+1)),INDEX(DATAS,W2343+1)),"")</f>
        <v/>
      </c>
    </row>
    <row r="2344" customFormat="false" ht="15" hidden="false" customHeight="false" outlineLevel="0" collapsed="false">
      <c r="A2344" s="33" t="n">
        <v>46309</v>
      </c>
      <c r="B2344" s="0" t="n">
        <v>8</v>
      </c>
      <c r="C2344" s="0" t="n">
        <v>6642</v>
      </c>
      <c r="E2344" s="0" t="n">
        <v>0</v>
      </c>
      <c r="F2344" s="27" t="s">
        <v>1242</v>
      </c>
      <c r="I2344" s="27" t="s">
        <v>138</v>
      </c>
      <c r="L2344" s="0" t="n">
        <v>71</v>
      </c>
      <c r="U2344" s="0" t="n">
        <v>490</v>
      </c>
      <c r="V2344" s="0" t="n">
        <v>2</v>
      </c>
      <c r="W2344" s="27" t="n">
        <f aca="false">MATCH(A2344,DATAS,0)</f>
        <v>1</v>
      </c>
      <c r="X2344" s="27" t="n">
        <f aca="false">IF(AND(E2344&gt;0,OR(AND(B2344&gt;=1,B2344&lt;=6),B2344=10)),1,0)</f>
        <v>0</v>
      </c>
      <c r="Y2344" s="27" t="n">
        <f aca="false">IF(AND(E2344&gt;0,B2344=10),1,0)</f>
        <v>0</v>
      </c>
      <c r="Z2344" s="0" t="str">
        <f aca="false">IF(AND(C2343=C2344,W2343=W2344-1),X2343,"")</f>
        <v/>
      </c>
      <c r="AA2344" s="0" t="str">
        <f aca="false">IF(AND(C2343=C2344,W2343=W2344-1),Y2343,"")</f>
        <v/>
      </c>
      <c r="AB2344" s="0" t="str">
        <f aca="false">IF(W2344=1,"",IF(AND(X2344=1,Z2344&lt;&gt;1),1,0))</f>
        <v/>
      </c>
      <c r="AC2344" s="0" t="str">
        <f aca="false">IF(W2344=1,"",IF(AND(Y2344=1,AA2344&lt;&gt;1),1,0))</f>
        <v/>
      </c>
      <c r="AD2344" s="33" t="str">
        <f aca="false">IF(AND(E2344&gt;0,W2344&lt;1,NOT(AND(C2345=C2344,W2345=W2344+1))),INDEX(DATAS,W2344+1),"")</f>
        <v/>
      </c>
      <c r="AE2344" s="33" t="str">
        <f aca="false">IF(AND(Y2344=1,W2344&lt;1),IF(AND(C2345=C2344,W2345=W2344+1),IF(Y2345=1,"",INDEX(DATAS,W2344+1)),INDEX(DATAS,W2344+1)),"")</f>
        <v/>
      </c>
    </row>
    <row r="2345" customFormat="false" ht="15" hidden="false" customHeight="false" outlineLevel="0" collapsed="false">
      <c r="A2345" s="33" t="n">
        <v>46309</v>
      </c>
      <c r="B2345" s="0" t="n">
        <v>8</v>
      </c>
      <c r="C2345" s="0" t="n">
        <v>6643</v>
      </c>
      <c r="E2345" s="0" t="n">
        <v>0</v>
      </c>
      <c r="F2345" s="27" t="s">
        <v>1242</v>
      </c>
      <c r="I2345" s="27" t="s">
        <v>138</v>
      </c>
      <c r="L2345" s="0" t="n">
        <v>84</v>
      </c>
      <c r="U2345" s="0" t="n">
        <v>490</v>
      </c>
      <c r="V2345" s="0" t="n">
        <v>1</v>
      </c>
      <c r="W2345" s="27" t="n">
        <f aca="false">MATCH(A2345,DATAS,0)</f>
        <v>1</v>
      </c>
      <c r="X2345" s="27" t="n">
        <f aca="false">IF(AND(E2345&gt;0,OR(AND(B2345&gt;=1,B2345&lt;=6),B2345=10)),1,0)</f>
        <v>0</v>
      </c>
      <c r="Y2345" s="27" t="n">
        <f aca="false">IF(AND(E2345&gt;0,B2345=10),1,0)</f>
        <v>0</v>
      </c>
      <c r="Z2345" s="0" t="str">
        <f aca="false">IF(AND(C2344=C2345,W2344=W2345-1),X2344,"")</f>
        <v/>
      </c>
      <c r="AA2345" s="0" t="str">
        <f aca="false">IF(AND(C2344=C2345,W2344=W2345-1),Y2344,"")</f>
        <v/>
      </c>
      <c r="AB2345" s="0" t="str">
        <f aca="false">IF(W2345=1,"",IF(AND(X2345=1,Z2345&lt;&gt;1),1,0))</f>
        <v/>
      </c>
      <c r="AC2345" s="0" t="str">
        <f aca="false">IF(W2345=1,"",IF(AND(Y2345=1,AA2345&lt;&gt;1),1,0))</f>
        <v/>
      </c>
      <c r="AD2345" s="33" t="str">
        <f aca="false">IF(AND(E2345&gt;0,W2345&lt;1,NOT(AND(C2346=C2345,W2346=W2345+1))),INDEX(DATAS,W2345+1),"")</f>
        <v/>
      </c>
      <c r="AE2345" s="33" t="str">
        <f aca="false">IF(AND(Y2345=1,W2345&lt;1),IF(AND(C2346=C2345,W2346=W2345+1),IF(Y2346=1,"",INDEX(DATAS,W2345+1)),INDEX(DATAS,W2345+1)),"")</f>
        <v/>
      </c>
    </row>
    <row r="2346" customFormat="false" ht="15" hidden="false" customHeight="false" outlineLevel="0" collapsed="false">
      <c r="A2346" s="33" t="n">
        <v>46309</v>
      </c>
      <c r="B2346" s="0" t="n">
        <v>8</v>
      </c>
      <c r="C2346" s="0" t="n">
        <v>6644</v>
      </c>
      <c r="E2346" s="0" t="n">
        <v>0</v>
      </c>
      <c r="F2346" s="27" t="s">
        <v>1242</v>
      </c>
      <c r="I2346" s="27" t="s">
        <v>138</v>
      </c>
      <c r="L2346" s="0" t="n">
        <v>71</v>
      </c>
      <c r="U2346" s="0" t="n">
        <v>490</v>
      </c>
      <c r="V2346" s="0" t="n">
        <v>2</v>
      </c>
      <c r="W2346" s="27" t="n">
        <f aca="false">MATCH(A2346,DATAS,0)</f>
        <v>1</v>
      </c>
      <c r="X2346" s="27" t="n">
        <f aca="false">IF(AND(E2346&gt;0,OR(AND(B2346&gt;=1,B2346&lt;=6),B2346=10)),1,0)</f>
        <v>0</v>
      </c>
      <c r="Y2346" s="27" t="n">
        <f aca="false">IF(AND(E2346&gt;0,B2346=10),1,0)</f>
        <v>0</v>
      </c>
      <c r="Z2346" s="0" t="str">
        <f aca="false">IF(AND(C2345=C2346,W2345=W2346-1),X2345,"")</f>
        <v/>
      </c>
      <c r="AA2346" s="0" t="str">
        <f aca="false">IF(AND(C2345=C2346,W2345=W2346-1),Y2345,"")</f>
        <v/>
      </c>
      <c r="AB2346" s="0" t="str">
        <f aca="false">IF(W2346=1,"",IF(AND(X2346=1,Z2346&lt;&gt;1),1,0))</f>
        <v/>
      </c>
      <c r="AC2346" s="0" t="str">
        <f aca="false">IF(W2346=1,"",IF(AND(Y2346=1,AA2346&lt;&gt;1),1,0))</f>
        <v/>
      </c>
      <c r="AD2346" s="33" t="str">
        <f aca="false">IF(AND(E2346&gt;0,W2346&lt;1,NOT(AND(C2347=C2346,W2347=W2346+1))),INDEX(DATAS,W2346+1),"")</f>
        <v/>
      </c>
      <c r="AE2346" s="33" t="str">
        <f aca="false">IF(AND(Y2346=1,W2346&lt;1),IF(AND(C2347=C2346,W2347=W2346+1),IF(Y2347=1,"",INDEX(DATAS,W2346+1)),INDEX(DATAS,W2346+1)),"")</f>
        <v/>
      </c>
    </row>
    <row r="2347" customFormat="false" ht="15" hidden="false" customHeight="false" outlineLevel="0" collapsed="false">
      <c r="A2347" s="33" t="n">
        <v>46309</v>
      </c>
      <c r="B2347" s="0" t="n">
        <v>8</v>
      </c>
      <c r="C2347" s="0" t="n">
        <v>6645</v>
      </c>
      <c r="E2347" s="0" t="n">
        <v>0</v>
      </c>
      <c r="F2347" s="27" t="s">
        <v>1243</v>
      </c>
      <c r="I2347" s="27" t="s">
        <v>138</v>
      </c>
      <c r="L2347" s="0" t="n">
        <v>69</v>
      </c>
      <c r="U2347" s="0" t="n">
        <v>489</v>
      </c>
      <c r="V2347" s="0" t="n">
        <v>2</v>
      </c>
      <c r="W2347" s="27" t="n">
        <f aca="false">MATCH(A2347,DATAS,0)</f>
        <v>1</v>
      </c>
      <c r="X2347" s="27" t="n">
        <f aca="false">IF(AND(E2347&gt;0,OR(AND(B2347&gt;=1,B2347&lt;=6),B2347=10)),1,0)</f>
        <v>0</v>
      </c>
      <c r="Y2347" s="27" t="n">
        <f aca="false">IF(AND(E2347&gt;0,B2347=10),1,0)</f>
        <v>0</v>
      </c>
      <c r="Z2347" s="0" t="str">
        <f aca="false">IF(AND(C2346=C2347,W2346=W2347-1),X2346,"")</f>
        <v/>
      </c>
      <c r="AA2347" s="0" t="str">
        <f aca="false">IF(AND(C2346=C2347,W2346=W2347-1),Y2346,"")</f>
        <v/>
      </c>
      <c r="AB2347" s="0" t="str">
        <f aca="false">IF(W2347=1,"",IF(AND(X2347=1,Z2347&lt;&gt;1),1,0))</f>
        <v/>
      </c>
      <c r="AC2347" s="0" t="str">
        <f aca="false">IF(W2347=1,"",IF(AND(Y2347=1,AA2347&lt;&gt;1),1,0))</f>
        <v/>
      </c>
      <c r="AD2347" s="33" t="str">
        <f aca="false">IF(AND(E2347&gt;0,W2347&lt;1,NOT(AND(C2348=C2347,W2348=W2347+1))),INDEX(DATAS,W2347+1),"")</f>
        <v/>
      </c>
      <c r="AE2347" s="33" t="str">
        <f aca="false">IF(AND(Y2347=1,W2347&lt;1),IF(AND(C2348=C2347,W2348=W2347+1),IF(Y2348=1,"",INDEX(DATAS,W2347+1)),INDEX(DATAS,W2347+1)),"")</f>
        <v/>
      </c>
    </row>
    <row r="2348" customFormat="false" ht="15" hidden="false" customHeight="false" outlineLevel="0" collapsed="false">
      <c r="A2348" s="33" t="n">
        <v>46309</v>
      </c>
      <c r="B2348" s="0" t="n">
        <v>8</v>
      </c>
      <c r="C2348" s="0" t="n">
        <v>6646</v>
      </c>
      <c r="E2348" s="0" t="n">
        <v>0</v>
      </c>
      <c r="F2348" s="27" t="s">
        <v>1244</v>
      </c>
      <c r="I2348" s="27" t="s">
        <v>138</v>
      </c>
      <c r="L2348" s="0" t="n">
        <v>44</v>
      </c>
      <c r="U2348" s="0" t="n">
        <v>488</v>
      </c>
      <c r="V2348" s="0" t="n">
        <v>2</v>
      </c>
      <c r="W2348" s="27" t="n">
        <f aca="false">MATCH(A2348,DATAS,0)</f>
        <v>1</v>
      </c>
      <c r="X2348" s="27" t="n">
        <f aca="false">IF(AND(E2348&gt;0,OR(AND(B2348&gt;=1,B2348&lt;=6),B2348=10)),1,0)</f>
        <v>0</v>
      </c>
      <c r="Y2348" s="27" t="n">
        <f aca="false">IF(AND(E2348&gt;0,B2348=10),1,0)</f>
        <v>0</v>
      </c>
      <c r="Z2348" s="0" t="str">
        <f aca="false">IF(AND(C2347=C2348,W2347=W2348-1),X2347,"")</f>
        <v/>
      </c>
      <c r="AA2348" s="0" t="str">
        <f aca="false">IF(AND(C2347=C2348,W2347=W2348-1),Y2347,"")</f>
        <v/>
      </c>
      <c r="AB2348" s="0" t="str">
        <f aca="false">IF(W2348=1,"",IF(AND(X2348=1,Z2348&lt;&gt;1),1,0))</f>
        <v/>
      </c>
      <c r="AC2348" s="0" t="str">
        <f aca="false">IF(W2348=1,"",IF(AND(Y2348=1,AA2348&lt;&gt;1),1,0))</f>
        <v/>
      </c>
      <c r="AD2348" s="33" t="str">
        <f aca="false">IF(AND(E2348&gt;0,W2348&lt;1,NOT(AND(C2349=C2348,W2349=W2348+1))),INDEX(DATAS,W2348+1),"")</f>
        <v/>
      </c>
      <c r="AE2348" s="33" t="str">
        <f aca="false">IF(AND(Y2348=1,W2348&lt;1),IF(AND(C2349=C2348,W2349=W2348+1),IF(Y2349=1,"",INDEX(DATAS,W2348+1)),INDEX(DATAS,W2348+1)),"")</f>
        <v/>
      </c>
    </row>
    <row r="2349" customFormat="false" ht="15" hidden="false" customHeight="false" outlineLevel="0" collapsed="false">
      <c r="A2349" s="33" t="n">
        <v>46309</v>
      </c>
      <c r="B2349" s="0" t="n">
        <v>8</v>
      </c>
      <c r="C2349" s="0" t="n">
        <v>6647</v>
      </c>
      <c r="E2349" s="0" t="n">
        <v>0</v>
      </c>
      <c r="F2349" s="27" t="s">
        <v>1244</v>
      </c>
      <c r="I2349" s="27" t="s">
        <v>138</v>
      </c>
      <c r="L2349" s="0" t="n">
        <v>62</v>
      </c>
      <c r="U2349" s="0" t="n">
        <v>488</v>
      </c>
      <c r="V2349" s="0" t="n">
        <v>2</v>
      </c>
      <c r="W2349" s="27" t="n">
        <f aca="false">MATCH(A2349,DATAS,0)</f>
        <v>1</v>
      </c>
      <c r="X2349" s="27" t="n">
        <f aca="false">IF(AND(E2349&gt;0,OR(AND(B2349&gt;=1,B2349&lt;=6),B2349=10)),1,0)</f>
        <v>0</v>
      </c>
      <c r="Y2349" s="27" t="n">
        <f aca="false">IF(AND(E2349&gt;0,B2349=10),1,0)</f>
        <v>0</v>
      </c>
      <c r="Z2349" s="0" t="str">
        <f aca="false">IF(AND(C2348=C2349,W2348=W2349-1),X2348,"")</f>
        <v/>
      </c>
      <c r="AA2349" s="0" t="str">
        <f aca="false">IF(AND(C2348=C2349,W2348=W2349-1),Y2348,"")</f>
        <v/>
      </c>
      <c r="AB2349" s="0" t="str">
        <f aca="false">IF(W2349=1,"",IF(AND(X2349=1,Z2349&lt;&gt;1),1,0))</f>
        <v/>
      </c>
      <c r="AC2349" s="0" t="str">
        <f aca="false">IF(W2349=1,"",IF(AND(Y2349=1,AA2349&lt;&gt;1),1,0))</f>
        <v/>
      </c>
      <c r="AD2349" s="33" t="str">
        <f aca="false">IF(AND(E2349&gt;0,W2349&lt;1,NOT(AND(C2350=C2349,W2350=W2349+1))),INDEX(DATAS,W2349+1),"")</f>
        <v/>
      </c>
      <c r="AE2349" s="33" t="str">
        <f aca="false">IF(AND(Y2349=1,W2349&lt;1),IF(AND(C2350=C2349,W2350=W2349+1),IF(Y2350=1,"",INDEX(DATAS,W2349+1)),INDEX(DATAS,W2349+1)),"")</f>
        <v/>
      </c>
    </row>
    <row r="2350" customFormat="false" ht="15" hidden="false" customHeight="false" outlineLevel="0" collapsed="false">
      <c r="A2350" s="33" t="n">
        <v>46309</v>
      </c>
      <c r="B2350" s="0" t="n">
        <v>8</v>
      </c>
      <c r="C2350" s="0" t="n">
        <v>6648</v>
      </c>
      <c r="E2350" s="0" t="n">
        <v>0</v>
      </c>
      <c r="F2350" s="27" t="s">
        <v>1245</v>
      </c>
      <c r="I2350" s="27" t="s">
        <v>138</v>
      </c>
      <c r="L2350" s="0" t="n">
        <v>85</v>
      </c>
      <c r="U2350" s="0" t="n">
        <v>486</v>
      </c>
      <c r="V2350" s="0" t="n">
        <v>1</v>
      </c>
      <c r="W2350" s="27" t="n">
        <f aca="false">MATCH(A2350,DATAS,0)</f>
        <v>1</v>
      </c>
      <c r="X2350" s="27" t="n">
        <f aca="false">IF(AND(E2350&gt;0,OR(AND(B2350&gt;=1,B2350&lt;=6),B2350=10)),1,0)</f>
        <v>0</v>
      </c>
      <c r="Y2350" s="27" t="n">
        <f aca="false">IF(AND(E2350&gt;0,B2350=10),1,0)</f>
        <v>0</v>
      </c>
      <c r="Z2350" s="0" t="str">
        <f aca="false">IF(AND(C2349=C2350,W2349=W2350-1),X2349,"")</f>
        <v/>
      </c>
      <c r="AA2350" s="0" t="str">
        <f aca="false">IF(AND(C2349=C2350,W2349=W2350-1),Y2349,"")</f>
        <v/>
      </c>
      <c r="AB2350" s="0" t="str">
        <f aca="false">IF(W2350=1,"",IF(AND(X2350=1,Z2350&lt;&gt;1),1,0))</f>
        <v/>
      </c>
      <c r="AC2350" s="0" t="str">
        <f aca="false">IF(W2350=1,"",IF(AND(Y2350=1,AA2350&lt;&gt;1),1,0))</f>
        <v/>
      </c>
      <c r="AD2350" s="33" t="str">
        <f aca="false">IF(AND(E2350&gt;0,W2350&lt;1,NOT(AND(C2351=C2350,W2351=W2350+1))),INDEX(DATAS,W2350+1),"")</f>
        <v/>
      </c>
      <c r="AE2350" s="33" t="str">
        <f aca="false">IF(AND(Y2350=1,W2350&lt;1),IF(AND(C2351=C2350,W2351=W2350+1),IF(Y2351=1,"",INDEX(DATAS,W2350+1)),INDEX(DATAS,W2350+1)),"")</f>
        <v/>
      </c>
    </row>
    <row r="2351" customFormat="false" ht="15" hidden="false" customHeight="false" outlineLevel="0" collapsed="false">
      <c r="A2351" s="33" t="n">
        <v>46309</v>
      </c>
      <c r="B2351" s="0" t="n">
        <v>11</v>
      </c>
      <c r="C2351" s="0" t="n">
        <v>6649</v>
      </c>
      <c r="E2351" s="0" t="n">
        <v>0</v>
      </c>
      <c r="F2351" s="27" t="s">
        <v>1245</v>
      </c>
      <c r="I2351" s="27" t="s">
        <v>168</v>
      </c>
      <c r="U2351" s="0" t="n">
        <v>486</v>
      </c>
      <c r="V2351" s="0" t="n">
        <v>3</v>
      </c>
      <c r="W2351" s="27" t="n">
        <f aca="false">MATCH(A2351,DATAS,0)</f>
        <v>1</v>
      </c>
      <c r="X2351" s="27" t="n">
        <f aca="false">IF(AND(E2351&gt;0,OR(AND(B2351&gt;=1,B2351&lt;=6),B2351=10)),1,0)</f>
        <v>0</v>
      </c>
      <c r="Y2351" s="27" t="n">
        <f aca="false">IF(AND(E2351&gt;0,B2351=10),1,0)</f>
        <v>0</v>
      </c>
      <c r="Z2351" s="0" t="str">
        <f aca="false">IF(AND(C2350=C2351,W2350=W2351-1),X2350,"")</f>
        <v/>
      </c>
      <c r="AA2351" s="0" t="str">
        <f aca="false">IF(AND(C2350=C2351,W2350=W2351-1),Y2350,"")</f>
        <v/>
      </c>
      <c r="AB2351" s="0" t="str">
        <f aca="false">IF(W2351=1,"",IF(AND(X2351=1,Z2351&lt;&gt;1),1,0))</f>
        <v/>
      </c>
      <c r="AC2351" s="0" t="str">
        <f aca="false">IF(W2351=1,"",IF(AND(Y2351=1,AA2351&lt;&gt;1),1,0))</f>
        <v/>
      </c>
      <c r="AD2351" s="33" t="str">
        <f aca="false">IF(AND(E2351&gt;0,W2351&lt;1,NOT(AND(C2352=C2351,W2352=W2351+1))),INDEX(DATAS,W2351+1),"")</f>
        <v/>
      </c>
      <c r="AE2351" s="33" t="str">
        <f aca="false">IF(AND(Y2351=1,W2351&lt;1),IF(AND(C2352=C2351,W2352=W2351+1),IF(Y2352=1,"",INDEX(DATAS,W2351+1)),INDEX(DATAS,W2351+1)),"")</f>
        <v/>
      </c>
    </row>
    <row r="2352" customFormat="false" ht="15" hidden="false" customHeight="false" outlineLevel="0" collapsed="false">
      <c r="A2352" s="33" t="n">
        <v>46309</v>
      </c>
      <c r="B2352" s="0" t="n">
        <v>11</v>
      </c>
      <c r="C2352" s="0" t="n">
        <v>6650</v>
      </c>
      <c r="E2352" s="0" t="n">
        <v>0</v>
      </c>
      <c r="F2352" s="27" t="s">
        <v>1245</v>
      </c>
      <c r="I2352" s="27" t="s">
        <v>168</v>
      </c>
      <c r="U2352" s="0" t="n">
        <v>486</v>
      </c>
      <c r="V2352" s="0" t="n">
        <v>4</v>
      </c>
      <c r="W2352" s="27" t="n">
        <f aca="false">MATCH(A2352,DATAS,0)</f>
        <v>1</v>
      </c>
      <c r="X2352" s="27" t="n">
        <f aca="false">IF(AND(E2352&gt;0,OR(AND(B2352&gt;=1,B2352&lt;=6),B2352=10)),1,0)</f>
        <v>0</v>
      </c>
      <c r="Y2352" s="27" t="n">
        <f aca="false">IF(AND(E2352&gt;0,B2352=10),1,0)</f>
        <v>0</v>
      </c>
      <c r="Z2352" s="0" t="str">
        <f aca="false">IF(AND(C2351=C2352,W2351=W2352-1),X2351,"")</f>
        <v/>
      </c>
      <c r="AA2352" s="0" t="str">
        <f aca="false">IF(AND(C2351=C2352,W2351=W2352-1),Y2351,"")</f>
        <v/>
      </c>
      <c r="AB2352" s="0" t="str">
        <f aca="false">IF(W2352=1,"",IF(AND(X2352=1,Z2352&lt;&gt;1),1,0))</f>
        <v/>
      </c>
      <c r="AC2352" s="0" t="str">
        <f aca="false">IF(W2352=1,"",IF(AND(Y2352=1,AA2352&lt;&gt;1),1,0))</f>
        <v/>
      </c>
      <c r="AD2352" s="33" t="str">
        <f aca="false">IF(AND(E2352&gt;0,W2352&lt;1,NOT(AND(C2353=C2352,W2353=W2352+1))),INDEX(DATAS,W2352+1),"")</f>
        <v/>
      </c>
      <c r="AE2352" s="33" t="str">
        <f aca="false">IF(AND(Y2352=1,W2352&lt;1),IF(AND(C2353=C2352,W2353=W2352+1),IF(Y2353=1,"",INDEX(DATAS,W2352+1)),INDEX(DATAS,W2352+1)),"")</f>
        <v/>
      </c>
    </row>
    <row r="2353" customFormat="false" ht="15" hidden="false" customHeight="false" outlineLevel="0" collapsed="false">
      <c r="A2353" s="33" t="n">
        <v>46309</v>
      </c>
      <c r="B2353" s="0" t="n">
        <v>11</v>
      </c>
      <c r="C2353" s="0" t="n">
        <v>6651</v>
      </c>
      <c r="E2353" s="0" t="n">
        <v>0</v>
      </c>
      <c r="F2353" s="27" t="s">
        <v>1245</v>
      </c>
      <c r="I2353" s="27" t="s">
        <v>168</v>
      </c>
      <c r="U2353" s="0" t="n">
        <v>486</v>
      </c>
      <c r="V2353" s="0" t="n">
        <v>4</v>
      </c>
      <c r="W2353" s="27" t="n">
        <f aca="false">MATCH(A2353,DATAS,0)</f>
        <v>1</v>
      </c>
      <c r="X2353" s="27" t="n">
        <f aca="false">IF(AND(E2353&gt;0,OR(AND(B2353&gt;=1,B2353&lt;=6),B2353=10)),1,0)</f>
        <v>0</v>
      </c>
      <c r="Y2353" s="27" t="n">
        <f aca="false">IF(AND(E2353&gt;0,B2353=10),1,0)</f>
        <v>0</v>
      </c>
      <c r="Z2353" s="0" t="str">
        <f aca="false">IF(AND(C2352=C2353,W2352=W2353-1),X2352,"")</f>
        <v/>
      </c>
      <c r="AA2353" s="0" t="str">
        <f aca="false">IF(AND(C2352=C2353,W2352=W2353-1),Y2352,"")</f>
        <v/>
      </c>
      <c r="AB2353" s="0" t="str">
        <f aca="false">IF(W2353=1,"",IF(AND(X2353=1,Z2353&lt;&gt;1),1,0))</f>
        <v/>
      </c>
      <c r="AC2353" s="0" t="str">
        <f aca="false">IF(W2353=1,"",IF(AND(Y2353=1,AA2353&lt;&gt;1),1,0))</f>
        <v/>
      </c>
      <c r="AD2353" s="33" t="str">
        <f aca="false">IF(AND(E2353&gt;0,W2353&lt;1,NOT(AND(C2354=C2353,W2354=W2353+1))),INDEX(DATAS,W2353+1),"")</f>
        <v/>
      </c>
      <c r="AE2353" s="33" t="str">
        <f aca="false">IF(AND(Y2353=1,W2353&lt;1),IF(AND(C2354=C2353,W2354=W2353+1),IF(Y2354=1,"",INDEX(DATAS,W2353+1)),INDEX(DATAS,W2353+1)),"")</f>
        <v/>
      </c>
    </row>
    <row r="2354" customFormat="false" ht="15" hidden="false" customHeight="false" outlineLevel="0" collapsed="false">
      <c r="A2354" s="33" t="n">
        <v>46309</v>
      </c>
      <c r="B2354" s="0" t="n">
        <v>11</v>
      </c>
      <c r="C2354" s="0" t="n">
        <v>6652</v>
      </c>
      <c r="E2354" s="0" t="n">
        <v>0</v>
      </c>
      <c r="F2354" s="27" t="s">
        <v>1245</v>
      </c>
      <c r="I2354" s="27" t="s">
        <v>168</v>
      </c>
      <c r="U2354" s="0" t="n">
        <v>486</v>
      </c>
      <c r="V2354" s="0" t="n">
        <v>4</v>
      </c>
      <c r="W2354" s="27" t="n">
        <f aca="false">MATCH(A2354,DATAS,0)</f>
        <v>1</v>
      </c>
      <c r="X2354" s="27" t="n">
        <f aca="false">IF(AND(E2354&gt;0,OR(AND(B2354&gt;=1,B2354&lt;=6),B2354=10)),1,0)</f>
        <v>0</v>
      </c>
      <c r="Y2354" s="27" t="n">
        <f aca="false">IF(AND(E2354&gt;0,B2354=10),1,0)</f>
        <v>0</v>
      </c>
      <c r="Z2354" s="0" t="str">
        <f aca="false">IF(AND(C2353=C2354,W2353=W2354-1),X2353,"")</f>
        <v/>
      </c>
      <c r="AA2354" s="0" t="str">
        <f aca="false">IF(AND(C2353=C2354,W2353=W2354-1),Y2353,"")</f>
        <v/>
      </c>
      <c r="AB2354" s="0" t="str">
        <f aca="false">IF(W2354=1,"",IF(AND(X2354=1,Z2354&lt;&gt;1),1,0))</f>
        <v/>
      </c>
      <c r="AC2354" s="0" t="str">
        <f aca="false">IF(W2354=1,"",IF(AND(Y2354=1,AA2354&lt;&gt;1),1,0))</f>
        <v/>
      </c>
      <c r="AD2354" s="33" t="str">
        <f aca="false">IF(AND(E2354&gt;0,W2354&lt;1,NOT(AND(C2355=C2354,W2355=W2354+1))),INDEX(DATAS,W2354+1),"")</f>
        <v/>
      </c>
      <c r="AE2354" s="33" t="str">
        <f aca="false">IF(AND(Y2354=1,W2354&lt;1),IF(AND(C2355=C2354,W2355=W2354+1),IF(Y2355=1,"",INDEX(DATAS,W2354+1)),INDEX(DATAS,W2354+1)),"")</f>
        <v/>
      </c>
    </row>
    <row r="2355" customFormat="false" ht="15" hidden="false" customHeight="false" outlineLevel="0" collapsed="false">
      <c r="A2355" s="33" t="n">
        <v>46309</v>
      </c>
      <c r="B2355" s="0" t="n">
        <v>8</v>
      </c>
      <c r="C2355" s="0" t="n">
        <v>6653</v>
      </c>
      <c r="E2355" s="0" t="n">
        <v>0</v>
      </c>
      <c r="F2355" s="27" t="s">
        <v>1245</v>
      </c>
      <c r="I2355" s="27" t="s">
        <v>138</v>
      </c>
      <c r="L2355" s="0" t="n">
        <v>85</v>
      </c>
      <c r="U2355" s="0" t="n">
        <v>486</v>
      </c>
      <c r="V2355" s="0" t="n">
        <v>1</v>
      </c>
      <c r="W2355" s="27" t="n">
        <f aca="false">MATCH(A2355,DATAS,0)</f>
        <v>1</v>
      </c>
      <c r="X2355" s="27" t="n">
        <f aca="false">IF(AND(E2355&gt;0,OR(AND(B2355&gt;=1,B2355&lt;=6),B2355=10)),1,0)</f>
        <v>0</v>
      </c>
      <c r="Y2355" s="27" t="n">
        <f aca="false">IF(AND(E2355&gt;0,B2355=10),1,0)</f>
        <v>0</v>
      </c>
      <c r="Z2355" s="0" t="str">
        <f aca="false">IF(AND(C2354=C2355,W2354=W2355-1),X2354,"")</f>
        <v/>
      </c>
      <c r="AA2355" s="0" t="str">
        <f aca="false">IF(AND(C2354=C2355,W2354=W2355-1),Y2354,"")</f>
        <v/>
      </c>
      <c r="AB2355" s="0" t="str">
        <f aca="false">IF(W2355=1,"",IF(AND(X2355=1,Z2355&lt;&gt;1),1,0))</f>
        <v/>
      </c>
      <c r="AC2355" s="0" t="str">
        <f aca="false">IF(W2355=1,"",IF(AND(Y2355=1,AA2355&lt;&gt;1),1,0))</f>
        <v/>
      </c>
      <c r="AD2355" s="33" t="str">
        <f aca="false">IF(AND(E2355&gt;0,W2355&lt;1,NOT(AND(C2356=C2355,W2356=W2355+1))),INDEX(DATAS,W2355+1),"")</f>
        <v/>
      </c>
      <c r="AE2355" s="33" t="str">
        <f aca="false">IF(AND(Y2355=1,W2355&lt;1),IF(AND(C2356=C2355,W2356=W2355+1),IF(Y2356=1,"",INDEX(DATAS,W2355+1)),INDEX(DATAS,W2355+1)),"")</f>
        <v/>
      </c>
    </row>
    <row r="2356" customFormat="false" ht="15" hidden="false" customHeight="false" outlineLevel="0" collapsed="false">
      <c r="A2356" s="33" t="n">
        <v>46309</v>
      </c>
      <c r="B2356" s="0" t="n">
        <v>8</v>
      </c>
      <c r="C2356" s="0" t="n">
        <v>6654</v>
      </c>
      <c r="E2356" s="0" t="n">
        <v>0</v>
      </c>
      <c r="F2356" s="27" t="s">
        <v>1246</v>
      </c>
      <c r="I2356" s="27" t="s">
        <v>138</v>
      </c>
      <c r="L2356" s="0" t="n">
        <v>49</v>
      </c>
      <c r="U2356" s="0" t="n">
        <v>485</v>
      </c>
      <c r="V2356" s="0" t="n">
        <v>1</v>
      </c>
      <c r="W2356" s="27" t="n">
        <f aca="false">MATCH(A2356,DATAS,0)</f>
        <v>1</v>
      </c>
      <c r="X2356" s="27" t="n">
        <f aca="false">IF(AND(E2356&gt;0,OR(AND(B2356&gt;=1,B2356&lt;=6),B2356=10)),1,0)</f>
        <v>0</v>
      </c>
      <c r="Y2356" s="27" t="n">
        <f aca="false">IF(AND(E2356&gt;0,B2356=10),1,0)</f>
        <v>0</v>
      </c>
      <c r="Z2356" s="0" t="str">
        <f aca="false">IF(AND(C2355=C2356,W2355=W2356-1),X2355,"")</f>
        <v/>
      </c>
      <c r="AA2356" s="0" t="str">
        <f aca="false">IF(AND(C2355=C2356,W2355=W2356-1),Y2355,"")</f>
        <v/>
      </c>
      <c r="AB2356" s="0" t="str">
        <f aca="false">IF(W2356=1,"",IF(AND(X2356=1,Z2356&lt;&gt;1),1,0))</f>
        <v/>
      </c>
      <c r="AC2356" s="0" t="str">
        <f aca="false">IF(W2356=1,"",IF(AND(Y2356=1,AA2356&lt;&gt;1),1,0))</f>
        <v/>
      </c>
      <c r="AD2356" s="33" t="str">
        <f aca="false">IF(AND(E2356&gt;0,W2356&lt;1,NOT(AND(C2357=C2356,W2357=W2356+1))),INDEX(DATAS,W2356+1),"")</f>
        <v/>
      </c>
      <c r="AE2356" s="33" t="str">
        <f aca="false">IF(AND(Y2356=1,W2356&lt;1),IF(AND(C2357=C2356,W2357=W2356+1),IF(Y2357=1,"",INDEX(DATAS,W2356+1)),INDEX(DATAS,W2356+1)),"")</f>
        <v/>
      </c>
    </row>
    <row r="2357" customFormat="false" ht="15" hidden="false" customHeight="false" outlineLevel="0" collapsed="false">
      <c r="A2357" s="33" t="n">
        <v>46309</v>
      </c>
      <c r="B2357" s="0" t="n">
        <v>8</v>
      </c>
      <c r="C2357" s="0" t="n">
        <v>6655</v>
      </c>
      <c r="E2357" s="0" t="n">
        <v>0</v>
      </c>
      <c r="F2357" s="27" t="s">
        <v>1246</v>
      </c>
      <c r="I2357" s="27" t="s">
        <v>138</v>
      </c>
      <c r="L2357" s="0" t="n">
        <v>56</v>
      </c>
      <c r="U2357" s="0" t="n">
        <v>485</v>
      </c>
      <c r="V2357" s="0" t="n">
        <v>3</v>
      </c>
      <c r="W2357" s="27" t="n">
        <f aca="false">MATCH(A2357,DATAS,0)</f>
        <v>1</v>
      </c>
      <c r="X2357" s="27" t="n">
        <f aca="false">IF(AND(E2357&gt;0,OR(AND(B2357&gt;=1,B2357&lt;=6),B2357=10)),1,0)</f>
        <v>0</v>
      </c>
      <c r="Y2357" s="27" t="n">
        <f aca="false">IF(AND(E2357&gt;0,B2357=10),1,0)</f>
        <v>0</v>
      </c>
      <c r="Z2357" s="0" t="str">
        <f aca="false">IF(AND(C2356=C2357,W2356=W2357-1),X2356,"")</f>
        <v/>
      </c>
      <c r="AA2357" s="0" t="str">
        <f aca="false">IF(AND(C2356=C2357,W2356=W2357-1),Y2356,"")</f>
        <v/>
      </c>
      <c r="AB2357" s="0" t="str">
        <f aca="false">IF(W2357=1,"",IF(AND(X2357=1,Z2357&lt;&gt;1),1,0))</f>
        <v/>
      </c>
      <c r="AC2357" s="0" t="str">
        <f aca="false">IF(W2357=1,"",IF(AND(Y2357=1,AA2357&lt;&gt;1),1,0))</f>
        <v/>
      </c>
      <c r="AD2357" s="33" t="str">
        <f aca="false">IF(AND(E2357&gt;0,W2357&lt;1,NOT(AND(C2358=C2357,W2358=W2357+1))),INDEX(DATAS,W2357+1),"")</f>
        <v/>
      </c>
      <c r="AE2357" s="33" t="str">
        <f aca="false">IF(AND(Y2357=1,W2357&lt;1),IF(AND(C2358=C2357,W2358=W2357+1),IF(Y2358=1,"",INDEX(DATAS,W2357+1)),INDEX(DATAS,W2357+1)),"")</f>
        <v/>
      </c>
    </row>
    <row r="2358" customFormat="false" ht="15" hidden="false" customHeight="false" outlineLevel="0" collapsed="false">
      <c r="A2358" s="33" t="n">
        <v>46309</v>
      </c>
      <c r="B2358" s="0" t="n">
        <v>8</v>
      </c>
      <c r="C2358" s="0" t="n">
        <v>6656</v>
      </c>
      <c r="E2358" s="0" t="n">
        <v>0</v>
      </c>
      <c r="F2358" s="27" t="s">
        <v>1246</v>
      </c>
      <c r="I2358" s="27" t="s">
        <v>138</v>
      </c>
      <c r="L2358" s="0" t="n">
        <v>86</v>
      </c>
      <c r="U2358" s="0" t="n">
        <v>485</v>
      </c>
      <c r="V2358" s="0" t="n">
        <v>1</v>
      </c>
      <c r="W2358" s="27" t="n">
        <f aca="false">MATCH(A2358,DATAS,0)</f>
        <v>1</v>
      </c>
      <c r="X2358" s="27" t="n">
        <f aca="false">IF(AND(E2358&gt;0,OR(AND(B2358&gt;=1,B2358&lt;=6),B2358=10)),1,0)</f>
        <v>0</v>
      </c>
      <c r="Y2358" s="27" t="n">
        <f aca="false">IF(AND(E2358&gt;0,B2358=10),1,0)</f>
        <v>0</v>
      </c>
      <c r="Z2358" s="0" t="str">
        <f aca="false">IF(AND(C2357=C2358,W2357=W2358-1),X2357,"")</f>
        <v/>
      </c>
      <c r="AA2358" s="0" t="str">
        <f aca="false">IF(AND(C2357=C2358,W2357=W2358-1),Y2357,"")</f>
        <v/>
      </c>
      <c r="AB2358" s="0" t="str">
        <f aca="false">IF(W2358=1,"",IF(AND(X2358=1,Z2358&lt;&gt;1),1,0))</f>
        <v/>
      </c>
      <c r="AC2358" s="0" t="str">
        <f aca="false">IF(W2358=1,"",IF(AND(Y2358=1,AA2358&lt;&gt;1),1,0))</f>
        <v/>
      </c>
      <c r="AD2358" s="33" t="str">
        <f aca="false">IF(AND(E2358&gt;0,W2358&lt;1,NOT(AND(C2359=C2358,W2359=W2358+1))),INDEX(DATAS,W2358+1),"")</f>
        <v/>
      </c>
      <c r="AE2358" s="33" t="str">
        <f aca="false">IF(AND(Y2358=1,W2358&lt;1),IF(AND(C2359=C2358,W2359=W2358+1),IF(Y2359=1,"",INDEX(DATAS,W2358+1)),INDEX(DATAS,W2358+1)),"")</f>
        <v/>
      </c>
    </row>
    <row r="2359" customFormat="false" ht="15" hidden="false" customHeight="false" outlineLevel="0" collapsed="false">
      <c r="A2359" s="33" t="n">
        <v>46309</v>
      </c>
      <c r="B2359" s="0" t="n">
        <v>8</v>
      </c>
      <c r="C2359" s="0" t="n">
        <v>6657</v>
      </c>
      <c r="E2359" s="0" t="n">
        <v>0</v>
      </c>
      <c r="F2359" s="27" t="s">
        <v>1246</v>
      </c>
      <c r="I2359" s="27" t="s">
        <v>138</v>
      </c>
      <c r="L2359" s="0" t="n">
        <v>94</v>
      </c>
      <c r="U2359" s="0" t="n">
        <v>485</v>
      </c>
      <c r="V2359" s="0" t="n">
        <v>1</v>
      </c>
      <c r="W2359" s="27" t="n">
        <f aca="false">MATCH(A2359,DATAS,0)</f>
        <v>1</v>
      </c>
      <c r="X2359" s="27" t="n">
        <f aca="false">IF(AND(E2359&gt;0,OR(AND(B2359&gt;=1,B2359&lt;=6),B2359=10)),1,0)</f>
        <v>0</v>
      </c>
      <c r="Y2359" s="27" t="n">
        <f aca="false">IF(AND(E2359&gt;0,B2359=10),1,0)</f>
        <v>0</v>
      </c>
      <c r="Z2359" s="0" t="str">
        <f aca="false">IF(AND(C2358=C2359,W2358=W2359-1),X2358,"")</f>
        <v/>
      </c>
      <c r="AA2359" s="0" t="str">
        <f aca="false">IF(AND(C2358=C2359,W2358=W2359-1),Y2358,"")</f>
        <v/>
      </c>
      <c r="AB2359" s="0" t="str">
        <f aca="false">IF(W2359=1,"",IF(AND(X2359=1,Z2359&lt;&gt;1),1,0))</f>
        <v/>
      </c>
      <c r="AC2359" s="0" t="str">
        <f aca="false">IF(W2359=1,"",IF(AND(Y2359=1,AA2359&lt;&gt;1),1,0))</f>
        <v/>
      </c>
      <c r="AD2359" s="33" t="str">
        <f aca="false">IF(AND(E2359&gt;0,W2359&lt;1,NOT(AND(C2360=C2359,W2360=W2359+1))),INDEX(DATAS,W2359+1),"")</f>
        <v/>
      </c>
      <c r="AE2359" s="33" t="str">
        <f aca="false">IF(AND(Y2359=1,W2359&lt;1),IF(AND(C2360=C2359,W2360=W2359+1),IF(Y2360=1,"",INDEX(DATAS,W2359+1)),INDEX(DATAS,W2359+1)),"")</f>
        <v/>
      </c>
    </row>
    <row r="2360" customFormat="false" ht="15" hidden="false" customHeight="false" outlineLevel="0" collapsed="false">
      <c r="A2360" s="33" t="n">
        <v>46309</v>
      </c>
      <c r="B2360" s="0" t="n">
        <v>8</v>
      </c>
      <c r="C2360" s="0" t="n">
        <v>6658</v>
      </c>
      <c r="E2360" s="0" t="n">
        <v>0</v>
      </c>
      <c r="F2360" s="27" t="s">
        <v>1246</v>
      </c>
      <c r="I2360" s="27" t="s">
        <v>138</v>
      </c>
      <c r="L2360" s="0" t="n">
        <v>27</v>
      </c>
      <c r="U2360" s="0" t="n">
        <v>485</v>
      </c>
      <c r="V2360" s="0" t="n">
        <v>4</v>
      </c>
      <c r="W2360" s="27" t="n">
        <f aca="false">MATCH(A2360,DATAS,0)</f>
        <v>1</v>
      </c>
      <c r="X2360" s="27" t="n">
        <f aca="false">IF(AND(E2360&gt;0,OR(AND(B2360&gt;=1,B2360&lt;=6),B2360=10)),1,0)</f>
        <v>0</v>
      </c>
      <c r="Y2360" s="27" t="n">
        <f aca="false">IF(AND(E2360&gt;0,B2360=10),1,0)</f>
        <v>0</v>
      </c>
      <c r="Z2360" s="0" t="str">
        <f aca="false">IF(AND(C2359=C2360,W2359=W2360-1),X2359,"")</f>
        <v/>
      </c>
      <c r="AA2360" s="0" t="str">
        <f aca="false">IF(AND(C2359=C2360,W2359=W2360-1),Y2359,"")</f>
        <v/>
      </c>
      <c r="AB2360" s="0" t="str">
        <f aca="false">IF(W2360=1,"",IF(AND(X2360=1,Z2360&lt;&gt;1),1,0))</f>
        <v/>
      </c>
      <c r="AC2360" s="0" t="str">
        <f aca="false">IF(W2360=1,"",IF(AND(Y2360=1,AA2360&lt;&gt;1),1,0))</f>
        <v/>
      </c>
      <c r="AD2360" s="33" t="str">
        <f aca="false">IF(AND(E2360&gt;0,W2360&lt;1,NOT(AND(C2361=C2360,W2361=W2360+1))),INDEX(DATAS,W2360+1),"")</f>
        <v/>
      </c>
      <c r="AE2360" s="33" t="str">
        <f aca="false">IF(AND(Y2360=1,W2360&lt;1),IF(AND(C2361=C2360,W2361=W2360+1),IF(Y2361=1,"",INDEX(DATAS,W2360+1)),INDEX(DATAS,W2360+1)),"")</f>
        <v/>
      </c>
    </row>
    <row r="2361" customFormat="false" ht="15" hidden="false" customHeight="false" outlineLevel="0" collapsed="false">
      <c r="A2361" s="33" t="n">
        <v>46309</v>
      </c>
      <c r="B2361" s="0" t="n">
        <v>8</v>
      </c>
      <c r="C2361" s="0" t="n">
        <v>6659</v>
      </c>
      <c r="E2361" s="0" t="n">
        <v>0</v>
      </c>
      <c r="F2361" s="27" t="s">
        <v>1246</v>
      </c>
      <c r="I2361" s="27" t="s">
        <v>138</v>
      </c>
      <c r="L2361" s="0" t="n">
        <v>29</v>
      </c>
      <c r="U2361" s="0" t="n">
        <v>485</v>
      </c>
      <c r="V2361" s="0" t="n">
        <v>3</v>
      </c>
      <c r="W2361" s="27" t="n">
        <f aca="false">MATCH(A2361,DATAS,0)</f>
        <v>1</v>
      </c>
      <c r="X2361" s="27" t="n">
        <f aca="false">IF(AND(E2361&gt;0,OR(AND(B2361&gt;=1,B2361&lt;=6),B2361=10)),1,0)</f>
        <v>0</v>
      </c>
      <c r="Y2361" s="27" t="n">
        <f aca="false">IF(AND(E2361&gt;0,B2361=10),1,0)</f>
        <v>0</v>
      </c>
      <c r="Z2361" s="0" t="str">
        <f aca="false">IF(AND(C2360=C2361,W2360=W2361-1),X2360,"")</f>
        <v/>
      </c>
      <c r="AA2361" s="0" t="str">
        <f aca="false">IF(AND(C2360=C2361,W2360=W2361-1),Y2360,"")</f>
        <v/>
      </c>
      <c r="AB2361" s="0" t="str">
        <f aca="false">IF(W2361=1,"",IF(AND(X2361=1,Z2361&lt;&gt;1),1,0))</f>
        <v/>
      </c>
      <c r="AC2361" s="0" t="str">
        <f aca="false">IF(W2361=1,"",IF(AND(Y2361=1,AA2361&lt;&gt;1),1,0))</f>
        <v/>
      </c>
      <c r="AD2361" s="33" t="str">
        <f aca="false">IF(AND(E2361&gt;0,W2361&lt;1,NOT(AND(C2362=C2361,W2362=W2361+1))),INDEX(DATAS,W2361+1),"")</f>
        <v/>
      </c>
      <c r="AE2361" s="33" t="str">
        <f aca="false">IF(AND(Y2361=1,W2361&lt;1),IF(AND(C2362=C2361,W2362=W2361+1),IF(Y2362=1,"",INDEX(DATAS,W2361+1)),INDEX(DATAS,W2361+1)),"")</f>
        <v/>
      </c>
    </row>
    <row r="2362" customFormat="false" ht="15" hidden="false" customHeight="false" outlineLevel="0" collapsed="false">
      <c r="A2362" s="33" t="n">
        <v>46309</v>
      </c>
      <c r="B2362" s="0" t="n">
        <v>8</v>
      </c>
      <c r="C2362" s="0" t="n">
        <v>6660</v>
      </c>
      <c r="E2362" s="0" t="n">
        <v>0</v>
      </c>
      <c r="F2362" s="27" t="s">
        <v>1246</v>
      </c>
      <c r="I2362" s="27" t="s">
        <v>138</v>
      </c>
      <c r="L2362" s="0" t="n">
        <v>88</v>
      </c>
      <c r="U2362" s="0" t="n">
        <v>485</v>
      </c>
      <c r="V2362" s="0" t="n">
        <v>1</v>
      </c>
      <c r="W2362" s="27" t="n">
        <f aca="false">MATCH(A2362,DATAS,0)</f>
        <v>1</v>
      </c>
      <c r="X2362" s="27" t="n">
        <f aca="false">IF(AND(E2362&gt;0,OR(AND(B2362&gt;=1,B2362&lt;=6),B2362=10)),1,0)</f>
        <v>0</v>
      </c>
      <c r="Y2362" s="27" t="n">
        <f aca="false">IF(AND(E2362&gt;0,B2362=10),1,0)</f>
        <v>0</v>
      </c>
      <c r="Z2362" s="0" t="str">
        <f aca="false">IF(AND(C2361=C2362,W2361=W2362-1),X2361,"")</f>
        <v/>
      </c>
      <c r="AA2362" s="0" t="str">
        <f aca="false">IF(AND(C2361=C2362,W2361=W2362-1),Y2361,"")</f>
        <v/>
      </c>
      <c r="AB2362" s="0" t="str">
        <f aca="false">IF(W2362=1,"",IF(AND(X2362=1,Z2362&lt;&gt;1),1,0))</f>
        <v/>
      </c>
      <c r="AC2362" s="0" t="str">
        <f aca="false">IF(W2362=1,"",IF(AND(Y2362=1,AA2362&lt;&gt;1),1,0))</f>
        <v/>
      </c>
      <c r="AD2362" s="33" t="str">
        <f aca="false">IF(AND(E2362&gt;0,W2362&lt;1,NOT(AND(C2363=C2362,W2363=W2362+1))),INDEX(DATAS,W2362+1),"")</f>
        <v/>
      </c>
      <c r="AE2362" s="33" t="str">
        <f aca="false">IF(AND(Y2362=1,W2362&lt;1),IF(AND(C2363=C2362,W2363=W2362+1),IF(Y2363=1,"",INDEX(DATAS,W2362+1)),INDEX(DATAS,W2362+1)),"")</f>
        <v/>
      </c>
    </row>
    <row r="2363" customFormat="false" ht="15" hidden="false" customHeight="false" outlineLevel="0" collapsed="false">
      <c r="A2363" s="33" t="n">
        <v>46309</v>
      </c>
      <c r="B2363" s="0" t="n">
        <v>8</v>
      </c>
      <c r="C2363" s="0" t="n">
        <v>6661</v>
      </c>
      <c r="E2363" s="0" t="n">
        <v>0</v>
      </c>
      <c r="F2363" s="27" t="s">
        <v>1247</v>
      </c>
      <c r="I2363" s="27" t="s">
        <v>138</v>
      </c>
      <c r="L2363" s="0" t="n">
        <v>63</v>
      </c>
      <c r="U2363" s="0" t="n">
        <v>483</v>
      </c>
      <c r="V2363" s="0" t="n">
        <v>1</v>
      </c>
      <c r="W2363" s="27" t="n">
        <f aca="false">MATCH(A2363,DATAS,0)</f>
        <v>1</v>
      </c>
      <c r="X2363" s="27" t="n">
        <f aca="false">IF(AND(E2363&gt;0,OR(AND(B2363&gt;=1,B2363&lt;=6),B2363=10)),1,0)</f>
        <v>0</v>
      </c>
      <c r="Y2363" s="27" t="n">
        <f aca="false">IF(AND(E2363&gt;0,B2363=10),1,0)</f>
        <v>0</v>
      </c>
      <c r="Z2363" s="0" t="str">
        <f aca="false">IF(AND(C2362=C2363,W2362=W2363-1),X2362,"")</f>
        <v/>
      </c>
      <c r="AA2363" s="0" t="str">
        <f aca="false">IF(AND(C2362=C2363,W2362=W2363-1),Y2362,"")</f>
        <v/>
      </c>
      <c r="AB2363" s="0" t="str">
        <f aca="false">IF(W2363=1,"",IF(AND(X2363=1,Z2363&lt;&gt;1),1,0))</f>
        <v/>
      </c>
      <c r="AC2363" s="0" t="str">
        <f aca="false">IF(W2363=1,"",IF(AND(Y2363=1,AA2363&lt;&gt;1),1,0))</f>
        <v/>
      </c>
      <c r="AD2363" s="33" t="str">
        <f aca="false">IF(AND(E2363&gt;0,W2363&lt;1,NOT(AND(C2364=C2363,W2364=W2363+1))),INDEX(DATAS,W2363+1),"")</f>
        <v/>
      </c>
      <c r="AE2363" s="33" t="str">
        <f aca="false">IF(AND(Y2363=1,W2363&lt;1),IF(AND(C2364=C2363,W2364=W2363+1),IF(Y2364=1,"",INDEX(DATAS,W2363+1)),INDEX(DATAS,W2363+1)),"")</f>
        <v/>
      </c>
    </row>
    <row r="2364" customFormat="false" ht="15" hidden="false" customHeight="false" outlineLevel="0" collapsed="false">
      <c r="A2364" s="33" t="n">
        <v>46309</v>
      </c>
      <c r="B2364" s="0" t="n">
        <v>8</v>
      </c>
      <c r="C2364" s="0" t="n">
        <v>6663</v>
      </c>
      <c r="E2364" s="0" t="n">
        <v>0</v>
      </c>
      <c r="F2364" s="27" t="s">
        <v>1248</v>
      </c>
      <c r="I2364" s="27" t="s">
        <v>138</v>
      </c>
      <c r="L2364" s="0" t="n">
        <v>73</v>
      </c>
      <c r="U2364" s="0" t="n">
        <v>482</v>
      </c>
      <c r="V2364" s="0" t="n">
        <v>1</v>
      </c>
      <c r="W2364" s="27" t="n">
        <f aca="false">MATCH(A2364,DATAS,0)</f>
        <v>1</v>
      </c>
      <c r="X2364" s="27" t="n">
        <f aca="false">IF(AND(E2364&gt;0,OR(AND(B2364&gt;=1,B2364&lt;=6),B2364=10)),1,0)</f>
        <v>0</v>
      </c>
      <c r="Y2364" s="27" t="n">
        <f aca="false">IF(AND(E2364&gt;0,B2364=10),1,0)</f>
        <v>0</v>
      </c>
      <c r="Z2364" s="0" t="str">
        <f aca="false">IF(AND(C2363=C2364,W2363=W2364-1),X2363,"")</f>
        <v/>
      </c>
      <c r="AA2364" s="0" t="str">
        <f aca="false">IF(AND(C2363=C2364,W2363=W2364-1),Y2363,"")</f>
        <v/>
      </c>
      <c r="AB2364" s="0" t="str">
        <f aca="false">IF(W2364=1,"",IF(AND(X2364=1,Z2364&lt;&gt;1),1,0))</f>
        <v/>
      </c>
      <c r="AC2364" s="0" t="str">
        <f aca="false">IF(W2364=1,"",IF(AND(Y2364=1,AA2364&lt;&gt;1),1,0))</f>
        <v/>
      </c>
      <c r="AD2364" s="33" t="str">
        <f aca="false">IF(AND(E2364&gt;0,W2364&lt;1,NOT(AND(C2365=C2364,W2365=W2364+1))),INDEX(DATAS,W2364+1),"")</f>
        <v/>
      </c>
      <c r="AE2364" s="33" t="str">
        <f aca="false">IF(AND(Y2364=1,W2364&lt;1),IF(AND(C2365=C2364,W2365=W2364+1),IF(Y2365=1,"",INDEX(DATAS,W2364+1)),INDEX(DATAS,W2364+1)),"")</f>
        <v/>
      </c>
    </row>
    <row r="2365" customFormat="false" ht="15" hidden="false" customHeight="false" outlineLevel="0" collapsed="false">
      <c r="A2365" s="33" t="n">
        <v>46309</v>
      </c>
      <c r="B2365" s="0" t="n">
        <v>8</v>
      </c>
      <c r="C2365" s="0" t="n">
        <v>6665</v>
      </c>
      <c r="E2365" s="0" t="n">
        <v>0</v>
      </c>
      <c r="F2365" s="27" t="s">
        <v>1248</v>
      </c>
      <c r="I2365" s="27" t="s">
        <v>138</v>
      </c>
      <c r="L2365" s="0" t="n">
        <v>78</v>
      </c>
      <c r="U2365" s="0" t="n">
        <v>482</v>
      </c>
      <c r="V2365" s="0" t="n">
        <v>1</v>
      </c>
      <c r="W2365" s="27" t="n">
        <f aca="false">MATCH(A2365,DATAS,0)</f>
        <v>1</v>
      </c>
      <c r="X2365" s="27" t="n">
        <f aca="false">IF(AND(E2365&gt;0,OR(AND(B2365&gt;=1,B2365&lt;=6),B2365=10)),1,0)</f>
        <v>0</v>
      </c>
      <c r="Y2365" s="27" t="n">
        <f aca="false">IF(AND(E2365&gt;0,B2365=10),1,0)</f>
        <v>0</v>
      </c>
      <c r="Z2365" s="0" t="str">
        <f aca="false">IF(AND(C2364=C2365,W2364=W2365-1),X2364,"")</f>
        <v/>
      </c>
      <c r="AA2365" s="0" t="str">
        <f aca="false">IF(AND(C2364=C2365,W2364=W2365-1),Y2364,"")</f>
        <v/>
      </c>
      <c r="AB2365" s="0" t="str">
        <f aca="false">IF(W2365=1,"",IF(AND(X2365=1,Z2365&lt;&gt;1),1,0))</f>
        <v/>
      </c>
      <c r="AC2365" s="0" t="str">
        <f aca="false">IF(W2365=1,"",IF(AND(Y2365=1,AA2365&lt;&gt;1),1,0))</f>
        <v/>
      </c>
      <c r="AD2365" s="33" t="str">
        <f aca="false">IF(AND(E2365&gt;0,W2365&lt;1,NOT(AND(C2366=C2365,W2366=W2365+1))),INDEX(DATAS,W2365+1),"")</f>
        <v/>
      </c>
      <c r="AE2365" s="33" t="str">
        <f aca="false">IF(AND(Y2365=1,W2365&lt;1),IF(AND(C2366=C2365,W2366=W2365+1),IF(Y2366=1,"",INDEX(DATAS,W2365+1)),INDEX(DATAS,W2365+1)),"")</f>
        <v/>
      </c>
    </row>
    <row r="2366" customFormat="false" ht="15" hidden="false" customHeight="false" outlineLevel="0" collapsed="false">
      <c r="A2366" s="33" t="n">
        <v>46309</v>
      </c>
      <c r="B2366" s="0" t="n">
        <v>11</v>
      </c>
      <c r="C2366" s="0" t="n">
        <v>6666</v>
      </c>
      <c r="E2366" s="0" t="n">
        <v>0</v>
      </c>
      <c r="F2366" s="27" t="s">
        <v>1248</v>
      </c>
      <c r="I2366" s="27" t="s">
        <v>168</v>
      </c>
      <c r="U2366" s="0" t="n">
        <v>482</v>
      </c>
      <c r="V2366" s="0" t="n">
        <v>3</v>
      </c>
      <c r="W2366" s="27" t="n">
        <f aca="false">MATCH(A2366,DATAS,0)</f>
        <v>1</v>
      </c>
      <c r="X2366" s="27" t="n">
        <f aca="false">IF(AND(E2366&gt;0,OR(AND(B2366&gt;=1,B2366&lt;=6),B2366=10)),1,0)</f>
        <v>0</v>
      </c>
      <c r="Y2366" s="27" t="n">
        <f aca="false">IF(AND(E2366&gt;0,B2366=10),1,0)</f>
        <v>0</v>
      </c>
      <c r="Z2366" s="0" t="str">
        <f aca="false">IF(AND(C2365=C2366,W2365=W2366-1),X2365,"")</f>
        <v/>
      </c>
      <c r="AA2366" s="0" t="str">
        <f aca="false">IF(AND(C2365=C2366,W2365=W2366-1),Y2365,"")</f>
        <v/>
      </c>
      <c r="AB2366" s="0" t="str">
        <f aca="false">IF(W2366=1,"",IF(AND(X2366=1,Z2366&lt;&gt;1),1,0))</f>
        <v/>
      </c>
      <c r="AC2366" s="0" t="str">
        <f aca="false">IF(W2366=1,"",IF(AND(Y2366=1,AA2366&lt;&gt;1),1,0))</f>
        <v/>
      </c>
      <c r="AD2366" s="33" t="str">
        <f aca="false">IF(AND(E2366&gt;0,W2366&lt;1,NOT(AND(C2367=C2366,W2367=W2366+1))),INDEX(DATAS,W2366+1),"")</f>
        <v/>
      </c>
      <c r="AE2366" s="33" t="str">
        <f aca="false">IF(AND(Y2366=1,W2366&lt;1),IF(AND(C2367=C2366,W2367=W2366+1),IF(Y2367=1,"",INDEX(DATAS,W2366+1)),INDEX(DATAS,W2366+1)),"")</f>
        <v/>
      </c>
    </row>
    <row r="2367" customFormat="false" ht="15" hidden="false" customHeight="false" outlineLevel="0" collapsed="false">
      <c r="A2367" s="33" t="n">
        <v>46309</v>
      </c>
      <c r="B2367" s="0" t="n">
        <v>11</v>
      </c>
      <c r="C2367" s="0" t="n">
        <v>6668</v>
      </c>
      <c r="E2367" s="0" t="n">
        <v>0</v>
      </c>
      <c r="F2367" s="27" t="s">
        <v>1248</v>
      </c>
      <c r="I2367" s="27" t="s">
        <v>168</v>
      </c>
      <c r="U2367" s="0" t="n">
        <v>482</v>
      </c>
      <c r="V2367" s="0" t="n">
        <v>2</v>
      </c>
      <c r="W2367" s="27" t="n">
        <f aca="false">MATCH(A2367,DATAS,0)</f>
        <v>1</v>
      </c>
      <c r="X2367" s="27" t="n">
        <f aca="false">IF(AND(E2367&gt;0,OR(AND(B2367&gt;=1,B2367&lt;=6),B2367=10)),1,0)</f>
        <v>0</v>
      </c>
      <c r="Y2367" s="27" t="n">
        <f aca="false">IF(AND(E2367&gt;0,B2367=10),1,0)</f>
        <v>0</v>
      </c>
      <c r="Z2367" s="0" t="str">
        <f aca="false">IF(AND(C2366=C2367,W2366=W2367-1),X2366,"")</f>
        <v/>
      </c>
      <c r="AA2367" s="0" t="str">
        <f aca="false">IF(AND(C2366=C2367,W2366=W2367-1),Y2366,"")</f>
        <v/>
      </c>
      <c r="AB2367" s="0" t="str">
        <f aca="false">IF(W2367=1,"",IF(AND(X2367=1,Z2367&lt;&gt;1),1,0))</f>
        <v/>
      </c>
      <c r="AC2367" s="0" t="str">
        <f aca="false">IF(W2367=1,"",IF(AND(Y2367=1,AA2367&lt;&gt;1),1,0))</f>
        <v/>
      </c>
      <c r="AD2367" s="33" t="str">
        <f aca="false">IF(AND(E2367&gt;0,W2367&lt;1,NOT(AND(C2368=C2367,W2368=W2367+1))),INDEX(DATAS,W2367+1),"")</f>
        <v/>
      </c>
      <c r="AE2367" s="33" t="str">
        <f aca="false">IF(AND(Y2367=1,W2367&lt;1),IF(AND(C2368=C2367,W2368=W2367+1),IF(Y2368=1,"",INDEX(DATAS,W2367+1)),INDEX(DATAS,W2367+1)),"")</f>
        <v/>
      </c>
    </row>
    <row r="2368" customFormat="false" ht="15" hidden="false" customHeight="false" outlineLevel="0" collapsed="false">
      <c r="A2368" s="33" t="n">
        <v>46309</v>
      </c>
      <c r="B2368" s="0" t="n">
        <v>8</v>
      </c>
      <c r="C2368" s="0" t="n">
        <v>6669</v>
      </c>
      <c r="E2368" s="0" t="n">
        <v>0</v>
      </c>
      <c r="F2368" s="27" t="s">
        <v>1248</v>
      </c>
      <c r="I2368" s="27" t="s">
        <v>138</v>
      </c>
      <c r="L2368" s="0" t="n">
        <v>65</v>
      </c>
      <c r="U2368" s="0" t="n">
        <v>482</v>
      </c>
      <c r="V2368" s="0" t="n">
        <v>1</v>
      </c>
      <c r="W2368" s="27" t="n">
        <f aca="false">MATCH(A2368,DATAS,0)</f>
        <v>1</v>
      </c>
      <c r="X2368" s="27" t="n">
        <f aca="false">IF(AND(E2368&gt;0,OR(AND(B2368&gt;=1,B2368&lt;=6),B2368=10)),1,0)</f>
        <v>0</v>
      </c>
      <c r="Y2368" s="27" t="n">
        <f aca="false">IF(AND(E2368&gt;0,B2368=10),1,0)</f>
        <v>0</v>
      </c>
      <c r="Z2368" s="0" t="str">
        <f aca="false">IF(AND(C2367=C2368,W2367=W2368-1),X2367,"")</f>
        <v/>
      </c>
      <c r="AA2368" s="0" t="str">
        <f aca="false">IF(AND(C2367=C2368,W2367=W2368-1),Y2367,"")</f>
        <v/>
      </c>
      <c r="AB2368" s="0" t="str">
        <f aca="false">IF(W2368=1,"",IF(AND(X2368=1,Z2368&lt;&gt;1),1,0))</f>
        <v/>
      </c>
      <c r="AC2368" s="0" t="str">
        <f aca="false">IF(W2368=1,"",IF(AND(Y2368=1,AA2368&lt;&gt;1),1,0))</f>
        <v/>
      </c>
      <c r="AD2368" s="33" t="str">
        <f aca="false">IF(AND(E2368&gt;0,W2368&lt;1,NOT(AND(C2369=C2368,W2369=W2368+1))),INDEX(DATAS,W2368+1),"")</f>
        <v/>
      </c>
      <c r="AE2368" s="33" t="str">
        <f aca="false">IF(AND(Y2368=1,W2368&lt;1),IF(AND(C2369=C2368,W2369=W2368+1),IF(Y2369=1,"",INDEX(DATAS,W2368+1)),INDEX(DATAS,W2368+1)),"")</f>
        <v/>
      </c>
    </row>
    <row r="2369" customFormat="false" ht="15" hidden="false" customHeight="false" outlineLevel="0" collapsed="false">
      <c r="A2369" s="33" t="n">
        <v>46309</v>
      </c>
      <c r="B2369" s="0" t="n">
        <v>8</v>
      </c>
      <c r="C2369" s="0" t="n">
        <v>6670</v>
      </c>
      <c r="E2369" s="0" t="n">
        <v>0</v>
      </c>
      <c r="F2369" s="27" t="s">
        <v>1249</v>
      </c>
      <c r="I2369" s="27" t="s">
        <v>138</v>
      </c>
      <c r="L2369" s="0" t="n">
        <v>84</v>
      </c>
      <c r="U2369" s="0" t="n">
        <v>481</v>
      </c>
      <c r="V2369" s="0" t="n">
        <v>1</v>
      </c>
      <c r="W2369" s="27" t="n">
        <f aca="false">MATCH(A2369,DATAS,0)</f>
        <v>1</v>
      </c>
      <c r="X2369" s="27" t="n">
        <f aca="false">IF(AND(E2369&gt;0,OR(AND(B2369&gt;=1,B2369&lt;=6),B2369=10)),1,0)</f>
        <v>0</v>
      </c>
      <c r="Y2369" s="27" t="n">
        <f aca="false">IF(AND(E2369&gt;0,B2369=10),1,0)</f>
        <v>0</v>
      </c>
      <c r="Z2369" s="0" t="str">
        <f aca="false">IF(AND(C2368=C2369,W2368=W2369-1),X2368,"")</f>
        <v/>
      </c>
      <c r="AA2369" s="0" t="str">
        <f aca="false">IF(AND(C2368=C2369,W2368=W2369-1),Y2368,"")</f>
        <v/>
      </c>
      <c r="AB2369" s="0" t="str">
        <f aca="false">IF(W2369=1,"",IF(AND(X2369=1,Z2369&lt;&gt;1),1,0))</f>
        <v/>
      </c>
      <c r="AC2369" s="0" t="str">
        <f aca="false">IF(W2369=1,"",IF(AND(Y2369=1,AA2369&lt;&gt;1),1,0))</f>
        <v/>
      </c>
      <c r="AD2369" s="33" t="str">
        <f aca="false">IF(AND(E2369&gt;0,W2369&lt;1,NOT(AND(C2370=C2369,W2370=W2369+1))),INDEX(DATAS,W2369+1),"")</f>
        <v/>
      </c>
      <c r="AE2369" s="33" t="str">
        <f aca="false">IF(AND(Y2369=1,W2369&lt;1),IF(AND(C2370=C2369,W2370=W2369+1),IF(Y2370=1,"",INDEX(DATAS,W2369+1)),INDEX(DATAS,W2369+1)),"")</f>
        <v/>
      </c>
    </row>
    <row r="2370" customFormat="false" ht="15" hidden="false" customHeight="false" outlineLevel="0" collapsed="false">
      <c r="A2370" s="33" t="n">
        <v>46309</v>
      </c>
      <c r="B2370" s="0" t="n">
        <v>8</v>
      </c>
      <c r="C2370" s="0" t="n">
        <v>6671</v>
      </c>
      <c r="E2370" s="0" t="n">
        <v>0</v>
      </c>
      <c r="F2370" s="27" t="s">
        <v>1249</v>
      </c>
      <c r="I2370" s="27" t="s">
        <v>138</v>
      </c>
      <c r="L2370" s="0" t="n">
        <v>77</v>
      </c>
      <c r="U2370" s="0" t="n">
        <v>481</v>
      </c>
      <c r="V2370" s="0" t="n">
        <v>1</v>
      </c>
      <c r="W2370" s="27" t="n">
        <f aca="false">MATCH(A2370,DATAS,0)</f>
        <v>1</v>
      </c>
      <c r="X2370" s="27" t="n">
        <f aca="false">IF(AND(E2370&gt;0,OR(AND(B2370&gt;=1,B2370&lt;=6),B2370=10)),1,0)</f>
        <v>0</v>
      </c>
      <c r="Y2370" s="27" t="n">
        <f aca="false">IF(AND(E2370&gt;0,B2370=10),1,0)</f>
        <v>0</v>
      </c>
      <c r="Z2370" s="0" t="str">
        <f aca="false">IF(AND(C2369=C2370,W2369=W2370-1),X2369,"")</f>
        <v/>
      </c>
      <c r="AA2370" s="0" t="str">
        <f aca="false">IF(AND(C2369=C2370,W2369=W2370-1),Y2369,"")</f>
        <v/>
      </c>
      <c r="AB2370" s="0" t="str">
        <f aca="false">IF(W2370=1,"",IF(AND(X2370=1,Z2370&lt;&gt;1),1,0))</f>
        <v/>
      </c>
      <c r="AC2370" s="0" t="str">
        <f aca="false">IF(W2370=1,"",IF(AND(Y2370=1,AA2370&lt;&gt;1),1,0))</f>
        <v/>
      </c>
      <c r="AD2370" s="33" t="str">
        <f aca="false">IF(AND(E2370&gt;0,W2370&lt;1,NOT(AND(C2371=C2370,W2371=W2370+1))),INDEX(DATAS,W2370+1),"")</f>
        <v/>
      </c>
      <c r="AE2370" s="33" t="str">
        <f aca="false">IF(AND(Y2370=1,W2370&lt;1),IF(AND(C2371=C2370,W2371=W2370+1),IF(Y2371=1,"",INDEX(DATAS,W2370+1)),INDEX(DATAS,W2370+1)),"")</f>
        <v/>
      </c>
    </row>
    <row r="2371" customFormat="false" ht="15" hidden="false" customHeight="false" outlineLevel="0" collapsed="false">
      <c r="A2371" s="33" t="n">
        <v>46309</v>
      </c>
      <c r="B2371" s="0" t="n">
        <v>8</v>
      </c>
      <c r="C2371" s="0" t="n">
        <v>6674</v>
      </c>
      <c r="E2371" s="0" t="n">
        <v>0</v>
      </c>
      <c r="F2371" s="27" t="s">
        <v>1250</v>
      </c>
      <c r="I2371" s="27" t="s">
        <v>138</v>
      </c>
      <c r="L2371" s="0" t="n">
        <v>63</v>
      </c>
      <c r="U2371" s="0" t="n">
        <v>479</v>
      </c>
      <c r="V2371" s="0" t="n">
        <v>1</v>
      </c>
      <c r="W2371" s="27" t="n">
        <f aca="false">MATCH(A2371,DATAS,0)</f>
        <v>1</v>
      </c>
      <c r="X2371" s="27" t="n">
        <f aca="false">IF(AND(E2371&gt;0,OR(AND(B2371&gt;=1,B2371&lt;=6),B2371=10)),1,0)</f>
        <v>0</v>
      </c>
      <c r="Y2371" s="27" t="n">
        <f aca="false">IF(AND(E2371&gt;0,B2371=10),1,0)</f>
        <v>0</v>
      </c>
      <c r="Z2371" s="0" t="str">
        <f aca="false">IF(AND(C2370=C2371,W2370=W2371-1),X2370,"")</f>
        <v/>
      </c>
      <c r="AA2371" s="0" t="str">
        <f aca="false">IF(AND(C2370=C2371,W2370=W2371-1),Y2370,"")</f>
        <v/>
      </c>
      <c r="AB2371" s="0" t="str">
        <f aca="false">IF(W2371=1,"",IF(AND(X2371=1,Z2371&lt;&gt;1),1,0))</f>
        <v/>
      </c>
      <c r="AC2371" s="0" t="str">
        <f aca="false">IF(W2371=1,"",IF(AND(Y2371=1,AA2371&lt;&gt;1),1,0))</f>
        <v/>
      </c>
      <c r="AD2371" s="33" t="str">
        <f aca="false">IF(AND(E2371&gt;0,W2371&lt;1,NOT(AND(C2372=C2371,W2372=W2371+1))),INDEX(DATAS,W2371+1),"")</f>
        <v/>
      </c>
      <c r="AE2371" s="33" t="str">
        <f aca="false">IF(AND(Y2371=1,W2371&lt;1),IF(AND(C2372=C2371,W2372=W2371+1),IF(Y2372=1,"",INDEX(DATAS,W2371+1)),INDEX(DATAS,W2371+1)),"")</f>
        <v/>
      </c>
    </row>
    <row r="2372" customFormat="false" ht="15" hidden="false" customHeight="false" outlineLevel="0" collapsed="false">
      <c r="A2372" s="33" t="n">
        <v>46309</v>
      </c>
      <c r="B2372" s="0" t="n">
        <v>8</v>
      </c>
      <c r="C2372" s="0" t="n">
        <v>6675</v>
      </c>
      <c r="E2372" s="0" t="n">
        <v>0</v>
      </c>
      <c r="F2372" s="27" t="s">
        <v>1250</v>
      </c>
      <c r="I2372" s="27" t="s">
        <v>138</v>
      </c>
      <c r="L2372" s="0" t="n">
        <v>87</v>
      </c>
      <c r="U2372" s="0" t="n">
        <v>479</v>
      </c>
      <c r="V2372" s="0" t="n">
        <v>1</v>
      </c>
      <c r="W2372" s="27" t="n">
        <f aca="false">MATCH(A2372,DATAS,0)</f>
        <v>1</v>
      </c>
      <c r="X2372" s="27" t="n">
        <f aca="false">IF(AND(E2372&gt;0,OR(AND(B2372&gt;=1,B2372&lt;=6),B2372=10)),1,0)</f>
        <v>0</v>
      </c>
      <c r="Y2372" s="27" t="n">
        <f aca="false">IF(AND(E2372&gt;0,B2372=10),1,0)</f>
        <v>0</v>
      </c>
      <c r="Z2372" s="0" t="str">
        <f aca="false">IF(AND(C2371=C2372,W2371=W2372-1),X2371,"")</f>
        <v/>
      </c>
      <c r="AA2372" s="0" t="str">
        <f aca="false">IF(AND(C2371=C2372,W2371=W2372-1),Y2371,"")</f>
        <v/>
      </c>
      <c r="AB2372" s="0" t="str">
        <f aca="false">IF(W2372=1,"",IF(AND(X2372=1,Z2372&lt;&gt;1),1,0))</f>
        <v/>
      </c>
      <c r="AC2372" s="0" t="str">
        <f aca="false">IF(W2372=1,"",IF(AND(Y2372=1,AA2372&lt;&gt;1),1,0))</f>
        <v/>
      </c>
      <c r="AD2372" s="33" t="str">
        <f aca="false">IF(AND(E2372&gt;0,W2372&lt;1,NOT(AND(C2373=C2372,W2373=W2372+1))),INDEX(DATAS,W2372+1),"")</f>
        <v/>
      </c>
      <c r="AE2372" s="33" t="str">
        <f aca="false">IF(AND(Y2372=1,W2372&lt;1),IF(AND(C2373=C2372,W2373=W2372+1),IF(Y2373=1,"",INDEX(DATAS,W2372+1)),INDEX(DATAS,W2372+1)),"")</f>
        <v/>
      </c>
    </row>
    <row r="2373" customFormat="false" ht="15" hidden="false" customHeight="false" outlineLevel="0" collapsed="false">
      <c r="A2373" s="33" t="n">
        <v>46309</v>
      </c>
      <c r="B2373" s="0" t="n">
        <v>8</v>
      </c>
      <c r="C2373" s="0" t="n">
        <v>6676</v>
      </c>
      <c r="E2373" s="0" t="n">
        <v>0</v>
      </c>
      <c r="F2373" s="27" t="s">
        <v>1250</v>
      </c>
      <c r="I2373" s="27" t="s">
        <v>138</v>
      </c>
      <c r="L2373" s="0" t="n">
        <v>76</v>
      </c>
      <c r="U2373" s="0" t="n">
        <v>479</v>
      </c>
      <c r="V2373" s="0" t="n">
        <v>1</v>
      </c>
      <c r="W2373" s="27" t="n">
        <f aca="false">MATCH(A2373,DATAS,0)</f>
        <v>1</v>
      </c>
      <c r="X2373" s="27" t="n">
        <f aca="false">IF(AND(E2373&gt;0,OR(AND(B2373&gt;=1,B2373&lt;=6),B2373=10)),1,0)</f>
        <v>0</v>
      </c>
      <c r="Y2373" s="27" t="n">
        <f aca="false">IF(AND(E2373&gt;0,B2373=10),1,0)</f>
        <v>0</v>
      </c>
      <c r="Z2373" s="0" t="str">
        <f aca="false">IF(AND(C2372=C2373,W2372=W2373-1),X2372,"")</f>
        <v/>
      </c>
      <c r="AA2373" s="0" t="str">
        <f aca="false">IF(AND(C2372=C2373,W2372=W2373-1),Y2372,"")</f>
        <v/>
      </c>
      <c r="AB2373" s="0" t="str">
        <f aca="false">IF(W2373=1,"",IF(AND(X2373=1,Z2373&lt;&gt;1),1,0))</f>
        <v/>
      </c>
      <c r="AC2373" s="0" t="str">
        <f aca="false">IF(W2373=1,"",IF(AND(Y2373=1,AA2373&lt;&gt;1),1,0))</f>
        <v/>
      </c>
      <c r="AD2373" s="33" t="str">
        <f aca="false">IF(AND(E2373&gt;0,W2373&lt;1,NOT(AND(C2374=C2373,W2374=W2373+1))),INDEX(DATAS,W2373+1),"")</f>
        <v/>
      </c>
      <c r="AE2373" s="33" t="str">
        <f aca="false">IF(AND(Y2373=1,W2373&lt;1),IF(AND(C2374=C2373,W2374=W2373+1),IF(Y2374=1,"",INDEX(DATAS,W2373+1)),INDEX(DATAS,W2373+1)),"")</f>
        <v/>
      </c>
    </row>
    <row r="2374" customFormat="false" ht="15" hidden="false" customHeight="false" outlineLevel="0" collapsed="false">
      <c r="A2374" s="33" t="n">
        <v>46309</v>
      </c>
      <c r="B2374" s="0" t="n">
        <v>11</v>
      </c>
      <c r="C2374" s="0" t="n">
        <v>6678</v>
      </c>
      <c r="E2374" s="0" t="n">
        <v>0</v>
      </c>
      <c r="F2374" s="27" t="s">
        <v>1251</v>
      </c>
      <c r="I2374" s="27" t="s">
        <v>168</v>
      </c>
      <c r="U2374" s="0" t="n">
        <v>478</v>
      </c>
      <c r="V2374" s="0" t="n">
        <v>2</v>
      </c>
      <c r="W2374" s="27" t="n">
        <f aca="false">MATCH(A2374,DATAS,0)</f>
        <v>1</v>
      </c>
      <c r="X2374" s="27" t="n">
        <f aca="false">IF(AND(E2374&gt;0,OR(AND(B2374&gt;=1,B2374&lt;=6),B2374=10)),1,0)</f>
        <v>0</v>
      </c>
      <c r="Y2374" s="27" t="n">
        <f aca="false">IF(AND(E2374&gt;0,B2374=10),1,0)</f>
        <v>0</v>
      </c>
      <c r="Z2374" s="0" t="str">
        <f aca="false">IF(AND(C2373=C2374,W2373=W2374-1),X2373,"")</f>
        <v/>
      </c>
      <c r="AA2374" s="0" t="str">
        <f aca="false">IF(AND(C2373=C2374,W2373=W2374-1),Y2373,"")</f>
        <v/>
      </c>
      <c r="AB2374" s="0" t="str">
        <f aca="false">IF(W2374=1,"",IF(AND(X2374=1,Z2374&lt;&gt;1),1,0))</f>
        <v/>
      </c>
      <c r="AC2374" s="0" t="str">
        <f aca="false">IF(W2374=1,"",IF(AND(Y2374=1,AA2374&lt;&gt;1),1,0))</f>
        <v/>
      </c>
      <c r="AD2374" s="33" t="str">
        <f aca="false">IF(AND(E2374&gt;0,W2374&lt;1,NOT(AND(C2375=C2374,W2375=W2374+1))),INDEX(DATAS,W2374+1),"")</f>
        <v/>
      </c>
      <c r="AE2374" s="33" t="str">
        <f aca="false">IF(AND(Y2374=1,W2374&lt;1),IF(AND(C2375=C2374,W2375=W2374+1),IF(Y2375=1,"",INDEX(DATAS,W2374+1)),INDEX(DATAS,W2374+1)),"")</f>
        <v/>
      </c>
    </row>
    <row r="2375" customFormat="false" ht="15" hidden="false" customHeight="false" outlineLevel="0" collapsed="false">
      <c r="A2375" s="33" t="n">
        <v>46309</v>
      </c>
      <c r="B2375" s="0" t="n">
        <v>8</v>
      </c>
      <c r="C2375" s="0" t="n">
        <v>6679</v>
      </c>
      <c r="E2375" s="0" t="n">
        <v>0</v>
      </c>
      <c r="F2375" s="27" t="s">
        <v>1251</v>
      </c>
      <c r="I2375" s="27" t="s">
        <v>138</v>
      </c>
      <c r="L2375" s="0" t="n">
        <v>62</v>
      </c>
      <c r="U2375" s="0" t="n">
        <v>478</v>
      </c>
      <c r="V2375" s="0" t="n">
        <v>2</v>
      </c>
      <c r="W2375" s="27" t="n">
        <f aca="false">MATCH(A2375,DATAS,0)</f>
        <v>1</v>
      </c>
      <c r="X2375" s="27" t="n">
        <f aca="false">IF(AND(E2375&gt;0,OR(AND(B2375&gt;=1,B2375&lt;=6),B2375=10)),1,0)</f>
        <v>0</v>
      </c>
      <c r="Y2375" s="27" t="n">
        <f aca="false">IF(AND(E2375&gt;0,B2375=10),1,0)</f>
        <v>0</v>
      </c>
      <c r="Z2375" s="0" t="str">
        <f aca="false">IF(AND(C2374=C2375,W2374=W2375-1),X2374,"")</f>
        <v/>
      </c>
      <c r="AA2375" s="0" t="str">
        <f aca="false">IF(AND(C2374=C2375,W2374=W2375-1),Y2374,"")</f>
        <v/>
      </c>
      <c r="AB2375" s="0" t="str">
        <f aca="false">IF(W2375=1,"",IF(AND(X2375=1,Z2375&lt;&gt;1),1,0))</f>
        <v/>
      </c>
      <c r="AC2375" s="0" t="str">
        <f aca="false">IF(W2375=1,"",IF(AND(Y2375=1,AA2375&lt;&gt;1),1,0))</f>
        <v/>
      </c>
      <c r="AD2375" s="33" t="str">
        <f aca="false">IF(AND(E2375&gt;0,W2375&lt;1,NOT(AND(C2376=C2375,W2376=W2375+1))),INDEX(DATAS,W2375+1),"")</f>
        <v/>
      </c>
      <c r="AE2375" s="33" t="str">
        <f aca="false">IF(AND(Y2375=1,W2375&lt;1),IF(AND(C2376=C2375,W2376=W2375+1),IF(Y2376=1,"",INDEX(DATAS,W2375+1)),INDEX(DATAS,W2375+1)),"")</f>
        <v/>
      </c>
    </row>
    <row r="2376" customFormat="false" ht="15" hidden="false" customHeight="false" outlineLevel="0" collapsed="false">
      <c r="A2376" s="33" t="n">
        <v>46309</v>
      </c>
      <c r="B2376" s="0" t="n">
        <v>8</v>
      </c>
      <c r="C2376" s="0" t="n">
        <v>6680</v>
      </c>
      <c r="E2376" s="0" t="n">
        <v>0</v>
      </c>
      <c r="F2376" s="27" t="s">
        <v>1252</v>
      </c>
      <c r="I2376" s="27" t="s">
        <v>138</v>
      </c>
      <c r="L2376" s="0" t="n">
        <v>45</v>
      </c>
      <c r="U2376" s="0" t="n">
        <v>477</v>
      </c>
      <c r="V2376" s="0" t="n">
        <v>2</v>
      </c>
      <c r="W2376" s="27" t="n">
        <f aca="false">MATCH(A2376,DATAS,0)</f>
        <v>1</v>
      </c>
      <c r="X2376" s="27" t="n">
        <f aca="false">IF(AND(E2376&gt;0,OR(AND(B2376&gt;=1,B2376&lt;=6),B2376=10)),1,0)</f>
        <v>0</v>
      </c>
      <c r="Y2376" s="27" t="n">
        <f aca="false">IF(AND(E2376&gt;0,B2376=10),1,0)</f>
        <v>0</v>
      </c>
      <c r="Z2376" s="0" t="str">
        <f aca="false">IF(AND(C2375=C2376,W2375=W2376-1),X2375,"")</f>
        <v/>
      </c>
      <c r="AA2376" s="0" t="str">
        <f aca="false">IF(AND(C2375=C2376,W2375=W2376-1),Y2375,"")</f>
        <v/>
      </c>
      <c r="AB2376" s="0" t="str">
        <f aca="false">IF(W2376=1,"",IF(AND(X2376=1,Z2376&lt;&gt;1),1,0))</f>
        <v/>
      </c>
      <c r="AC2376" s="0" t="str">
        <f aca="false">IF(W2376=1,"",IF(AND(Y2376=1,AA2376&lt;&gt;1),1,0))</f>
        <v/>
      </c>
      <c r="AD2376" s="33" t="str">
        <f aca="false">IF(AND(E2376&gt;0,W2376&lt;1,NOT(AND(C2377=C2376,W2377=W2376+1))),INDEX(DATAS,W2376+1),"")</f>
        <v/>
      </c>
      <c r="AE2376" s="33" t="str">
        <f aca="false">IF(AND(Y2376=1,W2376&lt;1),IF(AND(C2377=C2376,W2377=W2376+1),IF(Y2377=1,"",INDEX(DATAS,W2376+1)),INDEX(DATAS,W2376+1)),"")</f>
        <v/>
      </c>
    </row>
    <row r="2377" customFormat="false" ht="15" hidden="false" customHeight="false" outlineLevel="0" collapsed="false">
      <c r="A2377" s="33" t="n">
        <v>46309</v>
      </c>
      <c r="B2377" s="0" t="n">
        <v>8</v>
      </c>
      <c r="C2377" s="0" t="n">
        <v>6681</v>
      </c>
      <c r="E2377" s="0" t="n">
        <v>0</v>
      </c>
      <c r="F2377" s="27" t="s">
        <v>1253</v>
      </c>
      <c r="I2377" s="27" t="s">
        <v>138</v>
      </c>
      <c r="L2377" s="0" t="n">
        <v>77</v>
      </c>
      <c r="U2377" s="0" t="n">
        <v>476</v>
      </c>
      <c r="V2377" s="0" t="n">
        <v>1</v>
      </c>
      <c r="W2377" s="27" t="n">
        <f aca="false">MATCH(A2377,DATAS,0)</f>
        <v>1</v>
      </c>
      <c r="X2377" s="27" t="n">
        <f aca="false">IF(AND(E2377&gt;0,OR(AND(B2377&gt;=1,B2377&lt;=6),B2377=10)),1,0)</f>
        <v>0</v>
      </c>
      <c r="Y2377" s="27" t="n">
        <f aca="false">IF(AND(E2377&gt;0,B2377=10),1,0)</f>
        <v>0</v>
      </c>
      <c r="Z2377" s="0" t="str">
        <f aca="false">IF(AND(C2376=C2377,W2376=W2377-1),X2376,"")</f>
        <v/>
      </c>
      <c r="AA2377" s="0" t="str">
        <f aca="false">IF(AND(C2376=C2377,W2376=W2377-1),Y2376,"")</f>
        <v/>
      </c>
      <c r="AB2377" s="0" t="str">
        <f aca="false">IF(W2377=1,"",IF(AND(X2377=1,Z2377&lt;&gt;1),1,0))</f>
        <v/>
      </c>
      <c r="AC2377" s="0" t="str">
        <f aca="false">IF(W2377=1,"",IF(AND(Y2377=1,AA2377&lt;&gt;1),1,0))</f>
        <v/>
      </c>
      <c r="AD2377" s="33" t="str">
        <f aca="false">IF(AND(E2377&gt;0,W2377&lt;1,NOT(AND(C2378=C2377,W2378=W2377+1))),INDEX(DATAS,W2377+1),"")</f>
        <v/>
      </c>
      <c r="AE2377" s="33" t="str">
        <f aca="false">IF(AND(Y2377=1,W2377&lt;1),IF(AND(C2378=C2377,W2378=W2377+1),IF(Y2378=1,"",INDEX(DATAS,W2377+1)),INDEX(DATAS,W2377+1)),"")</f>
        <v/>
      </c>
    </row>
    <row r="2378" customFormat="false" ht="15" hidden="false" customHeight="false" outlineLevel="0" collapsed="false">
      <c r="A2378" s="33" t="n">
        <v>46309</v>
      </c>
      <c r="B2378" s="0" t="n">
        <v>8</v>
      </c>
      <c r="C2378" s="0" t="n">
        <v>6682</v>
      </c>
      <c r="E2378" s="0" t="n">
        <v>0</v>
      </c>
      <c r="F2378" s="27" t="s">
        <v>1253</v>
      </c>
      <c r="I2378" s="27" t="s">
        <v>138</v>
      </c>
      <c r="L2378" s="0" t="n">
        <v>63</v>
      </c>
      <c r="U2378" s="0" t="n">
        <v>476</v>
      </c>
      <c r="V2378" s="0" t="n">
        <v>1</v>
      </c>
      <c r="W2378" s="27" t="n">
        <f aca="false">MATCH(A2378,DATAS,0)</f>
        <v>1</v>
      </c>
      <c r="X2378" s="27" t="n">
        <f aca="false">IF(AND(E2378&gt;0,OR(AND(B2378&gt;=1,B2378&lt;=6),B2378=10)),1,0)</f>
        <v>0</v>
      </c>
      <c r="Y2378" s="27" t="n">
        <f aca="false">IF(AND(E2378&gt;0,B2378=10),1,0)</f>
        <v>0</v>
      </c>
      <c r="Z2378" s="0" t="str">
        <f aca="false">IF(AND(C2377=C2378,W2377=W2378-1),X2377,"")</f>
        <v/>
      </c>
      <c r="AA2378" s="0" t="str">
        <f aca="false">IF(AND(C2377=C2378,W2377=W2378-1),Y2377,"")</f>
        <v/>
      </c>
      <c r="AB2378" s="0" t="str">
        <f aca="false">IF(W2378=1,"",IF(AND(X2378=1,Z2378&lt;&gt;1),1,0))</f>
        <v/>
      </c>
      <c r="AC2378" s="0" t="str">
        <f aca="false">IF(W2378=1,"",IF(AND(Y2378=1,AA2378&lt;&gt;1),1,0))</f>
        <v/>
      </c>
      <c r="AD2378" s="33" t="str">
        <f aca="false">IF(AND(E2378&gt;0,W2378&lt;1,NOT(AND(C2379=C2378,W2379=W2378+1))),INDEX(DATAS,W2378+1),"")</f>
        <v/>
      </c>
      <c r="AE2378" s="33" t="str">
        <f aca="false">IF(AND(Y2378=1,W2378&lt;1),IF(AND(C2379=C2378,W2379=W2378+1),IF(Y2379=1,"",INDEX(DATAS,W2378+1)),INDEX(DATAS,W2378+1)),"")</f>
        <v/>
      </c>
    </row>
    <row r="2379" customFormat="false" ht="15" hidden="false" customHeight="false" outlineLevel="0" collapsed="false">
      <c r="A2379" s="33" t="n">
        <v>46309</v>
      </c>
      <c r="B2379" s="0" t="n">
        <v>11</v>
      </c>
      <c r="C2379" s="0" t="n">
        <v>6683</v>
      </c>
      <c r="E2379" s="0" t="n">
        <v>0</v>
      </c>
      <c r="F2379" s="27" t="s">
        <v>1254</v>
      </c>
      <c r="I2379" s="27" t="s">
        <v>168</v>
      </c>
      <c r="U2379" s="0" t="n">
        <v>475</v>
      </c>
      <c r="V2379" s="0" t="n">
        <v>4</v>
      </c>
      <c r="W2379" s="27" t="n">
        <f aca="false">MATCH(A2379,DATAS,0)</f>
        <v>1</v>
      </c>
      <c r="X2379" s="27" t="n">
        <f aca="false">IF(AND(E2379&gt;0,OR(AND(B2379&gt;=1,B2379&lt;=6),B2379=10)),1,0)</f>
        <v>0</v>
      </c>
      <c r="Y2379" s="27" t="n">
        <f aca="false">IF(AND(E2379&gt;0,B2379=10),1,0)</f>
        <v>0</v>
      </c>
      <c r="Z2379" s="0" t="str">
        <f aca="false">IF(AND(C2378=C2379,W2378=W2379-1),X2378,"")</f>
        <v/>
      </c>
      <c r="AA2379" s="0" t="str">
        <f aca="false">IF(AND(C2378=C2379,W2378=W2379-1),Y2378,"")</f>
        <v/>
      </c>
      <c r="AB2379" s="0" t="str">
        <f aca="false">IF(W2379=1,"",IF(AND(X2379=1,Z2379&lt;&gt;1),1,0))</f>
        <v/>
      </c>
      <c r="AC2379" s="0" t="str">
        <f aca="false">IF(W2379=1,"",IF(AND(Y2379=1,AA2379&lt;&gt;1),1,0))</f>
        <v/>
      </c>
      <c r="AD2379" s="33" t="str">
        <f aca="false">IF(AND(E2379&gt;0,W2379&lt;1,NOT(AND(C2380=C2379,W2380=W2379+1))),INDEX(DATAS,W2379+1),"")</f>
        <v/>
      </c>
      <c r="AE2379" s="33" t="str">
        <f aca="false">IF(AND(Y2379=1,W2379&lt;1),IF(AND(C2380=C2379,W2380=W2379+1),IF(Y2380=1,"",INDEX(DATAS,W2379+1)),INDEX(DATAS,W2379+1)),"")</f>
        <v/>
      </c>
    </row>
    <row r="2380" customFormat="false" ht="15" hidden="false" customHeight="false" outlineLevel="0" collapsed="false">
      <c r="A2380" s="33" t="n">
        <v>46309</v>
      </c>
      <c r="B2380" s="0" t="n">
        <v>8</v>
      </c>
      <c r="C2380" s="0" t="n">
        <v>6684</v>
      </c>
      <c r="E2380" s="0" t="n">
        <v>0</v>
      </c>
      <c r="F2380" s="27" t="s">
        <v>1254</v>
      </c>
      <c r="I2380" s="27" t="s">
        <v>138</v>
      </c>
      <c r="L2380" s="0" t="n">
        <v>73</v>
      </c>
      <c r="U2380" s="0" t="n">
        <v>475</v>
      </c>
      <c r="V2380" s="0" t="n">
        <v>1</v>
      </c>
      <c r="W2380" s="27" t="n">
        <f aca="false">MATCH(A2380,DATAS,0)</f>
        <v>1</v>
      </c>
      <c r="X2380" s="27" t="n">
        <f aca="false">IF(AND(E2380&gt;0,OR(AND(B2380&gt;=1,B2380&lt;=6),B2380=10)),1,0)</f>
        <v>0</v>
      </c>
      <c r="Y2380" s="27" t="n">
        <f aca="false">IF(AND(E2380&gt;0,B2380=10),1,0)</f>
        <v>0</v>
      </c>
      <c r="Z2380" s="0" t="str">
        <f aca="false">IF(AND(C2379=C2380,W2379=W2380-1),X2379,"")</f>
        <v/>
      </c>
      <c r="AA2380" s="0" t="str">
        <f aca="false">IF(AND(C2379=C2380,W2379=W2380-1),Y2379,"")</f>
        <v/>
      </c>
      <c r="AB2380" s="0" t="str">
        <f aca="false">IF(W2380=1,"",IF(AND(X2380=1,Z2380&lt;&gt;1),1,0))</f>
        <v/>
      </c>
      <c r="AC2380" s="0" t="str">
        <f aca="false">IF(W2380=1,"",IF(AND(Y2380=1,AA2380&lt;&gt;1),1,0))</f>
        <v/>
      </c>
      <c r="AD2380" s="33" t="str">
        <f aca="false">IF(AND(E2380&gt;0,W2380&lt;1,NOT(AND(C2381=C2380,W2381=W2380+1))),INDEX(DATAS,W2380+1),"")</f>
        <v/>
      </c>
      <c r="AE2380" s="33" t="str">
        <f aca="false">IF(AND(Y2380=1,W2380&lt;1),IF(AND(C2381=C2380,W2381=W2380+1),IF(Y2381=1,"",INDEX(DATAS,W2380+1)),INDEX(DATAS,W2380+1)),"")</f>
        <v/>
      </c>
    </row>
    <row r="2381" customFormat="false" ht="15" hidden="false" customHeight="false" outlineLevel="0" collapsed="false">
      <c r="A2381" s="33" t="n">
        <v>46309</v>
      </c>
      <c r="B2381" s="0" t="n">
        <v>11</v>
      </c>
      <c r="C2381" s="0" t="n">
        <v>6685</v>
      </c>
      <c r="E2381" s="0" t="n">
        <v>0</v>
      </c>
      <c r="F2381" s="27" t="s">
        <v>1254</v>
      </c>
      <c r="I2381" s="27" t="s">
        <v>168</v>
      </c>
      <c r="U2381" s="0" t="n">
        <v>475</v>
      </c>
      <c r="V2381" s="0" t="n">
        <v>2</v>
      </c>
      <c r="W2381" s="27" t="n">
        <f aca="false">MATCH(A2381,DATAS,0)</f>
        <v>1</v>
      </c>
      <c r="X2381" s="27" t="n">
        <f aca="false">IF(AND(E2381&gt;0,OR(AND(B2381&gt;=1,B2381&lt;=6),B2381=10)),1,0)</f>
        <v>0</v>
      </c>
      <c r="Y2381" s="27" t="n">
        <f aca="false">IF(AND(E2381&gt;0,B2381=10),1,0)</f>
        <v>0</v>
      </c>
      <c r="Z2381" s="0" t="str">
        <f aca="false">IF(AND(C2380=C2381,W2380=W2381-1),X2380,"")</f>
        <v/>
      </c>
      <c r="AA2381" s="0" t="str">
        <f aca="false">IF(AND(C2380=C2381,W2380=W2381-1),Y2380,"")</f>
        <v/>
      </c>
      <c r="AB2381" s="0" t="str">
        <f aca="false">IF(W2381=1,"",IF(AND(X2381=1,Z2381&lt;&gt;1),1,0))</f>
        <v/>
      </c>
      <c r="AC2381" s="0" t="str">
        <f aca="false">IF(W2381=1,"",IF(AND(Y2381=1,AA2381&lt;&gt;1),1,0))</f>
        <v/>
      </c>
      <c r="AD2381" s="33" t="str">
        <f aca="false">IF(AND(E2381&gt;0,W2381&lt;1,NOT(AND(C2382=C2381,W2382=W2381+1))),INDEX(DATAS,W2381+1),"")</f>
        <v/>
      </c>
      <c r="AE2381" s="33" t="str">
        <f aca="false">IF(AND(Y2381=1,W2381&lt;1),IF(AND(C2382=C2381,W2382=W2381+1),IF(Y2382=1,"",INDEX(DATAS,W2381+1)),INDEX(DATAS,W2381+1)),"")</f>
        <v/>
      </c>
    </row>
    <row r="2382" customFormat="false" ht="15" hidden="false" customHeight="false" outlineLevel="0" collapsed="false">
      <c r="A2382" s="33" t="n">
        <v>46309</v>
      </c>
      <c r="B2382" s="0" t="n">
        <v>8</v>
      </c>
      <c r="C2382" s="0" t="n">
        <v>6687</v>
      </c>
      <c r="E2382" s="0" t="n">
        <v>0</v>
      </c>
      <c r="F2382" s="27" t="s">
        <v>1254</v>
      </c>
      <c r="I2382" s="27" t="s">
        <v>138</v>
      </c>
      <c r="L2382" s="0" t="n">
        <v>55</v>
      </c>
      <c r="U2382" s="0" t="n">
        <v>475</v>
      </c>
      <c r="V2382" s="0" t="n">
        <v>1</v>
      </c>
      <c r="W2382" s="27" t="n">
        <f aca="false">MATCH(A2382,DATAS,0)</f>
        <v>1</v>
      </c>
      <c r="X2382" s="27" t="n">
        <f aca="false">IF(AND(E2382&gt;0,OR(AND(B2382&gt;=1,B2382&lt;=6),B2382=10)),1,0)</f>
        <v>0</v>
      </c>
      <c r="Y2382" s="27" t="n">
        <f aca="false">IF(AND(E2382&gt;0,B2382=10),1,0)</f>
        <v>0</v>
      </c>
      <c r="Z2382" s="0" t="str">
        <f aca="false">IF(AND(C2381=C2382,W2381=W2382-1),X2381,"")</f>
        <v/>
      </c>
      <c r="AA2382" s="0" t="str">
        <f aca="false">IF(AND(C2381=C2382,W2381=W2382-1),Y2381,"")</f>
        <v/>
      </c>
      <c r="AB2382" s="0" t="str">
        <f aca="false">IF(W2382=1,"",IF(AND(X2382=1,Z2382&lt;&gt;1),1,0))</f>
        <v/>
      </c>
      <c r="AC2382" s="0" t="str">
        <f aca="false">IF(W2382=1,"",IF(AND(Y2382=1,AA2382&lt;&gt;1),1,0))</f>
        <v/>
      </c>
      <c r="AD2382" s="33" t="str">
        <f aca="false">IF(AND(E2382&gt;0,W2382&lt;1,NOT(AND(C2383=C2382,W2383=W2382+1))),INDEX(DATAS,W2382+1),"")</f>
        <v/>
      </c>
      <c r="AE2382" s="33" t="str">
        <f aca="false">IF(AND(Y2382=1,W2382&lt;1),IF(AND(C2383=C2382,W2383=W2382+1),IF(Y2383=1,"",INDEX(DATAS,W2382+1)),INDEX(DATAS,W2382+1)),"")</f>
        <v/>
      </c>
    </row>
    <row r="2383" customFormat="false" ht="15" hidden="false" customHeight="false" outlineLevel="0" collapsed="false">
      <c r="A2383" s="33" t="n">
        <v>46309</v>
      </c>
      <c r="B2383" s="0" t="n">
        <v>8</v>
      </c>
      <c r="C2383" s="0" t="n">
        <v>6688</v>
      </c>
      <c r="E2383" s="0" t="n">
        <v>0</v>
      </c>
      <c r="F2383" s="27" t="s">
        <v>1254</v>
      </c>
      <c r="I2383" s="27" t="s">
        <v>138</v>
      </c>
      <c r="L2383" s="0" t="n">
        <v>53</v>
      </c>
      <c r="U2383" s="0" t="n">
        <v>475</v>
      </c>
      <c r="V2383" s="0" t="n">
        <v>2</v>
      </c>
      <c r="W2383" s="27" t="n">
        <f aca="false">MATCH(A2383,DATAS,0)</f>
        <v>1</v>
      </c>
      <c r="X2383" s="27" t="n">
        <f aca="false">IF(AND(E2383&gt;0,OR(AND(B2383&gt;=1,B2383&lt;=6),B2383=10)),1,0)</f>
        <v>0</v>
      </c>
      <c r="Y2383" s="27" t="n">
        <f aca="false">IF(AND(E2383&gt;0,B2383=10),1,0)</f>
        <v>0</v>
      </c>
      <c r="Z2383" s="0" t="str">
        <f aca="false">IF(AND(C2382=C2383,W2382=W2383-1),X2382,"")</f>
        <v/>
      </c>
      <c r="AA2383" s="0" t="str">
        <f aca="false">IF(AND(C2382=C2383,W2382=W2383-1),Y2382,"")</f>
        <v/>
      </c>
      <c r="AB2383" s="0" t="str">
        <f aca="false">IF(W2383=1,"",IF(AND(X2383=1,Z2383&lt;&gt;1),1,0))</f>
        <v/>
      </c>
      <c r="AC2383" s="0" t="str">
        <f aca="false">IF(W2383=1,"",IF(AND(Y2383=1,AA2383&lt;&gt;1),1,0))</f>
        <v/>
      </c>
      <c r="AD2383" s="33" t="str">
        <f aca="false">IF(AND(E2383&gt;0,W2383&lt;1,NOT(AND(C2384=C2383,W2384=W2383+1))),INDEX(DATAS,W2383+1),"")</f>
        <v/>
      </c>
      <c r="AE2383" s="33" t="str">
        <f aca="false">IF(AND(Y2383=1,W2383&lt;1),IF(AND(C2384=C2383,W2384=W2383+1),IF(Y2384=1,"",INDEX(DATAS,W2383+1)),INDEX(DATAS,W2383+1)),"")</f>
        <v/>
      </c>
    </row>
    <row r="2384" customFormat="false" ht="15" hidden="false" customHeight="false" outlineLevel="0" collapsed="false">
      <c r="A2384" s="33" t="n">
        <v>46309</v>
      </c>
      <c r="B2384" s="0" t="n">
        <v>8</v>
      </c>
      <c r="C2384" s="0" t="n">
        <v>6689</v>
      </c>
      <c r="E2384" s="0" t="n">
        <v>0</v>
      </c>
      <c r="F2384" s="27" t="s">
        <v>1255</v>
      </c>
      <c r="I2384" s="27" t="s">
        <v>138</v>
      </c>
      <c r="L2384" s="0" t="n">
        <v>81</v>
      </c>
      <c r="U2384" s="0" t="n">
        <v>474</v>
      </c>
      <c r="V2384" s="0" t="n">
        <v>1</v>
      </c>
      <c r="W2384" s="27" t="n">
        <f aca="false">MATCH(A2384,DATAS,0)</f>
        <v>1</v>
      </c>
      <c r="X2384" s="27" t="n">
        <f aca="false">IF(AND(E2384&gt;0,OR(AND(B2384&gt;=1,B2384&lt;=6),B2384=10)),1,0)</f>
        <v>0</v>
      </c>
      <c r="Y2384" s="27" t="n">
        <f aca="false">IF(AND(E2384&gt;0,B2384=10),1,0)</f>
        <v>0</v>
      </c>
      <c r="Z2384" s="0" t="str">
        <f aca="false">IF(AND(C2383=C2384,W2383=W2384-1),X2383,"")</f>
        <v/>
      </c>
      <c r="AA2384" s="0" t="str">
        <f aca="false">IF(AND(C2383=C2384,W2383=W2384-1),Y2383,"")</f>
        <v/>
      </c>
      <c r="AB2384" s="0" t="str">
        <f aca="false">IF(W2384=1,"",IF(AND(X2384=1,Z2384&lt;&gt;1),1,0))</f>
        <v/>
      </c>
      <c r="AC2384" s="0" t="str">
        <f aca="false">IF(W2384=1,"",IF(AND(Y2384=1,AA2384&lt;&gt;1),1,0))</f>
        <v/>
      </c>
      <c r="AD2384" s="33" t="str">
        <f aca="false">IF(AND(E2384&gt;0,W2384&lt;1,NOT(AND(C2385=C2384,W2385=W2384+1))),INDEX(DATAS,W2384+1),"")</f>
        <v/>
      </c>
      <c r="AE2384" s="33" t="str">
        <f aca="false">IF(AND(Y2384=1,W2384&lt;1),IF(AND(C2385=C2384,W2385=W2384+1),IF(Y2385=1,"",INDEX(DATAS,W2384+1)),INDEX(DATAS,W2384+1)),"")</f>
        <v/>
      </c>
    </row>
    <row r="2385" customFormat="false" ht="15" hidden="false" customHeight="false" outlineLevel="0" collapsed="false">
      <c r="A2385" s="33" t="n">
        <v>46309</v>
      </c>
      <c r="B2385" s="0" t="n">
        <v>8</v>
      </c>
      <c r="C2385" s="0" t="n">
        <v>6690</v>
      </c>
      <c r="E2385" s="0" t="n">
        <v>0</v>
      </c>
      <c r="F2385" s="27" t="s">
        <v>1256</v>
      </c>
      <c r="I2385" s="27" t="s">
        <v>138</v>
      </c>
      <c r="L2385" s="0" t="n">
        <v>50</v>
      </c>
      <c r="U2385" s="0" t="n">
        <v>472</v>
      </c>
      <c r="V2385" s="0" t="n">
        <v>1</v>
      </c>
      <c r="W2385" s="27" t="n">
        <f aca="false">MATCH(A2385,DATAS,0)</f>
        <v>1</v>
      </c>
      <c r="X2385" s="27" t="n">
        <f aca="false">IF(AND(E2385&gt;0,OR(AND(B2385&gt;=1,B2385&lt;=6),B2385=10)),1,0)</f>
        <v>0</v>
      </c>
      <c r="Y2385" s="27" t="n">
        <f aca="false">IF(AND(E2385&gt;0,B2385=10),1,0)</f>
        <v>0</v>
      </c>
      <c r="Z2385" s="0" t="str">
        <f aca="false">IF(AND(C2384=C2385,W2384=W2385-1),X2384,"")</f>
        <v/>
      </c>
      <c r="AA2385" s="0" t="str">
        <f aca="false">IF(AND(C2384=C2385,W2384=W2385-1),Y2384,"")</f>
        <v/>
      </c>
      <c r="AB2385" s="0" t="str">
        <f aca="false">IF(W2385=1,"",IF(AND(X2385=1,Z2385&lt;&gt;1),1,0))</f>
        <v/>
      </c>
      <c r="AC2385" s="0" t="str">
        <f aca="false">IF(W2385=1,"",IF(AND(Y2385=1,AA2385&lt;&gt;1),1,0))</f>
        <v/>
      </c>
      <c r="AD2385" s="33" t="str">
        <f aca="false">IF(AND(E2385&gt;0,W2385&lt;1,NOT(AND(C2386=C2385,W2386=W2385+1))),INDEX(DATAS,W2385+1),"")</f>
        <v/>
      </c>
      <c r="AE2385" s="33" t="str">
        <f aca="false">IF(AND(Y2385=1,W2385&lt;1),IF(AND(C2386=C2385,W2386=W2385+1),IF(Y2386=1,"",INDEX(DATAS,W2385+1)),INDEX(DATAS,W2385+1)),"")</f>
        <v/>
      </c>
    </row>
    <row r="2386" customFormat="false" ht="15" hidden="false" customHeight="false" outlineLevel="0" collapsed="false">
      <c r="A2386" s="33" t="n">
        <v>46309</v>
      </c>
      <c r="B2386" s="0" t="n">
        <v>11</v>
      </c>
      <c r="C2386" s="0" t="n">
        <v>6691</v>
      </c>
      <c r="E2386" s="0" t="n">
        <v>0</v>
      </c>
      <c r="F2386" s="27" t="s">
        <v>1256</v>
      </c>
      <c r="I2386" s="27" t="s">
        <v>168</v>
      </c>
      <c r="U2386" s="0" t="n">
        <v>472</v>
      </c>
      <c r="V2386" s="0" t="n">
        <v>3</v>
      </c>
      <c r="W2386" s="27" t="n">
        <f aca="false">MATCH(A2386,DATAS,0)</f>
        <v>1</v>
      </c>
      <c r="X2386" s="27" t="n">
        <f aca="false">IF(AND(E2386&gt;0,OR(AND(B2386&gt;=1,B2386&lt;=6),B2386=10)),1,0)</f>
        <v>0</v>
      </c>
      <c r="Y2386" s="27" t="n">
        <f aca="false">IF(AND(E2386&gt;0,B2386=10),1,0)</f>
        <v>0</v>
      </c>
      <c r="Z2386" s="0" t="str">
        <f aca="false">IF(AND(C2385=C2386,W2385=W2386-1),X2385,"")</f>
        <v/>
      </c>
      <c r="AA2386" s="0" t="str">
        <f aca="false">IF(AND(C2385=C2386,W2385=W2386-1),Y2385,"")</f>
        <v/>
      </c>
      <c r="AB2386" s="0" t="str">
        <f aca="false">IF(W2386=1,"",IF(AND(X2386=1,Z2386&lt;&gt;1),1,0))</f>
        <v/>
      </c>
      <c r="AC2386" s="0" t="str">
        <f aca="false">IF(W2386=1,"",IF(AND(Y2386=1,AA2386&lt;&gt;1),1,0))</f>
        <v/>
      </c>
      <c r="AD2386" s="33" t="str">
        <f aca="false">IF(AND(E2386&gt;0,W2386&lt;1,NOT(AND(C2387=C2386,W2387=W2386+1))),INDEX(DATAS,W2386+1),"")</f>
        <v/>
      </c>
      <c r="AE2386" s="33" t="str">
        <f aca="false">IF(AND(Y2386=1,W2386&lt;1),IF(AND(C2387=C2386,W2387=W2386+1),IF(Y2387=1,"",INDEX(DATAS,W2386+1)),INDEX(DATAS,W2386+1)),"")</f>
        <v/>
      </c>
    </row>
    <row r="2387" customFormat="false" ht="15" hidden="false" customHeight="false" outlineLevel="0" collapsed="false">
      <c r="A2387" s="33" t="n">
        <v>46309</v>
      </c>
      <c r="B2387" s="0" t="n">
        <v>8</v>
      </c>
      <c r="C2387" s="0" t="n">
        <v>6692</v>
      </c>
      <c r="E2387" s="0" t="n">
        <v>0</v>
      </c>
      <c r="F2387" s="27" t="s">
        <v>1256</v>
      </c>
      <c r="I2387" s="27" t="s">
        <v>138</v>
      </c>
      <c r="L2387" s="0" t="n">
        <v>70</v>
      </c>
      <c r="U2387" s="0" t="n">
        <v>472</v>
      </c>
      <c r="V2387" s="0" t="n">
        <v>1</v>
      </c>
      <c r="W2387" s="27" t="n">
        <f aca="false">MATCH(A2387,DATAS,0)</f>
        <v>1</v>
      </c>
      <c r="X2387" s="27" t="n">
        <f aca="false">IF(AND(E2387&gt;0,OR(AND(B2387&gt;=1,B2387&lt;=6),B2387=10)),1,0)</f>
        <v>0</v>
      </c>
      <c r="Y2387" s="27" t="n">
        <f aca="false">IF(AND(E2387&gt;0,B2387=10),1,0)</f>
        <v>0</v>
      </c>
      <c r="Z2387" s="0" t="str">
        <f aca="false">IF(AND(C2386=C2387,W2386=W2387-1),X2386,"")</f>
        <v/>
      </c>
      <c r="AA2387" s="0" t="str">
        <f aca="false">IF(AND(C2386=C2387,W2386=W2387-1),Y2386,"")</f>
        <v/>
      </c>
      <c r="AB2387" s="0" t="str">
        <f aca="false">IF(W2387=1,"",IF(AND(X2387=1,Z2387&lt;&gt;1),1,0))</f>
        <v/>
      </c>
      <c r="AC2387" s="0" t="str">
        <f aca="false">IF(W2387=1,"",IF(AND(Y2387=1,AA2387&lt;&gt;1),1,0))</f>
        <v/>
      </c>
      <c r="AD2387" s="33" t="str">
        <f aca="false">IF(AND(E2387&gt;0,W2387&lt;1,NOT(AND(C2388=C2387,W2388=W2387+1))),INDEX(DATAS,W2387+1),"")</f>
        <v/>
      </c>
      <c r="AE2387" s="33" t="str">
        <f aca="false">IF(AND(Y2387=1,W2387&lt;1),IF(AND(C2388=C2387,W2388=W2387+1),IF(Y2388=1,"",INDEX(DATAS,W2387+1)),INDEX(DATAS,W2387+1)),"")</f>
        <v/>
      </c>
    </row>
    <row r="2388" customFormat="false" ht="15" hidden="false" customHeight="false" outlineLevel="0" collapsed="false">
      <c r="A2388" s="33" t="n">
        <v>46309</v>
      </c>
      <c r="B2388" s="0" t="n">
        <v>8</v>
      </c>
      <c r="C2388" s="0" t="n">
        <v>6693</v>
      </c>
      <c r="E2388" s="0" t="n">
        <v>0</v>
      </c>
      <c r="F2388" s="27" t="s">
        <v>1256</v>
      </c>
      <c r="I2388" s="27" t="s">
        <v>138</v>
      </c>
      <c r="L2388" s="0" t="n">
        <v>76</v>
      </c>
      <c r="U2388" s="0" t="n">
        <v>472</v>
      </c>
      <c r="V2388" s="0" t="n">
        <v>1</v>
      </c>
      <c r="W2388" s="27" t="n">
        <f aca="false">MATCH(A2388,DATAS,0)</f>
        <v>1</v>
      </c>
      <c r="X2388" s="27" t="n">
        <f aca="false">IF(AND(E2388&gt;0,OR(AND(B2388&gt;=1,B2388&lt;=6),B2388=10)),1,0)</f>
        <v>0</v>
      </c>
      <c r="Y2388" s="27" t="n">
        <f aca="false">IF(AND(E2388&gt;0,B2388=10),1,0)</f>
        <v>0</v>
      </c>
      <c r="Z2388" s="0" t="str">
        <f aca="false">IF(AND(C2387=C2388,W2387=W2388-1),X2387,"")</f>
        <v/>
      </c>
      <c r="AA2388" s="0" t="str">
        <f aca="false">IF(AND(C2387=C2388,W2387=W2388-1),Y2387,"")</f>
        <v/>
      </c>
      <c r="AB2388" s="0" t="str">
        <f aca="false">IF(W2388=1,"",IF(AND(X2388=1,Z2388&lt;&gt;1),1,0))</f>
        <v/>
      </c>
      <c r="AC2388" s="0" t="str">
        <f aca="false">IF(W2388=1,"",IF(AND(Y2388=1,AA2388&lt;&gt;1),1,0))</f>
        <v/>
      </c>
      <c r="AD2388" s="33" t="str">
        <f aca="false">IF(AND(E2388&gt;0,W2388&lt;1,NOT(AND(C2389=C2388,W2389=W2388+1))),INDEX(DATAS,W2388+1),"")</f>
        <v/>
      </c>
      <c r="AE2388" s="33" t="str">
        <f aca="false">IF(AND(Y2388=1,W2388&lt;1),IF(AND(C2389=C2388,W2389=W2388+1),IF(Y2389=1,"",INDEX(DATAS,W2388+1)),INDEX(DATAS,W2388+1)),"")</f>
        <v/>
      </c>
    </row>
    <row r="2389" customFormat="false" ht="15" hidden="false" customHeight="false" outlineLevel="0" collapsed="false">
      <c r="A2389" s="33" t="n">
        <v>46309</v>
      </c>
      <c r="B2389" s="0" t="n">
        <v>8</v>
      </c>
      <c r="C2389" s="0" t="n">
        <v>6694</v>
      </c>
      <c r="E2389" s="0" t="n">
        <v>0</v>
      </c>
      <c r="F2389" s="27" t="s">
        <v>1256</v>
      </c>
      <c r="I2389" s="27" t="s">
        <v>138</v>
      </c>
      <c r="L2389" s="0" t="n">
        <v>64</v>
      </c>
      <c r="U2389" s="0" t="n">
        <v>472</v>
      </c>
      <c r="V2389" s="0" t="n">
        <v>1</v>
      </c>
      <c r="W2389" s="27" t="n">
        <f aca="false">MATCH(A2389,DATAS,0)</f>
        <v>1</v>
      </c>
      <c r="X2389" s="27" t="n">
        <f aca="false">IF(AND(E2389&gt;0,OR(AND(B2389&gt;=1,B2389&lt;=6),B2389=10)),1,0)</f>
        <v>0</v>
      </c>
      <c r="Y2389" s="27" t="n">
        <f aca="false">IF(AND(E2389&gt;0,B2389=10),1,0)</f>
        <v>0</v>
      </c>
      <c r="Z2389" s="0" t="str">
        <f aca="false">IF(AND(C2388=C2389,W2388=W2389-1),X2388,"")</f>
        <v/>
      </c>
      <c r="AA2389" s="0" t="str">
        <f aca="false">IF(AND(C2388=C2389,W2388=W2389-1),Y2388,"")</f>
        <v/>
      </c>
      <c r="AB2389" s="0" t="str">
        <f aca="false">IF(W2389=1,"",IF(AND(X2389=1,Z2389&lt;&gt;1),1,0))</f>
        <v/>
      </c>
      <c r="AC2389" s="0" t="str">
        <f aca="false">IF(W2389=1,"",IF(AND(Y2389=1,AA2389&lt;&gt;1),1,0))</f>
        <v/>
      </c>
      <c r="AD2389" s="33" t="str">
        <f aca="false">IF(AND(E2389&gt;0,W2389&lt;1,NOT(AND(C2390=C2389,W2390=W2389+1))),INDEX(DATAS,W2389+1),"")</f>
        <v/>
      </c>
      <c r="AE2389" s="33" t="str">
        <f aca="false">IF(AND(Y2389=1,W2389&lt;1),IF(AND(C2390=C2389,W2390=W2389+1),IF(Y2390=1,"",INDEX(DATAS,W2389+1)),INDEX(DATAS,W2389+1)),"")</f>
        <v/>
      </c>
    </row>
    <row r="2390" customFormat="false" ht="15" hidden="false" customHeight="false" outlineLevel="0" collapsed="false">
      <c r="A2390" s="33" t="n">
        <v>46309</v>
      </c>
      <c r="B2390" s="0" t="n">
        <v>8</v>
      </c>
      <c r="C2390" s="0" t="n">
        <v>6695</v>
      </c>
      <c r="E2390" s="0" t="n">
        <v>0</v>
      </c>
      <c r="F2390" s="27" t="s">
        <v>1256</v>
      </c>
      <c r="I2390" s="27" t="s">
        <v>138</v>
      </c>
      <c r="L2390" s="0" t="n">
        <v>55</v>
      </c>
      <c r="U2390" s="0" t="n">
        <v>472</v>
      </c>
      <c r="V2390" s="0" t="n">
        <v>1</v>
      </c>
      <c r="W2390" s="27" t="n">
        <f aca="false">MATCH(A2390,DATAS,0)</f>
        <v>1</v>
      </c>
      <c r="X2390" s="27" t="n">
        <f aca="false">IF(AND(E2390&gt;0,OR(AND(B2390&gt;=1,B2390&lt;=6),B2390=10)),1,0)</f>
        <v>0</v>
      </c>
      <c r="Y2390" s="27" t="n">
        <f aca="false">IF(AND(E2390&gt;0,B2390=10),1,0)</f>
        <v>0</v>
      </c>
      <c r="Z2390" s="0" t="str">
        <f aca="false">IF(AND(C2389=C2390,W2389=W2390-1),X2389,"")</f>
        <v/>
      </c>
      <c r="AA2390" s="0" t="str">
        <f aca="false">IF(AND(C2389=C2390,W2389=W2390-1),Y2389,"")</f>
        <v/>
      </c>
      <c r="AB2390" s="0" t="str">
        <f aca="false">IF(W2390=1,"",IF(AND(X2390=1,Z2390&lt;&gt;1),1,0))</f>
        <v/>
      </c>
      <c r="AC2390" s="0" t="str">
        <f aca="false">IF(W2390=1,"",IF(AND(Y2390=1,AA2390&lt;&gt;1),1,0))</f>
        <v/>
      </c>
      <c r="AD2390" s="33" t="str">
        <f aca="false">IF(AND(E2390&gt;0,W2390&lt;1,NOT(AND(C2391=C2390,W2391=W2390+1))),INDEX(DATAS,W2390+1),"")</f>
        <v/>
      </c>
      <c r="AE2390" s="33" t="str">
        <f aca="false">IF(AND(Y2390=1,W2390&lt;1),IF(AND(C2391=C2390,W2391=W2390+1),IF(Y2391=1,"",INDEX(DATAS,W2390+1)),INDEX(DATAS,W2390+1)),"")</f>
        <v/>
      </c>
    </row>
    <row r="2391" customFormat="false" ht="15" hidden="false" customHeight="false" outlineLevel="0" collapsed="false">
      <c r="A2391" s="33" t="n">
        <v>46309</v>
      </c>
      <c r="B2391" s="0" t="n">
        <v>8</v>
      </c>
      <c r="C2391" s="0" t="n">
        <v>6696</v>
      </c>
      <c r="E2391" s="0" t="n">
        <v>0</v>
      </c>
      <c r="F2391" s="27" t="s">
        <v>1256</v>
      </c>
      <c r="I2391" s="27" t="s">
        <v>138</v>
      </c>
      <c r="L2391" s="0" t="n">
        <v>81</v>
      </c>
      <c r="U2391" s="0" t="n">
        <v>472</v>
      </c>
      <c r="V2391" s="0" t="n">
        <v>1</v>
      </c>
      <c r="W2391" s="27" t="n">
        <f aca="false">MATCH(A2391,DATAS,0)</f>
        <v>1</v>
      </c>
      <c r="X2391" s="27" t="n">
        <f aca="false">IF(AND(E2391&gt;0,OR(AND(B2391&gt;=1,B2391&lt;=6),B2391=10)),1,0)</f>
        <v>0</v>
      </c>
      <c r="Y2391" s="27" t="n">
        <f aca="false">IF(AND(E2391&gt;0,B2391=10),1,0)</f>
        <v>0</v>
      </c>
      <c r="Z2391" s="0" t="str">
        <f aca="false">IF(AND(C2390=C2391,W2390=W2391-1),X2390,"")</f>
        <v/>
      </c>
      <c r="AA2391" s="0" t="str">
        <f aca="false">IF(AND(C2390=C2391,W2390=W2391-1),Y2390,"")</f>
        <v/>
      </c>
      <c r="AB2391" s="0" t="str">
        <f aca="false">IF(W2391=1,"",IF(AND(X2391=1,Z2391&lt;&gt;1),1,0))</f>
        <v/>
      </c>
      <c r="AC2391" s="0" t="str">
        <f aca="false">IF(W2391=1,"",IF(AND(Y2391=1,AA2391&lt;&gt;1),1,0))</f>
        <v/>
      </c>
      <c r="AD2391" s="33" t="str">
        <f aca="false">IF(AND(E2391&gt;0,W2391&lt;1,NOT(AND(C2392=C2391,W2392=W2391+1))),INDEX(DATAS,W2391+1),"")</f>
        <v/>
      </c>
      <c r="AE2391" s="33" t="str">
        <f aca="false">IF(AND(Y2391=1,W2391&lt;1),IF(AND(C2392=C2391,W2392=W2391+1),IF(Y2392=1,"",INDEX(DATAS,W2391+1)),INDEX(DATAS,W2391+1)),"")</f>
        <v/>
      </c>
    </row>
    <row r="2392" customFormat="false" ht="15" hidden="false" customHeight="false" outlineLevel="0" collapsed="false">
      <c r="A2392" s="33" t="n">
        <v>46309</v>
      </c>
      <c r="B2392" s="0" t="n">
        <v>8</v>
      </c>
      <c r="C2392" s="0" t="n">
        <v>6697</v>
      </c>
      <c r="E2392" s="0" t="n">
        <v>0</v>
      </c>
      <c r="F2392" s="27" t="s">
        <v>1257</v>
      </c>
      <c r="I2392" s="27" t="s">
        <v>138</v>
      </c>
      <c r="L2392" s="0" t="n">
        <v>72</v>
      </c>
      <c r="U2392" s="0" t="n">
        <v>471</v>
      </c>
      <c r="V2392" s="0" t="n">
        <v>1</v>
      </c>
      <c r="W2392" s="27" t="n">
        <f aca="false">MATCH(A2392,DATAS,0)</f>
        <v>1</v>
      </c>
      <c r="X2392" s="27" t="n">
        <f aca="false">IF(AND(E2392&gt;0,OR(AND(B2392&gt;=1,B2392&lt;=6),B2392=10)),1,0)</f>
        <v>0</v>
      </c>
      <c r="Y2392" s="27" t="n">
        <f aca="false">IF(AND(E2392&gt;0,B2392=10),1,0)</f>
        <v>0</v>
      </c>
      <c r="Z2392" s="0" t="str">
        <f aca="false">IF(AND(C2391=C2392,W2391=W2392-1),X2391,"")</f>
        <v/>
      </c>
      <c r="AA2392" s="0" t="str">
        <f aca="false">IF(AND(C2391=C2392,W2391=W2392-1),Y2391,"")</f>
        <v/>
      </c>
      <c r="AB2392" s="0" t="str">
        <f aca="false">IF(W2392=1,"",IF(AND(X2392=1,Z2392&lt;&gt;1),1,0))</f>
        <v/>
      </c>
      <c r="AC2392" s="0" t="str">
        <f aca="false">IF(W2392=1,"",IF(AND(Y2392=1,AA2392&lt;&gt;1),1,0))</f>
        <v/>
      </c>
      <c r="AD2392" s="33" t="str">
        <f aca="false">IF(AND(E2392&gt;0,W2392&lt;1,NOT(AND(C2393=C2392,W2393=W2392+1))),INDEX(DATAS,W2392+1),"")</f>
        <v/>
      </c>
      <c r="AE2392" s="33" t="str">
        <f aca="false">IF(AND(Y2392=1,W2392&lt;1),IF(AND(C2393=C2392,W2393=W2392+1),IF(Y2393=1,"",INDEX(DATAS,W2392+1)),INDEX(DATAS,W2392+1)),"")</f>
        <v/>
      </c>
    </row>
    <row r="2393" customFormat="false" ht="15" hidden="false" customHeight="false" outlineLevel="0" collapsed="false">
      <c r="A2393" s="33" t="n">
        <v>46309</v>
      </c>
      <c r="B2393" s="0" t="n">
        <v>11</v>
      </c>
      <c r="C2393" s="0" t="n">
        <v>6698</v>
      </c>
      <c r="E2393" s="0" t="n">
        <v>0</v>
      </c>
      <c r="F2393" s="27" t="s">
        <v>1257</v>
      </c>
      <c r="I2393" s="27" t="s">
        <v>168</v>
      </c>
      <c r="U2393" s="0" t="n">
        <v>471</v>
      </c>
      <c r="V2393" s="0" t="n">
        <v>4</v>
      </c>
      <c r="W2393" s="27" t="n">
        <f aca="false">MATCH(A2393,DATAS,0)</f>
        <v>1</v>
      </c>
      <c r="X2393" s="27" t="n">
        <f aca="false">IF(AND(E2393&gt;0,OR(AND(B2393&gt;=1,B2393&lt;=6),B2393=10)),1,0)</f>
        <v>0</v>
      </c>
      <c r="Y2393" s="27" t="n">
        <f aca="false">IF(AND(E2393&gt;0,B2393=10),1,0)</f>
        <v>0</v>
      </c>
      <c r="Z2393" s="0" t="str">
        <f aca="false">IF(AND(C2392=C2393,W2392=W2393-1),X2392,"")</f>
        <v/>
      </c>
      <c r="AA2393" s="0" t="str">
        <f aca="false">IF(AND(C2392=C2393,W2392=W2393-1),Y2392,"")</f>
        <v/>
      </c>
      <c r="AB2393" s="0" t="str">
        <f aca="false">IF(W2393=1,"",IF(AND(X2393=1,Z2393&lt;&gt;1),1,0))</f>
        <v/>
      </c>
      <c r="AC2393" s="0" t="str">
        <f aca="false">IF(W2393=1,"",IF(AND(Y2393=1,AA2393&lt;&gt;1),1,0))</f>
        <v/>
      </c>
      <c r="AD2393" s="33" t="str">
        <f aca="false">IF(AND(E2393&gt;0,W2393&lt;1,NOT(AND(C2394=C2393,W2394=W2393+1))),INDEX(DATAS,W2393+1),"")</f>
        <v/>
      </c>
      <c r="AE2393" s="33" t="str">
        <f aca="false">IF(AND(Y2393=1,W2393&lt;1),IF(AND(C2394=C2393,W2394=W2393+1),IF(Y2394=1,"",INDEX(DATAS,W2393+1)),INDEX(DATAS,W2393+1)),"")</f>
        <v/>
      </c>
    </row>
    <row r="2394" customFormat="false" ht="15" hidden="false" customHeight="false" outlineLevel="0" collapsed="false">
      <c r="A2394" s="33" t="n">
        <v>46309</v>
      </c>
      <c r="B2394" s="0" t="n">
        <v>11</v>
      </c>
      <c r="C2394" s="0" t="n">
        <v>6700</v>
      </c>
      <c r="E2394" s="0" t="n">
        <v>0</v>
      </c>
      <c r="F2394" s="27" t="s">
        <v>1257</v>
      </c>
      <c r="I2394" s="27" t="s">
        <v>168</v>
      </c>
      <c r="U2394" s="0" t="n">
        <v>471</v>
      </c>
      <c r="V2394" s="0" t="n">
        <v>2</v>
      </c>
      <c r="W2394" s="27" t="n">
        <f aca="false">MATCH(A2394,DATAS,0)</f>
        <v>1</v>
      </c>
      <c r="X2394" s="27" t="n">
        <f aca="false">IF(AND(E2394&gt;0,OR(AND(B2394&gt;=1,B2394&lt;=6),B2394=10)),1,0)</f>
        <v>0</v>
      </c>
      <c r="Y2394" s="27" t="n">
        <f aca="false">IF(AND(E2394&gt;0,B2394=10),1,0)</f>
        <v>0</v>
      </c>
      <c r="Z2394" s="0" t="str">
        <f aca="false">IF(AND(C2393=C2394,W2393=W2394-1),X2393,"")</f>
        <v/>
      </c>
      <c r="AA2394" s="0" t="str">
        <f aca="false">IF(AND(C2393=C2394,W2393=W2394-1),Y2393,"")</f>
        <v/>
      </c>
      <c r="AB2394" s="0" t="str">
        <f aca="false">IF(W2394=1,"",IF(AND(X2394=1,Z2394&lt;&gt;1),1,0))</f>
        <v/>
      </c>
      <c r="AC2394" s="0" t="str">
        <f aca="false">IF(W2394=1,"",IF(AND(Y2394=1,AA2394&lt;&gt;1),1,0))</f>
        <v/>
      </c>
      <c r="AD2394" s="33" t="str">
        <f aca="false">IF(AND(E2394&gt;0,W2394&lt;1,NOT(AND(C2395=C2394,W2395=W2394+1))),INDEX(DATAS,W2394+1),"")</f>
        <v/>
      </c>
      <c r="AE2394" s="33" t="str">
        <f aca="false">IF(AND(Y2394=1,W2394&lt;1),IF(AND(C2395=C2394,W2395=W2394+1),IF(Y2395=1,"",INDEX(DATAS,W2394+1)),INDEX(DATAS,W2394+1)),"")</f>
        <v/>
      </c>
    </row>
    <row r="2395" customFormat="false" ht="15" hidden="false" customHeight="false" outlineLevel="0" collapsed="false">
      <c r="A2395" s="33" t="n">
        <v>46309</v>
      </c>
      <c r="B2395" s="0" t="n">
        <v>8</v>
      </c>
      <c r="C2395" s="0" t="n">
        <v>6701</v>
      </c>
      <c r="E2395" s="0" t="n">
        <v>0</v>
      </c>
      <c r="F2395" s="27" t="s">
        <v>1258</v>
      </c>
      <c r="I2395" s="27" t="s">
        <v>138</v>
      </c>
      <c r="L2395" s="0" t="n">
        <v>63</v>
      </c>
      <c r="U2395" s="0" t="n">
        <v>470</v>
      </c>
      <c r="V2395" s="0" t="n">
        <v>1</v>
      </c>
      <c r="W2395" s="27" t="n">
        <f aca="false">MATCH(A2395,DATAS,0)</f>
        <v>1</v>
      </c>
      <c r="X2395" s="27" t="n">
        <f aca="false">IF(AND(E2395&gt;0,OR(AND(B2395&gt;=1,B2395&lt;=6),B2395=10)),1,0)</f>
        <v>0</v>
      </c>
      <c r="Y2395" s="27" t="n">
        <f aca="false">IF(AND(E2395&gt;0,B2395=10),1,0)</f>
        <v>0</v>
      </c>
      <c r="Z2395" s="0" t="str">
        <f aca="false">IF(AND(C2394=C2395,W2394=W2395-1),X2394,"")</f>
        <v/>
      </c>
      <c r="AA2395" s="0" t="str">
        <f aca="false">IF(AND(C2394=C2395,W2394=W2395-1),Y2394,"")</f>
        <v/>
      </c>
      <c r="AB2395" s="0" t="str">
        <f aca="false">IF(W2395=1,"",IF(AND(X2395=1,Z2395&lt;&gt;1),1,0))</f>
        <v/>
      </c>
      <c r="AC2395" s="0" t="str">
        <f aca="false">IF(W2395=1,"",IF(AND(Y2395=1,AA2395&lt;&gt;1),1,0))</f>
        <v/>
      </c>
      <c r="AD2395" s="33" t="str">
        <f aca="false">IF(AND(E2395&gt;0,W2395&lt;1,NOT(AND(C2396=C2395,W2396=W2395+1))),INDEX(DATAS,W2395+1),"")</f>
        <v/>
      </c>
      <c r="AE2395" s="33" t="str">
        <f aca="false">IF(AND(Y2395=1,W2395&lt;1),IF(AND(C2396=C2395,W2396=W2395+1),IF(Y2396=1,"",INDEX(DATAS,W2395+1)),INDEX(DATAS,W2395+1)),"")</f>
        <v/>
      </c>
    </row>
    <row r="2396" customFormat="false" ht="15" hidden="false" customHeight="false" outlineLevel="0" collapsed="false">
      <c r="A2396" s="33" t="n">
        <v>46309</v>
      </c>
      <c r="B2396" s="0" t="n">
        <v>11</v>
      </c>
      <c r="C2396" s="0" t="n">
        <v>6702</v>
      </c>
      <c r="E2396" s="0" t="n">
        <v>0</v>
      </c>
      <c r="F2396" s="27" t="s">
        <v>1258</v>
      </c>
      <c r="I2396" s="27" t="s">
        <v>168</v>
      </c>
      <c r="U2396" s="0" t="n">
        <v>470</v>
      </c>
      <c r="V2396" s="0" t="n">
        <v>2</v>
      </c>
      <c r="W2396" s="27" t="n">
        <f aca="false">MATCH(A2396,DATAS,0)</f>
        <v>1</v>
      </c>
      <c r="X2396" s="27" t="n">
        <f aca="false">IF(AND(E2396&gt;0,OR(AND(B2396&gt;=1,B2396&lt;=6),B2396=10)),1,0)</f>
        <v>0</v>
      </c>
      <c r="Y2396" s="27" t="n">
        <f aca="false">IF(AND(E2396&gt;0,B2396=10),1,0)</f>
        <v>0</v>
      </c>
      <c r="Z2396" s="0" t="str">
        <f aca="false">IF(AND(C2395=C2396,W2395=W2396-1),X2395,"")</f>
        <v/>
      </c>
      <c r="AA2396" s="0" t="str">
        <f aca="false">IF(AND(C2395=C2396,W2395=W2396-1),Y2395,"")</f>
        <v/>
      </c>
      <c r="AB2396" s="0" t="str">
        <f aca="false">IF(W2396=1,"",IF(AND(X2396=1,Z2396&lt;&gt;1),1,0))</f>
        <v/>
      </c>
      <c r="AC2396" s="0" t="str">
        <f aca="false">IF(W2396=1,"",IF(AND(Y2396=1,AA2396&lt;&gt;1),1,0))</f>
        <v/>
      </c>
      <c r="AD2396" s="33" t="str">
        <f aca="false">IF(AND(E2396&gt;0,W2396&lt;1,NOT(AND(C2397=C2396,W2397=W2396+1))),INDEX(DATAS,W2396+1),"")</f>
        <v/>
      </c>
      <c r="AE2396" s="33" t="str">
        <f aca="false">IF(AND(Y2396=1,W2396&lt;1),IF(AND(C2397=C2396,W2397=W2396+1),IF(Y2397=1,"",INDEX(DATAS,W2396+1)),INDEX(DATAS,W2396+1)),"")</f>
        <v/>
      </c>
    </row>
    <row r="2397" customFormat="false" ht="15" hidden="false" customHeight="false" outlineLevel="0" collapsed="false">
      <c r="A2397" s="33" t="n">
        <v>46309</v>
      </c>
      <c r="B2397" s="0" t="n">
        <v>11</v>
      </c>
      <c r="C2397" s="0" t="n">
        <v>6703</v>
      </c>
      <c r="E2397" s="0" t="n">
        <v>0</v>
      </c>
      <c r="F2397" s="27" t="s">
        <v>1258</v>
      </c>
      <c r="I2397" s="27" t="s">
        <v>168</v>
      </c>
      <c r="U2397" s="0" t="n">
        <v>470</v>
      </c>
      <c r="V2397" s="0" t="n">
        <v>1</v>
      </c>
      <c r="W2397" s="27" t="n">
        <f aca="false">MATCH(A2397,DATAS,0)</f>
        <v>1</v>
      </c>
      <c r="X2397" s="27" t="n">
        <f aca="false">IF(AND(E2397&gt;0,OR(AND(B2397&gt;=1,B2397&lt;=6),B2397=10)),1,0)</f>
        <v>0</v>
      </c>
      <c r="Y2397" s="27" t="n">
        <f aca="false">IF(AND(E2397&gt;0,B2397=10),1,0)</f>
        <v>0</v>
      </c>
      <c r="Z2397" s="0" t="str">
        <f aca="false">IF(AND(C2396=C2397,W2396=W2397-1),X2396,"")</f>
        <v/>
      </c>
      <c r="AA2397" s="0" t="str">
        <f aca="false">IF(AND(C2396=C2397,W2396=W2397-1),Y2396,"")</f>
        <v/>
      </c>
      <c r="AB2397" s="0" t="str">
        <f aca="false">IF(W2397=1,"",IF(AND(X2397=1,Z2397&lt;&gt;1),1,0))</f>
        <v/>
      </c>
      <c r="AC2397" s="0" t="str">
        <f aca="false">IF(W2397=1,"",IF(AND(Y2397=1,AA2397&lt;&gt;1),1,0))</f>
        <v/>
      </c>
      <c r="AD2397" s="33" t="str">
        <f aca="false">IF(AND(E2397&gt;0,W2397&lt;1,NOT(AND(C2398=C2397,W2398=W2397+1))),INDEX(DATAS,W2397+1),"")</f>
        <v/>
      </c>
      <c r="AE2397" s="33" t="str">
        <f aca="false">IF(AND(Y2397=1,W2397&lt;1),IF(AND(C2398=C2397,W2398=W2397+1),IF(Y2398=1,"",INDEX(DATAS,W2397+1)),INDEX(DATAS,W2397+1)),"")</f>
        <v/>
      </c>
    </row>
    <row r="2398" customFormat="false" ht="15" hidden="false" customHeight="false" outlineLevel="0" collapsed="false">
      <c r="A2398" s="33" t="n">
        <v>46309</v>
      </c>
      <c r="B2398" s="0" t="n">
        <v>8</v>
      </c>
      <c r="C2398" s="0" t="n">
        <v>6704</v>
      </c>
      <c r="E2398" s="0" t="n">
        <v>0</v>
      </c>
      <c r="F2398" s="27" t="s">
        <v>1259</v>
      </c>
      <c r="I2398" s="27" t="s">
        <v>176</v>
      </c>
      <c r="U2398" s="0" t="n">
        <v>469</v>
      </c>
      <c r="V2398" s="0" t="n">
        <v>1</v>
      </c>
      <c r="W2398" s="27" t="n">
        <f aca="false">MATCH(A2398,DATAS,0)</f>
        <v>1</v>
      </c>
      <c r="X2398" s="27" t="n">
        <f aca="false">IF(AND(E2398&gt;0,OR(AND(B2398&gt;=1,B2398&lt;=6),B2398=10)),1,0)</f>
        <v>0</v>
      </c>
      <c r="Y2398" s="27" t="n">
        <f aca="false">IF(AND(E2398&gt;0,B2398=10),1,0)</f>
        <v>0</v>
      </c>
      <c r="Z2398" s="0" t="str">
        <f aca="false">IF(AND(C2397=C2398,W2397=W2398-1),X2397,"")</f>
        <v/>
      </c>
      <c r="AA2398" s="0" t="str">
        <f aca="false">IF(AND(C2397=C2398,W2397=W2398-1),Y2397,"")</f>
        <v/>
      </c>
      <c r="AB2398" s="0" t="str">
        <f aca="false">IF(W2398=1,"",IF(AND(X2398=1,Z2398&lt;&gt;1),1,0))</f>
        <v/>
      </c>
      <c r="AC2398" s="0" t="str">
        <f aca="false">IF(W2398=1,"",IF(AND(Y2398=1,AA2398&lt;&gt;1),1,0))</f>
        <v/>
      </c>
      <c r="AD2398" s="33" t="str">
        <f aca="false">IF(AND(E2398&gt;0,W2398&lt;1,NOT(AND(C2399=C2398,W2399=W2398+1))),INDEX(DATAS,W2398+1),"")</f>
        <v/>
      </c>
      <c r="AE2398" s="33" t="str">
        <f aca="false">IF(AND(Y2398=1,W2398&lt;1),IF(AND(C2399=C2398,W2399=W2398+1),IF(Y2399=1,"",INDEX(DATAS,W2398+1)),INDEX(DATAS,W2398+1)),"")</f>
        <v/>
      </c>
    </row>
    <row r="2399" customFormat="false" ht="15" hidden="false" customHeight="false" outlineLevel="0" collapsed="false">
      <c r="A2399" s="33" t="n">
        <v>46309</v>
      </c>
      <c r="B2399" s="0" t="n">
        <v>11</v>
      </c>
      <c r="C2399" s="0" t="n">
        <v>6705</v>
      </c>
      <c r="E2399" s="0" t="n">
        <v>0</v>
      </c>
      <c r="F2399" s="27" t="s">
        <v>1259</v>
      </c>
      <c r="I2399" s="27" t="s">
        <v>168</v>
      </c>
      <c r="U2399" s="0" t="n">
        <v>469</v>
      </c>
      <c r="V2399" s="0" t="n">
        <v>3</v>
      </c>
      <c r="W2399" s="27" t="n">
        <f aca="false">MATCH(A2399,DATAS,0)</f>
        <v>1</v>
      </c>
      <c r="X2399" s="27" t="n">
        <f aca="false">IF(AND(E2399&gt;0,OR(AND(B2399&gt;=1,B2399&lt;=6),B2399=10)),1,0)</f>
        <v>0</v>
      </c>
      <c r="Y2399" s="27" t="n">
        <f aca="false">IF(AND(E2399&gt;0,B2399=10),1,0)</f>
        <v>0</v>
      </c>
      <c r="Z2399" s="0" t="str">
        <f aca="false">IF(AND(C2398=C2399,W2398=W2399-1),X2398,"")</f>
        <v/>
      </c>
      <c r="AA2399" s="0" t="str">
        <f aca="false">IF(AND(C2398=C2399,W2398=W2399-1),Y2398,"")</f>
        <v/>
      </c>
      <c r="AB2399" s="0" t="str">
        <f aca="false">IF(W2399=1,"",IF(AND(X2399=1,Z2399&lt;&gt;1),1,0))</f>
        <v/>
      </c>
      <c r="AC2399" s="0" t="str">
        <f aca="false">IF(W2399=1,"",IF(AND(Y2399=1,AA2399&lt;&gt;1),1,0))</f>
        <v/>
      </c>
      <c r="AD2399" s="33" t="str">
        <f aca="false">IF(AND(E2399&gt;0,W2399&lt;1,NOT(AND(C2400=C2399,W2400=W2399+1))),INDEX(DATAS,W2399+1),"")</f>
        <v/>
      </c>
      <c r="AE2399" s="33" t="str">
        <f aca="false">IF(AND(Y2399=1,W2399&lt;1),IF(AND(C2400=C2399,W2400=W2399+1),IF(Y2400=1,"",INDEX(DATAS,W2399+1)),INDEX(DATAS,W2399+1)),"")</f>
        <v/>
      </c>
    </row>
    <row r="2400" customFormat="false" ht="15" hidden="false" customHeight="false" outlineLevel="0" collapsed="false">
      <c r="A2400" s="33" t="n">
        <v>46309</v>
      </c>
      <c r="B2400" s="0" t="n">
        <v>11</v>
      </c>
      <c r="C2400" s="0" t="n">
        <v>6706</v>
      </c>
      <c r="E2400" s="0" t="n">
        <v>0</v>
      </c>
      <c r="F2400" s="27" t="s">
        <v>1260</v>
      </c>
      <c r="I2400" s="27" t="s">
        <v>168</v>
      </c>
      <c r="U2400" s="0" t="n">
        <v>467</v>
      </c>
      <c r="V2400" s="0" t="n">
        <v>2</v>
      </c>
      <c r="W2400" s="27" t="n">
        <f aca="false">MATCH(A2400,DATAS,0)</f>
        <v>1</v>
      </c>
      <c r="X2400" s="27" t="n">
        <f aca="false">IF(AND(E2400&gt;0,OR(AND(B2400&gt;=1,B2400&lt;=6),B2400=10)),1,0)</f>
        <v>0</v>
      </c>
      <c r="Y2400" s="27" t="n">
        <f aca="false">IF(AND(E2400&gt;0,B2400=10),1,0)</f>
        <v>0</v>
      </c>
      <c r="Z2400" s="0" t="str">
        <f aca="false">IF(AND(C2399=C2400,W2399=W2400-1),X2399,"")</f>
        <v/>
      </c>
      <c r="AA2400" s="0" t="str">
        <f aca="false">IF(AND(C2399=C2400,W2399=W2400-1),Y2399,"")</f>
        <v/>
      </c>
      <c r="AB2400" s="0" t="str">
        <f aca="false">IF(W2400=1,"",IF(AND(X2400=1,Z2400&lt;&gt;1),1,0))</f>
        <v/>
      </c>
      <c r="AC2400" s="0" t="str">
        <f aca="false">IF(W2400=1,"",IF(AND(Y2400=1,AA2400&lt;&gt;1),1,0))</f>
        <v/>
      </c>
      <c r="AD2400" s="33" t="str">
        <f aca="false">IF(AND(E2400&gt;0,W2400&lt;1,NOT(AND(C2401=C2400,W2401=W2400+1))),INDEX(DATAS,W2400+1),"")</f>
        <v/>
      </c>
      <c r="AE2400" s="33" t="str">
        <f aca="false">IF(AND(Y2400=1,W2400&lt;1),IF(AND(C2401=C2400,W2401=W2400+1),IF(Y2401=1,"",INDEX(DATAS,W2400+1)),INDEX(DATAS,W2400+1)),"")</f>
        <v/>
      </c>
    </row>
    <row r="2401" customFormat="false" ht="15" hidden="false" customHeight="false" outlineLevel="0" collapsed="false">
      <c r="A2401" s="33" t="n">
        <v>46309</v>
      </c>
      <c r="B2401" s="0" t="n">
        <v>8</v>
      </c>
      <c r="C2401" s="0" t="n">
        <v>6707</v>
      </c>
      <c r="E2401" s="0" t="n">
        <v>0</v>
      </c>
      <c r="F2401" s="27" t="s">
        <v>1260</v>
      </c>
      <c r="I2401" s="27" t="s">
        <v>138</v>
      </c>
      <c r="L2401" s="0" t="n">
        <v>48</v>
      </c>
      <c r="U2401" s="0" t="n">
        <v>467</v>
      </c>
      <c r="V2401" s="0" t="n">
        <v>2</v>
      </c>
      <c r="W2401" s="27" t="n">
        <f aca="false">MATCH(A2401,DATAS,0)</f>
        <v>1</v>
      </c>
      <c r="X2401" s="27" t="n">
        <f aca="false">IF(AND(E2401&gt;0,OR(AND(B2401&gt;=1,B2401&lt;=6),B2401=10)),1,0)</f>
        <v>0</v>
      </c>
      <c r="Y2401" s="27" t="n">
        <f aca="false">IF(AND(E2401&gt;0,B2401=10),1,0)</f>
        <v>0</v>
      </c>
      <c r="Z2401" s="0" t="str">
        <f aca="false">IF(AND(C2400=C2401,W2400=W2401-1),X2400,"")</f>
        <v/>
      </c>
      <c r="AA2401" s="0" t="str">
        <f aca="false">IF(AND(C2400=C2401,W2400=W2401-1),Y2400,"")</f>
        <v/>
      </c>
      <c r="AB2401" s="0" t="str">
        <f aca="false">IF(W2401=1,"",IF(AND(X2401=1,Z2401&lt;&gt;1),1,0))</f>
        <v/>
      </c>
      <c r="AC2401" s="0" t="str">
        <f aca="false">IF(W2401=1,"",IF(AND(Y2401=1,AA2401&lt;&gt;1),1,0))</f>
        <v/>
      </c>
      <c r="AD2401" s="33" t="str">
        <f aca="false">IF(AND(E2401&gt;0,W2401&lt;1,NOT(AND(C2402=C2401,W2402=W2401+1))),INDEX(DATAS,W2401+1),"")</f>
        <v/>
      </c>
      <c r="AE2401" s="33" t="str">
        <f aca="false">IF(AND(Y2401=1,W2401&lt;1),IF(AND(C2402=C2401,W2402=W2401+1),IF(Y2402=1,"",INDEX(DATAS,W2401+1)),INDEX(DATAS,W2401+1)),"")</f>
        <v/>
      </c>
    </row>
    <row r="2402" customFormat="false" ht="15" hidden="false" customHeight="false" outlineLevel="0" collapsed="false">
      <c r="A2402" s="33" t="n">
        <v>46309</v>
      </c>
      <c r="B2402" s="0" t="n">
        <v>11</v>
      </c>
      <c r="C2402" s="0" t="n">
        <v>6708</v>
      </c>
      <c r="E2402" s="0" t="n">
        <v>0</v>
      </c>
      <c r="F2402" s="27" t="s">
        <v>1260</v>
      </c>
      <c r="I2402" s="27" t="s">
        <v>168</v>
      </c>
      <c r="U2402" s="0" t="n">
        <v>467</v>
      </c>
      <c r="V2402" s="0" t="n">
        <v>2</v>
      </c>
      <c r="W2402" s="27" t="n">
        <f aca="false">MATCH(A2402,DATAS,0)</f>
        <v>1</v>
      </c>
      <c r="X2402" s="27" t="n">
        <f aca="false">IF(AND(E2402&gt;0,OR(AND(B2402&gt;=1,B2402&lt;=6),B2402=10)),1,0)</f>
        <v>0</v>
      </c>
      <c r="Y2402" s="27" t="n">
        <f aca="false">IF(AND(E2402&gt;0,B2402=10),1,0)</f>
        <v>0</v>
      </c>
      <c r="Z2402" s="0" t="str">
        <f aca="false">IF(AND(C2401=C2402,W2401=W2402-1),X2401,"")</f>
        <v/>
      </c>
      <c r="AA2402" s="0" t="str">
        <f aca="false">IF(AND(C2401=C2402,W2401=W2402-1),Y2401,"")</f>
        <v/>
      </c>
      <c r="AB2402" s="0" t="str">
        <f aca="false">IF(W2402=1,"",IF(AND(X2402=1,Z2402&lt;&gt;1),1,0))</f>
        <v/>
      </c>
      <c r="AC2402" s="0" t="str">
        <f aca="false">IF(W2402=1,"",IF(AND(Y2402=1,AA2402&lt;&gt;1),1,0))</f>
        <v/>
      </c>
      <c r="AD2402" s="33" t="str">
        <f aca="false">IF(AND(E2402&gt;0,W2402&lt;1,NOT(AND(C2403=C2402,W2403=W2402+1))),INDEX(DATAS,W2402+1),"")</f>
        <v/>
      </c>
      <c r="AE2402" s="33" t="str">
        <f aca="false">IF(AND(Y2402=1,W2402&lt;1),IF(AND(C2403=C2402,W2403=W2402+1),IF(Y2403=1,"",INDEX(DATAS,W2402+1)),INDEX(DATAS,W2402+1)),"")</f>
        <v/>
      </c>
    </row>
    <row r="2403" customFormat="false" ht="15" hidden="false" customHeight="false" outlineLevel="0" collapsed="false">
      <c r="A2403" s="33" t="n">
        <v>46309</v>
      </c>
      <c r="B2403" s="0" t="n">
        <v>11</v>
      </c>
      <c r="C2403" s="0" t="n">
        <v>6709</v>
      </c>
      <c r="E2403" s="0" t="n">
        <v>0</v>
      </c>
      <c r="F2403" s="27" t="s">
        <v>1260</v>
      </c>
      <c r="I2403" s="27" t="s">
        <v>168</v>
      </c>
      <c r="U2403" s="0" t="n">
        <v>467</v>
      </c>
      <c r="V2403" s="0" t="n">
        <v>1</v>
      </c>
      <c r="W2403" s="27" t="n">
        <f aca="false">MATCH(A2403,DATAS,0)</f>
        <v>1</v>
      </c>
      <c r="X2403" s="27" t="n">
        <f aca="false">IF(AND(E2403&gt;0,OR(AND(B2403&gt;=1,B2403&lt;=6),B2403=10)),1,0)</f>
        <v>0</v>
      </c>
      <c r="Y2403" s="27" t="n">
        <f aca="false">IF(AND(E2403&gt;0,B2403=10),1,0)</f>
        <v>0</v>
      </c>
      <c r="Z2403" s="0" t="str">
        <f aca="false">IF(AND(C2402=C2403,W2402=W2403-1),X2402,"")</f>
        <v/>
      </c>
      <c r="AA2403" s="0" t="str">
        <f aca="false">IF(AND(C2402=C2403,W2402=W2403-1),Y2402,"")</f>
        <v/>
      </c>
      <c r="AB2403" s="0" t="str">
        <f aca="false">IF(W2403=1,"",IF(AND(X2403=1,Z2403&lt;&gt;1),1,0))</f>
        <v/>
      </c>
      <c r="AC2403" s="0" t="str">
        <f aca="false">IF(W2403=1,"",IF(AND(Y2403=1,AA2403&lt;&gt;1),1,0))</f>
        <v/>
      </c>
      <c r="AD2403" s="33" t="str">
        <f aca="false">IF(AND(E2403&gt;0,W2403&lt;1,NOT(AND(C2404=C2403,W2404=W2403+1))),INDEX(DATAS,W2403+1),"")</f>
        <v/>
      </c>
      <c r="AE2403" s="33" t="str">
        <f aca="false">IF(AND(Y2403=1,W2403&lt;1),IF(AND(C2404=C2403,W2404=W2403+1),IF(Y2404=1,"",INDEX(DATAS,W2403+1)),INDEX(DATAS,W2403+1)),"")</f>
        <v/>
      </c>
    </row>
    <row r="2404" customFormat="false" ht="15" hidden="false" customHeight="false" outlineLevel="0" collapsed="false">
      <c r="A2404" s="33" t="n">
        <v>46309</v>
      </c>
      <c r="B2404" s="0" t="n">
        <v>11</v>
      </c>
      <c r="C2404" s="0" t="n">
        <v>6710</v>
      </c>
      <c r="E2404" s="0" t="n">
        <v>0</v>
      </c>
      <c r="F2404" s="27" t="s">
        <v>1260</v>
      </c>
      <c r="I2404" s="27" t="s">
        <v>176</v>
      </c>
      <c r="U2404" s="0" t="n">
        <v>467</v>
      </c>
      <c r="V2404" s="0" t="n">
        <v>1</v>
      </c>
      <c r="W2404" s="27" t="n">
        <f aca="false">MATCH(A2404,DATAS,0)</f>
        <v>1</v>
      </c>
      <c r="X2404" s="27" t="n">
        <f aca="false">IF(AND(E2404&gt;0,OR(AND(B2404&gt;=1,B2404&lt;=6),B2404=10)),1,0)</f>
        <v>0</v>
      </c>
      <c r="Y2404" s="27" t="n">
        <f aca="false">IF(AND(E2404&gt;0,B2404=10),1,0)</f>
        <v>0</v>
      </c>
      <c r="Z2404" s="0" t="str">
        <f aca="false">IF(AND(C2403=C2404,W2403=W2404-1),X2403,"")</f>
        <v/>
      </c>
      <c r="AA2404" s="0" t="str">
        <f aca="false">IF(AND(C2403=C2404,W2403=W2404-1),Y2403,"")</f>
        <v/>
      </c>
      <c r="AB2404" s="0" t="str">
        <f aca="false">IF(W2404=1,"",IF(AND(X2404=1,Z2404&lt;&gt;1),1,0))</f>
        <v/>
      </c>
      <c r="AC2404" s="0" t="str">
        <f aca="false">IF(W2404=1,"",IF(AND(Y2404=1,AA2404&lt;&gt;1),1,0))</f>
        <v/>
      </c>
      <c r="AD2404" s="33" t="str">
        <f aca="false">IF(AND(E2404&gt;0,W2404&lt;1,NOT(AND(C2405=C2404,W2405=W2404+1))),INDEX(DATAS,W2404+1),"")</f>
        <v/>
      </c>
      <c r="AE2404" s="33" t="str">
        <f aca="false">IF(AND(Y2404=1,W2404&lt;1),IF(AND(C2405=C2404,W2405=W2404+1),IF(Y2405=1,"",INDEX(DATAS,W2404+1)),INDEX(DATAS,W2404+1)),"")</f>
        <v/>
      </c>
    </row>
    <row r="2405" customFormat="false" ht="15" hidden="false" customHeight="false" outlineLevel="0" collapsed="false">
      <c r="A2405" s="33" t="n">
        <v>46309</v>
      </c>
      <c r="B2405" s="0" t="n">
        <v>11</v>
      </c>
      <c r="C2405" s="0" t="n">
        <v>6711</v>
      </c>
      <c r="E2405" s="0" t="n">
        <v>0</v>
      </c>
      <c r="F2405" s="27" t="s">
        <v>1260</v>
      </c>
      <c r="I2405" s="27" t="s">
        <v>168</v>
      </c>
      <c r="U2405" s="0" t="n">
        <v>467</v>
      </c>
      <c r="V2405" s="0" t="n">
        <v>4</v>
      </c>
      <c r="W2405" s="27" t="n">
        <f aca="false">MATCH(A2405,DATAS,0)</f>
        <v>1</v>
      </c>
      <c r="X2405" s="27" t="n">
        <f aca="false">IF(AND(E2405&gt;0,OR(AND(B2405&gt;=1,B2405&lt;=6),B2405=10)),1,0)</f>
        <v>0</v>
      </c>
      <c r="Y2405" s="27" t="n">
        <f aca="false">IF(AND(E2405&gt;0,B2405=10),1,0)</f>
        <v>0</v>
      </c>
      <c r="Z2405" s="0" t="str">
        <f aca="false">IF(AND(C2404=C2405,W2404=W2405-1),X2404,"")</f>
        <v/>
      </c>
      <c r="AA2405" s="0" t="str">
        <f aca="false">IF(AND(C2404=C2405,W2404=W2405-1),Y2404,"")</f>
        <v/>
      </c>
      <c r="AB2405" s="0" t="str">
        <f aca="false">IF(W2405=1,"",IF(AND(X2405=1,Z2405&lt;&gt;1),1,0))</f>
        <v/>
      </c>
      <c r="AC2405" s="0" t="str">
        <f aca="false">IF(W2405=1,"",IF(AND(Y2405=1,AA2405&lt;&gt;1),1,0))</f>
        <v/>
      </c>
      <c r="AD2405" s="33" t="str">
        <f aca="false">IF(AND(E2405&gt;0,W2405&lt;1,NOT(AND(C2406=C2405,W2406=W2405+1))),INDEX(DATAS,W2405+1),"")</f>
        <v/>
      </c>
      <c r="AE2405" s="33" t="str">
        <f aca="false">IF(AND(Y2405=1,W2405&lt;1),IF(AND(C2406=C2405,W2406=W2405+1),IF(Y2406=1,"",INDEX(DATAS,W2405+1)),INDEX(DATAS,W2405+1)),"")</f>
        <v/>
      </c>
    </row>
    <row r="2406" customFormat="false" ht="15" hidden="false" customHeight="false" outlineLevel="0" collapsed="false">
      <c r="A2406" s="33" t="n">
        <v>46309</v>
      </c>
      <c r="B2406" s="0" t="n">
        <v>8</v>
      </c>
      <c r="C2406" s="0" t="n">
        <v>6712</v>
      </c>
      <c r="E2406" s="0" t="n">
        <v>0</v>
      </c>
      <c r="F2406" s="27" t="s">
        <v>1260</v>
      </c>
      <c r="I2406" s="27" t="s">
        <v>138</v>
      </c>
      <c r="L2406" s="0" t="n">
        <v>38</v>
      </c>
      <c r="U2406" s="0" t="n">
        <v>467</v>
      </c>
      <c r="V2406" s="0" t="n">
        <v>2</v>
      </c>
      <c r="W2406" s="27" t="n">
        <f aca="false">MATCH(A2406,DATAS,0)</f>
        <v>1</v>
      </c>
      <c r="X2406" s="27" t="n">
        <f aca="false">IF(AND(E2406&gt;0,OR(AND(B2406&gt;=1,B2406&lt;=6),B2406=10)),1,0)</f>
        <v>0</v>
      </c>
      <c r="Y2406" s="27" t="n">
        <f aca="false">IF(AND(E2406&gt;0,B2406=10),1,0)</f>
        <v>0</v>
      </c>
      <c r="Z2406" s="0" t="str">
        <f aca="false">IF(AND(C2405=C2406,W2405=W2406-1),X2405,"")</f>
        <v/>
      </c>
      <c r="AA2406" s="0" t="str">
        <f aca="false">IF(AND(C2405=C2406,W2405=W2406-1),Y2405,"")</f>
        <v/>
      </c>
      <c r="AB2406" s="0" t="str">
        <f aca="false">IF(W2406=1,"",IF(AND(X2406=1,Z2406&lt;&gt;1),1,0))</f>
        <v/>
      </c>
      <c r="AC2406" s="0" t="str">
        <f aca="false">IF(W2406=1,"",IF(AND(Y2406=1,AA2406&lt;&gt;1),1,0))</f>
        <v/>
      </c>
      <c r="AD2406" s="33" t="str">
        <f aca="false">IF(AND(E2406&gt;0,W2406&lt;1,NOT(AND(C2407=C2406,W2407=W2406+1))),INDEX(DATAS,W2406+1),"")</f>
        <v/>
      </c>
      <c r="AE2406" s="33" t="str">
        <f aca="false">IF(AND(Y2406=1,W2406&lt;1),IF(AND(C2407=C2406,W2407=W2406+1),IF(Y2407=1,"",INDEX(DATAS,W2406+1)),INDEX(DATAS,W2406+1)),"")</f>
        <v/>
      </c>
    </row>
    <row r="2407" customFormat="false" ht="15" hidden="false" customHeight="false" outlineLevel="0" collapsed="false">
      <c r="A2407" s="33" t="n">
        <v>46309</v>
      </c>
      <c r="B2407" s="0" t="n">
        <v>11</v>
      </c>
      <c r="C2407" s="0" t="n">
        <v>6713</v>
      </c>
      <c r="E2407" s="0" t="n">
        <v>0</v>
      </c>
      <c r="F2407" s="27" t="s">
        <v>1260</v>
      </c>
      <c r="I2407" s="27" t="s">
        <v>168</v>
      </c>
      <c r="U2407" s="0" t="n">
        <v>467</v>
      </c>
      <c r="V2407" s="0" t="n">
        <v>2</v>
      </c>
      <c r="W2407" s="27" t="n">
        <f aca="false">MATCH(A2407,DATAS,0)</f>
        <v>1</v>
      </c>
      <c r="X2407" s="27" t="n">
        <f aca="false">IF(AND(E2407&gt;0,OR(AND(B2407&gt;=1,B2407&lt;=6),B2407=10)),1,0)</f>
        <v>0</v>
      </c>
      <c r="Y2407" s="27" t="n">
        <f aca="false">IF(AND(E2407&gt;0,B2407=10),1,0)</f>
        <v>0</v>
      </c>
      <c r="Z2407" s="0" t="str">
        <f aca="false">IF(AND(C2406=C2407,W2406=W2407-1),X2406,"")</f>
        <v/>
      </c>
      <c r="AA2407" s="0" t="str">
        <f aca="false">IF(AND(C2406=C2407,W2406=W2407-1),Y2406,"")</f>
        <v/>
      </c>
      <c r="AB2407" s="0" t="str">
        <f aca="false">IF(W2407=1,"",IF(AND(X2407=1,Z2407&lt;&gt;1),1,0))</f>
        <v/>
      </c>
      <c r="AC2407" s="0" t="str">
        <f aca="false">IF(W2407=1,"",IF(AND(Y2407=1,AA2407&lt;&gt;1),1,0))</f>
        <v/>
      </c>
      <c r="AD2407" s="33" t="str">
        <f aca="false">IF(AND(E2407&gt;0,W2407&lt;1,NOT(AND(C2408=C2407,W2408=W2407+1))),INDEX(DATAS,W2407+1),"")</f>
        <v/>
      </c>
      <c r="AE2407" s="33" t="str">
        <f aca="false">IF(AND(Y2407=1,W2407&lt;1),IF(AND(C2408=C2407,W2408=W2407+1),IF(Y2408=1,"",INDEX(DATAS,W2407+1)),INDEX(DATAS,W2407+1)),"")</f>
        <v/>
      </c>
    </row>
    <row r="2408" customFormat="false" ht="15" hidden="false" customHeight="false" outlineLevel="0" collapsed="false">
      <c r="A2408" s="33" t="n">
        <v>46309</v>
      </c>
      <c r="B2408" s="0" t="n">
        <v>8</v>
      </c>
      <c r="C2408" s="0" t="n">
        <v>6715</v>
      </c>
      <c r="E2408" s="0" t="n">
        <v>0</v>
      </c>
      <c r="F2408" s="27" t="s">
        <v>1261</v>
      </c>
      <c r="I2408" s="27" t="s">
        <v>138</v>
      </c>
      <c r="L2408" s="0" t="n">
        <v>39</v>
      </c>
      <c r="U2408" s="0" t="n">
        <v>465</v>
      </c>
      <c r="V2408" s="0" t="n">
        <v>2</v>
      </c>
      <c r="W2408" s="27" t="n">
        <f aca="false">MATCH(A2408,DATAS,0)</f>
        <v>1</v>
      </c>
      <c r="X2408" s="27" t="n">
        <f aca="false">IF(AND(E2408&gt;0,OR(AND(B2408&gt;=1,B2408&lt;=6),B2408=10)),1,0)</f>
        <v>0</v>
      </c>
      <c r="Y2408" s="27" t="n">
        <f aca="false">IF(AND(E2408&gt;0,B2408=10),1,0)</f>
        <v>0</v>
      </c>
      <c r="Z2408" s="0" t="str">
        <f aca="false">IF(AND(C2407=C2408,W2407=W2408-1),X2407,"")</f>
        <v/>
      </c>
      <c r="AA2408" s="0" t="str">
        <f aca="false">IF(AND(C2407=C2408,W2407=W2408-1),Y2407,"")</f>
        <v/>
      </c>
      <c r="AB2408" s="0" t="str">
        <f aca="false">IF(W2408=1,"",IF(AND(X2408=1,Z2408&lt;&gt;1),1,0))</f>
        <v/>
      </c>
      <c r="AC2408" s="0" t="str">
        <f aca="false">IF(W2408=1,"",IF(AND(Y2408=1,AA2408&lt;&gt;1),1,0))</f>
        <v/>
      </c>
      <c r="AD2408" s="33" t="str">
        <f aca="false">IF(AND(E2408&gt;0,W2408&lt;1,NOT(AND(C2409=C2408,W2409=W2408+1))),INDEX(DATAS,W2408+1),"")</f>
        <v/>
      </c>
      <c r="AE2408" s="33" t="str">
        <f aca="false">IF(AND(Y2408=1,W2408&lt;1),IF(AND(C2409=C2408,W2409=W2408+1),IF(Y2409=1,"",INDEX(DATAS,W2408+1)),INDEX(DATAS,W2408+1)),"")</f>
        <v/>
      </c>
    </row>
    <row r="2409" customFormat="false" ht="15" hidden="false" customHeight="false" outlineLevel="0" collapsed="false">
      <c r="A2409" s="33" t="n">
        <v>46309</v>
      </c>
      <c r="B2409" s="0" t="n">
        <v>8</v>
      </c>
      <c r="C2409" s="0" t="n">
        <v>6716</v>
      </c>
      <c r="E2409" s="0" t="n">
        <v>0</v>
      </c>
      <c r="F2409" s="27" t="s">
        <v>1261</v>
      </c>
      <c r="I2409" s="27" t="s">
        <v>138</v>
      </c>
      <c r="L2409" s="0" t="n">
        <v>70</v>
      </c>
      <c r="U2409" s="0" t="n">
        <v>465</v>
      </c>
      <c r="V2409" s="0" t="n">
        <v>1</v>
      </c>
      <c r="W2409" s="27" t="n">
        <f aca="false">MATCH(A2409,DATAS,0)</f>
        <v>1</v>
      </c>
      <c r="X2409" s="27" t="n">
        <f aca="false">IF(AND(E2409&gt;0,OR(AND(B2409&gt;=1,B2409&lt;=6),B2409=10)),1,0)</f>
        <v>0</v>
      </c>
      <c r="Y2409" s="27" t="n">
        <f aca="false">IF(AND(E2409&gt;0,B2409=10),1,0)</f>
        <v>0</v>
      </c>
      <c r="Z2409" s="0" t="str">
        <f aca="false">IF(AND(C2408=C2409,W2408=W2409-1),X2408,"")</f>
        <v/>
      </c>
      <c r="AA2409" s="0" t="str">
        <f aca="false">IF(AND(C2408=C2409,W2408=W2409-1),Y2408,"")</f>
        <v/>
      </c>
      <c r="AB2409" s="0" t="str">
        <f aca="false">IF(W2409=1,"",IF(AND(X2409=1,Z2409&lt;&gt;1),1,0))</f>
        <v/>
      </c>
      <c r="AC2409" s="0" t="str">
        <f aca="false">IF(W2409=1,"",IF(AND(Y2409=1,AA2409&lt;&gt;1),1,0))</f>
        <v/>
      </c>
      <c r="AD2409" s="33" t="str">
        <f aca="false">IF(AND(E2409&gt;0,W2409&lt;1,NOT(AND(C2410=C2409,W2410=W2409+1))),INDEX(DATAS,W2409+1),"")</f>
        <v/>
      </c>
      <c r="AE2409" s="33" t="str">
        <f aca="false">IF(AND(Y2409=1,W2409&lt;1),IF(AND(C2410=C2409,W2410=W2409+1),IF(Y2410=1,"",INDEX(DATAS,W2409+1)),INDEX(DATAS,W2409+1)),"")</f>
        <v/>
      </c>
    </row>
    <row r="2410" customFormat="false" ht="15" hidden="false" customHeight="false" outlineLevel="0" collapsed="false">
      <c r="A2410" s="33" t="n">
        <v>46309</v>
      </c>
      <c r="B2410" s="0" t="n">
        <v>8</v>
      </c>
      <c r="C2410" s="0" t="n">
        <v>6717</v>
      </c>
      <c r="E2410" s="0" t="n">
        <v>0</v>
      </c>
      <c r="F2410" s="27" t="s">
        <v>1261</v>
      </c>
      <c r="I2410" s="27" t="s">
        <v>138</v>
      </c>
      <c r="L2410" s="0" t="n">
        <v>73</v>
      </c>
      <c r="U2410" s="0" t="n">
        <v>465</v>
      </c>
      <c r="V2410" s="0" t="n">
        <v>1</v>
      </c>
      <c r="W2410" s="27" t="n">
        <f aca="false">MATCH(A2410,DATAS,0)</f>
        <v>1</v>
      </c>
      <c r="X2410" s="27" t="n">
        <f aca="false">IF(AND(E2410&gt;0,OR(AND(B2410&gt;=1,B2410&lt;=6),B2410=10)),1,0)</f>
        <v>0</v>
      </c>
      <c r="Y2410" s="27" t="n">
        <f aca="false">IF(AND(E2410&gt;0,B2410=10),1,0)</f>
        <v>0</v>
      </c>
      <c r="Z2410" s="0" t="str">
        <f aca="false">IF(AND(C2409=C2410,W2409=W2410-1),X2409,"")</f>
        <v/>
      </c>
      <c r="AA2410" s="0" t="str">
        <f aca="false">IF(AND(C2409=C2410,W2409=W2410-1),Y2409,"")</f>
        <v/>
      </c>
      <c r="AB2410" s="0" t="str">
        <f aca="false">IF(W2410=1,"",IF(AND(X2410=1,Z2410&lt;&gt;1),1,0))</f>
        <v/>
      </c>
      <c r="AC2410" s="0" t="str">
        <f aca="false">IF(W2410=1,"",IF(AND(Y2410=1,AA2410&lt;&gt;1),1,0))</f>
        <v/>
      </c>
      <c r="AD2410" s="33" t="str">
        <f aca="false">IF(AND(E2410&gt;0,W2410&lt;1,NOT(AND(C2411=C2410,W2411=W2410+1))),INDEX(DATAS,W2410+1),"")</f>
        <v/>
      </c>
      <c r="AE2410" s="33" t="str">
        <f aca="false">IF(AND(Y2410=1,W2410&lt;1),IF(AND(C2411=C2410,W2411=W2410+1),IF(Y2411=1,"",INDEX(DATAS,W2410+1)),INDEX(DATAS,W2410+1)),"")</f>
        <v/>
      </c>
    </row>
    <row r="2411" customFormat="false" ht="15" hidden="false" customHeight="false" outlineLevel="0" collapsed="false">
      <c r="A2411" s="33" t="n">
        <v>46309</v>
      </c>
      <c r="B2411" s="0" t="n">
        <v>8</v>
      </c>
      <c r="C2411" s="0" t="n">
        <v>6718</v>
      </c>
      <c r="E2411" s="0" t="n">
        <v>0</v>
      </c>
      <c r="F2411" s="27" t="s">
        <v>1261</v>
      </c>
      <c r="I2411" s="27" t="s">
        <v>138</v>
      </c>
      <c r="L2411" s="0" t="n">
        <v>61</v>
      </c>
      <c r="U2411" s="0" t="n">
        <v>465</v>
      </c>
      <c r="V2411" s="0" t="n">
        <v>1</v>
      </c>
      <c r="W2411" s="27" t="n">
        <f aca="false">MATCH(A2411,DATAS,0)</f>
        <v>1</v>
      </c>
      <c r="X2411" s="27" t="n">
        <f aca="false">IF(AND(E2411&gt;0,OR(AND(B2411&gt;=1,B2411&lt;=6),B2411=10)),1,0)</f>
        <v>0</v>
      </c>
      <c r="Y2411" s="27" t="n">
        <f aca="false">IF(AND(E2411&gt;0,B2411=10),1,0)</f>
        <v>0</v>
      </c>
      <c r="Z2411" s="0" t="str">
        <f aca="false">IF(AND(C2410=C2411,W2410=W2411-1),X2410,"")</f>
        <v/>
      </c>
      <c r="AA2411" s="0" t="str">
        <f aca="false">IF(AND(C2410=C2411,W2410=W2411-1),Y2410,"")</f>
        <v/>
      </c>
      <c r="AB2411" s="0" t="str">
        <f aca="false">IF(W2411=1,"",IF(AND(X2411=1,Z2411&lt;&gt;1),1,0))</f>
        <v/>
      </c>
      <c r="AC2411" s="0" t="str">
        <f aca="false">IF(W2411=1,"",IF(AND(Y2411=1,AA2411&lt;&gt;1),1,0))</f>
        <v/>
      </c>
      <c r="AD2411" s="33" t="str">
        <f aca="false">IF(AND(E2411&gt;0,W2411&lt;1,NOT(AND(C2412=C2411,W2412=W2411+1))),INDEX(DATAS,W2411+1),"")</f>
        <v/>
      </c>
      <c r="AE2411" s="33" t="str">
        <f aca="false">IF(AND(Y2411=1,W2411&lt;1),IF(AND(C2412=C2411,W2412=W2411+1),IF(Y2412=1,"",INDEX(DATAS,W2411+1)),INDEX(DATAS,W2411+1)),"")</f>
        <v/>
      </c>
    </row>
    <row r="2412" customFormat="false" ht="15" hidden="false" customHeight="false" outlineLevel="0" collapsed="false">
      <c r="A2412" s="33" t="n">
        <v>46309</v>
      </c>
      <c r="B2412" s="0" t="n">
        <v>8</v>
      </c>
      <c r="C2412" s="0" t="n">
        <v>6720</v>
      </c>
      <c r="E2412" s="0" t="n">
        <v>0</v>
      </c>
      <c r="F2412" s="27" t="s">
        <v>1261</v>
      </c>
      <c r="I2412" s="27" t="s">
        <v>138</v>
      </c>
      <c r="L2412" s="0" t="n">
        <v>63</v>
      </c>
      <c r="U2412" s="0" t="n">
        <v>465</v>
      </c>
      <c r="V2412" s="0" t="n">
        <v>1</v>
      </c>
      <c r="W2412" s="27" t="n">
        <f aca="false">MATCH(A2412,DATAS,0)</f>
        <v>1</v>
      </c>
      <c r="X2412" s="27" t="n">
        <f aca="false">IF(AND(E2412&gt;0,OR(AND(B2412&gt;=1,B2412&lt;=6),B2412=10)),1,0)</f>
        <v>0</v>
      </c>
      <c r="Y2412" s="27" t="n">
        <f aca="false">IF(AND(E2412&gt;0,B2412=10),1,0)</f>
        <v>0</v>
      </c>
      <c r="Z2412" s="0" t="str">
        <f aca="false">IF(AND(C2411=C2412,W2411=W2412-1),X2411,"")</f>
        <v/>
      </c>
      <c r="AA2412" s="0" t="str">
        <f aca="false">IF(AND(C2411=C2412,W2411=W2412-1),Y2411,"")</f>
        <v/>
      </c>
      <c r="AB2412" s="0" t="str">
        <f aca="false">IF(W2412=1,"",IF(AND(X2412=1,Z2412&lt;&gt;1),1,0))</f>
        <v/>
      </c>
      <c r="AC2412" s="0" t="str">
        <f aca="false">IF(W2412=1,"",IF(AND(Y2412=1,AA2412&lt;&gt;1),1,0))</f>
        <v/>
      </c>
      <c r="AD2412" s="33" t="str">
        <f aca="false">IF(AND(E2412&gt;0,W2412&lt;1,NOT(AND(C2413=C2412,W2413=W2412+1))),INDEX(DATAS,W2412+1),"")</f>
        <v/>
      </c>
      <c r="AE2412" s="33" t="str">
        <f aca="false">IF(AND(Y2412=1,W2412&lt;1),IF(AND(C2413=C2412,W2413=W2412+1),IF(Y2413=1,"",INDEX(DATAS,W2412+1)),INDEX(DATAS,W2412+1)),"")</f>
        <v/>
      </c>
    </row>
    <row r="2413" customFormat="false" ht="15" hidden="false" customHeight="false" outlineLevel="0" collapsed="false">
      <c r="A2413" s="33" t="n">
        <v>46309</v>
      </c>
      <c r="B2413" s="0" t="n">
        <v>8</v>
      </c>
      <c r="C2413" s="0" t="n">
        <v>6721</v>
      </c>
      <c r="E2413" s="0" t="n">
        <v>0</v>
      </c>
      <c r="F2413" s="27" t="s">
        <v>1261</v>
      </c>
      <c r="I2413" s="27" t="s">
        <v>138</v>
      </c>
      <c r="L2413" s="0" t="n">
        <v>53</v>
      </c>
      <c r="U2413" s="0" t="n">
        <v>465</v>
      </c>
      <c r="V2413" s="0" t="n">
        <v>1</v>
      </c>
      <c r="W2413" s="27" t="n">
        <f aca="false">MATCH(A2413,DATAS,0)</f>
        <v>1</v>
      </c>
      <c r="X2413" s="27" t="n">
        <f aca="false">IF(AND(E2413&gt;0,OR(AND(B2413&gt;=1,B2413&lt;=6),B2413=10)),1,0)</f>
        <v>0</v>
      </c>
      <c r="Y2413" s="27" t="n">
        <f aca="false">IF(AND(E2413&gt;0,B2413=10),1,0)</f>
        <v>0</v>
      </c>
      <c r="Z2413" s="0" t="str">
        <f aca="false">IF(AND(C2412=C2413,W2412=W2413-1),X2412,"")</f>
        <v/>
      </c>
      <c r="AA2413" s="0" t="str">
        <f aca="false">IF(AND(C2412=C2413,W2412=W2413-1),Y2412,"")</f>
        <v/>
      </c>
      <c r="AB2413" s="0" t="str">
        <f aca="false">IF(W2413=1,"",IF(AND(X2413=1,Z2413&lt;&gt;1),1,0))</f>
        <v/>
      </c>
      <c r="AC2413" s="0" t="str">
        <f aca="false">IF(W2413=1,"",IF(AND(Y2413=1,AA2413&lt;&gt;1),1,0))</f>
        <v/>
      </c>
      <c r="AD2413" s="33" t="str">
        <f aca="false">IF(AND(E2413&gt;0,W2413&lt;1,NOT(AND(C2414=C2413,W2414=W2413+1))),INDEX(DATAS,W2413+1),"")</f>
        <v/>
      </c>
      <c r="AE2413" s="33" t="str">
        <f aca="false">IF(AND(Y2413=1,W2413&lt;1),IF(AND(C2414=C2413,W2414=W2413+1),IF(Y2414=1,"",INDEX(DATAS,W2413+1)),INDEX(DATAS,W2413+1)),"")</f>
        <v/>
      </c>
    </row>
    <row r="2414" customFormat="false" ht="15" hidden="false" customHeight="false" outlineLevel="0" collapsed="false">
      <c r="A2414" s="33" t="n">
        <v>46309</v>
      </c>
      <c r="B2414" s="0" t="n">
        <v>8</v>
      </c>
      <c r="C2414" s="0" t="n">
        <v>6722</v>
      </c>
      <c r="E2414" s="0" t="n">
        <v>0</v>
      </c>
      <c r="F2414" s="27" t="s">
        <v>1261</v>
      </c>
      <c r="I2414" s="27" t="s">
        <v>138</v>
      </c>
      <c r="L2414" s="0" t="n">
        <v>71</v>
      </c>
      <c r="U2414" s="0" t="n">
        <v>465</v>
      </c>
      <c r="V2414" s="0" t="n">
        <v>1</v>
      </c>
      <c r="W2414" s="27" t="n">
        <f aca="false">MATCH(A2414,DATAS,0)</f>
        <v>1</v>
      </c>
      <c r="X2414" s="27" t="n">
        <f aca="false">IF(AND(E2414&gt;0,OR(AND(B2414&gt;=1,B2414&lt;=6),B2414=10)),1,0)</f>
        <v>0</v>
      </c>
      <c r="Y2414" s="27" t="n">
        <f aca="false">IF(AND(E2414&gt;0,B2414=10),1,0)</f>
        <v>0</v>
      </c>
      <c r="Z2414" s="0" t="str">
        <f aca="false">IF(AND(C2413=C2414,W2413=W2414-1),X2413,"")</f>
        <v/>
      </c>
      <c r="AA2414" s="0" t="str">
        <f aca="false">IF(AND(C2413=C2414,W2413=W2414-1),Y2413,"")</f>
        <v/>
      </c>
      <c r="AB2414" s="0" t="str">
        <f aca="false">IF(W2414=1,"",IF(AND(X2414=1,Z2414&lt;&gt;1),1,0))</f>
        <v/>
      </c>
      <c r="AC2414" s="0" t="str">
        <f aca="false">IF(W2414=1,"",IF(AND(Y2414=1,AA2414&lt;&gt;1),1,0))</f>
        <v/>
      </c>
      <c r="AD2414" s="33" t="str">
        <f aca="false">IF(AND(E2414&gt;0,W2414&lt;1,NOT(AND(C2415=C2414,W2415=W2414+1))),INDEX(DATAS,W2414+1),"")</f>
        <v/>
      </c>
      <c r="AE2414" s="33" t="str">
        <f aca="false">IF(AND(Y2414=1,W2414&lt;1),IF(AND(C2415=C2414,W2415=W2414+1),IF(Y2415=1,"",INDEX(DATAS,W2414+1)),INDEX(DATAS,W2414+1)),"")</f>
        <v/>
      </c>
    </row>
    <row r="2415" customFormat="false" ht="15" hidden="false" customHeight="false" outlineLevel="0" collapsed="false">
      <c r="A2415" s="33" t="n">
        <v>46309</v>
      </c>
      <c r="B2415" s="0" t="n">
        <v>8</v>
      </c>
      <c r="C2415" s="0" t="n">
        <v>6723</v>
      </c>
      <c r="E2415" s="0" t="n">
        <v>0</v>
      </c>
      <c r="F2415" s="27" t="s">
        <v>1261</v>
      </c>
      <c r="I2415" s="27" t="s">
        <v>138</v>
      </c>
      <c r="L2415" s="0" t="n">
        <v>55</v>
      </c>
      <c r="U2415" s="0" t="n">
        <v>465</v>
      </c>
      <c r="V2415" s="0" t="n">
        <v>1</v>
      </c>
      <c r="W2415" s="27" t="n">
        <f aca="false">MATCH(A2415,DATAS,0)</f>
        <v>1</v>
      </c>
      <c r="X2415" s="27" t="n">
        <f aca="false">IF(AND(E2415&gt;0,OR(AND(B2415&gt;=1,B2415&lt;=6),B2415=10)),1,0)</f>
        <v>0</v>
      </c>
      <c r="Y2415" s="27" t="n">
        <f aca="false">IF(AND(E2415&gt;0,B2415=10),1,0)</f>
        <v>0</v>
      </c>
      <c r="Z2415" s="0" t="str">
        <f aca="false">IF(AND(C2414=C2415,W2414=W2415-1),X2414,"")</f>
        <v/>
      </c>
      <c r="AA2415" s="0" t="str">
        <f aca="false">IF(AND(C2414=C2415,W2414=W2415-1),Y2414,"")</f>
        <v/>
      </c>
      <c r="AB2415" s="0" t="str">
        <f aca="false">IF(W2415=1,"",IF(AND(X2415=1,Z2415&lt;&gt;1),1,0))</f>
        <v/>
      </c>
      <c r="AC2415" s="0" t="str">
        <f aca="false">IF(W2415=1,"",IF(AND(Y2415=1,AA2415&lt;&gt;1),1,0))</f>
        <v/>
      </c>
      <c r="AD2415" s="33" t="str">
        <f aca="false">IF(AND(E2415&gt;0,W2415&lt;1,NOT(AND(C2416=C2415,W2416=W2415+1))),INDEX(DATAS,W2415+1),"")</f>
        <v/>
      </c>
      <c r="AE2415" s="33" t="str">
        <f aca="false">IF(AND(Y2415=1,W2415&lt;1),IF(AND(C2416=C2415,W2416=W2415+1),IF(Y2416=1,"",INDEX(DATAS,W2415+1)),INDEX(DATAS,W2415+1)),"")</f>
        <v/>
      </c>
    </row>
    <row r="2416" customFormat="false" ht="15" hidden="false" customHeight="false" outlineLevel="0" collapsed="false">
      <c r="A2416" s="33" t="n">
        <v>46309</v>
      </c>
      <c r="B2416" s="0" t="n">
        <v>11</v>
      </c>
      <c r="C2416" s="0" t="n">
        <v>6725</v>
      </c>
      <c r="E2416" s="0" t="n">
        <v>0</v>
      </c>
      <c r="F2416" s="27" t="s">
        <v>1262</v>
      </c>
      <c r="I2416" s="27" t="s">
        <v>168</v>
      </c>
      <c r="U2416" s="0" t="n">
        <v>464</v>
      </c>
      <c r="V2416" s="0" t="n">
        <v>4</v>
      </c>
      <c r="W2416" s="27" t="n">
        <f aca="false">MATCH(A2416,DATAS,0)</f>
        <v>1</v>
      </c>
      <c r="X2416" s="27" t="n">
        <f aca="false">IF(AND(E2416&gt;0,OR(AND(B2416&gt;=1,B2416&lt;=6),B2416=10)),1,0)</f>
        <v>0</v>
      </c>
      <c r="Y2416" s="27" t="n">
        <f aca="false">IF(AND(E2416&gt;0,B2416=10),1,0)</f>
        <v>0</v>
      </c>
      <c r="Z2416" s="0" t="str">
        <f aca="false">IF(AND(C2415=C2416,W2415=W2416-1),X2415,"")</f>
        <v/>
      </c>
      <c r="AA2416" s="0" t="str">
        <f aca="false">IF(AND(C2415=C2416,W2415=W2416-1),Y2415,"")</f>
        <v/>
      </c>
      <c r="AB2416" s="0" t="str">
        <f aca="false">IF(W2416=1,"",IF(AND(X2416=1,Z2416&lt;&gt;1),1,0))</f>
        <v/>
      </c>
      <c r="AC2416" s="0" t="str">
        <f aca="false">IF(W2416=1,"",IF(AND(Y2416=1,AA2416&lt;&gt;1),1,0))</f>
        <v/>
      </c>
      <c r="AD2416" s="33" t="str">
        <f aca="false">IF(AND(E2416&gt;0,W2416&lt;1,NOT(AND(C2417=C2416,W2417=W2416+1))),INDEX(DATAS,W2416+1),"")</f>
        <v/>
      </c>
      <c r="AE2416" s="33" t="str">
        <f aca="false">IF(AND(Y2416=1,W2416&lt;1),IF(AND(C2417=C2416,W2417=W2416+1),IF(Y2417=1,"",INDEX(DATAS,W2416+1)),INDEX(DATAS,W2416+1)),"")</f>
        <v/>
      </c>
    </row>
    <row r="2417" customFormat="false" ht="15" hidden="false" customHeight="false" outlineLevel="0" collapsed="false">
      <c r="A2417" s="33" t="n">
        <v>46309</v>
      </c>
      <c r="B2417" s="0" t="n">
        <v>11</v>
      </c>
      <c r="C2417" s="0" t="n">
        <v>6727</v>
      </c>
      <c r="E2417" s="0" t="n">
        <v>0</v>
      </c>
      <c r="F2417" s="27" t="s">
        <v>1263</v>
      </c>
      <c r="I2417" s="27" t="s">
        <v>168</v>
      </c>
      <c r="U2417" s="0" t="n">
        <v>463</v>
      </c>
      <c r="V2417" s="0" t="n">
        <v>2</v>
      </c>
      <c r="W2417" s="27" t="n">
        <f aca="false">MATCH(A2417,DATAS,0)</f>
        <v>1</v>
      </c>
      <c r="X2417" s="27" t="n">
        <f aca="false">IF(AND(E2417&gt;0,OR(AND(B2417&gt;=1,B2417&lt;=6),B2417=10)),1,0)</f>
        <v>0</v>
      </c>
      <c r="Y2417" s="27" t="n">
        <f aca="false">IF(AND(E2417&gt;0,B2417=10),1,0)</f>
        <v>0</v>
      </c>
      <c r="Z2417" s="0" t="str">
        <f aca="false">IF(AND(C2416=C2417,W2416=W2417-1),X2416,"")</f>
        <v/>
      </c>
      <c r="AA2417" s="0" t="str">
        <f aca="false">IF(AND(C2416=C2417,W2416=W2417-1),Y2416,"")</f>
        <v/>
      </c>
      <c r="AB2417" s="0" t="str">
        <f aca="false">IF(W2417=1,"",IF(AND(X2417=1,Z2417&lt;&gt;1),1,0))</f>
        <v/>
      </c>
      <c r="AC2417" s="0" t="str">
        <f aca="false">IF(W2417=1,"",IF(AND(Y2417=1,AA2417&lt;&gt;1),1,0))</f>
        <v/>
      </c>
      <c r="AD2417" s="33" t="str">
        <f aca="false">IF(AND(E2417&gt;0,W2417&lt;1,NOT(AND(C2418=C2417,W2418=W2417+1))),INDEX(DATAS,W2417+1),"")</f>
        <v/>
      </c>
      <c r="AE2417" s="33" t="str">
        <f aca="false">IF(AND(Y2417=1,W2417&lt;1),IF(AND(C2418=C2417,W2418=W2417+1),IF(Y2418=1,"",INDEX(DATAS,W2417+1)),INDEX(DATAS,W2417+1)),"")</f>
        <v/>
      </c>
    </row>
    <row r="2418" customFormat="false" ht="15" hidden="false" customHeight="false" outlineLevel="0" collapsed="false">
      <c r="A2418" s="33" t="n">
        <v>46309</v>
      </c>
      <c r="B2418" s="0" t="n">
        <v>8</v>
      </c>
      <c r="C2418" s="0" t="n">
        <v>6728</v>
      </c>
      <c r="E2418" s="0" t="n">
        <v>0</v>
      </c>
      <c r="F2418" s="27" t="s">
        <v>1263</v>
      </c>
      <c r="I2418" s="27" t="s">
        <v>138</v>
      </c>
      <c r="L2418" s="0" t="n">
        <v>68</v>
      </c>
      <c r="U2418" s="0" t="n">
        <v>463</v>
      </c>
      <c r="V2418" s="0" t="n">
        <v>1</v>
      </c>
      <c r="W2418" s="27" t="n">
        <f aca="false">MATCH(A2418,DATAS,0)</f>
        <v>1</v>
      </c>
      <c r="X2418" s="27" t="n">
        <f aca="false">IF(AND(E2418&gt;0,OR(AND(B2418&gt;=1,B2418&lt;=6),B2418=10)),1,0)</f>
        <v>0</v>
      </c>
      <c r="Y2418" s="27" t="n">
        <f aca="false">IF(AND(E2418&gt;0,B2418=10),1,0)</f>
        <v>0</v>
      </c>
      <c r="Z2418" s="0" t="str">
        <f aca="false">IF(AND(C2417=C2418,W2417=W2418-1),X2417,"")</f>
        <v/>
      </c>
      <c r="AA2418" s="0" t="str">
        <f aca="false">IF(AND(C2417=C2418,W2417=W2418-1),Y2417,"")</f>
        <v/>
      </c>
      <c r="AB2418" s="0" t="str">
        <f aca="false">IF(W2418=1,"",IF(AND(X2418=1,Z2418&lt;&gt;1),1,0))</f>
        <v/>
      </c>
      <c r="AC2418" s="0" t="str">
        <f aca="false">IF(W2418=1,"",IF(AND(Y2418=1,AA2418&lt;&gt;1),1,0))</f>
        <v/>
      </c>
      <c r="AD2418" s="33" t="str">
        <f aca="false">IF(AND(E2418&gt;0,W2418&lt;1,NOT(AND(C2419=C2418,W2419=W2418+1))),INDEX(DATAS,W2418+1),"")</f>
        <v/>
      </c>
      <c r="AE2418" s="33" t="str">
        <f aca="false">IF(AND(Y2418=1,W2418&lt;1),IF(AND(C2419=C2418,W2419=W2418+1),IF(Y2419=1,"",INDEX(DATAS,W2418+1)),INDEX(DATAS,W2418+1)),"")</f>
        <v/>
      </c>
    </row>
    <row r="2419" customFormat="false" ht="15" hidden="false" customHeight="false" outlineLevel="0" collapsed="false">
      <c r="A2419" s="33" t="n">
        <v>46309</v>
      </c>
      <c r="B2419" s="0" t="n">
        <v>8</v>
      </c>
      <c r="C2419" s="0" t="n">
        <v>6730</v>
      </c>
      <c r="E2419" s="0" t="n">
        <v>0</v>
      </c>
      <c r="F2419" s="27" t="s">
        <v>1263</v>
      </c>
      <c r="I2419" s="27" t="s">
        <v>138</v>
      </c>
      <c r="L2419" s="0" t="n">
        <v>43</v>
      </c>
      <c r="U2419" s="0" t="n">
        <v>463</v>
      </c>
      <c r="V2419" s="0" t="n">
        <v>1</v>
      </c>
      <c r="W2419" s="27" t="n">
        <f aca="false">MATCH(A2419,DATAS,0)</f>
        <v>1</v>
      </c>
      <c r="X2419" s="27" t="n">
        <f aca="false">IF(AND(E2419&gt;0,OR(AND(B2419&gt;=1,B2419&lt;=6),B2419=10)),1,0)</f>
        <v>0</v>
      </c>
      <c r="Y2419" s="27" t="n">
        <f aca="false">IF(AND(E2419&gt;0,B2419=10),1,0)</f>
        <v>0</v>
      </c>
      <c r="Z2419" s="0" t="str">
        <f aca="false">IF(AND(C2418=C2419,W2418=W2419-1),X2418,"")</f>
        <v/>
      </c>
      <c r="AA2419" s="0" t="str">
        <f aca="false">IF(AND(C2418=C2419,W2418=W2419-1),Y2418,"")</f>
        <v/>
      </c>
      <c r="AB2419" s="0" t="str">
        <f aca="false">IF(W2419=1,"",IF(AND(X2419=1,Z2419&lt;&gt;1),1,0))</f>
        <v/>
      </c>
      <c r="AC2419" s="0" t="str">
        <f aca="false">IF(W2419=1,"",IF(AND(Y2419=1,AA2419&lt;&gt;1),1,0))</f>
        <v/>
      </c>
      <c r="AD2419" s="33" t="str">
        <f aca="false">IF(AND(E2419&gt;0,W2419&lt;1,NOT(AND(C2420=C2419,W2420=W2419+1))),INDEX(DATAS,W2419+1),"")</f>
        <v/>
      </c>
      <c r="AE2419" s="33" t="str">
        <f aca="false">IF(AND(Y2419=1,W2419&lt;1),IF(AND(C2420=C2419,W2420=W2419+1),IF(Y2420=1,"",INDEX(DATAS,W2419+1)),INDEX(DATAS,W2419+1)),"")</f>
        <v/>
      </c>
    </row>
    <row r="2420" customFormat="false" ht="15" hidden="false" customHeight="false" outlineLevel="0" collapsed="false">
      <c r="A2420" s="33" t="n">
        <v>46309</v>
      </c>
      <c r="B2420" s="0" t="n">
        <v>11</v>
      </c>
      <c r="C2420" s="0" t="n">
        <v>6732</v>
      </c>
      <c r="E2420" s="0" t="n">
        <v>0</v>
      </c>
      <c r="F2420" s="27" t="s">
        <v>1264</v>
      </c>
      <c r="I2420" s="27" t="s">
        <v>168</v>
      </c>
      <c r="U2420" s="0" t="n">
        <v>462</v>
      </c>
      <c r="V2420" s="0" t="n">
        <v>3</v>
      </c>
      <c r="W2420" s="27" t="n">
        <f aca="false">MATCH(A2420,DATAS,0)</f>
        <v>1</v>
      </c>
      <c r="X2420" s="27" t="n">
        <f aca="false">IF(AND(E2420&gt;0,OR(AND(B2420&gt;=1,B2420&lt;=6),B2420=10)),1,0)</f>
        <v>0</v>
      </c>
      <c r="Y2420" s="27" t="n">
        <f aca="false">IF(AND(E2420&gt;0,B2420=10),1,0)</f>
        <v>0</v>
      </c>
      <c r="Z2420" s="0" t="str">
        <f aca="false">IF(AND(C2419=C2420,W2419=W2420-1),X2419,"")</f>
        <v/>
      </c>
      <c r="AA2420" s="0" t="str">
        <f aca="false">IF(AND(C2419=C2420,W2419=W2420-1),Y2419,"")</f>
        <v/>
      </c>
      <c r="AB2420" s="0" t="str">
        <f aca="false">IF(W2420=1,"",IF(AND(X2420=1,Z2420&lt;&gt;1),1,0))</f>
        <v/>
      </c>
      <c r="AC2420" s="0" t="str">
        <f aca="false">IF(W2420=1,"",IF(AND(Y2420=1,AA2420&lt;&gt;1),1,0))</f>
        <v/>
      </c>
      <c r="AD2420" s="33" t="str">
        <f aca="false">IF(AND(E2420&gt;0,W2420&lt;1,NOT(AND(C2421=C2420,W2421=W2420+1))),INDEX(DATAS,W2420+1),"")</f>
        <v/>
      </c>
      <c r="AE2420" s="33" t="str">
        <f aca="false">IF(AND(Y2420=1,W2420&lt;1),IF(AND(C2421=C2420,W2421=W2420+1),IF(Y2421=1,"",INDEX(DATAS,W2420+1)),INDEX(DATAS,W2420+1)),"")</f>
        <v/>
      </c>
    </row>
    <row r="2421" customFormat="false" ht="15" hidden="false" customHeight="false" outlineLevel="0" collapsed="false">
      <c r="A2421" s="33" t="n">
        <v>46309</v>
      </c>
      <c r="B2421" s="0" t="n">
        <v>8</v>
      </c>
      <c r="C2421" s="0" t="n">
        <v>6733</v>
      </c>
      <c r="E2421" s="0" t="n">
        <v>0</v>
      </c>
      <c r="F2421" s="27" t="s">
        <v>1264</v>
      </c>
      <c r="I2421" s="27" t="s">
        <v>138</v>
      </c>
      <c r="L2421" s="0" t="n">
        <v>62</v>
      </c>
      <c r="U2421" s="0" t="n">
        <v>462</v>
      </c>
      <c r="V2421" s="0" t="n">
        <v>1</v>
      </c>
      <c r="W2421" s="27" t="n">
        <f aca="false">MATCH(A2421,DATAS,0)</f>
        <v>1</v>
      </c>
      <c r="X2421" s="27" t="n">
        <f aca="false">IF(AND(E2421&gt;0,OR(AND(B2421&gt;=1,B2421&lt;=6),B2421=10)),1,0)</f>
        <v>0</v>
      </c>
      <c r="Y2421" s="27" t="n">
        <f aca="false">IF(AND(E2421&gt;0,B2421=10),1,0)</f>
        <v>0</v>
      </c>
      <c r="Z2421" s="0" t="str">
        <f aca="false">IF(AND(C2420=C2421,W2420=W2421-1),X2420,"")</f>
        <v/>
      </c>
      <c r="AA2421" s="0" t="str">
        <f aca="false">IF(AND(C2420=C2421,W2420=W2421-1),Y2420,"")</f>
        <v/>
      </c>
      <c r="AB2421" s="0" t="str">
        <f aca="false">IF(W2421=1,"",IF(AND(X2421=1,Z2421&lt;&gt;1),1,0))</f>
        <v/>
      </c>
      <c r="AC2421" s="0" t="str">
        <f aca="false">IF(W2421=1,"",IF(AND(Y2421=1,AA2421&lt;&gt;1),1,0))</f>
        <v/>
      </c>
      <c r="AD2421" s="33" t="str">
        <f aca="false">IF(AND(E2421&gt;0,W2421&lt;1,NOT(AND(C2422=C2421,W2422=W2421+1))),INDEX(DATAS,W2421+1),"")</f>
        <v/>
      </c>
      <c r="AE2421" s="33" t="str">
        <f aca="false">IF(AND(Y2421=1,W2421&lt;1),IF(AND(C2422=C2421,W2422=W2421+1),IF(Y2422=1,"",INDEX(DATAS,W2421+1)),INDEX(DATAS,W2421+1)),"")</f>
        <v/>
      </c>
    </row>
    <row r="2422" customFormat="false" ht="15" hidden="false" customHeight="false" outlineLevel="0" collapsed="false">
      <c r="A2422" s="33" t="n">
        <v>46309</v>
      </c>
      <c r="B2422" s="0" t="n">
        <v>8</v>
      </c>
      <c r="C2422" s="0" t="n">
        <v>6734</v>
      </c>
      <c r="E2422" s="0" t="n">
        <v>0</v>
      </c>
      <c r="F2422" s="27" t="s">
        <v>1265</v>
      </c>
      <c r="I2422" s="27" t="s">
        <v>138</v>
      </c>
      <c r="L2422" s="0" t="n">
        <v>28</v>
      </c>
      <c r="U2422" s="0" t="n">
        <v>461</v>
      </c>
      <c r="V2422" s="0" t="n">
        <v>2</v>
      </c>
      <c r="W2422" s="27" t="n">
        <f aca="false">MATCH(A2422,DATAS,0)</f>
        <v>1</v>
      </c>
      <c r="X2422" s="27" t="n">
        <f aca="false">IF(AND(E2422&gt;0,OR(AND(B2422&gt;=1,B2422&lt;=6),B2422=10)),1,0)</f>
        <v>0</v>
      </c>
      <c r="Y2422" s="27" t="n">
        <f aca="false">IF(AND(E2422&gt;0,B2422=10),1,0)</f>
        <v>0</v>
      </c>
      <c r="Z2422" s="0" t="str">
        <f aca="false">IF(AND(C2421=C2422,W2421=W2422-1),X2421,"")</f>
        <v/>
      </c>
      <c r="AA2422" s="0" t="str">
        <f aca="false">IF(AND(C2421=C2422,W2421=W2422-1),Y2421,"")</f>
        <v/>
      </c>
      <c r="AB2422" s="0" t="str">
        <f aca="false">IF(W2422=1,"",IF(AND(X2422=1,Z2422&lt;&gt;1),1,0))</f>
        <v/>
      </c>
      <c r="AC2422" s="0" t="str">
        <f aca="false">IF(W2422=1,"",IF(AND(Y2422=1,AA2422&lt;&gt;1),1,0))</f>
        <v/>
      </c>
      <c r="AD2422" s="33" t="str">
        <f aca="false">IF(AND(E2422&gt;0,W2422&lt;1,NOT(AND(C2423=C2422,W2423=W2422+1))),INDEX(DATAS,W2422+1),"")</f>
        <v/>
      </c>
      <c r="AE2422" s="33" t="str">
        <f aca="false">IF(AND(Y2422=1,W2422&lt;1),IF(AND(C2423=C2422,W2423=W2422+1),IF(Y2423=1,"",INDEX(DATAS,W2422+1)),INDEX(DATAS,W2422+1)),"")</f>
        <v/>
      </c>
    </row>
    <row r="2423" customFormat="false" ht="15" hidden="false" customHeight="false" outlineLevel="0" collapsed="false">
      <c r="A2423" s="33" t="n">
        <v>46309</v>
      </c>
      <c r="B2423" s="0" t="n">
        <v>8</v>
      </c>
      <c r="C2423" s="0" t="n">
        <v>6735</v>
      </c>
      <c r="E2423" s="0" t="n">
        <v>0</v>
      </c>
      <c r="F2423" s="27" t="s">
        <v>1266</v>
      </c>
      <c r="I2423" s="27" t="s">
        <v>138</v>
      </c>
      <c r="L2423" s="0" t="n">
        <v>63</v>
      </c>
      <c r="U2423" s="0" t="n">
        <v>460</v>
      </c>
      <c r="V2423" s="0" t="n">
        <v>1</v>
      </c>
      <c r="W2423" s="27" t="n">
        <f aca="false">MATCH(A2423,DATAS,0)</f>
        <v>1</v>
      </c>
      <c r="X2423" s="27" t="n">
        <f aca="false">IF(AND(E2423&gt;0,OR(AND(B2423&gt;=1,B2423&lt;=6),B2423=10)),1,0)</f>
        <v>0</v>
      </c>
      <c r="Y2423" s="27" t="n">
        <f aca="false">IF(AND(E2423&gt;0,B2423=10),1,0)</f>
        <v>0</v>
      </c>
      <c r="Z2423" s="0" t="str">
        <f aca="false">IF(AND(C2422=C2423,W2422=W2423-1),X2422,"")</f>
        <v/>
      </c>
      <c r="AA2423" s="0" t="str">
        <f aca="false">IF(AND(C2422=C2423,W2422=W2423-1),Y2422,"")</f>
        <v/>
      </c>
      <c r="AB2423" s="0" t="str">
        <f aca="false">IF(W2423=1,"",IF(AND(X2423=1,Z2423&lt;&gt;1),1,0))</f>
        <v/>
      </c>
      <c r="AC2423" s="0" t="str">
        <f aca="false">IF(W2423=1,"",IF(AND(Y2423=1,AA2423&lt;&gt;1),1,0))</f>
        <v/>
      </c>
      <c r="AD2423" s="33" t="str">
        <f aca="false">IF(AND(E2423&gt;0,W2423&lt;1,NOT(AND(C2424=C2423,W2424=W2423+1))),INDEX(DATAS,W2423+1),"")</f>
        <v/>
      </c>
      <c r="AE2423" s="33" t="str">
        <f aca="false">IF(AND(Y2423=1,W2423&lt;1),IF(AND(C2424=C2423,W2424=W2423+1),IF(Y2424=1,"",INDEX(DATAS,W2423+1)),INDEX(DATAS,W2423+1)),"")</f>
        <v/>
      </c>
    </row>
    <row r="2424" customFormat="false" ht="15" hidden="false" customHeight="false" outlineLevel="0" collapsed="false">
      <c r="A2424" s="33" t="n">
        <v>46309</v>
      </c>
      <c r="B2424" s="0" t="n">
        <v>8</v>
      </c>
      <c r="C2424" s="0" t="n">
        <v>6736</v>
      </c>
      <c r="E2424" s="0" t="n">
        <v>0</v>
      </c>
      <c r="F2424" s="27" t="s">
        <v>1266</v>
      </c>
      <c r="I2424" s="27" t="s">
        <v>138</v>
      </c>
      <c r="L2424" s="0" t="n">
        <v>66</v>
      </c>
      <c r="U2424" s="0" t="n">
        <v>460</v>
      </c>
      <c r="V2424" s="0" t="n">
        <v>1</v>
      </c>
      <c r="W2424" s="27" t="n">
        <f aca="false">MATCH(A2424,DATAS,0)</f>
        <v>1</v>
      </c>
      <c r="X2424" s="27" t="n">
        <f aca="false">IF(AND(E2424&gt;0,OR(AND(B2424&gt;=1,B2424&lt;=6),B2424=10)),1,0)</f>
        <v>0</v>
      </c>
      <c r="Y2424" s="27" t="n">
        <f aca="false">IF(AND(E2424&gt;0,B2424=10),1,0)</f>
        <v>0</v>
      </c>
      <c r="Z2424" s="0" t="str">
        <f aca="false">IF(AND(C2423=C2424,W2423=W2424-1),X2423,"")</f>
        <v/>
      </c>
      <c r="AA2424" s="0" t="str">
        <f aca="false">IF(AND(C2423=C2424,W2423=W2424-1),Y2423,"")</f>
        <v/>
      </c>
      <c r="AB2424" s="0" t="str">
        <f aca="false">IF(W2424=1,"",IF(AND(X2424=1,Z2424&lt;&gt;1),1,0))</f>
        <v/>
      </c>
      <c r="AC2424" s="0" t="str">
        <f aca="false">IF(W2424=1,"",IF(AND(Y2424=1,AA2424&lt;&gt;1),1,0))</f>
        <v/>
      </c>
      <c r="AD2424" s="33" t="str">
        <f aca="false">IF(AND(E2424&gt;0,W2424&lt;1,NOT(AND(C2425=C2424,W2425=W2424+1))),INDEX(DATAS,W2424+1),"")</f>
        <v/>
      </c>
      <c r="AE2424" s="33" t="str">
        <f aca="false">IF(AND(Y2424=1,W2424&lt;1),IF(AND(C2425=C2424,W2425=W2424+1),IF(Y2425=1,"",INDEX(DATAS,W2424+1)),INDEX(DATAS,W2424+1)),"")</f>
        <v/>
      </c>
    </row>
    <row r="2425" customFormat="false" ht="15" hidden="false" customHeight="false" outlineLevel="0" collapsed="false">
      <c r="A2425" s="33" t="n">
        <v>46309</v>
      </c>
      <c r="B2425" s="0" t="n">
        <v>13</v>
      </c>
      <c r="C2425" s="0" t="n">
        <v>6737</v>
      </c>
      <c r="E2425" s="0" t="n">
        <v>0</v>
      </c>
      <c r="F2425" s="27" t="s">
        <v>1266</v>
      </c>
      <c r="I2425" s="27" t="s">
        <v>176</v>
      </c>
      <c r="U2425" s="0" t="n">
        <v>460</v>
      </c>
      <c r="V2425" s="0" t="n">
        <v>0</v>
      </c>
      <c r="W2425" s="27" t="n">
        <f aca="false">MATCH(A2425,DATAS,0)</f>
        <v>1</v>
      </c>
      <c r="X2425" s="27" t="n">
        <f aca="false">IF(AND(E2425&gt;0,OR(AND(B2425&gt;=1,B2425&lt;=6),B2425=10)),1,0)</f>
        <v>0</v>
      </c>
      <c r="Y2425" s="27" t="n">
        <f aca="false">IF(AND(E2425&gt;0,B2425=10),1,0)</f>
        <v>0</v>
      </c>
      <c r="Z2425" s="0" t="str">
        <f aca="false">IF(AND(C2424=C2425,W2424=W2425-1),X2424,"")</f>
        <v/>
      </c>
      <c r="AA2425" s="0" t="str">
        <f aca="false">IF(AND(C2424=C2425,W2424=W2425-1),Y2424,"")</f>
        <v/>
      </c>
      <c r="AB2425" s="0" t="str">
        <f aca="false">IF(W2425=1,"",IF(AND(X2425=1,Z2425&lt;&gt;1),1,0))</f>
        <v/>
      </c>
      <c r="AC2425" s="0" t="str">
        <f aca="false">IF(W2425=1,"",IF(AND(Y2425=1,AA2425&lt;&gt;1),1,0))</f>
        <v/>
      </c>
      <c r="AD2425" s="33" t="str">
        <f aca="false">IF(AND(E2425&gt;0,W2425&lt;1,NOT(AND(C2426=C2425,W2426=W2425+1))),INDEX(DATAS,W2425+1),"")</f>
        <v/>
      </c>
      <c r="AE2425" s="33" t="str">
        <f aca="false">IF(AND(Y2425=1,W2425&lt;1),IF(AND(C2426=C2425,W2426=W2425+1),IF(Y2426=1,"",INDEX(DATAS,W2425+1)),INDEX(DATAS,W2425+1)),"")</f>
        <v/>
      </c>
    </row>
    <row r="2426" customFormat="false" ht="15" hidden="false" customHeight="false" outlineLevel="0" collapsed="false">
      <c r="A2426" s="33" t="n">
        <v>46309</v>
      </c>
      <c r="B2426" s="0" t="n">
        <v>8</v>
      </c>
      <c r="C2426" s="0" t="n">
        <v>6738</v>
      </c>
      <c r="E2426" s="0" t="n">
        <v>0</v>
      </c>
      <c r="F2426" s="27" t="s">
        <v>1266</v>
      </c>
      <c r="I2426" s="27" t="s">
        <v>138</v>
      </c>
      <c r="L2426" s="0" t="n">
        <v>58</v>
      </c>
      <c r="U2426" s="0" t="n">
        <v>460</v>
      </c>
      <c r="V2426" s="0" t="n">
        <v>1</v>
      </c>
      <c r="W2426" s="27" t="n">
        <f aca="false">MATCH(A2426,DATAS,0)</f>
        <v>1</v>
      </c>
      <c r="X2426" s="27" t="n">
        <f aca="false">IF(AND(E2426&gt;0,OR(AND(B2426&gt;=1,B2426&lt;=6),B2426=10)),1,0)</f>
        <v>0</v>
      </c>
      <c r="Y2426" s="27" t="n">
        <f aca="false">IF(AND(E2426&gt;0,B2426=10),1,0)</f>
        <v>0</v>
      </c>
      <c r="Z2426" s="0" t="str">
        <f aca="false">IF(AND(C2425=C2426,W2425=W2426-1),X2425,"")</f>
        <v/>
      </c>
      <c r="AA2426" s="0" t="str">
        <f aca="false">IF(AND(C2425=C2426,W2425=W2426-1),Y2425,"")</f>
        <v/>
      </c>
      <c r="AB2426" s="0" t="str">
        <f aca="false">IF(W2426=1,"",IF(AND(X2426=1,Z2426&lt;&gt;1),1,0))</f>
        <v/>
      </c>
      <c r="AC2426" s="0" t="str">
        <f aca="false">IF(W2426=1,"",IF(AND(Y2426=1,AA2426&lt;&gt;1),1,0))</f>
        <v/>
      </c>
      <c r="AD2426" s="33" t="str">
        <f aca="false">IF(AND(E2426&gt;0,W2426&lt;1,NOT(AND(C2427=C2426,W2427=W2426+1))),INDEX(DATAS,W2426+1),"")</f>
        <v/>
      </c>
      <c r="AE2426" s="33" t="str">
        <f aca="false">IF(AND(Y2426=1,W2426&lt;1),IF(AND(C2427=C2426,W2427=W2426+1),IF(Y2427=1,"",INDEX(DATAS,W2426+1)),INDEX(DATAS,W2426+1)),"")</f>
        <v/>
      </c>
    </row>
    <row r="2427" customFormat="false" ht="15" hidden="false" customHeight="false" outlineLevel="0" collapsed="false">
      <c r="A2427" s="33" t="n">
        <v>46309</v>
      </c>
      <c r="B2427" s="0" t="n">
        <v>11</v>
      </c>
      <c r="C2427" s="0" t="n">
        <v>6739</v>
      </c>
      <c r="E2427" s="0" t="n">
        <v>0</v>
      </c>
      <c r="F2427" s="27" t="s">
        <v>1266</v>
      </c>
      <c r="I2427" s="27" t="s">
        <v>168</v>
      </c>
      <c r="U2427" s="0" t="n">
        <v>460</v>
      </c>
      <c r="V2427" s="0" t="n">
        <v>1</v>
      </c>
      <c r="W2427" s="27" t="n">
        <f aca="false">MATCH(A2427,DATAS,0)</f>
        <v>1</v>
      </c>
      <c r="X2427" s="27" t="n">
        <f aca="false">IF(AND(E2427&gt;0,OR(AND(B2427&gt;=1,B2427&lt;=6),B2427=10)),1,0)</f>
        <v>0</v>
      </c>
      <c r="Y2427" s="27" t="n">
        <f aca="false">IF(AND(E2427&gt;0,B2427=10),1,0)</f>
        <v>0</v>
      </c>
      <c r="Z2427" s="0" t="str">
        <f aca="false">IF(AND(C2426=C2427,W2426=W2427-1),X2426,"")</f>
        <v/>
      </c>
      <c r="AA2427" s="0" t="str">
        <f aca="false">IF(AND(C2426=C2427,W2426=W2427-1),Y2426,"")</f>
        <v/>
      </c>
      <c r="AB2427" s="0" t="str">
        <f aca="false">IF(W2427=1,"",IF(AND(X2427=1,Z2427&lt;&gt;1),1,0))</f>
        <v/>
      </c>
      <c r="AC2427" s="0" t="str">
        <f aca="false">IF(W2427=1,"",IF(AND(Y2427=1,AA2427&lt;&gt;1),1,0))</f>
        <v/>
      </c>
      <c r="AD2427" s="33" t="str">
        <f aca="false">IF(AND(E2427&gt;0,W2427&lt;1,NOT(AND(C2428=C2427,W2428=W2427+1))),INDEX(DATAS,W2427+1),"")</f>
        <v/>
      </c>
      <c r="AE2427" s="33" t="str">
        <f aca="false">IF(AND(Y2427=1,W2427&lt;1),IF(AND(C2428=C2427,W2428=W2427+1),IF(Y2428=1,"",INDEX(DATAS,W2427+1)),INDEX(DATAS,W2427+1)),"")</f>
        <v/>
      </c>
    </row>
    <row r="2428" customFormat="false" ht="15" hidden="false" customHeight="false" outlineLevel="0" collapsed="false">
      <c r="A2428" s="33" t="n">
        <v>46309</v>
      </c>
      <c r="B2428" s="0" t="n">
        <v>11</v>
      </c>
      <c r="C2428" s="0" t="n">
        <v>6740</v>
      </c>
      <c r="E2428" s="0" t="n">
        <v>0</v>
      </c>
      <c r="F2428" s="27" t="s">
        <v>1267</v>
      </c>
      <c r="I2428" s="27" t="s">
        <v>168</v>
      </c>
      <c r="U2428" s="0" t="n">
        <v>456</v>
      </c>
      <c r="V2428" s="0" t="n">
        <v>3</v>
      </c>
      <c r="W2428" s="27" t="n">
        <f aca="false">MATCH(A2428,DATAS,0)</f>
        <v>1</v>
      </c>
      <c r="X2428" s="27" t="n">
        <f aca="false">IF(AND(E2428&gt;0,OR(AND(B2428&gt;=1,B2428&lt;=6),B2428=10)),1,0)</f>
        <v>0</v>
      </c>
      <c r="Y2428" s="27" t="n">
        <f aca="false">IF(AND(E2428&gt;0,B2428=10),1,0)</f>
        <v>0</v>
      </c>
      <c r="Z2428" s="0" t="str">
        <f aca="false">IF(AND(C2427=C2428,W2427=W2428-1),X2427,"")</f>
        <v/>
      </c>
      <c r="AA2428" s="0" t="str">
        <f aca="false">IF(AND(C2427=C2428,W2427=W2428-1),Y2427,"")</f>
        <v/>
      </c>
      <c r="AB2428" s="0" t="str">
        <f aca="false">IF(W2428=1,"",IF(AND(X2428=1,Z2428&lt;&gt;1),1,0))</f>
        <v/>
      </c>
      <c r="AC2428" s="0" t="str">
        <f aca="false">IF(W2428=1,"",IF(AND(Y2428=1,AA2428&lt;&gt;1),1,0))</f>
        <v/>
      </c>
      <c r="AD2428" s="33" t="str">
        <f aca="false">IF(AND(E2428&gt;0,W2428&lt;1,NOT(AND(C2429=C2428,W2429=W2428+1))),INDEX(DATAS,W2428+1),"")</f>
        <v/>
      </c>
      <c r="AE2428" s="33" t="str">
        <f aca="false">IF(AND(Y2428=1,W2428&lt;1),IF(AND(C2429=C2428,W2429=W2428+1),IF(Y2429=1,"",INDEX(DATAS,W2428+1)),INDEX(DATAS,W2428+1)),"")</f>
        <v/>
      </c>
    </row>
    <row r="2429" customFormat="false" ht="15" hidden="false" customHeight="false" outlineLevel="0" collapsed="false">
      <c r="A2429" s="33" t="n">
        <v>46309</v>
      </c>
      <c r="B2429" s="0" t="n">
        <v>8</v>
      </c>
      <c r="C2429" s="0" t="n">
        <v>6741</v>
      </c>
      <c r="E2429" s="0" t="n">
        <v>0</v>
      </c>
      <c r="F2429" s="27" t="s">
        <v>1268</v>
      </c>
      <c r="I2429" s="27" t="s">
        <v>138</v>
      </c>
      <c r="L2429" s="0" t="n">
        <v>65</v>
      </c>
      <c r="U2429" s="0" t="n">
        <v>458</v>
      </c>
      <c r="V2429" s="0" t="n">
        <v>1</v>
      </c>
      <c r="W2429" s="27" t="n">
        <f aca="false">MATCH(A2429,DATAS,0)</f>
        <v>1</v>
      </c>
      <c r="X2429" s="27" t="n">
        <f aca="false">IF(AND(E2429&gt;0,OR(AND(B2429&gt;=1,B2429&lt;=6),B2429=10)),1,0)</f>
        <v>0</v>
      </c>
      <c r="Y2429" s="27" t="n">
        <f aca="false">IF(AND(E2429&gt;0,B2429=10),1,0)</f>
        <v>0</v>
      </c>
      <c r="Z2429" s="0" t="str">
        <f aca="false">IF(AND(C2428=C2429,W2428=W2429-1),X2428,"")</f>
        <v/>
      </c>
      <c r="AA2429" s="0" t="str">
        <f aca="false">IF(AND(C2428=C2429,W2428=W2429-1),Y2428,"")</f>
        <v/>
      </c>
      <c r="AB2429" s="0" t="str">
        <f aca="false">IF(W2429=1,"",IF(AND(X2429=1,Z2429&lt;&gt;1),1,0))</f>
        <v/>
      </c>
      <c r="AC2429" s="0" t="str">
        <f aca="false">IF(W2429=1,"",IF(AND(Y2429=1,AA2429&lt;&gt;1),1,0))</f>
        <v/>
      </c>
      <c r="AD2429" s="33" t="str">
        <f aca="false">IF(AND(E2429&gt;0,W2429&lt;1,NOT(AND(C2430=C2429,W2430=W2429+1))),INDEX(DATAS,W2429+1),"")</f>
        <v/>
      </c>
      <c r="AE2429" s="33" t="str">
        <f aca="false">IF(AND(Y2429=1,W2429&lt;1),IF(AND(C2430=C2429,W2430=W2429+1),IF(Y2430=1,"",INDEX(DATAS,W2429+1)),INDEX(DATAS,W2429+1)),"")</f>
        <v/>
      </c>
    </row>
    <row r="2430" customFormat="false" ht="15" hidden="false" customHeight="false" outlineLevel="0" collapsed="false">
      <c r="A2430" s="33" t="n">
        <v>46309</v>
      </c>
      <c r="B2430" s="0" t="n">
        <v>8</v>
      </c>
      <c r="C2430" s="0" t="n">
        <v>6742</v>
      </c>
      <c r="E2430" s="0" t="n">
        <v>0</v>
      </c>
      <c r="F2430" s="27" t="s">
        <v>1268</v>
      </c>
      <c r="I2430" s="27" t="s">
        <v>138</v>
      </c>
      <c r="L2430" s="0" t="n">
        <v>55</v>
      </c>
      <c r="U2430" s="0" t="n">
        <v>458</v>
      </c>
      <c r="V2430" s="0" t="n">
        <v>1</v>
      </c>
      <c r="W2430" s="27" t="n">
        <f aca="false">MATCH(A2430,DATAS,0)</f>
        <v>1</v>
      </c>
      <c r="X2430" s="27" t="n">
        <f aca="false">IF(AND(E2430&gt;0,OR(AND(B2430&gt;=1,B2430&lt;=6),B2430=10)),1,0)</f>
        <v>0</v>
      </c>
      <c r="Y2430" s="27" t="n">
        <f aca="false">IF(AND(E2430&gt;0,B2430=10),1,0)</f>
        <v>0</v>
      </c>
      <c r="Z2430" s="0" t="str">
        <f aca="false">IF(AND(C2429=C2430,W2429=W2430-1),X2429,"")</f>
        <v/>
      </c>
      <c r="AA2430" s="0" t="str">
        <f aca="false">IF(AND(C2429=C2430,W2429=W2430-1),Y2429,"")</f>
        <v/>
      </c>
      <c r="AB2430" s="0" t="str">
        <f aca="false">IF(W2430=1,"",IF(AND(X2430=1,Z2430&lt;&gt;1),1,0))</f>
        <v/>
      </c>
      <c r="AC2430" s="0" t="str">
        <f aca="false">IF(W2430=1,"",IF(AND(Y2430=1,AA2430&lt;&gt;1),1,0))</f>
        <v/>
      </c>
      <c r="AD2430" s="33" t="str">
        <f aca="false">IF(AND(E2430&gt;0,W2430&lt;1,NOT(AND(C2431=C2430,W2431=W2430+1))),INDEX(DATAS,W2430+1),"")</f>
        <v/>
      </c>
      <c r="AE2430" s="33" t="str">
        <f aca="false">IF(AND(Y2430=1,W2430&lt;1),IF(AND(C2431=C2430,W2431=W2430+1),IF(Y2431=1,"",INDEX(DATAS,W2430+1)),INDEX(DATAS,W2430+1)),"")</f>
        <v/>
      </c>
    </row>
    <row r="2431" customFormat="false" ht="15" hidden="false" customHeight="false" outlineLevel="0" collapsed="false">
      <c r="A2431" s="33" t="n">
        <v>46309</v>
      </c>
      <c r="B2431" s="0" t="n">
        <v>11</v>
      </c>
      <c r="C2431" s="0" t="n">
        <v>6743</v>
      </c>
      <c r="E2431" s="0" t="n">
        <v>0</v>
      </c>
      <c r="F2431" s="27" t="s">
        <v>1268</v>
      </c>
      <c r="I2431" s="27" t="s">
        <v>168</v>
      </c>
      <c r="U2431" s="0" t="n">
        <v>458</v>
      </c>
      <c r="V2431" s="0" t="n">
        <v>2</v>
      </c>
      <c r="W2431" s="27" t="n">
        <f aca="false">MATCH(A2431,DATAS,0)</f>
        <v>1</v>
      </c>
      <c r="X2431" s="27" t="n">
        <f aca="false">IF(AND(E2431&gt;0,OR(AND(B2431&gt;=1,B2431&lt;=6),B2431=10)),1,0)</f>
        <v>0</v>
      </c>
      <c r="Y2431" s="27" t="n">
        <f aca="false">IF(AND(E2431&gt;0,B2431=10),1,0)</f>
        <v>0</v>
      </c>
      <c r="Z2431" s="0" t="str">
        <f aca="false">IF(AND(C2430=C2431,W2430=W2431-1),X2430,"")</f>
        <v/>
      </c>
      <c r="AA2431" s="0" t="str">
        <f aca="false">IF(AND(C2430=C2431,W2430=W2431-1),Y2430,"")</f>
        <v/>
      </c>
      <c r="AB2431" s="0" t="str">
        <f aca="false">IF(W2431=1,"",IF(AND(X2431=1,Z2431&lt;&gt;1),1,0))</f>
        <v/>
      </c>
      <c r="AC2431" s="0" t="str">
        <f aca="false">IF(W2431=1,"",IF(AND(Y2431=1,AA2431&lt;&gt;1),1,0))</f>
        <v/>
      </c>
      <c r="AD2431" s="33" t="str">
        <f aca="false">IF(AND(E2431&gt;0,W2431&lt;1,NOT(AND(C2432=C2431,W2432=W2431+1))),INDEX(DATAS,W2431+1),"")</f>
        <v/>
      </c>
      <c r="AE2431" s="33" t="str">
        <f aca="false">IF(AND(Y2431=1,W2431&lt;1),IF(AND(C2432=C2431,W2432=W2431+1),IF(Y2432=1,"",INDEX(DATAS,W2431+1)),INDEX(DATAS,W2431+1)),"")</f>
        <v/>
      </c>
    </row>
    <row r="2432" customFormat="false" ht="15" hidden="false" customHeight="false" outlineLevel="0" collapsed="false">
      <c r="A2432" s="33" t="n">
        <v>46309</v>
      </c>
      <c r="B2432" s="0" t="n">
        <v>11</v>
      </c>
      <c r="C2432" s="0" t="n">
        <v>6744</v>
      </c>
      <c r="E2432" s="0" t="n">
        <v>0</v>
      </c>
      <c r="F2432" s="27" t="s">
        <v>1269</v>
      </c>
      <c r="I2432" s="27" t="s">
        <v>168</v>
      </c>
      <c r="U2432" s="0" t="n">
        <v>457</v>
      </c>
      <c r="V2432" s="0" t="n">
        <v>3</v>
      </c>
      <c r="W2432" s="27" t="n">
        <f aca="false">MATCH(A2432,DATAS,0)</f>
        <v>1</v>
      </c>
      <c r="X2432" s="27" t="n">
        <f aca="false">IF(AND(E2432&gt;0,OR(AND(B2432&gt;=1,B2432&lt;=6),B2432=10)),1,0)</f>
        <v>0</v>
      </c>
      <c r="Y2432" s="27" t="n">
        <f aca="false">IF(AND(E2432&gt;0,B2432=10),1,0)</f>
        <v>0</v>
      </c>
      <c r="Z2432" s="0" t="str">
        <f aca="false">IF(AND(C2431=C2432,W2431=W2432-1),X2431,"")</f>
        <v/>
      </c>
      <c r="AA2432" s="0" t="str">
        <f aca="false">IF(AND(C2431=C2432,W2431=W2432-1),Y2431,"")</f>
        <v/>
      </c>
      <c r="AB2432" s="0" t="str">
        <f aca="false">IF(W2432=1,"",IF(AND(X2432=1,Z2432&lt;&gt;1),1,0))</f>
        <v/>
      </c>
      <c r="AC2432" s="0" t="str">
        <f aca="false">IF(W2432=1,"",IF(AND(Y2432=1,AA2432&lt;&gt;1),1,0))</f>
        <v/>
      </c>
      <c r="AD2432" s="33" t="str">
        <f aca="false">IF(AND(E2432&gt;0,W2432&lt;1,NOT(AND(C2433=C2432,W2433=W2432+1))),INDEX(DATAS,W2432+1),"")</f>
        <v/>
      </c>
      <c r="AE2432" s="33" t="str">
        <f aca="false">IF(AND(Y2432=1,W2432&lt;1),IF(AND(C2433=C2432,W2433=W2432+1),IF(Y2433=1,"",INDEX(DATAS,W2432+1)),INDEX(DATAS,W2432+1)),"")</f>
        <v/>
      </c>
    </row>
    <row r="2433" customFormat="false" ht="15" hidden="false" customHeight="false" outlineLevel="0" collapsed="false">
      <c r="A2433" s="33" t="n">
        <v>46309</v>
      </c>
      <c r="B2433" s="0" t="n">
        <v>11</v>
      </c>
      <c r="C2433" s="0" t="n">
        <v>6745</v>
      </c>
      <c r="E2433" s="0" t="n">
        <v>0</v>
      </c>
      <c r="F2433" s="27" t="s">
        <v>1269</v>
      </c>
      <c r="I2433" s="27" t="s">
        <v>168</v>
      </c>
      <c r="U2433" s="0" t="n">
        <v>457</v>
      </c>
      <c r="V2433" s="0" t="n">
        <v>2</v>
      </c>
      <c r="W2433" s="27" t="n">
        <f aca="false">MATCH(A2433,DATAS,0)</f>
        <v>1</v>
      </c>
      <c r="X2433" s="27" t="n">
        <f aca="false">IF(AND(E2433&gt;0,OR(AND(B2433&gt;=1,B2433&lt;=6),B2433=10)),1,0)</f>
        <v>0</v>
      </c>
      <c r="Y2433" s="27" t="n">
        <f aca="false">IF(AND(E2433&gt;0,B2433=10),1,0)</f>
        <v>0</v>
      </c>
      <c r="Z2433" s="0" t="str">
        <f aca="false">IF(AND(C2432=C2433,W2432=W2433-1),X2432,"")</f>
        <v/>
      </c>
      <c r="AA2433" s="0" t="str">
        <f aca="false">IF(AND(C2432=C2433,W2432=W2433-1),Y2432,"")</f>
        <v/>
      </c>
      <c r="AB2433" s="0" t="str">
        <f aca="false">IF(W2433=1,"",IF(AND(X2433=1,Z2433&lt;&gt;1),1,0))</f>
        <v/>
      </c>
      <c r="AC2433" s="0" t="str">
        <f aca="false">IF(W2433=1,"",IF(AND(Y2433=1,AA2433&lt;&gt;1),1,0))</f>
        <v/>
      </c>
      <c r="AD2433" s="33" t="str">
        <f aca="false">IF(AND(E2433&gt;0,W2433&lt;1,NOT(AND(C2434=C2433,W2434=W2433+1))),INDEX(DATAS,W2433+1),"")</f>
        <v/>
      </c>
      <c r="AE2433" s="33" t="str">
        <f aca="false">IF(AND(Y2433=1,W2433&lt;1),IF(AND(C2434=C2433,W2434=W2433+1),IF(Y2434=1,"",INDEX(DATAS,W2433+1)),INDEX(DATAS,W2433+1)),"")</f>
        <v/>
      </c>
    </row>
    <row r="2434" customFormat="false" ht="15" hidden="false" customHeight="false" outlineLevel="0" collapsed="false">
      <c r="A2434" s="33" t="n">
        <v>46309</v>
      </c>
      <c r="B2434" s="0" t="n">
        <v>11</v>
      </c>
      <c r="C2434" s="0" t="n">
        <v>6748</v>
      </c>
      <c r="E2434" s="0" t="n">
        <v>0</v>
      </c>
      <c r="F2434" s="27" t="s">
        <v>1270</v>
      </c>
      <c r="I2434" s="27" t="s">
        <v>168</v>
      </c>
      <c r="U2434" s="0" t="n">
        <v>455</v>
      </c>
      <c r="V2434" s="0" t="n">
        <v>3</v>
      </c>
      <c r="W2434" s="27" t="n">
        <f aca="false">MATCH(A2434,DATAS,0)</f>
        <v>1</v>
      </c>
      <c r="X2434" s="27" t="n">
        <f aca="false">IF(AND(E2434&gt;0,OR(AND(B2434&gt;=1,B2434&lt;=6),B2434=10)),1,0)</f>
        <v>0</v>
      </c>
      <c r="Y2434" s="27" t="n">
        <f aca="false">IF(AND(E2434&gt;0,B2434=10),1,0)</f>
        <v>0</v>
      </c>
      <c r="Z2434" s="0" t="str">
        <f aca="false">IF(AND(C2433=C2434,W2433=W2434-1),X2433,"")</f>
        <v/>
      </c>
      <c r="AA2434" s="0" t="str">
        <f aca="false">IF(AND(C2433=C2434,W2433=W2434-1),Y2433,"")</f>
        <v/>
      </c>
      <c r="AB2434" s="0" t="str">
        <f aca="false">IF(W2434=1,"",IF(AND(X2434=1,Z2434&lt;&gt;1),1,0))</f>
        <v/>
      </c>
      <c r="AC2434" s="0" t="str">
        <f aca="false">IF(W2434=1,"",IF(AND(Y2434=1,AA2434&lt;&gt;1),1,0))</f>
        <v/>
      </c>
      <c r="AD2434" s="33" t="str">
        <f aca="false">IF(AND(E2434&gt;0,W2434&lt;1,NOT(AND(C2435=C2434,W2435=W2434+1))),INDEX(DATAS,W2434+1),"")</f>
        <v/>
      </c>
      <c r="AE2434" s="33" t="str">
        <f aca="false">IF(AND(Y2434=1,W2434&lt;1),IF(AND(C2435=C2434,W2435=W2434+1),IF(Y2435=1,"",INDEX(DATAS,W2434+1)),INDEX(DATAS,W2434+1)),"")</f>
        <v/>
      </c>
    </row>
    <row r="2435" customFormat="false" ht="15" hidden="false" customHeight="false" outlineLevel="0" collapsed="false">
      <c r="A2435" s="33" t="n">
        <v>46309</v>
      </c>
      <c r="B2435" s="0" t="n">
        <v>8</v>
      </c>
      <c r="C2435" s="0" t="n">
        <v>6749</v>
      </c>
      <c r="E2435" s="0" t="n">
        <v>0</v>
      </c>
      <c r="F2435" s="27" t="s">
        <v>1270</v>
      </c>
      <c r="I2435" s="27" t="s">
        <v>138</v>
      </c>
      <c r="L2435" s="0" t="n">
        <v>55</v>
      </c>
      <c r="U2435" s="0" t="n">
        <v>455</v>
      </c>
      <c r="V2435" s="0" t="n">
        <v>1</v>
      </c>
      <c r="W2435" s="27" t="n">
        <f aca="false">MATCH(A2435,DATAS,0)</f>
        <v>1</v>
      </c>
      <c r="X2435" s="27" t="n">
        <f aca="false">IF(AND(E2435&gt;0,OR(AND(B2435&gt;=1,B2435&lt;=6),B2435=10)),1,0)</f>
        <v>0</v>
      </c>
      <c r="Y2435" s="27" t="n">
        <f aca="false">IF(AND(E2435&gt;0,B2435=10),1,0)</f>
        <v>0</v>
      </c>
      <c r="Z2435" s="0" t="str">
        <f aca="false">IF(AND(C2434=C2435,W2434=W2435-1),X2434,"")</f>
        <v/>
      </c>
      <c r="AA2435" s="0" t="str">
        <f aca="false">IF(AND(C2434=C2435,W2434=W2435-1),Y2434,"")</f>
        <v/>
      </c>
      <c r="AB2435" s="0" t="str">
        <f aca="false">IF(W2435=1,"",IF(AND(X2435=1,Z2435&lt;&gt;1),1,0))</f>
        <v/>
      </c>
      <c r="AC2435" s="0" t="str">
        <f aca="false">IF(W2435=1,"",IF(AND(Y2435=1,AA2435&lt;&gt;1),1,0))</f>
        <v/>
      </c>
      <c r="AD2435" s="33" t="str">
        <f aca="false">IF(AND(E2435&gt;0,W2435&lt;1,NOT(AND(C2436=C2435,W2436=W2435+1))),INDEX(DATAS,W2435+1),"")</f>
        <v/>
      </c>
      <c r="AE2435" s="33" t="str">
        <f aca="false">IF(AND(Y2435=1,W2435&lt;1),IF(AND(C2436=C2435,W2436=W2435+1),IF(Y2436=1,"",INDEX(DATAS,W2435+1)),INDEX(DATAS,W2435+1)),"")</f>
        <v/>
      </c>
    </row>
    <row r="2436" customFormat="false" ht="15" hidden="false" customHeight="false" outlineLevel="0" collapsed="false">
      <c r="A2436" s="33" t="n">
        <v>46309</v>
      </c>
      <c r="B2436" s="0" t="n">
        <v>8</v>
      </c>
      <c r="C2436" s="0" t="n">
        <v>6750</v>
      </c>
      <c r="E2436" s="0" t="n">
        <v>0</v>
      </c>
      <c r="F2436" s="27" t="s">
        <v>1270</v>
      </c>
      <c r="I2436" s="27" t="s">
        <v>138</v>
      </c>
      <c r="L2436" s="0" t="n">
        <v>56</v>
      </c>
      <c r="U2436" s="0" t="n">
        <v>455</v>
      </c>
      <c r="V2436" s="0" t="n">
        <v>1</v>
      </c>
      <c r="W2436" s="27" t="n">
        <f aca="false">MATCH(A2436,DATAS,0)</f>
        <v>1</v>
      </c>
      <c r="X2436" s="27" t="n">
        <f aca="false">IF(AND(E2436&gt;0,OR(AND(B2436&gt;=1,B2436&lt;=6),B2436=10)),1,0)</f>
        <v>0</v>
      </c>
      <c r="Y2436" s="27" t="n">
        <f aca="false">IF(AND(E2436&gt;0,B2436=10),1,0)</f>
        <v>0</v>
      </c>
      <c r="Z2436" s="0" t="str">
        <f aca="false">IF(AND(C2435=C2436,W2435=W2436-1),X2435,"")</f>
        <v/>
      </c>
      <c r="AA2436" s="0" t="str">
        <f aca="false">IF(AND(C2435=C2436,W2435=W2436-1),Y2435,"")</f>
        <v/>
      </c>
      <c r="AB2436" s="0" t="str">
        <f aca="false">IF(W2436=1,"",IF(AND(X2436=1,Z2436&lt;&gt;1),1,0))</f>
        <v/>
      </c>
      <c r="AC2436" s="0" t="str">
        <f aca="false">IF(W2436=1,"",IF(AND(Y2436=1,AA2436&lt;&gt;1),1,0))</f>
        <v/>
      </c>
      <c r="AD2436" s="33" t="str">
        <f aca="false">IF(AND(E2436&gt;0,W2436&lt;1,NOT(AND(C2437=C2436,W2437=W2436+1))),INDEX(DATAS,W2436+1),"")</f>
        <v/>
      </c>
      <c r="AE2436" s="33" t="str">
        <f aca="false">IF(AND(Y2436=1,W2436&lt;1),IF(AND(C2437=C2436,W2437=W2436+1),IF(Y2437=1,"",INDEX(DATAS,W2436+1)),INDEX(DATAS,W2436+1)),"")</f>
        <v/>
      </c>
    </row>
    <row r="2437" customFormat="false" ht="15" hidden="false" customHeight="false" outlineLevel="0" collapsed="false">
      <c r="A2437" s="33" t="n">
        <v>46309</v>
      </c>
      <c r="B2437" s="0" t="n">
        <v>13</v>
      </c>
      <c r="C2437" s="0" t="n">
        <v>6751</v>
      </c>
      <c r="E2437" s="0" t="n">
        <v>0</v>
      </c>
      <c r="F2437" s="27" t="s">
        <v>1270</v>
      </c>
      <c r="I2437" s="27" t="s">
        <v>176</v>
      </c>
      <c r="U2437" s="0" t="n">
        <v>455</v>
      </c>
      <c r="V2437" s="0" t="n">
        <v>0</v>
      </c>
      <c r="W2437" s="27" t="n">
        <f aca="false">MATCH(A2437,DATAS,0)</f>
        <v>1</v>
      </c>
      <c r="X2437" s="27" t="n">
        <f aca="false">IF(AND(E2437&gt;0,OR(AND(B2437&gt;=1,B2437&lt;=6),B2437=10)),1,0)</f>
        <v>0</v>
      </c>
      <c r="Y2437" s="27" t="n">
        <f aca="false">IF(AND(E2437&gt;0,B2437=10),1,0)</f>
        <v>0</v>
      </c>
      <c r="Z2437" s="0" t="str">
        <f aca="false">IF(AND(C2436=C2437,W2436=W2437-1),X2436,"")</f>
        <v/>
      </c>
      <c r="AA2437" s="0" t="str">
        <f aca="false">IF(AND(C2436=C2437,W2436=W2437-1),Y2436,"")</f>
        <v/>
      </c>
      <c r="AB2437" s="0" t="str">
        <f aca="false">IF(W2437=1,"",IF(AND(X2437=1,Z2437&lt;&gt;1),1,0))</f>
        <v/>
      </c>
      <c r="AC2437" s="0" t="str">
        <f aca="false">IF(W2437=1,"",IF(AND(Y2437=1,AA2437&lt;&gt;1),1,0))</f>
        <v/>
      </c>
      <c r="AD2437" s="33" t="str">
        <f aca="false">IF(AND(E2437&gt;0,W2437&lt;1,NOT(AND(C2438=C2437,W2438=W2437+1))),INDEX(DATAS,W2437+1),"")</f>
        <v/>
      </c>
      <c r="AE2437" s="33" t="str">
        <f aca="false">IF(AND(Y2437=1,W2437&lt;1),IF(AND(C2438=C2437,W2438=W2437+1),IF(Y2438=1,"",INDEX(DATAS,W2437+1)),INDEX(DATAS,W2437+1)),"")</f>
        <v/>
      </c>
    </row>
    <row r="2438" customFormat="false" ht="15" hidden="false" customHeight="false" outlineLevel="0" collapsed="false">
      <c r="A2438" s="33" t="n">
        <v>46309</v>
      </c>
      <c r="B2438" s="0" t="n">
        <v>8</v>
      </c>
      <c r="C2438" s="0" t="n">
        <v>6752</v>
      </c>
      <c r="E2438" s="0" t="n">
        <v>0</v>
      </c>
      <c r="F2438" s="27" t="s">
        <v>1270</v>
      </c>
      <c r="I2438" s="27" t="s">
        <v>138</v>
      </c>
      <c r="L2438" s="0" t="n">
        <v>57</v>
      </c>
      <c r="U2438" s="0" t="n">
        <v>455</v>
      </c>
      <c r="V2438" s="0" t="n">
        <v>1</v>
      </c>
      <c r="W2438" s="27" t="n">
        <f aca="false">MATCH(A2438,DATAS,0)</f>
        <v>1</v>
      </c>
      <c r="X2438" s="27" t="n">
        <f aca="false">IF(AND(E2438&gt;0,OR(AND(B2438&gt;=1,B2438&lt;=6),B2438=10)),1,0)</f>
        <v>0</v>
      </c>
      <c r="Y2438" s="27" t="n">
        <f aca="false">IF(AND(E2438&gt;0,B2438=10),1,0)</f>
        <v>0</v>
      </c>
      <c r="Z2438" s="0" t="str">
        <f aca="false">IF(AND(C2437=C2438,W2437=W2438-1),X2437,"")</f>
        <v/>
      </c>
      <c r="AA2438" s="0" t="str">
        <f aca="false">IF(AND(C2437=C2438,W2437=W2438-1),Y2437,"")</f>
        <v/>
      </c>
      <c r="AB2438" s="0" t="str">
        <f aca="false">IF(W2438=1,"",IF(AND(X2438=1,Z2438&lt;&gt;1),1,0))</f>
        <v/>
      </c>
      <c r="AC2438" s="0" t="str">
        <f aca="false">IF(W2438=1,"",IF(AND(Y2438=1,AA2438&lt;&gt;1),1,0))</f>
        <v/>
      </c>
      <c r="AD2438" s="33" t="str">
        <f aca="false">IF(AND(E2438&gt;0,W2438&lt;1,NOT(AND(C2439=C2438,W2439=W2438+1))),INDEX(DATAS,W2438+1),"")</f>
        <v/>
      </c>
      <c r="AE2438" s="33" t="str">
        <f aca="false">IF(AND(Y2438=1,W2438&lt;1),IF(AND(C2439=C2438,W2439=W2438+1),IF(Y2439=1,"",INDEX(DATAS,W2438+1)),INDEX(DATAS,W2438+1)),"")</f>
        <v/>
      </c>
    </row>
    <row r="2439" customFormat="false" ht="15" hidden="false" customHeight="false" outlineLevel="0" collapsed="false">
      <c r="A2439" s="33" t="n">
        <v>46309</v>
      </c>
      <c r="B2439" s="0" t="n">
        <v>8</v>
      </c>
      <c r="C2439" s="0" t="n">
        <v>6753</v>
      </c>
      <c r="E2439" s="0" t="n">
        <v>0</v>
      </c>
      <c r="F2439" s="27" t="s">
        <v>1271</v>
      </c>
      <c r="I2439" s="27" t="s">
        <v>138</v>
      </c>
      <c r="L2439" s="0" t="n">
        <v>52</v>
      </c>
      <c r="U2439" s="0" t="n">
        <v>454</v>
      </c>
      <c r="V2439" s="0" t="n">
        <v>1</v>
      </c>
      <c r="W2439" s="27" t="n">
        <f aca="false">MATCH(A2439,DATAS,0)</f>
        <v>1</v>
      </c>
      <c r="X2439" s="27" t="n">
        <f aca="false">IF(AND(E2439&gt;0,OR(AND(B2439&gt;=1,B2439&lt;=6),B2439=10)),1,0)</f>
        <v>0</v>
      </c>
      <c r="Y2439" s="27" t="n">
        <f aca="false">IF(AND(E2439&gt;0,B2439=10),1,0)</f>
        <v>0</v>
      </c>
      <c r="Z2439" s="0" t="str">
        <f aca="false">IF(AND(C2438=C2439,W2438=W2439-1),X2438,"")</f>
        <v/>
      </c>
      <c r="AA2439" s="0" t="str">
        <f aca="false">IF(AND(C2438=C2439,W2438=W2439-1),Y2438,"")</f>
        <v/>
      </c>
      <c r="AB2439" s="0" t="str">
        <f aca="false">IF(W2439=1,"",IF(AND(X2439=1,Z2439&lt;&gt;1),1,0))</f>
        <v/>
      </c>
      <c r="AC2439" s="0" t="str">
        <f aca="false">IF(W2439=1,"",IF(AND(Y2439=1,AA2439&lt;&gt;1),1,0))</f>
        <v/>
      </c>
      <c r="AD2439" s="33" t="str">
        <f aca="false">IF(AND(E2439&gt;0,W2439&lt;1,NOT(AND(C2440=C2439,W2440=W2439+1))),INDEX(DATAS,W2439+1),"")</f>
        <v/>
      </c>
      <c r="AE2439" s="33" t="str">
        <f aca="false">IF(AND(Y2439=1,W2439&lt;1),IF(AND(C2440=C2439,W2440=W2439+1),IF(Y2440=1,"",INDEX(DATAS,W2439+1)),INDEX(DATAS,W2439+1)),"")</f>
        <v/>
      </c>
    </row>
    <row r="2440" customFormat="false" ht="15" hidden="false" customHeight="false" outlineLevel="0" collapsed="false">
      <c r="A2440" s="33" t="n">
        <v>46309</v>
      </c>
      <c r="B2440" s="0" t="n">
        <v>8</v>
      </c>
      <c r="C2440" s="0" t="n">
        <v>6755</v>
      </c>
      <c r="E2440" s="0" t="n">
        <v>0</v>
      </c>
      <c r="F2440" s="27" t="s">
        <v>1272</v>
      </c>
      <c r="I2440" s="27" t="s">
        <v>138</v>
      </c>
      <c r="L2440" s="0" t="n">
        <v>49</v>
      </c>
      <c r="U2440" s="0" t="n">
        <v>452</v>
      </c>
      <c r="V2440" s="0" t="n">
        <v>1</v>
      </c>
      <c r="W2440" s="27" t="n">
        <f aca="false">MATCH(A2440,DATAS,0)</f>
        <v>1</v>
      </c>
      <c r="X2440" s="27" t="n">
        <f aca="false">IF(AND(E2440&gt;0,OR(AND(B2440&gt;=1,B2440&lt;=6),B2440=10)),1,0)</f>
        <v>0</v>
      </c>
      <c r="Y2440" s="27" t="n">
        <f aca="false">IF(AND(E2440&gt;0,B2440=10),1,0)</f>
        <v>0</v>
      </c>
      <c r="Z2440" s="0" t="str">
        <f aca="false">IF(AND(C2439=C2440,W2439=W2440-1),X2439,"")</f>
        <v/>
      </c>
      <c r="AA2440" s="0" t="str">
        <f aca="false">IF(AND(C2439=C2440,W2439=W2440-1),Y2439,"")</f>
        <v/>
      </c>
      <c r="AB2440" s="0" t="str">
        <f aca="false">IF(W2440=1,"",IF(AND(X2440=1,Z2440&lt;&gt;1),1,0))</f>
        <v/>
      </c>
      <c r="AC2440" s="0" t="str">
        <f aca="false">IF(W2440=1,"",IF(AND(Y2440=1,AA2440&lt;&gt;1),1,0))</f>
        <v/>
      </c>
      <c r="AD2440" s="33" t="str">
        <f aca="false">IF(AND(E2440&gt;0,W2440&lt;1,NOT(AND(C2441=C2440,W2441=W2440+1))),INDEX(DATAS,W2440+1),"")</f>
        <v/>
      </c>
      <c r="AE2440" s="33" t="str">
        <f aca="false">IF(AND(Y2440=1,W2440&lt;1),IF(AND(C2441=C2440,W2441=W2440+1),IF(Y2441=1,"",INDEX(DATAS,W2440+1)),INDEX(DATAS,W2440+1)),"")</f>
        <v/>
      </c>
    </row>
    <row r="2441" customFormat="false" ht="15" hidden="false" customHeight="false" outlineLevel="0" collapsed="false">
      <c r="A2441" s="33" t="n">
        <v>46309</v>
      </c>
      <c r="B2441" s="0" t="n">
        <v>8</v>
      </c>
      <c r="C2441" s="0" t="n">
        <v>6756</v>
      </c>
      <c r="E2441" s="0" t="n">
        <v>0</v>
      </c>
      <c r="F2441" s="27" t="s">
        <v>1272</v>
      </c>
      <c r="I2441" s="27" t="s">
        <v>138</v>
      </c>
      <c r="L2441" s="0" t="n">
        <v>50</v>
      </c>
      <c r="U2441" s="0" t="n">
        <v>452</v>
      </c>
      <c r="V2441" s="0" t="n">
        <v>1</v>
      </c>
      <c r="W2441" s="27" t="n">
        <f aca="false">MATCH(A2441,DATAS,0)</f>
        <v>1</v>
      </c>
      <c r="X2441" s="27" t="n">
        <f aca="false">IF(AND(E2441&gt;0,OR(AND(B2441&gt;=1,B2441&lt;=6),B2441=10)),1,0)</f>
        <v>0</v>
      </c>
      <c r="Y2441" s="27" t="n">
        <f aca="false">IF(AND(E2441&gt;0,B2441=10),1,0)</f>
        <v>0</v>
      </c>
      <c r="Z2441" s="0" t="str">
        <f aca="false">IF(AND(C2440=C2441,W2440=W2441-1),X2440,"")</f>
        <v/>
      </c>
      <c r="AA2441" s="0" t="str">
        <f aca="false">IF(AND(C2440=C2441,W2440=W2441-1),Y2440,"")</f>
        <v/>
      </c>
      <c r="AB2441" s="0" t="str">
        <f aca="false">IF(W2441=1,"",IF(AND(X2441=1,Z2441&lt;&gt;1),1,0))</f>
        <v/>
      </c>
      <c r="AC2441" s="0" t="str">
        <f aca="false">IF(W2441=1,"",IF(AND(Y2441=1,AA2441&lt;&gt;1),1,0))</f>
        <v/>
      </c>
      <c r="AD2441" s="33" t="str">
        <f aca="false">IF(AND(E2441&gt;0,W2441&lt;1,NOT(AND(C2442=C2441,W2442=W2441+1))),INDEX(DATAS,W2441+1),"")</f>
        <v/>
      </c>
      <c r="AE2441" s="33" t="str">
        <f aca="false">IF(AND(Y2441=1,W2441&lt;1),IF(AND(C2442=C2441,W2442=W2441+1),IF(Y2442=1,"",INDEX(DATAS,W2441+1)),INDEX(DATAS,W2441+1)),"")</f>
        <v/>
      </c>
    </row>
    <row r="2442" customFormat="false" ht="15" hidden="false" customHeight="false" outlineLevel="0" collapsed="false">
      <c r="A2442" s="33" t="n">
        <v>46309</v>
      </c>
      <c r="B2442" s="0" t="n">
        <v>8</v>
      </c>
      <c r="C2442" s="0" t="n">
        <v>6757</v>
      </c>
      <c r="E2442" s="0" t="n">
        <v>0</v>
      </c>
      <c r="F2442" s="27" t="s">
        <v>1272</v>
      </c>
      <c r="I2442" s="27" t="s">
        <v>138</v>
      </c>
      <c r="L2442" s="0" t="n">
        <v>57</v>
      </c>
      <c r="U2442" s="0" t="n">
        <v>452</v>
      </c>
      <c r="V2442" s="0" t="n">
        <v>1</v>
      </c>
      <c r="W2442" s="27" t="n">
        <f aca="false">MATCH(A2442,DATAS,0)</f>
        <v>1</v>
      </c>
      <c r="X2442" s="27" t="n">
        <f aca="false">IF(AND(E2442&gt;0,OR(AND(B2442&gt;=1,B2442&lt;=6),B2442=10)),1,0)</f>
        <v>0</v>
      </c>
      <c r="Y2442" s="27" t="n">
        <f aca="false">IF(AND(E2442&gt;0,B2442=10),1,0)</f>
        <v>0</v>
      </c>
      <c r="Z2442" s="0" t="str">
        <f aca="false">IF(AND(C2441=C2442,W2441=W2442-1),X2441,"")</f>
        <v/>
      </c>
      <c r="AA2442" s="0" t="str">
        <f aca="false">IF(AND(C2441=C2442,W2441=W2442-1),Y2441,"")</f>
        <v/>
      </c>
      <c r="AB2442" s="0" t="str">
        <f aca="false">IF(W2442=1,"",IF(AND(X2442=1,Z2442&lt;&gt;1),1,0))</f>
        <v/>
      </c>
      <c r="AC2442" s="0" t="str">
        <f aca="false">IF(W2442=1,"",IF(AND(Y2442=1,AA2442&lt;&gt;1),1,0))</f>
        <v/>
      </c>
      <c r="AD2442" s="33" t="str">
        <f aca="false">IF(AND(E2442&gt;0,W2442&lt;1,NOT(AND(C2443=C2442,W2443=W2442+1))),INDEX(DATAS,W2442+1),"")</f>
        <v/>
      </c>
      <c r="AE2442" s="33" t="str">
        <f aca="false">IF(AND(Y2442=1,W2442&lt;1),IF(AND(C2443=C2442,W2443=W2442+1),IF(Y2443=1,"",INDEX(DATAS,W2442+1)),INDEX(DATAS,W2442+1)),"")</f>
        <v/>
      </c>
    </row>
    <row r="2443" customFormat="false" ht="15" hidden="false" customHeight="false" outlineLevel="0" collapsed="false">
      <c r="A2443" s="33" t="n">
        <v>46309</v>
      </c>
      <c r="B2443" s="0" t="n">
        <v>11</v>
      </c>
      <c r="C2443" s="0" t="n">
        <v>6758</v>
      </c>
      <c r="E2443" s="0" t="n">
        <v>0</v>
      </c>
      <c r="F2443" s="27" t="s">
        <v>1272</v>
      </c>
      <c r="I2443" s="27" t="s">
        <v>168</v>
      </c>
      <c r="U2443" s="0" t="n">
        <v>452</v>
      </c>
      <c r="V2443" s="0" t="n">
        <v>2</v>
      </c>
      <c r="W2443" s="27" t="n">
        <f aca="false">MATCH(A2443,DATAS,0)</f>
        <v>1</v>
      </c>
      <c r="X2443" s="27" t="n">
        <f aca="false">IF(AND(E2443&gt;0,OR(AND(B2443&gt;=1,B2443&lt;=6),B2443=10)),1,0)</f>
        <v>0</v>
      </c>
      <c r="Y2443" s="27" t="n">
        <f aca="false">IF(AND(E2443&gt;0,B2443=10),1,0)</f>
        <v>0</v>
      </c>
      <c r="Z2443" s="0" t="str">
        <f aca="false">IF(AND(C2442=C2443,W2442=W2443-1),X2442,"")</f>
        <v/>
      </c>
      <c r="AA2443" s="0" t="str">
        <f aca="false">IF(AND(C2442=C2443,W2442=W2443-1),Y2442,"")</f>
        <v/>
      </c>
      <c r="AB2443" s="0" t="str">
        <f aca="false">IF(W2443=1,"",IF(AND(X2443=1,Z2443&lt;&gt;1),1,0))</f>
        <v/>
      </c>
      <c r="AC2443" s="0" t="str">
        <f aca="false">IF(W2443=1,"",IF(AND(Y2443=1,AA2443&lt;&gt;1),1,0))</f>
        <v/>
      </c>
      <c r="AD2443" s="33" t="str">
        <f aca="false">IF(AND(E2443&gt;0,W2443&lt;1,NOT(AND(C2444=C2443,W2444=W2443+1))),INDEX(DATAS,W2443+1),"")</f>
        <v/>
      </c>
      <c r="AE2443" s="33" t="str">
        <f aca="false">IF(AND(Y2443=1,W2443&lt;1),IF(AND(C2444=C2443,W2444=W2443+1),IF(Y2444=1,"",INDEX(DATAS,W2443+1)),INDEX(DATAS,W2443+1)),"")</f>
        <v/>
      </c>
    </row>
    <row r="2444" customFormat="false" ht="15" hidden="false" customHeight="false" outlineLevel="0" collapsed="false">
      <c r="A2444" s="33" t="n">
        <v>46309</v>
      </c>
      <c r="B2444" s="0" t="n">
        <v>11</v>
      </c>
      <c r="C2444" s="0" t="n">
        <v>6759</v>
      </c>
      <c r="E2444" s="0" t="n">
        <v>0</v>
      </c>
      <c r="F2444" s="27" t="s">
        <v>1272</v>
      </c>
      <c r="I2444" s="27" t="s">
        <v>168</v>
      </c>
      <c r="U2444" s="0" t="n">
        <v>452</v>
      </c>
      <c r="V2444" s="0" t="n">
        <v>2</v>
      </c>
      <c r="W2444" s="27" t="n">
        <f aca="false">MATCH(A2444,DATAS,0)</f>
        <v>1</v>
      </c>
      <c r="X2444" s="27" t="n">
        <f aca="false">IF(AND(E2444&gt;0,OR(AND(B2444&gt;=1,B2444&lt;=6),B2444=10)),1,0)</f>
        <v>0</v>
      </c>
      <c r="Y2444" s="27" t="n">
        <f aca="false">IF(AND(E2444&gt;0,B2444=10),1,0)</f>
        <v>0</v>
      </c>
      <c r="Z2444" s="0" t="str">
        <f aca="false">IF(AND(C2443=C2444,W2443=W2444-1),X2443,"")</f>
        <v/>
      </c>
      <c r="AA2444" s="0" t="str">
        <f aca="false">IF(AND(C2443=C2444,W2443=W2444-1),Y2443,"")</f>
        <v/>
      </c>
      <c r="AB2444" s="0" t="str">
        <f aca="false">IF(W2444=1,"",IF(AND(X2444=1,Z2444&lt;&gt;1),1,0))</f>
        <v/>
      </c>
      <c r="AC2444" s="0" t="str">
        <f aca="false">IF(W2444=1,"",IF(AND(Y2444=1,AA2444&lt;&gt;1),1,0))</f>
        <v/>
      </c>
      <c r="AD2444" s="33" t="str">
        <f aca="false">IF(AND(E2444&gt;0,W2444&lt;1,NOT(AND(C2445=C2444,W2445=W2444+1))),INDEX(DATAS,W2444+1),"")</f>
        <v/>
      </c>
      <c r="AE2444" s="33" t="str">
        <f aca="false">IF(AND(Y2444=1,W2444&lt;1),IF(AND(C2445=C2444,W2445=W2444+1),IF(Y2445=1,"",INDEX(DATAS,W2444+1)),INDEX(DATAS,W2444+1)),"")</f>
        <v/>
      </c>
    </row>
    <row r="2445" customFormat="false" ht="15" hidden="false" customHeight="false" outlineLevel="0" collapsed="false">
      <c r="A2445" s="33" t="n">
        <v>46309</v>
      </c>
      <c r="B2445" s="0" t="n">
        <v>8</v>
      </c>
      <c r="C2445" s="0" t="n">
        <v>6760</v>
      </c>
      <c r="E2445" s="0" t="n">
        <v>0</v>
      </c>
      <c r="F2445" s="27" t="s">
        <v>1272</v>
      </c>
      <c r="I2445" s="27" t="s">
        <v>138</v>
      </c>
      <c r="L2445" s="0" t="n">
        <v>57</v>
      </c>
      <c r="U2445" s="0" t="n">
        <v>452</v>
      </c>
      <c r="V2445" s="0" t="n">
        <v>1</v>
      </c>
      <c r="W2445" s="27" t="n">
        <f aca="false">MATCH(A2445,DATAS,0)</f>
        <v>1</v>
      </c>
      <c r="X2445" s="27" t="n">
        <f aca="false">IF(AND(E2445&gt;0,OR(AND(B2445&gt;=1,B2445&lt;=6),B2445=10)),1,0)</f>
        <v>0</v>
      </c>
      <c r="Y2445" s="27" t="n">
        <f aca="false">IF(AND(E2445&gt;0,B2445=10),1,0)</f>
        <v>0</v>
      </c>
      <c r="Z2445" s="0" t="str">
        <f aca="false">IF(AND(C2444=C2445,W2444=W2445-1),X2444,"")</f>
        <v/>
      </c>
      <c r="AA2445" s="0" t="str">
        <f aca="false">IF(AND(C2444=C2445,W2444=W2445-1),Y2444,"")</f>
        <v/>
      </c>
      <c r="AB2445" s="0" t="str">
        <f aca="false">IF(W2445=1,"",IF(AND(X2445=1,Z2445&lt;&gt;1),1,0))</f>
        <v/>
      </c>
      <c r="AC2445" s="0" t="str">
        <f aca="false">IF(W2445=1,"",IF(AND(Y2445=1,AA2445&lt;&gt;1),1,0))</f>
        <v/>
      </c>
      <c r="AD2445" s="33" t="str">
        <f aca="false">IF(AND(E2445&gt;0,W2445&lt;1,NOT(AND(C2446=C2445,W2446=W2445+1))),INDEX(DATAS,W2445+1),"")</f>
        <v/>
      </c>
      <c r="AE2445" s="33" t="str">
        <f aca="false">IF(AND(Y2445=1,W2445&lt;1),IF(AND(C2446=C2445,W2446=W2445+1),IF(Y2446=1,"",INDEX(DATAS,W2445+1)),INDEX(DATAS,W2445+1)),"")</f>
        <v/>
      </c>
    </row>
    <row r="2446" customFormat="false" ht="15" hidden="false" customHeight="false" outlineLevel="0" collapsed="false">
      <c r="A2446" s="33" t="n">
        <v>46309</v>
      </c>
      <c r="B2446" s="0" t="n">
        <v>8</v>
      </c>
      <c r="C2446" s="0" t="n">
        <v>6761</v>
      </c>
      <c r="E2446" s="0" t="n">
        <v>0</v>
      </c>
      <c r="F2446" s="27" t="s">
        <v>1272</v>
      </c>
      <c r="I2446" s="27" t="s">
        <v>138</v>
      </c>
      <c r="L2446" s="0" t="n">
        <v>50</v>
      </c>
      <c r="U2446" s="0" t="n">
        <v>452</v>
      </c>
      <c r="V2446" s="0" t="n">
        <v>1</v>
      </c>
      <c r="W2446" s="27" t="n">
        <f aca="false">MATCH(A2446,DATAS,0)</f>
        <v>1</v>
      </c>
      <c r="X2446" s="27" t="n">
        <f aca="false">IF(AND(E2446&gt;0,OR(AND(B2446&gt;=1,B2446&lt;=6),B2446=10)),1,0)</f>
        <v>0</v>
      </c>
      <c r="Y2446" s="27" t="n">
        <f aca="false">IF(AND(E2446&gt;0,B2446=10),1,0)</f>
        <v>0</v>
      </c>
      <c r="Z2446" s="0" t="str">
        <f aca="false">IF(AND(C2445=C2446,W2445=W2446-1),X2445,"")</f>
        <v/>
      </c>
      <c r="AA2446" s="0" t="str">
        <f aca="false">IF(AND(C2445=C2446,W2445=W2446-1),Y2445,"")</f>
        <v/>
      </c>
      <c r="AB2446" s="0" t="str">
        <f aca="false">IF(W2446=1,"",IF(AND(X2446=1,Z2446&lt;&gt;1),1,0))</f>
        <v/>
      </c>
      <c r="AC2446" s="0" t="str">
        <f aca="false">IF(W2446=1,"",IF(AND(Y2446=1,AA2446&lt;&gt;1),1,0))</f>
        <v/>
      </c>
      <c r="AD2446" s="33" t="str">
        <f aca="false">IF(AND(E2446&gt;0,W2446&lt;1,NOT(AND(C2447=C2446,W2447=W2446+1))),INDEX(DATAS,W2446+1),"")</f>
        <v/>
      </c>
      <c r="AE2446" s="33" t="str">
        <f aca="false">IF(AND(Y2446=1,W2446&lt;1),IF(AND(C2447=C2446,W2447=W2446+1),IF(Y2447=1,"",INDEX(DATAS,W2446+1)),INDEX(DATAS,W2446+1)),"")</f>
        <v/>
      </c>
    </row>
    <row r="2447" customFormat="false" ht="15" hidden="false" customHeight="false" outlineLevel="0" collapsed="false">
      <c r="A2447" s="33" t="n">
        <v>46309</v>
      </c>
      <c r="B2447" s="0" t="n">
        <v>11</v>
      </c>
      <c r="C2447" s="0" t="n">
        <v>6763</v>
      </c>
      <c r="E2447" s="0" t="n">
        <v>0</v>
      </c>
      <c r="F2447" s="27" t="s">
        <v>1273</v>
      </c>
      <c r="I2447" s="27" t="s">
        <v>168</v>
      </c>
      <c r="U2447" s="0" t="n">
        <v>450</v>
      </c>
      <c r="V2447" s="0" t="n">
        <v>3</v>
      </c>
      <c r="W2447" s="27" t="n">
        <f aca="false">MATCH(A2447,DATAS,0)</f>
        <v>1</v>
      </c>
      <c r="X2447" s="27" t="n">
        <f aca="false">IF(AND(E2447&gt;0,OR(AND(B2447&gt;=1,B2447&lt;=6),B2447=10)),1,0)</f>
        <v>0</v>
      </c>
      <c r="Y2447" s="27" t="n">
        <f aca="false">IF(AND(E2447&gt;0,B2447=10),1,0)</f>
        <v>0</v>
      </c>
      <c r="Z2447" s="0" t="str">
        <f aca="false">IF(AND(C2446=C2447,W2446=W2447-1),X2446,"")</f>
        <v/>
      </c>
      <c r="AA2447" s="0" t="str">
        <f aca="false">IF(AND(C2446=C2447,W2446=W2447-1),Y2446,"")</f>
        <v/>
      </c>
      <c r="AB2447" s="0" t="str">
        <f aca="false">IF(W2447=1,"",IF(AND(X2447=1,Z2447&lt;&gt;1),1,0))</f>
        <v/>
      </c>
      <c r="AC2447" s="0" t="str">
        <f aca="false">IF(W2447=1,"",IF(AND(Y2447=1,AA2447&lt;&gt;1),1,0))</f>
        <v/>
      </c>
      <c r="AD2447" s="33" t="str">
        <f aca="false">IF(AND(E2447&gt;0,W2447&lt;1,NOT(AND(C2448=C2447,W2448=W2447+1))),INDEX(DATAS,W2447+1),"")</f>
        <v/>
      </c>
      <c r="AE2447" s="33" t="str">
        <f aca="false">IF(AND(Y2447=1,W2447&lt;1),IF(AND(C2448=C2447,W2448=W2447+1),IF(Y2448=1,"",INDEX(DATAS,W2447+1)),INDEX(DATAS,W2447+1)),"")</f>
        <v/>
      </c>
    </row>
    <row r="2448" customFormat="false" ht="15" hidden="false" customHeight="false" outlineLevel="0" collapsed="false">
      <c r="A2448" s="33" t="n">
        <v>46309</v>
      </c>
      <c r="B2448" s="0" t="n">
        <v>8</v>
      </c>
      <c r="C2448" s="0" t="n">
        <v>6764</v>
      </c>
      <c r="E2448" s="0" t="n">
        <v>0</v>
      </c>
      <c r="F2448" s="27" t="s">
        <v>1273</v>
      </c>
      <c r="I2448" s="27" t="s">
        <v>138</v>
      </c>
      <c r="L2448" s="0" t="n">
        <v>57</v>
      </c>
      <c r="U2448" s="0" t="n">
        <v>450</v>
      </c>
      <c r="V2448" s="0" t="n">
        <v>1</v>
      </c>
      <c r="W2448" s="27" t="n">
        <f aca="false">MATCH(A2448,DATAS,0)</f>
        <v>1</v>
      </c>
      <c r="X2448" s="27" t="n">
        <f aca="false">IF(AND(E2448&gt;0,OR(AND(B2448&gt;=1,B2448&lt;=6),B2448=10)),1,0)</f>
        <v>0</v>
      </c>
      <c r="Y2448" s="27" t="n">
        <f aca="false">IF(AND(E2448&gt;0,B2448=10),1,0)</f>
        <v>0</v>
      </c>
      <c r="Z2448" s="0" t="str">
        <f aca="false">IF(AND(C2447=C2448,W2447=W2448-1),X2447,"")</f>
        <v/>
      </c>
      <c r="AA2448" s="0" t="str">
        <f aca="false">IF(AND(C2447=C2448,W2447=W2448-1),Y2447,"")</f>
        <v/>
      </c>
      <c r="AB2448" s="0" t="str">
        <f aca="false">IF(W2448=1,"",IF(AND(X2448=1,Z2448&lt;&gt;1),1,0))</f>
        <v/>
      </c>
      <c r="AC2448" s="0" t="str">
        <f aca="false">IF(W2448=1,"",IF(AND(Y2448=1,AA2448&lt;&gt;1),1,0))</f>
        <v/>
      </c>
      <c r="AD2448" s="33" t="str">
        <f aca="false">IF(AND(E2448&gt;0,W2448&lt;1,NOT(AND(C2449=C2448,W2449=W2448+1))),INDEX(DATAS,W2448+1),"")</f>
        <v/>
      </c>
      <c r="AE2448" s="33" t="str">
        <f aca="false">IF(AND(Y2448=1,W2448&lt;1),IF(AND(C2449=C2448,W2449=W2448+1),IF(Y2449=1,"",INDEX(DATAS,W2448+1)),INDEX(DATAS,W2448+1)),"")</f>
        <v/>
      </c>
    </row>
    <row r="2449" customFormat="false" ht="15" hidden="false" customHeight="false" outlineLevel="0" collapsed="false">
      <c r="A2449" s="33" t="n">
        <v>46309</v>
      </c>
      <c r="B2449" s="0" t="n">
        <v>8</v>
      </c>
      <c r="C2449" s="0" t="n">
        <v>6765</v>
      </c>
      <c r="E2449" s="0" t="n">
        <v>0</v>
      </c>
      <c r="F2449" s="27" t="s">
        <v>1274</v>
      </c>
      <c r="I2449" s="27" t="s">
        <v>138</v>
      </c>
      <c r="L2449" s="0" t="n">
        <v>37</v>
      </c>
      <c r="U2449" s="0" t="n">
        <v>448</v>
      </c>
      <c r="V2449" s="0" t="n">
        <v>2</v>
      </c>
      <c r="W2449" s="27" t="n">
        <f aca="false">MATCH(A2449,DATAS,0)</f>
        <v>1</v>
      </c>
      <c r="X2449" s="27" t="n">
        <f aca="false">IF(AND(E2449&gt;0,OR(AND(B2449&gt;=1,B2449&lt;=6),B2449=10)),1,0)</f>
        <v>0</v>
      </c>
      <c r="Y2449" s="27" t="n">
        <f aca="false">IF(AND(E2449&gt;0,B2449=10),1,0)</f>
        <v>0</v>
      </c>
      <c r="Z2449" s="0" t="str">
        <f aca="false">IF(AND(C2448=C2449,W2448=W2449-1),X2448,"")</f>
        <v/>
      </c>
      <c r="AA2449" s="0" t="str">
        <f aca="false">IF(AND(C2448=C2449,W2448=W2449-1),Y2448,"")</f>
        <v/>
      </c>
      <c r="AB2449" s="0" t="str">
        <f aca="false">IF(W2449=1,"",IF(AND(X2449=1,Z2449&lt;&gt;1),1,0))</f>
        <v/>
      </c>
      <c r="AC2449" s="0" t="str">
        <f aca="false">IF(W2449=1,"",IF(AND(Y2449=1,AA2449&lt;&gt;1),1,0))</f>
        <v/>
      </c>
      <c r="AD2449" s="33" t="str">
        <f aca="false">IF(AND(E2449&gt;0,W2449&lt;1,NOT(AND(C2450=C2449,W2450=W2449+1))),INDEX(DATAS,W2449+1),"")</f>
        <v/>
      </c>
      <c r="AE2449" s="33" t="str">
        <f aca="false">IF(AND(Y2449=1,W2449&lt;1),IF(AND(C2450=C2449,W2450=W2449+1),IF(Y2450=1,"",INDEX(DATAS,W2449+1)),INDEX(DATAS,W2449+1)),"")</f>
        <v/>
      </c>
    </row>
    <row r="2450" customFormat="false" ht="15" hidden="false" customHeight="false" outlineLevel="0" collapsed="false">
      <c r="A2450" s="33" t="n">
        <v>46309</v>
      </c>
      <c r="B2450" s="0" t="n">
        <v>11</v>
      </c>
      <c r="C2450" s="0" t="n">
        <v>6767</v>
      </c>
      <c r="E2450" s="0" t="n">
        <v>0</v>
      </c>
      <c r="F2450" s="27" t="s">
        <v>1274</v>
      </c>
      <c r="I2450" s="27" t="s">
        <v>168</v>
      </c>
      <c r="U2450" s="0" t="n">
        <v>448</v>
      </c>
      <c r="V2450" s="0" t="n">
        <v>3</v>
      </c>
      <c r="W2450" s="27" t="n">
        <f aca="false">MATCH(A2450,DATAS,0)</f>
        <v>1</v>
      </c>
      <c r="X2450" s="27" t="n">
        <f aca="false">IF(AND(E2450&gt;0,OR(AND(B2450&gt;=1,B2450&lt;=6),B2450=10)),1,0)</f>
        <v>0</v>
      </c>
      <c r="Y2450" s="27" t="n">
        <f aca="false">IF(AND(E2450&gt;0,B2450=10),1,0)</f>
        <v>0</v>
      </c>
      <c r="Z2450" s="0" t="str">
        <f aca="false">IF(AND(C2449=C2450,W2449=W2450-1),X2449,"")</f>
        <v/>
      </c>
      <c r="AA2450" s="0" t="str">
        <f aca="false">IF(AND(C2449=C2450,W2449=W2450-1),Y2449,"")</f>
        <v/>
      </c>
      <c r="AB2450" s="0" t="str">
        <f aca="false">IF(W2450=1,"",IF(AND(X2450=1,Z2450&lt;&gt;1),1,0))</f>
        <v/>
      </c>
      <c r="AC2450" s="0" t="str">
        <f aca="false">IF(W2450=1,"",IF(AND(Y2450=1,AA2450&lt;&gt;1),1,0))</f>
        <v/>
      </c>
      <c r="AD2450" s="33" t="str">
        <f aca="false">IF(AND(E2450&gt;0,W2450&lt;1,NOT(AND(C2451=C2450,W2451=W2450+1))),INDEX(DATAS,W2450+1),"")</f>
        <v/>
      </c>
      <c r="AE2450" s="33" t="str">
        <f aca="false">IF(AND(Y2450=1,W2450&lt;1),IF(AND(C2451=C2450,W2451=W2450+1),IF(Y2451=1,"",INDEX(DATAS,W2450+1)),INDEX(DATAS,W2450+1)),"")</f>
        <v/>
      </c>
    </row>
    <row r="2451" customFormat="false" ht="15" hidden="false" customHeight="false" outlineLevel="0" collapsed="false">
      <c r="A2451" s="33" t="n">
        <v>46309</v>
      </c>
      <c r="B2451" s="0" t="n">
        <v>8</v>
      </c>
      <c r="C2451" s="0" t="n">
        <v>6768</v>
      </c>
      <c r="E2451" s="0" t="n">
        <v>0</v>
      </c>
      <c r="F2451" s="27" t="s">
        <v>1274</v>
      </c>
      <c r="I2451" s="27" t="s">
        <v>138</v>
      </c>
      <c r="L2451" s="0" t="n">
        <v>27</v>
      </c>
      <c r="U2451" s="0" t="n">
        <v>448</v>
      </c>
      <c r="V2451" s="0" t="n">
        <v>2</v>
      </c>
      <c r="W2451" s="27" t="n">
        <f aca="false">MATCH(A2451,DATAS,0)</f>
        <v>1</v>
      </c>
      <c r="X2451" s="27" t="n">
        <f aca="false">IF(AND(E2451&gt;0,OR(AND(B2451&gt;=1,B2451&lt;=6),B2451=10)),1,0)</f>
        <v>0</v>
      </c>
      <c r="Y2451" s="27" t="n">
        <f aca="false">IF(AND(E2451&gt;0,B2451=10),1,0)</f>
        <v>0</v>
      </c>
      <c r="Z2451" s="0" t="str">
        <f aca="false">IF(AND(C2450=C2451,W2450=W2451-1),X2450,"")</f>
        <v/>
      </c>
      <c r="AA2451" s="0" t="str">
        <f aca="false">IF(AND(C2450=C2451,W2450=W2451-1),Y2450,"")</f>
        <v/>
      </c>
      <c r="AB2451" s="0" t="str">
        <f aca="false">IF(W2451=1,"",IF(AND(X2451=1,Z2451&lt;&gt;1),1,0))</f>
        <v/>
      </c>
      <c r="AC2451" s="0" t="str">
        <f aca="false">IF(W2451=1,"",IF(AND(Y2451=1,AA2451&lt;&gt;1),1,0))</f>
        <v/>
      </c>
      <c r="AD2451" s="33" t="str">
        <f aca="false">IF(AND(E2451&gt;0,W2451&lt;1,NOT(AND(C2452=C2451,W2452=W2451+1))),INDEX(DATAS,W2451+1),"")</f>
        <v/>
      </c>
      <c r="AE2451" s="33" t="str">
        <f aca="false">IF(AND(Y2451=1,W2451&lt;1),IF(AND(C2452=C2451,W2452=W2451+1),IF(Y2452=1,"",INDEX(DATAS,W2451+1)),INDEX(DATAS,W2451+1)),"")</f>
        <v/>
      </c>
    </row>
    <row r="2452" customFormat="false" ht="15" hidden="false" customHeight="false" outlineLevel="0" collapsed="false">
      <c r="A2452" s="33" t="n">
        <v>46309</v>
      </c>
      <c r="B2452" s="0" t="n">
        <v>8</v>
      </c>
      <c r="C2452" s="0" t="n">
        <v>6770</v>
      </c>
      <c r="E2452" s="0" t="n">
        <v>0</v>
      </c>
      <c r="F2452" s="27" t="s">
        <v>1275</v>
      </c>
      <c r="I2452" s="27" t="s">
        <v>138</v>
      </c>
      <c r="L2452" s="0" t="n">
        <v>28</v>
      </c>
      <c r="U2452" s="0" t="n">
        <v>446</v>
      </c>
      <c r="V2452" s="0" t="n">
        <v>1</v>
      </c>
      <c r="W2452" s="27" t="n">
        <f aca="false">MATCH(A2452,DATAS,0)</f>
        <v>1</v>
      </c>
      <c r="X2452" s="27" t="n">
        <f aca="false">IF(AND(E2452&gt;0,OR(AND(B2452&gt;=1,B2452&lt;=6),B2452=10)),1,0)</f>
        <v>0</v>
      </c>
      <c r="Y2452" s="27" t="n">
        <f aca="false">IF(AND(E2452&gt;0,B2452=10),1,0)</f>
        <v>0</v>
      </c>
      <c r="Z2452" s="0" t="str">
        <f aca="false">IF(AND(C2451=C2452,W2451=W2452-1),X2451,"")</f>
        <v/>
      </c>
      <c r="AA2452" s="0" t="str">
        <f aca="false">IF(AND(C2451=C2452,W2451=W2452-1),Y2451,"")</f>
        <v/>
      </c>
      <c r="AB2452" s="0" t="str">
        <f aca="false">IF(W2452=1,"",IF(AND(X2452=1,Z2452&lt;&gt;1),1,0))</f>
        <v/>
      </c>
      <c r="AC2452" s="0" t="str">
        <f aca="false">IF(W2452=1,"",IF(AND(Y2452=1,AA2452&lt;&gt;1),1,0))</f>
        <v/>
      </c>
      <c r="AD2452" s="33" t="str">
        <f aca="false">IF(AND(E2452&gt;0,W2452&lt;1,NOT(AND(C2453=C2452,W2453=W2452+1))),INDEX(DATAS,W2452+1),"")</f>
        <v/>
      </c>
      <c r="AE2452" s="33" t="str">
        <f aca="false">IF(AND(Y2452=1,W2452&lt;1),IF(AND(C2453=C2452,W2453=W2452+1),IF(Y2453=1,"",INDEX(DATAS,W2452+1)),INDEX(DATAS,W2452+1)),"")</f>
        <v/>
      </c>
    </row>
    <row r="2453" customFormat="false" ht="15" hidden="false" customHeight="false" outlineLevel="0" collapsed="false">
      <c r="A2453" s="33" t="n">
        <v>46309</v>
      </c>
      <c r="B2453" s="0" t="n">
        <v>8</v>
      </c>
      <c r="C2453" s="0" t="n">
        <v>6771</v>
      </c>
      <c r="E2453" s="0" t="n">
        <v>0</v>
      </c>
      <c r="F2453" s="27" t="s">
        <v>1275</v>
      </c>
      <c r="I2453" s="27" t="s">
        <v>138</v>
      </c>
      <c r="L2453" s="0" t="n">
        <v>42</v>
      </c>
      <c r="U2453" s="0" t="n">
        <v>446</v>
      </c>
      <c r="V2453" s="0" t="n">
        <v>1</v>
      </c>
      <c r="W2453" s="27" t="n">
        <f aca="false">MATCH(A2453,DATAS,0)</f>
        <v>1</v>
      </c>
      <c r="X2453" s="27" t="n">
        <f aca="false">IF(AND(E2453&gt;0,OR(AND(B2453&gt;=1,B2453&lt;=6),B2453=10)),1,0)</f>
        <v>0</v>
      </c>
      <c r="Y2453" s="27" t="n">
        <f aca="false">IF(AND(E2453&gt;0,B2453=10),1,0)</f>
        <v>0</v>
      </c>
      <c r="Z2453" s="0" t="str">
        <f aca="false">IF(AND(C2452=C2453,W2452=W2453-1),X2452,"")</f>
        <v/>
      </c>
      <c r="AA2453" s="0" t="str">
        <f aca="false">IF(AND(C2452=C2453,W2452=W2453-1),Y2452,"")</f>
        <v/>
      </c>
      <c r="AB2453" s="0" t="str">
        <f aca="false">IF(W2453=1,"",IF(AND(X2453=1,Z2453&lt;&gt;1),1,0))</f>
        <v/>
      </c>
      <c r="AC2453" s="0" t="str">
        <f aca="false">IF(W2453=1,"",IF(AND(Y2453=1,AA2453&lt;&gt;1),1,0))</f>
        <v/>
      </c>
      <c r="AD2453" s="33" t="str">
        <f aca="false">IF(AND(E2453&gt;0,W2453&lt;1,NOT(AND(C2454=C2453,W2454=W2453+1))),INDEX(DATAS,W2453+1),"")</f>
        <v/>
      </c>
      <c r="AE2453" s="33" t="str">
        <f aca="false">IF(AND(Y2453=1,W2453&lt;1),IF(AND(C2454=C2453,W2454=W2453+1),IF(Y2454=1,"",INDEX(DATAS,W2453+1)),INDEX(DATAS,W2453+1)),"")</f>
        <v/>
      </c>
    </row>
    <row r="2454" customFormat="false" ht="15" hidden="false" customHeight="false" outlineLevel="0" collapsed="false">
      <c r="A2454" s="33" t="n">
        <v>46309</v>
      </c>
      <c r="B2454" s="0" t="n">
        <v>11</v>
      </c>
      <c r="C2454" s="0" t="n">
        <v>6772</v>
      </c>
      <c r="E2454" s="0" t="n">
        <v>0</v>
      </c>
      <c r="F2454" s="27" t="s">
        <v>1275</v>
      </c>
      <c r="I2454" s="27" t="s">
        <v>168</v>
      </c>
      <c r="U2454" s="0" t="n">
        <v>446</v>
      </c>
      <c r="V2454" s="0" t="n">
        <v>3</v>
      </c>
      <c r="W2454" s="27" t="n">
        <f aca="false">MATCH(A2454,DATAS,0)</f>
        <v>1</v>
      </c>
      <c r="X2454" s="27" t="n">
        <f aca="false">IF(AND(E2454&gt;0,OR(AND(B2454&gt;=1,B2454&lt;=6),B2454=10)),1,0)</f>
        <v>0</v>
      </c>
      <c r="Y2454" s="27" t="n">
        <f aca="false">IF(AND(E2454&gt;0,B2454=10),1,0)</f>
        <v>0</v>
      </c>
      <c r="Z2454" s="0" t="str">
        <f aca="false">IF(AND(C2453=C2454,W2453=W2454-1),X2453,"")</f>
        <v/>
      </c>
      <c r="AA2454" s="0" t="str">
        <f aca="false">IF(AND(C2453=C2454,W2453=W2454-1),Y2453,"")</f>
        <v/>
      </c>
      <c r="AB2454" s="0" t="str">
        <f aca="false">IF(W2454=1,"",IF(AND(X2454=1,Z2454&lt;&gt;1),1,0))</f>
        <v/>
      </c>
      <c r="AC2454" s="0" t="str">
        <f aca="false">IF(W2454=1,"",IF(AND(Y2454=1,AA2454&lt;&gt;1),1,0))</f>
        <v/>
      </c>
      <c r="AD2454" s="33" t="str">
        <f aca="false">IF(AND(E2454&gt;0,W2454&lt;1,NOT(AND(C2455=C2454,W2455=W2454+1))),INDEX(DATAS,W2454+1),"")</f>
        <v/>
      </c>
      <c r="AE2454" s="33" t="str">
        <f aca="false">IF(AND(Y2454=1,W2454&lt;1),IF(AND(C2455=C2454,W2455=W2454+1),IF(Y2455=1,"",INDEX(DATAS,W2454+1)),INDEX(DATAS,W2454+1)),"")</f>
        <v/>
      </c>
    </row>
    <row r="2455" customFormat="false" ht="15" hidden="false" customHeight="false" outlineLevel="0" collapsed="false">
      <c r="A2455" s="33" t="n">
        <v>46309</v>
      </c>
      <c r="B2455" s="0" t="n">
        <v>8</v>
      </c>
      <c r="C2455" s="0" t="n">
        <v>6773</v>
      </c>
      <c r="E2455" s="0" t="n">
        <v>0</v>
      </c>
      <c r="F2455" s="27" t="s">
        <v>1275</v>
      </c>
      <c r="I2455" s="27" t="s">
        <v>138</v>
      </c>
      <c r="L2455" s="0" t="n">
        <v>43</v>
      </c>
      <c r="U2455" s="0" t="n">
        <v>446</v>
      </c>
      <c r="V2455" s="0" t="n">
        <v>1</v>
      </c>
      <c r="W2455" s="27" t="n">
        <f aca="false">MATCH(A2455,DATAS,0)</f>
        <v>1</v>
      </c>
      <c r="X2455" s="27" t="n">
        <f aca="false">IF(AND(E2455&gt;0,OR(AND(B2455&gt;=1,B2455&lt;=6),B2455=10)),1,0)</f>
        <v>0</v>
      </c>
      <c r="Y2455" s="27" t="n">
        <f aca="false">IF(AND(E2455&gt;0,B2455=10),1,0)</f>
        <v>0</v>
      </c>
      <c r="Z2455" s="0" t="str">
        <f aca="false">IF(AND(C2454=C2455,W2454=W2455-1),X2454,"")</f>
        <v/>
      </c>
      <c r="AA2455" s="0" t="str">
        <f aca="false">IF(AND(C2454=C2455,W2454=W2455-1),Y2454,"")</f>
        <v/>
      </c>
      <c r="AB2455" s="0" t="str">
        <f aca="false">IF(W2455=1,"",IF(AND(X2455=1,Z2455&lt;&gt;1),1,0))</f>
        <v/>
      </c>
      <c r="AC2455" s="0" t="str">
        <f aca="false">IF(W2455=1,"",IF(AND(Y2455=1,AA2455&lt;&gt;1),1,0))</f>
        <v/>
      </c>
      <c r="AD2455" s="33" t="str">
        <f aca="false">IF(AND(E2455&gt;0,W2455&lt;1,NOT(AND(C2456=C2455,W2456=W2455+1))),INDEX(DATAS,W2455+1),"")</f>
        <v/>
      </c>
      <c r="AE2455" s="33" t="str">
        <f aca="false">IF(AND(Y2455=1,W2455&lt;1),IF(AND(C2456=C2455,W2456=W2455+1),IF(Y2456=1,"",INDEX(DATAS,W2455+1)),INDEX(DATAS,W2455+1)),"")</f>
        <v/>
      </c>
    </row>
    <row r="2456" customFormat="false" ht="15" hidden="false" customHeight="false" outlineLevel="0" collapsed="false">
      <c r="A2456" s="33" t="n">
        <v>46309</v>
      </c>
      <c r="B2456" s="0" t="n">
        <v>8</v>
      </c>
      <c r="C2456" s="0" t="n">
        <v>6774</v>
      </c>
      <c r="E2456" s="0" t="n">
        <v>0</v>
      </c>
      <c r="F2456" s="27" t="s">
        <v>1275</v>
      </c>
      <c r="I2456" s="27" t="s">
        <v>138</v>
      </c>
      <c r="L2456" s="0" t="n">
        <v>42</v>
      </c>
      <c r="U2456" s="0" t="n">
        <v>446</v>
      </c>
      <c r="V2456" s="0" t="n">
        <v>1</v>
      </c>
      <c r="W2456" s="27" t="n">
        <f aca="false">MATCH(A2456,DATAS,0)</f>
        <v>1</v>
      </c>
      <c r="X2456" s="27" t="n">
        <f aca="false">IF(AND(E2456&gt;0,OR(AND(B2456&gt;=1,B2456&lt;=6),B2456=10)),1,0)</f>
        <v>0</v>
      </c>
      <c r="Y2456" s="27" t="n">
        <f aca="false">IF(AND(E2456&gt;0,B2456=10),1,0)</f>
        <v>0</v>
      </c>
      <c r="Z2456" s="0" t="str">
        <f aca="false">IF(AND(C2455=C2456,W2455=W2456-1),X2455,"")</f>
        <v/>
      </c>
      <c r="AA2456" s="0" t="str">
        <f aca="false">IF(AND(C2455=C2456,W2455=W2456-1),Y2455,"")</f>
        <v/>
      </c>
      <c r="AB2456" s="0" t="str">
        <f aca="false">IF(W2456=1,"",IF(AND(X2456=1,Z2456&lt;&gt;1),1,0))</f>
        <v/>
      </c>
      <c r="AC2456" s="0" t="str">
        <f aca="false">IF(W2456=1,"",IF(AND(Y2456=1,AA2456&lt;&gt;1),1,0))</f>
        <v/>
      </c>
      <c r="AD2456" s="33" t="str">
        <f aca="false">IF(AND(E2456&gt;0,W2456&lt;1,NOT(AND(C2457=C2456,W2457=W2456+1))),INDEX(DATAS,W2456+1),"")</f>
        <v/>
      </c>
      <c r="AE2456" s="33" t="str">
        <f aca="false">IF(AND(Y2456=1,W2456&lt;1),IF(AND(C2457=C2456,W2457=W2456+1),IF(Y2457=1,"",INDEX(DATAS,W2456+1)),INDEX(DATAS,W2456+1)),"")</f>
        <v/>
      </c>
    </row>
    <row r="2457" customFormat="false" ht="15" hidden="false" customHeight="false" outlineLevel="0" collapsed="false">
      <c r="A2457" s="33" t="n">
        <v>46309</v>
      </c>
      <c r="B2457" s="0" t="n">
        <v>8</v>
      </c>
      <c r="C2457" s="0" t="n">
        <v>6775</v>
      </c>
      <c r="E2457" s="0" t="n">
        <v>0</v>
      </c>
      <c r="F2457" s="27" t="s">
        <v>1275</v>
      </c>
      <c r="I2457" s="27" t="s">
        <v>138</v>
      </c>
      <c r="L2457" s="0" t="n">
        <v>48</v>
      </c>
      <c r="U2457" s="0" t="n">
        <v>446</v>
      </c>
      <c r="V2457" s="0" t="n">
        <v>1</v>
      </c>
      <c r="W2457" s="27" t="n">
        <f aca="false">MATCH(A2457,DATAS,0)</f>
        <v>1</v>
      </c>
      <c r="X2457" s="27" t="n">
        <f aca="false">IF(AND(E2457&gt;0,OR(AND(B2457&gt;=1,B2457&lt;=6),B2457=10)),1,0)</f>
        <v>0</v>
      </c>
      <c r="Y2457" s="27" t="n">
        <f aca="false">IF(AND(E2457&gt;0,B2457=10),1,0)</f>
        <v>0</v>
      </c>
      <c r="Z2457" s="0" t="str">
        <f aca="false">IF(AND(C2456=C2457,W2456=W2457-1),X2456,"")</f>
        <v/>
      </c>
      <c r="AA2457" s="0" t="str">
        <f aca="false">IF(AND(C2456=C2457,W2456=W2457-1),Y2456,"")</f>
        <v/>
      </c>
      <c r="AB2457" s="0" t="str">
        <f aca="false">IF(W2457=1,"",IF(AND(X2457=1,Z2457&lt;&gt;1),1,0))</f>
        <v/>
      </c>
      <c r="AC2457" s="0" t="str">
        <f aca="false">IF(W2457=1,"",IF(AND(Y2457=1,AA2457&lt;&gt;1),1,0))</f>
        <v/>
      </c>
      <c r="AD2457" s="33" t="str">
        <f aca="false">IF(AND(E2457&gt;0,W2457&lt;1,NOT(AND(C2458=C2457,W2458=W2457+1))),INDEX(DATAS,W2457+1),"")</f>
        <v/>
      </c>
      <c r="AE2457" s="33" t="str">
        <f aca="false">IF(AND(Y2457=1,W2457&lt;1),IF(AND(C2458=C2457,W2458=W2457+1),IF(Y2458=1,"",INDEX(DATAS,W2457+1)),INDEX(DATAS,W2457+1)),"")</f>
        <v/>
      </c>
    </row>
    <row r="2458" customFormat="false" ht="15" hidden="false" customHeight="false" outlineLevel="0" collapsed="false">
      <c r="A2458" s="33" t="n">
        <v>46309</v>
      </c>
      <c r="B2458" s="0" t="n">
        <v>11</v>
      </c>
      <c r="C2458" s="0" t="n">
        <v>6776</v>
      </c>
      <c r="E2458" s="0" t="n">
        <v>0</v>
      </c>
      <c r="F2458" s="27" t="s">
        <v>1275</v>
      </c>
      <c r="I2458" s="27" t="s">
        <v>168</v>
      </c>
      <c r="U2458" s="0" t="n">
        <v>446</v>
      </c>
      <c r="V2458" s="0" t="n">
        <v>3</v>
      </c>
      <c r="W2458" s="27" t="n">
        <f aca="false">MATCH(A2458,DATAS,0)</f>
        <v>1</v>
      </c>
      <c r="X2458" s="27" t="n">
        <f aca="false">IF(AND(E2458&gt;0,OR(AND(B2458&gt;=1,B2458&lt;=6),B2458=10)),1,0)</f>
        <v>0</v>
      </c>
      <c r="Y2458" s="27" t="n">
        <f aca="false">IF(AND(E2458&gt;0,B2458=10),1,0)</f>
        <v>0</v>
      </c>
      <c r="Z2458" s="0" t="str">
        <f aca="false">IF(AND(C2457=C2458,W2457=W2458-1),X2457,"")</f>
        <v/>
      </c>
      <c r="AA2458" s="0" t="str">
        <f aca="false">IF(AND(C2457=C2458,W2457=W2458-1),Y2457,"")</f>
        <v/>
      </c>
      <c r="AB2458" s="0" t="str">
        <f aca="false">IF(W2458=1,"",IF(AND(X2458=1,Z2458&lt;&gt;1),1,0))</f>
        <v/>
      </c>
      <c r="AC2458" s="0" t="str">
        <f aca="false">IF(W2458=1,"",IF(AND(Y2458=1,AA2458&lt;&gt;1),1,0))</f>
        <v/>
      </c>
      <c r="AD2458" s="33" t="str">
        <f aca="false">IF(AND(E2458&gt;0,W2458&lt;1,NOT(AND(C2459=C2458,W2459=W2458+1))),INDEX(DATAS,W2458+1),"")</f>
        <v/>
      </c>
      <c r="AE2458" s="33" t="str">
        <f aca="false">IF(AND(Y2458=1,W2458&lt;1),IF(AND(C2459=C2458,W2459=W2458+1),IF(Y2459=1,"",INDEX(DATAS,W2458+1)),INDEX(DATAS,W2458+1)),"")</f>
        <v/>
      </c>
    </row>
    <row r="2459" customFormat="false" ht="15" hidden="false" customHeight="false" outlineLevel="0" collapsed="false">
      <c r="A2459" s="33" t="n">
        <v>46309</v>
      </c>
      <c r="B2459" s="0" t="n">
        <v>11</v>
      </c>
      <c r="C2459" s="0" t="n">
        <v>6777</v>
      </c>
      <c r="E2459" s="0" t="n">
        <v>0</v>
      </c>
      <c r="F2459" s="27" t="s">
        <v>1276</v>
      </c>
      <c r="I2459" s="27" t="s">
        <v>168</v>
      </c>
      <c r="U2459" s="0" t="n">
        <v>445</v>
      </c>
      <c r="V2459" s="0" t="n">
        <v>2</v>
      </c>
      <c r="W2459" s="27" t="n">
        <f aca="false">MATCH(A2459,DATAS,0)</f>
        <v>1</v>
      </c>
      <c r="X2459" s="27" t="n">
        <f aca="false">IF(AND(E2459&gt;0,OR(AND(B2459&gt;=1,B2459&lt;=6),B2459=10)),1,0)</f>
        <v>0</v>
      </c>
      <c r="Y2459" s="27" t="n">
        <f aca="false">IF(AND(E2459&gt;0,B2459=10),1,0)</f>
        <v>0</v>
      </c>
      <c r="Z2459" s="0" t="str">
        <f aca="false">IF(AND(C2458=C2459,W2458=W2459-1),X2458,"")</f>
        <v/>
      </c>
      <c r="AA2459" s="0" t="str">
        <f aca="false">IF(AND(C2458=C2459,W2458=W2459-1),Y2458,"")</f>
        <v/>
      </c>
      <c r="AB2459" s="0" t="str">
        <f aca="false">IF(W2459=1,"",IF(AND(X2459=1,Z2459&lt;&gt;1),1,0))</f>
        <v/>
      </c>
      <c r="AC2459" s="0" t="str">
        <f aca="false">IF(W2459=1,"",IF(AND(Y2459=1,AA2459&lt;&gt;1),1,0))</f>
        <v/>
      </c>
      <c r="AD2459" s="33" t="str">
        <f aca="false">IF(AND(E2459&gt;0,W2459&lt;1,NOT(AND(C2460=C2459,W2460=W2459+1))),INDEX(DATAS,W2459+1),"")</f>
        <v/>
      </c>
      <c r="AE2459" s="33" t="str">
        <f aca="false">IF(AND(Y2459=1,W2459&lt;1),IF(AND(C2460=C2459,W2460=W2459+1),IF(Y2460=1,"",INDEX(DATAS,W2459+1)),INDEX(DATAS,W2459+1)),"")</f>
        <v/>
      </c>
    </row>
    <row r="2460" customFormat="false" ht="15" hidden="false" customHeight="false" outlineLevel="0" collapsed="false">
      <c r="A2460" s="33" t="n">
        <v>46309</v>
      </c>
      <c r="B2460" s="0" t="n">
        <v>8</v>
      </c>
      <c r="C2460" s="0" t="n">
        <v>6778</v>
      </c>
      <c r="E2460" s="0" t="n">
        <v>0</v>
      </c>
      <c r="F2460" s="27" t="s">
        <v>1276</v>
      </c>
      <c r="I2460" s="27" t="s">
        <v>138</v>
      </c>
      <c r="L2460" s="0" t="n">
        <v>51</v>
      </c>
      <c r="U2460" s="0" t="n">
        <v>445</v>
      </c>
      <c r="V2460" s="0" t="n">
        <v>1</v>
      </c>
      <c r="W2460" s="27" t="n">
        <f aca="false">MATCH(A2460,DATAS,0)</f>
        <v>1</v>
      </c>
      <c r="X2460" s="27" t="n">
        <f aca="false">IF(AND(E2460&gt;0,OR(AND(B2460&gt;=1,B2460&lt;=6),B2460=10)),1,0)</f>
        <v>0</v>
      </c>
      <c r="Y2460" s="27" t="n">
        <f aca="false">IF(AND(E2460&gt;0,B2460=10),1,0)</f>
        <v>0</v>
      </c>
      <c r="Z2460" s="0" t="str">
        <f aca="false">IF(AND(C2459=C2460,W2459=W2460-1),X2459,"")</f>
        <v/>
      </c>
      <c r="AA2460" s="0" t="str">
        <f aca="false">IF(AND(C2459=C2460,W2459=W2460-1),Y2459,"")</f>
        <v/>
      </c>
      <c r="AB2460" s="0" t="str">
        <f aca="false">IF(W2460=1,"",IF(AND(X2460=1,Z2460&lt;&gt;1),1,0))</f>
        <v/>
      </c>
      <c r="AC2460" s="0" t="str">
        <f aca="false">IF(W2460=1,"",IF(AND(Y2460=1,AA2460&lt;&gt;1),1,0))</f>
        <v/>
      </c>
      <c r="AD2460" s="33" t="str">
        <f aca="false">IF(AND(E2460&gt;0,W2460&lt;1,NOT(AND(C2461=C2460,W2461=W2460+1))),INDEX(DATAS,W2460+1),"")</f>
        <v/>
      </c>
      <c r="AE2460" s="33" t="str">
        <f aca="false">IF(AND(Y2460=1,W2460&lt;1),IF(AND(C2461=C2460,W2461=W2460+1),IF(Y2461=1,"",INDEX(DATAS,W2460+1)),INDEX(DATAS,W2460+1)),"")</f>
        <v/>
      </c>
    </row>
    <row r="2461" customFormat="false" ht="15" hidden="false" customHeight="false" outlineLevel="0" collapsed="false">
      <c r="A2461" s="33" t="n">
        <v>46309</v>
      </c>
      <c r="B2461" s="0" t="n">
        <v>13</v>
      </c>
      <c r="C2461" s="0" t="n">
        <v>6779</v>
      </c>
      <c r="E2461" s="0" t="n">
        <v>0</v>
      </c>
      <c r="F2461" s="27" t="s">
        <v>1277</v>
      </c>
      <c r="I2461" s="27" t="s">
        <v>168</v>
      </c>
      <c r="U2461" s="0" t="n">
        <v>444</v>
      </c>
      <c r="V2461" s="0" t="n">
        <v>1</v>
      </c>
      <c r="W2461" s="27" t="n">
        <f aca="false">MATCH(A2461,DATAS,0)</f>
        <v>1</v>
      </c>
      <c r="X2461" s="27" t="n">
        <f aca="false">IF(AND(E2461&gt;0,OR(AND(B2461&gt;=1,B2461&lt;=6),B2461=10)),1,0)</f>
        <v>0</v>
      </c>
      <c r="Y2461" s="27" t="n">
        <f aca="false">IF(AND(E2461&gt;0,B2461=10),1,0)</f>
        <v>0</v>
      </c>
      <c r="Z2461" s="0" t="str">
        <f aca="false">IF(AND(C2460=C2461,W2460=W2461-1),X2460,"")</f>
        <v/>
      </c>
      <c r="AA2461" s="0" t="str">
        <f aca="false">IF(AND(C2460=C2461,W2460=W2461-1),Y2460,"")</f>
        <v/>
      </c>
      <c r="AB2461" s="0" t="str">
        <f aca="false">IF(W2461=1,"",IF(AND(X2461=1,Z2461&lt;&gt;1),1,0))</f>
        <v/>
      </c>
      <c r="AC2461" s="0" t="str">
        <f aca="false">IF(W2461=1,"",IF(AND(Y2461=1,AA2461&lt;&gt;1),1,0))</f>
        <v/>
      </c>
      <c r="AD2461" s="33" t="str">
        <f aca="false">IF(AND(E2461&gt;0,W2461&lt;1,NOT(AND(C2462=C2461,W2462=W2461+1))),INDEX(DATAS,W2461+1),"")</f>
        <v/>
      </c>
      <c r="AE2461" s="33" t="str">
        <f aca="false">IF(AND(Y2461=1,W2461&lt;1),IF(AND(C2462=C2461,W2462=W2461+1),IF(Y2462=1,"",INDEX(DATAS,W2461+1)),INDEX(DATAS,W2461+1)),"")</f>
        <v/>
      </c>
    </row>
    <row r="2462" customFormat="false" ht="15" hidden="false" customHeight="false" outlineLevel="0" collapsed="false">
      <c r="A2462" s="33" t="n">
        <v>46309</v>
      </c>
      <c r="B2462" s="0" t="n">
        <v>11</v>
      </c>
      <c r="C2462" s="0" t="n">
        <v>6780</v>
      </c>
      <c r="E2462" s="0" t="n">
        <v>0</v>
      </c>
      <c r="F2462" s="27" t="s">
        <v>1277</v>
      </c>
      <c r="I2462" s="27" t="s">
        <v>168</v>
      </c>
      <c r="U2462" s="0" t="n">
        <v>444</v>
      </c>
      <c r="V2462" s="0" t="n">
        <v>2</v>
      </c>
      <c r="W2462" s="27" t="n">
        <f aca="false">MATCH(A2462,DATAS,0)</f>
        <v>1</v>
      </c>
      <c r="X2462" s="27" t="n">
        <f aca="false">IF(AND(E2462&gt;0,OR(AND(B2462&gt;=1,B2462&lt;=6),B2462=10)),1,0)</f>
        <v>0</v>
      </c>
      <c r="Y2462" s="27" t="n">
        <f aca="false">IF(AND(E2462&gt;0,B2462=10),1,0)</f>
        <v>0</v>
      </c>
      <c r="Z2462" s="0" t="str">
        <f aca="false">IF(AND(C2461=C2462,W2461=W2462-1),X2461,"")</f>
        <v/>
      </c>
      <c r="AA2462" s="0" t="str">
        <f aca="false">IF(AND(C2461=C2462,W2461=W2462-1),Y2461,"")</f>
        <v/>
      </c>
      <c r="AB2462" s="0" t="str">
        <f aca="false">IF(W2462=1,"",IF(AND(X2462=1,Z2462&lt;&gt;1),1,0))</f>
        <v/>
      </c>
      <c r="AC2462" s="0" t="str">
        <f aca="false">IF(W2462=1,"",IF(AND(Y2462=1,AA2462&lt;&gt;1),1,0))</f>
        <v/>
      </c>
      <c r="AD2462" s="33" t="str">
        <f aca="false">IF(AND(E2462&gt;0,W2462&lt;1,NOT(AND(C2463=C2462,W2463=W2462+1))),INDEX(DATAS,W2462+1),"")</f>
        <v/>
      </c>
      <c r="AE2462" s="33" t="str">
        <f aca="false">IF(AND(Y2462=1,W2462&lt;1),IF(AND(C2463=C2462,W2463=W2462+1),IF(Y2463=1,"",INDEX(DATAS,W2462+1)),INDEX(DATAS,W2462+1)),"")</f>
        <v/>
      </c>
    </row>
    <row r="2463" customFormat="false" ht="15" hidden="false" customHeight="false" outlineLevel="0" collapsed="false">
      <c r="A2463" s="33" t="n">
        <v>46309</v>
      </c>
      <c r="B2463" s="0" t="n">
        <v>11</v>
      </c>
      <c r="C2463" s="0" t="n">
        <v>6781</v>
      </c>
      <c r="E2463" s="0" t="n">
        <v>0</v>
      </c>
      <c r="F2463" s="27" t="s">
        <v>1277</v>
      </c>
      <c r="I2463" s="27" t="s">
        <v>168</v>
      </c>
      <c r="U2463" s="0" t="n">
        <v>444</v>
      </c>
      <c r="V2463" s="0" t="n">
        <v>1</v>
      </c>
      <c r="W2463" s="27" t="n">
        <f aca="false">MATCH(A2463,DATAS,0)</f>
        <v>1</v>
      </c>
      <c r="X2463" s="27" t="n">
        <f aca="false">IF(AND(E2463&gt;0,OR(AND(B2463&gt;=1,B2463&lt;=6),B2463=10)),1,0)</f>
        <v>0</v>
      </c>
      <c r="Y2463" s="27" t="n">
        <f aca="false">IF(AND(E2463&gt;0,B2463=10),1,0)</f>
        <v>0</v>
      </c>
      <c r="Z2463" s="0" t="str">
        <f aca="false">IF(AND(C2462=C2463,W2462=W2463-1),X2462,"")</f>
        <v/>
      </c>
      <c r="AA2463" s="0" t="str">
        <f aca="false">IF(AND(C2462=C2463,W2462=W2463-1),Y2462,"")</f>
        <v/>
      </c>
      <c r="AB2463" s="0" t="str">
        <f aca="false">IF(W2463=1,"",IF(AND(X2463=1,Z2463&lt;&gt;1),1,0))</f>
        <v/>
      </c>
      <c r="AC2463" s="0" t="str">
        <f aca="false">IF(W2463=1,"",IF(AND(Y2463=1,AA2463&lt;&gt;1),1,0))</f>
        <v/>
      </c>
      <c r="AD2463" s="33" t="str">
        <f aca="false">IF(AND(E2463&gt;0,W2463&lt;1,NOT(AND(C2464=C2463,W2464=W2463+1))),INDEX(DATAS,W2463+1),"")</f>
        <v/>
      </c>
      <c r="AE2463" s="33" t="str">
        <f aca="false">IF(AND(Y2463=1,W2463&lt;1),IF(AND(C2464=C2463,W2464=W2463+1),IF(Y2464=1,"",INDEX(DATAS,W2463+1)),INDEX(DATAS,W2463+1)),"")</f>
        <v/>
      </c>
    </row>
    <row r="2464" customFormat="false" ht="15" hidden="false" customHeight="false" outlineLevel="0" collapsed="false">
      <c r="A2464" s="33" t="n">
        <v>46309</v>
      </c>
      <c r="B2464" s="0" t="n">
        <v>13</v>
      </c>
      <c r="C2464" s="0" t="n">
        <v>6782</v>
      </c>
      <c r="E2464" s="0" t="n">
        <v>0</v>
      </c>
      <c r="F2464" s="27" t="s">
        <v>1277</v>
      </c>
      <c r="I2464" s="27" t="s">
        <v>176</v>
      </c>
      <c r="U2464" s="0" t="n">
        <v>444</v>
      </c>
      <c r="V2464" s="0" t="n">
        <v>0</v>
      </c>
      <c r="W2464" s="27" t="n">
        <f aca="false">MATCH(A2464,DATAS,0)</f>
        <v>1</v>
      </c>
      <c r="X2464" s="27" t="n">
        <f aca="false">IF(AND(E2464&gt;0,OR(AND(B2464&gt;=1,B2464&lt;=6),B2464=10)),1,0)</f>
        <v>0</v>
      </c>
      <c r="Y2464" s="27" t="n">
        <f aca="false">IF(AND(E2464&gt;0,B2464=10),1,0)</f>
        <v>0</v>
      </c>
      <c r="Z2464" s="0" t="str">
        <f aca="false">IF(AND(C2463=C2464,W2463=W2464-1),X2463,"")</f>
        <v/>
      </c>
      <c r="AA2464" s="0" t="str">
        <f aca="false">IF(AND(C2463=C2464,W2463=W2464-1),Y2463,"")</f>
        <v/>
      </c>
      <c r="AB2464" s="0" t="str">
        <f aca="false">IF(W2464=1,"",IF(AND(X2464=1,Z2464&lt;&gt;1),1,0))</f>
        <v/>
      </c>
      <c r="AC2464" s="0" t="str">
        <f aca="false">IF(W2464=1,"",IF(AND(Y2464=1,AA2464&lt;&gt;1),1,0))</f>
        <v/>
      </c>
      <c r="AD2464" s="33" t="str">
        <f aca="false">IF(AND(E2464&gt;0,W2464&lt;1,NOT(AND(C2465=C2464,W2465=W2464+1))),INDEX(DATAS,W2464+1),"")</f>
        <v/>
      </c>
      <c r="AE2464" s="33" t="str">
        <f aca="false">IF(AND(Y2464=1,W2464&lt;1),IF(AND(C2465=C2464,W2465=W2464+1),IF(Y2465=1,"",INDEX(DATAS,W2464+1)),INDEX(DATAS,W2464+1)),"")</f>
        <v/>
      </c>
    </row>
    <row r="2465" customFormat="false" ht="15" hidden="false" customHeight="false" outlineLevel="0" collapsed="false">
      <c r="A2465" s="33" t="n">
        <v>46309</v>
      </c>
      <c r="B2465" s="0" t="n">
        <v>8</v>
      </c>
      <c r="C2465" s="0" t="n">
        <v>6783</v>
      </c>
      <c r="E2465" s="0" t="n">
        <v>0</v>
      </c>
      <c r="F2465" s="27" t="s">
        <v>1277</v>
      </c>
      <c r="I2465" s="27" t="s">
        <v>138</v>
      </c>
      <c r="L2465" s="0" t="n">
        <v>42</v>
      </c>
      <c r="U2465" s="0" t="n">
        <v>444</v>
      </c>
      <c r="V2465" s="0" t="n">
        <v>1</v>
      </c>
      <c r="W2465" s="27" t="n">
        <f aca="false">MATCH(A2465,DATAS,0)</f>
        <v>1</v>
      </c>
      <c r="X2465" s="27" t="n">
        <f aca="false">IF(AND(E2465&gt;0,OR(AND(B2465&gt;=1,B2465&lt;=6),B2465=10)),1,0)</f>
        <v>0</v>
      </c>
      <c r="Y2465" s="27" t="n">
        <f aca="false">IF(AND(E2465&gt;0,B2465=10),1,0)</f>
        <v>0</v>
      </c>
      <c r="Z2465" s="0" t="str">
        <f aca="false">IF(AND(C2464=C2465,W2464=W2465-1),X2464,"")</f>
        <v/>
      </c>
      <c r="AA2465" s="0" t="str">
        <f aca="false">IF(AND(C2464=C2465,W2464=W2465-1),Y2464,"")</f>
        <v/>
      </c>
      <c r="AB2465" s="0" t="str">
        <f aca="false">IF(W2465=1,"",IF(AND(X2465=1,Z2465&lt;&gt;1),1,0))</f>
        <v/>
      </c>
      <c r="AC2465" s="0" t="str">
        <f aca="false">IF(W2465=1,"",IF(AND(Y2465=1,AA2465&lt;&gt;1),1,0))</f>
        <v/>
      </c>
      <c r="AD2465" s="33" t="str">
        <f aca="false">IF(AND(E2465&gt;0,W2465&lt;1,NOT(AND(C2466=C2465,W2466=W2465+1))),INDEX(DATAS,W2465+1),"")</f>
        <v/>
      </c>
      <c r="AE2465" s="33" t="str">
        <f aca="false">IF(AND(Y2465=1,W2465&lt;1),IF(AND(C2466=C2465,W2466=W2465+1),IF(Y2466=1,"",INDEX(DATAS,W2465+1)),INDEX(DATAS,W2465+1)),"")</f>
        <v/>
      </c>
    </row>
    <row r="2466" customFormat="false" ht="15" hidden="false" customHeight="false" outlineLevel="0" collapsed="false">
      <c r="A2466" s="33" t="n">
        <v>46309</v>
      </c>
      <c r="B2466" s="0" t="n">
        <v>11</v>
      </c>
      <c r="C2466" s="0" t="n">
        <v>6785</v>
      </c>
      <c r="E2466" s="0" t="n">
        <v>0</v>
      </c>
      <c r="F2466" s="27" t="s">
        <v>1278</v>
      </c>
      <c r="I2466" s="27" t="s">
        <v>168</v>
      </c>
      <c r="U2466" s="0" t="n">
        <v>443</v>
      </c>
      <c r="V2466" s="0" t="n">
        <v>3</v>
      </c>
      <c r="W2466" s="27" t="n">
        <f aca="false">MATCH(A2466,DATAS,0)</f>
        <v>1</v>
      </c>
      <c r="X2466" s="27" t="n">
        <f aca="false">IF(AND(E2466&gt;0,OR(AND(B2466&gt;=1,B2466&lt;=6),B2466=10)),1,0)</f>
        <v>0</v>
      </c>
      <c r="Y2466" s="27" t="n">
        <f aca="false">IF(AND(E2466&gt;0,B2466=10),1,0)</f>
        <v>0</v>
      </c>
      <c r="Z2466" s="0" t="str">
        <f aca="false">IF(AND(C2465=C2466,W2465=W2466-1),X2465,"")</f>
        <v/>
      </c>
      <c r="AA2466" s="0" t="str">
        <f aca="false">IF(AND(C2465=C2466,W2465=W2466-1),Y2465,"")</f>
        <v/>
      </c>
      <c r="AB2466" s="0" t="str">
        <f aca="false">IF(W2466=1,"",IF(AND(X2466=1,Z2466&lt;&gt;1),1,0))</f>
        <v/>
      </c>
      <c r="AC2466" s="0" t="str">
        <f aca="false">IF(W2466=1,"",IF(AND(Y2466=1,AA2466&lt;&gt;1),1,0))</f>
        <v/>
      </c>
      <c r="AD2466" s="33" t="str">
        <f aca="false">IF(AND(E2466&gt;0,W2466&lt;1,NOT(AND(C2467=C2466,W2467=W2466+1))),INDEX(DATAS,W2466+1),"")</f>
        <v/>
      </c>
      <c r="AE2466" s="33" t="str">
        <f aca="false">IF(AND(Y2466=1,W2466&lt;1),IF(AND(C2467=C2466,W2467=W2466+1),IF(Y2467=1,"",INDEX(DATAS,W2466+1)),INDEX(DATAS,W2466+1)),"")</f>
        <v/>
      </c>
    </row>
    <row r="2467" customFormat="false" ht="15" hidden="false" customHeight="false" outlineLevel="0" collapsed="false">
      <c r="A2467" s="33" t="n">
        <v>46309</v>
      </c>
      <c r="B2467" s="0" t="n">
        <v>11</v>
      </c>
      <c r="C2467" s="0" t="n">
        <v>6786</v>
      </c>
      <c r="E2467" s="0" t="n">
        <v>0</v>
      </c>
      <c r="F2467" s="27" t="s">
        <v>1278</v>
      </c>
      <c r="I2467" s="27" t="s">
        <v>168</v>
      </c>
      <c r="U2467" s="0" t="n">
        <v>443</v>
      </c>
      <c r="V2467" s="0" t="n">
        <v>2</v>
      </c>
      <c r="W2467" s="27" t="n">
        <f aca="false">MATCH(A2467,DATAS,0)</f>
        <v>1</v>
      </c>
      <c r="X2467" s="27" t="n">
        <f aca="false">IF(AND(E2467&gt;0,OR(AND(B2467&gt;=1,B2467&lt;=6),B2467=10)),1,0)</f>
        <v>0</v>
      </c>
      <c r="Y2467" s="27" t="n">
        <f aca="false">IF(AND(E2467&gt;0,B2467=10),1,0)</f>
        <v>0</v>
      </c>
      <c r="Z2467" s="0" t="str">
        <f aca="false">IF(AND(C2466=C2467,W2466=W2467-1),X2466,"")</f>
        <v/>
      </c>
      <c r="AA2467" s="0" t="str">
        <f aca="false">IF(AND(C2466=C2467,W2466=W2467-1),Y2466,"")</f>
        <v/>
      </c>
      <c r="AB2467" s="0" t="str">
        <f aca="false">IF(W2467=1,"",IF(AND(X2467=1,Z2467&lt;&gt;1),1,0))</f>
        <v/>
      </c>
      <c r="AC2467" s="0" t="str">
        <f aca="false">IF(W2467=1,"",IF(AND(Y2467=1,AA2467&lt;&gt;1),1,0))</f>
        <v/>
      </c>
      <c r="AD2467" s="33" t="str">
        <f aca="false">IF(AND(E2467&gt;0,W2467&lt;1,NOT(AND(C2468=C2467,W2468=W2467+1))),INDEX(DATAS,W2467+1),"")</f>
        <v/>
      </c>
      <c r="AE2467" s="33" t="str">
        <f aca="false">IF(AND(Y2467=1,W2467&lt;1),IF(AND(C2468=C2467,W2468=W2467+1),IF(Y2468=1,"",INDEX(DATAS,W2467+1)),INDEX(DATAS,W2467+1)),"")</f>
        <v/>
      </c>
    </row>
    <row r="2468" customFormat="false" ht="15" hidden="false" customHeight="false" outlineLevel="0" collapsed="false">
      <c r="A2468" s="33" t="n">
        <v>46309</v>
      </c>
      <c r="B2468" s="0" t="n">
        <v>11</v>
      </c>
      <c r="C2468" s="0" t="n">
        <v>6787</v>
      </c>
      <c r="E2468" s="0" t="n">
        <v>0</v>
      </c>
      <c r="F2468" s="27" t="s">
        <v>1278</v>
      </c>
      <c r="I2468" s="27" t="s">
        <v>176</v>
      </c>
      <c r="U2468" s="0" t="n">
        <v>443</v>
      </c>
      <c r="V2468" s="0" t="n">
        <v>1</v>
      </c>
      <c r="W2468" s="27" t="n">
        <f aca="false">MATCH(A2468,DATAS,0)</f>
        <v>1</v>
      </c>
      <c r="X2468" s="27" t="n">
        <f aca="false">IF(AND(E2468&gt;0,OR(AND(B2468&gt;=1,B2468&lt;=6),B2468=10)),1,0)</f>
        <v>0</v>
      </c>
      <c r="Y2468" s="27" t="n">
        <f aca="false">IF(AND(E2468&gt;0,B2468=10),1,0)</f>
        <v>0</v>
      </c>
      <c r="Z2468" s="0" t="str">
        <f aca="false">IF(AND(C2467=C2468,W2467=W2468-1),X2467,"")</f>
        <v/>
      </c>
      <c r="AA2468" s="0" t="str">
        <f aca="false">IF(AND(C2467=C2468,W2467=W2468-1),Y2467,"")</f>
        <v/>
      </c>
      <c r="AB2468" s="0" t="str">
        <f aca="false">IF(W2468=1,"",IF(AND(X2468=1,Z2468&lt;&gt;1),1,0))</f>
        <v/>
      </c>
      <c r="AC2468" s="0" t="str">
        <f aca="false">IF(W2468=1,"",IF(AND(Y2468=1,AA2468&lt;&gt;1),1,0))</f>
        <v/>
      </c>
      <c r="AD2468" s="33" t="str">
        <f aca="false">IF(AND(E2468&gt;0,W2468&lt;1,NOT(AND(C2469=C2468,W2469=W2468+1))),INDEX(DATAS,W2468+1),"")</f>
        <v/>
      </c>
      <c r="AE2468" s="33" t="str">
        <f aca="false">IF(AND(Y2468=1,W2468&lt;1),IF(AND(C2469=C2468,W2469=W2468+1),IF(Y2469=1,"",INDEX(DATAS,W2468+1)),INDEX(DATAS,W2468+1)),"")</f>
        <v/>
      </c>
    </row>
    <row r="2469" customFormat="false" ht="15" hidden="false" customHeight="false" outlineLevel="0" collapsed="false">
      <c r="A2469" s="33" t="n">
        <v>46309</v>
      </c>
      <c r="B2469" s="0" t="n">
        <v>13</v>
      </c>
      <c r="C2469" s="0" t="n">
        <v>6788</v>
      </c>
      <c r="E2469" s="0" t="n">
        <v>0</v>
      </c>
      <c r="F2469" s="27" t="s">
        <v>1278</v>
      </c>
      <c r="I2469" s="27" t="s">
        <v>176</v>
      </c>
      <c r="U2469" s="0" t="n">
        <v>443</v>
      </c>
      <c r="V2469" s="0" t="n">
        <v>0</v>
      </c>
      <c r="W2469" s="27" t="n">
        <f aca="false">MATCH(A2469,DATAS,0)</f>
        <v>1</v>
      </c>
      <c r="X2469" s="27" t="n">
        <f aca="false">IF(AND(E2469&gt;0,OR(AND(B2469&gt;=1,B2469&lt;=6),B2469=10)),1,0)</f>
        <v>0</v>
      </c>
      <c r="Y2469" s="27" t="n">
        <f aca="false">IF(AND(E2469&gt;0,B2469=10),1,0)</f>
        <v>0</v>
      </c>
      <c r="Z2469" s="0" t="str">
        <f aca="false">IF(AND(C2468=C2469,W2468=W2469-1),X2468,"")</f>
        <v/>
      </c>
      <c r="AA2469" s="0" t="str">
        <f aca="false">IF(AND(C2468=C2469,W2468=W2469-1),Y2468,"")</f>
        <v/>
      </c>
      <c r="AB2469" s="0" t="str">
        <f aca="false">IF(W2469=1,"",IF(AND(X2469=1,Z2469&lt;&gt;1),1,0))</f>
        <v/>
      </c>
      <c r="AC2469" s="0" t="str">
        <f aca="false">IF(W2469=1,"",IF(AND(Y2469=1,AA2469&lt;&gt;1),1,0))</f>
        <v/>
      </c>
      <c r="AD2469" s="33" t="str">
        <f aca="false">IF(AND(E2469&gt;0,W2469&lt;1,NOT(AND(C2470=C2469,W2470=W2469+1))),INDEX(DATAS,W2469+1),"")</f>
        <v/>
      </c>
      <c r="AE2469" s="33" t="str">
        <f aca="false">IF(AND(Y2469=1,W2469&lt;1),IF(AND(C2470=C2469,W2470=W2469+1),IF(Y2470=1,"",INDEX(DATAS,W2469+1)),INDEX(DATAS,W2469+1)),"")</f>
        <v/>
      </c>
    </row>
    <row r="2470" customFormat="false" ht="15" hidden="false" customHeight="false" outlineLevel="0" collapsed="false">
      <c r="A2470" s="33" t="n">
        <v>46309</v>
      </c>
      <c r="B2470" s="0" t="n">
        <v>8</v>
      </c>
      <c r="C2470" s="0" t="n">
        <v>6789</v>
      </c>
      <c r="E2470" s="0" t="n">
        <v>0</v>
      </c>
      <c r="F2470" s="27" t="s">
        <v>1279</v>
      </c>
      <c r="I2470" s="27" t="s">
        <v>138</v>
      </c>
      <c r="L2470" s="0" t="n">
        <v>43</v>
      </c>
      <c r="U2470" s="0" t="n">
        <v>442</v>
      </c>
      <c r="V2470" s="0" t="n">
        <v>1</v>
      </c>
      <c r="W2470" s="27" t="n">
        <f aca="false">MATCH(A2470,DATAS,0)</f>
        <v>1</v>
      </c>
      <c r="X2470" s="27" t="n">
        <f aca="false">IF(AND(E2470&gt;0,OR(AND(B2470&gt;=1,B2470&lt;=6),B2470=10)),1,0)</f>
        <v>0</v>
      </c>
      <c r="Y2470" s="27" t="n">
        <f aca="false">IF(AND(E2470&gt;0,B2470=10),1,0)</f>
        <v>0</v>
      </c>
      <c r="Z2470" s="0" t="str">
        <f aca="false">IF(AND(C2469=C2470,W2469=W2470-1),X2469,"")</f>
        <v/>
      </c>
      <c r="AA2470" s="0" t="str">
        <f aca="false">IF(AND(C2469=C2470,W2469=W2470-1),Y2469,"")</f>
        <v/>
      </c>
      <c r="AB2470" s="0" t="str">
        <f aca="false">IF(W2470=1,"",IF(AND(X2470=1,Z2470&lt;&gt;1),1,0))</f>
        <v/>
      </c>
      <c r="AC2470" s="0" t="str">
        <f aca="false">IF(W2470=1,"",IF(AND(Y2470=1,AA2470&lt;&gt;1),1,0))</f>
        <v/>
      </c>
      <c r="AD2470" s="33" t="str">
        <f aca="false">IF(AND(E2470&gt;0,W2470&lt;1,NOT(AND(C2471=C2470,W2471=W2470+1))),INDEX(DATAS,W2470+1),"")</f>
        <v/>
      </c>
      <c r="AE2470" s="33" t="str">
        <f aca="false">IF(AND(Y2470=1,W2470&lt;1),IF(AND(C2471=C2470,W2471=W2470+1),IF(Y2471=1,"",INDEX(DATAS,W2470+1)),INDEX(DATAS,W2470+1)),"")</f>
        <v/>
      </c>
    </row>
    <row r="2471" customFormat="false" ht="15" hidden="false" customHeight="false" outlineLevel="0" collapsed="false">
      <c r="A2471" s="33" t="n">
        <v>46309</v>
      </c>
      <c r="B2471" s="0" t="n">
        <v>8</v>
      </c>
      <c r="C2471" s="0" t="n">
        <v>6790</v>
      </c>
      <c r="E2471" s="0" t="n">
        <v>0</v>
      </c>
      <c r="F2471" s="27" t="s">
        <v>1279</v>
      </c>
      <c r="I2471" s="27" t="s">
        <v>138</v>
      </c>
      <c r="L2471" s="0" t="n">
        <v>47</v>
      </c>
      <c r="U2471" s="0" t="n">
        <v>442</v>
      </c>
      <c r="V2471" s="0" t="n">
        <v>1</v>
      </c>
      <c r="W2471" s="27" t="n">
        <f aca="false">MATCH(A2471,DATAS,0)</f>
        <v>1</v>
      </c>
      <c r="X2471" s="27" t="n">
        <f aca="false">IF(AND(E2471&gt;0,OR(AND(B2471&gt;=1,B2471&lt;=6),B2471=10)),1,0)</f>
        <v>0</v>
      </c>
      <c r="Y2471" s="27" t="n">
        <f aca="false">IF(AND(E2471&gt;0,B2471=10),1,0)</f>
        <v>0</v>
      </c>
      <c r="Z2471" s="0" t="str">
        <f aca="false">IF(AND(C2470=C2471,W2470=W2471-1),X2470,"")</f>
        <v/>
      </c>
      <c r="AA2471" s="0" t="str">
        <f aca="false">IF(AND(C2470=C2471,W2470=W2471-1),Y2470,"")</f>
        <v/>
      </c>
      <c r="AB2471" s="0" t="str">
        <f aca="false">IF(W2471=1,"",IF(AND(X2471=1,Z2471&lt;&gt;1),1,0))</f>
        <v/>
      </c>
      <c r="AC2471" s="0" t="str">
        <f aca="false">IF(W2471=1,"",IF(AND(Y2471=1,AA2471&lt;&gt;1),1,0))</f>
        <v/>
      </c>
      <c r="AD2471" s="33" t="str">
        <f aca="false">IF(AND(E2471&gt;0,W2471&lt;1,NOT(AND(C2472=C2471,W2472=W2471+1))),INDEX(DATAS,W2471+1),"")</f>
        <v/>
      </c>
      <c r="AE2471" s="33" t="str">
        <f aca="false">IF(AND(Y2471=1,W2471&lt;1),IF(AND(C2472=C2471,W2472=W2471+1),IF(Y2472=1,"",INDEX(DATAS,W2471+1)),INDEX(DATAS,W2471+1)),"")</f>
        <v/>
      </c>
    </row>
    <row r="2472" customFormat="false" ht="15" hidden="false" customHeight="false" outlineLevel="0" collapsed="false">
      <c r="A2472" s="33" t="n">
        <v>46309</v>
      </c>
      <c r="B2472" s="0" t="n">
        <v>13</v>
      </c>
      <c r="C2472" s="0" t="n">
        <v>6791</v>
      </c>
      <c r="E2472" s="0" t="n">
        <v>0</v>
      </c>
      <c r="F2472" s="27" t="s">
        <v>1279</v>
      </c>
      <c r="I2472" s="27" t="s">
        <v>176</v>
      </c>
      <c r="U2472" s="0" t="n">
        <v>442</v>
      </c>
      <c r="V2472" s="0" t="n">
        <v>0</v>
      </c>
      <c r="W2472" s="27" t="n">
        <f aca="false">MATCH(A2472,DATAS,0)</f>
        <v>1</v>
      </c>
      <c r="X2472" s="27" t="n">
        <f aca="false">IF(AND(E2472&gt;0,OR(AND(B2472&gt;=1,B2472&lt;=6),B2472=10)),1,0)</f>
        <v>0</v>
      </c>
      <c r="Y2472" s="27" t="n">
        <f aca="false">IF(AND(E2472&gt;0,B2472=10),1,0)</f>
        <v>0</v>
      </c>
      <c r="Z2472" s="0" t="str">
        <f aca="false">IF(AND(C2471=C2472,W2471=W2472-1),X2471,"")</f>
        <v/>
      </c>
      <c r="AA2472" s="0" t="str">
        <f aca="false">IF(AND(C2471=C2472,W2471=W2472-1),Y2471,"")</f>
        <v/>
      </c>
      <c r="AB2472" s="0" t="str">
        <f aca="false">IF(W2472=1,"",IF(AND(X2472=1,Z2472&lt;&gt;1),1,0))</f>
        <v/>
      </c>
      <c r="AC2472" s="0" t="str">
        <f aca="false">IF(W2472=1,"",IF(AND(Y2472=1,AA2472&lt;&gt;1),1,0))</f>
        <v/>
      </c>
      <c r="AD2472" s="33" t="str">
        <f aca="false">IF(AND(E2472&gt;0,W2472&lt;1,NOT(AND(C2473=C2472,W2473=W2472+1))),INDEX(DATAS,W2472+1),"")</f>
        <v/>
      </c>
      <c r="AE2472" s="33" t="str">
        <f aca="false">IF(AND(Y2472=1,W2472&lt;1),IF(AND(C2473=C2472,W2473=W2472+1),IF(Y2473=1,"",INDEX(DATAS,W2472+1)),INDEX(DATAS,W2472+1)),"")</f>
        <v/>
      </c>
    </row>
    <row r="2473" customFormat="false" ht="15" hidden="false" customHeight="false" outlineLevel="0" collapsed="false">
      <c r="A2473" s="33" t="n">
        <v>46309</v>
      </c>
      <c r="B2473" s="0" t="n">
        <v>8</v>
      </c>
      <c r="C2473" s="0" t="n">
        <v>6792</v>
      </c>
      <c r="E2473" s="0" t="n">
        <v>0</v>
      </c>
      <c r="F2473" s="27" t="s">
        <v>1279</v>
      </c>
      <c r="I2473" s="27" t="s">
        <v>138</v>
      </c>
      <c r="L2473" s="0" t="n">
        <v>41</v>
      </c>
      <c r="U2473" s="0" t="n">
        <v>442</v>
      </c>
      <c r="V2473" s="0" t="n">
        <v>1</v>
      </c>
      <c r="W2473" s="27" t="n">
        <f aca="false">MATCH(A2473,DATAS,0)</f>
        <v>1</v>
      </c>
      <c r="X2473" s="27" t="n">
        <f aca="false">IF(AND(E2473&gt;0,OR(AND(B2473&gt;=1,B2473&lt;=6),B2473=10)),1,0)</f>
        <v>0</v>
      </c>
      <c r="Y2473" s="27" t="n">
        <f aca="false">IF(AND(E2473&gt;0,B2473=10),1,0)</f>
        <v>0</v>
      </c>
      <c r="Z2473" s="0" t="str">
        <f aca="false">IF(AND(C2472=C2473,W2472=W2473-1),X2472,"")</f>
        <v/>
      </c>
      <c r="AA2473" s="0" t="str">
        <f aca="false">IF(AND(C2472=C2473,W2472=W2473-1),Y2472,"")</f>
        <v/>
      </c>
      <c r="AB2473" s="0" t="str">
        <f aca="false">IF(W2473=1,"",IF(AND(X2473=1,Z2473&lt;&gt;1),1,0))</f>
        <v/>
      </c>
      <c r="AC2473" s="0" t="str">
        <f aca="false">IF(W2473=1,"",IF(AND(Y2473=1,AA2473&lt;&gt;1),1,0))</f>
        <v/>
      </c>
      <c r="AD2473" s="33" t="str">
        <f aca="false">IF(AND(E2473&gt;0,W2473&lt;1,NOT(AND(C2474=C2473,W2474=W2473+1))),INDEX(DATAS,W2473+1),"")</f>
        <v/>
      </c>
      <c r="AE2473" s="33" t="str">
        <f aca="false">IF(AND(Y2473=1,W2473&lt;1),IF(AND(C2474=C2473,W2474=W2473+1),IF(Y2474=1,"",INDEX(DATAS,W2473+1)),INDEX(DATAS,W2473+1)),"")</f>
        <v/>
      </c>
    </row>
    <row r="2474" customFormat="false" ht="15" hidden="false" customHeight="false" outlineLevel="0" collapsed="false">
      <c r="A2474" s="33" t="n">
        <v>46309</v>
      </c>
      <c r="B2474" s="0" t="n">
        <v>8</v>
      </c>
      <c r="C2474" s="0" t="n">
        <v>6793</v>
      </c>
      <c r="E2474" s="0" t="n">
        <v>0</v>
      </c>
      <c r="F2474" s="27" t="s">
        <v>1280</v>
      </c>
      <c r="I2474" s="27" t="s">
        <v>138</v>
      </c>
      <c r="L2474" s="0" t="n">
        <v>52</v>
      </c>
      <c r="U2474" s="0" t="n">
        <v>441</v>
      </c>
      <c r="V2474" s="0" t="n">
        <v>1</v>
      </c>
      <c r="W2474" s="27" t="n">
        <f aca="false">MATCH(A2474,DATAS,0)</f>
        <v>1</v>
      </c>
      <c r="X2474" s="27" t="n">
        <f aca="false">IF(AND(E2474&gt;0,OR(AND(B2474&gt;=1,B2474&lt;=6),B2474=10)),1,0)</f>
        <v>0</v>
      </c>
      <c r="Y2474" s="27" t="n">
        <f aca="false">IF(AND(E2474&gt;0,B2474=10),1,0)</f>
        <v>0</v>
      </c>
      <c r="Z2474" s="0" t="str">
        <f aca="false">IF(AND(C2473=C2474,W2473=W2474-1),X2473,"")</f>
        <v/>
      </c>
      <c r="AA2474" s="0" t="str">
        <f aca="false">IF(AND(C2473=C2474,W2473=W2474-1),Y2473,"")</f>
        <v/>
      </c>
      <c r="AB2474" s="0" t="str">
        <f aca="false">IF(W2474=1,"",IF(AND(X2474=1,Z2474&lt;&gt;1),1,0))</f>
        <v/>
      </c>
      <c r="AC2474" s="0" t="str">
        <f aca="false">IF(W2474=1,"",IF(AND(Y2474=1,AA2474&lt;&gt;1),1,0))</f>
        <v/>
      </c>
      <c r="AD2474" s="33" t="str">
        <f aca="false">IF(AND(E2474&gt;0,W2474&lt;1,NOT(AND(C2475=C2474,W2475=W2474+1))),INDEX(DATAS,W2474+1),"")</f>
        <v/>
      </c>
      <c r="AE2474" s="33" t="str">
        <f aca="false">IF(AND(Y2474=1,W2474&lt;1),IF(AND(C2475=C2474,W2475=W2474+1),IF(Y2475=1,"",INDEX(DATAS,W2474+1)),INDEX(DATAS,W2474+1)),"")</f>
        <v/>
      </c>
    </row>
    <row r="2475" customFormat="false" ht="15" hidden="false" customHeight="false" outlineLevel="0" collapsed="false">
      <c r="A2475" s="33" t="n">
        <v>46309</v>
      </c>
      <c r="B2475" s="0" t="n">
        <v>11</v>
      </c>
      <c r="C2475" s="0" t="n">
        <v>6795</v>
      </c>
      <c r="E2475" s="0" t="n">
        <v>0</v>
      </c>
      <c r="F2475" s="27" t="s">
        <v>1281</v>
      </c>
      <c r="I2475" s="27" t="s">
        <v>168</v>
      </c>
      <c r="U2475" s="0" t="n">
        <v>440</v>
      </c>
      <c r="V2475" s="0" t="n">
        <v>3</v>
      </c>
      <c r="W2475" s="27" t="n">
        <f aca="false">MATCH(A2475,DATAS,0)</f>
        <v>1</v>
      </c>
      <c r="X2475" s="27" t="n">
        <f aca="false">IF(AND(E2475&gt;0,OR(AND(B2475&gt;=1,B2475&lt;=6),B2475=10)),1,0)</f>
        <v>0</v>
      </c>
      <c r="Y2475" s="27" t="n">
        <f aca="false">IF(AND(E2475&gt;0,B2475=10),1,0)</f>
        <v>0</v>
      </c>
      <c r="Z2475" s="0" t="str">
        <f aca="false">IF(AND(C2474=C2475,W2474=W2475-1),X2474,"")</f>
        <v/>
      </c>
      <c r="AA2475" s="0" t="str">
        <f aca="false">IF(AND(C2474=C2475,W2474=W2475-1),Y2474,"")</f>
        <v/>
      </c>
      <c r="AB2475" s="0" t="str">
        <f aca="false">IF(W2475=1,"",IF(AND(X2475=1,Z2475&lt;&gt;1),1,0))</f>
        <v/>
      </c>
      <c r="AC2475" s="0" t="str">
        <f aca="false">IF(W2475=1,"",IF(AND(Y2475=1,AA2475&lt;&gt;1),1,0))</f>
        <v/>
      </c>
      <c r="AD2475" s="33" t="str">
        <f aca="false">IF(AND(E2475&gt;0,W2475&lt;1,NOT(AND(C2476=C2475,W2476=W2475+1))),INDEX(DATAS,W2475+1),"")</f>
        <v/>
      </c>
      <c r="AE2475" s="33" t="str">
        <f aca="false">IF(AND(Y2475=1,W2475&lt;1),IF(AND(C2476=C2475,W2476=W2475+1),IF(Y2476=1,"",INDEX(DATAS,W2475+1)),INDEX(DATAS,W2475+1)),"")</f>
        <v/>
      </c>
    </row>
    <row r="2476" customFormat="false" ht="15" hidden="false" customHeight="false" outlineLevel="0" collapsed="false">
      <c r="A2476" s="33" t="n">
        <v>46309</v>
      </c>
      <c r="B2476" s="0" t="n">
        <v>11</v>
      </c>
      <c r="C2476" s="0" t="n">
        <v>6796</v>
      </c>
      <c r="E2476" s="0" t="n">
        <v>0</v>
      </c>
      <c r="F2476" s="27" t="s">
        <v>1281</v>
      </c>
      <c r="I2476" s="27" t="s">
        <v>168</v>
      </c>
      <c r="U2476" s="0" t="n">
        <v>440</v>
      </c>
      <c r="V2476" s="0" t="n">
        <v>2</v>
      </c>
      <c r="W2476" s="27" t="n">
        <f aca="false">MATCH(A2476,DATAS,0)</f>
        <v>1</v>
      </c>
      <c r="X2476" s="27" t="n">
        <f aca="false">IF(AND(E2476&gt;0,OR(AND(B2476&gt;=1,B2476&lt;=6),B2476=10)),1,0)</f>
        <v>0</v>
      </c>
      <c r="Y2476" s="27" t="n">
        <f aca="false">IF(AND(E2476&gt;0,B2476=10),1,0)</f>
        <v>0</v>
      </c>
      <c r="Z2476" s="0" t="str">
        <f aca="false">IF(AND(C2475=C2476,W2475=W2476-1),X2475,"")</f>
        <v/>
      </c>
      <c r="AA2476" s="0" t="str">
        <f aca="false">IF(AND(C2475=C2476,W2475=W2476-1),Y2475,"")</f>
        <v/>
      </c>
      <c r="AB2476" s="0" t="str">
        <f aca="false">IF(W2476=1,"",IF(AND(X2476=1,Z2476&lt;&gt;1),1,0))</f>
        <v/>
      </c>
      <c r="AC2476" s="0" t="str">
        <f aca="false">IF(W2476=1,"",IF(AND(Y2476=1,AA2476&lt;&gt;1),1,0))</f>
        <v/>
      </c>
      <c r="AD2476" s="33" t="str">
        <f aca="false">IF(AND(E2476&gt;0,W2476&lt;1,NOT(AND(C2477=C2476,W2477=W2476+1))),INDEX(DATAS,W2476+1),"")</f>
        <v/>
      </c>
      <c r="AE2476" s="33" t="str">
        <f aca="false">IF(AND(Y2476=1,W2476&lt;1),IF(AND(C2477=C2476,W2477=W2476+1),IF(Y2477=1,"",INDEX(DATAS,W2476+1)),INDEX(DATAS,W2476+1)),"")</f>
        <v/>
      </c>
    </row>
    <row r="2477" customFormat="false" ht="15" hidden="false" customHeight="false" outlineLevel="0" collapsed="false">
      <c r="A2477" s="33" t="n">
        <v>46309</v>
      </c>
      <c r="B2477" s="0" t="n">
        <v>13</v>
      </c>
      <c r="C2477" s="0" t="n">
        <v>6797</v>
      </c>
      <c r="E2477" s="0" t="n">
        <v>0</v>
      </c>
      <c r="F2477" s="27" t="s">
        <v>1281</v>
      </c>
      <c r="I2477" s="27" t="s">
        <v>176</v>
      </c>
      <c r="U2477" s="0" t="n">
        <v>440</v>
      </c>
      <c r="V2477" s="0" t="n">
        <v>0</v>
      </c>
      <c r="W2477" s="27" t="n">
        <f aca="false">MATCH(A2477,DATAS,0)</f>
        <v>1</v>
      </c>
      <c r="X2477" s="27" t="n">
        <f aca="false">IF(AND(E2477&gt;0,OR(AND(B2477&gt;=1,B2477&lt;=6),B2477=10)),1,0)</f>
        <v>0</v>
      </c>
      <c r="Y2477" s="27" t="n">
        <f aca="false">IF(AND(E2477&gt;0,B2477=10),1,0)</f>
        <v>0</v>
      </c>
      <c r="Z2477" s="0" t="str">
        <f aca="false">IF(AND(C2476=C2477,W2476=W2477-1),X2476,"")</f>
        <v/>
      </c>
      <c r="AA2477" s="0" t="str">
        <f aca="false">IF(AND(C2476=C2477,W2476=W2477-1),Y2476,"")</f>
        <v/>
      </c>
      <c r="AB2477" s="0" t="str">
        <f aca="false">IF(W2477=1,"",IF(AND(X2477=1,Z2477&lt;&gt;1),1,0))</f>
        <v/>
      </c>
      <c r="AC2477" s="0" t="str">
        <f aca="false">IF(W2477=1,"",IF(AND(Y2477=1,AA2477&lt;&gt;1),1,0))</f>
        <v/>
      </c>
      <c r="AD2477" s="33" t="str">
        <f aca="false">IF(AND(E2477&gt;0,W2477&lt;1,NOT(AND(C2478=C2477,W2478=W2477+1))),INDEX(DATAS,W2477+1),"")</f>
        <v/>
      </c>
      <c r="AE2477" s="33" t="str">
        <f aca="false">IF(AND(Y2477=1,W2477&lt;1),IF(AND(C2478=C2477,W2478=W2477+1),IF(Y2478=1,"",INDEX(DATAS,W2477+1)),INDEX(DATAS,W2477+1)),"")</f>
        <v/>
      </c>
    </row>
    <row r="2478" customFormat="false" ht="15" hidden="false" customHeight="false" outlineLevel="0" collapsed="false">
      <c r="A2478" s="33" t="n">
        <v>46309</v>
      </c>
      <c r="B2478" s="0" t="n">
        <v>8</v>
      </c>
      <c r="C2478" s="0" t="n">
        <v>6798</v>
      </c>
      <c r="E2478" s="0" t="n">
        <v>0</v>
      </c>
      <c r="F2478" s="27" t="s">
        <v>1281</v>
      </c>
      <c r="I2478" s="27" t="s">
        <v>138</v>
      </c>
      <c r="L2478" s="0" t="n">
        <v>38</v>
      </c>
      <c r="U2478" s="0" t="n">
        <v>440</v>
      </c>
      <c r="V2478" s="0" t="n">
        <v>1</v>
      </c>
      <c r="W2478" s="27" t="n">
        <f aca="false">MATCH(A2478,DATAS,0)</f>
        <v>1</v>
      </c>
      <c r="X2478" s="27" t="n">
        <f aca="false">IF(AND(E2478&gt;0,OR(AND(B2478&gt;=1,B2478&lt;=6),B2478=10)),1,0)</f>
        <v>0</v>
      </c>
      <c r="Y2478" s="27" t="n">
        <f aca="false">IF(AND(E2478&gt;0,B2478=10),1,0)</f>
        <v>0</v>
      </c>
      <c r="Z2478" s="0" t="str">
        <f aca="false">IF(AND(C2477=C2478,W2477=W2478-1),X2477,"")</f>
        <v/>
      </c>
      <c r="AA2478" s="0" t="str">
        <f aca="false">IF(AND(C2477=C2478,W2477=W2478-1),Y2477,"")</f>
        <v/>
      </c>
      <c r="AB2478" s="0" t="str">
        <f aca="false">IF(W2478=1,"",IF(AND(X2478=1,Z2478&lt;&gt;1),1,0))</f>
        <v/>
      </c>
      <c r="AC2478" s="0" t="str">
        <f aca="false">IF(W2478=1,"",IF(AND(Y2478=1,AA2478&lt;&gt;1),1,0))</f>
        <v/>
      </c>
      <c r="AD2478" s="33" t="str">
        <f aca="false">IF(AND(E2478&gt;0,W2478&lt;1,NOT(AND(C2479=C2478,W2479=W2478+1))),INDEX(DATAS,W2478+1),"")</f>
        <v/>
      </c>
      <c r="AE2478" s="33" t="str">
        <f aca="false">IF(AND(Y2478=1,W2478&lt;1),IF(AND(C2479=C2478,W2479=W2478+1),IF(Y2479=1,"",INDEX(DATAS,W2478+1)),INDEX(DATAS,W2478+1)),"")</f>
        <v/>
      </c>
    </row>
    <row r="2479" customFormat="false" ht="15" hidden="false" customHeight="false" outlineLevel="0" collapsed="false">
      <c r="A2479" s="33" t="n">
        <v>46309</v>
      </c>
      <c r="B2479" s="0" t="n">
        <v>11</v>
      </c>
      <c r="C2479" s="0" t="n">
        <v>6799</v>
      </c>
      <c r="E2479" s="0" t="n">
        <v>0</v>
      </c>
      <c r="F2479" s="27" t="s">
        <v>1281</v>
      </c>
      <c r="I2479" s="27" t="s">
        <v>168</v>
      </c>
      <c r="U2479" s="0" t="n">
        <v>440</v>
      </c>
      <c r="V2479" s="0" t="n">
        <v>2</v>
      </c>
      <c r="W2479" s="27" t="n">
        <f aca="false">MATCH(A2479,DATAS,0)</f>
        <v>1</v>
      </c>
      <c r="X2479" s="27" t="n">
        <f aca="false">IF(AND(E2479&gt;0,OR(AND(B2479&gt;=1,B2479&lt;=6),B2479=10)),1,0)</f>
        <v>0</v>
      </c>
      <c r="Y2479" s="27" t="n">
        <f aca="false">IF(AND(E2479&gt;0,B2479=10),1,0)</f>
        <v>0</v>
      </c>
      <c r="Z2479" s="0" t="str">
        <f aca="false">IF(AND(C2478=C2479,W2478=W2479-1),X2478,"")</f>
        <v/>
      </c>
      <c r="AA2479" s="0" t="str">
        <f aca="false">IF(AND(C2478=C2479,W2478=W2479-1),Y2478,"")</f>
        <v/>
      </c>
      <c r="AB2479" s="0" t="str">
        <f aca="false">IF(W2479=1,"",IF(AND(X2479=1,Z2479&lt;&gt;1),1,0))</f>
        <v/>
      </c>
      <c r="AC2479" s="0" t="str">
        <f aca="false">IF(W2479=1,"",IF(AND(Y2479=1,AA2479&lt;&gt;1),1,0))</f>
        <v/>
      </c>
      <c r="AD2479" s="33" t="str">
        <f aca="false">IF(AND(E2479&gt;0,W2479&lt;1,NOT(AND(C2480=C2479,W2480=W2479+1))),INDEX(DATAS,W2479+1),"")</f>
        <v/>
      </c>
      <c r="AE2479" s="33" t="str">
        <f aca="false">IF(AND(Y2479=1,W2479&lt;1),IF(AND(C2480=C2479,W2480=W2479+1),IF(Y2480=1,"",INDEX(DATAS,W2479+1)),INDEX(DATAS,W2479+1)),"")</f>
        <v/>
      </c>
    </row>
    <row r="2480" customFormat="false" ht="15" hidden="false" customHeight="false" outlineLevel="0" collapsed="false">
      <c r="A2480" s="33" t="n">
        <v>46309</v>
      </c>
      <c r="B2480" s="0" t="n">
        <v>8</v>
      </c>
      <c r="C2480" s="0" t="n">
        <v>6800</v>
      </c>
      <c r="E2480" s="0" t="n">
        <v>0</v>
      </c>
      <c r="F2480" s="27" t="s">
        <v>1281</v>
      </c>
      <c r="I2480" s="27" t="s">
        <v>138</v>
      </c>
      <c r="L2480" s="0" t="n">
        <v>44</v>
      </c>
      <c r="U2480" s="0" t="n">
        <v>440</v>
      </c>
      <c r="V2480" s="0" t="n">
        <v>1</v>
      </c>
      <c r="W2480" s="27" t="n">
        <f aca="false">MATCH(A2480,DATAS,0)</f>
        <v>1</v>
      </c>
      <c r="X2480" s="27" t="n">
        <f aca="false">IF(AND(E2480&gt;0,OR(AND(B2480&gt;=1,B2480&lt;=6),B2480=10)),1,0)</f>
        <v>0</v>
      </c>
      <c r="Y2480" s="27" t="n">
        <f aca="false">IF(AND(E2480&gt;0,B2480=10),1,0)</f>
        <v>0</v>
      </c>
      <c r="Z2480" s="0" t="str">
        <f aca="false">IF(AND(C2479=C2480,W2479=W2480-1),X2479,"")</f>
        <v/>
      </c>
      <c r="AA2480" s="0" t="str">
        <f aca="false">IF(AND(C2479=C2480,W2479=W2480-1),Y2479,"")</f>
        <v/>
      </c>
      <c r="AB2480" s="0" t="str">
        <f aca="false">IF(W2480=1,"",IF(AND(X2480=1,Z2480&lt;&gt;1),1,0))</f>
        <v/>
      </c>
      <c r="AC2480" s="0" t="str">
        <f aca="false">IF(W2480=1,"",IF(AND(Y2480=1,AA2480&lt;&gt;1),1,0))</f>
        <v/>
      </c>
      <c r="AD2480" s="33" t="str">
        <f aca="false">IF(AND(E2480&gt;0,W2480&lt;1,NOT(AND(C2481=C2480,W2481=W2480+1))),INDEX(DATAS,W2480+1),"")</f>
        <v/>
      </c>
      <c r="AE2480" s="33" t="str">
        <f aca="false">IF(AND(Y2480=1,W2480&lt;1),IF(AND(C2481=C2480,W2481=W2480+1),IF(Y2481=1,"",INDEX(DATAS,W2480+1)),INDEX(DATAS,W2480+1)),"")</f>
        <v/>
      </c>
    </row>
    <row r="2481" customFormat="false" ht="15" hidden="false" customHeight="false" outlineLevel="0" collapsed="false">
      <c r="A2481" s="33" t="n">
        <v>46309</v>
      </c>
      <c r="B2481" s="0" t="n">
        <v>13</v>
      </c>
      <c r="C2481" s="0" t="n">
        <v>6801</v>
      </c>
      <c r="E2481" s="0" t="n">
        <v>0</v>
      </c>
      <c r="F2481" s="27" t="s">
        <v>1281</v>
      </c>
      <c r="I2481" s="27" t="s">
        <v>176</v>
      </c>
      <c r="U2481" s="0" t="n">
        <v>440</v>
      </c>
      <c r="V2481" s="0" t="n">
        <v>0</v>
      </c>
      <c r="W2481" s="27" t="n">
        <f aca="false">MATCH(A2481,DATAS,0)</f>
        <v>1</v>
      </c>
      <c r="X2481" s="27" t="n">
        <f aca="false">IF(AND(E2481&gt;0,OR(AND(B2481&gt;=1,B2481&lt;=6),B2481=10)),1,0)</f>
        <v>0</v>
      </c>
      <c r="Y2481" s="27" t="n">
        <f aca="false">IF(AND(E2481&gt;0,B2481=10),1,0)</f>
        <v>0</v>
      </c>
      <c r="Z2481" s="0" t="str">
        <f aca="false">IF(AND(C2480=C2481,W2480=W2481-1),X2480,"")</f>
        <v/>
      </c>
      <c r="AA2481" s="0" t="str">
        <f aca="false">IF(AND(C2480=C2481,W2480=W2481-1),Y2480,"")</f>
        <v/>
      </c>
      <c r="AB2481" s="0" t="str">
        <f aca="false">IF(W2481=1,"",IF(AND(X2481=1,Z2481&lt;&gt;1),1,0))</f>
        <v/>
      </c>
      <c r="AC2481" s="0" t="str">
        <f aca="false">IF(W2481=1,"",IF(AND(Y2481=1,AA2481&lt;&gt;1),1,0))</f>
        <v/>
      </c>
      <c r="AD2481" s="33" t="str">
        <f aca="false">IF(AND(E2481&gt;0,W2481&lt;1,NOT(AND(C2482=C2481,W2482=W2481+1))),INDEX(DATAS,W2481+1),"")</f>
        <v/>
      </c>
      <c r="AE2481" s="33" t="str">
        <f aca="false">IF(AND(Y2481=1,W2481&lt;1),IF(AND(C2482=C2481,W2482=W2481+1),IF(Y2482=1,"",INDEX(DATAS,W2481+1)),INDEX(DATAS,W2481+1)),"")</f>
        <v/>
      </c>
    </row>
    <row r="2482" customFormat="false" ht="15" hidden="false" customHeight="false" outlineLevel="0" collapsed="false">
      <c r="A2482" s="33" t="n">
        <v>46309</v>
      </c>
      <c r="B2482" s="0" t="n">
        <v>13</v>
      </c>
      <c r="C2482" s="0" t="n">
        <v>6802</v>
      </c>
      <c r="E2482" s="0" t="n">
        <v>0</v>
      </c>
      <c r="F2482" s="27" t="s">
        <v>1282</v>
      </c>
      <c r="I2482" s="27" t="s">
        <v>168</v>
      </c>
      <c r="U2482" s="0" t="n">
        <v>439</v>
      </c>
      <c r="V2482" s="0" t="n">
        <v>1</v>
      </c>
      <c r="W2482" s="27" t="n">
        <f aca="false">MATCH(A2482,DATAS,0)</f>
        <v>1</v>
      </c>
      <c r="X2482" s="27" t="n">
        <f aca="false">IF(AND(E2482&gt;0,OR(AND(B2482&gt;=1,B2482&lt;=6),B2482=10)),1,0)</f>
        <v>0</v>
      </c>
      <c r="Y2482" s="27" t="n">
        <f aca="false">IF(AND(E2482&gt;0,B2482=10),1,0)</f>
        <v>0</v>
      </c>
      <c r="Z2482" s="0" t="str">
        <f aca="false">IF(AND(C2481=C2482,W2481=W2482-1),X2481,"")</f>
        <v/>
      </c>
      <c r="AA2482" s="0" t="str">
        <f aca="false">IF(AND(C2481=C2482,W2481=W2482-1),Y2481,"")</f>
        <v/>
      </c>
      <c r="AB2482" s="0" t="str">
        <f aca="false">IF(W2482=1,"",IF(AND(X2482=1,Z2482&lt;&gt;1),1,0))</f>
        <v/>
      </c>
      <c r="AC2482" s="0" t="str">
        <f aca="false">IF(W2482=1,"",IF(AND(Y2482=1,AA2482&lt;&gt;1),1,0))</f>
        <v/>
      </c>
      <c r="AD2482" s="33" t="str">
        <f aca="false">IF(AND(E2482&gt;0,W2482&lt;1,NOT(AND(C2483=C2482,W2483=W2482+1))),INDEX(DATAS,W2482+1),"")</f>
        <v/>
      </c>
      <c r="AE2482" s="33" t="str">
        <f aca="false">IF(AND(Y2482=1,W2482&lt;1),IF(AND(C2483=C2482,W2483=W2482+1),IF(Y2483=1,"",INDEX(DATAS,W2482+1)),INDEX(DATAS,W2482+1)),"")</f>
        <v/>
      </c>
    </row>
    <row r="2483" customFormat="false" ht="15" hidden="false" customHeight="false" outlineLevel="0" collapsed="false">
      <c r="A2483" s="33" t="n">
        <v>46309</v>
      </c>
      <c r="B2483" s="0" t="n">
        <v>11</v>
      </c>
      <c r="C2483" s="0" t="n">
        <v>6803</v>
      </c>
      <c r="E2483" s="0" t="n">
        <v>0</v>
      </c>
      <c r="F2483" s="27" t="s">
        <v>1282</v>
      </c>
      <c r="I2483" s="27" t="s">
        <v>168</v>
      </c>
      <c r="U2483" s="0" t="n">
        <v>439</v>
      </c>
      <c r="V2483" s="0" t="n">
        <v>2</v>
      </c>
      <c r="W2483" s="27" t="n">
        <f aca="false">MATCH(A2483,DATAS,0)</f>
        <v>1</v>
      </c>
      <c r="X2483" s="27" t="n">
        <f aca="false">IF(AND(E2483&gt;0,OR(AND(B2483&gt;=1,B2483&lt;=6),B2483=10)),1,0)</f>
        <v>0</v>
      </c>
      <c r="Y2483" s="27" t="n">
        <f aca="false">IF(AND(E2483&gt;0,B2483=10),1,0)</f>
        <v>0</v>
      </c>
      <c r="Z2483" s="0" t="str">
        <f aca="false">IF(AND(C2482=C2483,W2482=W2483-1),X2482,"")</f>
        <v/>
      </c>
      <c r="AA2483" s="0" t="str">
        <f aca="false">IF(AND(C2482=C2483,W2482=W2483-1),Y2482,"")</f>
        <v/>
      </c>
      <c r="AB2483" s="0" t="str">
        <f aca="false">IF(W2483=1,"",IF(AND(X2483=1,Z2483&lt;&gt;1),1,0))</f>
        <v/>
      </c>
      <c r="AC2483" s="0" t="str">
        <f aca="false">IF(W2483=1,"",IF(AND(Y2483=1,AA2483&lt;&gt;1),1,0))</f>
        <v/>
      </c>
      <c r="AD2483" s="33" t="str">
        <f aca="false">IF(AND(E2483&gt;0,W2483&lt;1,NOT(AND(C2484=C2483,W2484=W2483+1))),INDEX(DATAS,W2483+1),"")</f>
        <v/>
      </c>
      <c r="AE2483" s="33" t="str">
        <f aca="false">IF(AND(Y2483=1,W2483&lt;1),IF(AND(C2484=C2483,W2484=W2483+1),IF(Y2484=1,"",INDEX(DATAS,W2483+1)),INDEX(DATAS,W2483+1)),"")</f>
        <v/>
      </c>
    </row>
    <row r="2484" customFormat="false" ht="15" hidden="false" customHeight="false" outlineLevel="0" collapsed="false">
      <c r="A2484" s="33" t="n">
        <v>46309</v>
      </c>
      <c r="B2484" s="0" t="n">
        <v>11</v>
      </c>
      <c r="C2484" s="0" t="n">
        <v>6804</v>
      </c>
      <c r="E2484" s="0" t="n">
        <v>0</v>
      </c>
      <c r="F2484" s="27" t="s">
        <v>1282</v>
      </c>
      <c r="I2484" s="27" t="s">
        <v>168</v>
      </c>
      <c r="U2484" s="0" t="n">
        <v>439</v>
      </c>
      <c r="V2484" s="0" t="n">
        <v>1</v>
      </c>
      <c r="W2484" s="27" t="n">
        <f aca="false">MATCH(A2484,DATAS,0)</f>
        <v>1</v>
      </c>
      <c r="X2484" s="27" t="n">
        <f aca="false">IF(AND(E2484&gt;0,OR(AND(B2484&gt;=1,B2484&lt;=6),B2484=10)),1,0)</f>
        <v>0</v>
      </c>
      <c r="Y2484" s="27" t="n">
        <f aca="false">IF(AND(E2484&gt;0,B2484=10),1,0)</f>
        <v>0</v>
      </c>
      <c r="Z2484" s="0" t="str">
        <f aca="false">IF(AND(C2483=C2484,W2483=W2484-1),X2483,"")</f>
        <v/>
      </c>
      <c r="AA2484" s="0" t="str">
        <f aca="false">IF(AND(C2483=C2484,W2483=W2484-1),Y2483,"")</f>
        <v/>
      </c>
      <c r="AB2484" s="0" t="str">
        <f aca="false">IF(W2484=1,"",IF(AND(X2484=1,Z2484&lt;&gt;1),1,0))</f>
        <v/>
      </c>
      <c r="AC2484" s="0" t="str">
        <f aca="false">IF(W2484=1,"",IF(AND(Y2484=1,AA2484&lt;&gt;1),1,0))</f>
        <v/>
      </c>
      <c r="AD2484" s="33" t="str">
        <f aca="false">IF(AND(E2484&gt;0,W2484&lt;1,NOT(AND(C2485=C2484,W2485=W2484+1))),INDEX(DATAS,W2484+1),"")</f>
        <v/>
      </c>
      <c r="AE2484" s="33" t="str">
        <f aca="false">IF(AND(Y2484=1,W2484&lt;1),IF(AND(C2485=C2484,W2485=W2484+1),IF(Y2485=1,"",INDEX(DATAS,W2484+1)),INDEX(DATAS,W2484+1)),"")</f>
        <v/>
      </c>
    </row>
    <row r="2485" customFormat="false" ht="15" hidden="false" customHeight="false" outlineLevel="0" collapsed="false">
      <c r="A2485" s="33" t="n">
        <v>46309</v>
      </c>
      <c r="B2485" s="0" t="n">
        <v>13</v>
      </c>
      <c r="C2485" s="0" t="n">
        <v>6806</v>
      </c>
      <c r="E2485" s="0" t="n">
        <v>0</v>
      </c>
      <c r="F2485" s="27" t="s">
        <v>1282</v>
      </c>
      <c r="I2485" s="27" t="s">
        <v>176</v>
      </c>
      <c r="U2485" s="0" t="n">
        <v>439</v>
      </c>
      <c r="V2485" s="0" t="n">
        <v>0</v>
      </c>
      <c r="W2485" s="27" t="n">
        <f aca="false">MATCH(A2485,DATAS,0)</f>
        <v>1</v>
      </c>
      <c r="X2485" s="27" t="n">
        <f aca="false">IF(AND(E2485&gt;0,OR(AND(B2485&gt;=1,B2485&lt;=6),B2485=10)),1,0)</f>
        <v>0</v>
      </c>
      <c r="Y2485" s="27" t="n">
        <f aca="false">IF(AND(E2485&gt;0,B2485=10),1,0)</f>
        <v>0</v>
      </c>
      <c r="Z2485" s="0" t="str">
        <f aca="false">IF(AND(C2484=C2485,W2484=W2485-1),X2484,"")</f>
        <v/>
      </c>
      <c r="AA2485" s="0" t="str">
        <f aca="false">IF(AND(C2484=C2485,W2484=W2485-1),Y2484,"")</f>
        <v/>
      </c>
      <c r="AB2485" s="0" t="str">
        <f aca="false">IF(W2485=1,"",IF(AND(X2485=1,Z2485&lt;&gt;1),1,0))</f>
        <v/>
      </c>
      <c r="AC2485" s="0" t="str">
        <f aca="false">IF(W2485=1,"",IF(AND(Y2485=1,AA2485&lt;&gt;1),1,0))</f>
        <v/>
      </c>
      <c r="AD2485" s="33" t="str">
        <f aca="false">IF(AND(E2485&gt;0,W2485&lt;1,NOT(AND(C2486=C2485,W2486=W2485+1))),INDEX(DATAS,W2485+1),"")</f>
        <v/>
      </c>
      <c r="AE2485" s="33" t="str">
        <f aca="false">IF(AND(Y2485=1,W2485&lt;1),IF(AND(C2486=C2485,W2486=W2485+1),IF(Y2486=1,"",INDEX(DATAS,W2485+1)),INDEX(DATAS,W2485+1)),"")</f>
        <v/>
      </c>
    </row>
    <row r="2486" customFormat="false" ht="15" hidden="false" customHeight="false" outlineLevel="0" collapsed="false">
      <c r="A2486" s="33" t="n">
        <v>46309</v>
      </c>
      <c r="B2486" s="0" t="n">
        <v>11</v>
      </c>
      <c r="C2486" s="0" t="n">
        <v>6808</v>
      </c>
      <c r="E2486" s="0" t="n">
        <v>0</v>
      </c>
      <c r="F2486" s="27" t="s">
        <v>1282</v>
      </c>
      <c r="I2486" s="27" t="s">
        <v>168</v>
      </c>
      <c r="U2486" s="0" t="n">
        <v>439</v>
      </c>
      <c r="V2486" s="0" t="n">
        <v>1</v>
      </c>
      <c r="W2486" s="27" t="n">
        <f aca="false">MATCH(A2486,DATAS,0)</f>
        <v>1</v>
      </c>
      <c r="X2486" s="27" t="n">
        <f aca="false">IF(AND(E2486&gt;0,OR(AND(B2486&gt;=1,B2486&lt;=6),B2486=10)),1,0)</f>
        <v>0</v>
      </c>
      <c r="Y2486" s="27" t="n">
        <f aca="false">IF(AND(E2486&gt;0,B2486=10),1,0)</f>
        <v>0</v>
      </c>
      <c r="Z2486" s="0" t="str">
        <f aca="false">IF(AND(C2485=C2486,W2485=W2486-1),X2485,"")</f>
        <v/>
      </c>
      <c r="AA2486" s="0" t="str">
        <f aca="false">IF(AND(C2485=C2486,W2485=W2486-1),Y2485,"")</f>
        <v/>
      </c>
      <c r="AB2486" s="0" t="str">
        <f aca="false">IF(W2486=1,"",IF(AND(X2486=1,Z2486&lt;&gt;1),1,0))</f>
        <v/>
      </c>
      <c r="AC2486" s="0" t="str">
        <f aca="false">IF(W2486=1,"",IF(AND(Y2486=1,AA2486&lt;&gt;1),1,0))</f>
        <v/>
      </c>
      <c r="AD2486" s="33" t="str">
        <f aca="false">IF(AND(E2486&gt;0,W2486&lt;1,NOT(AND(C2487=C2486,W2487=W2486+1))),INDEX(DATAS,W2486+1),"")</f>
        <v/>
      </c>
      <c r="AE2486" s="33" t="str">
        <f aca="false">IF(AND(Y2486=1,W2486&lt;1),IF(AND(C2487=C2486,W2487=W2486+1),IF(Y2487=1,"",INDEX(DATAS,W2486+1)),INDEX(DATAS,W2486+1)),"")</f>
        <v/>
      </c>
    </row>
    <row r="2487" customFormat="false" ht="15" hidden="false" customHeight="false" outlineLevel="0" collapsed="false">
      <c r="A2487" s="33" t="n">
        <v>46309</v>
      </c>
      <c r="B2487" s="0" t="n">
        <v>11</v>
      </c>
      <c r="C2487" s="0" t="n">
        <v>6809</v>
      </c>
      <c r="E2487" s="0" t="n">
        <v>0</v>
      </c>
      <c r="F2487" s="27" t="s">
        <v>1283</v>
      </c>
      <c r="I2487" s="27" t="s">
        <v>176</v>
      </c>
      <c r="U2487" s="0" t="n">
        <v>438</v>
      </c>
      <c r="V2487" s="0" t="n">
        <v>1</v>
      </c>
      <c r="W2487" s="27" t="n">
        <f aca="false">MATCH(A2487,DATAS,0)</f>
        <v>1</v>
      </c>
      <c r="X2487" s="27" t="n">
        <f aca="false">IF(AND(E2487&gt;0,OR(AND(B2487&gt;=1,B2487&lt;=6),B2487=10)),1,0)</f>
        <v>0</v>
      </c>
      <c r="Y2487" s="27" t="n">
        <f aca="false">IF(AND(E2487&gt;0,B2487=10),1,0)</f>
        <v>0</v>
      </c>
      <c r="Z2487" s="0" t="str">
        <f aca="false">IF(AND(C2486=C2487,W2486=W2487-1),X2486,"")</f>
        <v/>
      </c>
      <c r="AA2487" s="0" t="str">
        <f aca="false">IF(AND(C2486=C2487,W2486=W2487-1),Y2486,"")</f>
        <v/>
      </c>
      <c r="AB2487" s="0" t="str">
        <f aca="false">IF(W2487=1,"",IF(AND(X2487=1,Z2487&lt;&gt;1),1,0))</f>
        <v/>
      </c>
      <c r="AC2487" s="0" t="str">
        <f aca="false">IF(W2487=1,"",IF(AND(Y2487=1,AA2487&lt;&gt;1),1,0))</f>
        <v/>
      </c>
      <c r="AD2487" s="33" t="str">
        <f aca="false">IF(AND(E2487&gt;0,W2487&lt;1,NOT(AND(C2488=C2487,W2488=W2487+1))),INDEX(DATAS,W2487+1),"")</f>
        <v/>
      </c>
      <c r="AE2487" s="33" t="str">
        <f aca="false">IF(AND(Y2487=1,W2487&lt;1),IF(AND(C2488=C2487,W2488=W2487+1),IF(Y2488=1,"",INDEX(DATAS,W2487+1)),INDEX(DATAS,W2487+1)),"")</f>
        <v/>
      </c>
    </row>
    <row r="2488" customFormat="false" ht="15" hidden="false" customHeight="false" outlineLevel="0" collapsed="false">
      <c r="A2488" s="33" t="n">
        <v>46309</v>
      </c>
      <c r="B2488" s="0" t="n">
        <v>8</v>
      </c>
      <c r="C2488" s="0" t="n">
        <v>6810</v>
      </c>
      <c r="E2488" s="0" t="n">
        <v>0</v>
      </c>
      <c r="F2488" s="27" t="s">
        <v>1283</v>
      </c>
      <c r="I2488" s="27" t="s">
        <v>138</v>
      </c>
      <c r="L2488" s="0" t="n">
        <v>36</v>
      </c>
      <c r="U2488" s="0" t="n">
        <v>438</v>
      </c>
      <c r="V2488" s="0" t="n">
        <v>1</v>
      </c>
      <c r="W2488" s="27" t="n">
        <f aca="false">MATCH(A2488,DATAS,0)</f>
        <v>1</v>
      </c>
      <c r="X2488" s="27" t="n">
        <f aca="false">IF(AND(E2488&gt;0,OR(AND(B2488&gt;=1,B2488&lt;=6),B2488=10)),1,0)</f>
        <v>0</v>
      </c>
      <c r="Y2488" s="27" t="n">
        <f aca="false">IF(AND(E2488&gt;0,B2488=10),1,0)</f>
        <v>0</v>
      </c>
      <c r="Z2488" s="0" t="str">
        <f aca="false">IF(AND(C2487=C2488,W2487=W2488-1),X2487,"")</f>
        <v/>
      </c>
      <c r="AA2488" s="0" t="str">
        <f aca="false">IF(AND(C2487=C2488,W2487=W2488-1),Y2487,"")</f>
        <v/>
      </c>
      <c r="AB2488" s="0" t="str">
        <f aca="false">IF(W2488=1,"",IF(AND(X2488=1,Z2488&lt;&gt;1),1,0))</f>
        <v/>
      </c>
      <c r="AC2488" s="0" t="str">
        <f aca="false">IF(W2488=1,"",IF(AND(Y2488=1,AA2488&lt;&gt;1),1,0))</f>
        <v/>
      </c>
      <c r="AD2488" s="33" t="str">
        <f aca="false">IF(AND(E2488&gt;0,W2488&lt;1,NOT(AND(C2489=C2488,W2489=W2488+1))),INDEX(DATAS,W2488+1),"")</f>
        <v/>
      </c>
      <c r="AE2488" s="33" t="str">
        <f aca="false">IF(AND(Y2488=1,W2488&lt;1),IF(AND(C2489=C2488,W2489=W2488+1),IF(Y2489=1,"",INDEX(DATAS,W2488+1)),INDEX(DATAS,W2488+1)),"")</f>
        <v/>
      </c>
    </row>
    <row r="2489" customFormat="false" ht="15" hidden="false" customHeight="false" outlineLevel="0" collapsed="false">
      <c r="A2489" s="33" t="n">
        <v>46309</v>
      </c>
      <c r="B2489" s="0" t="n">
        <v>11</v>
      </c>
      <c r="C2489" s="0" t="n">
        <v>6811</v>
      </c>
      <c r="E2489" s="0" t="n">
        <v>0</v>
      </c>
      <c r="F2489" s="27" t="s">
        <v>1284</v>
      </c>
      <c r="I2489" s="27" t="s">
        <v>176</v>
      </c>
      <c r="U2489" s="0" t="n">
        <v>433</v>
      </c>
      <c r="V2489" s="0" t="n">
        <v>1</v>
      </c>
      <c r="W2489" s="27" t="n">
        <f aca="false">MATCH(A2489,DATAS,0)</f>
        <v>1</v>
      </c>
      <c r="X2489" s="27" t="n">
        <f aca="false">IF(AND(E2489&gt;0,OR(AND(B2489&gt;=1,B2489&lt;=6),B2489=10)),1,0)</f>
        <v>0</v>
      </c>
      <c r="Y2489" s="27" t="n">
        <f aca="false">IF(AND(E2489&gt;0,B2489=10),1,0)</f>
        <v>0</v>
      </c>
      <c r="Z2489" s="0" t="str">
        <f aca="false">IF(AND(C2488=C2489,W2488=W2489-1),X2488,"")</f>
        <v/>
      </c>
      <c r="AA2489" s="0" t="str">
        <f aca="false">IF(AND(C2488=C2489,W2488=W2489-1),Y2488,"")</f>
        <v/>
      </c>
      <c r="AB2489" s="0" t="str">
        <f aca="false">IF(W2489=1,"",IF(AND(X2489=1,Z2489&lt;&gt;1),1,0))</f>
        <v/>
      </c>
      <c r="AC2489" s="0" t="str">
        <f aca="false">IF(W2489=1,"",IF(AND(Y2489=1,AA2489&lt;&gt;1),1,0))</f>
        <v/>
      </c>
      <c r="AD2489" s="33" t="str">
        <f aca="false">IF(AND(E2489&gt;0,W2489&lt;1,NOT(AND(C2490=C2489,W2490=W2489+1))),INDEX(DATAS,W2489+1),"")</f>
        <v/>
      </c>
      <c r="AE2489" s="33" t="str">
        <f aca="false">IF(AND(Y2489=1,W2489&lt;1),IF(AND(C2490=C2489,W2490=W2489+1),IF(Y2490=1,"",INDEX(DATAS,W2489+1)),INDEX(DATAS,W2489+1)),"")</f>
        <v/>
      </c>
    </row>
    <row r="2490" customFormat="false" ht="15" hidden="false" customHeight="false" outlineLevel="0" collapsed="false">
      <c r="A2490" s="33" t="n">
        <v>46309</v>
      </c>
      <c r="B2490" s="0" t="n">
        <v>11</v>
      </c>
      <c r="C2490" s="0" t="n">
        <v>6812</v>
      </c>
      <c r="E2490" s="0" t="n">
        <v>0</v>
      </c>
      <c r="F2490" s="27" t="s">
        <v>1284</v>
      </c>
      <c r="I2490" s="27" t="s">
        <v>176</v>
      </c>
      <c r="U2490" s="0" t="n">
        <v>433</v>
      </c>
      <c r="V2490" s="0" t="n">
        <v>1</v>
      </c>
      <c r="W2490" s="27" t="n">
        <f aca="false">MATCH(A2490,DATAS,0)</f>
        <v>1</v>
      </c>
      <c r="X2490" s="27" t="n">
        <f aca="false">IF(AND(E2490&gt;0,OR(AND(B2490&gt;=1,B2490&lt;=6),B2490=10)),1,0)</f>
        <v>0</v>
      </c>
      <c r="Y2490" s="27" t="n">
        <f aca="false">IF(AND(E2490&gt;0,B2490=10),1,0)</f>
        <v>0</v>
      </c>
      <c r="Z2490" s="0" t="str">
        <f aca="false">IF(AND(C2489=C2490,W2489=W2490-1),X2489,"")</f>
        <v/>
      </c>
      <c r="AA2490" s="0" t="str">
        <f aca="false">IF(AND(C2489=C2490,W2489=W2490-1),Y2489,"")</f>
        <v/>
      </c>
      <c r="AB2490" s="0" t="str">
        <f aca="false">IF(W2490=1,"",IF(AND(X2490=1,Z2490&lt;&gt;1),1,0))</f>
        <v/>
      </c>
      <c r="AC2490" s="0" t="str">
        <f aca="false">IF(W2490=1,"",IF(AND(Y2490=1,AA2490&lt;&gt;1),1,0))</f>
        <v/>
      </c>
      <c r="AD2490" s="33" t="str">
        <f aca="false">IF(AND(E2490&gt;0,W2490&lt;1,NOT(AND(C2491=C2490,W2491=W2490+1))),INDEX(DATAS,W2490+1),"")</f>
        <v/>
      </c>
      <c r="AE2490" s="33" t="str">
        <f aca="false">IF(AND(Y2490=1,W2490&lt;1),IF(AND(C2491=C2490,W2491=W2490+1),IF(Y2491=1,"",INDEX(DATAS,W2490+1)),INDEX(DATAS,W2490+1)),"")</f>
        <v/>
      </c>
    </row>
    <row r="2491" customFormat="false" ht="15" hidden="false" customHeight="false" outlineLevel="0" collapsed="false">
      <c r="A2491" s="33" t="n">
        <v>46309</v>
      </c>
      <c r="B2491" s="0" t="n">
        <v>11</v>
      </c>
      <c r="C2491" s="0" t="n">
        <v>6813</v>
      </c>
      <c r="E2491" s="0" t="n">
        <v>0</v>
      </c>
      <c r="F2491" s="27" t="s">
        <v>1284</v>
      </c>
      <c r="I2491" s="27" t="s">
        <v>168</v>
      </c>
      <c r="U2491" s="0" t="n">
        <v>433</v>
      </c>
      <c r="V2491" s="0" t="n">
        <v>2</v>
      </c>
      <c r="W2491" s="27" t="n">
        <f aca="false">MATCH(A2491,DATAS,0)</f>
        <v>1</v>
      </c>
      <c r="X2491" s="27" t="n">
        <f aca="false">IF(AND(E2491&gt;0,OR(AND(B2491&gt;=1,B2491&lt;=6),B2491=10)),1,0)</f>
        <v>0</v>
      </c>
      <c r="Y2491" s="27" t="n">
        <f aca="false">IF(AND(E2491&gt;0,B2491=10),1,0)</f>
        <v>0</v>
      </c>
      <c r="Z2491" s="0" t="str">
        <f aca="false">IF(AND(C2490=C2491,W2490=W2491-1),X2490,"")</f>
        <v/>
      </c>
      <c r="AA2491" s="0" t="str">
        <f aca="false">IF(AND(C2490=C2491,W2490=W2491-1),Y2490,"")</f>
        <v/>
      </c>
      <c r="AB2491" s="0" t="str">
        <f aca="false">IF(W2491=1,"",IF(AND(X2491=1,Z2491&lt;&gt;1),1,0))</f>
        <v/>
      </c>
      <c r="AC2491" s="0" t="str">
        <f aca="false">IF(W2491=1,"",IF(AND(Y2491=1,AA2491&lt;&gt;1),1,0))</f>
        <v/>
      </c>
      <c r="AD2491" s="33" t="str">
        <f aca="false">IF(AND(E2491&gt;0,W2491&lt;1,NOT(AND(C2492=C2491,W2492=W2491+1))),INDEX(DATAS,W2491+1),"")</f>
        <v/>
      </c>
      <c r="AE2491" s="33" t="str">
        <f aca="false">IF(AND(Y2491=1,W2491&lt;1),IF(AND(C2492=C2491,W2492=W2491+1),IF(Y2492=1,"",INDEX(DATAS,W2491+1)),INDEX(DATAS,W2491+1)),"")</f>
        <v/>
      </c>
    </row>
    <row r="2492" customFormat="false" ht="15" hidden="false" customHeight="false" outlineLevel="0" collapsed="false">
      <c r="A2492" s="33" t="n">
        <v>46309</v>
      </c>
      <c r="B2492" s="0" t="n">
        <v>8</v>
      </c>
      <c r="C2492" s="0" t="n">
        <v>6814</v>
      </c>
      <c r="E2492" s="0" t="n">
        <v>0</v>
      </c>
      <c r="F2492" s="27" t="s">
        <v>1284</v>
      </c>
      <c r="I2492" s="27" t="s">
        <v>138</v>
      </c>
      <c r="L2492" s="0" t="n">
        <v>35</v>
      </c>
      <c r="U2492" s="0" t="n">
        <v>433</v>
      </c>
      <c r="V2492" s="0" t="n">
        <v>1</v>
      </c>
      <c r="W2492" s="27" t="n">
        <f aca="false">MATCH(A2492,DATAS,0)</f>
        <v>1</v>
      </c>
      <c r="X2492" s="27" t="n">
        <f aca="false">IF(AND(E2492&gt;0,OR(AND(B2492&gt;=1,B2492&lt;=6),B2492=10)),1,0)</f>
        <v>0</v>
      </c>
      <c r="Y2492" s="27" t="n">
        <f aca="false">IF(AND(E2492&gt;0,B2492=10),1,0)</f>
        <v>0</v>
      </c>
      <c r="Z2492" s="0" t="str">
        <f aca="false">IF(AND(C2491=C2492,W2491=W2492-1),X2491,"")</f>
        <v/>
      </c>
      <c r="AA2492" s="0" t="str">
        <f aca="false">IF(AND(C2491=C2492,W2491=W2492-1),Y2491,"")</f>
        <v/>
      </c>
      <c r="AB2492" s="0" t="str">
        <f aca="false">IF(W2492=1,"",IF(AND(X2492=1,Z2492&lt;&gt;1),1,0))</f>
        <v/>
      </c>
      <c r="AC2492" s="0" t="str">
        <f aca="false">IF(W2492=1,"",IF(AND(Y2492=1,AA2492&lt;&gt;1),1,0))</f>
        <v/>
      </c>
      <c r="AD2492" s="33" t="str">
        <f aca="false">IF(AND(E2492&gt;0,W2492&lt;1,NOT(AND(C2493=C2492,W2493=W2492+1))),INDEX(DATAS,W2492+1),"")</f>
        <v/>
      </c>
      <c r="AE2492" s="33" t="str">
        <f aca="false">IF(AND(Y2492=1,W2492&lt;1),IF(AND(C2493=C2492,W2493=W2492+1),IF(Y2493=1,"",INDEX(DATAS,W2492+1)),INDEX(DATAS,W2492+1)),"")</f>
        <v/>
      </c>
    </row>
    <row r="2493" customFormat="false" ht="15" hidden="false" customHeight="false" outlineLevel="0" collapsed="false">
      <c r="A2493" s="33" t="n">
        <v>46309</v>
      </c>
      <c r="B2493" s="0" t="n">
        <v>13</v>
      </c>
      <c r="C2493" s="0" t="n">
        <v>6815</v>
      </c>
      <c r="E2493" s="0" t="n">
        <v>0</v>
      </c>
      <c r="F2493" s="27" t="s">
        <v>1285</v>
      </c>
      <c r="I2493" s="27" t="s">
        <v>168</v>
      </c>
      <c r="U2493" s="0" t="n">
        <v>435</v>
      </c>
      <c r="V2493" s="0" t="n">
        <v>1</v>
      </c>
      <c r="W2493" s="27" t="n">
        <f aca="false">MATCH(A2493,DATAS,0)</f>
        <v>1</v>
      </c>
      <c r="X2493" s="27" t="n">
        <f aca="false">IF(AND(E2493&gt;0,OR(AND(B2493&gt;=1,B2493&lt;=6),B2493=10)),1,0)</f>
        <v>0</v>
      </c>
      <c r="Y2493" s="27" t="n">
        <f aca="false">IF(AND(E2493&gt;0,B2493=10),1,0)</f>
        <v>0</v>
      </c>
      <c r="Z2493" s="0" t="str">
        <f aca="false">IF(AND(C2492=C2493,W2492=W2493-1),X2492,"")</f>
        <v/>
      </c>
      <c r="AA2493" s="0" t="str">
        <f aca="false">IF(AND(C2492=C2493,W2492=W2493-1),Y2492,"")</f>
        <v/>
      </c>
      <c r="AB2493" s="0" t="str">
        <f aca="false">IF(W2493=1,"",IF(AND(X2493=1,Z2493&lt;&gt;1),1,0))</f>
        <v/>
      </c>
      <c r="AC2493" s="0" t="str">
        <f aca="false">IF(W2493=1,"",IF(AND(Y2493=1,AA2493&lt;&gt;1),1,0))</f>
        <v/>
      </c>
      <c r="AD2493" s="33" t="str">
        <f aca="false">IF(AND(E2493&gt;0,W2493&lt;1,NOT(AND(C2494=C2493,W2494=W2493+1))),INDEX(DATAS,W2493+1),"")</f>
        <v/>
      </c>
      <c r="AE2493" s="33" t="str">
        <f aca="false">IF(AND(Y2493=1,W2493&lt;1),IF(AND(C2494=C2493,W2494=W2493+1),IF(Y2494=1,"",INDEX(DATAS,W2493+1)),INDEX(DATAS,W2493+1)),"")</f>
        <v/>
      </c>
    </row>
    <row r="2494" customFormat="false" ht="15" hidden="false" customHeight="false" outlineLevel="0" collapsed="false">
      <c r="A2494" s="33" t="n">
        <v>46309</v>
      </c>
      <c r="B2494" s="0" t="n">
        <v>8</v>
      </c>
      <c r="C2494" s="0" t="n">
        <v>6816</v>
      </c>
      <c r="E2494" s="0" t="n">
        <v>0</v>
      </c>
      <c r="F2494" s="27" t="s">
        <v>1284</v>
      </c>
      <c r="I2494" s="27" t="s">
        <v>138</v>
      </c>
      <c r="L2494" s="0" t="n">
        <v>36</v>
      </c>
      <c r="U2494" s="0" t="n">
        <v>433</v>
      </c>
      <c r="V2494" s="0" t="n">
        <v>1</v>
      </c>
      <c r="W2494" s="27" t="n">
        <f aca="false">MATCH(A2494,DATAS,0)</f>
        <v>1</v>
      </c>
      <c r="X2494" s="27" t="n">
        <f aca="false">IF(AND(E2494&gt;0,OR(AND(B2494&gt;=1,B2494&lt;=6),B2494=10)),1,0)</f>
        <v>0</v>
      </c>
      <c r="Y2494" s="27" t="n">
        <f aca="false">IF(AND(E2494&gt;0,B2494=10),1,0)</f>
        <v>0</v>
      </c>
      <c r="Z2494" s="0" t="str">
        <f aca="false">IF(AND(C2493=C2494,W2493=W2494-1),X2493,"")</f>
        <v/>
      </c>
      <c r="AA2494" s="0" t="str">
        <f aca="false">IF(AND(C2493=C2494,W2493=W2494-1),Y2493,"")</f>
        <v/>
      </c>
      <c r="AB2494" s="0" t="str">
        <f aca="false">IF(W2494=1,"",IF(AND(X2494=1,Z2494&lt;&gt;1),1,0))</f>
        <v/>
      </c>
      <c r="AC2494" s="0" t="str">
        <f aca="false">IF(W2494=1,"",IF(AND(Y2494=1,AA2494&lt;&gt;1),1,0))</f>
        <v/>
      </c>
      <c r="AD2494" s="33" t="str">
        <f aca="false">IF(AND(E2494&gt;0,W2494&lt;1,NOT(AND(C2495=C2494,W2495=W2494+1))),INDEX(DATAS,W2494+1),"")</f>
        <v/>
      </c>
      <c r="AE2494" s="33" t="str">
        <f aca="false">IF(AND(Y2494=1,W2494&lt;1),IF(AND(C2495=C2494,W2495=W2494+1),IF(Y2495=1,"",INDEX(DATAS,W2494+1)),INDEX(DATAS,W2494+1)),"")</f>
        <v/>
      </c>
    </row>
    <row r="2495" customFormat="false" ht="15" hidden="false" customHeight="false" outlineLevel="0" collapsed="false">
      <c r="A2495" s="33" t="n">
        <v>46309</v>
      </c>
      <c r="B2495" s="0" t="n">
        <v>11</v>
      </c>
      <c r="C2495" s="0" t="n">
        <v>6817</v>
      </c>
      <c r="E2495" s="0" t="n">
        <v>0</v>
      </c>
      <c r="F2495" s="27" t="s">
        <v>1284</v>
      </c>
      <c r="I2495" s="27" t="s">
        <v>176</v>
      </c>
      <c r="U2495" s="0" t="n">
        <v>433</v>
      </c>
      <c r="V2495" s="0" t="n">
        <v>1</v>
      </c>
      <c r="W2495" s="27" t="n">
        <f aca="false">MATCH(A2495,DATAS,0)</f>
        <v>1</v>
      </c>
      <c r="X2495" s="27" t="n">
        <f aca="false">IF(AND(E2495&gt;0,OR(AND(B2495&gt;=1,B2495&lt;=6),B2495=10)),1,0)</f>
        <v>0</v>
      </c>
      <c r="Y2495" s="27" t="n">
        <f aca="false">IF(AND(E2495&gt;0,B2495=10),1,0)</f>
        <v>0</v>
      </c>
      <c r="Z2495" s="0" t="str">
        <f aca="false">IF(AND(C2494=C2495,W2494=W2495-1),X2494,"")</f>
        <v/>
      </c>
      <c r="AA2495" s="0" t="str">
        <f aca="false">IF(AND(C2494=C2495,W2494=W2495-1),Y2494,"")</f>
        <v/>
      </c>
      <c r="AB2495" s="0" t="str">
        <f aca="false">IF(W2495=1,"",IF(AND(X2495=1,Z2495&lt;&gt;1),1,0))</f>
        <v/>
      </c>
      <c r="AC2495" s="0" t="str">
        <f aca="false">IF(W2495=1,"",IF(AND(Y2495=1,AA2495&lt;&gt;1),1,0))</f>
        <v/>
      </c>
      <c r="AD2495" s="33" t="str">
        <f aca="false">IF(AND(E2495&gt;0,W2495&lt;1,NOT(AND(C2496=C2495,W2496=W2495+1))),INDEX(DATAS,W2495+1),"")</f>
        <v/>
      </c>
      <c r="AE2495" s="33" t="str">
        <f aca="false">IF(AND(Y2495=1,W2495&lt;1),IF(AND(C2496=C2495,W2496=W2495+1),IF(Y2496=1,"",INDEX(DATAS,W2495+1)),INDEX(DATAS,W2495+1)),"")</f>
        <v/>
      </c>
    </row>
    <row r="2496" customFormat="false" ht="15" hidden="false" customHeight="false" outlineLevel="0" collapsed="false">
      <c r="A2496" s="33" t="n">
        <v>46309</v>
      </c>
      <c r="B2496" s="0" t="n">
        <v>11</v>
      </c>
      <c r="C2496" s="0" t="n">
        <v>6818</v>
      </c>
      <c r="E2496" s="0" t="n">
        <v>0</v>
      </c>
      <c r="F2496" s="27" t="s">
        <v>1284</v>
      </c>
      <c r="I2496" s="27" t="s">
        <v>168</v>
      </c>
      <c r="U2496" s="0" t="n">
        <v>433</v>
      </c>
      <c r="V2496" s="0" t="n">
        <v>1</v>
      </c>
      <c r="W2496" s="27" t="n">
        <f aca="false">MATCH(A2496,DATAS,0)</f>
        <v>1</v>
      </c>
      <c r="X2496" s="27" t="n">
        <f aca="false">IF(AND(E2496&gt;0,OR(AND(B2496&gt;=1,B2496&lt;=6),B2496=10)),1,0)</f>
        <v>0</v>
      </c>
      <c r="Y2496" s="27" t="n">
        <f aca="false">IF(AND(E2496&gt;0,B2496=10),1,0)</f>
        <v>0</v>
      </c>
      <c r="Z2496" s="0" t="str">
        <f aca="false">IF(AND(C2495=C2496,W2495=W2496-1),X2495,"")</f>
        <v/>
      </c>
      <c r="AA2496" s="0" t="str">
        <f aca="false">IF(AND(C2495=C2496,W2495=W2496-1),Y2495,"")</f>
        <v/>
      </c>
      <c r="AB2496" s="0" t="str">
        <f aca="false">IF(W2496=1,"",IF(AND(X2496=1,Z2496&lt;&gt;1),1,0))</f>
        <v/>
      </c>
      <c r="AC2496" s="0" t="str">
        <f aca="false">IF(W2496=1,"",IF(AND(Y2496=1,AA2496&lt;&gt;1),1,0))</f>
        <v/>
      </c>
      <c r="AD2496" s="33" t="str">
        <f aca="false">IF(AND(E2496&gt;0,W2496&lt;1,NOT(AND(C2497=C2496,W2497=W2496+1))),INDEX(DATAS,W2496+1),"")</f>
        <v/>
      </c>
      <c r="AE2496" s="33" t="str">
        <f aca="false">IF(AND(Y2496=1,W2496&lt;1),IF(AND(C2497=C2496,W2497=W2496+1),IF(Y2497=1,"",INDEX(DATAS,W2496+1)),INDEX(DATAS,W2496+1)),"")</f>
        <v/>
      </c>
    </row>
    <row r="2497" customFormat="false" ht="15" hidden="false" customHeight="false" outlineLevel="0" collapsed="false">
      <c r="A2497" s="33" t="n">
        <v>46309</v>
      </c>
      <c r="B2497" s="0" t="n">
        <v>8</v>
      </c>
      <c r="C2497" s="0" t="n">
        <v>6819</v>
      </c>
      <c r="E2497" s="0" t="n">
        <v>0</v>
      </c>
      <c r="F2497" s="27" t="s">
        <v>1284</v>
      </c>
      <c r="I2497" s="27" t="s">
        <v>138</v>
      </c>
      <c r="L2497" s="0" t="n">
        <v>37</v>
      </c>
      <c r="U2497" s="0" t="n">
        <v>433</v>
      </c>
      <c r="V2497" s="0" t="n">
        <v>1</v>
      </c>
      <c r="W2497" s="27" t="n">
        <f aca="false">MATCH(A2497,DATAS,0)</f>
        <v>1</v>
      </c>
      <c r="X2497" s="27" t="n">
        <f aca="false">IF(AND(E2497&gt;0,OR(AND(B2497&gt;=1,B2497&lt;=6),B2497=10)),1,0)</f>
        <v>0</v>
      </c>
      <c r="Y2497" s="27" t="n">
        <f aca="false">IF(AND(E2497&gt;0,B2497=10),1,0)</f>
        <v>0</v>
      </c>
      <c r="Z2497" s="0" t="str">
        <f aca="false">IF(AND(C2496=C2497,W2496=W2497-1),X2496,"")</f>
        <v/>
      </c>
      <c r="AA2497" s="0" t="str">
        <f aca="false">IF(AND(C2496=C2497,W2496=W2497-1),Y2496,"")</f>
        <v/>
      </c>
      <c r="AB2497" s="0" t="str">
        <f aca="false">IF(W2497=1,"",IF(AND(X2497=1,Z2497&lt;&gt;1),1,0))</f>
        <v/>
      </c>
      <c r="AC2497" s="0" t="str">
        <f aca="false">IF(W2497=1,"",IF(AND(Y2497=1,AA2497&lt;&gt;1),1,0))</f>
        <v/>
      </c>
      <c r="AD2497" s="33" t="str">
        <f aca="false">IF(AND(E2497&gt;0,W2497&lt;1,NOT(AND(C2498=C2497,W2498=W2497+1))),INDEX(DATAS,W2497+1),"")</f>
        <v/>
      </c>
      <c r="AE2497" s="33" t="str">
        <f aca="false">IF(AND(Y2497=1,W2497&lt;1),IF(AND(C2498=C2497,W2498=W2497+1),IF(Y2498=1,"",INDEX(DATAS,W2497+1)),INDEX(DATAS,W2497+1)),"")</f>
        <v/>
      </c>
    </row>
    <row r="2498" customFormat="false" ht="15" hidden="false" customHeight="false" outlineLevel="0" collapsed="false">
      <c r="A2498" s="33" t="n">
        <v>46309</v>
      </c>
      <c r="B2498" s="0" t="n">
        <v>8</v>
      </c>
      <c r="C2498" s="0" t="n">
        <v>6820</v>
      </c>
      <c r="E2498" s="0" t="n">
        <v>0</v>
      </c>
      <c r="F2498" s="27" t="s">
        <v>1284</v>
      </c>
      <c r="I2498" s="27" t="s">
        <v>138</v>
      </c>
      <c r="L2498" s="0" t="n">
        <v>35</v>
      </c>
      <c r="U2498" s="0" t="n">
        <v>433</v>
      </c>
      <c r="V2498" s="0" t="n">
        <v>1</v>
      </c>
      <c r="W2498" s="27" t="n">
        <f aca="false">MATCH(A2498,DATAS,0)</f>
        <v>1</v>
      </c>
      <c r="X2498" s="27" t="n">
        <f aca="false">IF(AND(E2498&gt;0,OR(AND(B2498&gt;=1,B2498&lt;=6),B2498=10)),1,0)</f>
        <v>0</v>
      </c>
      <c r="Y2498" s="27" t="n">
        <f aca="false">IF(AND(E2498&gt;0,B2498=10),1,0)</f>
        <v>0</v>
      </c>
      <c r="Z2498" s="0" t="str">
        <f aca="false">IF(AND(C2497=C2498,W2497=W2498-1),X2497,"")</f>
        <v/>
      </c>
      <c r="AA2498" s="0" t="str">
        <f aca="false">IF(AND(C2497=C2498,W2497=W2498-1),Y2497,"")</f>
        <v/>
      </c>
      <c r="AB2498" s="0" t="str">
        <f aca="false">IF(W2498=1,"",IF(AND(X2498=1,Z2498&lt;&gt;1),1,0))</f>
        <v/>
      </c>
      <c r="AC2498" s="0" t="str">
        <f aca="false">IF(W2498=1,"",IF(AND(Y2498=1,AA2498&lt;&gt;1),1,0))</f>
        <v/>
      </c>
      <c r="AD2498" s="33" t="str">
        <f aca="false">IF(AND(E2498&gt;0,W2498&lt;1,NOT(AND(C2499=C2498,W2499=W2498+1))),INDEX(DATAS,W2498+1),"")</f>
        <v/>
      </c>
      <c r="AE2498" s="33" t="str">
        <f aca="false">IF(AND(Y2498=1,W2498&lt;1),IF(AND(C2499=C2498,W2499=W2498+1),IF(Y2499=1,"",INDEX(DATAS,W2498+1)),INDEX(DATAS,W2498+1)),"")</f>
        <v/>
      </c>
    </row>
    <row r="2499" customFormat="false" ht="15" hidden="false" customHeight="false" outlineLevel="0" collapsed="false">
      <c r="A2499" s="33" t="n">
        <v>46309</v>
      </c>
      <c r="B2499" s="0" t="n">
        <v>8</v>
      </c>
      <c r="C2499" s="0" t="n">
        <v>6821</v>
      </c>
      <c r="E2499" s="0" t="n">
        <v>0</v>
      </c>
      <c r="F2499" s="27" t="s">
        <v>1284</v>
      </c>
      <c r="I2499" s="27" t="s">
        <v>138</v>
      </c>
      <c r="L2499" s="0" t="n">
        <v>28</v>
      </c>
      <c r="U2499" s="0" t="n">
        <v>433</v>
      </c>
      <c r="V2499" s="0" t="n">
        <v>1</v>
      </c>
      <c r="W2499" s="27" t="n">
        <f aca="false">MATCH(A2499,DATAS,0)</f>
        <v>1</v>
      </c>
      <c r="X2499" s="27" t="n">
        <f aca="false">IF(AND(E2499&gt;0,OR(AND(B2499&gt;=1,B2499&lt;=6),B2499=10)),1,0)</f>
        <v>0</v>
      </c>
      <c r="Y2499" s="27" t="n">
        <f aca="false">IF(AND(E2499&gt;0,B2499=10),1,0)</f>
        <v>0</v>
      </c>
      <c r="Z2499" s="0" t="str">
        <f aca="false">IF(AND(C2498=C2499,W2498=W2499-1),X2498,"")</f>
        <v/>
      </c>
      <c r="AA2499" s="0" t="str">
        <f aca="false">IF(AND(C2498=C2499,W2498=W2499-1),Y2498,"")</f>
        <v/>
      </c>
      <c r="AB2499" s="0" t="str">
        <f aca="false">IF(W2499=1,"",IF(AND(X2499=1,Z2499&lt;&gt;1),1,0))</f>
        <v/>
      </c>
      <c r="AC2499" s="0" t="str">
        <f aca="false">IF(W2499=1,"",IF(AND(Y2499=1,AA2499&lt;&gt;1),1,0))</f>
        <v/>
      </c>
      <c r="AD2499" s="33" t="str">
        <f aca="false">IF(AND(E2499&gt;0,W2499&lt;1,NOT(AND(C2500=C2499,W2500=W2499+1))),INDEX(DATAS,W2499+1),"")</f>
        <v/>
      </c>
      <c r="AE2499" s="33" t="str">
        <f aca="false">IF(AND(Y2499=1,W2499&lt;1),IF(AND(C2500=C2499,W2500=W2499+1),IF(Y2500=1,"",INDEX(DATAS,W2499+1)),INDEX(DATAS,W2499+1)),"")</f>
        <v/>
      </c>
    </row>
    <row r="2500" customFormat="false" ht="15" hidden="false" customHeight="false" outlineLevel="0" collapsed="false">
      <c r="A2500" s="33" t="n">
        <v>46309</v>
      </c>
      <c r="B2500" s="0" t="n">
        <v>8</v>
      </c>
      <c r="C2500" s="0" t="n">
        <v>6822</v>
      </c>
      <c r="E2500" s="0" t="n">
        <v>0</v>
      </c>
      <c r="F2500" s="27" t="s">
        <v>1284</v>
      </c>
      <c r="I2500" s="27" t="s">
        <v>138</v>
      </c>
      <c r="L2500" s="0" t="n">
        <v>28</v>
      </c>
      <c r="U2500" s="0" t="n">
        <v>433</v>
      </c>
      <c r="V2500" s="0" t="n">
        <v>1</v>
      </c>
      <c r="W2500" s="27" t="n">
        <f aca="false">MATCH(A2500,DATAS,0)</f>
        <v>1</v>
      </c>
      <c r="X2500" s="27" t="n">
        <f aca="false">IF(AND(E2500&gt;0,OR(AND(B2500&gt;=1,B2500&lt;=6),B2500=10)),1,0)</f>
        <v>0</v>
      </c>
      <c r="Y2500" s="27" t="n">
        <f aca="false">IF(AND(E2500&gt;0,B2500=10),1,0)</f>
        <v>0</v>
      </c>
      <c r="Z2500" s="0" t="str">
        <f aca="false">IF(AND(C2499=C2500,W2499=W2500-1),X2499,"")</f>
        <v/>
      </c>
      <c r="AA2500" s="0" t="str">
        <f aca="false">IF(AND(C2499=C2500,W2499=W2500-1),Y2499,"")</f>
        <v/>
      </c>
      <c r="AB2500" s="0" t="str">
        <f aca="false">IF(W2500=1,"",IF(AND(X2500=1,Z2500&lt;&gt;1),1,0))</f>
        <v/>
      </c>
      <c r="AC2500" s="0" t="str">
        <f aca="false">IF(W2500=1,"",IF(AND(Y2500=1,AA2500&lt;&gt;1),1,0))</f>
        <v/>
      </c>
      <c r="AD2500" s="33" t="str">
        <f aca="false">IF(AND(E2500&gt;0,W2500&lt;1,NOT(AND(C2501=C2500,W2501=W2500+1))),INDEX(DATAS,W2500+1),"")</f>
        <v/>
      </c>
      <c r="AE2500" s="33" t="str">
        <f aca="false">IF(AND(Y2500=1,W2500&lt;1),IF(AND(C2501=C2500,W2501=W2500+1),IF(Y2501=1,"",INDEX(DATAS,W2500+1)),INDEX(DATAS,W2500+1)),"")</f>
        <v/>
      </c>
    </row>
    <row r="2501" customFormat="false" ht="15" hidden="false" customHeight="false" outlineLevel="0" collapsed="false">
      <c r="A2501" s="33" t="n">
        <v>46309</v>
      </c>
      <c r="B2501" s="0" t="n">
        <v>11</v>
      </c>
      <c r="C2501" s="0" t="n">
        <v>6823</v>
      </c>
      <c r="E2501" s="0" t="n">
        <v>0</v>
      </c>
      <c r="F2501" s="27" t="s">
        <v>1284</v>
      </c>
      <c r="I2501" s="27" t="s">
        <v>168</v>
      </c>
      <c r="U2501" s="0" t="n">
        <v>433</v>
      </c>
      <c r="V2501" s="0" t="n">
        <v>1</v>
      </c>
      <c r="W2501" s="27" t="n">
        <f aca="false">MATCH(A2501,DATAS,0)</f>
        <v>1</v>
      </c>
      <c r="X2501" s="27" t="n">
        <f aca="false">IF(AND(E2501&gt;0,OR(AND(B2501&gt;=1,B2501&lt;=6),B2501=10)),1,0)</f>
        <v>0</v>
      </c>
      <c r="Y2501" s="27" t="n">
        <f aca="false">IF(AND(E2501&gt;0,B2501=10),1,0)</f>
        <v>0</v>
      </c>
      <c r="Z2501" s="0" t="str">
        <f aca="false">IF(AND(C2500=C2501,W2500=W2501-1),X2500,"")</f>
        <v/>
      </c>
      <c r="AA2501" s="0" t="str">
        <f aca="false">IF(AND(C2500=C2501,W2500=W2501-1),Y2500,"")</f>
        <v/>
      </c>
      <c r="AB2501" s="0" t="str">
        <f aca="false">IF(W2501=1,"",IF(AND(X2501=1,Z2501&lt;&gt;1),1,0))</f>
        <v/>
      </c>
      <c r="AC2501" s="0" t="str">
        <f aca="false">IF(W2501=1,"",IF(AND(Y2501=1,AA2501&lt;&gt;1),1,0))</f>
        <v/>
      </c>
      <c r="AD2501" s="33" t="str">
        <f aca="false">IF(AND(E2501&gt;0,W2501&lt;1,NOT(AND(C2502=C2501,W2502=W2501+1))),INDEX(DATAS,W2501+1),"")</f>
        <v/>
      </c>
      <c r="AE2501" s="33" t="str">
        <f aca="false">IF(AND(Y2501=1,W2501&lt;1),IF(AND(C2502=C2501,W2502=W2501+1),IF(Y2502=1,"",INDEX(DATAS,W2501+1)),INDEX(DATAS,W2501+1)),"")</f>
        <v/>
      </c>
    </row>
    <row r="2502" customFormat="false" ht="15" hidden="false" customHeight="false" outlineLevel="0" collapsed="false">
      <c r="A2502" s="33" t="n">
        <v>46309</v>
      </c>
      <c r="B2502" s="0" t="n">
        <v>11</v>
      </c>
      <c r="C2502" s="0" t="n">
        <v>6824</v>
      </c>
      <c r="E2502" s="0" t="n">
        <v>0</v>
      </c>
      <c r="F2502" s="27" t="s">
        <v>1284</v>
      </c>
      <c r="I2502" s="27" t="s">
        <v>168</v>
      </c>
      <c r="U2502" s="0" t="n">
        <v>433</v>
      </c>
      <c r="V2502" s="0" t="n">
        <v>2</v>
      </c>
      <c r="W2502" s="27" t="n">
        <f aca="false">MATCH(A2502,DATAS,0)</f>
        <v>1</v>
      </c>
      <c r="X2502" s="27" t="n">
        <f aca="false">IF(AND(E2502&gt;0,OR(AND(B2502&gt;=1,B2502&lt;=6),B2502=10)),1,0)</f>
        <v>0</v>
      </c>
      <c r="Y2502" s="27" t="n">
        <f aca="false">IF(AND(E2502&gt;0,B2502=10),1,0)</f>
        <v>0</v>
      </c>
      <c r="Z2502" s="0" t="str">
        <f aca="false">IF(AND(C2501=C2502,W2501=W2502-1),X2501,"")</f>
        <v/>
      </c>
      <c r="AA2502" s="0" t="str">
        <f aca="false">IF(AND(C2501=C2502,W2501=W2502-1),Y2501,"")</f>
        <v/>
      </c>
      <c r="AB2502" s="0" t="str">
        <f aca="false">IF(W2502=1,"",IF(AND(X2502=1,Z2502&lt;&gt;1),1,0))</f>
        <v/>
      </c>
      <c r="AC2502" s="0" t="str">
        <f aca="false">IF(W2502=1,"",IF(AND(Y2502=1,AA2502&lt;&gt;1),1,0))</f>
        <v/>
      </c>
      <c r="AD2502" s="33" t="str">
        <f aca="false">IF(AND(E2502&gt;0,W2502&lt;1,NOT(AND(C2503=C2502,W2503=W2502+1))),INDEX(DATAS,W2502+1),"")</f>
        <v/>
      </c>
      <c r="AE2502" s="33" t="str">
        <f aca="false">IF(AND(Y2502=1,W2502&lt;1),IF(AND(C2503=C2502,W2503=W2502+1),IF(Y2503=1,"",INDEX(DATAS,W2502+1)),INDEX(DATAS,W2502+1)),"")</f>
        <v/>
      </c>
    </row>
    <row r="2503" customFormat="false" ht="15" hidden="false" customHeight="false" outlineLevel="0" collapsed="false">
      <c r="A2503" s="33" t="n">
        <v>46309</v>
      </c>
      <c r="B2503" s="0" t="n">
        <v>11</v>
      </c>
      <c r="C2503" s="0" t="n">
        <v>6827</v>
      </c>
      <c r="E2503" s="0" t="n">
        <v>0</v>
      </c>
      <c r="F2503" s="27" t="s">
        <v>1286</v>
      </c>
      <c r="I2503" s="27" t="s">
        <v>168</v>
      </c>
      <c r="U2503" s="0" t="n">
        <v>432</v>
      </c>
      <c r="V2503" s="0" t="n">
        <v>2</v>
      </c>
      <c r="W2503" s="27" t="n">
        <f aca="false">MATCH(A2503,DATAS,0)</f>
        <v>1</v>
      </c>
      <c r="X2503" s="27" t="n">
        <f aca="false">IF(AND(E2503&gt;0,OR(AND(B2503&gt;=1,B2503&lt;=6),B2503=10)),1,0)</f>
        <v>0</v>
      </c>
      <c r="Y2503" s="27" t="n">
        <f aca="false">IF(AND(E2503&gt;0,B2503=10),1,0)</f>
        <v>0</v>
      </c>
      <c r="Z2503" s="0" t="str">
        <f aca="false">IF(AND(C2502=C2503,W2502=W2503-1),X2502,"")</f>
        <v/>
      </c>
      <c r="AA2503" s="0" t="str">
        <f aca="false">IF(AND(C2502=C2503,W2502=W2503-1),Y2502,"")</f>
        <v/>
      </c>
      <c r="AB2503" s="0" t="str">
        <f aca="false">IF(W2503=1,"",IF(AND(X2503=1,Z2503&lt;&gt;1),1,0))</f>
        <v/>
      </c>
      <c r="AC2503" s="0" t="str">
        <f aca="false">IF(W2503=1,"",IF(AND(Y2503=1,AA2503&lt;&gt;1),1,0))</f>
        <v/>
      </c>
      <c r="AD2503" s="33" t="str">
        <f aca="false">IF(AND(E2503&gt;0,W2503&lt;1,NOT(AND(C2504=C2503,W2504=W2503+1))),INDEX(DATAS,W2503+1),"")</f>
        <v/>
      </c>
      <c r="AE2503" s="33" t="str">
        <f aca="false">IF(AND(Y2503=1,W2503&lt;1),IF(AND(C2504=C2503,W2504=W2503+1),IF(Y2504=1,"",INDEX(DATAS,W2503+1)),INDEX(DATAS,W2503+1)),"")</f>
        <v/>
      </c>
    </row>
    <row r="2504" customFormat="false" ht="15" hidden="false" customHeight="false" outlineLevel="0" collapsed="false">
      <c r="A2504" s="33" t="n">
        <v>46309</v>
      </c>
      <c r="B2504" s="0" t="n">
        <v>11</v>
      </c>
      <c r="C2504" s="0" t="n">
        <v>6828</v>
      </c>
      <c r="E2504" s="0" t="n">
        <v>0</v>
      </c>
      <c r="F2504" s="27" t="s">
        <v>1286</v>
      </c>
      <c r="I2504" s="27" t="s">
        <v>168</v>
      </c>
      <c r="U2504" s="0" t="n">
        <v>432</v>
      </c>
      <c r="V2504" s="0" t="n">
        <v>1</v>
      </c>
      <c r="W2504" s="27" t="n">
        <f aca="false">MATCH(A2504,DATAS,0)</f>
        <v>1</v>
      </c>
      <c r="X2504" s="27" t="n">
        <f aca="false">IF(AND(E2504&gt;0,OR(AND(B2504&gt;=1,B2504&lt;=6),B2504=10)),1,0)</f>
        <v>0</v>
      </c>
      <c r="Y2504" s="27" t="n">
        <f aca="false">IF(AND(E2504&gt;0,B2504=10),1,0)</f>
        <v>0</v>
      </c>
      <c r="Z2504" s="0" t="str">
        <f aca="false">IF(AND(C2503=C2504,W2503=W2504-1),X2503,"")</f>
        <v/>
      </c>
      <c r="AA2504" s="0" t="str">
        <f aca="false">IF(AND(C2503=C2504,W2503=W2504-1),Y2503,"")</f>
        <v/>
      </c>
      <c r="AB2504" s="0" t="str">
        <f aca="false">IF(W2504=1,"",IF(AND(X2504=1,Z2504&lt;&gt;1),1,0))</f>
        <v/>
      </c>
      <c r="AC2504" s="0" t="str">
        <f aca="false">IF(W2504=1,"",IF(AND(Y2504=1,AA2504&lt;&gt;1),1,0))</f>
        <v/>
      </c>
      <c r="AD2504" s="33" t="str">
        <f aca="false">IF(AND(E2504&gt;0,W2504&lt;1,NOT(AND(C2505=C2504,W2505=W2504+1))),INDEX(DATAS,W2504+1),"")</f>
        <v/>
      </c>
      <c r="AE2504" s="33" t="str">
        <f aca="false">IF(AND(Y2504=1,W2504&lt;1),IF(AND(C2505=C2504,W2505=W2504+1),IF(Y2505=1,"",INDEX(DATAS,W2504+1)),INDEX(DATAS,W2504+1)),"")</f>
        <v/>
      </c>
    </row>
    <row r="2505" customFormat="false" ht="15" hidden="false" customHeight="false" outlineLevel="0" collapsed="false">
      <c r="A2505" s="33" t="n">
        <v>46309</v>
      </c>
      <c r="B2505" s="0" t="n">
        <v>11</v>
      </c>
      <c r="C2505" s="0" t="n">
        <v>6829</v>
      </c>
      <c r="E2505" s="0" t="n">
        <v>0</v>
      </c>
      <c r="F2505" s="27" t="s">
        <v>1286</v>
      </c>
      <c r="I2505" s="27" t="s">
        <v>168</v>
      </c>
      <c r="U2505" s="0" t="n">
        <v>432</v>
      </c>
      <c r="V2505" s="0" t="n">
        <v>2</v>
      </c>
      <c r="W2505" s="27" t="n">
        <f aca="false">MATCH(A2505,DATAS,0)</f>
        <v>1</v>
      </c>
      <c r="X2505" s="27" t="n">
        <f aca="false">IF(AND(E2505&gt;0,OR(AND(B2505&gt;=1,B2505&lt;=6),B2505=10)),1,0)</f>
        <v>0</v>
      </c>
      <c r="Y2505" s="27" t="n">
        <f aca="false">IF(AND(E2505&gt;0,B2505=10),1,0)</f>
        <v>0</v>
      </c>
      <c r="Z2505" s="0" t="str">
        <f aca="false">IF(AND(C2504=C2505,W2504=W2505-1),X2504,"")</f>
        <v/>
      </c>
      <c r="AA2505" s="0" t="str">
        <f aca="false">IF(AND(C2504=C2505,W2504=W2505-1),Y2504,"")</f>
        <v/>
      </c>
      <c r="AB2505" s="0" t="str">
        <f aca="false">IF(W2505=1,"",IF(AND(X2505=1,Z2505&lt;&gt;1),1,0))</f>
        <v/>
      </c>
      <c r="AC2505" s="0" t="str">
        <f aca="false">IF(W2505=1,"",IF(AND(Y2505=1,AA2505&lt;&gt;1),1,0))</f>
        <v/>
      </c>
      <c r="AD2505" s="33" t="str">
        <f aca="false">IF(AND(E2505&gt;0,W2505&lt;1,NOT(AND(C2506=C2505,W2506=W2505+1))),INDEX(DATAS,W2505+1),"")</f>
        <v/>
      </c>
      <c r="AE2505" s="33" t="str">
        <f aca="false">IF(AND(Y2505=1,W2505&lt;1),IF(AND(C2506=C2505,W2506=W2505+1),IF(Y2506=1,"",INDEX(DATAS,W2505+1)),INDEX(DATAS,W2505+1)),"")</f>
        <v/>
      </c>
    </row>
    <row r="2506" customFormat="false" ht="15" hidden="false" customHeight="false" outlineLevel="0" collapsed="false">
      <c r="A2506" s="33" t="n">
        <v>46309</v>
      </c>
      <c r="B2506" s="0" t="n">
        <v>11</v>
      </c>
      <c r="C2506" s="0" t="n">
        <v>6831</v>
      </c>
      <c r="E2506" s="0" t="n">
        <v>0</v>
      </c>
      <c r="F2506" s="27" t="s">
        <v>1287</v>
      </c>
      <c r="I2506" s="27" t="s">
        <v>176</v>
      </c>
      <c r="U2506" s="0" t="n">
        <v>431</v>
      </c>
      <c r="V2506" s="0" t="n">
        <v>1</v>
      </c>
      <c r="W2506" s="27" t="n">
        <f aca="false">MATCH(A2506,DATAS,0)</f>
        <v>1</v>
      </c>
      <c r="X2506" s="27" t="n">
        <f aca="false">IF(AND(E2506&gt;0,OR(AND(B2506&gt;=1,B2506&lt;=6),B2506=10)),1,0)</f>
        <v>0</v>
      </c>
      <c r="Y2506" s="27" t="n">
        <f aca="false">IF(AND(E2506&gt;0,B2506=10),1,0)</f>
        <v>0</v>
      </c>
      <c r="Z2506" s="0" t="str">
        <f aca="false">IF(AND(C2505=C2506,W2505=W2506-1),X2505,"")</f>
        <v/>
      </c>
      <c r="AA2506" s="0" t="str">
        <f aca="false">IF(AND(C2505=C2506,W2505=W2506-1),Y2505,"")</f>
        <v/>
      </c>
      <c r="AB2506" s="0" t="str">
        <f aca="false">IF(W2506=1,"",IF(AND(X2506=1,Z2506&lt;&gt;1),1,0))</f>
        <v/>
      </c>
      <c r="AC2506" s="0" t="str">
        <f aca="false">IF(W2506=1,"",IF(AND(Y2506=1,AA2506&lt;&gt;1),1,0))</f>
        <v/>
      </c>
      <c r="AD2506" s="33" t="str">
        <f aca="false">IF(AND(E2506&gt;0,W2506&lt;1,NOT(AND(C2507=C2506,W2507=W2506+1))),INDEX(DATAS,W2506+1),"")</f>
        <v/>
      </c>
      <c r="AE2506" s="33" t="str">
        <f aca="false">IF(AND(Y2506=1,W2506&lt;1),IF(AND(C2507=C2506,W2507=W2506+1),IF(Y2507=1,"",INDEX(DATAS,W2506+1)),INDEX(DATAS,W2506+1)),"")</f>
        <v/>
      </c>
    </row>
    <row r="2507" customFormat="false" ht="15" hidden="false" customHeight="false" outlineLevel="0" collapsed="false">
      <c r="A2507" s="33" t="n">
        <v>46309</v>
      </c>
      <c r="B2507" s="0" t="n">
        <v>11</v>
      </c>
      <c r="C2507" s="0" t="n">
        <v>6832</v>
      </c>
      <c r="E2507" s="0" t="n">
        <v>0</v>
      </c>
      <c r="F2507" s="27" t="s">
        <v>1287</v>
      </c>
      <c r="I2507" s="27" t="s">
        <v>168</v>
      </c>
      <c r="U2507" s="0" t="n">
        <v>431</v>
      </c>
      <c r="V2507" s="0" t="n">
        <v>2</v>
      </c>
      <c r="W2507" s="27" t="n">
        <f aca="false">MATCH(A2507,DATAS,0)</f>
        <v>1</v>
      </c>
      <c r="X2507" s="27" t="n">
        <f aca="false">IF(AND(E2507&gt;0,OR(AND(B2507&gt;=1,B2507&lt;=6),B2507=10)),1,0)</f>
        <v>0</v>
      </c>
      <c r="Y2507" s="27" t="n">
        <f aca="false">IF(AND(E2507&gt;0,B2507=10),1,0)</f>
        <v>0</v>
      </c>
      <c r="Z2507" s="0" t="str">
        <f aca="false">IF(AND(C2506=C2507,W2506=W2507-1),X2506,"")</f>
        <v/>
      </c>
      <c r="AA2507" s="0" t="str">
        <f aca="false">IF(AND(C2506=C2507,W2506=W2507-1),Y2506,"")</f>
        <v/>
      </c>
      <c r="AB2507" s="0" t="str">
        <f aca="false">IF(W2507=1,"",IF(AND(X2507=1,Z2507&lt;&gt;1),1,0))</f>
        <v/>
      </c>
      <c r="AC2507" s="0" t="str">
        <f aca="false">IF(W2507=1,"",IF(AND(Y2507=1,AA2507&lt;&gt;1),1,0))</f>
        <v/>
      </c>
      <c r="AD2507" s="33" t="str">
        <f aca="false">IF(AND(E2507&gt;0,W2507&lt;1,NOT(AND(C2508=C2507,W2508=W2507+1))),INDEX(DATAS,W2507+1),"")</f>
        <v/>
      </c>
      <c r="AE2507" s="33" t="str">
        <f aca="false">IF(AND(Y2507=1,W2507&lt;1),IF(AND(C2508=C2507,W2508=W2507+1),IF(Y2508=1,"",INDEX(DATAS,W2507+1)),INDEX(DATAS,W2507+1)),"")</f>
        <v/>
      </c>
    </row>
    <row r="2508" customFormat="false" ht="15" hidden="false" customHeight="false" outlineLevel="0" collapsed="false">
      <c r="A2508" s="33" t="n">
        <v>46309</v>
      </c>
      <c r="B2508" s="0" t="n">
        <v>11</v>
      </c>
      <c r="C2508" s="0" t="n">
        <v>6833</v>
      </c>
      <c r="E2508" s="0" t="n">
        <v>0</v>
      </c>
      <c r="F2508" s="27" t="s">
        <v>1287</v>
      </c>
      <c r="I2508" s="27" t="s">
        <v>168</v>
      </c>
      <c r="U2508" s="0" t="n">
        <v>431</v>
      </c>
      <c r="V2508" s="0" t="n">
        <v>2</v>
      </c>
      <c r="W2508" s="27" t="n">
        <f aca="false">MATCH(A2508,DATAS,0)</f>
        <v>1</v>
      </c>
      <c r="X2508" s="27" t="n">
        <f aca="false">IF(AND(E2508&gt;0,OR(AND(B2508&gt;=1,B2508&lt;=6),B2508=10)),1,0)</f>
        <v>0</v>
      </c>
      <c r="Y2508" s="27" t="n">
        <f aca="false">IF(AND(E2508&gt;0,B2508=10),1,0)</f>
        <v>0</v>
      </c>
      <c r="Z2508" s="0" t="str">
        <f aca="false">IF(AND(C2507=C2508,W2507=W2508-1),X2507,"")</f>
        <v/>
      </c>
      <c r="AA2508" s="0" t="str">
        <f aca="false">IF(AND(C2507=C2508,W2507=W2508-1),Y2507,"")</f>
        <v/>
      </c>
      <c r="AB2508" s="0" t="str">
        <f aca="false">IF(W2508=1,"",IF(AND(X2508=1,Z2508&lt;&gt;1),1,0))</f>
        <v/>
      </c>
      <c r="AC2508" s="0" t="str">
        <f aca="false">IF(W2508=1,"",IF(AND(Y2508=1,AA2508&lt;&gt;1),1,0))</f>
        <v/>
      </c>
      <c r="AD2508" s="33" t="str">
        <f aca="false">IF(AND(E2508&gt;0,W2508&lt;1,NOT(AND(C2509=C2508,W2509=W2508+1))),INDEX(DATAS,W2508+1),"")</f>
        <v/>
      </c>
      <c r="AE2508" s="33" t="str">
        <f aca="false">IF(AND(Y2508=1,W2508&lt;1),IF(AND(C2509=C2508,W2509=W2508+1),IF(Y2509=1,"",INDEX(DATAS,W2508+1)),INDEX(DATAS,W2508+1)),"")</f>
        <v/>
      </c>
    </row>
    <row r="2509" customFormat="false" ht="15" hidden="false" customHeight="false" outlineLevel="0" collapsed="false">
      <c r="A2509" s="33" t="n">
        <v>46309</v>
      </c>
      <c r="B2509" s="0" t="n">
        <v>8</v>
      </c>
      <c r="C2509" s="0" t="n">
        <v>6835</v>
      </c>
      <c r="E2509" s="0" t="n">
        <v>0</v>
      </c>
      <c r="F2509" s="27" t="s">
        <v>1288</v>
      </c>
      <c r="I2509" s="27" t="s">
        <v>138</v>
      </c>
      <c r="L2509" s="0" t="n">
        <v>28</v>
      </c>
      <c r="U2509" s="0" t="n">
        <v>430</v>
      </c>
      <c r="V2509" s="0" t="n">
        <v>1</v>
      </c>
      <c r="W2509" s="27" t="n">
        <f aca="false">MATCH(A2509,DATAS,0)</f>
        <v>1</v>
      </c>
      <c r="X2509" s="27" t="n">
        <f aca="false">IF(AND(E2509&gt;0,OR(AND(B2509&gt;=1,B2509&lt;=6),B2509=10)),1,0)</f>
        <v>0</v>
      </c>
      <c r="Y2509" s="27" t="n">
        <f aca="false">IF(AND(E2509&gt;0,B2509=10),1,0)</f>
        <v>0</v>
      </c>
      <c r="Z2509" s="0" t="str">
        <f aca="false">IF(AND(C2508=C2509,W2508=W2509-1),X2508,"")</f>
        <v/>
      </c>
      <c r="AA2509" s="0" t="str">
        <f aca="false">IF(AND(C2508=C2509,W2508=W2509-1),Y2508,"")</f>
        <v/>
      </c>
      <c r="AB2509" s="0" t="str">
        <f aca="false">IF(W2509=1,"",IF(AND(X2509=1,Z2509&lt;&gt;1),1,0))</f>
        <v/>
      </c>
      <c r="AC2509" s="0" t="str">
        <f aca="false">IF(W2509=1,"",IF(AND(Y2509=1,AA2509&lt;&gt;1),1,0))</f>
        <v/>
      </c>
      <c r="AD2509" s="33" t="str">
        <f aca="false">IF(AND(E2509&gt;0,W2509&lt;1,NOT(AND(C2510=C2509,W2510=W2509+1))),INDEX(DATAS,W2509+1),"")</f>
        <v/>
      </c>
      <c r="AE2509" s="33" t="str">
        <f aca="false">IF(AND(Y2509=1,W2509&lt;1),IF(AND(C2510=C2509,W2510=W2509+1),IF(Y2510=1,"",INDEX(DATAS,W2509+1)),INDEX(DATAS,W2509+1)),"")</f>
        <v/>
      </c>
    </row>
    <row r="2510" customFormat="false" ht="15" hidden="false" customHeight="false" outlineLevel="0" collapsed="false">
      <c r="A2510" s="33" t="n">
        <v>46309</v>
      </c>
      <c r="B2510" s="0" t="n">
        <v>8</v>
      </c>
      <c r="C2510" s="0" t="n">
        <v>6837</v>
      </c>
      <c r="E2510" s="0" t="n">
        <v>0</v>
      </c>
      <c r="F2510" s="27" t="s">
        <v>1289</v>
      </c>
      <c r="I2510" s="27" t="s">
        <v>138</v>
      </c>
      <c r="L2510" s="0" t="n">
        <v>36</v>
      </c>
      <c r="U2510" s="0" t="n">
        <v>429</v>
      </c>
      <c r="V2510" s="0" t="n">
        <v>1</v>
      </c>
      <c r="W2510" s="27" t="n">
        <f aca="false">MATCH(A2510,DATAS,0)</f>
        <v>1</v>
      </c>
      <c r="X2510" s="27" t="n">
        <f aca="false">IF(AND(E2510&gt;0,OR(AND(B2510&gt;=1,B2510&lt;=6),B2510=10)),1,0)</f>
        <v>0</v>
      </c>
      <c r="Y2510" s="27" t="n">
        <f aca="false">IF(AND(E2510&gt;0,B2510=10),1,0)</f>
        <v>0</v>
      </c>
      <c r="Z2510" s="0" t="str">
        <f aca="false">IF(AND(C2509=C2510,W2509=W2510-1),X2509,"")</f>
        <v/>
      </c>
      <c r="AA2510" s="0" t="str">
        <f aca="false">IF(AND(C2509=C2510,W2509=W2510-1),Y2509,"")</f>
        <v/>
      </c>
      <c r="AB2510" s="0" t="str">
        <f aca="false">IF(W2510=1,"",IF(AND(X2510=1,Z2510&lt;&gt;1),1,0))</f>
        <v/>
      </c>
      <c r="AC2510" s="0" t="str">
        <f aca="false">IF(W2510=1,"",IF(AND(Y2510=1,AA2510&lt;&gt;1),1,0))</f>
        <v/>
      </c>
      <c r="AD2510" s="33" t="str">
        <f aca="false">IF(AND(E2510&gt;0,W2510&lt;1,NOT(AND(C2511=C2510,W2511=W2510+1))),INDEX(DATAS,W2510+1),"")</f>
        <v/>
      </c>
      <c r="AE2510" s="33" t="str">
        <f aca="false">IF(AND(Y2510=1,W2510&lt;1),IF(AND(C2511=C2510,W2511=W2510+1),IF(Y2511=1,"",INDEX(DATAS,W2510+1)),INDEX(DATAS,W2510+1)),"")</f>
        <v/>
      </c>
    </row>
    <row r="2511" customFormat="false" ht="15" hidden="false" customHeight="false" outlineLevel="0" collapsed="false">
      <c r="A2511" s="33" t="n">
        <v>46309</v>
      </c>
      <c r="B2511" s="0" t="n">
        <v>11</v>
      </c>
      <c r="C2511" s="0" t="n">
        <v>6839</v>
      </c>
      <c r="E2511" s="0" t="n">
        <v>0</v>
      </c>
      <c r="F2511" s="27" t="s">
        <v>1290</v>
      </c>
      <c r="I2511" s="27" t="s">
        <v>168</v>
      </c>
      <c r="U2511" s="0" t="n">
        <v>428</v>
      </c>
      <c r="V2511" s="0" t="n">
        <v>2</v>
      </c>
      <c r="W2511" s="27" t="n">
        <f aca="false">MATCH(A2511,DATAS,0)</f>
        <v>1</v>
      </c>
      <c r="X2511" s="27" t="n">
        <f aca="false">IF(AND(E2511&gt;0,OR(AND(B2511&gt;=1,B2511&lt;=6),B2511=10)),1,0)</f>
        <v>0</v>
      </c>
      <c r="Y2511" s="27" t="n">
        <f aca="false">IF(AND(E2511&gt;0,B2511=10),1,0)</f>
        <v>0</v>
      </c>
      <c r="Z2511" s="0" t="str">
        <f aca="false">IF(AND(C2510=C2511,W2510=W2511-1),X2510,"")</f>
        <v/>
      </c>
      <c r="AA2511" s="0" t="str">
        <f aca="false">IF(AND(C2510=C2511,W2510=W2511-1),Y2510,"")</f>
        <v/>
      </c>
      <c r="AB2511" s="0" t="str">
        <f aca="false">IF(W2511=1,"",IF(AND(X2511=1,Z2511&lt;&gt;1),1,0))</f>
        <v/>
      </c>
      <c r="AC2511" s="0" t="str">
        <f aca="false">IF(W2511=1,"",IF(AND(Y2511=1,AA2511&lt;&gt;1),1,0))</f>
        <v/>
      </c>
      <c r="AD2511" s="33" t="str">
        <f aca="false">IF(AND(E2511&gt;0,W2511&lt;1,NOT(AND(C2512=C2511,W2512=W2511+1))),INDEX(DATAS,W2511+1),"")</f>
        <v/>
      </c>
      <c r="AE2511" s="33" t="str">
        <f aca="false">IF(AND(Y2511=1,W2511&lt;1),IF(AND(C2512=C2511,W2512=W2511+1),IF(Y2512=1,"",INDEX(DATAS,W2511+1)),INDEX(DATAS,W2511+1)),"")</f>
        <v/>
      </c>
    </row>
    <row r="2512" customFormat="false" ht="15" hidden="false" customHeight="false" outlineLevel="0" collapsed="false">
      <c r="A2512" s="33" t="n">
        <v>46309</v>
      </c>
      <c r="B2512" s="0" t="n">
        <v>11</v>
      </c>
      <c r="C2512" s="0" t="n">
        <v>6841</v>
      </c>
      <c r="E2512" s="0" t="n">
        <v>0</v>
      </c>
      <c r="F2512" s="27" t="s">
        <v>1291</v>
      </c>
      <c r="I2512" s="27" t="s">
        <v>168</v>
      </c>
      <c r="U2512" s="0" t="n">
        <v>487</v>
      </c>
      <c r="V2512" s="0" t="n">
        <v>1</v>
      </c>
      <c r="W2512" s="27" t="n">
        <f aca="false">MATCH(A2512,DATAS,0)</f>
        <v>1</v>
      </c>
      <c r="X2512" s="27" t="n">
        <f aca="false">IF(AND(E2512&gt;0,OR(AND(B2512&gt;=1,B2512&lt;=6),B2512=10)),1,0)</f>
        <v>0</v>
      </c>
      <c r="Y2512" s="27" t="n">
        <f aca="false">IF(AND(E2512&gt;0,B2512=10),1,0)</f>
        <v>0</v>
      </c>
      <c r="Z2512" s="0" t="str">
        <f aca="false">IF(AND(C2511=C2512,W2511=W2512-1),X2511,"")</f>
        <v/>
      </c>
      <c r="AA2512" s="0" t="str">
        <f aca="false">IF(AND(C2511=C2512,W2511=W2512-1),Y2511,"")</f>
        <v/>
      </c>
      <c r="AB2512" s="0" t="str">
        <f aca="false">IF(W2512=1,"",IF(AND(X2512=1,Z2512&lt;&gt;1),1,0))</f>
        <v/>
      </c>
      <c r="AC2512" s="0" t="str">
        <f aca="false">IF(W2512=1,"",IF(AND(Y2512=1,AA2512&lt;&gt;1),1,0))</f>
        <v/>
      </c>
      <c r="AD2512" s="33" t="str">
        <f aca="false">IF(AND(E2512&gt;0,W2512&lt;1,NOT(AND(C2513=C2512,W2513=W2512+1))),INDEX(DATAS,W2512+1),"")</f>
        <v/>
      </c>
      <c r="AE2512" s="33" t="str">
        <f aca="false">IF(AND(Y2512=1,W2512&lt;1),IF(AND(C2513=C2512,W2513=W2512+1),IF(Y2513=1,"",INDEX(DATAS,W2512+1)),INDEX(DATAS,W2512+1)),"")</f>
        <v/>
      </c>
    </row>
    <row r="2513" customFormat="false" ht="15" hidden="false" customHeight="false" outlineLevel="0" collapsed="false">
      <c r="A2513" s="33" t="n">
        <v>46309</v>
      </c>
      <c r="B2513" s="0" t="n">
        <v>11</v>
      </c>
      <c r="C2513" s="0" t="n">
        <v>6842</v>
      </c>
      <c r="E2513" s="0" t="n">
        <v>0</v>
      </c>
      <c r="F2513" s="27" t="s">
        <v>1292</v>
      </c>
      <c r="I2513" s="27" t="s">
        <v>168</v>
      </c>
      <c r="U2513" s="0" t="n">
        <v>427</v>
      </c>
      <c r="V2513" s="0" t="n">
        <v>1</v>
      </c>
      <c r="W2513" s="27" t="n">
        <f aca="false">MATCH(A2513,DATAS,0)</f>
        <v>1</v>
      </c>
      <c r="X2513" s="27" t="n">
        <f aca="false">IF(AND(E2513&gt;0,OR(AND(B2513&gt;=1,B2513&lt;=6),B2513=10)),1,0)</f>
        <v>0</v>
      </c>
      <c r="Y2513" s="27" t="n">
        <f aca="false">IF(AND(E2513&gt;0,B2513=10),1,0)</f>
        <v>0</v>
      </c>
      <c r="Z2513" s="0" t="str">
        <f aca="false">IF(AND(C2512=C2513,W2512=W2513-1),X2512,"")</f>
        <v/>
      </c>
      <c r="AA2513" s="0" t="str">
        <f aca="false">IF(AND(C2512=C2513,W2512=W2513-1),Y2512,"")</f>
        <v/>
      </c>
      <c r="AB2513" s="0" t="str">
        <f aca="false">IF(W2513=1,"",IF(AND(X2513=1,Z2513&lt;&gt;1),1,0))</f>
        <v/>
      </c>
      <c r="AC2513" s="0" t="str">
        <f aca="false">IF(W2513=1,"",IF(AND(Y2513=1,AA2513&lt;&gt;1),1,0))</f>
        <v/>
      </c>
      <c r="AD2513" s="33" t="str">
        <f aca="false">IF(AND(E2513&gt;0,W2513&lt;1,NOT(AND(C2514=C2513,W2514=W2513+1))),INDEX(DATAS,W2513+1),"")</f>
        <v/>
      </c>
      <c r="AE2513" s="33" t="str">
        <f aca="false">IF(AND(Y2513=1,W2513&lt;1),IF(AND(C2514=C2513,W2514=W2513+1),IF(Y2514=1,"",INDEX(DATAS,W2513+1)),INDEX(DATAS,W2513+1)),"")</f>
        <v/>
      </c>
    </row>
    <row r="2514" customFormat="false" ht="15" hidden="false" customHeight="false" outlineLevel="0" collapsed="false">
      <c r="A2514" s="33" t="n">
        <v>46309</v>
      </c>
      <c r="B2514" s="0" t="n">
        <v>13</v>
      </c>
      <c r="C2514" s="0" t="n">
        <v>6843</v>
      </c>
      <c r="E2514" s="0" t="n">
        <v>0</v>
      </c>
      <c r="F2514" s="27" t="s">
        <v>1292</v>
      </c>
      <c r="I2514" s="27" t="s">
        <v>176</v>
      </c>
      <c r="U2514" s="0" t="n">
        <v>427</v>
      </c>
      <c r="V2514" s="0" t="n">
        <v>0</v>
      </c>
      <c r="W2514" s="27" t="n">
        <f aca="false">MATCH(A2514,DATAS,0)</f>
        <v>1</v>
      </c>
      <c r="X2514" s="27" t="n">
        <f aca="false">IF(AND(E2514&gt;0,OR(AND(B2514&gt;=1,B2514&lt;=6),B2514=10)),1,0)</f>
        <v>0</v>
      </c>
      <c r="Y2514" s="27" t="n">
        <f aca="false">IF(AND(E2514&gt;0,B2514=10),1,0)</f>
        <v>0</v>
      </c>
      <c r="Z2514" s="0" t="str">
        <f aca="false">IF(AND(C2513=C2514,W2513=W2514-1),X2513,"")</f>
        <v/>
      </c>
      <c r="AA2514" s="0" t="str">
        <f aca="false">IF(AND(C2513=C2514,W2513=W2514-1),Y2513,"")</f>
        <v/>
      </c>
      <c r="AB2514" s="0" t="str">
        <f aca="false">IF(W2514=1,"",IF(AND(X2514=1,Z2514&lt;&gt;1),1,0))</f>
        <v/>
      </c>
      <c r="AC2514" s="0" t="str">
        <f aca="false">IF(W2514=1,"",IF(AND(Y2514=1,AA2514&lt;&gt;1),1,0))</f>
        <v/>
      </c>
      <c r="AD2514" s="33" t="str">
        <f aca="false">IF(AND(E2514&gt;0,W2514&lt;1,NOT(AND(C2515=C2514,W2515=W2514+1))),INDEX(DATAS,W2514+1),"")</f>
        <v/>
      </c>
      <c r="AE2514" s="33" t="str">
        <f aca="false">IF(AND(Y2514=1,W2514&lt;1),IF(AND(C2515=C2514,W2515=W2514+1),IF(Y2515=1,"",INDEX(DATAS,W2514+1)),INDEX(DATAS,W2514+1)),"")</f>
        <v/>
      </c>
    </row>
    <row r="2515" customFormat="false" ht="15" hidden="false" customHeight="false" outlineLevel="0" collapsed="false">
      <c r="A2515" s="33" t="n">
        <v>46309</v>
      </c>
      <c r="B2515" s="0" t="n">
        <v>11</v>
      </c>
      <c r="C2515" s="0" t="n">
        <v>6845</v>
      </c>
      <c r="E2515" s="0" t="n">
        <v>0</v>
      </c>
      <c r="F2515" s="27" t="s">
        <v>1292</v>
      </c>
      <c r="I2515" s="27" t="s">
        <v>168</v>
      </c>
      <c r="U2515" s="0" t="n">
        <v>427</v>
      </c>
      <c r="V2515" s="0" t="n">
        <v>2</v>
      </c>
      <c r="W2515" s="27" t="n">
        <f aca="false">MATCH(A2515,DATAS,0)</f>
        <v>1</v>
      </c>
      <c r="X2515" s="27" t="n">
        <f aca="false">IF(AND(E2515&gt;0,OR(AND(B2515&gt;=1,B2515&lt;=6),B2515=10)),1,0)</f>
        <v>0</v>
      </c>
      <c r="Y2515" s="27" t="n">
        <f aca="false">IF(AND(E2515&gt;0,B2515=10),1,0)</f>
        <v>0</v>
      </c>
      <c r="Z2515" s="0" t="str">
        <f aca="false">IF(AND(C2514=C2515,W2514=W2515-1),X2514,"")</f>
        <v/>
      </c>
      <c r="AA2515" s="0" t="str">
        <f aca="false">IF(AND(C2514=C2515,W2514=W2515-1),Y2514,"")</f>
        <v/>
      </c>
      <c r="AB2515" s="0" t="str">
        <f aca="false">IF(W2515=1,"",IF(AND(X2515=1,Z2515&lt;&gt;1),1,0))</f>
        <v/>
      </c>
      <c r="AC2515" s="0" t="str">
        <f aca="false">IF(W2515=1,"",IF(AND(Y2515=1,AA2515&lt;&gt;1),1,0))</f>
        <v/>
      </c>
      <c r="AD2515" s="33" t="str">
        <f aca="false">IF(AND(E2515&gt;0,W2515&lt;1,NOT(AND(C2516=C2515,W2516=W2515+1))),INDEX(DATAS,W2515+1),"")</f>
        <v/>
      </c>
      <c r="AE2515" s="33" t="str">
        <f aca="false">IF(AND(Y2515=1,W2515&lt;1),IF(AND(C2516=C2515,W2516=W2515+1),IF(Y2516=1,"",INDEX(DATAS,W2515+1)),INDEX(DATAS,W2515+1)),"")</f>
        <v/>
      </c>
    </row>
    <row r="2516" customFormat="false" ht="15" hidden="false" customHeight="false" outlineLevel="0" collapsed="false">
      <c r="A2516" s="33" t="n">
        <v>46309</v>
      </c>
      <c r="B2516" s="0" t="n">
        <v>11</v>
      </c>
      <c r="C2516" s="0" t="n">
        <v>6846</v>
      </c>
      <c r="E2516" s="0" t="n">
        <v>0</v>
      </c>
      <c r="F2516" s="27" t="s">
        <v>1293</v>
      </c>
      <c r="I2516" s="27" t="s">
        <v>168</v>
      </c>
      <c r="U2516" s="0" t="n">
        <v>426</v>
      </c>
      <c r="V2516" s="0" t="n">
        <v>1</v>
      </c>
      <c r="W2516" s="27" t="n">
        <f aca="false">MATCH(A2516,DATAS,0)</f>
        <v>1</v>
      </c>
      <c r="X2516" s="27" t="n">
        <f aca="false">IF(AND(E2516&gt;0,OR(AND(B2516&gt;=1,B2516&lt;=6),B2516=10)),1,0)</f>
        <v>0</v>
      </c>
      <c r="Y2516" s="27" t="n">
        <f aca="false">IF(AND(E2516&gt;0,B2516=10),1,0)</f>
        <v>0</v>
      </c>
      <c r="Z2516" s="0" t="str">
        <f aca="false">IF(AND(C2515=C2516,W2515=W2516-1),X2515,"")</f>
        <v/>
      </c>
      <c r="AA2516" s="0" t="str">
        <f aca="false">IF(AND(C2515=C2516,W2515=W2516-1),Y2515,"")</f>
        <v/>
      </c>
      <c r="AB2516" s="0" t="str">
        <f aca="false">IF(W2516=1,"",IF(AND(X2516=1,Z2516&lt;&gt;1),1,0))</f>
        <v/>
      </c>
      <c r="AC2516" s="0" t="str">
        <f aca="false">IF(W2516=1,"",IF(AND(Y2516=1,AA2516&lt;&gt;1),1,0))</f>
        <v/>
      </c>
      <c r="AD2516" s="33" t="str">
        <f aca="false">IF(AND(E2516&gt;0,W2516&lt;1,NOT(AND(C2517=C2516,W2517=W2516+1))),INDEX(DATAS,W2516+1),"")</f>
        <v/>
      </c>
      <c r="AE2516" s="33" t="str">
        <f aca="false">IF(AND(Y2516=1,W2516&lt;1),IF(AND(C2517=C2516,W2517=W2516+1),IF(Y2517=1,"",INDEX(DATAS,W2516+1)),INDEX(DATAS,W2516+1)),"")</f>
        <v/>
      </c>
    </row>
    <row r="2517" customFormat="false" ht="15" hidden="false" customHeight="false" outlineLevel="0" collapsed="false">
      <c r="A2517" s="33" t="n">
        <v>46309</v>
      </c>
      <c r="B2517" s="0" t="n">
        <v>8</v>
      </c>
      <c r="C2517" s="0" t="n">
        <v>6847</v>
      </c>
      <c r="E2517" s="0" t="n">
        <v>0</v>
      </c>
      <c r="F2517" s="27" t="s">
        <v>1294</v>
      </c>
      <c r="I2517" s="27" t="s">
        <v>138</v>
      </c>
      <c r="L2517" s="0" t="n">
        <v>33</v>
      </c>
      <c r="U2517" s="0" t="n">
        <v>425</v>
      </c>
      <c r="V2517" s="0" t="n">
        <v>1</v>
      </c>
      <c r="W2517" s="27" t="n">
        <f aca="false">MATCH(A2517,DATAS,0)</f>
        <v>1</v>
      </c>
      <c r="X2517" s="27" t="n">
        <f aca="false">IF(AND(E2517&gt;0,OR(AND(B2517&gt;=1,B2517&lt;=6),B2517=10)),1,0)</f>
        <v>0</v>
      </c>
      <c r="Y2517" s="27" t="n">
        <f aca="false">IF(AND(E2517&gt;0,B2517=10),1,0)</f>
        <v>0</v>
      </c>
      <c r="Z2517" s="0" t="str">
        <f aca="false">IF(AND(C2516=C2517,W2516=W2517-1),X2516,"")</f>
        <v/>
      </c>
      <c r="AA2517" s="0" t="str">
        <f aca="false">IF(AND(C2516=C2517,W2516=W2517-1),Y2516,"")</f>
        <v/>
      </c>
      <c r="AB2517" s="0" t="str">
        <f aca="false">IF(W2517=1,"",IF(AND(X2517=1,Z2517&lt;&gt;1),1,0))</f>
        <v/>
      </c>
      <c r="AC2517" s="0" t="str">
        <f aca="false">IF(W2517=1,"",IF(AND(Y2517=1,AA2517&lt;&gt;1),1,0))</f>
        <v/>
      </c>
      <c r="AD2517" s="33" t="str">
        <f aca="false">IF(AND(E2517&gt;0,W2517&lt;1,NOT(AND(C2518=C2517,W2518=W2517+1))),INDEX(DATAS,W2517+1),"")</f>
        <v/>
      </c>
      <c r="AE2517" s="33" t="str">
        <f aca="false">IF(AND(Y2517=1,W2517&lt;1),IF(AND(C2518=C2517,W2518=W2517+1),IF(Y2518=1,"",INDEX(DATAS,W2517+1)),INDEX(DATAS,W2517+1)),"")</f>
        <v/>
      </c>
    </row>
    <row r="2518" customFormat="false" ht="15" hidden="false" customHeight="false" outlineLevel="0" collapsed="false">
      <c r="A2518" s="33" t="n">
        <v>46309</v>
      </c>
      <c r="B2518" s="0" t="n">
        <v>8</v>
      </c>
      <c r="C2518" s="0" t="n">
        <v>6848</v>
      </c>
      <c r="E2518" s="0" t="n">
        <v>0</v>
      </c>
      <c r="F2518" s="27" t="s">
        <v>1295</v>
      </c>
      <c r="I2518" s="27" t="s">
        <v>138</v>
      </c>
      <c r="L2518" s="0" t="n">
        <v>28</v>
      </c>
      <c r="U2518" s="0" t="n">
        <v>424</v>
      </c>
      <c r="V2518" s="0" t="n">
        <v>1</v>
      </c>
      <c r="W2518" s="27" t="n">
        <f aca="false">MATCH(A2518,DATAS,0)</f>
        <v>1</v>
      </c>
      <c r="X2518" s="27" t="n">
        <f aca="false">IF(AND(E2518&gt;0,OR(AND(B2518&gt;=1,B2518&lt;=6),B2518=10)),1,0)</f>
        <v>0</v>
      </c>
      <c r="Y2518" s="27" t="n">
        <f aca="false">IF(AND(E2518&gt;0,B2518=10),1,0)</f>
        <v>0</v>
      </c>
      <c r="Z2518" s="0" t="str">
        <f aca="false">IF(AND(C2517=C2518,W2517=W2518-1),X2517,"")</f>
        <v/>
      </c>
      <c r="AA2518" s="0" t="str">
        <f aca="false">IF(AND(C2517=C2518,W2517=W2518-1),Y2517,"")</f>
        <v/>
      </c>
      <c r="AB2518" s="0" t="str">
        <f aca="false">IF(W2518=1,"",IF(AND(X2518=1,Z2518&lt;&gt;1),1,0))</f>
        <v/>
      </c>
      <c r="AC2518" s="0" t="str">
        <f aca="false">IF(W2518=1,"",IF(AND(Y2518=1,AA2518&lt;&gt;1),1,0))</f>
        <v/>
      </c>
      <c r="AD2518" s="33" t="str">
        <f aca="false">IF(AND(E2518&gt;0,W2518&lt;1,NOT(AND(C2519=C2518,W2519=W2518+1))),INDEX(DATAS,W2518+1),"")</f>
        <v/>
      </c>
      <c r="AE2518" s="33" t="str">
        <f aca="false">IF(AND(Y2518=1,W2518&lt;1),IF(AND(C2519=C2518,W2519=W2518+1),IF(Y2519=1,"",INDEX(DATAS,W2518+1)),INDEX(DATAS,W2518+1)),"")</f>
        <v/>
      </c>
    </row>
    <row r="2519" customFormat="false" ht="15" hidden="false" customHeight="false" outlineLevel="0" collapsed="false">
      <c r="A2519" s="33" t="n">
        <v>46309</v>
      </c>
      <c r="B2519" s="0" t="n">
        <v>8</v>
      </c>
      <c r="C2519" s="0" t="n">
        <v>6849</v>
      </c>
      <c r="E2519" s="0" t="n">
        <v>0</v>
      </c>
      <c r="F2519" s="27" t="s">
        <v>1295</v>
      </c>
      <c r="I2519" s="27" t="s">
        <v>138</v>
      </c>
      <c r="L2519" s="0" t="n">
        <v>29</v>
      </c>
      <c r="U2519" s="0" t="n">
        <v>424</v>
      </c>
      <c r="V2519" s="0" t="n">
        <v>1</v>
      </c>
      <c r="W2519" s="27" t="n">
        <f aca="false">MATCH(A2519,DATAS,0)</f>
        <v>1</v>
      </c>
      <c r="X2519" s="27" t="n">
        <f aca="false">IF(AND(E2519&gt;0,OR(AND(B2519&gt;=1,B2519&lt;=6),B2519=10)),1,0)</f>
        <v>0</v>
      </c>
      <c r="Y2519" s="27" t="n">
        <f aca="false">IF(AND(E2519&gt;0,B2519=10),1,0)</f>
        <v>0</v>
      </c>
      <c r="Z2519" s="0" t="str">
        <f aca="false">IF(AND(C2518=C2519,W2518=W2519-1),X2518,"")</f>
        <v/>
      </c>
      <c r="AA2519" s="0" t="str">
        <f aca="false">IF(AND(C2518=C2519,W2518=W2519-1),Y2518,"")</f>
        <v/>
      </c>
      <c r="AB2519" s="0" t="str">
        <f aca="false">IF(W2519=1,"",IF(AND(X2519=1,Z2519&lt;&gt;1),1,0))</f>
        <v/>
      </c>
      <c r="AC2519" s="0" t="str">
        <f aca="false">IF(W2519=1,"",IF(AND(Y2519=1,AA2519&lt;&gt;1),1,0))</f>
        <v/>
      </c>
      <c r="AD2519" s="33" t="str">
        <f aca="false">IF(AND(E2519&gt;0,W2519&lt;1,NOT(AND(C2520=C2519,W2520=W2519+1))),INDEX(DATAS,W2519+1),"")</f>
        <v/>
      </c>
      <c r="AE2519" s="33" t="str">
        <f aca="false">IF(AND(Y2519=1,W2519&lt;1),IF(AND(C2520=C2519,W2520=W2519+1),IF(Y2520=1,"",INDEX(DATAS,W2519+1)),INDEX(DATAS,W2519+1)),"")</f>
        <v/>
      </c>
    </row>
    <row r="2520" customFormat="false" ht="15" hidden="false" customHeight="false" outlineLevel="0" collapsed="false">
      <c r="A2520" s="33" t="n">
        <v>46309</v>
      </c>
      <c r="B2520" s="0" t="n">
        <v>13</v>
      </c>
      <c r="C2520" s="0" t="n">
        <v>6850</v>
      </c>
      <c r="E2520" s="0" t="n">
        <v>0</v>
      </c>
      <c r="F2520" s="27" t="s">
        <v>1296</v>
      </c>
      <c r="I2520" s="27" t="s">
        <v>166</v>
      </c>
      <c r="U2520" s="0" t="n">
        <v>395</v>
      </c>
      <c r="V2520" s="0" t="n">
        <v>0</v>
      </c>
      <c r="W2520" s="27" t="n">
        <f aca="false">MATCH(A2520,DATAS,0)</f>
        <v>1</v>
      </c>
      <c r="X2520" s="27" t="n">
        <f aca="false">IF(AND(E2520&gt;0,OR(AND(B2520&gt;=1,B2520&lt;=6),B2520=10)),1,0)</f>
        <v>0</v>
      </c>
      <c r="Y2520" s="27" t="n">
        <f aca="false">IF(AND(E2520&gt;0,B2520=10),1,0)</f>
        <v>0</v>
      </c>
      <c r="Z2520" s="0" t="str">
        <f aca="false">IF(AND(C2519=C2520,W2519=W2520-1),X2519,"")</f>
        <v/>
      </c>
      <c r="AA2520" s="0" t="str">
        <f aca="false">IF(AND(C2519=C2520,W2519=W2520-1),Y2519,"")</f>
        <v/>
      </c>
      <c r="AB2520" s="0" t="str">
        <f aca="false">IF(W2520=1,"",IF(AND(X2520=1,Z2520&lt;&gt;1),1,0))</f>
        <v/>
      </c>
      <c r="AC2520" s="0" t="str">
        <f aca="false">IF(W2520=1,"",IF(AND(Y2520=1,AA2520&lt;&gt;1),1,0))</f>
        <v/>
      </c>
      <c r="AD2520" s="33" t="str">
        <f aca="false">IF(AND(E2520&gt;0,W2520&lt;1,NOT(AND(C2521=C2520,W2521=W2520+1))),INDEX(DATAS,W2520+1),"")</f>
        <v/>
      </c>
      <c r="AE2520" s="33" t="str">
        <f aca="false">IF(AND(Y2520=1,W2520&lt;1),IF(AND(C2521=C2520,W2521=W2520+1),IF(Y2521=1,"",INDEX(DATAS,W2520+1)),INDEX(DATAS,W2520+1)),"")</f>
        <v/>
      </c>
    </row>
    <row r="2521" customFormat="false" ht="15" hidden="false" customHeight="false" outlineLevel="0" collapsed="false">
      <c r="A2521" s="33" t="n">
        <v>46309</v>
      </c>
      <c r="B2521" s="0" t="n">
        <v>11</v>
      </c>
      <c r="C2521" s="0" t="n">
        <v>6852</v>
      </c>
      <c r="E2521" s="0" t="n">
        <v>0</v>
      </c>
      <c r="F2521" s="27" t="s">
        <v>1297</v>
      </c>
      <c r="I2521" s="27" t="s">
        <v>168</v>
      </c>
      <c r="U2521" s="0" t="n">
        <v>437</v>
      </c>
      <c r="V2521" s="0" t="n">
        <v>2</v>
      </c>
      <c r="W2521" s="27" t="n">
        <f aca="false">MATCH(A2521,DATAS,0)</f>
        <v>1</v>
      </c>
      <c r="X2521" s="27" t="n">
        <f aca="false">IF(AND(E2521&gt;0,OR(AND(B2521&gt;=1,B2521&lt;=6),B2521=10)),1,0)</f>
        <v>0</v>
      </c>
      <c r="Y2521" s="27" t="n">
        <f aca="false">IF(AND(E2521&gt;0,B2521=10),1,0)</f>
        <v>0</v>
      </c>
      <c r="Z2521" s="0" t="str">
        <f aca="false">IF(AND(C2520=C2521,W2520=W2521-1),X2520,"")</f>
        <v/>
      </c>
      <c r="AA2521" s="0" t="str">
        <f aca="false">IF(AND(C2520=C2521,W2520=W2521-1),Y2520,"")</f>
        <v/>
      </c>
      <c r="AB2521" s="0" t="str">
        <f aca="false">IF(W2521=1,"",IF(AND(X2521=1,Z2521&lt;&gt;1),1,0))</f>
        <v/>
      </c>
      <c r="AC2521" s="0" t="str">
        <f aca="false">IF(W2521=1,"",IF(AND(Y2521=1,AA2521&lt;&gt;1),1,0))</f>
        <v/>
      </c>
      <c r="AD2521" s="33" t="str">
        <f aca="false">IF(AND(E2521&gt;0,W2521&lt;1,NOT(AND(C2522=C2521,W2522=W2521+1))),INDEX(DATAS,W2521+1),"")</f>
        <v/>
      </c>
      <c r="AE2521" s="33" t="str">
        <f aca="false">IF(AND(Y2521=1,W2521&lt;1),IF(AND(C2522=C2521,W2522=W2521+1),IF(Y2522=1,"",INDEX(DATAS,W2521+1)),INDEX(DATAS,W2521+1)),"")</f>
        <v/>
      </c>
    </row>
    <row r="2522" customFormat="false" ht="15" hidden="false" customHeight="false" outlineLevel="0" collapsed="false">
      <c r="A2522" s="33" t="n">
        <v>46309</v>
      </c>
      <c r="B2522" s="0" t="n">
        <v>11</v>
      </c>
      <c r="C2522" s="0" t="n">
        <v>6853</v>
      </c>
      <c r="E2522" s="0" t="n">
        <v>0</v>
      </c>
      <c r="F2522" s="27" t="s">
        <v>1295</v>
      </c>
      <c r="I2522" s="27" t="s">
        <v>168</v>
      </c>
      <c r="U2522" s="0" t="n">
        <v>424</v>
      </c>
      <c r="V2522" s="0" t="n">
        <v>1</v>
      </c>
      <c r="W2522" s="27" t="n">
        <f aca="false">MATCH(A2522,DATAS,0)</f>
        <v>1</v>
      </c>
      <c r="X2522" s="27" t="n">
        <f aca="false">IF(AND(E2522&gt;0,OR(AND(B2522&gt;=1,B2522&lt;=6),B2522=10)),1,0)</f>
        <v>0</v>
      </c>
      <c r="Y2522" s="27" t="n">
        <f aca="false">IF(AND(E2522&gt;0,B2522=10),1,0)</f>
        <v>0</v>
      </c>
      <c r="Z2522" s="0" t="str">
        <f aca="false">IF(AND(C2521=C2522,W2521=W2522-1),X2521,"")</f>
        <v/>
      </c>
      <c r="AA2522" s="0" t="str">
        <f aca="false">IF(AND(C2521=C2522,W2521=W2522-1),Y2521,"")</f>
        <v/>
      </c>
      <c r="AB2522" s="0" t="str">
        <f aca="false">IF(W2522=1,"",IF(AND(X2522=1,Z2522&lt;&gt;1),1,0))</f>
        <v/>
      </c>
      <c r="AC2522" s="0" t="str">
        <f aca="false">IF(W2522=1,"",IF(AND(Y2522=1,AA2522&lt;&gt;1),1,0))</f>
        <v/>
      </c>
      <c r="AD2522" s="33" t="str">
        <f aca="false">IF(AND(E2522&gt;0,W2522&lt;1,NOT(AND(C2523=C2522,W2523=W2522+1))),INDEX(DATAS,W2522+1),"")</f>
        <v/>
      </c>
      <c r="AE2522" s="33" t="str">
        <f aca="false">IF(AND(Y2522=1,W2522&lt;1),IF(AND(C2523=C2522,W2523=W2522+1),IF(Y2523=1,"",INDEX(DATAS,W2522+1)),INDEX(DATAS,W2522+1)),"")</f>
        <v/>
      </c>
    </row>
    <row r="2523" customFormat="false" ht="15" hidden="false" customHeight="false" outlineLevel="0" collapsed="false">
      <c r="A2523" s="33" t="n">
        <v>46309</v>
      </c>
      <c r="B2523" s="0" t="n">
        <v>11</v>
      </c>
      <c r="C2523" s="0" t="n">
        <v>6854</v>
      </c>
      <c r="E2523" s="0" t="n">
        <v>0</v>
      </c>
      <c r="F2523" s="27" t="s">
        <v>1298</v>
      </c>
      <c r="I2523" s="27" t="s">
        <v>168</v>
      </c>
      <c r="U2523" s="0" t="n">
        <v>423</v>
      </c>
      <c r="V2523" s="0" t="n">
        <v>1</v>
      </c>
      <c r="W2523" s="27" t="n">
        <f aca="false">MATCH(A2523,DATAS,0)</f>
        <v>1</v>
      </c>
      <c r="X2523" s="27" t="n">
        <f aca="false">IF(AND(E2523&gt;0,OR(AND(B2523&gt;=1,B2523&lt;=6),B2523=10)),1,0)</f>
        <v>0</v>
      </c>
      <c r="Y2523" s="27" t="n">
        <f aca="false">IF(AND(E2523&gt;0,B2523=10),1,0)</f>
        <v>0</v>
      </c>
      <c r="Z2523" s="0" t="str">
        <f aca="false">IF(AND(C2522=C2523,W2522=W2523-1),X2522,"")</f>
        <v/>
      </c>
      <c r="AA2523" s="0" t="str">
        <f aca="false">IF(AND(C2522=C2523,W2522=W2523-1),Y2522,"")</f>
        <v/>
      </c>
      <c r="AB2523" s="0" t="str">
        <f aca="false">IF(W2523=1,"",IF(AND(X2523=1,Z2523&lt;&gt;1),1,0))</f>
        <v/>
      </c>
      <c r="AC2523" s="0" t="str">
        <f aca="false">IF(W2523=1,"",IF(AND(Y2523=1,AA2523&lt;&gt;1),1,0))</f>
        <v/>
      </c>
      <c r="AD2523" s="33" t="str">
        <f aca="false">IF(AND(E2523&gt;0,W2523&lt;1,NOT(AND(C2524=C2523,W2524=W2523+1))),INDEX(DATAS,W2523+1),"")</f>
        <v/>
      </c>
      <c r="AE2523" s="33" t="str">
        <f aca="false">IF(AND(Y2523=1,W2523&lt;1),IF(AND(C2524=C2523,W2524=W2523+1),IF(Y2524=1,"",INDEX(DATAS,W2523+1)),INDEX(DATAS,W2523+1)),"")</f>
        <v/>
      </c>
    </row>
    <row r="2524" customFormat="false" ht="15" hidden="false" customHeight="false" outlineLevel="0" collapsed="false">
      <c r="A2524" s="33" t="n">
        <v>46309</v>
      </c>
      <c r="B2524" s="0" t="n">
        <v>11</v>
      </c>
      <c r="C2524" s="0" t="n">
        <v>6855</v>
      </c>
      <c r="E2524" s="0" t="n">
        <v>0</v>
      </c>
      <c r="F2524" s="27" t="s">
        <v>1298</v>
      </c>
      <c r="I2524" s="27" t="s">
        <v>168</v>
      </c>
      <c r="U2524" s="0" t="n">
        <v>423</v>
      </c>
      <c r="V2524" s="0" t="n">
        <v>2</v>
      </c>
      <c r="W2524" s="27" t="n">
        <f aca="false">MATCH(A2524,DATAS,0)</f>
        <v>1</v>
      </c>
      <c r="X2524" s="27" t="n">
        <f aca="false">IF(AND(E2524&gt;0,OR(AND(B2524&gt;=1,B2524&lt;=6),B2524=10)),1,0)</f>
        <v>0</v>
      </c>
      <c r="Y2524" s="27" t="n">
        <f aca="false">IF(AND(E2524&gt;0,B2524=10),1,0)</f>
        <v>0</v>
      </c>
      <c r="Z2524" s="0" t="str">
        <f aca="false">IF(AND(C2523=C2524,W2523=W2524-1),X2523,"")</f>
        <v/>
      </c>
      <c r="AA2524" s="0" t="str">
        <f aca="false">IF(AND(C2523=C2524,W2523=W2524-1),Y2523,"")</f>
        <v/>
      </c>
      <c r="AB2524" s="0" t="str">
        <f aca="false">IF(W2524=1,"",IF(AND(X2524=1,Z2524&lt;&gt;1),1,0))</f>
        <v/>
      </c>
      <c r="AC2524" s="0" t="str">
        <f aca="false">IF(W2524=1,"",IF(AND(Y2524=1,AA2524&lt;&gt;1),1,0))</f>
        <v/>
      </c>
      <c r="AD2524" s="33" t="str">
        <f aca="false">IF(AND(E2524&gt;0,W2524&lt;1,NOT(AND(C2525=C2524,W2525=W2524+1))),INDEX(DATAS,W2524+1),"")</f>
        <v/>
      </c>
      <c r="AE2524" s="33" t="str">
        <f aca="false">IF(AND(Y2524=1,W2524&lt;1),IF(AND(C2525=C2524,W2525=W2524+1),IF(Y2525=1,"",INDEX(DATAS,W2524+1)),INDEX(DATAS,W2524+1)),"")</f>
        <v/>
      </c>
    </row>
    <row r="2525" customFormat="false" ht="15" hidden="false" customHeight="false" outlineLevel="0" collapsed="false">
      <c r="A2525" s="33" t="n">
        <v>46309</v>
      </c>
      <c r="B2525" s="0" t="n">
        <v>11</v>
      </c>
      <c r="C2525" s="0" t="n">
        <v>6856</v>
      </c>
      <c r="E2525" s="0" t="n">
        <v>0</v>
      </c>
      <c r="F2525" s="27" t="s">
        <v>1298</v>
      </c>
      <c r="I2525" s="27" t="s">
        <v>168</v>
      </c>
      <c r="U2525" s="0" t="n">
        <v>423</v>
      </c>
      <c r="V2525" s="0" t="n">
        <v>1</v>
      </c>
      <c r="W2525" s="27" t="n">
        <f aca="false">MATCH(A2525,DATAS,0)</f>
        <v>1</v>
      </c>
      <c r="X2525" s="27" t="n">
        <f aca="false">IF(AND(E2525&gt;0,OR(AND(B2525&gt;=1,B2525&lt;=6),B2525=10)),1,0)</f>
        <v>0</v>
      </c>
      <c r="Y2525" s="27" t="n">
        <f aca="false">IF(AND(E2525&gt;0,B2525=10),1,0)</f>
        <v>0</v>
      </c>
      <c r="Z2525" s="0" t="str">
        <f aca="false">IF(AND(C2524=C2525,W2524=W2525-1),X2524,"")</f>
        <v/>
      </c>
      <c r="AA2525" s="0" t="str">
        <f aca="false">IF(AND(C2524=C2525,W2524=W2525-1),Y2524,"")</f>
        <v/>
      </c>
      <c r="AB2525" s="0" t="str">
        <f aca="false">IF(W2525=1,"",IF(AND(X2525=1,Z2525&lt;&gt;1),1,0))</f>
        <v/>
      </c>
      <c r="AC2525" s="0" t="str">
        <f aca="false">IF(W2525=1,"",IF(AND(Y2525=1,AA2525&lt;&gt;1),1,0))</f>
        <v/>
      </c>
      <c r="AD2525" s="33" t="str">
        <f aca="false">IF(AND(E2525&gt;0,W2525&lt;1,NOT(AND(C2526=C2525,W2526=W2525+1))),INDEX(DATAS,W2525+1),"")</f>
        <v/>
      </c>
      <c r="AE2525" s="33" t="str">
        <f aca="false">IF(AND(Y2525=1,W2525&lt;1),IF(AND(C2526=C2525,W2526=W2525+1),IF(Y2526=1,"",INDEX(DATAS,W2525+1)),INDEX(DATAS,W2525+1)),"")</f>
        <v/>
      </c>
    </row>
    <row r="2526" customFormat="false" ht="15" hidden="false" customHeight="false" outlineLevel="0" collapsed="false">
      <c r="A2526" s="33" t="n">
        <v>46309</v>
      </c>
      <c r="B2526" s="0" t="n">
        <v>13</v>
      </c>
      <c r="C2526" s="0" t="n">
        <v>6857</v>
      </c>
      <c r="E2526" s="0" t="n">
        <v>0</v>
      </c>
      <c r="F2526" s="27" t="s">
        <v>1298</v>
      </c>
      <c r="I2526" s="27" t="s">
        <v>176</v>
      </c>
      <c r="U2526" s="0" t="n">
        <v>423</v>
      </c>
      <c r="V2526" s="0" t="n">
        <v>0</v>
      </c>
      <c r="W2526" s="27" t="n">
        <f aca="false">MATCH(A2526,DATAS,0)</f>
        <v>1</v>
      </c>
      <c r="X2526" s="27" t="n">
        <f aca="false">IF(AND(E2526&gt;0,OR(AND(B2526&gt;=1,B2526&lt;=6),B2526=10)),1,0)</f>
        <v>0</v>
      </c>
      <c r="Y2526" s="27" t="n">
        <f aca="false">IF(AND(E2526&gt;0,B2526=10),1,0)</f>
        <v>0</v>
      </c>
      <c r="Z2526" s="0" t="str">
        <f aca="false">IF(AND(C2525=C2526,W2525=W2526-1),X2525,"")</f>
        <v/>
      </c>
      <c r="AA2526" s="0" t="str">
        <f aca="false">IF(AND(C2525=C2526,W2525=W2526-1),Y2525,"")</f>
        <v/>
      </c>
      <c r="AB2526" s="0" t="str">
        <f aca="false">IF(W2526=1,"",IF(AND(X2526=1,Z2526&lt;&gt;1),1,0))</f>
        <v/>
      </c>
      <c r="AC2526" s="0" t="str">
        <f aca="false">IF(W2526=1,"",IF(AND(Y2526=1,AA2526&lt;&gt;1),1,0))</f>
        <v/>
      </c>
      <c r="AD2526" s="33" t="str">
        <f aca="false">IF(AND(E2526&gt;0,W2526&lt;1,NOT(AND(C2527=C2526,W2527=W2526+1))),INDEX(DATAS,W2526+1),"")</f>
        <v/>
      </c>
      <c r="AE2526" s="33" t="str">
        <f aca="false">IF(AND(Y2526=1,W2526&lt;1),IF(AND(C2527=C2526,W2527=W2526+1),IF(Y2527=1,"",INDEX(DATAS,W2526+1)),INDEX(DATAS,W2526+1)),"")</f>
        <v/>
      </c>
    </row>
    <row r="2527" customFormat="false" ht="15" hidden="false" customHeight="false" outlineLevel="0" collapsed="false">
      <c r="A2527" s="33" t="n">
        <v>46309</v>
      </c>
      <c r="B2527" s="0" t="n">
        <v>11</v>
      </c>
      <c r="C2527" s="0" t="n">
        <v>6859</v>
      </c>
      <c r="E2527" s="0" t="n">
        <v>0</v>
      </c>
      <c r="F2527" s="27" t="s">
        <v>1299</v>
      </c>
      <c r="I2527" s="27" t="s">
        <v>168</v>
      </c>
      <c r="U2527" s="0" t="n">
        <v>422</v>
      </c>
      <c r="V2527" s="0" t="n">
        <v>1</v>
      </c>
      <c r="W2527" s="27" t="n">
        <f aca="false">MATCH(A2527,DATAS,0)</f>
        <v>1</v>
      </c>
      <c r="X2527" s="27" t="n">
        <f aca="false">IF(AND(E2527&gt;0,OR(AND(B2527&gt;=1,B2527&lt;=6),B2527=10)),1,0)</f>
        <v>0</v>
      </c>
      <c r="Y2527" s="27" t="n">
        <f aca="false">IF(AND(E2527&gt;0,B2527=10),1,0)</f>
        <v>0</v>
      </c>
      <c r="Z2527" s="0" t="str">
        <f aca="false">IF(AND(C2526=C2527,W2526=W2527-1),X2526,"")</f>
        <v/>
      </c>
      <c r="AA2527" s="0" t="str">
        <f aca="false">IF(AND(C2526=C2527,W2526=W2527-1),Y2526,"")</f>
        <v/>
      </c>
      <c r="AB2527" s="0" t="str">
        <f aca="false">IF(W2527=1,"",IF(AND(X2527=1,Z2527&lt;&gt;1),1,0))</f>
        <v/>
      </c>
      <c r="AC2527" s="0" t="str">
        <f aca="false">IF(W2527=1,"",IF(AND(Y2527=1,AA2527&lt;&gt;1),1,0))</f>
        <v/>
      </c>
      <c r="AD2527" s="33" t="str">
        <f aca="false">IF(AND(E2527&gt;0,W2527&lt;1,NOT(AND(C2528=C2527,W2528=W2527+1))),INDEX(DATAS,W2527+1),"")</f>
        <v/>
      </c>
      <c r="AE2527" s="33" t="str">
        <f aca="false">IF(AND(Y2527=1,W2527&lt;1),IF(AND(C2528=C2527,W2528=W2527+1),IF(Y2528=1,"",INDEX(DATAS,W2527+1)),INDEX(DATAS,W2527+1)),"")</f>
        <v/>
      </c>
    </row>
    <row r="2528" customFormat="false" ht="15" hidden="false" customHeight="false" outlineLevel="0" collapsed="false">
      <c r="A2528" s="33" t="n">
        <v>46309</v>
      </c>
      <c r="B2528" s="0" t="n">
        <v>11</v>
      </c>
      <c r="C2528" s="0" t="n">
        <v>6864</v>
      </c>
      <c r="E2528" s="0" t="n">
        <v>0</v>
      </c>
      <c r="F2528" s="27" t="s">
        <v>1300</v>
      </c>
      <c r="I2528" s="27" t="s">
        <v>168</v>
      </c>
      <c r="U2528" s="0" t="n">
        <v>421</v>
      </c>
      <c r="V2528" s="0" t="n">
        <v>1</v>
      </c>
      <c r="W2528" s="27" t="n">
        <f aca="false">MATCH(A2528,DATAS,0)</f>
        <v>1</v>
      </c>
      <c r="X2528" s="27" t="n">
        <f aca="false">IF(AND(E2528&gt;0,OR(AND(B2528&gt;=1,B2528&lt;=6),B2528=10)),1,0)</f>
        <v>0</v>
      </c>
      <c r="Y2528" s="27" t="n">
        <f aca="false">IF(AND(E2528&gt;0,B2528=10),1,0)</f>
        <v>0</v>
      </c>
      <c r="Z2528" s="0" t="str">
        <f aca="false">IF(AND(C2527=C2528,W2527=W2528-1),X2527,"")</f>
        <v/>
      </c>
      <c r="AA2528" s="0" t="str">
        <f aca="false">IF(AND(C2527=C2528,W2527=W2528-1),Y2527,"")</f>
        <v/>
      </c>
      <c r="AB2528" s="0" t="str">
        <f aca="false">IF(W2528=1,"",IF(AND(X2528=1,Z2528&lt;&gt;1),1,0))</f>
        <v/>
      </c>
      <c r="AC2528" s="0" t="str">
        <f aca="false">IF(W2528=1,"",IF(AND(Y2528=1,AA2528&lt;&gt;1),1,0))</f>
        <v/>
      </c>
      <c r="AD2528" s="33" t="str">
        <f aca="false">IF(AND(E2528&gt;0,W2528&lt;1,NOT(AND(C2529=C2528,W2529=W2528+1))),INDEX(DATAS,W2528+1),"")</f>
        <v/>
      </c>
      <c r="AE2528" s="33" t="str">
        <f aca="false">IF(AND(Y2528=1,W2528&lt;1),IF(AND(C2529=C2528,W2529=W2528+1),IF(Y2529=1,"",INDEX(DATAS,W2528+1)),INDEX(DATAS,W2528+1)),"")</f>
        <v/>
      </c>
    </row>
    <row r="2529" customFormat="false" ht="15" hidden="false" customHeight="false" outlineLevel="0" collapsed="false">
      <c r="A2529" s="33" t="n">
        <v>46309</v>
      </c>
      <c r="B2529" s="0" t="n">
        <v>13</v>
      </c>
      <c r="C2529" s="0" t="n">
        <v>6865</v>
      </c>
      <c r="E2529" s="0" t="n">
        <v>0</v>
      </c>
      <c r="F2529" s="27" t="s">
        <v>1300</v>
      </c>
      <c r="I2529" s="27" t="s">
        <v>176</v>
      </c>
      <c r="U2529" s="0" t="n">
        <v>421</v>
      </c>
      <c r="V2529" s="0" t="n">
        <v>0</v>
      </c>
      <c r="W2529" s="27" t="n">
        <f aca="false">MATCH(A2529,DATAS,0)</f>
        <v>1</v>
      </c>
      <c r="X2529" s="27" t="n">
        <f aca="false">IF(AND(E2529&gt;0,OR(AND(B2529&gt;=1,B2529&lt;=6),B2529=10)),1,0)</f>
        <v>0</v>
      </c>
      <c r="Y2529" s="27" t="n">
        <f aca="false">IF(AND(E2529&gt;0,B2529=10),1,0)</f>
        <v>0</v>
      </c>
      <c r="Z2529" s="0" t="str">
        <f aca="false">IF(AND(C2528=C2529,W2528=W2529-1),X2528,"")</f>
        <v/>
      </c>
      <c r="AA2529" s="0" t="str">
        <f aca="false">IF(AND(C2528=C2529,W2528=W2529-1),Y2528,"")</f>
        <v/>
      </c>
      <c r="AB2529" s="0" t="str">
        <f aca="false">IF(W2529=1,"",IF(AND(X2529=1,Z2529&lt;&gt;1),1,0))</f>
        <v/>
      </c>
      <c r="AC2529" s="0" t="str">
        <f aca="false">IF(W2529=1,"",IF(AND(Y2529=1,AA2529&lt;&gt;1),1,0))</f>
        <v/>
      </c>
      <c r="AD2529" s="33" t="str">
        <f aca="false">IF(AND(E2529&gt;0,W2529&lt;1,NOT(AND(C2530=C2529,W2530=W2529+1))),INDEX(DATAS,W2529+1),"")</f>
        <v/>
      </c>
      <c r="AE2529" s="33" t="str">
        <f aca="false">IF(AND(Y2529=1,W2529&lt;1),IF(AND(C2530=C2529,W2530=W2529+1),IF(Y2530=1,"",INDEX(DATAS,W2529+1)),INDEX(DATAS,W2529+1)),"")</f>
        <v/>
      </c>
    </row>
    <row r="2530" customFormat="false" ht="15" hidden="false" customHeight="false" outlineLevel="0" collapsed="false">
      <c r="A2530" s="33" t="n">
        <v>46309</v>
      </c>
      <c r="B2530" s="0" t="n">
        <v>11</v>
      </c>
      <c r="C2530" s="0" t="n">
        <v>6866</v>
      </c>
      <c r="E2530" s="0" t="n">
        <v>0</v>
      </c>
      <c r="F2530" s="27" t="s">
        <v>1301</v>
      </c>
      <c r="I2530" s="27" t="s">
        <v>168</v>
      </c>
      <c r="U2530" s="0" t="n">
        <v>420</v>
      </c>
      <c r="V2530" s="0" t="n">
        <v>1</v>
      </c>
      <c r="W2530" s="27" t="n">
        <f aca="false">MATCH(A2530,DATAS,0)</f>
        <v>1</v>
      </c>
      <c r="X2530" s="27" t="n">
        <f aca="false">IF(AND(E2530&gt;0,OR(AND(B2530&gt;=1,B2530&lt;=6),B2530=10)),1,0)</f>
        <v>0</v>
      </c>
      <c r="Y2530" s="27" t="n">
        <f aca="false">IF(AND(E2530&gt;0,B2530=10),1,0)</f>
        <v>0</v>
      </c>
      <c r="Z2530" s="0" t="str">
        <f aca="false">IF(AND(C2529=C2530,W2529=W2530-1),X2529,"")</f>
        <v/>
      </c>
      <c r="AA2530" s="0" t="str">
        <f aca="false">IF(AND(C2529=C2530,W2529=W2530-1),Y2529,"")</f>
        <v/>
      </c>
      <c r="AB2530" s="0" t="str">
        <f aca="false">IF(W2530=1,"",IF(AND(X2530=1,Z2530&lt;&gt;1),1,0))</f>
        <v/>
      </c>
      <c r="AC2530" s="0" t="str">
        <f aca="false">IF(W2530=1,"",IF(AND(Y2530=1,AA2530&lt;&gt;1),1,0))</f>
        <v/>
      </c>
      <c r="AD2530" s="33" t="str">
        <f aca="false">IF(AND(E2530&gt;0,W2530&lt;1,NOT(AND(C2531=C2530,W2531=W2530+1))),INDEX(DATAS,W2530+1),"")</f>
        <v/>
      </c>
      <c r="AE2530" s="33" t="str">
        <f aca="false">IF(AND(Y2530=1,W2530&lt;1),IF(AND(C2531=C2530,W2531=W2530+1),IF(Y2531=1,"",INDEX(DATAS,W2530+1)),INDEX(DATAS,W2530+1)),"")</f>
        <v/>
      </c>
    </row>
    <row r="2531" customFormat="false" ht="15" hidden="false" customHeight="false" outlineLevel="0" collapsed="false">
      <c r="A2531" s="33" t="n">
        <v>46309</v>
      </c>
      <c r="B2531" s="0" t="n">
        <v>11</v>
      </c>
      <c r="C2531" s="0" t="n">
        <v>6867</v>
      </c>
      <c r="E2531" s="0" t="n">
        <v>0</v>
      </c>
      <c r="F2531" s="27" t="s">
        <v>1301</v>
      </c>
      <c r="I2531" s="27" t="s">
        <v>168</v>
      </c>
      <c r="U2531" s="0" t="n">
        <v>420</v>
      </c>
      <c r="V2531" s="0" t="n">
        <v>1</v>
      </c>
      <c r="W2531" s="27" t="n">
        <f aca="false">MATCH(A2531,DATAS,0)</f>
        <v>1</v>
      </c>
      <c r="X2531" s="27" t="n">
        <f aca="false">IF(AND(E2531&gt;0,OR(AND(B2531&gt;=1,B2531&lt;=6),B2531=10)),1,0)</f>
        <v>0</v>
      </c>
      <c r="Y2531" s="27" t="n">
        <f aca="false">IF(AND(E2531&gt;0,B2531=10),1,0)</f>
        <v>0</v>
      </c>
      <c r="Z2531" s="0" t="str">
        <f aca="false">IF(AND(C2530=C2531,W2530=W2531-1),X2530,"")</f>
        <v/>
      </c>
      <c r="AA2531" s="0" t="str">
        <f aca="false">IF(AND(C2530=C2531,W2530=W2531-1),Y2530,"")</f>
        <v/>
      </c>
      <c r="AB2531" s="0" t="str">
        <f aca="false">IF(W2531=1,"",IF(AND(X2531=1,Z2531&lt;&gt;1),1,0))</f>
        <v/>
      </c>
      <c r="AC2531" s="0" t="str">
        <f aca="false">IF(W2531=1,"",IF(AND(Y2531=1,AA2531&lt;&gt;1),1,0))</f>
        <v/>
      </c>
      <c r="AD2531" s="33" t="str">
        <f aca="false">IF(AND(E2531&gt;0,W2531&lt;1,NOT(AND(C2532=C2531,W2532=W2531+1))),INDEX(DATAS,W2531+1),"")</f>
        <v/>
      </c>
      <c r="AE2531" s="33" t="str">
        <f aca="false">IF(AND(Y2531=1,W2531&lt;1),IF(AND(C2532=C2531,W2532=W2531+1),IF(Y2532=1,"",INDEX(DATAS,W2531+1)),INDEX(DATAS,W2531+1)),"")</f>
        <v/>
      </c>
    </row>
    <row r="2532" customFormat="false" ht="15" hidden="false" customHeight="false" outlineLevel="0" collapsed="false">
      <c r="A2532" s="33" t="n">
        <v>46309</v>
      </c>
      <c r="B2532" s="0" t="n">
        <v>13</v>
      </c>
      <c r="C2532" s="0" t="n">
        <v>6868</v>
      </c>
      <c r="E2532" s="0" t="n">
        <v>0</v>
      </c>
      <c r="F2532" s="27" t="s">
        <v>1301</v>
      </c>
      <c r="I2532" s="27" t="s">
        <v>176</v>
      </c>
      <c r="U2532" s="0" t="n">
        <v>420</v>
      </c>
      <c r="V2532" s="0" t="n">
        <v>0</v>
      </c>
      <c r="W2532" s="27" t="n">
        <f aca="false">MATCH(A2532,DATAS,0)</f>
        <v>1</v>
      </c>
      <c r="X2532" s="27" t="n">
        <f aca="false">IF(AND(E2532&gt;0,OR(AND(B2532&gt;=1,B2532&lt;=6),B2532=10)),1,0)</f>
        <v>0</v>
      </c>
      <c r="Y2532" s="27" t="n">
        <f aca="false">IF(AND(E2532&gt;0,B2532=10),1,0)</f>
        <v>0</v>
      </c>
      <c r="Z2532" s="0" t="str">
        <f aca="false">IF(AND(C2531=C2532,W2531=W2532-1),X2531,"")</f>
        <v/>
      </c>
      <c r="AA2532" s="0" t="str">
        <f aca="false">IF(AND(C2531=C2532,W2531=W2532-1),Y2531,"")</f>
        <v/>
      </c>
      <c r="AB2532" s="0" t="str">
        <f aca="false">IF(W2532=1,"",IF(AND(X2532=1,Z2532&lt;&gt;1),1,0))</f>
        <v/>
      </c>
      <c r="AC2532" s="0" t="str">
        <f aca="false">IF(W2532=1,"",IF(AND(Y2532=1,AA2532&lt;&gt;1),1,0))</f>
        <v/>
      </c>
      <c r="AD2532" s="33" t="str">
        <f aca="false">IF(AND(E2532&gt;0,W2532&lt;1,NOT(AND(C2533=C2532,W2533=W2532+1))),INDEX(DATAS,W2532+1),"")</f>
        <v/>
      </c>
      <c r="AE2532" s="33" t="str">
        <f aca="false">IF(AND(Y2532=1,W2532&lt;1),IF(AND(C2533=C2532,W2533=W2532+1),IF(Y2533=1,"",INDEX(DATAS,W2532+1)),INDEX(DATAS,W2532+1)),"")</f>
        <v/>
      </c>
    </row>
    <row r="2533" customFormat="false" ht="15" hidden="false" customHeight="false" outlineLevel="0" collapsed="false">
      <c r="A2533" s="33" t="n">
        <v>46309</v>
      </c>
      <c r="B2533" s="0" t="n">
        <v>11</v>
      </c>
      <c r="C2533" s="0" t="n">
        <v>6869</v>
      </c>
      <c r="E2533" s="0" t="n">
        <v>0</v>
      </c>
      <c r="F2533" s="27" t="s">
        <v>1301</v>
      </c>
      <c r="I2533" s="27" t="s">
        <v>168</v>
      </c>
      <c r="U2533" s="0" t="n">
        <v>420</v>
      </c>
      <c r="V2533" s="0" t="n">
        <v>1</v>
      </c>
      <c r="W2533" s="27" t="n">
        <f aca="false">MATCH(A2533,DATAS,0)</f>
        <v>1</v>
      </c>
      <c r="X2533" s="27" t="n">
        <f aca="false">IF(AND(E2533&gt;0,OR(AND(B2533&gt;=1,B2533&lt;=6),B2533=10)),1,0)</f>
        <v>0</v>
      </c>
      <c r="Y2533" s="27" t="n">
        <f aca="false">IF(AND(E2533&gt;0,B2533=10),1,0)</f>
        <v>0</v>
      </c>
      <c r="Z2533" s="0" t="str">
        <f aca="false">IF(AND(C2532=C2533,W2532=W2533-1),X2532,"")</f>
        <v/>
      </c>
      <c r="AA2533" s="0" t="str">
        <f aca="false">IF(AND(C2532=C2533,W2532=W2533-1),Y2532,"")</f>
        <v/>
      </c>
      <c r="AB2533" s="0" t="str">
        <f aca="false">IF(W2533=1,"",IF(AND(X2533=1,Z2533&lt;&gt;1),1,0))</f>
        <v/>
      </c>
      <c r="AC2533" s="0" t="str">
        <f aca="false">IF(W2533=1,"",IF(AND(Y2533=1,AA2533&lt;&gt;1),1,0))</f>
        <v/>
      </c>
      <c r="AD2533" s="33" t="str">
        <f aca="false">IF(AND(E2533&gt;0,W2533&lt;1,NOT(AND(C2534=C2533,W2534=W2533+1))),INDEX(DATAS,W2533+1),"")</f>
        <v/>
      </c>
      <c r="AE2533" s="33" t="str">
        <f aca="false">IF(AND(Y2533=1,W2533&lt;1),IF(AND(C2534=C2533,W2534=W2533+1),IF(Y2534=1,"",INDEX(DATAS,W2533+1)),INDEX(DATAS,W2533+1)),"")</f>
        <v/>
      </c>
    </row>
    <row r="2534" customFormat="false" ht="15" hidden="false" customHeight="false" outlineLevel="0" collapsed="false">
      <c r="A2534" s="33" t="n">
        <v>46309</v>
      </c>
      <c r="B2534" s="0" t="n">
        <v>11</v>
      </c>
      <c r="C2534" s="0" t="n">
        <v>6870</v>
      </c>
      <c r="E2534" s="0" t="n">
        <v>0</v>
      </c>
      <c r="F2534" s="27" t="s">
        <v>1301</v>
      </c>
      <c r="I2534" s="27" t="s">
        <v>168</v>
      </c>
      <c r="U2534" s="0" t="n">
        <v>420</v>
      </c>
      <c r="V2534" s="0" t="n">
        <v>1</v>
      </c>
      <c r="W2534" s="27" t="n">
        <f aca="false">MATCH(A2534,DATAS,0)</f>
        <v>1</v>
      </c>
      <c r="X2534" s="27" t="n">
        <f aca="false">IF(AND(E2534&gt;0,OR(AND(B2534&gt;=1,B2534&lt;=6),B2534=10)),1,0)</f>
        <v>0</v>
      </c>
      <c r="Y2534" s="27" t="n">
        <f aca="false">IF(AND(E2534&gt;0,B2534=10),1,0)</f>
        <v>0</v>
      </c>
      <c r="Z2534" s="0" t="str">
        <f aca="false">IF(AND(C2533=C2534,W2533=W2534-1),X2533,"")</f>
        <v/>
      </c>
      <c r="AA2534" s="0" t="str">
        <f aca="false">IF(AND(C2533=C2534,W2533=W2534-1),Y2533,"")</f>
        <v/>
      </c>
      <c r="AB2534" s="0" t="str">
        <f aca="false">IF(W2534=1,"",IF(AND(X2534=1,Z2534&lt;&gt;1),1,0))</f>
        <v/>
      </c>
      <c r="AC2534" s="0" t="str">
        <f aca="false">IF(W2534=1,"",IF(AND(Y2534=1,AA2534&lt;&gt;1),1,0))</f>
        <v/>
      </c>
      <c r="AD2534" s="33" t="str">
        <f aca="false">IF(AND(E2534&gt;0,W2534&lt;1,NOT(AND(C2535=C2534,W2535=W2534+1))),INDEX(DATAS,W2534+1),"")</f>
        <v/>
      </c>
      <c r="AE2534" s="33" t="str">
        <f aca="false">IF(AND(Y2534=1,W2534&lt;1),IF(AND(C2535=C2534,W2535=W2534+1),IF(Y2535=1,"",INDEX(DATAS,W2534+1)),INDEX(DATAS,W2534+1)),"")</f>
        <v/>
      </c>
    </row>
    <row r="2535" customFormat="false" ht="15" hidden="false" customHeight="false" outlineLevel="0" collapsed="false">
      <c r="A2535" s="33" t="n">
        <v>46309</v>
      </c>
      <c r="B2535" s="0" t="n">
        <v>11</v>
      </c>
      <c r="C2535" s="0" t="n">
        <v>6871</v>
      </c>
      <c r="E2535" s="0" t="n">
        <v>0</v>
      </c>
      <c r="F2535" s="27" t="s">
        <v>1302</v>
      </c>
      <c r="I2535" s="27" t="s">
        <v>168</v>
      </c>
      <c r="U2535" s="0" t="n">
        <v>419</v>
      </c>
      <c r="V2535" s="0" t="n">
        <v>1</v>
      </c>
      <c r="W2535" s="27" t="n">
        <f aca="false">MATCH(A2535,DATAS,0)</f>
        <v>1</v>
      </c>
      <c r="X2535" s="27" t="n">
        <f aca="false">IF(AND(E2535&gt;0,OR(AND(B2535&gt;=1,B2535&lt;=6),B2535=10)),1,0)</f>
        <v>0</v>
      </c>
      <c r="Y2535" s="27" t="n">
        <f aca="false">IF(AND(E2535&gt;0,B2535=10),1,0)</f>
        <v>0</v>
      </c>
      <c r="Z2535" s="0" t="str">
        <f aca="false">IF(AND(C2534=C2535,W2534=W2535-1),X2534,"")</f>
        <v/>
      </c>
      <c r="AA2535" s="0" t="str">
        <f aca="false">IF(AND(C2534=C2535,W2534=W2535-1),Y2534,"")</f>
        <v/>
      </c>
      <c r="AB2535" s="0" t="str">
        <f aca="false">IF(W2535=1,"",IF(AND(X2535=1,Z2535&lt;&gt;1),1,0))</f>
        <v/>
      </c>
      <c r="AC2535" s="0" t="str">
        <f aca="false">IF(W2535=1,"",IF(AND(Y2535=1,AA2535&lt;&gt;1),1,0))</f>
        <v/>
      </c>
      <c r="AD2535" s="33" t="str">
        <f aca="false">IF(AND(E2535&gt;0,W2535&lt;1,NOT(AND(C2536=C2535,W2536=W2535+1))),INDEX(DATAS,W2535+1),"")</f>
        <v/>
      </c>
      <c r="AE2535" s="33" t="str">
        <f aca="false">IF(AND(Y2535=1,W2535&lt;1),IF(AND(C2536=C2535,W2536=W2535+1),IF(Y2536=1,"",INDEX(DATAS,W2535+1)),INDEX(DATAS,W2535+1)),"")</f>
        <v/>
      </c>
    </row>
    <row r="2536" customFormat="false" ht="15" hidden="false" customHeight="false" outlineLevel="0" collapsed="false">
      <c r="A2536" s="33" t="n">
        <v>46309</v>
      </c>
      <c r="B2536" s="0" t="n">
        <v>11</v>
      </c>
      <c r="C2536" s="0" t="n">
        <v>6872</v>
      </c>
      <c r="E2536" s="0" t="n">
        <v>0</v>
      </c>
      <c r="F2536" s="27" t="s">
        <v>1302</v>
      </c>
      <c r="I2536" s="27" t="s">
        <v>168</v>
      </c>
      <c r="U2536" s="0" t="n">
        <v>419</v>
      </c>
      <c r="V2536" s="0" t="n">
        <v>1</v>
      </c>
      <c r="W2536" s="27" t="n">
        <f aca="false">MATCH(A2536,DATAS,0)</f>
        <v>1</v>
      </c>
      <c r="X2536" s="27" t="n">
        <f aca="false">IF(AND(E2536&gt;0,OR(AND(B2536&gt;=1,B2536&lt;=6),B2536=10)),1,0)</f>
        <v>0</v>
      </c>
      <c r="Y2536" s="27" t="n">
        <f aca="false">IF(AND(E2536&gt;0,B2536=10),1,0)</f>
        <v>0</v>
      </c>
      <c r="Z2536" s="0" t="str">
        <f aca="false">IF(AND(C2535=C2536,W2535=W2536-1),X2535,"")</f>
        <v/>
      </c>
      <c r="AA2536" s="0" t="str">
        <f aca="false">IF(AND(C2535=C2536,W2535=W2536-1),Y2535,"")</f>
        <v/>
      </c>
      <c r="AB2536" s="0" t="str">
        <f aca="false">IF(W2536=1,"",IF(AND(X2536=1,Z2536&lt;&gt;1),1,0))</f>
        <v/>
      </c>
      <c r="AC2536" s="0" t="str">
        <f aca="false">IF(W2536=1,"",IF(AND(Y2536=1,AA2536&lt;&gt;1),1,0))</f>
        <v/>
      </c>
      <c r="AD2536" s="33" t="str">
        <f aca="false">IF(AND(E2536&gt;0,W2536&lt;1,NOT(AND(C2537=C2536,W2537=W2536+1))),INDEX(DATAS,W2536+1),"")</f>
        <v/>
      </c>
      <c r="AE2536" s="33" t="str">
        <f aca="false">IF(AND(Y2536=1,W2536&lt;1),IF(AND(C2537=C2536,W2537=W2536+1),IF(Y2537=1,"",INDEX(DATAS,W2536+1)),INDEX(DATAS,W2536+1)),"")</f>
        <v/>
      </c>
    </row>
    <row r="2537" customFormat="false" ht="15" hidden="false" customHeight="false" outlineLevel="0" collapsed="false">
      <c r="A2537" s="33" t="n">
        <v>46309</v>
      </c>
      <c r="B2537" s="0" t="n">
        <v>11</v>
      </c>
      <c r="C2537" s="0" t="n">
        <v>6873</v>
      </c>
      <c r="E2537" s="0" t="n">
        <v>0</v>
      </c>
      <c r="F2537" s="27" t="s">
        <v>1302</v>
      </c>
      <c r="I2537" s="27" t="s">
        <v>168</v>
      </c>
      <c r="U2537" s="0" t="n">
        <v>419</v>
      </c>
      <c r="V2537" s="0" t="n">
        <v>1</v>
      </c>
      <c r="W2537" s="27" t="n">
        <f aca="false">MATCH(A2537,DATAS,0)</f>
        <v>1</v>
      </c>
      <c r="X2537" s="27" t="n">
        <f aca="false">IF(AND(E2537&gt;0,OR(AND(B2537&gt;=1,B2537&lt;=6),B2537=10)),1,0)</f>
        <v>0</v>
      </c>
      <c r="Y2537" s="27" t="n">
        <f aca="false">IF(AND(E2537&gt;0,B2537=10),1,0)</f>
        <v>0</v>
      </c>
      <c r="Z2537" s="0" t="str">
        <f aca="false">IF(AND(C2536=C2537,W2536=W2537-1),X2536,"")</f>
        <v/>
      </c>
      <c r="AA2537" s="0" t="str">
        <f aca="false">IF(AND(C2536=C2537,W2536=W2537-1),Y2536,"")</f>
        <v/>
      </c>
      <c r="AB2537" s="0" t="str">
        <f aca="false">IF(W2537=1,"",IF(AND(X2537=1,Z2537&lt;&gt;1),1,0))</f>
        <v/>
      </c>
      <c r="AC2537" s="0" t="str">
        <f aca="false">IF(W2537=1,"",IF(AND(Y2537=1,AA2537&lt;&gt;1),1,0))</f>
        <v/>
      </c>
      <c r="AD2537" s="33" t="str">
        <f aca="false">IF(AND(E2537&gt;0,W2537&lt;1,NOT(AND(C2538=C2537,W2538=W2537+1))),INDEX(DATAS,W2537+1),"")</f>
        <v/>
      </c>
      <c r="AE2537" s="33" t="str">
        <f aca="false">IF(AND(Y2537=1,W2537&lt;1),IF(AND(C2538=C2537,W2538=W2537+1),IF(Y2538=1,"",INDEX(DATAS,W2537+1)),INDEX(DATAS,W2537+1)),"")</f>
        <v/>
      </c>
    </row>
    <row r="2538" customFormat="false" ht="15" hidden="false" customHeight="false" outlineLevel="0" collapsed="false">
      <c r="A2538" s="33" t="n">
        <v>46309</v>
      </c>
      <c r="B2538" s="0" t="n">
        <v>11</v>
      </c>
      <c r="C2538" s="0" t="n">
        <v>6875</v>
      </c>
      <c r="E2538" s="0" t="n">
        <v>0</v>
      </c>
      <c r="F2538" s="27" t="s">
        <v>1303</v>
      </c>
      <c r="I2538" s="27" t="s">
        <v>168</v>
      </c>
      <c r="U2538" s="0" t="n">
        <v>418</v>
      </c>
      <c r="V2538" s="0" t="n">
        <v>1</v>
      </c>
      <c r="W2538" s="27" t="n">
        <f aca="false">MATCH(A2538,DATAS,0)</f>
        <v>1</v>
      </c>
      <c r="X2538" s="27" t="n">
        <f aca="false">IF(AND(E2538&gt;0,OR(AND(B2538&gt;=1,B2538&lt;=6),B2538=10)),1,0)</f>
        <v>0</v>
      </c>
      <c r="Y2538" s="27" t="n">
        <f aca="false">IF(AND(E2538&gt;0,B2538=10),1,0)</f>
        <v>0</v>
      </c>
      <c r="Z2538" s="0" t="str">
        <f aca="false">IF(AND(C2537=C2538,W2537=W2538-1),X2537,"")</f>
        <v/>
      </c>
      <c r="AA2538" s="0" t="str">
        <f aca="false">IF(AND(C2537=C2538,W2537=W2538-1),Y2537,"")</f>
        <v/>
      </c>
      <c r="AB2538" s="0" t="str">
        <f aca="false">IF(W2538=1,"",IF(AND(X2538=1,Z2538&lt;&gt;1),1,0))</f>
        <v/>
      </c>
      <c r="AC2538" s="0" t="str">
        <f aca="false">IF(W2538=1,"",IF(AND(Y2538=1,AA2538&lt;&gt;1),1,0))</f>
        <v/>
      </c>
      <c r="AD2538" s="33" t="str">
        <f aca="false">IF(AND(E2538&gt;0,W2538&lt;1,NOT(AND(C2539=C2538,W2539=W2538+1))),INDEX(DATAS,W2538+1),"")</f>
        <v/>
      </c>
      <c r="AE2538" s="33" t="str">
        <f aca="false">IF(AND(Y2538=1,W2538&lt;1),IF(AND(C2539=C2538,W2539=W2538+1),IF(Y2539=1,"",INDEX(DATAS,W2538+1)),INDEX(DATAS,W2538+1)),"")</f>
        <v/>
      </c>
    </row>
    <row r="2539" customFormat="false" ht="15" hidden="false" customHeight="false" outlineLevel="0" collapsed="false">
      <c r="A2539" s="33" t="n">
        <v>46309</v>
      </c>
      <c r="B2539" s="0" t="n">
        <v>11</v>
      </c>
      <c r="C2539" s="0" t="n">
        <v>6876</v>
      </c>
      <c r="E2539" s="0" t="n">
        <v>0</v>
      </c>
      <c r="F2539" s="27" t="s">
        <v>1303</v>
      </c>
      <c r="I2539" s="27" t="s">
        <v>168</v>
      </c>
      <c r="U2539" s="0" t="n">
        <v>418</v>
      </c>
      <c r="V2539" s="0" t="n">
        <v>1</v>
      </c>
      <c r="W2539" s="27" t="n">
        <f aca="false">MATCH(A2539,DATAS,0)</f>
        <v>1</v>
      </c>
      <c r="X2539" s="27" t="n">
        <f aca="false">IF(AND(E2539&gt;0,OR(AND(B2539&gt;=1,B2539&lt;=6),B2539=10)),1,0)</f>
        <v>0</v>
      </c>
      <c r="Y2539" s="27" t="n">
        <f aca="false">IF(AND(E2539&gt;0,B2539=10),1,0)</f>
        <v>0</v>
      </c>
      <c r="Z2539" s="0" t="str">
        <f aca="false">IF(AND(C2538=C2539,W2538=W2539-1),X2538,"")</f>
        <v/>
      </c>
      <c r="AA2539" s="0" t="str">
        <f aca="false">IF(AND(C2538=C2539,W2538=W2539-1),Y2538,"")</f>
        <v/>
      </c>
      <c r="AB2539" s="0" t="str">
        <f aca="false">IF(W2539=1,"",IF(AND(X2539=1,Z2539&lt;&gt;1),1,0))</f>
        <v/>
      </c>
      <c r="AC2539" s="0" t="str">
        <f aca="false">IF(W2539=1,"",IF(AND(Y2539=1,AA2539&lt;&gt;1),1,0))</f>
        <v/>
      </c>
      <c r="AD2539" s="33" t="str">
        <f aca="false">IF(AND(E2539&gt;0,W2539&lt;1,NOT(AND(C2540=C2539,W2540=W2539+1))),INDEX(DATAS,W2539+1),"")</f>
        <v/>
      </c>
      <c r="AE2539" s="33" t="str">
        <f aca="false">IF(AND(Y2539=1,W2539&lt;1),IF(AND(C2540=C2539,W2540=W2539+1),IF(Y2540=1,"",INDEX(DATAS,W2539+1)),INDEX(DATAS,W2539+1)),"")</f>
        <v/>
      </c>
    </row>
    <row r="2540" customFormat="false" ht="15" hidden="false" customHeight="false" outlineLevel="0" collapsed="false">
      <c r="A2540" s="33" t="n">
        <v>46309</v>
      </c>
      <c r="B2540" s="0" t="n">
        <v>13</v>
      </c>
      <c r="C2540" s="0" t="n">
        <v>6877</v>
      </c>
      <c r="E2540" s="0" t="n">
        <v>0</v>
      </c>
      <c r="F2540" s="27" t="s">
        <v>1303</v>
      </c>
      <c r="I2540" s="27" t="s">
        <v>176</v>
      </c>
      <c r="U2540" s="0" t="n">
        <v>418</v>
      </c>
      <c r="V2540" s="0" t="n">
        <v>0</v>
      </c>
      <c r="W2540" s="27" t="n">
        <f aca="false">MATCH(A2540,DATAS,0)</f>
        <v>1</v>
      </c>
      <c r="X2540" s="27" t="n">
        <f aca="false">IF(AND(E2540&gt;0,OR(AND(B2540&gt;=1,B2540&lt;=6),B2540=10)),1,0)</f>
        <v>0</v>
      </c>
      <c r="Y2540" s="27" t="n">
        <f aca="false">IF(AND(E2540&gt;0,B2540=10),1,0)</f>
        <v>0</v>
      </c>
      <c r="Z2540" s="0" t="str">
        <f aca="false">IF(AND(C2539=C2540,W2539=W2540-1),X2539,"")</f>
        <v/>
      </c>
      <c r="AA2540" s="0" t="str">
        <f aca="false">IF(AND(C2539=C2540,W2539=W2540-1),Y2539,"")</f>
        <v/>
      </c>
      <c r="AB2540" s="0" t="str">
        <f aca="false">IF(W2540=1,"",IF(AND(X2540=1,Z2540&lt;&gt;1),1,0))</f>
        <v/>
      </c>
      <c r="AC2540" s="0" t="str">
        <f aca="false">IF(W2540=1,"",IF(AND(Y2540=1,AA2540&lt;&gt;1),1,0))</f>
        <v/>
      </c>
      <c r="AD2540" s="33" t="str">
        <f aca="false">IF(AND(E2540&gt;0,W2540&lt;1,NOT(AND(C2541=C2540,W2541=W2540+1))),INDEX(DATAS,W2540+1),"")</f>
        <v/>
      </c>
      <c r="AE2540" s="33" t="str">
        <f aca="false">IF(AND(Y2540=1,W2540&lt;1),IF(AND(C2541=C2540,W2541=W2540+1),IF(Y2541=1,"",INDEX(DATAS,W2540+1)),INDEX(DATAS,W2540+1)),"")</f>
        <v/>
      </c>
    </row>
    <row r="2541" customFormat="false" ht="15" hidden="false" customHeight="false" outlineLevel="0" collapsed="false">
      <c r="A2541" s="33" t="n">
        <v>46309</v>
      </c>
      <c r="B2541" s="0" t="n">
        <v>11</v>
      </c>
      <c r="C2541" s="0" t="n">
        <v>6879</v>
      </c>
      <c r="E2541" s="0" t="n">
        <v>0</v>
      </c>
      <c r="F2541" s="27" t="s">
        <v>1303</v>
      </c>
      <c r="I2541" s="27" t="s">
        <v>168</v>
      </c>
      <c r="U2541" s="0" t="n">
        <v>418</v>
      </c>
      <c r="V2541" s="0" t="n">
        <v>1</v>
      </c>
      <c r="W2541" s="27" t="n">
        <f aca="false">MATCH(A2541,DATAS,0)</f>
        <v>1</v>
      </c>
      <c r="X2541" s="27" t="n">
        <f aca="false">IF(AND(E2541&gt;0,OR(AND(B2541&gt;=1,B2541&lt;=6),B2541=10)),1,0)</f>
        <v>0</v>
      </c>
      <c r="Y2541" s="27" t="n">
        <f aca="false">IF(AND(E2541&gt;0,B2541=10),1,0)</f>
        <v>0</v>
      </c>
      <c r="Z2541" s="0" t="str">
        <f aca="false">IF(AND(C2540=C2541,W2540=W2541-1),X2540,"")</f>
        <v/>
      </c>
      <c r="AA2541" s="0" t="str">
        <f aca="false">IF(AND(C2540=C2541,W2540=W2541-1),Y2540,"")</f>
        <v/>
      </c>
      <c r="AB2541" s="0" t="str">
        <f aca="false">IF(W2541=1,"",IF(AND(X2541=1,Z2541&lt;&gt;1),1,0))</f>
        <v/>
      </c>
      <c r="AC2541" s="0" t="str">
        <f aca="false">IF(W2541=1,"",IF(AND(Y2541=1,AA2541&lt;&gt;1),1,0))</f>
        <v/>
      </c>
      <c r="AD2541" s="33" t="str">
        <f aca="false">IF(AND(E2541&gt;0,W2541&lt;1,NOT(AND(C2542=C2541,W2542=W2541+1))),INDEX(DATAS,W2541+1),"")</f>
        <v/>
      </c>
      <c r="AE2541" s="33" t="str">
        <f aca="false">IF(AND(Y2541=1,W2541&lt;1),IF(AND(C2542=C2541,W2542=W2541+1),IF(Y2542=1,"",INDEX(DATAS,W2541+1)),INDEX(DATAS,W2541+1)),"")</f>
        <v/>
      </c>
    </row>
    <row r="2542" customFormat="false" ht="15" hidden="false" customHeight="false" outlineLevel="0" collapsed="false">
      <c r="A2542" s="33" t="n">
        <v>46309</v>
      </c>
      <c r="B2542" s="0" t="n">
        <v>11</v>
      </c>
      <c r="C2542" s="0" t="n">
        <v>6880</v>
      </c>
      <c r="E2542" s="0" t="n">
        <v>0</v>
      </c>
      <c r="F2542" s="27" t="s">
        <v>1304</v>
      </c>
      <c r="I2542" s="27" t="s">
        <v>168</v>
      </c>
      <c r="U2542" s="0" t="n">
        <v>417</v>
      </c>
      <c r="V2542" s="0" t="n">
        <v>1</v>
      </c>
      <c r="W2542" s="27" t="n">
        <f aca="false">MATCH(A2542,DATAS,0)</f>
        <v>1</v>
      </c>
      <c r="X2542" s="27" t="n">
        <f aca="false">IF(AND(E2542&gt;0,OR(AND(B2542&gt;=1,B2542&lt;=6),B2542=10)),1,0)</f>
        <v>0</v>
      </c>
      <c r="Y2542" s="27" t="n">
        <f aca="false">IF(AND(E2542&gt;0,B2542=10),1,0)</f>
        <v>0</v>
      </c>
      <c r="Z2542" s="0" t="str">
        <f aca="false">IF(AND(C2541=C2542,W2541=W2542-1),X2541,"")</f>
        <v/>
      </c>
      <c r="AA2542" s="0" t="str">
        <f aca="false">IF(AND(C2541=C2542,W2541=W2542-1),Y2541,"")</f>
        <v/>
      </c>
      <c r="AB2542" s="0" t="str">
        <f aca="false">IF(W2542=1,"",IF(AND(X2542=1,Z2542&lt;&gt;1),1,0))</f>
        <v/>
      </c>
      <c r="AC2542" s="0" t="str">
        <f aca="false">IF(W2542=1,"",IF(AND(Y2542=1,AA2542&lt;&gt;1),1,0))</f>
        <v/>
      </c>
      <c r="AD2542" s="33" t="str">
        <f aca="false">IF(AND(E2542&gt;0,W2542&lt;1,NOT(AND(C2543=C2542,W2543=W2542+1))),INDEX(DATAS,W2542+1),"")</f>
        <v/>
      </c>
      <c r="AE2542" s="33" t="str">
        <f aca="false">IF(AND(Y2542=1,W2542&lt;1),IF(AND(C2543=C2542,W2543=W2542+1),IF(Y2543=1,"",INDEX(DATAS,W2542+1)),INDEX(DATAS,W2542+1)),"")</f>
        <v/>
      </c>
    </row>
    <row r="2543" customFormat="false" ht="15" hidden="false" customHeight="false" outlineLevel="0" collapsed="false">
      <c r="A2543" s="33" t="n">
        <v>46309</v>
      </c>
      <c r="B2543" s="0" t="n">
        <v>11</v>
      </c>
      <c r="C2543" s="0" t="n">
        <v>6882</v>
      </c>
      <c r="E2543" s="0" t="n">
        <v>0</v>
      </c>
      <c r="F2543" s="27" t="s">
        <v>1304</v>
      </c>
      <c r="I2543" s="27" t="s">
        <v>168</v>
      </c>
      <c r="U2543" s="0" t="n">
        <v>417</v>
      </c>
      <c r="V2543" s="0" t="n">
        <v>1</v>
      </c>
      <c r="W2543" s="27" t="n">
        <f aca="false">MATCH(A2543,DATAS,0)</f>
        <v>1</v>
      </c>
      <c r="X2543" s="27" t="n">
        <f aca="false">IF(AND(E2543&gt;0,OR(AND(B2543&gt;=1,B2543&lt;=6),B2543=10)),1,0)</f>
        <v>0</v>
      </c>
      <c r="Y2543" s="27" t="n">
        <f aca="false">IF(AND(E2543&gt;0,B2543=10),1,0)</f>
        <v>0</v>
      </c>
      <c r="Z2543" s="0" t="str">
        <f aca="false">IF(AND(C2542=C2543,W2542=W2543-1),X2542,"")</f>
        <v/>
      </c>
      <c r="AA2543" s="0" t="str">
        <f aca="false">IF(AND(C2542=C2543,W2542=W2543-1),Y2542,"")</f>
        <v/>
      </c>
      <c r="AB2543" s="0" t="str">
        <f aca="false">IF(W2543=1,"",IF(AND(X2543=1,Z2543&lt;&gt;1),1,0))</f>
        <v/>
      </c>
      <c r="AC2543" s="0" t="str">
        <f aca="false">IF(W2543=1,"",IF(AND(Y2543=1,AA2543&lt;&gt;1),1,0))</f>
        <v/>
      </c>
      <c r="AD2543" s="33" t="str">
        <f aca="false">IF(AND(E2543&gt;0,W2543&lt;1,NOT(AND(C2544=C2543,W2544=W2543+1))),INDEX(DATAS,W2543+1),"")</f>
        <v/>
      </c>
      <c r="AE2543" s="33" t="str">
        <f aca="false">IF(AND(Y2543=1,W2543&lt;1),IF(AND(C2544=C2543,W2544=W2543+1),IF(Y2544=1,"",INDEX(DATAS,W2543+1)),INDEX(DATAS,W2543+1)),"")</f>
        <v/>
      </c>
    </row>
    <row r="2544" customFormat="false" ht="15" hidden="false" customHeight="false" outlineLevel="0" collapsed="false">
      <c r="A2544" s="33" t="n">
        <v>46309</v>
      </c>
      <c r="B2544" s="0" t="n">
        <v>11</v>
      </c>
      <c r="C2544" s="0" t="n">
        <v>6883</v>
      </c>
      <c r="E2544" s="0" t="n">
        <v>0</v>
      </c>
      <c r="F2544" s="27" t="s">
        <v>1304</v>
      </c>
      <c r="I2544" s="27" t="s">
        <v>168</v>
      </c>
      <c r="U2544" s="0" t="n">
        <v>417</v>
      </c>
      <c r="V2544" s="0" t="n">
        <v>1</v>
      </c>
      <c r="W2544" s="27" t="n">
        <f aca="false">MATCH(A2544,DATAS,0)</f>
        <v>1</v>
      </c>
      <c r="X2544" s="27" t="n">
        <f aca="false">IF(AND(E2544&gt;0,OR(AND(B2544&gt;=1,B2544&lt;=6),B2544=10)),1,0)</f>
        <v>0</v>
      </c>
      <c r="Y2544" s="27" t="n">
        <f aca="false">IF(AND(E2544&gt;0,B2544=10),1,0)</f>
        <v>0</v>
      </c>
      <c r="Z2544" s="0" t="str">
        <f aca="false">IF(AND(C2543=C2544,W2543=W2544-1),X2543,"")</f>
        <v/>
      </c>
      <c r="AA2544" s="0" t="str">
        <f aca="false">IF(AND(C2543=C2544,W2543=W2544-1),Y2543,"")</f>
        <v/>
      </c>
      <c r="AB2544" s="0" t="str">
        <f aca="false">IF(W2544=1,"",IF(AND(X2544=1,Z2544&lt;&gt;1),1,0))</f>
        <v/>
      </c>
      <c r="AC2544" s="0" t="str">
        <f aca="false">IF(W2544=1,"",IF(AND(Y2544=1,AA2544&lt;&gt;1),1,0))</f>
        <v/>
      </c>
      <c r="AD2544" s="33" t="str">
        <f aca="false">IF(AND(E2544&gt;0,W2544&lt;1,NOT(AND(C2545=C2544,W2545=W2544+1))),INDEX(DATAS,W2544+1),"")</f>
        <v/>
      </c>
      <c r="AE2544" s="33" t="str">
        <f aca="false">IF(AND(Y2544=1,W2544&lt;1),IF(AND(C2545=C2544,W2545=W2544+1),IF(Y2545=1,"",INDEX(DATAS,W2544+1)),INDEX(DATAS,W2544+1)),"")</f>
        <v/>
      </c>
    </row>
    <row r="2545" customFormat="false" ht="15" hidden="false" customHeight="false" outlineLevel="0" collapsed="false">
      <c r="A2545" s="33" t="n">
        <v>46309</v>
      </c>
      <c r="B2545" s="0" t="n">
        <v>13</v>
      </c>
      <c r="C2545" s="0" t="n">
        <v>6884</v>
      </c>
      <c r="E2545" s="0" t="n">
        <v>0</v>
      </c>
      <c r="F2545" s="27" t="s">
        <v>1305</v>
      </c>
      <c r="I2545" s="27" t="s">
        <v>176</v>
      </c>
      <c r="U2545" s="0" t="n">
        <v>416</v>
      </c>
      <c r="V2545" s="0" t="n">
        <v>0</v>
      </c>
      <c r="W2545" s="27" t="n">
        <f aca="false">MATCH(A2545,DATAS,0)</f>
        <v>1</v>
      </c>
      <c r="X2545" s="27" t="n">
        <f aca="false">IF(AND(E2545&gt;0,OR(AND(B2545&gt;=1,B2545&lt;=6),B2545=10)),1,0)</f>
        <v>0</v>
      </c>
      <c r="Y2545" s="27" t="n">
        <f aca="false">IF(AND(E2545&gt;0,B2545=10),1,0)</f>
        <v>0</v>
      </c>
      <c r="Z2545" s="0" t="str">
        <f aca="false">IF(AND(C2544=C2545,W2544=W2545-1),X2544,"")</f>
        <v/>
      </c>
      <c r="AA2545" s="0" t="str">
        <f aca="false">IF(AND(C2544=C2545,W2544=W2545-1),Y2544,"")</f>
        <v/>
      </c>
      <c r="AB2545" s="0" t="str">
        <f aca="false">IF(W2545=1,"",IF(AND(X2545=1,Z2545&lt;&gt;1),1,0))</f>
        <v/>
      </c>
      <c r="AC2545" s="0" t="str">
        <f aca="false">IF(W2545=1,"",IF(AND(Y2545=1,AA2545&lt;&gt;1),1,0))</f>
        <v/>
      </c>
      <c r="AD2545" s="33" t="str">
        <f aca="false">IF(AND(E2545&gt;0,W2545&lt;1,NOT(AND(C2546=C2545,W2546=W2545+1))),INDEX(DATAS,W2545+1),"")</f>
        <v/>
      </c>
      <c r="AE2545" s="33" t="str">
        <f aca="false">IF(AND(Y2545=1,W2545&lt;1),IF(AND(C2546=C2545,W2546=W2545+1),IF(Y2546=1,"",INDEX(DATAS,W2545+1)),INDEX(DATAS,W2545+1)),"")</f>
        <v/>
      </c>
    </row>
    <row r="2546" customFormat="false" ht="15" hidden="false" customHeight="false" outlineLevel="0" collapsed="false">
      <c r="A2546" s="33" t="n">
        <v>46309</v>
      </c>
      <c r="B2546" s="0" t="n">
        <v>11</v>
      </c>
      <c r="C2546" s="0" t="n">
        <v>6885</v>
      </c>
      <c r="E2546" s="0" t="n">
        <v>0</v>
      </c>
      <c r="F2546" s="27" t="s">
        <v>1305</v>
      </c>
      <c r="I2546" s="27" t="s">
        <v>168</v>
      </c>
      <c r="U2546" s="0" t="n">
        <v>416</v>
      </c>
      <c r="V2546" s="0" t="n">
        <v>1</v>
      </c>
      <c r="W2546" s="27" t="n">
        <f aca="false">MATCH(A2546,DATAS,0)</f>
        <v>1</v>
      </c>
      <c r="X2546" s="27" t="n">
        <f aca="false">IF(AND(E2546&gt;0,OR(AND(B2546&gt;=1,B2546&lt;=6),B2546=10)),1,0)</f>
        <v>0</v>
      </c>
      <c r="Y2546" s="27" t="n">
        <f aca="false">IF(AND(E2546&gt;0,B2546=10),1,0)</f>
        <v>0</v>
      </c>
      <c r="Z2546" s="0" t="str">
        <f aca="false">IF(AND(C2545=C2546,W2545=W2546-1),X2545,"")</f>
        <v/>
      </c>
      <c r="AA2546" s="0" t="str">
        <f aca="false">IF(AND(C2545=C2546,W2545=W2546-1),Y2545,"")</f>
        <v/>
      </c>
      <c r="AB2546" s="0" t="str">
        <f aca="false">IF(W2546=1,"",IF(AND(X2546=1,Z2546&lt;&gt;1),1,0))</f>
        <v/>
      </c>
      <c r="AC2546" s="0" t="str">
        <f aca="false">IF(W2546=1,"",IF(AND(Y2546=1,AA2546&lt;&gt;1),1,0))</f>
        <v/>
      </c>
      <c r="AD2546" s="33" t="str">
        <f aca="false">IF(AND(E2546&gt;0,W2546&lt;1,NOT(AND(C2547=C2546,W2547=W2546+1))),INDEX(DATAS,W2546+1),"")</f>
        <v/>
      </c>
      <c r="AE2546" s="33" t="str">
        <f aca="false">IF(AND(Y2546=1,W2546&lt;1),IF(AND(C2547=C2546,W2547=W2546+1),IF(Y2547=1,"",INDEX(DATAS,W2546+1)),INDEX(DATAS,W2546+1)),"")</f>
        <v/>
      </c>
    </row>
    <row r="2547" customFormat="false" ht="15" hidden="false" customHeight="false" outlineLevel="0" collapsed="false">
      <c r="A2547" s="33" t="n">
        <v>46309</v>
      </c>
      <c r="B2547" s="0" t="n">
        <v>11</v>
      </c>
      <c r="C2547" s="0" t="n">
        <v>6886</v>
      </c>
      <c r="E2547" s="0" t="n">
        <v>0</v>
      </c>
      <c r="F2547" s="27" t="s">
        <v>1305</v>
      </c>
      <c r="I2547" s="27" t="s">
        <v>168</v>
      </c>
      <c r="U2547" s="0" t="n">
        <v>416</v>
      </c>
      <c r="V2547" s="0" t="n">
        <v>1</v>
      </c>
      <c r="W2547" s="27" t="n">
        <f aca="false">MATCH(A2547,DATAS,0)</f>
        <v>1</v>
      </c>
      <c r="X2547" s="27" t="n">
        <f aca="false">IF(AND(E2547&gt;0,OR(AND(B2547&gt;=1,B2547&lt;=6),B2547=10)),1,0)</f>
        <v>0</v>
      </c>
      <c r="Y2547" s="27" t="n">
        <f aca="false">IF(AND(E2547&gt;0,B2547=10),1,0)</f>
        <v>0</v>
      </c>
      <c r="Z2547" s="0" t="str">
        <f aca="false">IF(AND(C2546=C2547,W2546=W2547-1),X2546,"")</f>
        <v/>
      </c>
      <c r="AA2547" s="0" t="str">
        <f aca="false">IF(AND(C2546=C2547,W2546=W2547-1),Y2546,"")</f>
        <v/>
      </c>
      <c r="AB2547" s="0" t="str">
        <f aca="false">IF(W2547=1,"",IF(AND(X2547=1,Z2547&lt;&gt;1),1,0))</f>
        <v/>
      </c>
      <c r="AC2547" s="0" t="str">
        <f aca="false">IF(W2547=1,"",IF(AND(Y2547=1,AA2547&lt;&gt;1),1,0))</f>
        <v/>
      </c>
      <c r="AD2547" s="33" t="str">
        <f aca="false">IF(AND(E2547&gt;0,W2547&lt;1,NOT(AND(C2548=C2547,W2548=W2547+1))),INDEX(DATAS,W2547+1),"")</f>
        <v/>
      </c>
      <c r="AE2547" s="33" t="str">
        <f aca="false">IF(AND(Y2547=1,W2547&lt;1),IF(AND(C2548=C2547,W2548=W2547+1),IF(Y2548=1,"",INDEX(DATAS,W2547+1)),INDEX(DATAS,W2547+1)),"")</f>
        <v/>
      </c>
    </row>
    <row r="2548" customFormat="false" ht="15" hidden="false" customHeight="false" outlineLevel="0" collapsed="false">
      <c r="A2548" s="33" t="n">
        <v>46309</v>
      </c>
      <c r="B2548" s="0" t="n">
        <v>13</v>
      </c>
      <c r="C2548" s="0" t="n">
        <v>6887</v>
      </c>
      <c r="E2548" s="0" t="n">
        <v>0</v>
      </c>
      <c r="F2548" s="27" t="s">
        <v>1306</v>
      </c>
      <c r="I2548" s="27" t="s">
        <v>176</v>
      </c>
      <c r="U2548" s="0" t="n">
        <v>415</v>
      </c>
      <c r="V2548" s="0" t="n">
        <v>0</v>
      </c>
      <c r="W2548" s="27" t="n">
        <f aca="false">MATCH(A2548,DATAS,0)</f>
        <v>1</v>
      </c>
      <c r="X2548" s="27" t="n">
        <f aca="false">IF(AND(E2548&gt;0,OR(AND(B2548&gt;=1,B2548&lt;=6),B2548=10)),1,0)</f>
        <v>0</v>
      </c>
      <c r="Y2548" s="27" t="n">
        <f aca="false">IF(AND(E2548&gt;0,B2548=10),1,0)</f>
        <v>0</v>
      </c>
      <c r="Z2548" s="0" t="str">
        <f aca="false">IF(AND(C2547=C2548,W2547=W2548-1),X2547,"")</f>
        <v/>
      </c>
      <c r="AA2548" s="0" t="str">
        <f aca="false">IF(AND(C2547=C2548,W2547=W2548-1),Y2547,"")</f>
        <v/>
      </c>
      <c r="AB2548" s="0" t="str">
        <f aca="false">IF(W2548=1,"",IF(AND(X2548=1,Z2548&lt;&gt;1),1,0))</f>
        <v/>
      </c>
      <c r="AC2548" s="0" t="str">
        <f aca="false">IF(W2548=1,"",IF(AND(Y2548=1,AA2548&lt;&gt;1),1,0))</f>
        <v/>
      </c>
      <c r="AD2548" s="33" t="str">
        <f aca="false">IF(AND(E2548&gt;0,W2548&lt;1,NOT(AND(C2549=C2548,W2549=W2548+1))),INDEX(DATAS,W2548+1),"")</f>
        <v/>
      </c>
      <c r="AE2548" s="33" t="str">
        <f aca="false">IF(AND(Y2548=1,W2548&lt;1),IF(AND(C2549=C2548,W2549=W2548+1),IF(Y2549=1,"",INDEX(DATAS,W2548+1)),INDEX(DATAS,W2548+1)),"")</f>
        <v/>
      </c>
    </row>
    <row r="2549" customFormat="false" ht="15" hidden="false" customHeight="false" outlineLevel="0" collapsed="false">
      <c r="A2549" s="33" t="n">
        <v>46309</v>
      </c>
      <c r="B2549" s="0" t="n">
        <v>13</v>
      </c>
      <c r="C2549" s="0" t="n">
        <v>6888</v>
      </c>
      <c r="E2549" s="0" t="n">
        <v>0</v>
      </c>
      <c r="F2549" s="27" t="s">
        <v>1306</v>
      </c>
      <c r="I2549" s="27" t="s">
        <v>176</v>
      </c>
      <c r="U2549" s="0" t="n">
        <v>415</v>
      </c>
      <c r="V2549" s="0" t="n">
        <v>0</v>
      </c>
      <c r="W2549" s="27" t="n">
        <f aca="false">MATCH(A2549,DATAS,0)</f>
        <v>1</v>
      </c>
      <c r="X2549" s="27" t="n">
        <f aca="false">IF(AND(E2549&gt;0,OR(AND(B2549&gt;=1,B2549&lt;=6),B2549=10)),1,0)</f>
        <v>0</v>
      </c>
      <c r="Y2549" s="27" t="n">
        <f aca="false">IF(AND(E2549&gt;0,B2549=10),1,0)</f>
        <v>0</v>
      </c>
      <c r="Z2549" s="0" t="str">
        <f aca="false">IF(AND(C2548=C2549,W2548=W2549-1),X2548,"")</f>
        <v/>
      </c>
      <c r="AA2549" s="0" t="str">
        <f aca="false">IF(AND(C2548=C2549,W2548=W2549-1),Y2548,"")</f>
        <v/>
      </c>
      <c r="AB2549" s="0" t="str">
        <f aca="false">IF(W2549=1,"",IF(AND(X2549=1,Z2549&lt;&gt;1),1,0))</f>
        <v/>
      </c>
      <c r="AC2549" s="0" t="str">
        <f aca="false">IF(W2549=1,"",IF(AND(Y2549=1,AA2549&lt;&gt;1),1,0))</f>
        <v/>
      </c>
      <c r="AD2549" s="33" t="str">
        <f aca="false">IF(AND(E2549&gt;0,W2549&lt;1,NOT(AND(C2550=C2549,W2550=W2549+1))),INDEX(DATAS,W2549+1),"")</f>
        <v/>
      </c>
      <c r="AE2549" s="33" t="str">
        <f aca="false">IF(AND(Y2549=1,W2549&lt;1),IF(AND(C2550=C2549,W2550=W2549+1),IF(Y2550=1,"",INDEX(DATAS,W2549+1)),INDEX(DATAS,W2549+1)),"")</f>
        <v/>
      </c>
    </row>
    <row r="2550" customFormat="false" ht="15" hidden="false" customHeight="false" outlineLevel="0" collapsed="false">
      <c r="A2550" s="33" t="n">
        <v>46309</v>
      </c>
      <c r="B2550" s="0" t="n">
        <v>11</v>
      </c>
      <c r="C2550" s="0" t="n">
        <v>6889</v>
      </c>
      <c r="E2550" s="0" t="n">
        <v>0</v>
      </c>
      <c r="F2550" s="27" t="s">
        <v>1306</v>
      </c>
      <c r="I2550" s="27" t="s">
        <v>168</v>
      </c>
      <c r="U2550" s="0" t="n">
        <v>415</v>
      </c>
      <c r="V2550" s="0" t="n">
        <v>1</v>
      </c>
      <c r="W2550" s="27" t="n">
        <f aca="false">MATCH(A2550,DATAS,0)</f>
        <v>1</v>
      </c>
      <c r="X2550" s="27" t="n">
        <f aca="false">IF(AND(E2550&gt;0,OR(AND(B2550&gt;=1,B2550&lt;=6),B2550=10)),1,0)</f>
        <v>0</v>
      </c>
      <c r="Y2550" s="27" t="n">
        <f aca="false">IF(AND(E2550&gt;0,B2550=10),1,0)</f>
        <v>0</v>
      </c>
      <c r="Z2550" s="0" t="str">
        <f aca="false">IF(AND(C2549=C2550,W2549=W2550-1),X2549,"")</f>
        <v/>
      </c>
      <c r="AA2550" s="0" t="str">
        <f aca="false">IF(AND(C2549=C2550,W2549=W2550-1),Y2549,"")</f>
        <v/>
      </c>
      <c r="AB2550" s="0" t="str">
        <f aca="false">IF(W2550=1,"",IF(AND(X2550=1,Z2550&lt;&gt;1),1,0))</f>
        <v/>
      </c>
      <c r="AC2550" s="0" t="str">
        <f aca="false">IF(W2550=1,"",IF(AND(Y2550=1,AA2550&lt;&gt;1),1,0))</f>
        <v/>
      </c>
      <c r="AD2550" s="33" t="str">
        <f aca="false">IF(AND(E2550&gt;0,W2550&lt;1,NOT(AND(C2551=C2550,W2551=W2550+1))),INDEX(DATAS,W2550+1),"")</f>
        <v/>
      </c>
      <c r="AE2550" s="33" t="str">
        <f aca="false">IF(AND(Y2550=1,W2550&lt;1),IF(AND(C2551=C2550,W2551=W2550+1),IF(Y2551=1,"",INDEX(DATAS,W2550+1)),INDEX(DATAS,W2550+1)),"")</f>
        <v/>
      </c>
    </row>
    <row r="2551" customFormat="false" ht="15" hidden="false" customHeight="false" outlineLevel="0" collapsed="false">
      <c r="A2551" s="33" t="n">
        <v>46309</v>
      </c>
      <c r="B2551" s="0" t="n">
        <v>13</v>
      </c>
      <c r="C2551" s="0" t="n">
        <v>6890</v>
      </c>
      <c r="E2551" s="0" t="n">
        <v>0</v>
      </c>
      <c r="F2551" s="27" t="s">
        <v>1306</v>
      </c>
      <c r="I2551" s="27" t="s">
        <v>176</v>
      </c>
      <c r="U2551" s="0" t="n">
        <v>415</v>
      </c>
      <c r="V2551" s="0" t="n">
        <v>0</v>
      </c>
      <c r="W2551" s="27" t="n">
        <f aca="false">MATCH(A2551,DATAS,0)</f>
        <v>1</v>
      </c>
      <c r="X2551" s="27" t="n">
        <f aca="false">IF(AND(E2551&gt;0,OR(AND(B2551&gt;=1,B2551&lt;=6),B2551=10)),1,0)</f>
        <v>0</v>
      </c>
      <c r="Y2551" s="27" t="n">
        <f aca="false">IF(AND(E2551&gt;0,B2551=10),1,0)</f>
        <v>0</v>
      </c>
      <c r="Z2551" s="0" t="str">
        <f aca="false">IF(AND(C2550=C2551,W2550=W2551-1),X2550,"")</f>
        <v/>
      </c>
      <c r="AA2551" s="0" t="str">
        <f aca="false">IF(AND(C2550=C2551,W2550=W2551-1),Y2550,"")</f>
        <v/>
      </c>
      <c r="AB2551" s="0" t="str">
        <f aca="false">IF(W2551=1,"",IF(AND(X2551=1,Z2551&lt;&gt;1),1,0))</f>
        <v/>
      </c>
      <c r="AC2551" s="0" t="str">
        <f aca="false">IF(W2551=1,"",IF(AND(Y2551=1,AA2551&lt;&gt;1),1,0))</f>
        <v/>
      </c>
      <c r="AD2551" s="33" t="str">
        <f aca="false">IF(AND(E2551&gt;0,W2551&lt;1,NOT(AND(C2552=C2551,W2552=W2551+1))),INDEX(DATAS,W2551+1),"")</f>
        <v/>
      </c>
      <c r="AE2551" s="33" t="str">
        <f aca="false">IF(AND(Y2551=1,W2551&lt;1),IF(AND(C2552=C2551,W2552=W2551+1),IF(Y2552=1,"",INDEX(DATAS,W2551+1)),INDEX(DATAS,W2551+1)),"")</f>
        <v/>
      </c>
    </row>
    <row r="2552" customFormat="false" ht="15" hidden="false" customHeight="false" outlineLevel="0" collapsed="false">
      <c r="A2552" s="33" t="n">
        <v>46309</v>
      </c>
      <c r="B2552" s="0" t="n">
        <v>11</v>
      </c>
      <c r="C2552" s="0" t="n">
        <v>6891</v>
      </c>
      <c r="E2552" s="0" t="n">
        <v>0</v>
      </c>
      <c r="F2552" s="27" t="s">
        <v>1306</v>
      </c>
      <c r="I2552" s="27" t="s">
        <v>168</v>
      </c>
      <c r="U2552" s="0" t="n">
        <v>415</v>
      </c>
      <c r="V2552" s="0" t="n">
        <v>1</v>
      </c>
      <c r="W2552" s="27" t="n">
        <f aca="false">MATCH(A2552,DATAS,0)</f>
        <v>1</v>
      </c>
      <c r="X2552" s="27" t="n">
        <f aca="false">IF(AND(E2552&gt;0,OR(AND(B2552&gt;=1,B2552&lt;=6),B2552=10)),1,0)</f>
        <v>0</v>
      </c>
      <c r="Y2552" s="27" t="n">
        <f aca="false">IF(AND(E2552&gt;0,B2552=10),1,0)</f>
        <v>0</v>
      </c>
      <c r="Z2552" s="0" t="str">
        <f aca="false">IF(AND(C2551=C2552,W2551=W2552-1),X2551,"")</f>
        <v/>
      </c>
      <c r="AA2552" s="0" t="str">
        <f aca="false">IF(AND(C2551=C2552,W2551=W2552-1),Y2551,"")</f>
        <v/>
      </c>
      <c r="AB2552" s="0" t="str">
        <f aca="false">IF(W2552=1,"",IF(AND(X2552=1,Z2552&lt;&gt;1),1,0))</f>
        <v/>
      </c>
      <c r="AC2552" s="0" t="str">
        <f aca="false">IF(W2552=1,"",IF(AND(Y2552=1,AA2552&lt;&gt;1),1,0))</f>
        <v/>
      </c>
      <c r="AD2552" s="33" t="str">
        <f aca="false">IF(AND(E2552&gt;0,W2552&lt;1,NOT(AND(C2553=C2552,W2553=W2552+1))),INDEX(DATAS,W2552+1),"")</f>
        <v/>
      </c>
      <c r="AE2552" s="33" t="str">
        <f aca="false">IF(AND(Y2552=1,W2552&lt;1),IF(AND(C2553=C2552,W2553=W2552+1),IF(Y2553=1,"",INDEX(DATAS,W2552+1)),INDEX(DATAS,W2552+1)),"")</f>
        <v/>
      </c>
    </row>
    <row r="2553" customFormat="false" ht="15" hidden="false" customHeight="false" outlineLevel="0" collapsed="false">
      <c r="A2553" s="33" t="n">
        <v>46309</v>
      </c>
      <c r="B2553" s="0" t="n">
        <v>13</v>
      </c>
      <c r="C2553" s="0" t="n">
        <v>6892</v>
      </c>
      <c r="E2553" s="0" t="n">
        <v>0</v>
      </c>
      <c r="F2553" s="27" t="s">
        <v>1306</v>
      </c>
      <c r="I2553" s="27" t="s">
        <v>176</v>
      </c>
      <c r="U2553" s="0" t="n">
        <v>415</v>
      </c>
      <c r="V2553" s="0" t="n">
        <v>0</v>
      </c>
      <c r="W2553" s="27" t="n">
        <f aca="false">MATCH(A2553,DATAS,0)</f>
        <v>1</v>
      </c>
      <c r="X2553" s="27" t="n">
        <f aca="false">IF(AND(E2553&gt;0,OR(AND(B2553&gt;=1,B2553&lt;=6),B2553=10)),1,0)</f>
        <v>0</v>
      </c>
      <c r="Y2553" s="27" t="n">
        <f aca="false">IF(AND(E2553&gt;0,B2553=10),1,0)</f>
        <v>0</v>
      </c>
      <c r="Z2553" s="0" t="str">
        <f aca="false">IF(AND(C2552=C2553,W2552=W2553-1),X2552,"")</f>
        <v/>
      </c>
      <c r="AA2553" s="0" t="str">
        <f aca="false">IF(AND(C2552=C2553,W2552=W2553-1),Y2552,"")</f>
        <v/>
      </c>
      <c r="AB2553" s="0" t="str">
        <f aca="false">IF(W2553=1,"",IF(AND(X2553=1,Z2553&lt;&gt;1),1,0))</f>
        <v/>
      </c>
      <c r="AC2553" s="0" t="str">
        <f aca="false">IF(W2553=1,"",IF(AND(Y2553=1,AA2553&lt;&gt;1),1,0))</f>
        <v/>
      </c>
      <c r="AD2553" s="33" t="str">
        <f aca="false">IF(AND(E2553&gt;0,W2553&lt;1,NOT(AND(C2554=C2553,W2554=W2553+1))),INDEX(DATAS,W2553+1),"")</f>
        <v/>
      </c>
      <c r="AE2553" s="33" t="str">
        <f aca="false">IF(AND(Y2553=1,W2553&lt;1),IF(AND(C2554=C2553,W2554=W2553+1),IF(Y2554=1,"",INDEX(DATAS,W2553+1)),INDEX(DATAS,W2553+1)),"")</f>
        <v/>
      </c>
    </row>
    <row r="2554" customFormat="false" ht="15" hidden="false" customHeight="false" outlineLevel="0" collapsed="false">
      <c r="A2554" s="33" t="n">
        <v>46309</v>
      </c>
      <c r="B2554" s="0" t="n">
        <v>11</v>
      </c>
      <c r="C2554" s="0" t="n">
        <v>6893</v>
      </c>
      <c r="E2554" s="0" t="n">
        <v>0</v>
      </c>
      <c r="F2554" s="27" t="s">
        <v>1306</v>
      </c>
      <c r="I2554" s="27" t="s">
        <v>168</v>
      </c>
      <c r="U2554" s="0" t="n">
        <v>415</v>
      </c>
      <c r="V2554" s="0" t="n">
        <v>1</v>
      </c>
      <c r="W2554" s="27" t="n">
        <f aca="false">MATCH(A2554,DATAS,0)</f>
        <v>1</v>
      </c>
      <c r="X2554" s="27" t="n">
        <f aca="false">IF(AND(E2554&gt;0,OR(AND(B2554&gt;=1,B2554&lt;=6),B2554=10)),1,0)</f>
        <v>0</v>
      </c>
      <c r="Y2554" s="27" t="n">
        <f aca="false">IF(AND(E2554&gt;0,B2554=10),1,0)</f>
        <v>0</v>
      </c>
      <c r="Z2554" s="0" t="str">
        <f aca="false">IF(AND(C2553=C2554,W2553=W2554-1),X2553,"")</f>
        <v/>
      </c>
      <c r="AA2554" s="0" t="str">
        <f aca="false">IF(AND(C2553=C2554,W2553=W2554-1),Y2553,"")</f>
        <v/>
      </c>
      <c r="AB2554" s="0" t="str">
        <f aca="false">IF(W2554=1,"",IF(AND(X2554=1,Z2554&lt;&gt;1),1,0))</f>
        <v/>
      </c>
      <c r="AC2554" s="0" t="str">
        <f aca="false">IF(W2554=1,"",IF(AND(Y2554=1,AA2554&lt;&gt;1),1,0))</f>
        <v/>
      </c>
      <c r="AD2554" s="33" t="str">
        <f aca="false">IF(AND(E2554&gt;0,W2554&lt;1,NOT(AND(C2555=C2554,W2555=W2554+1))),INDEX(DATAS,W2554+1),"")</f>
        <v/>
      </c>
      <c r="AE2554" s="33" t="str">
        <f aca="false">IF(AND(Y2554=1,W2554&lt;1),IF(AND(C2555=C2554,W2555=W2554+1),IF(Y2555=1,"",INDEX(DATAS,W2554+1)),INDEX(DATAS,W2554+1)),"")</f>
        <v/>
      </c>
    </row>
    <row r="2555" customFormat="false" ht="15" hidden="false" customHeight="false" outlineLevel="0" collapsed="false">
      <c r="A2555" s="33" t="n">
        <v>46309</v>
      </c>
      <c r="B2555" s="0" t="n">
        <v>13</v>
      </c>
      <c r="C2555" s="0" t="n">
        <v>6894</v>
      </c>
      <c r="E2555" s="0" t="n">
        <v>0</v>
      </c>
      <c r="F2555" s="27" t="s">
        <v>1306</v>
      </c>
      <c r="I2555" s="27" t="s">
        <v>176</v>
      </c>
      <c r="U2555" s="0" t="n">
        <v>415</v>
      </c>
      <c r="V2555" s="0" t="n">
        <v>0</v>
      </c>
      <c r="W2555" s="27" t="n">
        <f aca="false">MATCH(A2555,DATAS,0)</f>
        <v>1</v>
      </c>
      <c r="X2555" s="27" t="n">
        <f aca="false">IF(AND(E2555&gt;0,OR(AND(B2555&gt;=1,B2555&lt;=6),B2555=10)),1,0)</f>
        <v>0</v>
      </c>
      <c r="Y2555" s="27" t="n">
        <f aca="false">IF(AND(E2555&gt;0,B2555=10),1,0)</f>
        <v>0</v>
      </c>
      <c r="Z2555" s="0" t="str">
        <f aca="false">IF(AND(C2554=C2555,W2554=W2555-1),X2554,"")</f>
        <v/>
      </c>
      <c r="AA2555" s="0" t="str">
        <f aca="false">IF(AND(C2554=C2555,W2554=W2555-1),Y2554,"")</f>
        <v/>
      </c>
      <c r="AB2555" s="0" t="str">
        <f aca="false">IF(W2555=1,"",IF(AND(X2555=1,Z2555&lt;&gt;1),1,0))</f>
        <v/>
      </c>
      <c r="AC2555" s="0" t="str">
        <f aca="false">IF(W2555=1,"",IF(AND(Y2555=1,AA2555&lt;&gt;1),1,0))</f>
        <v/>
      </c>
      <c r="AD2555" s="33" t="str">
        <f aca="false">IF(AND(E2555&gt;0,W2555&lt;1,NOT(AND(C2556=C2555,W2556=W2555+1))),INDEX(DATAS,W2555+1),"")</f>
        <v/>
      </c>
      <c r="AE2555" s="33" t="str">
        <f aca="false">IF(AND(Y2555=1,W2555&lt;1),IF(AND(C2556=C2555,W2556=W2555+1),IF(Y2556=1,"",INDEX(DATAS,W2555+1)),INDEX(DATAS,W2555+1)),"")</f>
        <v/>
      </c>
    </row>
    <row r="2556" customFormat="false" ht="15" hidden="false" customHeight="false" outlineLevel="0" collapsed="false">
      <c r="A2556" s="33" t="n">
        <v>46309</v>
      </c>
      <c r="B2556" s="0" t="n">
        <v>13</v>
      </c>
      <c r="C2556" s="0" t="n">
        <v>6896</v>
      </c>
      <c r="E2556" s="0" t="n">
        <v>0</v>
      </c>
      <c r="F2556" s="27" t="s">
        <v>1306</v>
      </c>
      <c r="I2556" s="27" t="s">
        <v>176</v>
      </c>
      <c r="U2556" s="0" t="n">
        <v>415</v>
      </c>
      <c r="V2556" s="0" t="n">
        <v>0</v>
      </c>
      <c r="W2556" s="27" t="n">
        <f aca="false">MATCH(A2556,DATAS,0)</f>
        <v>1</v>
      </c>
      <c r="X2556" s="27" t="n">
        <f aca="false">IF(AND(E2556&gt;0,OR(AND(B2556&gt;=1,B2556&lt;=6),B2556=10)),1,0)</f>
        <v>0</v>
      </c>
      <c r="Y2556" s="27" t="n">
        <f aca="false">IF(AND(E2556&gt;0,B2556=10),1,0)</f>
        <v>0</v>
      </c>
      <c r="Z2556" s="0" t="str">
        <f aca="false">IF(AND(C2555=C2556,W2555=W2556-1),X2555,"")</f>
        <v/>
      </c>
      <c r="AA2556" s="0" t="str">
        <f aca="false">IF(AND(C2555=C2556,W2555=W2556-1),Y2555,"")</f>
        <v/>
      </c>
      <c r="AB2556" s="0" t="str">
        <f aca="false">IF(W2556=1,"",IF(AND(X2556=1,Z2556&lt;&gt;1),1,0))</f>
        <v/>
      </c>
      <c r="AC2556" s="0" t="str">
        <f aca="false">IF(W2556=1,"",IF(AND(Y2556=1,AA2556&lt;&gt;1),1,0))</f>
        <v/>
      </c>
      <c r="AD2556" s="33" t="str">
        <f aca="false">IF(AND(E2556&gt;0,W2556&lt;1,NOT(AND(C2557=C2556,W2557=W2556+1))),INDEX(DATAS,W2556+1),"")</f>
        <v/>
      </c>
      <c r="AE2556" s="33" t="str">
        <f aca="false">IF(AND(Y2556=1,W2556&lt;1),IF(AND(C2557=C2556,W2557=W2556+1),IF(Y2557=1,"",INDEX(DATAS,W2556+1)),INDEX(DATAS,W2556+1)),"")</f>
        <v/>
      </c>
    </row>
    <row r="2557" customFormat="false" ht="15" hidden="false" customHeight="false" outlineLevel="0" collapsed="false">
      <c r="A2557" s="33" t="n">
        <v>46309</v>
      </c>
      <c r="B2557" s="0" t="n">
        <v>11</v>
      </c>
      <c r="C2557" s="0" t="n">
        <v>6897</v>
      </c>
      <c r="E2557" s="0" t="n">
        <v>0</v>
      </c>
      <c r="F2557" s="27" t="s">
        <v>1307</v>
      </c>
      <c r="I2557" s="27" t="s">
        <v>168</v>
      </c>
      <c r="U2557" s="0" t="n">
        <v>414</v>
      </c>
      <c r="V2557" s="0" t="n">
        <v>1</v>
      </c>
      <c r="W2557" s="27" t="n">
        <f aca="false">MATCH(A2557,DATAS,0)</f>
        <v>1</v>
      </c>
      <c r="X2557" s="27" t="n">
        <f aca="false">IF(AND(E2557&gt;0,OR(AND(B2557&gt;=1,B2557&lt;=6),B2557=10)),1,0)</f>
        <v>0</v>
      </c>
      <c r="Y2557" s="27" t="n">
        <f aca="false">IF(AND(E2557&gt;0,B2557=10),1,0)</f>
        <v>0</v>
      </c>
      <c r="Z2557" s="0" t="str">
        <f aca="false">IF(AND(C2556=C2557,W2556=W2557-1),X2556,"")</f>
        <v/>
      </c>
      <c r="AA2557" s="0" t="str">
        <f aca="false">IF(AND(C2556=C2557,W2556=W2557-1),Y2556,"")</f>
        <v/>
      </c>
      <c r="AB2557" s="0" t="str">
        <f aca="false">IF(W2557=1,"",IF(AND(X2557=1,Z2557&lt;&gt;1),1,0))</f>
        <v/>
      </c>
      <c r="AC2557" s="0" t="str">
        <f aca="false">IF(W2557=1,"",IF(AND(Y2557=1,AA2557&lt;&gt;1),1,0))</f>
        <v/>
      </c>
      <c r="AD2557" s="33" t="str">
        <f aca="false">IF(AND(E2557&gt;0,W2557&lt;1,NOT(AND(C2558=C2557,W2558=W2557+1))),INDEX(DATAS,W2557+1),"")</f>
        <v/>
      </c>
      <c r="AE2557" s="33" t="str">
        <f aca="false">IF(AND(Y2557=1,W2557&lt;1),IF(AND(C2558=C2557,W2558=W2557+1),IF(Y2558=1,"",INDEX(DATAS,W2557+1)),INDEX(DATAS,W2557+1)),"")</f>
        <v/>
      </c>
    </row>
    <row r="2558" customFormat="false" ht="15" hidden="false" customHeight="false" outlineLevel="0" collapsed="false">
      <c r="A2558" s="33" t="n">
        <v>46309</v>
      </c>
      <c r="B2558" s="0" t="n">
        <v>11</v>
      </c>
      <c r="C2558" s="0" t="n">
        <v>6898</v>
      </c>
      <c r="E2558" s="0" t="n">
        <v>0</v>
      </c>
      <c r="F2558" s="27" t="s">
        <v>1308</v>
      </c>
      <c r="I2558" s="27" t="s">
        <v>168</v>
      </c>
      <c r="U2558" s="0" t="n">
        <v>413</v>
      </c>
      <c r="V2558" s="0" t="n">
        <v>1</v>
      </c>
      <c r="W2558" s="27" t="n">
        <f aca="false">MATCH(A2558,DATAS,0)</f>
        <v>1</v>
      </c>
      <c r="X2558" s="27" t="n">
        <f aca="false">IF(AND(E2558&gt;0,OR(AND(B2558&gt;=1,B2558&lt;=6),B2558=10)),1,0)</f>
        <v>0</v>
      </c>
      <c r="Y2558" s="27" t="n">
        <f aca="false">IF(AND(E2558&gt;0,B2558=10),1,0)</f>
        <v>0</v>
      </c>
      <c r="Z2558" s="0" t="str">
        <f aca="false">IF(AND(C2557=C2558,W2557=W2558-1),X2557,"")</f>
        <v/>
      </c>
      <c r="AA2558" s="0" t="str">
        <f aca="false">IF(AND(C2557=C2558,W2557=W2558-1),Y2557,"")</f>
        <v/>
      </c>
      <c r="AB2558" s="0" t="str">
        <f aca="false">IF(W2558=1,"",IF(AND(X2558=1,Z2558&lt;&gt;1),1,0))</f>
        <v/>
      </c>
      <c r="AC2558" s="0" t="str">
        <f aca="false">IF(W2558=1,"",IF(AND(Y2558=1,AA2558&lt;&gt;1),1,0))</f>
        <v/>
      </c>
      <c r="AD2558" s="33" t="str">
        <f aca="false">IF(AND(E2558&gt;0,W2558&lt;1,NOT(AND(C2559=C2558,W2559=W2558+1))),INDEX(DATAS,W2558+1),"")</f>
        <v/>
      </c>
      <c r="AE2558" s="33" t="str">
        <f aca="false">IF(AND(Y2558=1,W2558&lt;1),IF(AND(C2559=C2558,W2559=W2558+1),IF(Y2559=1,"",INDEX(DATAS,W2558+1)),INDEX(DATAS,W2558+1)),"")</f>
        <v/>
      </c>
    </row>
    <row r="2559" customFormat="false" ht="15" hidden="false" customHeight="false" outlineLevel="0" collapsed="false">
      <c r="A2559" s="33" t="n">
        <v>46309</v>
      </c>
      <c r="B2559" s="0" t="n">
        <v>11</v>
      </c>
      <c r="C2559" s="0" t="n">
        <v>6899</v>
      </c>
      <c r="E2559" s="0" t="n">
        <v>0</v>
      </c>
      <c r="F2559" s="27" t="s">
        <v>1308</v>
      </c>
      <c r="I2559" s="27" t="s">
        <v>168</v>
      </c>
      <c r="U2559" s="0" t="n">
        <v>413</v>
      </c>
      <c r="V2559" s="0" t="n">
        <v>1</v>
      </c>
      <c r="W2559" s="27" t="n">
        <f aca="false">MATCH(A2559,DATAS,0)</f>
        <v>1</v>
      </c>
      <c r="X2559" s="27" t="n">
        <f aca="false">IF(AND(E2559&gt;0,OR(AND(B2559&gt;=1,B2559&lt;=6),B2559=10)),1,0)</f>
        <v>0</v>
      </c>
      <c r="Y2559" s="27" t="n">
        <f aca="false">IF(AND(E2559&gt;0,B2559=10),1,0)</f>
        <v>0</v>
      </c>
      <c r="Z2559" s="0" t="str">
        <f aca="false">IF(AND(C2558=C2559,W2558=W2559-1),X2558,"")</f>
        <v/>
      </c>
      <c r="AA2559" s="0" t="str">
        <f aca="false">IF(AND(C2558=C2559,W2558=W2559-1),Y2558,"")</f>
        <v/>
      </c>
      <c r="AB2559" s="0" t="str">
        <f aca="false">IF(W2559=1,"",IF(AND(X2559=1,Z2559&lt;&gt;1),1,0))</f>
        <v/>
      </c>
      <c r="AC2559" s="0" t="str">
        <f aca="false">IF(W2559=1,"",IF(AND(Y2559=1,AA2559&lt;&gt;1),1,0))</f>
        <v/>
      </c>
      <c r="AD2559" s="33" t="str">
        <f aca="false">IF(AND(E2559&gt;0,W2559&lt;1,NOT(AND(C2560=C2559,W2560=W2559+1))),INDEX(DATAS,W2559+1),"")</f>
        <v/>
      </c>
      <c r="AE2559" s="33" t="str">
        <f aca="false">IF(AND(Y2559=1,W2559&lt;1),IF(AND(C2560=C2559,W2560=W2559+1),IF(Y2560=1,"",INDEX(DATAS,W2559+1)),INDEX(DATAS,W2559+1)),"")</f>
        <v/>
      </c>
    </row>
    <row r="2560" customFormat="false" ht="15" hidden="false" customHeight="false" outlineLevel="0" collapsed="false">
      <c r="A2560" s="33" t="n">
        <v>46309</v>
      </c>
      <c r="B2560" s="0" t="n">
        <v>11</v>
      </c>
      <c r="C2560" s="0" t="n">
        <v>6900</v>
      </c>
      <c r="E2560" s="0" t="n">
        <v>0</v>
      </c>
      <c r="F2560" s="27" t="s">
        <v>1308</v>
      </c>
      <c r="I2560" s="27" t="s">
        <v>168</v>
      </c>
      <c r="U2560" s="0" t="n">
        <v>413</v>
      </c>
      <c r="V2560" s="0" t="n">
        <v>1</v>
      </c>
      <c r="W2560" s="27" t="n">
        <f aca="false">MATCH(A2560,DATAS,0)</f>
        <v>1</v>
      </c>
      <c r="X2560" s="27" t="n">
        <f aca="false">IF(AND(E2560&gt;0,OR(AND(B2560&gt;=1,B2560&lt;=6),B2560=10)),1,0)</f>
        <v>0</v>
      </c>
      <c r="Y2560" s="27" t="n">
        <f aca="false">IF(AND(E2560&gt;0,B2560=10),1,0)</f>
        <v>0</v>
      </c>
      <c r="Z2560" s="0" t="str">
        <f aca="false">IF(AND(C2559=C2560,W2559=W2560-1),X2559,"")</f>
        <v/>
      </c>
      <c r="AA2560" s="0" t="str">
        <f aca="false">IF(AND(C2559=C2560,W2559=W2560-1),Y2559,"")</f>
        <v/>
      </c>
      <c r="AB2560" s="0" t="str">
        <f aca="false">IF(W2560=1,"",IF(AND(X2560=1,Z2560&lt;&gt;1),1,0))</f>
        <v/>
      </c>
      <c r="AC2560" s="0" t="str">
        <f aca="false">IF(W2560=1,"",IF(AND(Y2560=1,AA2560&lt;&gt;1),1,0))</f>
        <v/>
      </c>
      <c r="AD2560" s="33" t="str">
        <f aca="false">IF(AND(E2560&gt;0,W2560&lt;1,NOT(AND(C2561=C2560,W2561=W2560+1))),INDEX(DATAS,W2560+1),"")</f>
        <v/>
      </c>
      <c r="AE2560" s="33" t="str">
        <f aca="false">IF(AND(Y2560=1,W2560&lt;1),IF(AND(C2561=C2560,W2561=W2560+1),IF(Y2561=1,"",INDEX(DATAS,W2560+1)),INDEX(DATAS,W2560+1)),"")</f>
        <v/>
      </c>
    </row>
    <row r="2561" customFormat="false" ht="15" hidden="false" customHeight="false" outlineLevel="0" collapsed="false">
      <c r="A2561" s="33" t="n">
        <v>46309</v>
      </c>
      <c r="B2561" s="0" t="n">
        <v>13</v>
      </c>
      <c r="C2561" s="0" t="n">
        <v>6902</v>
      </c>
      <c r="E2561" s="0" t="n">
        <v>0</v>
      </c>
      <c r="F2561" s="27" t="s">
        <v>1308</v>
      </c>
      <c r="I2561" s="27" t="s">
        <v>176</v>
      </c>
      <c r="U2561" s="0" t="n">
        <v>413</v>
      </c>
      <c r="V2561" s="0" t="n">
        <v>0</v>
      </c>
      <c r="W2561" s="27" t="n">
        <f aca="false">MATCH(A2561,DATAS,0)</f>
        <v>1</v>
      </c>
      <c r="X2561" s="27" t="n">
        <f aca="false">IF(AND(E2561&gt;0,OR(AND(B2561&gt;=1,B2561&lt;=6),B2561=10)),1,0)</f>
        <v>0</v>
      </c>
      <c r="Y2561" s="27" t="n">
        <f aca="false">IF(AND(E2561&gt;0,B2561=10),1,0)</f>
        <v>0</v>
      </c>
      <c r="Z2561" s="0" t="str">
        <f aca="false">IF(AND(C2560=C2561,W2560=W2561-1),X2560,"")</f>
        <v/>
      </c>
      <c r="AA2561" s="0" t="str">
        <f aca="false">IF(AND(C2560=C2561,W2560=W2561-1),Y2560,"")</f>
        <v/>
      </c>
      <c r="AB2561" s="0" t="str">
        <f aca="false">IF(W2561=1,"",IF(AND(X2561=1,Z2561&lt;&gt;1),1,0))</f>
        <v/>
      </c>
      <c r="AC2561" s="0" t="str">
        <f aca="false">IF(W2561=1,"",IF(AND(Y2561=1,AA2561&lt;&gt;1),1,0))</f>
        <v/>
      </c>
      <c r="AD2561" s="33" t="str">
        <f aca="false">IF(AND(E2561&gt;0,W2561&lt;1,NOT(AND(C2562=C2561,W2562=W2561+1))),INDEX(DATAS,W2561+1),"")</f>
        <v/>
      </c>
      <c r="AE2561" s="33" t="str">
        <f aca="false">IF(AND(Y2561=1,W2561&lt;1),IF(AND(C2562=C2561,W2562=W2561+1),IF(Y2562=1,"",INDEX(DATAS,W2561+1)),INDEX(DATAS,W2561+1)),"")</f>
        <v/>
      </c>
    </row>
    <row r="2562" customFormat="false" ht="15" hidden="false" customHeight="false" outlineLevel="0" collapsed="false">
      <c r="A2562" s="33" t="n">
        <v>46309</v>
      </c>
      <c r="B2562" s="0" t="n">
        <v>11</v>
      </c>
      <c r="C2562" s="0" t="n">
        <v>6903</v>
      </c>
      <c r="E2562" s="0" t="n">
        <v>0</v>
      </c>
      <c r="F2562" s="27" t="s">
        <v>1309</v>
      </c>
      <c r="I2562" s="27" t="s">
        <v>168</v>
      </c>
      <c r="U2562" s="0" t="n">
        <v>412</v>
      </c>
      <c r="V2562" s="0" t="n">
        <v>1</v>
      </c>
      <c r="W2562" s="27" t="n">
        <f aca="false">MATCH(A2562,DATAS,0)</f>
        <v>1</v>
      </c>
      <c r="X2562" s="27" t="n">
        <f aca="false">IF(AND(E2562&gt;0,OR(AND(B2562&gt;=1,B2562&lt;=6),B2562=10)),1,0)</f>
        <v>0</v>
      </c>
      <c r="Y2562" s="27" t="n">
        <f aca="false">IF(AND(E2562&gt;0,B2562=10),1,0)</f>
        <v>0</v>
      </c>
      <c r="Z2562" s="0" t="str">
        <f aca="false">IF(AND(C2561=C2562,W2561=W2562-1),X2561,"")</f>
        <v/>
      </c>
      <c r="AA2562" s="0" t="str">
        <f aca="false">IF(AND(C2561=C2562,W2561=W2562-1),Y2561,"")</f>
        <v/>
      </c>
      <c r="AB2562" s="0" t="str">
        <f aca="false">IF(W2562=1,"",IF(AND(X2562=1,Z2562&lt;&gt;1),1,0))</f>
        <v/>
      </c>
      <c r="AC2562" s="0" t="str">
        <f aca="false">IF(W2562=1,"",IF(AND(Y2562=1,AA2562&lt;&gt;1),1,0))</f>
        <v/>
      </c>
      <c r="AD2562" s="33" t="str">
        <f aca="false">IF(AND(E2562&gt;0,W2562&lt;1,NOT(AND(C2563=C2562,W2563=W2562+1))),INDEX(DATAS,W2562+1),"")</f>
        <v/>
      </c>
      <c r="AE2562" s="33" t="str">
        <f aca="false">IF(AND(Y2562=1,W2562&lt;1),IF(AND(C2563=C2562,W2563=W2562+1),IF(Y2563=1,"",INDEX(DATAS,W2562+1)),INDEX(DATAS,W2562+1)),"")</f>
        <v/>
      </c>
    </row>
    <row r="2563" customFormat="false" ht="15" hidden="false" customHeight="false" outlineLevel="0" collapsed="false">
      <c r="A2563" s="33" t="n">
        <v>46309</v>
      </c>
      <c r="B2563" s="0" t="n">
        <v>13</v>
      </c>
      <c r="C2563" s="0" t="n">
        <v>6904</v>
      </c>
      <c r="E2563" s="0" t="n">
        <v>0</v>
      </c>
      <c r="F2563" s="27" t="s">
        <v>1309</v>
      </c>
      <c r="I2563" s="27" t="s">
        <v>176</v>
      </c>
      <c r="U2563" s="0" t="n">
        <v>412</v>
      </c>
      <c r="V2563" s="0" t="n">
        <v>0</v>
      </c>
      <c r="W2563" s="27" t="n">
        <f aca="false">MATCH(A2563,DATAS,0)</f>
        <v>1</v>
      </c>
      <c r="X2563" s="27" t="n">
        <f aca="false">IF(AND(E2563&gt;0,OR(AND(B2563&gt;=1,B2563&lt;=6),B2563=10)),1,0)</f>
        <v>0</v>
      </c>
      <c r="Y2563" s="27" t="n">
        <f aca="false">IF(AND(E2563&gt;0,B2563=10),1,0)</f>
        <v>0</v>
      </c>
      <c r="Z2563" s="0" t="str">
        <f aca="false">IF(AND(C2562=C2563,W2562=W2563-1),X2562,"")</f>
        <v/>
      </c>
      <c r="AA2563" s="0" t="str">
        <f aca="false">IF(AND(C2562=C2563,W2562=W2563-1),Y2562,"")</f>
        <v/>
      </c>
      <c r="AB2563" s="0" t="str">
        <f aca="false">IF(W2563=1,"",IF(AND(X2563=1,Z2563&lt;&gt;1),1,0))</f>
        <v/>
      </c>
      <c r="AC2563" s="0" t="str">
        <f aca="false">IF(W2563=1,"",IF(AND(Y2563=1,AA2563&lt;&gt;1),1,0))</f>
        <v/>
      </c>
      <c r="AD2563" s="33" t="str">
        <f aca="false">IF(AND(E2563&gt;0,W2563&lt;1,NOT(AND(C2564=C2563,W2564=W2563+1))),INDEX(DATAS,W2563+1),"")</f>
        <v/>
      </c>
      <c r="AE2563" s="33" t="str">
        <f aca="false">IF(AND(Y2563=1,W2563&lt;1),IF(AND(C2564=C2563,W2564=W2563+1),IF(Y2564=1,"",INDEX(DATAS,W2563+1)),INDEX(DATAS,W2563+1)),"")</f>
        <v/>
      </c>
    </row>
    <row r="2564" customFormat="false" ht="15" hidden="false" customHeight="false" outlineLevel="0" collapsed="false">
      <c r="A2564" s="33" t="n">
        <v>46309</v>
      </c>
      <c r="B2564" s="0" t="n">
        <v>13</v>
      </c>
      <c r="C2564" s="0" t="n">
        <v>6905</v>
      </c>
      <c r="E2564" s="0" t="n">
        <v>0</v>
      </c>
      <c r="F2564" s="27" t="s">
        <v>1309</v>
      </c>
      <c r="I2564" s="27" t="s">
        <v>176</v>
      </c>
      <c r="U2564" s="0" t="n">
        <v>412</v>
      </c>
      <c r="V2564" s="0" t="n">
        <v>0</v>
      </c>
      <c r="W2564" s="27" t="n">
        <f aca="false">MATCH(A2564,DATAS,0)</f>
        <v>1</v>
      </c>
      <c r="X2564" s="27" t="n">
        <f aca="false">IF(AND(E2564&gt;0,OR(AND(B2564&gt;=1,B2564&lt;=6),B2564=10)),1,0)</f>
        <v>0</v>
      </c>
      <c r="Y2564" s="27" t="n">
        <f aca="false">IF(AND(E2564&gt;0,B2564=10),1,0)</f>
        <v>0</v>
      </c>
      <c r="Z2564" s="0" t="str">
        <f aca="false">IF(AND(C2563=C2564,W2563=W2564-1),X2563,"")</f>
        <v/>
      </c>
      <c r="AA2564" s="0" t="str">
        <f aca="false">IF(AND(C2563=C2564,W2563=W2564-1),Y2563,"")</f>
        <v/>
      </c>
      <c r="AB2564" s="0" t="str">
        <f aca="false">IF(W2564=1,"",IF(AND(X2564=1,Z2564&lt;&gt;1),1,0))</f>
        <v/>
      </c>
      <c r="AC2564" s="0" t="str">
        <f aca="false">IF(W2564=1,"",IF(AND(Y2564=1,AA2564&lt;&gt;1),1,0))</f>
        <v/>
      </c>
      <c r="AD2564" s="33" t="str">
        <f aca="false">IF(AND(E2564&gt;0,W2564&lt;1,NOT(AND(C2565=C2564,W2565=W2564+1))),INDEX(DATAS,W2564+1),"")</f>
        <v/>
      </c>
      <c r="AE2564" s="33" t="str">
        <f aca="false">IF(AND(Y2564=1,W2564&lt;1),IF(AND(C2565=C2564,W2565=W2564+1),IF(Y2565=1,"",INDEX(DATAS,W2564+1)),INDEX(DATAS,W2564+1)),"")</f>
        <v/>
      </c>
    </row>
    <row r="2565" customFormat="false" ht="15" hidden="false" customHeight="false" outlineLevel="0" collapsed="false">
      <c r="A2565" s="33" t="n">
        <v>46309</v>
      </c>
      <c r="B2565" s="0" t="n">
        <v>11</v>
      </c>
      <c r="C2565" s="0" t="n">
        <v>6906</v>
      </c>
      <c r="E2565" s="0" t="n">
        <v>0</v>
      </c>
      <c r="F2565" s="27" t="s">
        <v>1309</v>
      </c>
      <c r="I2565" s="27" t="s">
        <v>168</v>
      </c>
      <c r="U2565" s="0" t="n">
        <v>412</v>
      </c>
      <c r="V2565" s="0" t="n">
        <v>1</v>
      </c>
      <c r="W2565" s="27" t="n">
        <f aca="false">MATCH(A2565,DATAS,0)</f>
        <v>1</v>
      </c>
      <c r="X2565" s="27" t="n">
        <f aca="false">IF(AND(E2565&gt;0,OR(AND(B2565&gt;=1,B2565&lt;=6),B2565=10)),1,0)</f>
        <v>0</v>
      </c>
      <c r="Y2565" s="27" t="n">
        <f aca="false">IF(AND(E2565&gt;0,B2565=10),1,0)</f>
        <v>0</v>
      </c>
      <c r="Z2565" s="0" t="str">
        <f aca="false">IF(AND(C2564=C2565,W2564=W2565-1),X2564,"")</f>
        <v/>
      </c>
      <c r="AA2565" s="0" t="str">
        <f aca="false">IF(AND(C2564=C2565,W2564=W2565-1),Y2564,"")</f>
        <v/>
      </c>
      <c r="AB2565" s="0" t="str">
        <f aca="false">IF(W2565=1,"",IF(AND(X2565=1,Z2565&lt;&gt;1),1,0))</f>
        <v/>
      </c>
      <c r="AC2565" s="0" t="str">
        <f aca="false">IF(W2565=1,"",IF(AND(Y2565=1,AA2565&lt;&gt;1),1,0))</f>
        <v/>
      </c>
      <c r="AD2565" s="33" t="str">
        <f aca="false">IF(AND(E2565&gt;0,W2565&lt;1,NOT(AND(C2566=C2565,W2566=W2565+1))),INDEX(DATAS,W2565+1),"")</f>
        <v/>
      </c>
      <c r="AE2565" s="33" t="str">
        <f aca="false">IF(AND(Y2565=1,W2565&lt;1),IF(AND(C2566=C2565,W2566=W2565+1),IF(Y2566=1,"",INDEX(DATAS,W2565+1)),INDEX(DATAS,W2565+1)),"")</f>
        <v/>
      </c>
    </row>
    <row r="2566" customFormat="false" ht="15" hidden="false" customHeight="false" outlineLevel="0" collapsed="false">
      <c r="A2566" s="33" t="n">
        <v>46309</v>
      </c>
      <c r="B2566" s="0" t="n">
        <v>11</v>
      </c>
      <c r="C2566" s="0" t="n">
        <v>6907</v>
      </c>
      <c r="E2566" s="0" t="n">
        <v>0</v>
      </c>
      <c r="F2566" s="27" t="s">
        <v>1310</v>
      </c>
      <c r="I2566" s="27" t="s">
        <v>168</v>
      </c>
      <c r="U2566" s="0" t="n">
        <v>411</v>
      </c>
      <c r="V2566" s="0" t="n">
        <v>1</v>
      </c>
      <c r="W2566" s="27" t="n">
        <f aca="false">MATCH(A2566,DATAS,0)</f>
        <v>1</v>
      </c>
      <c r="X2566" s="27" t="n">
        <f aca="false">IF(AND(E2566&gt;0,OR(AND(B2566&gt;=1,B2566&lt;=6),B2566=10)),1,0)</f>
        <v>0</v>
      </c>
      <c r="Y2566" s="27" t="n">
        <f aca="false">IF(AND(E2566&gt;0,B2566=10),1,0)</f>
        <v>0</v>
      </c>
      <c r="Z2566" s="0" t="str">
        <f aca="false">IF(AND(C2565=C2566,W2565=W2566-1),X2565,"")</f>
        <v/>
      </c>
      <c r="AA2566" s="0" t="str">
        <f aca="false">IF(AND(C2565=C2566,W2565=W2566-1),Y2565,"")</f>
        <v/>
      </c>
      <c r="AB2566" s="0" t="str">
        <f aca="false">IF(W2566=1,"",IF(AND(X2566=1,Z2566&lt;&gt;1),1,0))</f>
        <v/>
      </c>
      <c r="AC2566" s="0" t="str">
        <f aca="false">IF(W2566=1,"",IF(AND(Y2566=1,AA2566&lt;&gt;1),1,0))</f>
        <v/>
      </c>
      <c r="AD2566" s="33" t="str">
        <f aca="false">IF(AND(E2566&gt;0,W2566&lt;1,NOT(AND(C2567=C2566,W2567=W2566+1))),INDEX(DATAS,W2566+1),"")</f>
        <v/>
      </c>
      <c r="AE2566" s="33" t="str">
        <f aca="false">IF(AND(Y2566=1,W2566&lt;1),IF(AND(C2567=C2566,W2567=W2566+1),IF(Y2567=1,"",INDEX(DATAS,W2566+1)),INDEX(DATAS,W2566+1)),"")</f>
        <v/>
      </c>
    </row>
    <row r="2567" customFormat="false" ht="15" hidden="false" customHeight="false" outlineLevel="0" collapsed="false">
      <c r="A2567" s="33" t="n">
        <v>46309</v>
      </c>
      <c r="B2567" s="0" t="n">
        <v>11</v>
      </c>
      <c r="C2567" s="0" t="n">
        <v>6908</v>
      </c>
      <c r="E2567" s="0" t="n">
        <v>0</v>
      </c>
      <c r="F2567" s="27" t="s">
        <v>1310</v>
      </c>
      <c r="I2567" s="27" t="s">
        <v>168</v>
      </c>
      <c r="U2567" s="0" t="n">
        <v>411</v>
      </c>
      <c r="V2567" s="0" t="n">
        <v>1</v>
      </c>
      <c r="W2567" s="27" t="n">
        <f aca="false">MATCH(A2567,DATAS,0)</f>
        <v>1</v>
      </c>
      <c r="X2567" s="27" t="n">
        <f aca="false">IF(AND(E2567&gt;0,OR(AND(B2567&gt;=1,B2567&lt;=6),B2567=10)),1,0)</f>
        <v>0</v>
      </c>
      <c r="Y2567" s="27" t="n">
        <f aca="false">IF(AND(E2567&gt;0,B2567=10),1,0)</f>
        <v>0</v>
      </c>
      <c r="Z2567" s="0" t="str">
        <f aca="false">IF(AND(C2566=C2567,W2566=W2567-1),X2566,"")</f>
        <v/>
      </c>
      <c r="AA2567" s="0" t="str">
        <f aca="false">IF(AND(C2566=C2567,W2566=W2567-1),Y2566,"")</f>
        <v/>
      </c>
      <c r="AB2567" s="0" t="str">
        <f aca="false">IF(W2567=1,"",IF(AND(X2567=1,Z2567&lt;&gt;1),1,0))</f>
        <v/>
      </c>
      <c r="AC2567" s="0" t="str">
        <f aca="false">IF(W2567=1,"",IF(AND(Y2567=1,AA2567&lt;&gt;1),1,0))</f>
        <v/>
      </c>
      <c r="AD2567" s="33" t="str">
        <f aca="false">IF(AND(E2567&gt;0,W2567&lt;1,NOT(AND(C2568=C2567,W2568=W2567+1))),INDEX(DATAS,W2567+1),"")</f>
        <v/>
      </c>
      <c r="AE2567" s="33" t="str">
        <f aca="false">IF(AND(Y2567=1,W2567&lt;1),IF(AND(C2568=C2567,W2568=W2567+1),IF(Y2568=1,"",INDEX(DATAS,W2567+1)),INDEX(DATAS,W2567+1)),"")</f>
        <v/>
      </c>
    </row>
    <row r="2568" customFormat="false" ht="15" hidden="false" customHeight="false" outlineLevel="0" collapsed="false">
      <c r="A2568" s="33" t="n">
        <v>46309</v>
      </c>
      <c r="B2568" s="0" t="n">
        <v>13</v>
      </c>
      <c r="C2568" s="0" t="n">
        <v>6909</v>
      </c>
      <c r="E2568" s="0" t="n">
        <v>0</v>
      </c>
      <c r="F2568" s="27" t="s">
        <v>1310</v>
      </c>
      <c r="I2568" s="27" t="s">
        <v>176</v>
      </c>
      <c r="U2568" s="0" t="n">
        <v>411</v>
      </c>
      <c r="V2568" s="0" t="n">
        <v>0</v>
      </c>
      <c r="W2568" s="27" t="n">
        <f aca="false">MATCH(A2568,DATAS,0)</f>
        <v>1</v>
      </c>
      <c r="X2568" s="27" t="n">
        <f aca="false">IF(AND(E2568&gt;0,OR(AND(B2568&gt;=1,B2568&lt;=6),B2568=10)),1,0)</f>
        <v>0</v>
      </c>
      <c r="Y2568" s="27" t="n">
        <f aca="false">IF(AND(E2568&gt;0,B2568=10),1,0)</f>
        <v>0</v>
      </c>
      <c r="Z2568" s="0" t="str">
        <f aca="false">IF(AND(C2567=C2568,W2567=W2568-1),X2567,"")</f>
        <v/>
      </c>
      <c r="AA2568" s="0" t="str">
        <f aca="false">IF(AND(C2567=C2568,W2567=W2568-1),Y2567,"")</f>
        <v/>
      </c>
      <c r="AB2568" s="0" t="str">
        <f aca="false">IF(W2568=1,"",IF(AND(X2568=1,Z2568&lt;&gt;1),1,0))</f>
        <v/>
      </c>
      <c r="AC2568" s="0" t="str">
        <f aca="false">IF(W2568=1,"",IF(AND(Y2568=1,AA2568&lt;&gt;1),1,0))</f>
        <v/>
      </c>
      <c r="AD2568" s="33" t="str">
        <f aca="false">IF(AND(E2568&gt;0,W2568&lt;1,NOT(AND(C2569=C2568,W2569=W2568+1))),INDEX(DATAS,W2568+1),"")</f>
        <v/>
      </c>
      <c r="AE2568" s="33" t="str">
        <f aca="false">IF(AND(Y2568=1,W2568&lt;1),IF(AND(C2569=C2568,W2569=W2568+1),IF(Y2569=1,"",INDEX(DATAS,W2568+1)),INDEX(DATAS,W2568+1)),"")</f>
        <v/>
      </c>
    </row>
    <row r="2569" customFormat="false" ht="15" hidden="false" customHeight="false" outlineLevel="0" collapsed="false">
      <c r="A2569" s="33" t="n">
        <v>46309</v>
      </c>
      <c r="B2569" s="0" t="n">
        <v>13</v>
      </c>
      <c r="C2569" s="0" t="n">
        <v>6910</v>
      </c>
      <c r="E2569" s="0" t="n">
        <v>0</v>
      </c>
      <c r="F2569" s="27" t="s">
        <v>1311</v>
      </c>
      <c r="I2569" s="27" t="s">
        <v>176</v>
      </c>
      <c r="U2569" s="0" t="n">
        <v>410</v>
      </c>
      <c r="V2569" s="0" t="n">
        <v>0</v>
      </c>
      <c r="W2569" s="27" t="n">
        <f aca="false">MATCH(A2569,DATAS,0)</f>
        <v>1</v>
      </c>
      <c r="X2569" s="27" t="n">
        <f aca="false">IF(AND(E2569&gt;0,OR(AND(B2569&gt;=1,B2569&lt;=6),B2569=10)),1,0)</f>
        <v>0</v>
      </c>
      <c r="Y2569" s="27" t="n">
        <f aca="false">IF(AND(E2569&gt;0,B2569=10),1,0)</f>
        <v>0</v>
      </c>
      <c r="Z2569" s="0" t="str">
        <f aca="false">IF(AND(C2568=C2569,W2568=W2569-1),X2568,"")</f>
        <v/>
      </c>
      <c r="AA2569" s="0" t="str">
        <f aca="false">IF(AND(C2568=C2569,W2568=W2569-1),Y2568,"")</f>
        <v/>
      </c>
      <c r="AB2569" s="0" t="str">
        <f aca="false">IF(W2569=1,"",IF(AND(X2569=1,Z2569&lt;&gt;1),1,0))</f>
        <v/>
      </c>
      <c r="AC2569" s="0" t="str">
        <f aca="false">IF(W2569=1,"",IF(AND(Y2569=1,AA2569&lt;&gt;1),1,0))</f>
        <v/>
      </c>
      <c r="AD2569" s="33" t="str">
        <f aca="false">IF(AND(E2569&gt;0,W2569&lt;1,NOT(AND(C2570=C2569,W2570=W2569+1))),INDEX(DATAS,W2569+1),"")</f>
        <v/>
      </c>
      <c r="AE2569" s="33" t="str">
        <f aca="false">IF(AND(Y2569=1,W2569&lt;1),IF(AND(C2570=C2569,W2570=W2569+1),IF(Y2570=1,"",INDEX(DATAS,W2569+1)),INDEX(DATAS,W2569+1)),"")</f>
        <v/>
      </c>
    </row>
    <row r="2570" customFormat="false" ht="15" hidden="false" customHeight="false" outlineLevel="0" collapsed="false">
      <c r="A2570" s="33" t="n">
        <v>46309</v>
      </c>
      <c r="B2570" s="0" t="n">
        <v>11</v>
      </c>
      <c r="C2570" s="0" t="n">
        <v>6911</v>
      </c>
      <c r="E2570" s="0" t="n">
        <v>0</v>
      </c>
      <c r="F2570" s="27" t="s">
        <v>1311</v>
      </c>
      <c r="I2570" s="27" t="s">
        <v>168</v>
      </c>
      <c r="U2570" s="0" t="n">
        <v>410</v>
      </c>
      <c r="V2570" s="0" t="n">
        <v>1</v>
      </c>
      <c r="W2570" s="27" t="n">
        <f aca="false">MATCH(A2570,DATAS,0)</f>
        <v>1</v>
      </c>
      <c r="X2570" s="27" t="n">
        <f aca="false">IF(AND(E2570&gt;0,OR(AND(B2570&gt;=1,B2570&lt;=6),B2570=10)),1,0)</f>
        <v>0</v>
      </c>
      <c r="Y2570" s="27" t="n">
        <f aca="false">IF(AND(E2570&gt;0,B2570=10),1,0)</f>
        <v>0</v>
      </c>
      <c r="Z2570" s="0" t="str">
        <f aca="false">IF(AND(C2569=C2570,W2569=W2570-1),X2569,"")</f>
        <v/>
      </c>
      <c r="AA2570" s="0" t="str">
        <f aca="false">IF(AND(C2569=C2570,W2569=W2570-1),Y2569,"")</f>
        <v/>
      </c>
      <c r="AB2570" s="0" t="str">
        <f aca="false">IF(W2570=1,"",IF(AND(X2570=1,Z2570&lt;&gt;1),1,0))</f>
        <v/>
      </c>
      <c r="AC2570" s="0" t="str">
        <f aca="false">IF(W2570=1,"",IF(AND(Y2570=1,AA2570&lt;&gt;1),1,0))</f>
        <v/>
      </c>
      <c r="AD2570" s="33" t="str">
        <f aca="false">IF(AND(E2570&gt;0,W2570&lt;1,NOT(AND(C2571=C2570,W2571=W2570+1))),INDEX(DATAS,W2570+1),"")</f>
        <v/>
      </c>
      <c r="AE2570" s="33" t="str">
        <f aca="false">IF(AND(Y2570=1,W2570&lt;1),IF(AND(C2571=C2570,W2571=W2570+1),IF(Y2571=1,"",INDEX(DATAS,W2570+1)),INDEX(DATAS,W2570+1)),"")</f>
        <v/>
      </c>
    </row>
    <row r="2571" customFormat="false" ht="15" hidden="false" customHeight="false" outlineLevel="0" collapsed="false">
      <c r="A2571" s="33" t="n">
        <v>46309</v>
      </c>
      <c r="B2571" s="0" t="n">
        <v>13</v>
      </c>
      <c r="C2571" s="0" t="n">
        <v>6913</v>
      </c>
      <c r="E2571" s="0" t="n">
        <v>0</v>
      </c>
      <c r="F2571" s="27" t="s">
        <v>1311</v>
      </c>
      <c r="I2571" s="27" t="s">
        <v>176</v>
      </c>
      <c r="U2571" s="0" t="n">
        <v>410</v>
      </c>
      <c r="V2571" s="0" t="n">
        <v>0</v>
      </c>
      <c r="W2571" s="27" t="n">
        <f aca="false">MATCH(A2571,DATAS,0)</f>
        <v>1</v>
      </c>
      <c r="X2571" s="27" t="n">
        <f aca="false">IF(AND(E2571&gt;0,OR(AND(B2571&gt;=1,B2571&lt;=6),B2571=10)),1,0)</f>
        <v>0</v>
      </c>
      <c r="Y2571" s="27" t="n">
        <f aca="false">IF(AND(E2571&gt;0,B2571=10),1,0)</f>
        <v>0</v>
      </c>
      <c r="Z2571" s="0" t="str">
        <f aca="false">IF(AND(C2570=C2571,W2570=W2571-1),X2570,"")</f>
        <v/>
      </c>
      <c r="AA2571" s="0" t="str">
        <f aca="false">IF(AND(C2570=C2571,W2570=W2571-1),Y2570,"")</f>
        <v/>
      </c>
      <c r="AB2571" s="0" t="str">
        <f aca="false">IF(W2571=1,"",IF(AND(X2571=1,Z2571&lt;&gt;1),1,0))</f>
        <v/>
      </c>
      <c r="AC2571" s="0" t="str">
        <f aca="false">IF(W2571=1,"",IF(AND(Y2571=1,AA2571&lt;&gt;1),1,0))</f>
        <v/>
      </c>
      <c r="AD2571" s="33" t="str">
        <f aca="false">IF(AND(E2571&gt;0,W2571&lt;1,NOT(AND(C2572=C2571,W2572=W2571+1))),INDEX(DATAS,W2571+1),"")</f>
        <v/>
      </c>
      <c r="AE2571" s="33" t="str">
        <f aca="false">IF(AND(Y2571=1,W2571&lt;1),IF(AND(C2572=C2571,W2572=W2571+1),IF(Y2572=1,"",INDEX(DATAS,W2571+1)),INDEX(DATAS,W2571+1)),"")</f>
        <v/>
      </c>
    </row>
    <row r="2572" customFormat="false" ht="15" hidden="false" customHeight="false" outlineLevel="0" collapsed="false">
      <c r="A2572" s="33" t="n">
        <v>46309</v>
      </c>
      <c r="B2572" s="0" t="n">
        <v>13</v>
      </c>
      <c r="C2572" s="0" t="n">
        <v>6914</v>
      </c>
      <c r="E2572" s="0" t="n">
        <v>0</v>
      </c>
      <c r="F2572" s="27" t="s">
        <v>1311</v>
      </c>
      <c r="I2572" s="27" t="s">
        <v>176</v>
      </c>
      <c r="U2572" s="0" t="n">
        <v>410</v>
      </c>
      <c r="V2572" s="0" t="n">
        <v>0</v>
      </c>
      <c r="W2572" s="27" t="n">
        <f aca="false">MATCH(A2572,DATAS,0)</f>
        <v>1</v>
      </c>
      <c r="X2572" s="27" t="n">
        <f aca="false">IF(AND(E2572&gt;0,OR(AND(B2572&gt;=1,B2572&lt;=6),B2572=10)),1,0)</f>
        <v>0</v>
      </c>
      <c r="Y2572" s="27" t="n">
        <f aca="false">IF(AND(E2572&gt;0,B2572=10),1,0)</f>
        <v>0</v>
      </c>
      <c r="Z2572" s="0" t="str">
        <f aca="false">IF(AND(C2571=C2572,W2571=W2572-1),X2571,"")</f>
        <v/>
      </c>
      <c r="AA2572" s="0" t="str">
        <f aca="false">IF(AND(C2571=C2572,W2571=W2572-1),Y2571,"")</f>
        <v/>
      </c>
      <c r="AB2572" s="0" t="str">
        <f aca="false">IF(W2572=1,"",IF(AND(X2572=1,Z2572&lt;&gt;1),1,0))</f>
        <v/>
      </c>
      <c r="AC2572" s="0" t="str">
        <f aca="false">IF(W2572=1,"",IF(AND(Y2572=1,AA2572&lt;&gt;1),1,0))</f>
        <v/>
      </c>
      <c r="AD2572" s="33" t="str">
        <f aca="false">IF(AND(E2572&gt;0,W2572&lt;1,NOT(AND(C2573=C2572,W2573=W2572+1))),INDEX(DATAS,W2572+1),"")</f>
        <v/>
      </c>
      <c r="AE2572" s="33" t="str">
        <f aca="false">IF(AND(Y2572=1,W2572&lt;1),IF(AND(C2573=C2572,W2573=W2572+1),IF(Y2573=1,"",INDEX(DATAS,W2572+1)),INDEX(DATAS,W2572+1)),"")</f>
        <v/>
      </c>
    </row>
    <row r="2573" customFormat="false" ht="15" hidden="false" customHeight="false" outlineLevel="0" collapsed="false">
      <c r="A2573" s="33" t="n">
        <v>46309</v>
      </c>
      <c r="B2573" s="0" t="n">
        <v>13</v>
      </c>
      <c r="C2573" s="0" t="n">
        <v>6915</v>
      </c>
      <c r="E2573" s="0" t="n">
        <v>0</v>
      </c>
      <c r="F2573" s="27" t="s">
        <v>1312</v>
      </c>
      <c r="I2573" s="27" t="s">
        <v>176</v>
      </c>
      <c r="U2573" s="0" t="n">
        <v>409</v>
      </c>
      <c r="V2573" s="0" t="n">
        <v>0</v>
      </c>
      <c r="W2573" s="27" t="n">
        <f aca="false">MATCH(A2573,DATAS,0)</f>
        <v>1</v>
      </c>
      <c r="X2573" s="27" t="n">
        <f aca="false">IF(AND(E2573&gt;0,OR(AND(B2573&gt;=1,B2573&lt;=6),B2573=10)),1,0)</f>
        <v>0</v>
      </c>
      <c r="Y2573" s="27" t="n">
        <f aca="false">IF(AND(E2573&gt;0,B2573=10),1,0)</f>
        <v>0</v>
      </c>
      <c r="Z2573" s="0" t="str">
        <f aca="false">IF(AND(C2572=C2573,W2572=W2573-1),X2572,"")</f>
        <v/>
      </c>
      <c r="AA2573" s="0" t="str">
        <f aca="false">IF(AND(C2572=C2573,W2572=W2573-1),Y2572,"")</f>
        <v/>
      </c>
      <c r="AB2573" s="0" t="str">
        <f aca="false">IF(W2573=1,"",IF(AND(X2573=1,Z2573&lt;&gt;1),1,0))</f>
        <v/>
      </c>
      <c r="AC2573" s="0" t="str">
        <f aca="false">IF(W2573=1,"",IF(AND(Y2573=1,AA2573&lt;&gt;1),1,0))</f>
        <v/>
      </c>
      <c r="AD2573" s="33" t="str">
        <f aca="false">IF(AND(E2573&gt;0,W2573&lt;1,NOT(AND(C2574=C2573,W2574=W2573+1))),INDEX(DATAS,W2573+1),"")</f>
        <v/>
      </c>
      <c r="AE2573" s="33" t="str">
        <f aca="false">IF(AND(Y2573=1,W2573&lt;1),IF(AND(C2574=C2573,W2574=W2573+1),IF(Y2574=1,"",INDEX(DATAS,W2573+1)),INDEX(DATAS,W2573+1)),"")</f>
        <v/>
      </c>
    </row>
    <row r="2574" customFormat="false" ht="15" hidden="false" customHeight="false" outlineLevel="0" collapsed="false">
      <c r="A2574" s="33" t="n">
        <v>46309</v>
      </c>
      <c r="B2574" s="0" t="n">
        <v>11</v>
      </c>
      <c r="C2574" s="0" t="n">
        <v>6916</v>
      </c>
      <c r="E2574" s="0" t="n">
        <v>0</v>
      </c>
      <c r="F2574" s="27" t="s">
        <v>1312</v>
      </c>
      <c r="I2574" s="27" t="s">
        <v>168</v>
      </c>
      <c r="U2574" s="0" t="n">
        <v>409</v>
      </c>
      <c r="V2574" s="0" t="n">
        <v>1</v>
      </c>
      <c r="W2574" s="27" t="n">
        <f aca="false">MATCH(A2574,DATAS,0)</f>
        <v>1</v>
      </c>
      <c r="X2574" s="27" t="n">
        <f aca="false">IF(AND(E2574&gt;0,OR(AND(B2574&gt;=1,B2574&lt;=6),B2574=10)),1,0)</f>
        <v>0</v>
      </c>
      <c r="Y2574" s="27" t="n">
        <f aca="false">IF(AND(E2574&gt;0,B2574=10),1,0)</f>
        <v>0</v>
      </c>
      <c r="Z2574" s="0" t="str">
        <f aca="false">IF(AND(C2573=C2574,W2573=W2574-1),X2573,"")</f>
        <v/>
      </c>
      <c r="AA2574" s="0" t="str">
        <f aca="false">IF(AND(C2573=C2574,W2573=W2574-1),Y2573,"")</f>
        <v/>
      </c>
      <c r="AB2574" s="0" t="str">
        <f aca="false">IF(W2574=1,"",IF(AND(X2574=1,Z2574&lt;&gt;1),1,0))</f>
        <v/>
      </c>
      <c r="AC2574" s="0" t="str">
        <f aca="false">IF(W2574=1,"",IF(AND(Y2574=1,AA2574&lt;&gt;1),1,0))</f>
        <v/>
      </c>
      <c r="AD2574" s="33" t="str">
        <f aca="false">IF(AND(E2574&gt;0,W2574&lt;1,NOT(AND(C2575=C2574,W2575=W2574+1))),INDEX(DATAS,W2574+1),"")</f>
        <v/>
      </c>
      <c r="AE2574" s="33" t="str">
        <f aca="false">IF(AND(Y2574=1,W2574&lt;1),IF(AND(C2575=C2574,W2575=W2574+1),IF(Y2575=1,"",INDEX(DATAS,W2574+1)),INDEX(DATAS,W2574+1)),"")</f>
        <v/>
      </c>
    </row>
    <row r="2575" customFormat="false" ht="15" hidden="false" customHeight="false" outlineLevel="0" collapsed="false">
      <c r="A2575" s="33" t="n">
        <v>46309</v>
      </c>
      <c r="B2575" s="0" t="n">
        <v>11</v>
      </c>
      <c r="C2575" s="0" t="n">
        <v>6917</v>
      </c>
      <c r="E2575" s="0" t="n">
        <v>0</v>
      </c>
      <c r="F2575" s="27" t="s">
        <v>1312</v>
      </c>
      <c r="I2575" s="27" t="s">
        <v>168</v>
      </c>
      <c r="U2575" s="0" t="n">
        <v>409</v>
      </c>
      <c r="V2575" s="0" t="n">
        <v>1</v>
      </c>
      <c r="W2575" s="27" t="n">
        <f aca="false">MATCH(A2575,DATAS,0)</f>
        <v>1</v>
      </c>
      <c r="X2575" s="27" t="n">
        <f aca="false">IF(AND(E2575&gt;0,OR(AND(B2575&gt;=1,B2575&lt;=6),B2575=10)),1,0)</f>
        <v>0</v>
      </c>
      <c r="Y2575" s="27" t="n">
        <f aca="false">IF(AND(E2575&gt;0,B2575=10),1,0)</f>
        <v>0</v>
      </c>
      <c r="Z2575" s="0" t="str">
        <f aca="false">IF(AND(C2574=C2575,W2574=W2575-1),X2574,"")</f>
        <v/>
      </c>
      <c r="AA2575" s="0" t="str">
        <f aca="false">IF(AND(C2574=C2575,W2574=W2575-1),Y2574,"")</f>
        <v/>
      </c>
      <c r="AB2575" s="0" t="str">
        <f aca="false">IF(W2575=1,"",IF(AND(X2575=1,Z2575&lt;&gt;1),1,0))</f>
        <v/>
      </c>
      <c r="AC2575" s="0" t="str">
        <f aca="false">IF(W2575=1,"",IF(AND(Y2575=1,AA2575&lt;&gt;1),1,0))</f>
        <v/>
      </c>
      <c r="AD2575" s="33" t="str">
        <f aca="false">IF(AND(E2575&gt;0,W2575&lt;1,NOT(AND(C2576=C2575,W2576=W2575+1))),INDEX(DATAS,W2575+1),"")</f>
        <v/>
      </c>
      <c r="AE2575" s="33" t="str">
        <f aca="false">IF(AND(Y2575=1,W2575&lt;1),IF(AND(C2576=C2575,W2576=W2575+1),IF(Y2576=1,"",INDEX(DATAS,W2575+1)),INDEX(DATAS,W2575+1)),"")</f>
        <v/>
      </c>
    </row>
    <row r="2576" customFormat="false" ht="15" hidden="false" customHeight="false" outlineLevel="0" collapsed="false">
      <c r="A2576" s="33" t="n">
        <v>46309</v>
      </c>
      <c r="B2576" s="0" t="n">
        <v>13</v>
      </c>
      <c r="C2576" s="0" t="n">
        <v>6918</v>
      </c>
      <c r="E2576" s="0" t="n">
        <v>0</v>
      </c>
      <c r="F2576" s="27" t="s">
        <v>1312</v>
      </c>
      <c r="I2576" s="27" t="s">
        <v>176</v>
      </c>
      <c r="U2576" s="0" t="n">
        <v>409</v>
      </c>
      <c r="V2576" s="0" t="n">
        <v>0</v>
      </c>
      <c r="W2576" s="27" t="n">
        <f aca="false">MATCH(A2576,DATAS,0)</f>
        <v>1</v>
      </c>
      <c r="X2576" s="27" t="n">
        <f aca="false">IF(AND(E2576&gt;0,OR(AND(B2576&gt;=1,B2576&lt;=6),B2576=10)),1,0)</f>
        <v>0</v>
      </c>
      <c r="Y2576" s="27" t="n">
        <f aca="false">IF(AND(E2576&gt;0,B2576=10),1,0)</f>
        <v>0</v>
      </c>
      <c r="Z2576" s="0" t="str">
        <f aca="false">IF(AND(C2575=C2576,W2575=W2576-1),X2575,"")</f>
        <v/>
      </c>
      <c r="AA2576" s="0" t="str">
        <f aca="false">IF(AND(C2575=C2576,W2575=W2576-1),Y2575,"")</f>
        <v/>
      </c>
      <c r="AB2576" s="0" t="str">
        <f aca="false">IF(W2576=1,"",IF(AND(X2576=1,Z2576&lt;&gt;1),1,0))</f>
        <v/>
      </c>
      <c r="AC2576" s="0" t="str">
        <f aca="false">IF(W2576=1,"",IF(AND(Y2576=1,AA2576&lt;&gt;1),1,0))</f>
        <v/>
      </c>
      <c r="AD2576" s="33" t="str">
        <f aca="false">IF(AND(E2576&gt;0,W2576&lt;1,NOT(AND(C2577=C2576,W2577=W2576+1))),INDEX(DATAS,W2576+1),"")</f>
        <v/>
      </c>
      <c r="AE2576" s="33" t="str">
        <f aca="false">IF(AND(Y2576=1,W2576&lt;1),IF(AND(C2577=C2576,W2577=W2576+1),IF(Y2577=1,"",INDEX(DATAS,W2576+1)),INDEX(DATAS,W2576+1)),"")</f>
        <v/>
      </c>
    </row>
    <row r="2577" customFormat="false" ht="15" hidden="false" customHeight="false" outlineLevel="0" collapsed="false">
      <c r="A2577" s="33" t="n">
        <v>46309</v>
      </c>
      <c r="B2577" s="0" t="n">
        <v>11</v>
      </c>
      <c r="C2577" s="0" t="n">
        <v>6919</v>
      </c>
      <c r="E2577" s="0" t="n">
        <v>0</v>
      </c>
      <c r="F2577" s="27" t="s">
        <v>1313</v>
      </c>
      <c r="I2577" s="27" t="s">
        <v>168</v>
      </c>
      <c r="U2577" s="0" t="n">
        <v>408</v>
      </c>
      <c r="V2577" s="0" t="n">
        <v>1</v>
      </c>
      <c r="W2577" s="27" t="n">
        <f aca="false">MATCH(A2577,DATAS,0)</f>
        <v>1</v>
      </c>
      <c r="X2577" s="27" t="n">
        <f aca="false">IF(AND(E2577&gt;0,OR(AND(B2577&gt;=1,B2577&lt;=6),B2577=10)),1,0)</f>
        <v>0</v>
      </c>
      <c r="Y2577" s="27" t="n">
        <f aca="false">IF(AND(E2577&gt;0,B2577=10),1,0)</f>
        <v>0</v>
      </c>
      <c r="Z2577" s="0" t="str">
        <f aca="false">IF(AND(C2576=C2577,W2576=W2577-1),X2576,"")</f>
        <v/>
      </c>
      <c r="AA2577" s="0" t="str">
        <f aca="false">IF(AND(C2576=C2577,W2576=W2577-1),Y2576,"")</f>
        <v/>
      </c>
      <c r="AB2577" s="0" t="str">
        <f aca="false">IF(W2577=1,"",IF(AND(X2577=1,Z2577&lt;&gt;1),1,0))</f>
        <v/>
      </c>
      <c r="AC2577" s="0" t="str">
        <f aca="false">IF(W2577=1,"",IF(AND(Y2577=1,AA2577&lt;&gt;1),1,0))</f>
        <v/>
      </c>
      <c r="AD2577" s="33" t="str">
        <f aca="false">IF(AND(E2577&gt;0,W2577&lt;1,NOT(AND(C2578=C2577,W2578=W2577+1))),INDEX(DATAS,W2577+1),"")</f>
        <v/>
      </c>
      <c r="AE2577" s="33" t="str">
        <f aca="false">IF(AND(Y2577=1,W2577&lt;1),IF(AND(C2578=C2577,W2578=W2577+1),IF(Y2578=1,"",INDEX(DATAS,W2577+1)),INDEX(DATAS,W2577+1)),"")</f>
        <v/>
      </c>
    </row>
    <row r="2578" customFormat="false" ht="15" hidden="false" customHeight="false" outlineLevel="0" collapsed="false">
      <c r="A2578" s="33" t="n">
        <v>46309</v>
      </c>
      <c r="B2578" s="0" t="n">
        <v>13</v>
      </c>
      <c r="C2578" s="0" t="n">
        <v>6920</v>
      </c>
      <c r="E2578" s="0" t="n">
        <v>0</v>
      </c>
      <c r="F2578" s="27" t="s">
        <v>1314</v>
      </c>
      <c r="I2578" s="27" t="s">
        <v>176</v>
      </c>
      <c r="U2578" s="0" t="n">
        <v>406</v>
      </c>
      <c r="V2578" s="0" t="n">
        <v>0</v>
      </c>
      <c r="W2578" s="27" t="n">
        <f aca="false">MATCH(A2578,DATAS,0)</f>
        <v>1</v>
      </c>
      <c r="X2578" s="27" t="n">
        <f aca="false">IF(AND(E2578&gt;0,OR(AND(B2578&gt;=1,B2578&lt;=6),B2578=10)),1,0)</f>
        <v>0</v>
      </c>
      <c r="Y2578" s="27" t="n">
        <f aca="false">IF(AND(E2578&gt;0,B2578=10),1,0)</f>
        <v>0</v>
      </c>
      <c r="Z2578" s="0" t="str">
        <f aca="false">IF(AND(C2577=C2578,W2577=W2578-1),X2577,"")</f>
        <v/>
      </c>
      <c r="AA2578" s="0" t="str">
        <f aca="false">IF(AND(C2577=C2578,W2577=W2578-1),Y2577,"")</f>
        <v/>
      </c>
      <c r="AB2578" s="0" t="str">
        <f aca="false">IF(W2578=1,"",IF(AND(X2578=1,Z2578&lt;&gt;1),1,0))</f>
        <v/>
      </c>
      <c r="AC2578" s="0" t="str">
        <f aca="false">IF(W2578=1,"",IF(AND(Y2578=1,AA2578&lt;&gt;1),1,0))</f>
        <v/>
      </c>
      <c r="AD2578" s="33" t="str">
        <f aca="false">IF(AND(E2578&gt;0,W2578&lt;1,NOT(AND(C2579=C2578,W2579=W2578+1))),INDEX(DATAS,W2578+1),"")</f>
        <v/>
      </c>
      <c r="AE2578" s="33" t="str">
        <f aca="false">IF(AND(Y2578=1,W2578&lt;1),IF(AND(C2579=C2578,W2579=W2578+1),IF(Y2579=1,"",INDEX(DATAS,W2578+1)),INDEX(DATAS,W2578+1)),"")</f>
        <v/>
      </c>
    </row>
    <row r="2579" customFormat="false" ht="15" hidden="false" customHeight="false" outlineLevel="0" collapsed="false">
      <c r="A2579" s="33" t="n">
        <v>46309</v>
      </c>
      <c r="B2579" s="0" t="n">
        <v>11</v>
      </c>
      <c r="C2579" s="0" t="n">
        <v>6921</v>
      </c>
      <c r="E2579" s="0" t="n">
        <v>0</v>
      </c>
      <c r="F2579" s="27" t="s">
        <v>1314</v>
      </c>
      <c r="I2579" s="27" t="s">
        <v>168</v>
      </c>
      <c r="U2579" s="0" t="n">
        <v>406</v>
      </c>
      <c r="V2579" s="0" t="n">
        <v>1</v>
      </c>
      <c r="W2579" s="27" t="n">
        <f aca="false">MATCH(A2579,DATAS,0)</f>
        <v>1</v>
      </c>
      <c r="X2579" s="27" t="n">
        <f aca="false">IF(AND(E2579&gt;0,OR(AND(B2579&gt;=1,B2579&lt;=6),B2579=10)),1,0)</f>
        <v>0</v>
      </c>
      <c r="Y2579" s="27" t="n">
        <f aca="false">IF(AND(E2579&gt;0,B2579=10),1,0)</f>
        <v>0</v>
      </c>
      <c r="Z2579" s="0" t="str">
        <f aca="false">IF(AND(C2578=C2579,W2578=W2579-1),X2578,"")</f>
        <v/>
      </c>
      <c r="AA2579" s="0" t="str">
        <f aca="false">IF(AND(C2578=C2579,W2578=W2579-1),Y2578,"")</f>
        <v/>
      </c>
      <c r="AB2579" s="0" t="str">
        <f aca="false">IF(W2579=1,"",IF(AND(X2579=1,Z2579&lt;&gt;1),1,0))</f>
        <v/>
      </c>
      <c r="AC2579" s="0" t="str">
        <f aca="false">IF(W2579=1,"",IF(AND(Y2579=1,AA2579&lt;&gt;1),1,0))</f>
        <v/>
      </c>
      <c r="AD2579" s="33" t="str">
        <f aca="false">IF(AND(E2579&gt;0,W2579&lt;1,NOT(AND(C2580=C2579,W2580=W2579+1))),INDEX(DATAS,W2579+1),"")</f>
        <v/>
      </c>
      <c r="AE2579" s="33" t="str">
        <f aca="false">IF(AND(Y2579=1,W2579&lt;1),IF(AND(C2580=C2579,W2580=W2579+1),IF(Y2580=1,"",INDEX(DATAS,W2579+1)),INDEX(DATAS,W2579+1)),"")</f>
        <v/>
      </c>
    </row>
    <row r="2580" customFormat="false" ht="15" hidden="false" customHeight="false" outlineLevel="0" collapsed="false">
      <c r="A2580" s="33" t="n">
        <v>46309</v>
      </c>
      <c r="B2580" s="0" t="n">
        <v>13</v>
      </c>
      <c r="C2580" s="0" t="n">
        <v>6922</v>
      </c>
      <c r="E2580" s="0" t="n">
        <v>0</v>
      </c>
      <c r="F2580" s="27" t="s">
        <v>1314</v>
      </c>
      <c r="I2580" s="27" t="s">
        <v>176</v>
      </c>
      <c r="U2580" s="0" t="n">
        <v>406</v>
      </c>
      <c r="V2580" s="0" t="n">
        <v>0</v>
      </c>
      <c r="W2580" s="27" t="n">
        <f aca="false">MATCH(A2580,DATAS,0)</f>
        <v>1</v>
      </c>
      <c r="X2580" s="27" t="n">
        <f aca="false">IF(AND(E2580&gt;0,OR(AND(B2580&gt;=1,B2580&lt;=6),B2580=10)),1,0)</f>
        <v>0</v>
      </c>
      <c r="Y2580" s="27" t="n">
        <f aca="false">IF(AND(E2580&gt;0,B2580=10),1,0)</f>
        <v>0</v>
      </c>
      <c r="Z2580" s="0" t="str">
        <f aca="false">IF(AND(C2579=C2580,W2579=W2580-1),X2579,"")</f>
        <v/>
      </c>
      <c r="AA2580" s="0" t="str">
        <f aca="false">IF(AND(C2579=C2580,W2579=W2580-1),Y2579,"")</f>
        <v/>
      </c>
      <c r="AB2580" s="0" t="str">
        <f aca="false">IF(W2580=1,"",IF(AND(X2580=1,Z2580&lt;&gt;1),1,0))</f>
        <v/>
      </c>
      <c r="AC2580" s="0" t="str">
        <f aca="false">IF(W2580=1,"",IF(AND(Y2580=1,AA2580&lt;&gt;1),1,0))</f>
        <v/>
      </c>
      <c r="AD2580" s="33" t="str">
        <f aca="false">IF(AND(E2580&gt;0,W2580&lt;1,NOT(AND(C2581=C2580,W2581=W2580+1))),INDEX(DATAS,W2580+1),"")</f>
        <v/>
      </c>
      <c r="AE2580" s="33" t="str">
        <f aca="false">IF(AND(Y2580=1,W2580&lt;1),IF(AND(C2581=C2580,W2581=W2580+1),IF(Y2581=1,"",INDEX(DATAS,W2580+1)),INDEX(DATAS,W2580+1)),"")</f>
        <v/>
      </c>
    </row>
    <row r="2581" customFormat="false" ht="15" hidden="false" customHeight="false" outlineLevel="0" collapsed="false">
      <c r="A2581" s="33" t="n">
        <v>46309</v>
      </c>
      <c r="B2581" s="0" t="n">
        <v>13</v>
      </c>
      <c r="C2581" s="0" t="n">
        <v>6923</v>
      </c>
      <c r="E2581" s="0" t="n">
        <v>0</v>
      </c>
      <c r="F2581" s="27" t="s">
        <v>1314</v>
      </c>
      <c r="I2581" s="27" t="s">
        <v>176</v>
      </c>
      <c r="U2581" s="0" t="n">
        <v>406</v>
      </c>
      <c r="V2581" s="0" t="n">
        <v>0</v>
      </c>
      <c r="W2581" s="27" t="n">
        <f aca="false">MATCH(A2581,DATAS,0)</f>
        <v>1</v>
      </c>
      <c r="X2581" s="27" t="n">
        <f aca="false">IF(AND(E2581&gt;0,OR(AND(B2581&gt;=1,B2581&lt;=6),B2581=10)),1,0)</f>
        <v>0</v>
      </c>
      <c r="Y2581" s="27" t="n">
        <f aca="false">IF(AND(E2581&gt;0,B2581=10),1,0)</f>
        <v>0</v>
      </c>
      <c r="Z2581" s="0" t="str">
        <f aca="false">IF(AND(C2580=C2581,W2580=W2581-1),X2580,"")</f>
        <v/>
      </c>
      <c r="AA2581" s="0" t="str">
        <f aca="false">IF(AND(C2580=C2581,W2580=W2581-1),Y2580,"")</f>
        <v/>
      </c>
      <c r="AB2581" s="0" t="str">
        <f aca="false">IF(W2581=1,"",IF(AND(X2581=1,Z2581&lt;&gt;1),1,0))</f>
        <v/>
      </c>
      <c r="AC2581" s="0" t="str">
        <f aca="false">IF(W2581=1,"",IF(AND(Y2581=1,AA2581&lt;&gt;1),1,0))</f>
        <v/>
      </c>
      <c r="AD2581" s="33" t="str">
        <f aca="false">IF(AND(E2581&gt;0,W2581&lt;1,NOT(AND(C2582=C2581,W2582=W2581+1))),INDEX(DATAS,W2581+1),"")</f>
        <v/>
      </c>
      <c r="AE2581" s="33" t="str">
        <f aca="false">IF(AND(Y2581=1,W2581&lt;1),IF(AND(C2582=C2581,W2582=W2581+1),IF(Y2582=1,"",INDEX(DATAS,W2581+1)),INDEX(DATAS,W2581+1)),"")</f>
        <v/>
      </c>
    </row>
    <row r="2582" customFormat="false" ht="15" hidden="false" customHeight="false" outlineLevel="0" collapsed="false">
      <c r="A2582" s="33" t="n">
        <v>46309</v>
      </c>
      <c r="B2582" s="0" t="n">
        <v>11</v>
      </c>
      <c r="C2582" s="0" t="n">
        <v>6924</v>
      </c>
      <c r="E2582" s="0" t="n">
        <v>0</v>
      </c>
      <c r="F2582" s="27" t="s">
        <v>1315</v>
      </c>
      <c r="I2582" s="27" t="s">
        <v>168</v>
      </c>
      <c r="U2582" s="0" t="n">
        <v>405</v>
      </c>
      <c r="V2582" s="0" t="n">
        <v>1</v>
      </c>
      <c r="W2582" s="27" t="n">
        <f aca="false">MATCH(A2582,DATAS,0)</f>
        <v>1</v>
      </c>
      <c r="X2582" s="27" t="n">
        <f aca="false">IF(AND(E2582&gt;0,OR(AND(B2582&gt;=1,B2582&lt;=6),B2582=10)),1,0)</f>
        <v>0</v>
      </c>
      <c r="Y2582" s="27" t="n">
        <f aca="false">IF(AND(E2582&gt;0,B2582=10),1,0)</f>
        <v>0</v>
      </c>
      <c r="Z2582" s="0" t="str">
        <f aca="false">IF(AND(C2581=C2582,W2581=W2582-1),X2581,"")</f>
        <v/>
      </c>
      <c r="AA2582" s="0" t="str">
        <f aca="false">IF(AND(C2581=C2582,W2581=W2582-1),Y2581,"")</f>
        <v/>
      </c>
      <c r="AB2582" s="0" t="str">
        <f aca="false">IF(W2582=1,"",IF(AND(X2582=1,Z2582&lt;&gt;1),1,0))</f>
        <v/>
      </c>
      <c r="AC2582" s="0" t="str">
        <f aca="false">IF(W2582=1,"",IF(AND(Y2582=1,AA2582&lt;&gt;1),1,0))</f>
        <v/>
      </c>
      <c r="AD2582" s="33" t="str">
        <f aca="false">IF(AND(E2582&gt;0,W2582&lt;1,NOT(AND(C2583=C2582,W2583=W2582+1))),INDEX(DATAS,W2582+1),"")</f>
        <v/>
      </c>
      <c r="AE2582" s="33" t="str">
        <f aca="false">IF(AND(Y2582=1,W2582&lt;1),IF(AND(C2583=C2582,W2583=W2582+1),IF(Y2583=1,"",INDEX(DATAS,W2582+1)),INDEX(DATAS,W2582+1)),"")</f>
        <v/>
      </c>
    </row>
    <row r="2583" customFormat="false" ht="15" hidden="false" customHeight="false" outlineLevel="0" collapsed="false">
      <c r="A2583" s="33" t="n">
        <v>46309</v>
      </c>
      <c r="B2583" s="0" t="n">
        <v>11</v>
      </c>
      <c r="C2583" s="0" t="n">
        <v>6925</v>
      </c>
      <c r="E2583" s="0" t="n">
        <v>0</v>
      </c>
      <c r="F2583" s="27" t="s">
        <v>1315</v>
      </c>
      <c r="I2583" s="27" t="s">
        <v>168</v>
      </c>
      <c r="U2583" s="0" t="n">
        <v>405</v>
      </c>
      <c r="V2583" s="0" t="n">
        <v>1</v>
      </c>
      <c r="W2583" s="27" t="n">
        <f aca="false">MATCH(A2583,DATAS,0)</f>
        <v>1</v>
      </c>
      <c r="X2583" s="27" t="n">
        <f aca="false">IF(AND(E2583&gt;0,OR(AND(B2583&gt;=1,B2583&lt;=6),B2583=10)),1,0)</f>
        <v>0</v>
      </c>
      <c r="Y2583" s="27" t="n">
        <f aca="false">IF(AND(E2583&gt;0,B2583=10),1,0)</f>
        <v>0</v>
      </c>
      <c r="Z2583" s="0" t="str">
        <f aca="false">IF(AND(C2582=C2583,W2582=W2583-1),X2582,"")</f>
        <v/>
      </c>
      <c r="AA2583" s="0" t="str">
        <f aca="false">IF(AND(C2582=C2583,W2582=W2583-1),Y2582,"")</f>
        <v/>
      </c>
      <c r="AB2583" s="0" t="str">
        <f aca="false">IF(W2583=1,"",IF(AND(X2583=1,Z2583&lt;&gt;1),1,0))</f>
        <v/>
      </c>
      <c r="AC2583" s="0" t="str">
        <f aca="false">IF(W2583=1,"",IF(AND(Y2583=1,AA2583&lt;&gt;1),1,0))</f>
        <v/>
      </c>
      <c r="AD2583" s="33" t="str">
        <f aca="false">IF(AND(E2583&gt;0,W2583&lt;1,NOT(AND(C2584=C2583,W2584=W2583+1))),INDEX(DATAS,W2583+1),"")</f>
        <v/>
      </c>
      <c r="AE2583" s="33" t="str">
        <f aca="false">IF(AND(Y2583=1,W2583&lt;1),IF(AND(C2584=C2583,W2584=W2583+1),IF(Y2584=1,"",INDEX(DATAS,W2583+1)),INDEX(DATAS,W2583+1)),"")</f>
        <v/>
      </c>
    </row>
    <row r="2584" customFormat="false" ht="15" hidden="false" customHeight="false" outlineLevel="0" collapsed="false">
      <c r="A2584" s="33" t="n">
        <v>46309</v>
      </c>
      <c r="B2584" s="0" t="n">
        <v>11</v>
      </c>
      <c r="C2584" s="0" t="n">
        <v>6926</v>
      </c>
      <c r="E2584" s="0" t="n">
        <v>0</v>
      </c>
      <c r="F2584" s="27" t="s">
        <v>1315</v>
      </c>
      <c r="I2584" s="27" t="s">
        <v>168</v>
      </c>
      <c r="U2584" s="0" t="n">
        <v>405</v>
      </c>
      <c r="V2584" s="0" t="n">
        <v>1</v>
      </c>
      <c r="W2584" s="27" t="n">
        <f aca="false">MATCH(A2584,DATAS,0)</f>
        <v>1</v>
      </c>
      <c r="X2584" s="27" t="n">
        <f aca="false">IF(AND(E2584&gt;0,OR(AND(B2584&gt;=1,B2584&lt;=6),B2584=10)),1,0)</f>
        <v>0</v>
      </c>
      <c r="Y2584" s="27" t="n">
        <f aca="false">IF(AND(E2584&gt;0,B2584=10),1,0)</f>
        <v>0</v>
      </c>
      <c r="Z2584" s="0" t="str">
        <f aca="false">IF(AND(C2583=C2584,W2583=W2584-1),X2583,"")</f>
        <v/>
      </c>
      <c r="AA2584" s="0" t="str">
        <f aca="false">IF(AND(C2583=C2584,W2583=W2584-1),Y2583,"")</f>
        <v/>
      </c>
      <c r="AB2584" s="0" t="str">
        <f aca="false">IF(W2584=1,"",IF(AND(X2584=1,Z2584&lt;&gt;1),1,0))</f>
        <v/>
      </c>
      <c r="AC2584" s="0" t="str">
        <f aca="false">IF(W2584=1,"",IF(AND(Y2584=1,AA2584&lt;&gt;1),1,0))</f>
        <v/>
      </c>
      <c r="AD2584" s="33" t="str">
        <f aca="false">IF(AND(E2584&gt;0,W2584&lt;1,NOT(AND(C2585=C2584,W2585=W2584+1))),INDEX(DATAS,W2584+1),"")</f>
        <v/>
      </c>
      <c r="AE2584" s="33" t="str">
        <f aca="false">IF(AND(Y2584=1,W2584&lt;1),IF(AND(C2585=C2584,W2585=W2584+1),IF(Y2585=1,"",INDEX(DATAS,W2584+1)),INDEX(DATAS,W2584+1)),"")</f>
        <v/>
      </c>
    </row>
    <row r="2585" customFormat="false" ht="15" hidden="false" customHeight="false" outlineLevel="0" collapsed="false">
      <c r="A2585" s="33" t="n">
        <v>46309</v>
      </c>
      <c r="B2585" s="0" t="n">
        <v>13</v>
      </c>
      <c r="C2585" s="0" t="n">
        <v>6927</v>
      </c>
      <c r="E2585" s="0" t="n">
        <v>0</v>
      </c>
      <c r="F2585" s="27" t="s">
        <v>1316</v>
      </c>
      <c r="I2585" s="27" t="s">
        <v>176</v>
      </c>
      <c r="U2585" s="0" t="n">
        <v>403</v>
      </c>
      <c r="V2585" s="0" t="n">
        <v>0</v>
      </c>
      <c r="W2585" s="27" t="n">
        <f aca="false">MATCH(A2585,DATAS,0)</f>
        <v>1</v>
      </c>
      <c r="X2585" s="27" t="n">
        <f aca="false">IF(AND(E2585&gt;0,OR(AND(B2585&gt;=1,B2585&lt;=6),B2585=10)),1,0)</f>
        <v>0</v>
      </c>
      <c r="Y2585" s="27" t="n">
        <f aca="false">IF(AND(E2585&gt;0,B2585=10),1,0)</f>
        <v>0</v>
      </c>
      <c r="Z2585" s="0" t="str">
        <f aca="false">IF(AND(C2584=C2585,W2584=W2585-1),X2584,"")</f>
        <v/>
      </c>
      <c r="AA2585" s="0" t="str">
        <f aca="false">IF(AND(C2584=C2585,W2584=W2585-1),Y2584,"")</f>
        <v/>
      </c>
      <c r="AB2585" s="0" t="str">
        <f aca="false">IF(W2585=1,"",IF(AND(X2585=1,Z2585&lt;&gt;1),1,0))</f>
        <v/>
      </c>
      <c r="AC2585" s="0" t="str">
        <f aca="false">IF(W2585=1,"",IF(AND(Y2585=1,AA2585&lt;&gt;1),1,0))</f>
        <v/>
      </c>
      <c r="AD2585" s="33" t="str">
        <f aca="false">IF(AND(E2585&gt;0,W2585&lt;1,NOT(AND(C2586=C2585,W2586=W2585+1))),INDEX(DATAS,W2585+1),"")</f>
        <v/>
      </c>
      <c r="AE2585" s="33" t="str">
        <f aca="false">IF(AND(Y2585=1,W2585&lt;1),IF(AND(C2586=C2585,W2586=W2585+1),IF(Y2586=1,"",INDEX(DATAS,W2585+1)),INDEX(DATAS,W2585+1)),"")</f>
        <v/>
      </c>
    </row>
    <row r="2586" customFormat="false" ht="15" hidden="false" customHeight="false" outlineLevel="0" collapsed="false">
      <c r="A2586" s="33" t="n">
        <v>46309</v>
      </c>
      <c r="B2586" s="0" t="n">
        <v>13</v>
      </c>
      <c r="C2586" s="0" t="n">
        <v>6928</v>
      </c>
      <c r="E2586" s="0" t="n">
        <v>0</v>
      </c>
      <c r="F2586" s="27" t="s">
        <v>1317</v>
      </c>
      <c r="I2586" s="27" t="s">
        <v>176</v>
      </c>
      <c r="U2586" s="0" t="n">
        <v>402</v>
      </c>
      <c r="V2586" s="0" t="n">
        <v>0</v>
      </c>
      <c r="W2586" s="27" t="n">
        <f aca="false">MATCH(A2586,DATAS,0)</f>
        <v>1</v>
      </c>
      <c r="X2586" s="27" t="n">
        <f aca="false">IF(AND(E2586&gt;0,OR(AND(B2586&gt;=1,B2586&lt;=6),B2586=10)),1,0)</f>
        <v>0</v>
      </c>
      <c r="Y2586" s="27" t="n">
        <f aca="false">IF(AND(E2586&gt;0,B2586=10),1,0)</f>
        <v>0</v>
      </c>
      <c r="Z2586" s="0" t="str">
        <f aca="false">IF(AND(C2585=C2586,W2585=W2586-1),X2585,"")</f>
        <v/>
      </c>
      <c r="AA2586" s="0" t="str">
        <f aca="false">IF(AND(C2585=C2586,W2585=W2586-1),Y2585,"")</f>
        <v/>
      </c>
      <c r="AB2586" s="0" t="str">
        <f aca="false">IF(W2586=1,"",IF(AND(X2586=1,Z2586&lt;&gt;1),1,0))</f>
        <v/>
      </c>
      <c r="AC2586" s="0" t="str">
        <f aca="false">IF(W2586=1,"",IF(AND(Y2586=1,AA2586&lt;&gt;1),1,0))</f>
        <v/>
      </c>
      <c r="AD2586" s="33" t="str">
        <f aca="false">IF(AND(E2586&gt;0,W2586&lt;1,NOT(AND(C2587=C2586,W2587=W2586+1))),INDEX(DATAS,W2586+1),"")</f>
        <v/>
      </c>
      <c r="AE2586" s="33" t="str">
        <f aca="false">IF(AND(Y2586=1,W2586&lt;1),IF(AND(C2587=C2586,W2587=W2586+1),IF(Y2587=1,"",INDEX(DATAS,W2586+1)),INDEX(DATAS,W2586+1)),"")</f>
        <v/>
      </c>
    </row>
    <row r="2587" customFormat="false" ht="15" hidden="false" customHeight="false" outlineLevel="0" collapsed="false">
      <c r="A2587" s="33" t="n">
        <v>46309</v>
      </c>
      <c r="B2587" s="0" t="n">
        <v>11</v>
      </c>
      <c r="C2587" s="0" t="n">
        <v>6929</v>
      </c>
      <c r="E2587" s="0" t="n">
        <v>0</v>
      </c>
      <c r="F2587" s="27" t="s">
        <v>1317</v>
      </c>
      <c r="I2587" s="27" t="s">
        <v>168</v>
      </c>
      <c r="U2587" s="0" t="n">
        <v>402</v>
      </c>
      <c r="V2587" s="0" t="n">
        <v>1</v>
      </c>
      <c r="W2587" s="27" t="n">
        <f aca="false">MATCH(A2587,DATAS,0)</f>
        <v>1</v>
      </c>
      <c r="X2587" s="27" t="n">
        <f aca="false">IF(AND(E2587&gt;0,OR(AND(B2587&gt;=1,B2587&lt;=6),B2587=10)),1,0)</f>
        <v>0</v>
      </c>
      <c r="Y2587" s="27" t="n">
        <f aca="false">IF(AND(E2587&gt;0,B2587=10),1,0)</f>
        <v>0</v>
      </c>
      <c r="Z2587" s="0" t="str">
        <f aca="false">IF(AND(C2586=C2587,W2586=W2587-1),X2586,"")</f>
        <v/>
      </c>
      <c r="AA2587" s="0" t="str">
        <f aca="false">IF(AND(C2586=C2587,W2586=W2587-1),Y2586,"")</f>
        <v/>
      </c>
      <c r="AB2587" s="0" t="str">
        <f aca="false">IF(W2587=1,"",IF(AND(X2587=1,Z2587&lt;&gt;1),1,0))</f>
        <v/>
      </c>
      <c r="AC2587" s="0" t="str">
        <f aca="false">IF(W2587=1,"",IF(AND(Y2587=1,AA2587&lt;&gt;1),1,0))</f>
        <v/>
      </c>
      <c r="AD2587" s="33" t="str">
        <f aca="false">IF(AND(E2587&gt;0,W2587&lt;1,NOT(AND(C2588=C2587,W2588=W2587+1))),INDEX(DATAS,W2587+1),"")</f>
        <v/>
      </c>
      <c r="AE2587" s="33" t="str">
        <f aca="false">IF(AND(Y2587=1,W2587&lt;1),IF(AND(C2588=C2587,W2588=W2587+1),IF(Y2588=1,"",INDEX(DATAS,W2587+1)),INDEX(DATAS,W2587+1)),"")</f>
        <v/>
      </c>
    </row>
    <row r="2588" customFormat="false" ht="15" hidden="false" customHeight="false" outlineLevel="0" collapsed="false">
      <c r="A2588" s="33" t="n">
        <v>46309</v>
      </c>
      <c r="B2588" s="0" t="n">
        <v>13</v>
      </c>
      <c r="C2588" s="0" t="n">
        <v>6930</v>
      </c>
      <c r="E2588" s="0" t="n">
        <v>0</v>
      </c>
      <c r="F2588" s="27" t="s">
        <v>1317</v>
      </c>
      <c r="I2588" s="27" t="s">
        <v>176</v>
      </c>
      <c r="U2588" s="0" t="n">
        <v>402</v>
      </c>
      <c r="V2588" s="0" t="n">
        <v>0</v>
      </c>
      <c r="W2588" s="27" t="n">
        <f aca="false">MATCH(A2588,DATAS,0)</f>
        <v>1</v>
      </c>
      <c r="X2588" s="27" t="n">
        <f aca="false">IF(AND(E2588&gt;0,OR(AND(B2588&gt;=1,B2588&lt;=6),B2588=10)),1,0)</f>
        <v>0</v>
      </c>
      <c r="Y2588" s="27" t="n">
        <f aca="false">IF(AND(E2588&gt;0,B2588=10),1,0)</f>
        <v>0</v>
      </c>
      <c r="Z2588" s="0" t="str">
        <f aca="false">IF(AND(C2587=C2588,W2587=W2588-1),X2587,"")</f>
        <v/>
      </c>
      <c r="AA2588" s="0" t="str">
        <f aca="false">IF(AND(C2587=C2588,W2587=W2588-1),Y2587,"")</f>
        <v/>
      </c>
      <c r="AB2588" s="0" t="str">
        <f aca="false">IF(W2588=1,"",IF(AND(X2588=1,Z2588&lt;&gt;1),1,0))</f>
        <v/>
      </c>
      <c r="AC2588" s="0" t="str">
        <f aca="false">IF(W2588=1,"",IF(AND(Y2588=1,AA2588&lt;&gt;1),1,0))</f>
        <v/>
      </c>
      <c r="AD2588" s="33" t="str">
        <f aca="false">IF(AND(E2588&gt;0,W2588&lt;1,NOT(AND(C2589=C2588,W2589=W2588+1))),INDEX(DATAS,W2588+1),"")</f>
        <v/>
      </c>
      <c r="AE2588" s="33" t="str">
        <f aca="false">IF(AND(Y2588=1,W2588&lt;1),IF(AND(C2589=C2588,W2589=W2588+1),IF(Y2589=1,"",INDEX(DATAS,W2588+1)),INDEX(DATAS,W2588+1)),"")</f>
        <v/>
      </c>
    </row>
    <row r="2589" customFormat="false" ht="15" hidden="false" customHeight="false" outlineLevel="0" collapsed="false">
      <c r="A2589" s="33" t="n">
        <v>46309</v>
      </c>
      <c r="B2589" s="0" t="n">
        <v>13</v>
      </c>
      <c r="C2589" s="0" t="n">
        <v>6931</v>
      </c>
      <c r="E2589" s="0" t="n">
        <v>0</v>
      </c>
      <c r="F2589" s="27" t="s">
        <v>1318</v>
      </c>
      <c r="I2589" s="27" t="s">
        <v>176</v>
      </c>
      <c r="U2589" s="0" t="n">
        <v>401</v>
      </c>
      <c r="V2589" s="0" t="n">
        <v>0</v>
      </c>
      <c r="W2589" s="27" t="n">
        <f aca="false">MATCH(A2589,DATAS,0)</f>
        <v>1</v>
      </c>
      <c r="X2589" s="27" t="n">
        <f aca="false">IF(AND(E2589&gt;0,OR(AND(B2589&gt;=1,B2589&lt;=6),B2589=10)),1,0)</f>
        <v>0</v>
      </c>
      <c r="Y2589" s="27" t="n">
        <f aca="false">IF(AND(E2589&gt;0,B2589=10),1,0)</f>
        <v>0</v>
      </c>
      <c r="Z2589" s="0" t="str">
        <f aca="false">IF(AND(C2588=C2589,W2588=W2589-1),X2588,"")</f>
        <v/>
      </c>
      <c r="AA2589" s="0" t="str">
        <f aca="false">IF(AND(C2588=C2589,W2588=W2589-1),Y2588,"")</f>
        <v/>
      </c>
      <c r="AB2589" s="0" t="str">
        <f aca="false">IF(W2589=1,"",IF(AND(X2589=1,Z2589&lt;&gt;1),1,0))</f>
        <v/>
      </c>
      <c r="AC2589" s="0" t="str">
        <f aca="false">IF(W2589=1,"",IF(AND(Y2589=1,AA2589&lt;&gt;1),1,0))</f>
        <v/>
      </c>
      <c r="AD2589" s="33" t="str">
        <f aca="false">IF(AND(E2589&gt;0,W2589&lt;1,NOT(AND(C2590=C2589,W2590=W2589+1))),INDEX(DATAS,W2589+1),"")</f>
        <v/>
      </c>
      <c r="AE2589" s="33" t="str">
        <f aca="false">IF(AND(Y2589=1,W2589&lt;1),IF(AND(C2590=C2589,W2590=W2589+1),IF(Y2590=1,"",INDEX(DATAS,W2589+1)),INDEX(DATAS,W2589+1)),"")</f>
        <v/>
      </c>
    </row>
    <row r="2590" customFormat="false" ht="15" hidden="false" customHeight="false" outlineLevel="0" collapsed="false">
      <c r="A2590" s="33" t="n">
        <v>46309</v>
      </c>
      <c r="B2590" s="0" t="n">
        <v>11</v>
      </c>
      <c r="C2590" s="0" t="n">
        <v>6932</v>
      </c>
      <c r="E2590" s="0" t="n">
        <v>0</v>
      </c>
      <c r="F2590" s="27" t="s">
        <v>1318</v>
      </c>
      <c r="I2590" s="27" t="s">
        <v>168</v>
      </c>
      <c r="U2590" s="0" t="n">
        <v>401</v>
      </c>
      <c r="V2590" s="0" t="n">
        <v>1</v>
      </c>
      <c r="W2590" s="27" t="n">
        <f aca="false">MATCH(A2590,DATAS,0)</f>
        <v>1</v>
      </c>
      <c r="X2590" s="27" t="n">
        <f aca="false">IF(AND(E2590&gt;0,OR(AND(B2590&gt;=1,B2590&lt;=6),B2590=10)),1,0)</f>
        <v>0</v>
      </c>
      <c r="Y2590" s="27" t="n">
        <f aca="false">IF(AND(E2590&gt;0,B2590=10),1,0)</f>
        <v>0</v>
      </c>
      <c r="Z2590" s="0" t="str">
        <f aca="false">IF(AND(C2589=C2590,W2589=W2590-1),X2589,"")</f>
        <v/>
      </c>
      <c r="AA2590" s="0" t="str">
        <f aca="false">IF(AND(C2589=C2590,W2589=W2590-1),Y2589,"")</f>
        <v/>
      </c>
      <c r="AB2590" s="0" t="str">
        <f aca="false">IF(W2590=1,"",IF(AND(X2590=1,Z2590&lt;&gt;1),1,0))</f>
        <v/>
      </c>
      <c r="AC2590" s="0" t="str">
        <f aca="false">IF(W2590=1,"",IF(AND(Y2590=1,AA2590&lt;&gt;1),1,0))</f>
        <v/>
      </c>
      <c r="AD2590" s="33" t="str">
        <f aca="false">IF(AND(E2590&gt;0,W2590&lt;1,NOT(AND(C2591=C2590,W2591=W2590+1))),INDEX(DATAS,W2590+1),"")</f>
        <v/>
      </c>
      <c r="AE2590" s="33" t="str">
        <f aca="false">IF(AND(Y2590=1,W2590&lt;1),IF(AND(C2591=C2590,W2591=W2590+1),IF(Y2591=1,"",INDEX(DATAS,W2590+1)),INDEX(DATAS,W2590+1)),"")</f>
        <v/>
      </c>
    </row>
    <row r="2591" customFormat="false" ht="15" hidden="false" customHeight="false" outlineLevel="0" collapsed="false">
      <c r="A2591" s="33" t="n">
        <v>46309</v>
      </c>
      <c r="B2591" s="0" t="n">
        <v>13</v>
      </c>
      <c r="C2591" s="0" t="n">
        <v>6933</v>
      </c>
      <c r="E2591" s="0" t="n">
        <v>0</v>
      </c>
      <c r="F2591" s="27" t="s">
        <v>1319</v>
      </c>
      <c r="I2591" s="27" t="s">
        <v>176</v>
      </c>
      <c r="U2591" s="0" t="n">
        <v>400</v>
      </c>
      <c r="V2591" s="0" t="n">
        <v>0</v>
      </c>
      <c r="W2591" s="27" t="n">
        <f aca="false">MATCH(A2591,DATAS,0)</f>
        <v>1</v>
      </c>
      <c r="X2591" s="27" t="n">
        <f aca="false">IF(AND(E2591&gt;0,OR(AND(B2591&gt;=1,B2591&lt;=6),B2591=10)),1,0)</f>
        <v>0</v>
      </c>
      <c r="Y2591" s="27" t="n">
        <f aca="false">IF(AND(E2591&gt;0,B2591=10),1,0)</f>
        <v>0</v>
      </c>
      <c r="Z2591" s="0" t="str">
        <f aca="false">IF(AND(C2590=C2591,W2590=W2591-1),X2590,"")</f>
        <v/>
      </c>
      <c r="AA2591" s="0" t="str">
        <f aca="false">IF(AND(C2590=C2591,W2590=W2591-1),Y2590,"")</f>
        <v/>
      </c>
      <c r="AB2591" s="0" t="str">
        <f aca="false">IF(W2591=1,"",IF(AND(X2591=1,Z2591&lt;&gt;1),1,0))</f>
        <v/>
      </c>
      <c r="AC2591" s="0" t="str">
        <f aca="false">IF(W2591=1,"",IF(AND(Y2591=1,AA2591&lt;&gt;1),1,0))</f>
        <v/>
      </c>
      <c r="AD2591" s="33" t="str">
        <f aca="false">IF(AND(E2591&gt;0,W2591&lt;1,NOT(AND(C2592=C2591,W2592=W2591+1))),INDEX(DATAS,W2591+1),"")</f>
        <v/>
      </c>
      <c r="AE2591" s="33" t="str">
        <f aca="false">IF(AND(Y2591=1,W2591&lt;1),IF(AND(C2592=C2591,W2592=W2591+1),IF(Y2592=1,"",INDEX(DATAS,W2591+1)),INDEX(DATAS,W2591+1)),"")</f>
        <v/>
      </c>
    </row>
    <row r="2592" customFormat="false" ht="15" hidden="false" customHeight="false" outlineLevel="0" collapsed="false">
      <c r="A2592" s="33" t="n">
        <v>46309</v>
      </c>
      <c r="B2592" s="0" t="n">
        <v>11</v>
      </c>
      <c r="C2592" s="0" t="n">
        <v>6934</v>
      </c>
      <c r="E2592" s="0" t="n">
        <v>0</v>
      </c>
      <c r="F2592" s="27" t="s">
        <v>1319</v>
      </c>
      <c r="I2592" s="27" t="s">
        <v>168</v>
      </c>
      <c r="U2592" s="0" t="n">
        <v>400</v>
      </c>
      <c r="V2592" s="0" t="n">
        <v>1</v>
      </c>
      <c r="W2592" s="27" t="n">
        <f aca="false">MATCH(A2592,DATAS,0)</f>
        <v>1</v>
      </c>
      <c r="X2592" s="27" t="n">
        <f aca="false">IF(AND(E2592&gt;0,OR(AND(B2592&gt;=1,B2592&lt;=6),B2592=10)),1,0)</f>
        <v>0</v>
      </c>
      <c r="Y2592" s="27" t="n">
        <f aca="false">IF(AND(E2592&gt;0,B2592=10),1,0)</f>
        <v>0</v>
      </c>
      <c r="Z2592" s="0" t="str">
        <f aca="false">IF(AND(C2591=C2592,W2591=W2592-1),X2591,"")</f>
        <v/>
      </c>
      <c r="AA2592" s="0" t="str">
        <f aca="false">IF(AND(C2591=C2592,W2591=W2592-1),Y2591,"")</f>
        <v/>
      </c>
      <c r="AB2592" s="0" t="str">
        <f aca="false">IF(W2592=1,"",IF(AND(X2592=1,Z2592&lt;&gt;1),1,0))</f>
        <v/>
      </c>
      <c r="AC2592" s="0" t="str">
        <f aca="false">IF(W2592=1,"",IF(AND(Y2592=1,AA2592&lt;&gt;1),1,0))</f>
        <v/>
      </c>
      <c r="AD2592" s="33" t="str">
        <f aca="false">IF(AND(E2592&gt;0,W2592&lt;1,NOT(AND(C2593=C2592,W2593=W2592+1))),INDEX(DATAS,W2592+1),"")</f>
        <v/>
      </c>
      <c r="AE2592" s="33" t="str">
        <f aca="false">IF(AND(Y2592=1,W2592&lt;1),IF(AND(C2593=C2592,W2593=W2592+1),IF(Y2593=1,"",INDEX(DATAS,W2592+1)),INDEX(DATAS,W2592+1)),"")</f>
        <v/>
      </c>
    </row>
    <row r="2593" customFormat="false" ht="15" hidden="false" customHeight="false" outlineLevel="0" collapsed="false">
      <c r="A2593" s="33" t="n">
        <v>46309</v>
      </c>
      <c r="B2593" s="0" t="n">
        <v>13</v>
      </c>
      <c r="C2593" s="0" t="n">
        <v>6935</v>
      </c>
      <c r="E2593" s="0" t="n">
        <v>0</v>
      </c>
      <c r="F2593" s="27" t="s">
        <v>1319</v>
      </c>
      <c r="I2593" s="27" t="s">
        <v>176</v>
      </c>
      <c r="U2593" s="0" t="n">
        <v>400</v>
      </c>
      <c r="V2593" s="0" t="n">
        <v>0</v>
      </c>
      <c r="W2593" s="27" t="n">
        <f aca="false">MATCH(A2593,DATAS,0)</f>
        <v>1</v>
      </c>
      <c r="X2593" s="27" t="n">
        <f aca="false">IF(AND(E2593&gt;0,OR(AND(B2593&gt;=1,B2593&lt;=6),B2593=10)),1,0)</f>
        <v>0</v>
      </c>
      <c r="Y2593" s="27" t="n">
        <f aca="false">IF(AND(E2593&gt;0,B2593=10),1,0)</f>
        <v>0</v>
      </c>
      <c r="Z2593" s="0" t="str">
        <f aca="false">IF(AND(C2592=C2593,W2592=W2593-1),X2592,"")</f>
        <v/>
      </c>
      <c r="AA2593" s="0" t="str">
        <f aca="false">IF(AND(C2592=C2593,W2592=W2593-1),Y2592,"")</f>
        <v/>
      </c>
      <c r="AB2593" s="0" t="str">
        <f aca="false">IF(W2593=1,"",IF(AND(X2593=1,Z2593&lt;&gt;1),1,0))</f>
        <v/>
      </c>
      <c r="AC2593" s="0" t="str">
        <f aca="false">IF(W2593=1,"",IF(AND(Y2593=1,AA2593&lt;&gt;1),1,0))</f>
        <v/>
      </c>
      <c r="AD2593" s="33" t="str">
        <f aca="false">IF(AND(E2593&gt;0,W2593&lt;1,NOT(AND(C2594=C2593,W2594=W2593+1))),INDEX(DATAS,W2593+1),"")</f>
        <v/>
      </c>
      <c r="AE2593" s="33" t="str">
        <f aca="false">IF(AND(Y2593=1,W2593&lt;1),IF(AND(C2594=C2593,W2594=W2593+1),IF(Y2594=1,"",INDEX(DATAS,W2593+1)),INDEX(DATAS,W2593+1)),"")</f>
        <v/>
      </c>
    </row>
    <row r="2594" customFormat="false" ht="15" hidden="false" customHeight="false" outlineLevel="0" collapsed="false">
      <c r="A2594" s="33" t="n">
        <v>46309</v>
      </c>
      <c r="B2594" s="0" t="n">
        <v>13</v>
      </c>
      <c r="C2594" s="0" t="n">
        <v>6937</v>
      </c>
      <c r="E2594" s="0" t="n">
        <v>0</v>
      </c>
      <c r="F2594" s="27" t="s">
        <v>1320</v>
      </c>
      <c r="I2594" s="27" t="s">
        <v>176</v>
      </c>
      <c r="U2594" s="0" t="n">
        <v>399</v>
      </c>
      <c r="V2594" s="0" t="n">
        <v>0</v>
      </c>
      <c r="W2594" s="27" t="n">
        <f aca="false">MATCH(A2594,DATAS,0)</f>
        <v>1</v>
      </c>
      <c r="X2594" s="27" t="n">
        <f aca="false">IF(AND(E2594&gt;0,OR(AND(B2594&gt;=1,B2594&lt;=6),B2594=10)),1,0)</f>
        <v>0</v>
      </c>
      <c r="Y2594" s="27" t="n">
        <f aca="false">IF(AND(E2594&gt;0,B2594=10),1,0)</f>
        <v>0</v>
      </c>
      <c r="Z2594" s="0" t="str">
        <f aca="false">IF(AND(C2593=C2594,W2593=W2594-1),X2593,"")</f>
        <v/>
      </c>
      <c r="AA2594" s="0" t="str">
        <f aca="false">IF(AND(C2593=C2594,W2593=W2594-1),Y2593,"")</f>
        <v/>
      </c>
      <c r="AB2594" s="0" t="str">
        <f aca="false">IF(W2594=1,"",IF(AND(X2594=1,Z2594&lt;&gt;1),1,0))</f>
        <v/>
      </c>
      <c r="AC2594" s="0" t="str">
        <f aca="false">IF(W2594=1,"",IF(AND(Y2594=1,AA2594&lt;&gt;1),1,0))</f>
        <v/>
      </c>
      <c r="AD2594" s="33" t="str">
        <f aca="false">IF(AND(E2594&gt;0,W2594&lt;1,NOT(AND(C2595=C2594,W2595=W2594+1))),INDEX(DATAS,W2594+1),"")</f>
        <v/>
      </c>
      <c r="AE2594" s="33" t="str">
        <f aca="false">IF(AND(Y2594=1,W2594&lt;1),IF(AND(C2595=C2594,W2595=W2594+1),IF(Y2595=1,"",INDEX(DATAS,W2594+1)),INDEX(DATAS,W2594+1)),"")</f>
        <v/>
      </c>
    </row>
    <row r="2595" customFormat="false" ht="15" hidden="false" customHeight="false" outlineLevel="0" collapsed="false">
      <c r="A2595" s="33" t="n">
        <v>46309</v>
      </c>
      <c r="B2595" s="0" t="n">
        <v>13</v>
      </c>
      <c r="C2595" s="0" t="n">
        <v>6938</v>
      </c>
      <c r="E2595" s="0" t="n">
        <v>0</v>
      </c>
      <c r="F2595" s="27" t="s">
        <v>1320</v>
      </c>
      <c r="I2595" s="27" t="s">
        <v>176</v>
      </c>
      <c r="U2595" s="0" t="n">
        <v>399</v>
      </c>
      <c r="V2595" s="0" t="n">
        <v>0</v>
      </c>
      <c r="W2595" s="27" t="n">
        <f aca="false">MATCH(A2595,DATAS,0)</f>
        <v>1</v>
      </c>
      <c r="X2595" s="27" t="n">
        <f aca="false">IF(AND(E2595&gt;0,OR(AND(B2595&gt;=1,B2595&lt;=6),B2595=10)),1,0)</f>
        <v>0</v>
      </c>
      <c r="Y2595" s="27" t="n">
        <f aca="false">IF(AND(E2595&gt;0,B2595=10),1,0)</f>
        <v>0</v>
      </c>
      <c r="Z2595" s="0" t="str">
        <f aca="false">IF(AND(C2594=C2595,W2594=W2595-1),X2594,"")</f>
        <v/>
      </c>
      <c r="AA2595" s="0" t="str">
        <f aca="false">IF(AND(C2594=C2595,W2594=W2595-1),Y2594,"")</f>
        <v/>
      </c>
      <c r="AB2595" s="0" t="str">
        <f aca="false">IF(W2595=1,"",IF(AND(X2595=1,Z2595&lt;&gt;1),1,0))</f>
        <v/>
      </c>
      <c r="AC2595" s="0" t="str">
        <f aca="false">IF(W2595=1,"",IF(AND(Y2595=1,AA2595&lt;&gt;1),1,0))</f>
        <v/>
      </c>
      <c r="AD2595" s="33" t="str">
        <f aca="false">IF(AND(E2595&gt;0,W2595&lt;1,NOT(AND(C2596=C2595,W2596=W2595+1))),INDEX(DATAS,W2595+1),"")</f>
        <v/>
      </c>
      <c r="AE2595" s="33" t="str">
        <f aca="false">IF(AND(Y2595=1,W2595&lt;1),IF(AND(C2596=C2595,W2596=W2595+1),IF(Y2596=1,"",INDEX(DATAS,W2595+1)),INDEX(DATAS,W2595+1)),"")</f>
        <v/>
      </c>
    </row>
    <row r="2596" customFormat="false" ht="15" hidden="false" customHeight="false" outlineLevel="0" collapsed="false">
      <c r="A2596" s="33" t="n">
        <v>46309</v>
      </c>
      <c r="B2596" s="0" t="n">
        <v>13</v>
      </c>
      <c r="C2596" s="0" t="n">
        <v>6939</v>
      </c>
      <c r="E2596" s="0" t="n">
        <v>0</v>
      </c>
      <c r="F2596" s="27" t="s">
        <v>1320</v>
      </c>
      <c r="I2596" s="27" t="s">
        <v>176</v>
      </c>
      <c r="U2596" s="0" t="n">
        <v>399</v>
      </c>
      <c r="V2596" s="0" t="n">
        <v>0</v>
      </c>
      <c r="W2596" s="27" t="n">
        <f aca="false">MATCH(A2596,DATAS,0)</f>
        <v>1</v>
      </c>
      <c r="X2596" s="27" t="n">
        <f aca="false">IF(AND(E2596&gt;0,OR(AND(B2596&gt;=1,B2596&lt;=6),B2596=10)),1,0)</f>
        <v>0</v>
      </c>
      <c r="Y2596" s="27" t="n">
        <f aca="false">IF(AND(E2596&gt;0,B2596=10),1,0)</f>
        <v>0</v>
      </c>
      <c r="Z2596" s="0" t="str">
        <f aca="false">IF(AND(C2595=C2596,W2595=W2596-1),X2595,"")</f>
        <v/>
      </c>
      <c r="AA2596" s="0" t="str">
        <f aca="false">IF(AND(C2595=C2596,W2595=W2596-1),Y2595,"")</f>
        <v/>
      </c>
      <c r="AB2596" s="0" t="str">
        <f aca="false">IF(W2596=1,"",IF(AND(X2596=1,Z2596&lt;&gt;1),1,0))</f>
        <v/>
      </c>
      <c r="AC2596" s="0" t="str">
        <f aca="false">IF(W2596=1,"",IF(AND(Y2596=1,AA2596&lt;&gt;1),1,0))</f>
        <v/>
      </c>
      <c r="AD2596" s="33" t="str">
        <f aca="false">IF(AND(E2596&gt;0,W2596&lt;1,NOT(AND(C2597=C2596,W2597=W2596+1))),INDEX(DATAS,W2596+1),"")</f>
        <v/>
      </c>
      <c r="AE2596" s="33" t="str">
        <f aca="false">IF(AND(Y2596=1,W2596&lt;1),IF(AND(C2597=C2596,W2597=W2596+1),IF(Y2597=1,"",INDEX(DATAS,W2596+1)),INDEX(DATAS,W2596+1)),"")</f>
        <v/>
      </c>
    </row>
    <row r="2597" customFormat="false" ht="15" hidden="false" customHeight="false" outlineLevel="0" collapsed="false">
      <c r="A2597" s="33" t="n">
        <v>46309</v>
      </c>
      <c r="B2597" s="0" t="n">
        <v>13</v>
      </c>
      <c r="C2597" s="0" t="n">
        <v>6940</v>
      </c>
      <c r="E2597" s="0" t="n">
        <v>0</v>
      </c>
      <c r="F2597" s="27" t="s">
        <v>1296</v>
      </c>
      <c r="I2597" s="27" t="s">
        <v>166</v>
      </c>
      <c r="U2597" s="0" t="n">
        <v>395</v>
      </c>
      <c r="V2597" s="0" t="n">
        <v>0</v>
      </c>
      <c r="W2597" s="27" t="n">
        <f aca="false">MATCH(A2597,DATAS,0)</f>
        <v>1</v>
      </c>
      <c r="X2597" s="27" t="n">
        <f aca="false">IF(AND(E2597&gt;0,OR(AND(B2597&gt;=1,B2597&lt;=6),B2597=10)),1,0)</f>
        <v>0</v>
      </c>
      <c r="Y2597" s="27" t="n">
        <f aca="false">IF(AND(E2597&gt;0,B2597=10),1,0)</f>
        <v>0</v>
      </c>
      <c r="Z2597" s="0" t="str">
        <f aca="false">IF(AND(C2596=C2597,W2596=W2597-1),X2596,"")</f>
        <v/>
      </c>
      <c r="AA2597" s="0" t="str">
        <f aca="false">IF(AND(C2596=C2597,W2596=W2597-1),Y2596,"")</f>
        <v/>
      </c>
      <c r="AB2597" s="0" t="str">
        <f aca="false">IF(W2597=1,"",IF(AND(X2597=1,Z2597&lt;&gt;1),1,0))</f>
        <v/>
      </c>
      <c r="AC2597" s="0" t="str">
        <f aca="false">IF(W2597=1,"",IF(AND(Y2597=1,AA2597&lt;&gt;1),1,0))</f>
        <v/>
      </c>
      <c r="AD2597" s="33" t="str">
        <f aca="false">IF(AND(E2597&gt;0,W2597&lt;1,NOT(AND(C2598=C2597,W2598=W2597+1))),INDEX(DATAS,W2597+1),"")</f>
        <v/>
      </c>
      <c r="AE2597" s="33" t="str">
        <f aca="false">IF(AND(Y2597=1,W2597&lt;1),IF(AND(C2598=C2597,W2598=W2597+1),IF(Y2598=1,"",INDEX(DATAS,W2597+1)),INDEX(DATAS,W2597+1)),"")</f>
        <v/>
      </c>
    </row>
    <row r="2598" customFormat="false" ht="15" hidden="false" customHeight="false" outlineLevel="0" collapsed="false">
      <c r="A2598" s="33" t="n">
        <v>46309</v>
      </c>
      <c r="B2598" s="0" t="n">
        <v>13</v>
      </c>
      <c r="C2598" s="0" t="n">
        <v>6941</v>
      </c>
      <c r="E2598" s="0" t="n">
        <v>0</v>
      </c>
      <c r="F2598" s="27" t="s">
        <v>1296</v>
      </c>
      <c r="I2598" s="27" t="s">
        <v>166</v>
      </c>
      <c r="U2598" s="0" t="n">
        <v>395</v>
      </c>
      <c r="V2598" s="0" t="n">
        <v>0</v>
      </c>
      <c r="W2598" s="27" t="n">
        <f aca="false">MATCH(A2598,DATAS,0)</f>
        <v>1</v>
      </c>
      <c r="X2598" s="27" t="n">
        <f aca="false">IF(AND(E2598&gt;0,OR(AND(B2598&gt;=1,B2598&lt;=6),B2598=10)),1,0)</f>
        <v>0</v>
      </c>
      <c r="Y2598" s="27" t="n">
        <f aca="false">IF(AND(E2598&gt;0,B2598=10),1,0)</f>
        <v>0</v>
      </c>
      <c r="Z2598" s="0" t="str">
        <f aca="false">IF(AND(C2597=C2598,W2597=W2598-1),X2597,"")</f>
        <v/>
      </c>
      <c r="AA2598" s="0" t="str">
        <f aca="false">IF(AND(C2597=C2598,W2597=W2598-1),Y2597,"")</f>
        <v/>
      </c>
      <c r="AB2598" s="0" t="str">
        <f aca="false">IF(W2598=1,"",IF(AND(X2598=1,Z2598&lt;&gt;1),1,0))</f>
        <v/>
      </c>
      <c r="AC2598" s="0" t="str">
        <f aca="false">IF(W2598=1,"",IF(AND(Y2598=1,AA2598&lt;&gt;1),1,0))</f>
        <v/>
      </c>
      <c r="AD2598" s="33" t="str">
        <f aca="false">IF(AND(E2598&gt;0,W2598&lt;1,NOT(AND(C2599=C2598,W2599=W2598+1))),INDEX(DATAS,W2598+1),"")</f>
        <v/>
      </c>
      <c r="AE2598" s="33" t="str">
        <f aca="false">IF(AND(Y2598=1,W2598&lt;1),IF(AND(C2599=C2598,W2599=W2598+1),IF(Y2599=1,"",INDEX(DATAS,W2598+1)),INDEX(DATAS,W2598+1)),"")</f>
        <v/>
      </c>
    </row>
    <row r="2599" customFormat="false" ht="15" hidden="false" customHeight="false" outlineLevel="0" collapsed="false">
      <c r="A2599" s="33" t="n">
        <v>46309</v>
      </c>
      <c r="B2599" s="0" t="n">
        <v>13</v>
      </c>
      <c r="C2599" s="0" t="n">
        <v>6942</v>
      </c>
      <c r="E2599" s="0" t="n">
        <v>0</v>
      </c>
      <c r="F2599" s="27" t="s">
        <v>1296</v>
      </c>
      <c r="I2599" s="27" t="s">
        <v>166</v>
      </c>
      <c r="U2599" s="0" t="n">
        <v>395</v>
      </c>
      <c r="V2599" s="0" t="n">
        <v>0</v>
      </c>
      <c r="W2599" s="27" t="n">
        <f aca="false">MATCH(A2599,DATAS,0)</f>
        <v>1</v>
      </c>
      <c r="X2599" s="27" t="n">
        <f aca="false">IF(AND(E2599&gt;0,OR(AND(B2599&gt;=1,B2599&lt;=6),B2599=10)),1,0)</f>
        <v>0</v>
      </c>
      <c r="Y2599" s="27" t="n">
        <f aca="false">IF(AND(E2599&gt;0,B2599=10),1,0)</f>
        <v>0</v>
      </c>
      <c r="Z2599" s="0" t="str">
        <f aca="false">IF(AND(C2598=C2599,W2598=W2599-1),X2598,"")</f>
        <v/>
      </c>
      <c r="AA2599" s="0" t="str">
        <f aca="false">IF(AND(C2598=C2599,W2598=W2599-1),Y2598,"")</f>
        <v/>
      </c>
      <c r="AB2599" s="0" t="str">
        <f aca="false">IF(W2599=1,"",IF(AND(X2599=1,Z2599&lt;&gt;1),1,0))</f>
        <v/>
      </c>
      <c r="AC2599" s="0" t="str">
        <f aca="false">IF(W2599=1,"",IF(AND(Y2599=1,AA2599&lt;&gt;1),1,0))</f>
        <v/>
      </c>
      <c r="AD2599" s="33" t="str">
        <f aca="false">IF(AND(E2599&gt;0,W2599&lt;1,NOT(AND(C2600=C2599,W2600=W2599+1))),INDEX(DATAS,W2599+1),"")</f>
        <v/>
      </c>
      <c r="AE2599" s="33" t="str">
        <f aca="false">IF(AND(Y2599=1,W2599&lt;1),IF(AND(C2600=C2599,W2600=W2599+1),IF(Y2600=1,"",INDEX(DATAS,W2599+1)),INDEX(DATAS,W2599+1)),"")</f>
        <v/>
      </c>
    </row>
    <row r="2600" customFormat="false" ht="15" hidden="false" customHeight="false" outlineLevel="0" collapsed="false">
      <c r="A2600" s="33" t="n">
        <v>46309</v>
      </c>
      <c r="B2600" s="0" t="n">
        <v>13</v>
      </c>
      <c r="C2600" s="0" t="n">
        <v>6943</v>
      </c>
      <c r="E2600" s="0" t="n">
        <v>0</v>
      </c>
      <c r="F2600" s="27" t="s">
        <v>1296</v>
      </c>
      <c r="I2600" s="27" t="s">
        <v>166</v>
      </c>
      <c r="U2600" s="0" t="n">
        <v>395</v>
      </c>
      <c r="V2600" s="0" t="n">
        <v>0</v>
      </c>
      <c r="W2600" s="27" t="n">
        <f aca="false">MATCH(A2600,DATAS,0)</f>
        <v>1</v>
      </c>
      <c r="X2600" s="27" t="n">
        <f aca="false">IF(AND(E2600&gt;0,OR(AND(B2600&gt;=1,B2600&lt;=6),B2600=10)),1,0)</f>
        <v>0</v>
      </c>
      <c r="Y2600" s="27" t="n">
        <f aca="false">IF(AND(E2600&gt;0,B2600=10),1,0)</f>
        <v>0</v>
      </c>
      <c r="Z2600" s="0" t="str">
        <f aca="false">IF(AND(C2599=C2600,W2599=W2600-1),X2599,"")</f>
        <v/>
      </c>
      <c r="AA2600" s="0" t="str">
        <f aca="false">IF(AND(C2599=C2600,W2599=W2600-1),Y2599,"")</f>
        <v/>
      </c>
      <c r="AB2600" s="0" t="str">
        <f aca="false">IF(W2600=1,"",IF(AND(X2600=1,Z2600&lt;&gt;1),1,0))</f>
        <v/>
      </c>
      <c r="AC2600" s="0" t="str">
        <f aca="false">IF(W2600=1,"",IF(AND(Y2600=1,AA2600&lt;&gt;1),1,0))</f>
        <v/>
      </c>
      <c r="AD2600" s="33" t="str">
        <f aca="false">IF(AND(E2600&gt;0,W2600&lt;1,NOT(AND(C2601=C2600,W2601=W2600+1))),INDEX(DATAS,W2600+1),"")</f>
        <v/>
      </c>
      <c r="AE2600" s="33" t="str">
        <f aca="false">IF(AND(Y2600=1,W2600&lt;1),IF(AND(C2601=C2600,W2601=W2600+1),IF(Y2601=1,"",INDEX(DATAS,W2600+1)),INDEX(DATAS,W2600+1)),"")</f>
        <v/>
      </c>
    </row>
    <row r="2601" customFormat="false" ht="15" hidden="false" customHeight="false" outlineLevel="0" collapsed="false">
      <c r="A2601" s="33" t="n">
        <v>46309</v>
      </c>
      <c r="B2601" s="0" t="n">
        <v>13</v>
      </c>
      <c r="C2601" s="0" t="n">
        <v>6944</v>
      </c>
      <c r="E2601" s="0" t="n">
        <v>0</v>
      </c>
      <c r="F2601" s="27" t="s">
        <v>1296</v>
      </c>
      <c r="I2601" s="27" t="s">
        <v>166</v>
      </c>
      <c r="U2601" s="0" t="n">
        <v>395</v>
      </c>
      <c r="V2601" s="0" t="n">
        <v>0</v>
      </c>
      <c r="W2601" s="27" t="n">
        <f aca="false">MATCH(A2601,DATAS,0)</f>
        <v>1</v>
      </c>
      <c r="X2601" s="27" t="n">
        <f aca="false">IF(AND(E2601&gt;0,OR(AND(B2601&gt;=1,B2601&lt;=6),B2601=10)),1,0)</f>
        <v>0</v>
      </c>
      <c r="Y2601" s="27" t="n">
        <f aca="false">IF(AND(E2601&gt;0,B2601=10),1,0)</f>
        <v>0</v>
      </c>
      <c r="Z2601" s="0" t="str">
        <f aca="false">IF(AND(C2600=C2601,W2600=W2601-1),X2600,"")</f>
        <v/>
      </c>
      <c r="AA2601" s="0" t="str">
        <f aca="false">IF(AND(C2600=C2601,W2600=W2601-1),Y2600,"")</f>
        <v/>
      </c>
      <c r="AB2601" s="0" t="str">
        <f aca="false">IF(W2601=1,"",IF(AND(X2601=1,Z2601&lt;&gt;1),1,0))</f>
        <v/>
      </c>
      <c r="AC2601" s="0" t="str">
        <f aca="false">IF(W2601=1,"",IF(AND(Y2601=1,AA2601&lt;&gt;1),1,0))</f>
        <v/>
      </c>
      <c r="AD2601" s="33" t="str">
        <f aca="false">IF(AND(E2601&gt;0,W2601&lt;1,NOT(AND(C2602=C2601,W2602=W2601+1))),INDEX(DATAS,W2601+1),"")</f>
        <v/>
      </c>
      <c r="AE2601" s="33" t="str">
        <f aca="false">IF(AND(Y2601=1,W2601&lt;1),IF(AND(C2602=C2601,W2602=W2601+1),IF(Y2602=1,"",INDEX(DATAS,W2601+1)),INDEX(DATAS,W2601+1)),"")</f>
        <v/>
      </c>
    </row>
    <row r="2602" customFormat="false" ht="15" hidden="false" customHeight="false" outlineLevel="0" collapsed="false">
      <c r="A2602" s="33" t="n">
        <v>46309</v>
      </c>
      <c r="B2602" s="0" t="n">
        <v>13</v>
      </c>
      <c r="C2602" s="0" t="n">
        <v>6945</v>
      </c>
      <c r="E2602" s="0" t="n">
        <v>0</v>
      </c>
      <c r="F2602" s="27" t="s">
        <v>1296</v>
      </c>
      <c r="I2602" s="27" t="s">
        <v>166</v>
      </c>
      <c r="U2602" s="0" t="n">
        <v>395</v>
      </c>
      <c r="V2602" s="0" t="n">
        <v>0</v>
      </c>
      <c r="W2602" s="27" t="n">
        <f aca="false">MATCH(A2602,DATAS,0)</f>
        <v>1</v>
      </c>
      <c r="X2602" s="27" t="n">
        <f aca="false">IF(AND(E2602&gt;0,OR(AND(B2602&gt;=1,B2602&lt;=6),B2602=10)),1,0)</f>
        <v>0</v>
      </c>
      <c r="Y2602" s="27" t="n">
        <f aca="false">IF(AND(E2602&gt;0,B2602=10),1,0)</f>
        <v>0</v>
      </c>
      <c r="Z2602" s="0" t="str">
        <f aca="false">IF(AND(C2601=C2602,W2601=W2602-1),X2601,"")</f>
        <v/>
      </c>
      <c r="AA2602" s="0" t="str">
        <f aca="false">IF(AND(C2601=C2602,W2601=W2602-1),Y2601,"")</f>
        <v/>
      </c>
      <c r="AB2602" s="0" t="str">
        <f aca="false">IF(W2602=1,"",IF(AND(X2602=1,Z2602&lt;&gt;1),1,0))</f>
        <v/>
      </c>
      <c r="AC2602" s="0" t="str">
        <f aca="false">IF(W2602=1,"",IF(AND(Y2602=1,AA2602&lt;&gt;1),1,0))</f>
        <v/>
      </c>
      <c r="AD2602" s="33" t="str">
        <f aca="false">IF(AND(E2602&gt;0,W2602&lt;1,NOT(AND(C2603=C2602,W2603=W2602+1))),INDEX(DATAS,W2602+1),"")</f>
        <v/>
      </c>
      <c r="AE2602" s="33" t="str">
        <f aca="false">IF(AND(Y2602=1,W2602&lt;1),IF(AND(C2603=C2602,W2603=W2602+1),IF(Y2603=1,"",INDEX(DATAS,W2602+1)),INDEX(DATAS,W2602+1)),"")</f>
        <v/>
      </c>
    </row>
    <row r="2603" customFormat="false" ht="15" hidden="false" customHeight="false" outlineLevel="0" collapsed="false">
      <c r="A2603" s="33" t="n">
        <v>46309</v>
      </c>
      <c r="B2603" s="0" t="n">
        <v>13</v>
      </c>
      <c r="C2603" s="0" t="n">
        <v>6946</v>
      </c>
      <c r="E2603" s="0" t="n">
        <v>0</v>
      </c>
      <c r="F2603" s="27" t="s">
        <v>1296</v>
      </c>
      <c r="I2603" s="27" t="s">
        <v>166</v>
      </c>
      <c r="U2603" s="0" t="n">
        <v>395</v>
      </c>
      <c r="V2603" s="0" t="n">
        <v>0</v>
      </c>
      <c r="W2603" s="27" t="n">
        <f aca="false">MATCH(A2603,DATAS,0)</f>
        <v>1</v>
      </c>
      <c r="X2603" s="27" t="n">
        <f aca="false">IF(AND(E2603&gt;0,OR(AND(B2603&gt;=1,B2603&lt;=6),B2603=10)),1,0)</f>
        <v>0</v>
      </c>
      <c r="Y2603" s="27" t="n">
        <f aca="false">IF(AND(E2603&gt;0,B2603=10),1,0)</f>
        <v>0</v>
      </c>
      <c r="Z2603" s="0" t="str">
        <f aca="false">IF(AND(C2602=C2603,W2602=W2603-1),X2602,"")</f>
        <v/>
      </c>
      <c r="AA2603" s="0" t="str">
        <f aca="false">IF(AND(C2602=C2603,W2602=W2603-1),Y2602,"")</f>
        <v/>
      </c>
      <c r="AB2603" s="0" t="str">
        <f aca="false">IF(W2603=1,"",IF(AND(X2603=1,Z2603&lt;&gt;1),1,0))</f>
        <v/>
      </c>
      <c r="AC2603" s="0" t="str">
        <f aca="false">IF(W2603=1,"",IF(AND(Y2603=1,AA2603&lt;&gt;1),1,0))</f>
        <v/>
      </c>
      <c r="AD2603" s="33" t="str">
        <f aca="false">IF(AND(E2603&gt;0,W2603&lt;1,NOT(AND(C2604=C2603,W2604=W2603+1))),INDEX(DATAS,W2603+1),"")</f>
        <v/>
      </c>
      <c r="AE2603" s="33" t="str">
        <f aca="false">IF(AND(Y2603=1,W2603&lt;1),IF(AND(C2604=C2603,W2604=W2603+1),IF(Y2604=1,"",INDEX(DATAS,W2603+1)),INDEX(DATAS,W2603+1)),"")</f>
        <v/>
      </c>
    </row>
    <row r="2604" customFormat="false" ht="15" hidden="false" customHeight="false" outlineLevel="0" collapsed="false">
      <c r="A2604" s="33" t="n">
        <v>46309</v>
      </c>
      <c r="B2604" s="0" t="n">
        <v>13</v>
      </c>
      <c r="C2604" s="0" t="n">
        <v>6947</v>
      </c>
      <c r="E2604" s="0" t="n">
        <v>0</v>
      </c>
      <c r="F2604" s="27" t="s">
        <v>1321</v>
      </c>
      <c r="I2604" s="27" t="s">
        <v>166</v>
      </c>
      <c r="U2604" s="0" t="n">
        <v>394</v>
      </c>
      <c r="V2604" s="0" t="n">
        <v>0</v>
      </c>
      <c r="W2604" s="27" t="n">
        <f aca="false">MATCH(A2604,DATAS,0)</f>
        <v>1</v>
      </c>
      <c r="X2604" s="27" t="n">
        <f aca="false">IF(AND(E2604&gt;0,OR(AND(B2604&gt;=1,B2604&lt;=6),B2604=10)),1,0)</f>
        <v>0</v>
      </c>
      <c r="Y2604" s="27" t="n">
        <f aca="false">IF(AND(E2604&gt;0,B2604=10),1,0)</f>
        <v>0</v>
      </c>
      <c r="Z2604" s="0" t="str">
        <f aca="false">IF(AND(C2603=C2604,W2603=W2604-1),X2603,"")</f>
        <v/>
      </c>
      <c r="AA2604" s="0" t="str">
        <f aca="false">IF(AND(C2603=C2604,W2603=W2604-1),Y2603,"")</f>
        <v/>
      </c>
      <c r="AB2604" s="0" t="str">
        <f aca="false">IF(W2604=1,"",IF(AND(X2604=1,Z2604&lt;&gt;1),1,0))</f>
        <v/>
      </c>
      <c r="AC2604" s="0" t="str">
        <f aca="false">IF(W2604=1,"",IF(AND(Y2604=1,AA2604&lt;&gt;1),1,0))</f>
        <v/>
      </c>
      <c r="AD2604" s="33" t="str">
        <f aca="false">IF(AND(E2604&gt;0,W2604&lt;1,NOT(AND(C2605=C2604,W2605=W2604+1))),INDEX(DATAS,W2604+1),"")</f>
        <v/>
      </c>
      <c r="AE2604" s="33" t="str">
        <f aca="false">IF(AND(Y2604=1,W2604&lt;1),IF(AND(C2605=C2604,W2605=W2604+1),IF(Y2605=1,"",INDEX(DATAS,W2604+1)),INDEX(DATAS,W2604+1)),"")</f>
        <v/>
      </c>
    </row>
    <row r="2605" customFormat="false" ht="15" hidden="false" customHeight="false" outlineLevel="0" collapsed="false">
      <c r="A2605" s="33" t="n">
        <v>46309</v>
      </c>
      <c r="B2605" s="0" t="n">
        <v>13</v>
      </c>
      <c r="C2605" s="0" t="n">
        <v>6948</v>
      </c>
      <c r="E2605" s="0" t="n">
        <v>0</v>
      </c>
      <c r="F2605" s="27" t="s">
        <v>1321</v>
      </c>
      <c r="I2605" s="27" t="s">
        <v>166</v>
      </c>
      <c r="U2605" s="0" t="n">
        <v>394</v>
      </c>
      <c r="V2605" s="0" t="n">
        <v>0</v>
      </c>
      <c r="W2605" s="27" t="n">
        <f aca="false">MATCH(A2605,DATAS,0)</f>
        <v>1</v>
      </c>
      <c r="X2605" s="27" t="n">
        <f aca="false">IF(AND(E2605&gt;0,OR(AND(B2605&gt;=1,B2605&lt;=6),B2605=10)),1,0)</f>
        <v>0</v>
      </c>
      <c r="Y2605" s="27" t="n">
        <f aca="false">IF(AND(E2605&gt;0,B2605=10),1,0)</f>
        <v>0</v>
      </c>
      <c r="Z2605" s="0" t="str">
        <f aca="false">IF(AND(C2604=C2605,W2604=W2605-1),X2604,"")</f>
        <v/>
      </c>
      <c r="AA2605" s="0" t="str">
        <f aca="false">IF(AND(C2604=C2605,W2604=W2605-1),Y2604,"")</f>
        <v/>
      </c>
      <c r="AB2605" s="0" t="str">
        <f aca="false">IF(W2605=1,"",IF(AND(X2605=1,Z2605&lt;&gt;1),1,0))</f>
        <v/>
      </c>
      <c r="AC2605" s="0" t="str">
        <f aca="false">IF(W2605=1,"",IF(AND(Y2605=1,AA2605&lt;&gt;1),1,0))</f>
        <v/>
      </c>
      <c r="AD2605" s="33" t="str">
        <f aca="false">IF(AND(E2605&gt;0,W2605&lt;1,NOT(AND(C2606=C2605,W2606=W2605+1))),INDEX(DATAS,W2605+1),"")</f>
        <v/>
      </c>
      <c r="AE2605" s="33" t="str">
        <f aca="false">IF(AND(Y2605=1,W2605&lt;1),IF(AND(C2606=C2605,W2606=W2605+1),IF(Y2606=1,"",INDEX(DATAS,W2605+1)),INDEX(DATAS,W2605+1)),"")</f>
        <v/>
      </c>
    </row>
    <row r="2606" customFormat="false" ht="15" hidden="false" customHeight="false" outlineLevel="0" collapsed="false">
      <c r="A2606" s="33" t="n">
        <v>46309</v>
      </c>
      <c r="B2606" s="0" t="n">
        <v>13</v>
      </c>
      <c r="C2606" s="0" t="n">
        <v>6949</v>
      </c>
      <c r="E2606" s="0" t="n">
        <v>0</v>
      </c>
      <c r="F2606" s="27" t="s">
        <v>1321</v>
      </c>
      <c r="I2606" s="27" t="s">
        <v>166</v>
      </c>
      <c r="U2606" s="0" t="n">
        <v>394</v>
      </c>
      <c r="V2606" s="0" t="n">
        <v>0</v>
      </c>
      <c r="W2606" s="27" t="n">
        <f aca="false">MATCH(A2606,DATAS,0)</f>
        <v>1</v>
      </c>
      <c r="X2606" s="27" t="n">
        <f aca="false">IF(AND(E2606&gt;0,OR(AND(B2606&gt;=1,B2606&lt;=6),B2606=10)),1,0)</f>
        <v>0</v>
      </c>
      <c r="Y2606" s="27" t="n">
        <f aca="false">IF(AND(E2606&gt;0,B2606=10),1,0)</f>
        <v>0</v>
      </c>
      <c r="Z2606" s="0" t="str">
        <f aca="false">IF(AND(C2605=C2606,W2605=W2606-1),X2605,"")</f>
        <v/>
      </c>
      <c r="AA2606" s="0" t="str">
        <f aca="false">IF(AND(C2605=C2606,W2605=W2606-1),Y2605,"")</f>
        <v/>
      </c>
      <c r="AB2606" s="0" t="str">
        <f aca="false">IF(W2606=1,"",IF(AND(X2606=1,Z2606&lt;&gt;1),1,0))</f>
        <v/>
      </c>
      <c r="AC2606" s="0" t="str">
        <f aca="false">IF(W2606=1,"",IF(AND(Y2606=1,AA2606&lt;&gt;1),1,0))</f>
        <v/>
      </c>
      <c r="AD2606" s="33" t="str">
        <f aca="false">IF(AND(E2606&gt;0,W2606&lt;1,NOT(AND(C2607=C2606,W2607=W2606+1))),INDEX(DATAS,W2606+1),"")</f>
        <v/>
      </c>
      <c r="AE2606" s="33" t="str">
        <f aca="false">IF(AND(Y2606=1,W2606&lt;1),IF(AND(C2607=C2606,W2607=W2606+1),IF(Y2607=1,"",INDEX(DATAS,W2606+1)),INDEX(DATAS,W2606+1)),"")</f>
        <v/>
      </c>
    </row>
    <row r="2607" customFormat="false" ht="15" hidden="false" customHeight="false" outlineLevel="0" collapsed="false">
      <c r="A2607" s="33" t="n">
        <v>46309</v>
      </c>
      <c r="B2607" s="0" t="n">
        <v>13</v>
      </c>
      <c r="C2607" s="0" t="n">
        <v>6950</v>
      </c>
      <c r="E2607" s="0" t="n">
        <v>0</v>
      </c>
      <c r="F2607" s="27" t="s">
        <v>1321</v>
      </c>
      <c r="I2607" s="27" t="s">
        <v>166</v>
      </c>
      <c r="U2607" s="0" t="n">
        <v>394</v>
      </c>
      <c r="V2607" s="0" t="n">
        <v>0</v>
      </c>
      <c r="W2607" s="27" t="n">
        <f aca="false">MATCH(A2607,DATAS,0)</f>
        <v>1</v>
      </c>
      <c r="X2607" s="27" t="n">
        <f aca="false">IF(AND(E2607&gt;0,OR(AND(B2607&gt;=1,B2607&lt;=6),B2607=10)),1,0)</f>
        <v>0</v>
      </c>
      <c r="Y2607" s="27" t="n">
        <f aca="false">IF(AND(E2607&gt;0,B2607=10),1,0)</f>
        <v>0</v>
      </c>
      <c r="Z2607" s="0" t="str">
        <f aca="false">IF(AND(C2606=C2607,W2606=W2607-1),X2606,"")</f>
        <v/>
      </c>
      <c r="AA2607" s="0" t="str">
        <f aca="false">IF(AND(C2606=C2607,W2606=W2607-1),Y2606,"")</f>
        <v/>
      </c>
      <c r="AB2607" s="0" t="str">
        <f aca="false">IF(W2607=1,"",IF(AND(X2607=1,Z2607&lt;&gt;1),1,0))</f>
        <v/>
      </c>
      <c r="AC2607" s="0" t="str">
        <f aca="false">IF(W2607=1,"",IF(AND(Y2607=1,AA2607&lt;&gt;1),1,0))</f>
        <v/>
      </c>
      <c r="AD2607" s="33" t="str">
        <f aca="false">IF(AND(E2607&gt;0,W2607&lt;1,NOT(AND(C2608=C2607,W2608=W2607+1))),INDEX(DATAS,W2607+1),"")</f>
        <v/>
      </c>
      <c r="AE2607" s="33" t="str">
        <f aca="false">IF(AND(Y2607=1,W2607&lt;1),IF(AND(C2608=C2607,W2608=W2607+1),IF(Y2608=1,"",INDEX(DATAS,W2607+1)),INDEX(DATAS,W2607+1)),"")</f>
        <v/>
      </c>
    </row>
    <row r="2608" customFormat="false" ht="15" hidden="false" customHeight="false" outlineLevel="0" collapsed="false">
      <c r="A2608" s="33" t="n">
        <v>46309</v>
      </c>
      <c r="B2608" s="0" t="n">
        <v>13</v>
      </c>
      <c r="C2608" s="0" t="n">
        <v>6951</v>
      </c>
      <c r="E2608" s="0" t="n">
        <v>0</v>
      </c>
      <c r="F2608" s="27" t="s">
        <v>1322</v>
      </c>
      <c r="I2608" s="27" t="s">
        <v>166</v>
      </c>
      <c r="U2608" s="0" t="n">
        <v>393</v>
      </c>
      <c r="V2608" s="0" t="n">
        <v>0</v>
      </c>
      <c r="W2608" s="27" t="n">
        <f aca="false">MATCH(A2608,DATAS,0)</f>
        <v>1</v>
      </c>
      <c r="X2608" s="27" t="n">
        <f aca="false">IF(AND(E2608&gt;0,OR(AND(B2608&gt;=1,B2608&lt;=6),B2608=10)),1,0)</f>
        <v>0</v>
      </c>
      <c r="Y2608" s="27" t="n">
        <f aca="false">IF(AND(E2608&gt;0,B2608=10),1,0)</f>
        <v>0</v>
      </c>
      <c r="Z2608" s="0" t="str">
        <f aca="false">IF(AND(C2607=C2608,W2607=W2608-1),X2607,"")</f>
        <v/>
      </c>
      <c r="AA2608" s="0" t="str">
        <f aca="false">IF(AND(C2607=C2608,W2607=W2608-1),Y2607,"")</f>
        <v/>
      </c>
      <c r="AB2608" s="0" t="str">
        <f aca="false">IF(W2608=1,"",IF(AND(X2608=1,Z2608&lt;&gt;1),1,0))</f>
        <v/>
      </c>
      <c r="AC2608" s="0" t="str">
        <f aca="false">IF(W2608=1,"",IF(AND(Y2608=1,AA2608&lt;&gt;1),1,0))</f>
        <v/>
      </c>
      <c r="AD2608" s="33" t="str">
        <f aca="false">IF(AND(E2608&gt;0,W2608&lt;1,NOT(AND(C2609=C2608,W2609=W2608+1))),INDEX(DATAS,W2608+1),"")</f>
        <v/>
      </c>
      <c r="AE2608" s="33" t="str">
        <f aca="false">IF(AND(Y2608=1,W2608&lt;1),IF(AND(C2609=C2608,W2609=W2608+1),IF(Y2609=1,"",INDEX(DATAS,W2608+1)),INDEX(DATAS,W2608+1)),"")</f>
        <v/>
      </c>
    </row>
    <row r="2609" customFormat="false" ht="15" hidden="false" customHeight="false" outlineLevel="0" collapsed="false">
      <c r="A2609" s="33" t="n">
        <v>46309</v>
      </c>
      <c r="B2609" s="0" t="n">
        <v>13</v>
      </c>
      <c r="C2609" s="0" t="n">
        <v>6953</v>
      </c>
      <c r="E2609" s="0" t="n">
        <v>0</v>
      </c>
      <c r="F2609" s="27" t="s">
        <v>1322</v>
      </c>
      <c r="I2609" s="27" t="s">
        <v>166</v>
      </c>
      <c r="U2609" s="0" t="n">
        <v>393</v>
      </c>
      <c r="V2609" s="0" t="n">
        <v>0</v>
      </c>
      <c r="W2609" s="27" t="n">
        <f aca="false">MATCH(A2609,DATAS,0)</f>
        <v>1</v>
      </c>
      <c r="X2609" s="27" t="n">
        <f aca="false">IF(AND(E2609&gt;0,OR(AND(B2609&gt;=1,B2609&lt;=6),B2609=10)),1,0)</f>
        <v>0</v>
      </c>
      <c r="Y2609" s="27" t="n">
        <f aca="false">IF(AND(E2609&gt;0,B2609=10),1,0)</f>
        <v>0</v>
      </c>
      <c r="Z2609" s="0" t="str">
        <f aca="false">IF(AND(C2608=C2609,W2608=W2609-1),X2608,"")</f>
        <v/>
      </c>
      <c r="AA2609" s="0" t="str">
        <f aca="false">IF(AND(C2608=C2609,W2608=W2609-1),Y2608,"")</f>
        <v/>
      </c>
      <c r="AB2609" s="0" t="str">
        <f aca="false">IF(W2609=1,"",IF(AND(X2609=1,Z2609&lt;&gt;1),1,0))</f>
        <v/>
      </c>
      <c r="AC2609" s="0" t="str">
        <f aca="false">IF(W2609=1,"",IF(AND(Y2609=1,AA2609&lt;&gt;1),1,0))</f>
        <v/>
      </c>
      <c r="AD2609" s="33" t="str">
        <f aca="false">IF(AND(E2609&gt;0,W2609&lt;1,NOT(AND(C2610=C2609,W2610=W2609+1))),INDEX(DATAS,W2609+1),"")</f>
        <v/>
      </c>
      <c r="AE2609" s="33" t="str">
        <f aca="false">IF(AND(Y2609=1,W2609&lt;1),IF(AND(C2610=C2609,W2610=W2609+1),IF(Y2610=1,"",INDEX(DATAS,W2609+1)),INDEX(DATAS,W2609+1)),"")</f>
        <v/>
      </c>
    </row>
    <row r="2610" customFormat="false" ht="15" hidden="false" customHeight="false" outlineLevel="0" collapsed="false">
      <c r="A2610" s="33" t="n">
        <v>46309</v>
      </c>
      <c r="B2610" s="0" t="n">
        <v>13</v>
      </c>
      <c r="C2610" s="0" t="n">
        <v>6954</v>
      </c>
      <c r="E2610" s="0" t="n">
        <v>0</v>
      </c>
      <c r="F2610" s="27" t="s">
        <v>1322</v>
      </c>
      <c r="I2610" s="27" t="s">
        <v>166</v>
      </c>
      <c r="U2610" s="0" t="n">
        <v>393</v>
      </c>
      <c r="V2610" s="0" t="n">
        <v>0</v>
      </c>
      <c r="W2610" s="27" t="n">
        <f aca="false">MATCH(A2610,DATAS,0)</f>
        <v>1</v>
      </c>
      <c r="X2610" s="27" t="n">
        <f aca="false">IF(AND(E2610&gt;0,OR(AND(B2610&gt;=1,B2610&lt;=6),B2610=10)),1,0)</f>
        <v>0</v>
      </c>
      <c r="Y2610" s="27" t="n">
        <f aca="false">IF(AND(E2610&gt;0,B2610=10),1,0)</f>
        <v>0</v>
      </c>
      <c r="Z2610" s="0" t="str">
        <f aca="false">IF(AND(C2609=C2610,W2609=W2610-1),X2609,"")</f>
        <v/>
      </c>
      <c r="AA2610" s="0" t="str">
        <f aca="false">IF(AND(C2609=C2610,W2609=W2610-1),Y2609,"")</f>
        <v/>
      </c>
      <c r="AB2610" s="0" t="str">
        <f aca="false">IF(W2610=1,"",IF(AND(X2610=1,Z2610&lt;&gt;1),1,0))</f>
        <v/>
      </c>
      <c r="AC2610" s="0" t="str">
        <f aca="false">IF(W2610=1,"",IF(AND(Y2610=1,AA2610&lt;&gt;1),1,0))</f>
        <v/>
      </c>
      <c r="AD2610" s="33" t="str">
        <f aca="false">IF(AND(E2610&gt;0,W2610&lt;1,NOT(AND(C2611=C2610,W2611=W2610+1))),INDEX(DATAS,W2610+1),"")</f>
        <v/>
      </c>
      <c r="AE2610" s="33" t="str">
        <f aca="false">IF(AND(Y2610=1,W2610&lt;1),IF(AND(C2611=C2610,W2611=W2610+1),IF(Y2611=1,"",INDEX(DATAS,W2610+1)),INDEX(DATAS,W2610+1)),"")</f>
        <v/>
      </c>
    </row>
    <row r="2611" customFormat="false" ht="15" hidden="false" customHeight="false" outlineLevel="0" collapsed="false">
      <c r="A2611" s="33" t="n">
        <v>46309</v>
      </c>
      <c r="B2611" s="0" t="n">
        <v>11</v>
      </c>
      <c r="C2611" s="0" t="n">
        <v>6955</v>
      </c>
      <c r="E2611" s="0" t="n">
        <v>0</v>
      </c>
      <c r="F2611" s="27" t="s">
        <v>1322</v>
      </c>
      <c r="I2611" s="27" t="s">
        <v>168</v>
      </c>
      <c r="U2611" s="0" t="n">
        <v>393</v>
      </c>
      <c r="V2611" s="0" t="n">
        <v>1</v>
      </c>
      <c r="W2611" s="27" t="n">
        <f aca="false">MATCH(A2611,DATAS,0)</f>
        <v>1</v>
      </c>
      <c r="X2611" s="27" t="n">
        <f aca="false">IF(AND(E2611&gt;0,OR(AND(B2611&gt;=1,B2611&lt;=6),B2611=10)),1,0)</f>
        <v>0</v>
      </c>
      <c r="Y2611" s="27" t="n">
        <f aca="false">IF(AND(E2611&gt;0,B2611=10),1,0)</f>
        <v>0</v>
      </c>
      <c r="Z2611" s="0" t="str">
        <f aca="false">IF(AND(C2610=C2611,W2610=W2611-1),X2610,"")</f>
        <v/>
      </c>
      <c r="AA2611" s="0" t="str">
        <f aca="false">IF(AND(C2610=C2611,W2610=W2611-1),Y2610,"")</f>
        <v/>
      </c>
      <c r="AB2611" s="0" t="str">
        <f aca="false">IF(W2611=1,"",IF(AND(X2611=1,Z2611&lt;&gt;1),1,0))</f>
        <v/>
      </c>
      <c r="AC2611" s="0" t="str">
        <f aca="false">IF(W2611=1,"",IF(AND(Y2611=1,AA2611&lt;&gt;1),1,0))</f>
        <v/>
      </c>
      <c r="AD2611" s="33" t="str">
        <f aca="false">IF(AND(E2611&gt;0,W2611&lt;1,NOT(AND(C2612=C2611,W2612=W2611+1))),INDEX(DATAS,W2611+1),"")</f>
        <v/>
      </c>
      <c r="AE2611" s="33" t="str">
        <f aca="false">IF(AND(Y2611=1,W2611&lt;1),IF(AND(C2612=C2611,W2612=W2611+1),IF(Y2612=1,"",INDEX(DATAS,W2611+1)),INDEX(DATAS,W2611+1)),"")</f>
        <v/>
      </c>
    </row>
    <row r="2612" customFormat="false" ht="15" hidden="false" customHeight="false" outlineLevel="0" collapsed="false">
      <c r="A2612" s="33" t="n">
        <v>46309</v>
      </c>
      <c r="B2612" s="0" t="n">
        <v>13</v>
      </c>
      <c r="C2612" s="0" t="n">
        <v>6957</v>
      </c>
      <c r="E2612" s="0" t="n">
        <v>0</v>
      </c>
      <c r="F2612" s="27" t="s">
        <v>1323</v>
      </c>
      <c r="I2612" s="27" t="s">
        <v>166</v>
      </c>
      <c r="U2612" s="0" t="n">
        <v>392</v>
      </c>
      <c r="V2612" s="0" t="n">
        <v>0</v>
      </c>
      <c r="W2612" s="27" t="n">
        <f aca="false">MATCH(A2612,DATAS,0)</f>
        <v>1</v>
      </c>
      <c r="X2612" s="27" t="n">
        <f aca="false">IF(AND(E2612&gt;0,OR(AND(B2612&gt;=1,B2612&lt;=6),B2612=10)),1,0)</f>
        <v>0</v>
      </c>
      <c r="Y2612" s="27" t="n">
        <f aca="false">IF(AND(E2612&gt;0,B2612=10),1,0)</f>
        <v>0</v>
      </c>
      <c r="Z2612" s="0" t="str">
        <f aca="false">IF(AND(C2611=C2612,W2611=W2612-1),X2611,"")</f>
        <v/>
      </c>
      <c r="AA2612" s="0" t="str">
        <f aca="false">IF(AND(C2611=C2612,W2611=W2612-1),Y2611,"")</f>
        <v/>
      </c>
      <c r="AB2612" s="0" t="str">
        <f aca="false">IF(W2612=1,"",IF(AND(X2612=1,Z2612&lt;&gt;1),1,0))</f>
        <v/>
      </c>
      <c r="AC2612" s="0" t="str">
        <f aca="false">IF(W2612=1,"",IF(AND(Y2612=1,AA2612&lt;&gt;1),1,0))</f>
        <v/>
      </c>
      <c r="AD2612" s="33" t="str">
        <f aca="false">IF(AND(E2612&gt;0,W2612&lt;1,NOT(AND(C2613=C2612,W2613=W2612+1))),INDEX(DATAS,W2612+1),"")</f>
        <v/>
      </c>
      <c r="AE2612" s="33" t="str">
        <f aca="false">IF(AND(Y2612=1,W2612&lt;1),IF(AND(C2613=C2612,W2613=W2612+1),IF(Y2613=1,"",INDEX(DATAS,W2612+1)),INDEX(DATAS,W2612+1)),"")</f>
        <v/>
      </c>
    </row>
    <row r="2613" customFormat="false" ht="15" hidden="false" customHeight="false" outlineLevel="0" collapsed="false">
      <c r="A2613" s="33" t="n">
        <v>46309</v>
      </c>
      <c r="B2613" s="0" t="n">
        <v>13</v>
      </c>
      <c r="C2613" s="0" t="n">
        <v>6958</v>
      </c>
      <c r="E2613" s="0" t="n">
        <v>0</v>
      </c>
      <c r="F2613" s="27" t="s">
        <v>1324</v>
      </c>
      <c r="I2613" s="27" t="s">
        <v>166</v>
      </c>
      <c r="U2613" s="0" t="n">
        <v>391</v>
      </c>
      <c r="V2613" s="0" t="n">
        <v>0</v>
      </c>
      <c r="W2613" s="27" t="n">
        <f aca="false">MATCH(A2613,DATAS,0)</f>
        <v>1</v>
      </c>
      <c r="X2613" s="27" t="n">
        <f aca="false">IF(AND(E2613&gt;0,OR(AND(B2613&gt;=1,B2613&lt;=6),B2613=10)),1,0)</f>
        <v>0</v>
      </c>
      <c r="Y2613" s="27" t="n">
        <f aca="false">IF(AND(E2613&gt;0,B2613=10),1,0)</f>
        <v>0</v>
      </c>
      <c r="Z2613" s="0" t="str">
        <f aca="false">IF(AND(C2612=C2613,W2612=W2613-1),X2612,"")</f>
        <v/>
      </c>
      <c r="AA2613" s="0" t="str">
        <f aca="false">IF(AND(C2612=C2613,W2612=W2613-1),Y2612,"")</f>
        <v/>
      </c>
      <c r="AB2613" s="0" t="str">
        <f aca="false">IF(W2613=1,"",IF(AND(X2613=1,Z2613&lt;&gt;1),1,0))</f>
        <v/>
      </c>
      <c r="AC2613" s="0" t="str">
        <f aca="false">IF(W2613=1,"",IF(AND(Y2613=1,AA2613&lt;&gt;1),1,0))</f>
        <v/>
      </c>
      <c r="AD2613" s="33" t="str">
        <f aca="false">IF(AND(E2613&gt;0,W2613&lt;1,NOT(AND(C2614=C2613,W2614=W2613+1))),INDEX(DATAS,W2613+1),"")</f>
        <v/>
      </c>
      <c r="AE2613" s="33" t="str">
        <f aca="false">IF(AND(Y2613=1,W2613&lt;1),IF(AND(C2614=C2613,W2614=W2613+1),IF(Y2614=1,"",INDEX(DATAS,W2613+1)),INDEX(DATAS,W2613+1)),"")</f>
        <v/>
      </c>
    </row>
    <row r="2614" customFormat="false" ht="15" hidden="false" customHeight="false" outlineLevel="0" collapsed="false">
      <c r="A2614" s="33" t="n">
        <v>46309</v>
      </c>
      <c r="B2614" s="0" t="n">
        <v>13</v>
      </c>
      <c r="C2614" s="0" t="n">
        <v>6959</v>
      </c>
      <c r="E2614" s="0" t="n">
        <v>0</v>
      </c>
      <c r="F2614" s="27" t="s">
        <v>1324</v>
      </c>
      <c r="I2614" s="27" t="s">
        <v>166</v>
      </c>
      <c r="U2614" s="0" t="n">
        <v>391</v>
      </c>
      <c r="V2614" s="0" t="n">
        <v>0</v>
      </c>
      <c r="W2614" s="27" t="n">
        <f aca="false">MATCH(A2614,DATAS,0)</f>
        <v>1</v>
      </c>
      <c r="X2614" s="27" t="n">
        <f aca="false">IF(AND(E2614&gt;0,OR(AND(B2614&gt;=1,B2614&lt;=6),B2614=10)),1,0)</f>
        <v>0</v>
      </c>
      <c r="Y2614" s="27" t="n">
        <f aca="false">IF(AND(E2614&gt;0,B2614=10),1,0)</f>
        <v>0</v>
      </c>
      <c r="Z2614" s="0" t="str">
        <f aca="false">IF(AND(C2613=C2614,W2613=W2614-1),X2613,"")</f>
        <v/>
      </c>
      <c r="AA2614" s="0" t="str">
        <f aca="false">IF(AND(C2613=C2614,W2613=W2614-1),Y2613,"")</f>
        <v/>
      </c>
      <c r="AB2614" s="0" t="str">
        <f aca="false">IF(W2614=1,"",IF(AND(X2614=1,Z2614&lt;&gt;1),1,0))</f>
        <v/>
      </c>
      <c r="AC2614" s="0" t="str">
        <f aca="false">IF(W2614=1,"",IF(AND(Y2614=1,AA2614&lt;&gt;1),1,0))</f>
        <v/>
      </c>
      <c r="AD2614" s="33" t="str">
        <f aca="false">IF(AND(E2614&gt;0,W2614&lt;1,NOT(AND(C2615=C2614,W2615=W2614+1))),INDEX(DATAS,W2614+1),"")</f>
        <v/>
      </c>
      <c r="AE2614" s="33" t="str">
        <f aca="false">IF(AND(Y2614=1,W2614&lt;1),IF(AND(C2615=C2614,W2615=W2614+1),IF(Y2615=1,"",INDEX(DATAS,W2614+1)),INDEX(DATAS,W2614+1)),"")</f>
        <v/>
      </c>
    </row>
    <row r="2615" customFormat="false" ht="15" hidden="false" customHeight="false" outlineLevel="0" collapsed="false">
      <c r="A2615" s="33" t="n">
        <v>46309</v>
      </c>
      <c r="B2615" s="0" t="n">
        <v>13</v>
      </c>
      <c r="C2615" s="0" t="n">
        <v>6960</v>
      </c>
      <c r="E2615" s="0" t="n">
        <v>0</v>
      </c>
      <c r="F2615" s="27" t="s">
        <v>1324</v>
      </c>
      <c r="I2615" s="27" t="s">
        <v>166</v>
      </c>
      <c r="U2615" s="0" t="n">
        <v>391</v>
      </c>
      <c r="V2615" s="0" t="n">
        <v>0</v>
      </c>
      <c r="W2615" s="27" t="n">
        <f aca="false">MATCH(A2615,DATAS,0)</f>
        <v>1</v>
      </c>
      <c r="X2615" s="27" t="n">
        <f aca="false">IF(AND(E2615&gt;0,OR(AND(B2615&gt;=1,B2615&lt;=6),B2615=10)),1,0)</f>
        <v>0</v>
      </c>
      <c r="Y2615" s="27" t="n">
        <f aca="false">IF(AND(E2615&gt;0,B2615=10),1,0)</f>
        <v>0</v>
      </c>
      <c r="Z2615" s="0" t="str">
        <f aca="false">IF(AND(C2614=C2615,W2614=W2615-1),X2614,"")</f>
        <v/>
      </c>
      <c r="AA2615" s="0" t="str">
        <f aca="false">IF(AND(C2614=C2615,W2614=W2615-1),Y2614,"")</f>
        <v/>
      </c>
      <c r="AB2615" s="0" t="str">
        <f aca="false">IF(W2615=1,"",IF(AND(X2615=1,Z2615&lt;&gt;1),1,0))</f>
        <v/>
      </c>
      <c r="AC2615" s="0" t="str">
        <f aca="false">IF(W2615=1,"",IF(AND(Y2615=1,AA2615&lt;&gt;1),1,0))</f>
        <v/>
      </c>
      <c r="AD2615" s="33" t="str">
        <f aca="false">IF(AND(E2615&gt;0,W2615&lt;1,NOT(AND(C2616=C2615,W2616=W2615+1))),INDEX(DATAS,W2615+1),"")</f>
        <v/>
      </c>
      <c r="AE2615" s="33" t="str">
        <f aca="false">IF(AND(Y2615=1,W2615&lt;1),IF(AND(C2616=C2615,W2616=W2615+1),IF(Y2616=1,"",INDEX(DATAS,W2615+1)),INDEX(DATAS,W2615+1)),"")</f>
        <v/>
      </c>
    </row>
    <row r="2616" customFormat="false" ht="15" hidden="false" customHeight="false" outlineLevel="0" collapsed="false">
      <c r="A2616" s="33" t="n">
        <v>46309</v>
      </c>
      <c r="B2616" s="0" t="n">
        <v>13</v>
      </c>
      <c r="C2616" s="0" t="n">
        <v>6961</v>
      </c>
      <c r="E2616" s="0" t="n">
        <v>0</v>
      </c>
      <c r="F2616" s="27" t="s">
        <v>1325</v>
      </c>
      <c r="I2616" s="27" t="s">
        <v>166</v>
      </c>
      <c r="U2616" s="0" t="n">
        <v>390</v>
      </c>
      <c r="V2616" s="0" t="n">
        <v>0</v>
      </c>
      <c r="W2616" s="27" t="n">
        <f aca="false">MATCH(A2616,DATAS,0)</f>
        <v>1</v>
      </c>
      <c r="X2616" s="27" t="n">
        <f aca="false">IF(AND(E2616&gt;0,OR(AND(B2616&gt;=1,B2616&lt;=6),B2616=10)),1,0)</f>
        <v>0</v>
      </c>
      <c r="Y2616" s="27" t="n">
        <f aca="false">IF(AND(E2616&gt;0,B2616=10),1,0)</f>
        <v>0</v>
      </c>
      <c r="Z2616" s="0" t="str">
        <f aca="false">IF(AND(C2615=C2616,W2615=W2616-1),X2615,"")</f>
        <v/>
      </c>
      <c r="AA2616" s="0" t="str">
        <f aca="false">IF(AND(C2615=C2616,W2615=W2616-1),Y2615,"")</f>
        <v/>
      </c>
      <c r="AB2616" s="0" t="str">
        <f aca="false">IF(W2616=1,"",IF(AND(X2616=1,Z2616&lt;&gt;1),1,0))</f>
        <v/>
      </c>
      <c r="AC2616" s="0" t="str">
        <f aca="false">IF(W2616=1,"",IF(AND(Y2616=1,AA2616&lt;&gt;1),1,0))</f>
        <v/>
      </c>
      <c r="AD2616" s="33" t="str">
        <f aca="false">IF(AND(E2616&gt;0,W2616&lt;1,NOT(AND(C2617=C2616,W2617=W2616+1))),INDEX(DATAS,W2616+1),"")</f>
        <v/>
      </c>
      <c r="AE2616" s="33" t="str">
        <f aca="false">IF(AND(Y2616=1,W2616&lt;1),IF(AND(C2617=C2616,W2617=W2616+1),IF(Y2617=1,"",INDEX(DATAS,W2616+1)),INDEX(DATAS,W2616+1)),"")</f>
        <v/>
      </c>
    </row>
    <row r="2617" customFormat="false" ht="15" hidden="false" customHeight="false" outlineLevel="0" collapsed="false">
      <c r="A2617" s="33" t="n">
        <v>46309</v>
      </c>
      <c r="B2617" s="0" t="n">
        <v>13</v>
      </c>
      <c r="C2617" s="0" t="n">
        <v>6962</v>
      </c>
      <c r="E2617" s="0" t="n">
        <v>0</v>
      </c>
      <c r="F2617" s="27" t="s">
        <v>1325</v>
      </c>
      <c r="I2617" s="27" t="s">
        <v>166</v>
      </c>
      <c r="U2617" s="0" t="n">
        <v>390</v>
      </c>
      <c r="V2617" s="0" t="n">
        <v>0</v>
      </c>
      <c r="W2617" s="27" t="n">
        <f aca="false">MATCH(A2617,DATAS,0)</f>
        <v>1</v>
      </c>
      <c r="X2617" s="27" t="n">
        <f aca="false">IF(AND(E2617&gt;0,OR(AND(B2617&gt;=1,B2617&lt;=6),B2617=10)),1,0)</f>
        <v>0</v>
      </c>
      <c r="Y2617" s="27" t="n">
        <f aca="false">IF(AND(E2617&gt;0,B2617=10),1,0)</f>
        <v>0</v>
      </c>
      <c r="Z2617" s="0" t="str">
        <f aca="false">IF(AND(C2616=C2617,W2616=W2617-1),X2616,"")</f>
        <v/>
      </c>
      <c r="AA2617" s="0" t="str">
        <f aca="false">IF(AND(C2616=C2617,W2616=W2617-1),Y2616,"")</f>
        <v/>
      </c>
      <c r="AB2617" s="0" t="str">
        <f aca="false">IF(W2617=1,"",IF(AND(X2617=1,Z2617&lt;&gt;1),1,0))</f>
        <v/>
      </c>
      <c r="AC2617" s="0" t="str">
        <f aca="false">IF(W2617=1,"",IF(AND(Y2617=1,AA2617&lt;&gt;1),1,0))</f>
        <v/>
      </c>
      <c r="AD2617" s="33" t="str">
        <f aca="false">IF(AND(E2617&gt;0,W2617&lt;1,NOT(AND(C2618=C2617,W2618=W2617+1))),INDEX(DATAS,W2617+1),"")</f>
        <v/>
      </c>
      <c r="AE2617" s="33" t="str">
        <f aca="false">IF(AND(Y2617=1,W2617&lt;1),IF(AND(C2618=C2617,W2618=W2617+1),IF(Y2618=1,"",INDEX(DATAS,W2617+1)),INDEX(DATAS,W2617+1)),"")</f>
        <v/>
      </c>
    </row>
    <row r="2618" customFormat="false" ht="15" hidden="false" customHeight="false" outlineLevel="0" collapsed="false">
      <c r="A2618" s="33" t="n">
        <v>46309</v>
      </c>
      <c r="B2618" s="0" t="n">
        <v>13</v>
      </c>
      <c r="C2618" s="0" t="n">
        <v>6963</v>
      </c>
      <c r="E2618" s="0" t="n">
        <v>0</v>
      </c>
      <c r="F2618" s="27" t="s">
        <v>1325</v>
      </c>
      <c r="I2618" s="27" t="s">
        <v>166</v>
      </c>
      <c r="U2618" s="0" t="n">
        <v>390</v>
      </c>
      <c r="V2618" s="0" t="n">
        <v>0</v>
      </c>
      <c r="W2618" s="27" t="n">
        <f aca="false">MATCH(A2618,DATAS,0)</f>
        <v>1</v>
      </c>
      <c r="X2618" s="27" t="n">
        <f aca="false">IF(AND(E2618&gt;0,OR(AND(B2618&gt;=1,B2618&lt;=6),B2618=10)),1,0)</f>
        <v>0</v>
      </c>
      <c r="Y2618" s="27" t="n">
        <f aca="false">IF(AND(E2618&gt;0,B2618=10),1,0)</f>
        <v>0</v>
      </c>
      <c r="Z2618" s="0" t="str">
        <f aca="false">IF(AND(C2617=C2618,W2617=W2618-1),X2617,"")</f>
        <v/>
      </c>
      <c r="AA2618" s="0" t="str">
        <f aca="false">IF(AND(C2617=C2618,W2617=W2618-1),Y2617,"")</f>
        <v/>
      </c>
      <c r="AB2618" s="0" t="str">
        <f aca="false">IF(W2618=1,"",IF(AND(X2618=1,Z2618&lt;&gt;1),1,0))</f>
        <v/>
      </c>
      <c r="AC2618" s="0" t="str">
        <f aca="false">IF(W2618=1,"",IF(AND(Y2618=1,AA2618&lt;&gt;1),1,0))</f>
        <v/>
      </c>
      <c r="AD2618" s="33" t="str">
        <f aca="false">IF(AND(E2618&gt;0,W2618&lt;1,NOT(AND(C2619=C2618,W2619=W2618+1))),INDEX(DATAS,W2618+1),"")</f>
        <v/>
      </c>
      <c r="AE2618" s="33" t="str">
        <f aca="false">IF(AND(Y2618=1,W2618&lt;1),IF(AND(C2619=C2618,W2619=W2618+1),IF(Y2619=1,"",INDEX(DATAS,W2618+1)),INDEX(DATAS,W2618+1)),"")</f>
        <v/>
      </c>
    </row>
    <row r="2619" customFormat="false" ht="15" hidden="false" customHeight="false" outlineLevel="0" collapsed="false">
      <c r="A2619" s="33" t="n">
        <v>46309</v>
      </c>
      <c r="B2619" s="0" t="n">
        <v>13</v>
      </c>
      <c r="C2619" s="0" t="n">
        <v>6964</v>
      </c>
      <c r="E2619" s="0" t="n">
        <v>0</v>
      </c>
      <c r="F2619" s="27" t="s">
        <v>1325</v>
      </c>
      <c r="I2619" s="27" t="s">
        <v>166</v>
      </c>
      <c r="U2619" s="0" t="n">
        <v>390</v>
      </c>
      <c r="V2619" s="0" t="n">
        <v>0</v>
      </c>
      <c r="W2619" s="27" t="n">
        <f aca="false">MATCH(A2619,DATAS,0)</f>
        <v>1</v>
      </c>
      <c r="X2619" s="27" t="n">
        <f aca="false">IF(AND(E2619&gt;0,OR(AND(B2619&gt;=1,B2619&lt;=6),B2619=10)),1,0)</f>
        <v>0</v>
      </c>
      <c r="Y2619" s="27" t="n">
        <f aca="false">IF(AND(E2619&gt;0,B2619=10),1,0)</f>
        <v>0</v>
      </c>
      <c r="Z2619" s="0" t="str">
        <f aca="false">IF(AND(C2618=C2619,W2618=W2619-1),X2618,"")</f>
        <v/>
      </c>
      <c r="AA2619" s="0" t="str">
        <f aca="false">IF(AND(C2618=C2619,W2618=W2619-1),Y2618,"")</f>
        <v/>
      </c>
      <c r="AB2619" s="0" t="str">
        <f aca="false">IF(W2619=1,"",IF(AND(X2619=1,Z2619&lt;&gt;1),1,0))</f>
        <v/>
      </c>
      <c r="AC2619" s="0" t="str">
        <f aca="false">IF(W2619=1,"",IF(AND(Y2619=1,AA2619&lt;&gt;1),1,0))</f>
        <v/>
      </c>
      <c r="AD2619" s="33" t="str">
        <f aca="false">IF(AND(E2619&gt;0,W2619&lt;1,NOT(AND(C2620=C2619,W2620=W2619+1))),INDEX(DATAS,W2619+1),"")</f>
        <v/>
      </c>
      <c r="AE2619" s="33" t="str">
        <f aca="false">IF(AND(Y2619=1,W2619&lt;1),IF(AND(C2620=C2619,W2620=W2619+1),IF(Y2620=1,"",INDEX(DATAS,W2619+1)),INDEX(DATAS,W2619+1)),"")</f>
        <v/>
      </c>
    </row>
    <row r="2620" customFormat="false" ht="15" hidden="false" customHeight="false" outlineLevel="0" collapsed="false">
      <c r="A2620" s="33" t="n">
        <v>46309</v>
      </c>
      <c r="B2620" s="0" t="n">
        <v>13</v>
      </c>
      <c r="C2620" s="0" t="n">
        <v>6965</v>
      </c>
      <c r="E2620" s="0" t="n">
        <v>0</v>
      </c>
      <c r="F2620" s="27" t="s">
        <v>1325</v>
      </c>
      <c r="I2620" s="27" t="s">
        <v>166</v>
      </c>
      <c r="U2620" s="0" t="n">
        <v>390</v>
      </c>
      <c r="V2620" s="0" t="n">
        <v>0</v>
      </c>
      <c r="W2620" s="27" t="n">
        <f aca="false">MATCH(A2620,DATAS,0)</f>
        <v>1</v>
      </c>
      <c r="X2620" s="27" t="n">
        <f aca="false">IF(AND(E2620&gt;0,OR(AND(B2620&gt;=1,B2620&lt;=6),B2620=10)),1,0)</f>
        <v>0</v>
      </c>
      <c r="Y2620" s="27" t="n">
        <f aca="false">IF(AND(E2620&gt;0,B2620=10),1,0)</f>
        <v>0</v>
      </c>
      <c r="Z2620" s="0" t="str">
        <f aca="false">IF(AND(C2619=C2620,W2619=W2620-1),X2619,"")</f>
        <v/>
      </c>
      <c r="AA2620" s="0" t="str">
        <f aca="false">IF(AND(C2619=C2620,W2619=W2620-1),Y2619,"")</f>
        <v/>
      </c>
      <c r="AB2620" s="0" t="str">
        <f aca="false">IF(W2620=1,"",IF(AND(X2620=1,Z2620&lt;&gt;1),1,0))</f>
        <v/>
      </c>
      <c r="AC2620" s="0" t="str">
        <f aca="false">IF(W2620=1,"",IF(AND(Y2620=1,AA2620&lt;&gt;1),1,0))</f>
        <v/>
      </c>
      <c r="AD2620" s="33" t="str">
        <f aca="false">IF(AND(E2620&gt;0,W2620&lt;1,NOT(AND(C2621=C2620,W2621=W2620+1))),INDEX(DATAS,W2620+1),"")</f>
        <v/>
      </c>
      <c r="AE2620" s="33" t="str">
        <f aca="false">IF(AND(Y2620=1,W2620&lt;1),IF(AND(C2621=C2620,W2621=W2620+1),IF(Y2621=1,"",INDEX(DATAS,W2620+1)),INDEX(DATAS,W2620+1)),"")</f>
        <v/>
      </c>
    </row>
    <row r="2621" customFormat="false" ht="15" hidden="false" customHeight="false" outlineLevel="0" collapsed="false">
      <c r="A2621" s="33" t="n">
        <v>46309</v>
      </c>
      <c r="B2621" s="0" t="n">
        <v>13</v>
      </c>
      <c r="C2621" s="0" t="n">
        <v>6966</v>
      </c>
      <c r="E2621" s="0" t="n">
        <v>0</v>
      </c>
      <c r="F2621" s="27" t="s">
        <v>1325</v>
      </c>
      <c r="I2621" s="27" t="s">
        <v>166</v>
      </c>
      <c r="U2621" s="0" t="n">
        <v>390</v>
      </c>
      <c r="V2621" s="0" t="n">
        <v>0</v>
      </c>
      <c r="W2621" s="27" t="n">
        <f aca="false">MATCH(A2621,DATAS,0)</f>
        <v>1</v>
      </c>
      <c r="X2621" s="27" t="n">
        <f aca="false">IF(AND(E2621&gt;0,OR(AND(B2621&gt;=1,B2621&lt;=6),B2621=10)),1,0)</f>
        <v>0</v>
      </c>
      <c r="Y2621" s="27" t="n">
        <f aca="false">IF(AND(E2621&gt;0,B2621=10),1,0)</f>
        <v>0</v>
      </c>
      <c r="Z2621" s="0" t="str">
        <f aca="false">IF(AND(C2620=C2621,W2620=W2621-1),X2620,"")</f>
        <v/>
      </c>
      <c r="AA2621" s="0" t="str">
        <f aca="false">IF(AND(C2620=C2621,W2620=W2621-1),Y2620,"")</f>
        <v/>
      </c>
      <c r="AB2621" s="0" t="str">
        <f aca="false">IF(W2621=1,"",IF(AND(X2621=1,Z2621&lt;&gt;1),1,0))</f>
        <v/>
      </c>
      <c r="AC2621" s="0" t="str">
        <f aca="false">IF(W2621=1,"",IF(AND(Y2621=1,AA2621&lt;&gt;1),1,0))</f>
        <v/>
      </c>
      <c r="AD2621" s="33" t="str">
        <f aca="false">IF(AND(E2621&gt;0,W2621&lt;1,NOT(AND(C2622=C2621,W2622=W2621+1))),INDEX(DATAS,W2621+1),"")</f>
        <v/>
      </c>
      <c r="AE2621" s="33" t="str">
        <f aca="false">IF(AND(Y2621=1,W2621&lt;1),IF(AND(C2622=C2621,W2622=W2621+1),IF(Y2622=1,"",INDEX(DATAS,W2621+1)),INDEX(DATAS,W2621+1)),"")</f>
        <v/>
      </c>
    </row>
    <row r="2622" customFormat="false" ht="15" hidden="false" customHeight="false" outlineLevel="0" collapsed="false">
      <c r="A2622" s="33" t="n">
        <v>46309</v>
      </c>
      <c r="B2622" s="0" t="n">
        <v>13</v>
      </c>
      <c r="C2622" s="0" t="n">
        <v>6967</v>
      </c>
      <c r="E2622" s="0" t="n">
        <v>0</v>
      </c>
      <c r="F2622" s="27" t="s">
        <v>1325</v>
      </c>
      <c r="I2622" s="27" t="s">
        <v>166</v>
      </c>
      <c r="U2622" s="0" t="n">
        <v>390</v>
      </c>
      <c r="V2622" s="0" t="n">
        <v>0</v>
      </c>
      <c r="W2622" s="27" t="n">
        <f aca="false">MATCH(A2622,DATAS,0)</f>
        <v>1</v>
      </c>
      <c r="X2622" s="27" t="n">
        <f aca="false">IF(AND(E2622&gt;0,OR(AND(B2622&gt;=1,B2622&lt;=6),B2622=10)),1,0)</f>
        <v>0</v>
      </c>
      <c r="Y2622" s="27" t="n">
        <f aca="false">IF(AND(E2622&gt;0,B2622=10),1,0)</f>
        <v>0</v>
      </c>
      <c r="Z2622" s="0" t="str">
        <f aca="false">IF(AND(C2621=C2622,W2621=W2622-1),X2621,"")</f>
        <v/>
      </c>
      <c r="AA2622" s="0" t="str">
        <f aca="false">IF(AND(C2621=C2622,W2621=W2622-1),Y2621,"")</f>
        <v/>
      </c>
      <c r="AB2622" s="0" t="str">
        <f aca="false">IF(W2622=1,"",IF(AND(X2622=1,Z2622&lt;&gt;1),1,0))</f>
        <v/>
      </c>
      <c r="AC2622" s="0" t="str">
        <f aca="false">IF(W2622=1,"",IF(AND(Y2622=1,AA2622&lt;&gt;1),1,0))</f>
        <v/>
      </c>
      <c r="AD2622" s="33" t="str">
        <f aca="false">IF(AND(E2622&gt;0,W2622&lt;1,NOT(AND(C2623=C2622,W2623=W2622+1))),INDEX(DATAS,W2622+1),"")</f>
        <v/>
      </c>
      <c r="AE2622" s="33" t="str">
        <f aca="false">IF(AND(Y2622=1,W2622&lt;1),IF(AND(C2623=C2622,W2623=W2622+1),IF(Y2623=1,"",INDEX(DATAS,W2622+1)),INDEX(DATAS,W2622+1)),"")</f>
        <v/>
      </c>
    </row>
    <row r="2623" customFormat="false" ht="15" hidden="false" customHeight="false" outlineLevel="0" collapsed="false">
      <c r="A2623" s="33" t="n">
        <v>46309</v>
      </c>
      <c r="B2623" s="0" t="n">
        <v>13</v>
      </c>
      <c r="C2623" s="0" t="n">
        <v>6968</v>
      </c>
      <c r="E2623" s="0" t="n">
        <v>0</v>
      </c>
      <c r="F2623" s="27" t="s">
        <v>1325</v>
      </c>
      <c r="I2623" s="27" t="s">
        <v>166</v>
      </c>
      <c r="U2623" s="0" t="n">
        <v>390</v>
      </c>
      <c r="V2623" s="0" t="n">
        <v>0</v>
      </c>
      <c r="W2623" s="27" t="n">
        <f aca="false">MATCH(A2623,DATAS,0)</f>
        <v>1</v>
      </c>
      <c r="X2623" s="27" t="n">
        <f aca="false">IF(AND(E2623&gt;0,OR(AND(B2623&gt;=1,B2623&lt;=6),B2623=10)),1,0)</f>
        <v>0</v>
      </c>
      <c r="Y2623" s="27" t="n">
        <f aca="false">IF(AND(E2623&gt;0,B2623=10),1,0)</f>
        <v>0</v>
      </c>
      <c r="Z2623" s="0" t="str">
        <f aca="false">IF(AND(C2622=C2623,W2622=W2623-1),X2622,"")</f>
        <v/>
      </c>
      <c r="AA2623" s="0" t="str">
        <f aca="false">IF(AND(C2622=C2623,W2622=W2623-1),Y2622,"")</f>
        <v/>
      </c>
      <c r="AB2623" s="0" t="str">
        <f aca="false">IF(W2623=1,"",IF(AND(X2623=1,Z2623&lt;&gt;1),1,0))</f>
        <v/>
      </c>
      <c r="AC2623" s="0" t="str">
        <f aca="false">IF(W2623=1,"",IF(AND(Y2623=1,AA2623&lt;&gt;1),1,0))</f>
        <v/>
      </c>
      <c r="AD2623" s="33" t="str">
        <f aca="false">IF(AND(E2623&gt;0,W2623&lt;1,NOT(AND(C2624=C2623,W2624=W2623+1))),INDEX(DATAS,W2623+1),"")</f>
        <v/>
      </c>
      <c r="AE2623" s="33" t="str">
        <f aca="false">IF(AND(Y2623=1,W2623&lt;1),IF(AND(C2624=C2623,W2624=W2623+1),IF(Y2624=1,"",INDEX(DATAS,W2623+1)),INDEX(DATAS,W2623+1)),"")</f>
        <v/>
      </c>
    </row>
    <row r="2624" customFormat="false" ht="15" hidden="false" customHeight="false" outlineLevel="0" collapsed="false">
      <c r="A2624" s="33" t="n">
        <v>46309</v>
      </c>
      <c r="B2624" s="0" t="n">
        <v>13</v>
      </c>
      <c r="C2624" s="0" t="n">
        <v>6969</v>
      </c>
      <c r="E2624" s="0" t="n">
        <v>0</v>
      </c>
      <c r="F2624" s="27" t="s">
        <v>1325</v>
      </c>
      <c r="I2624" s="27" t="s">
        <v>166</v>
      </c>
      <c r="U2624" s="0" t="n">
        <v>390</v>
      </c>
      <c r="V2624" s="0" t="n">
        <v>0</v>
      </c>
      <c r="W2624" s="27" t="n">
        <f aca="false">MATCH(A2624,DATAS,0)</f>
        <v>1</v>
      </c>
      <c r="X2624" s="27" t="n">
        <f aca="false">IF(AND(E2624&gt;0,OR(AND(B2624&gt;=1,B2624&lt;=6),B2624=10)),1,0)</f>
        <v>0</v>
      </c>
      <c r="Y2624" s="27" t="n">
        <f aca="false">IF(AND(E2624&gt;0,B2624=10),1,0)</f>
        <v>0</v>
      </c>
      <c r="Z2624" s="0" t="str">
        <f aca="false">IF(AND(C2623=C2624,W2623=W2624-1),X2623,"")</f>
        <v/>
      </c>
      <c r="AA2624" s="0" t="str">
        <f aca="false">IF(AND(C2623=C2624,W2623=W2624-1),Y2623,"")</f>
        <v/>
      </c>
      <c r="AB2624" s="0" t="str">
        <f aca="false">IF(W2624=1,"",IF(AND(X2624=1,Z2624&lt;&gt;1),1,0))</f>
        <v/>
      </c>
      <c r="AC2624" s="0" t="str">
        <f aca="false">IF(W2624=1,"",IF(AND(Y2624=1,AA2624&lt;&gt;1),1,0))</f>
        <v/>
      </c>
      <c r="AD2624" s="33" t="str">
        <f aca="false">IF(AND(E2624&gt;0,W2624&lt;1,NOT(AND(C2625=C2624,W2625=W2624+1))),INDEX(DATAS,W2624+1),"")</f>
        <v/>
      </c>
      <c r="AE2624" s="33" t="str">
        <f aca="false">IF(AND(Y2624=1,W2624&lt;1),IF(AND(C2625=C2624,W2625=W2624+1),IF(Y2625=1,"",INDEX(DATAS,W2624+1)),INDEX(DATAS,W2624+1)),"")</f>
        <v/>
      </c>
    </row>
    <row r="2625" customFormat="false" ht="15" hidden="false" customHeight="false" outlineLevel="0" collapsed="false">
      <c r="A2625" s="33" t="n">
        <v>46309</v>
      </c>
      <c r="B2625" s="0" t="n">
        <v>13</v>
      </c>
      <c r="C2625" s="0" t="n">
        <v>6970</v>
      </c>
      <c r="E2625" s="0" t="n">
        <v>0</v>
      </c>
      <c r="F2625" s="27" t="s">
        <v>1326</v>
      </c>
      <c r="I2625" s="27" t="s">
        <v>166</v>
      </c>
      <c r="U2625" s="0" t="n">
        <v>389</v>
      </c>
      <c r="V2625" s="0" t="n">
        <v>0</v>
      </c>
      <c r="W2625" s="27" t="n">
        <f aca="false">MATCH(A2625,DATAS,0)</f>
        <v>1</v>
      </c>
      <c r="X2625" s="27" t="n">
        <f aca="false">IF(AND(E2625&gt;0,OR(AND(B2625&gt;=1,B2625&lt;=6),B2625=10)),1,0)</f>
        <v>0</v>
      </c>
      <c r="Y2625" s="27" t="n">
        <f aca="false">IF(AND(E2625&gt;0,B2625=10),1,0)</f>
        <v>0</v>
      </c>
      <c r="Z2625" s="0" t="str">
        <f aca="false">IF(AND(C2624=C2625,W2624=W2625-1),X2624,"")</f>
        <v/>
      </c>
      <c r="AA2625" s="0" t="str">
        <f aca="false">IF(AND(C2624=C2625,W2624=W2625-1),Y2624,"")</f>
        <v/>
      </c>
      <c r="AB2625" s="0" t="str">
        <f aca="false">IF(W2625=1,"",IF(AND(X2625=1,Z2625&lt;&gt;1),1,0))</f>
        <v/>
      </c>
      <c r="AC2625" s="0" t="str">
        <f aca="false">IF(W2625=1,"",IF(AND(Y2625=1,AA2625&lt;&gt;1),1,0))</f>
        <v/>
      </c>
      <c r="AD2625" s="33" t="str">
        <f aca="false">IF(AND(E2625&gt;0,W2625&lt;1,NOT(AND(C2626=C2625,W2626=W2625+1))),INDEX(DATAS,W2625+1),"")</f>
        <v/>
      </c>
      <c r="AE2625" s="33" t="str">
        <f aca="false">IF(AND(Y2625=1,W2625&lt;1),IF(AND(C2626=C2625,W2626=W2625+1),IF(Y2626=1,"",INDEX(DATAS,W2625+1)),INDEX(DATAS,W2625+1)),"")</f>
        <v/>
      </c>
    </row>
    <row r="2626" customFormat="false" ht="15" hidden="false" customHeight="false" outlineLevel="0" collapsed="false">
      <c r="A2626" s="33" t="n">
        <v>46309</v>
      </c>
      <c r="B2626" s="0" t="n">
        <v>13</v>
      </c>
      <c r="C2626" s="0" t="n">
        <v>6972</v>
      </c>
      <c r="E2626" s="0" t="n">
        <v>0</v>
      </c>
      <c r="F2626" s="27" t="s">
        <v>1326</v>
      </c>
      <c r="I2626" s="27" t="s">
        <v>166</v>
      </c>
      <c r="U2626" s="0" t="n">
        <v>389</v>
      </c>
      <c r="V2626" s="0" t="n">
        <v>0</v>
      </c>
      <c r="W2626" s="27" t="n">
        <f aca="false">MATCH(A2626,DATAS,0)</f>
        <v>1</v>
      </c>
      <c r="X2626" s="27" t="n">
        <f aca="false">IF(AND(E2626&gt;0,OR(AND(B2626&gt;=1,B2626&lt;=6),B2626=10)),1,0)</f>
        <v>0</v>
      </c>
      <c r="Y2626" s="27" t="n">
        <f aca="false">IF(AND(E2626&gt;0,B2626=10),1,0)</f>
        <v>0</v>
      </c>
      <c r="Z2626" s="0" t="str">
        <f aca="false">IF(AND(C2625=C2626,W2625=W2626-1),X2625,"")</f>
        <v/>
      </c>
      <c r="AA2626" s="0" t="str">
        <f aca="false">IF(AND(C2625=C2626,W2625=W2626-1),Y2625,"")</f>
        <v/>
      </c>
      <c r="AB2626" s="0" t="str">
        <f aca="false">IF(W2626=1,"",IF(AND(X2626=1,Z2626&lt;&gt;1),1,0))</f>
        <v/>
      </c>
      <c r="AC2626" s="0" t="str">
        <f aca="false">IF(W2626=1,"",IF(AND(Y2626=1,AA2626&lt;&gt;1),1,0))</f>
        <v/>
      </c>
      <c r="AD2626" s="33" t="str">
        <f aca="false">IF(AND(E2626&gt;0,W2626&lt;1,NOT(AND(C2627=C2626,W2627=W2626+1))),INDEX(DATAS,W2626+1),"")</f>
        <v/>
      </c>
      <c r="AE2626" s="33" t="str">
        <f aca="false">IF(AND(Y2626=1,W2626&lt;1),IF(AND(C2627=C2626,W2627=W2626+1),IF(Y2627=1,"",INDEX(DATAS,W2626+1)),INDEX(DATAS,W2626+1)),"")</f>
        <v/>
      </c>
    </row>
    <row r="2627" customFormat="false" ht="15" hidden="false" customHeight="false" outlineLevel="0" collapsed="false">
      <c r="A2627" s="33" t="n">
        <v>46309</v>
      </c>
      <c r="B2627" s="0" t="n">
        <v>13</v>
      </c>
      <c r="C2627" s="0" t="n">
        <v>6973</v>
      </c>
      <c r="E2627" s="0" t="n">
        <v>0</v>
      </c>
      <c r="F2627" s="27" t="s">
        <v>1326</v>
      </c>
      <c r="I2627" s="27" t="s">
        <v>166</v>
      </c>
      <c r="U2627" s="0" t="n">
        <v>389</v>
      </c>
      <c r="V2627" s="0" t="n">
        <v>0</v>
      </c>
      <c r="W2627" s="27" t="n">
        <f aca="false">MATCH(A2627,DATAS,0)</f>
        <v>1</v>
      </c>
      <c r="X2627" s="27" t="n">
        <f aca="false">IF(AND(E2627&gt;0,OR(AND(B2627&gt;=1,B2627&lt;=6),B2627=10)),1,0)</f>
        <v>0</v>
      </c>
      <c r="Y2627" s="27" t="n">
        <f aca="false">IF(AND(E2627&gt;0,B2627=10),1,0)</f>
        <v>0</v>
      </c>
      <c r="Z2627" s="0" t="str">
        <f aca="false">IF(AND(C2626=C2627,W2626=W2627-1),X2626,"")</f>
        <v/>
      </c>
      <c r="AA2627" s="0" t="str">
        <f aca="false">IF(AND(C2626=C2627,W2626=W2627-1),Y2626,"")</f>
        <v/>
      </c>
      <c r="AB2627" s="0" t="str">
        <f aca="false">IF(W2627=1,"",IF(AND(X2627=1,Z2627&lt;&gt;1),1,0))</f>
        <v/>
      </c>
      <c r="AC2627" s="0" t="str">
        <f aca="false">IF(W2627=1,"",IF(AND(Y2627=1,AA2627&lt;&gt;1),1,0))</f>
        <v/>
      </c>
      <c r="AD2627" s="33" t="str">
        <f aca="false">IF(AND(E2627&gt;0,W2627&lt;1,NOT(AND(C2628=C2627,W2628=W2627+1))),INDEX(DATAS,W2627+1),"")</f>
        <v/>
      </c>
      <c r="AE2627" s="33" t="str">
        <f aca="false">IF(AND(Y2627=1,W2627&lt;1),IF(AND(C2628=C2627,W2628=W2627+1),IF(Y2628=1,"",INDEX(DATAS,W2627+1)),INDEX(DATAS,W2627+1)),"")</f>
        <v/>
      </c>
    </row>
    <row r="2628" customFormat="false" ht="15" hidden="false" customHeight="false" outlineLevel="0" collapsed="false">
      <c r="A2628" s="33" t="n">
        <v>46309</v>
      </c>
      <c r="B2628" s="0" t="n">
        <v>13</v>
      </c>
      <c r="C2628" s="0" t="n">
        <v>6974</v>
      </c>
      <c r="E2628" s="0" t="n">
        <v>0</v>
      </c>
      <c r="F2628" s="27" t="s">
        <v>1326</v>
      </c>
      <c r="I2628" s="27" t="s">
        <v>166</v>
      </c>
      <c r="U2628" s="0" t="n">
        <v>389</v>
      </c>
      <c r="V2628" s="0" t="n">
        <v>0</v>
      </c>
      <c r="W2628" s="27" t="n">
        <f aca="false">MATCH(A2628,DATAS,0)</f>
        <v>1</v>
      </c>
      <c r="X2628" s="27" t="n">
        <f aca="false">IF(AND(E2628&gt;0,OR(AND(B2628&gt;=1,B2628&lt;=6),B2628=10)),1,0)</f>
        <v>0</v>
      </c>
      <c r="Y2628" s="27" t="n">
        <f aca="false">IF(AND(E2628&gt;0,B2628=10),1,0)</f>
        <v>0</v>
      </c>
      <c r="Z2628" s="0" t="str">
        <f aca="false">IF(AND(C2627=C2628,W2627=W2628-1),X2627,"")</f>
        <v/>
      </c>
      <c r="AA2628" s="0" t="str">
        <f aca="false">IF(AND(C2627=C2628,W2627=W2628-1),Y2627,"")</f>
        <v/>
      </c>
      <c r="AB2628" s="0" t="str">
        <f aca="false">IF(W2628=1,"",IF(AND(X2628=1,Z2628&lt;&gt;1),1,0))</f>
        <v/>
      </c>
      <c r="AC2628" s="0" t="str">
        <f aca="false">IF(W2628=1,"",IF(AND(Y2628=1,AA2628&lt;&gt;1),1,0))</f>
        <v/>
      </c>
      <c r="AD2628" s="33" t="str">
        <f aca="false">IF(AND(E2628&gt;0,W2628&lt;1,NOT(AND(C2629=C2628,W2629=W2628+1))),INDEX(DATAS,W2628+1),"")</f>
        <v/>
      </c>
      <c r="AE2628" s="33" t="str">
        <f aca="false">IF(AND(Y2628=1,W2628&lt;1),IF(AND(C2629=C2628,W2629=W2628+1),IF(Y2629=1,"",INDEX(DATAS,W2628+1)),INDEX(DATAS,W2628+1)),"")</f>
        <v/>
      </c>
    </row>
    <row r="2629" customFormat="false" ht="15" hidden="false" customHeight="false" outlineLevel="0" collapsed="false">
      <c r="A2629" s="33" t="n">
        <v>46309</v>
      </c>
      <c r="B2629" s="0" t="n">
        <v>13</v>
      </c>
      <c r="C2629" s="0" t="n">
        <v>6975</v>
      </c>
      <c r="E2629" s="0" t="n">
        <v>0</v>
      </c>
      <c r="F2629" s="27" t="s">
        <v>1327</v>
      </c>
      <c r="I2629" s="27" t="s">
        <v>166</v>
      </c>
      <c r="U2629" s="0" t="n">
        <v>388</v>
      </c>
      <c r="V2629" s="0" t="n">
        <v>0</v>
      </c>
      <c r="W2629" s="27" t="n">
        <f aca="false">MATCH(A2629,DATAS,0)</f>
        <v>1</v>
      </c>
      <c r="X2629" s="27" t="n">
        <f aca="false">IF(AND(E2629&gt;0,OR(AND(B2629&gt;=1,B2629&lt;=6),B2629=10)),1,0)</f>
        <v>0</v>
      </c>
      <c r="Y2629" s="27" t="n">
        <f aca="false">IF(AND(E2629&gt;0,B2629=10),1,0)</f>
        <v>0</v>
      </c>
      <c r="Z2629" s="0" t="str">
        <f aca="false">IF(AND(C2628=C2629,W2628=W2629-1),X2628,"")</f>
        <v/>
      </c>
      <c r="AA2629" s="0" t="str">
        <f aca="false">IF(AND(C2628=C2629,W2628=W2629-1),Y2628,"")</f>
        <v/>
      </c>
      <c r="AB2629" s="0" t="str">
        <f aca="false">IF(W2629=1,"",IF(AND(X2629=1,Z2629&lt;&gt;1),1,0))</f>
        <v/>
      </c>
      <c r="AC2629" s="0" t="str">
        <f aca="false">IF(W2629=1,"",IF(AND(Y2629=1,AA2629&lt;&gt;1),1,0))</f>
        <v/>
      </c>
      <c r="AD2629" s="33" t="str">
        <f aca="false">IF(AND(E2629&gt;0,W2629&lt;1,NOT(AND(C2630=C2629,W2630=W2629+1))),INDEX(DATAS,W2629+1),"")</f>
        <v/>
      </c>
      <c r="AE2629" s="33" t="str">
        <f aca="false">IF(AND(Y2629=1,W2629&lt;1),IF(AND(C2630=C2629,W2630=W2629+1),IF(Y2630=1,"",INDEX(DATAS,W2629+1)),INDEX(DATAS,W2629+1)),"")</f>
        <v/>
      </c>
    </row>
    <row r="2630" customFormat="false" ht="15" hidden="false" customHeight="false" outlineLevel="0" collapsed="false">
      <c r="A2630" s="33" t="n">
        <v>46309</v>
      </c>
      <c r="B2630" s="0" t="n">
        <v>13</v>
      </c>
      <c r="C2630" s="0" t="n">
        <v>6977</v>
      </c>
      <c r="E2630" s="0" t="n">
        <v>0</v>
      </c>
      <c r="F2630" s="27" t="s">
        <v>1327</v>
      </c>
      <c r="I2630" s="27" t="s">
        <v>166</v>
      </c>
      <c r="U2630" s="0" t="n">
        <v>388</v>
      </c>
      <c r="V2630" s="0" t="n">
        <v>0</v>
      </c>
      <c r="W2630" s="27" t="n">
        <f aca="false">MATCH(A2630,DATAS,0)</f>
        <v>1</v>
      </c>
      <c r="X2630" s="27" t="n">
        <f aca="false">IF(AND(E2630&gt;0,OR(AND(B2630&gt;=1,B2630&lt;=6),B2630=10)),1,0)</f>
        <v>0</v>
      </c>
      <c r="Y2630" s="27" t="n">
        <f aca="false">IF(AND(E2630&gt;0,B2630=10),1,0)</f>
        <v>0</v>
      </c>
      <c r="Z2630" s="0" t="str">
        <f aca="false">IF(AND(C2629=C2630,W2629=W2630-1),X2629,"")</f>
        <v/>
      </c>
      <c r="AA2630" s="0" t="str">
        <f aca="false">IF(AND(C2629=C2630,W2629=W2630-1),Y2629,"")</f>
        <v/>
      </c>
      <c r="AB2630" s="0" t="str">
        <f aca="false">IF(W2630=1,"",IF(AND(X2630=1,Z2630&lt;&gt;1),1,0))</f>
        <v/>
      </c>
      <c r="AC2630" s="0" t="str">
        <f aca="false">IF(W2630=1,"",IF(AND(Y2630=1,AA2630&lt;&gt;1),1,0))</f>
        <v/>
      </c>
      <c r="AD2630" s="33" t="str">
        <f aca="false">IF(AND(E2630&gt;0,W2630&lt;1,NOT(AND(C2631=C2630,W2631=W2630+1))),INDEX(DATAS,W2630+1),"")</f>
        <v/>
      </c>
      <c r="AE2630" s="33" t="str">
        <f aca="false">IF(AND(Y2630=1,W2630&lt;1),IF(AND(C2631=C2630,W2631=W2630+1),IF(Y2631=1,"",INDEX(DATAS,W2630+1)),INDEX(DATAS,W2630+1)),"")</f>
        <v/>
      </c>
    </row>
    <row r="2631" customFormat="false" ht="15" hidden="false" customHeight="false" outlineLevel="0" collapsed="false">
      <c r="A2631" s="33" t="n">
        <v>46309</v>
      </c>
      <c r="B2631" s="0" t="n">
        <v>13</v>
      </c>
      <c r="C2631" s="0" t="n">
        <v>6978</v>
      </c>
      <c r="E2631" s="0" t="n">
        <v>0</v>
      </c>
      <c r="F2631" s="27" t="s">
        <v>1327</v>
      </c>
      <c r="I2631" s="27" t="s">
        <v>166</v>
      </c>
      <c r="U2631" s="0" t="n">
        <v>388</v>
      </c>
      <c r="V2631" s="0" t="n">
        <v>0</v>
      </c>
      <c r="W2631" s="27" t="n">
        <f aca="false">MATCH(A2631,DATAS,0)</f>
        <v>1</v>
      </c>
      <c r="X2631" s="27" t="n">
        <f aca="false">IF(AND(E2631&gt;0,OR(AND(B2631&gt;=1,B2631&lt;=6),B2631=10)),1,0)</f>
        <v>0</v>
      </c>
      <c r="Y2631" s="27" t="n">
        <f aca="false">IF(AND(E2631&gt;0,B2631=10),1,0)</f>
        <v>0</v>
      </c>
      <c r="Z2631" s="0" t="str">
        <f aca="false">IF(AND(C2630=C2631,W2630=W2631-1),X2630,"")</f>
        <v/>
      </c>
      <c r="AA2631" s="0" t="str">
        <f aca="false">IF(AND(C2630=C2631,W2630=W2631-1),Y2630,"")</f>
        <v/>
      </c>
      <c r="AB2631" s="0" t="str">
        <f aca="false">IF(W2631=1,"",IF(AND(X2631=1,Z2631&lt;&gt;1),1,0))</f>
        <v/>
      </c>
      <c r="AC2631" s="0" t="str">
        <f aca="false">IF(W2631=1,"",IF(AND(Y2631=1,AA2631&lt;&gt;1),1,0))</f>
        <v/>
      </c>
      <c r="AD2631" s="33" t="str">
        <f aca="false">IF(AND(E2631&gt;0,W2631&lt;1,NOT(AND(C2632=C2631,W2632=W2631+1))),INDEX(DATAS,W2631+1),"")</f>
        <v/>
      </c>
      <c r="AE2631" s="33" t="str">
        <f aca="false">IF(AND(Y2631=1,W2631&lt;1),IF(AND(C2632=C2631,W2632=W2631+1),IF(Y2632=1,"",INDEX(DATAS,W2631+1)),INDEX(DATAS,W2631+1)),"")</f>
        <v/>
      </c>
    </row>
    <row r="2632" customFormat="false" ht="15" hidden="false" customHeight="false" outlineLevel="0" collapsed="false">
      <c r="A2632" s="33" t="n">
        <v>46309</v>
      </c>
      <c r="B2632" s="0" t="n">
        <v>13</v>
      </c>
      <c r="C2632" s="0" t="n">
        <v>6979</v>
      </c>
      <c r="E2632" s="0" t="n">
        <v>0</v>
      </c>
      <c r="F2632" s="27" t="s">
        <v>1327</v>
      </c>
      <c r="I2632" s="27" t="s">
        <v>166</v>
      </c>
      <c r="U2632" s="0" t="n">
        <v>388</v>
      </c>
      <c r="V2632" s="0" t="n">
        <v>0</v>
      </c>
      <c r="W2632" s="27" t="n">
        <f aca="false">MATCH(A2632,DATAS,0)</f>
        <v>1</v>
      </c>
      <c r="X2632" s="27" t="n">
        <f aca="false">IF(AND(E2632&gt;0,OR(AND(B2632&gt;=1,B2632&lt;=6),B2632=10)),1,0)</f>
        <v>0</v>
      </c>
      <c r="Y2632" s="27" t="n">
        <f aca="false">IF(AND(E2632&gt;0,B2632=10),1,0)</f>
        <v>0</v>
      </c>
      <c r="Z2632" s="0" t="str">
        <f aca="false">IF(AND(C2631=C2632,W2631=W2632-1),X2631,"")</f>
        <v/>
      </c>
      <c r="AA2632" s="0" t="str">
        <f aca="false">IF(AND(C2631=C2632,W2631=W2632-1),Y2631,"")</f>
        <v/>
      </c>
      <c r="AB2632" s="0" t="str">
        <f aca="false">IF(W2632=1,"",IF(AND(X2632=1,Z2632&lt;&gt;1),1,0))</f>
        <v/>
      </c>
      <c r="AC2632" s="0" t="str">
        <f aca="false">IF(W2632=1,"",IF(AND(Y2632=1,AA2632&lt;&gt;1),1,0))</f>
        <v/>
      </c>
      <c r="AD2632" s="33" t="str">
        <f aca="false">IF(AND(E2632&gt;0,W2632&lt;1,NOT(AND(C2633=C2632,W2633=W2632+1))),INDEX(DATAS,W2632+1),"")</f>
        <v/>
      </c>
      <c r="AE2632" s="33" t="str">
        <f aca="false">IF(AND(Y2632=1,W2632&lt;1),IF(AND(C2633=C2632,W2633=W2632+1),IF(Y2633=1,"",INDEX(DATAS,W2632+1)),INDEX(DATAS,W2632+1)),"")</f>
        <v/>
      </c>
    </row>
    <row r="2633" customFormat="false" ht="15" hidden="false" customHeight="false" outlineLevel="0" collapsed="false">
      <c r="A2633" s="33" t="n">
        <v>46309</v>
      </c>
      <c r="B2633" s="0" t="n">
        <v>13</v>
      </c>
      <c r="C2633" s="0" t="n">
        <v>6980</v>
      </c>
      <c r="E2633" s="0" t="n">
        <v>0</v>
      </c>
      <c r="F2633" s="27" t="s">
        <v>1328</v>
      </c>
      <c r="I2633" s="27" t="s">
        <v>166</v>
      </c>
      <c r="U2633" s="0" t="n">
        <v>387</v>
      </c>
      <c r="V2633" s="0" t="n">
        <v>0</v>
      </c>
      <c r="W2633" s="27" t="n">
        <f aca="false">MATCH(A2633,DATAS,0)</f>
        <v>1</v>
      </c>
      <c r="X2633" s="27" t="n">
        <f aca="false">IF(AND(E2633&gt;0,OR(AND(B2633&gt;=1,B2633&lt;=6),B2633=10)),1,0)</f>
        <v>0</v>
      </c>
      <c r="Y2633" s="27" t="n">
        <f aca="false">IF(AND(E2633&gt;0,B2633=10),1,0)</f>
        <v>0</v>
      </c>
      <c r="Z2633" s="0" t="str">
        <f aca="false">IF(AND(C2632=C2633,W2632=W2633-1),X2632,"")</f>
        <v/>
      </c>
      <c r="AA2633" s="0" t="str">
        <f aca="false">IF(AND(C2632=C2633,W2632=W2633-1),Y2632,"")</f>
        <v/>
      </c>
      <c r="AB2633" s="0" t="str">
        <f aca="false">IF(W2633=1,"",IF(AND(X2633=1,Z2633&lt;&gt;1),1,0))</f>
        <v/>
      </c>
      <c r="AC2633" s="0" t="str">
        <f aca="false">IF(W2633=1,"",IF(AND(Y2633=1,AA2633&lt;&gt;1),1,0))</f>
        <v/>
      </c>
      <c r="AD2633" s="33" t="str">
        <f aca="false">IF(AND(E2633&gt;0,W2633&lt;1,NOT(AND(C2634=C2633,W2634=W2633+1))),INDEX(DATAS,W2633+1),"")</f>
        <v/>
      </c>
      <c r="AE2633" s="33" t="str">
        <f aca="false">IF(AND(Y2633=1,W2633&lt;1),IF(AND(C2634=C2633,W2634=W2633+1),IF(Y2634=1,"",INDEX(DATAS,W2633+1)),INDEX(DATAS,W2633+1)),"")</f>
        <v/>
      </c>
    </row>
    <row r="2634" customFormat="false" ht="15" hidden="false" customHeight="false" outlineLevel="0" collapsed="false">
      <c r="A2634" s="33" t="n">
        <v>46309</v>
      </c>
      <c r="B2634" s="0" t="n">
        <v>13</v>
      </c>
      <c r="C2634" s="0" t="n">
        <v>6982</v>
      </c>
      <c r="E2634" s="0" t="n">
        <v>0</v>
      </c>
      <c r="F2634" s="27" t="s">
        <v>1329</v>
      </c>
      <c r="I2634" s="27" t="s">
        <v>166</v>
      </c>
      <c r="U2634" s="0" t="n">
        <v>385</v>
      </c>
      <c r="V2634" s="0" t="n">
        <v>0</v>
      </c>
      <c r="W2634" s="27" t="n">
        <f aca="false">MATCH(A2634,DATAS,0)</f>
        <v>1</v>
      </c>
      <c r="X2634" s="27" t="n">
        <f aca="false">IF(AND(E2634&gt;0,OR(AND(B2634&gt;=1,B2634&lt;=6),B2634=10)),1,0)</f>
        <v>0</v>
      </c>
      <c r="Y2634" s="27" t="n">
        <f aca="false">IF(AND(E2634&gt;0,B2634=10),1,0)</f>
        <v>0</v>
      </c>
      <c r="Z2634" s="0" t="str">
        <f aca="false">IF(AND(C2633=C2634,W2633=W2634-1),X2633,"")</f>
        <v/>
      </c>
      <c r="AA2634" s="0" t="str">
        <f aca="false">IF(AND(C2633=C2634,W2633=W2634-1),Y2633,"")</f>
        <v/>
      </c>
      <c r="AB2634" s="0" t="str">
        <f aca="false">IF(W2634=1,"",IF(AND(X2634=1,Z2634&lt;&gt;1),1,0))</f>
        <v/>
      </c>
      <c r="AC2634" s="0" t="str">
        <f aca="false">IF(W2634=1,"",IF(AND(Y2634=1,AA2634&lt;&gt;1),1,0))</f>
        <v/>
      </c>
      <c r="AD2634" s="33" t="str">
        <f aca="false">IF(AND(E2634&gt;0,W2634&lt;1,NOT(AND(C2635=C2634,W2635=W2634+1))),INDEX(DATAS,W2634+1),"")</f>
        <v/>
      </c>
      <c r="AE2634" s="33" t="str">
        <f aca="false">IF(AND(Y2634=1,W2634&lt;1),IF(AND(C2635=C2634,W2635=W2634+1),IF(Y2635=1,"",INDEX(DATAS,W2634+1)),INDEX(DATAS,W2634+1)),"")</f>
        <v/>
      </c>
    </row>
    <row r="2635" customFormat="false" ht="15" hidden="false" customHeight="false" outlineLevel="0" collapsed="false">
      <c r="A2635" s="33" t="n">
        <v>46309</v>
      </c>
      <c r="B2635" s="0" t="n">
        <v>13</v>
      </c>
      <c r="C2635" s="0" t="n">
        <v>6983</v>
      </c>
      <c r="E2635" s="0" t="n">
        <v>0</v>
      </c>
      <c r="F2635" s="27" t="s">
        <v>1329</v>
      </c>
      <c r="I2635" s="27" t="s">
        <v>166</v>
      </c>
      <c r="U2635" s="0" t="n">
        <v>385</v>
      </c>
      <c r="V2635" s="0" t="n">
        <v>0</v>
      </c>
      <c r="W2635" s="27" t="n">
        <f aca="false">MATCH(A2635,DATAS,0)</f>
        <v>1</v>
      </c>
      <c r="X2635" s="27" t="n">
        <f aca="false">IF(AND(E2635&gt;0,OR(AND(B2635&gt;=1,B2635&lt;=6),B2635=10)),1,0)</f>
        <v>0</v>
      </c>
      <c r="Y2635" s="27" t="n">
        <f aca="false">IF(AND(E2635&gt;0,B2635=10),1,0)</f>
        <v>0</v>
      </c>
      <c r="Z2635" s="0" t="str">
        <f aca="false">IF(AND(C2634=C2635,W2634=W2635-1),X2634,"")</f>
        <v/>
      </c>
      <c r="AA2635" s="0" t="str">
        <f aca="false">IF(AND(C2634=C2635,W2634=W2635-1),Y2634,"")</f>
        <v/>
      </c>
      <c r="AB2635" s="0" t="str">
        <f aca="false">IF(W2635=1,"",IF(AND(X2635=1,Z2635&lt;&gt;1),1,0))</f>
        <v/>
      </c>
      <c r="AC2635" s="0" t="str">
        <f aca="false">IF(W2635=1,"",IF(AND(Y2635=1,AA2635&lt;&gt;1),1,0))</f>
        <v/>
      </c>
      <c r="AD2635" s="33" t="str">
        <f aca="false">IF(AND(E2635&gt;0,W2635&lt;1,NOT(AND(C2636=C2635,W2636=W2635+1))),INDEX(DATAS,W2635+1),"")</f>
        <v/>
      </c>
      <c r="AE2635" s="33" t="str">
        <f aca="false">IF(AND(Y2635=1,W2635&lt;1),IF(AND(C2636=C2635,W2636=W2635+1),IF(Y2636=1,"",INDEX(DATAS,W2635+1)),INDEX(DATAS,W2635+1)),"")</f>
        <v/>
      </c>
    </row>
    <row r="2636" customFormat="false" ht="15" hidden="false" customHeight="false" outlineLevel="0" collapsed="false">
      <c r="A2636" s="33" t="n">
        <v>46309</v>
      </c>
      <c r="B2636" s="0" t="n">
        <v>13</v>
      </c>
      <c r="C2636" s="0" t="n">
        <v>6984</v>
      </c>
      <c r="E2636" s="0" t="n">
        <v>0</v>
      </c>
      <c r="F2636" s="27" t="s">
        <v>1329</v>
      </c>
      <c r="I2636" s="27" t="s">
        <v>166</v>
      </c>
      <c r="U2636" s="0" t="n">
        <v>385</v>
      </c>
      <c r="V2636" s="0" t="n">
        <v>0</v>
      </c>
      <c r="W2636" s="27" t="n">
        <f aca="false">MATCH(A2636,DATAS,0)</f>
        <v>1</v>
      </c>
      <c r="X2636" s="27" t="n">
        <f aca="false">IF(AND(E2636&gt;0,OR(AND(B2636&gt;=1,B2636&lt;=6),B2636=10)),1,0)</f>
        <v>0</v>
      </c>
      <c r="Y2636" s="27" t="n">
        <f aca="false">IF(AND(E2636&gt;0,B2636=10),1,0)</f>
        <v>0</v>
      </c>
      <c r="Z2636" s="0" t="str">
        <f aca="false">IF(AND(C2635=C2636,W2635=W2636-1),X2635,"")</f>
        <v/>
      </c>
      <c r="AA2636" s="0" t="str">
        <f aca="false">IF(AND(C2635=C2636,W2635=W2636-1),Y2635,"")</f>
        <v/>
      </c>
      <c r="AB2636" s="0" t="str">
        <f aca="false">IF(W2636=1,"",IF(AND(X2636=1,Z2636&lt;&gt;1),1,0))</f>
        <v/>
      </c>
      <c r="AC2636" s="0" t="str">
        <f aca="false">IF(W2636=1,"",IF(AND(Y2636=1,AA2636&lt;&gt;1),1,0))</f>
        <v/>
      </c>
      <c r="AD2636" s="33" t="str">
        <f aca="false">IF(AND(E2636&gt;0,W2636&lt;1,NOT(AND(C2637=C2636,W2637=W2636+1))),INDEX(DATAS,W2636+1),"")</f>
        <v/>
      </c>
      <c r="AE2636" s="33" t="str">
        <f aca="false">IF(AND(Y2636=1,W2636&lt;1),IF(AND(C2637=C2636,W2637=W2636+1),IF(Y2637=1,"",INDEX(DATAS,W2636+1)),INDEX(DATAS,W2636+1)),"")</f>
        <v/>
      </c>
    </row>
    <row r="2637" customFormat="false" ht="15" hidden="false" customHeight="false" outlineLevel="0" collapsed="false">
      <c r="A2637" s="33" t="n">
        <v>46309</v>
      </c>
      <c r="B2637" s="0" t="n">
        <v>13</v>
      </c>
      <c r="C2637" s="0" t="n">
        <v>6985</v>
      </c>
      <c r="E2637" s="0" t="n">
        <v>0</v>
      </c>
      <c r="F2637" s="27" t="s">
        <v>1329</v>
      </c>
      <c r="I2637" s="27" t="s">
        <v>166</v>
      </c>
      <c r="U2637" s="0" t="n">
        <v>385</v>
      </c>
      <c r="V2637" s="0" t="n">
        <v>0</v>
      </c>
      <c r="W2637" s="27" t="n">
        <f aca="false">MATCH(A2637,DATAS,0)</f>
        <v>1</v>
      </c>
      <c r="X2637" s="27" t="n">
        <f aca="false">IF(AND(E2637&gt;0,OR(AND(B2637&gt;=1,B2637&lt;=6),B2637=10)),1,0)</f>
        <v>0</v>
      </c>
      <c r="Y2637" s="27" t="n">
        <f aca="false">IF(AND(E2637&gt;0,B2637=10),1,0)</f>
        <v>0</v>
      </c>
      <c r="Z2637" s="0" t="str">
        <f aca="false">IF(AND(C2636=C2637,W2636=W2637-1),X2636,"")</f>
        <v/>
      </c>
      <c r="AA2637" s="0" t="str">
        <f aca="false">IF(AND(C2636=C2637,W2636=W2637-1),Y2636,"")</f>
        <v/>
      </c>
      <c r="AB2637" s="0" t="str">
        <f aca="false">IF(W2637=1,"",IF(AND(X2637=1,Z2637&lt;&gt;1),1,0))</f>
        <v/>
      </c>
      <c r="AC2637" s="0" t="str">
        <f aca="false">IF(W2637=1,"",IF(AND(Y2637=1,AA2637&lt;&gt;1),1,0))</f>
        <v/>
      </c>
      <c r="AD2637" s="33" t="str">
        <f aca="false">IF(AND(E2637&gt;0,W2637&lt;1,NOT(AND(C2638=C2637,W2638=W2637+1))),INDEX(DATAS,W2637+1),"")</f>
        <v/>
      </c>
      <c r="AE2637" s="33" t="str">
        <f aca="false">IF(AND(Y2637=1,W2637&lt;1),IF(AND(C2638=C2637,W2638=W2637+1),IF(Y2638=1,"",INDEX(DATAS,W2637+1)),INDEX(DATAS,W2637+1)),"")</f>
        <v/>
      </c>
    </row>
    <row r="2638" customFormat="false" ht="15" hidden="false" customHeight="false" outlineLevel="0" collapsed="false">
      <c r="A2638" s="33" t="n">
        <v>46309</v>
      </c>
      <c r="B2638" s="0" t="n">
        <v>13</v>
      </c>
      <c r="C2638" s="0" t="n">
        <v>6986</v>
      </c>
      <c r="E2638" s="0" t="n">
        <v>0</v>
      </c>
      <c r="F2638" s="27" t="s">
        <v>1330</v>
      </c>
      <c r="I2638" s="27" t="s">
        <v>166</v>
      </c>
      <c r="U2638" s="0" t="n">
        <v>384</v>
      </c>
      <c r="V2638" s="0" t="n">
        <v>0</v>
      </c>
      <c r="W2638" s="27" t="n">
        <f aca="false">MATCH(A2638,DATAS,0)</f>
        <v>1</v>
      </c>
      <c r="X2638" s="27" t="n">
        <f aca="false">IF(AND(E2638&gt;0,OR(AND(B2638&gt;=1,B2638&lt;=6),B2638=10)),1,0)</f>
        <v>0</v>
      </c>
      <c r="Y2638" s="27" t="n">
        <f aca="false">IF(AND(E2638&gt;0,B2638=10),1,0)</f>
        <v>0</v>
      </c>
      <c r="Z2638" s="0" t="str">
        <f aca="false">IF(AND(C2637=C2638,W2637=W2638-1),X2637,"")</f>
        <v/>
      </c>
      <c r="AA2638" s="0" t="str">
        <f aca="false">IF(AND(C2637=C2638,W2637=W2638-1),Y2637,"")</f>
        <v/>
      </c>
      <c r="AB2638" s="0" t="str">
        <f aca="false">IF(W2638=1,"",IF(AND(X2638=1,Z2638&lt;&gt;1),1,0))</f>
        <v/>
      </c>
      <c r="AC2638" s="0" t="str">
        <f aca="false">IF(W2638=1,"",IF(AND(Y2638=1,AA2638&lt;&gt;1),1,0))</f>
        <v/>
      </c>
      <c r="AD2638" s="33" t="str">
        <f aca="false">IF(AND(E2638&gt;0,W2638&lt;1,NOT(AND(C2639=C2638,W2639=W2638+1))),INDEX(DATAS,W2638+1),"")</f>
        <v/>
      </c>
      <c r="AE2638" s="33" t="str">
        <f aca="false">IF(AND(Y2638=1,W2638&lt;1),IF(AND(C2639=C2638,W2639=W2638+1),IF(Y2639=1,"",INDEX(DATAS,W2638+1)),INDEX(DATAS,W2638+1)),"")</f>
        <v/>
      </c>
    </row>
    <row r="2639" customFormat="false" ht="15" hidden="false" customHeight="false" outlineLevel="0" collapsed="false">
      <c r="A2639" s="33" t="n">
        <v>46309</v>
      </c>
      <c r="B2639" s="0" t="n">
        <v>13</v>
      </c>
      <c r="C2639" s="0" t="n">
        <v>6987</v>
      </c>
      <c r="E2639" s="0" t="n">
        <v>0</v>
      </c>
      <c r="F2639" s="27" t="s">
        <v>1330</v>
      </c>
      <c r="I2639" s="27" t="s">
        <v>166</v>
      </c>
      <c r="U2639" s="0" t="n">
        <v>384</v>
      </c>
      <c r="V2639" s="0" t="n">
        <v>0</v>
      </c>
      <c r="W2639" s="27" t="n">
        <f aca="false">MATCH(A2639,DATAS,0)</f>
        <v>1</v>
      </c>
      <c r="X2639" s="27" t="n">
        <f aca="false">IF(AND(E2639&gt;0,OR(AND(B2639&gt;=1,B2639&lt;=6),B2639=10)),1,0)</f>
        <v>0</v>
      </c>
      <c r="Y2639" s="27" t="n">
        <f aca="false">IF(AND(E2639&gt;0,B2639=10),1,0)</f>
        <v>0</v>
      </c>
      <c r="Z2639" s="0" t="str">
        <f aca="false">IF(AND(C2638=C2639,W2638=W2639-1),X2638,"")</f>
        <v/>
      </c>
      <c r="AA2639" s="0" t="str">
        <f aca="false">IF(AND(C2638=C2639,W2638=W2639-1),Y2638,"")</f>
        <v/>
      </c>
      <c r="AB2639" s="0" t="str">
        <f aca="false">IF(W2639=1,"",IF(AND(X2639=1,Z2639&lt;&gt;1),1,0))</f>
        <v/>
      </c>
      <c r="AC2639" s="0" t="str">
        <f aca="false">IF(W2639=1,"",IF(AND(Y2639=1,AA2639&lt;&gt;1),1,0))</f>
        <v/>
      </c>
      <c r="AD2639" s="33" t="str">
        <f aca="false">IF(AND(E2639&gt;0,W2639&lt;1,NOT(AND(C2640=C2639,W2640=W2639+1))),INDEX(DATAS,W2639+1),"")</f>
        <v/>
      </c>
      <c r="AE2639" s="33" t="str">
        <f aca="false">IF(AND(Y2639=1,W2639&lt;1),IF(AND(C2640=C2639,W2640=W2639+1),IF(Y2640=1,"",INDEX(DATAS,W2639+1)),INDEX(DATAS,W2639+1)),"")</f>
        <v/>
      </c>
    </row>
    <row r="2640" customFormat="false" ht="15" hidden="false" customHeight="false" outlineLevel="0" collapsed="false">
      <c r="A2640" s="33" t="n">
        <v>46309</v>
      </c>
      <c r="B2640" s="0" t="n">
        <v>13</v>
      </c>
      <c r="C2640" s="0" t="n">
        <v>6988</v>
      </c>
      <c r="E2640" s="0" t="n">
        <v>0</v>
      </c>
      <c r="F2640" s="27" t="s">
        <v>1330</v>
      </c>
      <c r="I2640" s="27" t="s">
        <v>166</v>
      </c>
      <c r="U2640" s="0" t="n">
        <v>384</v>
      </c>
      <c r="V2640" s="0" t="n">
        <v>0</v>
      </c>
      <c r="W2640" s="27" t="n">
        <f aca="false">MATCH(A2640,DATAS,0)</f>
        <v>1</v>
      </c>
      <c r="X2640" s="27" t="n">
        <f aca="false">IF(AND(E2640&gt;0,OR(AND(B2640&gt;=1,B2640&lt;=6),B2640=10)),1,0)</f>
        <v>0</v>
      </c>
      <c r="Y2640" s="27" t="n">
        <f aca="false">IF(AND(E2640&gt;0,B2640=10),1,0)</f>
        <v>0</v>
      </c>
      <c r="Z2640" s="0" t="str">
        <f aca="false">IF(AND(C2639=C2640,W2639=W2640-1),X2639,"")</f>
        <v/>
      </c>
      <c r="AA2640" s="0" t="str">
        <f aca="false">IF(AND(C2639=C2640,W2639=W2640-1),Y2639,"")</f>
        <v/>
      </c>
      <c r="AB2640" s="0" t="str">
        <f aca="false">IF(W2640=1,"",IF(AND(X2640=1,Z2640&lt;&gt;1),1,0))</f>
        <v/>
      </c>
      <c r="AC2640" s="0" t="str">
        <f aca="false">IF(W2640=1,"",IF(AND(Y2640=1,AA2640&lt;&gt;1),1,0))</f>
        <v/>
      </c>
      <c r="AD2640" s="33" t="str">
        <f aca="false">IF(AND(E2640&gt;0,W2640&lt;1,NOT(AND(C2641=C2640,W2641=W2640+1))),INDEX(DATAS,W2640+1),"")</f>
        <v/>
      </c>
      <c r="AE2640" s="33" t="str">
        <f aca="false">IF(AND(Y2640=1,W2640&lt;1),IF(AND(C2641=C2640,W2641=W2640+1),IF(Y2641=1,"",INDEX(DATAS,W2640+1)),INDEX(DATAS,W2640+1)),"")</f>
        <v/>
      </c>
    </row>
    <row r="2641" customFormat="false" ht="15" hidden="false" customHeight="false" outlineLevel="0" collapsed="false">
      <c r="A2641" s="33" t="n">
        <v>46309</v>
      </c>
      <c r="B2641" s="0" t="n">
        <v>13</v>
      </c>
      <c r="C2641" s="0" t="n">
        <v>6989</v>
      </c>
      <c r="E2641" s="0" t="n">
        <v>0</v>
      </c>
      <c r="F2641" s="27" t="s">
        <v>1330</v>
      </c>
      <c r="I2641" s="27" t="s">
        <v>166</v>
      </c>
      <c r="U2641" s="0" t="n">
        <v>384</v>
      </c>
      <c r="V2641" s="0" t="n">
        <v>0</v>
      </c>
      <c r="W2641" s="27" t="n">
        <f aca="false">MATCH(A2641,DATAS,0)</f>
        <v>1</v>
      </c>
      <c r="X2641" s="27" t="n">
        <f aca="false">IF(AND(E2641&gt;0,OR(AND(B2641&gt;=1,B2641&lt;=6),B2641=10)),1,0)</f>
        <v>0</v>
      </c>
      <c r="Y2641" s="27" t="n">
        <f aca="false">IF(AND(E2641&gt;0,B2641=10),1,0)</f>
        <v>0</v>
      </c>
      <c r="Z2641" s="0" t="str">
        <f aca="false">IF(AND(C2640=C2641,W2640=W2641-1),X2640,"")</f>
        <v/>
      </c>
      <c r="AA2641" s="0" t="str">
        <f aca="false">IF(AND(C2640=C2641,W2640=W2641-1),Y2640,"")</f>
        <v/>
      </c>
      <c r="AB2641" s="0" t="str">
        <f aca="false">IF(W2641=1,"",IF(AND(X2641=1,Z2641&lt;&gt;1),1,0))</f>
        <v/>
      </c>
      <c r="AC2641" s="0" t="str">
        <f aca="false">IF(W2641=1,"",IF(AND(Y2641=1,AA2641&lt;&gt;1),1,0))</f>
        <v/>
      </c>
      <c r="AD2641" s="33" t="str">
        <f aca="false">IF(AND(E2641&gt;0,W2641&lt;1,NOT(AND(C2642=C2641,W2642=W2641+1))),INDEX(DATAS,W2641+1),"")</f>
        <v/>
      </c>
      <c r="AE2641" s="33" t="str">
        <f aca="false">IF(AND(Y2641=1,W2641&lt;1),IF(AND(C2642=C2641,W2642=W2641+1),IF(Y2642=1,"",INDEX(DATAS,W2641+1)),INDEX(DATAS,W2641+1)),"")</f>
        <v/>
      </c>
    </row>
    <row r="2642" customFormat="false" ht="15" hidden="false" customHeight="false" outlineLevel="0" collapsed="false">
      <c r="A2642" s="33" t="n">
        <v>46309</v>
      </c>
      <c r="B2642" s="0" t="n">
        <v>13</v>
      </c>
      <c r="C2642" s="0" t="n">
        <v>6990</v>
      </c>
      <c r="E2642" s="0" t="n">
        <v>0</v>
      </c>
      <c r="F2642" s="27" t="s">
        <v>1331</v>
      </c>
      <c r="I2642" s="27" t="s">
        <v>166</v>
      </c>
      <c r="U2642" s="0" t="n">
        <v>383</v>
      </c>
      <c r="V2642" s="0" t="n">
        <v>0</v>
      </c>
      <c r="W2642" s="27" t="n">
        <f aca="false">MATCH(A2642,DATAS,0)</f>
        <v>1</v>
      </c>
      <c r="X2642" s="27" t="n">
        <f aca="false">IF(AND(E2642&gt;0,OR(AND(B2642&gt;=1,B2642&lt;=6),B2642=10)),1,0)</f>
        <v>0</v>
      </c>
      <c r="Y2642" s="27" t="n">
        <f aca="false">IF(AND(E2642&gt;0,B2642=10),1,0)</f>
        <v>0</v>
      </c>
      <c r="Z2642" s="0" t="str">
        <f aca="false">IF(AND(C2641=C2642,W2641=W2642-1),X2641,"")</f>
        <v/>
      </c>
      <c r="AA2642" s="0" t="str">
        <f aca="false">IF(AND(C2641=C2642,W2641=W2642-1),Y2641,"")</f>
        <v/>
      </c>
      <c r="AB2642" s="0" t="str">
        <f aca="false">IF(W2642=1,"",IF(AND(X2642=1,Z2642&lt;&gt;1),1,0))</f>
        <v/>
      </c>
      <c r="AC2642" s="0" t="str">
        <f aca="false">IF(W2642=1,"",IF(AND(Y2642=1,AA2642&lt;&gt;1),1,0))</f>
        <v/>
      </c>
      <c r="AD2642" s="33" t="str">
        <f aca="false">IF(AND(E2642&gt;0,W2642&lt;1,NOT(AND(C2643=C2642,W2643=W2642+1))),INDEX(DATAS,W2642+1),"")</f>
        <v/>
      </c>
      <c r="AE2642" s="33" t="str">
        <f aca="false">IF(AND(Y2642=1,W2642&lt;1),IF(AND(C2643=C2642,W2643=W2642+1),IF(Y2643=1,"",INDEX(DATAS,W2642+1)),INDEX(DATAS,W2642+1)),"")</f>
        <v/>
      </c>
    </row>
    <row r="2643" customFormat="false" ht="15" hidden="false" customHeight="false" outlineLevel="0" collapsed="false">
      <c r="A2643" s="33" t="n">
        <v>46309</v>
      </c>
      <c r="B2643" s="0" t="n">
        <v>13</v>
      </c>
      <c r="C2643" s="0" t="n">
        <v>6991</v>
      </c>
      <c r="E2643" s="0" t="n">
        <v>0</v>
      </c>
      <c r="F2643" s="27" t="s">
        <v>1331</v>
      </c>
      <c r="I2643" s="27" t="s">
        <v>166</v>
      </c>
      <c r="U2643" s="0" t="n">
        <v>383</v>
      </c>
      <c r="V2643" s="0" t="n">
        <v>0</v>
      </c>
      <c r="W2643" s="27" t="n">
        <f aca="false">MATCH(A2643,DATAS,0)</f>
        <v>1</v>
      </c>
      <c r="X2643" s="27" t="n">
        <f aca="false">IF(AND(E2643&gt;0,OR(AND(B2643&gt;=1,B2643&lt;=6),B2643=10)),1,0)</f>
        <v>0</v>
      </c>
      <c r="Y2643" s="27" t="n">
        <f aca="false">IF(AND(E2643&gt;0,B2643=10),1,0)</f>
        <v>0</v>
      </c>
      <c r="Z2643" s="0" t="str">
        <f aca="false">IF(AND(C2642=C2643,W2642=W2643-1),X2642,"")</f>
        <v/>
      </c>
      <c r="AA2643" s="0" t="str">
        <f aca="false">IF(AND(C2642=C2643,W2642=W2643-1),Y2642,"")</f>
        <v/>
      </c>
      <c r="AB2643" s="0" t="str">
        <f aca="false">IF(W2643=1,"",IF(AND(X2643=1,Z2643&lt;&gt;1),1,0))</f>
        <v/>
      </c>
      <c r="AC2643" s="0" t="str">
        <f aca="false">IF(W2643=1,"",IF(AND(Y2643=1,AA2643&lt;&gt;1),1,0))</f>
        <v/>
      </c>
      <c r="AD2643" s="33" t="str">
        <f aca="false">IF(AND(E2643&gt;0,W2643&lt;1,NOT(AND(C2644=C2643,W2644=W2643+1))),INDEX(DATAS,W2643+1),"")</f>
        <v/>
      </c>
      <c r="AE2643" s="33" t="str">
        <f aca="false">IF(AND(Y2643=1,W2643&lt;1),IF(AND(C2644=C2643,W2644=W2643+1),IF(Y2644=1,"",INDEX(DATAS,W2643+1)),INDEX(DATAS,W2643+1)),"")</f>
        <v/>
      </c>
    </row>
    <row r="2644" customFormat="false" ht="15" hidden="false" customHeight="false" outlineLevel="0" collapsed="false">
      <c r="A2644" s="33" t="n">
        <v>46309</v>
      </c>
      <c r="B2644" s="0" t="n">
        <v>13</v>
      </c>
      <c r="C2644" s="0" t="n">
        <v>6992</v>
      </c>
      <c r="E2644" s="0" t="n">
        <v>0</v>
      </c>
      <c r="F2644" s="27" t="s">
        <v>1331</v>
      </c>
      <c r="I2644" s="27" t="s">
        <v>166</v>
      </c>
      <c r="U2644" s="0" t="n">
        <v>383</v>
      </c>
      <c r="V2644" s="0" t="n">
        <v>0</v>
      </c>
      <c r="W2644" s="27" t="n">
        <f aca="false">MATCH(A2644,DATAS,0)</f>
        <v>1</v>
      </c>
      <c r="X2644" s="27" t="n">
        <f aca="false">IF(AND(E2644&gt;0,OR(AND(B2644&gt;=1,B2644&lt;=6),B2644=10)),1,0)</f>
        <v>0</v>
      </c>
      <c r="Y2644" s="27" t="n">
        <f aca="false">IF(AND(E2644&gt;0,B2644=10),1,0)</f>
        <v>0</v>
      </c>
      <c r="Z2644" s="0" t="str">
        <f aca="false">IF(AND(C2643=C2644,W2643=W2644-1),X2643,"")</f>
        <v/>
      </c>
      <c r="AA2644" s="0" t="str">
        <f aca="false">IF(AND(C2643=C2644,W2643=W2644-1),Y2643,"")</f>
        <v/>
      </c>
      <c r="AB2644" s="0" t="str">
        <f aca="false">IF(W2644=1,"",IF(AND(X2644=1,Z2644&lt;&gt;1),1,0))</f>
        <v/>
      </c>
      <c r="AC2644" s="0" t="str">
        <f aca="false">IF(W2644=1,"",IF(AND(Y2644=1,AA2644&lt;&gt;1),1,0))</f>
        <v/>
      </c>
      <c r="AD2644" s="33" t="str">
        <f aca="false">IF(AND(E2644&gt;0,W2644&lt;1,NOT(AND(C2645=C2644,W2645=W2644+1))),INDEX(DATAS,W2644+1),"")</f>
        <v/>
      </c>
      <c r="AE2644" s="33" t="str">
        <f aca="false">IF(AND(Y2644=1,W2644&lt;1),IF(AND(C2645=C2644,W2645=W2644+1),IF(Y2645=1,"",INDEX(DATAS,W2644+1)),INDEX(DATAS,W2644+1)),"")</f>
        <v/>
      </c>
    </row>
    <row r="2645" customFormat="false" ht="15" hidden="false" customHeight="false" outlineLevel="0" collapsed="false">
      <c r="A2645" s="33" t="n">
        <v>46309</v>
      </c>
      <c r="B2645" s="0" t="n">
        <v>13</v>
      </c>
      <c r="C2645" s="0" t="n">
        <v>6993</v>
      </c>
      <c r="E2645" s="0" t="n">
        <v>0</v>
      </c>
      <c r="F2645" s="27" t="s">
        <v>1331</v>
      </c>
      <c r="I2645" s="27" t="s">
        <v>166</v>
      </c>
      <c r="U2645" s="0" t="n">
        <v>383</v>
      </c>
      <c r="V2645" s="0" t="n">
        <v>0</v>
      </c>
      <c r="W2645" s="27" t="n">
        <f aca="false">MATCH(A2645,DATAS,0)</f>
        <v>1</v>
      </c>
      <c r="X2645" s="27" t="n">
        <f aca="false">IF(AND(E2645&gt;0,OR(AND(B2645&gt;=1,B2645&lt;=6),B2645=10)),1,0)</f>
        <v>0</v>
      </c>
      <c r="Y2645" s="27" t="n">
        <f aca="false">IF(AND(E2645&gt;0,B2645=10),1,0)</f>
        <v>0</v>
      </c>
      <c r="Z2645" s="0" t="str">
        <f aca="false">IF(AND(C2644=C2645,W2644=W2645-1),X2644,"")</f>
        <v/>
      </c>
      <c r="AA2645" s="0" t="str">
        <f aca="false">IF(AND(C2644=C2645,W2644=W2645-1),Y2644,"")</f>
        <v/>
      </c>
      <c r="AB2645" s="0" t="str">
        <f aca="false">IF(W2645=1,"",IF(AND(X2645=1,Z2645&lt;&gt;1),1,0))</f>
        <v/>
      </c>
      <c r="AC2645" s="0" t="str">
        <f aca="false">IF(W2645=1,"",IF(AND(Y2645=1,AA2645&lt;&gt;1),1,0))</f>
        <v/>
      </c>
      <c r="AD2645" s="33" t="str">
        <f aca="false">IF(AND(E2645&gt;0,W2645&lt;1,NOT(AND(C2646=C2645,W2646=W2645+1))),INDEX(DATAS,W2645+1),"")</f>
        <v/>
      </c>
      <c r="AE2645" s="33" t="str">
        <f aca="false">IF(AND(Y2645=1,W2645&lt;1),IF(AND(C2646=C2645,W2646=W2645+1),IF(Y2646=1,"",INDEX(DATAS,W2645+1)),INDEX(DATAS,W2645+1)),"")</f>
        <v/>
      </c>
    </row>
    <row r="2646" customFormat="false" ht="15" hidden="false" customHeight="false" outlineLevel="0" collapsed="false">
      <c r="A2646" s="33" t="n">
        <v>46309</v>
      </c>
      <c r="B2646" s="0" t="n">
        <v>13</v>
      </c>
      <c r="C2646" s="0" t="n">
        <v>6994</v>
      </c>
      <c r="E2646" s="0" t="n">
        <v>0</v>
      </c>
      <c r="F2646" s="27" t="s">
        <v>1332</v>
      </c>
      <c r="I2646" s="27" t="s">
        <v>166</v>
      </c>
      <c r="U2646" s="0" t="n">
        <v>382</v>
      </c>
      <c r="V2646" s="0" t="n">
        <v>0</v>
      </c>
      <c r="W2646" s="27" t="n">
        <f aca="false">MATCH(A2646,DATAS,0)</f>
        <v>1</v>
      </c>
      <c r="X2646" s="27" t="n">
        <f aca="false">IF(AND(E2646&gt;0,OR(AND(B2646&gt;=1,B2646&lt;=6),B2646=10)),1,0)</f>
        <v>0</v>
      </c>
      <c r="Y2646" s="27" t="n">
        <f aca="false">IF(AND(E2646&gt;0,B2646=10),1,0)</f>
        <v>0</v>
      </c>
      <c r="Z2646" s="0" t="str">
        <f aca="false">IF(AND(C2645=C2646,W2645=W2646-1),X2645,"")</f>
        <v/>
      </c>
      <c r="AA2646" s="0" t="str">
        <f aca="false">IF(AND(C2645=C2646,W2645=W2646-1),Y2645,"")</f>
        <v/>
      </c>
      <c r="AB2646" s="0" t="str">
        <f aca="false">IF(W2646=1,"",IF(AND(X2646=1,Z2646&lt;&gt;1),1,0))</f>
        <v/>
      </c>
      <c r="AC2646" s="0" t="str">
        <f aca="false">IF(W2646=1,"",IF(AND(Y2646=1,AA2646&lt;&gt;1),1,0))</f>
        <v/>
      </c>
      <c r="AD2646" s="33" t="str">
        <f aca="false">IF(AND(E2646&gt;0,W2646&lt;1,NOT(AND(C2647=C2646,W2647=W2646+1))),INDEX(DATAS,W2646+1),"")</f>
        <v/>
      </c>
      <c r="AE2646" s="33" t="str">
        <f aca="false">IF(AND(Y2646=1,W2646&lt;1),IF(AND(C2647=C2646,W2647=W2646+1),IF(Y2647=1,"",INDEX(DATAS,W2646+1)),INDEX(DATAS,W2646+1)),"")</f>
        <v/>
      </c>
    </row>
    <row r="2647" customFormat="false" ht="15" hidden="false" customHeight="false" outlineLevel="0" collapsed="false">
      <c r="A2647" s="33" t="n">
        <v>46309</v>
      </c>
      <c r="B2647" s="0" t="n">
        <v>13</v>
      </c>
      <c r="C2647" s="0" t="n">
        <v>6995</v>
      </c>
      <c r="E2647" s="0" t="n">
        <v>0</v>
      </c>
      <c r="F2647" s="27" t="s">
        <v>1332</v>
      </c>
      <c r="I2647" s="27" t="s">
        <v>166</v>
      </c>
      <c r="U2647" s="0" t="n">
        <v>382</v>
      </c>
      <c r="V2647" s="0" t="n">
        <v>0</v>
      </c>
      <c r="W2647" s="27" t="n">
        <f aca="false">MATCH(A2647,DATAS,0)</f>
        <v>1</v>
      </c>
      <c r="X2647" s="27" t="n">
        <f aca="false">IF(AND(E2647&gt;0,OR(AND(B2647&gt;=1,B2647&lt;=6),B2647=10)),1,0)</f>
        <v>0</v>
      </c>
      <c r="Y2647" s="27" t="n">
        <f aca="false">IF(AND(E2647&gt;0,B2647=10),1,0)</f>
        <v>0</v>
      </c>
      <c r="Z2647" s="0" t="str">
        <f aca="false">IF(AND(C2646=C2647,W2646=W2647-1),X2646,"")</f>
        <v/>
      </c>
      <c r="AA2647" s="0" t="str">
        <f aca="false">IF(AND(C2646=C2647,W2646=W2647-1),Y2646,"")</f>
        <v/>
      </c>
      <c r="AB2647" s="0" t="str">
        <f aca="false">IF(W2647=1,"",IF(AND(X2647=1,Z2647&lt;&gt;1),1,0))</f>
        <v/>
      </c>
      <c r="AC2647" s="0" t="str">
        <f aca="false">IF(W2647=1,"",IF(AND(Y2647=1,AA2647&lt;&gt;1),1,0))</f>
        <v/>
      </c>
      <c r="AD2647" s="33" t="str">
        <f aca="false">IF(AND(E2647&gt;0,W2647&lt;1,NOT(AND(C2648=C2647,W2648=W2647+1))),INDEX(DATAS,W2647+1),"")</f>
        <v/>
      </c>
      <c r="AE2647" s="33" t="str">
        <f aca="false">IF(AND(Y2647=1,W2647&lt;1),IF(AND(C2648=C2647,W2648=W2647+1),IF(Y2648=1,"",INDEX(DATAS,W2647+1)),INDEX(DATAS,W2647+1)),"")</f>
        <v/>
      </c>
    </row>
    <row r="2648" customFormat="false" ht="15" hidden="false" customHeight="false" outlineLevel="0" collapsed="false">
      <c r="A2648" s="33" t="n">
        <v>46309</v>
      </c>
      <c r="B2648" s="0" t="n">
        <v>13</v>
      </c>
      <c r="C2648" s="0" t="n">
        <v>6996</v>
      </c>
      <c r="E2648" s="0" t="n">
        <v>0</v>
      </c>
      <c r="F2648" s="27" t="s">
        <v>1332</v>
      </c>
      <c r="I2648" s="27" t="s">
        <v>166</v>
      </c>
      <c r="U2648" s="0" t="n">
        <v>382</v>
      </c>
      <c r="V2648" s="0" t="n">
        <v>0</v>
      </c>
      <c r="W2648" s="27" t="n">
        <f aca="false">MATCH(A2648,DATAS,0)</f>
        <v>1</v>
      </c>
      <c r="X2648" s="27" t="n">
        <f aca="false">IF(AND(E2648&gt;0,OR(AND(B2648&gt;=1,B2648&lt;=6),B2648=10)),1,0)</f>
        <v>0</v>
      </c>
      <c r="Y2648" s="27" t="n">
        <f aca="false">IF(AND(E2648&gt;0,B2648=10),1,0)</f>
        <v>0</v>
      </c>
      <c r="Z2648" s="0" t="str">
        <f aca="false">IF(AND(C2647=C2648,W2647=W2648-1),X2647,"")</f>
        <v/>
      </c>
      <c r="AA2648" s="0" t="str">
        <f aca="false">IF(AND(C2647=C2648,W2647=W2648-1),Y2647,"")</f>
        <v/>
      </c>
      <c r="AB2648" s="0" t="str">
        <f aca="false">IF(W2648=1,"",IF(AND(X2648=1,Z2648&lt;&gt;1),1,0))</f>
        <v/>
      </c>
      <c r="AC2648" s="0" t="str">
        <f aca="false">IF(W2648=1,"",IF(AND(Y2648=1,AA2648&lt;&gt;1),1,0))</f>
        <v/>
      </c>
      <c r="AD2648" s="33" t="str">
        <f aca="false">IF(AND(E2648&gt;0,W2648&lt;1,NOT(AND(C2649=C2648,W2649=W2648+1))),INDEX(DATAS,W2648+1),"")</f>
        <v/>
      </c>
      <c r="AE2648" s="33" t="str">
        <f aca="false">IF(AND(Y2648=1,W2648&lt;1),IF(AND(C2649=C2648,W2649=W2648+1),IF(Y2649=1,"",INDEX(DATAS,W2648+1)),INDEX(DATAS,W2648+1)),"")</f>
        <v/>
      </c>
    </row>
    <row r="2649" customFormat="false" ht="15" hidden="false" customHeight="false" outlineLevel="0" collapsed="false">
      <c r="A2649" s="33" t="n">
        <v>46309</v>
      </c>
      <c r="B2649" s="0" t="n">
        <v>13</v>
      </c>
      <c r="C2649" s="0" t="n">
        <v>6997</v>
      </c>
      <c r="E2649" s="0" t="n">
        <v>0</v>
      </c>
      <c r="F2649" s="27" t="s">
        <v>1333</v>
      </c>
      <c r="I2649" s="27" t="s">
        <v>166</v>
      </c>
      <c r="U2649" s="0" t="n">
        <v>381</v>
      </c>
      <c r="V2649" s="0" t="n">
        <v>0</v>
      </c>
      <c r="W2649" s="27" t="n">
        <f aca="false">MATCH(A2649,DATAS,0)</f>
        <v>1</v>
      </c>
      <c r="X2649" s="27" t="n">
        <f aca="false">IF(AND(E2649&gt;0,OR(AND(B2649&gt;=1,B2649&lt;=6),B2649=10)),1,0)</f>
        <v>0</v>
      </c>
      <c r="Y2649" s="27" t="n">
        <f aca="false">IF(AND(E2649&gt;0,B2649=10),1,0)</f>
        <v>0</v>
      </c>
      <c r="Z2649" s="0" t="str">
        <f aca="false">IF(AND(C2648=C2649,W2648=W2649-1),X2648,"")</f>
        <v/>
      </c>
      <c r="AA2649" s="0" t="str">
        <f aca="false">IF(AND(C2648=C2649,W2648=W2649-1),Y2648,"")</f>
        <v/>
      </c>
      <c r="AB2649" s="0" t="str">
        <f aca="false">IF(W2649=1,"",IF(AND(X2649=1,Z2649&lt;&gt;1),1,0))</f>
        <v/>
      </c>
      <c r="AC2649" s="0" t="str">
        <f aca="false">IF(W2649=1,"",IF(AND(Y2649=1,AA2649&lt;&gt;1),1,0))</f>
        <v/>
      </c>
      <c r="AD2649" s="33" t="str">
        <f aca="false">IF(AND(E2649&gt;0,W2649&lt;1,NOT(AND(C2650=C2649,W2650=W2649+1))),INDEX(DATAS,W2649+1),"")</f>
        <v/>
      </c>
      <c r="AE2649" s="33" t="str">
        <f aca="false">IF(AND(Y2649=1,W2649&lt;1),IF(AND(C2650=C2649,W2650=W2649+1),IF(Y2650=1,"",INDEX(DATAS,W2649+1)),INDEX(DATAS,W2649+1)),"")</f>
        <v/>
      </c>
    </row>
    <row r="2650" customFormat="false" ht="15" hidden="false" customHeight="false" outlineLevel="0" collapsed="false">
      <c r="A2650" s="33" t="n">
        <v>46309</v>
      </c>
      <c r="B2650" s="0" t="n">
        <v>13</v>
      </c>
      <c r="C2650" s="0" t="n">
        <v>6998</v>
      </c>
      <c r="E2650" s="0" t="n">
        <v>0</v>
      </c>
      <c r="F2650" s="27" t="s">
        <v>1333</v>
      </c>
      <c r="I2650" s="27" t="s">
        <v>166</v>
      </c>
      <c r="U2650" s="0" t="n">
        <v>381</v>
      </c>
      <c r="V2650" s="0" t="n">
        <v>0</v>
      </c>
      <c r="W2650" s="27" t="n">
        <f aca="false">MATCH(A2650,DATAS,0)</f>
        <v>1</v>
      </c>
      <c r="X2650" s="27" t="n">
        <f aca="false">IF(AND(E2650&gt;0,OR(AND(B2650&gt;=1,B2650&lt;=6),B2650=10)),1,0)</f>
        <v>0</v>
      </c>
      <c r="Y2650" s="27" t="n">
        <f aca="false">IF(AND(E2650&gt;0,B2650=10),1,0)</f>
        <v>0</v>
      </c>
      <c r="Z2650" s="0" t="str">
        <f aca="false">IF(AND(C2649=C2650,W2649=W2650-1),X2649,"")</f>
        <v/>
      </c>
      <c r="AA2650" s="0" t="str">
        <f aca="false">IF(AND(C2649=C2650,W2649=W2650-1),Y2649,"")</f>
        <v/>
      </c>
      <c r="AB2650" s="0" t="str">
        <f aca="false">IF(W2650=1,"",IF(AND(X2650=1,Z2650&lt;&gt;1),1,0))</f>
        <v/>
      </c>
      <c r="AC2650" s="0" t="str">
        <f aca="false">IF(W2650=1,"",IF(AND(Y2650=1,AA2650&lt;&gt;1),1,0))</f>
        <v/>
      </c>
      <c r="AD2650" s="33" t="str">
        <f aca="false">IF(AND(E2650&gt;0,W2650&lt;1,NOT(AND(C2651=C2650,W2651=W2650+1))),INDEX(DATAS,W2650+1),"")</f>
        <v/>
      </c>
      <c r="AE2650" s="33" t="str">
        <f aca="false">IF(AND(Y2650=1,W2650&lt;1),IF(AND(C2651=C2650,W2651=W2650+1),IF(Y2651=1,"",INDEX(DATAS,W2650+1)),INDEX(DATAS,W2650+1)),"")</f>
        <v/>
      </c>
    </row>
    <row r="2651" customFormat="false" ht="15" hidden="false" customHeight="false" outlineLevel="0" collapsed="false">
      <c r="A2651" s="33" t="n">
        <v>46309</v>
      </c>
      <c r="B2651" s="0" t="n">
        <v>13</v>
      </c>
      <c r="C2651" s="0" t="n">
        <v>6999</v>
      </c>
      <c r="E2651" s="0" t="n">
        <v>0</v>
      </c>
      <c r="F2651" s="27" t="s">
        <v>1334</v>
      </c>
      <c r="I2651" s="27" t="s">
        <v>166</v>
      </c>
      <c r="U2651" s="0" t="n">
        <v>379</v>
      </c>
      <c r="V2651" s="0" t="n">
        <v>0</v>
      </c>
      <c r="W2651" s="27" t="n">
        <f aca="false">MATCH(A2651,DATAS,0)</f>
        <v>1</v>
      </c>
      <c r="X2651" s="27" t="n">
        <f aca="false">IF(AND(E2651&gt;0,OR(AND(B2651&gt;=1,B2651&lt;=6),B2651=10)),1,0)</f>
        <v>0</v>
      </c>
      <c r="Y2651" s="27" t="n">
        <f aca="false">IF(AND(E2651&gt;0,B2651=10),1,0)</f>
        <v>0</v>
      </c>
      <c r="Z2651" s="0" t="str">
        <f aca="false">IF(AND(C2650=C2651,W2650=W2651-1),X2650,"")</f>
        <v/>
      </c>
      <c r="AA2651" s="0" t="str">
        <f aca="false">IF(AND(C2650=C2651,W2650=W2651-1),Y2650,"")</f>
        <v/>
      </c>
      <c r="AB2651" s="0" t="str">
        <f aca="false">IF(W2651=1,"",IF(AND(X2651=1,Z2651&lt;&gt;1),1,0))</f>
        <v/>
      </c>
      <c r="AC2651" s="0" t="str">
        <f aca="false">IF(W2651=1,"",IF(AND(Y2651=1,AA2651&lt;&gt;1),1,0))</f>
        <v/>
      </c>
      <c r="AD2651" s="33" t="str">
        <f aca="false">IF(AND(E2651&gt;0,W2651&lt;1,NOT(AND(C2652=C2651,W2652=W2651+1))),INDEX(DATAS,W2651+1),"")</f>
        <v/>
      </c>
      <c r="AE2651" s="33" t="str">
        <f aca="false">IF(AND(Y2651=1,W2651&lt;1),IF(AND(C2652=C2651,W2652=W2651+1),IF(Y2652=1,"",INDEX(DATAS,W2651+1)),INDEX(DATAS,W2651+1)),"")</f>
        <v/>
      </c>
    </row>
    <row r="2652" customFormat="false" ht="15" hidden="false" customHeight="false" outlineLevel="0" collapsed="false">
      <c r="A2652" s="33" t="n">
        <v>46309</v>
      </c>
      <c r="B2652" s="0" t="n">
        <v>13</v>
      </c>
      <c r="C2652" s="0" t="n">
        <v>7000</v>
      </c>
      <c r="E2652" s="0" t="n">
        <v>0</v>
      </c>
      <c r="F2652" s="27" t="s">
        <v>1334</v>
      </c>
      <c r="I2652" s="27" t="s">
        <v>166</v>
      </c>
      <c r="U2652" s="0" t="n">
        <v>379</v>
      </c>
      <c r="V2652" s="0" t="n">
        <v>0</v>
      </c>
      <c r="W2652" s="27" t="n">
        <f aca="false">MATCH(A2652,DATAS,0)</f>
        <v>1</v>
      </c>
      <c r="X2652" s="27" t="n">
        <f aca="false">IF(AND(E2652&gt;0,OR(AND(B2652&gt;=1,B2652&lt;=6),B2652=10)),1,0)</f>
        <v>0</v>
      </c>
      <c r="Y2652" s="27" t="n">
        <f aca="false">IF(AND(E2652&gt;0,B2652=10),1,0)</f>
        <v>0</v>
      </c>
      <c r="Z2652" s="0" t="str">
        <f aca="false">IF(AND(C2651=C2652,W2651=W2652-1),X2651,"")</f>
        <v/>
      </c>
      <c r="AA2652" s="0" t="str">
        <f aca="false">IF(AND(C2651=C2652,W2651=W2652-1),Y2651,"")</f>
        <v/>
      </c>
      <c r="AB2652" s="0" t="str">
        <f aca="false">IF(W2652=1,"",IF(AND(X2652=1,Z2652&lt;&gt;1),1,0))</f>
        <v/>
      </c>
      <c r="AC2652" s="0" t="str">
        <f aca="false">IF(W2652=1,"",IF(AND(Y2652=1,AA2652&lt;&gt;1),1,0))</f>
        <v/>
      </c>
      <c r="AD2652" s="33" t="str">
        <f aca="false">IF(AND(E2652&gt;0,W2652&lt;1,NOT(AND(C2653=C2652,W2653=W2652+1))),INDEX(DATAS,W2652+1),"")</f>
        <v/>
      </c>
      <c r="AE2652" s="33" t="str">
        <f aca="false">IF(AND(Y2652=1,W2652&lt;1),IF(AND(C2653=C2652,W2653=W2652+1),IF(Y2653=1,"",INDEX(DATAS,W2652+1)),INDEX(DATAS,W2652+1)),"")</f>
        <v/>
      </c>
    </row>
    <row r="2653" customFormat="false" ht="15" hidden="false" customHeight="false" outlineLevel="0" collapsed="false">
      <c r="A2653" s="33" t="n">
        <v>46309</v>
      </c>
      <c r="B2653" s="0" t="n">
        <v>13</v>
      </c>
      <c r="C2653" s="0" t="n">
        <v>7001</v>
      </c>
      <c r="E2653" s="0" t="n">
        <v>0</v>
      </c>
      <c r="F2653" s="27" t="s">
        <v>1334</v>
      </c>
      <c r="I2653" s="27" t="s">
        <v>166</v>
      </c>
      <c r="U2653" s="0" t="n">
        <v>379</v>
      </c>
      <c r="V2653" s="0" t="n">
        <v>0</v>
      </c>
      <c r="W2653" s="27" t="n">
        <f aca="false">MATCH(A2653,DATAS,0)</f>
        <v>1</v>
      </c>
      <c r="X2653" s="27" t="n">
        <f aca="false">IF(AND(E2653&gt;0,OR(AND(B2653&gt;=1,B2653&lt;=6),B2653=10)),1,0)</f>
        <v>0</v>
      </c>
      <c r="Y2653" s="27" t="n">
        <f aca="false">IF(AND(E2653&gt;0,B2653=10),1,0)</f>
        <v>0</v>
      </c>
      <c r="Z2653" s="0" t="str">
        <f aca="false">IF(AND(C2652=C2653,W2652=W2653-1),X2652,"")</f>
        <v/>
      </c>
      <c r="AA2653" s="0" t="str">
        <f aca="false">IF(AND(C2652=C2653,W2652=W2653-1),Y2652,"")</f>
        <v/>
      </c>
      <c r="AB2653" s="0" t="str">
        <f aca="false">IF(W2653=1,"",IF(AND(X2653=1,Z2653&lt;&gt;1),1,0))</f>
        <v/>
      </c>
      <c r="AC2653" s="0" t="str">
        <f aca="false">IF(W2653=1,"",IF(AND(Y2653=1,AA2653&lt;&gt;1),1,0))</f>
        <v/>
      </c>
      <c r="AD2653" s="33" t="str">
        <f aca="false">IF(AND(E2653&gt;0,W2653&lt;1,NOT(AND(C2654=C2653,W2654=W2653+1))),INDEX(DATAS,W2653+1),"")</f>
        <v/>
      </c>
      <c r="AE2653" s="33" t="str">
        <f aca="false">IF(AND(Y2653=1,W2653&lt;1),IF(AND(C2654=C2653,W2654=W2653+1),IF(Y2654=1,"",INDEX(DATAS,W2653+1)),INDEX(DATAS,W2653+1)),"")</f>
        <v/>
      </c>
    </row>
    <row r="2654" customFormat="false" ht="15" hidden="false" customHeight="false" outlineLevel="0" collapsed="false">
      <c r="A2654" s="33" t="n">
        <v>46309</v>
      </c>
      <c r="B2654" s="0" t="n">
        <v>13</v>
      </c>
      <c r="C2654" s="0" t="n">
        <v>7002</v>
      </c>
      <c r="E2654" s="0" t="n">
        <v>0</v>
      </c>
      <c r="F2654" s="27" t="s">
        <v>1334</v>
      </c>
      <c r="I2654" s="27" t="s">
        <v>166</v>
      </c>
      <c r="U2654" s="0" t="n">
        <v>379</v>
      </c>
      <c r="V2654" s="0" t="n">
        <v>0</v>
      </c>
      <c r="W2654" s="27" t="n">
        <f aca="false">MATCH(A2654,DATAS,0)</f>
        <v>1</v>
      </c>
      <c r="X2654" s="27" t="n">
        <f aca="false">IF(AND(E2654&gt;0,OR(AND(B2654&gt;=1,B2654&lt;=6),B2654=10)),1,0)</f>
        <v>0</v>
      </c>
      <c r="Y2654" s="27" t="n">
        <f aca="false">IF(AND(E2654&gt;0,B2654=10),1,0)</f>
        <v>0</v>
      </c>
      <c r="Z2654" s="0" t="str">
        <f aca="false">IF(AND(C2653=C2654,W2653=W2654-1),X2653,"")</f>
        <v/>
      </c>
      <c r="AA2654" s="0" t="str">
        <f aca="false">IF(AND(C2653=C2654,W2653=W2654-1),Y2653,"")</f>
        <v/>
      </c>
      <c r="AB2654" s="0" t="str">
        <f aca="false">IF(W2654=1,"",IF(AND(X2654=1,Z2654&lt;&gt;1),1,0))</f>
        <v/>
      </c>
      <c r="AC2654" s="0" t="str">
        <f aca="false">IF(W2654=1,"",IF(AND(Y2654=1,AA2654&lt;&gt;1),1,0))</f>
        <v/>
      </c>
      <c r="AD2654" s="33" t="str">
        <f aca="false">IF(AND(E2654&gt;0,W2654&lt;1,NOT(AND(C2655=C2654,W2655=W2654+1))),INDEX(DATAS,W2654+1),"")</f>
        <v/>
      </c>
      <c r="AE2654" s="33" t="str">
        <f aca="false">IF(AND(Y2654=1,W2654&lt;1),IF(AND(C2655=C2654,W2655=W2654+1),IF(Y2655=1,"",INDEX(DATAS,W2654+1)),INDEX(DATAS,W2654+1)),"")</f>
        <v/>
      </c>
    </row>
    <row r="2655" customFormat="false" ht="15" hidden="false" customHeight="false" outlineLevel="0" collapsed="false">
      <c r="A2655" s="33" t="n">
        <v>46309</v>
      </c>
      <c r="B2655" s="0" t="n">
        <v>13</v>
      </c>
      <c r="C2655" s="0" t="n">
        <v>7003</v>
      </c>
      <c r="E2655" s="0" t="n">
        <v>0</v>
      </c>
      <c r="F2655" s="27" t="s">
        <v>1334</v>
      </c>
      <c r="I2655" s="27" t="s">
        <v>166</v>
      </c>
      <c r="U2655" s="0" t="n">
        <v>379</v>
      </c>
      <c r="V2655" s="0" t="n">
        <v>0</v>
      </c>
      <c r="W2655" s="27" t="n">
        <f aca="false">MATCH(A2655,DATAS,0)</f>
        <v>1</v>
      </c>
      <c r="X2655" s="27" t="n">
        <f aca="false">IF(AND(E2655&gt;0,OR(AND(B2655&gt;=1,B2655&lt;=6),B2655=10)),1,0)</f>
        <v>0</v>
      </c>
      <c r="Y2655" s="27" t="n">
        <f aca="false">IF(AND(E2655&gt;0,B2655=10),1,0)</f>
        <v>0</v>
      </c>
      <c r="Z2655" s="0" t="str">
        <f aca="false">IF(AND(C2654=C2655,W2654=W2655-1),X2654,"")</f>
        <v/>
      </c>
      <c r="AA2655" s="0" t="str">
        <f aca="false">IF(AND(C2654=C2655,W2654=W2655-1),Y2654,"")</f>
        <v/>
      </c>
      <c r="AB2655" s="0" t="str">
        <f aca="false">IF(W2655=1,"",IF(AND(X2655=1,Z2655&lt;&gt;1),1,0))</f>
        <v/>
      </c>
      <c r="AC2655" s="0" t="str">
        <f aca="false">IF(W2655=1,"",IF(AND(Y2655=1,AA2655&lt;&gt;1),1,0))</f>
        <v/>
      </c>
      <c r="AD2655" s="33" t="str">
        <f aca="false">IF(AND(E2655&gt;0,W2655&lt;1,NOT(AND(C2656=C2655,W2656=W2655+1))),INDEX(DATAS,W2655+1),"")</f>
        <v/>
      </c>
      <c r="AE2655" s="33" t="str">
        <f aca="false">IF(AND(Y2655=1,W2655&lt;1),IF(AND(C2656=C2655,W2656=W2655+1),IF(Y2656=1,"",INDEX(DATAS,W2655+1)),INDEX(DATAS,W2655+1)),"")</f>
        <v/>
      </c>
    </row>
    <row r="2656" customFormat="false" ht="15" hidden="false" customHeight="false" outlineLevel="0" collapsed="false">
      <c r="A2656" s="33" t="n">
        <v>46309</v>
      </c>
      <c r="B2656" s="0" t="n">
        <v>13</v>
      </c>
      <c r="C2656" s="0" t="n">
        <v>7004</v>
      </c>
      <c r="E2656" s="0" t="n">
        <v>0</v>
      </c>
      <c r="F2656" s="27" t="s">
        <v>1334</v>
      </c>
      <c r="I2656" s="27" t="s">
        <v>166</v>
      </c>
      <c r="U2656" s="0" t="n">
        <v>379</v>
      </c>
      <c r="V2656" s="0" t="n">
        <v>0</v>
      </c>
      <c r="W2656" s="27" t="n">
        <f aca="false">MATCH(A2656,DATAS,0)</f>
        <v>1</v>
      </c>
      <c r="X2656" s="27" t="n">
        <f aca="false">IF(AND(E2656&gt;0,OR(AND(B2656&gt;=1,B2656&lt;=6),B2656=10)),1,0)</f>
        <v>0</v>
      </c>
      <c r="Y2656" s="27" t="n">
        <f aca="false">IF(AND(E2656&gt;0,B2656=10),1,0)</f>
        <v>0</v>
      </c>
      <c r="Z2656" s="0" t="str">
        <f aca="false">IF(AND(C2655=C2656,W2655=W2656-1),X2655,"")</f>
        <v/>
      </c>
      <c r="AA2656" s="0" t="str">
        <f aca="false">IF(AND(C2655=C2656,W2655=W2656-1),Y2655,"")</f>
        <v/>
      </c>
      <c r="AB2656" s="0" t="str">
        <f aca="false">IF(W2656=1,"",IF(AND(X2656=1,Z2656&lt;&gt;1),1,0))</f>
        <v/>
      </c>
      <c r="AC2656" s="0" t="str">
        <f aca="false">IF(W2656=1,"",IF(AND(Y2656=1,AA2656&lt;&gt;1),1,0))</f>
        <v/>
      </c>
      <c r="AD2656" s="33" t="str">
        <f aca="false">IF(AND(E2656&gt;0,W2656&lt;1,NOT(AND(C2657=C2656,W2657=W2656+1))),INDEX(DATAS,W2656+1),"")</f>
        <v/>
      </c>
      <c r="AE2656" s="33" t="str">
        <f aca="false">IF(AND(Y2656=1,W2656&lt;1),IF(AND(C2657=C2656,W2657=W2656+1),IF(Y2657=1,"",INDEX(DATAS,W2656+1)),INDEX(DATAS,W2656+1)),"")</f>
        <v/>
      </c>
    </row>
    <row r="2657" customFormat="false" ht="15" hidden="false" customHeight="false" outlineLevel="0" collapsed="false">
      <c r="A2657" s="33" t="n">
        <v>46309</v>
      </c>
      <c r="B2657" s="0" t="n">
        <v>13</v>
      </c>
      <c r="C2657" s="0" t="n">
        <v>7005</v>
      </c>
      <c r="E2657" s="0" t="n">
        <v>0</v>
      </c>
      <c r="F2657" s="27" t="s">
        <v>1334</v>
      </c>
      <c r="I2657" s="27" t="s">
        <v>166</v>
      </c>
      <c r="U2657" s="0" t="n">
        <v>379</v>
      </c>
      <c r="V2657" s="0" t="n">
        <v>0</v>
      </c>
      <c r="W2657" s="27" t="n">
        <f aca="false">MATCH(A2657,DATAS,0)</f>
        <v>1</v>
      </c>
      <c r="X2657" s="27" t="n">
        <f aca="false">IF(AND(E2657&gt;0,OR(AND(B2657&gt;=1,B2657&lt;=6),B2657=10)),1,0)</f>
        <v>0</v>
      </c>
      <c r="Y2657" s="27" t="n">
        <f aca="false">IF(AND(E2657&gt;0,B2657=10),1,0)</f>
        <v>0</v>
      </c>
      <c r="Z2657" s="0" t="str">
        <f aca="false">IF(AND(C2656=C2657,W2656=W2657-1),X2656,"")</f>
        <v/>
      </c>
      <c r="AA2657" s="0" t="str">
        <f aca="false">IF(AND(C2656=C2657,W2656=W2657-1),Y2656,"")</f>
        <v/>
      </c>
      <c r="AB2657" s="0" t="str">
        <f aca="false">IF(W2657=1,"",IF(AND(X2657=1,Z2657&lt;&gt;1),1,0))</f>
        <v/>
      </c>
      <c r="AC2657" s="0" t="str">
        <f aca="false">IF(W2657=1,"",IF(AND(Y2657=1,AA2657&lt;&gt;1),1,0))</f>
        <v/>
      </c>
      <c r="AD2657" s="33" t="str">
        <f aca="false">IF(AND(E2657&gt;0,W2657&lt;1,NOT(AND(C2658=C2657,W2658=W2657+1))),INDEX(DATAS,W2657+1),"")</f>
        <v/>
      </c>
      <c r="AE2657" s="33" t="str">
        <f aca="false">IF(AND(Y2657=1,W2657&lt;1),IF(AND(C2658=C2657,W2658=W2657+1),IF(Y2658=1,"",INDEX(DATAS,W2657+1)),INDEX(DATAS,W2657+1)),"")</f>
        <v/>
      </c>
    </row>
    <row r="2658" customFormat="false" ht="15" hidden="false" customHeight="false" outlineLevel="0" collapsed="false">
      <c r="A2658" s="33" t="n">
        <v>46309</v>
      </c>
      <c r="B2658" s="0" t="n">
        <v>13</v>
      </c>
      <c r="C2658" s="0" t="n">
        <v>7006</v>
      </c>
      <c r="E2658" s="0" t="n">
        <v>0</v>
      </c>
      <c r="F2658" s="27" t="s">
        <v>1334</v>
      </c>
      <c r="I2658" s="27" t="s">
        <v>166</v>
      </c>
      <c r="U2658" s="0" t="n">
        <v>379</v>
      </c>
      <c r="V2658" s="0" t="n">
        <v>0</v>
      </c>
      <c r="W2658" s="27" t="n">
        <f aca="false">MATCH(A2658,DATAS,0)</f>
        <v>1</v>
      </c>
      <c r="X2658" s="27" t="n">
        <f aca="false">IF(AND(E2658&gt;0,OR(AND(B2658&gt;=1,B2658&lt;=6),B2658=10)),1,0)</f>
        <v>0</v>
      </c>
      <c r="Y2658" s="27" t="n">
        <f aca="false">IF(AND(E2658&gt;0,B2658=10),1,0)</f>
        <v>0</v>
      </c>
      <c r="Z2658" s="0" t="str">
        <f aca="false">IF(AND(C2657=C2658,W2657=W2658-1),X2657,"")</f>
        <v/>
      </c>
      <c r="AA2658" s="0" t="str">
        <f aca="false">IF(AND(C2657=C2658,W2657=W2658-1),Y2657,"")</f>
        <v/>
      </c>
      <c r="AB2658" s="0" t="str">
        <f aca="false">IF(W2658=1,"",IF(AND(X2658=1,Z2658&lt;&gt;1),1,0))</f>
        <v/>
      </c>
      <c r="AC2658" s="0" t="str">
        <f aca="false">IF(W2658=1,"",IF(AND(Y2658=1,AA2658&lt;&gt;1),1,0))</f>
        <v/>
      </c>
      <c r="AD2658" s="33" t="str">
        <f aca="false">IF(AND(E2658&gt;0,W2658&lt;1,NOT(AND(C2659=C2658,W2659=W2658+1))),INDEX(DATAS,W2658+1),"")</f>
        <v/>
      </c>
      <c r="AE2658" s="33" t="str">
        <f aca="false">IF(AND(Y2658=1,W2658&lt;1),IF(AND(C2659=C2658,W2659=W2658+1),IF(Y2659=1,"",INDEX(DATAS,W2658+1)),INDEX(DATAS,W2658+1)),"")</f>
        <v/>
      </c>
    </row>
    <row r="2659" customFormat="false" ht="15" hidden="false" customHeight="false" outlineLevel="0" collapsed="false">
      <c r="A2659" s="33" t="n">
        <v>46309</v>
      </c>
      <c r="B2659" s="0" t="n">
        <v>13</v>
      </c>
      <c r="C2659" s="0" t="n">
        <v>7007</v>
      </c>
      <c r="E2659" s="0" t="n">
        <v>0</v>
      </c>
      <c r="F2659" s="27" t="s">
        <v>1335</v>
      </c>
      <c r="I2659" s="27" t="s">
        <v>166</v>
      </c>
      <c r="U2659" s="0" t="n">
        <v>378</v>
      </c>
      <c r="V2659" s="0" t="n">
        <v>0</v>
      </c>
      <c r="W2659" s="27" t="n">
        <f aca="false">MATCH(A2659,DATAS,0)</f>
        <v>1</v>
      </c>
      <c r="X2659" s="27" t="n">
        <f aca="false">IF(AND(E2659&gt;0,OR(AND(B2659&gt;=1,B2659&lt;=6),B2659=10)),1,0)</f>
        <v>0</v>
      </c>
      <c r="Y2659" s="27" t="n">
        <f aca="false">IF(AND(E2659&gt;0,B2659=10),1,0)</f>
        <v>0</v>
      </c>
      <c r="Z2659" s="0" t="str">
        <f aca="false">IF(AND(C2658=C2659,W2658=W2659-1),X2658,"")</f>
        <v/>
      </c>
      <c r="AA2659" s="0" t="str">
        <f aca="false">IF(AND(C2658=C2659,W2658=W2659-1),Y2658,"")</f>
        <v/>
      </c>
      <c r="AB2659" s="0" t="str">
        <f aca="false">IF(W2659=1,"",IF(AND(X2659=1,Z2659&lt;&gt;1),1,0))</f>
        <v/>
      </c>
      <c r="AC2659" s="0" t="str">
        <f aca="false">IF(W2659=1,"",IF(AND(Y2659=1,AA2659&lt;&gt;1),1,0))</f>
        <v/>
      </c>
      <c r="AD2659" s="33" t="str">
        <f aca="false">IF(AND(E2659&gt;0,W2659&lt;1,NOT(AND(C2660=C2659,W2660=W2659+1))),INDEX(DATAS,W2659+1),"")</f>
        <v/>
      </c>
      <c r="AE2659" s="33" t="str">
        <f aca="false">IF(AND(Y2659=1,W2659&lt;1),IF(AND(C2660=C2659,W2660=W2659+1),IF(Y2660=1,"",INDEX(DATAS,W2659+1)),INDEX(DATAS,W2659+1)),"")</f>
        <v/>
      </c>
    </row>
    <row r="2660" customFormat="false" ht="15" hidden="false" customHeight="false" outlineLevel="0" collapsed="false">
      <c r="A2660" s="33" t="n">
        <v>46309</v>
      </c>
      <c r="B2660" s="0" t="n">
        <v>13</v>
      </c>
      <c r="C2660" s="0" t="n">
        <v>7008</v>
      </c>
      <c r="E2660" s="0" t="n">
        <v>0</v>
      </c>
      <c r="F2660" s="27" t="s">
        <v>1335</v>
      </c>
      <c r="I2660" s="27" t="s">
        <v>166</v>
      </c>
      <c r="U2660" s="0" t="n">
        <v>378</v>
      </c>
      <c r="V2660" s="0" t="n">
        <v>0</v>
      </c>
      <c r="W2660" s="27" t="n">
        <f aca="false">MATCH(A2660,DATAS,0)</f>
        <v>1</v>
      </c>
      <c r="X2660" s="27" t="n">
        <f aca="false">IF(AND(E2660&gt;0,OR(AND(B2660&gt;=1,B2660&lt;=6),B2660=10)),1,0)</f>
        <v>0</v>
      </c>
      <c r="Y2660" s="27" t="n">
        <f aca="false">IF(AND(E2660&gt;0,B2660=10),1,0)</f>
        <v>0</v>
      </c>
      <c r="Z2660" s="0" t="str">
        <f aca="false">IF(AND(C2659=C2660,W2659=W2660-1),X2659,"")</f>
        <v/>
      </c>
      <c r="AA2660" s="0" t="str">
        <f aca="false">IF(AND(C2659=C2660,W2659=W2660-1),Y2659,"")</f>
        <v/>
      </c>
      <c r="AB2660" s="0" t="str">
        <f aca="false">IF(W2660=1,"",IF(AND(X2660=1,Z2660&lt;&gt;1),1,0))</f>
        <v/>
      </c>
      <c r="AC2660" s="0" t="str">
        <f aca="false">IF(W2660=1,"",IF(AND(Y2660=1,AA2660&lt;&gt;1),1,0))</f>
        <v/>
      </c>
      <c r="AD2660" s="33" t="str">
        <f aca="false">IF(AND(E2660&gt;0,W2660&lt;1,NOT(AND(C2661=C2660,W2661=W2660+1))),INDEX(DATAS,W2660+1),"")</f>
        <v/>
      </c>
      <c r="AE2660" s="33" t="str">
        <f aca="false">IF(AND(Y2660=1,W2660&lt;1),IF(AND(C2661=C2660,W2661=W2660+1),IF(Y2661=1,"",INDEX(DATAS,W2660+1)),INDEX(DATAS,W2660+1)),"")</f>
        <v/>
      </c>
    </row>
    <row r="2661" customFormat="false" ht="15" hidden="false" customHeight="false" outlineLevel="0" collapsed="false">
      <c r="A2661" s="33" t="n">
        <v>46309</v>
      </c>
      <c r="B2661" s="0" t="n">
        <v>13</v>
      </c>
      <c r="C2661" s="0" t="n">
        <v>7009</v>
      </c>
      <c r="E2661" s="0" t="n">
        <v>0</v>
      </c>
      <c r="F2661" s="27" t="s">
        <v>1336</v>
      </c>
      <c r="I2661" s="27" t="s">
        <v>166</v>
      </c>
      <c r="U2661" s="0" t="n">
        <v>377</v>
      </c>
      <c r="V2661" s="0" t="n">
        <v>0</v>
      </c>
      <c r="W2661" s="27" t="n">
        <f aca="false">MATCH(A2661,DATAS,0)</f>
        <v>1</v>
      </c>
      <c r="X2661" s="27" t="n">
        <f aca="false">IF(AND(E2661&gt;0,OR(AND(B2661&gt;=1,B2661&lt;=6),B2661=10)),1,0)</f>
        <v>0</v>
      </c>
      <c r="Y2661" s="27" t="n">
        <f aca="false">IF(AND(E2661&gt;0,B2661=10),1,0)</f>
        <v>0</v>
      </c>
      <c r="Z2661" s="0" t="str">
        <f aca="false">IF(AND(C2660=C2661,W2660=W2661-1),X2660,"")</f>
        <v/>
      </c>
      <c r="AA2661" s="0" t="str">
        <f aca="false">IF(AND(C2660=C2661,W2660=W2661-1),Y2660,"")</f>
        <v/>
      </c>
      <c r="AB2661" s="0" t="str">
        <f aca="false">IF(W2661=1,"",IF(AND(X2661=1,Z2661&lt;&gt;1),1,0))</f>
        <v/>
      </c>
      <c r="AC2661" s="0" t="str">
        <f aca="false">IF(W2661=1,"",IF(AND(Y2661=1,AA2661&lt;&gt;1),1,0))</f>
        <v/>
      </c>
      <c r="AD2661" s="33" t="str">
        <f aca="false">IF(AND(E2661&gt;0,W2661&lt;1,NOT(AND(C2662=C2661,W2662=W2661+1))),INDEX(DATAS,W2661+1),"")</f>
        <v/>
      </c>
      <c r="AE2661" s="33" t="str">
        <f aca="false">IF(AND(Y2661=1,W2661&lt;1),IF(AND(C2662=C2661,W2662=W2661+1),IF(Y2662=1,"",INDEX(DATAS,W2661+1)),INDEX(DATAS,W2661+1)),"")</f>
        <v/>
      </c>
    </row>
    <row r="2662" customFormat="false" ht="15" hidden="false" customHeight="false" outlineLevel="0" collapsed="false">
      <c r="A2662" s="33" t="n">
        <v>46309</v>
      </c>
      <c r="B2662" s="0" t="n">
        <v>13</v>
      </c>
      <c r="C2662" s="0" t="n">
        <v>7010</v>
      </c>
      <c r="E2662" s="0" t="n">
        <v>0</v>
      </c>
      <c r="F2662" s="27" t="s">
        <v>1336</v>
      </c>
      <c r="I2662" s="27" t="s">
        <v>166</v>
      </c>
      <c r="U2662" s="0" t="n">
        <v>377</v>
      </c>
      <c r="V2662" s="0" t="n">
        <v>0</v>
      </c>
      <c r="W2662" s="27" t="n">
        <f aca="false">MATCH(A2662,DATAS,0)</f>
        <v>1</v>
      </c>
      <c r="X2662" s="27" t="n">
        <f aca="false">IF(AND(E2662&gt;0,OR(AND(B2662&gt;=1,B2662&lt;=6),B2662=10)),1,0)</f>
        <v>0</v>
      </c>
      <c r="Y2662" s="27" t="n">
        <f aca="false">IF(AND(E2662&gt;0,B2662=10),1,0)</f>
        <v>0</v>
      </c>
      <c r="Z2662" s="0" t="str">
        <f aca="false">IF(AND(C2661=C2662,W2661=W2662-1),X2661,"")</f>
        <v/>
      </c>
      <c r="AA2662" s="0" t="str">
        <f aca="false">IF(AND(C2661=C2662,W2661=W2662-1),Y2661,"")</f>
        <v/>
      </c>
      <c r="AB2662" s="0" t="str">
        <f aca="false">IF(W2662=1,"",IF(AND(X2662=1,Z2662&lt;&gt;1),1,0))</f>
        <v/>
      </c>
      <c r="AC2662" s="0" t="str">
        <f aca="false">IF(W2662=1,"",IF(AND(Y2662=1,AA2662&lt;&gt;1),1,0))</f>
        <v/>
      </c>
      <c r="AD2662" s="33" t="str">
        <f aca="false">IF(AND(E2662&gt;0,W2662&lt;1,NOT(AND(C2663=C2662,W2663=W2662+1))),INDEX(DATAS,W2662+1),"")</f>
        <v/>
      </c>
      <c r="AE2662" s="33" t="str">
        <f aca="false">IF(AND(Y2662=1,W2662&lt;1),IF(AND(C2663=C2662,W2663=W2662+1),IF(Y2663=1,"",INDEX(DATAS,W2662+1)),INDEX(DATAS,W2662+1)),"")</f>
        <v/>
      </c>
    </row>
    <row r="2663" customFormat="false" ht="15" hidden="false" customHeight="false" outlineLevel="0" collapsed="false">
      <c r="A2663" s="33" t="n">
        <v>46309</v>
      </c>
      <c r="B2663" s="0" t="n">
        <v>13</v>
      </c>
      <c r="C2663" s="0" t="n">
        <v>7012</v>
      </c>
      <c r="E2663" s="0" t="n">
        <v>0</v>
      </c>
      <c r="F2663" s="27" t="s">
        <v>1337</v>
      </c>
      <c r="I2663" s="27" t="s">
        <v>166</v>
      </c>
      <c r="U2663" s="0" t="n">
        <v>376</v>
      </c>
      <c r="V2663" s="0" t="n">
        <v>0</v>
      </c>
      <c r="W2663" s="27" t="n">
        <f aca="false">MATCH(A2663,DATAS,0)</f>
        <v>1</v>
      </c>
      <c r="X2663" s="27" t="n">
        <f aca="false">IF(AND(E2663&gt;0,OR(AND(B2663&gt;=1,B2663&lt;=6),B2663=10)),1,0)</f>
        <v>0</v>
      </c>
      <c r="Y2663" s="27" t="n">
        <f aca="false">IF(AND(E2663&gt;0,B2663=10),1,0)</f>
        <v>0</v>
      </c>
      <c r="Z2663" s="0" t="str">
        <f aca="false">IF(AND(C2662=C2663,W2662=W2663-1),X2662,"")</f>
        <v/>
      </c>
      <c r="AA2663" s="0" t="str">
        <f aca="false">IF(AND(C2662=C2663,W2662=W2663-1),Y2662,"")</f>
        <v/>
      </c>
      <c r="AB2663" s="0" t="str">
        <f aca="false">IF(W2663=1,"",IF(AND(X2663=1,Z2663&lt;&gt;1),1,0))</f>
        <v/>
      </c>
      <c r="AC2663" s="0" t="str">
        <f aca="false">IF(W2663=1,"",IF(AND(Y2663=1,AA2663&lt;&gt;1),1,0))</f>
        <v/>
      </c>
      <c r="AD2663" s="33" t="str">
        <f aca="false">IF(AND(E2663&gt;0,W2663&lt;1,NOT(AND(C2664=C2663,W2664=W2663+1))),INDEX(DATAS,W2663+1),"")</f>
        <v/>
      </c>
      <c r="AE2663" s="33" t="str">
        <f aca="false">IF(AND(Y2663=1,W2663&lt;1),IF(AND(C2664=C2663,W2664=W2663+1),IF(Y2664=1,"",INDEX(DATAS,W2663+1)),INDEX(DATAS,W2663+1)),"")</f>
        <v/>
      </c>
    </row>
    <row r="2664" customFormat="false" ht="15" hidden="false" customHeight="false" outlineLevel="0" collapsed="false">
      <c r="A2664" s="33" t="n">
        <v>46309</v>
      </c>
      <c r="B2664" s="0" t="n">
        <v>13</v>
      </c>
      <c r="C2664" s="0" t="n">
        <v>7014</v>
      </c>
      <c r="E2664" s="0" t="n">
        <v>0</v>
      </c>
      <c r="F2664" s="27" t="s">
        <v>1338</v>
      </c>
      <c r="I2664" s="27" t="s">
        <v>166</v>
      </c>
      <c r="U2664" s="0" t="n">
        <v>374</v>
      </c>
      <c r="V2664" s="0" t="n">
        <v>0</v>
      </c>
      <c r="W2664" s="27" t="n">
        <f aca="false">MATCH(A2664,DATAS,0)</f>
        <v>1</v>
      </c>
      <c r="X2664" s="27" t="n">
        <f aca="false">IF(AND(E2664&gt;0,OR(AND(B2664&gt;=1,B2664&lt;=6),B2664=10)),1,0)</f>
        <v>0</v>
      </c>
      <c r="Y2664" s="27" t="n">
        <f aca="false">IF(AND(E2664&gt;0,B2664=10),1,0)</f>
        <v>0</v>
      </c>
      <c r="Z2664" s="0" t="str">
        <f aca="false">IF(AND(C2663=C2664,W2663=W2664-1),X2663,"")</f>
        <v/>
      </c>
      <c r="AA2664" s="0" t="str">
        <f aca="false">IF(AND(C2663=C2664,W2663=W2664-1),Y2663,"")</f>
        <v/>
      </c>
      <c r="AB2664" s="0" t="str">
        <f aca="false">IF(W2664=1,"",IF(AND(X2664=1,Z2664&lt;&gt;1),1,0))</f>
        <v/>
      </c>
      <c r="AC2664" s="0" t="str">
        <f aca="false">IF(W2664=1,"",IF(AND(Y2664=1,AA2664&lt;&gt;1),1,0))</f>
        <v/>
      </c>
      <c r="AD2664" s="33" t="str">
        <f aca="false">IF(AND(E2664&gt;0,W2664&lt;1,NOT(AND(C2665=C2664,W2665=W2664+1))),INDEX(DATAS,W2664+1),"")</f>
        <v/>
      </c>
      <c r="AE2664" s="33" t="str">
        <f aca="false">IF(AND(Y2664=1,W2664&lt;1),IF(AND(C2665=C2664,W2665=W2664+1),IF(Y2665=1,"",INDEX(DATAS,W2664+1)),INDEX(DATAS,W2664+1)),"")</f>
        <v/>
      </c>
    </row>
    <row r="2665" customFormat="false" ht="15" hidden="false" customHeight="false" outlineLevel="0" collapsed="false">
      <c r="A2665" s="33" t="n">
        <v>46309</v>
      </c>
      <c r="B2665" s="0" t="n">
        <v>13</v>
      </c>
      <c r="C2665" s="0" t="n">
        <v>7015</v>
      </c>
      <c r="E2665" s="0" t="n">
        <v>0</v>
      </c>
      <c r="F2665" s="27" t="s">
        <v>1338</v>
      </c>
      <c r="I2665" s="27" t="s">
        <v>166</v>
      </c>
      <c r="U2665" s="0" t="n">
        <v>374</v>
      </c>
      <c r="V2665" s="0" t="n">
        <v>0</v>
      </c>
      <c r="W2665" s="27" t="n">
        <f aca="false">MATCH(A2665,DATAS,0)</f>
        <v>1</v>
      </c>
      <c r="X2665" s="27" t="n">
        <f aca="false">IF(AND(E2665&gt;0,OR(AND(B2665&gt;=1,B2665&lt;=6),B2665=10)),1,0)</f>
        <v>0</v>
      </c>
      <c r="Y2665" s="27" t="n">
        <f aca="false">IF(AND(E2665&gt;0,B2665=10),1,0)</f>
        <v>0</v>
      </c>
      <c r="Z2665" s="0" t="str">
        <f aca="false">IF(AND(C2664=C2665,W2664=W2665-1),X2664,"")</f>
        <v/>
      </c>
      <c r="AA2665" s="0" t="str">
        <f aca="false">IF(AND(C2664=C2665,W2664=W2665-1),Y2664,"")</f>
        <v/>
      </c>
      <c r="AB2665" s="0" t="str">
        <f aca="false">IF(W2665=1,"",IF(AND(X2665=1,Z2665&lt;&gt;1),1,0))</f>
        <v/>
      </c>
      <c r="AC2665" s="0" t="str">
        <f aca="false">IF(W2665=1,"",IF(AND(Y2665=1,AA2665&lt;&gt;1),1,0))</f>
        <v/>
      </c>
      <c r="AD2665" s="33" t="str">
        <f aca="false">IF(AND(E2665&gt;0,W2665&lt;1,NOT(AND(C2666=C2665,W2666=W2665+1))),INDEX(DATAS,W2665+1),"")</f>
        <v/>
      </c>
      <c r="AE2665" s="33" t="str">
        <f aca="false">IF(AND(Y2665=1,W2665&lt;1),IF(AND(C2666=C2665,W2666=W2665+1),IF(Y2666=1,"",INDEX(DATAS,W2665+1)),INDEX(DATAS,W2665+1)),"")</f>
        <v/>
      </c>
    </row>
    <row r="2666" customFormat="false" ht="15" hidden="false" customHeight="false" outlineLevel="0" collapsed="false">
      <c r="A2666" s="33" t="n">
        <v>46309</v>
      </c>
      <c r="B2666" s="0" t="n">
        <v>13</v>
      </c>
      <c r="C2666" s="0" t="n">
        <v>7016</v>
      </c>
      <c r="E2666" s="0" t="n">
        <v>0</v>
      </c>
      <c r="F2666" s="27" t="s">
        <v>1338</v>
      </c>
      <c r="I2666" s="27" t="s">
        <v>166</v>
      </c>
      <c r="U2666" s="0" t="n">
        <v>374</v>
      </c>
      <c r="V2666" s="0" t="n">
        <v>0</v>
      </c>
      <c r="W2666" s="27" t="n">
        <f aca="false">MATCH(A2666,DATAS,0)</f>
        <v>1</v>
      </c>
      <c r="X2666" s="27" t="n">
        <f aca="false">IF(AND(E2666&gt;0,OR(AND(B2666&gt;=1,B2666&lt;=6),B2666=10)),1,0)</f>
        <v>0</v>
      </c>
      <c r="Y2666" s="27" t="n">
        <f aca="false">IF(AND(E2666&gt;0,B2666=10),1,0)</f>
        <v>0</v>
      </c>
      <c r="Z2666" s="0" t="str">
        <f aca="false">IF(AND(C2665=C2666,W2665=W2666-1),X2665,"")</f>
        <v/>
      </c>
      <c r="AA2666" s="0" t="str">
        <f aca="false">IF(AND(C2665=C2666,W2665=W2666-1),Y2665,"")</f>
        <v/>
      </c>
      <c r="AB2666" s="0" t="str">
        <f aca="false">IF(W2666=1,"",IF(AND(X2666=1,Z2666&lt;&gt;1),1,0))</f>
        <v/>
      </c>
      <c r="AC2666" s="0" t="str">
        <f aca="false">IF(W2666=1,"",IF(AND(Y2666=1,AA2666&lt;&gt;1),1,0))</f>
        <v/>
      </c>
      <c r="AD2666" s="33" t="str">
        <f aca="false">IF(AND(E2666&gt;0,W2666&lt;1,NOT(AND(C2667=C2666,W2667=W2666+1))),INDEX(DATAS,W2666+1),"")</f>
        <v/>
      </c>
      <c r="AE2666" s="33" t="str">
        <f aca="false">IF(AND(Y2666=1,W2666&lt;1),IF(AND(C2667=C2666,W2667=W2666+1),IF(Y2667=1,"",INDEX(DATAS,W2666+1)),INDEX(DATAS,W2666+1)),"")</f>
        <v/>
      </c>
    </row>
    <row r="2667" customFormat="false" ht="15" hidden="false" customHeight="false" outlineLevel="0" collapsed="false">
      <c r="A2667" s="33" t="n">
        <v>46309</v>
      </c>
      <c r="B2667" s="0" t="n">
        <v>13</v>
      </c>
      <c r="C2667" s="0" t="n">
        <v>7018</v>
      </c>
      <c r="E2667" s="0" t="n">
        <v>0</v>
      </c>
      <c r="F2667" s="27" t="s">
        <v>1339</v>
      </c>
      <c r="I2667" s="27" t="s">
        <v>166</v>
      </c>
      <c r="U2667" s="0" t="n">
        <v>373</v>
      </c>
      <c r="V2667" s="0" t="n">
        <v>0</v>
      </c>
      <c r="W2667" s="27" t="n">
        <f aca="false">MATCH(A2667,DATAS,0)</f>
        <v>1</v>
      </c>
      <c r="X2667" s="27" t="n">
        <f aca="false">IF(AND(E2667&gt;0,OR(AND(B2667&gt;=1,B2667&lt;=6),B2667=10)),1,0)</f>
        <v>0</v>
      </c>
      <c r="Y2667" s="27" t="n">
        <f aca="false">IF(AND(E2667&gt;0,B2667=10),1,0)</f>
        <v>0</v>
      </c>
      <c r="Z2667" s="0" t="str">
        <f aca="false">IF(AND(C2666=C2667,W2666=W2667-1),X2666,"")</f>
        <v/>
      </c>
      <c r="AA2667" s="0" t="str">
        <f aca="false">IF(AND(C2666=C2667,W2666=W2667-1),Y2666,"")</f>
        <v/>
      </c>
      <c r="AB2667" s="0" t="str">
        <f aca="false">IF(W2667=1,"",IF(AND(X2667=1,Z2667&lt;&gt;1),1,0))</f>
        <v/>
      </c>
      <c r="AC2667" s="0" t="str">
        <f aca="false">IF(W2667=1,"",IF(AND(Y2667=1,AA2667&lt;&gt;1),1,0))</f>
        <v/>
      </c>
      <c r="AD2667" s="33" t="str">
        <f aca="false">IF(AND(E2667&gt;0,W2667&lt;1,NOT(AND(C2668=C2667,W2668=W2667+1))),INDEX(DATAS,W2667+1),"")</f>
        <v/>
      </c>
      <c r="AE2667" s="33" t="str">
        <f aca="false">IF(AND(Y2667=1,W2667&lt;1),IF(AND(C2668=C2667,W2668=W2667+1),IF(Y2668=1,"",INDEX(DATAS,W2667+1)),INDEX(DATAS,W2667+1)),"")</f>
        <v/>
      </c>
    </row>
    <row r="2668" customFormat="false" ht="15" hidden="false" customHeight="false" outlineLevel="0" collapsed="false">
      <c r="A2668" s="33" t="n">
        <v>46309</v>
      </c>
      <c r="B2668" s="0" t="n">
        <v>13</v>
      </c>
      <c r="C2668" s="0" t="n">
        <v>7019</v>
      </c>
      <c r="E2668" s="0" t="n">
        <v>0</v>
      </c>
      <c r="F2668" s="27" t="s">
        <v>1339</v>
      </c>
      <c r="I2668" s="27" t="s">
        <v>166</v>
      </c>
      <c r="U2668" s="0" t="n">
        <v>373</v>
      </c>
      <c r="V2668" s="0" t="n">
        <v>0</v>
      </c>
      <c r="W2668" s="27" t="n">
        <f aca="false">MATCH(A2668,DATAS,0)</f>
        <v>1</v>
      </c>
      <c r="X2668" s="27" t="n">
        <f aca="false">IF(AND(E2668&gt;0,OR(AND(B2668&gt;=1,B2668&lt;=6),B2668=10)),1,0)</f>
        <v>0</v>
      </c>
      <c r="Y2668" s="27" t="n">
        <f aca="false">IF(AND(E2668&gt;0,B2668=10),1,0)</f>
        <v>0</v>
      </c>
      <c r="Z2668" s="0" t="str">
        <f aca="false">IF(AND(C2667=C2668,W2667=W2668-1),X2667,"")</f>
        <v/>
      </c>
      <c r="AA2668" s="0" t="str">
        <f aca="false">IF(AND(C2667=C2668,W2667=W2668-1),Y2667,"")</f>
        <v/>
      </c>
      <c r="AB2668" s="0" t="str">
        <f aca="false">IF(W2668=1,"",IF(AND(X2668=1,Z2668&lt;&gt;1),1,0))</f>
        <v/>
      </c>
      <c r="AC2668" s="0" t="str">
        <f aca="false">IF(W2668=1,"",IF(AND(Y2668=1,AA2668&lt;&gt;1),1,0))</f>
        <v/>
      </c>
      <c r="AD2668" s="33" t="str">
        <f aca="false">IF(AND(E2668&gt;0,W2668&lt;1,NOT(AND(C2669=C2668,W2669=W2668+1))),INDEX(DATAS,W2668+1),"")</f>
        <v/>
      </c>
      <c r="AE2668" s="33" t="str">
        <f aca="false">IF(AND(Y2668=1,W2668&lt;1),IF(AND(C2669=C2668,W2669=W2668+1),IF(Y2669=1,"",INDEX(DATAS,W2668+1)),INDEX(DATAS,W2668+1)),"")</f>
        <v/>
      </c>
    </row>
    <row r="2669" customFormat="false" ht="15" hidden="false" customHeight="false" outlineLevel="0" collapsed="false">
      <c r="A2669" s="33" t="n">
        <v>46309</v>
      </c>
      <c r="B2669" s="0" t="n">
        <v>13</v>
      </c>
      <c r="C2669" s="0" t="n">
        <v>7020</v>
      </c>
      <c r="E2669" s="0" t="n">
        <v>0</v>
      </c>
      <c r="F2669" s="27" t="s">
        <v>1339</v>
      </c>
      <c r="I2669" s="27" t="s">
        <v>166</v>
      </c>
      <c r="U2669" s="0" t="n">
        <v>373</v>
      </c>
      <c r="V2669" s="0" t="n">
        <v>0</v>
      </c>
      <c r="W2669" s="27" t="n">
        <f aca="false">MATCH(A2669,DATAS,0)</f>
        <v>1</v>
      </c>
      <c r="X2669" s="27" t="n">
        <f aca="false">IF(AND(E2669&gt;0,OR(AND(B2669&gt;=1,B2669&lt;=6),B2669=10)),1,0)</f>
        <v>0</v>
      </c>
      <c r="Y2669" s="27" t="n">
        <f aca="false">IF(AND(E2669&gt;0,B2669=10),1,0)</f>
        <v>0</v>
      </c>
      <c r="Z2669" s="0" t="str">
        <f aca="false">IF(AND(C2668=C2669,W2668=W2669-1),X2668,"")</f>
        <v/>
      </c>
      <c r="AA2669" s="0" t="str">
        <f aca="false">IF(AND(C2668=C2669,W2668=W2669-1),Y2668,"")</f>
        <v/>
      </c>
      <c r="AB2669" s="0" t="str">
        <f aca="false">IF(W2669=1,"",IF(AND(X2669=1,Z2669&lt;&gt;1),1,0))</f>
        <v/>
      </c>
      <c r="AC2669" s="0" t="str">
        <f aca="false">IF(W2669=1,"",IF(AND(Y2669=1,AA2669&lt;&gt;1),1,0))</f>
        <v/>
      </c>
      <c r="AD2669" s="33" t="str">
        <f aca="false">IF(AND(E2669&gt;0,W2669&lt;1,NOT(AND(C2670=C2669,W2670=W2669+1))),INDEX(DATAS,W2669+1),"")</f>
        <v/>
      </c>
      <c r="AE2669" s="33" t="str">
        <f aca="false">IF(AND(Y2669=1,W2669&lt;1),IF(AND(C2670=C2669,W2670=W2669+1),IF(Y2670=1,"",INDEX(DATAS,W2669+1)),INDEX(DATAS,W2669+1)),"")</f>
        <v/>
      </c>
    </row>
    <row r="2670" customFormat="false" ht="15" hidden="false" customHeight="false" outlineLevel="0" collapsed="false">
      <c r="A2670" s="33" t="n">
        <v>46309</v>
      </c>
      <c r="B2670" s="0" t="n">
        <v>13</v>
      </c>
      <c r="C2670" s="0" t="n">
        <v>7021</v>
      </c>
      <c r="E2670" s="0" t="n">
        <v>0</v>
      </c>
      <c r="F2670" s="27" t="s">
        <v>1339</v>
      </c>
      <c r="I2670" s="27" t="s">
        <v>166</v>
      </c>
      <c r="U2670" s="0" t="n">
        <v>373</v>
      </c>
      <c r="V2670" s="0" t="n">
        <v>0</v>
      </c>
      <c r="W2670" s="27" t="n">
        <f aca="false">MATCH(A2670,DATAS,0)</f>
        <v>1</v>
      </c>
      <c r="X2670" s="27" t="n">
        <f aca="false">IF(AND(E2670&gt;0,OR(AND(B2670&gt;=1,B2670&lt;=6),B2670=10)),1,0)</f>
        <v>0</v>
      </c>
      <c r="Y2670" s="27" t="n">
        <f aca="false">IF(AND(E2670&gt;0,B2670=10),1,0)</f>
        <v>0</v>
      </c>
      <c r="Z2670" s="0" t="str">
        <f aca="false">IF(AND(C2669=C2670,W2669=W2670-1),X2669,"")</f>
        <v/>
      </c>
      <c r="AA2670" s="0" t="str">
        <f aca="false">IF(AND(C2669=C2670,W2669=W2670-1),Y2669,"")</f>
        <v/>
      </c>
      <c r="AB2670" s="0" t="str">
        <f aca="false">IF(W2670=1,"",IF(AND(X2670=1,Z2670&lt;&gt;1),1,0))</f>
        <v/>
      </c>
      <c r="AC2670" s="0" t="str">
        <f aca="false">IF(W2670=1,"",IF(AND(Y2670=1,AA2670&lt;&gt;1),1,0))</f>
        <v/>
      </c>
      <c r="AD2670" s="33" t="str">
        <f aca="false">IF(AND(E2670&gt;0,W2670&lt;1,NOT(AND(C2671=C2670,W2671=W2670+1))),INDEX(DATAS,W2670+1),"")</f>
        <v/>
      </c>
      <c r="AE2670" s="33" t="str">
        <f aca="false">IF(AND(Y2670=1,W2670&lt;1),IF(AND(C2671=C2670,W2671=W2670+1),IF(Y2671=1,"",INDEX(DATAS,W2670+1)),INDEX(DATAS,W2670+1)),"")</f>
        <v/>
      </c>
    </row>
    <row r="2671" customFormat="false" ht="15" hidden="false" customHeight="false" outlineLevel="0" collapsed="false">
      <c r="A2671" s="33" t="n">
        <v>46309</v>
      </c>
      <c r="B2671" s="0" t="n">
        <v>13</v>
      </c>
      <c r="C2671" s="0" t="n">
        <v>7022</v>
      </c>
      <c r="E2671" s="0" t="n">
        <v>0</v>
      </c>
      <c r="F2671" s="27" t="s">
        <v>1339</v>
      </c>
      <c r="I2671" s="27" t="s">
        <v>166</v>
      </c>
      <c r="U2671" s="0" t="n">
        <v>373</v>
      </c>
      <c r="V2671" s="0" t="n">
        <v>0</v>
      </c>
      <c r="W2671" s="27" t="n">
        <f aca="false">MATCH(A2671,DATAS,0)</f>
        <v>1</v>
      </c>
      <c r="X2671" s="27" t="n">
        <f aca="false">IF(AND(E2671&gt;0,OR(AND(B2671&gt;=1,B2671&lt;=6),B2671=10)),1,0)</f>
        <v>0</v>
      </c>
      <c r="Y2671" s="27" t="n">
        <f aca="false">IF(AND(E2671&gt;0,B2671=10),1,0)</f>
        <v>0</v>
      </c>
      <c r="Z2671" s="0" t="str">
        <f aca="false">IF(AND(C2670=C2671,W2670=W2671-1),X2670,"")</f>
        <v/>
      </c>
      <c r="AA2671" s="0" t="str">
        <f aca="false">IF(AND(C2670=C2671,W2670=W2671-1),Y2670,"")</f>
        <v/>
      </c>
      <c r="AB2671" s="0" t="str">
        <f aca="false">IF(W2671=1,"",IF(AND(X2671=1,Z2671&lt;&gt;1),1,0))</f>
        <v/>
      </c>
      <c r="AC2671" s="0" t="str">
        <f aca="false">IF(W2671=1,"",IF(AND(Y2671=1,AA2671&lt;&gt;1),1,0))</f>
        <v/>
      </c>
      <c r="AD2671" s="33" t="str">
        <f aca="false">IF(AND(E2671&gt;0,W2671&lt;1,NOT(AND(C2672=C2671,W2672=W2671+1))),INDEX(DATAS,W2671+1),"")</f>
        <v/>
      </c>
      <c r="AE2671" s="33" t="str">
        <f aca="false">IF(AND(Y2671=1,W2671&lt;1),IF(AND(C2672=C2671,W2672=W2671+1),IF(Y2672=1,"",INDEX(DATAS,W2671+1)),INDEX(DATAS,W2671+1)),"")</f>
        <v/>
      </c>
    </row>
    <row r="2672" customFormat="false" ht="15" hidden="false" customHeight="false" outlineLevel="0" collapsed="false">
      <c r="A2672" s="33" t="n">
        <v>46309</v>
      </c>
      <c r="B2672" s="0" t="n">
        <v>13</v>
      </c>
      <c r="C2672" s="0" t="n">
        <v>7023</v>
      </c>
      <c r="E2672" s="0" t="n">
        <v>0</v>
      </c>
      <c r="F2672" s="27" t="s">
        <v>1340</v>
      </c>
      <c r="I2672" s="27" t="s">
        <v>166</v>
      </c>
      <c r="U2672" s="0" t="n">
        <v>371</v>
      </c>
      <c r="V2672" s="0" t="n">
        <v>0</v>
      </c>
      <c r="W2672" s="27" t="n">
        <f aca="false">MATCH(A2672,DATAS,0)</f>
        <v>1</v>
      </c>
      <c r="X2672" s="27" t="n">
        <f aca="false">IF(AND(E2672&gt;0,OR(AND(B2672&gt;=1,B2672&lt;=6),B2672=10)),1,0)</f>
        <v>0</v>
      </c>
      <c r="Y2672" s="27" t="n">
        <f aca="false">IF(AND(E2672&gt;0,B2672=10),1,0)</f>
        <v>0</v>
      </c>
      <c r="Z2672" s="0" t="str">
        <f aca="false">IF(AND(C2671=C2672,W2671=W2672-1),X2671,"")</f>
        <v/>
      </c>
      <c r="AA2672" s="0" t="str">
        <f aca="false">IF(AND(C2671=C2672,W2671=W2672-1),Y2671,"")</f>
        <v/>
      </c>
      <c r="AB2672" s="0" t="str">
        <f aca="false">IF(W2672=1,"",IF(AND(X2672=1,Z2672&lt;&gt;1),1,0))</f>
        <v/>
      </c>
      <c r="AC2672" s="0" t="str">
        <f aca="false">IF(W2672=1,"",IF(AND(Y2672=1,AA2672&lt;&gt;1),1,0))</f>
        <v/>
      </c>
      <c r="AD2672" s="33" t="str">
        <f aca="false">IF(AND(E2672&gt;0,W2672&lt;1,NOT(AND(C2673=C2672,W2673=W2672+1))),INDEX(DATAS,W2672+1),"")</f>
        <v/>
      </c>
      <c r="AE2672" s="33" t="str">
        <f aca="false">IF(AND(Y2672=1,W2672&lt;1),IF(AND(C2673=C2672,W2673=W2672+1),IF(Y2673=1,"",INDEX(DATAS,W2672+1)),INDEX(DATAS,W2672+1)),"")</f>
        <v/>
      </c>
    </row>
    <row r="2673" customFormat="false" ht="15" hidden="false" customHeight="false" outlineLevel="0" collapsed="false">
      <c r="A2673" s="33" t="n">
        <v>46309</v>
      </c>
      <c r="B2673" s="0" t="n">
        <v>13</v>
      </c>
      <c r="C2673" s="0" t="n">
        <v>7024</v>
      </c>
      <c r="E2673" s="0" t="n">
        <v>0</v>
      </c>
      <c r="F2673" s="27" t="s">
        <v>1341</v>
      </c>
      <c r="I2673" s="27" t="s">
        <v>166</v>
      </c>
      <c r="U2673" s="0" t="n">
        <v>372</v>
      </c>
      <c r="V2673" s="0" t="n">
        <v>0</v>
      </c>
      <c r="W2673" s="27" t="n">
        <f aca="false">MATCH(A2673,DATAS,0)</f>
        <v>1</v>
      </c>
      <c r="X2673" s="27" t="n">
        <f aca="false">IF(AND(E2673&gt;0,OR(AND(B2673&gt;=1,B2673&lt;=6),B2673=10)),1,0)</f>
        <v>0</v>
      </c>
      <c r="Y2673" s="27" t="n">
        <f aca="false">IF(AND(E2673&gt;0,B2673=10),1,0)</f>
        <v>0</v>
      </c>
      <c r="Z2673" s="0" t="str">
        <f aca="false">IF(AND(C2672=C2673,W2672=W2673-1),X2672,"")</f>
        <v/>
      </c>
      <c r="AA2673" s="0" t="str">
        <f aca="false">IF(AND(C2672=C2673,W2672=W2673-1),Y2672,"")</f>
        <v/>
      </c>
      <c r="AB2673" s="0" t="str">
        <f aca="false">IF(W2673=1,"",IF(AND(X2673=1,Z2673&lt;&gt;1),1,0))</f>
        <v/>
      </c>
      <c r="AC2673" s="0" t="str">
        <f aca="false">IF(W2673=1,"",IF(AND(Y2673=1,AA2673&lt;&gt;1),1,0))</f>
        <v/>
      </c>
      <c r="AD2673" s="33" t="str">
        <f aca="false">IF(AND(E2673&gt;0,W2673&lt;1,NOT(AND(C2674=C2673,W2674=W2673+1))),INDEX(DATAS,W2673+1),"")</f>
        <v/>
      </c>
      <c r="AE2673" s="33" t="str">
        <f aca="false">IF(AND(Y2673=1,W2673&lt;1),IF(AND(C2674=C2673,W2674=W2673+1),IF(Y2674=1,"",INDEX(DATAS,W2673+1)),INDEX(DATAS,W2673+1)),"")</f>
        <v/>
      </c>
    </row>
    <row r="2674" customFormat="false" ht="15" hidden="false" customHeight="false" outlineLevel="0" collapsed="false">
      <c r="A2674" s="33" t="n">
        <v>46309</v>
      </c>
      <c r="B2674" s="0" t="n">
        <v>13</v>
      </c>
      <c r="C2674" s="0" t="n">
        <v>7025</v>
      </c>
      <c r="E2674" s="0" t="n">
        <v>0</v>
      </c>
      <c r="F2674" s="27" t="s">
        <v>1341</v>
      </c>
      <c r="I2674" s="27" t="s">
        <v>166</v>
      </c>
      <c r="U2674" s="0" t="n">
        <v>372</v>
      </c>
      <c r="V2674" s="0" t="n">
        <v>0</v>
      </c>
      <c r="W2674" s="27" t="n">
        <f aca="false">MATCH(A2674,DATAS,0)</f>
        <v>1</v>
      </c>
      <c r="X2674" s="27" t="n">
        <f aca="false">IF(AND(E2674&gt;0,OR(AND(B2674&gt;=1,B2674&lt;=6),B2674=10)),1,0)</f>
        <v>0</v>
      </c>
      <c r="Y2674" s="27" t="n">
        <f aca="false">IF(AND(E2674&gt;0,B2674=10),1,0)</f>
        <v>0</v>
      </c>
      <c r="Z2674" s="0" t="str">
        <f aca="false">IF(AND(C2673=C2674,W2673=W2674-1),X2673,"")</f>
        <v/>
      </c>
      <c r="AA2674" s="0" t="str">
        <f aca="false">IF(AND(C2673=C2674,W2673=W2674-1),Y2673,"")</f>
        <v/>
      </c>
      <c r="AB2674" s="0" t="str">
        <f aca="false">IF(W2674=1,"",IF(AND(X2674=1,Z2674&lt;&gt;1),1,0))</f>
        <v/>
      </c>
      <c r="AC2674" s="0" t="str">
        <f aca="false">IF(W2674=1,"",IF(AND(Y2674=1,AA2674&lt;&gt;1),1,0))</f>
        <v/>
      </c>
      <c r="AD2674" s="33" t="str">
        <f aca="false">IF(AND(E2674&gt;0,W2674&lt;1,NOT(AND(C2675=C2674,W2675=W2674+1))),INDEX(DATAS,W2674+1),"")</f>
        <v/>
      </c>
      <c r="AE2674" s="33" t="str">
        <f aca="false">IF(AND(Y2674=1,W2674&lt;1),IF(AND(C2675=C2674,W2675=W2674+1),IF(Y2675=1,"",INDEX(DATAS,W2674+1)),INDEX(DATAS,W2674+1)),"")</f>
        <v/>
      </c>
    </row>
    <row r="2675" customFormat="false" ht="15" hidden="false" customHeight="false" outlineLevel="0" collapsed="false">
      <c r="A2675" s="33" t="n">
        <v>46309</v>
      </c>
      <c r="B2675" s="0" t="n">
        <v>13</v>
      </c>
      <c r="C2675" s="0" t="n">
        <v>7026</v>
      </c>
      <c r="E2675" s="0" t="n">
        <v>0</v>
      </c>
      <c r="F2675" s="27" t="s">
        <v>1340</v>
      </c>
      <c r="I2675" s="27" t="s">
        <v>166</v>
      </c>
      <c r="U2675" s="0" t="n">
        <v>371</v>
      </c>
      <c r="V2675" s="0" t="n">
        <v>0</v>
      </c>
      <c r="W2675" s="27" t="n">
        <f aca="false">MATCH(A2675,DATAS,0)</f>
        <v>1</v>
      </c>
      <c r="X2675" s="27" t="n">
        <f aca="false">IF(AND(E2675&gt;0,OR(AND(B2675&gt;=1,B2675&lt;=6),B2675=10)),1,0)</f>
        <v>0</v>
      </c>
      <c r="Y2675" s="27" t="n">
        <f aca="false">IF(AND(E2675&gt;0,B2675=10),1,0)</f>
        <v>0</v>
      </c>
      <c r="Z2675" s="0" t="str">
        <f aca="false">IF(AND(C2674=C2675,W2674=W2675-1),X2674,"")</f>
        <v/>
      </c>
      <c r="AA2675" s="0" t="str">
        <f aca="false">IF(AND(C2674=C2675,W2674=W2675-1),Y2674,"")</f>
        <v/>
      </c>
      <c r="AB2675" s="0" t="str">
        <f aca="false">IF(W2675=1,"",IF(AND(X2675=1,Z2675&lt;&gt;1),1,0))</f>
        <v/>
      </c>
      <c r="AC2675" s="0" t="str">
        <f aca="false">IF(W2675=1,"",IF(AND(Y2675=1,AA2675&lt;&gt;1),1,0))</f>
        <v/>
      </c>
      <c r="AD2675" s="33" t="str">
        <f aca="false">IF(AND(E2675&gt;0,W2675&lt;1,NOT(AND(C2676=C2675,W2676=W2675+1))),INDEX(DATAS,W2675+1),"")</f>
        <v/>
      </c>
      <c r="AE2675" s="33" t="str">
        <f aca="false">IF(AND(Y2675=1,W2675&lt;1),IF(AND(C2676=C2675,W2676=W2675+1),IF(Y2676=1,"",INDEX(DATAS,W2675+1)),INDEX(DATAS,W2675+1)),"")</f>
        <v/>
      </c>
    </row>
    <row r="2676" customFormat="false" ht="15" hidden="false" customHeight="false" outlineLevel="0" collapsed="false">
      <c r="A2676" s="33" t="n">
        <v>46309</v>
      </c>
      <c r="B2676" s="0" t="n">
        <v>13</v>
      </c>
      <c r="C2676" s="0" t="n">
        <v>7027</v>
      </c>
      <c r="E2676" s="0" t="n">
        <v>0</v>
      </c>
      <c r="F2676" s="27" t="s">
        <v>1342</v>
      </c>
      <c r="I2676" s="27" t="s">
        <v>166</v>
      </c>
      <c r="U2676" s="0" t="n">
        <v>370</v>
      </c>
      <c r="V2676" s="0" t="n">
        <v>0</v>
      </c>
      <c r="W2676" s="27" t="n">
        <f aca="false">MATCH(A2676,DATAS,0)</f>
        <v>1</v>
      </c>
      <c r="X2676" s="27" t="n">
        <f aca="false">IF(AND(E2676&gt;0,OR(AND(B2676&gt;=1,B2676&lt;=6),B2676=10)),1,0)</f>
        <v>0</v>
      </c>
      <c r="Y2676" s="27" t="n">
        <f aca="false">IF(AND(E2676&gt;0,B2676=10),1,0)</f>
        <v>0</v>
      </c>
      <c r="Z2676" s="0" t="str">
        <f aca="false">IF(AND(C2675=C2676,W2675=W2676-1),X2675,"")</f>
        <v/>
      </c>
      <c r="AA2676" s="0" t="str">
        <f aca="false">IF(AND(C2675=C2676,W2675=W2676-1),Y2675,"")</f>
        <v/>
      </c>
      <c r="AB2676" s="0" t="str">
        <f aca="false">IF(W2676=1,"",IF(AND(X2676=1,Z2676&lt;&gt;1),1,0))</f>
        <v/>
      </c>
      <c r="AC2676" s="0" t="str">
        <f aca="false">IF(W2676=1,"",IF(AND(Y2676=1,AA2676&lt;&gt;1),1,0))</f>
        <v/>
      </c>
      <c r="AD2676" s="33" t="str">
        <f aca="false">IF(AND(E2676&gt;0,W2676&lt;1,NOT(AND(C2677=C2676,W2677=W2676+1))),INDEX(DATAS,W2676+1),"")</f>
        <v/>
      </c>
      <c r="AE2676" s="33" t="str">
        <f aca="false">IF(AND(Y2676=1,W2676&lt;1),IF(AND(C2677=C2676,W2677=W2676+1),IF(Y2677=1,"",INDEX(DATAS,W2676+1)),INDEX(DATAS,W2676+1)),"")</f>
        <v/>
      </c>
    </row>
    <row r="2677" customFormat="false" ht="15" hidden="false" customHeight="false" outlineLevel="0" collapsed="false">
      <c r="A2677" s="33" t="n">
        <v>46309</v>
      </c>
      <c r="B2677" s="0" t="n">
        <v>13</v>
      </c>
      <c r="C2677" s="0" t="n">
        <v>7028</v>
      </c>
      <c r="E2677" s="0" t="n">
        <v>0</v>
      </c>
      <c r="F2677" s="27" t="s">
        <v>1342</v>
      </c>
      <c r="I2677" s="27" t="s">
        <v>166</v>
      </c>
      <c r="U2677" s="0" t="n">
        <v>370</v>
      </c>
      <c r="V2677" s="0" t="n">
        <v>0</v>
      </c>
      <c r="W2677" s="27" t="n">
        <f aca="false">MATCH(A2677,DATAS,0)</f>
        <v>1</v>
      </c>
      <c r="X2677" s="27" t="n">
        <f aca="false">IF(AND(E2677&gt;0,OR(AND(B2677&gt;=1,B2677&lt;=6),B2677=10)),1,0)</f>
        <v>0</v>
      </c>
      <c r="Y2677" s="27" t="n">
        <f aca="false">IF(AND(E2677&gt;0,B2677=10),1,0)</f>
        <v>0</v>
      </c>
      <c r="Z2677" s="0" t="str">
        <f aca="false">IF(AND(C2676=C2677,W2676=W2677-1),X2676,"")</f>
        <v/>
      </c>
      <c r="AA2677" s="0" t="str">
        <f aca="false">IF(AND(C2676=C2677,W2676=W2677-1),Y2676,"")</f>
        <v/>
      </c>
      <c r="AB2677" s="0" t="str">
        <f aca="false">IF(W2677=1,"",IF(AND(X2677=1,Z2677&lt;&gt;1),1,0))</f>
        <v/>
      </c>
      <c r="AC2677" s="0" t="str">
        <f aca="false">IF(W2677=1,"",IF(AND(Y2677=1,AA2677&lt;&gt;1),1,0))</f>
        <v/>
      </c>
      <c r="AD2677" s="33" t="str">
        <f aca="false">IF(AND(E2677&gt;0,W2677&lt;1,NOT(AND(C2678=C2677,W2678=W2677+1))),INDEX(DATAS,W2677+1),"")</f>
        <v/>
      </c>
      <c r="AE2677" s="33" t="str">
        <f aca="false">IF(AND(Y2677=1,W2677&lt;1),IF(AND(C2678=C2677,W2678=W2677+1),IF(Y2678=1,"",INDEX(DATAS,W2677+1)),INDEX(DATAS,W2677+1)),"")</f>
        <v/>
      </c>
    </row>
    <row r="2678" customFormat="false" ht="15" hidden="false" customHeight="false" outlineLevel="0" collapsed="false">
      <c r="A2678" s="33" t="n">
        <v>46309</v>
      </c>
      <c r="B2678" s="0" t="n">
        <v>13</v>
      </c>
      <c r="C2678" s="0" t="n">
        <v>7029</v>
      </c>
      <c r="E2678" s="0" t="n">
        <v>0</v>
      </c>
      <c r="F2678" s="27" t="s">
        <v>1342</v>
      </c>
      <c r="I2678" s="27" t="s">
        <v>166</v>
      </c>
      <c r="U2678" s="0" t="n">
        <v>370</v>
      </c>
      <c r="V2678" s="0" t="n">
        <v>0</v>
      </c>
      <c r="W2678" s="27" t="n">
        <f aca="false">MATCH(A2678,DATAS,0)</f>
        <v>1</v>
      </c>
      <c r="X2678" s="27" t="n">
        <f aca="false">IF(AND(E2678&gt;0,OR(AND(B2678&gt;=1,B2678&lt;=6),B2678=10)),1,0)</f>
        <v>0</v>
      </c>
      <c r="Y2678" s="27" t="n">
        <f aca="false">IF(AND(E2678&gt;0,B2678=10),1,0)</f>
        <v>0</v>
      </c>
      <c r="Z2678" s="0" t="str">
        <f aca="false">IF(AND(C2677=C2678,W2677=W2678-1),X2677,"")</f>
        <v/>
      </c>
      <c r="AA2678" s="0" t="str">
        <f aca="false">IF(AND(C2677=C2678,W2677=W2678-1),Y2677,"")</f>
        <v/>
      </c>
      <c r="AB2678" s="0" t="str">
        <f aca="false">IF(W2678=1,"",IF(AND(X2678=1,Z2678&lt;&gt;1),1,0))</f>
        <v/>
      </c>
      <c r="AC2678" s="0" t="str">
        <f aca="false">IF(W2678=1,"",IF(AND(Y2678=1,AA2678&lt;&gt;1),1,0))</f>
        <v/>
      </c>
      <c r="AD2678" s="33" t="str">
        <f aca="false">IF(AND(E2678&gt;0,W2678&lt;1,NOT(AND(C2679=C2678,W2679=W2678+1))),INDEX(DATAS,W2678+1),"")</f>
        <v/>
      </c>
      <c r="AE2678" s="33" t="str">
        <f aca="false">IF(AND(Y2678=1,W2678&lt;1),IF(AND(C2679=C2678,W2679=W2678+1),IF(Y2679=1,"",INDEX(DATAS,W2678+1)),INDEX(DATAS,W2678+1)),"")</f>
        <v/>
      </c>
    </row>
    <row r="2679" customFormat="false" ht="15" hidden="false" customHeight="false" outlineLevel="0" collapsed="false">
      <c r="A2679" s="33" t="n">
        <v>46309</v>
      </c>
      <c r="B2679" s="0" t="n">
        <v>13</v>
      </c>
      <c r="C2679" s="0" t="n">
        <v>7030</v>
      </c>
      <c r="E2679" s="0" t="n">
        <v>0</v>
      </c>
      <c r="F2679" s="27" t="s">
        <v>1342</v>
      </c>
      <c r="I2679" s="27" t="s">
        <v>166</v>
      </c>
      <c r="U2679" s="0" t="n">
        <v>370</v>
      </c>
      <c r="V2679" s="0" t="n">
        <v>0</v>
      </c>
      <c r="W2679" s="27" t="n">
        <f aca="false">MATCH(A2679,DATAS,0)</f>
        <v>1</v>
      </c>
      <c r="X2679" s="27" t="n">
        <f aca="false">IF(AND(E2679&gt;0,OR(AND(B2679&gt;=1,B2679&lt;=6),B2679=10)),1,0)</f>
        <v>0</v>
      </c>
      <c r="Y2679" s="27" t="n">
        <f aca="false">IF(AND(E2679&gt;0,B2679=10),1,0)</f>
        <v>0</v>
      </c>
      <c r="Z2679" s="0" t="str">
        <f aca="false">IF(AND(C2678=C2679,W2678=W2679-1),X2678,"")</f>
        <v/>
      </c>
      <c r="AA2679" s="0" t="str">
        <f aca="false">IF(AND(C2678=C2679,W2678=W2679-1),Y2678,"")</f>
        <v/>
      </c>
      <c r="AB2679" s="0" t="str">
        <f aca="false">IF(W2679=1,"",IF(AND(X2679=1,Z2679&lt;&gt;1),1,0))</f>
        <v/>
      </c>
      <c r="AC2679" s="0" t="str">
        <f aca="false">IF(W2679=1,"",IF(AND(Y2679=1,AA2679&lt;&gt;1),1,0))</f>
        <v/>
      </c>
      <c r="AD2679" s="33" t="str">
        <f aca="false">IF(AND(E2679&gt;0,W2679&lt;1,NOT(AND(C2680=C2679,W2680=W2679+1))),INDEX(DATAS,W2679+1),"")</f>
        <v/>
      </c>
      <c r="AE2679" s="33" t="str">
        <f aca="false">IF(AND(Y2679=1,W2679&lt;1),IF(AND(C2680=C2679,W2680=W2679+1),IF(Y2680=1,"",INDEX(DATAS,W2679+1)),INDEX(DATAS,W2679+1)),"")</f>
        <v/>
      </c>
    </row>
    <row r="2680" customFormat="false" ht="15" hidden="false" customHeight="false" outlineLevel="0" collapsed="false">
      <c r="A2680" s="33" t="n">
        <v>46309</v>
      </c>
      <c r="B2680" s="0" t="n">
        <v>13</v>
      </c>
      <c r="C2680" s="0" t="n">
        <v>7031</v>
      </c>
      <c r="E2680" s="0" t="n">
        <v>0</v>
      </c>
      <c r="F2680" s="27" t="s">
        <v>1343</v>
      </c>
      <c r="I2680" s="27" t="s">
        <v>166</v>
      </c>
      <c r="U2680" s="0" t="n">
        <v>369</v>
      </c>
      <c r="V2680" s="0" t="n">
        <v>0</v>
      </c>
      <c r="W2680" s="27" t="n">
        <f aca="false">MATCH(A2680,DATAS,0)</f>
        <v>1</v>
      </c>
      <c r="X2680" s="27" t="n">
        <f aca="false">IF(AND(E2680&gt;0,OR(AND(B2680&gt;=1,B2680&lt;=6),B2680=10)),1,0)</f>
        <v>0</v>
      </c>
      <c r="Y2680" s="27" t="n">
        <f aca="false">IF(AND(E2680&gt;0,B2680=10),1,0)</f>
        <v>0</v>
      </c>
      <c r="Z2680" s="0" t="str">
        <f aca="false">IF(AND(C2679=C2680,W2679=W2680-1),X2679,"")</f>
        <v/>
      </c>
      <c r="AA2680" s="0" t="str">
        <f aca="false">IF(AND(C2679=C2680,W2679=W2680-1),Y2679,"")</f>
        <v/>
      </c>
      <c r="AB2680" s="0" t="str">
        <f aca="false">IF(W2680=1,"",IF(AND(X2680=1,Z2680&lt;&gt;1),1,0))</f>
        <v/>
      </c>
      <c r="AC2680" s="0" t="str">
        <f aca="false">IF(W2680=1,"",IF(AND(Y2680=1,AA2680&lt;&gt;1),1,0))</f>
        <v/>
      </c>
      <c r="AD2680" s="33" t="str">
        <f aca="false">IF(AND(E2680&gt;0,W2680&lt;1,NOT(AND(C2681=C2680,W2681=W2680+1))),INDEX(DATAS,W2680+1),"")</f>
        <v/>
      </c>
      <c r="AE2680" s="33" t="str">
        <f aca="false">IF(AND(Y2680=1,W2680&lt;1),IF(AND(C2681=C2680,W2681=W2680+1),IF(Y2681=1,"",INDEX(DATAS,W2680+1)),INDEX(DATAS,W2680+1)),"")</f>
        <v/>
      </c>
    </row>
    <row r="2681" customFormat="false" ht="15" hidden="false" customHeight="false" outlineLevel="0" collapsed="false">
      <c r="A2681" s="33" t="n">
        <v>46309</v>
      </c>
      <c r="B2681" s="0" t="n">
        <v>13</v>
      </c>
      <c r="C2681" s="0" t="n">
        <v>7032</v>
      </c>
      <c r="E2681" s="0" t="n">
        <v>0</v>
      </c>
      <c r="F2681" s="27" t="s">
        <v>1343</v>
      </c>
      <c r="I2681" s="27" t="s">
        <v>166</v>
      </c>
      <c r="U2681" s="0" t="n">
        <v>369</v>
      </c>
      <c r="V2681" s="0" t="n">
        <v>0</v>
      </c>
      <c r="W2681" s="27" t="n">
        <f aca="false">MATCH(A2681,DATAS,0)</f>
        <v>1</v>
      </c>
      <c r="X2681" s="27" t="n">
        <f aca="false">IF(AND(E2681&gt;0,OR(AND(B2681&gt;=1,B2681&lt;=6),B2681=10)),1,0)</f>
        <v>0</v>
      </c>
      <c r="Y2681" s="27" t="n">
        <f aca="false">IF(AND(E2681&gt;0,B2681=10),1,0)</f>
        <v>0</v>
      </c>
      <c r="Z2681" s="0" t="str">
        <f aca="false">IF(AND(C2680=C2681,W2680=W2681-1),X2680,"")</f>
        <v/>
      </c>
      <c r="AA2681" s="0" t="str">
        <f aca="false">IF(AND(C2680=C2681,W2680=W2681-1),Y2680,"")</f>
        <v/>
      </c>
      <c r="AB2681" s="0" t="str">
        <f aca="false">IF(W2681=1,"",IF(AND(X2681=1,Z2681&lt;&gt;1),1,0))</f>
        <v/>
      </c>
      <c r="AC2681" s="0" t="str">
        <f aca="false">IF(W2681=1,"",IF(AND(Y2681=1,AA2681&lt;&gt;1),1,0))</f>
        <v/>
      </c>
      <c r="AD2681" s="33" t="str">
        <f aca="false">IF(AND(E2681&gt;0,W2681&lt;1,NOT(AND(C2682=C2681,W2682=W2681+1))),INDEX(DATAS,W2681+1),"")</f>
        <v/>
      </c>
      <c r="AE2681" s="33" t="str">
        <f aca="false">IF(AND(Y2681=1,W2681&lt;1),IF(AND(C2682=C2681,W2682=W2681+1),IF(Y2682=1,"",INDEX(DATAS,W2681+1)),INDEX(DATAS,W2681+1)),"")</f>
        <v/>
      </c>
    </row>
    <row r="2682" customFormat="false" ht="15" hidden="false" customHeight="false" outlineLevel="0" collapsed="false">
      <c r="A2682" s="33" t="n">
        <v>46309</v>
      </c>
      <c r="B2682" s="0" t="n">
        <v>13</v>
      </c>
      <c r="C2682" s="0" t="n">
        <v>7033</v>
      </c>
      <c r="E2682" s="0" t="n">
        <v>0</v>
      </c>
      <c r="F2682" s="27" t="s">
        <v>1343</v>
      </c>
      <c r="I2682" s="27" t="s">
        <v>166</v>
      </c>
      <c r="U2682" s="0" t="n">
        <v>369</v>
      </c>
      <c r="V2682" s="0" t="n">
        <v>0</v>
      </c>
      <c r="W2682" s="27" t="n">
        <f aca="false">MATCH(A2682,DATAS,0)</f>
        <v>1</v>
      </c>
      <c r="X2682" s="27" t="n">
        <f aca="false">IF(AND(E2682&gt;0,OR(AND(B2682&gt;=1,B2682&lt;=6),B2682=10)),1,0)</f>
        <v>0</v>
      </c>
      <c r="Y2682" s="27" t="n">
        <f aca="false">IF(AND(E2682&gt;0,B2682=10),1,0)</f>
        <v>0</v>
      </c>
      <c r="Z2682" s="0" t="str">
        <f aca="false">IF(AND(C2681=C2682,W2681=W2682-1),X2681,"")</f>
        <v/>
      </c>
      <c r="AA2682" s="0" t="str">
        <f aca="false">IF(AND(C2681=C2682,W2681=W2682-1),Y2681,"")</f>
        <v/>
      </c>
      <c r="AB2682" s="0" t="str">
        <f aca="false">IF(W2682=1,"",IF(AND(X2682=1,Z2682&lt;&gt;1),1,0))</f>
        <v/>
      </c>
      <c r="AC2682" s="0" t="str">
        <f aca="false">IF(W2682=1,"",IF(AND(Y2682=1,AA2682&lt;&gt;1),1,0))</f>
        <v/>
      </c>
      <c r="AD2682" s="33" t="str">
        <f aca="false">IF(AND(E2682&gt;0,W2682&lt;1,NOT(AND(C2683=C2682,W2683=W2682+1))),INDEX(DATAS,W2682+1),"")</f>
        <v/>
      </c>
      <c r="AE2682" s="33" t="str">
        <f aca="false">IF(AND(Y2682=1,W2682&lt;1),IF(AND(C2683=C2682,W2683=W2682+1),IF(Y2683=1,"",INDEX(DATAS,W2682+1)),INDEX(DATAS,W2682+1)),"")</f>
        <v/>
      </c>
    </row>
    <row r="2683" customFormat="false" ht="15" hidden="false" customHeight="false" outlineLevel="0" collapsed="false">
      <c r="A2683" s="33" t="n">
        <v>46309</v>
      </c>
      <c r="B2683" s="0" t="n">
        <v>13</v>
      </c>
      <c r="C2683" s="0" t="n">
        <v>7035</v>
      </c>
      <c r="E2683" s="0" t="n">
        <v>0</v>
      </c>
      <c r="F2683" s="27" t="s">
        <v>1344</v>
      </c>
      <c r="I2683" s="27" t="s">
        <v>166</v>
      </c>
      <c r="U2683" s="0" t="n">
        <v>367</v>
      </c>
      <c r="V2683" s="0" t="n">
        <v>0</v>
      </c>
      <c r="W2683" s="27" t="n">
        <f aca="false">MATCH(A2683,DATAS,0)</f>
        <v>1</v>
      </c>
      <c r="X2683" s="27" t="n">
        <f aca="false">IF(AND(E2683&gt;0,OR(AND(B2683&gt;=1,B2683&lt;=6),B2683=10)),1,0)</f>
        <v>0</v>
      </c>
      <c r="Y2683" s="27" t="n">
        <f aca="false">IF(AND(E2683&gt;0,B2683=10),1,0)</f>
        <v>0</v>
      </c>
      <c r="Z2683" s="0" t="str">
        <f aca="false">IF(AND(C2682=C2683,W2682=W2683-1),X2682,"")</f>
        <v/>
      </c>
      <c r="AA2683" s="0" t="str">
        <f aca="false">IF(AND(C2682=C2683,W2682=W2683-1),Y2682,"")</f>
        <v/>
      </c>
      <c r="AB2683" s="0" t="str">
        <f aca="false">IF(W2683=1,"",IF(AND(X2683=1,Z2683&lt;&gt;1),1,0))</f>
        <v/>
      </c>
      <c r="AC2683" s="0" t="str">
        <f aca="false">IF(W2683=1,"",IF(AND(Y2683=1,AA2683&lt;&gt;1),1,0))</f>
        <v/>
      </c>
      <c r="AD2683" s="33" t="str">
        <f aca="false">IF(AND(E2683&gt;0,W2683&lt;1,NOT(AND(C2684=C2683,W2684=W2683+1))),INDEX(DATAS,W2683+1),"")</f>
        <v/>
      </c>
      <c r="AE2683" s="33" t="str">
        <f aca="false">IF(AND(Y2683=1,W2683&lt;1),IF(AND(C2684=C2683,W2684=W2683+1),IF(Y2684=1,"",INDEX(DATAS,W2683+1)),INDEX(DATAS,W2683+1)),"")</f>
        <v/>
      </c>
    </row>
    <row r="2684" customFormat="false" ht="15" hidden="false" customHeight="false" outlineLevel="0" collapsed="false">
      <c r="A2684" s="33" t="n">
        <v>46309</v>
      </c>
      <c r="B2684" s="0" t="n">
        <v>13</v>
      </c>
      <c r="C2684" s="0" t="n">
        <v>7036</v>
      </c>
      <c r="E2684" s="0" t="n">
        <v>0</v>
      </c>
      <c r="F2684" s="27" t="s">
        <v>1345</v>
      </c>
      <c r="I2684" s="27" t="s">
        <v>166</v>
      </c>
      <c r="U2684" s="0" t="n">
        <v>366</v>
      </c>
      <c r="V2684" s="0" t="n">
        <v>0</v>
      </c>
      <c r="W2684" s="27" t="n">
        <f aca="false">MATCH(A2684,DATAS,0)</f>
        <v>1</v>
      </c>
      <c r="X2684" s="27" t="n">
        <f aca="false">IF(AND(E2684&gt;0,OR(AND(B2684&gt;=1,B2684&lt;=6),B2684=10)),1,0)</f>
        <v>0</v>
      </c>
      <c r="Y2684" s="27" t="n">
        <f aca="false">IF(AND(E2684&gt;0,B2684=10),1,0)</f>
        <v>0</v>
      </c>
      <c r="Z2684" s="0" t="str">
        <f aca="false">IF(AND(C2683=C2684,W2683=W2684-1),X2683,"")</f>
        <v/>
      </c>
      <c r="AA2684" s="0" t="str">
        <f aca="false">IF(AND(C2683=C2684,W2683=W2684-1),Y2683,"")</f>
        <v/>
      </c>
      <c r="AB2684" s="0" t="str">
        <f aca="false">IF(W2684=1,"",IF(AND(X2684=1,Z2684&lt;&gt;1),1,0))</f>
        <v/>
      </c>
      <c r="AC2684" s="0" t="str">
        <f aca="false">IF(W2684=1,"",IF(AND(Y2684=1,AA2684&lt;&gt;1),1,0))</f>
        <v/>
      </c>
      <c r="AD2684" s="33" t="str">
        <f aca="false">IF(AND(E2684&gt;0,W2684&lt;1,NOT(AND(C2685=C2684,W2685=W2684+1))),INDEX(DATAS,W2684+1),"")</f>
        <v/>
      </c>
      <c r="AE2684" s="33" t="str">
        <f aca="false">IF(AND(Y2684=1,W2684&lt;1),IF(AND(C2685=C2684,W2685=W2684+1),IF(Y2685=1,"",INDEX(DATAS,W2684+1)),INDEX(DATAS,W2684+1)),"")</f>
        <v/>
      </c>
    </row>
    <row r="2685" customFormat="false" ht="15" hidden="false" customHeight="false" outlineLevel="0" collapsed="false">
      <c r="A2685" s="33" t="n">
        <v>46309</v>
      </c>
      <c r="B2685" s="0" t="n">
        <v>13</v>
      </c>
      <c r="C2685" s="0" t="n">
        <v>7037</v>
      </c>
      <c r="E2685" s="0" t="n">
        <v>0</v>
      </c>
      <c r="F2685" s="27" t="s">
        <v>1345</v>
      </c>
      <c r="I2685" s="27" t="s">
        <v>166</v>
      </c>
      <c r="U2685" s="0" t="n">
        <v>366</v>
      </c>
      <c r="V2685" s="0" t="n">
        <v>0</v>
      </c>
      <c r="W2685" s="27" t="n">
        <f aca="false">MATCH(A2685,DATAS,0)</f>
        <v>1</v>
      </c>
      <c r="X2685" s="27" t="n">
        <f aca="false">IF(AND(E2685&gt;0,OR(AND(B2685&gt;=1,B2685&lt;=6),B2685=10)),1,0)</f>
        <v>0</v>
      </c>
      <c r="Y2685" s="27" t="n">
        <f aca="false">IF(AND(E2685&gt;0,B2685=10),1,0)</f>
        <v>0</v>
      </c>
      <c r="Z2685" s="0" t="str">
        <f aca="false">IF(AND(C2684=C2685,W2684=W2685-1),X2684,"")</f>
        <v/>
      </c>
      <c r="AA2685" s="0" t="str">
        <f aca="false">IF(AND(C2684=C2685,W2684=W2685-1),Y2684,"")</f>
        <v/>
      </c>
      <c r="AB2685" s="0" t="str">
        <f aca="false">IF(W2685=1,"",IF(AND(X2685=1,Z2685&lt;&gt;1),1,0))</f>
        <v/>
      </c>
      <c r="AC2685" s="0" t="str">
        <f aca="false">IF(W2685=1,"",IF(AND(Y2685=1,AA2685&lt;&gt;1),1,0))</f>
        <v/>
      </c>
      <c r="AD2685" s="33" t="str">
        <f aca="false">IF(AND(E2685&gt;0,W2685&lt;1,NOT(AND(C2686=C2685,W2686=W2685+1))),INDEX(DATAS,W2685+1),"")</f>
        <v/>
      </c>
      <c r="AE2685" s="33" t="str">
        <f aca="false">IF(AND(Y2685=1,W2685&lt;1),IF(AND(C2686=C2685,W2686=W2685+1),IF(Y2686=1,"",INDEX(DATAS,W2685+1)),INDEX(DATAS,W2685+1)),"")</f>
        <v/>
      </c>
    </row>
    <row r="2686" customFormat="false" ht="15" hidden="false" customHeight="false" outlineLevel="0" collapsed="false">
      <c r="A2686" s="33" t="n">
        <v>46309</v>
      </c>
      <c r="B2686" s="0" t="n">
        <v>13</v>
      </c>
      <c r="C2686" s="0" t="n">
        <v>7038</v>
      </c>
      <c r="E2686" s="0" t="n">
        <v>0</v>
      </c>
      <c r="F2686" s="27" t="s">
        <v>1346</v>
      </c>
      <c r="I2686" s="27" t="s">
        <v>166</v>
      </c>
      <c r="U2686" s="0" t="n">
        <v>365</v>
      </c>
      <c r="V2686" s="0" t="n">
        <v>0</v>
      </c>
      <c r="W2686" s="27" t="n">
        <f aca="false">MATCH(A2686,DATAS,0)</f>
        <v>1</v>
      </c>
      <c r="X2686" s="27" t="n">
        <f aca="false">IF(AND(E2686&gt;0,OR(AND(B2686&gt;=1,B2686&lt;=6),B2686=10)),1,0)</f>
        <v>0</v>
      </c>
      <c r="Y2686" s="27" t="n">
        <f aca="false">IF(AND(E2686&gt;0,B2686=10),1,0)</f>
        <v>0</v>
      </c>
      <c r="Z2686" s="0" t="str">
        <f aca="false">IF(AND(C2685=C2686,W2685=W2686-1),X2685,"")</f>
        <v/>
      </c>
      <c r="AA2686" s="0" t="str">
        <f aca="false">IF(AND(C2685=C2686,W2685=W2686-1),Y2685,"")</f>
        <v/>
      </c>
      <c r="AB2686" s="0" t="str">
        <f aca="false">IF(W2686=1,"",IF(AND(X2686=1,Z2686&lt;&gt;1),1,0))</f>
        <v/>
      </c>
      <c r="AC2686" s="0" t="str">
        <f aca="false">IF(W2686=1,"",IF(AND(Y2686=1,AA2686&lt;&gt;1),1,0))</f>
        <v/>
      </c>
      <c r="AD2686" s="33" t="str">
        <f aca="false">IF(AND(E2686&gt;0,W2686&lt;1,NOT(AND(C2687=C2686,W2687=W2686+1))),INDEX(DATAS,W2686+1),"")</f>
        <v/>
      </c>
      <c r="AE2686" s="33" t="str">
        <f aca="false">IF(AND(Y2686=1,W2686&lt;1),IF(AND(C2687=C2686,W2687=W2686+1),IF(Y2687=1,"",INDEX(DATAS,W2686+1)),INDEX(DATAS,W2686+1)),"")</f>
        <v/>
      </c>
    </row>
    <row r="2687" customFormat="false" ht="15" hidden="false" customHeight="false" outlineLevel="0" collapsed="false">
      <c r="A2687" s="33" t="n">
        <v>46309</v>
      </c>
      <c r="B2687" s="0" t="n">
        <v>13</v>
      </c>
      <c r="C2687" s="0" t="n">
        <v>7039</v>
      </c>
      <c r="E2687" s="0" t="n">
        <v>0</v>
      </c>
      <c r="F2687" s="27" t="s">
        <v>1347</v>
      </c>
      <c r="I2687" s="27" t="s">
        <v>166</v>
      </c>
      <c r="U2687" s="0" t="n">
        <v>364</v>
      </c>
      <c r="V2687" s="0" t="n">
        <v>0</v>
      </c>
      <c r="W2687" s="27" t="n">
        <f aca="false">MATCH(A2687,DATAS,0)</f>
        <v>1</v>
      </c>
      <c r="X2687" s="27" t="n">
        <f aca="false">IF(AND(E2687&gt;0,OR(AND(B2687&gt;=1,B2687&lt;=6),B2687=10)),1,0)</f>
        <v>0</v>
      </c>
      <c r="Y2687" s="27" t="n">
        <f aca="false">IF(AND(E2687&gt;0,B2687=10),1,0)</f>
        <v>0</v>
      </c>
      <c r="Z2687" s="0" t="str">
        <f aca="false">IF(AND(C2686=C2687,W2686=W2687-1),X2686,"")</f>
        <v/>
      </c>
      <c r="AA2687" s="0" t="str">
        <f aca="false">IF(AND(C2686=C2687,W2686=W2687-1),Y2686,"")</f>
        <v/>
      </c>
      <c r="AB2687" s="0" t="str">
        <f aca="false">IF(W2687=1,"",IF(AND(X2687=1,Z2687&lt;&gt;1),1,0))</f>
        <v/>
      </c>
      <c r="AC2687" s="0" t="str">
        <f aca="false">IF(W2687=1,"",IF(AND(Y2687=1,AA2687&lt;&gt;1),1,0))</f>
        <v/>
      </c>
      <c r="AD2687" s="33" t="str">
        <f aca="false">IF(AND(E2687&gt;0,W2687&lt;1,NOT(AND(C2688=C2687,W2688=W2687+1))),INDEX(DATAS,W2687+1),"")</f>
        <v/>
      </c>
      <c r="AE2687" s="33" t="str">
        <f aca="false">IF(AND(Y2687=1,W2687&lt;1),IF(AND(C2688=C2687,W2688=W2687+1),IF(Y2688=1,"",INDEX(DATAS,W2687+1)),INDEX(DATAS,W2687+1)),"")</f>
        <v/>
      </c>
    </row>
    <row r="2688" customFormat="false" ht="15" hidden="false" customHeight="false" outlineLevel="0" collapsed="false">
      <c r="A2688" s="33" t="n">
        <v>46309</v>
      </c>
      <c r="B2688" s="0" t="n">
        <v>13</v>
      </c>
      <c r="C2688" s="0" t="n">
        <v>7040</v>
      </c>
      <c r="E2688" s="0" t="n">
        <v>0</v>
      </c>
      <c r="F2688" s="27" t="s">
        <v>1348</v>
      </c>
      <c r="I2688" s="27" t="s">
        <v>166</v>
      </c>
      <c r="U2688" s="0" t="n">
        <v>362</v>
      </c>
      <c r="V2688" s="0" t="n">
        <v>0</v>
      </c>
      <c r="W2688" s="27" t="n">
        <f aca="false">MATCH(A2688,DATAS,0)</f>
        <v>1</v>
      </c>
      <c r="X2688" s="27" t="n">
        <f aca="false">IF(AND(E2688&gt;0,OR(AND(B2688&gt;=1,B2688&lt;=6),B2688=10)),1,0)</f>
        <v>0</v>
      </c>
      <c r="Y2688" s="27" t="n">
        <f aca="false">IF(AND(E2688&gt;0,B2688=10),1,0)</f>
        <v>0</v>
      </c>
      <c r="Z2688" s="0" t="str">
        <f aca="false">IF(AND(C2687=C2688,W2687=W2688-1),X2687,"")</f>
        <v/>
      </c>
      <c r="AA2688" s="0" t="str">
        <f aca="false">IF(AND(C2687=C2688,W2687=W2688-1),Y2687,"")</f>
        <v/>
      </c>
      <c r="AB2688" s="0" t="str">
        <f aca="false">IF(W2688=1,"",IF(AND(X2688=1,Z2688&lt;&gt;1),1,0))</f>
        <v/>
      </c>
      <c r="AC2688" s="0" t="str">
        <f aca="false">IF(W2688=1,"",IF(AND(Y2688=1,AA2688&lt;&gt;1),1,0))</f>
        <v/>
      </c>
      <c r="AD2688" s="33" t="str">
        <f aca="false">IF(AND(E2688&gt;0,W2688&lt;1,NOT(AND(C2689=C2688,W2689=W2688+1))),INDEX(DATAS,W2688+1),"")</f>
        <v/>
      </c>
      <c r="AE2688" s="33" t="str">
        <f aca="false">IF(AND(Y2688=1,W2688&lt;1),IF(AND(C2689=C2688,W2689=W2688+1),IF(Y2689=1,"",INDEX(DATAS,W2688+1)),INDEX(DATAS,W2688+1)),"")</f>
        <v/>
      </c>
    </row>
    <row r="2689" customFormat="false" ht="15" hidden="false" customHeight="false" outlineLevel="0" collapsed="false">
      <c r="A2689" s="33" t="n">
        <v>46309</v>
      </c>
      <c r="B2689" s="0" t="n">
        <v>13</v>
      </c>
      <c r="C2689" s="0" t="n">
        <v>7041</v>
      </c>
      <c r="E2689" s="0" t="n">
        <v>0</v>
      </c>
      <c r="F2689" s="27" t="s">
        <v>1347</v>
      </c>
      <c r="I2689" s="27" t="s">
        <v>166</v>
      </c>
      <c r="U2689" s="0" t="n">
        <v>364</v>
      </c>
      <c r="V2689" s="0" t="n">
        <v>0</v>
      </c>
      <c r="W2689" s="27" t="n">
        <f aca="false">MATCH(A2689,DATAS,0)</f>
        <v>1</v>
      </c>
      <c r="X2689" s="27" t="n">
        <f aca="false">IF(AND(E2689&gt;0,OR(AND(B2689&gt;=1,B2689&lt;=6),B2689=10)),1,0)</f>
        <v>0</v>
      </c>
      <c r="Y2689" s="27" t="n">
        <f aca="false">IF(AND(E2689&gt;0,B2689=10),1,0)</f>
        <v>0</v>
      </c>
      <c r="Z2689" s="0" t="str">
        <f aca="false">IF(AND(C2688=C2689,W2688=W2689-1),X2688,"")</f>
        <v/>
      </c>
      <c r="AA2689" s="0" t="str">
        <f aca="false">IF(AND(C2688=C2689,W2688=W2689-1),Y2688,"")</f>
        <v/>
      </c>
      <c r="AB2689" s="0" t="str">
        <f aca="false">IF(W2689=1,"",IF(AND(X2689=1,Z2689&lt;&gt;1),1,0))</f>
        <v/>
      </c>
      <c r="AC2689" s="0" t="str">
        <f aca="false">IF(W2689=1,"",IF(AND(Y2689=1,AA2689&lt;&gt;1),1,0))</f>
        <v/>
      </c>
      <c r="AD2689" s="33" t="str">
        <f aca="false">IF(AND(E2689&gt;0,W2689&lt;1,NOT(AND(C2690=C2689,W2690=W2689+1))),INDEX(DATAS,W2689+1),"")</f>
        <v/>
      </c>
      <c r="AE2689" s="33" t="str">
        <f aca="false">IF(AND(Y2689=1,W2689&lt;1),IF(AND(C2690=C2689,W2690=W2689+1),IF(Y2690=1,"",INDEX(DATAS,W2689+1)),INDEX(DATAS,W2689+1)),"")</f>
        <v/>
      </c>
    </row>
    <row r="2690" customFormat="false" ht="15" hidden="false" customHeight="false" outlineLevel="0" collapsed="false">
      <c r="A2690" s="33" t="n">
        <v>46309</v>
      </c>
      <c r="B2690" s="0" t="n">
        <v>13</v>
      </c>
      <c r="C2690" s="0" t="n">
        <v>7042</v>
      </c>
      <c r="E2690" s="0" t="n">
        <v>0</v>
      </c>
      <c r="F2690" s="27" t="s">
        <v>1347</v>
      </c>
      <c r="I2690" s="27" t="s">
        <v>166</v>
      </c>
      <c r="U2690" s="0" t="n">
        <v>364</v>
      </c>
      <c r="V2690" s="0" t="n">
        <v>0</v>
      </c>
      <c r="W2690" s="27" t="n">
        <f aca="false">MATCH(A2690,DATAS,0)</f>
        <v>1</v>
      </c>
      <c r="X2690" s="27" t="n">
        <f aca="false">IF(AND(E2690&gt;0,OR(AND(B2690&gt;=1,B2690&lt;=6),B2690=10)),1,0)</f>
        <v>0</v>
      </c>
      <c r="Y2690" s="27" t="n">
        <f aca="false">IF(AND(E2690&gt;0,B2690=10),1,0)</f>
        <v>0</v>
      </c>
      <c r="Z2690" s="0" t="str">
        <f aca="false">IF(AND(C2689=C2690,W2689=W2690-1),X2689,"")</f>
        <v/>
      </c>
      <c r="AA2690" s="0" t="str">
        <f aca="false">IF(AND(C2689=C2690,W2689=W2690-1),Y2689,"")</f>
        <v/>
      </c>
      <c r="AB2690" s="0" t="str">
        <f aca="false">IF(W2690=1,"",IF(AND(X2690=1,Z2690&lt;&gt;1),1,0))</f>
        <v/>
      </c>
      <c r="AC2690" s="0" t="str">
        <f aca="false">IF(W2690=1,"",IF(AND(Y2690=1,AA2690&lt;&gt;1),1,0))</f>
        <v/>
      </c>
      <c r="AD2690" s="33" t="str">
        <f aca="false">IF(AND(E2690&gt;0,W2690&lt;1,NOT(AND(C2691=C2690,W2691=W2690+1))),INDEX(DATAS,W2690+1),"")</f>
        <v/>
      </c>
      <c r="AE2690" s="33" t="str">
        <f aca="false">IF(AND(Y2690=1,W2690&lt;1),IF(AND(C2691=C2690,W2691=W2690+1),IF(Y2691=1,"",INDEX(DATAS,W2690+1)),INDEX(DATAS,W2690+1)),"")</f>
        <v/>
      </c>
    </row>
    <row r="2691" customFormat="false" ht="15" hidden="false" customHeight="false" outlineLevel="0" collapsed="false">
      <c r="A2691" s="33" t="n">
        <v>46309</v>
      </c>
      <c r="B2691" s="0" t="n">
        <v>13</v>
      </c>
      <c r="C2691" s="0" t="n">
        <v>7043</v>
      </c>
      <c r="E2691" s="0" t="n">
        <v>0</v>
      </c>
      <c r="F2691" s="27" t="s">
        <v>1347</v>
      </c>
      <c r="I2691" s="27" t="s">
        <v>166</v>
      </c>
      <c r="U2691" s="0" t="n">
        <v>364</v>
      </c>
      <c r="V2691" s="0" t="n">
        <v>0</v>
      </c>
      <c r="W2691" s="27" t="n">
        <f aca="false">MATCH(A2691,DATAS,0)</f>
        <v>1</v>
      </c>
      <c r="X2691" s="27" t="n">
        <f aca="false">IF(AND(E2691&gt;0,OR(AND(B2691&gt;=1,B2691&lt;=6),B2691=10)),1,0)</f>
        <v>0</v>
      </c>
      <c r="Y2691" s="27" t="n">
        <f aca="false">IF(AND(E2691&gt;0,B2691=10),1,0)</f>
        <v>0</v>
      </c>
      <c r="Z2691" s="0" t="str">
        <f aca="false">IF(AND(C2690=C2691,W2690=W2691-1),X2690,"")</f>
        <v/>
      </c>
      <c r="AA2691" s="0" t="str">
        <f aca="false">IF(AND(C2690=C2691,W2690=W2691-1),Y2690,"")</f>
        <v/>
      </c>
      <c r="AB2691" s="0" t="str">
        <f aca="false">IF(W2691=1,"",IF(AND(X2691=1,Z2691&lt;&gt;1),1,0))</f>
        <v/>
      </c>
      <c r="AC2691" s="0" t="str">
        <f aca="false">IF(W2691=1,"",IF(AND(Y2691=1,AA2691&lt;&gt;1),1,0))</f>
        <v/>
      </c>
      <c r="AD2691" s="33" t="str">
        <f aca="false">IF(AND(E2691&gt;0,W2691&lt;1,NOT(AND(C2692=C2691,W2692=W2691+1))),INDEX(DATAS,W2691+1),"")</f>
        <v/>
      </c>
      <c r="AE2691" s="33" t="str">
        <f aca="false">IF(AND(Y2691=1,W2691&lt;1),IF(AND(C2692=C2691,W2692=W2691+1),IF(Y2692=1,"",INDEX(DATAS,W2691+1)),INDEX(DATAS,W2691+1)),"")</f>
        <v/>
      </c>
    </row>
    <row r="2692" customFormat="false" ht="15" hidden="false" customHeight="false" outlineLevel="0" collapsed="false">
      <c r="A2692" s="33" t="n">
        <v>46309</v>
      </c>
      <c r="B2692" s="0" t="n">
        <v>13</v>
      </c>
      <c r="C2692" s="0" t="n">
        <v>7044</v>
      </c>
      <c r="E2692" s="0" t="n">
        <v>0</v>
      </c>
      <c r="F2692" s="27" t="s">
        <v>1347</v>
      </c>
      <c r="I2692" s="27" t="s">
        <v>166</v>
      </c>
      <c r="U2692" s="0" t="n">
        <v>364</v>
      </c>
      <c r="V2692" s="0" t="n">
        <v>0</v>
      </c>
      <c r="W2692" s="27" t="n">
        <f aca="false">MATCH(A2692,DATAS,0)</f>
        <v>1</v>
      </c>
      <c r="X2692" s="27" t="n">
        <f aca="false">IF(AND(E2692&gt;0,OR(AND(B2692&gt;=1,B2692&lt;=6),B2692=10)),1,0)</f>
        <v>0</v>
      </c>
      <c r="Y2692" s="27" t="n">
        <f aca="false">IF(AND(E2692&gt;0,B2692=10),1,0)</f>
        <v>0</v>
      </c>
      <c r="Z2692" s="0" t="str">
        <f aca="false">IF(AND(C2691=C2692,W2691=W2692-1),X2691,"")</f>
        <v/>
      </c>
      <c r="AA2692" s="0" t="str">
        <f aca="false">IF(AND(C2691=C2692,W2691=W2692-1),Y2691,"")</f>
        <v/>
      </c>
      <c r="AB2692" s="0" t="str">
        <f aca="false">IF(W2692=1,"",IF(AND(X2692=1,Z2692&lt;&gt;1),1,0))</f>
        <v/>
      </c>
      <c r="AC2692" s="0" t="str">
        <f aca="false">IF(W2692=1,"",IF(AND(Y2692=1,AA2692&lt;&gt;1),1,0))</f>
        <v/>
      </c>
      <c r="AD2692" s="33" t="str">
        <f aca="false">IF(AND(E2692&gt;0,W2692&lt;1,NOT(AND(C2693=C2692,W2693=W2692+1))),INDEX(DATAS,W2692+1),"")</f>
        <v/>
      </c>
      <c r="AE2692" s="33" t="str">
        <f aca="false">IF(AND(Y2692=1,W2692&lt;1),IF(AND(C2693=C2692,W2693=W2692+1),IF(Y2693=1,"",INDEX(DATAS,W2692+1)),INDEX(DATAS,W2692+1)),"")</f>
        <v/>
      </c>
    </row>
    <row r="2693" customFormat="false" ht="15" hidden="false" customHeight="false" outlineLevel="0" collapsed="false">
      <c r="A2693" s="33" t="n">
        <v>46309</v>
      </c>
      <c r="B2693" s="0" t="n">
        <v>13</v>
      </c>
      <c r="C2693" s="0" t="n">
        <v>7045</v>
      </c>
      <c r="E2693" s="0" t="n">
        <v>0</v>
      </c>
      <c r="F2693" s="27" t="s">
        <v>1349</v>
      </c>
      <c r="I2693" s="27" t="s">
        <v>166</v>
      </c>
      <c r="U2693" s="0" t="n">
        <v>363</v>
      </c>
      <c r="V2693" s="0" t="n">
        <v>0</v>
      </c>
      <c r="W2693" s="27" t="n">
        <f aca="false">MATCH(A2693,DATAS,0)</f>
        <v>1</v>
      </c>
      <c r="X2693" s="27" t="n">
        <f aca="false">IF(AND(E2693&gt;0,OR(AND(B2693&gt;=1,B2693&lt;=6),B2693=10)),1,0)</f>
        <v>0</v>
      </c>
      <c r="Y2693" s="27" t="n">
        <f aca="false">IF(AND(E2693&gt;0,B2693=10),1,0)</f>
        <v>0</v>
      </c>
      <c r="Z2693" s="0" t="str">
        <f aca="false">IF(AND(C2692=C2693,W2692=W2693-1),X2692,"")</f>
        <v/>
      </c>
      <c r="AA2693" s="0" t="str">
        <f aca="false">IF(AND(C2692=C2693,W2692=W2693-1),Y2692,"")</f>
        <v/>
      </c>
      <c r="AB2693" s="0" t="str">
        <f aca="false">IF(W2693=1,"",IF(AND(X2693=1,Z2693&lt;&gt;1),1,0))</f>
        <v/>
      </c>
      <c r="AC2693" s="0" t="str">
        <f aca="false">IF(W2693=1,"",IF(AND(Y2693=1,AA2693&lt;&gt;1),1,0))</f>
        <v/>
      </c>
      <c r="AD2693" s="33" t="str">
        <f aca="false">IF(AND(E2693&gt;0,W2693&lt;1,NOT(AND(C2694=C2693,W2694=W2693+1))),INDEX(DATAS,W2693+1),"")</f>
        <v/>
      </c>
      <c r="AE2693" s="33" t="str">
        <f aca="false">IF(AND(Y2693=1,W2693&lt;1),IF(AND(C2694=C2693,W2694=W2693+1),IF(Y2694=1,"",INDEX(DATAS,W2693+1)),INDEX(DATAS,W2693+1)),"")</f>
        <v/>
      </c>
    </row>
    <row r="2694" customFormat="false" ht="15" hidden="false" customHeight="false" outlineLevel="0" collapsed="false">
      <c r="A2694" s="33" t="n">
        <v>46309</v>
      </c>
      <c r="B2694" s="0" t="n">
        <v>13</v>
      </c>
      <c r="C2694" s="0" t="n">
        <v>7046</v>
      </c>
      <c r="E2694" s="0" t="n">
        <v>0</v>
      </c>
      <c r="F2694" s="27" t="s">
        <v>1348</v>
      </c>
      <c r="I2694" s="27" t="s">
        <v>166</v>
      </c>
      <c r="U2694" s="0" t="n">
        <v>362</v>
      </c>
      <c r="V2694" s="0" t="n">
        <v>0</v>
      </c>
      <c r="W2694" s="27" t="n">
        <f aca="false">MATCH(A2694,DATAS,0)</f>
        <v>1</v>
      </c>
      <c r="X2694" s="27" t="n">
        <f aca="false">IF(AND(E2694&gt;0,OR(AND(B2694&gt;=1,B2694&lt;=6),B2694=10)),1,0)</f>
        <v>0</v>
      </c>
      <c r="Y2694" s="27" t="n">
        <f aca="false">IF(AND(E2694&gt;0,B2694=10),1,0)</f>
        <v>0</v>
      </c>
      <c r="Z2694" s="0" t="str">
        <f aca="false">IF(AND(C2693=C2694,W2693=W2694-1),X2693,"")</f>
        <v/>
      </c>
      <c r="AA2694" s="0" t="str">
        <f aca="false">IF(AND(C2693=C2694,W2693=W2694-1),Y2693,"")</f>
        <v/>
      </c>
      <c r="AB2694" s="0" t="str">
        <f aca="false">IF(W2694=1,"",IF(AND(X2694=1,Z2694&lt;&gt;1),1,0))</f>
        <v/>
      </c>
      <c r="AC2694" s="0" t="str">
        <f aca="false">IF(W2694=1,"",IF(AND(Y2694=1,AA2694&lt;&gt;1),1,0))</f>
        <v/>
      </c>
      <c r="AD2694" s="33" t="str">
        <f aca="false">IF(AND(E2694&gt;0,W2694&lt;1,NOT(AND(C2695=C2694,W2695=W2694+1))),INDEX(DATAS,W2694+1),"")</f>
        <v/>
      </c>
      <c r="AE2694" s="33" t="str">
        <f aca="false">IF(AND(Y2694=1,W2694&lt;1),IF(AND(C2695=C2694,W2695=W2694+1),IF(Y2695=1,"",INDEX(DATAS,W2694+1)),INDEX(DATAS,W2694+1)),"")</f>
        <v/>
      </c>
    </row>
    <row r="2695" customFormat="false" ht="15" hidden="false" customHeight="false" outlineLevel="0" collapsed="false">
      <c r="A2695" s="33" t="n">
        <v>46309</v>
      </c>
      <c r="B2695" s="0" t="n">
        <v>13</v>
      </c>
      <c r="C2695" s="0" t="n">
        <v>7047</v>
      </c>
      <c r="E2695" s="0" t="n">
        <v>0</v>
      </c>
      <c r="F2695" s="27" t="s">
        <v>1348</v>
      </c>
      <c r="I2695" s="27" t="s">
        <v>166</v>
      </c>
      <c r="U2695" s="0" t="n">
        <v>362</v>
      </c>
      <c r="V2695" s="0" t="n">
        <v>0</v>
      </c>
      <c r="W2695" s="27" t="n">
        <f aca="false">MATCH(A2695,DATAS,0)</f>
        <v>1</v>
      </c>
      <c r="X2695" s="27" t="n">
        <f aca="false">IF(AND(E2695&gt;0,OR(AND(B2695&gt;=1,B2695&lt;=6),B2695=10)),1,0)</f>
        <v>0</v>
      </c>
      <c r="Y2695" s="27" t="n">
        <f aca="false">IF(AND(E2695&gt;0,B2695=10),1,0)</f>
        <v>0</v>
      </c>
      <c r="Z2695" s="0" t="str">
        <f aca="false">IF(AND(C2694=C2695,W2694=W2695-1),X2694,"")</f>
        <v/>
      </c>
      <c r="AA2695" s="0" t="str">
        <f aca="false">IF(AND(C2694=C2695,W2694=W2695-1),Y2694,"")</f>
        <v/>
      </c>
      <c r="AB2695" s="0" t="str">
        <f aca="false">IF(W2695=1,"",IF(AND(X2695=1,Z2695&lt;&gt;1),1,0))</f>
        <v/>
      </c>
      <c r="AC2695" s="0" t="str">
        <f aca="false">IF(W2695=1,"",IF(AND(Y2695=1,AA2695&lt;&gt;1),1,0))</f>
        <v/>
      </c>
      <c r="AD2695" s="33" t="str">
        <f aca="false">IF(AND(E2695&gt;0,W2695&lt;1,NOT(AND(C2696=C2695,W2696=W2695+1))),INDEX(DATAS,W2695+1),"")</f>
        <v/>
      </c>
      <c r="AE2695" s="33" t="str">
        <f aca="false">IF(AND(Y2695=1,W2695&lt;1),IF(AND(C2696=C2695,W2696=W2695+1),IF(Y2696=1,"",INDEX(DATAS,W2695+1)),INDEX(DATAS,W2695+1)),"")</f>
        <v/>
      </c>
    </row>
    <row r="2696" customFormat="false" ht="15" hidden="false" customHeight="false" outlineLevel="0" collapsed="false">
      <c r="A2696" s="33" t="n">
        <v>46309</v>
      </c>
      <c r="B2696" s="0" t="n">
        <v>13</v>
      </c>
      <c r="C2696" s="0" t="n">
        <v>7048</v>
      </c>
      <c r="E2696" s="0" t="n">
        <v>0</v>
      </c>
      <c r="F2696" s="27" t="s">
        <v>1350</v>
      </c>
      <c r="I2696" s="27" t="s">
        <v>166</v>
      </c>
      <c r="U2696" s="0" t="n">
        <v>361</v>
      </c>
      <c r="V2696" s="0" t="n">
        <v>0</v>
      </c>
      <c r="W2696" s="27" t="n">
        <f aca="false">MATCH(A2696,DATAS,0)</f>
        <v>1</v>
      </c>
      <c r="X2696" s="27" t="n">
        <f aca="false">IF(AND(E2696&gt;0,OR(AND(B2696&gt;=1,B2696&lt;=6),B2696=10)),1,0)</f>
        <v>0</v>
      </c>
      <c r="Y2696" s="27" t="n">
        <f aca="false">IF(AND(E2696&gt;0,B2696=10),1,0)</f>
        <v>0</v>
      </c>
      <c r="Z2696" s="0" t="str">
        <f aca="false">IF(AND(C2695=C2696,W2695=W2696-1),X2695,"")</f>
        <v/>
      </c>
      <c r="AA2696" s="0" t="str">
        <f aca="false">IF(AND(C2695=C2696,W2695=W2696-1),Y2695,"")</f>
        <v/>
      </c>
      <c r="AB2696" s="0" t="str">
        <f aca="false">IF(W2696=1,"",IF(AND(X2696=1,Z2696&lt;&gt;1),1,0))</f>
        <v/>
      </c>
      <c r="AC2696" s="0" t="str">
        <f aca="false">IF(W2696=1,"",IF(AND(Y2696=1,AA2696&lt;&gt;1),1,0))</f>
        <v/>
      </c>
      <c r="AD2696" s="33" t="str">
        <f aca="false">IF(AND(E2696&gt;0,W2696&lt;1,NOT(AND(C2697=C2696,W2697=W2696+1))),INDEX(DATAS,W2696+1),"")</f>
        <v/>
      </c>
      <c r="AE2696" s="33" t="str">
        <f aca="false">IF(AND(Y2696=1,W2696&lt;1),IF(AND(C2697=C2696,W2697=W2696+1),IF(Y2697=1,"",INDEX(DATAS,W2696+1)),INDEX(DATAS,W2696+1)),"")</f>
        <v/>
      </c>
    </row>
    <row r="2697" customFormat="false" ht="15" hidden="false" customHeight="false" outlineLevel="0" collapsed="false">
      <c r="A2697" s="33" t="n">
        <v>46309</v>
      </c>
      <c r="B2697" s="0" t="n">
        <v>13</v>
      </c>
      <c r="C2697" s="0" t="n">
        <v>7049</v>
      </c>
      <c r="E2697" s="0" t="n">
        <v>0</v>
      </c>
      <c r="F2697" s="27" t="s">
        <v>1350</v>
      </c>
      <c r="I2697" s="27" t="s">
        <v>166</v>
      </c>
      <c r="U2697" s="0" t="n">
        <v>361</v>
      </c>
      <c r="V2697" s="0" t="n">
        <v>0</v>
      </c>
      <c r="W2697" s="27" t="n">
        <f aca="false">MATCH(A2697,DATAS,0)</f>
        <v>1</v>
      </c>
      <c r="X2697" s="27" t="n">
        <f aca="false">IF(AND(E2697&gt;0,OR(AND(B2697&gt;=1,B2697&lt;=6),B2697=10)),1,0)</f>
        <v>0</v>
      </c>
      <c r="Y2697" s="27" t="n">
        <f aca="false">IF(AND(E2697&gt;0,B2697=10),1,0)</f>
        <v>0</v>
      </c>
      <c r="Z2697" s="0" t="str">
        <f aca="false">IF(AND(C2696=C2697,W2696=W2697-1),X2696,"")</f>
        <v/>
      </c>
      <c r="AA2697" s="0" t="str">
        <f aca="false">IF(AND(C2696=C2697,W2696=W2697-1),Y2696,"")</f>
        <v/>
      </c>
      <c r="AB2697" s="0" t="str">
        <f aca="false">IF(W2697=1,"",IF(AND(X2697=1,Z2697&lt;&gt;1),1,0))</f>
        <v/>
      </c>
      <c r="AC2697" s="0" t="str">
        <f aca="false">IF(W2697=1,"",IF(AND(Y2697=1,AA2697&lt;&gt;1),1,0))</f>
        <v/>
      </c>
      <c r="AD2697" s="33" t="str">
        <f aca="false">IF(AND(E2697&gt;0,W2697&lt;1,NOT(AND(C2698=C2697,W2698=W2697+1))),INDEX(DATAS,W2697+1),"")</f>
        <v/>
      </c>
      <c r="AE2697" s="33" t="str">
        <f aca="false">IF(AND(Y2697=1,W2697&lt;1),IF(AND(C2698=C2697,W2698=W2697+1),IF(Y2698=1,"",INDEX(DATAS,W2697+1)),INDEX(DATAS,W2697+1)),"")</f>
        <v/>
      </c>
    </row>
    <row r="2698" customFormat="false" ht="15" hidden="false" customHeight="false" outlineLevel="0" collapsed="false">
      <c r="A2698" s="33" t="n">
        <v>46309</v>
      </c>
      <c r="B2698" s="0" t="n">
        <v>13</v>
      </c>
      <c r="C2698" s="0" t="n">
        <v>7050</v>
      </c>
      <c r="E2698" s="0" t="n">
        <v>0</v>
      </c>
      <c r="F2698" s="27" t="s">
        <v>1351</v>
      </c>
      <c r="I2698" s="27" t="s">
        <v>166</v>
      </c>
      <c r="U2698" s="0" t="n">
        <v>360</v>
      </c>
      <c r="V2698" s="0" t="n">
        <v>0</v>
      </c>
      <c r="W2698" s="27" t="n">
        <f aca="false">MATCH(A2698,DATAS,0)</f>
        <v>1</v>
      </c>
      <c r="X2698" s="27" t="n">
        <f aca="false">IF(AND(E2698&gt;0,OR(AND(B2698&gt;=1,B2698&lt;=6),B2698=10)),1,0)</f>
        <v>0</v>
      </c>
      <c r="Y2698" s="27" t="n">
        <f aca="false">IF(AND(E2698&gt;0,B2698=10),1,0)</f>
        <v>0</v>
      </c>
      <c r="Z2698" s="0" t="str">
        <f aca="false">IF(AND(C2697=C2698,W2697=W2698-1),X2697,"")</f>
        <v/>
      </c>
      <c r="AA2698" s="0" t="str">
        <f aca="false">IF(AND(C2697=C2698,W2697=W2698-1),Y2697,"")</f>
        <v/>
      </c>
      <c r="AB2698" s="0" t="str">
        <f aca="false">IF(W2698=1,"",IF(AND(X2698=1,Z2698&lt;&gt;1),1,0))</f>
        <v/>
      </c>
      <c r="AC2698" s="0" t="str">
        <f aca="false">IF(W2698=1,"",IF(AND(Y2698=1,AA2698&lt;&gt;1),1,0))</f>
        <v/>
      </c>
      <c r="AD2698" s="33" t="str">
        <f aca="false">IF(AND(E2698&gt;0,W2698&lt;1,NOT(AND(C2699=C2698,W2699=W2698+1))),INDEX(DATAS,W2698+1),"")</f>
        <v/>
      </c>
      <c r="AE2698" s="33" t="str">
        <f aca="false">IF(AND(Y2698=1,W2698&lt;1),IF(AND(C2699=C2698,W2699=W2698+1),IF(Y2699=1,"",INDEX(DATAS,W2698+1)),INDEX(DATAS,W2698+1)),"")</f>
        <v/>
      </c>
    </row>
    <row r="2699" customFormat="false" ht="15" hidden="false" customHeight="false" outlineLevel="0" collapsed="false">
      <c r="A2699" s="33" t="n">
        <v>46309</v>
      </c>
      <c r="B2699" s="0" t="n">
        <v>13</v>
      </c>
      <c r="C2699" s="0" t="n">
        <v>7051</v>
      </c>
      <c r="E2699" s="0" t="n">
        <v>0</v>
      </c>
      <c r="F2699" s="27" t="s">
        <v>1350</v>
      </c>
      <c r="I2699" s="27" t="s">
        <v>166</v>
      </c>
      <c r="U2699" s="0" t="n">
        <v>361</v>
      </c>
      <c r="V2699" s="0" t="n">
        <v>0</v>
      </c>
      <c r="W2699" s="27" t="n">
        <f aca="false">MATCH(A2699,DATAS,0)</f>
        <v>1</v>
      </c>
      <c r="X2699" s="27" t="n">
        <f aca="false">IF(AND(E2699&gt;0,OR(AND(B2699&gt;=1,B2699&lt;=6),B2699=10)),1,0)</f>
        <v>0</v>
      </c>
      <c r="Y2699" s="27" t="n">
        <f aca="false">IF(AND(E2699&gt;0,B2699=10),1,0)</f>
        <v>0</v>
      </c>
      <c r="Z2699" s="0" t="str">
        <f aca="false">IF(AND(C2698=C2699,W2698=W2699-1),X2698,"")</f>
        <v/>
      </c>
      <c r="AA2699" s="0" t="str">
        <f aca="false">IF(AND(C2698=C2699,W2698=W2699-1),Y2698,"")</f>
        <v/>
      </c>
      <c r="AB2699" s="0" t="str">
        <f aca="false">IF(W2699=1,"",IF(AND(X2699=1,Z2699&lt;&gt;1),1,0))</f>
        <v/>
      </c>
      <c r="AC2699" s="0" t="str">
        <f aca="false">IF(W2699=1,"",IF(AND(Y2699=1,AA2699&lt;&gt;1),1,0))</f>
        <v/>
      </c>
      <c r="AD2699" s="33" t="str">
        <f aca="false">IF(AND(E2699&gt;0,W2699&lt;1,NOT(AND(C2700=C2699,W2700=W2699+1))),INDEX(DATAS,W2699+1),"")</f>
        <v/>
      </c>
      <c r="AE2699" s="33" t="str">
        <f aca="false">IF(AND(Y2699=1,W2699&lt;1),IF(AND(C2700=C2699,W2700=W2699+1),IF(Y2700=1,"",INDEX(DATAS,W2699+1)),INDEX(DATAS,W2699+1)),"")</f>
        <v/>
      </c>
    </row>
    <row r="2700" customFormat="false" ht="15" hidden="false" customHeight="false" outlineLevel="0" collapsed="false">
      <c r="A2700" s="33" t="n">
        <v>46309</v>
      </c>
      <c r="B2700" s="0" t="n">
        <v>13</v>
      </c>
      <c r="C2700" s="0" t="n">
        <v>7052</v>
      </c>
      <c r="E2700" s="0" t="n">
        <v>0</v>
      </c>
      <c r="F2700" s="27" t="s">
        <v>1351</v>
      </c>
      <c r="I2700" s="27" t="s">
        <v>166</v>
      </c>
      <c r="U2700" s="0" t="n">
        <v>360</v>
      </c>
      <c r="V2700" s="0" t="n">
        <v>0</v>
      </c>
      <c r="W2700" s="27" t="n">
        <f aca="false">MATCH(A2700,DATAS,0)</f>
        <v>1</v>
      </c>
      <c r="X2700" s="27" t="n">
        <f aca="false">IF(AND(E2700&gt;0,OR(AND(B2700&gt;=1,B2700&lt;=6),B2700=10)),1,0)</f>
        <v>0</v>
      </c>
      <c r="Y2700" s="27" t="n">
        <f aca="false">IF(AND(E2700&gt;0,B2700=10),1,0)</f>
        <v>0</v>
      </c>
      <c r="Z2700" s="0" t="str">
        <f aca="false">IF(AND(C2699=C2700,W2699=W2700-1),X2699,"")</f>
        <v/>
      </c>
      <c r="AA2700" s="0" t="str">
        <f aca="false">IF(AND(C2699=C2700,W2699=W2700-1),Y2699,"")</f>
        <v/>
      </c>
      <c r="AB2700" s="0" t="str">
        <f aca="false">IF(W2700=1,"",IF(AND(X2700=1,Z2700&lt;&gt;1),1,0))</f>
        <v/>
      </c>
      <c r="AC2700" s="0" t="str">
        <f aca="false">IF(W2700=1,"",IF(AND(Y2700=1,AA2700&lt;&gt;1),1,0))</f>
        <v/>
      </c>
      <c r="AD2700" s="33" t="str">
        <f aca="false">IF(AND(E2700&gt;0,W2700&lt;1,NOT(AND(C2701=C2700,W2701=W2700+1))),INDEX(DATAS,W2700+1),"")</f>
        <v/>
      </c>
      <c r="AE2700" s="33" t="str">
        <f aca="false">IF(AND(Y2700=1,W2700&lt;1),IF(AND(C2701=C2700,W2701=W2700+1),IF(Y2701=1,"",INDEX(DATAS,W2700+1)),INDEX(DATAS,W2700+1)),"")</f>
        <v/>
      </c>
    </row>
    <row r="2701" customFormat="false" ht="15" hidden="false" customHeight="false" outlineLevel="0" collapsed="false">
      <c r="A2701" s="33" t="n">
        <v>46309</v>
      </c>
      <c r="B2701" s="0" t="n">
        <v>13</v>
      </c>
      <c r="C2701" s="0" t="n">
        <v>7053</v>
      </c>
      <c r="E2701" s="0" t="n">
        <v>0</v>
      </c>
      <c r="F2701" s="27" t="s">
        <v>1352</v>
      </c>
      <c r="I2701" s="27" t="s">
        <v>166</v>
      </c>
      <c r="U2701" s="0" t="n">
        <v>359</v>
      </c>
      <c r="V2701" s="0" t="n">
        <v>0</v>
      </c>
      <c r="W2701" s="27" t="n">
        <f aca="false">MATCH(A2701,DATAS,0)</f>
        <v>1</v>
      </c>
      <c r="X2701" s="27" t="n">
        <f aca="false">IF(AND(E2701&gt;0,OR(AND(B2701&gt;=1,B2701&lt;=6),B2701=10)),1,0)</f>
        <v>0</v>
      </c>
      <c r="Y2701" s="27" t="n">
        <f aca="false">IF(AND(E2701&gt;0,B2701=10),1,0)</f>
        <v>0</v>
      </c>
      <c r="Z2701" s="0" t="str">
        <f aca="false">IF(AND(C2700=C2701,W2700=W2701-1),X2700,"")</f>
        <v/>
      </c>
      <c r="AA2701" s="0" t="str">
        <f aca="false">IF(AND(C2700=C2701,W2700=W2701-1),Y2700,"")</f>
        <v/>
      </c>
      <c r="AB2701" s="0" t="str">
        <f aca="false">IF(W2701=1,"",IF(AND(X2701=1,Z2701&lt;&gt;1),1,0))</f>
        <v/>
      </c>
      <c r="AC2701" s="0" t="str">
        <f aca="false">IF(W2701=1,"",IF(AND(Y2701=1,AA2701&lt;&gt;1),1,0))</f>
        <v/>
      </c>
      <c r="AD2701" s="33" t="str">
        <f aca="false">IF(AND(E2701&gt;0,W2701&lt;1,NOT(AND(C2702=C2701,W2702=W2701+1))),INDEX(DATAS,W2701+1),"")</f>
        <v/>
      </c>
      <c r="AE2701" s="33" t="str">
        <f aca="false">IF(AND(Y2701=1,W2701&lt;1),IF(AND(C2702=C2701,W2702=W2701+1),IF(Y2702=1,"",INDEX(DATAS,W2701+1)),INDEX(DATAS,W2701+1)),"")</f>
        <v/>
      </c>
    </row>
    <row r="2702" customFormat="false" ht="15" hidden="false" customHeight="false" outlineLevel="0" collapsed="false">
      <c r="A2702" s="33" t="n">
        <v>46309</v>
      </c>
      <c r="B2702" s="0" t="n">
        <v>13</v>
      </c>
      <c r="C2702" s="0" t="n">
        <v>7054</v>
      </c>
      <c r="E2702" s="0" t="n">
        <v>0</v>
      </c>
      <c r="F2702" s="27" t="s">
        <v>1353</v>
      </c>
      <c r="I2702" s="27" t="s">
        <v>166</v>
      </c>
      <c r="U2702" s="0" t="n">
        <v>358</v>
      </c>
      <c r="V2702" s="0" t="n">
        <v>0</v>
      </c>
      <c r="W2702" s="27" t="n">
        <f aca="false">MATCH(A2702,DATAS,0)</f>
        <v>1</v>
      </c>
      <c r="X2702" s="27" t="n">
        <f aca="false">IF(AND(E2702&gt;0,OR(AND(B2702&gt;=1,B2702&lt;=6),B2702=10)),1,0)</f>
        <v>0</v>
      </c>
      <c r="Y2702" s="27" t="n">
        <f aca="false">IF(AND(E2702&gt;0,B2702=10),1,0)</f>
        <v>0</v>
      </c>
      <c r="Z2702" s="0" t="str">
        <f aca="false">IF(AND(C2701=C2702,W2701=W2702-1),X2701,"")</f>
        <v/>
      </c>
      <c r="AA2702" s="0" t="str">
        <f aca="false">IF(AND(C2701=C2702,W2701=W2702-1),Y2701,"")</f>
        <v/>
      </c>
      <c r="AB2702" s="0" t="str">
        <f aca="false">IF(W2702=1,"",IF(AND(X2702=1,Z2702&lt;&gt;1),1,0))</f>
        <v/>
      </c>
      <c r="AC2702" s="0" t="str">
        <f aca="false">IF(W2702=1,"",IF(AND(Y2702=1,AA2702&lt;&gt;1),1,0))</f>
        <v/>
      </c>
      <c r="AD2702" s="33" t="str">
        <f aca="false">IF(AND(E2702&gt;0,W2702&lt;1,NOT(AND(C2703=C2702,W2703=W2702+1))),INDEX(DATAS,W2702+1),"")</f>
        <v/>
      </c>
      <c r="AE2702" s="33" t="str">
        <f aca="false">IF(AND(Y2702=1,W2702&lt;1),IF(AND(C2703=C2702,W2703=W2702+1),IF(Y2703=1,"",INDEX(DATAS,W2702+1)),INDEX(DATAS,W2702+1)),"")</f>
        <v/>
      </c>
    </row>
    <row r="2703" customFormat="false" ht="15" hidden="false" customHeight="false" outlineLevel="0" collapsed="false">
      <c r="A2703" s="33" t="n">
        <v>46309</v>
      </c>
      <c r="B2703" s="0" t="n">
        <v>13</v>
      </c>
      <c r="C2703" s="0" t="n">
        <v>7056</v>
      </c>
      <c r="E2703" s="0" t="n">
        <v>0</v>
      </c>
      <c r="F2703" s="27" t="s">
        <v>1354</v>
      </c>
      <c r="I2703" s="27" t="s">
        <v>166</v>
      </c>
      <c r="U2703" s="0" t="n">
        <v>357</v>
      </c>
      <c r="V2703" s="0" t="n">
        <v>0</v>
      </c>
      <c r="W2703" s="27" t="n">
        <f aca="false">MATCH(A2703,DATAS,0)</f>
        <v>1</v>
      </c>
      <c r="X2703" s="27" t="n">
        <f aca="false">IF(AND(E2703&gt;0,OR(AND(B2703&gt;=1,B2703&lt;=6),B2703=10)),1,0)</f>
        <v>0</v>
      </c>
      <c r="Y2703" s="27" t="n">
        <f aca="false">IF(AND(E2703&gt;0,B2703=10),1,0)</f>
        <v>0</v>
      </c>
      <c r="Z2703" s="0" t="str">
        <f aca="false">IF(AND(C2702=C2703,W2702=W2703-1),X2702,"")</f>
        <v/>
      </c>
      <c r="AA2703" s="0" t="str">
        <f aca="false">IF(AND(C2702=C2703,W2702=W2703-1),Y2702,"")</f>
        <v/>
      </c>
      <c r="AB2703" s="0" t="str">
        <f aca="false">IF(W2703=1,"",IF(AND(X2703=1,Z2703&lt;&gt;1),1,0))</f>
        <v/>
      </c>
      <c r="AC2703" s="0" t="str">
        <f aca="false">IF(W2703=1,"",IF(AND(Y2703=1,AA2703&lt;&gt;1),1,0))</f>
        <v/>
      </c>
      <c r="AD2703" s="33" t="str">
        <f aca="false">IF(AND(E2703&gt;0,W2703&lt;1,NOT(AND(C2704=C2703,W2704=W2703+1))),INDEX(DATAS,W2703+1),"")</f>
        <v/>
      </c>
      <c r="AE2703" s="33" t="str">
        <f aca="false">IF(AND(Y2703=1,W2703&lt;1),IF(AND(C2704=C2703,W2704=W2703+1),IF(Y2704=1,"",INDEX(DATAS,W2703+1)),INDEX(DATAS,W2703+1)),"")</f>
        <v/>
      </c>
    </row>
    <row r="2704" customFormat="false" ht="15" hidden="false" customHeight="false" outlineLevel="0" collapsed="false">
      <c r="A2704" s="33" t="n">
        <v>46309</v>
      </c>
      <c r="B2704" s="0" t="n">
        <v>13</v>
      </c>
      <c r="C2704" s="0" t="n">
        <v>7057</v>
      </c>
      <c r="E2704" s="0" t="n">
        <v>0</v>
      </c>
      <c r="F2704" s="27" t="s">
        <v>1354</v>
      </c>
      <c r="I2704" s="27" t="s">
        <v>166</v>
      </c>
      <c r="U2704" s="0" t="n">
        <v>357</v>
      </c>
      <c r="V2704" s="0" t="n">
        <v>0</v>
      </c>
      <c r="W2704" s="27" t="n">
        <f aca="false">MATCH(A2704,DATAS,0)</f>
        <v>1</v>
      </c>
      <c r="X2704" s="27" t="n">
        <f aca="false">IF(AND(E2704&gt;0,OR(AND(B2704&gt;=1,B2704&lt;=6),B2704=10)),1,0)</f>
        <v>0</v>
      </c>
      <c r="Y2704" s="27" t="n">
        <f aca="false">IF(AND(E2704&gt;0,B2704=10),1,0)</f>
        <v>0</v>
      </c>
      <c r="Z2704" s="0" t="str">
        <f aca="false">IF(AND(C2703=C2704,W2703=W2704-1),X2703,"")</f>
        <v/>
      </c>
      <c r="AA2704" s="0" t="str">
        <f aca="false">IF(AND(C2703=C2704,W2703=W2704-1),Y2703,"")</f>
        <v/>
      </c>
      <c r="AB2704" s="0" t="str">
        <f aca="false">IF(W2704=1,"",IF(AND(X2704=1,Z2704&lt;&gt;1),1,0))</f>
        <v/>
      </c>
      <c r="AC2704" s="0" t="str">
        <f aca="false">IF(W2704=1,"",IF(AND(Y2704=1,AA2704&lt;&gt;1),1,0))</f>
        <v/>
      </c>
      <c r="AD2704" s="33" t="str">
        <f aca="false">IF(AND(E2704&gt;0,W2704&lt;1,NOT(AND(C2705=C2704,W2705=W2704+1))),INDEX(DATAS,W2704+1),"")</f>
        <v/>
      </c>
      <c r="AE2704" s="33" t="str">
        <f aca="false">IF(AND(Y2704=1,W2704&lt;1),IF(AND(C2705=C2704,W2705=W2704+1),IF(Y2705=1,"",INDEX(DATAS,W2704+1)),INDEX(DATAS,W2704+1)),"")</f>
        <v/>
      </c>
    </row>
    <row r="2705" customFormat="false" ht="15" hidden="false" customHeight="false" outlineLevel="0" collapsed="false">
      <c r="A2705" s="33" t="n">
        <v>46309</v>
      </c>
      <c r="B2705" s="0" t="n">
        <v>13</v>
      </c>
      <c r="C2705" s="0" t="n">
        <v>7058</v>
      </c>
      <c r="E2705" s="0" t="n">
        <v>0</v>
      </c>
      <c r="F2705" s="27" t="s">
        <v>1354</v>
      </c>
      <c r="I2705" s="27" t="s">
        <v>166</v>
      </c>
      <c r="U2705" s="0" t="n">
        <v>357</v>
      </c>
      <c r="V2705" s="0" t="n">
        <v>0</v>
      </c>
      <c r="W2705" s="27" t="n">
        <f aca="false">MATCH(A2705,DATAS,0)</f>
        <v>1</v>
      </c>
      <c r="X2705" s="27" t="n">
        <f aca="false">IF(AND(E2705&gt;0,OR(AND(B2705&gt;=1,B2705&lt;=6),B2705=10)),1,0)</f>
        <v>0</v>
      </c>
      <c r="Y2705" s="27" t="n">
        <f aca="false">IF(AND(E2705&gt;0,B2705=10),1,0)</f>
        <v>0</v>
      </c>
      <c r="Z2705" s="0" t="str">
        <f aca="false">IF(AND(C2704=C2705,W2704=W2705-1),X2704,"")</f>
        <v/>
      </c>
      <c r="AA2705" s="0" t="str">
        <f aca="false">IF(AND(C2704=C2705,W2704=W2705-1),Y2704,"")</f>
        <v/>
      </c>
      <c r="AB2705" s="0" t="str">
        <f aca="false">IF(W2705=1,"",IF(AND(X2705=1,Z2705&lt;&gt;1),1,0))</f>
        <v/>
      </c>
      <c r="AC2705" s="0" t="str">
        <f aca="false">IF(W2705=1,"",IF(AND(Y2705=1,AA2705&lt;&gt;1),1,0))</f>
        <v/>
      </c>
      <c r="AD2705" s="33" t="str">
        <f aca="false">IF(AND(E2705&gt;0,W2705&lt;1,NOT(AND(C2706=C2705,W2706=W2705+1))),INDEX(DATAS,W2705+1),"")</f>
        <v/>
      </c>
      <c r="AE2705" s="33" t="str">
        <f aca="false">IF(AND(Y2705=1,W2705&lt;1),IF(AND(C2706=C2705,W2706=W2705+1),IF(Y2706=1,"",INDEX(DATAS,W2705+1)),INDEX(DATAS,W2705+1)),"")</f>
        <v/>
      </c>
    </row>
    <row r="2706" customFormat="false" ht="15" hidden="false" customHeight="false" outlineLevel="0" collapsed="false">
      <c r="A2706" s="33" t="n">
        <v>46309</v>
      </c>
      <c r="B2706" s="0" t="n">
        <v>13</v>
      </c>
      <c r="C2706" s="0" t="n">
        <v>7059</v>
      </c>
      <c r="E2706" s="0" t="n">
        <v>0</v>
      </c>
      <c r="F2706" s="27" t="s">
        <v>1355</v>
      </c>
      <c r="I2706" s="27" t="s">
        <v>166</v>
      </c>
      <c r="U2706" s="0" t="n">
        <v>356</v>
      </c>
      <c r="V2706" s="0" t="n">
        <v>0</v>
      </c>
      <c r="W2706" s="27" t="n">
        <f aca="false">MATCH(A2706,DATAS,0)</f>
        <v>1</v>
      </c>
      <c r="X2706" s="27" t="n">
        <f aca="false">IF(AND(E2706&gt;0,OR(AND(B2706&gt;=1,B2706&lt;=6),B2706=10)),1,0)</f>
        <v>0</v>
      </c>
      <c r="Y2706" s="27" t="n">
        <f aca="false">IF(AND(E2706&gt;0,B2706=10),1,0)</f>
        <v>0</v>
      </c>
      <c r="Z2706" s="0" t="str">
        <f aca="false">IF(AND(C2705=C2706,W2705=W2706-1),X2705,"")</f>
        <v/>
      </c>
      <c r="AA2706" s="0" t="str">
        <f aca="false">IF(AND(C2705=C2706,W2705=W2706-1),Y2705,"")</f>
        <v/>
      </c>
      <c r="AB2706" s="0" t="str">
        <f aca="false">IF(W2706=1,"",IF(AND(X2706=1,Z2706&lt;&gt;1),1,0))</f>
        <v/>
      </c>
      <c r="AC2706" s="0" t="str">
        <f aca="false">IF(W2706=1,"",IF(AND(Y2706=1,AA2706&lt;&gt;1),1,0))</f>
        <v/>
      </c>
      <c r="AD2706" s="33" t="str">
        <f aca="false">IF(AND(E2706&gt;0,W2706&lt;1,NOT(AND(C2707=C2706,W2707=W2706+1))),INDEX(DATAS,W2706+1),"")</f>
        <v/>
      </c>
      <c r="AE2706" s="33" t="str">
        <f aca="false">IF(AND(Y2706=1,W2706&lt;1),IF(AND(C2707=C2706,W2707=W2706+1),IF(Y2707=1,"",INDEX(DATAS,W2706+1)),INDEX(DATAS,W2706+1)),"")</f>
        <v/>
      </c>
    </row>
    <row r="2707" customFormat="false" ht="15" hidden="false" customHeight="false" outlineLevel="0" collapsed="false">
      <c r="A2707" s="33" t="n">
        <v>46309</v>
      </c>
      <c r="B2707" s="0" t="n">
        <v>13</v>
      </c>
      <c r="C2707" s="0" t="n">
        <v>7060</v>
      </c>
      <c r="E2707" s="0" t="n">
        <v>0</v>
      </c>
      <c r="F2707" s="27" t="s">
        <v>1355</v>
      </c>
      <c r="I2707" s="27" t="s">
        <v>166</v>
      </c>
      <c r="U2707" s="0" t="n">
        <v>356</v>
      </c>
      <c r="V2707" s="0" t="n">
        <v>0</v>
      </c>
      <c r="W2707" s="27" t="n">
        <f aca="false">MATCH(A2707,DATAS,0)</f>
        <v>1</v>
      </c>
      <c r="X2707" s="27" t="n">
        <f aca="false">IF(AND(E2707&gt;0,OR(AND(B2707&gt;=1,B2707&lt;=6),B2707=10)),1,0)</f>
        <v>0</v>
      </c>
      <c r="Y2707" s="27" t="n">
        <f aca="false">IF(AND(E2707&gt;0,B2707=10),1,0)</f>
        <v>0</v>
      </c>
      <c r="Z2707" s="0" t="str">
        <f aca="false">IF(AND(C2706=C2707,W2706=W2707-1),X2706,"")</f>
        <v/>
      </c>
      <c r="AA2707" s="0" t="str">
        <f aca="false">IF(AND(C2706=C2707,W2706=W2707-1),Y2706,"")</f>
        <v/>
      </c>
      <c r="AB2707" s="0" t="str">
        <f aca="false">IF(W2707=1,"",IF(AND(X2707=1,Z2707&lt;&gt;1),1,0))</f>
        <v/>
      </c>
      <c r="AC2707" s="0" t="str">
        <f aca="false">IF(W2707=1,"",IF(AND(Y2707=1,AA2707&lt;&gt;1),1,0))</f>
        <v/>
      </c>
      <c r="AD2707" s="33" t="str">
        <f aca="false">IF(AND(E2707&gt;0,W2707&lt;1,NOT(AND(C2708=C2707,W2708=W2707+1))),INDEX(DATAS,W2707+1),"")</f>
        <v/>
      </c>
      <c r="AE2707" s="33" t="str">
        <f aca="false">IF(AND(Y2707=1,W2707&lt;1),IF(AND(C2708=C2707,W2708=W2707+1),IF(Y2708=1,"",INDEX(DATAS,W2707+1)),INDEX(DATAS,W2707+1)),"")</f>
        <v/>
      </c>
    </row>
    <row r="2708" customFormat="false" ht="15" hidden="false" customHeight="false" outlineLevel="0" collapsed="false">
      <c r="A2708" s="33" t="n">
        <v>46309</v>
      </c>
      <c r="B2708" s="0" t="n">
        <v>13</v>
      </c>
      <c r="C2708" s="0" t="n">
        <v>7061</v>
      </c>
      <c r="E2708" s="0" t="n">
        <v>0</v>
      </c>
      <c r="F2708" s="27" t="s">
        <v>1355</v>
      </c>
      <c r="I2708" s="27" t="s">
        <v>166</v>
      </c>
      <c r="U2708" s="0" t="n">
        <v>356</v>
      </c>
      <c r="V2708" s="0" t="n">
        <v>0</v>
      </c>
      <c r="W2708" s="27" t="n">
        <f aca="false">MATCH(A2708,DATAS,0)</f>
        <v>1</v>
      </c>
      <c r="X2708" s="27" t="n">
        <f aca="false">IF(AND(E2708&gt;0,OR(AND(B2708&gt;=1,B2708&lt;=6),B2708=10)),1,0)</f>
        <v>0</v>
      </c>
      <c r="Y2708" s="27" t="n">
        <f aca="false">IF(AND(E2708&gt;0,B2708=10),1,0)</f>
        <v>0</v>
      </c>
      <c r="Z2708" s="0" t="str">
        <f aca="false">IF(AND(C2707=C2708,W2707=W2708-1),X2707,"")</f>
        <v/>
      </c>
      <c r="AA2708" s="0" t="str">
        <f aca="false">IF(AND(C2707=C2708,W2707=W2708-1),Y2707,"")</f>
        <v/>
      </c>
      <c r="AB2708" s="0" t="str">
        <f aca="false">IF(W2708=1,"",IF(AND(X2708=1,Z2708&lt;&gt;1),1,0))</f>
        <v/>
      </c>
      <c r="AC2708" s="0" t="str">
        <f aca="false">IF(W2708=1,"",IF(AND(Y2708=1,AA2708&lt;&gt;1),1,0))</f>
        <v/>
      </c>
      <c r="AD2708" s="33" t="str">
        <f aca="false">IF(AND(E2708&gt;0,W2708&lt;1,NOT(AND(C2709=C2708,W2709=W2708+1))),INDEX(DATAS,W2708+1),"")</f>
        <v/>
      </c>
      <c r="AE2708" s="33" t="str">
        <f aca="false">IF(AND(Y2708=1,W2708&lt;1),IF(AND(C2709=C2708,W2709=W2708+1),IF(Y2709=1,"",INDEX(DATAS,W2708+1)),INDEX(DATAS,W2708+1)),"")</f>
        <v/>
      </c>
    </row>
    <row r="2709" customFormat="false" ht="15" hidden="false" customHeight="false" outlineLevel="0" collapsed="false">
      <c r="A2709" s="33" t="n">
        <v>46309</v>
      </c>
      <c r="B2709" s="0" t="n">
        <v>13</v>
      </c>
      <c r="C2709" s="0" t="n">
        <v>7062</v>
      </c>
      <c r="E2709" s="0" t="n">
        <v>0</v>
      </c>
      <c r="F2709" s="27" t="s">
        <v>1355</v>
      </c>
      <c r="I2709" s="27" t="s">
        <v>166</v>
      </c>
      <c r="U2709" s="0" t="n">
        <v>356</v>
      </c>
      <c r="V2709" s="0" t="n">
        <v>0</v>
      </c>
      <c r="W2709" s="27" t="n">
        <f aca="false">MATCH(A2709,DATAS,0)</f>
        <v>1</v>
      </c>
      <c r="X2709" s="27" t="n">
        <f aca="false">IF(AND(E2709&gt;0,OR(AND(B2709&gt;=1,B2709&lt;=6),B2709=10)),1,0)</f>
        <v>0</v>
      </c>
      <c r="Y2709" s="27" t="n">
        <f aca="false">IF(AND(E2709&gt;0,B2709=10),1,0)</f>
        <v>0</v>
      </c>
      <c r="Z2709" s="0" t="str">
        <f aca="false">IF(AND(C2708=C2709,W2708=W2709-1),X2708,"")</f>
        <v/>
      </c>
      <c r="AA2709" s="0" t="str">
        <f aca="false">IF(AND(C2708=C2709,W2708=W2709-1),Y2708,"")</f>
        <v/>
      </c>
      <c r="AB2709" s="0" t="str">
        <f aca="false">IF(W2709=1,"",IF(AND(X2709=1,Z2709&lt;&gt;1),1,0))</f>
        <v/>
      </c>
      <c r="AC2709" s="0" t="str">
        <f aca="false">IF(W2709=1,"",IF(AND(Y2709=1,AA2709&lt;&gt;1),1,0))</f>
        <v/>
      </c>
      <c r="AD2709" s="33" t="str">
        <f aca="false">IF(AND(E2709&gt;0,W2709&lt;1,NOT(AND(C2710=C2709,W2710=W2709+1))),INDEX(DATAS,W2709+1),"")</f>
        <v/>
      </c>
      <c r="AE2709" s="33" t="str">
        <f aca="false">IF(AND(Y2709=1,W2709&lt;1),IF(AND(C2710=C2709,W2710=W2709+1),IF(Y2710=1,"",INDEX(DATAS,W2709+1)),INDEX(DATAS,W2709+1)),"")</f>
        <v/>
      </c>
    </row>
    <row r="2710" customFormat="false" ht="15" hidden="false" customHeight="false" outlineLevel="0" collapsed="false">
      <c r="A2710" s="33" t="n">
        <v>46309</v>
      </c>
      <c r="B2710" s="0" t="n">
        <v>13</v>
      </c>
      <c r="C2710" s="0" t="n">
        <v>7063</v>
      </c>
      <c r="E2710" s="0" t="n">
        <v>0</v>
      </c>
      <c r="F2710" s="27" t="s">
        <v>1356</v>
      </c>
      <c r="I2710" s="27" t="s">
        <v>166</v>
      </c>
      <c r="U2710" s="0" t="n">
        <v>355</v>
      </c>
      <c r="V2710" s="0" t="n">
        <v>0</v>
      </c>
      <c r="W2710" s="27" t="n">
        <f aca="false">MATCH(A2710,DATAS,0)</f>
        <v>1</v>
      </c>
      <c r="X2710" s="27" t="n">
        <f aca="false">IF(AND(E2710&gt;0,OR(AND(B2710&gt;=1,B2710&lt;=6),B2710=10)),1,0)</f>
        <v>0</v>
      </c>
      <c r="Y2710" s="27" t="n">
        <f aca="false">IF(AND(E2710&gt;0,B2710=10),1,0)</f>
        <v>0</v>
      </c>
      <c r="Z2710" s="0" t="str">
        <f aca="false">IF(AND(C2709=C2710,W2709=W2710-1),X2709,"")</f>
        <v/>
      </c>
      <c r="AA2710" s="0" t="str">
        <f aca="false">IF(AND(C2709=C2710,W2709=W2710-1),Y2709,"")</f>
        <v/>
      </c>
      <c r="AB2710" s="0" t="str">
        <f aca="false">IF(W2710=1,"",IF(AND(X2710=1,Z2710&lt;&gt;1),1,0))</f>
        <v/>
      </c>
      <c r="AC2710" s="0" t="str">
        <f aca="false">IF(W2710=1,"",IF(AND(Y2710=1,AA2710&lt;&gt;1),1,0))</f>
        <v/>
      </c>
      <c r="AD2710" s="33" t="str">
        <f aca="false">IF(AND(E2710&gt;0,W2710&lt;1,NOT(AND(C2711=C2710,W2711=W2710+1))),INDEX(DATAS,W2710+1),"")</f>
        <v/>
      </c>
      <c r="AE2710" s="33" t="str">
        <f aca="false">IF(AND(Y2710=1,W2710&lt;1),IF(AND(C2711=C2710,W2711=W2710+1),IF(Y2711=1,"",INDEX(DATAS,W2710+1)),INDEX(DATAS,W2710+1)),"")</f>
        <v/>
      </c>
    </row>
    <row r="2711" customFormat="false" ht="15" hidden="false" customHeight="false" outlineLevel="0" collapsed="false">
      <c r="A2711" s="33" t="n">
        <v>46309</v>
      </c>
      <c r="B2711" s="0" t="n">
        <v>13</v>
      </c>
      <c r="C2711" s="0" t="n">
        <v>7064</v>
      </c>
      <c r="E2711" s="0" t="n">
        <v>0</v>
      </c>
      <c r="F2711" s="27" t="s">
        <v>1357</v>
      </c>
      <c r="I2711" s="27" t="s">
        <v>166</v>
      </c>
      <c r="U2711" s="0" t="n">
        <v>354</v>
      </c>
      <c r="V2711" s="0" t="n">
        <v>0</v>
      </c>
      <c r="W2711" s="27" t="n">
        <f aca="false">MATCH(A2711,DATAS,0)</f>
        <v>1</v>
      </c>
      <c r="X2711" s="27" t="n">
        <f aca="false">IF(AND(E2711&gt;0,OR(AND(B2711&gt;=1,B2711&lt;=6),B2711=10)),1,0)</f>
        <v>0</v>
      </c>
      <c r="Y2711" s="27" t="n">
        <f aca="false">IF(AND(E2711&gt;0,B2711=10),1,0)</f>
        <v>0</v>
      </c>
      <c r="Z2711" s="0" t="str">
        <f aca="false">IF(AND(C2710=C2711,W2710=W2711-1),X2710,"")</f>
        <v/>
      </c>
      <c r="AA2711" s="0" t="str">
        <f aca="false">IF(AND(C2710=C2711,W2710=W2711-1),Y2710,"")</f>
        <v/>
      </c>
      <c r="AB2711" s="0" t="str">
        <f aca="false">IF(W2711=1,"",IF(AND(X2711=1,Z2711&lt;&gt;1),1,0))</f>
        <v/>
      </c>
      <c r="AC2711" s="0" t="str">
        <f aca="false">IF(W2711=1,"",IF(AND(Y2711=1,AA2711&lt;&gt;1),1,0))</f>
        <v/>
      </c>
      <c r="AD2711" s="33" t="str">
        <f aca="false">IF(AND(E2711&gt;0,W2711&lt;1,NOT(AND(C2712=C2711,W2712=W2711+1))),INDEX(DATAS,W2711+1),"")</f>
        <v/>
      </c>
      <c r="AE2711" s="33" t="str">
        <f aca="false">IF(AND(Y2711=1,W2711&lt;1),IF(AND(C2712=C2711,W2712=W2711+1),IF(Y2712=1,"",INDEX(DATAS,W2711+1)),INDEX(DATAS,W2711+1)),"")</f>
        <v/>
      </c>
    </row>
    <row r="2712" customFormat="false" ht="15" hidden="false" customHeight="false" outlineLevel="0" collapsed="false">
      <c r="A2712" s="33" t="n">
        <v>46309</v>
      </c>
      <c r="B2712" s="0" t="n">
        <v>13</v>
      </c>
      <c r="C2712" s="0" t="n">
        <v>7065</v>
      </c>
      <c r="E2712" s="0" t="n">
        <v>0</v>
      </c>
      <c r="F2712" s="27" t="s">
        <v>1357</v>
      </c>
      <c r="I2712" s="27" t="s">
        <v>166</v>
      </c>
      <c r="U2712" s="0" t="n">
        <v>354</v>
      </c>
      <c r="V2712" s="0" t="n">
        <v>0</v>
      </c>
      <c r="W2712" s="27" t="n">
        <f aca="false">MATCH(A2712,DATAS,0)</f>
        <v>1</v>
      </c>
      <c r="X2712" s="27" t="n">
        <f aca="false">IF(AND(E2712&gt;0,OR(AND(B2712&gt;=1,B2712&lt;=6),B2712=10)),1,0)</f>
        <v>0</v>
      </c>
      <c r="Y2712" s="27" t="n">
        <f aca="false">IF(AND(E2712&gt;0,B2712=10),1,0)</f>
        <v>0</v>
      </c>
      <c r="Z2712" s="0" t="str">
        <f aca="false">IF(AND(C2711=C2712,W2711=W2712-1),X2711,"")</f>
        <v/>
      </c>
      <c r="AA2712" s="0" t="str">
        <f aca="false">IF(AND(C2711=C2712,W2711=W2712-1),Y2711,"")</f>
        <v/>
      </c>
      <c r="AB2712" s="0" t="str">
        <f aca="false">IF(W2712=1,"",IF(AND(X2712=1,Z2712&lt;&gt;1),1,0))</f>
        <v/>
      </c>
      <c r="AC2712" s="0" t="str">
        <f aca="false">IF(W2712=1,"",IF(AND(Y2712=1,AA2712&lt;&gt;1),1,0))</f>
        <v/>
      </c>
      <c r="AD2712" s="33" t="str">
        <f aca="false">IF(AND(E2712&gt;0,W2712&lt;1,NOT(AND(C2713=C2712,W2713=W2712+1))),INDEX(DATAS,W2712+1),"")</f>
        <v/>
      </c>
      <c r="AE2712" s="33" t="str">
        <f aca="false">IF(AND(Y2712=1,W2712&lt;1),IF(AND(C2713=C2712,W2713=W2712+1),IF(Y2713=1,"",INDEX(DATAS,W2712+1)),INDEX(DATAS,W2712+1)),"")</f>
        <v/>
      </c>
    </row>
    <row r="2713" customFormat="false" ht="15" hidden="false" customHeight="false" outlineLevel="0" collapsed="false">
      <c r="A2713" s="33" t="n">
        <v>46309</v>
      </c>
      <c r="B2713" s="0" t="n">
        <v>13</v>
      </c>
      <c r="C2713" s="0" t="n">
        <v>7066</v>
      </c>
      <c r="E2713" s="0" t="n">
        <v>0</v>
      </c>
      <c r="F2713" s="27" t="s">
        <v>1357</v>
      </c>
      <c r="I2713" s="27" t="s">
        <v>166</v>
      </c>
      <c r="U2713" s="0" t="n">
        <v>354</v>
      </c>
      <c r="V2713" s="0" t="n">
        <v>0</v>
      </c>
      <c r="W2713" s="27" t="n">
        <f aca="false">MATCH(A2713,DATAS,0)</f>
        <v>1</v>
      </c>
      <c r="X2713" s="27" t="n">
        <f aca="false">IF(AND(E2713&gt;0,OR(AND(B2713&gt;=1,B2713&lt;=6),B2713=10)),1,0)</f>
        <v>0</v>
      </c>
      <c r="Y2713" s="27" t="n">
        <f aca="false">IF(AND(E2713&gt;0,B2713=10),1,0)</f>
        <v>0</v>
      </c>
      <c r="Z2713" s="0" t="str">
        <f aca="false">IF(AND(C2712=C2713,W2712=W2713-1),X2712,"")</f>
        <v/>
      </c>
      <c r="AA2713" s="0" t="str">
        <f aca="false">IF(AND(C2712=C2713,W2712=W2713-1),Y2712,"")</f>
        <v/>
      </c>
      <c r="AB2713" s="0" t="str">
        <f aca="false">IF(W2713=1,"",IF(AND(X2713=1,Z2713&lt;&gt;1),1,0))</f>
        <v/>
      </c>
      <c r="AC2713" s="0" t="str">
        <f aca="false">IF(W2713=1,"",IF(AND(Y2713=1,AA2713&lt;&gt;1),1,0))</f>
        <v/>
      </c>
      <c r="AD2713" s="33" t="str">
        <f aca="false">IF(AND(E2713&gt;0,W2713&lt;1,NOT(AND(C2714=C2713,W2714=W2713+1))),INDEX(DATAS,W2713+1),"")</f>
        <v/>
      </c>
      <c r="AE2713" s="33" t="str">
        <f aca="false">IF(AND(Y2713=1,W2713&lt;1),IF(AND(C2714=C2713,W2714=W2713+1),IF(Y2714=1,"",INDEX(DATAS,W2713+1)),INDEX(DATAS,W2713+1)),"")</f>
        <v/>
      </c>
    </row>
    <row r="2714" customFormat="false" ht="15" hidden="false" customHeight="false" outlineLevel="0" collapsed="false">
      <c r="A2714" s="33" t="n">
        <v>46309</v>
      </c>
      <c r="B2714" s="0" t="n">
        <v>13</v>
      </c>
      <c r="C2714" s="0" t="n">
        <v>7067</v>
      </c>
      <c r="E2714" s="0" t="n">
        <v>0</v>
      </c>
      <c r="F2714" s="27" t="s">
        <v>1357</v>
      </c>
      <c r="I2714" s="27" t="s">
        <v>166</v>
      </c>
      <c r="U2714" s="0" t="n">
        <v>354</v>
      </c>
      <c r="V2714" s="0" t="n">
        <v>0</v>
      </c>
      <c r="W2714" s="27" t="n">
        <f aca="false">MATCH(A2714,DATAS,0)</f>
        <v>1</v>
      </c>
      <c r="X2714" s="27" t="n">
        <f aca="false">IF(AND(E2714&gt;0,OR(AND(B2714&gt;=1,B2714&lt;=6),B2714=10)),1,0)</f>
        <v>0</v>
      </c>
      <c r="Y2714" s="27" t="n">
        <f aca="false">IF(AND(E2714&gt;0,B2714=10),1,0)</f>
        <v>0</v>
      </c>
      <c r="Z2714" s="0" t="str">
        <f aca="false">IF(AND(C2713=C2714,W2713=W2714-1),X2713,"")</f>
        <v/>
      </c>
      <c r="AA2714" s="0" t="str">
        <f aca="false">IF(AND(C2713=C2714,W2713=W2714-1),Y2713,"")</f>
        <v/>
      </c>
      <c r="AB2714" s="0" t="str">
        <f aca="false">IF(W2714=1,"",IF(AND(X2714=1,Z2714&lt;&gt;1),1,0))</f>
        <v/>
      </c>
      <c r="AC2714" s="0" t="str">
        <f aca="false">IF(W2714=1,"",IF(AND(Y2714=1,AA2714&lt;&gt;1),1,0))</f>
        <v/>
      </c>
      <c r="AD2714" s="33" t="str">
        <f aca="false">IF(AND(E2714&gt;0,W2714&lt;1,NOT(AND(C2715=C2714,W2715=W2714+1))),INDEX(DATAS,W2714+1),"")</f>
        <v/>
      </c>
      <c r="AE2714" s="33" t="str">
        <f aca="false">IF(AND(Y2714=1,W2714&lt;1),IF(AND(C2715=C2714,W2715=W2714+1),IF(Y2715=1,"",INDEX(DATAS,W2714+1)),INDEX(DATAS,W2714+1)),"")</f>
        <v/>
      </c>
    </row>
    <row r="2715" customFormat="false" ht="15" hidden="false" customHeight="false" outlineLevel="0" collapsed="false">
      <c r="A2715" s="33" t="n">
        <v>46309</v>
      </c>
      <c r="B2715" s="0" t="n">
        <v>13</v>
      </c>
      <c r="C2715" s="0" t="n">
        <v>7068</v>
      </c>
      <c r="E2715" s="0" t="n">
        <v>0</v>
      </c>
      <c r="F2715" s="27" t="s">
        <v>1358</v>
      </c>
      <c r="I2715" s="27" t="s">
        <v>166</v>
      </c>
      <c r="U2715" s="0" t="n">
        <v>353</v>
      </c>
      <c r="V2715" s="0" t="n">
        <v>0</v>
      </c>
      <c r="W2715" s="27" t="n">
        <f aca="false">MATCH(A2715,DATAS,0)</f>
        <v>1</v>
      </c>
      <c r="X2715" s="27" t="n">
        <f aca="false">IF(AND(E2715&gt;0,OR(AND(B2715&gt;=1,B2715&lt;=6),B2715=10)),1,0)</f>
        <v>0</v>
      </c>
      <c r="Y2715" s="27" t="n">
        <f aca="false">IF(AND(E2715&gt;0,B2715=10),1,0)</f>
        <v>0</v>
      </c>
      <c r="Z2715" s="0" t="str">
        <f aca="false">IF(AND(C2714=C2715,W2714=W2715-1),X2714,"")</f>
        <v/>
      </c>
      <c r="AA2715" s="0" t="str">
        <f aca="false">IF(AND(C2714=C2715,W2714=W2715-1),Y2714,"")</f>
        <v/>
      </c>
      <c r="AB2715" s="0" t="str">
        <f aca="false">IF(W2715=1,"",IF(AND(X2715=1,Z2715&lt;&gt;1),1,0))</f>
        <v/>
      </c>
      <c r="AC2715" s="0" t="str">
        <f aca="false">IF(W2715=1,"",IF(AND(Y2715=1,AA2715&lt;&gt;1),1,0))</f>
        <v/>
      </c>
      <c r="AD2715" s="33" t="str">
        <f aca="false">IF(AND(E2715&gt;0,W2715&lt;1,NOT(AND(C2716=C2715,W2716=W2715+1))),INDEX(DATAS,W2715+1),"")</f>
        <v/>
      </c>
      <c r="AE2715" s="33" t="str">
        <f aca="false">IF(AND(Y2715=1,W2715&lt;1),IF(AND(C2716=C2715,W2716=W2715+1),IF(Y2716=1,"",INDEX(DATAS,W2715+1)),INDEX(DATAS,W2715+1)),"")</f>
        <v/>
      </c>
    </row>
    <row r="2716" customFormat="false" ht="15" hidden="false" customHeight="false" outlineLevel="0" collapsed="false">
      <c r="A2716" s="33" t="n">
        <v>46309</v>
      </c>
      <c r="B2716" s="0" t="n">
        <v>13</v>
      </c>
      <c r="C2716" s="0" t="n">
        <v>7069</v>
      </c>
      <c r="E2716" s="0" t="n">
        <v>0</v>
      </c>
      <c r="F2716" s="27" t="s">
        <v>1358</v>
      </c>
      <c r="I2716" s="27" t="s">
        <v>166</v>
      </c>
      <c r="U2716" s="0" t="n">
        <v>353</v>
      </c>
      <c r="V2716" s="0" t="n">
        <v>0</v>
      </c>
      <c r="W2716" s="27" t="n">
        <f aca="false">MATCH(A2716,DATAS,0)</f>
        <v>1</v>
      </c>
      <c r="X2716" s="27" t="n">
        <f aca="false">IF(AND(E2716&gt;0,OR(AND(B2716&gt;=1,B2716&lt;=6),B2716=10)),1,0)</f>
        <v>0</v>
      </c>
      <c r="Y2716" s="27" t="n">
        <f aca="false">IF(AND(E2716&gt;0,B2716=10),1,0)</f>
        <v>0</v>
      </c>
      <c r="Z2716" s="0" t="str">
        <f aca="false">IF(AND(C2715=C2716,W2715=W2716-1),X2715,"")</f>
        <v/>
      </c>
      <c r="AA2716" s="0" t="str">
        <f aca="false">IF(AND(C2715=C2716,W2715=W2716-1),Y2715,"")</f>
        <v/>
      </c>
      <c r="AB2716" s="0" t="str">
        <f aca="false">IF(W2716=1,"",IF(AND(X2716=1,Z2716&lt;&gt;1),1,0))</f>
        <v/>
      </c>
      <c r="AC2716" s="0" t="str">
        <f aca="false">IF(W2716=1,"",IF(AND(Y2716=1,AA2716&lt;&gt;1),1,0))</f>
        <v/>
      </c>
      <c r="AD2716" s="33" t="str">
        <f aca="false">IF(AND(E2716&gt;0,W2716&lt;1,NOT(AND(C2717=C2716,W2717=W2716+1))),INDEX(DATAS,W2716+1),"")</f>
        <v/>
      </c>
      <c r="AE2716" s="33" t="str">
        <f aca="false">IF(AND(Y2716=1,W2716&lt;1),IF(AND(C2717=C2716,W2717=W2716+1),IF(Y2717=1,"",INDEX(DATAS,W2716+1)),INDEX(DATAS,W2716+1)),"")</f>
        <v/>
      </c>
    </row>
    <row r="2717" customFormat="false" ht="15" hidden="false" customHeight="false" outlineLevel="0" collapsed="false">
      <c r="A2717" s="33" t="n">
        <v>46309</v>
      </c>
      <c r="B2717" s="0" t="n">
        <v>13</v>
      </c>
      <c r="C2717" s="0" t="n">
        <v>7070</v>
      </c>
      <c r="E2717" s="0" t="n">
        <v>0</v>
      </c>
      <c r="F2717" s="27" t="s">
        <v>1359</v>
      </c>
      <c r="I2717" s="27" t="s">
        <v>166</v>
      </c>
      <c r="U2717" s="0" t="n">
        <v>352</v>
      </c>
      <c r="V2717" s="0" t="n">
        <v>0</v>
      </c>
      <c r="W2717" s="27" t="n">
        <f aca="false">MATCH(A2717,DATAS,0)</f>
        <v>1</v>
      </c>
      <c r="X2717" s="27" t="n">
        <f aca="false">IF(AND(E2717&gt;0,OR(AND(B2717&gt;=1,B2717&lt;=6),B2717=10)),1,0)</f>
        <v>0</v>
      </c>
      <c r="Y2717" s="27" t="n">
        <f aca="false">IF(AND(E2717&gt;0,B2717=10),1,0)</f>
        <v>0</v>
      </c>
      <c r="Z2717" s="0" t="str">
        <f aca="false">IF(AND(C2716=C2717,W2716=W2717-1),X2716,"")</f>
        <v/>
      </c>
      <c r="AA2717" s="0" t="str">
        <f aca="false">IF(AND(C2716=C2717,W2716=W2717-1),Y2716,"")</f>
        <v/>
      </c>
      <c r="AB2717" s="0" t="str">
        <f aca="false">IF(W2717=1,"",IF(AND(X2717=1,Z2717&lt;&gt;1),1,0))</f>
        <v/>
      </c>
      <c r="AC2717" s="0" t="str">
        <f aca="false">IF(W2717=1,"",IF(AND(Y2717=1,AA2717&lt;&gt;1),1,0))</f>
        <v/>
      </c>
      <c r="AD2717" s="33" t="str">
        <f aca="false">IF(AND(E2717&gt;0,W2717&lt;1,NOT(AND(C2718=C2717,W2718=W2717+1))),INDEX(DATAS,W2717+1),"")</f>
        <v/>
      </c>
      <c r="AE2717" s="33" t="str">
        <f aca="false">IF(AND(Y2717=1,W2717&lt;1),IF(AND(C2718=C2717,W2718=W2717+1),IF(Y2718=1,"",INDEX(DATAS,W2717+1)),INDEX(DATAS,W2717+1)),"")</f>
        <v/>
      </c>
    </row>
    <row r="2718" customFormat="false" ht="15" hidden="false" customHeight="false" outlineLevel="0" collapsed="false">
      <c r="A2718" s="33" t="n">
        <v>46309</v>
      </c>
      <c r="B2718" s="0" t="n">
        <v>13</v>
      </c>
      <c r="C2718" s="0" t="n">
        <v>7071</v>
      </c>
      <c r="E2718" s="0" t="n">
        <v>0</v>
      </c>
      <c r="F2718" s="27" t="s">
        <v>1359</v>
      </c>
      <c r="I2718" s="27" t="s">
        <v>166</v>
      </c>
      <c r="U2718" s="0" t="n">
        <v>352</v>
      </c>
      <c r="V2718" s="0" t="n">
        <v>0</v>
      </c>
      <c r="W2718" s="27" t="n">
        <f aca="false">MATCH(A2718,DATAS,0)</f>
        <v>1</v>
      </c>
      <c r="X2718" s="27" t="n">
        <f aca="false">IF(AND(E2718&gt;0,OR(AND(B2718&gt;=1,B2718&lt;=6),B2718=10)),1,0)</f>
        <v>0</v>
      </c>
      <c r="Y2718" s="27" t="n">
        <f aca="false">IF(AND(E2718&gt;0,B2718=10),1,0)</f>
        <v>0</v>
      </c>
      <c r="Z2718" s="0" t="str">
        <f aca="false">IF(AND(C2717=C2718,W2717=W2718-1),X2717,"")</f>
        <v/>
      </c>
      <c r="AA2718" s="0" t="str">
        <f aca="false">IF(AND(C2717=C2718,W2717=W2718-1),Y2717,"")</f>
        <v/>
      </c>
      <c r="AB2718" s="0" t="str">
        <f aca="false">IF(W2718=1,"",IF(AND(X2718=1,Z2718&lt;&gt;1),1,0))</f>
        <v/>
      </c>
      <c r="AC2718" s="0" t="str">
        <f aca="false">IF(W2718=1,"",IF(AND(Y2718=1,AA2718&lt;&gt;1),1,0))</f>
        <v/>
      </c>
      <c r="AD2718" s="33" t="str">
        <f aca="false">IF(AND(E2718&gt;0,W2718&lt;1,NOT(AND(C2719=C2718,W2719=W2718+1))),INDEX(DATAS,W2718+1),"")</f>
        <v/>
      </c>
      <c r="AE2718" s="33" t="str">
        <f aca="false">IF(AND(Y2718=1,W2718&lt;1),IF(AND(C2719=C2718,W2719=W2718+1),IF(Y2719=1,"",INDEX(DATAS,W2718+1)),INDEX(DATAS,W2718+1)),"")</f>
        <v/>
      </c>
    </row>
    <row r="2719" customFormat="false" ht="15" hidden="false" customHeight="false" outlineLevel="0" collapsed="false">
      <c r="A2719" s="33" t="n">
        <v>46309</v>
      </c>
      <c r="B2719" s="0" t="n">
        <v>13</v>
      </c>
      <c r="C2719" s="0" t="n">
        <v>7072</v>
      </c>
      <c r="E2719" s="0" t="n">
        <v>0</v>
      </c>
      <c r="F2719" s="27" t="s">
        <v>1359</v>
      </c>
      <c r="I2719" s="27" t="s">
        <v>166</v>
      </c>
      <c r="U2719" s="0" t="n">
        <v>352</v>
      </c>
      <c r="V2719" s="0" t="n">
        <v>0</v>
      </c>
      <c r="W2719" s="27" t="n">
        <f aca="false">MATCH(A2719,DATAS,0)</f>
        <v>1</v>
      </c>
      <c r="X2719" s="27" t="n">
        <f aca="false">IF(AND(E2719&gt;0,OR(AND(B2719&gt;=1,B2719&lt;=6),B2719=10)),1,0)</f>
        <v>0</v>
      </c>
      <c r="Y2719" s="27" t="n">
        <f aca="false">IF(AND(E2719&gt;0,B2719=10),1,0)</f>
        <v>0</v>
      </c>
      <c r="Z2719" s="0" t="str">
        <f aca="false">IF(AND(C2718=C2719,W2718=W2719-1),X2718,"")</f>
        <v/>
      </c>
      <c r="AA2719" s="0" t="str">
        <f aca="false">IF(AND(C2718=C2719,W2718=W2719-1),Y2718,"")</f>
        <v/>
      </c>
      <c r="AB2719" s="0" t="str">
        <f aca="false">IF(W2719=1,"",IF(AND(X2719=1,Z2719&lt;&gt;1),1,0))</f>
        <v/>
      </c>
      <c r="AC2719" s="0" t="str">
        <f aca="false">IF(W2719=1,"",IF(AND(Y2719=1,AA2719&lt;&gt;1),1,0))</f>
        <v/>
      </c>
      <c r="AD2719" s="33" t="str">
        <f aca="false">IF(AND(E2719&gt;0,W2719&lt;1,NOT(AND(C2720=C2719,W2720=W2719+1))),INDEX(DATAS,W2719+1),"")</f>
        <v/>
      </c>
      <c r="AE2719" s="33" t="str">
        <f aca="false">IF(AND(Y2719=1,W2719&lt;1),IF(AND(C2720=C2719,W2720=W2719+1),IF(Y2720=1,"",INDEX(DATAS,W2719+1)),INDEX(DATAS,W2719+1)),"")</f>
        <v/>
      </c>
    </row>
    <row r="2720" customFormat="false" ht="15" hidden="false" customHeight="false" outlineLevel="0" collapsed="false">
      <c r="A2720" s="33" t="n">
        <v>46309</v>
      </c>
      <c r="B2720" s="0" t="n">
        <v>13</v>
      </c>
      <c r="C2720" s="0" t="n">
        <v>7074</v>
      </c>
      <c r="E2720" s="0" t="n">
        <v>0</v>
      </c>
      <c r="F2720" s="27" t="s">
        <v>1360</v>
      </c>
      <c r="I2720" s="27" t="s">
        <v>166</v>
      </c>
      <c r="U2720" s="0" t="n">
        <v>351</v>
      </c>
      <c r="V2720" s="0" t="n">
        <v>0</v>
      </c>
      <c r="W2720" s="27" t="n">
        <f aca="false">MATCH(A2720,DATAS,0)</f>
        <v>1</v>
      </c>
      <c r="X2720" s="27" t="n">
        <f aca="false">IF(AND(E2720&gt;0,OR(AND(B2720&gt;=1,B2720&lt;=6),B2720=10)),1,0)</f>
        <v>0</v>
      </c>
      <c r="Y2720" s="27" t="n">
        <f aca="false">IF(AND(E2720&gt;0,B2720=10),1,0)</f>
        <v>0</v>
      </c>
      <c r="Z2720" s="0" t="str">
        <f aca="false">IF(AND(C2719=C2720,W2719=W2720-1),X2719,"")</f>
        <v/>
      </c>
      <c r="AA2720" s="0" t="str">
        <f aca="false">IF(AND(C2719=C2720,W2719=W2720-1),Y2719,"")</f>
        <v/>
      </c>
      <c r="AB2720" s="0" t="str">
        <f aca="false">IF(W2720=1,"",IF(AND(X2720=1,Z2720&lt;&gt;1),1,0))</f>
        <v/>
      </c>
      <c r="AC2720" s="0" t="str">
        <f aca="false">IF(W2720=1,"",IF(AND(Y2720=1,AA2720&lt;&gt;1),1,0))</f>
        <v/>
      </c>
      <c r="AD2720" s="33" t="str">
        <f aca="false">IF(AND(E2720&gt;0,W2720&lt;1,NOT(AND(C2721=C2720,W2721=W2720+1))),INDEX(DATAS,W2720+1),"")</f>
        <v/>
      </c>
      <c r="AE2720" s="33" t="str">
        <f aca="false">IF(AND(Y2720=1,W2720&lt;1),IF(AND(C2721=C2720,W2721=W2720+1),IF(Y2721=1,"",INDEX(DATAS,W2720+1)),INDEX(DATAS,W2720+1)),"")</f>
        <v/>
      </c>
    </row>
    <row r="2721" customFormat="false" ht="15" hidden="false" customHeight="false" outlineLevel="0" collapsed="false">
      <c r="A2721" s="33" t="n">
        <v>46309</v>
      </c>
      <c r="B2721" s="0" t="n">
        <v>13</v>
      </c>
      <c r="C2721" s="0" t="n">
        <v>7075</v>
      </c>
      <c r="E2721" s="0" t="n">
        <v>0</v>
      </c>
      <c r="F2721" s="27" t="s">
        <v>1360</v>
      </c>
      <c r="I2721" s="27" t="s">
        <v>166</v>
      </c>
      <c r="U2721" s="0" t="n">
        <v>351</v>
      </c>
      <c r="V2721" s="0" t="n">
        <v>0</v>
      </c>
      <c r="W2721" s="27" t="n">
        <f aca="false">MATCH(A2721,DATAS,0)</f>
        <v>1</v>
      </c>
      <c r="X2721" s="27" t="n">
        <f aca="false">IF(AND(E2721&gt;0,OR(AND(B2721&gt;=1,B2721&lt;=6),B2721=10)),1,0)</f>
        <v>0</v>
      </c>
      <c r="Y2721" s="27" t="n">
        <f aca="false">IF(AND(E2721&gt;0,B2721=10),1,0)</f>
        <v>0</v>
      </c>
      <c r="Z2721" s="0" t="str">
        <f aca="false">IF(AND(C2720=C2721,W2720=W2721-1),X2720,"")</f>
        <v/>
      </c>
      <c r="AA2721" s="0" t="str">
        <f aca="false">IF(AND(C2720=C2721,W2720=W2721-1),Y2720,"")</f>
        <v/>
      </c>
      <c r="AB2721" s="0" t="str">
        <f aca="false">IF(W2721=1,"",IF(AND(X2721=1,Z2721&lt;&gt;1),1,0))</f>
        <v/>
      </c>
      <c r="AC2721" s="0" t="str">
        <f aca="false">IF(W2721=1,"",IF(AND(Y2721=1,AA2721&lt;&gt;1),1,0))</f>
        <v/>
      </c>
      <c r="AD2721" s="33" t="str">
        <f aca="false">IF(AND(E2721&gt;0,W2721&lt;1,NOT(AND(C2722=C2721,W2722=W2721+1))),INDEX(DATAS,W2721+1),"")</f>
        <v/>
      </c>
      <c r="AE2721" s="33" t="str">
        <f aca="false">IF(AND(Y2721=1,W2721&lt;1),IF(AND(C2722=C2721,W2722=W2721+1),IF(Y2722=1,"",INDEX(DATAS,W2721+1)),INDEX(DATAS,W2721+1)),"")</f>
        <v/>
      </c>
    </row>
    <row r="2722" customFormat="false" ht="15" hidden="false" customHeight="false" outlineLevel="0" collapsed="false">
      <c r="A2722" s="33" t="n">
        <v>46309</v>
      </c>
      <c r="B2722" s="0" t="n">
        <v>13</v>
      </c>
      <c r="C2722" s="0" t="n">
        <v>7076</v>
      </c>
      <c r="E2722" s="0" t="n">
        <v>0</v>
      </c>
      <c r="F2722" s="27" t="s">
        <v>1360</v>
      </c>
      <c r="I2722" s="27" t="s">
        <v>166</v>
      </c>
      <c r="U2722" s="0" t="n">
        <v>351</v>
      </c>
      <c r="V2722" s="0" t="n">
        <v>0</v>
      </c>
      <c r="W2722" s="27" t="n">
        <f aca="false">MATCH(A2722,DATAS,0)</f>
        <v>1</v>
      </c>
      <c r="X2722" s="27" t="n">
        <f aca="false">IF(AND(E2722&gt;0,OR(AND(B2722&gt;=1,B2722&lt;=6),B2722=10)),1,0)</f>
        <v>0</v>
      </c>
      <c r="Y2722" s="27" t="n">
        <f aca="false">IF(AND(E2722&gt;0,B2722=10),1,0)</f>
        <v>0</v>
      </c>
      <c r="Z2722" s="0" t="str">
        <f aca="false">IF(AND(C2721=C2722,W2721=W2722-1),X2721,"")</f>
        <v/>
      </c>
      <c r="AA2722" s="0" t="str">
        <f aca="false">IF(AND(C2721=C2722,W2721=W2722-1),Y2721,"")</f>
        <v/>
      </c>
      <c r="AB2722" s="0" t="str">
        <f aca="false">IF(W2722=1,"",IF(AND(X2722=1,Z2722&lt;&gt;1),1,0))</f>
        <v/>
      </c>
      <c r="AC2722" s="0" t="str">
        <f aca="false">IF(W2722=1,"",IF(AND(Y2722=1,AA2722&lt;&gt;1),1,0))</f>
        <v/>
      </c>
      <c r="AD2722" s="33" t="str">
        <f aca="false">IF(AND(E2722&gt;0,W2722&lt;1,NOT(AND(C2723=C2722,W2723=W2722+1))),INDEX(DATAS,W2722+1),"")</f>
        <v/>
      </c>
      <c r="AE2722" s="33" t="str">
        <f aca="false">IF(AND(Y2722=1,W2722&lt;1),IF(AND(C2723=C2722,W2723=W2722+1),IF(Y2723=1,"",INDEX(DATAS,W2722+1)),INDEX(DATAS,W2722+1)),"")</f>
        <v/>
      </c>
    </row>
    <row r="2723" customFormat="false" ht="15" hidden="false" customHeight="false" outlineLevel="0" collapsed="false">
      <c r="A2723" s="33" t="n">
        <v>46309</v>
      </c>
      <c r="B2723" s="0" t="n">
        <v>13</v>
      </c>
      <c r="C2723" s="0" t="n">
        <v>7077</v>
      </c>
      <c r="E2723" s="0" t="n">
        <v>0</v>
      </c>
      <c r="F2723" s="27" t="s">
        <v>1361</v>
      </c>
      <c r="I2723" s="27" t="s">
        <v>166</v>
      </c>
      <c r="U2723" s="0" t="n">
        <v>350</v>
      </c>
      <c r="V2723" s="0" t="n">
        <v>0</v>
      </c>
      <c r="W2723" s="27" t="n">
        <f aca="false">MATCH(A2723,DATAS,0)</f>
        <v>1</v>
      </c>
      <c r="X2723" s="27" t="n">
        <f aca="false">IF(AND(E2723&gt;0,OR(AND(B2723&gt;=1,B2723&lt;=6),B2723=10)),1,0)</f>
        <v>0</v>
      </c>
      <c r="Y2723" s="27" t="n">
        <f aca="false">IF(AND(E2723&gt;0,B2723=10),1,0)</f>
        <v>0</v>
      </c>
      <c r="Z2723" s="0" t="str">
        <f aca="false">IF(AND(C2722=C2723,W2722=W2723-1),X2722,"")</f>
        <v/>
      </c>
      <c r="AA2723" s="0" t="str">
        <f aca="false">IF(AND(C2722=C2723,W2722=W2723-1),Y2722,"")</f>
        <v/>
      </c>
      <c r="AB2723" s="0" t="str">
        <f aca="false">IF(W2723=1,"",IF(AND(X2723=1,Z2723&lt;&gt;1),1,0))</f>
        <v/>
      </c>
      <c r="AC2723" s="0" t="str">
        <f aca="false">IF(W2723=1,"",IF(AND(Y2723=1,AA2723&lt;&gt;1),1,0))</f>
        <v/>
      </c>
      <c r="AD2723" s="33" t="str">
        <f aca="false">IF(AND(E2723&gt;0,W2723&lt;1,NOT(AND(C2724=C2723,W2724=W2723+1))),INDEX(DATAS,W2723+1),"")</f>
        <v/>
      </c>
      <c r="AE2723" s="33" t="str">
        <f aca="false">IF(AND(Y2723=1,W2723&lt;1),IF(AND(C2724=C2723,W2724=W2723+1),IF(Y2724=1,"",INDEX(DATAS,W2723+1)),INDEX(DATAS,W2723+1)),"")</f>
        <v/>
      </c>
    </row>
    <row r="2724" customFormat="false" ht="15" hidden="false" customHeight="false" outlineLevel="0" collapsed="false">
      <c r="A2724" s="33" t="n">
        <v>46309</v>
      </c>
      <c r="B2724" s="0" t="n">
        <v>13</v>
      </c>
      <c r="C2724" s="0" t="n">
        <v>7078</v>
      </c>
      <c r="E2724" s="0" t="n">
        <v>0</v>
      </c>
      <c r="F2724" s="27" t="s">
        <v>1361</v>
      </c>
      <c r="I2724" s="27" t="s">
        <v>166</v>
      </c>
      <c r="U2724" s="0" t="n">
        <v>350</v>
      </c>
      <c r="V2724" s="0" t="n">
        <v>0</v>
      </c>
      <c r="W2724" s="27" t="n">
        <f aca="false">MATCH(A2724,DATAS,0)</f>
        <v>1</v>
      </c>
      <c r="X2724" s="27" t="n">
        <f aca="false">IF(AND(E2724&gt;0,OR(AND(B2724&gt;=1,B2724&lt;=6),B2724=10)),1,0)</f>
        <v>0</v>
      </c>
      <c r="Y2724" s="27" t="n">
        <f aca="false">IF(AND(E2724&gt;0,B2724=10),1,0)</f>
        <v>0</v>
      </c>
      <c r="Z2724" s="0" t="str">
        <f aca="false">IF(AND(C2723=C2724,W2723=W2724-1),X2723,"")</f>
        <v/>
      </c>
      <c r="AA2724" s="0" t="str">
        <f aca="false">IF(AND(C2723=C2724,W2723=W2724-1),Y2723,"")</f>
        <v/>
      </c>
      <c r="AB2724" s="0" t="str">
        <f aca="false">IF(W2724=1,"",IF(AND(X2724=1,Z2724&lt;&gt;1),1,0))</f>
        <v/>
      </c>
      <c r="AC2724" s="0" t="str">
        <f aca="false">IF(W2724=1,"",IF(AND(Y2724=1,AA2724&lt;&gt;1),1,0))</f>
        <v/>
      </c>
      <c r="AD2724" s="33" t="str">
        <f aca="false">IF(AND(E2724&gt;0,W2724&lt;1,NOT(AND(C2725=C2724,W2725=W2724+1))),INDEX(DATAS,W2724+1),"")</f>
        <v/>
      </c>
      <c r="AE2724" s="33" t="str">
        <f aca="false">IF(AND(Y2724=1,W2724&lt;1),IF(AND(C2725=C2724,W2725=W2724+1),IF(Y2725=1,"",INDEX(DATAS,W2724+1)),INDEX(DATAS,W2724+1)),"")</f>
        <v/>
      </c>
    </row>
    <row r="2725" customFormat="false" ht="15" hidden="false" customHeight="false" outlineLevel="0" collapsed="false">
      <c r="A2725" s="33" t="n">
        <v>46309</v>
      </c>
      <c r="B2725" s="0" t="n">
        <v>13</v>
      </c>
      <c r="C2725" s="0" t="n">
        <v>7079</v>
      </c>
      <c r="E2725" s="0" t="n">
        <v>0</v>
      </c>
      <c r="F2725" s="27" t="s">
        <v>1361</v>
      </c>
      <c r="I2725" s="27" t="s">
        <v>166</v>
      </c>
      <c r="U2725" s="0" t="n">
        <v>350</v>
      </c>
      <c r="V2725" s="0" t="n">
        <v>0</v>
      </c>
      <c r="W2725" s="27" t="n">
        <f aca="false">MATCH(A2725,DATAS,0)</f>
        <v>1</v>
      </c>
      <c r="X2725" s="27" t="n">
        <f aca="false">IF(AND(E2725&gt;0,OR(AND(B2725&gt;=1,B2725&lt;=6),B2725=10)),1,0)</f>
        <v>0</v>
      </c>
      <c r="Y2725" s="27" t="n">
        <f aca="false">IF(AND(E2725&gt;0,B2725=10),1,0)</f>
        <v>0</v>
      </c>
      <c r="Z2725" s="0" t="str">
        <f aca="false">IF(AND(C2724=C2725,W2724=W2725-1),X2724,"")</f>
        <v/>
      </c>
      <c r="AA2725" s="0" t="str">
        <f aca="false">IF(AND(C2724=C2725,W2724=W2725-1),Y2724,"")</f>
        <v/>
      </c>
      <c r="AB2725" s="0" t="str">
        <f aca="false">IF(W2725=1,"",IF(AND(X2725=1,Z2725&lt;&gt;1),1,0))</f>
        <v/>
      </c>
      <c r="AC2725" s="0" t="str">
        <f aca="false">IF(W2725=1,"",IF(AND(Y2725=1,AA2725&lt;&gt;1),1,0))</f>
        <v/>
      </c>
      <c r="AD2725" s="33" t="str">
        <f aca="false">IF(AND(E2725&gt;0,W2725&lt;1,NOT(AND(C2726=C2725,W2726=W2725+1))),INDEX(DATAS,W2725+1),"")</f>
        <v/>
      </c>
      <c r="AE2725" s="33" t="str">
        <f aca="false">IF(AND(Y2725=1,W2725&lt;1),IF(AND(C2726=C2725,W2726=W2725+1),IF(Y2726=1,"",INDEX(DATAS,W2725+1)),INDEX(DATAS,W2725+1)),"")</f>
        <v/>
      </c>
    </row>
    <row r="2726" customFormat="false" ht="15" hidden="false" customHeight="false" outlineLevel="0" collapsed="false">
      <c r="A2726" s="33" t="n">
        <v>46309</v>
      </c>
      <c r="B2726" s="0" t="n">
        <v>13</v>
      </c>
      <c r="C2726" s="0" t="n">
        <v>7080</v>
      </c>
      <c r="E2726" s="0" t="n">
        <v>0</v>
      </c>
      <c r="F2726" s="27" t="s">
        <v>1362</v>
      </c>
      <c r="I2726" s="27" t="s">
        <v>166</v>
      </c>
      <c r="U2726" s="0" t="n">
        <v>349</v>
      </c>
      <c r="V2726" s="0" t="n">
        <v>0</v>
      </c>
      <c r="W2726" s="27" t="n">
        <f aca="false">MATCH(A2726,DATAS,0)</f>
        <v>1</v>
      </c>
      <c r="X2726" s="27" t="n">
        <f aca="false">IF(AND(E2726&gt;0,OR(AND(B2726&gt;=1,B2726&lt;=6),B2726=10)),1,0)</f>
        <v>0</v>
      </c>
      <c r="Y2726" s="27" t="n">
        <f aca="false">IF(AND(E2726&gt;0,B2726=10),1,0)</f>
        <v>0</v>
      </c>
      <c r="Z2726" s="0" t="str">
        <f aca="false">IF(AND(C2725=C2726,W2725=W2726-1),X2725,"")</f>
        <v/>
      </c>
      <c r="AA2726" s="0" t="str">
        <f aca="false">IF(AND(C2725=C2726,W2725=W2726-1),Y2725,"")</f>
        <v/>
      </c>
      <c r="AB2726" s="0" t="str">
        <f aca="false">IF(W2726=1,"",IF(AND(X2726=1,Z2726&lt;&gt;1),1,0))</f>
        <v/>
      </c>
      <c r="AC2726" s="0" t="str">
        <f aca="false">IF(W2726=1,"",IF(AND(Y2726=1,AA2726&lt;&gt;1),1,0))</f>
        <v/>
      </c>
      <c r="AD2726" s="33" t="str">
        <f aca="false">IF(AND(E2726&gt;0,W2726&lt;1,NOT(AND(C2727=C2726,W2727=W2726+1))),INDEX(DATAS,W2726+1),"")</f>
        <v/>
      </c>
      <c r="AE2726" s="33" t="str">
        <f aca="false">IF(AND(Y2726=1,W2726&lt;1),IF(AND(C2727=C2726,W2727=W2726+1),IF(Y2727=1,"",INDEX(DATAS,W2726+1)),INDEX(DATAS,W2726+1)),"")</f>
        <v/>
      </c>
    </row>
    <row r="2727" customFormat="false" ht="15" hidden="false" customHeight="false" outlineLevel="0" collapsed="false">
      <c r="A2727" s="33" t="n">
        <v>46309</v>
      </c>
      <c r="B2727" s="0" t="n">
        <v>13</v>
      </c>
      <c r="C2727" s="0" t="n">
        <v>7081</v>
      </c>
      <c r="E2727" s="0" t="n">
        <v>0</v>
      </c>
      <c r="F2727" s="27" t="s">
        <v>1363</v>
      </c>
      <c r="I2727" s="27" t="s">
        <v>166</v>
      </c>
      <c r="U2727" s="0" t="n">
        <v>348</v>
      </c>
      <c r="V2727" s="0" t="n">
        <v>0</v>
      </c>
      <c r="W2727" s="27" t="n">
        <f aca="false">MATCH(A2727,DATAS,0)</f>
        <v>1</v>
      </c>
      <c r="X2727" s="27" t="n">
        <f aca="false">IF(AND(E2727&gt;0,OR(AND(B2727&gt;=1,B2727&lt;=6),B2727=10)),1,0)</f>
        <v>0</v>
      </c>
      <c r="Y2727" s="27" t="n">
        <f aca="false">IF(AND(E2727&gt;0,B2727=10),1,0)</f>
        <v>0</v>
      </c>
      <c r="Z2727" s="0" t="str">
        <f aca="false">IF(AND(C2726=C2727,W2726=W2727-1),X2726,"")</f>
        <v/>
      </c>
      <c r="AA2727" s="0" t="str">
        <f aca="false">IF(AND(C2726=C2727,W2726=W2727-1),Y2726,"")</f>
        <v/>
      </c>
      <c r="AB2727" s="0" t="str">
        <f aca="false">IF(W2727=1,"",IF(AND(X2727=1,Z2727&lt;&gt;1),1,0))</f>
        <v/>
      </c>
      <c r="AC2727" s="0" t="str">
        <f aca="false">IF(W2727=1,"",IF(AND(Y2727=1,AA2727&lt;&gt;1),1,0))</f>
        <v/>
      </c>
      <c r="AD2727" s="33" t="str">
        <f aca="false">IF(AND(E2727&gt;0,W2727&lt;1,NOT(AND(C2728=C2727,W2728=W2727+1))),INDEX(DATAS,W2727+1),"")</f>
        <v/>
      </c>
      <c r="AE2727" s="33" t="str">
        <f aca="false">IF(AND(Y2727=1,W2727&lt;1),IF(AND(C2728=C2727,W2728=W2727+1),IF(Y2728=1,"",INDEX(DATAS,W2727+1)),INDEX(DATAS,W2727+1)),"")</f>
        <v/>
      </c>
    </row>
    <row r="2728" customFormat="false" ht="15" hidden="false" customHeight="false" outlineLevel="0" collapsed="false">
      <c r="A2728" s="33" t="n">
        <v>46309</v>
      </c>
      <c r="B2728" s="0" t="n">
        <v>13</v>
      </c>
      <c r="C2728" s="0" t="n">
        <v>7082</v>
      </c>
      <c r="E2728" s="0" t="n">
        <v>0</v>
      </c>
      <c r="F2728" s="27" t="s">
        <v>1363</v>
      </c>
      <c r="I2728" s="27" t="s">
        <v>166</v>
      </c>
      <c r="U2728" s="0" t="n">
        <v>348</v>
      </c>
      <c r="V2728" s="0" t="n">
        <v>0</v>
      </c>
      <c r="W2728" s="27" t="n">
        <f aca="false">MATCH(A2728,DATAS,0)</f>
        <v>1</v>
      </c>
      <c r="X2728" s="27" t="n">
        <f aca="false">IF(AND(E2728&gt;0,OR(AND(B2728&gt;=1,B2728&lt;=6),B2728=10)),1,0)</f>
        <v>0</v>
      </c>
      <c r="Y2728" s="27" t="n">
        <f aca="false">IF(AND(E2728&gt;0,B2728=10),1,0)</f>
        <v>0</v>
      </c>
      <c r="Z2728" s="0" t="str">
        <f aca="false">IF(AND(C2727=C2728,W2727=W2728-1),X2727,"")</f>
        <v/>
      </c>
      <c r="AA2728" s="0" t="str">
        <f aca="false">IF(AND(C2727=C2728,W2727=W2728-1),Y2727,"")</f>
        <v/>
      </c>
      <c r="AB2728" s="0" t="str">
        <f aca="false">IF(W2728=1,"",IF(AND(X2728=1,Z2728&lt;&gt;1),1,0))</f>
        <v/>
      </c>
      <c r="AC2728" s="0" t="str">
        <f aca="false">IF(W2728=1,"",IF(AND(Y2728=1,AA2728&lt;&gt;1),1,0))</f>
        <v/>
      </c>
      <c r="AD2728" s="33" t="str">
        <f aca="false">IF(AND(E2728&gt;0,W2728&lt;1,NOT(AND(C2729=C2728,W2729=W2728+1))),INDEX(DATAS,W2728+1),"")</f>
        <v/>
      </c>
      <c r="AE2728" s="33" t="str">
        <f aca="false">IF(AND(Y2728=1,W2728&lt;1),IF(AND(C2729=C2728,W2729=W2728+1),IF(Y2729=1,"",INDEX(DATAS,W2728+1)),INDEX(DATAS,W2728+1)),"")</f>
        <v/>
      </c>
    </row>
    <row r="2729" customFormat="false" ht="15" hidden="false" customHeight="false" outlineLevel="0" collapsed="false">
      <c r="A2729" s="33" t="n">
        <v>46309</v>
      </c>
      <c r="B2729" s="0" t="n">
        <v>13</v>
      </c>
      <c r="C2729" s="0" t="n">
        <v>7083</v>
      </c>
      <c r="E2729" s="0" t="n">
        <v>0</v>
      </c>
      <c r="F2729" s="27" t="s">
        <v>1363</v>
      </c>
      <c r="I2729" s="27" t="s">
        <v>166</v>
      </c>
      <c r="U2729" s="0" t="n">
        <v>348</v>
      </c>
      <c r="V2729" s="0" t="n">
        <v>0</v>
      </c>
      <c r="W2729" s="27" t="n">
        <f aca="false">MATCH(A2729,DATAS,0)</f>
        <v>1</v>
      </c>
      <c r="X2729" s="27" t="n">
        <f aca="false">IF(AND(E2729&gt;0,OR(AND(B2729&gt;=1,B2729&lt;=6),B2729=10)),1,0)</f>
        <v>0</v>
      </c>
      <c r="Y2729" s="27" t="n">
        <f aca="false">IF(AND(E2729&gt;0,B2729=10),1,0)</f>
        <v>0</v>
      </c>
      <c r="Z2729" s="0" t="str">
        <f aca="false">IF(AND(C2728=C2729,W2728=W2729-1),X2728,"")</f>
        <v/>
      </c>
      <c r="AA2729" s="0" t="str">
        <f aca="false">IF(AND(C2728=C2729,W2728=W2729-1),Y2728,"")</f>
        <v/>
      </c>
      <c r="AB2729" s="0" t="str">
        <f aca="false">IF(W2729=1,"",IF(AND(X2729=1,Z2729&lt;&gt;1),1,0))</f>
        <v/>
      </c>
      <c r="AC2729" s="0" t="str">
        <f aca="false">IF(W2729=1,"",IF(AND(Y2729=1,AA2729&lt;&gt;1),1,0))</f>
        <v/>
      </c>
      <c r="AD2729" s="33" t="str">
        <f aca="false">IF(AND(E2729&gt;0,W2729&lt;1,NOT(AND(C2730=C2729,W2730=W2729+1))),INDEX(DATAS,W2729+1),"")</f>
        <v/>
      </c>
      <c r="AE2729" s="33" t="str">
        <f aca="false">IF(AND(Y2729=1,W2729&lt;1),IF(AND(C2730=C2729,W2730=W2729+1),IF(Y2730=1,"",INDEX(DATAS,W2729+1)),INDEX(DATAS,W2729+1)),"")</f>
        <v/>
      </c>
    </row>
    <row r="2730" customFormat="false" ht="15" hidden="false" customHeight="false" outlineLevel="0" collapsed="false">
      <c r="A2730" s="33" t="n">
        <v>46309</v>
      </c>
      <c r="B2730" s="0" t="n">
        <v>13</v>
      </c>
      <c r="C2730" s="0" t="n">
        <v>7084</v>
      </c>
      <c r="E2730" s="0" t="n">
        <v>0</v>
      </c>
      <c r="F2730" s="27" t="s">
        <v>1363</v>
      </c>
      <c r="I2730" s="27" t="s">
        <v>166</v>
      </c>
      <c r="U2730" s="0" t="n">
        <v>348</v>
      </c>
      <c r="V2730" s="0" t="n">
        <v>0</v>
      </c>
      <c r="W2730" s="27" t="n">
        <f aca="false">MATCH(A2730,DATAS,0)</f>
        <v>1</v>
      </c>
      <c r="X2730" s="27" t="n">
        <f aca="false">IF(AND(E2730&gt;0,OR(AND(B2730&gt;=1,B2730&lt;=6),B2730=10)),1,0)</f>
        <v>0</v>
      </c>
      <c r="Y2730" s="27" t="n">
        <f aca="false">IF(AND(E2730&gt;0,B2730=10),1,0)</f>
        <v>0</v>
      </c>
      <c r="Z2730" s="0" t="str">
        <f aca="false">IF(AND(C2729=C2730,W2729=W2730-1),X2729,"")</f>
        <v/>
      </c>
      <c r="AA2730" s="0" t="str">
        <f aca="false">IF(AND(C2729=C2730,W2729=W2730-1),Y2729,"")</f>
        <v/>
      </c>
      <c r="AB2730" s="0" t="str">
        <f aca="false">IF(W2730=1,"",IF(AND(X2730=1,Z2730&lt;&gt;1),1,0))</f>
        <v/>
      </c>
      <c r="AC2730" s="0" t="str">
        <f aca="false">IF(W2730=1,"",IF(AND(Y2730=1,AA2730&lt;&gt;1),1,0))</f>
        <v/>
      </c>
      <c r="AD2730" s="33" t="str">
        <f aca="false">IF(AND(E2730&gt;0,W2730&lt;1,NOT(AND(C2731=C2730,W2731=W2730+1))),INDEX(DATAS,W2730+1),"")</f>
        <v/>
      </c>
      <c r="AE2730" s="33" t="str">
        <f aca="false">IF(AND(Y2730=1,W2730&lt;1),IF(AND(C2731=C2730,W2731=W2730+1),IF(Y2731=1,"",INDEX(DATAS,W2730+1)),INDEX(DATAS,W2730+1)),"")</f>
        <v/>
      </c>
    </row>
    <row r="2731" customFormat="false" ht="15" hidden="false" customHeight="false" outlineLevel="0" collapsed="false">
      <c r="A2731" s="33" t="n">
        <v>46309</v>
      </c>
      <c r="B2731" s="0" t="n">
        <v>13</v>
      </c>
      <c r="C2731" s="0" t="n">
        <v>7085</v>
      </c>
      <c r="E2731" s="0" t="n">
        <v>0</v>
      </c>
      <c r="F2731" s="27" t="s">
        <v>1364</v>
      </c>
      <c r="I2731" s="27" t="s">
        <v>166</v>
      </c>
      <c r="U2731" s="0" t="n">
        <v>347</v>
      </c>
      <c r="V2731" s="0" t="n">
        <v>0</v>
      </c>
      <c r="W2731" s="27" t="n">
        <f aca="false">MATCH(A2731,DATAS,0)</f>
        <v>1</v>
      </c>
      <c r="X2731" s="27" t="n">
        <f aca="false">IF(AND(E2731&gt;0,OR(AND(B2731&gt;=1,B2731&lt;=6),B2731=10)),1,0)</f>
        <v>0</v>
      </c>
      <c r="Y2731" s="27" t="n">
        <f aca="false">IF(AND(E2731&gt;0,B2731=10),1,0)</f>
        <v>0</v>
      </c>
      <c r="Z2731" s="0" t="str">
        <f aca="false">IF(AND(C2730=C2731,W2730=W2731-1),X2730,"")</f>
        <v/>
      </c>
      <c r="AA2731" s="0" t="str">
        <f aca="false">IF(AND(C2730=C2731,W2730=W2731-1),Y2730,"")</f>
        <v/>
      </c>
      <c r="AB2731" s="0" t="str">
        <f aca="false">IF(W2731=1,"",IF(AND(X2731=1,Z2731&lt;&gt;1),1,0))</f>
        <v/>
      </c>
      <c r="AC2731" s="0" t="str">
        <f aca="false">IF(W2731=1,"",IF(AND(Y2731=1,AA2731&lt;&gt;1),1,0))</f>
        <v/>
      </c>
      <c r="AD2731" s="33" t="str">
        <f aca="false">IF(AND(E2731&gt;0,W2731&lt;1,NOT(AND(C2732=C2731,W2732=W2731+1))),INDEX(DATAS,W2731+1),"")</f>
        <v/>
      </c>
      <c r="AE2731" s="33" t="str">
        <f aca="false">IF(AND(Y2731=1,W2731&lt;1),IF(AND(C2732=C2731,W2732=W2731+1),IF(Y2732=1,"",INDEX(DATAS,W2731+1)),INDEX(DATAS,W2731+1)),"")</f>
        <v/>
      </c>
    </row>
    <row r="2732" customFormat="false" ht="15" hidden="false" customHeight="false" outlineLevel="0" collapsed="false">
      <c r="A2732" s="33" t="n">
        <v>46309</v>
      </c>
      <c r="B2732" s="0" t="n">
        <v>13</v>
      </c>
      <c r="C2732" s="0" t="n">
        <v>7086</v>
      </c>
      <c r="E2732" s="0" t="n">
        <v>0</v>
      </c>
      <c r="F2732" s="27" t="s">
        <v>1364</v>
      </c>
      <c r="I2732" s="27" t="s">
        <v>166</v>
      </c>
      <c r="U2732" s="0" t="n">
        <v>347</v>
      </c>
      <c r="V2732" s="0" t="n">
        <v>0</v>
      </c>
      <c r="W2732" s="27" t="n">
        <f aca="false">MATCH(A2732,DATAS,0)</f>
        <v>1</v>
      </c>
      <c r="X2732" s="27" t="n">
        <f aca="false">IF(AND(E2732&gt;0,OR(AND(B2732&gt;=1,B2732&lt;=6),B2732=10)),1,0)</f>
        <v>0</v>
      </c>
      <c r="Y2732" s="27" t="n">
        <f aca="false">IF(AND(E2732&gt;0,B2732=10),1,0)</f>
        <v>0</v>
      </c>
      <c r="Z2732" s="0" t="str">
        <f aca="false">IF(AND(C2731=C2732,W2731=W2732-1),X2731,"")</f>
        <v/>
      </c>
      <c r="AA2732" s="0" t="str">
        <f aca="false">IF(AND(C2731=C2732,W2731=W2732-1),Y2731,"")</f>
        <v/>
      </c>
      <c r="AB2732" s="0" t="str">
        <f aca="false">IF(W2732=1,"",IF(AND(X2732=1,Z2732&lt;&gt;1),1,0))</f>
        <v/>
      </c>
      <c r="AC2732" s="0" t="str">
        <f aca="false">IF(W2732=1,"",IF(AND(Y2732=1,AA2732&lt;&gt;1),1,0))</f>
        <v/>
      </c>
      <c r="AD2732" s="33" t="str">
        <f aca="false">IF(AND(E2732&gt;0,W2732&lt;1,NOT(AND(C2733=C2732,W2733=W2732+1))),INDEX(DATAS,W2732+1),"")</f>
        <v/>
      </c>
      <c r="AE2732" s="33" t="str">
        <f aca="false">IF(AND(Y2732=1,W2732&lt;1),IF(AND(C2733=C2732,W2733=W2732+1),IF(Y2733=1,"",INDEX(DATAS,W2732+1)),INDEX(DATAS,W2732+1)),"")</f>
        <v/>
      </c>
    </row>
    <row r="2733" customFormat="false" ht="15" hidden="false" customHeight="false" outlineLevel="0" collapsed="false">
      <c r="A2733" s="33" t="n">
        <v>46309</v>
      </c>
      <c r="B2733" s="0" t="n">
        <v>13</v>
      </c>
      <c r="C2733" s="0" t="n">
        <v>7087</v>
      </c>
      <c r="E2733" s="0" t="n">
        <v>0</v>
      </c>
      <c r="F2733" s="27" t="s">
        <v>1364</v>
      </c>
      <c r="I2733" s="27" t="s">
        <v>166</v>
      </c>
      <c r="U2733" s="0" t="n">
        <v>347</v>
      </c>
      <c r="V2733" s="0" t="n">
        <v>0</v>
      </c>
      <c r="W2733" s="27" t="n">
        <f aca="false">MATCH(A2733,DATAS,0)</f>
        <v>1</v>
      </c>
      <c r="X2733" s="27" t="n">
        <f aca="false">IF(AND(E2733&gt;0,OR(AND(B2733&gt;=1,B2733&lt;=6),B2733=10)),1,0)</f>
        <v>0</v>
      </c>
      <c r="Y2733" s="27" t="n">
        <f aca="false">IF(AND(E2733&gt;0,B2733=10),1,0)</f>
        <v>0</v>
      </c>
      <c r="Z2733" s="0" t="str">
        <f aca="false">IF(AND(C2732=C2733,W2732=W2733-1),X2732,"")</f>
        <v/>
      </c>
      <c r="AA2733" s="0" t="str">
        <f aca="false">IF(AND(C2732=C2733,W2732=W2733-1),Y2732,"")</f>
        <v/>
      </c>
      <c r="AB2733" s="0" t="str">
        <f aca="false">IF(W2733=1,"",IF(AND(X2733=1,Z2733&lt;&gt;1),1,0))</f>
        <v/>
      </c>
      <c r="AC2733" s="0" t="str">
        <f aca="false">IF(W2733=1,"",IF(AND(Y2733=1,AA2733&lt;&gt;1),1,0))</f>
        <v/>
      </c>
      <c r="AD2733" s="33" t="str">
        <f aca="false">IF(AND(E2733&gt;0,W2733&lt;1,NOT(AND(C2734=C2733,W2734=W2733+1))),INDEX(DATAS,W2733+1),"")</f>
        <v/>
      </c>
      <c r="AE2733" s="33" t="str">
        <f aca="false">IF(AND(Y2733=1,W2733&lt;1),IF(AND(C2734=C2733,W2734=W2733+1),IF(Y2734=1,"",INDEX(DATAS,W2733+1)),INDEX(DATAS,W2733+1)),"")</f>
        <v/>
      </c>
    </row>
    <row r="2734" customFormat="false" ht="15" hidden="false" customHeight="false" outlineLevel="0" collapsed="false">
      <c r="A2734" s="33" t="n">
        <v>46309</v>
      </c>
      <c r="B2734" s="0" t="n">
        <v>13</v>
      </c>
      <c r="C2734" s="0" t="n">
        <v>7089</v>
      </c>
      <c r="E2734" s="0" t="n">
        <v>0</v>
      </c>
      <c r="F2734" s="27" t="s">
        <v>1364</v>
      </c>
      <c r="I2734" s="27" t="s">
        <v>166</v>
      </c>
      <c r="U2734" s="0" t="n">
        <v>347</v>
      </c>
      <c r="V2734" s="0" t="n">
        <v>0</v>
      </c>
      <c r="W2734" s="27" t="n">
        <f aca="false">MATCH(A2734,DATAS,0)</f>
        <v>1</v>
      </c>
      <c r="X2734" s="27" t="n">
        <f aca="false">IF(AND(E2734&gt;0,OR(AND(B2734&gt;=1,B2734&lt;=6),B2734=10)),1,0)</f>
        <v>0</v>
      </c>
      <c r="Y2734" s="27" t="n">
        <f aca="false">IF(AND(E2734&gt;0,B2734=10),1,0)</f>
        <v>0</v>
      </c>
      <c r="Z2734" s="0" t="str">
        <f aca="false">IF(AND(C2733=C2734,W2733=W2734-1),X2733,"")</f>
        <v/>
      </c>
      <c r="AA2734" s="0" t="str">
        <f aca="false">IF(AND(C2733=C2734,W2733=W2734-1),Y2733,"")</f>
        <v/>
      </c>
      <c r="AB2734" s="0" t="str">
        <f aca="false">IF(W2734=1,"",IF(AND(X2734=1,Z2734&lt;&gt;1),1,0))</f>
        <v/>
      </c>
      <c r="AC2734" s="0" t="str">
        <f aca="false">IF(W2734=1,"",IF(AND(Y2734=1,AA2734&lt;&gt;1),1,0))</f>
        <v/>
      </c>
      <c r="AD2734" s="33" t="str">
        <f aca="false">IF(AND(E2734&gt;0,W2734&lt;1,NOT(AND(C2735=C2734,W2735=W2734+1))),INDEX(DATAS,W2734+1),"")</f>
        <v/>
      </c>
      <c r="AE2734" s="33" t="str">
        <f aca="false">IF(AND(Y2734=1,W2734&lt;1),IF(AND(C2735=C2734,W2735=W2734+1),IF(Y2735=1,"",INDEX(DATAS,W2734+1)),INDEX(DATAS,W2734+1)),"")</f>
        <v/>
      </c>
    </row>
    <row r="2735" customFormat="false" ht="15" hidden="false" customHeight="false" outlineLevel="0" collapsed="false">
      <c r="A2735" s="33" t="n">
        <v>46309</v>
      </c>
      <c r="B2735" s="0" t="n">
        <v>13</v>
      </c>
      <c r="C2735" s="0" t="n">
        <v>7090</v>
      </c>
      <c r="E2735" s="0" t="n">
        <v>0</v>
      </c>
      <c r="F2735" s="27" t="s">
        <v>1364</v>
      </c>
      <c r="I2735" s="27" t="s">
        <v>166</v>
      </c>
      <c r="U2735" s="0" t="n">
        <v>347</v>
      </c>
      <c r="V2735" s="0" t="n">
        <v>0</v>
      </c>
      <c r="W2735" s="27" t="n">
        <f aca="false">MATCH(A2735,DATAS,0)</f>
        <v>1</v>
      </c>
      <c r="X2735" s="27" t="n">
        <f aca="false">IF(AND(E2735&gt;0,OR(AND(B2735&gt;=1,B2735&lt;=6),B2735=10)),1,0)</f>
        <v>0</v>
      </c>
      <c r="Y2735" s="27" t="n">
        <f aca="false">IF(AND(E2735&gt;0,B2735=10),1,0)</f>
        <v>0</v>
      </c>
      <c r="Z2735" s="0" t="str">
        <f aca="false">IF(AND(C2734=C2735,W2734=W2735-1),X2734,"")</f>
        <v/>
      </c>
      <c r="AA2735" s="0" t="str">
        <f aca="false">IF(AND(C2734=C2735,W2734=W2735-1),Y2734,"")</f>
        <v/>
      </c>
      <c r="AB2735" s="0" t="str">
        <f aca="false">IF(W2735=1,"",IF(AND(X2735=1,Z2735&lt;&gt;1),1,0))</f>
        <v/>
      </c>
      <c r="AC2735" s="0" t="str">
        <f aca="false">IF(W2735=1,"",IF(AND(Y2735=1,AA2735&lt;&gt;1),1,0))</f>
        <v/>
      </c>
      <c r="AD2735" s="33" t="str">
        <f aca="false">IF(AND(E2735&gt;0,W2735&lt;1,NOT(AND(C2736=C2735,W2736=W2735+1))),INDEX(DATAS,W2735+1),"")</f>
        <v/>
      </c>
      <c r="AE2735" s="33" t="str">
        <f aca="false">IF(AND(Y2735=1,W2735&lt;1),IF(AND(C2736=C2735,W2736=W2735+1),IF(Y2736=1,"",INDEX(DATAS,W2735+1)),INDEX(DATAS,W2735+1)),"")</f>
        <v/>
      </c>
    </row>
    <row r="2736" customFormat="false" ht="15" hidden="false" customHeight="false" outlineLevel="0" collapsed="false">
      <c r="A2736" s="33" t="n">
        <v>46309</v>
      </c>
      <c r="B2736" s="0" t="n">
        <v>13</v>
      </c>
      <c r="C2736" s="0" t="n">
        <v>7091</v>
      </c>
      <c r="E2736" s="0" t="n">
        <v>0</v>
      </c>
      <c r="F2736" s="27" t="s">
        <v>1365</v>
      </c>
      <c r="I2736" s="27" t="s">
        <v>166</v>
      </c>
      <c r="U2736" s="0" t="n">
        <v>346</v>
      </c>
      <c r="V2736" s="0" t="n">
        <v>0</v>
      </c>
      <c r="W2736" s="27" t="n">
        <f aca="false">MATCH(A2736,DATAS,0)</f>
        <v>1</v>
      </c>
      <c r="X2736" s="27" t="n">
        <f aca="false">IF(AND(E2736&gt;0,OR(AND(B2736&gt;=1,B2736&lt;=6),B2736=10)),1,0)</f>
        <v>0</v>
      </c>
      <c r="Y2736" s="27" t="n">
        <f aca="false">IF(AND(E2736&gt;0,B2736=10),1,0)</f>
        <v>0</v>
      </c>
      <c r="Z2736" s="0" t="str">
        <f aca="false">IF(AND(C2735=C2736,W2735=W2736-1),X2735,"")</f>
        <v/>
      </c>
      <c r="AA2736" s="0" t="str">
        <f aca="false">IF(AND(C2735=C2736,W2735=W2736-1),Y2735,"")</f>
        <v/>
      </c>
      <c r="AB2736" s="0" t="str">
        <f aca="false">IF(W2736=1,"",IF(AND(X2736=1,Z2736&lt;&gt;1),1,0))</f>
        <v/>
      </c>
      <c r="AC2736" s="0" t="str">
        <f aca="false">IF(W2736=1,"",IF(AND(Y2736=1,AA2736&lt;&gt;1),1,0))</f>
        <v/>
      </c>
      <c r="AD2736" s="33" t="str">
        <f aca="false">IF(AND(E2736&gt;0,W2736&lt;1,NOT(AND(C2737=C2736,W2737=W2736+1))),INDEX(DATAS,W2736+1),"")</f>
        <v/>
      </c>
      <c r="AE2736" s="33" t="str">
        <f aca="false">IF(AND(Y2736=1,W2736&lt;1),IF(AND(C2737=C2736,W2737=W2736+1),IF(Y2737=1,"",INDEX(DATAS,W2736+1)),INDEX(DATAS,W2736+1)),"")</f>
        <v/>
      </c>
    </row>
    <row r="2737" customFormat="false" ht="15" hidden="false" customHeight="false" outlineLevel="0" collapsed="false">
      <c r="A2737" s="33" t="n">
        <v>46309</v>
      </c>
      <c r="B2737" s="0" t="n">
        <v>13</v>
      </c>
      <c r="C2737" s="0" t="n">
        <v>7092</v>
      </c>
      <c r="E2737" s="0" t="n">
        <v>0</v>
      </c>
      <c r="F2737" s="27" t="s">
        <v>1365</v>
      </c>
      <c r="I2737" s="27" t="s">
        <v>166</v>
      </c>
      <c r="U2737" s="0" t="n">
        <v>346</v>
      </c>
      <c r="V2737" s="0" t="n">
        <v>0</v>
      </c>
      <c r="W2737" s="27" t="n">
        <f aca="false">MATCH(A2737,DATAS,0)</f>
        <v>1</v>
      </c>
      <c r="X2737" s="27" t="n">
        <f aca="false">IF(AND(E2737&gt;0,OR(AND(B2737&gt;=1,B2737&lt;=6),B2737=10)),1,0)</f>
        <v>0</v>
      </c>
      <c r="Y2737" s="27" t="n">
        <f aca="false">IF(AND(E2737&gt;0,B2737=10),1,0)</f>
        <v>0</v>
      </c>
      <c r="Z2737" s="0" t="str">
        <f aca="false">IF(AND(C2736=C2737,W2736=W2737-1),X2736,"")</f>
        <v/>
      </c>
      <c r="AA2737" s="0" t="str">
        <f aca="false">IF(AND(C2736=C2737,W2736=W2737-1),Y2736,"")</f>
        <v/>
      </c>
      <c r="AB2737" s="0" t="str">
        <f aca="false">IF(W2737=1,"",IF(AND(X2737=1,Z2737&lt;&gt;1),1,0))</f>
        <v/>
      </c>
      <c r="AC2737" s="0" t="str">
        <f aca="false">IF(W2737=1,"",IF(AND(Y2737=1,AA2737&lt;&gt;1),1,0))</f>
        <v/>
      </c>
      <c r="AD2737" s="33" t="str">
        <f aca="false">IF(AND(E2737&gt;0,W2737&lt;1,NOT(AND(C2738=C2737,W2738=W2737+1))),INDEX(DATAS,W2737+1),"")</f>
        <v/>
      </c>
      <c r="AE2737" s="33" t="str">
        <f aca="false">IF(AND(Y2737=1,W2737&lt;1),IF(AND(C2738=C2737,W2738=W2737+1),IF(Y2738=1,"",INDEX(DATAS,W2737+1)),INDEX(DATAS,W2737+1)),"")</f>
        <v/>
      </c>
    </row>
    <row r="2738" customFormat="false" ht="15" hidden="false" customHeight="false" outlineLevel="0" collapsed="false">
      <c r="A2738" s="33" t="n">
        <v>46309</v>
      </c>
      <c r="B2738" s="0" t="n">
        <v>13</v>
      </c>
      <c r="C2738" s="0" t="n">
        <v>7093</v>
      </c>
      <c r="E2738" s="0" t="n">
        <v>0</v>
      </c>
      <c r="F2738" s="27" t="s">
        <v>1365</v>
      </c>
      <c r="I2738" s="27" t="s">
        <v>166</v>
      </c>
      <c r="U2738" s="0" t="n">
        <v>346</v>
      </c>
      <c r="V2738" s="0" t="n">
        <v>0</v>
      </c>
      <c r="W2738" s="27" t="n">
        <f aca="false">MATCH(A2738,DATAS,0)</f>
        <v>1</v>
      </c>
      <c r="X2738" s="27" t="n">
        <f aca="false">IF(AND(E2738&gt;0,OR(AND(B2738&gt;=1,B2738&lt;=6),B2738=10)),1,0)</f>
        <v>0</v>
      </c>
      <c r="Y2738" s="27" t="n">
        <f aca="false">IF(AND(E2738&gt;0,B2738=10),1,0)</f>
        <v>0</v>
      </c>
      <c r="Z2738" s="0" t="str">
        <f aca="false">IF(AND(C2737=C2738,W2737=W2738-1),X2737,"")</f>
        <v/>
      </c>
      <c r="AA2738" s="0" t="str">
        <f aca="false">IF(AND(C2737=C2738,W2737=W2738-1),Y2737,"")</f>
        <v/>
      </c>
      <c r="AB2738" s="0" t="str">
        <f aca="false">IF(W2738=1,"",IF(AND(X2738=1,Z2738&lt;&gt;1),1,0))</f>
        <v/>
      </c>
      <c r="AC2738" s="0" t="str">
        <f aca="false">IF(W2738=1,"",IF(AND(Y2738=1,AA2738&lt;&gt;1),1,0))</f>
        <v/>
      </c>
      <c r="AD2738" s="33" t="str">
        <f aca="false">IF(AND(E2738&gt;0,W2738&lt;1,NOT(AND(C2739=C2738,W2739=W2738+1))),INDEX(DATAS,W2738+1),"")</f>
        <v/>
      </c>
      <c r="AE2738" s="33" t="str">
        <f aca="false">IF(AND(Y2738=1,W2738&lt;1),IF(AND(C2739=C2738,W2739=W2738+1),IF(Y2739=1,"",INDEX(DATAS,W2738+1)),INDEX(DATAS,W2738+1)),"")</f>
        <v/>
      </c>
    </row>
    <row r="2739" customFormat="false" ht="15" hidden="false" customHeight="false" outlineLevel="0" collapsed="false">
      <c r="A2739" s="33" t="n">
        <v>46309</v>
      </c>
      <c r="B2739" s="0" t="n">
        <v>13</v>
      </c>
      <c r="C2739" s="0" t="n">
        <v>7094</v>
      </c>
      <c r="E2739" s="0" t="n">
        <v>0</v>
      </c>
      <c r="F2739" s="27" t="s">
        <v>1365</v>
      </c>
      <c r="I2739" s="27" t="s">
        <v>166</v>
      </c>
      <c r="U2739" s="0" t="n">
        <v>346</v>
      </c>
      <c r="V2739" s="0" t="n">
        <v>0</v>
      </c>
      <c r="W2739" s="27" t="n">
        <f aca="false">MATCH(A2739,DATAS,0)</f>
        <v>1</v>
      </c>
      <c r="X2739" s="27" t="n">
        <f aca="false">IF(AND(E2739&gt;0,OR(AND(B2739&gt;=1,B2739&lt;=6),B2739=10)),1,0)</f>
        <v>0</v>
      </c>
      <c r="Y2739" s="27" t="n">
        <f aca="false">IF(AND(E2739&gt;0,B2739=10),1,0)</f>
        <v>0</v>
      </c>
      <c r="Z2739" s="0" t="str">
        <f aca="false">IF(AND(C2738=C2739,W2738=W2739-1),X2738,"")</f>
        <v/>
      </c>
      <c r="AA2739" s="0" t="str">
        <f aca="false">IF(AND(C2738=C2739,W2738=W2739-1),Y2738,"")</f>
        <v/>
      </c>
      <c r="AB2739" s="0" t="str">
        <f aca="false">IF(W2739=1,"",IF(AND(X2739=1,Z2739&lt;&gt;1),1,0))</f>
        <v/>
      </c>
      <c r="AC2739" s="0" t="str">
        <f aca="false">IF(W2739=1,"",IF(AND(Y2739=1,AA2739&lt;&gt;1),1,0))</f>
        <v/>
      </c>
      <c r="AD2739" s="33" t="str">
        <f aca="false">IF(AND(E2739&gt;0,W2739&lt;1,NOT(AND(C2740=C2739,W2740=W2739+1))),INDEX(DATAS,W2739+1),"")</f>
        <v/>
      </c>
      <c r="AE2739" s="33" t="str">
        <f aca="false">IF(AND(Y2739=1,W2739&lt;1),IF(AND(C2740=C2739,W2740=W2739+1),IF(Y2740=1,"",INDEX(DATAS,W2739+1)),INDEX(DATAS,W2739+1)),"")</f>
        <v/>
      </c>
    </row>
    <row r="2740" customFormat="false" ht="15" hidden="false" customHeight="false" outlineLevel="0" collapsed="false">
      <c r="A2740" s="33" t="n">
        <v>46309</v>
      </c>
      <c r="B2740" s="0" t="n">
        <v>13</v>
      </c>
      <c r="C2740" s="0" t="n">
        <v>7095</v>
      </c>
      <c r="E2740" s="0" t="n">
        <v>0</v>
      </c>
      <c r="F2740" s="27" t="s">
        <v>1365</v>
      </c>
      <c r="I2740" s="27" t="s">
        <v>166</v>
      </c>
      <c r="U2740" s="0" t="n">
        <v>346</v>
      </c>
      <c r="V2740" s="0" t="n">
        <v>0</v>
      </c>
      <c r="W2740" s="27" t="n">
        <f aca="false">MATCH(A2740,DATAS,0)</f>
        <v>1</v>
      </c>
      <c r="X2740" s="27" t="n">
        <f aca="false">IF(AND(E2740&gt;0,OR(AND(B2740&gt;=1,B2740&lt;=6),B2740=10)),1,0)</f>
        <v>0</v>
      </c>
      <c r="Y2740" s="27" t="n">
        <f aca="false">IF(AND(E2740&gt;0,B2740=10),1,0)</f>
        <v>0</v>
      </c>
      <c r="Z2740" s="0" t="str">
        <f aca="false">IF(AND(C2739=C2740,W2739=W2740-1),X2739,"")</f>
        <v/>
      </c>
      <c r="AA2740" s="0" t="str">
        <f aca="false">IF(AND(C2739=C2740,W2739=W2740-1),Y2739,"")</f>
        <v/>
      </c>
      <c r="AB2740" s="0" t="str">
        <f aca="false">IF(W2740=1,"",IF(AND(X2740=1,Z2740&lt;&gt;1),1,0))</f>
        <v/>
      </c>
      <c r="AC2740" s="0" t="str">
        <f aca="false">IF(W2740=1,"",IF(AND(Y2740=1,AA2740&lt;&gt;1),1,0))</f>
        <v/>
      </c>
      <c r="AD2740" s="33" t="str">
        <f aca="false">IF(AND(E2740&gt;0,W2740&lt;1,NOT(AND(C2741=C2740,W2741=W2740+1))),INDEX(DATAS,W2740+1),"")</f>
        <v/>
      </c>
      <c r="AE2740" s="33" t="str">
        <f aca="false">IF(AND(Y2740=1,W2740&lt;1),IF(AND(C2741=C2740,W2741=W2740+1),IF(Y2741=1,"",INDEX(DATAS,W2740+1)),INDEX(DATAS,W2740+1)),"")</f>
        <v/>
      </c>
    </row>
    <row r="2741" customFormat="false" ht="15" hidden="false" customHeight="false" outlineLevel="0" collapsed="false">
      <c r="A2741" s="33" t="n">
        <v>46309</v>
      </c>
      <c r="B2741" s="0" t="n">
        <v>13</v>
      </c>
      <c r="C2741" s="0" t="n">
        <v>7096</v>
      </c>
      <c r="E2741" s="0" t="n">
        <v>0</v>
      </c>
      <c r="F2741" s="27" t="s">
        <v>1365</v>
      </c>
      <c r="I2741" s="27" t="s">
        <v>166</v>
      </c>
      <c r="U2741" s="0" t="n">
        <v>346</v>
      </c>
      <c r="V2741" s="0" t="n">
        <v>0</v>
      </c>
      <c r="W2741" s="27" t="n">
        <f aca="false">MATCH(A2741,DATAS,0)</f>
        <v>1</v>
      </c>
      <c r="X2741" s="27" t="n">
        <f aca="false">IF(AND(E2741&gt;0,OR(AND(B2741&gt;=1,B2741&lt;=6),B2741=10)),1,0)</f>
        <v>0</v>
      </c>
      <c r="Y2741" s="27" t="n">
        <f aca="false">IF(AND(E2741&gt;0,B2741=10),1,0)</f>
        <v>0</v>
      </c>
      <c r="Z2741" s="0" t="str">
        <f aca="false">IF(AND(C2740=C2741,W2740=W2741-1),X2740,"")</f>
        <v/>
      </c>
      <c r="AA2741" s="0" t="str">
        <f aca="false">IF(AND(C2740=C2741,W2740=W2741-1),Y2740,"")</f>
        <v/>
      </c>
      <c r="AB2741" s="0" t="str">
        <f aca="false">IF(W2741=1,"",IF(AND(X2741=1,Z2741&lt;&gt;1),1,0))</f>
        <v/>
      </c>
      <c r="AC2741" s="0" t="str">
        <f aca="false">IF(W2741=1,"",IF(AND(Y2741=1,AA2741&lt;&gt;1),1,0))</f>
        <v/>
      </c>
      <c r="AD2741" s="33" t="str">
        <f aca="false">IF(AND(E2741&gt;0,W2741&lt;1,NOT(AND(C2742=C2741,W2742=W2741+1))),INDEX(DATAS,W2741+1),"")</f>
        <v/>
      </c>
      <c r="AE2741" s="33" t="str">
        <f aca="false">IF(AND(Y2741=1,W2741&lt;1),IF(AND(C2742=C2741,W2742=W2741+1),IF(Y2742=1,"",INDEX(DATAS,W2741+1)),INDEX(DATAS,W2741+1)),"")</f>
        <v/>
      </c>
    </row>
    <row r="2742" customFormat="false" ht="15" hidden="false" customHeight="false" outlineLevel="0" collapsed="false">
      <c r="A2742" s="33" t="n">
        <v>46309</v>
      </c>
      <c r="B2742" s="0" t="n">
        <v>13</v>
      </c>
      <c r="C2742" s="0" t="n">
        <v>7097</v>
      </c>
      <c r="E2742" s="0" t="n">
        <v>0</v>
      </c>
      <c r="F2742" s="27" t="s">
        <v>1365</v>
      </c>
      <c r="I2742" s="27" t="s">
        <v>166</v>
      </c>
      <c r="U2742" s="0" t="n">
        <v>346</v>
      </c>
      <c r="V2742" s="0" t="n">
        <v>0</v>
      </c>
      <c r="W2742" s="27" t="n">
        <f aca="false">MATCH(A2742,DATAS,0)</f>
        <v>1</v>
      </c>
      <c r="X2742" s="27" t="n">
        <f aca="false">IF(AND(E2742&gt;0,OR(AND(B2742&gt;=1,B2742&lt;=6),B2742=10)),1,0)</f>
        <v>0</v>
      </c>
      <c r="Y2742" s="27" t="n">
        <f aca="false">IF(AND(E2742&gt;0,B2742=10),1,0)</f>
        <v>0</v>
      </c>
      <c r="Z2742" s="0" t="str">
        <f aca="false">IF(AND(C2741=C2742,W2741=W2742-1),X2741,"")</f>
        <v/>
      </c>
      <c r="AA2742" s="0" t="str">
        <f aca="false">IF(AND(C2741=C2742,W2741=W2742-1),Y2741,"")</f>
        <v/>
      </c>
      <c r="AB2742" s="0" t="str">
        <f aca="false">IF(W2742=1,"",IF(AND(X2742=1,Z2742&lt;&gt;1),1,0))</f>
        <v/>
      </c>
      <c r="AC2742" s="0" t="str">
        <f aca="false">IF(W2742=1,"",IF(AND(Y2742=1,AA2742&lt;&gt;1),1,0))</f>
        <v/>
      </c>
      <c r="AD2742" s="33" t="str">
        <f aca="false">IF(AND(E2742&gt;0,W2742&lt;1,NOT(AND(C2743=C2742,W2743=W2742+1))),INDEX(DATAS,W2742+1),"")</f>
        <v/>
      </c>
      <c r="AE2742" s="33" t="str">
        <f aca="false">IF(AND(Y2742=1,W2742&lt;1),IF(AND(C2743=C2742,W2743=W2742+1),IF(Y2743=1,"",INDEX(DATAS,W2742+1)),INDEX(DATAS,W2742+1)),"")</f>
        <v/>
      </c>
    </row>
    <row r="2743" customFormat="false" ht="15" hidden="false" customHeight="false" outlineLevel="0" collapsed="false">
      <c r="A2743" s="33" t="n">
        <v>46309</v>
      </c>
      <c r="B2743" s="0" t="n">
        <v>13</v>
      </c>
      <c r="C2743" s="0" t="n">
        <v>7099</v>
      </c>
      <c r="E2743" s="0" t="n">
        <v>0</v>
      </c>
      <c r="F2743" s="27" t="s">
        <v>1366</v>
      </c>
      <c r="I2743" s="27" t="s">
        <v>166</v>
      </c>
      <c r="U2743" s="0" t="n">
        <v>345</v>
      </c>
      <c r="V2743" s="0" t="n">
        <v>0</v>
      </c>
      <c r="W2743" s="27" t="n">
        <f aca="false">MATCH(A2743,DATAS,0)</f>
        <v>1</v>
      </c>
      <c r="X2743" s="27" t="n">
        <f aca="false">IF(AND(E2743&gt;0,OR(AND(B2743&gt;=1,B2743&lt;=6),B2743=10)),1,0)</f>
        <v>0</v>
      </c>
      <c r="Y2743" s="27" t="n">
        <f aca="false">IF(AND(E2743&gt;0,B2743=10),1,0)</f>
        <v>0</v>
      </c>
      <c r="Z2743" s="0" t="str">
        <f aca="false">IF(AND(C2742=C2743,W2742=W2743-1),X2742,"")</f>
        <v/>
      </c>
      <c r="AA2743" s="0" t="str">
        <f aca="false">IF(AND(C2742=C2743,W2742=W2743-1),Y2742,"")</f>
        <v/>
      </c>
      <c r="AB2743" s="0" t="str">
        <f aca="false">IF(W2743=1,"",IF(AND(X2743=1,Z2743&lt;&gt;1),1,0))</f>
        <v/>
      </c>
      <c r="AC2743" s="0" t="str">
        <f aca="false">IF(W2743=1,"",IF(AND(Y2743=1,AA2743&lt;&gt;1),1,0))</f>
        <v/>
      </c>
      <c r="AD2743" s="33" t="str">
        <f aca="false">IF(AND(E2743&gt;0,W2743&lt;1,NOT(AND(C2744=C2743,W2744=W2743+1))),INDEX(DATAS,W2743+1),"")</f>
        <v/>
      </c>
      <c r="AE2743" s="33" t="str">
        <f aca="false">IF(AND(Y2743=1,W2743&lt;1),IF(AND(C2744=C2743,W2744=W2743+1),IF(Y2744=1,"",INDEX(DATAS,W2743+1)),INDEX(DATAS,W2743+1)),"")</f>
        <v/>
      </c>
    </row>
    <row r="2744" customFormat="false" ht="15" hidden="false" customHeight="false" outlineLevel="0" collapsed="false">
      <c r="A2744" s="33" t="n">
        <v>46309</v>
      </c>
      <c r="B2744" s="0" t="n">
        <v>13</v>
      </c>
      <c r="C2744" s="0" t="n">
        <v>7100</v>
      </c>
      <c r="E2744" s="0" t="n">
        <v>0</v>
      </c>
      <c r="F2744" s="27" t="s">
        <v>1366</v>
      </c>
      <c r="I2744" s="27" t="s">
        <v>166</v>
      </c>
      <c r="U2744" s="0" t="n">
        <v>345</v>
      </c>
      <c r="V2744" s="0" t="n">
        <v>0</v>
      </c>
      <c r="W2744" s="27" t="n">
        <f aca="false">MATCH(A2744,DATAS,0)</f>
        <v>1</v>
      </c>
      <c r="X2744" s="27" t="n">
        <f aca="false">IF(AND(E2744&gt;0,OR(AND(B2744&gt;=1,B2744&lt;=6),B2744=10)),1,0)</f>
        <v>0</v>
      </c>
      <c r="Y2744" s="27" t="n">
        <f aca="false">IF(AND(E2744&gt;0,B2744=10),1,0)</f>
        <v>0</v>
      </c>
      <c r="Z2744" s="0" t="str">
        <f aca="false">IF(AND(C2743=C2744,W2743=W2744-1),X2743,"")</f>
        <v/>
      </c>
      <c r="AA2744" s="0" t="str">
        <f aca="false">IF(AND(C2743=C2744,W2743=W2744-1),Y2743,"")</f>
        <v/>
      </c>
      <c r="AB2744" s="0" t="str">
        <f aca="false">IF(W2744=1,"",IF(AND(X2744=1,Z2744&lt;&gt;1),1,0))</f>
        <v/>
      </c>
      <c r="AC2744" s="0" t="str">
        <f aca="false">IF(W2744=1,"",IF(AND(Y2744=1,AA2744&lt;&gt;1),1,0))</f>
        <v/>
      </c>
      <c r="AD2744" s="33" t="str">
        <f aca="false">IF(AND(E2744&gt;0,W2744&lt;1,NOT(AND(C2745=C2744,W2745=W2744+1))),INDEX(DATAS,W2744+1),"")</f>
        <v/>
      </c>
      <c r="AE2744" s="33" t="str">
        <f aca="false">IF(AND(Y2744=1,W2744&lt;1),IF(AND(C2745=C2744,W2745=W2744+1),IF(Y2745=1,"",INDEX(DATAS,W2744+1)),INDEX(DATAS,W2744+1)),"")</f>
        <v/>
      </c>
    </row>
    <row r="2745" customFormat="false" ht="15" hidden="false" customHeight="false" outlineLevel="0" collapsed="false">
      <c r="A2745" s="33" t="n">
        <v>46309</v>
      </c>
      <c r="B2745" s="0" t="n">
        <v>13</v>
      </c>
      <c r="C2745" s="0" t="n">
        <v>7101</v>
      </c>
      <c r="E2745" s="0" t="n">
        <v>0</v>
      </c>
      <c r="F2745" s="27" t="s">
        <v>1366</v>
      </c>
      <c r="I2745" s="27" t="s">
        <v>166</v>
      </c>
      <c r="U2745" s="0" t="n">
        <v>345</v>
      </c>
      <c r="V2745" s="0" t="n">
        <v>0</v>
      </c>
      <c r="W2745" s="27" t="n">
        <f aca="false">MATCH(A2745,DATAS,0)</f>
        <v>1</v>
      </c>
      <c r="X2745" s="27" t="n">
        <f aca="false">IF(AND(E2745&gt;0,OR(AND(B2745&gt;=1,B2745&lt;=6),B2745=10)),1,0)</f>
        <v>0</v>
      </c>
      <c r="Y2745" s="27" t="n">
        <f aca="false">IF(AND(E2745&gt;0,B2745=10),1,0)</f>
        <v>0</v>
      </c>
      <c r="Z2745" s="0" t="str">
        <f aca="false">IF(AND(C2744=C2745,W2744=W2745-1),X2744,"")</f>
        <v/>
      </c>
      <c r="AA2745" s="0" t="str">
        <f aca="false">IF(AND(C2744=C2745,W2744=W2745-1),Y2744,"")</f>
        <v/>
      </c>
      <c r="AB2745" s="0" t="str">
        <f aca="false">IF(W2745=1,"",IF(AND(X2745=1,Z2745&lt;&gt;1),1,0))</f>
        <v/>
      </c>
      <c r="AC2745" s="0" t="str">
        <f aca="false">IF(W2745=1,"",IF(AND(Y2745=1,AA2745&lt;&gt;1),1,0))</f>
        <v/>
      </c>
      <c r="AD2745" s="33" t="str">
        <f aca="false">IF(AND(E2745&gt;0,W2745&lt;1,NOT(AND(C2746=C2745,W2746=W2745+1))),INDEX(DATAS,W2745+1),"")</f>
        <v/>
      </c>
      <c r="AE2745" s="33" t="str">
        <f aca="false">IF(AND(Y2745=1,W2745&lt;1),IF(AND(C2746=C2745,W2746=W2745+1),IF(Y2746=1,"",INDEX(DATAS,W2745+1)),INDEX(DATAS,W2745+1)),"")</f>
        <v/>
      </c>
    </row>
    <row r="2746" customFormat="false" ht="15" hidden="false" customHeight="false" outlineLevel="0" collapsed="false">
      <c r="A2746" s="33" t="n">
        <v>46309</v>
      </c>
      <c r="B2746" s="0" t="n">
        <v>13</v>
      </c>
      <c r="C2746" s="0" t="n">
        <v>7102</v>
      </c>
      <c r="E2746" s="0" t="n">
        <v>0</v>
      </c>
      <c r="F2746" s="27" t="s">
        <v>1366</v>
      </c>
      <c r="I2746" s="27" t="s">
        <v>166</v>
      </c>
      <c r="U2746" s="0" t="n">
        <v>345</v>
      </c>
      <c r="V2746" s="0" t="n">
        <v>0</v>
      </c>
      <c r="W2746" s="27" t="n">
        <f aca="false">MATCH(A2746,DATAS,0)</f>
        <v>1</v>
      </c>
      <c r="X2746" s="27" t="n">
        <f aca="false">IF(AND(E2746&gt;0,OR(AND(B2746&gt;=1,B2746&lt;=6),B2746=10)),1,0)</f>
        <v>0</v>
      </c>
      <c r="Y2746" s="27" t="n">
        <f aca="false">IF(AND(E2746&gt;0,B2746=10),1,0)</f>
        <v>0</v>
      </c>
      <c r="Z2746" s="0" t="str">
        <f aca="false">IF(AND(C2745=C2746,W2745=W2746-1),X2745,"")</f>
        <v/>
      </c>
      <c r="AA2746" s="0" t="str">
        <f aca="false">IF(AND(C2745=C2746,W2745=W2746-1),Y2745,"")</f>
        <v/>
      </c>
      <c r="AB2746" s="0" t="str">
        <f aca="false">IF(W2746=1,"",IF(AND(X2746=1,Z2746&lt;&gt;1),1,0))</f>
        <v/>
      </c>
      <c r="AC2746" s="0" t="str">
        <f aca="false">IF(W2746=1,"",IF(AND(Y2746=1,AA2746&lt;&gt;1),1,0))</f>
        <v/>
      </c>
      <c r="AD2746" s="33" t="str">
        <f aca="false">IF(AND(E2746&gt;0,W2746&lt;1,NOT(AND(C2747=C2746,W2747=W2746+1))),INDEX(DATAS,W2746+1),"")</f>
        <v/>
      </c>
      <c r="AE2746" s="33" t="str">
        <f aca="false">IF(AND(Y2746=1,W2746&lt;1),IF(AND(C2747=C2746,W2747=W2746+1),IF(Y2747=1,"",INDEX(DATAS,W2746+1)),INDEX(DATAS,W2746+1)),"")</f>
        <v/>
      </c>
    </row>
    <row r="2747" customFormat="false" ht="15" hidden="false" customHeight="false" outlineLevel="0" collapsed="false">
      <c r="A2747" s="33" t="n">
        <v>46309</v>
      </c>
      <c r="B2747" s="0" t="n">
        <v>13</v>
      </c>
      <c r="C2747" s="0" t="n">
        <v>7103</v>
      </c>
      <c r="E2747" s="0" t="n">
        <v>0</v>
      </c>
      <c r="F2747" s="27" t="s">
        <v>1367</v>
      </c>
      <c r="I2747" s="27" t="s">
        <v>166</v>
      </c>
      <c r="U2747" s="0" t="n">
        <v>344</v>
      </c>
      <c r="V2747" s="0" t="n">
        <v>0</v>
      </c>
      <c r="W2747" s="27" t="n">
        <f aca="false">MATCH(A2747,DATAS,0)</f>
        <v>1</v>
      </c>
      <c r="X2747" s="27" t="n">
        <f aca="false">IF(AND(E2747&gt;0,OR(AND(B2747&gt;=1,B2747&lt;=6),B2747=10)),1,0)</f>
        <v>0</v>
      </c>
      <c r="Y2747" s="27" t="n">
        <f aca="false">IF(AND(E2747&gt;0,B2747=10),1,0)</f>
        <v>0</v>
      </c>
      <c r="Z2747" s="0" t="str">
        <f aca="false">IF(AND(C2746=C2747,W2746=W2747-1),X2746,"")</f>
        <v/>
      </c>
      <c r="AA2747" s="0" t="str">
        <f aca="false">IF(AND(C2746=C2747,W2746=W2747-1),Y2746,"")</f>
        <v/>
      </c>
      <c r="AB2747" s="0" t="str">
        <f aca="false">IF(W2747=1,"",IF(AND(X2747=1,Z2747&lt;&gt;1),1,0))</f>
        <v/>
      </c>
      <c r="AC2747" s="0" t="str">
        <f aca="false">IF(W2747=1,"",IF(AND(Y2747=1,AA2747&lt;&gt;1),1,0))</f>
        <v/>
      </c>
      <c r="AD2747" s="33" t="str">
        <f aca="false">IF(AND(E2747&gt;0,W2747&lt;1,NOT(AND(C2748=C2747,W2748=W2747+1))),INDEX(DATAS,W2747+1),"")</f>
        <v/>
      </c>
      <c r="AE2747" s="33" t="str">
        <f aca="false">IF(AND(Y2747=1,W2747&lt;1),IF(AND(C2748=C2747,W2748=W2747+1),IF(Y2748=1,"",INDEX(DATAS,W2747+1)),INDEX(DATAS,W2747+1)),"")</f>
        <v/>
      </c>
    </row>
    <row r="2748" customFormat="false" ht="15" hidden="false" customHeight="false" outlineLevel="0" collapsed="false">
      <c r="A2748" s="33" t="n">
        <v>46309</v>
      </c>
      <c r="B2748" s="0" t="n">
        <v>13</v>
      </c>
      <c r="C2748" s="0" t="n">
        <v>7104</v>
      </c>
      <c r="E2748" s="0" t="n">
        <v>0</v>
      </c>
      <c r="F2748" s="27" t="s">
        <v>1367</v>
      </c>
      <c r="I2748" s="27" t="s">
        <v>166</v>
      </c>
      <c r="U2748" s="0" t="n">
        <v>344</v>
      </c>
      <c r="V2748" s="0" t="n">
        <v>0</v>
      </c>
      <c r="W2748" s="27" t="n">
        <f aca="false">MATCH(A2748,DATAS,0)</f>
        <v>1</v>
      </c>
      <c r="X2748" s="27" t="n">
        <f aca="false">IF(AND(E2748&gt;0,OR(AND(B2748&gt;=1,B2748&lt;=6),B2748=10)),1,0)</f>
        <v>0</v>
      </c>
      <c r="Y2748" s="27" t="n">
        <f aca="false">IF(AND(E2748&gt;0,B2748=10),1,0)</f>
        <v>0</v>
      </c>
      <c r="Z2748" s="0" t="str">
        <f aca="false">IF(AND(C2747=C2748,W2747=W2748-1),X2747,"")</f>
        <v/>
      </c>
      <c r="AA2748" s="0" t="str">
        <f aca="false">IF(AND(C2747=C2748,W2747=W2748-1),Y2747,"")</f>
        <v/>
      </c>
      <c r="AB2748" s="0" t="str">
        <f aca="false">IF(W2748=1,"",IF(AND(X2748=1,Z2748&lt;&gt;1),1,0))</f>
        <v/>
      </c>
      <c r="AC2748" s="0" t="str">
        <f aca="false">IF(W2748=1,"",IF(AND(Y2748=1,AA2748&lt;&gt;1),1,0))</f>
        <v/>
      </c>
      <c r="AD2748" s="33" t="str">
        <f aca="false">IF(AND(E2748&gt;0,W2748&lt;1,NOT(AND(C2749=C2748,W2749=W2748+1))),INDEX(DATAS,W2748+1),"")</f>
        <v/>
      </c>
      <c r="AE2748" s="33" t="str">
        <f aca="false">IF(AND(Y2748=1,W2748&lt;1),IF(AND(C2749=C2748,W2749=W2748+1),IF(Y2749=1,"",INDEX(DATAS,W2748+1)),INDEX(DATAS,W2748+1)),"")</f>
        <v/>
      </c>
    </row>
    <row r="2749" customFormat="false" ht="15" hidden="false" customHeight="false" outlineLevel="0" collapsed="false">
      <c r="A2749" s="33" t="n">
        <v>46309</v>
      </c>
      <c r="B2749" s="0" t="n">
        <v>13</v>
      </c>
      <c r="C2749" s="0" t="n">
        <v>7105</v>
      </c>
      <c r="E2749" s="0" t="n">
        <v>0</v>
      </c>
      <c r="F2749" s="27" t="s">
        <v>1368</v>
      </c>
      <c r="I2749" s="27" t="s">
        <v>166</v>
      </c>
      <c r="U2749" s="0" t="n">
        <v>343</v>
      </c>
      <c r="V2749" s="0" t="n">
        <v>0</v>
      </c>
      <c r="W2749" s="27" t="n">
        <f aca="false">MATCH(A2749,DATAS,0)</f>
        <v>1</v>
      </c>
      <c r="X2749" s="27" t="n">
        <f aca="false">IF(AND(E2749&gt;0,OR(AND(B2749&gt;=1,B2749&lt;=6),B2749=10)),1,0)</f>
        <v>0</v>
      </c>
      <c r="Y2749" s="27" t="n">
        <f aca="false">IF(AND(E2749&gt;0,B2749=10),1,0)</f>
        <v>0</v>
      </c>
      <c r="Z2749" s="0" t="str">
        <f aca="false">IF(AND(C2748=C2749,W2748=W2749-1),X2748,"")</f>
        <v/>
      </c>
      <c r="AA2749" s="0" t="str">
        <f aca="false">IF(AND(C2748=C2749,W2748=W2749-1),Y2748,"")</f>
        <v/>
      </c>
      <c r="AB2749" s="0" t="str">
        <f aca="false">IF(W2749=1,"",IF(AND(X2749=1,Z2749&lt;&gt;1),1,0))</f>
        <v/>
      </c>
      <c r="AC2749" s="0" t="str">
        <f aca="false">IF(W2749=1,"",IF(AND(Y2749=1,AA2749&lt;&gt;1),1,0))</f>
        <v/>
      </c>
      <c r="AD2749" s="33" t="str">
        <f aca="false">IF(AND(E2749&gt;0,W2749&lt;1,NOT(AND(C2750=C2749,W2750=W2749+1))),INDEX(DATAS,W2749+1),"")</f>
        <v/>
      </c>
      <c r="AE2749" s="33" t="str">
        <f aca="false">IF(AND(Y2749=1,W2749&lt;1),IF(AND(C2750=C2749,W2750=W2749+1),IF(Y2750=1,"",INDEX(DATAS,W2749+1)),INDEX(DATAS,W2749+1)),"")</f>
        <v/>
      </c>
    </row>
    <row r="2750" customFormat="false" ht="15" hidden="false" customHeight="false" outlineLevel="0" collapsed="false">
      <c r="A2750" s="33" t="n">
        <v>46309</v>
      </c>
      <c r="B2750" s="0" t="n">
        <v>13</v>
      </c>
      <c r="C2750" s="0" t="n">
        <v>7106</v>
      </c>
      <c r="E2750" s="0" t="n">
        <v>0</v>
      </c>
      <c r="F2750" s="27" t="s">
        <v>1368</v>
      </c>
      <c r="I2750" s="27" t="s">
        <v>166</v>
      </c>
      <c r="U2750" s="0" t="n">
        <v>343</v>
      </c>
      <c r="V2750" s="0" t="n">
        <v>0</v>
      </c>
      <c r="W2750" s="27" t="n">
        <f aca="false">MATCH(A2750,DATAS,0)</f>
        <v>1</v>
      </c>
      <c r="X2750" s="27" t="n">
        <f aca="false">IF(AND(E2750&gt;0,OR(AND(B2750&gt;=1,B2750&lt;=6),B2750=10)),1,0)</f>
        <v>0</v>
      </c>
      <c r="Y2750" s="27" t="n">
        <f aca="false">IF(AND(E2750&gt;0,B2750=10),1,0)</f>
        <v>0</v>
      </c>
      <c r="Z2750" s="0" t="str">
        <f aca="false">IF(AND(C2749=C2750,W2749=W2750-1),X2749,"")</f>
        <v/>
      </c>
      <c r="AA2750" s="0" t="str">
        <f aca="false">IF(AND(C2749=C2750,W2749=W2750-1),Y2749,"")</f>
        <v/>
      </c>
      <c r="AB2750" s="0" t="str">
        <f aca="false">IF(W2750=1,"",IF(AND(X2750=1,Z2750&lt;&gt;1),1,0))</f>
        <v/>
      </c>
      <c r="AC2750" s="0" t="str">
        <f aca="false">IF(W2750=1,"",IF(AND(Y2750=1,AA2750&lt;&gt;1),1,0))</f>
        <v/>
      </c>
      <c r="AD2750" s="33" t="str">
        <f aca="false">IF(AND(E2750&gt;0,W2750&lt;1,NOT(AND(C2751=C2750,W2751=W2750+1))),INDEX(DATAS,W2750+1),"")</f>
        <v/>
      </c>
      <c r="AE2750" s="33" t="str">
        <f aca="false">IF(AND(Y2750=1,W2750&lt;1),IF(AND(C2751=C2750,W2751=W2750+1),IF(Y2751=1,"",INDEX(DATAS,W2750+1)),INDEX(DATAS,W2750+1)),"")</f>
        <v/>
      </c>
    </row>
    <row r="2751" customFormat="false" ht="15" hidden="false" customHeight="false" outlineLevel="0" collapsed="false">
      <c r="A2751" s="33" t="n">
        <v>46309</v>
      </c>
      <c r="B2751" s="0" t="n">
        <v>13</v>
      </c>
      <c r="C2751" s="0" t="n">
        <v>7107</v>
      </c>
      <c r="E2751" s="0" t="n">
        <v>0</v>
      </c>
      <c r="F2751" s="27" t="s">
        <v>1369</v>
      </c>
      <c r="I2751" s="27" t="s">
        <v>166</v>
      </c>
      <c r="U2751" s="0" t="n">
        <v>342</v>
      </c>
      <c r="V2751" s="0" t="n">
        <v>0</v>
      </c>
      <c r="W2751" s="27" t="n">
        <f aca="false">MATCH(A2751,DATAS,0)</f>
        <v>1</v>
      </c>
      <c r="X2751" s="27" t="n">
        <f aca="false">IF(AND(E2751&gt;0,OR(AND(B2751&gt;=1,B2751&lt;=6),B2751=10)),1,0)</f>
        <v>0</v>
      </c>
      <c r="Y2751" s="27" t="n">
        <f aca="false">IF(AND(E2751&gt;0,B2751=10),1,0)</f>
        <v>0</v>
      </c>
      <c r="Z2751" s="0" t="str">
        <f aca="false">IF(AND(C2750=C2751,W2750=W2751-1),X2750,"")</f>
        <v/>
      </c>
      <c r="AA2751" s="0" t="str">
        <f aca="false">IF(AND(C2750=C2751,W2750=W2751-1),Y2750,"")</f>
        <v/>
      </c>
      <c r="AB2751" s="0" t="str">
        <f aca="false">IF(W2751=1,"",IF(AND(X2751=1,Z2751&lt;&gt;1),1,0))</f>
        <v/>
      </c>
      <c r="AC2751" s="0" t="str">
        <f aca="false">IF(W2751=1,"",IF(AND(Y2751=1,AA2751&lt;&gt;1),1,0))</f>
        <v/>
      </c>
      <c r="AD2751" s="33" t="str">
        <f aca="false">IF(AND(E2751&gt;0,W2751&lt;1,NOT(AND(C2752=C2751,W2752=W2751+1))),INDEX(DATAS,W2751+1),"")</f>
        <v/>
      </c>
      <c r="AE2751" s="33" t="str">
        <f aca="false">IF(AND(Y2751=1,W2751&lt;1),IF(AND(C2752=C2751,W2752=W2751+1),IF(Y2752=1,"",INDEX(DATAS,W2751+1)),INDEX(DATAS,W2751+1)),"")</f>
        <v/>
      </c>
    </row>
    <row r="2752" customFormat="false" ht="15" hidden="false" customHeight="false" outlineLevel="0" collapsed="false">
      <c r="A2752" s="33" t="n">
        <v>46309</v>
      </c>
      <c r="B2752" s="0" t="n">
        <v>13</v>
      </c>
      <c r="C2752" s="0" t="n">
        <v>7108</v>
      </c>
      <c r="E2752" s="0" t="n">
        <v>0</v>
      </c>
      <c r="F2752" s="27" t="s">
        <v>1369</v>
      </c>
      <c r="I2752" s="27" t="s">
        <v>166</v>
      </c>
      <c r="U2752" s="0" t="n">
        <v>342</v>
      </c>
      <c r="V2752" s="0" t="n">
        <v>0</v>
      </c>
      <c r="W2752" s="27" t="n">
        <f aca="false">MATCH(A2752,DATAS,0)</f>
        <v>1</v>
      </c>
      <c r="X2752" s="27" t="n">
        <f aca="false">IF(AND(E2752&gt;0,OR(AND(B2752&gt;=1,B2752&lt;=6),B2752=10)),1,0)</f>
        <v>0</v>
      </c>
      <c r="Y2752" s="27" t="n">
        <f aca="false">IF(AND(E2752&gt;0,B2752=10),1,0)</f>
        <v>0</v>
      </c>
      <c r="Z2752" s="0" t="str">
        <f aca="false">IF(AND(C2751=C2752,W2751=W2752-1),X2751,"")</f>
        <v/>
      </c>
      <c r="AA2752" s="0" t="str">
        <f aca="false">IF(AND(C2751=C2752,W2751=W2752-1),Y2751,"")</f>
        <v/>
      </c>
      <c r="AB2752" s="0" t="str">
        <f aca="false">IF(W2752=1,"",IF(AND(X2752=1,Z2752&lt;&gt;1),1,0))</f>
        <v/>
      </c>
      <c r="AC2752" s="0" t="str">
        <f aca="false">IF(W2752=1,"",IF(AND(Y2752=1,AA2752&lt;&gt;1),1,0))</f>
        <v/>
      </c>
      <c r="AD2752" s="33" t="str">
        <f aca="false">IF(AND(E2752&gt;0,W2752&lt;1,NOT(AND(C2753=C2752,W2753=W2752+1))),INDEX(DATAS,W2752+1),"")</f>
        <v/>
      </c>
      <c r="AE2752" s="33" t="str">
        <f aca="false">IF(AND(Y2752=1,W2752&lt;1),IF(AND(C2753=C2752,W2753=W2752+1),IF(Y2753=1,"",INDEX(DATAS,W2752+1)),INDEX(DATAS,W2752+1)),"")</f>
        <v/>
      </c>
    </row>
    <row r="2753" customFormat="false" ht="15" hidden="false" customHeight="false" outlineLevel="0" collapsed="false">
      <c r="A2753" s="33" t="n">
        <v>46309</v>
      </c>
      <c r="B2753" s="0" t="n">
        <v>13</v>
      </c>
      <c r="C2753" s="0" t="n">
        <v>7109</v>
      </c>
      <c r="E2753" s="0" t="n">
        <v>0</v>
      </c>
      <c r="F2753" s="27" t="s">
        <v>1369</v>
      </c>
      <c r="I2753" s="27" t="s">
        <v>166</v>
      </c>
      <c r="U2753" s="0" t="n">
        <v>342</v>
      </c>
      <c r="V2753" s="0" t="n">
        <v>0</v>
      </c>
      <c r="W2753" s="27" t="n">
        <f aca="false">MATCH(A2753,DATAS,0)</f>
        <v>1</v>
      </c>
      <c r="X2753" s="27" t="n">
        <f aca="false">IF(AND(E2753&gt;0,OR(AND(B2753&gt;=1,B2753&lt;=6),B2753=10)),1,0)</f>
        <v>0</v>
      </c>
      <c r="Y2753" s="27" t="n">
        <f aca="false">IF(AND(E2753&gt;0,B2753=10),1,0)</f>
        <v>0</v>
      </c>
      <c r="Z2753" s="0" t="str">
        <f aca="false">IF(AND(C2752=C2753,W2752=W2753-1),X2752,"")</f>
        <v/>
      </c>
      <c r="AA2753" s="0" t="str">
        <f aca="false">IF(AND(C2752=C2753,W2752=W2753-1),Y2752,"")</f>
        <v/>
      </c>
      <c r="AB2753" s="0" t="str">
        <f aca="false">IF(W2753=1,"",IF(AND(X2753=1,Z2753&lt;&gt;1),1,0))</f>
        <v/>
      </c>
      <c r="AC2753" s="0" t="str">
        <f aca="false">IF(W2753=1,"",IF(AND(Y2753=1,AA2753&lt;&gt;1),1,0))</f>
        <v/>
      </c>
      <c r="AD2753" s="33" t="str">
        <f aca="false">IF(AND(E2753&gt;0,W2753&lt;1,NOT(AND(C2754=C2753,W2754=W2753+1))),INDEX(DATAS,W2753+1),"")</f>
        <v/>
      </c>
      <c r="AE2753" s="33" t="str">
        <f aca="false">IF(AND(Y2753=1,W2753&lt;1),IF(AND(C2754=C2753,W2754=W2753+1),IF(Y2754=1,"",INDEX(DATAS,W2753+1)),INDEX(DATAS,W2753+1)),"")</f>
        <v/>
      </c>
    </row>
    <row r="2754" customFormat="false" ht="15" hidden="false" customHeight="false" outlineLevel="0" collapsed="false">
      <c r="A2754" s="33" t="n">
        <v>46309</v>
      </c>
      <c r="B2754" s="0" t="n">
        <v>13</v>
      </c>
      <c r="C2754" s="0" t="n">
        <v>7110</v>
      </c>
      <c r="E2754" s="0" t="n">
        <v>0</v>
      </c>
      <c r="F2754" s="27" t="s">
        <v>1370</v>
      </c>
      <c r="I2754" s="27" t="s">
        <v>166</v>
      </c>
      <c r="U2754" s="0" t="n">
        <v>341</v>
      </c>
      <c r="V2754" s="0" t="n">
        <v>0</v>
      </c>
      <c r="W2754" s="27" t="n">
        <f aca="false">MATCH(A2754,DATAS,0)</f>
        <v>1</v>
      </c>
      <c r="X2754" s="27" t="n">
        <f aca="false">IF(AND(E2754&gt;0,OR(AND(B2754&gt;=1,B2754&lt;=6),B2754=10)),1,0)</f>
        <v>0</v>
      </c>
      <c r="Y2754" s="27" t="n">
        <f aca="false">IF(AND(E2754&gt;0,B2754=10),1,0)</f>
        <v>0</v>
      </c>
      <c r="Z2754" s="0" t="str">
        <f aca="false">IF(AND(C2753=C2754,W2753=W2754-1),X2753,"")</f>
        <v/>
      </c>
      <c r="AA2754" s="0" t="str">
        <f aca="false">IF(AND(C2753=C2754,W2753=W2754-1),Y2753,"")</f>
        <v/>
      </c>
      <c r="AB2754" s="0" t="str">
        <f aca="false">IF(W2754=1,"",IF(AND(X2754=1,Z2754&lt;&gt;1),1,0))</f>
        <v/>
      </c>
      <c r="AC2754" s="0" t="str">
        <f aca="false">IF(W2754=1,"",IF(AND(Y2754=1,AA2754&lt;&gt;1),1,0))</f>
        <v/>
      </c>
      <c r="AD2754" s="33" t="str">
        <f aca="false">IF(AND(E2754&gt;0,W2754&lt;1,NOT(AND(C2755=C2754,W2755=W2754+1))),INDEX(DATAS,W2754+1),"")</f>
        <v/>
      </c>
      <c r="AE2754" s="33" t="str">
        <f aca="false">IF(AND(Y2754=1,W2754&lt;1),IF(AND(C2755=C2754,W2755=W2754+1),IF(Y2755=1,"",INDEX(DATAS,W2754+1)),INDEX(DATAS,W2754+1)),"")</f>
        <v/>
      </c>
    </row>
    <row r="2755" customFormat="false" ht="15" hidden="false" customHeight="false" outlineLevel="0" collapsed="false">
      <c r="A2755" s="33" t="n">
        <v>46309</v>
      </c>
      <c r="B2755" s="0" t="n">
        <v>13</v>
      </c>
      <c r="C2755" s="0" t="n">
        <v>7111</v>
      </c>
      <c r="E2755" s="0" t="n">
        <v>0</v>
      </c>
      <c r="F2755" s="27" t="s">
        <v>1370</v>
      </c>
      <c r="I2755" s="27" t="s">
        <v>166</v>
      </c>
      <c r="U2755" s="0" t="n">
        <v>341</v>
      </c>
      <c r="V2755" s="0" t="n">
        <v>0</v>
      </c>
      <c r="W2755" s="27" t="n">
        <f aca="false">MATCH(A2755,DATAS,0)</f>
        <v>1</v>
      </c>
      <c r="X2755" s="27" t="n">
        <f aca="false">IF(AND(E2755&gt;0,OR(AND(B2755&gt;=1,B2755&lt;=6),B2755=10)),1,0)</f>
        <v>0</v>
      </c>
      <c r="Y2755" s="27" t="n">
        <f aca="false">IF(AND(E2755&gt;0,B2755=10),1,0)</f>
        <v>0</v>
      </c>
      <c r="Z2755" s="0" t="str">
        <f aca="false">IF(AND(C2754=C2755,W2754=W2755-1),X2754,"")</f>
        <v/>
      </c>
      <c r="AA2755" s="0" t="str">
        <f aca="false">IF(AND(C2754=C2755,W2754=W2755-1),Y2754,"")</f>
        <v/>
      </c>
      <c r="AB2755" s="0" t="str">
        <f aca="false">IF(W2755=1,"",IF(AND(X2755=1,Z2755&lt;&gt;1),1,0))</f>
        <v/>
      </c>
      <c r="AC2755" s="0" t="str">
        <f aca="false">IF(W2755=1,"",IF(AND(Y2755=1,AA2755&lt;&gt;1),1,0))</f>
        <v/>
      </c>
      <c r="AD2755" s="33" t="str">
        <f aca="false">IF(AND(E2755&gt;0,W2755&lt;1,NOT(AND(C2756=C2755,W2756=W2755+1))),INDEX(DATAS,W2755+1),"")</f>
        <v/>
      </c>
      <c r="AE2755" s="33" t="str">
        <f aca="false">IF(AND(Y2755=1,W2755&lt;1),IF(AND(C2756=C2755,W2756=W2755+1),IF(Y2756=1,"",INDEX(DATAS,W2755+1)),INDEX(DATAS,W2755+1)),"")</f>
        <v/>
      </c>
    </row>
    <row r="2756" customFormat="false" ht="15" hidden="false" customHeight="false" outlineLevel="0" collapsed="false">
      <c r="A2756" s="33" t="n">
        <v>46309</v>
      </c>
      <c r="B2756" s="0" t="n">
        <v>13</v>
      </c>
      <c r="C2756" s="0" t="n">
        <v>7112</v>
      </c>
      <c r="E2756" s="0" t="n">
        <v>0</v>
      </c>
      <c r="F2756" s="27" t="s">
        <v>1370</v>
      </c>
      <c r="I2756" s="27" t="s">
        <v>166</v>
      </c>
      <c r="U2756" s="0" t="n">
        <v>341</v>
      </c>
      <c r="V2756" s="0" t="n">
        <v>0</v>
      </c>
      <c r="W2756" s="27" t="n">
        <f aca="false">MATCH(A2756,DATAS,0)</f>
        <v>1</v>
      </c>
      <c r="X2756" s="27" t="n">
        <f aca="false">IF(AND(E2756&gt;0,OR(AND(B2756&gt;=1,B2756&lt;=6),B2756=10)),1,0)</f>
        <v>0</v>
      </c>
      <c r="Y2756" s="27" t="n">
        <f aca="false">IF(AND(E2756&gt;0,B2756=10),1,0)</f>
        <v>0</v>
      </c>
      <c r="Z2756" s="0" t="str">
        <f aca="false">IF(AND(C2755=C2756,W2755=W2756-1),X2755,"")</f>
        <v/>
      </c>
      <c r="AA2756" s="0" t="str">
        <f aca="false">IF(AND(C2755=C2756,W2755=W2756-1),Y2755,"")</f>
        <v/>
      </c>
      <c r="AB2756" s="0" t="str">
        <f aca="false">IF(W2756=1,"",IF(AND(X2756=1,Z2756&lt;&gt;1),1,0))</f>
        <v/>
      </c>
      <c r="AC2756" s="0" t="str">
        <f aca="false">IF(W2756=1,"",IF(AND(Y2756=1,AA2756&lt;&gt;1),1,0))</f>
        <v/>
      </c>
      <c r="AD2756" s="33" t="str">
        <f aca="false">IF(AND(E2756&gt;0,W2756&lt;1,NOT(AND(C2757=C2756,W2757=W2756+1))),INDEX(DATAS,W2756+1),"")</f>
        <v/>
      </c>
      <c r="AE2756" s="33" t="str">
        <f aca="false">IF(AND(Y2756=1,W2756&lt;1),IF(AND(C2757=C2756,W2757=W2756+1),IF(Y2757=1,"",INDEX(DATAS,W2756+1)),INDEX(DATAS,W2756+1)),"")</f>
        <v/>
      </c>
    </row>
    <row r="2757" customFormat="false" ht="15" hidden="false" customHeight="false" outlineLevel="0" collapsed="false">
      <c r="A2757" s="33" t="n">
        <v>46309</v>
      </c>
      <c r="B2757" s="0" t="n">
        <v>13</v>
      </c>
      <c r="C2757" s="0" t="n">
        <v>7113</v>
      </c>
      <c r="E2757" s="0" t="n">
        <v>0</v>
      </c>
      <c r="F2757" s="27" t="s">
        <v>1371</v>
      </c>
      <c r="I2757" s="27" t="s">
        <v>166</v>
      </c>
      <c r="U2757" s="0" t="n">
        <v>340</v>
      </c>
      <c r="V2757" s="0" t="n">
        <v>0</v>
      </c>
      <c r="W2757" s="27" t="n">
        <f aca="false">MATCH(A2757,DATAS,0)</f>
        <v>1</v>
      </c>
      <c r="X2757" s="27" t="n">
        <f aca="false">IF(AND(E2757&gt;0,OR(AND(B2757&gt;=1,B2757&lt;=6),B2757=10)),1,0)</f>
        <v>0</v>
      </c>
      <c r="Y2757" s="27" t="n">
        <f aca="false">IF(AND(E2757&gt;0,B2757=10),1,0)</f>
        <v>0</v>
      </c>
      <c r="Z2757" s="0" t="str">
        <f aca="false">IF(AND(C2756=C2757,W2756=W2757-1),X2756,"")</f>
        <v/>
      </c>
      <c r="AA2757" s="0" t="str">
        <f aca="false">IF(AND(C2756=C2757,W2756=W2757-1),Y2756,"")</f>
        <v/>
      </c>
      <c r="AB2757" s="0" t="str">
        <f aca="false">IF(W2757=1,"",IF(AND(X2757=1,Z2757&lt;&gt;1),1,0))</f>
        <v/>
      </c>
      <c r="AC2757" s="0" t="str">
        <f aca="false">IF(W2757=1,"",IF(AND(Y2757=1,AA2757&lt;&gt;1),1,0))</f>
        <v/>
      </c>
      <c r="AD2757" s="33" t="str">
        <f aca="false">IF(AND(E2757&gt;0,W2757&lt;1,NOT(AND(C2758=C2757,W2758=W2757+1))),INDEX(DATAS,W2757+1),"")</f>
        <v/>
      </c>
      <c r="AE2757" s="33" t="str">
        <f aca="false">IF(AND(Y2757=1,W2757&lt;1),IF(AND(C2758=C2757,W2758=W2757+1),IF(Y2758=1,"",INDEX(DATAS,W2757+1)),INDEX(DATAS,W2757+1)),"")</f>
        <v/>
      </c>
    </row>
    <row r="2758" customFormat="false" ht="15" hidden="false" customHeight="false" outlineLevel="0" collapsed="false">
      <c r="A2758" s="33" t="n">
        <v>46309</v>
      </c>
      <c r="B2758" s="0" t="n">
        <v>13</v>
      </c>
      <c r="C2758" s="0" t="n">
        <v>7114</v>
      </c>
      <c r="E2758" s="0" t="n">
        <v>0</v>
      </c>
      <c r="F2758" s="27" t="s">
        <v>1371</v>
      </c>
      <c r="I2758" s="27" t="s">
        <v>166</v>
      </c>
      <c r="U2758" s="0" t="n">
        <v>340</v>
      </c>
      <c r="V2758" s="0" t="n">
        <v>0</v>
      </c>
      <c r="W2758" s="27" t="n">
        <f aca="false">MATCH(A2758,DATAS,0)</f>
        <v>1</v>
      </c>
      <c r="X2758" s="27" t="n">
        <f aca="false">IF(AND(E2758&gt;0,OR(AND(B2758&gt;=1,B2758&lt;=6),B2758=10)),1,0)</f>
        <v>0</v>
      </c>
      <c r="Y2758" s="27" t="n">
        <f aca="false">IF(AND(E2758&gt;0,B2758=10),1,0)</f>
        <v>0</v>
      </c>
      <c r="Z2758" s="0" t="str">
        <f aca="false">IF(AND(C2757=C2758,W2757=W2758-1),X2757,"")</f>
        <v/>
      </c>
      <c r="AA2758" s="0" t="str">
        <f aca="false">IF(AND(C2757=C2758,W2757=W2758-1),Y2757,"")</f>
        <v/>
      </c>
      <c r="AB2758" s="0" t="str">
        <f aca="false">IF(W2758=1,"",IF(AND(X2758=1,Z2758&lt;&gt;1),1,0))</f>
        <v/>
      </c>
      <c r="AC2758" s="0" t="str">
        <f aca="false">IF(W2758=1,"",IF(AND(Y2758=1,AA2758&lt;&gt;1),1,0))</f>
        <v/>
      </c>
      <c r="AD2758" s="33" t="str">
        <f aca="false">IF(AND(E2758&gt;0,W2758&lt;1,NOT(AND(C2759=C2758,W2759=W2758+1))),INDEX(DATAS,W2758+1),"")</f>
        <v/>
      </c>
      <c r="AE2758" s="33" t="str">
        <f aca="false">IF(AND(Y2758=1,W2758&lt;1),IF(AND(C2759=C2758,W2759=W2758+1),IF(Y2759=1,"",INDEX(DATAS,W2758+1)),INDEX(DATAS,W2758+1)),"")</f>
        <v/>
      </c>
    </row>
    <row r="2759" customFormat="false" ht="15" hidden="false" customHeight="false" outlineLevel="0" collapsed="false">
      <c r="A2759" s="33" t="n">
        <v>46309</v>
      </c>
      <c r="B2759" s="0" t="n">
        <v>13</v>
      </c>
      <c r="C2759" s="0" t="n">
        <v>7115</v>
      </c>
      <c r="E2759" s="0" t="n">
        <v>0</v>
      </c>
      <c r="F2759" s="27" t="s">
        <v>1372</v>
      </c>
      <c r="I2759" s="27" t="s">
        <v>166</v>
      </c>
      <c r="U2759" s="0" t="n">
        <v>339</v>
      </c>
      <c r="V2759" s="0" t="n">
        <v>0</v>
      </c>
      <c r="W2759" s="27" t="n">
        <f aca="false">MATCH(A2759,DATAS,0)</f>
        <v>1</v>
      </c>
      <c r="X2759" s="27" t="n">
        <f aca="false">IF(AND(E2759&gt;0,OR(AND(B2759&gt;=1,B2759&lt;=6),B2759=10)),1,0)</f>
        <v>0</v>
      </c>
      <c r="Y2759" s="27" t="n">
        <f aca="false">IF(AND(E2759&gt;0,B2759=10),1,0)</f>
        <v>0</v>
      </c>
      <c r="Z2759" s="0" t="str">
        <f aca="false">IF(AND(C2758=C2759,W2758=W2759-1),X2758,"")</f>
        <v/>
      </c>
      <c r="AA2759" s="0" t="str">
        <f aca="false">IF(AND(C2758=C2759,W2758=W2759-1),Y2758,"")</f>
        <v/>
      </c>
      <c r="AB2759" s="0" t="str">
        <f aca="false">IF(W2759=1,"",IF(AND(X2759=1,Z2759&lt;&gt;1),1,0))</f>
        <v/>
      </c>
      <c r="AC2759" s="0" t="str">
        <f aca="false">IF(W2759=1,"",IF(AND(Y2759=1,AA2759&lt;&gt;1),1,0))</f>
        <v/>
      </c>
      <c r="AD2759" s="33" t="str">
        <f aca="false">IF(AND(E2759&gt;0,W2759&lt;1,NOT(AND(C2760=C2759,W2760=W2759+1))),INDEX(DATAS,W2759+1),"")</f>
        <v/>
      </c>
      <c r="AE2759" s="33" t="str">
        <f aca="false">IF(AND(Y2759=1,W2759&lt;1),IF(AND(C2760=C2759,W2760=W2759+1),IF(Y2760=1,"",INDEX(DATAS,W2759+1)),INDEX(DATAS,W2759+1)),"")</f>
        <v/>
      </c>
    </row>
    <row r="2760" customFormat="false" ht="15" hidden="false" customHeight="false" outlineLevel="0" collapsed="false">
      <c r="A2760" s="33" t="n">
        <v>46309</v>
      </c>
      <c r="B2760" s="0" t="n">
        <v>13</v>
      </c>
      <c r="C2760" s="0" t="n">
        <v>7117</v>
      </c>
      <c r="E2760" s="0" t="n">
        <v>0</v>
      </c>
      <c r="F2760" s="27" t="s">
        <v>1372</v>
      </c>
      <c r="I2760" s="27" t="s">
        <v>166</v>
      </c>
      <c r="U2760" s="0" t="n">
        <v>339</v>
      </c>
      <c r="V2760" s="0" t="n">
        <v>0</v>
      </c>
      <c r="W2760" s="27" t="n">
        <f aca="false">MATCH(A2760,DATAS,0)</f>
        <v>1</v>
      </c>
      <c r="X2760" s="27" t="n">
        <f aca="false">IF(AND(E2760&gt;0,OR(AND(B2760&gt;=1,B2760&lt;=6),B2760=10)),1,0)</f>
        <v>0</v>
      </c>
      <c r="Y2760" s="27" t="n">
        <f aca="false">IF(AND(E2760&gt;0,B2760=10),1,0)</f>
        <v>0</v>
      </c>
      <c r="Z2760" s="0" t="str">
        <f aca="false">IF(AND(C2759=C2760,W2759=W2760-1),X2759,"")</f>
        <v/>
      </c>
      <c r="AA2760" s="0" t="str">
        <f aca="false">IF(AND(C2759=C2760,W2759=W2760-1),Y2759,"")</f>
        <v/>
      </c>
      <c r="AB2760" s="0" t="str">
        <f aca="false">IF(W2760=1,"",IF(AND(X2760=1,Z2760&lt;&gt;1),1,0))</f>
        <v/>
      </c>
      <c r="AC2760" s="0" t="str">
        <f aca="false">IF(W2760=1,"",IF(AND(Y2760=1,AA2760&lt;&gt;1),1,0))</f>
        <v/>
      </c>
      <c r="AD2760" s="33" t="str">
        <f aca="false">IF(AND(E2760&gt;0,W2760&lt;1,NOT(AND(C2761=C2760,W2761=W2760+1))),INDEX(DATAS,W2760+1),"")</f>
        <v/>
      </c>
      <c r="AE2760" s="33" t="str">
        <f aca="false">IF(AND(Y2760=1,W2760&lt;1),IF(AND(C2761=C2760,W2761=W2760+1),IF(Y2761=1,"",INDEX(DATAS,W2760+1)),INDEX(DATAS,W2760+1)),"")</f>
        <v/>
      </c>
    </row>
    <row r="2761" customFormat="false" ht="15" hidden="false" customHeight="false" outlineLevel="0" collapsed="false">
      <c r="A2761" s="33" t="n">
        <v>46309</v>
      </c>
      <c r="B2761" s="0" t="n">
        <v>13</v>
      </c>
      <c r="C2761" s="0" t="n">
        <v>7118</v>
      </c>
      <c r="E2761" s="0" t="n">
        <v>0</v>
      </c>
      <c r="F2761" s="27" t="s">
        <v>1372</v>
      </c>
      <c r="I2761" s="27" t="s">
        <v>166</v>
      </c>
      <c r="U2761" s="0" t="n">
        <v>339</v>
      </c>
      <c r="V2761" s="0" t="n">
        <v>0</v>
      </c>
      <c r="W2761" s="27" t="n">
        <f aca="false">MATCH(A2761,DATAS,0)</f>
        <v>1</v>
      </c>
      <c r="X2761" s="27" t="n">
        <f aca="false">IF(AND(E2761&gt;0,OR(AND(B2761&gt;=1,B2761&lt;=6),B2761=10)),1,0)</f>
        <v>0</v>
      </c>
      <c r="Y2761" s="27" t="n">
        <f aca="false">IF(AND(E2761&gt;0,B2761=10),1,0)</f>
        <v>0</v>
      </c>
      <c r="Z2761" s="0" t="str">
        <f aca="false">IF(AND(C2760=C2761,W2760=W2761-1),X2760,"")</f>
        <v/>
      </c>
      <c r="AA2761" s="0" t="str">
        <f aca="false">IF(AND(C2760=C2761,W2760=W2761-1),Y2760,"")</f>
        <v/>
      </c>
      <c r="AB2761" s="0" t="str">
        <f aca="false">IF(W2761=1,"",IF(AND(X2761=1,Z2761&lt;&gt;1),1,0))</f>
        <v/>
      </c>
      <c r="AC2761" s="0" t="str">
        <f aca="false">IF(W2761=1,"",IF(AND(Y2761=1,AA2761&lt;&gt;1),1,0))</f>
        <v/>
      </c>
      <c r="AD2761" s="33" t="str">
        <f aca="false">IF(AND(E2761&gt;0,W2761&lt;1,NOT(AND(C2762=C2761,W2762=W2761+1))),INDEX(DATAS,W2761+1),"")</f>
        <v/>
      </c>
      <c r="AE2761" s="33" t="str">
        <f aca="false">IF(AND(Y2761=1,W2761&lt;1),IF(AND(C2762=C2761,W2762=W2761+1),IF(Y2762=1,"",INDEX(DATAS,W2761+1)),INDEX(DATAS,W2761+1)),"")</f>
        <v/>
      </c>
    </row>
    <row r="2762" customFormat="false" ht="15" hidden="false" customHeight="false" outlineLevel="0" collapsed="false">
      <c r="A2762" s="33" t="n">
        <v>46309</v>
      </c>
      <c r="B2762" s="0" t="n">
        <v>13</v>
      </c>
      <c r="C2762" s="0" t="n">
        <v>7119</v>
      </c>
      <c r="E2762" s="0" t="n">
        <v>0</v>
      </c>
      <c r="F2762" s="27" t="s">
        <v>1372</v>
      </c>
      <c r="I2762" s="27" t="s">
        <v>166</v>
      </c>
      <c r="U2762" s="0" t="n">
        <v>339</v>
      </c>
      <c r="V2762" s="0" t="n">
        <v>0</v>
      </c>
      <c r="W2762" s="27" t="n">
        <f aca="false">MATCH(A2762,DATAS,0)</f>
        <v>1</v>
      </c>
      <c r="X2762" s="27" t="n">
        <f aca="false">IF(AND(E2762&gt;0,OR(AND(B2762&gt;=1,B2762&lt;=6),B2762=10)),1,0)</f>
        <v>0</v>
      </c>
      <c r="Y2762" s="27" t="n">
        <f aca="false">IF(AND(E2762&gt;0,B2762=10),1,0)</f>
        <v>0</v>
      </c>
      <c r="Z2762" s="0" t="str">
        <f aca="false">IF(AND(C2761=C2762,W2761=W2762-1),X2761,"")</f>
        <v/>
      </c>
      <c r="AA2762" s="0" t="str">
        <f aca="false">IF(AND(C2761=C2762,W2761=W2762-1),Y2761,"")</f>
        <v/>
      </c>
      <c r="AB2762" s="0" t="str">
        <f aca="false">IF(W2762=1,"",IF(AND(X2762=1,Z2762&lt;&gt;1),1,0))</f>
        <v/>
      </c>
      <c r="AC2762" s="0" t="str">
        <f aca="false">IF(W2762=1,"",IF(AND(Y2762=1,AA2762&lt;&gt;1),1,0))</f>
        <v/>
      </c>
      <c r="AD2762" s="33" t="str">
        <f aca="false">IF(AND(E2762&gt;0,W2762&lt;1,NOT(AND(C2763=C2762,W2763=W2762+1))),INDEX(DATAS,W2762+1),"")</f>
        <v/>
      </c>
      <c r="AE2762" s="33" t="str">
        <f aca="false">IF(AND(Y2762=1,W2762&lt;1),IF(AND(C2763=C2762,W2763=W2762+1),IF(Y2763=1,"",INDEX(DATAS,W2762+1)),INDEX(DATAS,W2762+1)),"")</f>
        <v/>
      </c>
    </row>
    <row r="2763" customFormat="false" ht="15" hidden="false" customHeight="false" outlineLevel="0" collapsed="false">
      <c r="A2763" s="33" t="n">
        <v>46309</v>
      </c>
      <c r="B2763" s="0" t="n">
        <v>13</v>
      </c>
      <c r="C2763" s="0" t="n">
        <v>7120</v>
      </c>
      <c r="E2763" s="0" t="n">
        <v>0</v>
      </c>
      <c r="F2763" s="27" t="s">
        <v>1373</v>
      </c>
      <c r="I2763" s="27" t="s">
        <v>166</v>
      </c>
      <c r="U2763" s="0" t="n">
        <v>338</v>
      </c>
      <c r="V2763" s="0" t="n">
        <v>0</v>
      </c>
      <c r="W2763" s="27" t="n">
        <f aca="false">MATCH(A2763,DATAS,0)</f>
        <v>1</v>
      </c>
      <c r="X2763" s="27" t="n">
        <f aca="false">IF(AND(E2763&gt;0,OR(AND(B2763&gt;=1,B2763&lt;=6),B2763=10)),1,0)</f>
        <v>0</v>
      </c>
      <c r="Y2763" s="27" t="n">
        <f aca="false">IF(AND(E2763&gt;0,B2763=10),1,0)</f>
        <v>0</v>
      </c>
      <c r="Z2763" s="0" t="str">
        <f aca="false">IF(AND(C2762=C2763,W2762=W2763-1),X2762,"")</f>
        <v/>
      </c>
      <c r="AA2763" s="0" t="str">
        <f aca="false">IF(AND(C2762=C2763,W2762=W2763-1),Y2762,"")</f>
        <v/>
      </c>
      <c r="AB2763" s="0" t="str">
        <f aca="false">IF(W2763=1,"",IF(AND(X2763=1,Z2763&lt;&gt;1),1,0))</f>
        <v/>
      </c>
      <c r="AC2763" s="0" t="str">
        <f aca="false">IF(W2763=1,"",IF(AND(Y2763=1,AA2763&lt;&gt;1),1,0))</f>
        <v/>
      </c>
      <c r="AD2763" s="33" t="str">
        <f aca="false">IF(AND(E2763&gt;0,W2763&lt;1,NOT(AND(C2764=C2763,W2764=W2763+1))),INDEX(DATAS,W2763+1),"")</f>
        <v/>
      </c>
      <c r="AE2763" s="33" t="str">
        <f aca="false">IF(AND(Y2763=1,W2763&lt;1),IF(AND(C2764=C2763,W2764=W2763+1),IF(Y2764=1,"",INDEX(DATAS,W2763+1)),INDEX(DATAS,W2763+1)),"")</f>
        <v/>
      </c>
    </row>
    <row r="2764" customFormat="false" ht="15" hidden="false" customHeight="false" outlineLevel="0" collapsed="false">
      <c r="A2764" s="33" t="n">
        <v>46309</v>
      </c>
      <c r="B2764" s="0" t="n">
        <v>13</v>
      </c>
      <c r="C2764" s="0" t="n">
        <v>7122</v>
      </c>
      <c r="E2764" s="0" t="n">
        <v>0</v>
      </c>
      <c r="F2764" s="27" t="s">
        <v>1373</v>
      </c>
      <c r="I2764" s="27" t="s">
        <v>166</v>
      </c>
      <c r="U2764" s="0" t="n">
        <v>338</v>
      </c>
      <c r="V2764" s="0" t="n">
        <v>0</v>
      </c>
      <c r="W2764" s="27" t="n">
        <f aca="false">MATCH(A2764,DATAS,0)</f>
        <v>1</v>
      </c>
      <c r="X2764" s="27" t="n">
        <f aca="false">IF(AND(E2764&gt;0,OR(AND(B2764&gt;=1,B2764&lt;=6),B2764=10)),1,0)</f>
        <v>0</v>
      </c>
      <c r="Y2764" s="27" t="n">
        <f aca="false">IF(AND(E2764&gt;0,B2764=10),1,0)</f>
        <v>0</v>
      </c>
      <c r="Z2764" s="0" t="str">
        <f aca="false">IF(AND(C2763=C2764,W2763=W2764-1),X2763,"")</f>
        <v/>
      </c>
      <c r="AA2764" s="0" t="str">
        <f aca="false">IF(AND(C2763=C2764,W2763=W2764-1),Y2763,"")</f>
        <v/>
      </c>
      <c r="AB2764" s="0" t="str">
        <f aca="false">IF(W2764=1,"",IF(AND(X2764=1,Z2764&lt;&gt;1),1,0))</f>
        <v/>
      </c>
      <c r="AC2764" s="0" t="str">
        <f aca="false">IF(W2764=1,"",IF(AND(Y2764=1,AA2764&lt;&gt;1),1,0))</f>
        <v/>
      </c>
      <c r="AD2764" s="33" t="str">
        <f aca="false">IF(AND(E2764&gt;0,W2764&lt;1,NOT(AND(C2765=C2764,W2765=W2764+1))),INDEX(DATAS,W2764+1),"")</f>
        <v/>
      </c>
      <c r="AE2764" s="33" t="str">
        <f aca="false">IF(AND(Y2764=1,W2764&lt;1),IF(AND(C2765=C2764,W2765=W2764+1),IF(Y2765=1,"",INDEX(DATAS,W2764+1)),INDEX(DATAS,W2764+1)),"")</f>
        <v/>
      </c>
    </row>
    <row r="2765" customFormat="false" ht="15" hidden="false" customHeight="false" outlineLevel="0" collapsed="false">
      <c r="A2765" s="33" t="n">
        <v>46309</v>
      </c>
      <c r="B2765" s="0" t="n">
        <v>13</v>
      </c>
      <c r="C2765" s="0" t="n">
        <v>7123</v>
      </c>
      <c r="E2765" s="0" t="n">
        <v>0</v>
      </c>
      <c r="F2765" s="27" t="s">
        <v>1373</v>
      </c>
      <c r="I2765" s="27" t="s">
        <v>166</v>
      </c>
      <c r="U2765" s="0" t="n">
        <v>338</v>
      </c>
      <c r="V2765" s="0" t="n">
        <v>0</v>
      </c>
      <c r="W2765" s="27" t="n">
        <f aca="false">MATCH(A2765,DATAS,0)</f>
        <v>1</v>
      </c>
      <c r="X2765" s="27" t="n">
        <f aca="false">IF(AND(E2765&gt;0,OR(AND(B2765&gt;=1,B2765&lt;=6),B2765=10)),1,0)</f>
        <v>0</v>
      </c>
      <c r="Y2765" s="27" t="n">
        <f aca="false">IF(AND(E2765&gt;0,B2765=10),1,0)</f>
        <v>0</v>
      </c>
      <c r="Z2765" s="0" t="str">
        <f aca="false">IF(AND(C2764=C2765,W2764=W2765-1),X2764,"")</f>
        <v/>
      </c>
      <c r="AA2765" s="0" t="str">
        <f aca="false">IF(AND(C2764=C2765,W2764=W2765-1),Y2764,"")</f>
        <v/>
      </c>
      <c r="AB2765" s="0" t="str">
        <f aca="false">IF(W2765=1,"",IF(AND(X2765=1,Z2765&lt;&gt;1),1,0))</f>
        <v/>
      </c>
      <c r="AC2765" s="0" t="str">
        <f aca="false">IF(W2765=1,"",IF(AND(Y2765=1,AA2765&lt;&gt;1),1,0))</f>
        <v/>
      </c>
      <c r="AD2765" s="33" t="str">
        <f aca="false">IF(AND(E2765&gt;0,W2765&lt;1,NOT(AND(C2766=C2765,W2766=W2765+1))),INDEX(DATAS,W2765+1),"")</f>
        <v/>
      </c>
      <c r="AE2765" s="33" t="str">
        <f aca="false">IF(AND(Y2765=1,W2765&lt;1),IF(AND(C2766=C2765,W2766=W2765+1),IF(Y2766=1,"",INDEX(DATAS,W2765+1)),INDEX(DATAS,W2765+1)),"")</f>
        <v/>
      </c>
    </row>
    <row r="2766" customFormat="false" ht="15" hidden="false" customHeight="false" outlineLevel="0" collapsed="false">
      <c r="A2766" s="33" t="n">
        <v>46309</v>
      </c>
      <c r="B2766" s="0" t="n">
        <v>13</v>
      </c>
      <c r="C2766" s="0" t="n">
        <v>7126</v>
      </c>
      <c r="E2766" s="0" t="n">
        <v>0</v>
      </c>
      <c r="F2766" s="27" t="s">
        <v>1374</v>
      </c>
      <c r="I2766" s="27" t="s">
        <v>166</v>
      </c>
      <c r="U2766" s="0" t="n">
        <v>336</v>
      </c>
      <c r="V2766" s="0" t="n">
        <v>0</v>
      </c>
      <c r="W2766" s="27" t="n">
        <f aca="false">MATCH(A2766,DATAS,0)</f>
        <v>1</v>
      </c>
      <c r="X2766" s="27" t="n">
        <f aca="false">IF(AND(E2766&gt;0,OR(AND(B2766&gt;=1,B2766&lt;=6),B2766=10)),1,0)</f>
        <v>0</v>
      </c>
      <c r="Y2766" s="27" t="n">
        <f aca="false">IF(AND(E2766&gt;0,B2766=10),1,0)</f>
        <v>0</v>
      </c>
      <c r="Z2766" s="0" t="str">
        <f aca="false">IF(AND(C2765=C2766,W2765=W2766-1),X2765,"")</f>
        <v/>
      </c>
      <c r="AA2766" s="0" t="str">
        <f aca="false">IF(AND(C2765=C2766,W2765=W2766-1),Y2765,"")</f>
        <v/>
      </c>
      <c r="AB2766" s="0" t="str">
        <f aca="false">IF(W2766=1,"",IF(AND(X2766=1,Z2766&lt;&gt;1),1,0))</f>
        <v/>
      </c>
      <c r="AC2766" s="0" t="str">
        <f aca="false">IF(W2766=1,"",IF(AND(Y2766=1,AA2766&lt;&gt;1),1,0))</f>
        <v/>
      </c>
      <c r="AD2766" s="33" t="str">
        <f aca="false">IF(AND(E2766&gt;0,W2766&lt;1,NOT(AND(C2767=C2766,W2767=W2766+1))),INDEX(DATAS,W2766+1),"")</f>
        <v/>
      </c>
      <c r="AE2766" s="33" t="str">
        <f aca="false">IF(AND(Y2766=1,W2766&lt;1),IF(AND(C2767=C2766,W2767=W2766+1),IF(Y2767=1,"",INDEX(DATAS,W2766+1)),INDEX(DATAS,W2766+1)),"")</f>
        <v/>
      </c>
    </row>
    <row r="2767" customFormat="false" ht="15" hidden="false" customHeight="false" outlineLevel="0" collapsed="false">
      <c r="A2767" s="33" t="n">
        <v>46309</v>
      </c>
      <c r="B2767" s="0" t="n">
        <v>13</v>
      </c>
      <c r="C2767" s="0" t="n">
        <v>7127</v>
      </c>
      <c r="E2767" s="0" t="n">
        <v>0</v>
      </c>
      <c r="F2767" s="27" t="s">
        <v>1375</v>
      </c>
      <c r="I2767" s="27" t="s">
        <v>166</v>
      </c>
      <c r="U2767" s="0" t="n">
        <v>335</v>
      </c>
      <c r="V2767" s="0" t="n">
        <v>0</v>
      </c>
      <c r="W2767" s="27" t="n">
        <f aca="false">MATCH(A2767,DATAS,0)</f>
        <v>1</v>
      </c>
      <c r="X2767" s="27" t="n">
        <f aca="false">IF(AND(E2767&gt;0,OR(AND(B2767&gt;=1,B2767&lt;=6),B2767=10)),1,0)</f>
        <v>0</v>
      </c>
      <c r="Y2767" s="27" t="n">
        <f aca="false">IF(AND(E2767&gt;0,B2767=10),1,0)</f>
        <v>0</v>
      </c>
      <c r="Z2767" s="0" t="str">
        <f aca="false">IF(AND(C2766=C2767,W2766=W2767-1),X2766,"")</f>
        <v/>
      </c>
      <c r="AA2767" s="0" t="str">
        <f aca="false">IF(AND(C2766=C2767,W2766=W2767-1),Y2766,"")</f>
        <v/>
      </c>
      <c r="AB2767" s="0" t="str">
        <f aca="false">IF(W2767=1,"",IF(AND(X2767=1,Z2767&lt;&gt;1),1,0))</f>
        <v/>
      </c>
      <c r="AC2767" s="0" t="str">
        <f aca="false">IF(W2767=1,"",IF(AND(Y2767=1,AA2767&lt;&gt;1),1,0))</f>
        <v/>
      </c>
      <c r="AD2767" s="33" t="str">
        <f aca="false">IF(AND(E2767&gt;0,W2767&lt;1,NOT(AND(C2768=C2767,W2768=W2767+1))),INDEX(DATAS,W2767+1),"")</f>
        <v/>
      </c>
      <c r="AE2767" s="33" t="str">
        <f aca="false">IF(AND(Y2767=1,W2767&lt;1),IF(AND(C2768=C2767,W2768=W2767+1),IF(Y2768=1,"",INDEX(DATAS,W2767+1)),INDEX(DATAS,W2767+1)),"")</f>
        <v/>
      </c>
    </row>
    <row r="2768" customFormat="false" ht="15" hidden="false" customHeight="false" outlineLevel="0" collapsed="false">
      <c r="A2768" s="33" t="n">
        <v>46309</v>
      </c>
      <c r="B2768" s="0" t="n">
        <v>13</v>
      </c>
      <c r="C2768" s="0" t="n">
        <v>7128</v>
      </c>
      <c r="E2768" s="0" t="n">
        <v>0</v>
      </c>
      <c r="F2768" s="27" t="s">
        <v>1375</v>
      </c>
      <c r="I2768" s="27" t="s">
        <v>166</v>
      </c>
      <c r="U2768" s="0" t="n">
        <v>335</v>
      </c>
      <c r="V2768" s="0" t="n">
        <v>0</v>
      </c>
      <c r="W2768" s="27" t="n">
        <f aca="false">MATCH(A2768,DATAS,0)</f>
        <v>1</v>
      </c>
      <c r="X2768" s="27" t="n">
        <f aca="false">IF(AND(E2768&gt;0,OR(AND(B2768&gt;=1,B2768&lt;=6),B2768=10)),1,0)</f>
        <v>0</v>
      </c>
      <c r="Y2768" s="27" t="n">
        <f aca="false">IF(AND(E2768&gt;0,B2768=10),1,0)</f>
        <v>0</v>
      </c>
      <c r="Z2768" s="0" t="str">
        <f aca="false">IF(AND(C2767=C2768,W2767=W2768-1),X2767,"")</f>
        <v/>
      </c>
      <c r="AA2768" s="0" t="str">
        <f aca="false">IF(AND(C2767=C2768,W2767=W2768-1),Y2767,"")</f>
        <v/>
      </c>
      <c r="AB2768" s="0" t="str">
        <f aca="false">IF(W2768=1,"",IF(AND(X2768=1,Z2768&lt;&gt;1),1,0))</f>
        <v/>
      </c>
      <c r="AC2768" s="0" t="str">
        <f aca="false">IF(W2768=1,"",IF(AND(Y2768=1,AA2768&lt;&gt;1),1,0))</f>
        <v/>
      </c>
      <c r="AD2768" s="33" t="str">
        <f aca="false">IF(AND(E2768&gt;0,W2768&lt;1,NOT(AND(C2769=C2768,W2769=W2768+1))),INDEX(DATAS,W2768+1),"")</f>
        <v/>
      </c>
      <c r="AE2768" s="33" t="str">
        <f aca="false">IF(AND(Y2768=1,W2768&lt;1),IF(AND(C2769=C2768,W2769=W2768+1),IF(Y2769=1,"",INDEX(DATAS,W2768+1)),INDEX(DATAS,W2768+1)),"")</f>
        <v/>
      </c>
    </row>
    <row r="2769" customFormat="false" ht="15" hidden="false" customHeight="false" outlineLevel="0" collapsed="false">
      <c r="A2769" s="33" t="n">
        <v>46309</v>
      </c>
      <c r="B2769" s="0" t="n">
        <v>13</v>
      </c>
      <c r="C2769" s="0" t="n">
        <v>7129</v>
      </c>
      <c r="E2769" s="0" t="n">
        <v>0</v>
      </c>
      <c r="F2769" s="27" t="s">
        <v>1375</v>
      </c>
      <c r="I2769" s="27" t="s">
        <v>166</v>
      </c>
      <c r="U2769" s="0" t="n">
        <v>335</v>
      </c>
      <c r="V2769" s="0" t="n">
        <v>0</v>
      </c>
      <c r="W2769" s="27" t="n">
        <f aca="false">MATCH(A2769,DATAS,0)</f>
        <v>1</v>
      </c>
      <c r="X2769" s="27" t="n">
        <f aca="false">IF(AND(E2769&gt;0,OR(AND(B2769&gt;=1,B2769&lt;=6),B2769=10)),1,0)</f>
        <v>0</v>
      </c>
      <c r="Y2769" s="27" t="n">
        <f aca="false">IF(AND(E2769&gt;0,B2769=10),1,0)</f>
        <v>0</v>
      </c>
      <c r="Z2769" s="0" t="str">
        <f aca="false">IF(AND(C2768=C2769,W2768=W2769-1),X2768,"")</f>
        <v/>
      </c>
      <c r="AA2769" s="0" t="str">
        <f aca="false">IF(AND(C2768=C2769,W2768=W2769-1),Y2768,"")</f>
        <v/>
      </c>
      <c r="AB2769" s="0" t="str">
        <f aca="false">IF(W2769=1,"",IF(AND(X2769=1,Z2769&lt;&gt;1),1,0))</f>
        <v/>
      </c>
      <c r="AC2769" s="0" t="str">
        <f aca="false">IF(W2769=1,"",IF(AND(Y2769=1,AA2769&lt;&gt;1),1,0))</f>
        <v/>
      </c>
      <c r="AD2769" s="33" t="str">
        <f aca="false">IF(AND(E2769&gt;0,W2769&lt;1,NOT(AND(C2770=C2769,W2770=W2769+1))),INDEX(DATAS,W2769+1),"")</f>
        <v/>
      </c>
      <c r="AE2769" s="33" t="str">
        <f aca="false">IF(AND(Y2769=1,W2769&lt;1),IF(AND(C2770=C2769,W2770=W2769+1),IF(Y2770=1,"",INDEX(DATAS,W2769+1)),INDEX(DATAS,W2769+1)),"")</f>
        <v/>
      </c>
    </row>
    <row r="2770" customFormat="false" ht="15" hidden="false" customHeight="false" outlineLevel="0" collapsed="false">
      <c r="A2770" s="33" t="n">
        <v>46309</v>
      </c>
      <c r="B2770" s="0" t="n">
        <v>13</v>
      </c>
      <c r="C2770" s="0" t="n">
        <v>7131</v>
      </c>
      <c r="E2770" s="0" t="n">
        <v>0</v>
      </c>
      <c r="F2770" s="27" t="s">
        <v>1376</v>
      </c>
      <c r="I2770" s="27" t="s">
        <v>166</v>
      </c>
      <c r="U2770" s="0" t="n">
        <v>333</v>
      </c>
      <c r="V2770" s="0" t="n">
        <v>0</v>
      </c>
      <c r="W2770" s="27" t="n">
        <f aca="false">MATCH(A2770,DATAS,0)</f>
        <v>1</v>
      </c>
      <c r="X2770" s="27" t="n">
        <f aca="false">IF(AND(E2770&gt;0,OR(AND(B2770&gt;=1,B2770&lt;=6),B2770=10)),1,0)</f>
        <v>0</v>
      </c>
      <c r="Y2770" s="27" t="n">
        <f aca="false">IF(AND(E2770&gt;0,B2770=10),1,0)</f>
        <v>0</v>
      </c>
      <c r="Z2770" s="0" t="str">
        <f aca="false">IF(AND(C2769=C2770,W2769=W2770-1),X2769,"")</f>
        <v/>
      </c>
      <c r="AA2770" s="0" t="str">
        <f aca="false">IF(AND(C2769=C2770,W2769=W2770-1),Y2769,"")</f>
        <v/>
      </c>
      <c r="AB2770" s="0" t="str">
        <f aca="false">IF(W2770=1,"",IF(AND(X2770=1,Z2770&lt;&gt;1),1,0))</f>
        <v/>
      </c>
      <c r="AC2770" s="0" t="str">
        <f aca="false">IF(W2770=1,"",IF(AND(Y2770=1,AA2770&lt;&gt;1),1,0))</f>
        <v/>
      </c>
      <c r="AD2770" s="33" t="str">
        <f aca="false">IF(AND(E2770&gt;0,W2770&lt;1,NOT(AND(C2771=C2770,W2771=W2770+1))),INDEX(DATAS,W2770+1),"")</f>
        <v/>
      </c>
      <c r="AE2770" s="33" t="str">
        <f aca="false">IF(AND(Y2770=1,W2770&lt;1),IF(AND(C2771=C2770,W2771=W2770+1),IF(Y2771=1,"",INDEX(DATAS,W2770+1)),INDEX(DATAS,W2770+1)),"")</f>
        <v/>
      </c>
    </row>
    <row r="2771" customFormat="false" ht="15" hidden="false" customHeight="false" outlineLevel="0" collapsed="false">
      <c r="A2771" s="33" t="n">
        <v>46309</v>
      </c>
      <c r="B2771" s="0" t="n">
        <v>13</v>
      </c>
      <c r="C2771" s="0" t="n">
        <v>7132</v>
      </c>
      <c r="E2771" s="0" t="n">
        <v>0</v>
      </c>
      <c r="F2771" s="27" t="s">
        <v>1376</v>
      </c>
      <c r="I2771" s="27" t="s">
        <v>166</v>
      </c>
      <c r="U2771" s="0" t="n">
        <v>333</v>
      </c>
      <c r="V2771" s="0" t="n">
        <v>0</v>
      </c>
      <c r="W2771" s="27" t="n">
        <f aca="false">MATCH(A2771,DATAS,0)</f>
        <v>1</v>
      </c>
      <c r="X2771" s="27" t="n">
        <f aca="false">IF(AND(E2771&gt;0,OR(AND(B2771&gt;=1,B2771&lt;=6),B2771=10)),1,0)</f>
        <v>0</v>
      </c>
      <c r="Y2771" s="27" t="n">
        <f aca="false">IF(AND(E2771&gt;0,B2771=10),1,0)</f>
        <v>0</v>
      </c>
      <c r="Z2771" s="0" t="str">
        <f aca="false">IF(AND(C2770=C2771,W2770=W2771-1),X2770,"")</f>
        <v/>
      </c>
      <c r="AA2771" s="0" t="str">
        <f aca="false">IF(AND(C2770=C2771,W2770=W2771-1),Y2770,"")</f>
        <v/>
      </c>
      <c r="AB2771" s="0" t="str">
        <f aca="false">IF(W2771=1,"",IF(AND(X2771=1,Z2771&lt;&gt;1),1,0))</f>
        <v/>
      </c>
      <c r="AC2771" s="0" t="str">
        <f aca="false">IF(W2771=1,"",IF(AND(Y2771=1,AA2771&lt;&gt;1),1,0))</f>
        <v/>
      </c>
      <c r="AD2771" s="33" t="str">
        <f aca="false">IF(AND(E2771&gt;0,W2771&lt;1,NOT(AND(C2772=C2771,W2772=W2771+1))),INDEX(DATAS,W2771+1),"")</f>
        <v/>
      </c>
      <c r="AE2771" s="33" t="str">
        <f aca="false">IF(AND(Y2771=1,W2771&lt;1),IF(AND(C2772=C2771,W2772=W2771+1),IF(Y2772=1,"",INDEX(DATAS,W2771+1)),INDEX(DATAS,W2771+1)),"")</f>
        <v/>
      </c>
    </row>
    <row r="2772" customFormat="false" ht="15" hidden="false" customHeight="false" outlineLevel="0" collapsed="false">
      <c r="A2772" s="33" t="n">
        <v>46309</v>
      </c>
      <c r="B2772" s="0" t="n">
        <v>13</v>
      </c>
      <c r="C2772" s="0" t="n">
        <v>7133</v>
      </c>
      <c r="E2772" s="0" t="n">
        <v>0</v>
      </c>
      <c r="F2772" s="27" t="s">
        <v>1377</v>
      </c>
      <c r="I2772" s="27" t="s">
        <v>166</v>
      </c>
      <c r="U2772" s="0" t="n">
        <v>332</v>
      </c>
      <c r="V2772" s="0" t="n">
        <v>0</v>
      </c>
      <c r="W2772" s="27" t="n">
        <f aca="false">MATCH(A2772,DATAS,0)</f>
        <v>1</v>
      </c>
      <c r="X2772" s="27" t="n">
        <f aca="false">IF(AND(E2772&gt;0,OR(AND(B2772&gt;=1,B2772&lt;=6),B2772=10)),1,0)</f>
        <v>0</v>
      </c>
      <c r="Y2772" s="27" t="n">
        <f aca="false">IF(AND(E2772&gt;0,B2772=10),1,0)</f>
        <v>0</v>
      </c>
      <c r="Z2772" s="0" t="str">
        <f aca="false">IF(AND(C2771=C2772,W2771=W2772-1),X2771,"")</f>
        <v/>
      </c>
      <c r="AA2772" s="0" t="str">
        <f aca="false">IF(AND(C2771=C2772,W2771=W2772-1),Y2771,"")</f>
        <v/>
      </c>
      <c r="AB2772" s="0" t="str">
        <f aca="false">IF(W2772=1,"",IF(AND(X2772=1,Z2772&lt;&gt;1),1,0))</f>
        <v/>
      </c>
      <c r="AC2772" s="0" t="str">
        <f aca="false">IF(W2772=1,"",IF(AND(Y2772=1,AA2772&lt;&gt;1),1,0))</f>
        <v/>
      </c>
      <c r="AD2772" s="33" t="str">
        <f aca="false">IF(AND(E2772&gt;0,W2772&lt;1,NOT(AND(C2773=C2772,W2773=W2772+1))),INDEX(DATAS,W2772+1),"")</f>
        <v/>
      </c>
      <c r="AE2772" s="33" t="str">
        <f aca="false">IF(AND(Y2772=1,W2772&lt;1),IF(AND(C2773=C2772,W2773=W2772+1),IF(Y2773=1,"",INDEX(DATAS,W2772+1)),INDEX(DATAS,W2772+1)),"")</f>
        <v/>
      </c>
    </row>
    <row r="2773" customFormat="false" ht="15" hidden="false" customHeight="false" outlineLevel="0" collapsed="false">
      <c r="A2773" s="33" t="n">
        <v>46309</v>
      </c>
      <c r="B2773" s="0" t="n">
        <v>13</v>
      </c>
      <c r="C2773" s="0" t="n">
        <v>7135</v>
      </c>
      <c r="E2773" s="0" t="n">
        <v>0</v>
      </c>
      <c r="F2773" s="27" t="s">
        <v>1377</v>
      </c>
      <c r="I2773" s="27" t="s">
        <v>166</v>
      </c>
      <c r="U2773" s="0" t="n">
        <v>332</v>
      </c>
      <c r="V2773" s="0" t="n">
        <v>0</v>
      </c>
      <c r="W2773" s="27" t="n">
        <f aca="false">MATCH(A2773,DATAS,0)</f>
        <v>1</v>
      </c>
      <c r="X2773" s="27" t="n">
        <f aca="false">IF(AND(E2773&gt;0,OR(AND(B2773&gt;=1,B2773&lt;=6),B2773=10)),1,0)</f>
        <v>0</v>
      </c>
      <c r="Y2773" s="27" t="n">
        <f aca="false">IF(AND(E2773&gt;0,B2773=10),1,0)</f>
        <v>0</v>
      </c>
      <c r="Z2773" s="0" t="str">
        <f aca="false">IF(AND(C2772=C2773,W2772=W2773-1),X2772,"")</f>
        <v/>
      </c>
      <c r="AA2773" s="0" t="str">
        <f aca="false">IF(AND(C2772=C2773,W2772=W2773-1),Y2772,"")</f>
        <v/>
      </c>
      <c r="AB2773" s="0" t="str">
        <f aca="false">IF(W2773=1,"",IF(AND(X2773=1,Z2773&lt;&gt;1),1,0))</f>
        <v/>
      </c>
      <c r="AC2773" s="0" t="str">
        <f aca="false">IF(W2773=1,"",IF(AND(Y2773=1,AA2773&lt;&gt;1),1,0))</f>
        <v/>
      </c>
      <c r="AD2773" s="33" t="str">
        <f aca="false">IF(AND(E2773&gt;0,W2773&lt;1,NOT(AND(C2774=C2773,W2774=W2773+1))),INDEX(DATAS,W2773+1),"")</f>
        <v/>
      </c>
      <c r="AE2773" s="33" t="str">
        <f aca="false">IF(AND(Y2773=1,W2773&lt;1),IF(AND(C2774=C2773,W2774=W2773+1),IF(Y2774=1,"",INDEX(DATAS,W2773+1)),INDEX(DATAS,W2773+1)),"")</f>
        <v/>
      </c>
    </row>
    <row r="2774" customFormat="false" ht="15" hidden="false" customHeight="false" outlineLevel="0" collapsed="false">
      <c r="A2774" s="33" t="n">
        <v>46309</v>
      </c>
      <c r="B2774" s="0" t="n">
        <v>13</v>
      </c>
      <c r="C2774" s="0" t="n">
        <v>7137</v>
      </c>
      <c r="E2774" s="0" t="n">
        <v>0</v>
      </c>
      <c r="F2774" s="27" t="s">
        <v>1378</v>
      </c>
      <c r="I2774" s="27" t="s">
        <v>166</v>
      </c>
      <c r="U2774" s="0" t="n">
        <v>331</v>
      </c>
      <c r="V2774" s="0" t="n">
        <v>0</v>
      </c>
      <c r="W2774" s="27" t="n">
        <f aca="false">MATCH(A2774,DATAS,0)</f>
        <v>1</v>
      </c>
      <c r="X2774" s="27" t="n">
        <f aca="false">IF(AND(E2774&gt;0,OR(AND(B2774&gt;=1,B2774&lt;=6),B2774=10)),1,0)</f>
        <v>0</v>
      </c>
      <c r="Y2774" s="27" t="n">
        <f aca="false">IF(AND(E2774&gt;0,B2774=10),1,0)</f>
        <v>0</v>
      </c>
      <c r="Z2774" s="0" t="str">
        <f aca="false">IF(AND(C2773=C2774,W2773=W2774-1),X2773,"")</f>
        <v/>
      </c>
      <c r="AA2774" s="0" t="str">
        <f aca="false">IF(AND(C2773=C2774,W2773=W2774-1),Y2773,"")</f>
        <v/>
      </c>
      <c r="AB2774" s="0" t="str">
        <f aca="false">IF(W2774=1,"",IF(AND(X2774=1,Z2774&lt;&gt;1),1,0))</f>
        <v/>
      </c>
      <c r="AC2774" s="0" t="str">
        <f aca="false">IF(W2774=1,"",IF(AND(Y2774=1,AA2774&lt;&gt;1),1,0))</f>
        <v/>
      </c>
      <c r="AD2774" s="33" t="str">
        <f aca="false">IF(AND(E2774&gt;0,W2774&lt;1,NOT(AND(C2775=C2774,W2775=W2774+1))),INDEX(DATAS,W2774+1),"")</f>
        <v/>
      </c>
      <c r="AE2774" s="33" t="str">
        <f aca="false">IF(AND(Y2774=1,W2774&lt;1),IF(AND(C2775=C2774,W2775=W2774+1),IF(Y2775=1,"",INDEX(DATAS,W2774+1)),INDEX(DATAS,W2774+1)),"")</f>
        <v/>
      </c>
    </row>
    <row r="2775" customFormat="false" ht="15" hidden="false" customHeight="false" outlineLevel="0" collapsed="false">
      <c r="A2775" s="33" t="n">
        <v>46309</v>
      </c>
      <c r="B2775" s="0" t="n">
        <v>13</v>
      </c>
      <c r="C2775" s="0" t="n">
        <v>7138</v>
      </c>
      <c r="E2775" s="0" t="n">
        <v>0</v>
      </c>
      <c r="F2775" s="27" t="s">
        <v>1378</v>
      </c>
      <c r="I2775" s="27" t="s">
        <v>166</v>
      </c>
      <c r="U2775" s="0" t="n">
        <v>331</v>
      </c>
      <c r="V2775" s="0" t="n">
        <v>0</v>
      </c>
      <c r="W2775" s="27" t="n">
        <f aca="false">MATCH(A2775,DATAS,0)</f>
        <v>1</v>
      </c>
      <c r="X2775" s="27" t="n">
        <f aca="false">IF(AND(E2775&gt;0,OR(AND(B2775&gt;=1,B2775&lt;=6),B2775=10)),1,0)</f>
        <v>0</v>
      </c>
      <c r="Y2775" s="27" t="n">
        <f aca="false">IF(AND(E2775&gt;0,B2775=10),1,0)</f>
        <v>0</v>
      </c>
      <c r="Z2775" s="0" t="str">
        <f aca="false">IF(AND(C2774=C2775,W2774=W2775-1),X2774,"")</f>
        <v/>
      </c>
      <c r="AA2775" s="0" t="str">
        <f aca="false">IF(AND(C2774=C2775,W2774=W2775-1),Y2774,"")</f>
        <v/>
      </c>
      <c r="AB2775" s="0" t="str">
        <f aca="false">IF(W2775=1,"",IF(AND(X2775=1,Z2775&lt;&gt;1),1,0))</f>
        <v/>
      </c>
      <c r="AC2775" s="0" t="str">
        <f aca="false">IF(W2775=1,"",IF(AND(Y2775=1,AA2775&lt;&gt;1),1,0))</f>
        <v/>
      </c>
      <c r="AD2775" s="33" t="str">
        <f aca="false">IF(AND(E2775&gt;0,W2775&lt;1,NOT(AND(C2776=C2775,W2776=W2775+1))),INDEX(DATAS,W2775+1),"")</f>
        <v/>
      </c>
      <c r="AE2775" s="33" t="str">
        <f aca="false">IF(AND(Y2775=1,W2775&lt;1),IF(AND(C2776=C2775,W2776=W2775+1),IF(Y2776=1,"",INDEX(DATAS,W2775+1)),INDEX(DATAS,W2775+1)),"")</f>
        <v/>
      </c>
    </row>
    <row r="2776" customFormat="false" ht="15" hidden="false" customHeight="false" outlineLevel="0" collapsed="false">
      <c r="A2776" s="33" t="n">
        <v>46309</v>
      </c>
      <c r="B2776" s="0" t="n">
        <v>13</v>
      </c>
      <c r="C2776" s="0" t="n">
        <v>7139</v>
      </c>
      <c r="E2776" s="0" t="n">
        <v>0</v>
      </c>
      <c r="F2776" s="27" t="s">
        <v>1378</v>
      </c>
      <c r="I2776" s="27" t="s">
        <v>166</v>
      </c>
      <c r="U2776" s="0" t="n">
        <v>331</v>
      </c>
      <c r="V2776" s="0" t="n">
        <v>0</v>
      </c>
      <c r="W2776" s="27" t="n">
        <f aca="false">MATCH(A2776,DATAS,0)</f>
        <v>1</v>
      </c>
      <c r="X2776" s="27" t="n">
        <f aca="false">IF(AND(E2776&gt;0,OR(AND(B2776&gt;=1,B2776&lt;=6),B2776=10)),1,0)</f>
        <v>0</v>
      </c>
      <c r="Y2776" s="27" t="n">
        <f aca="false">IF(AND(E2776&gt;0,B2776=10),1,0)</f>
        <v>0</v>
      </c>
      <c r="Z2776" s="0" t="str">
        <f aca="false">IF(AND(C2775=C2776,W2775=W2776-1),X2775,"")</f>
        <v/>
      </c>
      <c r="AA2776" s="0" t="str">
        <f aca="false">IF(AND(C2775=C2776,W2775=W2776-1),Y2775,"")</f>
        <v/>
      </c>
      <c r="AB2776" s="0" t="str">
        <f aca="false">IF(W2776=1,"",IF(AND(X2776=1,Z2776&lt;&gt;1),1,0))</f>
        <v/>
      </c>
      <c r="AC2776" s="0" t="str">
        <f aca="false">IF(W2776=1,"",IF(AND(Y2776=1,AA2776&lt;&gt;1),1,0))</f>
        <v/>
      </c>
      <c r="AD2776" s="33" t="str">
        <f aca="false">IF(AND(E2776&gt;0,W2776&lt;1,NOT(AND(C2777=C2776,W2777=W2776+1))),INDEX(DATAS,W2776+1),"")</f>
        <v/>
      </c>
      <c r="AE2776" s="33" t="str">
        <f aca="false">IF(AND(Y2776=1,W2776&lt;1),IF(AND(C2777=C2776,W2777=W2776+1),IF(Y2777=1,"",INDEX(DATAS,W2776+1)),INDEX(DATAS,W2776+1)),"")</f>
        <v/>
      </c>
    </row>
    <row r="2777" customFormat="false" ht="15" hidden="false" customHeight="false" outlineLevel="0" collapsed="false">
      <c r="A2777" s="33" t="n">
        <v>46309</v>
      </c>
      <c r="B2777" s="0" t="n">
        <v>13</v>
      </c>
      <c r="C2777" s="0" t="n">
        <v>7140</v>
      </c>
      <c r="E2777" s="0" t="n">
        <v>0</v>
      </c>
      <c r="F2777" s="27" t="s">
        <v>1378</v>
      </c>
      <c r="I2777" s="27" t="s">
        <v>166</v>
      </c>
      <c r="U2777" s="0" t="n">
        <v>331</v>
      </c>
      <c r="V2777" s="0" t="n">
        <v>0</v>
      </c>
      <c r="W2777" s="27" t="n">
        <f aca="false">MATCH(A2777,DATAS,0)</f>
        <v>1</v>
      </c>
      <c r="X2777" s="27" t="n">
        <f aca="false">IF(AND(E2777&gt;0,OR(AND(B2777&gt;=1,B2777&lt;=6),B2777=10)),1,0)</f>
        <v>0</v>
      </c>
      <c r="Y2777" s="27" t="n">
        <f aca="false">IF(AND(E2777&gt;0,B2777=10),1,0)</f>
        <v>0</v>
      </c>
      <c r="Z2777" s="0" t="str">
        <f aca="false">IF(AND(C2776=C2777,W2776=W2777-1),X2776,"")</f>
        <v/>
      </c>
      <c r="AA2777" s="0" t="str">
        <f aca="false">IF(AND(C2776=C2777,W2776=W2777-1),Y2776,"")</f>
        <v/>
      </c>
      <c r="AB2777" s="0" t="str">
        <f aca="false">IF(W2777=1,"",IF(AND(X2777=1,Z2777&lt;&gt;1),1,0))</f>
        <v/>
      </c>
      <c r="AC2777" s="0" t="str">
        <f aca="false">IF(W2777=1,"",IF(AND(Y2777=1,AA2777&lt;&gt;1),1,0))</f>
        <v/>
      </c>
      <c r="AD2777" s="33" t="str">
        <f aca="false">IF(AND(E2777&gt;0,W2777&lt;1,NOT(AND(C2778=C2777,W2778=W2777+1))),INDEX(DATAS,W2777+1),"")</f>
        <v/>
      </c>
      <c r="AE2777" s="33" t="str">
        <f aca="false">IF(AND(Y2777=1,W2777&lt;1),IF(AND(C2778=C2777,W2778=W2777+1),IF(Y2778=1,"",INDEX(DATAS,W2777+1)),INDEX(DATAS,W2777+1)),"")</f>
        <v/>
      </c>
    </row>
    <row r="2778" customFormat="false" ht="15" hidden="false" customHeight="false" outlineLevel="0" collapsed="false">
      <c r="A2778" s="33" t="n">
        <v>46309</v>
      </c>
      <c r="B2778" s="0" t="n">
        <v>13</v>
      </c>
      <c r="C2778" s="0" t="n">
        <v>7141</v>
      </c>
      <c r="E2778" s="0" t="n">
        <v>0</v>
      </c>
      <c r="F2778" s="27" t="s">
        <v>1378</v>
      </c>
      <c r="I2778" s="27" t="s">
        <v>166</v>
      </c>
      <c r="U2778" s="0" t="n">
        <v>331</v>
      </c>
      <c r="V2778" s="0" t="n">
        <v>0</v>
      </c>
      <c r="W2778" s="27" t="n">
        <f aca="false">MATCH(A2778,DATAS,0)</f>
        <v>1</v>
      </c>
      <c r="X2778" s="27" t="n">
        <f aca="false">IF(AND(E2778&gt;0,OR(AND(B2778&gt;=1,B2778&lt;=6),B2778=10)),1,0)</f>
        <v>0</v>
      </c>
      <c r="Y2778" s="27" t="n">
        <f aca="false">IF(AND(E2778&gt;0,B2778=10),1,0)</f>
        <v>0</v>
      </c>
      <c r="Z2778" s="0" t="str">
        <f aca="false">IF(AND(C2777=C2778,W2777=W2778-1),X2777,"")</f>
        <v/>
      </c>
      <c r="AA2778" s="0" t="str">
        <f aca="false">IF(AND(C2777=C2778,W2777=W2778-1),Y2777,"")</f>
        <v/>
      </c>
      <c r="AB2778" s="0" t="str">
        <f aca="false">IF(W2778=1,"",IF(AND(X2778=1,Z2778&lt;&gt;1),1,0))</f>
        <v/>
      </c>
      <c r="AC2778" s="0" t="str">
        <f aca="false">IF(W2778=1,"",IF(AND(Y2778=1,AA2778&lt;&gt;1),1,0))</f>
        <v/>
      </c>
      <c r="AD2778" s="33" t="str">
        <f aca="false">IF(AND(E2778&gt;0,W2778&lt;1,NOT(AND(C2779=C2778,W2779=W2778+1))),INDEX(DATAS,W2778+1),"")</f>
        <v/>
      </c>
      <c r="AE2778" s="33" t="str">
        <f aca="false">IF(AND(Y2778=1,W2778&lt;1),IF(AND(C2779=C2778,W2779=W2778+1),IF(Y2779=1,"",INDEX(DATAS,W2778+1)),INDEX(DATAS,W2778+1)),"")</f>
        <v/>
      </c>
    </row>
    <row r="2779" customFormat="false" ht="15" hidden="false" customHeight="false" outlineLevel="0" collapsed="false">
      <c r="A2779" s="33" t="n">
        <v>46309</v>
      </c>
      <c r="B2779" s="0" t="n">
        <v>13</v>
      </c>
      <c r="C2779" s="0" t="n">
        <v>7142</v>
      </c>
      <c r="E2779" s="0" t="n">
        <v>0</v>
      </c>
      <c r="F2779" s="27" t="s">
        <v>1379</v>
      </c>
      <c r="I2779" s="27" t="s">
        <v>166</v>
      </c>
      <c r="U2779" s="0" t="n">
        <v>330</v>
      </c>
      <c r="V2779" s="0" t="n">
        <v>0</v>
      </c>
      <c r="W2779" s="27" t="n">
        <f aca="false">MATCH(A2779,DATAS,0)</f>
        <v>1</v>
      </c>
      <c r="X2779" s="27" t="n">
        <f aca="false">IF(AND(E2779&gt;0,OR(AND(B2779&gt;=1,B2779&lt;=6),B2779=10)),1,0)</f>
        <v>0</v>
      </c>
      <c r="Y2779" s="27" t="n">
        <f aca="false">IF(AND(E2779&gt;0,B2779=10),1,0)</f>
        <v>0</v>
      </c>
      <c r="Z2779" s="0" t="str">
        <f aca="false">IF(AND(C2778=C2779,W2778=W2779-1),X2778,"")</f>
        <v/>
      </c>
      <c r="AA2779" s="0" t="str">
        <f aca="false">IF(AND(C2778=C2779,W2778=W2779-1),Y2778,"")</f>
        <v/>
      </c>
      <c r="AB2779" s="0" t="str">
        <f aca="false">IF(W2779=1,"",IF(AND(X2779=1,Z2779&lt;&gt;1),1,0))</f>
        <v/>
      </c>
      <c r="AC2779" s="0" t="str">
        <f aca="false">IF(W2779=1,"",IF(AND(Y2779=1,AA2779&lt;&gt;1),1,0))</f>
        <v/>
      </c>
      <c r="AD2779" s="33" t="str">
        <f aca="false">IF(AND(E2779&gt;0,W2779&lt;1,NOT(AND(C2780=C2779,W2780=W2779+1))),INDEX(DATAS,W2779+1),"")</f>
        <v/>
      </c>
      <c r="AE2779" s="33" t="str">
        <f aca="false">IF(AND(Y2779=1,W2779&lt;1),IF(AND(C2780=C2779,W2780=W2779+1),IF(Y2780=1,"",INDEX(DATAS,W2779+1)),INDEX(DATAS,W2779+1)),"")</f>
        <v/>
      </c>
    </row>
    <row r="2780" customFormat="false" ht="15" hidden="false" customHeight="false" outlineLevel="0" collapsed="false">
      <c r="A2780" s="33" t="n">
        <v>46309</v>
      </c>
      <c r="B2780" s="0" t="n">
        <v>13</v>
      </c>
      <c r="C2780" s="0" t="n">
        <v>7143</v>
      </c>
      <c r="E2780" s="0" t="n">
        <v>0</v>
      </c>
      <c r="F2780" s="27" t="s">
        <v>1379</v>
      </c>
      <c r="I2780" s="27" t="s">
        <v>166</v>
      </c>
      <c r="U2780" s="0" t="n">
        <v>330</v>
      </c>
      <c r="V2780" s="0" t="n">
        <v>0</v>
      </c>
      <c r="W2780" s="27" t="n">
        <f aca="false">MATCH(A2780,DATAS,0)</f>
        <v>1</v>
      </c>
      <c r="X2780" s="27" t="n">
        <f aca="false">IF(AND(E2780&gt;0,OR(AND(B2780&gt;=1,B2780&lt;=6),B2780=10)),1,0)</f>
        <v>0</v>
      </c>
      <c r="Y2780" s="27" t="n">
        <f aca="false">IF(AND(E2780&gt;0,B2780=10),1,0)</f>
        <v>0</v>
      </c>
      <c r="Z2780" s="0" t="str">
        <f aca="false">IF(AND(C2779=C2780,W2779=W2780-1),X2779,"")</f>
        <v/>
      </c>
      <c r="AA2780" s="0" t="str">
        <f aca="false">IF(AND(C2779=C2780,W2779=W2780-1),Y2779,"")</f>
        <v/>
      </c>
      <c r="AB2780" s="0" t="str">
        <f aca="false">IF(W2780=1,"",IF(AND(X2780=1,Z2780&lt;&gt;1),1,0))</f>
        <v/>
      </c>
      <c r="AC2780" s="0" t="str">
        <f aca="false">IF(W2780=1,"",IF(AND(Y2780=1,AA2780&lt;&gt;1),1,0))</f>
        <v/>
      </c>
      <c r="AD2780" s="33" t="str">
        <f aca="false">IF(AND(E2780&gt;0,W2780&lt;1,NOT(AND(C2781=C2780,W2781=W2780+1))),INDEX(DATAS,W2780+1),"")</f>
        <v/>
      </c>
      <c r="AE2780" s="33" t="str">
        <f aca="false">IF(AND(Y2780=1,W2780&lt;1),IF(AND(C2781=C2780,W2781=W2780+1),IF(Y2781=1,"",INDEX(DATAS,W2780+1)),INDEX(DATAS,W2780+1)),"")</f>
        <v/>
      </c>
    </row>
    <row r="2781" customFormat="false" ht="15" hidden="false" customHeight="false" outlineLevel="0" collapsed="false">
      <c r="A2781" s="33" t="n">
        <v>46309</v>
      </c>
      <c r="B2781" s="0" t="n">
        <v>13</v>
      </c>
      <c r="C2781" s="0" t="n">
        <v>7144</v>
      </c>
      <c r="E2781" s="0" t="n">
        <v>0</v>
      </c>
      <c r="F2781" s="27" t="s">
        <v>1379</v>
      </c>
      <c r="I2781" s="27" t="s">
        <v>166</v>
      </c>
      <c r="U2781" s="0" t="n">
        <v>330</v>
      </c>
      <c r="V2781" s="0" t="n">
        <v>0</v>
      </c>
      <c r="W2781" s="27" t="n">
        <f aca="false">MATCH(A2781,DATAS,0)</f>
        <v>1</v>
      </c>
      <c r="X2781" s="27" t="n">
        <f aca="false">IF(AND(E2781&gt;0,OR(AND(B2781&gt;=1,B2781&lt;=6),B2781=10)),1,0)</f>
        <v>0</v>
      </c>
      <c r="Y2781" s="27" t="n">
        <f aca="false">IF(AND(E2781&gt;0,B2781=10),1,0)</f>
        <v>0</v>
      </c>
      <c r="Z2781" s="0" t="str">
        <f aca="false">IF(AND(C2780=C2781,W2780=W2781-1),X2780,"")</f>
        <v/>
      </c>
      <c r="AA2781" s="0" t="str">
        <f aca="false">IF(AND(C2780=C2781,W2780=W2781-1),Y2780,"")</f>
        <v/>
      </c>
      <c r="AB2781" s="0" t="str">
        <f aca="false">IF(W2781=1,"",IF(AND(X2781=1,Z2781&lt;&gt;1),1,0))</f>
        <v/>
      </c>
      <c r="AC2781" s="0" t="str">
        <f aca="false">IF(W2781=1,"",IF(AND(Y2781=1,AA2781&lt;&gt;1),1,0))</f>
        <v/>
      </c>
      <c r="AD2781" s="33" t="str">
        <f aca="false">IF(AND(E2781&gt;0,W2781&lt;1,NOT(AND(C2782=C2781,W2782=W2781+1))),INDEX(DATAS,W2781+1),"")</f>
        <v/>
      </c>
      <c r="AE2781" s="33" t="str">
        <f aca="false">IF(AND(Y2781=1,W2781&lt;1),IF(AND(C2782=C2781,W2782=W2781+1),IF(Y2782=1,"",INDEX(DATAS,W2781+1)),INDEX(DATAS,W2781+1)),"")</f>
        <v/>
      </c>
    </row>
    <row r="2782" customFormat="false" ht="15" hidden="false" customHeight="false" outlineLevel="0" collapsed="false">
      <c r="A2782" s="33" t="n">
        <v>46309</v>
      </c>
      <c r="B2782" s="0" t="n">
        <v>13</v>
      </c>
      <c r="C2782" s="0" t="n">
        <v>7146</v>
      </c>
      <c r="E2782" s="0" t="n">
        <v>0</v>
      </c>
      <c r="F2782" s="27" t="s">
        <v>1380</v>
      </c>
      <c r="I2782" s="27" t="s">
        <v>166</v>
      </c>
      <c r="U2782" s="0" t="n">
        <v>329</v>
      </c>
      <c r="V2782" s="0" t="n">
        <v>0</v>
      </c>
      <c r="W2782" s="27" t="n">
        <f aca="false">MATCH(A2782,DATAS,0)</f>
        <v>1</v>
      </c>
      <c r="X2782" s="27" t="n">
        <f aca="false">IF(AND(E2782&gt;0,OR(AND(B2782&gt;=1,B2782&lt;=6),B2782=10)),1,0)</f>
        <v>0</v>
      </c>
      <c r="Y2782" s="27" t="n">
        <f aca="false">IF(AND(E2782&gt;0,B2782=10),1,0)</f>
        <v>0</v>
      </c>
      <c r="Z2782" s="0" t="str">
        <f aca="false">IF(AND(C2781=C2782,W2781=W2782-1),X2781,"")</f>
        <v/>
      </c>
      <c r="AA2782" s="0" t="str">
        <f aca="false">IF(AND(C2781=C2782,W2781=W2782-1),Y2781,"")</f>
        <v/>
      </c>
      <c r="AB2782" s="0" t="str">
        <f aca="false">IF(W2782=1,"",IF(AND(X2782=1,Z2782&lt;&gt;1),1,0))</f>
        <v/>
      </c>
      <c r="AC2782" s="0" t="str">
        <f aca="false">IF(W2782=1,"",IF(AND(Y2782=1,AA2782&lt;&gt;1),1,0))</f>
        <v/>
      </c>
      <c r="AD2782" s="33" t="str">
        <f aca="false">IF(AND(E2782&gt;0,W2782&lt;1,NOT(AND(C2783=C2782,W2783=W2782+1))),INDEX(DATAS,W2782+1),"")</f>
        <v/>
      </c>
      <c r="AE2782" s="33" t="str">
        <f aca="false">IF(AND(Y2782=1,W2782&lt;1),IF(AND(C2783=C2782,W2783=W2782+1),IF(Y2783=1,"",INDEX(DATAS,W2782+1)),INDEX(DATAS,W2782+1)),"")</f>
        <v/>
      </c>
    </row>
    <row r="2783" customFormat="false" ht="15" hidden="false" customHeight="false" outlineLevel="0" collapsed="false">
      <c r="A2783" s="33" t="n">
        <v>46309</v>
      </c>
      <c r="B2783" s="0" t="n">
        <v>13</v>
      </c>
      <c r="C2783" s="0" t="n">
        <v>7147</v>
      </c>
      <c r="E2783" s="0" t="n">
        <v>0</v>
      </c>
      <c r="F2783" s="27" t="s">
        <v>1380</v>
      </c>
      <c r="I2783" s="27" t="s">
        <v>166</v>
      </c>
      <c r="U2783" s="0" t="n">
        <v>329</v>
      </c>
      <c r="V2783" s="0" t="n">
        <v>0</v>
      </c>
      <c r="W2783" s="27" t="n">
        <f aca="false">MATCH(A2783,DATAS,0)</f>
        <v>1</v>
      </c>
      <c r="X2783" s="27" t="n">
        <f aca="false">IF(AND(E2783&gt;0,OR(AND(B2783&gt;=1,B2783&lt;=6),B2783=10)),1,0)</f>
        <v>0</v>
      </c>
      <c r="Y2783" s="27" t="n">
        <f aca="false">IF(AND(E2783&gt;0,B2783=10),1,0)</f>
        <v>0</v>
      </c>
      <c r="Z2783" s="0" t="str">
        <f aca="false">IF(AND(C2782=C2783,W2782=W2783-1),X2782,"")</f>
        <v/>
      </c>
      <c r="AA2783" s="0" t="str">
        <f aca="false">IF(AND(C2782=C2783,W2782=W2783-1),Y2782,"")</f>
        <v/>
      </c>
      <c r="AB2783" s="0" t="str">
        <f aca="false">IF(W2783=1,"",IF(AND(X2783=1,Z2783&lt;&gt;1),1,0))</f>
        <v/>
      </c>
      <c r="AC2783" s="0" t="str">
        <f aca="false">IF(W2783=1,"",IF(AND(Y2783=1,AA2783&lt;&gt;1),1,0))</f>
        <v/>
      </c>
      <c r="AD2783" s="33" t="str">
        <f aca="false">IF(AND(E2783&gt;0,W2783&lt;1,NOT(AND(C2784=C2783,W2784=W2783+1))),INDEX(DATAS,W2783+1),"")</f>
        <v/>
      </c>
      <c r="AE2783" s="33" t="str">
        <f aca="false">IF(AND(Y2783=1,W2783&lt;1),IF(AND(C2784=C2783,W2784=W2783+1),IF(Y2784=1,"",INDEX(DATAS,W2783+1)),INDEX(DATAS,W2783+1)),"")</f>
        <v/>
      </c>
    </row>
    <row r="2784" customFormat="false" ht="15" hidden="false" customHeight="false" outlineLevel="0" collapsed="false">
      <c r="A2784" s="33" t="n">
        <v>46309</v>
      </c>
      <c r="B2784" s="0" t="n">
        <v>13</v>
      </c>
      <c r="C2784" s="0" t="n">
        <v>7148</v>
      </c>
      <c r="E2784" s="0" t="n">
        <v>0</v>
      </c>
      <c r="F2784" s="27" t="s">
        <v>1380</v>
      </c>
      <c r="I2784" s="27" t="s">
        <v>166</v>
      </c>
      <c r="U2784" s="0" t="n">
        <v>329</v>
      </c>
      <c r="V2784" s="0" t="n">
        <v>0</v>
      </c>
      <c r="W2784" s="27" t="n">
        <f aca="false">MATCH(A2784,DATAS,0)</f>
        <v>1</v>
      </c>
      <c r="X2784" s="27" t="n">
        <f aca="false">IF(AND(E2784&gt;0,OR(AND(B2784&gt;=1,B2784&lt;=6),B2784=10)),1,0)</f>
        <v>0</v>
      </c>
      <c r="Y2784" s="27" t="n">
        <f aca="false">IF(AND(E2784&gt;0,B2784=10),1,0)</f>
        <v>0</v>
      </c>
      <c r="Z2784" s="0" t="str">
        <f aca="false">IF(AND(C2783=C2784,W2783=W2784-1),X2783,"")</f>
        <v/>
      </c>
      <c r="AA2784" s="0" t="str">
        <f aca="false">IF(AND(C2783=C2784,W2783=W2784-1),Y2783,"")</f>
        <v/>
      </c>
      <c r="AB2784" s="0" t="str">
        <f aca="false">IF(W2784=1,"",IF(AND(X2784=1,Z2784&lt;&gt;1),1,0))</f>
        <v/>
      </c>
      <c r="AC2784" s="0" t="str">
        <f aca="false">IF(W2784=1,"",IF(AND(Y2784=1,AA2784&lt;&gt;1),1,0))</f>
        <v/>
      </c>
      <c r="AD2784" s="33" t="str">
        <f aca="false">IF(AND(E2784&gt;0,W2784&lt;1,NOT(AND(C2785=C2784,W2785=W2784+1))),INDEX(DATAS,W2784+1),"")</f>
        <v/>
      </c>
      <c r="AE2784" s="33" t="str">
        <f aca="false">IF(AND(Y2784=1,W2784&lt;1),IF(AND(C2785=C2784,W2785=W2784+1),IF(Y2785=1,"",INDEX(DATAS,W2784+1)),INDEX(DATAS,W2784+1)),"")</f>
        <v/>
      </c>
    </row>
    <row r="2785" customFormat="false" ht="15" hidden="false" customHeight="false" outlineLevel="0" collapsed="false">
      <c r="A2785" s="33" t="n">
        <v>46309</v>
      </c>
      <c r="B2785" s="0" t="n">
        <v>13</v>
      </c>
      <c r="C2785" s="0" t="n">
        <v>7150</v>
      </c>
      <c r="E2785" s="0" t="n">
        <v>0</v>
      </c>
      <c r="F2785" s="27" t="s">
        <v>1380</v>
      </c>
      <c r="I2785" s="27" t="s">
        <v>166</v>
      </c>
      <c r="U2785" s="0" t="n">
        <v>329</v>
      </c>
      <c r="V2785" s="0" t="n">
        <v>0</v>
      </c>
      <c r="W2785" s="27" t="n">
        <f aca="false">MATCH(A2785,DATAS,0)</f>
        <v>1</v>
      </c>
      <c r="X2785" s="27" t="n">
        <f aca="false">IF(AND(E2785&gt;0,OR(AND(B2785&gt;=1,B2785&lt;=6),B2785=10)),1,0)</f>
        <v>0</v>
      </c>
      <c r="Y2785" s="27" t="n">
        <f aca="false">IF(AND(E2785&gt;0,B2785=10),1,0)</f>
        <v>0</v>
      </c>
      <c r="Z2785" s="0" t="str">
        <f aca="false">IF(AND(C2784=C2785,W2784=W2785-1),X2784,"")</f>
        <v/>
      </c>
      <c r="AA2785" s="0" t="str">
        <f aca="false">IF(AND(C2784=C2785,W2784=W2785-1),Y2784,"")</f>
        <v/>
      </c>
      <c r="AB2785" s="0" t="str">
        <f aca="false">IF(W2785=1,"",IF(AND(X2785=1,Z2785&lt;&gt;1),1,0))</f>
        <v/>
      </c>
      <c r="AC2785" s="0" t="str">
        <f aca="false">IF(W2785=1,"",IF(AND(Y2785=1,AA2785&lt;&gt;1),1,0))</f>
        <v/>
      </c>
      <c r="AD2785" s="33" t="str">
        <f aca="false">IF(AND(E2785&gt;0,W2785&lt;1,NOT(AND(C2786=C2785,W2786=W2785+1))),INDEX(DATAS,W2785+1),"")</f>
        <v/>
      </c>
      <c r="AE2785" s="33" t="str">
        <f aca="false">IF(AND(Y2785=1,W2785&lt;1),IF(AND(C2786=C2785,W2786=W2785+1),IF(Y2786=1,"",INDEX(DATAS,W2785+1)),INDEX(DATAS,W2785+1)),"")</f>
        <v/>
      </c>
    </row>
    <row r="2786" customFormat="false" ht="15" hidden="false" customHeight="false" outlineLevel="0" collapsed="false">
      <c r="A2786" s="33" t="n">
        <v>46309</v>
      </c>
      <c r="B2786" s="0" t="n">
        <v>13</v>
      </c>
      <c r="C2786" s="0" t="n">
        <v>7151</v>
      </c>
      <c r="E2786" s="0" t="n">
        <v>0</v>
      </c>
      <c r="F2786" s="27" t="s">
        <v>1380</v>
      </c>
      <c r="I2786" s="27" t="s">
        <v>166</v>
      </c>
      <c r="U2786" s="0" t="n">
        <v>329</v>
      </c>
      <c r="V2786" s="0" t="n">
        <v>0</v>
      </c>
      <c r="W2786" s="27" t="n">
        <f aca="false">MATCH(A2786,DATAS,0)</f>
        <v>1</v>
      </c>
      <c r="X2786" s="27" t="n">
        <f aca="false">IF(AND(E2786&gt;0,OR(AND(B2786&gt;=1,B2786&lt;=6),B2786=10)),1,0)</f>
        <v>0</v>
      </c>
      <c r="Y2786" s="27" t="n">
        <f aca="false">IF(AND(E2786&gt;0,B2786=10),1,0)</f>
        <v>0</v>
      </c>
      <c r="Z2786" s="0" t="str">
        <f aca="false">IF(AND(C2785=C2786,W2785=W2786-1),X2785,"")</f>
        <v/>
      </c>
      <c r="AA2786" s="0" t="str">
        <f aca="false">IF(AND(C2785=C2786,W2785=W2786-1),Y2785,"")</f>
        <v/>
      </c>
      <c r="AB2786" s="0" t="str">
        <f aca="false">IF(W2786=1,"",IF(AND(X2786=1,Z2786&lt;&gt;1),1,0))</f>
        <v/>
      </c>
      <c r="AC2786" s="0" t="str">
        <f aca="false">IF(W2786=1,"",IF(AND(Y2786=1,AA2786&lt;&gt;1),1,0))</f>
        <v/>
      </c>
      <c r="AD2786" s="33" t="str">
        <f aca="false">IF(AND(E2786&gt;0,W2786&lt;1,NOT(AND(C2787=C2786,W2787=W2786+1))),INDEX(DATAS,W2786+1),"")</f>
        <v/>
      </c>
      <c r="AE2786" s="33" t="str">
        <f aca="false">IF(AND(Y2786=1,W2786&lt;1),IF(AND(C2787=C2786,W2787=W2786+1),IF(Y2787=1,"",INDEX(DATAS,W2786+1)),INDEX(DATAS,W2786+1)),"")</f>
        <v/>
      </c>
    </row>
    <row r="2787" customFormat="false" ht="15" hidden="false" customHeight="false" outlineLevel="0" collapsed="false">
      <c r="A2787" s="33" t="n">
        <v>46309</v>
      </c>
      <c r="B2787" s="0" t="n">
        <v>13</v>
      </c>
      <c r="C2787" s="0" t="n">
        <v>7152</v>
      </c>
      <c r="E2787" s="0" t="n">
        <v>0</v>
      </c>
      <c r="F2787" s="27" t="s">
        <v>1381</v>
      </c>
      <c r="I2787" s="27" t="s">
        <v>166</v>
      </c>
      <c r="U2787" s="0" t="n">
        <v>328</v>
      </c>
      <c r="V2787" s="0" t="n">
        <v>0</v>
      </c>
      <c r="W2787" s="27" t="n">
        <f aca="false">MATCH(A2787,DATAS,0)</f>
        <v>1</v>
      </c>
      <c r="X2787" s="27" t="n">
        <f aca="false">IF(AND(E2787&gt;0,OR(AND(B2787&gt;=1,B2787&lt;=6),B2787=10)),1,0)</f>
        <v>0</v>
      </c>
      <c r="Y2787" s="27" t="n">
        <f aca="false">IF(AND(E2787&gt;0,B2787=10),1,0)</f>
        <v>0</v>
      </c>
      <c r="Z2787" s="0" t="str">
        <f aca="false">IF(AND(C2786=C2787,W2786=W2787-1),X2786,"")</f>
        <v/>
      </c>
      <c r="AA2787" s="0" t="str">
        <f aca="false">IF(AND(C2786=C2787,W2786=W2787-1),Y2786,"")</f>
        <v/>
      </c>
      <c r="AB2787" s="0" t="str">
        <f aca="false">IF(W2787=1,"",IF(AND(X2787=1,Z2787&lt;&gt;1),1,0))</f>
        <v/>
      </c>
      <c r="AC2787" s="0" t="str">
        <f aca="false">IF(W2787=1,"",IF(AND(Y2787=1,AA2787&lt;&gt;1),1,0))</f>
        <v/>
      </c>
      <c r="AD2787" s="33" t="str">
        <f aca="false">IF(AND(E2787&gt;0,W2787&lt;1,NOT(AND(C2788=C2787,W2788=W2787+1))),INDEX(DATAS,W2787+1),"")</f>
        <v/>
      </c>
      <c r="AE2787" s="33" t="str">
        <f aca="false">IF(AND(Y2787=1,W2787&lt;1),IF(AND(C2788=C2787,W2788=W2787+1),IF(Y2788=1,"",INDEX(DATAS,W2787+1)),INDEX(DATAS,W2787+1)),"")</f>
        <v/>
      </c>
    </row>
    <row r="2788" customFormat="false" ht="15" hidden="false" customHeight="false" outlineLevel="0" collapsed="false">
      <c r="A2788" s="33" t="n">
        <v>46309</v>
      </c>
      <c r="B2788" s="0" t="n">
        <v>13</v>
      </c>
      <c r="C2788" s="0" t="n">
        <v>7153</v>
      </c>
      <c r="E2788" s="0" t="n">
        <v>0</v>
      </c>
      <c r="F2788" s="27" t="s">
        <v>1382</v>
      </c>
      <c r="I2788" s="27" t="s">
        <v>166</v>
      </c>
      <c r="U2788" s="0" t="n">
        <v>327</v>
      </c>
      <c r="V2788" s="0" t="n">
        <v>0</v>
      </c>
      <c r="W2788" s="27" t="n">
        <f aca="false">MATCH(A2788,DATAS,0)</f>
        <v>1</v>
      </c>
      <c r="X2788" s="27" t="n">
        <f aca="false">IF(AND(E2788&gt;0,OR(AND(B2788&gt;=1,B2788&lt;=6),B2788=10)),1,0)</f>
        <v>0</v>
      </c>
      <c r="Y2788" s="27" t="n">
        <f aca="false">IF(AND(E2788&gt;0,B2788=10),1,0)</f>
        <v>0</v>
      </c>
      <c r="Z2788" s="0" t="str">
        <f aca="false">IF(AND(C2787=C2788,W2787=W2788-1),X2787,"")</f>
        <v/>
      </c>
      <c r="AA2788" s="0" t="str">
        <f aca="false">IF(AND(C2787=C2788,W2787=W2788-1),Y2787,"")</f>
        <v/>
      </c>
      <c r="AB2788" s="0" t="str">
        <f aca="false">IF(W2788=1,"",IF(AND(X2788=1,Z2788&lt;&gt;1),1,0))</f>
        <v/>
      </c>
      <c r="AC2788" s="0" t="str">
        <f aca="false">IF(W2788=1,"",IF(AND(Y2788=1,AA2788&lt;&gt;1),1,0))</f>
        <v/>
      </c>
      <c r="AD2788" s="33" t="str">
        <f aca="false">IF(AND(E2788&gt;0,W2788&lt;1,NOT(AND(C2789=C2788,W2789=W2788+1))),INDEX(DATAS,W2788+1),"")</f>
        <v/>
      </c>
      <c r="AE2788" s="33" t="str">
        <f aca="false">IF(AND(Y2788=1,W2788&lt;1),IF(AND(C2789=C2788,W2789=W2788+1),IF(Y2789=1,"",INDEX(DATAS,W2788+1)),INDEX(DATAS,W2788+1)),"")</f>
        <v/>
      </c>
    </row>
    <row r="2789" customFormat="false" ht="15" hidden="false" customHeight="false" outlineLevel="0" collapsed="false">
      <c r="A2789" s="33" t="n">
        <v>46309</v>
      </c>
      <c r="B2789" s="0" t="n">
        <v>13</v>
      </c>
      <c r="C2789" s="0" t="n">
        <v>7154</v>
      </c>
      <c r="E2789" s="0" t="n">
        <v>0</v>
      </c>
      <c r="F2789" s="27" t="s">
        <v>1382</v>
      </c>
      <c r="I2789" s="27" t="s">
        <v>166</v>
      </c>
      <c r="U2789" s="0" t="n">
        <v>327</v>
      </c>
      <c r="V2789" s="0" t="n">
        <v>0</v>
      </c>
      <c r="W2789" s="27" t="n">
        <f aca="false">MATCH(A2789,DATAS,0)</f>
        <v>1</v>
      </c>
      <c r="X2789" s="27" t="n">
        <f aca="false">IF(AND(E2789&gt;0,OR(AND(B2789&gt;=1,B2789&lt;=6),B2789=10)),1,0)</f>
        <v>0</v>
      </c>
      <c r="Y2789" s="27" t="n">
        <f aca="false">IF(AND(E2789&gt;0,B2789=10),1,0)</f>
        <v>0</v>
      </c>
      <c r="Z2789" s="0" t="str">
        <f aca="false">IF(AND(C2788=C2789,W2788=W2789-1),X2788,"")</f>
        <v/>
      </c>
      <c r="AA2789" s="0" t="str">
        <f aca="false">IF(AND(C2788=C2789,W2788=W2789-1),Y2788,"")</f>
        <v/>
      </c>
      <c r="AB2789" s="0" t="str">
        <f aca="false">IF(W2789=1,"",IF(AND(X2789=1,Z2789&lt;&gt;1),1,0))</f>
        <v/>
      </c>
      <c r="AC2789" s="0" t="str">
        <f aca="false">IF(W2789=1,"",IF(AND(Y2789=1,AA2789&lt;&gt;1),1,0))</f>
        <v/>
      </c>
      <c r="AD2789" s="33" t="str">
        <f aca="false">IF(AND(E2789&gt;0,W2789&lt;1,NOT(AND(C2790=C2789,W2790=W2789+1))),INDEX(DATAS,W2789+1),"")</f>
        <v/>
      </c>
      <c r="AE2789" s="33" t="str">
        <f aca="false">IF(AND(Y2789=1,W2789&lt;1),IF(AND(C2790=C2789,W2790=W2789+1),IF(Y2790=1,"",INDEX(DATAS,W2789+1)),INDEX(DATAS,W2789+1)),"")</f>
        <v/>
      </c>
    </row>
    <row r="2790" customFormat="false" ht="15" hidden="false" customHeight="false" outlineLevel="0" collapsed="false">
      <c r="A2790" s="33" t="n">
        <v>46309</v>
      </c>
      <c r="B2790" s="0" t="n">
        <v>13</v>
      </c>
      <c r="C2790" s="0" t="n">
        <v>7155</v>
      </c>
      <c r="E2790" s="0" t="n">
        <v>0</v>
      </c>
      <c r="F2790" s="27" t="s">
        <v>1383</v>
      </c>
      <c r="I2790" s="27" t="s">
        <v>166</v>
      </c>
      <c r="U2790" s="0" t="n">
        <v>326</v>
      </c>
      <c r="V2790" s="0" t="n">
        <v>0</v>
      </c>
      <c r="W2790" s="27" t="n">
        <f aca="false">MATCH(A2790,DATAS,0)</f>
        <v>1</v>
      </c>
      <c r="X2790" s="27" t="n">
        <f aca="false">IF(AND(E2790&gt;0,OR(AND(B2790&gt;=1,B2790&lt;=6),B2790=10)),1,0)</f>
        <v>0</v>
      </c>
      <c r="Y2790" s="27" t="n">
        <f aca="false">IF(AND(E2790&gt;0,B2790=10),1,0)</f>
        <v>0</v>
      </c>
      <c r="Z2790" s="0" t="str">
        <f aca="false">IF(AND(C2789=C2790,W2789=W2790-1),X2789,"")</f>
        <v/>
      </c>
      <c r="AA2790" s="0" t="str">
        <f aca="false">IF(AND(C2789=C2790,W2789=W2790-1),Y2789,"")</f>
        <v/>
      </c>
      <c r="AB2790" s="0" t="str">
        <f aca="false">IF(W2790=1,"",IF(AND(X2790=1,Z2790&lt;&gt;1),1,0))</f>
        <v/>
      </c>
      <c r="AC2790" s="0" t="str">
        <f aca="false">IF(W2790=1,"",IF(AND(Y2790=1,AA2790&lt;&gt;1),1,0))</f>
        <v/>
      </c>
      <c r="AD2790" s="33" t="str">
        <f aca="false">IF(AND(E2790&gt;0,W2790&lt;1,NOT(AND(C2791=C2790,W2791=W2790+1))),INDEX(DATAS,W2790+1),"")</f>
        <v/>
      </c>
      <c r="AE2790" s="33" t="str">
        <f aca="false">IF(AND(Y2790=1,W2790&lt;1),IF(AND(C2791=C2790,W2791=W2790+1),IF(Y2791=1,"",INDEX(DATAS,W2790+1)),INDEX(DATAS,W2790+1)),"")</f>
        <v/>
      </c>
    </row>
    <row r="2791" customFormat="false" ht="15" hidden="false" customHeight="false" outlineLevel="0" collapsed="false">
      <c r="A2791" s="33" t="n">
        <v>46309</v>
      </c>
      <c r="B2791" s="0" t="n">
        <v>13</v>
      </c>
      <c r="C2791" s="0" t="n">
        <v>7156</v>
      </c>
      <c r="E2791" s="0" t="n">
        <v>0</v>
      </c>
      <c r="F2791" s="27" t="s">
        <v>1383</v>
      </c>
      <c r="I2791" s="27" t="s">
        <v>166</v>
      </c>
      <c r="U2791" s="0" t="n">
        <v>326</v>
      </c>
      <c r="V2791" s="0" t="n">
        <v>0</v>
      </c>
      <c r="W2791" s="27" t="n">
        <f aca="false">MATCH(A2791,DATAS,0)</f>
        <v>1</v>
      </c>
      <c r="X2791" s="27" t="n">
        <f aca="false">IF(AND(E2791&gt;0,OR(AND(B2791&gt;=1,B2791&lt;=6),B2791=10)),1,0)</f>
        <v>0</v>
      </c>
      <c r="Y2791" s="27" t="n">
        <f aca="false">IF(AND(E2791&gt;0,B2791=10),1,0)</f>
        <v>0</v>
      </c>
      <c r="Z2791" s="0" t="str">
        <f aca="false">IF(AND(C2790=C2791,W2790=W2791-1),X2790,"")</f>
        <v/>
      </c>
      <c r="AA2791" s="0" t="str">
        <f aca="false">IF(AND(C2790=C2791,W2790=W2791-1),Y2790,"")</f>
        <v/>
      </c>
      <c r="AB2791" s="0" t="str">
        <f aca="false">IF(W2791=1,"",IF(AND(X2791=1,Z2791&lt;&gt;1),1,0))</f>
        <v/>
      </c>
      <c r="AC2791" s="0" t="str">
        <f aca="false">IF(W2791=1,"",IF(AND(Y2791=1,AA2791&lt;&gt;1),1,0))</f>
        <v/>
      </c>
      <c r="AD2791" s="33" t="str">
        <f aca="false">IF(AND(E2791&gt;0,W2791&lt;1,NOT(AND(C2792=C2791,W2792=W2791+1))),INDEX(DATAS,W2791+1),"")</f>
        <v/>
      </c>
      <c r="AE2791" s="33" t="str">
        <f aca="false">IF(AND(Y2791=1,W2791&lt;1),IF(AND(C2792=C2791,W2792=W2791+1),IF(Y2792=1,"",INDEX(DATAS,W2791+1)),INDEX(DATAS,W2791+1)),"")</f>
        <v/>
      </c>
    </row>
    <row r="2792" customFormat="false" ht="15" hidden="false" customHeight="false" outlineLevel="0" collapsed="false">
      <c r="A2792" s="33" t="n">
        <v>46309</v>
      </c>
      <c r="B2792" s="0" t="n">
        <v>13</v>
      </c>
      <c r="C2792" s="0" t="n">
        <v>7157</v>
      </c>
      <c r="E2792" s="0" t="n">
        <v>0</v>
      </c>
      <c r="F2792" s="27" t="s">
        <v>1383</v>
      </c>
      <c r="I2792" s="27" t="s">
        <v>166</v>
      </c>
      <c r="U2792" s="0" t="n">
        <v>326</v>
      </c>
      <c r="V2792" s="0" t="n">
        <v>0</v>
      </c>
      <c r="W2792" s="27" t="n">
        <f aca="false">MATCH(A2792,DATAS,0)</f>
        <v>1</v>
      </c>
      <c r="X2792" s="27" t="n">
        <f aca="false">IF(AND(E2792&gt;0,OR(AND(B2792&gt;=1,B2792&lt;=6),B2792=10)),1,0)</f>
        <v>0</v>
      </c>
      <c r="Y2792" s="27" t="n">
        <f aca="false">IF(AND(E2792&gt;0,B2792=10),1,0)</f>
        <v>0</v>
      </c>
      <c r="Z2792" s="0" t="str">
        <f aca="false">IF(AND(C2791=C2792,W2791=W2792-1),X2791,"")</f>
        <v/>
      </c>
      <c r="AA2792" s="0" t="str">
        <f aca="false">IF(AND(C2791=C2792,W2791=W2792-1),Y2791,"")</f>
        <v/>
      </c>
      <c r="AB2792" s="0" t="str">
        <f aca="false">IF(W2792=1,"",IF(AND(X2792=1,Z2792&lt;&gt;1),1,0))</f>
        <v/>
      </c>
      <c r="AC2792" s="0" t="str">
        <f aca="false">IF(W2792=1,"",IF(AND(Y2792=1,AA2792&lt;&gt;1),1,0))</f>
        <v/>
      </c>
      <c r="AD2792" s="33" t="str">
        <f aca="false">IF(AND(E2792&gt;0,W2792&lt;1,NOT(AND(C2793=C2792,W2793=W2792+1))),INDEX(DATAS,W2792+1),"")</f>
        <v/>
      </c>
      <c r="AE2792" s="33" t="str">
        <f aca="false">IF(AND(Y2792=1,W2792&lt;1),IF(AND(C2793=C2792,W2793=W2792+1),IF(Y2793=1,"",INDEX(DATAS,W2792+1)),INDEX(DATAS,W2792+1)),"")</f>
        <v/>
      </c>
    </row>
    <row r="2793" customFormat="false" ht="15" hidden="false" customHeight="false" outlineLevel="0" collapsed="false">
      <c r="A2793" s="33" t="n">
        <v>46309</v>
      </c>
      <c r="B2793" s="0" t="n">
        <v>13</v>
      </c>
      <c r="C2793" s="0" t="n">
        <v>7158</v>
      </c>
      <c r="E2793" s="0" t="n">
        <v>0</v>
      </c>
      <c r="F2793" s="27" t="s">
        <v>1109</v>
      </c>
      <c r="I2793" s="27" t="s">
        <v>166</v>
      </c>
      <c r="U2793" s="0" t="n">
        <v>325</v>
      </c>
      <c r="V2793" s="0" t="n">
        <v>0</v>
      </c>
      <c r="W2793" s="27" t="n">
        <f aca="false">MATCH(A2793,DATAS,0)</f>
        <v>1</v>
      </c>
      <c r="X2793" s="27" t="n">
        <f aca="false">IF(AND(E2793&gt;0,OR(AND(B2793&gt;=1,B2793&lt;=6),B2793=10)),1,0)</f>
        <v>0</v>
      </c>
      <c r="Y2793" s="27" t="n">
        <f aca="false">IF(AND(E2793&gt;0,B2793=10),1,0)</f>
        <v>0</v>
      </c>
      <c r="Z2793" s="0" t="str">
        <f aca="false">IF(AND(C2792=C2793,W2792=W2793-1),X2792,"")</f>
        <v/>
      </c>
      <c r="AA2793" s="0" t="str">
        <f aca="false">IF(AND(C2792=C2793,W2792=W2793-1),Y2792,"")</f>
        <v/>
      </c>
      <c r="AB2793" s="0" t="str">
        <f aca="false">IF(W2793=1,"",IF(AND(X2793=1,Z2793&lt;&gt;1),1,0))</f>
        <v/>
      </c>
      <c r="AC2793" s="0" t="str">
        <f aca="false">IF(W2793=1,"",IF(AND(Y2793=1,AA2793&lt;&gt;1),1,0))</f>
        <v/>
      </c>
      <c r="AD2793" s="33" t="str">
        <f aca="false">IF(AND(E2793&gt;0,W2793&lt;1,NOT(AND(C2794=C2793,W2794=W2793+1))),INDEX(DATAS,W2793+1),"")</f>
        <v/>
      </c>
      <c r="AE2793" s="33" t="str">
        <f aca="false">IF(AND(Y2793=1,W2793&lt;1),IF(AND(C2794=C2793,W2794=W2793+1),IF(Y2794=1,"",INDEX(DATAS,W2793+1)),INDEX(DATAS,W2793+1)),"")</f>
        <v/>
      </c>
    </row>
    <row r="2794" customFormat="false" ht="15" hidden="false" customHeight="false" outlineLevel="0" collapsed="false">
      <c r="A2794" s="33" t="n">
        <v>46309</v>
      </c>
      <c r="B2794" s="0" t="n">
        <v>13</v>
      </c>
      <c r="C2794" s="0" t="n">
        <v>7159</v>
      </c>
      <c r="E2794" s="0" t="n">
        <v>0</v>
      </c>
      <c r="F2794" s="27" t="s">
        <v>1109</v>
      </c>
      <c r="I2794" s="27" t="s">
        <v>166</v>
      </c>
      <c r="U2794" s="0" t="n">
        <v>325</v>
      </c>
      <c r="V2794" s="0" t="n">
        <v>0</v>
      </c>
      <c r="W2794" s="27" t="n">
        <f aca="false">MATCH(A2794,DATAS,0)</f>
        <v>1</v>
      </c>
      <c r="X2794" s="27" t="n">
        <f aca="false">IF(AND(E2794&gt;0,OR(AND(B2794&gt;=1,B2794&lt;=6),B2794=10)),1,0)</f>
        <v>0</v>
      </c>
      <c r="Y2794" s="27" t="n">
        <f aca="false">IF(AND(E2794&gt;0,B2794=10),1,0)</f>
        <v>0</v>
      </c>
      <c r="Z2794" s="0" t="str">
        <f aca="false">IF(AND(C2793=C2794,W2793=W2794-1),X2793,"")</f>
        <v/>
      </c>
      <c r="AA2794" s="0" t="str">
        <f aca="false">IF(AND(C2793=C2794,W2793=W2794-1),Y2793,"")</f>
        <v/>
      </c>
      <c r="AB2794" s="0" t="str">
        <f aca="false">IF(W2794=1,"",IF(AND(X2794=1,Z2794&lt;&gt;1),1,0))</f>
        <v/>
      </c>
      <c r="AC2794" s="0" t="str">
        <f aca="false">IF(W2794=1,"",IF(AND(Y2794=1,AA2794&lt;&gt;1),1,0))</f>
        <v/>
      </c>
      <c r="AD2794" s="33" t="str">
        <f aca="false">IF(AND(E2794&gt;0,W2794&lt;1,NOT(AND(C2795=C2794,W2795=W2794+1))),INDEX(DATAS,W2794+1),"")</f>
        <v/>
      </c>
      <c r="AE2794" s="33" t="str">
        <f aca="false">IF(AND(Y2794=1,W2794&lt;1),IF(AND(C2795=C2794,W2795=W2794+1),IF(Y2795=1,"",INDEX(DATAS,W2794+1)),INDEX(DATAS,W2794+1)),"")</f>
        <v/>
      </c>
    </row>
    <row r="2795" customFormat="false" ht="15" hidden="false" customHeight="false" outlineLevel="0" collapsed="false">
      <c r="A2795" s="33" t="n">
        <v>46309</v>
      </c>
      <c r="B2795" s="0" t="n">
        <v>13</v>
      </c>
      <c r="C2795" s="0" t="n">
        <v>7161</v>
      </c>
      <c r="E2795" s="0" t="n">
        <v>0</v>
      </c>
      <c r="F2795" s="27" t="s">
        <v>1109</v>
      </c>
      <c r="I2795" s="27" t="s">
        <v>166</v>
      </c>
      <c r="U2795" s="0" t="n">
        <v>325</v>
      </c>
      <c r="V2795" s="0" t="n">
        <v>0</v>
      </c>
      <c r="W2795" s="27" t="n">
        <f aca="false">MATCH(A2795,DATAS,0)</f>
        <v>1</v>
      </c>
      <c r="X2795" s="27" t="n">
        <f aca="false">IF(AND(E2795&gt;0,OR(AND(B2795&gt;=1,B2795&lt;=6),B2795=10)),1,0)</f>
        <v>0</v>
      </c>
      <c r="Y2795" s="27" t="n">
        <f aca="false">IF(AND(E2795&gt;0,B2795=10),1,0)</f>
        <v>0</v>
      </c>
      <c r="Z2795" s="0" t="str">
        <f aca="false">IF(AND(C2794=C2795,W2794=W2795-1),X2794,"")</f>
        <v/>
      </c>
      <c r="AA2795" s="0" t="str">
        <f aca="false">IF(AND(C2794=C2795,W2794=W2795-1),Y2794,"")</f>
        <v/>
      </c>
      <c r="AB2795" s="0" t="str">
        <f aca="false">IF(W2795=1,"",IF(AND(X2795=1,Z2795&lt;&gt;1),1,0))</f>
        <v/>
      </c>
      <c r="AC2795" s="0" t="str">
        <f aca="false">IF(W2795=1,"",IF(AND(Y2795=1,AA2795&lt;&gt;1),1,0))</f>
        <v/>
      </c>
      <c r="AD2795" s="33" t="str">
        <f aca="false">IF(AND(E2795&gt;0,W2795&lt;1,NOT(AND(C2796=C2795,W2796=W2795+1))),INDEX(DATAS,W2795+1),"")</f>
        <v/>
      </c>
      <c r="AE2795" s="33" t="str">
        <f aca="false">IF(AND(Y2795=1,W2795&lt;1),IF(AND(C2796=C2795,W2796=W2795+1),IF(Y2796=1,"",INDEX(DATAS,W2795+1)),INDEX(DATAS,W2795+1)),"")</f>
        <v/>
      </c>
    </row>
    <row r="2796" customFormat="false" ht="15" hidden="false" customHeight="false" outlineLevel="0" collapsed="false">
      <c r="A2796" s="33" t="n">
        <v>46309</v>
      </c>
      <c r="B2796" s="0" t="n">
        <v>13</v>
      </c>
      <c r="C2796" s="0" t="n">
        <v>7163</v>
      </c>
      <c r="E2796" s="0" t="n">
        <v>0</v>
      </c>
      <c r="F2796" s="27" t="s">
        <v>1384</v>
      </c>
      <c r="I2796" s="27" t="s">
        <v>166</v>
      </c>
      <c r="U2796" s="0" t="n">
        <v>324</v>
      </c>
      <c r="V2796" s="0" t="n">
        <v>0</v>
      </c>
      <c r="W2796" s="27" t="n">
        <f aca="false">MATCH(A2796,DATAS,0)</f>
        <v>1</v>
      </c>
      <c r="X2796" s="27" t="n">
        <f aca="false">IF(AND(E2796&gt;0,OR(AND(B2796&gt;=1,B2796&lt;=6),B2796=10)),1,0)</f>
        <v>0</v>
      </c>
      <c r="Y2796" s="27" t="n">
        <f aca="false">IF(AND(E2796&gt;0,B2796=10),1,0)</f>
        <v>0</v>
      </c>
      <c r="Z2796" s="0" t="str">
        <f aca="false">IF(AND(C2795=C2796,W2795=W2796-1),X2795,"")</f>
        <v/>
      </c>
      <c r="AA2796" s="0" t="str">
        <f aca="false">IF(AND(C2795=C2796,W2795=W2796-1),Y2795,"")</f>
        <v/>
      </c>
      <c r="AB2796" s="0" t="str">
        <f aca="false">IF(W2796=1,"",IF(AND(X2796=1,Z2796&lt;&gt;1),1,0))</f>
        <v/>
      </c>
      <c r="AC2796" s="0" t="str">
        <f aca="false">IF(W2796=1,"",IF(AND(Y2796=1,AA2796&lt;&gt;1),1,0))</f>
        <v/>
      </c>
      <c r="AD2796" s="33" t="str">
        <f aca="false">IF(AND(E2796&gt;0,W2796&lt;1,NOT(AND(C2797=C2796,W2797=W2796+1))),INDEX(DATAS,W2796+1),"")</f>
        <v/>
      </c>
      <c r="AE2796" s="33" t="str">
        <f aca="false">IF(AND(Y2796=1,W2796&lt;1),IF(AND(C2797=C2796,W2797=W2796+1),IF(Y2797=1,"",INDEX(DATAS,W2796+1)),INDEX(DATAS,W2796+1)),"")</f>
        <v/>
      </c>
    </row>
    <row r="2797" customFormat="false" ht="15" hidden="false" customHeight="false" outlineLevel="0" collapsed="false">
      <c r="A2797" s="33" t="n">
        <v>46309</v>
      </c>
      <c r="B2797" s="0" t="n">
        <v>13</v>
      </c>
      <c r="C2797" s="0" t="n">
        <v>7165</v>
      </c>
      <c r="E2797" s="0" t="n">
        <v>0</v>
      </c>
      <c r="F2797" s="27" t="s">
        <v>1385</v>
      </c>
      <c r="I2797" s="27" t="s">
        <v>166</v>
      </c>
      <c r="U2797" s="0" t="n">
        <v>323</v>
      </c>
      <c r="V2797" s="0" t="n">
        <v>0</v>
      </c>
      <c r="W2797" s="27" t="n">
        <f aca="false">MATCH(A2797,DATAS,0)</f>
        <v>1</v>
      </c>
      <c r="X2797" s="27" t="n">
        <f aca="false">IF(AND(E2797&gt;0,OR(AND(B2797&gt;=1,B2797&lt;=6),B2797=10)),1,0)</f>
        <v>0</v>
      </c>
      <c r="Y2797" s="27" t="n">
        <f aca="false">IF(AND(E2797&gt;0,B2797=10),1,0)</f>
        <v>0</v>
      </c>
      <c r="Z2797" s="0" t="str">
        <f aca="false">IF(AND(C2796=C2797,W2796=W2797-1),X2796,"")</f>
        <v/>
      </c>
      <c r="AA2797" s="0" t="str">
        <f aca="false">IF(AND(C2796=C2797,W2796=W2797-1),Y2796,"")</f>
        <v/>
      </c>
      <c r="AB2797" s="0" t="str">
        <f aca="false">IF(W2797=1,"",IF(AND(X2797=1,Z2797&lt;&gt;1),1,0))</f>
        <v/>
      </c>
      <c r="AC2797" s="0" t="str">
        <f aca="false">IF(W2797=1,"",IF(AND(Y2797=1,AA2797&lt;&gt;1),1,0))</f>
        <v/>
      </c>
      <c r="AD2797" s="33" t="str">
        <f aca="false">IF(AND(E2797&gt;0,W2797&lt;1,NOT(AND(C2798=C2797,W2798=W2797+1))),INDEX(DATAS,W2797+1),"")</f>
        <v/>
      </c>
      <c r="AE2797" s="33" t="str">
        <f aca="false">IF(AND(Y2797=1,W2797&lt;1),IF(AND(C2798=C2797,W2798=W2797+1),IF(Y2798=1,"",INDEX(DATAS,W2797+1)),INDEX(DATAS,W2797+1)),"")</f>
        <v/>
      </c>
    </row>
    <row r="2798" customFormat="false" ht="15" hidden="false" customHeight="false" outlineLevel="0" collapsed="false">
      <c r="A2798" s="33" t="n">
        <v>46309</v>
      </c>
      <c r="B2798" s="0" t="n">
        <v>13</v>
      </c>
      <c r="C2798" s="0" t="n">
        <v>7166</v>
      </c>
      <c r="E2798" s="0" t="n">
        <v>0</v>
      </c>
      <c r="F2798" s="27" t="s">
        <v>1385</v>
      </c>
      <c r="I2798" s="27" t="s">
        <v>166</v>
      </c>
      <c r="U2798" s="0" t="n">
        <v>323</v>
      </c>
      <c r="V2798" s="0" t="n">
        <v>0</v>
      </c>
      <c r="W2798" s="27" t="n">
        <f aca="false">MATCH(A2798,DATAS,0)</f>
        <v>1</v>
      </c>
      <c r="X2798" s="27" t="n">
        <f aca="false">IF(AND(E2798&gt;0,OR(AND(B2798&gt;=1,B2798&lt;=6),B2798=10)),1,0)</f>
        <v>0</v>
      </c>
      <c r="Y2798" s="27" t="n">
        <f aca="false">IF(AND(E2798&gt;0,B2798=10),1,0)</f>
        <v>0</v>
      </c>
      <c r="Z2798" s="0" t="str">
        <f aca="false">IF(AND(C2797=C2798,W2797=W2798-1),X2797,"")</f>
        <v/>
      </c>
      <c r="AA2798" s="0" t="str">
        <f aca="false">IF(AND(C2797=C2798,W2797=W2798-1),Y2797,"")</f>
        <v/>
      </c>
      <c r="AB2798" s="0" t="str">
        <f aca="false">IF(W2798=1,"",IF(AND(X2798=1,Z2798&lt;&gt;1),1,0))</f>
        <v/>
      </c>
      <c r="AC2798" s="0" t="str">
        <f aca="false">IF(W2798=1,"",IF(AND(Y2798=1,AA2798&lt;&gt;1),1,0))</f>
        <v/>
      </c>
      <c r="AD2798" s="33" t="str">
        <f aca="false">IF(AND(E2798&gt;0,W2798&lt;1,NOT(AND(C2799=C2798,W2799=W2798+1))),INDEX(DATAS,W2798+1),"")</f>
        <v/>
      </c>
      <c r="AE2798" s="33" t="str">
        <f aca="false">IF(AND(Y2798=1,W2798&lt;1),IF(AND(C2799=C2798,W2799=W2798+1),IF(Y2799=1,"",INDEX(DATAS,W2798+1)),INDEX(DATAS,W2798+1)),"")</f>
        <v/>
      </c>
    </row>
    <row r="2799" customFormat="false" ht="15" hidden="false" customHeight="false" outlineLevel="0" collapsed="false">
      <c r="A2799" s="33" t="n">
        <v>46309</v>
      </c>
      <c r="B2799" s="0" t="n">
        <v>13</v>
      </c>
      <c r="C2799" s="0" t="n">
        <v>7167</v>
      </c>
      <c r="E2799" s="0" t="n">
        <v>0</v>
      </c>
      <c r="F2799" s="27" t="s">
        <v>1385</v>
      </c>
      <c r="I2799" s="27" t="s">
        <v>166</v>
      </c>
      <c r="U2799" s="0" t="n">
        <v>323</v>
      </c>
      <c r="V2799" s="0" t="n">
        <v>0</v>
      </c>
      <c r="W2799" s="27" t="n">
        <f aca="false">MATCH(A2799,DATAS,0)</f>
        <v>1</v>
      </c>
      <c r="X2799" s="27" t="n">
        <f aca="false">IF(AND(E2799&gt;0,OR(AND(B2799&gt;=1,B2799&lt;=6),B2799=10)),1,0)</f>
        <v>0</v>
      </c>
      <c r="Y2799" s="27" t="n">
        <f aca="false">IF(AND(E2799&gt;0,B2799=10),1,0)</f>
        <v>0</v>
      </c>
      <c r="Z2799" s="0" t="str">
        <f aca="false">IF(AND(C2798=C2799,W2798=W2799-1),X2798,"")</f>
        <v/>
      </c>
      <c r="AA2799" s="0" t="str">
        <f aca="false">IF(AND(C2798=C2799,W2798=W2799-1),Y2798,"")</f>
        <v/>
      </c>
      <c r="AB2799" s="0" t="str">
        <f aca="false">IF(W2799=1,"",IF(AND(X2799=1,Z2799&lt;&gt;1),1,0))</f>
        <v/>
      </c>
      <c r="AC2799" s="0" t="str">
        <f aca="false">IF(W2799=1,"",IF(AND(Y2799=1,AA2799&lt;&gt;1),1,0))</f>
        <v/>
      </c>
      <c r="AD2799" s="33" t="str">
        <f aca="false">IF(AND(E2799&gt;0,W2799&lt;1,NOT(AND(C2800=C2799,W2800=W2799+1))),INDEX(DATAS,W2799+1),"")</f>
        <v/>
      </c>
      <c r="AE2799" s="33" t="str">
        <f aca="false">IF(AND(Y2799=1,W2799&lt;1),IF(AND(C2800=C2799,W2800=W2799+1),IF(Y2800=1,"",INDEX(DATAS,W2799+1)),INDEX(DATAS,W2799+1)),"")</f>
        <v/>
      </c>
    </row>
    <row r="2800" customFormat="false" ht="15" hidden="false" customHeight="false" outlineLevel="0" collapsed="false">
      <c r="A2800" s="33" t="n">
        <v>46309</v>
      </c>
      <c r="B2800" s="0" t="n">
        <v>13</v>
      </c>
      <c r="C2800" s="0" t="n">
        <v>7168</v>
      </c>
      <c r="E2800" s="0" t="n">
        <v>0</v>
      </c>
      <c r="F2800" s="27" t="s">
        <v>1385</v>
      </c>
      <c r="I2800" s="27" t="s">
        <v>166</v>
      </c>
      <c r="U2800" s="0" t="n">
        <v>323</v>
      </c>
      <c r="V2800" s="0" t="n">
        <v>0</v>
      </c>
      <c r="W2800" s="27" t="n">
        <f aca="false">MATCH(A2800,DATAS,0)</f>
        <v>1</v>
      </c>
      <c r="X2800" s="27" t="n">
        <f aca="false">IF(AND(E2800&gt;0,OR(AND(B2800&gt;=1,B2800&lt;=6),B2800=10)),1,0)</f>
        <v>0</v>
      </c>
      <c r="Y2800" s="27" t="n">
        <f aca="false">IF(AND(E2800&gt;0,B2800=10),1,0)</f>
        <v>0</v>
      </c>
      <c r="Z2800" s="0" t="str">
        <f aca="false">IF(AND(C2799=C2800,W2799=W2800-1),X2799,"")</f>
        <v/>
      </c>
      <c r="AA2800" s="0" t="str">
        <f aca="false">IF(AND(C2799=C2800,W2799=W2800-1),Y2799,"")</f>
        <v/>
      </c>
      <c r="AB2800" s="0" t="str">
        <f aca="false">IF(W2800=1,"",IF(AND(X2800=1,Z2800&lt;&gt;1),1,0))</f>
        <v/>
      </c>
      <c r="AC2800" s="0" t="str">
        <f aca="false">IF(W2800=1,"",IF(AND(Y2800=1,AA2800&lt;&gt;1),1,0))</f>
        <v/>
      </c>
      <c r="AD2800" s="33" t="str">
        <f aca="false">IF(AND(E2800&gt;0,W2800&lt;1,NOT(AND(C2801=C2800,W2801=W2800+1))),INDEX(DATAS,W2800+1),"")</f>
        <v/>
      </c>
      <c r="AE2800" s="33" t="str">
        <f aca="false">IF(AND(Y2800=1,W2800&lt;1),IF(AND(C2801=C2800,W2801=W2800+1),IF(Y2801=1,"",INDEX(DATAS,W2800+1)),INDEX(DATAS,W2800+1)),"")</f>
        <v/>
      </c>
    </row>
    <row r="2801" customFormat="false" ht="15" hidden="false" customHeight="false" outlineLevel="0" collapsed="false">
      <c r="A2801" s="33" t="n">
        <v>46309</v>
      </c>
      <c r="B2801" s="0" t="n">
        <v>13</v>
      </c>
      <c r="C2801" s="0" t="n">
        <v>7169</v>
      </c>
      <c r="E2801" s="0" t="n">
        <v>0</v>
      </c>
      <c r="F2801" s="27" t="s">
        <v>1386</v>
      </c>
      <c r="I2801" s="27" t="s">
        <v>166</v>
      </c>
      <c r="U2801" s="0" t="n">
        <v>321</v>
      </c>
      <c r="V2801" s="0" t="n">
        <v>0</v>
      </c>
      <c r="W2801" s="27" t="n">
        <f aca="false">MATCH(A2801,DATAS,0)</f>
        <v>1</v>
      </c>
      <c r="X2801" s="27" t="n">
        <f aca="false">IF(AND(E2801&gt;0,OR(AND(B2801&gt;=1,B2801&lt;=6),B2801=10)),1,0)</f>
        <v>0</v>
      </c>
      <c r="Y2801" s="27" t="n">
        <f aca="false">IF(AND(E2801&gt;0,B2801=10),1,0)</f>
        <v>0</v>
      </c>
      <c r="Z2801" s="0" t="str">
        <f aca="false">IF(AND(C2800=C2801,W2800=W2801-1),X2800,"")</f>
        <v/>
      </c>
      <c r="AA2801" s="0" t="str">
        <f aca="false">IF(AND(C2800=C2801,W2800=W2801-1),Y2800,"")</f>
        <v/>
      </c>
      <c r="AB2801" s="0" t="str">
        <f aca="false">IF(W2801=1,"",IF(AND(X2801=1,Z2801&lt;&gt;1),1,0))</f>
        <v/>
      </c>
      <c r="AC2801" s="0" t="str">
        <f aca="false">IF(W2801=1,"",IF(AND(Y2801=1,AA2801&lt;&gt;1),1,0))</f>
        <v/>
      </c>
      <c r="AD2801" s="33" t="str">
        <f aca="false">IF(AND(E2801&gt;0,W2801&lt;1,NOT(AND(C2802=C2801,W2802=W2801+1))),INDEX(DATAS,W2801+1),"")</f>
        <v/>
      </c>
      <c r="AE2801" s="33" t="str">
        <f aca="false">IF(AND(Y2801=1,W2801&lt;1),IF(AND(C2802=C2801,W2802=W2801+1),IF(Y2802=1,"",INDEX(DATAS,W2801+1)),INDEX(DATAS,W2801+1)),"")</f>
        <v/>
      </c>
    </row>
    <row r="2802" customFormat="false" ht="15" hidden="false" customHeight="false" outlineLevel="0" collapsed="false">
      <c r="A2802" s="33" t="n">
        <v>46309</v>
      </c>
      <c r="B2802" s="0" t="n">
        <v>13</v>
      </c>
      <c r="C2802" s="0" t="n">
        <v>7170</v>
      </c>
      <c r="E2802" s="0" t="n">
        <v>0</v>
      </c>
      <c r="F2802" s="27" t="s">
        <v>1387</v>
      </c>
      <c r="I2802" s="27" t="s">
        <v>166</v>
      </c>
      <c r="U2802" s="0" t="n">
        <v>322</v>
      </c>
      <c r="V2802" s="0" t="n">
        <v>0</v>
      </c>
      <c r="W2802" s="27" t="n">
        <f aca="false">MATCH(A2802,DATAS,0)</f>
        <v>1</v>
      </c>
      <c r="X2802" s="27" t="n">
        <f aca="false">IF(AND(E2802&gt;0,OR(AND(B2802&gt;=1,B2802&lt;=6),B2802=10)),1,0)</f>
        <v>0</v>
      </c>
      <c r="Y2802" s="27" t="n">
        <f aca="false">IF(AND(E2802&gt;0,B2802=10),1,0)</f>
        <v>0</v>
      </c>
      <c r="Z2802" s="0" t="str">
        <f aca="false">IF(AND(C2801=C2802,W2801=W2802-1),X2801,"")</f>
        <v/>
      </c>
      <c r="AA2802" s="0" t="str">
        <f aca="false">IF(AND(C2801=C2802,W2801=W2802-1),Y2801,"")</f>
        <v/>
      </c>
      <c r="AB2802" s="0" t="str">
        <f aca="false">IF(W2802=1,"",IF(AND(X2802=1,Z2802&lt;&gt;1),1,0))</f>
        <v/>
      </c>
      <c r="AC2802" s="0" t="str">
        <f aca="false">IF(W2802=1,"",IF(AND(Y2802=1,AA2802&lt;&gt;1),1,0))</f>
        <v/>
      </c>
      <c r="AD2802" s="33" t="str">
        <f aca="false">IF(AND(E2802&gt;0,W2802&lt;1,NOT(AND(C2803=C2802,W2803=W2802+1))),INDEX(DATAS,W2802+1),"")</f>
        <v/>
      </c>
      <c r="AE2802" s="33" t="str">
        <f aca="false">IF(AND(Y2802=1,W2802&lt;1),IF(AND(C2803=C2802,W2803=W2802+1),IF(Y2803=1,"",INDEX(DATAS,W2802+1)),INDEX(DATAS,W2802+1)),"")</f>
        <v/>
      </c>
    </row>
    <row r="2803" customFormat="false" ht="15" hidden="false" customHeight="false" outlineLevel="0" collapsed="false">
      <c r="A2803" s="33" t="n">
        <v>46309</v>
      </c>
      <c r="B2803" s="0" t="n">
        <v>13</v>
      </c>
      <c r="C2803" s="0" t="n">
        <v>7171</v>
      </c>
      <c r="E2803" s="0" t="n">
        <v>0</v>
      </c>
      <c r="F2803" s="27" t="s">
        <v>1387</v>
      </c>
      <c r="I2803" s="27" t="s">
        <v>166</v>
      </c>
      <c r="U2803" s="0" t="n">
        <v>322</v>
      </c>
      <c r="V2803" s="0" t="n">
        <v>0</v>
      </c>
      <c r="W2803" s="27" t="n">
        <f aca="false">MATCH(A2803,DATAS,0)</f>
        <v>1</v>
      </c>
      <c r="X2803" s="27" t="n">
        <f aca="false">IF(AND(E2803&gt;0,OR(AND(B2803&gt;=1,B2803&lt;=6),B2803=10)),1,0)</f>
        <v>0</v>
      </c>
      <c r="Y2803" s="27" t="n">
        <f aca="false">IF(AND(E2803&gt;0,B2803=10),1,0)</f>
        <v>0</v>
      </c>
      <c r="Z2803" s="0" t="str">
        <f aca="false">IF(AND(C2802=C2803,W2802=W2803-1),X2802,"")</f>
        <v/>
      </c>
      <c r="AA2803" s="0" t="str">
        <f aca="false">IF(AND(C2802=C2803,W2802=W2803-1),Y2802,"")</f>
        <v/>
      </c>
      <c r="AB2803" s="0" t="str">
        <f aca="false">IF(W2803=1,"",IF(AND(X2803=1,Z2803&lt;&gt;1),1,0))</f>
        <v/>
      </c>
      <c r="AC2803" s="0" t="str">
        <f aca="false">IF(W2803=1,"",IF(AND(Y2803=1,AA2803&lt;&gt;1),1,0))</f>
        <v/>
      </c>
      <c r="AD2803" s="33" t="str">
        <f aca="false">IF(AND(E2803&gt;0,W2803&lt;1,NOT(AND(C2804=C2803,W2804=W2803+1))),INDEX(DATAS,W2803+1),"")</f>
        <v/>
      </c>
      <c r="AE2803" s="33" t="str">
        <f aca="false">IF(AND(Y2803=1,W2803&lt;1),IF(AND(C2804=C2803,W2804=W2803+1),IF(Y2804=1,"",INDEX(DATAS,W2803+1)),INDEX(DATAS,W2803+1)),"")</f>
        <v/>
      </c>
    </row>
    <row r="2804" customFormat="false" ht="15" hidden="false" customHeight="false" outlineLevel="0" collapsed="false">
      <c r="A2804" s="33" t="n">
        <v>46309</v>
      </c>
      <c r="B2804" s="0" t="n">
        <v>13</v>
      </c>
      <c r="C2804" s="0" t="n">
        <v>7172</v>
      </c>
      <c r="E2804" s="0" t="n">
        <v>0</v>
      </c>
      <c r="F2804" s="27" t="s">
        <v>1386</v>
      </c>
      <c r="I2804" s="27" t="s">
        <v>166</v>
      </c>
      <c r="U2804" s="0" t="n">
        <v>321</v>
      </c>
      <c r="V2804" s="0" t="n">
        <v>0</v>
      </c>
      <c r="W2804" s="27" t="n">
        <f aca="false">MATCH(A2804,DATAS,0)</f>
        <v>1</v>
      </c>
      <c r="X2804" s="27" t="n">
        <f aca="false">IF(AND(E2804&gt;0,OR(AND(B2804&gt;=1,B2804&lt;=6),B2804=10)),1,0)</f>
        <v>0</v>
      </c>
      <c r="Y2804" s="27" t="n">
        <f aca="false">IF(AND(E2804&gt;0,B2804=10),1,0)</f>
        <v>0</v>
      </c>
      <c r="Z2804" s="0" t="str">
        <f aca="false">IF(AND(C2803=C2804,W2803=W2804-1),X2803,"")</f>
        <v/>
      </c>
      <c r="AA2804" s="0" t="str">
        <f aca="false">IF(AND(C2803=C2804,W2803=W2804-1),Y2803,"")</f>
        <v/>
      </c>
      <c r="AB2804" s="0" t="str">
        <f aca="false">IF(W2804=1,"",IF(AND(X2804=1,Z2804&lt;&gt;1),1,0))</f>
        <v/>
      </c>
      <c r="AC2804" s="0" t="str">
        <f aca="false">IF(W2804=1,"",IF(AND(Y2804=1,AA2804&lt;&gt;1),1,0))</f>
        <v/>
      </c>
      <c r="AD2804" s="33" t="str">
        <f aca="false">IF(AND(E2804&gt;0,W2804&lt;1,NOT(AND(C2805=C2804,W2805=W2804+1))),INDEX(DATAS,W2804+1),"")</f>
        <v/>
      </c>
      <c r="AE2804" s="33" t="str">
        <f aca="false">IF(AND(Y2804=1,W2804&lt;1),IF(AND(C2805=C2804,W2805=W2804+1),IF(Y2805=1,"",INDEX(DATAS,W2804+1)),INDEX(DATAS,W2804+1)),"")</f>
        <v/>
      </c>
    </row>
    <row r="2805" customFormat="false" ht="15" hidden="false" customHeight="false" outlineLevel="0" collapsed="false">
      <c r="A2805" s="33" t="n">
        <v>46309</v>
      </c>
      <c r="B2805" s="0" t="n">
        <v>13</v>
      </c>
      <c r="C2805" s="0" t="n">
        <v>7174</v>
      </c>
      <c r="E2805" s="0" t="n">
        <v>0</v>
      </c>
      <c r="F2805" s="27" t="s">
        <v>1388</v>
      </c>
      <c r="I2805" s="27" t="s">
        <v>166</v>
      </c>
      <c r="U2805" s="0" t="n">
        <v>320</v>
      </c>
      <c r="V2805" s="0" t="n">
        <v>0</v>
      </c>
      <c r="W2805" s="27" t="n">
        <f aca="false">MATCH(A2805,DATAS,0)</f>
        <v>1</v>
      </c>
      <c r="X2805" s="27" t="n">
        <f aca="false">IF(AND(E2805&gt;0,OR(AND(B2805&gt;=1,B2805&lt;=6),B2805=10)),1,0)</f>
        <v>0</v>
      </c>
      <c r="Y2805" s="27" t="n">
        <f aca="false">IF(AND(E2805&gt;0,B2805=10),1,0)</f>
        <v>0</v>
      </c>
      <c r="Z2805" s="0" t="str">
        <f aca="false">IF(AND(C2804=C2805,W2804=W2805-1),X2804,"")</f>
        <v/>
      </c>
      <c r="AA2805" s="0" t="str">
        <f aca="false">IF(AND(C2804=C2805,W2804=W2805-1),Y2804,"")</f>
        <v/>
      </c>
      <c r="AB2805" s="0" t="str">
        <f aca="false">IF(W2805=1,"",IF(AND(X2805=1,Z2805&lt;&gt;1),1,0))</f>
        <v/>
      </c>
      <c r="AC2805" s="0" t="str">
        <f aca="false">IF(W2805=1,"",IF(AND(Y2805=1,AA2805&lt;&gt;1),1,0))</f>
        <v/>
      </c>
      <c r="AD2805" s="33" t="str">
        <f aca="false">IF(AND(E2805&gt;0,W2805&lt;1,NOT(AND(C2806=C2805,W2806=W2805+1))),INDEX(DATAS,W2805+1),"")</f>
        <v/>
      </c>
      <c r="AE2805" s="33" t="str">
        <f aca="false">IF(AND(Y2805=1,W2805&lt;1),IF(AND(C2806=C2805,W2806=W2805+1),IF(Y2806=1,"",INDEX(DATAS,W2805+1)),INDEX(DATAS,W2805+1)),"")</f>
        <v/>
      </c>
    </row>
    <row r="2806" customFormat="false" ht="15" hidden="false" customHeight="false" outlineLevel="0" collapsed="false">
      <c r="A2806" s="33" t="n">
        <v>46309</v>
      </c>
      <c r="B2806" s="0" t="n">
        <v>13</v>
      </c>
      <c r="C2806" s="0" t="n">
        <v>7175</v>
      </c>
      <c r="E2806" s="0" t="n">
        <v>0</v>
      </c>
      <c r="F2806" s="27" t="s">
        <v>1388</v>
      </c>
      <c r="I2806" s="27" t="s">
        <v>166</v>
      </c>
      <c r="U2806" s="0" t="n">
        <v>320</v>
      </c>
      <c r="V2806" s="0" t="n">
        <v>0</v>
      </c>
      <c r="W2806" s="27" t="n">
        <f aca="false">MATCH(A2806,DATAS,0)</f>
        <v>1</v>
      </c>
      <c r="X2806" s="27" t="n">
        <f aca="false">IF(AND(E2806&gt;0,OR(AND(B2806&gt;=1,B2806&lt;=6),B2806=10)),1,0)</f>
        <v>0</v>
      </c>
      <c r="Y2806" s="27" t="n">
        <f aca="false">IF(AND(E2806&gt;0,B2806=10),1,0)</f>
        <v>0</v>
      </c>
      <c r="Z2806" s="0" t="str">
        <f aca="false">IF(AND(C2805=C2806,W2805=W2806-1),X2805,"")</f>
        <v/>
      </c>
      <c r="AA2806" s="0" t="str">
        <f aca="false">IF(AND(C2805=C2806,W2805=W2806-1),Y2805,"")</f>
        <v/>
      </c>
      <c r="AB2806" s="0" t="str">
        <f aca="false">IF(W2806=1,"",IF(AND(X2806=1,Z2806&lt;&gt;1),1,0))</f>
        <v/>
      </c>
      <c r="AC2806" s="0" t="str">
        <f aca="false">IF(W2806=1,"",IF(AND(Y2806=1,AA2806&lt;&gt;1),1,0))</f>
        <v/>
      </c>
      <c r="AD2806" s="33" t="str">
        <f aca="false">IF(AND(E2806&gt;0,W2806&lt;1,NOT(AND(C2807=C2806,W2807=W2806+1))),INDEX(DATAS,W2806+1),"")</f>
        <v/>
      </c>
      <c r="AE2806" s="33" t="str">
        <f aca="false">IF(AND(Y2806=1,W2806&lt;1),IF(AND(C2807=C2806,W2807=W2806+1),IF(Y2807=1,"",INDEX(DATAS,W2806+1)),INDEX(DATAS,W2806+1)),"")</f>
        <v/>
      </c>
    </row>
    <row r="2807" customFormat="false" ht="15" hidden="false" customHeight="false" outlineLevel="0" collapsed="false">
      <c r="A2807" s="33" t="n">
        <v>46309</v>
      </c>
      <c r="B2807" s="0" t="n">
        <v>13</v>
      </c>
      <c r="C2807" s="0" t="n">
        <v>7176</v>
      </c>
      <c r="E2807" s="0" t="n">
        <v>0</v>
      </c>
      <c r="F2807" s="27" t="s">
        <v>1388</v>
      </c>
      <c r="I2807" s="27" t="s">
        <v>166</v>
      </c>
      <c r="U2807" s="0" t="n">
        <v>320</v>
      </c>
      <c r="V2807" s="0" t="n">
        <v>0</v>
      </c>
      <c r="W2807" s="27" t="n">
        <f aca="false">MATCH(A2807,DATAS,0)</f>
        <v>1</v>
      </c>
      <c r="X2807" s="27" t="n">
        <f aca="false">IF(AND(E2807&gt;0,OR(AND(B2807&gt;=1,B2807&lt;=6),B2807=10)),1,0)</f>
        <v>0</v>
      </c>
      <c r="Y2807" s="27" t="n">
        <f aca="false">IF(AND(E2807&gt;0,B2807=10),1,0)</f>
        <v>0</v>
      </c>
      <c r="Z2807" s="0" t="str">
        <f aca="false">IF(AND(C2806=C2807,W2806=W2807-1),X2806,"")</f>
        <v/>
      </c>
      <c r="AA2807" s="0" t="str">
        <f aca="false">IF(AND(C2806=C2807,W2806=W2807-1),Y2806,"")</f>
        <v/>
      </c>
      <c r="AB2807" s="0" t="str">
        <f aca="false">IF(W2807=1,"",IF(AND(X2807=1,Z2807&lt;&gt;1),1,0))</f>
        <v/>
      </c>
      <c r="AC2807" s="0" t="str">
        <f aca="false">IF(W2807=1,"",IF(AND(Y2807=1,AA2807&lt;&gt;1),1,0))</f>
        <v/>
      </c>
      <c r="AD2807" s="33" t="str">
        <f aca="false">IF(AND(E2807&gt;0,W2807&lt;1,NOT(AND(C2808=C2807,W2808=W2807+1))),INDEX(DATAS,W2807+1),"")</f>
        <v/>
      </c>
      <c r="AE2807" s="33" t="str">
        <f aca="false">IF(AND(Y2807=1,W2807&lt;1),IF(AND(C2808=C2807,W2808=W2807+1),IF(Y2808=1,"",INDEX(DATAS,W2807+1)),INDEX(DATAS,W2807+1)),"")</f>
        <v/>
      </c>
    </row>
    <row r="2808" customFormat="false" ht="15" hidden="false" customHeight="false" outlineLevel="0" collapsed="false">
      <c r="A2808" s="33" t="n">
        <v>46309</v>
      </c>
      <c r="B2808" s="0" t="n">
        <v>13</v>
      </c>
      <c r="C2808" s="0" t="n">
        <v>7177</v>
      </c>
      <c r="E2808" s="0" t="n">
        <v>0</v>
      </c>
      <c r="F2808" s="27" t="s">
        <v>1389</v>
      </c>
      <c r="I2808" s="27" t="s">
        <v>166</v>
      </c>
      <c r="U2808" s="0" t="n">
        <v>319</v>
      </c>
      <c r="V2808" s="0" t="n">
        <v>0</v>
      </c>
      <c r="W2808" s="27" t="n">
        <f aca="false">MATCH(A2808,DATAS,0)</f>
        <v>1</v>
      </c>
      <c r="X2808" s="27" t="n">
        <f aca="false">IF(AND(E2808&gt;0,OR(AND(B2808&gt;=1,B2808&lt;=6),B2808=10)),1,0)</f>
        <v>0</v>
      </c>
      <c r="Y2808" s="27" t="n">
        <f aca="false">IF(AND(E2808&gt;0,B2808=10),1,0)</f>
        <v>0</v>
      </c>
      <c r="Z2808" s="0" t="str">
        <f aca="false">IF(AND(C2807=C2808,W2807=W2808-1),X2807,"")</f>
        <v/>
      </c>
      <c r="AA2808" s="0" t="str">
        <f aca="false">IF(AND(C2807=C2808,W2807=W2808-1),Y2807,"")</f>
        <v/>
      </c>
      <c r="AB2808" s="0" t="str">
        <f aca="false">IF(W2808=1,"",IF(AND(X2808=1,Z2808&lt;&gt;1),1,0))</f>
        <v/>
      </c>
      <c r="AC2808" s="0" t="str">
        <f aca="false">IF(W2808=1,"",IF(AND(Y2808=1,AA2808&lt;&gt;1),1,0))</f>
        <v/>
      </c>
      <c r="AD2808" s="33" t="str">
        <f aca="false">IF(AND(E2808&gt;0,W2808&lt;1,NOT(AND(C2809=C2808,W2809=W2808+1))),INDEX(DATAS,W2808+1),"")</f>
        <v/>
      </c>
      <c r="AE2808" s="33" t="str">
        <f aca="false">IF(AND(Y2808=1,W2808&lt;1),IF(AND(C2809=C2808,W2809=W2808+1),IF(Y2809=1,"",INDEX(DATAS,W2808+1)),INDEX(DATAS,W2808+1)),"")</f>
        <v/>
      </c>
    </row>
    <row r="2809" customFormat="false" ht="15" hidden="false" customHeight="false" outlineLevel="0" collapsed="false">
      <c r="A2809" s="33" t="n">
        <v>46309</v>
      </c>
      <c r="B2809" s="0" t="n">
        <v>13</v>
      </c>
      <c r="C2809" s="0" t="n">
        <v>7178</v>
      </c>
      <c r="E2809" s="0" t="n">
        <v>0</v>
      </c>
      <c r="F2809" s="27" t="s">
        <v>1389</v>
      </c>
      <c r="I2809" s="27" t="s">
        <v>166</v>
      </c>
      <c r="U2809" s="0" t="n">
        <v>319</v>
      </c>
      <c r="V2809" s="0" t="n">
        <v>0</v>
      </c>
      <c r="W2809" s="27" t="n">
        <f aca="false">MATCH(A2809,DATAS,0)</f>
        <v>1</v>
      </c>
      <c r="X2809" s="27" t="n">
        <f aca="false">IF(AND(E2809&gt;0,OR(AND(B2809&gt;=1,B2809&lt;=6),B2809=10)),1,0)</f>
        <v>0</v>
      </c>
      <c r="Y2809" s="27" t="n">
        <f aca="false">IF(AND(E2809&gt;0,B2809=10),1,0)</f>
        <v>0</v>
      </c>
      <c r="Z2809" s="0" t="str">
        <f aca="false">IF(AND(C2808=C2809,W2808=W2809-1),X2808,"")</f>
        <v/>
      </c>
      <c r="AA2809" s="0" t="str">
        <f aca="false">IF(AND(C2808=C2809,W2808=W2809-1),Y2808,"")</f>
        <v/>
      </c>
      <c r="AB2809" s="0" t="str">
        <f aca="false">IF(W2809=1,"",IF(AND(X2809=1,Z2809&lt;&gt;1),1,0))</f>
        <v/>
      </c>
      <c r="AC2809" s="0" t="str">
        <f aca="false">IF(W2809=1,"",IF(AND(Y2809=1,AA2809&lt;&gt;1),1,0))</f>
        <v/>
      </c>
      <c r="AD2809" s="33" t="str">
        <f aca="false">IF(AND(E2809&gt;0,W2809&lt;1,NOT(AND(C2810=C2809,W2810=W2809+1))),INDEX(DATAS,W2809+1),"")</f>
        <v/>
      </c>
      <c r="AE2809" s="33" t="str">
        <f aca="false">IF(AND(Y2809=1,W2809&lt;1),IF(AND(C2810=C2809,W2810=W2809+1),IF(Y2810=1,"",INDEX(DATAS,W2809+1)),INDEX(DATAS,W2809+1)),"")</f>
        <v/>
      </c>
    </row>
    <row r="2810" customFormat="false" ht="15" hidden="false" customHeight="false" outlineLevel="0" collapsed="false">
      <c r="A2810" s="33" t="n">
        <v>46309</v>
      </c>
      <c r="B2810" s="0" t="n">
        <v>13</v>
      </c>
      <c r="C2810" s="0" t="n">
        <v>7180</v>
      </c>
      <c r="E2810" s="0" t="n">
        <v>0</v>
      </c>
      <c r="F2810" s="27" t="s">
        <v>1390</v>
      </c>
      <c r="I2810" s="27" t="s">
        <v>166</v>
      </c>
      <c r="U2810" s="0" t="n">
        <v>318</v>
      </c>
      <c r="V2810" s="0" t="n">
        <v>0</v>
      </c>
      <c r="W2810" s="27" t="n">
        <f aca="false">MATCH(A2810,DATAS,0)</f>
        <v>1</v>
      </c>
      <c r="X2810" s="27" t="n">
        <f aca="false">IF(AND(E2810&gt;0,OR(AND(B2810&gt;=1,B2810&lt;=6),B2810=10)),1,0)</f>
        <v>0</v>
      </c>
      <c r="Y2810" s="27" t="n">
        <f aca="false">IF(AND(E2810&gt;0,B2810=10),1,0)</f>
        <v>0</v>
      </c>
      <c r="Z2810" s="0" t="str">
        <f aca="false">IF(AND(C2809=C2810,W2809=W2810-1),X2809,"")</f>
        <v/>
      </c>
      <c r="AA2810" s="0" t="str">
        <f aca="false">IF(AND(C2809=C2810,W2809=W2810-1),Y2809,"")</f>
        <v/>
      </c>
      <c r="AB2810" s="0" t="str">
        <f aca="false">IF(W2810=1,"",IF(AND(X2810=1,Z2810&lt;&gt;1),1,0))</f>
        <v/>
      </c>
      <c r="AC2810" s="0" t="str">
        <f aca="false">IF(W2810=1,"",IF(AND(Y2810=1,AA2810&lt;&gt;1),1,0))</f>
        <v/>
      </c>
      <c r="AD2810" s="33" t="str">
        <f aca="false">IF(AND(E2810&gt;0,W2810&lt;1,NOT(AND(C2811=C2810,W2811=W2810+1))),INDEX(DATAS,W2810+1),"")</f>
        <v/>
      </c>
      <c r="AE2810" s="33" t="str">
        <f aca="false">IF(AND(Y2810=1,W2810&lt;1),IF(AND(C2811=C2810,W2811=W2810+1),IF(Y2811=1,"",INDEX(DATAS,W2810+1)),INDEX(DATAS,W2810+1)),"")</f>
        <v/>
      </c>
    </row>
    <row r="2811" customFormat="false" ht="15" hidden="false" customHeight="false" outlineLevel="0" collapsed="false">
      <c r="A2811" s="33" t="n">
        <v>46309</v>
      </c>
      <c r="B2811" s="0" t="n">
        <v>13</v>
      </c>
      <c r="C2811" s="0" t="n">
        <v>7181</v>
      </c>
      <c r="E2811" s="0" t="n">
        <v>0</v>
      </c>
      <c r="F2811" s="27" t="s">
        <v>1390</v>
      </c>
      <c r="I2811" s="27" t="s">
        <v>166</v>
      </c>
      <c r="U2811" s="0" t="n">
        <v>318</v>
      </c>
      <c r="V2811" s="0" t="n">
        <v>0</v>
      </c>
      <c r="W2811" s="27" t="n">
        <f aca="false">MATCH(A2811,DATAS,0)</f>
        <v>1</v>
      </c>
      <c r="X2811" s="27" t="n">
        <f aca="false">IF(AND(E2811&gt;0,OR(AND(B2811&gt;=1,B2811&lt;=6),B2811=10)),1,0)</f>
        <v>0</v>
      </c>
      <c r="Y2811" s="27" t="n">
        <f aca="false">IF(AND(E2811&gt;0,B2811=10),1,0)</f>
        <v>0</v>
      </c>
      <c r="Z2811" s="0" t="str">
        <f aca="false">IF(AND(C2810=C2811,W2810=W2811-1),X2810,"")</f>
        <v/>
      </c>
      <c r="AA2811" s="0" t="str">
        <f aca="false">IF(AND(C2810=C2811,W2810=W2811-1),Y2810,"")</f>
        <v/>
      </c>
      <c r="AB2811" s="0" t="str">
        <f aca="false">IF(W2811=1,"",IF(AND(X2811=1,Z2811&lt;&gt;1),1,0))</f>
        <v/>
      </c>
      <c r="AC2811" s="0" t="str">
        <f aca="false">IF(W2811=1,"",IF(AND(Y2811=1,AA2811&lt;&gt;1),1,0))</f>
        <v/>
      </c>
      <c r="AD2811" s="33" t="str">
        <f aca="false">IF(AND(E2811&gt;0,W2811&lt;1,NOT(AND(C2812=C2811,W2812=W2811+1))),INDEX(DATAS,W2811+1),"")</f>
        <v/>
      </c>
      <c r="AE2811" s="33" t="str">
        <f aca="false">IF(AND(Y2811=1,W2811&lt;1),IF(AND(C2812=C2811,W2812=W2811+1),IF(Y2812=1,"",INDEX(DATAS,W2811+1)),INDEX(DATAS,W2811+1)),"")</f>
        <v/>
      </c>
    </row>
    <row r="2812" customFormat="false" ht="15" hidden="false" customHeight="false" outlineLevel="0" collapsed="false">
      <c r="A2812" s="33" t="n">
        <v>46309</v>
      </c>
      <c r="B2812" s="0" t="n">
        <v>13</v>
      </c>
      <c r="C2812" s="0" t="n">
        <v>7182</v>
      </c>
      <c r="E2812" s="0" t="n">
        <v>0</v>
      </c>
      <c r="F2812" s="27" t="s">
        <v>1390</v>
      </c>
      <c r="I2812" s="27" t="s">
        <v>166</v>
      </c>
      <c r="U2812" s="0" t="n">
        <v>318</v>
      </c>
      <c r="V2812" s="0" t="n">
        <v>0</v>
      </c>
      <c r="W2812" s="27" t="n">
        <f aca="false">MATCH(A2812,DATAS,0)</f>
        <v>1</v>
      </c>
      <c r="X2812" s="27" t="n">
        <f aca="false">IF(AND(E2812&gt;0,OR(AND(B2812&gt;=1,B2812&lt;=6),B2812=10)),1,0)</f>
        <v>0</v>
      </c>
      <c r="Y2812" s="27" t="n">
        <f aca="false">IF(AND(E2812&gt;0,B2812=10),1,0)</f>
        <v>0</v>
      </c>
      <c r="Z2812" s="0" t="str">
        <f aca="false">IF(AND(C2811=C2812,W2811=W2812-1),X2811,"")</f>
        <v/>
      </c>
      <c r="AA2812" s="0" t="str">
        <f aca="false">IF(AND(C2811=C2812,W2811=W2812-1),Y2811,"")</f>
        <v/>
      </c>
      <c r="AB2812" s="0" t="str">
        <f aca="false">IF(W2812=1,"",IF(AND(X2812=1,Z2812&lt;&gt;1),1,0))</f>
        <v/>
      </c>
      <c r="AC2812" s="0" t="str">
        <f aca="false">IF(W2812=1,"",IF(AND(Y2812=1,AA2812&lt;&gt;1),1,0))</f>
        <v/>
      </c>
      <c r="AD2812" s="33" t="str">
        <f aca="false">IF(AND(E2812&gt;0,W2812&lt;1,NOT(AND(C2813=C2812,W2813=W2812+1))),INDEX(DATAS,W2812+1),"")</f>
        <v/>
      </c>
      <c r="AE2812" s="33" t="str">
        <f aca="false">IF(AND(Y2812=1,W2812&lt;1),IF(AND(C2813=C2812,W2813=W2812+1),IF(Y2813=1,"",INDEX(DATAS,W2812+1)),INDEX(DATAS,W2812+1)),"")</f>
        <v/>
      </c>
    </row>
    <row r="2813" customFormat="false" ht="15" hidden="false" customHeight="false" outlineLevel="0" collapsed="false">
      <c r="A2813" s="33" t="n">
        <v>46309</v>
      </c>
      <c r="B2813" s="0" t="n">
        <v>13</v>
      </c>
      <c r="C2813" s="0" t="n">
        <v>7183</v>
      </c>
      <c r="E2813" s="0" t="n">
        <v>0</v>
      </c>
      <c r="F2813" s="27" t="s">
        <v>1390</v>
      </c>
      <c r="I2813" s="27" t="s">
        <v>166</v>
      </c>
      <c r="U2813" s="0" t="n">
        <v>318</v>
      </c>
      <c r="V2813" s="0" t="n">
        <v>0</v>
      </c>
      <c r="W2813" s="27" t="n">
        <f aca="false">MATCH(A2813,DATAS,0)</f>
        <v>1</v>
      </c>
      <c r="X2813" s="27" t="n">
        <f aca="false">IF(AND(E2813&gt;0,OR(AND(B2813&gt;=1,B2813&lt;=6),B2813=10)),1,0)</f>
        <v>0</v>
      </c>
      <c r="Y2813" s="27" t="n">
        <f aca="false">IF(AND(E2813&gt;0,B2813=10),1,0)</f>
        <v>0</v>
      </c>
      <c r="Z2813" s="0" t="str">
        <f aca="false">IF(AND(C2812=C2813,W2812=W2813-1),X2812,"")</f>
        <v/>
      </c>
      <c r="AA2813" s="0" t="str">
        <f aca="false">IF(AND(C2812=C2813,W2812=W2813-1),Y2812,"")</f>
        <v/>
      </c>
      <c r="AB2813" s="0" t="str">
        <f aca="false">IF(W2813=1,"",IF(AND(X2813=1,Z2813&lt;&gt;1),1,0))</f>
        <v/>
      </c>
      <c r="AC2813" s="0" t="str">
        <f aca="false">IF(W2813=1,"",IF(AND(Y2813=1,AA2813&lt;&gt;1),1,0))</f>
        <v/>
      </c>
      <c r="AD2813" s="33" t="str">
        <f aca="false">IF(AND(E2813&gt;0,W2813&lt;1,NOT(AND(C2814=C2813,W2814=W2813+1))),INDEX(DATAS,W2813+1),"")</f>
        <v/>
      </c>
      <c r="AE2813" s="33" t="str">
        <f aca="false">IF(AND(Y2813=1,W2813&lt;1),IF(AND(C2814=C2813,W2814=W2813+1),IF(Y2814=1,"",INDEX(DATAS,W2813+1)),INDEX(DATAS,W2813+1)),"")</f>
        <v/>
      </c>
    </row>
    <row r="2814" customFormat="false" ht="15" hidden="false" customHeight="false" outlineLevel="0" collapsed="false">
      <c r="A2814" s="33" t="n">
        <v>46309</v>
      </c>
      <c r="B2814" s="0" t="n">
        <v>13</v>
      </c>
      <c r="C2814" s="0" t="n">
        <v>7184</v>
      </c>
      <c r="E2814" s="0" t="n">
        <v>0</v>
      </c>
      <c r="F2814" s="27" t="s">
        <v>1390</v>
      </c>
      <c r="I2814" s="27" t="s">
        <v>166</v>
      </c>
      <c r="U2814" s="0" t="n">
        <v>318</v>
      </c>
      <c r="V2814" s="0" t="n">
        <v>0</v>
      </c>
      <c r="W2814" s="27" t="n">
        <f aca="false">MATCH(A2814,DATAS,0)</f>
        <v>1</v>
      </c>
      <c r="X2814" s="27" t="n">
        <f aca="false">IF(AND(E2814&gt;0,OR(AND(B2814&gt;=1,B2814&lt;=6),B2814=10)),1,0)</f>
        <v>0</v>
      </c>
      <c r="Y2814" s="27" t="n">
        <f aca="false">IF(AND(E2814&gt;0,B2814=10),1,0)</f>
        <v>0</v>
      </c>
      <c r="Z2814" s="0" t="str">
        <f aca="false">IF(AND(C2813=C2814,W2813=W2814-1),X2813,"")</f>
        <v/>
      </c>
      <c r="AA2814" s="0" t="str">
        <f aca="false">IF(AND(C2813=C2814,W2813=W2814-1),Y2813,"")</f>
        <v/>
      </c>
      <c r="AB2814" s="0" t="str">
        <f aca="false">IF(W2814=1,"",IF(AND(X2814=1,Z2814&lt;&gt;1),1,0))</f>
        <v/>
      </c>
      <c r="AC2814" s="0" t="str">
        <f aca="false">IF(W2814=1,"",IF(AND(Y2814=1,AA2814&lt;&gt;1),1,0))</f>
        <v/>
      </c>
      <c r="AD2814" s="33" t="str">
        <f aca="false">IF(AND(E2814&gt;0,W2814&lt;1,NOT(AND(C2815=C2814,W2815=W2814+1))),INDEX(DATAS,W2814+1),"")</f>
        <v/>
      </c>
      <c r="AE2814" s="33" t="str">
        <f aca="false">IF(AND(Y2814=1,W2814&lt;1),IF(AND(C2815=C2814,W2815=W2814+1),IF(Y2815=1,"",INDEX(DATAS,W2814+1)),INDEX(DATAS,W2814+1)),"")</f>
        <v/>
      </c>
    </row>
    <row r="2815" customFormat="false" ht="15" hidden="false" customHeight="false" outlineLevel="0" collapsed="false">
      <c r="A2815" s="33" t="n">
        <v>46309</v>
      </c>
      <c r="B2815" s="0" t="n">
        <v>13</v>
      </c>
      <c r="C2815" s="0" t="n">
        <v>7185</v>
      </c>
      <c r="E2815" s="0" t="n">
        <v>0</v>
      </c>
      <c r="F2815" s="27" t="s">
        <v>1391</v>
      </c>
      <c r="I2815" s="27" t="s">
        <v>166</v>
      </c>
      <c r="U2815" s="0" t="n">
        <v>317</v>
      </c>
      <c r="V2815" s="0" t="n">
        <v>0</v>
      </c>
      <c r="W2815" s="27" t="n">
        <f aca="false">MATCH(A2815,DATAS,0)</f>
        <v>1</v>
      </c>
      <c r="X2815" s="27" t="n">
        <f aca="false">IF(AND(E2815&gt;0,OR(AND(B2815&gt;=1,B2815&lt;=6),B2815=10)),1,0)</f>
        <v>0</v>
      </c>
      <c r="Y2815" s="27" t="n">
        <f aca="false">IF(AND(E2815&gt;0,B2815=10),1,0)</f>
        <v>0</v>
      </c>
      <c r="Z2815" s="0" t="str">
        <f aca="false">IF(AND(C2814=C2815,W2814=W2815-1),X2814,"")</f>
        <v/>
      </c>
      <c r="AA2815" s="0" t="str">
        <f aca="false">IF(AND(C2814=C2815,W2814=W2815-1),Y2814,"")</f>
        <v/>
      </c>
      <c r="AB2815" s="0" t="str">
        <f aca="false">IF(W2815=1,"",IF(AND(X2815=1,Z2815&lt;&gt;1),1,0))</f>
        <v/>
      </c>
      <c r="AC2815" s="0" t="str">
        <f aca="false">IF(W2815=1,"",IF(AND(Y2815=1,AA2815&lt;&gt;1),1,0))</f>
        <v/>
      </c>
      <c r="AD2815" s="33" t="str">
        <f aca="false">IF(AND(E2815&gt;0,W2815&lt;1,NOT(AND(C2816=C2815,W2816=W2815+1))),INDEX(DATAS,W2815+1),"")</f>
        <v/>
      </c>
      <c r="AE2815" s="33" t="str">
        <f aca="false">IF(AND(Y2815=1,W2815&lt;1),IF(AND(C2816=C2815,W2816=W2815+1),IF(Y2816=1,"",INDEX(DATAS,W2815+1)),INDEX(DATAS,W2815+1)),"")</f>
        <v/>
      </c>
    </row>
    <row r="2816" customFormat="false" ht="15" hidden="false" customHeight="false" outlineLevel="0" collapsed="false">
      <c r="A2816" s="33" t="n">
        <v>46309</v>
      </c>
      <c r="B2816" s="0" t="n">
        <v>13</v>
      </c>
      <c r="C2816" s="0" t="n">
        <v>7186</v>
      </c>
      <c r="E2816" s="0" t="n">
        <v>0</v>
      </c>
      <c r="F2816" s="27" t="s">
        <v>1392</v>
      </c>
      <c r="I2816" s="27" t="s">
        <v>166</v>
      </c>
      <c r="U2816" s="0" t="n">
        <v>316</v>
      </c>
      <c r="V2816" s="0" t="n">
        <v>0</v>
      </c>
      <c r="W2816" s="27" t="n">
        <f aca="false">MATCH(A2816,DATAS,0)</f>
        <v>1</v>
      </c>
      <c r="X2816" s="27" t="n">
        <f aca="false">IF(AND(E2816&gt;0,OR(AND(B2816&gt;=1,B2816&lt;=6),B2816=10)),1,0)</f>
        <v>0</v>
      </c>
      <c r="Y2816" s="27" t="n">
        <f aca="false">IF(AND(E2816&gt;0,B2816=10),1,0)</f>
        <v>0</v>
      </c>
      <c r="Z2816" s="0" t="str">
        <f aca="false">IF(AND(C2815=C2816,W2815=W2816-1),X2815,"")</f>
        <v/>
      </c>
      <c r="AA2816" s="0" t="str">
        <f aca="false">IF(AND(C2815=C2816,W2815=W2816-1),Y2815,"")</f>
        <v/>
      </c>
      <c r="AB2816" s="0" t="str">
        <f aca="false">IF(W2816=1,"",IF(AND(X2816=1,Z2816&lt;&gt;1),1,0))</f>
        <v/>
      </c>
      <c r="AC2816" s="0" t="str">
        <f aca="false">IF(W2816=1,"",IF(AND(Y2816=1,AA2816&lt;&gt;1),1,0))</f>
        <v/>
      </c>
      <c r="AD2816" s="33" t="str">
        <f aca="false">IF(AND(E2816&gt;0,W2816&lt;1,NOT(AND(C2817=C2816,W2817=W2816+1))),INDEX(DATAS,W2816+1),"")</f>
        <v/>
      </c>
      <c r="AE2816" s="33" t="str">
        <f aca="false">IF(AND(Y2816=1,W2816&lt;1),IF(AND(C2817=C2816,W2817=W2816+1),IF(Y2817=1,"",INDEX(DATAS,W2816+1)),INDEX(DATAS,W2816+1)),"")</f>
        <v/>
      </c>
    </row>
    <row r="2817" customFormat="false" ht="15" hidden="false" customHeight="false" outlineLevel="0" collapsed="false">
      <c r="A2817" s="33" t="n">
        <v>46309</v>
      </c>
      <c r="B2817" s="0" t="n">
        <v>13</v>
      </c>
      <c r="C2817" s="0" t="n">
        <v>7187</v>
      </c>
      <c r="E2817" s="0" t="n">
        <v>0</v>
      </c>
      <c r="F2817" s="27" t="s">
        <v>1392</v>
      </c>
      <c r="I2817" s="27" t="s">
        <v>166</v>
      </c>
      <c r="U2817" s="0" t="n">
        <v>316</v>
      </c>
      <c r="V2817" s="0" t="n">
        <v>0</v>
      </c>
      <c r="W2817" s="27" t="n">
        <f aca="false">MATCH(A2817,DATAS,0)</f>
        <v>1</v>
      </c>
      <c r="X2817" s="27" t="n">
        <f aca="false">IF(AND(E2817&gt;0,OR(AND(B2817&gt;=1,B2817&lt;=6),B2817=10)),1,0)</f>
        <v>0</v>
      </c>
      <c r="Y2817" s="27" t="n">
        <f aca="false">IF(AND(E2817&gt;0,B2817=10),1,0)</f>
        <v>0</v>
      </c>
      <c r="Z2817" s="0" t="str">
        <f aca="false">IF(AND(C2816=C2817,W2816=W2817-1),X2816,"")</f>
        <v/>
      </c>
      <c r="AA2817" s="0" t="str">
        <f aca="false">IF(AND(C2816=C2817,W2816=W2817-1),Y2816,"")</f>
        <v/>
      </c>
      <c r="AB2817" s="0" t="str">
        <f aca="false">IF(W2817=1,"",IF(AND(X2817=1,Z2817&lt;&gt;1),1,0))</f>
        <v/>
      </c>
      <c r="AC2817" s="0" t="str">
        <f aca="false">IF(W2817=1,"",IF(AND(Y2817=1,AA2817&lt;&gt;1),1,0))</f>
        <v/>
      </c>
      <c r="AD2817" s="33" t="str">
        <f aca="false">IF(AND(E2817&gt;0,W2817&lt;1,NOT(AND(C2818=C2817,W2818=W2817+1))),INDEX(DATAS,W2817+1),"")</f>
        <v/>
      </c>
      <c r="AE2817" s="33" t="str">
        <f aca="false">IF(AND(Y2817=1,W2817&lt;1),IF(AND(C2818=C2817,W2818=W2817+1),IF(Y2818=1,"",INDEX(DATAS,W2817+1)),INDEX(DATAS,W2817+1)),"")</f>
        <v/>
      </c>
    </row>
    <row r="2818" customFormat="false" ht="15" hidden="false" customHeight="false" outlineLevel="0" collapsed="false">
      <c r="A2818" s="33" t="n">
        <v>46309</v>
      </c>
      <c r="B2818" s="0" t="n">
        <v>13</v>
      </c>
      <c r="C2818" s="0" t="n">
        <v>7188</v>
      </c>
      <c r="E2818" s="0" t="n">
        <v>0</v>
      </c>
      <c r="F2818" s="27" t="s">
        <v>1392</v>
      </c>
      <c r="I2818" s="27" t="s">
        <v>166</v>
      </c>
      <c r="U2818" s="0" t="n">
        <v>316</v>
      </c>
      <c r="V2818" s="0" t="n">
        <v>0</v>
      </c>
      <c r="W2818" s="27" t="n">
        <f aca="false">MATCH(A2818,DATAS,0)</f>
        <v>1</v>
      </c>
      <c r="X2818" s="27" t="n">
        <f aca="false">IF(AND(E2818&gt;0,OR(AND(B2818&gt;=1,B2818&lt;=6),B2818=10)),1,0)</f>
        <v>0</v>
      </c>
      <c r="Y2818" s="27" t="n">
        <f aca="false">IF(AND(E2818&gt;0,B2818=10),1,0)</f>
        <v>0</v>
      </c>
      <c r="Z2818" s="0" t="str">
        <f aca="false">IF(AND(C2817=C2818,W2817=W2818-1),X2817,"")</f>
        <v/>
      </c>
      <c r="AA2818" s="0" t="str">
        <f aca="false">IF(AND(C2817=C2818,W2817=W2818-1),Y2817,"")</f>
        <v/>
      </c>
      <c r="AB2818" s="0" t="str">
        <f aca="false">IF(W2818=1,"",IF(AND(X2818=1,Z2818&lt;&gt;1),1,0))</f>
        <v/>
      </c>
      <c r="AC2818" s="0" t="str">
        <f aca="false">IF(W2818=1,"",IF(AND(Y2818=1,AA2818&lt;&gt;1),1,0))</f>
        <v/>
      </c>
      <c r="AD2818" s="33" t="str">
        <f aca="false">IF(AND(E2818&gt;0,W2818&lt;1,NOT(AND(C2819=C2818,W2819=W2818+1))),INDEX(DATAS,W2818+1),"")</f>
        <v/>
      </c>
      <c r="AE2818" s="33" t="str">
        <f aca="false">IF(AND(Y2818=1,W2818&lt;1),IF(AND(C2819=C2818,W2819=W2818+1),IF(Y2819=1,"",INDEX(DATAS,W2818+1)),INDEX(DATAS,W2818+1)),"")</f>
        <v/>
      </c>
    </row>
    <row r="2819" customFormat="false" ht="15" hidden="false" customHeight="false" outlineLevel="0" collapsed="false">
      <c r="A2819" s="33" t="n">
        <v>46309</v>
      </c>
      <c r="B2819" s="0" t="n">
        <v>13</v>
      </c>
      <c r="C2819" s="0" t="n">
        <v>7189</v>
      </c>
      <c r="E2819" s="0" t="n">
        <v>0</v>
      </c>
      <c r="F2819" s="27" t="s">
        <v>1392</v>
      </c>
      <c r="I2819" s="27" t="s">
        <v>166</v>
      </c>
      <c r="U2819" s="0" t="n">
        <v>316</v>
      </c>
      <c r="V2819" s="0" t="n">
        <v>0</v>
      </c>
      <c r="W2819" s="27" t="n">
        <f aca="false">MATCH(A2819,DATAS,0)</f>
        <v>1</v>
      </c>
      <c r="X2819" s="27" t="n">
        <f aca="false">IF(AND(E2819&gt;0,OR(AND(B2819&gt;=1,B2819&lt;=6),B2819=10)),1,0)</f>
        <v>0</v>
      </c>
      <c r="Y2819" s="27" t="n">
        <f aca="false">IF(AND(E2819&gt;0,B2819=10),1,0)</f>
        <v>0</v>
      </c>
      <c r="Z2819" s="0" t="str">
        <f aca="false">IF(AND(C2818=C2819,W2818=W2819-1),X2818,"")</f>
        <v/>
      </c>
      <c r="AA2819" s="0" t="str">
        <f aca="false">IF(AND(C2818=C2819,W2818=W2819-1),Y2818,"")</f>
        <v/>
      </c>
      <c r="AB2819" s="0" t="str">
        <f aca="false">IF(W2819=1,"",IF(AND(X2819=1,Z2819&lt;&gt;1),1,0))</f>
        <v/>
      </c>
      <c r="AC2819" s="0" t="str">
        <f aca="false">IF(W2819=1,"",IF(AND(Y2819=1,AA2819&lt;&gt;1),1,0))</f>
        <v/>
      </c>
      <c r="AD2819" s="33" t="str">
        <f aca="false">IF(AND(E2819&gt;0,W2819&lt;1,NOT(AND(C2820=C2819,W2820=W2819+1))),INDEX(DATAS,W2819+1),"")</f>
        <v/>
      </c>
      <c r="AE2819" s="33" t="str">
        <f aca="false">IF(AND(Y2819=1,W2819&lt;1),IF(AND(C2820=C2819,W2820=W2819+1),IF(Y2820=1,"",INDEX(DATAS,W2819+1)),INDEX(DATAS,W2819+1)),"")</f>
        <v/>
      </c>
    </row>
    <row r="2820" customFormat="false" ht="15" hidden="false" customHeight="false" outlineLevel="0" collapsed="false">
      <c r="A2820" s="33" t="n">
        <v>46309</v>
      </c>
      <c r="B2820" s="0" t="n">
        <v>13</v>
      </c>
      <c r="C2820" s="0" t="n">
        <v>7190</v>
      </c>
      <c r="E2820" s="0" t="n">
        <v>0</v>
      </c>
      <c r="F2820" s="27" t="s">
        <v>1393</v>
      </c>
      <c r="I2820" s="27" t="s">
        <v>166</v>
      </c>
      <c r="U2820" s="0" t="n">
        <v>315</v>
      </c>
      <c r="V2820" s="0" t="n">
        <v>0</v>
      </c>
      <c r="W2820" s="27" t="n">
        <f aca="false">MATCH(A2820,DATAS,0)</f>
        <v>1</v>
      </c>
      <c r="X2820" s="27" t="n">
        <f aca="false">IF(AND(E2820&gt;0,OR(AND(B2820&gt;=1,B2820&lt;=6),B2820=10)),1,0)</f>
        <v>0</v>
      </c>
      <c r="Y2820" s="27" t="n">
        <f aca="false">IF(AND(E2820&gt;0,B2820=10),1,0)</f>
        <v>0</v>
      </c>
      <c r="Z2820" s="0" t="str">
        <f aca="false">IF(AND(C2819=C2820,W2819=W2820-1),X2819,"")</f>
        <v/>
      </c>
      <c r="AA2820" s="0" t="str">
        <f aca="false">IF(AND(C2819=C2820,W2819=W2820-1),Y2819,"")</f>
        <v/>
      </c>
      <c r="AB2820" s="0" t="str">
        <f aca="false">IF(W2820=1,"",IF(AND(X2820=1,Z2820&lt;&gt;1),1,0))</f>
        <v/>
      </c>
      <c r="AC2820" s="0" t="str">
        <f aca="false">IF(W2820=1,"",IF(AND(Y2820=1,AA2820&lt;&gt;1),1,0))</f>
        <v/>
      </c>
      <c r="AD2820" s="33" t="str">
        <f aca="false">IF(AND(E2820&gt;0,W2820&lt;1,NOT(AND(C2821=C2820,W2821=W2820+1))),INDEX(DATAS,W2820+1),"")</f>
        <v/>
      </c>
      <c r="AE2820" s="33" t="str">
        <f aca="false">IF(AND(Y2820=1,W2820&lt;1),IF(AND(C2821=C2820,W2821=W2820+1),IF(Y2821=1,"",INDEX(DATAS,W2820+1)),INDEX(DATAS,W2820+1)),"")</f>
        <v/>
      </c>
    </row>
    <row r="2821" customFormat="false" ht="15" hidden="false" customHeight="false" outlineLevel="0" collapsed="false">
      <c r="A2821" s="33" t="n">
        <v>46309</v>
      </c>
      <c r="B2821" s="0" t="n">
        <v>13</v>
      </c>
      <c r="C2821" s="0" t="n">
        <v>7192</v>
      </c>
      <c r="E2821" s="0" t="n">
        <v>0</v>
      </c>
      <c r="F2821" s="27" t="s">
        <v>1393</v>
      </c>
      <c r="I2821" s="27" t="s">
        <v>166</v>
      </c>
      <c r="U2821" s="0" t="n">
        <v>315</v>
      </c>
      <c r="V2821" s="0" t="n">
        <v>0</v>
      </c>
      <c r="W2821" s="27" t="n">
        <f aca="false">MATCH(A2821,DATAS,0)</f>
        <v>1</v>
      </c>
      <c r="X2821" s="27" t="n">
        <f aca="false">IF(AND(E2821&gt;0,OR(AND(B2821&gt;=1,B2821&lt;=6),B2821=10)),1,0)</f>
        <v>0</v>
      </c>
      <c r="Y2821" s="27" t="n">
        <f aca="false">IF(AND(E2821&gt;0,B2821=10),1,0)</f>
        <v>0</v>
      </c>
      <c r="Z2821" s="0" t="str">
        <f aca="false">IF(AND(C2820=C2821,W2820=W2821-1),X2820,"")</f>
        <v/>
      </c>
      <c r="AA2821" s="0" t="str">
        <f aca="false">IF(AND(C2820=C2821,W2820=W2821-1),Y2820,"")</f>
        <v/>
      </c>
      <c r="AB2821" s="0" t="str">
        <f aca="false">IF(W2821=1,"",IF(AND(X2821=1,Z2821&lt;&gt;1),1,0))</f>
        <v/>
      </c>
      <c r="AC2821" s="0" t="str">
        <f aca="false">IF(W2821=1,"",IF(AND(Y2821=1,AA2821&lt;&gt;1),1,0))</f>
        <v/>
      </c>
      <c r="AD2821" s="33" t="str">
        <f aca="false">IF(AND(E2821&gt;0,W2821&lt;1,NOT(AND(C2822=C2821,W2822=W2821+1))),INDEX(DATAS,W2821+1),"")</f>
        <v/>
      </c>
      <c r="AE2821" s="33" t="str">
        <f aca="false">IF(AND(Y2821=1,W2821&lt;1),IF(AND(C2822=C2821,W2822=W2821+1),IF(Y2822=1,"",INDEX(DATAS,W2821+1)),INDEX(DATAS,W2821+1)),"")</f>
        <v/>
      </c>
    </row>
    <row r="2822" customFormat="false" ht="15" hidden="false" customHeight="false" outlineLevel="0" collapsed="false">
      <c r="A2822" s="33" t="n">
        <v>46309</v>
      </c>
      <c r="B2822" s="0" t="n">
        <v>13</v>
      </c>
      <c r="C2822" s="0" t="n">
        <v>7193</v>
      </c>
      <c r="E2822" s="0" t="n">
        <v>0</v>
      </c>
      <c r="F2822" s="27" t="s">
        <v>1393</v>
      </c>
      <c r="I2822" s="27" t="s">
        <v>166</v>
      </c>
      <c r="U2822" s="0" t="n">
        <v>315</v>
      </c>
      <c r="V2822" s="0" t="n">
        <v>0</v>
      </c>
      <c r="W2822" s="27" t="n">
        <f aca="false">MATCH(A2822,DATAS,0)</f>
        <v>1</v>
      </c>
      <c r="X2822" s="27" t="n">
        <f aca="false">IF(AND(E2822&gt;0,OR(AND(B2822&gt;=1,B2822&lt;=6),B2822=10)),1,0)</f>
        <v>0</v>
      </c>
      <c r="Y2822" s="27" t="n">
        <f aca="false">IF(AND(E2822&gt;0,B2822=10),1,0)</f>
        <v>0</v>
      </c>
      <c r="Z2822" s="0" t="str">
        <f aca="false">IF(AND(C2821=C2822,W2821=W2822-1),X2821,"")</f>
        <v/>
      </c>
      <c r="AA2822" s="0" t="str">
        <f aca="false">IF(AND(C2821=C2822,W2821=W2822-1),Y2821,"")</f>
        <v/>
      </c>
      <c r="AB2822" s="0" t="str">
        <f aca="false">IF(W2822=1,"",IF(AND(X2822=1,Z2822&lt;&gt;1),1,0))</f>
        <v/>
      </c>
      <c r="AC2822" s="0" t="str">
        <f aca="false">IF(W2822=1,"",IF(AND(Y2822=1,AA2822&lt;&gt;1),1,0))</f>
        <v/>
      </c>
      <c r="AD2822" s="33" t="str">
        <f aca="false">IF(AND(E2822&gt;0,W2822&lt;1,NOT(AND(C2823=C2822,W2823=W2822+1))),INDEX(DATAS,W2822+1),"")</f>
        <v/>
      </c>
      <c r="AE2822" s="33" t="str">
        <f aca="false">IF(AND(Y2822=1,W2822&lt;1),IF(AND(C2823=C2822,W2823=W2822+1),IF(Y2823=1,"",INDEX(DATAS,W2822+1)),INDEX(DATAS,W2822+1)),"")</f>
        <v/>
      </c>
    </row>
    <row r="2823" customFormat="false" ht="15" hidden="false" customHeight="false" outlineLevel="0" collapsed="false">
      <c r="A2823" s="33" t="n">
        <v>46309</v>
      </c>
      <c r="B2823" s="0" t="n">
        <v>13</v>
      </c>
      <c r="C2823" s="0" t="n">
        <v>7194</v>
      </c>
      <c r="E2823" s="0" t="n">
        <v>0</v>
      </c>
      <c r="F2823" s="27" t="s">
        <v>1393</v>
      </c>
      <c r="I2823" s="27" t="s">
        <v>166</v>
      </c>
      <c r="U2823" s="0" t="n">
        <v>315</v>
      </c>
      <c r="V2823" s="0" t="n">
        <v>0</v>
      </c>
      <c r="W2823" s="27" t="n">
        <f aca="false">MATCH(A2823,DATAS,0)</f>
        <v>1</v>
      </c>
      <c r="X2823" s="27" t="n">
        <f aca="false">IF(AND(E2823&gt;0,OR(AND(B2823&gt;=1,B2823&lt;=6),B2823=10)),1,0)</f>
        <v>0</v>
      </c>
      <c r="Y2823" s="27" t="n">
        <f aca="false">IF(AND(E2823&gt;0,B2823=10),1,0)</f>
        <v>0</v>
      </c>
      <c r="Z2823" s="0" t="str">
        <f aca="false">IF(AND(C2822=C2823,W2822=W2823-1),X2822,"")</f>
        <v/>
      </c>
      <c r="AA2823" s="0" t="str">
        <f aca="false">IF(AND(C2822=C2823,W2822=W2823-1),Y2822,"")</f>
        <v/>
      </c>
      <c r="AB2823" s="0" t="str">
        <f aca="false">IF(W2823=1,"",IF(AND(X2823=1,Z2823&lt;&gt;1),1,0))</f>
        <v/>
      </c>
      <c r="AC2823" s="0" t="str">
        <f aca="false">IF(W2823=1,"",IF(AND(Y2823=1,AA2823&lt;&gt;1),1,0))</f>
        <v/>
      </c>
      <c r="AD2823" s="33" t="str">
        <f aca="false">IF(AND(E2823&gt;0,W2823&lt;1,NOT(AND(C2824=C2823,W2824=W2823+1))),INDEX(DATAS,W2823+1),"")</f>
        <v/>
      </c>
      <c r="AE2823" s="33" t="str">
        <f aca="false">IF(AND(Y2823=1,W2823&lt;1),IF(AND(C2824=C2823,W2824=W2823+1),IF(Y2824=1,"",INDEX(DATAS,W2823+1)),INDEX(DATAS,W2823+1)),"")</f>
        <v/>
      </c>
    </row>
    <row r="2824" customFormat="false" ht="15" hidden="false" customHeight="false" outlineLevel="0" collapsed="false">
      <c r="A2824" s="33" t="n">
        <v>46309</v>
      </c>
      <c r="B2824" s="0" t="n">
        <v>13</v>
      </c>
      <c r="C2824" s="0" t="n">
        <v>7195</v>
      </c>
      <c r="E2824" s="0" t="n">
        <v>0</v>
      </c>
      <c r="F2824" s="27" t="s">
        <v>1393</v>
      </c>
      <c r="I2824" s="27" t="s">
        <v>166</v>
      </c>
      <c r="U2824" s="0" t="n">
        <v>315</v>
      </c>
      <c r="V2824" s="0" t="n">
        <v>0</v>
      </c>
      <c r="W2824" s="27" t="n">
        <f aca="false">MATCH(A2824,DATAS,0)</f>
        <v>1</v>
      </c>
      <c r="X2824" s="27" t="n">
        <f aca="false">IF(AND(E2824&gt;0,OR(AND(B2824&gt;=1,B2824&lt;=6),B2824=10)),1,0)</f>
        <v>0</v>
      </c>
      <c r="Y2824" s="27" t="n">
        <f aca="false">IF(AND(E2824&gt;0,B2824=10),1,0)</f>
        <v>0</v>
      </c>
      <c r="Z2824" s="0" t="str">
        <f aca="false">IF(AND(C2823=C2824,W2823=W2824-1),X2823,"")</f>
        <v/>
      </c>
      <c r="AA2824" s="0" t="str">
        <f aca="false">IF(AND(C2823=C2824,W2823=W2824-1),Y2823,"")</f>
        <v/>
      </c>
      <c r="AB2824" s="0" t="str">
        <f aca="false">IF(W2824=1,"",IF(AND(X2824=1,Z2824&lt;&gt;1),1,0))</f>
        <v/>
      </c>
      <c r="AC2824" s="0" t="str">
        <f aca="false">IF(W2824=1,"",IF(AND(Y2824=1,AA2824&lt;&gt;1),1,0))</f>
        <v/>
      </c>
      <c r="AD2824" s="33" t="str">
        <f aca="false">IF(AND(E2824&gt;0,W2824&lt;1,NOT(AND(C2825=C2824,W2825=W2824+1))),INDEX(DATAS,W2824+1),"")</f>
        <v/>
      </c>
      <c r="AE2824" s="33" t="str">
        <f aca="false">IF(AND(Y2824=1,W2824&lt;1),IF(AND(C2825=C2824,W2825=W2824+1),IF(Y2825=1,"",INDEX(DATAS,W2824+1)),INDEX(DATAS,W2824+1)),"")</f>
        <v/>
      </c>
    </row>
    <row r="2825" customFormat="false" ht="15" hidden="false" customHeight="false" outlineLevel="0" collapsed="false">
      <c r="A2825" s="33" t="n">
        <v>46309</v>
      </c>
      <c r="B2825" s="0" t="n">
        <v>13</v>
      </c>
      <c r="C2825" s="0" t="n">
        <v>7196</v>
      </c>
      <c r="E2825" s="0" t="n">
        <v>0</v>
      </c>
      <c r="F2825" s="27" t="s">
        <v>1394</v>
      </c>
      <c r="I2825" s="27" t="s">
        <v>166</v>
      </c>
      <c r="U2825" s="0" t="n">
        <v>314</v>
      </c>
      <c r="V2825" s="0" t="n">
        <v>0</v>
      </c>
      <c r="W2825" s="27" t="n">
        <f aca="false">MATCH(A2825,DATAS,0)</f>
        <v>1</v>
      </c>
      <c r="X2825" s="27" t="n">
        <f aca="false">IF(AND(E2825&gt;0,OR(AND(B2825&gt;=1,B2825&lt;=6),B2825=10)),1,0)</f>
        <v>0</v>
      </c>
      <c r="Y2825" s="27" t="n">
        <f aca="false">IF(AND(E2825&gt;0,B2825=10),1,0)</f>
        <v>0</v>
      </c>
      <c r="Z2825" s="0" t="str">
        <f aca="false">IF(AND(C2824=C2825,W2824=W2825-1),X2824,"")</f>
        <v/>
      </c>
      <c r="AA2825" s="0" t="str">
        <f aca="false">IF(AND(C2824=C2825,W2824=W2825-1),Y2824,"")</f>
        <v/>
      </c>
      <c r="AB2825" s="0" t="str">
        <f aca="false">IF(W2825=1,"",IF(AND(X2825=1,Z2825&lt;&gt;1),1,0))</f>
        <v/>
      </c>
      <c r="AC2825" s="0" t="str">
        <f aca="false">IF(W2825=1,"",IF(AND(Y2825=1,AA2825&lt;&gt;1),1,0))</f>
        <v/>
      </c>
      <c r="AD2825" s="33" t="str">
        <f aca="false">IF(AND(E2825&gt;0,W2825&lt;1,NOT(AND(C2826=C2825,W2826=W2825+1))),INDEX(DATAS,W2825+1),"")</f>
        <v/>
      </c>
      <c r="AE2825" s="33" t="str">
        <f aca="false">IF(AND(Y2825=1,W2825&lt;1),IF(AND(C2826=C2825,W2826=W2825+1),IF(Y2826=1,"",INDEX(DATAS,W2825+1)),INDEX(DATAS,W2825+1)),"")</f>
        <v/>
      </c>
    </row>
    <row r="2826" customFormat="false" ht="15" hidden="false" customHeight="false" outlineLevel="0" collapsed="false">
      <c r="A2826" s="33" t="n">
        <v>46309</v>
      </c>
      <c r="B2826" s="0" t="n">
        <v>13</v>
      </c>
      <c r="C2826" s="0" t="n">
        <v>7198</v>
      </c>
      <c r="E2826" s="0" t="n">
        <v>0</v>
      </c>
      <c r="F2826" s="27" t="s">
        <v>1394</v>
      </c>
      <c r="I2826" s="27" t="s">
        <v>166</v>
      </c>
      <c r="U2826" s="0" t="n">
        <v>314</v>
      </c>
      <c r="V2826" s="0" t="n">
        <v>0</v>
      </c>
      <c r="W2826" s="27" t="n">
        <f aca="false">MATCH(A2826,DATAS,0)</f>
        <v>1</v>
      </c>
      <c r="X2826" s="27" t="n">
        <f aca="false">IF(AND(E2826&gt;0,OR(AND(B2826&gt;=1,B2826&lt;=6),B2826=10)),1,0)</f>
        <v>0</v>
      </c>
      <c r="Y2826" s="27" t="n">
        <f aca="false">IF(AND(E2826&gt;0,B2826=10),1,0)</f>
        <v>0</v>
      </c>
      <c r="Z2826" s="0" t="str">
        <f aca="false">IF(AND(C2825=C2826,W2825=W2826-1),X2825,"")</f>
        <v/>
      </c>
      <c r="AA2826" s="0" t="str">
        <f aca="false">IF(AND(C2825=C2826,W2825=W2826-1),Y2825,"")</f>
        <v/>
      </c>
      <c r="AB2826" s="0" t="str">
        <f aca="false">IF(W2826=1,"",IF(AND(X2826=1,Z2826&lt;&gt;1),1,0))</f>
        <v/>
      </c>
      <c r="AC2826" s="0" t="str">
        <f aca="false">IF(W2826=1,"",IF(AND(Y2826=1,AA2826&lt;&gt;1),1,0))</f>
        <v/>
      </c>
      <c r="AD2826" s="33" t="str">
        <f aca="false">IF(AND(E2826&gt;0,W2826&lt;1,NOT(AND(C2827=C2826,W2827=W2826+1))),INDEX(DATAS,W2826+1),"")</f>
        <v/>
      </c>
      <c r="AE2826" s="33" t="str">
        <f aca="false">IF(AND(Y2826=1,W2826&lt;1),IF(AND(C2827=C2826,W2827=W2826+1),IF(Y2827=1,"",INDEX(DATAS,W2826+1)),INDEX(DATAS,W2826+1)),"")</f>
        <v/>
      </c>
    </row>
    <row r="2827" customFormat="false" ht="15" hidden="false" customHeight="false" outlineLevel="0" collapsed="false">
      <c r="A2827" s="33" t="n">
        <v>46309</v>
      </c>
      <c r="B2827" s="0" t="n">
        <v>13</v>
      </c>
      <c r="C2827" s="0" t="n">
        <v>7200</v>
      </c>
      <c r="E2827" s="0" t="n">
        <v>0</v>
      </c>
      <c r="F2827" s="27" t="s">
        <v>1395</v>
      </c>
      <c r="I2827" s="27" t="s">
        <v>166</v>
      </c>
      <c r="U2827" s="0" t="n">
        <v>313</v>
      </c>
      <c r="V2827" s="0" t="n">
        <v>0</v>
      </c>
      <c r="W2827" s="27" t="n">
        <f aca="false">MATCH(A2827,DATAS,0)</f>
        <v>1</v>
      </c>
      <c r="X2827" s="27" t="n">
        <f aca="false">IF(AND(E2827&gt;0,OR(AND(B2827&gt;=1,B2827&lt;=6),B2827=10)),1,0)</f>
        <v>0</v>
      </c>
      <c r="Y2827" s="27" t="n">
        <f aca="false">IF(AND(E2827&gt;0,B2827=10),1,0)</f>
        <v>0</v>
      </c>
      <c r="Z2827" s="0" t="str">
        <f aca="false">IF(AND(C2826=C2827,W2826=W2827-1),X2826,"")</f>
        <v/>
      </c>
      <c r="AA2827" s="0" t="str">
        <f aca="false">IF(AND(C2826=C2827,W2826=W2827-1),Y2826,"")</f>
        <v/>
      </c>
      <c r="AB2827" s="0" t="str">
        <f aca="false">IF(W2827=1,"",IF(AND(X2827=1,Z2827&lt;&gt;1),1,0))</f>
        <v/>
      </c>
      <c r="AC2827" s="0" t="str">
        <f aca="false">IF(W2827=1,"",IF(AND(Y2827=1,AA2827&lt;&gt;1),1,0))</f>
        <v/>
      </c>
      <c r="AD2827" s="33" t="str">
        <f aca="false">IF(AND(E2827&gt;0,W2827&lt;1,NOT(AND(C2828=C2827,W2828=W2827+1))),INDEX(DATAS,W2827+1),"")</f>
        <v/>
      </c>
      <c r="AE2827" s="33" t="str">
        <f aca="false">IF(AND(Y2827=1,W2827&lt;1),IF(AND(C2828=C2827,W2828=W2827+1),IF(Y2828=1,"",INDEX(DATAS,W2827+1)),INDEX(DATAS,W2827+1)),"")</f>
        <v/>
      </c>
    </row>
    <row r="2828" customFormat="false" ht="15" hidden="false" customHeight="false" outlineLevel="0" collapsed="false">
      <c r="A2828" s="33" t="n">
        <v>46309</v>
      </c>
      <c r="B2828" s="0" t="n">
        <v>13</v>
      </c>
      <c r="C2828" s="0" t="n">
        <v>7201</v>
      </c>
      <c r="E2828" s="0" t="n">
        <v>0</v>
      </c>
      <c r="F2828" s="27" t="s">
        <v>1395</v>
      </c>
      <c r="I2828" s="27" t="s">
        <v>166</v>
      </c>
      <c r="U2828" s="0" t="n">
        <v>313</v>
      </c>
      <c r="V2828" s="0" t="n">
        <v>0</v>
      </c>
      <c r="W2828" s="27" t="n">
        <f aca="false">MATCH(A2828,DATAS,0)</f>
        <v>1</v>
      </c>
      <c r="X2828" s="27" t="n">
        <f aca="false">IF(AND(E2828&gt;0,OR(AND(B2828&gt;=1,B2828&lt;=6),B2828=10)),1,0)</f>
        <v>0</v>
      </c>
      <c r="Y2828" s="27" t="n">
        <f aca="false">IF(AND(E2828&gt;0,B2828=10),1,0)</f>
        <v>0</v>
      </c>
      <c r="Z2828" s="0" t="str">
        <f aca="false">IF(AND(C2827=C2828,W2827=W2828-1),X2827,"")</f>
        <v/>
      </c>
      <c r="AA2828" s="0" t="str">
        <f aca="false">IF(AND(C2827=C2828,W2827=W2828-1),Y2827,"")</f>
        <v/>
      </c>
      <c r="AB2828" s="0" t="str">
        <f aca="false">IF(W2828=1,"",IF(AND(X2828=1,Z2828&lt;&gt;1),1,0))</f>
        <v/>
      </c>
      <c r="AC2828" s="0" t="str">
        <f aca="false">IF(W2828=1,"",IF(AND(Y2828=1,AA2828&lt;&gt;1),1,0))</f>
        <v/>
      </c>
      <c r="AD2828" s="33" t="str">
        <f aca="false">IF(AND(E2828&gt;0,W2828&lt;1,NOT(AND(C2829=C2828,W2829=W2828+1))),INDEX(DATAS,W2828+1),"")</f>
        <v/>
      </c>
      <c r="AE2828" s="33" t="str">
        <f aca="false">IF(AND(Y2828=1,W2828&lt;1),IF(AND(C2829=C2828,W2829=W2828+1),IF(Y2829=1,"",INDEX(DATAS,W2828+1)),INDEX(DATAS,W2828+1)),"")</f>
        <v/>
      </c>
    </row>
    <row r="2829" customFormat="false" ht="15" hidden="false" customHeight="false" outlineLevel="0" collapsed="false">
      <c r="A2829" s="33" t="n">
        <v>46309</v>
      </c>
      <c r="B2829" s="0" t="n">
        <v>13</v>
      </c>
      <c r="C2829" s="0" t="n">
        <v>7202</v>
      </c>
      <c r="E2829" s="0" t="n">
        <v>0</v>
      </c>
      <c r="F2829" s="27" t="s">
        <v>1395</v>
      </c>
      <c r="I2829" s="27" t="s">
        <v>166</v>
      </c>
      <c r="U2829" s="0" t="n">
        <v>313</v>
      </c>
      <c r="V2829" s="0" t="n">
        <v>0</v>
      </c>
      <c r="W2829" s="27" t="n">
        <f aca="false">MATCH(A2829,DATAS,0)</f>
        <v>1</v>
      </c>
      <c r="X2829" s="27" t="n">
        <f aca="false">IF(AND(E2829&gt;0,OR(AND(B2829&gt;=1,B2829&lt;=6),B2829=10)),1,0)</f>
        <v>0</v>
      </c>
      <c r="Y2829" s="27" t="n">
        <f aca="false">IF(AND(E2829&gt;0,B2829=10),1,0)</f>
        <v>0</v>
      </c>
      <c r="Z2829" s="0" t="str">
        <f aca="false">IF(AND(C2828=C2829,W2828=W2829-1),X2828,"")</f>
        <v/>
      </c>
      <c r="AA2829" s="0" t="str">
        <f aca="false">IF(AND(C2828=C2829,W2828=W2829-1),Y2828,"")</f>
        <v/>
      </c>
      <c r="AB2829" s="0" t="str">
        <f aca="false">IF(W2829=1,"",IF(AND(X2829=1,Z2829&lt;&gt;1),1,0))</f>
        <v/>
      </c>
      <c r="AC2829" s="0" t="str">
        <f aca="false">IF(W2829=1,"",IF(AND(Y2829=1,AA2829&lt;&gt;1),1,0))</f>
        <v/>
      </c>
      <c r="AD2829" s="33" t="str">
        <f aca="false">IF(AND(E2829&gt;0,W2829&lt;1,NOT(AND(C2830=C2829,W2830=W2829+1))),INDEX(DATAS,W2829+1),"")</f>
        <v/>
      </c>
      <c r="AE2829" s="33" t="str">
        <f aca="false">IF(AND(Y2829=1,W2829&lt;1),IF(AND(C2830=C2829,W2830=W2829+1),IF(Y2830=1,"",INDEX(DATAS,W2829+1)),INDEX(DATAS,W2829+1)),"")</f>
        <v/>
      </c>
    </row>
    <row r="2830" customFormat="false" ht="15" hidden="false" customHeight="false" outlineLevel="0" collapsed="false">
      <c r="A2830" s="33" t="n">
        <v>46309</v>
      </c>
      <c r="B2830" s="0" t="n">
        <v>13</v>
      </c>
      <c r="C2830" s="0" t="n">
        <v>7203</v>
      </c>
      <c r="E2830" s="0" t="n">
        <v>0</v>
      </c>
      <c r="F2830" s="27" t="s">
        <v>1395</v>
      </c>
      <c r="I2830" s="27" t="s">
        <v>166</v>
      </c>
      <c r="U2830" s="0" t="n">
        <v>313</v>
      </c>
      <c r="V2830" s="0" t="n">
        <v>0</v>
      </c>
      <c r="W2830" s="27" t="n">
        <f aca="false">MATCH(A2830,DATAS,0)</f>
        <v>1</v>
      </c>
      <c r="X2830" s="27" t="n">
        <f aca="false">IF(AND(E2830&gt;0,OR(AND(B2830&gt;=1,B2830&lt;=6),B2830=10)),1,0)</f>
        <v>0</v>
      </c>
      <c r="Y2830" s="27" t="n">
        <f aca="false">IF(AND(E2830&gt;0,B2830=10),1,0)</f>
        <v>0</v>
      </c>
      <c r="Z2830" s="0" t="str">
        <f aca="false">IF(AND(C2829=C2830,W2829=W2830-1),X2829,"")</f>
        <v/>
      </c>
      <c r="AA2830" s="0" t="str">
        <f aca="false">IF(AND(C2829=C2830,W2829=W2830-1),Y2829,"")</f>
        <v/>
      </c>
      <c r="AB2830" s="0" t="str">
        <f aca="false">IF(W2830=1,"",IF(AND(X2830=1,Z2830&lt;&gt;1),1,0))</f>
        <v/>
      </c>
      <c r="AC2830" s="0" t="str">
        <f aca="false">IF(W2830=1,"",IF(AND(Y2830=1,AA2830&lt;&gt;1),1,0))</f>
        <v/>
      </c>
      <c r="AD2830" s="33" t="str">
        <f aca="false">IF(AND(E2830&gt;0,W2830&lt;1,NOT(AND(C2831=C2830,W2831=W2830+1))),INDEX(DATAS,W2830+1),"")</f>
        <v/>
      </c>
      <c r="AE2830" s="33" t="str">
        <f aca="false">IF(AND(Y2830=1,W2830&lt;1),IF(AND(C2831=C2830,W2831=W2830+1),IF(Y2831=1,"",INDEX(DATAS,W2830+1)),INDEX(DATAS,W2830+1)),"")</f>
        <v/>
      </c>
    </row>
    <row r="2831" customFormat="false" ht="15" hidden="false" customHeight="false" outlineLevel="0" collapsed="false">
      <c r="A2831" s="33" t="n">
        <v>46309</v>
      </c>
      <c r="B2831" s="0" t="n">
        <v>13</v>
      </c>
      <c r="C2831" s="0" t="n">
        <v>7204</v>
      </c>
      <c r="E2831" s="0" t="n">
        <v>0</v>
      </c>
      <c r="F2831" s="27" t="s">
        <v>1396</v>
      </c>
      <c r="I2831" s="27" t="s">
        <v>166</v>
      </c>
      <c r="U2831" s="0" t="n">
        <v>311</v>
      </c>
      <c r="V2831" s="0" t="n">
        <v>0</v>
      </c>
      <c r="W2831" s="27" t="n">
        <f aca="false">MATCH(A2831,DATAS,0)</f>
        <v>1</v>
      </c>
      <c r="X2831" s="27" t="n">
        <f aca="false">IF(AND(E2831&gt;0,OR(AND(B2831&gt;=1,B2831&lt;=6),B2831=10)),1,0)</f>
        <v>0</v>
      </c>
      <c r="Y2831" s="27" t="n">
        <f aca="false">IF(AND(E2831&gt;0,B2831=10),1,0)</f>
        <v>0</v>
      </c>
      <c r="Z2831" s="0" t="str">
        <f aca="false">IF(AND(C2830=C2831,W2830=W2831-1),X2830,"")</f>
        <v/>
      </c>
      <c r="AA2831" s="0" t="str">
        <f aca="false">IF(AND(C2830=C2831,W2830=W2831-1),Y2830,"")</f>
        <v/>
      </c>
      <c r="AB2831" s="0" t="str">
        <f aca="false">IF(W2831=1,"",IF(AND(X2831=1,Z2831&lt;&gt;1),1,0))</f>
        <v/>
      </c>
      <c r="AC2831" s="0" t="str">
        <f aca="false">IF(W2831=1,"",IF(AND(Y2831=1,AA2831&lt;&gt;1),1,0))</f>
        <v/>
      </c>
      <c r="AD2831" s="33" t="str">
        <f aca="false">IF(AND(E2831&gt;0,W2831&lt;1,NOT(AND(C2832=C2831,W2832=W2831+1))),INDEX(DATAS,W2831+1),"")</f>
        <v/>
      </c>
      <c r="AE2831" s="33" t="str">
        <f aca="false">IF(AND(Y2831=1,W2831&lt;1),IF(AND(C2832=C2831,W2832=W2831+1),IF(Y2832=1,"",INDEX(DATAS,W2831+1)),INDEX(DATAS,W2831+1)),"")</f>
        <v/>
      </c>
    </row>
    <row r="2832" customFormat="false" ht="15" hidden="false" customHeight="false" outlineLevel="0" collapsed="false">
      <c r="A2832" s="33" t="n">
        <v>46309</v>
      </c>
      <c r="B2832" s="0" t="n">
        <v>13</v>
      </c>
      <c r="C2832" s="0" t="n">
        <v>7205</v>
      </c>
      <c r="E2832" s="0" t="n">
        <v>0</v>
      </c>
      <c r="F2832" s="27" t="s">
        <v>1396</v>
      </c>
      <c r="I2832" s="27" t="s">
        <v>166</v>
      </c>
      <c r="U2832" s="0" t="n">
        <v>311</v>
      </c>
      <c r="V2832" s="0" t="n">
        <v>0</v>
      </c>
      <c r="W2832" s="27" t="n">
        <f aca="false">MATCH(A2832,DATAS,0)</f>
        <v>1</v>
      </c>
      <c r="X2832" s="27" t="n">
        <f aca="false">IF(AND(E2832&gt;0,OR(AND(B2832&gt;=1,B2832&lt;=6),B2832=10)),1,0)</f>
        <v>0</v>
      </c>
      <c r="Y2832" s="27" t="n">
        <f aca="false">IF(AND(E2832&gt;0,B2832=10),1,0)</f>
        <v>0</v>
      </c>
      <c r="Z2832" s="0" t="str">
        <f aca="false">IF(AND(C2831=C2832,W2831=W2832-1),X2831,"")</f>
        <v/>
      </c>
      <c r="AA2832" s="0" t="str">
        <f aca="false">IF(AND(C2831=C2832,W2831=W2832-1),Y2831,"")</f>
        <v/>
      </c>
      <c r="AB2832" s="0" t="str">
        <f aca="false">IF(W2832=1,"",IF(AND(X2832=1,Z2832&lt;&gt;1),1,0))</f>
        <v/>
      </c>
      <c r="AC2832" s="0" t="str">
        <f aca="false">IF(W2832=1,"",IF(AND(Y2832=1,AA2832&lt;&gt;1),1,0))</f>
        <v/>
      </c>
      <c r="AD2832" s="33" t="str">
        <f aca="false">IF(AND(E2832&gt;0,W2832&lt;1,NOT(AND(C2833=C2832,W2833=W2832+1))),INDEX(DATAS,W2832+1),"")</f>
        <v/>
      </c>
      <c r="AE2832" s="33" t="str">
        <f aca="false">IF(AND(Y2832=1,W2832&lt;1),IF(AND(C2833=C2832,W2833=W2832+1),IF(Y2833=1,"",INDEX(DATAS,W2832+1)),INDEX(DATAS,W2832+1)),"")</f>
        <v/>
      </c>
    </row>
    <row r="2833" customFormat="false" ht="15" hidden="false" customHeight="false" outlineLevel="0" collapsed="false">
      <c r="A2833" s="33" t="n">
        <v>46309</v>
      </c>
      <c r="B2833" s="0" t="n">
        <v>13</v>
      </c>
      <c r="C2833" s="0" t="n">
        <v>7207</v>
      </c>
      <c r="E2833" s="0" t="n">
        <v>0</v>
      </c>
      <c r="F2833" s="27" t="s">
        <v>1396</v>
      </c>
      <c r="I2833" s="27" t="s">
        <v>166</v>
      </c>
      <c r="U2833" s="0" t="n">
        <v>311</v>
      </c>
      <c r="V2833" s="0" t="n">
        <v>0</v>
      </c>
      <c r="W2833" s="27" t="n">
        <f aca="false">MATCH(A2833,DATAS,0)</f>
        <v>1</v>
      </c>
      <c r="X2833" s="27" t="n">
        <f aca="false">IF(AND(E2833&gt;0,OR(AND(B2833&gt;=1,B2833&lt;=6),B2833=10)),1,0)</f>
        <v>0</v>
      </c>
      <c r="Y2833" s="27" t="n">
        <f aca="false">IF(AND(E2833&gt;0,B2833=10),1,0)</f>
        <v>0</v>
      </c>
      <c r="Z2833" s="0" t="str">
        <f aca="false">IF(AND(C2832=C2833,W2832=W2833-1),X2832,"")</f>
        <v/>
      </c>
      <c r="AA2833" s="0" t="str">
        <f aca="false">IF(AND(C2832=C2833,W2832=W2833-1),Y2832,"")</f>
        <v/>
      </c>
      <c r="AB2833" s="0" t="str">
        <f aca="false">IF(W2833=1,"",IF(AND(X2833=1,Z2833&lt;&gt;1),1,0))</f>
        <v/>
      </c>
      <c r="AC2833" s="0" t="str">
        <f aca="false">IF(W2833=1,"",IF(AND(Y2833=1,AA2833&lt;&gt;1),1,0))</f>
        <v/>
      </c>
      <c r="AD2833" s="33" t="str">
        <f aca="false">IF(AND(E2833&gt;0,W2833&lt;1,NOT(AND(C2834=C2833,W2834=W2833+1))),INDEX(DATAS,W2833+1),"")</f>
        <v/>
      </c>
      <c r="AE2833" s="33" t="str">
        <f aca="false">IF(AND(Y2833=1,W2833&lt;1),IF(AND(C2834=C2833,W2834=W2833+1),IF(Y2834=1,"",INDEX(DATAS,W2833+1)),INDEX(DATAS,W2833+1)),"")</f>
        <v/>
      </c>
    </row>
    <row r="2834" customFormat="false" ht="15" hidden="false" customHeight="false" outlineLevel="0" collapsed="false">
      <c r="A2834" s="33" t="n">
        <v>46309</v>
      </c>
      <c r="B2834" s="0" t="n">
        <v>13</v>
      </c>
      <c r="C2834" s="0" t="n">
        <v>7208</v>
      </c>
      <c r="E2834" s="0" t="n">
        <v>0</v>
      </c>
      <c r="F2834" s="27" t="s">
        <v>1397</v>
      </c>
      <c r="I2834" s="27" t="s">
        <v>166</v>
      </c>
      <c r="U2834" s="0" t="n">
        <v>310</v>
      </c>
      <c r="V2834" s="0" t="n">
        <v>0</v>
      </c>
      <c r="W2834" s="27" t="n">
        <f aca="false">MATCH(A2834,DATAS,0)</f>
        <v>1</v>
      </c>
      <c r="X2834" s="27" t="n">
        <f aca="false">IF(AND(E2834&gt;0,OR(AND(B2834&gt;=1,B2834&lt;=6),B2834=10)),1,0)</f>
        <v>0</v>
      </c>
      <c r="Y2834" s="27" t="n">
        <f aca="false">IF(AND(E2834&gt;0,B2834=10),1,0)</f>
        <v>0</v>
      </c>
      <c r="Z2834" s="0" t="str">
        <f aca="false">IF(AND(C2833=C2834,W2833=W2834-1),X2833,"")</f>
        <v/>
      </c>
      <c r="AA2834" s="0" t="str">
        <f aca="false">IF(AND(C2833=C2834,W2833=W2834-1),Y2833,"")</f>
        <v/>
      </c>
      <c r="AB2834" s="0" t="str">
        <f aca="false">IF(W2834=1,"",IF(AND(X2834=1,Z2834&lt;&gt;1),1,0))</f>
        <v/>
      </c>
      <c r="AC2834" s="0" t="str">
        <f aca="false">IF(W2834=1,"",IF(AND(Y2834=1,AA2834&lt;&gt;1),1,0))</f>
        <v/>
      </c>
      <c r="AD2834" s="33" t="str">
        <f aca="false">IF(AND(E2834&gt;0,W2834&lt;1,NOT(AND(C2835=C2834,W2835=W2834+1))),INDEX(DATAS,W2834+1),"")</f>
        <v/>
      </c>
      <c r="AE2834" s="33" t="str">
        <f aca="false">IF(AND(Y2834=1,W2834&lt;1),IF(AND(C2835=C2834,W2835=W2834+1),IF(Y2835=1,"",INDEX(DATAS,W2834+1)),INDEX(DATAS,W2834+1)),"")</f>
        <v/>
      </c>
    </row>
    <row r="2835" customFormat="false" ht="15" hidden="false" customHeight="false" outlineLevel="0" collapsed="false">
      <c r="A2835" s="33" t="n">
        <v>46309</v>
      </c>
      <c r="B2835" s="0" t="n">
        <v>13</v>
      </c>
      <c r="C2835" s="0" t="n">
        <v>7209</v>
      </c>
      <c r="E2835" s="0" t="n">
        <v>0</v>
      </c>
      <c r="F2835" s="27" t="s">
        <v>1398</v>
      </c>
      <c r="I2835" s="27" t="s">
        <v>166</v>
      </c>
      <c r="U2835" s="0" t="n">
        <v>309</v>
      </c>
      <c r="V2835" s="0" t="n">
        <v>0</v>
      </c>
      <c r="W2835" s="27" t="n">
        <f aca="false">MATCH(A2835,DATAS,0)</f>
        <v>1</v>
      </c>
      <c r="X2835" s="27" t="n">
        <f aca="false">IF(AND(E2835&gt;0,OR(AND(B2835&gt;=1,B2835&lt;=6),B2835=10)),1,0)</f>
        <v>0</v>
      </c>
      <c r="Y2835" s="27" t="n">
        <f aca="false">IF(AND(E2835&gt;0,B2835=10),1,0)</f>
        <v>0</v>
      </c>
      <c r="Z2835" s="0" t="str">
        <f aca="false">IF(AND(C2834=C2835,W2834=W2835-1),X2834,"")</f>
        <v/>
      </c>
      <c r="AA2835" s="0" t="str">
        <f aca="false">IF(AND(C2834=C2835,W2834=W2835-1),Y2834,"")</f>
        <v/>
      </c>
      <c r="AB2835" s="0" t="str">
        <f aca="false">IF(W2835=1,"",IF(AND(X2835=1,Z2835&lt;&gt;1),1,0))</f>
        <v/>
      </c>
      <c r="AC2835" s="0" t="str">
        <f aca="false">IF(W2835=1,"",IF(AND(Y2835=1,AA2835&lt;&gt;1),1,0))</f>
        <v/>
      </c>
      <c r="AD2835" s="33" t="str">
        <f aca="false">IF(AND(E2835&gt;0,W2835&lt;1,NOT(AND(C2836=C2835,W2836=W2835+1))),INDEX(DATAS,W2835+1),"")</f>
        <v/>
      </c>
      <c r="AE2835" s="33" t="str">
        <f aca="false">IF(AND(Y2835=1,W2835&lt;1),IF(AND(C2836=C2835,W2836=W2835+1),IF(Y2836=1,"",INDEX(DATAS,W2835+1)),INDEX(DATAS,W2835+1)),"")</f>
        <v/>
      </c>
    </row>
    <row r="2836" customFormat="false" ht="15" hidden="false" customHeight="false" outlineLevel="0" collapsed="false">
      <c r="A2836" s="33" t="n">
        <v>46309</v>
      </c>
      <c r="B2836" s="0" t="n">
        <v>13</v>
      </c>
      <c r="C2836" s="0" t="n">
        <v>7210</v>
      </c>
      <c r="E2836" s="0" t="n">
        <v>0</v>
      </c>
      <c r="F2836" s="27" t="s">
        <v>1398</v>
      </c>
      <c r="I2836" s="27" t="s">
        <v>166</v>
      </c>
      <c r="U2836" s="0" t="n">
        <v>309</v>
      </c>
      <c r="V2836" s="0" t="n">
        <v>0</v>
      </c>
      <c r="W2836" s="27" t="n">
        <f aca="false">MATCH(A2836,DATAS,0)</f>
        <v>1</v>
      </c>
      <c r="X2836" s="27" t="n">
        <f aca="false">IF(AND(E2836&gt;0,OR(AND(B2836&gt;=1,B2836&lt;=6),B2836=10)),1,0)</f>
        <v>0</v>
      </c>
      <c r="Y2836" s="27" t="n">
        <f aca="false">IF(AND(E2836&gt;0,B2836=10),1,0)</f>
        <v>0</v>
      </c>
      <c r="Z2836" s="0" t="str">
        <f aca="false">IF(AND(C2835=C2836,W2835=W2836-1),X2835,"")</f>
        <v/>
      </c>
      <c r="AA2836" s="0" t="str">
        <f aca="false">IF(AND(C2835=C2836,W2835=W2836-1),Y2835,"")</f>
        <v/>
      </c>
      <c r="AB2836" s="0" t="str">
        <f aca="false">IF(W2836=1,"",IF(AND(X2836=1,Z2836&lt;&gt;1),1,0))</f>
        <v/>
      </c>
      <c r="AC2836" s="0" t="str">
        <f aca="false">IF(W2836=1,"",IF(AND(Y2836=1,AA2836&lt;&gt;1),1,0))</f>
        <v/>
      </c>
      <c r="AD2836" s="33" t="str">
        <f aca="false">IF(AND(E2836&gt;0,W2836&lt;1,NOT(AND(C2837=C2836,W2837=W2836+1))),INDEX(DATAS,W2836+1),"")</f>
        <v/>
      </c>
      <c r="AE2836" s="33" t="str">
        <f aca="false">IF(AND(Y2836=1,W2836&lt;1),IF(AND(C2837=C2836,W2837=W2836+1),IF(Y2837=1,"",INDEX(DATAS,W2836+1)),INDEX(DATAS,W2836+1)),"")</f>
        <v/>
      </c>
    </row>
    <row r="2837" customFormat="false" ht="15" hidden="false" customHeight="false" outlineLevel="0" collapsed="false">
      <c r="A2837" s="33" t="n">
        <v>46309</v>
      </c>
      <c r="B2837" s="0" t="n">
        <v>13</v>
      </c>
      <c r="C2837" s="0" t="n">
        <v>7211</v>
      </c>
      <c r="E2837" s="0" t="n">
        <v>0</v>
      </c>
      <c r="F2837" s="27" t="s">
        <v>1398</v>
      </c>
      <c r="I2837" s="27" t="s">
        <v>166</v>
      </c>
      <c r="U2837" s="0" t="n">
        <v>309</v>
      </c>
      <c r="V2837" s="0" t="n">
        <v>0</v>
      </c>
      <c r="W2837" s="27" t="n">
        <f aca="false">MATCH(A2837,DATAS,0)</f>
        <v>1</v>
      </c>
      <c r="X2837" s="27" t="n">
        <f aca="false">IF(AND(E2837&gt;0,OR(AND(B2837&gt;=1,B2837&lt;=6),B2837=10)),1,0)</f>
        <v>0</v>
      </c>
      <c r="Y2837" s="27" t="n">
        <f aca="false">IF(AND(E2837&gt;0,B2837=10),1,0)</f>
        <v>0</v>
      </c>
      <c r="Z2837" s="0" t="str">
        <f aca="false">IF(AND(C2836=C2837,W2836=W2837-1),X2836,"")</f>
        <v/>
      </c>
      <c r="AA2837" s="0" t="str">
        <f aca="false">IF(AND(C2836=C2837,W2836=W2837-1),Y2836,"")</f>
        <v/>
      </c>
      <c r="AB2837" s="0" t="str">
        <f aca="false">IF(W2837=1,"",IF(AND(X2837=1,Z2837&lt;&gt;1),1,0))</f>
        <v/>
      </c>
      <c r="AC2837" s="0" t="str">
        <f aca="false">IF(W2837=1,"",IF(AND(Y2837=1,AA2837&lt;&gt;1),1,0))</f>
        <v/>
      </c>
      <c r="AD2837" s="33" t="str">
        <f aca="false">IF(AND(E2837&gt;0,W2837&lt;1,NOT(AND(C2838=C2837,W2838=W2837+1))),INDEX(DATAS,W2837+1),"")</f>
        <v/>
      </c>
      <c r="AE2837" s="33" t="str">
        <f aca="false">IF(AND(Y2837=1,W2837&lt;1),IF(AND(C2838=C2837,W2838=W2837+1),IF(Y2838=1,"",INDEX(DATAS,W2837+1)),INDEX(DATAS,W2837+1)),"")</f>
        <v/>
      </c>
    </row>
    <row r="2838" customFormat="false" ht="15" hidden="false" customHeight="false" outlineLevel="0" collapsed="false">
      <c r="A2838" s="33" t="n">
        <v>46309</v>
      </c>
      <c r="B2838" s="0" t="n">
        <v>13</v>
      </c>
      <c r="C2838" s="0" t="n">
        <v>7212</v>
      </c>
      <c r="E2838" s="0" t="n">
        <v>0</v>
      </c>
      <c r="F2838" s="27" t="s">
        <v>1399</v>
      </c>
      <c r="I2838" s="27" t="s">
        <v>166</v>
      </c>
      <c r="U2838" s="0" t="n">
        <v>308</v>
      </c>
      <c r="V2838" s="0" t="n">
        <v>0</v>
      </c>
      <c r="W2838" s="27" t="n">
        <f aca="false">MATCH(A2838,DATAS,0)</f>
        <v>1</v>
      </c>
      <c r="X2838" s="27" t="n">
        <f aca="false">IF(AND(E2838&gt;0,OR(AND(B2838&gt;=1,B2838&lt;=6),B2838=10)),1,0)</f>
        <v>0</v>
      </c>
      <c r="Y2838" s="27" t="n">
        <f aca="false">IF(AND(E2838&gt;0,B2838=10),1,0)</f>
        <v>0</v>
      </c>
      <c r="Z2838" s="0" t="str">
        <f aca="false">IF(AND(C2837=C2838,W2837=W2838-1),X2837,"")</f>
        <v/>
      </c>
      <c r="AA2838" s="0" t="str">
        <f aca="false">IF(AND(C2837=C2838,W2837=W2838-1),Y2837,"")</f>
        <v/>
      </c>
      <c r="AB2838" s="0" t="str">
        <f aca="false">IF(W2838=1,"",IF(AND(X2838=1,Z2838&lt;&gt;1),1,0))</f>
        <v/>
      </c>
      <c r="AC2838" s="0" t="str">
        <f aca="false">IF(W2838=1,"",IF(AND(Y2838=1,AA2838&lt;&gt;1),1,0))</f>
        <v/>
      </c>
      <c r="AD2838" s="33" t="str">
        <f aca="false">IF(AND(E2838&gt;0,W2838&lt;1,NOT(AND(C2839=C2838,W2839=W2838+1))),INDEX(DATAS,W2838+1),"")</f>
        <v/>
      </c>
      <c r="AE2838" s="33" t="str">
        <f aca="false">IF(AND(Y2838=1,W2838&lt;1),IF(AND(C2839=C2838,W2839=W2838+1),IF(Y2839=1,"",INDEX(DATAS,W2838+1)),INDEX(DATAS,W2838+1)),"")</f>
        <v/>
      </c>
    </row>
    <row r="2839" customFormat="false" ht="15" hidden="false" customHeight="false" outlineLevel="0" collapsed="false">
      <c r="A2839" s="33" t="n">
        <v>46309</v>
      </c>
      <c r="B2839" s="0" t="n">
        <v>13</v>
      </c>
      <c r="C2839" s="0" t="n">
        <v>7213</v>
      </c>
      <c r="E2839" s="0" t="n">
        <v>0</v>
      </c>
      <c r="F2839" s="27" t="s">
        <v>1399</v>
      </c>
      <c r="I2839" s="27" t="s">
        <v>166</v>
      </c>
      <c r="U2839" s="0" t="n">
        <v>308</v>
      </c>
      <c r="V2839" s="0" t="n">
        <v>0</v>
      </c>
      <c r="W2839" s="27" t="n">
        <f aca="false">MATCH(A2839,DATAS,0)</f>
        <v>1</v>
      </c>
      <c r="X2839" s="27" t="n">
        <f aca="false">IF(AND(E2839&gt;0,OR(AND(B2839&gt;=1,B2839&lt;=6),B2839=10)),1,0)</f>
        <v>0</v>
      </c>
      <c r="Y2839" s="27" t="n">
        <f aca="false">IF(AND(E2839&gt;0,B2839=10),1,0)</f>
        <v>0</v>
      </c>
      <c r="Z2839" s="0" t="str">
        <f aca="false">IF(AND(C2838=C2839,W2838=W2839-1),X2838,"")</f>
        <v/>
      </c>
      <c r="AA2839" s="0" t="str">
        <f aca="false">IF(AND(C2838=C2839,W2838=W2839-1),Y2838,"")</f>
        <v/>
      </c>
      <c r="AB2839" s="0" t="str">
        <f aca="false">IF(W2839=1,"",IF(AND(X2839=1,Z2839&lt;&gt;1),1,0))</f>
        <v/>
      </c>
      <c r="AC2839" s="0" t="str">
        <f aca="false">IF(W2839=1,"",IF(AND(Y2839=1,AA2839&lt;&gt;1),1,0))</f>
        <v/>
      </c>
      <c r="AD2839" s="33" t="str">
        <f aca="false">IF(AND(E2839&gt;0,W2839&lt;1,NOT(AND(C2840=C2839,W2840=W2839+1))),INDEX(DATAS,W2839+1),"")</f>
        <v/>
      </c>
      <c r="AE2839" s="33" t="str">
        <f aca="false">IF(AND(Y2839=1,W2839&lt;1),IF(AND(C2840=C2839,W2840=W2839+1),IF(Y2840=1,"",INDEX(DATAS,W2839+1)),INDEX(DATAS,W2839+1)),"")</f>
        <v/>
      </c>
    </row>
    <row r="2840" customFormat="false" ht="15" hidden="false" customHeight="false" outlineLevel="0" collapsed="false">
      <c r="A2840" s="33" t="n">
        <v>46309</v>
      </c>
      <c r="B2840" s="0" t="n">
        <v>13</v>
      </c>
      <c r="C2840" s="0" t="n">
        <v>7214</v>
      </c>
      <c r="E2840" s="0" t="n">
        <v>0</v>
      </c>
      <c r="F2840" s="27" t="s">
        <v>1400</v>
      </c>
      <c r="I2840" s="27" t="s">
        <v>166</v>
      </c>
      <c r="U2840" s="0" t="n">
        <v>307</v>
      </c>
      <c r="V2840" s="0" t="n">
        <v>0</v>
      </c>
      <c r="W2840" s="27" t="n">
        <f aca="false">MATCH(A2840,DATAS,0)</f>
        <v>1</v>
      </c>
      <c r="X2840" s="27" t="n">
        <f aca="false">IF(AND(E2840&gt;0,OR(AND(B2840&gt;=1,B2840&lt;=6),B2840=10)),1,0)</f>
        <v>0</v>
      </c>
      <c r="Y2840" s="27" t="n">
        <f aca="false">IF(AND(E2840&gt;0,B2840=10),1,0)</f>
        <v>0</v>
      </c>
      <c r="Z2840" s="0" t="str">
        <f aca="false">IF(AND(C2839=C2840,W2839=W2840-1),X2839,"")</f>
        <v/>
      </c>
      <c r="AA2840" s="0" t="str">
        <f aca="false">IF(AND(C2839=C2840,W2839=W2840-1),Y2839,"")</f>
        <v/>
      </c>
      <c r="AB2840" s="0" t="str">
        <f aca="false">IF(W2840=1,"",IF(AND(X2840=1,Z2840&lt;&gt;1),1,0))</f>
        <v/>
      </c>
      <c r="AC2840" s="0" t="str">
        <f aca="false">IF(W2840=1,"",IF(AND(Y2840=1,AA2840&lt;&gt;1),1,0))</f>
        <v/>
      </c>
      <c r="AD2840" s="33" t="str">
        <f aca="false">IF(AND(E2840&gt;0,W2840&lt;1,NOT(AND(C2841=C2840,W2841=W2840+1))),INDEX(DATAS,W2840+1),"")</f>
        <v/>
      </c>
      <c r="AE2840" s="33" t="str">
        <f aca="false">IF(AND(Y2840=1,W2840&lt;1),IF(AND(C2841=C2840,W2841=W2840+1),IF(Y2841=1,"",INDEX(DATAS,W2840+1)),INDEX(DATAS,W2840+1)),"")</f>
        <v/>
      </c>
    </row>
    <row r="2841" customFormat="false" ht="15" hidden="false" customHeight="false" outlineLevel="0" collapsed="false">
      <c r="A2841" s="33" t="n">
        <v>46309</v>
      </c>
      <c r="B2841" s="0" t="n">
        <v>13</v>
      </c>
      <c r="C2841" s="0" t="n">
        <v>7215</v>
      </c>
      <c r="E2841" s="0" t="n">
        <v>0</v>
      </c>
      <c r="F2841" s="27" t="s">
        <v>1400</v>
      </c>
      <c r="I2841" s="27" t="s">
        <v>166</v>
      </c>
      <c r="U2841" s="0" t="n">
        <v>307</v>
      </c>
      <c r="V2841" s="0" t="n">
        <v>0</v>
      </c>
      <c r="W2841" s="27" t="n">
        <f aca="false">MATCH(A2841,DATAS,0)</f>
        <v>1</v>
      </c>
      <c r="X2841" s="27" t="n">
        <f aca="false">IF(AND(E2841&gt;0,OR(AND(B2841&gt;=1,B2841&lt;=6),B2841=10)),1,0)</f>
        <v>0</v>
      </c>
      <c r="Y2841" s="27" t="n">
        <f aca="false">IF(AND(E2841&gt;0,B2841=10),1,0)</f>
        <v>0</v>
      </c>
      <c r="Z2841" s="0" t="str">
        <f aca="false">IF(AND(C2840=C2841,W2840=W2841-1),X2840,"")</f>
        <v/>
      </c>
      <c r="AA2841" s="0" t="str">
        <f aca="false">IF(AND(C2840=C2841,W2840=W2841-1),Y2840,"")</f>
        <v/>
      </c>
      <c r="AB2841" s="0" t="str">
        <f aca="false">IF(W2841=1,"",IF(AND(X2841=1,Z2841&lt;&gt;1),1,0))</f>
        <v/>
      </c>
      <c r="AC2841" s="0" t="str">
        <f aca="false">IF(W2841=1,"",IF(AND(Y2841=1,AA2841&lt;&gt;1),1,0))</f>
        <v/>
      </c>
      <c r="AD2841" s="33" t="str">
        <f aca="false">IF(AND(E2841&gt;0,W2841&lt;1,NOT(AND(C2842=C2841,W2842=W2841+1))),INDEX(DATAS,W2841+1),"")</f>
        <v/>
      </c>
      <c r="AE2841" s="33" t="str">
        <f aca="false">IF(AND(Y2841=1,W2841&lt;1),IF(AND(C2842=C2841,W2842=W2841+1),IF(Y2842=1,"",INDEX(DATAS,W2841+1)),INDEX(DATAS,W2841+1)),"")</f>
        <v/>
      </c>
    </row>
    <row r="2842" customFormat="false" ht="15" hidden="false" customHeight="false" outlineLevel="0" collapsed="false">
      <c r="A2842" s="33" t="n">
        <v>46309</v>
      </c>
      <c r="B2842" s="0" t="n">
        <v>13</v>
      </c>
      <c r="C2842" s="0" t="n">
        <v>7216</v>
      </c>
      <c r="E2842" s="0" t="n">
        <v>0</v>
      </c>
      <c r="F2842" s="27" t="s">
        <v>1400</v>
      </c>
      <c r="I2842" s="27" t="s">
        <v>166</v>
      </c>
      <c r="U2842" s="0" t="n">
        <v>307</v>
      </c>
      <c r="V2842" s="0" t="n">
        <v>0</v>
      </c>
      <c r="W2842" s="27" t="n">
        <f aca="false">MATCH(A2842,DATAS,0)</f>
        <v>1</v>
      </c>
      <c r="X2842" s="27" t="n">
        <f aca="false">IF(AND(E2842&gt;0,OR(AND(B2842&gt;=1,B2842&lt;=6),B2842=10)),1,0)</f>
        <v>0</v>
      </c>
      <c r="Y2842" s="27" t="n">
        <f aca="false">IF(AND(E2842&gt;0,B2842=10),1,0)</f>
        <v>0</v>
      </c>
      <c r="Z2842" s="0" t="str">
        <f aca="false">IF(AND(C2841=C2842,W2841=W2842-1),X2841,"")</f>
        <v/>
      </c>
      <c r="AA2842" s="0" t="str">
        <f aca="false">IF(AND(C2841=C2842,W2841=W2842-1),Y2841,"")</f>
        <v/>
      </c>
      <c r="AB2842" s="0" t="str">
        <f aca="false">IF(W2842=1,"",IF(AND(X2842=1,Z2842&lt;&gt;1),1,0))</f>
        <v/>
      </c>
      <c r="AC2842" s="0" t="str">
        <f aca="false">IF(W2842=1,"",IF(AND(Y2842=1,AA2842&lt;&gt;1),1,0))</f>
        <v/>
      </c>
      <c r="AD2842" s="33" t="str">
        <f aca="false">IF(AND(E2842&gt;0,W2842&lt;1,NOT(AND(C2843=C2842,W2843=W2842+1))),INDEX(DATAS,W2842+1),"")</f>
        <v/>
      </c>
      <c r="AE2842" s="33" t="str">
        <f aca="false">IF(AND(Y2842=1,W2842&lt;1),IF(AND(C2843=C2842,W2843=W2842+1),IF(Y2843=1,"",INDEX(DATAS,W2842+1)),INDEX(DATAS,W2842+1)),"")</f>
        <v/>
      </c>
    </row>
    <row r="2843" customFormat="false" ht="15" hidden="false" customHeight="false" outlineLevel="0" collapsed="false">
      <c r="A2843" s="33" t="n">
        <v>46309</v>
      </c>
      <c r="B2843" s="0" t="n">
        <v>13</v>
      </c>
      <c r="C2843" s="0" t="n">
        <v>7217</v>
      </c>
      <c r="E2843" s="0" t="n">
        <v>0</v>
      </c>
      <c r="F2843" s="27" t="s">
        <v>1401</v>
      </c>
      <c r="I2843" s="27" t="s">
        <v>166</v>
      </c>
      <c r="U2843" s="0" t="n">
        <v>306</v>
      </c>
      <c r="V2843" s="0" t="n">
        <v>0</v>
      </c>
      <c r="W2843" s="27" t="n">
        <f aca="false">MATCH(A2843,DATAS,0)</f>
        <v>1</v>
      </c>
      <c r="X2843" s="27" t="n">
        <f aca="false">IF(AND(E2843&gt;0,OR(AND(B2843&gt;=1,B2843&lt;=6),B2843=10)),1,0)</f>
        <v>0</v>
      </c>
      <c r="Y2843" s="27" t="n">
        <f aca="false">IF(AND(E2843&gt;0,B2843=10),1,0)</f>
        <v>0</v>
      </c>
      <c r="Z2843" s="0" t="str">
        <f aca="false">IF(AND(C2842=C2843,W2842=W2843-1),X2842,"")</f>
        <v/>
      </c>
      <c r="AA2843" s="0" t="str">
        <f aca="false">IF(AND(C2842=C2843,W2842=W2843-1),Y2842,"")</f>
        <v/>
      </c>
      <c r="AB2843" s="0" t="str">
        <f aca="false">IF(W2843=1,"",IF(AND(X2843=1,Z2843&lt;&gt;1),1,0))</f>
        <v/>
      </c>
      <c r="AC2843" s="0" t="str">
        <f aca="false">IF(W2843=1,"",IF(AND(Y2843=1,AA2843&lt;&gt;1),1,0))</f>
        <v/>
      </c>
      <c r="AD2843" s="33" t="str">
        <f aca="false">IF(AND(E2843&gt;0,W2843&lt;1,NOT(AND(C2844=C2843,W2844=W2843+1))),INDEX(DATAS,W2843+1),"")</f>
        <v/>
      </c>
      <c r="AE2843" s="33" t="str">
        <f aca="false">IF(AND(Y2843=1,W2843&lt;1),IF(AND(C2844=C2843,W2844=W2843+1),IF(Y2844=1,"",INDEX(DATAS,W2843+1)),INDEX(DATAS,W2843+1)),"")</f>
        <v/>
      </c>
    </row>
    <row r="2844" customFormat="false" ht="15" hidden="false" customHeight="false" outlineLevel="0" collapsed="false">
      <c r="A2844" s="33" t="n">
        <v>46309</v>
      </c>
      <c r="B2844" s="0" t="n">
        <v>13</v>
      </c>
      <c r="C2844" s="0" t="n">
        <v>7218</v>
      </c>
      <c r="E2844" s="0" t="n">
        <v>0</v>
      </c>
      <c r="F2844" s="27" t="s">
        <v>1401</v>
      </c>
      <c r="I2844" s="27" t="s">
        <v>166</v>
      </c>
      <c r="U2844" s="0" t="n">
        <v>306</v>
      </c>
      <c r="V2844" s="0" t="n">
        <v>0</v>
      </c>
      <c r="W2844" s="27" t="n">
        <f aca="false">MATCH(A2844,DATAS,0)</f>
        <v>1</v>
      </c>
      <c r="X2844" s="27" t="n">
        <f aca="false">IF(AND(E2844&gt;0,OR(AND(B2844&gt;=1,B2844&lt;=6),B2844=10)),1,0)</f>
        <v>0</v>
      </c>
      <c r="Y2844" s="27" t="n">
        <f aca="false">IF(AND(E2844&gt;0,B2844=10),1,0)</f>
        <v>0</v>
      </c>
      <c r="Z2844" s="0" t="str">
        <f aca="false">IF(AND(C2843=C2844,W2843=W2844-1),X2843,"")</f>
        <v/>
      </c>
      <c r="AA2844" s="0" t="str">
        <f aca="false">IF(AND(C2843=C2844,W2843=W2844-1),Y2843,"")</f>
        <v/>
      </c>
      <c r="AB2844" s="0" t="str">
        <f aca="false">IF(W2844=1,"",IF(AND(X2844=1,Z2844&lt;&gt;1),1,0))</f>
        <v/>
      </c>
      <c r="AC2844" s="0" t="str">
        <f aca="false">IF(W2844=1,"",IF(AND(Y2844=1,AA2844&lt;&gt;1),1,0))</f>
        <v/>
      </c>
      <c r="AD2844" s="33" t="str">
        <f aca="false">IF(AND(E2844&gt;0,W2844&lt;1,NOT(AND(C2845=C2844,W2845=W2844+1))),INDEX(DATAS,W2844+1),"")</f>
        <v/>
      </c>
      <c r="AE2844" s="33" t="str">
        <f aca="false">IF(AND(Y2844=1,W2844&lt;1),IF(AND(C2845=C2844,W2845=W2844+1),IF(Y2845=1,"",INDEX(DATAS,W2844+1)),INDEX(DATAS,W2844+1)),"")</f>
        <v/>
      </c>
    </row>
    <row r="2845" customFormat="false" ht="15" hidden="false" customHeight="false" outlineLevel="0" collapsed="false">
      <c r="A2845" s="33" t="n">
        <v>46309</v>
      </c>
      <c r="B2845" s="0" t="n">
        <v>13</v>
      </c>
      <c r="C2845" s="0" t="n">
        <v>7219</v>
      </c>
      <c r="E2845" s="0" t="n">
        <v>0</v>
      </c>
      <c r="F2845" s="27" t="s">
        <v>1401</v>
      </c>
      <c r="I2845" s="27" t="s">
        <v>166</v>
      </c>
      <c r="U2845" s="0" t="n">
        <v>306</v>
      </c>
      <c r="V2845" s="0" t="n">
        <v>0</v>
      </c>
      <c r="W2845" s="27" t="n">
        <f aca="false">MATCH(A2845,DATAS,0)</f>
        <v>1</v>
      </c>
      <c r="X2845" s="27" t="n">
        <f aca="false">IF(AND(E2845&gt;0,OR(AND(B2845&gt;=1,B2845&lt;=6),B2845=10)),1,0)</f>
        <v>0</v>
      </c>
      <c r="Y2845" s="27" t="n">
        <f aca="false">IF(AND(E2845&gt;0,B2845=10),1,0)</f>
        <v>0</v>
      </c>
      <c r="Z2845" s="0" t="str">
        <f aca="false">IF(AND(C2844=C2845,W2844=W2845-1),X2844,"")</f>
        <v/>
      </c>
      <c r="AA2845" s="0" t="str">
        <f aca="false">IF(AND(C2844=C2845,W2844=W2845-1),Y2844,"")</f>
        <v/>
      </c>
      <c r="AB2845" s="0" t="str">
        <f aca="false">IF(W2845=1,"",IF(AND(X2845=1,Z2845&lt;&gt;1),1,0))</f>
        <v/>
      </c>
      <c r="AC2845" s="0" t="str">
        <f aca="false">IF(W2845=1,"",IF(AND(Y2845=1,AA2845&lt;&gt;1),1,0))</f>
        <v/>
      </c>
      <c r="AD2845" s="33" t="str">
        <f aca="false">IF(AND(E2845&gt;0,W2845&lt;1,NOT(AND(C2846=C2845,W2846=W2845+1))),INDEX(DATAS,W2845+1),"")</f>
        <v/>
      </c>
      <c r="AE2845" s="33" t="str">
        <f aca="false">IF(AND(Y2845=1,W2845&lt;1),IF(AND(C2846=C2845,W2846=W2845+1),IF(Y2846=1,"",INDEX(DATAS,W2845+1)),INDEX(DATAS,W2845+1)),"")</f>
        <v/>
      </c>
    </row>
    <row r="2846" customFormat="false" ht="15" hidden="false" customHeight="false" outlineLevel="0" collapsed="false">
      <c r="A2846" s="33" t="n">
        <v>46309</v>
      </c>
      <c r="B2846" s="0" t="n">
        <v>13</v>
      </c>
      <c r="C2846" s="0" t="n">
        <v>7220</v>
      </c>
      <c r="E2846" s="0" t="n">
        <v>0</v>
      </c>
      <c r="F2846" s="27" t="s">
        <v>1401</v>
      </c>
      <c r="I2846" s="27" t="s">
        <v>166</v>
      </c>
      <c r="U2846" s="0" t="n">
        <v>306</v>
      </c>
      <c r="V2846" s="0" t="n">
        <v>0</v>
      </c>
      <c r="W2846" s="27" t="n">
        <f aca="false">MATCH(A2846,DATAS,0)</f>
        <v>1</v>
      </c>
      <c r="X2846" s="27" t="n">
        <f aca="false">IF(AND(E2846&gt;0,OR(AND(B2846&gt;=1,B2846&lt;=6),B2846=10)),1,0)</f>
        <v>0</v>
      </c>
      <c r="Y2846" s="27" t="n">
        <f aca="false">IF(AND(E2846&gt;0,B2846=10),1,0)</f>
        <v>0</v>
      </c>
      <c r="Z2846" s="0" t="str">
        <f aca="false">IF(AND(C2845=C2846,W2845=W2846-1),X2845,"")</f>
        <v/>
      </c>
      <c r="AA2846" s="0" t="str">
        <f aca="false">IF(AND(C2845=C2846,W2845=W2846-1),Y2845,"")</f>
        <v/>
      </c>
      <c r="AB2846" s="0" t="str">
        <f aca="false">IF(W2846=1,"",IF(AND(X2846=1,Z2846&lt;&gt;1),1,0))</f>
        <v/>
      </c>
      <c r="AC2846" s="0" t="str">
        <f aca="false">IF(W2846=1,"",IF(AND(Y2846=1,AA2846&lt;&gt;1),1,0))</f>
        <v/>
      </c>
      <c r="AD2846" s="33" t="str">
        <f aca="false">IF(AND(E2846&gt;0,W2846&lt;1,NOT(AND(C2847=C2846,W2847=W2846+1))),INDEX(DATAS,W2846+1),"")</f>
        <v/>
      </c>
      <c r="AE2846" s="33" t="str">
        <f aca="false">IF(AND(Y2846=1,W2846&lt;1),IF(AND(C2847=C2846,W2847=W2846+1),IF(Y2847=1,"",INDEX(DATAS,W2846+1)),INDEX(DATAS,W2846+1)),"")</f>
        <v/>
      </c>
    </row>
    <row r="2847" customFormat="false" ht="15" hidden="false" customHeight="false" outlineLevel="0" collapsed="false">
      <c r="A2847" s="33" t="n">
        <v>46309</v>
      </c>
      <c r="B2847" s="0" t="n">
        <v>13</v>
      </c>
      <c r="C2847" s="0" t="n">
        <v>7221</v>
      </c>
      <c r="E2847" s="0" t="n">
        <v>0</v>
      </c>
      <c r="F2847" s="27" t="s">
        <v>1401</v>
      </c>
      <c r="I2847" s="27" t="s">
        <v>166</v>
      </c>
      <c r="U2847" s="0" t="n">
        <v>306</v>
      </c>
      <c r="V2847" s="0" t="n">
        <v>0</v>
      </c>
      <c r="W2847" s="27" t="n">
        <f aca="false">MATCH(A2847,DATAS,0)</f>
        <v>1</v>
      </c>
      <c r="X2847" s="27" t="n">
        <f aca="false">IF(AND(E2847&gt;0,OR(AND(B2847&gt;=1,B2847&lt;=6),B2847=10)),1,0)</f>
        <v>0</v>
      </c>
      <c r="Y2847" s="27" t="n">
        <f aca="false">IF(AND(E2847&gt;0,B2847=10),1,0)</f>
        <v>0</v>
      </c>
      <c r="Z2847" s="0" t="str">
        <f aca="false">IF(AND(C2846=C2847,W2846=W2847-1),X2846,"")</f>
        <v/>
      </c>
      <c r="AA2847" s="0" t="str">
        <f aca="false">IF(AND(C2846=C2847,W2846=W2847-1),Y2846,"")</f>
        <v/>
      </c>
      <c r="AB2847" s="0" t="str">
        <f aca="false">IF(W2847=1,"",IF(AND(X2847=1,Z2847&lt;&gt;1),1,0))</f>
        <v/>
      </c>
      <c r="AC2847" s="0" t="str">
        <f aca="false">IF(W2847=1,"",IF(AND(Y2847=1,AA2847&lt;&gt;1),1,0))</f>
        <v/>
      </c>
      <c r="AD2847" s="33" t="str">
        <f aca="false">IF(AND(E2847&gt;0,W2847&lt;1,NOT(AND(C2848=C2847,W2848=W2847+1))),INDEX(DATAS,W2847+1),"")</f>
        <v/>
      </c>
      <c r="AE2847" s="33" t="str">
        <f aca="false">IF(AND(Y2847=1,W2847&lt;1),IF(AND(C2848=C2847,W2848=W2847+1),IF(Y2848=1,"",INDEX(DATAS,W2847+1)),INDEX(DATAS,W2847+1)),"")</f>
        <v/>
      </c>
    </row>
    <row r="2848" customFormat="false" ht="15" hidden="false" customHeight="false" outlineLevel="0" collapsed="false">
      <c r="A2848" s="33" t="n">
        <v>46309</v>
      </c>
      <c r="B2848" s="0" t="n">
        <v>13</v>
      </c>
      <c r="C2848" s="0" t="n">
        <v>7222</v>
      </c>
      <c r="E2848" s="0" t="n">
        <v>0</v>
      </c>
      <c r="F2848" s="27" t="s">
        <v>1401</v>
      </c>
      <c r="I2848" s="27" t="s">
        <v>166</v>
      </c>
      <c r="U2848" s="0" t="n">
        <v>306</v>
      </c>
      <c r="V2848" s="0" t="n">
        <v>0</v>
      </c>
      <c r="W2848" s="27" t="n">
        <f aca="false">MATCH(A2848,DATAS,0)</f>
        <v>1</v>
      </c>
      <c r="X2848" s="27" t="n">
        <f aca="false">IF(AND(E2848&gt;0,OR(AND(B2848&gt;=1,B2848&lt;=6),B2848=10)),1,0)</f>
        <v>0</v>
      </c>
      <c r="Y2848" s="27" t="n">
        <f aca="false">IF(AND(E2848&gt;0,B2848=10),1,0)</f>
        <v>0</v>
      </c>
      <c r="Z2848" s="0" t="str">
        <f aca="false">IF(AND(C2847=C2848,W2847=W2848-1),X2847,"")</f>
        <v/>
      </c>
      <c r="AA2848" s="0" t="str">
        <f aca="false">IF(AND(C2847=C2848,W2847=W2848-1),Y2847,"")</f>
        <v/>
      </c>
      <c r="AB2848" s="0" t="str">
        <f aca="false">IF(W2848=1,"",IF(AND(X2848=1,Z2848&lt;&gt;1),1,0))</f>
        <v/>
      </c>
      <c r="AC2848" s="0" t="str">
        <f aca="false">IF(W2848=1,"",IF(AND(Y2848=1,AA2848&lt;&gt;1),1,0))</f>
        <v/>
      </c>
      <c r="AD2848" s="33" t="str">
        <f aca="false">IF(AND(E2848&gt;0,W2848&lt;1,NOT(AND(C2849=C2848,W2849=W2848+1))),INDEX(DATAS,W2848+1),"")</f>
        <v/>
      </c>
      <c r="AE2848" s="33" t="str">
        <f aca="false">IF(AND(Y2848=1,W2848&lt;1),IF(AND(C2849=C2848,W2849=W2848+1),IF(Y2849=1,"",INDEX(DATAS,W2848+1)),INDEX(DATAS,W2848+1)),"")</f>
        <v/>
      </c>
    </row>
    <row r="2849" customFormat="false" ht="15" hidden="false" customHeight="false" outlineLevel="0" collapsed="false">
      <c r="A2849" s="33" t="n">
        <v>46309</v>
      </c>
      <c r="B2849" s="0" t="n">
        <v>13</v>
      </c>
      <c r="C2849" s="0" t="n">
        <v>7223</v>
      </c>
      <c r="E2849" s="0" t="n">
        <v>0</v>
      </c>
      <c r="F2849" s="27" t="s">
        <v>1401</v>
      </c>
      <c r="I2849" s="27" t="s">
        <v>166</v>
      </c>
      <c r="U2849" s="0" t="n">
        <v>306</v>
      </c>
      <c r="V2849" s="0" t="n">
        <v>0</v>
      </c>
      <c r="W2849" s="27" t="n">
        <f aca="false">MATCH(A2849,DATAS,0)</f>
        <v>1</v>
      </c>
      <c r="X2849" s="27" t="n">
        <f aca="false">IF(AND(E2849&gt;0,OR(AND(B2849&gt;=1,B2849&lt;=6),B2849=10)),1,0)</f>
        <v>0</v>
      </c>
      <c r="Y2849" s="27" t="n">
        <f aca="false">IF(AND(E2849&gt;0,B2849=10),1,0)</f>
        <v>0</v>
      </c>
      <c r="Z2849" s="0" t="str">
        <f aca="false">IF(AND(C2848=C2849,W2848=W2849-1),X2848,"")</f>
        <v/>
      </c>
      <c r="AA2849" s="0" t="str">
        <f aca="false">IF(AND(C2848=C2849,W2848=W2849-1),Y2848,"")</f>
        <v/>
      </c>
      <c r="AB2849" s="0" t="str">
        <f aca="false">IF(W2849=1,"",IF(AND(X2849=1,Z2849&lt;&gt;1),1,0))</f>
        <v/>
      </c>
      <c r="AC2849" s="0" t="str">
        <f aca="false">IF(W2849=1,"",IF(AND(Y2849=1,AA2849&lt;&gt;1),1,0))</f>
        <v/>
      </c>
      <c r="AD2849" s="33" t="str">
        <f aca="false">IF(AND(E2849&gt;0,W2849&lt;1,NOT(AND(C2850=C2849,W2850=W2849+1))),INDEX(DATAS,W2849+1),"")</f>
        <v/>
      </c>
      <c r="AE2849" s="33" t="str">
        <f aca="false">IF(AND(Y2849=1,W2849&lt;1),IF(AND(C2850=C2849,W2850=W2849+1),IF(Y2850=1,"",INDEX(DATAS,W2849+1)),INDEX(DATAS,W2849+1)),"")</f>
        <v/>
      </c>
    </row>
    <row r="2850" customFormat="false" ht="15" hidden="false" customHeight="false" outlineLevel="0" collapsed="false">
      <c r="A2850" s="33" t="n">
        <v>46309</v>
      </c>
      <c r="B2850" s="0" t="n">
        <v>13</v>
      </c>
      <c r="C2850" s="0" t="n">
        <v>7224</v>
      </c>
      <c r="E2850" s="0" t="n">
        <v>0</v>
      </c>
      <c r="F2850" s="27" t="s">
        <v>1402</v>
      </c>
      <c r="I2850" s="27" t="s">
        <v>166</v>
      </c>
      <c r="U2850" s="0" t="n">
        <v>305</v>
      </c>
      <c r="V2850" s="0" t="n">
        <v>0</v>
      </c>
      <c r="W2850" s="27" t="n">
        <f aca="false">MATCH(A2850,DATAS,0)</f>
        <v>1</v>
      </c>
      <c r="X2850" s="27" t="n">
        <f aca="false">IF(AND(E2850&gt;0,OR(AND(B2850&gt;=1,B2850&lt;=6),B2850=10)),1,0)</f>
        <v>0</v>
      </c>
      <c r="Y2850" s="27" t="n">
        <f aca="false">IF(AND(E2850&gt;0,B2850=10),1,0)</f>
        <v>0</v>
      </c>
      <c r="Z2850" s="0" t="str">
        <f aca="false">IF(AND(C2849=C2850,W2849=W2850-1),X2849,"")</f>
        <v/>
      </c>
      <c r="AA2850" s="0" t="str">
        <f aca="false">IF(AND(C2849=C2850,W2849=W2850-1),Y2849,"")</f>
        <v/>
      </c>
      <c r="AB2850" s="0" t="str">
        <f aca="false">IF(W2850=1,"",IF(AND(X2850=1,Z2850&lt;&gt;1),1,0))</f>
        <v/>
      </c>
      <c r="AC2850" s="0" t="str">
        <f aca="false">IF(W2850=1,"",IF(AND(Y2850=1,AA2850&lt;&gt;1),1,0))</f>
        <v/>
      </c>
      <c r="AD2850" s="33" t="str">
        <f aca="false">IF(AND(E2850&gt;0,W2850&lt;1,NOT(AND(C2851=C2850,W2851=W2850+1))),INDEX(DATAS,W2850+1),"")</f>
        <v/>
      </c>
      <c r="AE2850" s="33" t="str">
        <f aca="false">IF(AND(Y2850=1,W2850&lt;1),IF(AND(C2851=C2850,W2851=W2850+1),IF(Y2851=1,"",INDEX(DATAS,W2850+1)),INDEX(DATAS,W2850+1)),"")</f>
        <v/>
      </c>
    </row>
    <row r="2851" customFormat="false" ht="15" hidden="false" customHeight="false" outlineLevel="0" collapsed="false">
      <c r="A2851" s="33" t="n">
        <v>46309</v>
      </c>
      <c r="B2851" s="0" t="n">
        <v>13</v>
      </c>
      <c r="C2851" s="0" t="n">
        <v>7225</v>
      </c>
      <c r="E2851" s="0" t="n">
        <v>0</v>
      </c>
      <c r="F2851" s="27" t="s">
        <v>1402</v>
      </c>
      <c r="I2851" s="27" t="s">
        <v>166</v>
      </c>
      <c r="U2851" s="0" t="n">
        <v>305</v>
      </c>
      <c r="V2851" s="0" t="n">
        <v>0</v>
      </c>
      <c r="W2851" s="27" t="n">
        <f aca="false">MATCH(A2851,DATAS,0)</f>
        <v>1</v>
      </c>
      <c r="X2851" s="27" t="n">
        <f aca="false">IF(AND(E2851&gt;0,OR(AND(B2851&gt;=1,B2851&lt;=6),B2851=10)),1,0)</f>
        <v>0</v>
      </c>
      <c r="Y2851" s="27" t="n">
        <f aca="false">IF(AND(E2851&gt;0,B2851=10),1,0)</f>
        <v>0</v>
      </c>
      <c r="Z2851" s="0" t="str">
        <f aca="false">IF(AND(C2850=C2851,W2850=W2851-1),X2850,"")</f>
        <v/>
      </c>
      <c r="AA2851" s="0" t="str">
        <f aca="false">IF(AND(C2850=C2851,W2850=W2851-1),Y2850,"")</f>
        <v/>
      </c>
      <c r="AB2851" s="0" t="str">
        <f aca="false">IF(W2851=1,"",IF(AND(X2851=1,Z2851&lt;&gt;1),1,0))</f>
        <v/>
      </c>
      <c r="AC2851" s="0" t="str">
        <f aca="false">IF(W2851=1,"",IF(AND(Y2851=1,AA2851&lt;&gt;1),1,0))</f>
        <v/>
      </c>
      <c r="AD2851" s="33" t="str">
        <f aca="false">IF(AND(E2851&gt;0,W2851&lt;1,NOT(AND(C2852=C2851,W2852=W2851+1))),INDEX(DATAS,W2851+1),"")</f>
        <v/>
      </c>
      <c r="AE2851" s="33" t="str">
        <f aca="false">IF(AND(Y2851=1,W2851&lt;1),IF(AND(C2852=C2851,W2852=W2851+1),IF(Y2852=1,"",INDEX(DATAS,W2851+1)),INDEX(DATAS,W2851+1)),"")</f>
        <v/>
      </c>
    </row>
    <row r="2852" customFormat="false" ht="15" hidden="false" customHeight="false" outlineLevel="0" collapsed="false">
      <c r="A2852" s="33" t="n">
        <v>46309</v>
      </c>
      <c r="B2852" s="0" t="n">
        <v>13</v>
      </c>
      <c r="C2852" s="0" t="n">
        <v>7226</v>
      </c>
      <c r="E2852" s="0" t="n">
        <v>0</v>
      </c>
      <c r="F2852" s="27" t="s">
        <v>1402</v>
      </c>
      <c r="I2852" s="27" t="s">
        <v>166</v>
      </c>
      <c r="U2852" s="0" t="n">
        <v>305</v>
      </c>
      <c r="V2852" s="0" t="n">
        <v>0</v>
      </c>
      <c r="W2852" s="27" t="n">
        <f aca="false">MATCH(A2852,DATAS,0)</f>
        <v>1</v>
      </c>
      <c r="X2852" s="27" t="n">
        <f aca="false">IF(AND(E2852&gt;0,OR(AND(B2852&gt;=1,B2852&lt;=6),B2852=10)),1,0)</f>
        <v>0</v>
      </c>
      <c r="Y2852" s="27" t="n">
        <f aca="false">IF(AND(E2852&gt;0,B2852=10),1,0)</f>
        <v>0</v>
      </c>
      <c r="Z2852" s="0" t="str">
        <f aca="false">IF(AND(C2851=C2852,W2851=W2852-1),X2851,"")</f>
        <v/>
      </c>
      <c r="AA2852" s="0" t="str">
        <f aca="false">IF(AND(C2851=C2852,W2851=W2852-1),Y2851,"")</f>
        <v/>
      </c>
      <c r="AB2852" s="0" t="str">
        <f aca="false">IF(W2852=1,"",IF(AND(X2852=1,Z2852&lt;&gt;1),1,0))</f>
        <v/>
      </c>
      <c r="AC2852" s="0" t="str">
        <f aca="false">IF(W2852=1,"",IF(AND(Y2852=1,AA2852&lt;&gt;1),1,0))</f>
        <v/>
      </c>
      <c r="AD2852" s="33" t="str">
        <f aca="false">IF(AND(E2852&gt;0,W2852&lt;1,NOT(AND(C2853=C2852,W2853=W2852+1))),INDEX(DATAS,W2852+1),"")</f>
        <v/>
      </c>
      <c r="AE2852" s="33" t="str">
        <f aca="false">IF(AND(Y2852=1,W2852&lt;1),IF(AND(C2853=C2852,W2853=W2852+1),IF(Y2853=1,"",INDEX(DATAS,W2852+1)),INDEX(DATAS,W2852+1)),"")</f>
        <v/>
      </c>
    </row>
    <row r="2853" customFormat="false" ht="15" hidden="false" customHeight="false" outlineLevel="0" collapsed="false">
      <c r="A2853" s="33" t="n">
        <v>46309</v>
      </c>
      <c r="B2853" s="0" t="n">
        <v>13</v>
      </c>
      <c r="C2853" s="0" t="n">
        <v>7227</v>
      </c>
      <c r="E2853" s="0" t="n">
        <v>0</v>
      </c>
      <c r="F2853" s="27" t="s">
        <v>1402</v>
      </c>
      <c r="I2853" s="27" t="s">
        <v>166</v>
      </c>
      <c r="U2853" s="0" t="n">
        <v>305</v>
      </c>
      <c r="V2853" s="0" t="n">
        <v>0</v>
      </c>
      <c r="W2853" s="27" t="n">
        <f aca="false">MATCH(A2853,DATAS,0)</f>
        <v>1</v>
      </c>
      <c r="X2853" s="27" t="n">
        <f aca="false">IF(AND(E2853&gt;0,OR(AND(B2853&gt;=1,B2853&lt;=6),B2853=10)),1,0)</f>
        <v>0</v>
      </c>
      <c r="Y2853" s="27" t="n">
        <f aca="false">IF(AND(E2853&gt;0,B2853=10),1,0)</f>
        <v>0</v>
      </c>
      <c r="Z2853" s="0" t="str">
        <f aca="false">IF(AND(C2852=C2853,W2852=W2853-1),X2852,"")</f>
        <v/>
      </c>
      <c r="AA2853" s="0" t="str">
        <f aca="false">IF(AND(C2852=C2853,W2852=W2853-1),Y2852,"")</f>
        <v/>
      </c>
      <c r="AB2853" s="0" t="str">
        <f aca="false">IF(W2853=1,"",IF(AND(X2853=1,Z2853&lt;&gt;1),1,0))</f>
        <v/>
      </c>
      <c r="AC2853" s="0" t="str">
        <f aca="false">IF(W2853=1,"",IF(AND(Y2853=1,AA2853&lt;&gt;1),1,0))</f>
        <v/>
      </c>
      <c r="AD2853" s="33" t="str">
        <f aca="false">IF(AND(E2853&gt;0,W2853&lt;1,NOT(AND(C2854=C2853,W2854=W2853+1))),INDEX(DATAS,W2853+1),"")</f>
        <v/>
      </c>
      <c r="AE2853" s="33" t="str">
        <f aca="false">IF(AND(Y2853=1,W2853&lt;1),IF(AND(C2854=C2853,W2854=W2853+1),IF(Y2854=1,"",INDEX(DATAS,W2853+1)),INDEX(DATAS,W2853+1)),"")</f>
        <v/>
      </c>
    </row>
    <row r="2854" customFormat="false" ht="15" hidden="false" customHeight="false" outlineLevel="0" collapsed="false">
      <c r="A2854" s="33" t="n">
        <v>46309</v>
      </c>
      <c r="B2854" s="0" t="n">
        <v>13</v>
      </c>
      <c r="C2854" s="0" t="n">
        <v>7228</v>
      </c>
      <c r="E2854" s="0" t="n">
        <v>0</v>
      </c>
      <c r="F2854" s="27" t="s">
        <v>1403</v>
      </c>
      <c r="I2854" s="27" t="s">
        <v>166</v>
      </c>
      <c r="U2854" s="0" t="n">
        <v>304</v>
      </c>
      <c r="V2854" s="0" t="n">
        <v>0</v>
      </c>
      <c r="W2854" s="27" t="n">
        <f aca="false">MATCH(A2854,DATAS,0)</f>
        <v>1</v>
      </c>
      <c r="X2854" s="27" t="n">
        <f aca="false">IF(AND(E2854&gt;0,OR(AND(B2854&gt;=1,B2854&lt;=6),B2854=10)),1,0)</f>
        <v>0</v>
      </c>
      <c r="Y2854" s="27" t="n">
        <f aca="false">IF(AND(E2854&gt;0,B2854=10),1,0)</f>
        <v>0</v>
      </c>
      <c r="Z2854" s="0" t="str">
        <f aca="false">IF(AND(C2853=C2854,W2853=W2854-1),X2853,"")</f>
        <v/>
      </c>
      <c r="AA2854" s="0" t="str">
        <f aca="false">IF(AND(C2853=C2854,W2853=W2854-1),Y2853,"")</f>
        <v/>
      </c>
      <c r="AB2854" s="0" t="str">
        <f aca="false">IF(W2854=1,"",IF(AND(X2854=1,Z2854&lt;&gt;1),1,0))</f>
        <v/>
      </c>
      <c r="AC2854" s="0" t="str">
        <f aca="false">IF(W2854=1,"",IF(AND(Y2854=1,AA2854&lt;&gt;1),1,0))</f>
        <v/>
      </c>
      <c r="AD2854" s="33" t="str">
        <f aca="false">IF(AND(E2854&gt;0,W2854&lt;1,NOT(AND(C2855=C2854,W2855=W2854+1))),INDEX(DATAS,W2854+1),"")</f>
        <v/>
      </c>
      <c r="AE2854" s="33" t="str">
        <f aca="false">IF(AND(Y2854=1,W2854&lt;1),IF(AND(C2855=C2854,W2855=W2854+1),IF(Y2855=1,"",INDEX(DATAS,W2854+1)),INDEX(DATAS,W2854+1)),"")</f>
        <v/>
      </c>
    </row>
    <row r="2855" customFormat="false" ht="15" hidden="false" customHeight="false" outlineLevel="0" collapsed="false">
      <c r="A2855" s="33" t="n">
        <v>46309</v>
      </c>
      <c r="B2855" s="0" t="n">
        <v>13</v>
      </c>
      <c r="C2855" s="0" t="n">
        <v>7229</v>
      </c>
      <c r="E2855" s="0" t="n">
        <v>0</v>
      </c>
      <c r="F2855" s="27" t="s">
        <v>1404</v>
      </c>
      <c r="I2855" s="27" t="s">
        <v>166</v>
      </c>
      <c r="U2855" s="0" t="n">
        <v>303</v>
      </c>
      <c r="V2855" s="0" t="n">
        <v>0</v>
      </c>
      <c r="W2855" s="27" t="n">
        <f aca="false">MATCH(A2855,DATAS,0)</f>
        <v>1</v>
      </c>
      <c r="X2855" s="27" t="n">
        <f aca="false">IF(AND(E2855&gt;0,OR(AND(B2855&gt;=1,B2855&lt;=6),B2855=10)),1,0)</f>
        <v>0</v>
      </c>
      <c r="Y2855" s="27" t="n">
        <f aca="false">IF(AND(E2855&gt;0,B2855=10),1,0)</f>
        <v>0</v>
      </c>
      <c r="Z2855" s="0" t="str">
        <f aca="false">IF(AND(C2854=C2855,W2854=W2855-1),X2854,"")</f>
        <v/>
      </c>
      <c r="AA2855" s="0" t="str">
        <f aca="false">IF(AND(C2854=C2855,W2854=W2855-1),Y2854,"")</f>
        <v/>
      </c>
      <c r="AB2855" s="0" t="str">
        <f aca="false">IF(W2855=1,"",IF(AND(X2855=1,Z2855&lt;&gt;1),1,0))</f>
        <v/>
      </c>
      <c r="AC2855" s="0" t="str">
        <f aca="false">IF(W2855=1,"",IF(AND(Y2855=1,AA2855&lt;&gt;1),1,0))</f>
        <v/>
      </c>
      <c r="AD2855" s="33" t="str">
        <f aca="false">IF(AND(E2855&gt;0,W2855&lt;1,NOT(AND(C2856=C2855,W2856=W2855+1))),INDEX(DATAS,W2855+1),"")</f>
        <v/>
      </c>
      <c r="AE2855" s="33" t="str">
        <f aca="false">IF(AND(Y2855=1,W2855&lt;1),IF(AND(C2856=C2855,W2856=W2855+1),IF(Y2856=1,"",INDEX(DATAS,W2855+1)),INDEX(DATAS,W2855+1)),"")</f>
        <v/>
      </c>
    </row>
    <row r="2856" customFormat="false" ht="15" hidden="false" customHeight="false" outlineLevel="0" collapsed="false">
      <c r="A2856" s="33" t="n">
        <v>46309</v>
      </c>
      <c r="B2856" s="0" t="n">
        <v>13</v>
      </c>
      <c r="C2856" s="0" t="n">
        <v>7230</v>
      </c>
      <c r="E2856" s="0" t="n">
        <v>0</v>
      </c>
      <c r="F2856" s="27" t="s">
        <v>1404</v>
      </c>
      <c r="I2856" s="27" t="s">
        <v>166</v>
      </c>
      <c r="U2856" s="0" t="n">
        <v>303</v>
      </c>
      <c r="V2856" s="0" t="n">
        <v>0</v>
      </c>
      <c r="W2856" s="27" t="n">
        <f aca="false">MATCH(A2856,DATAS,0)</f>
        <v>1</v>
      </c>
      <c r="X2856" s="27" t="n">
        <f aca="false">IF(AND(E2856&gt;0,OR(AND(B2856&gt;=1,B2856&lt;=6),B2856=10)),1,0)</f>
        <v>0</v>
      </c>
      <c r="Y2856" s="27" t="n">
        <f aca="false">IF(AND(E2856&gt;0,B2856=10),1,0)</f>
        <v>0</v>
      </c>
      <c r="Z2856" s="0" t="str">
        <f aca="false">IF(AND(C2855=C2856,W2855=W2856-1),X2855,"")</f>
        <v/>
      </c>
      <c r="AA2856" s="0" t="str">
        <f aca="false">IF(AND(C2855=C2856,W2855=W2856-1),Y2855,"")</f>
        <v/>
      </c>
      <c r="AB2856" s="0" t="str">
        <f aca="false">IF(W2856=1,"",IF(AND(X2856=1,Z2856&lt;&gt;1),1,0))</f>
        <v/>
      </c>
      <c r="AC2856" s="0" t="str">
        <f aca="false">IF(W2856=1,"",IF(AND(Y2856=1,AA2856&lt;&gt;1),1,0))</f>
        <v/>
      </c>
      <c r="AD2856" s="33" t="str">
        <f aca="false">IF(AND(E2856&gt;0,W2856&lt;1,NOT(AND(C2857=C2856,W2857=W2856+1))),INDEX(DATAS,W2856+1),"")</f>
        <v/>
      </c>
      <c r="AE2856" s="33" t="str">
        <f aca="false">IF(AND(Y2856=1,W2856&lt;1),IF(AND(C2857=C2856,W2857=W2856+1),IF(Y2857=1,"",INDEX(DATAS,W2856+1)),INDEX(DATAS,W2856+1)),"")</f>
        <v/>
      </c>
    </row>
    <row r="2857" customFormat="false" ht="15" hidden="false" customHeight="false" outlineLevel="0" collapsed="false">
      <c r="A2857" s="33" t="n">
        <v>46309</v>
      </c>
      <c r="B2857" s="0" t="n">
        <v>13</v>
      </c>
      <c r="C2857" s="0" t="n">
        <v>7231</v>
      </c>
      <c r="E2857" s="0" t="n">
        <v>0</v>
      </c>
      <c r="F2857" s="27" t="s">
        <v>1404</v>
      </c>
      <c r="I2857" s="27" t="s">
        <v>166</v>
      </c>
      <c r="U2857" s="0" t="n">
        <v>303</v>
      </c>
      <c r="V2857" s="0" t="n">
        <v>0</v>
      </c>
      <c r="W2857" s="27" t="n">
        <f aca="false">MATCH(A2857,DATAS,0)</f>
        <v>1</v>
      </c>
      <c r="X2857" s="27" t="n">
        <f aca="false">IF(AND(E2857&gt;0,OR(AND(B2857&gt;=1,B2857&lt;=6),B2857=10)),1,0)</f>
        <v>0</v>
      </c>
      <c r="Y2857" s="27" t="n">
        <f aca="false">IF(AND(E2857&gt;0,B2857=10),1,0)</f>
        <v>0</v>
      </c>
      <c r="Z2857" s="0" t="str">
        <f aca="false">IF(AND(C2856=C2857,W2856=W2857-1),X2856,"")</f>
        <v/>
      </c>
      <c r="AA2857" s="0" t="str">
        <f aca="false">IF(AND(C2856=C2857,W2856=W2857-1),Y2856,"")</f>
        <v/>
      </c>
      <c r="AB2857" s="0" t="str">
        <f aca="false">IF(W2857=1,"",IF(AND(X2857=1,Z2857&lt;&gt;1),1,0))</f>
        <v/>
      </c>
      <c r="AC2857" s="0" t="str">
        <f aca="false">IF(W2857=1,"",IF(AND(Y2857=1,AA2857&lt;&gt;1),1,0))</f>
        <v/>
      </c>
      <c r="AD2857" s="33" t="str">
        <f aca="false">IF(AND(E2857&gt;0,W2857&lt;1,NOT(AND(C2858=C2857,W2858=W2857+1))),INDEX(DATAS,W2857+1),"")</f>
        <v/>
      </c>
      <c r="AE2857" s="33" t="str">
        <f aca="false">IF(AND(Y2857=1,W2857&lt;1),IF(AND(C2858=C2857,W2858=W2857+1),IF(Y2858=1,"",INDEX(DATAS,W2857+1)),INDEX(DATAS,W2857+1)),"")</f>
        <v/>
      </c>
    </row>
    <row r="2858" customFormat="false" ht="15" hidden="false" customHeight="false" outlineLevel="0" collapsed="false">
      <c r="A2858" s="33" t="n">
        <v>46309</v>
      </c>
      <c r="B2858" s="0" t="n">
        <v>13</v>
      </c>
      <c r="C2858" s="0" t="n">
        <v>7232</v>
      </c>
      <c r="E2858" s="0" t="n">
        <v>0</v>
      </c>
      <c r="F2858" s="27" t="s">
        <v>1405</v>
      </c>
      <c r="I2858" s="27" t="s">
        <v>166</v>
      </c>
      <c r="U2858" s="0" t="n">
        <v>302</v>
      </c>
      <c r="V2858" s="0" t="n">
        <v>0</v>
      </c>
      <c r="W2858" s="27" t="n">
        <f aca="false">MATCH(A2858,DATAS,0)</f>
        <v>1</v>
      </c>
      <c r="X2858" s="27" t="n">
        <f aca="false">IF(AND(E2858&gt;0,OR(AND(B2858&gt;=1,B2858&lt;=6),B2858=10)),1,0)</f>
        <v>0</v>
      </c>
      <c r="Y2858" s="27" t="n">
        <f aca="false">IF(AND(E2858&gt;0,B2858=10),1,0)</f>
        <v>0</v>
      </c>
      <c r="Z2858" s="0" t="str">
        <f aca="false">IF(AND(C2857=C2858,W2857=W2858-1),X2857,"")</f>
        <v/>
      </c>
      <c r="AA2858" s="0" t="str">
        <f aca="false">IF(AND(C2857=C2858,W2857=W2858-1),Y2857,"")</f>
        <v/>
      </c>
      <c r="AB2858" s="0" t="str">
        <f aca="false">IF(W2858=1,"",IF(AND(X2858=1,Z2858&lt;&gt;1),1,0))</f>
        <v/>
      </c>
      <c r="AC2858" s="0" t="str">
        <f aca="false">IF(W2858=1,"",IF(AND(Y2858=1,AA2858&lt;&gt;1),1,0))</f>
        <v/>
      </c>
      <c r="AD2858" s="33" t="str">
        <f aca="false">IF(AND(E2858&gt;0,W2858&lt;1,NOT(AND(C2859=C2858,W2859=W2858+1))),INDEX(DATAS,W2858+1),"")</f>
        <v/>
      </c>
      <c r="AE2858" s="33" t="str">
        <f aca="false">IF(AND(Y2858=1,W2858&lt;1),IF(AND(C2859=C2858,W2859=W2858+1),IF(Y2859=1,"",INDEX(DATAS,W2858+1)),INDEX(DATAS,W2858+1)),"")</f>
        <v/>
      </c>
    </row>
    <row r="2859" customFormat="false" ht="15" hidden="false" customHeight="false" outlineLevel="0" collapsed="false">
      <c r="A2859" s="33" t="n">
        <v>46309</v>
      </c>
      <c r="B2859" s="0" t="n">
        <v>13</v>
      </c>
      <c r="C2859" s="0" t="n">
        <v>7233</v>
      </c>
      <c r="E2859" s="0" t="n">
        <v>0</v>
      </c>
      <c r="F2859" s="27" t="s">
        <v>1405</v>
      </c>
      <c r="I2859" s="27" t="s">
        <v>166</v>
      </c>
      <c r="U2859" s="0" t="n">
        <v>302</v>
      </c>
      <c r="V2859" s="0" t="n">
        <v>0</v>
      </c>
      <c r="W2859" s="27" t="n">
        <f aca="false">MATCH(A2859,DATAS,0)</f>
        <v>1</v>
      </c>
      <c r="X2859" s="27" t="n">
        <f aca="false">IF(AND(E2859&gt;0,OR(AND(B2859&gt;=1,B2859&lt;=6),B2859=10)),1,0)</f>
        <v>0</v>
      </c>
      <c r="Y2859" s="27" t="n">
        <f aca="false">IF(AND(E2859&gt;0,B2859=10),1,0)</f>
        <v>0</v>
      </c>
      <c r="Z2859" s="0" t="str">
        <f aca="false">IF(AND(C2858=C2859,W2858=W2859-1),X2858,"")</f>
        <v/>
      </c>
      <c r="AA2859" s="0" t="str">
        <f aca="false">IF(AND(C2858=C2859,W2858=W2859-1),Y2858,"")</f>
        <v/>
      </c>
      <c r="AB2859" s="0" t="str">
        <f aca="false">IF(W2859=1,"",IF(AND(X2859=1,Z2859&lt;&gt;1),1,0))</f>
        <v/>
      </c>
      <c r="AC2859" s="0" t="str">
        <f aca="false">IF(W2859=1,"",IF(AND(Y2859=1,AA2859&lt;&gt;1),1,0))</f>
        <v/>
      </c>
      <c r="AD2859" s="33" t="str">
        <f aca="false">IF(AND(E2859&gt;0,W2859&lt;1,NOT(AND(C2860=C2859,W2860=W2859+1))),INDEX(DATAS,W2859+1),"")</f>
        <v/>
      </c>
      <c r="AE2859" s="33" t="str">
        <f aca="false">IF(AND(Y2859=1,W2859&lt;1),IF(AND(C2860=C2859,W2860=W2859+1),IF(Y2860=1,"",INDEX(DATAS,W2859+1)),INDEX(DATAS,W2859+1)),"")</f>
        <v/>
      </c>
    </row>
    <row r="2860" customFormat="false" ht="15" hidden="false" customHeight="false" outlineLevel="0" collapsed="false">
      <c r="A2860" s="33" t="n">
        <v>46309</v>
      </c>
      <c r="B2860" s="0" t="n">
        <v>13</v>
      </c>
      <c r="C2860" s="0" t="n">
        <v>7234</v>
      </c>
      <c r="E2860" s="0" t="n">
        <v>0</v>
      </c>
      <c r="F2860" s="27" t="s">
        <v>1405</v>
      </c>
      <c r="I2860" s="27" t="s">
        <v>166</v>
      </c>
      <c r="U2860" s="0" t="n">
        <v>302</v>
      </c>
      <c r="V2860" s="0" t="n">
        <v>0</v>
      </c>
      <c r="W2860" s="27" t="n">
        <f aca="false">MATCH(A2860,DATAS,0)</f>
        <v>1</v>
      </c>
      <c r="X2860" s="27" t="n">
        <f aca="false">IF(AND(E2860&gt;0,OR(AND(B2860&gt;=1,B2860&lt;=6),B2860=10)),1,0)</f>
        <v>0</v>
      </c>
      <c r="Y2860" s="27" t="n">
        <f aca="false">IF(AND(E2860&gt;0,B2860=10),1,0)</f>
        <v>0</v>
      </c>
      <c r="Z2860" s="0" t="str">
        <f aca="false">IF(AND(C2859=C2860,W2859=W2860-1),X2859,"")</f>
        <v/>
      </c>
      <c r="AA2860" s="0" t="str">
        <f aca="false">IF(AND(C2859=C2860,W2859=W2860-1),Y2859,"")</f>
        <v/>
      </c>
      <c r="AB2860" s="0" t="str">
        <f aca="false">IF(W2860=1,"",IF(AND(X2860=1,Z2860&lt;&gt;1),1,0))</f>
        <v/>
      </c>
      <c r="AC2860" s="0" t="str">
        <f aca="false">IF(W2860=1,"",IF(AND(Y2860=1,AA2860&lt;&gt;1),1,0))</f>
        <v/>
      </c>
      <c r="AD2860" s="33" t="str">
        <f aca="false">IF(AND(E2860&gt;0,W2860&lt;1,NOT(AND(C2861=C2860,W2861=W2860+1))),INDEX(DATAS,W2860+1),"")</f>
        <v/>
      </c>
      <c r="AE2860" s="33" t="str">
        <f aca="false">IF(AND(Y2860=1,W2860&lt;1),IF(AND(C2861=C2860,W2861=W2860+1),IF(Y2861=1,"",INDEX(DATAS,W2860+1)),INDEX(DATAS,W2860+1)),"")</f>
        <v/>
      </c>
    </row>
    <row r="2861" customFormat="false" ht="15" hidden="false" customHeight="false" outlineLevel="0" collapsed="false">
      <c r="A2861" s="33" t="n">
        <v>46309</v>
      </c>
      <c r="B2861" s="0" t="n">
        <v>13</v>
      </c>
      <c r="C2861" s="0" t="n">
        <v>7235</v>
      </c>
      <c r="E2861" s="0" t="n">
        <v>0</v>
      </c>
      <c r="F2861" s="27" t="s">
        <v>1405</v>
      </c>
      <c r="I2861" s="27" t="s">
        <v>166</v>
      </c>
      <c r="U2861" s="0" t="n">
        <v>302</v>
      </c>
      <c r="V2861" s="0" t="n">
        <v>0</v>
      </c>
      <c r="W2861" s="27" t="n">
        <f aca="false">MATCH(A2861,DATAS,0)</f>
        <v>1</v>
      </c>
      <c r="X2861" s="27" t="n">
        <f aca="false">IF(AND(E2861&gt;0,OR(AND(B2861&gt;=1,B2861&lt;=6),B2861=10)),1,0)</f>
        <v>0</v>
      </c>
      <c r="Y2861" s="27" t="n">
        <f aca="false">IF(AND(E2861&gt;0,B2861=10),1,0)</f>
        <v>0</v>
      </c>
      <c r="Z2861" s="0" t="str">
        <f aca="false">IF(AND(C2860=C2861,W2860=W2861-1),X2860,"")</f>
        <v/>
      </c>
      <c r="AA2861" s="0" t="str">
        <f aca="false">IF(AND(C2860=C2861,W2860=W2861-1),Y2860,"")</f>
        <v/>
      </c>
      <c r="AB2861" s="0" t="str">
        <f aca="false">IF(W2861=1,"",IF(AND(X2861=1,Z2861&lt;&gt;1),1,0))</f>
        <v/>
      </c>
      <c r="AC2861" s="0" t="str">
        <f aca="false">IF(W2861=1,"",IF(AND(Y2861=1,AA2861&lt;&gt;1),1,0))</f>
        <v/>
      </c>
      <c r="AD2861" s="33" t="str">
        <f aca="false">IF(AND(E2861&gt;0,W2861&lt;1,NOT(AND(C2862=C2861,W2862=W2861+1))),INDEX(DATAS,W2861+1),"")</f>
        <v/>
      </c>
      <c r="AE2861" s="33" t="str">
        <f aca="false">IF(AND(Y2861=1,W2861&lt;1),IF(AND(C2862=C2861,W2862=W2861+1),IF(Y2862=1,"",INDEX(DATAS,W2861+1)),INDEX(DATAS,W2861+1)),"")</f>
        <v/>
      </c>
    </row>
    <row r="2862" customFormat="false" ht="15" hidden="false" customHeight="false" outlineLevel="0" collapsed="false">
      <c r="A2862" s="33" t="n">
        <v>46309</v>
      </c>
      <c r="B2862" s="0" t="n">
        <v>13</v>
      </c>
      <c r="C2862" s="0" t="n">
        <v>7237</v>
      </c>
      <c r="E2862" s="0" t="n">
        <v>0</v>
      </c>
      <c r="F2862" s="27" t="s">
        <v>1406</v>
      </c>
      <c r="I2862" s="27" t="s">
        <v>166</v>
      </c>
      <c r="U2862" s="0" t="n">
        <v>300</v>
      </c>
      <c r="V2862" s="0" t="n">
        <v>0</v>
      </c>
      <c r="W2862" s="27" t="n">
        <f aca="false">MATCH(A2862,DATAS,0)</f>
        <v>1</v>
      </c>
      <c r="X2862" s="27" t="n">
        <f aca="false">IF(AND(E2862&gt;0,OR(AND(B2862&gt;=1,B2862&lt;=6),B2862=10)),1,0)</f>
        <v>0</v>
      </c>
      <c r="Y2862" s="27" t="n">
        <f aca="false">IF(AND(E2862&gt;0,B2862=10),1,0)</f>
        <v>0</v>
      </c>
      <c r="Z2862" s="0" t="str">
        <f aca="false">IF(AND(C2861=C2862,W2861=W2862-1),X2861,"")</f>
        <v/>
      </c>
      <c r="AA2862" s="0" t="str">
        <f aca="false">IF(AND(C2861=C2862,W2861=W2862-1),Y2861,"")</f>
        <v/>
      </c>
      <c r="AB2862" s="0" t="str">
        <f aca="false">IF(W2862=1,"",IF(AND(X2862=1,Z2862&lt;&gt;1),1,0))</f>
        <v/>
      </c>
      <c r="AC2862" s="0" t="str">
        <f aca="false">IF(W2862=1,"",IF(AND(Y2862=1,AA2862&lt;&gt;1),1,0))</f>
        <v/>
      </c>
      <c r="AD2862" s="33" t="str">
        <f aca="false">IF(AND(E2862&gt;0,W2862&lt;1,NOT(AND(C2863=C2862,W2863=W2862+1))),INDEX(DATAS,W2862+1),"")</f>
        <v/>
      </c>
      <c r="AE2862" s="33" t="str">
        <f aca="false">IF(AND(Y2862=1,W2862&lt;1),IF(AND(C2863=C2862,W2863=W2862+1),IF(Y2863=1,"",INDEX(DATAS,W2862+1)),INDEX(DATAS,W2862+1)),"")</f>
        <v/>
      </c>
    </row>
    <row r="2863" customFormat="false" ht="15" hidden="false" customHeight="false" outlineLevel="0" collapsed="false">
      <c r="A2863" s="33" t="n">
        <v>46309</v>
      </c>
      <c r="B2863" s="0" t="n">
        <v>13</v>
      </c>
      <c r="C2863" s="0" t="n">
        <v>7239</v>
      </c>
      <c r="E2863" s="0" t="n">
        <v>0</v>
      </c>
      <c r="F2863" s="27" t="s">
        <v>1406</v>
      </c>
      <c r="I2863" s="27" t="s">
        <v>166</v>
      </c>
      <c r="U2863" s="0" t="n">
        <v>300</v>
      </c>
      <c r="V2863" s="0" t="n">
        <v>0</v>
      </c>
      <c r="W2863" s="27" t="n">
        <f aca="false">MATCH(A2863,DATAS,0)</f>
        <v>1</v>
      </c>
      <c r="X2863" s="27" t="n">
        <f aca="false">IF(AND(E2863&gt;0,OR(AND(B2863&gt;=1,B2863&lt;=6),B2863=10)),1,0)</f>
        <v>0</v>
      </c>
      <c r="Y2863" s="27" t="n">
        <f aca="false">IF(AND(E2863&gt;0,B2863=10),1,0)</f>
        <v>0</v>
      </c>
      <c r="Z2863" s="0" t="str">
        <f aca="false">IF(AND(C2862=C2863,W2862=W2863-1),X2862,"")</f>
        <v/>
      </c>
      <c r="AA2863" s="0" t="str">
        <f aca="false">IF(AND(C2862=C2863,W2862=W2863-1),Y2862,"")</f>
        <v/>
      </c>
      <c r="AB2863" s="0" t="str">
        <f aca="false">IF(W2863=1,"",IF(AND(X2863=1,Z2863&lt;&gt;1),1,0))</f>
        <v/>
      </c>
      <c r="AC2863" s="0" t="str">
        <f aca="false">IF(W2863=1,"",IF(AND(Y2863=1,AA2863&lt;&gt;1),1,0))</f>
        <v/>
      </c>
      <c r="AD2863" s="33" t="str">
        <f aca="false">IF(AND(E2863&gt;0,W2863&lt;1,NOT(AND(C2864=C2863,W2864=W2863+1))),INDEX(DATAS,W2863+1),"")</f>
        <v/>
      </c>
      <c r="AE2863" s="33" t="str">
        <f aca="false">IF(AND(Y2863=1,W2863&lt;1),IF(AND(C2864=C2863,W2864=W2863+1),IF(Y2864=1,"",INDEX(DATAS,W2863+1)),INDEX(DATAS,W2863+1)),"")</f>
        <v/>
      </c>
    </row>
    <row r="2864" customFormat="false" ht="15" hidden="false" customHeight="false" outlineLevel="0" collapsed="false">
      <c r="A2864" s="33" t="n">
        <v>46309</v>
      </c>
      <c r="B2864" s="0" t="n">
        <v>13</v>
      </c>
      <c r="C2864" s="0" t="n">
        <v>7240</v>
      </c>
      <c r="E2864" s="0" t="n">
        <v>0</v>
      </c>
      <c r="F2864" s="27" t="s">
        <v>1407</v>
      </c>
      <c r="I2864" s="27" t="s">
        <v>166</v>
      </c>
      <c r="U2864" s="0" t="n">
        <v>299</v>
      </c>
      <c r="V2864" s="0" t="n">
        <v>0</v>
      </c>
      <c r="W2864" s="27" t="n">
        <f aca="false">MATCH(A2864,DATAS,0)</f>
        <v>1</v>
      </c>
      <c r="X2864" s="27" t="n">
        <f aca="false">IF(AND(E2864&gt;0,OR(AND(B2864&gt;=1,B2864&lt;=6),B2864=10)),1,0)</f>
        <v>0</v>
      </c>
      <c r="Y2864" s="27" t="n">
        <f aca="false">IF(AND(E2864&gt;0,B2864=10),1,0)</f>
        <v>0</v>
      </c>
      <c r="Z2864" s="0" t="str">
        <f aca="false">IF(AND(C2863=C2864,W2863=W2864-1),X2863,"")</f>
        <v/>
      </c>
      <c r="AA2864" s="0" t="str">
        <f aca="false">IF(AND(C2863=C2864,W2863=W2864-1),Y2863,"")</f>
        <v/>
      </c>
      <c r="AB2864" s="0" t="str">
        <f aca="false">IF(W2864=1,"",IF(AND(X2864=1,Z2864&lt;&gt;1),1,0))</f>
        <v/>
      </c>
      <c r="AC2864" s="0" t="str">
        <f aca="false">IF(W2864=1,"",IF(AND(Y2864=1,AA2864&lt;&gt;1),1,0))</f>
        <v/>
      </c>
      <c r="AD2864" s="33" t="str">
        <f aca="false">IF(AND(E2864&gt;0,W2864&lt;1,NOT(AND(C2865=C2864,W2865=W2864+1))),INDEX(DATAS,W2864+1),"")</f>
        <v/>
      </c>
      <c r="AE2864" s="33" t="str">
        <f aca="false">IF(AND(Y2864=1,W2864&lt;1),IF(AND(C2865=C2864,W2865=W2864+1),IF(Y2865=1,"",INDEX(DATAS,W2864+1)),INDEX(DATAS,W2864+1)),"")</f>
        <v/>
      </c>
    </row>
    <row r="2865" customFormat="false" ht="15" hidden="false" customHeight="false" outlineLevel="0" collapsed="false">
      <c r="A2865" s="33" t="n">
        <v>46309</v>
      </c>
      <c r="B2865" s="0" t="n">
        <v>13</v>
      </c>
      <c r="C2865" s="0" t="n">
        <v>7241</v>
      </c>
      <c r="E2865" s="0" t="n">
        <v>0</v>
      </c>
      <c r="F2865" s="27" t="s">
        <v>1407</v>
      </c>
      <c r="I2865" s="27" t="s">
        <v>166</v>
      </c>
      <c r="U2865" s="0" t="n">
        <v>299</v>
      </c>
      <c r="V2865" s="0" t="n">
        <v>0</v>
      </c>
      <c r="W2865" s="27" t="n">
        <f aca="false">MATCH(A2865,DATAS,0)</f>
        <v>1</v>
      </c>
      <c r="X2865" s="27" t="n">
        <f aca="false">IF(AND(E2865&gt;0,OR(AND(B2865&gt;=1,B2865&lt;=6),B2865=10)),1,0)</f>
        <v>0</v>
      </c>
      <c r="Y2865" s="27" t="n">
        <f aca="false">IF(AND(E2865&gt;0,B2865=10),1,0)</f>
        <v>0</v>
      </c>
      <c r="Z2865" s="0" t="str">
        <f aca="false">IF(AND(C2864=C2865,W2864=W2865-1),X2864,"")</f>
        <v/>
      </c>
      <c r="AA2865" s="0" t="str">
        <f aca="false">IF(AND(C2864=C2865,W2864=W2865-1),Y2864,"")</f>
        <v/>
      </c>
      <c r="AB2865" s="0" t="str">
        <f aca="false">IF(W2865=1,"",IF(AND(X2865=1,Z2865&lt;&gt;1),1,0))</f>
        <v/>
      </c>
      <c r="AC2865" s="0" t="str">
        <f aca="false">IF(W2865=1,"",IF(AND(Y2865=1,AA2865&lt;&gt;1),1,0))</f>
        <v/>
      </c>
      <c r="AD2865" s="33" t="str">
        <f aca="false">IF(AND(E2865&gt;0,W2865&lt;1,NOT(AND(C2866=C2865,W2866=W2865+1))),INDEX(DATAS,W2865+1),"")</f>
        <v/>
      </c>
      <c r="AE2865" s="33" t="str">
        <f aca="false">IF(AND(Y2865=1,W2865&lt;1),IF(AND(C2866=C2865,W2866=W2865+1),IF(Y2866=1,"",INDEX(DATAS,W2865+1)),INDEX(DATAS,W2865+1)),"")</f>
        <v/>
      </c>
    </row>
    <row r="2866" customFormat="false" ht="15" hidden="false" customHeight="false" outlineLevel="0" collapsed="false">
      <c r="A2866" s="33" t="n">
        <v>46309</v>
      </c>
      <c r="B2866" s="0" t="n">
        <v>13</v>
      </c>
      <c r="C2866" s="0" t="n">
        <v>7242</v>
      </c>
      <c r="E2866" s="0" t="n">
        <v>0</v>
      </c>
      <c r="F2866" s="27" t="s">
        <v>1408</v>
      </c>
      <c r="I2866" s="27" t="s">
        <v>166</v>
      </c>
      <c r="U2866" s="0" t="n">
        <v>298</v>
      </c>
      <c r="V2866" s="0" t="n">
        <v>0</v>
      </c>
      <c r="W2866" s="27" t="n">
        <f aca="false">MATCH(A2866,DATAS,0)</f>
        <v>1</v>
      </c>
      <c r="X2866" s="27" t="n">
        <f aca="false">IF(AND(E2866&gt;0,OR(AND(B2866&gt;=1,B2866&lt;=6),B2866=10)),1,0)</f>
        <v>0</v>
      </c>
      <c r="Y2866" s="27" t="n">
        <f aca="false">IF(AND(E2866&gt;0,B2866=10),1,0)</f>
        <v>0</v>
      </c>
      <c r="Z2866" s="0" t="str">
        <f aca="false">IF(AND(C2865=C2866,W2865=W2866-1),X2865,"")</f>
        <v/>
      </c>
      <c r="AA2866" s="0" t="str">
        <f aca="false">IF(AND(C2865=C2866,W2865=W2866-1),Y2865,"")</f>
        <v/>
      </c>
      <c r="AB2866" s="0" t="str">
        <f aca="false">IF(W2866=1,"",IF(AND(X2866=1,Z2866&lt;&gt;1),1,0))</f>
        <v/>
      </c>
      <c r="AC2866" s="0" t="str">
        <f aca="false">IF(W2866=1,"",IF(AND(Y2866=1,AA2866&lt;&gt;1),1,0))</f>
        <v/>
      </c>
      <c r="AD2866" s="33" t="str">
        <f aca="false">IF(AND(E2866&gt;0,W2866&lt;1,NOT(AND(C2867=C2866,W2867=W2866+1))),INDEX(DATAS,W2866+1),"")</f>
        <v/>
      </c>
      <c r="AE2866" s="33" t="str">
        <f aca="false">IF(AND(Y2866=1,W2866&lt;1),IF(AND(C2867=C2866,W2867=W2866+1),IF(Y2867=1,"",INDEX(DATAS,W2866+1)),INDEX(DATAS,W2866+1)),"")</f>
        <v/>
      </c>
    </row>
    <row r="2867" customFormat="false" ht="15" hidden="false" customHeight="false" outlineLevel="0" collapsed="false">
      <c r="A2867" s="33" t="n">
        <v>46309</v>
      </c>
      <c r="B2867" s="0" t="n">
        <v>13</v>
      </c>
      <c r="C2867" s="0" t="n">
        <v>7243</v>
      </c>
      <c r="E2867" s="0" t="n">
        <v>0</v>
      </c>
      <c r="F2867" s="27" t="s">
        <v>1408</v>
      </c>
      <c r="I2867" s="27" t="s">
        <v>166</v>
      </c>
      <c r="U2867" s="0" t="n">
        <v>298</v>
      </c>
      <c r="V2867" s="0" t="n">
        <v>0</v>
      </c>
      <c r="W2867" s="27" t="n">
        <f aca="false">MATCH(A2867,DATAS,0)</f>
        <v>1</v>
      </c>
      <c r="X2867" s="27" t="n">
        <f aca="false">IF(AND(E2867&gt;0,OR(AND(B2867&gt;=1,B2867&lt;=6),B2867=10)),1,0)</f>
        <v>0</v>
      </c>
      <c r="Y2867" s="27" t="n">
        <f aca="false">IF(AND(E2867&gt;0,B2867=10),1,0)</f>
        <v>0</v>
      </c>
      <c r="Z2867" s="0" t="str">
        <f aca="false">IF(AND(C2866=C2867,W2866=W2867-1),X2866,"")</f>
        <v/>
      </c>
      <c r="AA2867" s="0" t="str">
        <f aca="false">IF(AND(C2866=C2867,W2866=W2867-1),Y2866,"")</f>
        <v/>
      </c>
      <c r="AB2867" s="0" t="str">
        <f aca="false">IF(W2867=1,"",IF(AND(X2867=1,Z2867&lt;&gt;1),1,0))</f>
        <v/>
      </c>
      <c r="AC2867" s="0" t="str">
        <f aca="false">IF(W2867=1,"",IF(AND(Y2867=1,AA2867&lt;&gt;1),1,0))</f>
        <v/>
      </c>
      <c r="AD2867" s="33" t="str">
        <f aca="false">IF(AND(E2867&gt;0,W2867&lt;1,NOT(AND(C2868=C2867,W2868=W2867+1))),INDEX(DATAS,W2867+1),"")</f>
        <v/>
      </c>
      <c r="AE2867" s="33" t="str">
        <f aca="false">IF(AND(Y2867=1,W2867&lt;1),IF(AND(C2868=C2867,W2868=W2867+1),IF(Y2868=1,"",INDEX(DATAS,W2867+1)),INDEX(DATAS,W2867+1)),"")</f>
        <v/>
      </c>
    </row>
    <row r="2868" customFormat="false" ht="15" hidden="false" customHeight="false" outlineLevel="0" collapsed="false">
      <c r="A2868" s="33" t="n">
        <v>46309</v>
      </c>
      <c r="B2868" s="0" t="n">
        <v>13</v>
      </c>
      <c r="C2868" s="0" t="n">
        <v>7245</v>
      </c>
      <c r="E2868" s="0" t="n">
        <v>0</v>
      </c>
      <c r="F2868" s="27" t="s">
        <v>1409</v>
      </c>
      <c r="I2868" s="27" t="s">
        <v>166</v>
      </c>
      <c r="U2868" s="0" t="n">
        <v>297</v>
      </c>
      <c r="V2868" s="0" t="n">
        <v>0</v>
      </c>
      <c r="W2868" s="27" t="n">
        <f aca="false">MATCH(A2868,DATAS,0)</f>
        <v>1</v>
      </c>
      <c r="X2868" s="27" t="n">
        <f aca="false">IF(AND(E2868&gt;0,OR(AND(B2868&gt;=1,B2868&lt;=6),B2868=10)),1,0)</f>
        <v>0</v>
      </c>
      <c r="Y2868" s="27" t="n">
        <f aca="false">IF(AND(E2868&gt;0,B2868=10),1,0)</f>
        <v>0</v>
      </c>
      <c r="Z2868" s="0" t="str">
        <f aca="false">IF(AND(C2867=C2868,W2867=W2868-1),X2867,"")</f>
        <v/>
      </c>
      <c r="AA2868" s="0" t="str">
        <f aca="false">IF(AND(C2867=C2868,W2867=W2868-1),Y2867,"")</f>
        <v/>
      </c>
      <c r="AB2868" s="0" t="str">
        <f aca="false">IF(W2868=1,"",IF(AND(X2868=1,Z2868&lt;&gt;1),1,0))</f>
        <v/>
      </c>
      <c r="AC2868" s="0" t="str">
        <f aca="false">IF(W2868=1,"",IF(AND(Y2868=1,AA2868&lt;&gt;1),1,0))</f>
        <v/>
      </c>
      <c r="AD2868" s="33" t="str">
        <f aca="false">IF(AND(E2868&gt;0,W2868&lt;1,NOT(AND(C2869=C2868,W2869=W2868+1))),INDEX(DATAS,W2868+1),"")</f>
        <v/>
      </c>
      <c r="AE2868" s="33" t="str">
        <f aca="false">IF(AND(Y2868=1,W2868&lt;1),IF(AND(C2869=C2868,W2869=W2868+1),IF(Y2869=1,"",INDEX(DATAS,W2868+1)),INDEX(DATAS,W2868+1)),"")</f>
        <v/>
      </c>
    </row>
    <row r="2869" customFormat="false" ht="15" hidden="false" customHeight="false" outlineLevel="0" collapsed="false">
      <c r="A2869" s="33" t="n">
        <v>46309</v>
      </c>
      <c r="B2869" s="0" t="n">
        <v>13</v>
      </c>
      <c r="C2869" s="0" t="n">
        <v>7247</v>
      </c>
      <c r="E2869" s="0" t="n">
        <v>0</v>
      </c>
      <c r="F2869" s="27" t="s">
        <v>1382</v>
      </c>
      <c r="I2869" s="27" t="s">
        <v>166</v>
      </c>
      <c r="U2869" s="0" t="n">
        <v>327</v>
      </c>
      <c r="V2869" s="0" t="n">
        <v>0</v>
      </c>
      <c r="W2869" s="27" t="n">
        <f aca="false">MATCH(A2869,DATAS,0)</f>
        <v>1</v>
      </c>
      <c r="X2869" s="27" t="n">
        <f aca="false">IF(AND(E2869&gt;0,OR(AND(B2869&gt;=1,B2869&lt;=6),B2869=10)),1,0)</f>
        <v>0</v>
      </c>
      <c r="Y2869" s="27" t="n">
        <f aca="false">IF(AND(E2869&gt;0,B2869=10),1,0)</f>
        <v>0</v>
      </c>
      <c r="Z2869" s="0" t="str">
        <f aca="false">IF(AND(C2868=C2869,W2868=W2869-1),X2868,"")</f>
        <v/>
      </c>
      <c r="AA2869" s="0" t="str">
        <f aca="false">IF(AND(C2868=C2869,W2868=W2869-1),Y2868,"")</f>
        <v/>
      </c>
      <c r="AB2869" s="0" t="str">
        <f aca="false">IF(W2869=1,"",IF(AND(X2869=1,Z2869&lt;&gt;1),1,0))</f>
        <v/>
      </c>
      <c r="AC2869" s="0" t="str">
        <f aca="false">IF(W2869=1,"",IF(AND(Y2869=1,AA2869&lt;&gt;1),1,0))</f>
        <v/>
      </c>
      <c r="AD2869" s="33" t="str">
        <f aca="false">IF(AND(E2869&gt;0,W2869&lt;1,NOT(AND(C2870=C2869,W2870=W2869+1))),INDEX(DATAS,W2869+1),"")</f>
        <v/>
      </c>
      <c r="AE2869" s="33" t="str">
        <f aca="false">IF(AND(Y2869=1,W2869&lt;1),IF(AND(C2870=C2869,W2870=W2869+1),IF(Y2870=1,"",INDEX(DATAS,W2869+1)),INDEX(DATAS,W2869+1)),"")</f>
        <v/>
      </c>
    </row>
    <row r="2870" customFormat="false" ht="15" hidden="false" customHeight="false" outlineLevel="0" collapsed="false">
      <c r="A2870" s="33" t="n">
        <v>46309</v>
      </c>
      <c r="B2870" s="0" t="n">
        <v>13</v>
      </c>
      <c r="C2870" s="0" t="n">
        <v>7248</v>
      </c>
      <c r="E2870" s="0" t="n">
        <v>0</v>
      </c>
      <c r="F2870" s="27" t="s">
        <v>1409</v>
      </c>
      <c r="I2870" s="27" t="s">
        <v>166</v>
      </c>
      <c r="U2870" s="0" t="n">
        <v>297</v>
      </c>
      <c r="V2870" s="0" t="n">
        <v>0</v>
      </c>
      <c r="W2870" s="27" t="n">
        <f aca="false">MATCH(A2870,DATAS,0)</f>
        <v>1</v>
      </c>
      <c r="X2870" s="27" t="n">
        <f aca="false">IF(AND(E2870&gt;0,OR(AND(B2870&gt;=1,B2870&lt;=6),B2870=10)),1,0)</f>
        <v>0</v>
      </c>
      <c r="Y2870" s="27" t="n">
        <f aca="false">IF(AND(E2870&gt;0,B2870=10),1,0)</f>
        <v>0</v>
      </c>
      <c r="Z2870" s="0" t="str">
        <f aca="false">IF(AND(C2869=C2870,W2869=W2870-1),X2869,"")</f>
        <v/>
      </c>
      <c r="AA2870" s="0" t="str">
        <f aca="false">IF(AND(C2869=C2870,W2869=W2870-1),Y2869,"")</f>
        <v/>
      </c>
      <c r="AB2870" s="0" t="str">
        <f aca="false">IF(W2870=1,"",IF(AND(X2870=1,Z2870&lt;&gt;1),1,0))</f>
        <v/>
      </c>
      <c r="AC2870" s="0" t="str">
        <f aca="false">IF(W2870=1,"",IF(AND(Y2870=1,AA2870&lt;&gt;1),1,0))</f>
        <v/>
      </c>
      <c r="AD2870" s="33" t="str">
        <f aca="false">IF(AND(E2870&gt;0,W2870&lt;1,NOT(AND(C2871=C2870,W2871=W2870+1))),INDEX(DATAS,W2870+1),"")</f>
        <v/>
      </c>
      <c r="AE2870" s="33" t="str">
        <f aca="false">IF(AND(Y2870=1,W2870&lt;1),IF(AND(C2871=C2870,W2871=W2870+1),IF(Y2871=1,"",INDEX(DATAS,W2870+1)),INDEX(DATAS,W2870+1)),"")</f>
        <v/>
      </c>
    </row>
    <row r="2871" customFormat="false" ht="15" hidden="false" customHeight="false" outlineLevel="0" collapsed="false">
      <c r="A2871" s="33" t="n">
        <v>46309</v>
      </c>
      <c r="B2871" s="0" t="n">
        <v>13</v>
      </c>
      <c r="C2871" s="0" t="n">
        <v>7249</v>
      </c>
      <c r="E2871" s="0" t="n">
        <v>0</v>
      </c>
      <c r="F2871" s="27" t="s">
        <v>1410</v>
      </c>
      <c r="I2871" s="27" t="s">
        <v>166</v>
      </c>
      <c r="U2871" s="0" t="n">
        <v>296</v>
      </c>
      <c r="V2871" s="0" t="n">
        <v>0</v>
      </c>
      <c r="W2871" s="27" t="n">
        <f aca="false">MATCH(A2871,DATAS,0)</f>
        <v>1</v>
      </c>
      <c r="X2871" s="27" t="n">
        <f aca="false">IF(AND(E2871&gt;0,OR(AND(B2871&gt;=1,B2871&lt;=6),B2871=10)),1,0)</f>
        <v>0</v>
      </c>
      <c r="Y2871" s="27" t="n">
        <f aca="false">IF(AND(E2871&gt;0,B2871=10),1,0)</f>
        <v>0</v>
      </c>
      <c r="Z2871" s="0" t="str">
        <f aca="false">IF(AND(C2870=C2871,W2870=W2871-1),X2870,"")</f>
        <v/>
      </c>
      <c r="AA2871" s="0" t="str">
        <f aca="false">IF(AND(C2870=C2871,W2870=W2871-1),Y2870,"")</f>
        <v/>
      </c>
      <c r="AB2871" s="0" t="str">
        <f aca="false">IF(W2871=1,"",IF(AND(X2871=1,Z2871&lt;&gt;1),1,0))</f>
        <v/>
      </c>
      <c r="AC2871" s="0" t="str">
        <f aca="false">IF(W2871=1,"",IF(AND(Y2871=1,AA2871&lt;&gt;1),1,0))</f>
        <v/>
      </c>
      <c r="AD2871" s="33" t="str">
        <f aca="false">IF(AND(E2871&gt;0,W2871&lt;1,NOT(AND(C2872=C2871,W2872=W2871+1))),INDEX(DATAS,W2871+1),"")</f>
        <v/>
      </c>
      <c r="AE2871" s="33" t="str">
        <f aca="false">IF(AND(Y2871=1,W2871&lt;1),IF(AND(C2872=C2871,W2872=W2871+1),IF(Y2872=1,"",INDEX(DATAS,W2871+1)),INDEX(DATAS,W2871+1)),"")</f>
        <v/>
      </c>
    </row>
    <row r="2872" customFormat="false" ht="15" hidden="false" customHeight="false" outlineLevel="0" collapsed="false">
      <c r="A2872" s="33" t="n">
        <v>46309</v>
      </c>
      <c r="B2872" s="0" t="n">
        <v>13</v>
      </c>
      <c r="C2872" s="0" t="n">
        <v>7250</v>
      </c>
      <c r="E2872" s="0" t="n">
        <v>0</v>
      </c>
      <c r="F2872" s="27" t="s">
        <v>1410</v>
      </c>
      <c r="I2872" s="27" t="s">
        <v>166</v>
      </c>
      <c r="U2872" s="0" t="n">
        <v>296</v>
      </c>
      <c r="V2872" s="0" t="n">
        <v>0</v>
      </c>
      <c r="W2872" s="27" t="n">
        <f aca="false">MATCH(A2872,DATAS,0)</f>
        <v>1</v>
      </c>
      <c r="X2872" s="27" t="n">
        <f aca="false">IF(AND(E2872&gt;0,OR(AND(B2872&gt;=1,B2872&lt;=6),B2872=10)),1,0)</f>
        <v>0</v>
      </c>
      <c r="Y2872" s="27" t="n">
        <f aca="false">IF(AND(E2872&gt;0,B2872=10),1,0)</f>
        <v>0</v>
      </c>
      <c r="Z2872" s="0" t="str">
        <f aca="false">IF(AND(C2871=C2872,W2871=W2872-1),X2871,"")</f>
        <v/>
      </c>
      <c r="AA2872" s="0" t="str">
        <f aca="false">IF(AND(C2871=C2872,W2871=W2872-1),Y2871,"")</f>
        <v/>
      </c>
      <c r="AB2872" s="0" t="str">
        <f aca="false">IF(W2872=1,"",IF(AND(X2872=1,Z2872&lt;&gt;1),1,0))</f>
        <v/>
      </c>
      <c r="AC2872" s="0" t="str">
        <f aca="false">IF(W2872=1,"",IF(AND(Y2872=1,AA2872&lt;&gt;1),1,0))</f>
        <v/>
      </c>
      <c r="AD2872" s="33" t="str">
        <f aca="false">IF(AND(E2872&gt;0,W2872&lt;1,NOT(AND(C2873=C2872,W2873=W2872+1))),INDEX(DATAS,W2872+1),"")</f>
        <v/>
      </c>
      <c r="AE2872" s="33" t="str">
        <f aca="false">IF(AND(Y2872=1,W2872&lt;1),IF(AND(C2873=C2872,W2873=W2872+1),IF(Y2873=1,"",INDEX(DATAS,W2872+1)),INDEX(DATAS,W2872+1)),"")</f>
        <v/>
      </c>
    </row>
    <row r="2873" customFormat="false" ht="15" hidden="false" customHeight="false" outlineLevel="0" collapsed="false">
      <c r="A2873" s="33" t="n">
        <v>46309</v>
      </c>
      <c r="B2873" s="0" t="n">
        <v>13</v>
      </c>
      <c r="C2873" s="0" t="n">
        <v>7251</v>
      </c>
      <c r="E2873" s="0" t="n">
        <v>0</v>
      </c>
      <c r="F2873" s="27" t="s">
        <v>1410</v>
      </c>
      <c r="I2873" s="27" t="s">
        <v>166</v>
      </c>
      <c r="U2873" s="0" t="n">
        <v>296</v>
      </c>
      <c r="V2873" s="0" t="n">
        <v>0</v>
      </c>
      <c r="W2873" s="27" t="n">
        <f aca="false">MATCH(A2873,DATAS,0)</f>
        <v>1</v>
      </c>
      <c r="X2873" s="27" t="n">
        <f aca="false">IF(AND(E2873&gt;0,OR(AND(B2873&gt;=1,B2873&lt;=6),B2873=10)),1,0)</f>
        <v>0</v>
      </c>
      <c r="Y2873" s="27" t="n">
        <f aca="false">IF(AND(E2873&gt;0,B2873=10),1,0)</f>
        <v>0</v>
      </c>
      <c r="Z2873" s="0" t="str">
        <f aca="false">IF(AND(C2872=C2873,W2872=W2873-1),X2872,"")</f>
        <v/>
      </c>
      <c r="AA2873" s="0" t="str">
        <f aca="false">IF(AND(C2872=C2873,W2872=W2873-1),Y2872,"")</f>
        <v/>
      </c>
      <c r="AB2873" s="0" t="str">
        <f aca="false">IF(W2873=1,"",IF(AND(X2873=1,Z2873&lt;&gt;1),1,0))</f>
        <v/>
      </c>
      <c r="AC2873" s="0" t="str">
        <f aca="false">IF(W2873=1,"",IF(AND(Y2873=1,AA2873&lt;&gt;1),1,0))</f>
        <v/>
      </c>
      <c r="AD2873" s="33" t="str">
        <f aca="false">IF(AND(E2873&gt;0,W2873&lt;1,NOT(AND(C2874=C2873,W2874=W2873+1))),INDEX(DATAS,W2873+1),"")</f>
        <v/>
      </c>
      <c r="AE2873" s="33" t="str">
        <f aca="false">IF(AND(Y2873=1,W2873&lt;1),IF(AND(C2874=C2873,W2874=W2873+1),IF(Y2874=1,"",INDEX(DATAS,W2873+1)),INDEX(DATAS,W2873+1)),"")</f>
        <v/>
      </c>
    </row>
    <row r="2874" customFormat="false" ht="15" hidden="false" customHeight="false" outlineLevel="0" collapsed="false">
      <c r="A2874" s="33" t="n">
        <v>46309</v>
      </c>
      <c r="B2874" s="0" t="n">
        <v>13</v>
      </c>
      <c r="C2874" s="0" t="n">
        <v>7252</v>
      </c>
      <c r="E2874" s="0" t="n">
        <v>0</v>
      </c>
      <c r="F2874" s="27" t="s">
        <v>1410</v>
      </c>
      <c r="I2874" s="27" t="s">
        <v>166</v>
      </c>
      <c r="U2874" s="0" t="n">
        <v>296</v>
      </c>
      <c r="V2874" s="0" t="n">
        <v>0</v>
      </c>
      <c r="W2874" s="27" t="n">
        <f aca="false">MATCH(A2874,DATAS,0)</f>
        <v>1</v>
      </c>
      <c r="X2874" s="27" t="n">
        <f aca="false">IF(AND(E2874&gt;0,OR(AND(B2874&gt;=1,B2874&lt;=6),B2874=10)),1,0)</f>
        <v>0</v>
      </c>
      <c r="Y2874" s="27" t="n">
        <f aca="false">IF(AND(E2874&gt;0,B2874=10),1,0)</f>
        <v>0</v>
      </c>
      <c r="Z2874" s="0" t="str">
        <f aca="false">IF(AND(C2873=C2874,W2873=W2874-1),X2873,"")</f>
        <v/>
      </c>
      <c r="AA2874" s="0" t="str">
        <f aca="false">IF(AND(C2873=C2874,W2873=W2874-1),Y2873,"")</f>
        <v/>
      </c>
      <c r="AB2874" s="0" t="str">
        <f aca="false">IF(W2874=1,"",IF(AND(X2874=1,Z2874&lt;&gt;1),1,0))</f>
        <v/>
      </c>
      <c r="AC2874" s="0" t="str">
        <f aca="false">IF(W2874=1,"",IF(AND(Y2874=1,AA2874&lt;&gt;1),1,0))</f>
        <v/>
      </c>
      <c r="AD2874" s="33" t="str">
        <f aca="false">IF(AND(E2874&gt;0,W2874&lt;1,NOT(AND(C2875=C2874,W2875=W2874+1))),INDEX(DATAS,W2874+1),"")</f>
        <v/>
      </c>
      <c r="AE2874" s="33" t="str">
        <f aca="false">IF(AND(Y2874=1,W2874&lt;1),IF(AND(C2875=C2874,W2875=W2874+1),IF(Y2875=1,"",INDEX(DATAS,W2874+1)),INDEX(DATAS,W2874+1)),"")</f>
        <v/>
      </c>
    </row>
    <row r="2875" customFormat="false" ht="15" hidden="false" customHeight="false" outlineLevel="0" collapsed="false">
      <c r="A2875" s="33" t="n">
        <v>46309</v>
      </c>
      <c r="B2875" s="0" t="n">
        <v>13</v>
      </c>
      <c r="C2875" s="0" t="n">
        <v>7253</v>
      </c>
      <c r="E2875" s="0" t="n">
        <v>0</v>
      </c>
      <c r="F2875" s="27" t="s">
        <v>1411</v>
      </c>
      <c r="I2875" s="27" t="s">
        <v>166</v>
      </c>
      <c r="U2875" s="0" t="n">
        <v>295</v>
      </c>
      <c r="V2875" s="0" t="n">
        <v>0</v>
      </c>
      <c r="W2875" s="27" t="n">
        <f aca="false">MATCH(A2875,DATAS,0)</f>
        <v>1</v>
      </c>
      <c r="X2875" s="27" t="n">
        <f aca="false">IF(AND(E2875&gt;0,OR(AND(B2875&gt;=1,B2875&lt;=6),B2875=10)),1,0)</f>
        <v>0</v>
      </c>
      <c r="Y2875" s="27" t="n">
        <f aca="false">IF(AND(E2875&gt;0,B2875=10),1,0)</f>
        <v>0</v>
      </c>
      <c r="Z2875" s="0" t="str">
        <f aca="false">IF(AND(C2874=C2875,W2874=W2875-1),X2874,"")</f>
        <v/>
      </c>
      <c r="AA2875" s="0" t="str">
        <f aca="false">IF(AND(C2874=C2875,W2874=W2875-1),Y2874,"")</f>
        <v/>
      </c>
      <c r="AB2875" s="0" t="str">
        <f aca="false">IF(W2875=1,"",IF(AND(X2875=1,Z2875&lt;&gt;1),1,0))</f>
        <v/>
      </c>
      <c r="AC2875" s="0" t="str">
        <f aca="false">IF(W2875=1,"",IF(AND(Y2875=1,AA2875&lt;&gt;1),1,0))</f>
        <v/>
      </c>
      <c r="AD2875" s="33" t="str">
        <f aca="false">IF(AND(E2875&gt;0,W2875&lt;1,NOT(AND(C2876=C2875,W2876=W2875+1))),INDEX(DATAS,W2875+1),"")</f>
        <v/>
      </c>
      <c r="AE2875" s="33" t="str">
        <f aca="false">IF(AND(Y2875=1,W2875&lt;1),IF(AND(C2876=C2875,W2876=W2875+1),IF(Y2876=1,"",INDEX(DATAS,W2875+1)),INDEX(DATAS,W2875+1)),"")</f>
        <v/>
      </c>
    </row>
    <row r="2876" customFormat="false" ht="15" hidden="false" customHeight="false" outlineLevel="0" collapsed="false">
      <c r="A2876" s="33" t="n">
        <v>46309</v>
      </c>
      <c r="B2876" s="0" t="n">
        <v>13</v>
      </c>
      <c r="C2876" s="0" t="n">
        <v>7256</v>
      </c>
      <c r="E2876" s="0" t="n">
        <v>0</v>
      </c>
      <c r="F2876" s="27" t="s">
        <v>1411</v>
      </c>
      <c r="I2876" s="27" t="s">
        <v>166</v>
      </c>
      <c r="U2876" s="0" t="n">
        <v>295</v>
      </c>
      <c r="V2876" s="0" t="n">
        <v>0</v>
      </c>
      <c r="W2876" s="27" t="n">
        <f aca="false">MATCH(A2876,DATAS,0)</f>
        <v>1</v>
      </c>
      <c r="X2876" s="27" t="n">
        <f aca="false">IF(AND(E2876&gt;0,OR(AND(B2876&gt;=1,B2876&lt;=6),B2876=10)),1,0)</f>
        <v>0</v>
      </c>
      <c r="Y2876" s="27" t="n">
        <f aca="false">IF(AND(E2876&gt;0,B2876=10),1,0)</f>
        <v>0</v>
      </c>
      <c r="Z2876" s="0" t="str">
        <f aca="false">IF(AND(C2875=C2876,W2875=W2876-1),X2875,"")</f>
        <v/>
      </c>
      <c r="AA2876" s="0" t="str">
        <f aca="false">IF(AND(C2875=C2876,W2875=W2876-1),Y2875,"")</f>
        <v/>
      </c>
      <c r="AB2876" s="0" t="str">
        <f aca="false">IF(W2876=1,"",IF(AND(X2876=1,Z2876&lt;&gt;1),1,0))</f>
        <v/>
      </c>
      <c r="AC2876" s="0" t="str">
        <f aca="false">IF(W2876=1,"",IF(AND(Y2876=1,AA2876&lt;&gt;1),1,0))</f>
        <v/>
      </c>
      <c r="AD2876" s="33" t="str">
        <f aca="false">IF(AND(E2876&gt;0,W2876&lt;1,NOT(AND(C2877=C2876,W2877=W2876+1))),INDEX(DATAS,W2876+1),"")</f>
        <v/>
      </c>
      <c r="AE2876" s="33" t="str">
        <f aca="false">IF(AND(Y2876=1,W2876&lt;1),IF(AND(C2877=C2876,W2877=W2876+1),IF(Y2877=1,"",INDEX(DATAS,W2876+1)),INDEX(DATAS,W2876+1)),"")</f>
        <v/>
      </c>
    </row>
    <row r="2877" customFormat="false" ht="15" hidden="false" customHeight="false" outlineLevel="0" collapsed="false">
      <c r="A2877" s="33" t="n">
        <v>46309</v>
      </c>
      <c r="B2877" s="0" t="n">
        <v>13</v>
      </c>
      <c r="C2877" s="0" t="n">
        <v>7257</v>
      </c>
      <c r="E2877" s="0" t="n">
        <v>0</v>
      </c>
      <c r="F2877" s="27" t="s">
        <v>1412</v>
      </c>
      <c r="I2877" s="27" t="s">
        <v>166</v>
      </c>
      <c r="U2877" s="0" t="n">
        <v>294</v>
      </c>
      <c r="V2877" s="0" t="n">
        <v>0</v>
      </c>
      <c r="W2877" s="27" t="n">
        <f aca="false">MATCH(A2877,DATAS,0)</f>
        <v>1</v>
      </c>
      <c r="X2877" s="27" t="n">
        <f aca="false">IF(AND(E2877&gt;0,OR(AND(B2877&gt;=1,B2877&lt;=6),B2877=10)),1,0)</f>
        <v>0</v>
      </c>
      <c r="Y2877" s="27" t="n">
        <f aca="false">IF(AND(E2877&gt;0,B2877=10),1,0)</f>
        <v>0</v>
      </c>
      <c r="Z2877" s="0" t="str">
        <f aca="false">IF(AND(C2876=C2877,W2876=W2877-1),X2876,"")</f>
        <v/>
      </c>
      <c r="AA2877" s="0" t="str">
        <f aca="false">IF(AND(C2876=C2877,W2876=W2877-1),Y2876,"")</f>
        <v/>
      </c>
      <c r="AB2877" s="0" t="str">
        <f aca="false">IF(W2877=1,"",IF(AND(X2877=1,Z2877&lt;&gt;1),1,0))</f>
        <v/>
      </c>
      <c r="AC2877" s="0" t="str">
        <f aca="false">IF(W2877=1,"",IF(AND(Y2877=1,AA2877&lt;&gt;1),1,0))</f>
        <v/>
      </c>
      <c r="AD2877" s="33" t="str">
        <f aca="false">IF(AND(E2877&gt;0,W2877&lt;1,NOT(AND(C2878=C2877,W2878=W2877+1))),INDEX(DATAS,W2877+1),"")</f>
        <v/>
      </c>
      <c r="AE2877" s="33" t="str">
        <f aca="false">IF(AND(Y2877=1,W2877&lt;1),IF(AND(C2878=C2877,W2878=W2877+1),IF(Y2878=1,"",INDEX(DATAS,W2877+1)),INDEX(DATAS,W2877+1)),"")</f>
        <v/>
      </c>
    </row>
    <row r="2878" customFormat="false" ht="15" hidden="false" customHeight="false" outlineLevel="0" collapsed="false">
      <c r="A2878" s="33" t="n">
        <v>46309</v>
      </c>
      <c r="B2878" s="0" t="n">
        <v>13</v>
      </c>
      <c r="C2878" s="0" t="n">
        <v>7258</v>
      </c>
      <c r="E2878" s="0" t="n">
        <v>0</v>
      </c>
      <c r="F2878" s="27" t="s">
        <v>1412</v>
      </c>
      <c r="I2878" s="27" t="s">
        <v>166</v>
      </c>
      <c r="U2878" s="0" t="n">
        <v>294</v>
      </c>
      <c r="V2878" s="0" t="n">
        <v>0</v>
      </c>
      <c r="W2878" s="27" t="n">
        <f aca="false">MATCH(A2878,DATAS,0)</f>
        <v>1</v>
      </c>
      <c r="X2878" s="27" t="n">
        <f aca="false">IF(AND(E2878&gt;0,OR(AND(B2878&gt;=1,B2878&lt;=6),B2878=10)),1,0)</f>
        <v>0</v>
      </c>
      <c r="Y2878" s="27" t="n">
        <f aca="false">IF(AND(E2878&gt;0,B2878=10),1,0)</f>
        <v>0</v>
      </c>
      <c r="Z2878" s="0" t="str">
        <f aca="false">IF(AND(C2877=C2878,W2877=W2878-1),X2877,"")</f>
        <v/>
      </c>
      <c r="AA2878" s="0" t="str">
        <f aca="false">IF(AND(C2877=C2878,W2877=W2878-1),Y2877,"")</f>
        <v/>
      </c>
      <c r="AB2878" s="0" t="str">
        <f aca="false">IF(W2878=1,"",IF(AND(X2878=1,Z2878&lt;&gt;1),1,0))</f>
        <v/>
      </c>
      <c r="AC2878" s="0" t="str">
        <f aca="false">IF(W2878=1,"",IF(AND(Y2878=1,AA2878&lt;&gt;1),1,0))</f>
        <v/>
      </c>
      <c r="AD2878" s="33" t="str">
        <f aca="false">IF(AND(E2878&gt;0,W2878&lt;1,NOT(AND(C2879=C2878,W2879=W2878+1))),INDEX(DATAS,W2878+1),"")</f>
        <v/>
      </c>
      <c r="AE2878" s="33" t="str">
        <f aca="false">IF(AND(Y2878=1,W2878&lt;1),IF(AND(C2879=C2878,W2879=W2878+1),IF(Y2879=1,"",INDEX(DATAS,W2878+1)),INDEX(DATAS,W2878+1)),"")</f>
        <v/>
      </c>
    </row>
    <row r="2879" customFormat="false" ht="15" hidden="false" customHeight="false" outlineLevel="0" collapsed="false">
      <c r="A2879" s="33" t="n">
        <v>46309</v>
      </c>
      <c r="B2879" s="0" t="n">
        <v>13</v>
      </c>
      <c r="C2879" s="0" t="n">
        <v>7260</v>
      </c>
      <c r="E2879" s="0" t="n">
        <v>0</v>
      </c>
      <c r="F2879" s="27" t="s">
        <v>1412</v>
      </c>
      <c r="I2879" s="27" t="s">
        <v>166</v>
      </c>
      <c r="U2879" s="0" t="n">
        <v>294</v>
      </c>
      <c r="V2879" s="0" t="n">
        <v>0</v>
      </c>
      <c r="W2879" s="27" t="n">
        <f aca="false">MATCH(A2879,DATAS,0)</f>
        <v>1</v>
      </c>
      <c r="X2879" s="27" t="n">
        <f aca="false">IF(AND(E2879&gt;0,OR(AND(B2879&gt;=1,B2879&lt;=6),B2879=10)),1,0)</f>
        <v>0</v>
      </c>
      <c r="Y2879" s="27" t="n">
        <f aca="false">IF(AND(E2879&gt;0,B2879=10),1,0)</f>
        <v>0</v>
      </c>
      <c r="Z2879" s="0" t="str">
        <f aca="false">IF(AND(C2878=C2879,W2878=W2879-1),X2878,"")</f>
        <v/>
      </c>
      <c r="AA2879" s="0" t="str">
        <f aca="false">IF(AND(C2878=C2879,W2878=W2879-1),Y2878,"")</f>
        <v/>
      </c>
      <c r="AB2879" s="0" t="str">
        <f aca="false">IF(W2879=1,"",IF(AND(X2879=1,Z2879&lt;&gt;1),1,0))</f>
        <v/>
      </c>
      <c r="AC2879" s="0" t="str">
        <f aca="false">IF(W2879=1,"",IF(AND(Y2879=1,AA2879&lt;&gt;1),1,0))</f>
        <v/>
      </c>
      <c r="AD2879" s="33" t="str">
        <f aca="false">IF(AND(E2879&gt;0,W2879&lt;1,NOT(AND(C2880=C2879,W2880=W2879+1))),INDEX(DATAS,W2879+1),"")</f>
        <v/>
      </c>
      <c r="AE2879" s="33" t="str">
        <f aca="false">IF(AND(Y2879=1,W2879&lt;1),IF(AND(C2880=C2879,W2880=W2879+1),IF(Y2880=1,"",INDEX(DATAS,W2879+1)),INDEX(DATAS,W2879+1)),"")</f>
        <v/>
      </c>
    </row>
    <row r="2880" customFormat="false" ht="15" hidden="false" customHeight="false" outlineLevel="0" collapsed="false">
      <c r="A2880" s="33" t="n">
        <v>46309</v>
      </c>
      <c r="B2880" s="0" t="n">
        <v>13</v>
      </c>
      <c r="C2880" s="0" t="n">
        <v>7261</v>
      </c>
      <c r="E2880" s="0" t="n">
        <v>0</v>
      </c>
      <c r="F2880" s="27" t="s">
        <v>1412</v>
      </c>
      <c r="I2880" s="27" t="s">
        <v>166</v>
      </c>
      <c r="U2880" s="0" t="n">
        <v>294</v>
      </c>
      <c r="V2880" s="0" t="n">
        <v>0</v>
      </c>
      <c r="W2880" s="27" t="n">
        <f aca="false">MATCH(A2880,DATAS,0)</f>
        <v>1</v>
      </c>
      <c r="X2880" s="27" t="n">
        <f aca="false">IF(AND(E2880&gt;0,OR(AND(B2880&gt;=1,B2880&lt;=6),B2880=10)),1,0)</f>
        <v>0</v>
      </c>
      <c r="Y2880" s="27" t="n">
        <f aca="false">IF(AND(E2880&gt;0,B2880=10),1,0)</f>
        <v>0</v>
      </c>
      <c r="Z2880" s="0" t="str">
        <f aca="false">IF(AND(C2879=C2880,W2879=W2880-1),X2879,"")</f>
        <v/>
      </c>
      <c r="AA2880" s="0" t="str">
        <f aca="false">IF(AND(C2879=C2880,W2879=W2880-1),Y2879,"")</f>
        <v/>
      </c>
      <c r="AB2880" s="0" t="str">
        <f aca="false">IF(W2880=1,"",IF(AND(X2880=1,Z2880&lt;&gt;1),1,0))</f>
        <v/>
      </c>
      <c r="AC2880" s="0" t="str">
        <f aca="false">IF(W2880=1,"",IF(AND(Y2880=1,AA2880&lt;&gt;1),1,0))</f>
        <v/>
      </c>
      <c r="AD2880" s="33" t="str">
        <f aca="false">IF(AND(E2880&gt;0,W2880&lt;1,NOT(AND(C2881=C2880,W2881=W2880+1))),INDEX(DATAS,W2880+1),"")</f>
        <v/>
      </c>
      <c r="AE2880" s="33" t="str">
        <f aca="false">IF(AND(Y2880=1,W2880&lt;1),IF(AND(C2881=C2880,W2881=W2880+1),IF(Y2881=1,"",INDEX(DATAS,W2880+1)),INDEX(DATAS,W2880+1)),"")</f>
        <v/>
      </c>
    </row>
    <row r="2881" customFormat="false" ht="15" hidden="false" customHeight="false" outlineLevel="0" collapsed="false">
      <c r="A2881" s="33" t="n">
        <v>46309</v>
      </c>
      <c r="B2881" s="0" t="n">
        <v>13</v>
      </c>
      <c r="C2881" s="0" t="n">
        <v>7262</v>
      </c>
      <c r="E2881" s="0" t="n">
        <v>0</v>
      </c>
      <c r="F2881" s="27" t="s">
        <v>1412</v>
      </c>
      <c r="I2881" s="27" t="s">
        <v>166</v>
      </c>
      <c r="U2881" s="0" t="n">
        <v>294</v>
      </c>
      <c r="V2881" s="0" t="n">
        <v>0</v>
      </c>
      <c r="W2881" s="27" t="n">
        <f aca="false">MATCH(A2881,DATAS,0)</f>
        <v>1</v>
      </c>
      <c r="X2881" s="27" t="n">
        <f aca="false">IF(AND(E2881&gt;0,OR(AND(B2881&gt;=1,B2881&lt;=6),B2881=10)),1,0)</f>
        <v>0</v>
      </c>
      <c r="Y2881" s="27" t="n">
        <f aca="false">IF(AND(E2881&gt;0,B2881=10),1,0)</f>
        <v>0</v>
      </c>
      <c r="Z2881" s="0" t="str">
        <f aca="false">IF(AND(C2880=C2881,W2880=W2881-1),X2880,"")</f>
        <v/>
      </c>
      <c r="AA2881" s="0" t="str">
        <f aca="false">IF(AND(C2880=C2881,W2880=W2881-1),Y2880,"")</f>
        <v/>
      </c>
      <c r="AB2881" s="0" t="str">
        <f aca="false">IF(W2881=1,"",IF(AND(X2881=1,Z2881&lt;&gt;1),1,0))</f>
        <v/>
      </c>
      <c r="AC2881" s="0" t="str">
        <f aca="false">IF(W2881=1,"",IF(AND(Y2881=1,AA2881&lt;&gt;1),1,0))</f>
        <v/>
      </c>
      <c r="AD2881" s="33" t="str">
        <f aca="false">IF(AND(E2881&gt;0,W2881&lt;1,NOT(AND(C2882=C2881,W2882=W2881+1))),INDEX(DATAS,W2881+1),"")</f>
        <v/>
      </c>
      <c r="AE2881" s="33" t="str">
        <f aca="false">IF(AND(Y2881=1,W2881&lt;1),IF(AND(C2882=C2881,W2882=W2881+1),IF(Y2882=1,"",INDEX(DATAS,W2881+1)),INDEX(DATAS,W2881+1)),"")</f>
        <v/>
      </c>
    </row>
    <row r="2882" customFormat="false" ht="15" hidden="false" customHeight="false" outlineLevel="0" collapsed="false">
      <c r="A2882" s="33" t="n">
        <v>46309</v>
      </c>
      <c r="B2882" s="0" t="n">
        <v>13</v>
      </c>
      <c r="C2882" s="0" t="n">
        <v>7264</v>
      </c>
      <c r="E2882" s="0" t="n">
        <v>0</v>
      </c>
      <c r="F2882" s="27" t="s">
        <v>1412</v>
      </c>
      <c r="I2882" s="27" t="s">
        <v>166</v>
      </c>
      <c r="U2882" s="0" t="n">
        <v>294</v>
      </c>
      <c r="V2882" s="0" t="n">
        <v>0</v>
      </c>
      <c r="W2882" s="27" t="n">
        <f aca="false">MATCH(A2882,DATAS,0)</f>
        <v>1</v>
      </c>
      <c r="X2882" s="27" t="n">
        <f aca="false">IF(AND(E2882&gt;0,OR(AND(B2882&gt;=1,B2882&lt;=6),B2882=10)),1,0)</f>
        <v>0</v>
      </c>
      <c r="Y2882" s="27" t="n">
        <f aca="false">IF(AND(E2882&gt;0,B2882=10),1,0)</f>
        <v>0</v>
      </c>
      <c r="Z2882" s="0" t="str">
        <f aca="false">IF(AND(C2881=C2882,W2881=W2882-1),X2881,"")</f>
        <v/>
      </c>
      <c r="AA2882" s="0" t="str">
        <f aca="false">IF(AND(C2881=C2882,W2881=W2882-1),Y2881,"")</f>
        <v/>
      </c>
      <c r="AB2882" s="0" t="str">
        <f aca="false">IF(W2882=1,"",IF(AND(X2882=1,Z2882&lt;&gt;1),1,0))</f>
        <v/>
      </c>
      <c r="AC2882" s="0" t="str">
        <f aca="false">IF(W2882=1,"",IF(AND(Y2882=1,AA2882&lt;&gt;1),1,0))</f>
        <v/>
      </c>
      <c r="AD2882" s="33" t="str">
        <f aca="false">IF(AND(E2882&gt;0,W2882&lt;1,NOT(AND(C2883=C2882,W2883=W2882+1))),INDEX(DATAS,W2882+1),"")</f>
        <v/>
      </c>
      <c r="AE2882" s="33" t="str">
        <f aca="false">IF(AND(Y2882=1,W2882&lt;1),IF(AND(C2883=C2882,W2883=W2882+1),IF(Y2883=1,"",INDEX(DATAS,W2882+1)),INDEX(DATAS,W2882+1)),"")</f>
        <v/>
      </c>
    </row>
    <row r="2883" customFormat="false" ht="15" hidden="false" customHeight="false" outlineLevel="0" collapsed="false">
      <c r="A2883" s="33" t="n">
        <v>46309</v>
      </c>
      <c r="B2883" s="0" t="n">
        <v>13</v>
      </c>
      <c r="C2883" s="0" t="n">
        <v>7265</v>
      </c>
      <c r="E2883" s="0" t="n">
        <v>0</v>
      </c>
      <c r="F2883" s="27" t="s">
        <v>1413</v>
      </c>
      <c r="I2883" s="27" t="s">
        <v>166</v>
      </c>
      <c r="U2883" s="0" t="n">
        <v>292</v>
      </c>
      <c r="V2883" s="0" t="n">
        <v>0</v>
      </c>
      <c r="W2883" s="27" t="n">
        <f aca="false">MATCH(A2883,DATAS,0)</f>
        <v>1</v>
      </c>
      <c r="X2883" s="27" t="n">
        <f aca="false">IF(AND(E2883&gt;0,OR(AND(B2883&gt;=1,B2883&lt;=6),B2883=10)),1,0)</f>
        <v>0</v>
      </c>
      <c r="Y2883" s="27" t="n">
        <f aca="false">IF(AND(E2883&gt;0,B2883=10),1,0)</f>
        <v>0</v>
      </c>
      <c r="Z2883" s="0" t="str">
        <f aca="false">IF(AND(C2882=C2883,W2882=W2883-1),X2882,"")</f>
        <v/>
      </c>
      <c r="AA2883" s="0" t="str">
        <f aca="false">IF(AND(C2882=C2883,W2882=W2883-1),Y2882,"")</f>
        <v/>
      </c>
      <c r="AB2883" s="0" t="str">
        <f aca="false">IF(W2883=1,"",IF(AND(X2883=1,Z2883&lt;&gt;1),1,0))</f>
        <v/>
      </c>
      <c r="AC2883" s="0" t="str">
        <f aca="false">IF(W2883=1,"",IF(AND(Y2883=1,AA2883&lt;&gt;1),1,0))</f>
        <v/>
      </c>
      <c r="AD2883" s="33" t="str">
        <f aca="false">IF(AND(E2883&gt;0,W2883&lt;1,NOT(AND(C2884=C2883,W2884=W2883+1))),INDEX(DATAS,W2883+1),"")</f>
        <v/>
      </c>
      <c r="AE2883" s="33" t="str">
        <f aca="false">IF(AND(Y2883=1,W2883&lt;1),IF(AND(C2884=C2883,W2884=W2883+1),IF(Y2884=1,"",INDEX(DATAS,W2883+1)),INDEX(DATAS,W2883+1)),"")</f>
        <v/>
      </c>
    </row>
    <row r="2884" customFormat="false" ht="15" hidden="false" customHeight="false" outlineLevel="0" collapsed="false">
      <c r="A2884" s="33" t="n">
        <v>46309</v>
      </c>
      <c r="B2884" s="0" t="n">
        <v>13</v>
      </c>
      <c r="C2884" s="0" t="n">
        <v>7266</v>
      </c>
      <c r="E2884" s="0" t="n">
        <v>0</v>
      </c>
      <c r="F2884" s="27" t="s">
        <v>1413</v>
      </c>
      <c r="I2884" s="27" t="s">
        <v>166</v>
      </c>
      <c r="U2884" s="0" t="n">
        <v>292</v>
      </c>
      <c r="V2884" s="0" t="n">
        <v>0</v>
      </c>
      <c r="W2884" s="27" t="n">
        <f aca="false">MATCH(A2884,DATAS,0)</f>
        <v>1</v>
      </c>
      <c r="X2884" s="27" t="n">
        <f aca="false">IF(AND(E2884&gt;0,OR(AND(B2884&gt;=1,B2884&lt;=6),B2884=10)),1,0)</f>
        <v>0</v>
      </c>
      <c r="Y2884" s="27" t="n">
        <f aca="false">IF(AND(E2884&gt;0,B2884=10),1,0)</f>
        <v>0</v>
      </c>
      <c r="Z2884" s="0" t="str">
        <f aca="false">IF(AND(C2883=C2884,W2883=W2884-1),X2883,"")</f>
        <v/>
      </c>
      <c r="AA2884" s="0" t="str">
        <f aca="false">IF(AND(C2883=C2884,W2883=W2884-1),Y2883,"")</f>
        <v/>
      </c>
      <c r="AB2884" s="0" t="str">
        <f aca="false">IF(W2884=1,"",IF(AND(X2884=1,Z2884&lt;&gt;1),1,0))</f>
        <v/>
      </c>
      <c r="AC2884" s="0" t="str">
        <f aca="false">IF(W2884=1,"",IF(AND(Y2884=1,AA2884&lt;&gt;1),1,0))</f>
        <v/>
      </c>
      <c r="AD2884" s="33" t="str">
        <f aca="false">IF(AND(E2884&gt;0,W2884&lt;1,NOT(AND(C2885=C2884,W2885=W2884+1))),INDEX(DATAS,W2884+1),"")</f>
        <v/>
      </c>
      <c r="AE2884" s="33" t="str">
        <f aca="false">IF(AND(Y2884=1,W2884&lt;1),IF(AND(C2885=C2884,W2885=W2884+1),IF(Y2885=1,"",INDEX(DATAS,W2884+1)),INDEX(DATAS,W2884+1)),"")</f>
        <v/>
      </c>
    </row>
    <row r="2885" customFormat="false" ht="15" hidden="false" customHeight="false" outlineLevel="0" collapsed="false">
      <c r="A2885" s="33" t="n">
        <v>46309</v>
      </c>
      <c r="B2885" s="0" t="n">
        <v>13</v>
      </c>
      <c r="C2885" s="0" t="n">
        <v>7267</v>
      </c>
      <c r="E2885" s="0" t="n">
        <v>0</v>
      </c>
      <c r="F2885" s="27" t="s">
        <v>1413</v>
      </c>
      <c r="I2885" s="27" t="s">
        <v>166</v>
      </c>
      <c r="U2885" s="0" t="n">
        <v>292</v>
      </c>
      <c r="V2885" s="0" t="n">
        <v>0</v>
      </c>
      <c r="W2885" s="27" t="n">
        <f aca="false">MATCH(A2885,DATAS,0)</f>
        <v>1</v>
      </c>
      <c r="X2885" s="27" t="n">
        <f aca="false">IF(AND(E2885&gt;0,OR(AND(B2885&gt;=1,B2885&lt;=6),B2885=10)),1,0)</f>
        <v>0</v>
      </c>
      <c r="Y2885" s="27" t="n">
        <f aca="false">IF(AND(E2885&gt;0,B2885=10),1,0)</f>
        <v>0</v>
      </c>
      <c r="Z2885" s="0" t="str">
        <f aca="false">IF(AND(C2884=C2885,W2884=W2885-1),X2884,"")</f>
        <v/>
      </c>
      <c r="AA2885" s="0" t="str">
        <f aca="false">IF(AND(C2884=C2885,W2884=W2885-1),Y2884,"")</f>
        <v/>
      </c>
      <c r="AB2885" s="0" t="str">
        <f aca="false">IF(W2885=1,"",IF(AND(X2885=1,Z2885&lt;&gt;1),1,0))</f>
        <v/>
      </c>
      <c r="AC2885" s="0" t="str">
        <f aca="false">IF(W2885=1,"",IF(AND(Y2885=1,AA2885&lt;&gt;1),1,0))</f>
        <v/>
      </c>
      <c r="AD2885" s="33" t="str">
        <f aca="false">IF(AND(E2885&gt;0,W2885&lt;1,NOT(AND(C2886=C2885,W2886=W2885+1))),INDEX(DATAS,W2885+1),"")</f>
        <v/>
      </c>
      <c r="AE2885" s="33" t="str">
        <f aca="false">IF(AND(Y2885=1,W2885&lt;1),IF(AND(C2886=C2885,W2886=W2885+1),IF(Y2886=1,"",INDEX(DATAS,W2885+1)),INDEX(DATAS,W2885+1)),"")</f>
        <v/>
      </c>
    </row>
    <row r="2886" customFormat="false" ht="15" hidden="false" customHeight="false" outlineLevel="0" collapsed="false">
      <c r="A2886" s="33" t="n">
        <v>46309</v>
      </c>
      <c r="B2886" s="0" t="n">
        <v>13</v>
      </c>
      <c r="C2886" s="0" t="n">
        <v>7268</v>
      </c>
      <c r="E2886" s="0" t="n">
        <v>0</v>
      </c>
      <c r="F2886" s="27" t="s">
        <v>1413</v>
      </c>
      <c r="I2886" s="27" t="s">
        <v>166</v>
      </c>
      <c r="U2886" s="0" t="n">
        <v>292</v>
      </c>
      <c r="V2886" s="0" t="n">
        <v>0</v>
      </c>
      <c r="W2886" s="27" t="n">
        <f aca="false">MATCH(A2886,DATAS,0)</f>
        <v>1</v>
      </c>
      <c r="X2886" s="27" t="n">
        <f aca="false">IF(AND(E2886&gt;0,OR(AND(B2886&gt;=1,B2886&lt;=6),B2886=10)),1,0)</f>
        <v>0</v>
      </c>
      <c r="Y2886" s="27" t="n">
        <f aca="false">IF(AND(E2886&gt;0,B2886=10),1,0)</f>
        <v>0</v>
      </c>
      <c r="Z2886" s="0" t="str">
        <f aca="false">IF(AND(C2885=C2886,W2885=W2886-1),X2885,"")</f>
        <v/>
      </c>
      <c r="AA2886" s="0" t="str">
        <f aca="false">IF(AND(C2885=C2886,W2885=W2886-1),Y2885,"")</f>
        <v/>
      </c>
      <c r="AB2886" s="0" t="str">
        <f aca="false">IF(W2886=1,"",IF(AND(X2886=1,Z2886&lt;&gt;1),1,0))</f>
        <v/>
      </c>
      <c r="AC2886" s="0" t="str">
        <f aca="false">IF(W2886=1,"",IF(AND(Y2886=1,AA2886&lt;&gt;1),1,0))</f>
        <v/>
      </c>
      <c r="AD2886" s="33" t="str">
        <f aca="false">IF(AND(E2886&gt;0,W2886&lt;1,NOT(AND(C2887=C2886,W2887=W2886+1))),INDEX(DATAS,W2886+1),"")</f>
        <v/>
      </c>
      <c r="AE2886" s="33" t="str">
        <f aca="false">IF(AND(Y2886=1,W2886&lt;1),IF(AND(C2887=C2886,W2887=W2886+1),IF(Y2887=1,"",INDEX(DATAS,W2886+1)),INDEX(DATAS,W2886+1)),"")</f>
        <v/>
      </c>
    </row>
    <row r="2887" customFormat="false" ht="15" hidden="false" customHeight="false" outlineLevel="0" collapsed="false">
      <c r="A2887" s="33" t="n">
        <v>46309</v>
      </c>
      <c r="B2887" s="0" t="n">
        <v>13</v>
      </c>
      <c r="C2887" s="0" t="n">
        <v>7269</v>
      </c>
      <c r="E2887" s="0" t="n">
        <v>0</v>
      </c>
      <c r="F2887" s="27" t="s">
        <v>1414</v>
      </c>
      <c r="I2887" s="27" t="s">
        <v>166</v>
      </c>
      <c r="U2887" s="0" t="n">
        <v>291</v>
      </c>
      <c r="V2887" s="0" t="n">
        <v>0</v>
      </c>
      <c r="W2887" s="27" t="n">
        <f aca="false">MATCH(A2887,DATAS,0)</f>
        <v>1</v>
      </c>
      <c r="X2887" s="27" t="n">
        <f aca="false">IF(AND(E2887&gt;0,OR(AND(B2887&gt;=1,B2887&lt;=6),B2887=10)),1,0)</f>
        <v>0</v>
      </c>
      <c r="Y2887" s="27" t="n">
        <f aca="false">IF(AND(E2887&gt;0,B2887=10),1,0)</f>
        <v>0</v>
      </c>
      <c r="Z2887" s="0" t="str">
        <f aca="false">IF(AND(C2886=C2887,W2886=W2887-1),X2886,"")</f>
        <v/>
      </c>
      <c r="AA2887" s="0" t="str">
        <f aca="false">IF(AND(C2886=C2887,W2886=W2887-1),Y2886,"")</f>
        <v/>
      </c>
      <c r="AB2887" s="0" t="str">
        <f aca="false">IF(W2887=1,"",IF(AND(X2887=1,Z2887&lt;&gt;1),1,0))</f>
        <v/>
      </c>
      <c r="AC2887" s="0" t="str">
        <f aca="false">IF(W2887=1,"",IF(AND(Y2887=1,AA2887&lt;&gt;1),1,0))</f>
        <v/>
      </c>
      <c r="AD2887" s="33" t="str">
        <f aca="false">IF(AND(E2887&gt;0,W2887&lt;1,NOT(AND(C2888=C2887,W2888=W2887+1))),INDEX(DATAS,W2887+1),"")</f>
        <v/>
      </c>
      <c r="AE2887" s="33" t="str">
        <f aca="false">IF(AND(Y2887=1,W2887&lt;1),IF(AND(C2888=C2887,W2888=W2887+1),IF(Y2888=1,"",INDEX(DATAS,W2887+1)),INDEX(DATAS,W2887+1)),"")</f>
        <v/>
      </c>
    </row>
    <row r="2888" customFormat="false" ht="15" hidden="false" customHeight="false" outlineLevel="0" collapsed="false">
      <c r="A2888" s="33" t="n">
        <v>46309</v>
      </c>
      <c r="B2888" s="0" t="n">
        <v>13</v>
      </c>
      <c r="C2888" s="0" t="n">
        <v>7270</v>
      </c>
      <c r="E2888" s="0" t="n">
        <v>0</v>
      </c>
      <c r="F2888" s="27" t="s">
        <v>1414</v>
      </c>
      <c r="I2888" s="27" t="s">
        <v>166</v>
      </c>
      <c r="U2888" s="0" t="n">
        <v>291</v>
      </c>
      <c r="V2888" s="0" t="n">
        <v>0</v>
      </c>
      <c r="W2888" s="27" t="n">
        <f aca="false">MATCH(A2888,DATAS,0)</f>
        <v>1</v>
      </c>
      <c r="X2888" s="27" t="n">
        <f aca="false">IF(AND(E2888&gt;0,OR(AND(B2888&gt;=1,B2888&lt;=6),B2888=10)),1,0)</f>
        <v>0</v>
      </c>
      <c r="Y2888" s="27" t="n">
        <f aca="false">IF(AND(E2888&gt;0,B2888=10),1,0)</f>
        <v>0</v>
      </c>
      <c r="Z2888" s="0" t="str">
        <f aca="false">IF(AND(C2887=C2888,W2887=W2888-1),X2887,"")</f>
        <v/>
      </c>
      <c r="AA2888" s="0" t="str">
        <f aca="false">IF(AND(C2887=C2888,W2887=W2888-1),Y2887,"")</f>
        <v/>
      </c>
      <c r="AB2888" s="0" t="str">
        <f aca="false">IF(W2888=1,"",IF(AND(X2888=1,Z2888&lt;&gt;1),1,0))</f>
        <v/>
      </c>
      <c r="AC2888" s="0" t="str">
        <f aca="false">IF(W2888=1,"",IF(AND(Y2888=1,AA2888&lt;&gt;1),1,0))</f>
        <v/>
      </c>
      <c r="AD2888" s="33" t="str">
        <f aca="false">IF(AND(E2888&gt;0,W2888&lt;1,NOT(AND(C2889=C2888,W2889=W2888+1))),INDEX(DATAS,W2888+1),"")</f>
        <v/>
      </c>
      <c r="AE2888" s="33" t="str">
        <f aca="false">IF(AND(Y2888=1,W2888&lt;1),IF(AND(C2889=C2888,W2889=W2888+1),IF(Y2889=1,"",INDEX(DATAS,W2888+1)),INDEX(DATAS,W2888+1)),"")</f>
        <v/>
      </c>
    </row>
    <row r="2889" customFormat="false" ht="15" hidden="false" customHeight="false" outlineLevel="0" collapsed="false">
      <c r="A2889" s="33" t="n">
        <v>46309</v>
      </c>
      <c r="B2889" s="0" t="n">
        <v>13</v>
      </c>
      <c r="C2889" s="0" t="n">
        <v>7271</v>
      </c>
      <c r="E2889" s="0" t="n">
        <v>0</v>
      </c>
      <c r="F2889" s="27" t="s">
        <v>1414</v>
      </c>
      <c r="I2889" s="27" t="s">
        <v>166</v>
      </c>
      <c r="U2889" s="0" t="n">
        <v>291</v>
      </c>
      <c r="V2889" s="0" t="n">
        <v>0</v>
      </c>
      <c r="W2889" s="27" t="n">
        <f aca="false">MATCH(A2889,DATAS,0)</f>
        <v>1</v>
      </c>
      <c r="X2889" s="27" t="n">
        <f aca="false">IF(AND(E2889&gt;0,OR(AND(B2889&gt;=1,B2889&lt;=6),B2889=10)),1,0)</f>
        <v>0</v>
      </c>
      <c r="Y2889" s="27" t="n">
        <f aca="false">IF(AND(E2889&gt;0,B2889=10),1,0)</f>
        <v>0</v>
      </c>
      <c r="Z2889" s="0" t="str">
        <f aca="false">IF(AND(C2888=C2889,W2888=W2889-1),X2888,"")</f>
        <v/>
      </c>
      <c r="AA2889" s="0" t="str">
        <f aca="false">IF(AND(C2888=C2889,W2888=W2889-1),Y2888,"")</f>
        <v/>
      </c>
      <c r="AB2889" s="0" t="str">
        <f aca="false">IF(W2889=1,"",IF(AND(X2889=1,Z2889&lt;&gt;1),1,0))</f>
        <v/>
      </c>
      <c r="AC2889" s="0" t="str">
        <f aca="false">IF(W2889=1,"",IF(AND(Y2889=1,AA2889&lt;&gt;1),1,0))</f>
        <v/>
      </c>
      <c r="AD2889" s="33" t="str">
        <f aca="false">IF(AND(E2889&gt;0,W2889&lt;1,NOT(AND(C2890=C2889,W2890=W2889+1))),INDEX(DATAS,W2889+1),"")</f>
        <v/>
      </c>
      <c r="AE2889" s="33" t="str">
        <f aca="false">IF(AND(Y2889=1,W2889&lt;1),IF(AND(C2890=C2889,W2890=W2889+1),IF(Y2890=1,"",INDEX(DATAS,W2889+1)),INDEX(DATAS,W2889+1)),"")</f>
        <v/>
      </c>
    </row>
    <row r="2890" customFormat="false" ht="15" hidden="false" customHeight="false" outlineLevel="0" collapsed="false">
      <c r="A2890" s="33" t="n">
        <v>46309</v>
      </c>
      <c r="B2890" s="0" t="n">
        <v>13</v>
      </c>
      <c r="C2890" s="0" t="n">
        <v>7272</v>
      </c>
      <c r="E2890" s="0" t="n">
        <v>0</v>
      </c>
      <c r="F2890" s="27" t="s">
        <v>1415</v>
      </c>
      <c r="I2890" s="27" t="s">
        <v>166</v>
      </c>
      <c r="U2890" s="0" t="n">
        <v>289</v>
      </c>
      <c r="V2890" s="0" t="n">
        <v>0</v>
      </c>
      <c r="W2890" s="27" t="n">
        <f aca="false">MATCH(A2890,DATAS,0)</f>
        <v>1</v>
      </c>
      <c r="X2890" s="27" t="n">
        <f aca="false">IF(AND(E2890&gt;0,OR(AND(B2890&gt;=1,B2890&lt;=6),B2890=10)),1,0)</f>
        <v>0</v>
      </c>
      <c r="Y2890" s="27" t="n">
        <f aca="false">IF(AND(E2890&gt;0,B2890=10),1,0)</f>
        <v>0</v>
      </c>
      <c r="Z2890" s="0" t="str">
        <f aca="false">IF(AND(C2889=C2890,W2889=W2890-1),X2889,"")</f>
        <v/>
      </c>
      <c r="AA2890" s="0" t="str">
        <f aca="false">IF(AND(C2889=C2890,W2889=W2890-1),Y2889,"")</f>
        <v/>
      </c>
      <c r="AB2890" s="0" t="str">
        <f aca="false">IF(W2890=1,"",IF(AND(X2890=1,Z2890&lt;&gt;1),1,0))</f>
        <v/>
      </c>
      <c r="AC2890" s="0" t="str">
        <f aca="false">IF(W2890=1,"",IF(AND(Y2890=1,AA2890&lt;&gt;1),1,0))</f>
        <v/>
      </c>
      <c r="AD2890" s="33" t="str">
        <f aca="false">IF(AND(E2890&gt;0,W2890&lt;1,NOT(AND(C2891=C2890,W2891=W2890+1))),INDEX(DATAS,W2890+1),"")</f>
        <v/>
      </c>
      <c r="AE2890" s="33" t="str">
        <f aca="false">IF(AND(Y2890=1,W2890&lt;1),IF(AND(C2891=C2890,W2891=W2890+1),IF(Y2891=1,"",INDEX(DATAS,W2890+1)),INDEX(DATAS,W2890+1)),"")</f>
        <v/>
      </c>
    </row>
    <row r="2891" customFormat="false" ht="15" hidden="false" customHeight="false" outlineLevel="0" collapsed="false">
      <c r="A2891" s="33" t="n">
        <v>46309</v>
      </c>
      <c r="B2891" s="0" t="n">
        <v>13</v>
      </c>
      <c r="C2891" s="0" t="n">
        <v>7273</v>
      </c>
      <c r="E2891" s="0" t="n">
        <v>0</v>
      </c>
      <c r="F2891" s="27" t="s">
        <v>1415</v>
      </c>
      <c r="I2891" s="27" t="s">
        <v>166</v>
      </c>
      <c r="U2891" s="0" t="n">
        <v>289</v>
      </c>
      <c r="V2891" s="0" t="n">
        <v>0</v>
      </c>
      <c r="W2891" s="27" t="n">
        <f aca="false">MATCH(A2891,DATAS,0)</f>
        <v>1</v>
      </c>
      <c r="X2891" s="27" t="n">
        <f aca="false">IF(AND(E2891&gt;0,OR(AND(B2891&gt;=1,B2891&lt;=6),B2891=10)),1,0)</f>
        <v>0</v>
      </c>
      <c r="Y2891" s="27" t="n">
        <f aca="false">IF(AND(E2891&gt;0,B2891=10),1,0)</f>
        <v>0</v>
      </c>
      <c r="Z2891" s="0" t="str">
        <f aca="false">IF(AND(C2890=C2891,W2890=W2891-1),X2890,"")</f>
        <v/>
      </c>
      <c r="AA2891" s="0" t="str">
        <f aca="false">IF(AND(C2890=C2891,W2890=W2891-1),Y2890,"")</f>
        <v/>
      </c>
      <c r="AB2891" s="0" t="str">
        <f aca="false">IF(W2891=1,"",IF(AND(X2891=1,Z2891&lt;&gt;1),1,0))</f>
        <v/>
      </c>
      <c r="AC2891" s="0" t="str">
        <f aca="false">IF(W2891=1,"",IF(AND(Y2891=1,AA2891&lt;&gt;1),1,0))</f>
        <v/>
      </c>
      <c r="AD2891" s="33" t="str">
        <f aca="false">IF(AND(E2891&gt;0,W2891&lt;1,NOT(AND(C2892=C2891,W2892=W2891+1))),INDEX(DATAS,W2891+1),"")</f>
        <v/>
      </c>
      <c r="AE2891" s="33" t="str">
        <f aca="false">IF(AND(Y2891=1,W2891&lt;1),IF(AND(C2892=C2891,W2892=W2891+1),IF(Y2892=1,"",INDEX(DATAS,W2891+1)),INDEX(DATAS,W2891+1)),"")</f>
        <v/>
      </c>
    </row>
    <row r="2892" customFormat="false" ht="15" hidden="false" customHeight="false" outlineLevel="0" collapsed="false">
      <c r="A2892" s="33" t="n">
        <v>46309</v>
      </c>
      <c r="B2892" s="0" t="n">
        <v>13</v>
      </c>
      <c r="C2892" s="0" t="n">
        <v>7274</v>
      </c>
      <c r="E2892" s="0" t="n">
        <v>0</v>
      </c>
      <c r="F2892" s="27" t="s">
        <v>1415</v>
      </c>
      <c r="I2892" s="27" t="s">
        <v>166</v>
      </c>
      <c r="U2892" s="0" t="n">
        <v>289</v>
      </c>
      <c r="V2892" s="0" t="n">
        <v>0</v>
      </c>
      <c r="W2892" s="27" t="n">
        <f aca="false">MATCH(A2892,DATAS,0)</f>
        <v>1</v>
      </c>
      <c r="X2892" s="27" t="n">
        <f aca="false">IF(AND(E2892&gt;0,OR(AND(B2892&gt;=1,B2892&lt;=6),B2892=10)),1,0)</f>
        <v>0</v>
      </c>
      <c r="Y2892" s="27" t="n">
        <f aca="false">IF(AND(E2892&gt;0,B2892=10),1,0)</f>
        <v>0</v>
      </c>
      <c r="Z2892" s="0" t="str">
        <f aca="false">IF(AND(C2891=C2892,W2891=W2892-1),X2891,"")</f>
        <v/>
      </c>
      <c r="AA2892" s="0" t="str">
        <f aca="false">IF(AND(C2891=C2892,W2891=W2892-1),Y2891,"")</f>
        <v/>
      </c>
      <c r="AB2892" s="0" t="str">
        <f aca="false">IF(W2892=1,"",IF(AND(X2892=1,Z2892&lt;&gt;1),1,0))</f>
        <v/>
      </c>
      <c r="AC2892" s="0" t="str">
        <f aca="false">IF(W2892=1,"",IF(AND(Y2892=1,AA2892&lt;&gt;1),1,0))</f>
        <v/>
      </c>
      <c r="AD2892" s="33" t="str">
        <f aca="false">IF(AND(E2892&gt;0,W2892&lt;1,NOT(AND(C2893=C2892,W2893=W2892+1))),INDEX(DATAS,W2892+1),"")</f>
        <v/>
      </c>
      <c r="AE2892" s="33" t="str">
        <f aca="false">IF(AND(Y2892=1,W2892&lt;1),IF(AND(C2893=C2892,W2893=W2892+1),IF(Y2893=1,"",INDEX(DATAS,W2892+1)),INDEX(DATAS,W2892+1)),"")</f>
        <v/>
      </c>
    </row>
    <row r="2893" customFormat="false" ht="15" hidden="false" customHeight="false" outlineLevel="0" collapsed="false">
      <c r="A2893" s="33" t="n">
        <v>46309</v>
      </c>
      <c r="B2893" s="0" t="n">
        <v>13</v>
      </c>
      <c r="C2893" s="0" t="n">
        <v>7275</v>
      </c>
      <c r="E2893" s="0" t="n">
        <v>0</v>
      </c>
      <c r="F2893" s="27" t="s">
        <v>1416</v>
      </c>
      <c r="I2893" s="27" t="s">
        <v>166</v>
      </c>
      <c r="U2893" s="0" t="n">
        <v>288</v>
      </c>
      <c r="V2893" s="0" t="n">
        <v>0</v>
      </c>
      <c r="W2893" s="27" t="n">
        <f aca="false">MATCH(A2893,DATAS,0)</f>
        <v>1</v>
      </c>
      <c r="X2893" s="27" t="n">
        <f aca="false">IF(AND(E2893&gt;0,OR(AND(B2893&gt;=1,B2893&lt;=6),B2893=10)),1,0)</f>
        <v>0</v>
      </c>
      <c r="Y2893" s="27" t="n">
        <f aca="false">IF(AND(E2893&gt;0,B2893=10),1,0)</f>
        <v>0</v>
      </c>
      <c r="Z2893" s="0" t="str">
        <f aca="false">IF(AND(C2892=C2893,W2892=W2893-1),X2892,"")</f>
        <v/>
      </c>
      <c r="AA2893" s="0" t="str">
        <f aca="false">IF(AND(C2892=C2893,W2892=W2893-1),Y2892,"")</f>
        <v/>
      </c>
      <c r="AB2893" s="0" t="str">
        <f aca="false">IF(W2893=1,"",IF(AND(X2893=1,Z2893&lt;&gt;1),1,0))</f>
        <v/>
      </c>
      <c r="AC2893" s="0" t="str">
        <f aca="false">IF(W2893=1,"",IF(AND(Y2893=1,AA2893&lt;&gt;1),1,0))</f>
        <v/>
      </c>
      <c r="AD2893" s="33" t="str">
        <f aca="false">IF(AND(E2893&gt;0,W2893&lt;1,NOT(AND(C2894=C2893,W2894=W2893+1))),INDEX(DATAS,W2893+1),"")</f>
        <v/>
      </c>
      <c r="AE2893" s="33" t="str">
        <f aca="false">IF(AND(Y2893=1,W2893&lt;1),IF(AND(C2894=C2893,W2894=W2893+1),IF(Y2894=1,"",INDEX(DATAS,W2893+1)),INDEX(DATAS,W2893+1)),"")</f>
        <v/>
      </c>
    </row>
    <row r="2894" customFormat="false" ht="15" hidden="false" customHeight="false" outlineLevel="0" collapsed="false">
      <c r="A2894" s="33" t="n">
        <v>46309</v>
      </c>
      <c r="B2894" s="0" t="n">
        <v>13</v>
      </c>
      <c r="C2894" s="0" t="n">
        <v>7276</v>
      </c>
      <c r="E2894" s="0" t="n">
        <v>0</v>
      </c>
      <c r="F2894" s="27" t="s">
        <v>1416</v>
      </c>
      <c r="I2894" s="27" t="s">
        <v>166</v>
      </c>
      <c r="U2894" s="0" t="n">
        <v>288</v>
      </c>
      <c r="V2894" s="0" t="n">
        <v>0</v>
      </c>
      <c r="W2894" s="27" t="n">
        <f aca="false">MATCH(A2894,DATAS,0)</f>
        <v>1</v>
      </c>
      <c r="X2894" s="27" t="n">
        <f aca="false">IF(AND(E2894&gt;0,OR(AND(B2894&gt;=1,B2894&lt;=6),B2894=10)),1,0)</f>
        <v>0</v>
      </c>
      <c r="Y2894" s="27" t="n">
        <f aca="false">IF(AND(E2894&gt;0,B2894=10),1,0)</f>
        <v>0</v>
      </c>
      <c r="Z2894" s="0" t="str">
        <f aca="false">IF(AND(C2893=C2894,W2893=W2894-1),X2893,"")</f>
        <v/>
      </c>
      <c r="AA2894" s="0" t="str">
        <f aca="false">IF(AND(C2893=C2894,W2893=W2894-1),Y2893,"")</f>
        <v/>
      </c>
      <c r="AB2894" s="0" t="str">
        <f aca="false">IF(W2894=1,"",IF(AND(X2894=1,Z2894&lt;&gt;1),1,0))</f>
        <v/>
      </c>
      <c r="AC2894" s="0" t="str">
        <f aca="false">IF(W2894=1,"",IF(AND(Y2894=1,AA2894&lt;&gt;1),1,0))</f>
        <v/>
      </c>
      <c r="AD2894" s="33" t="str">
        <f aca="false">IF(AND(E2894&gt;0,W2894&lt;1,NOT(AND(C2895=C2894,W2895=W2894+1))),INDEX(DATAS,W2894+1),"")</f>
        <v/>
      </c>
      <c r="AE2894" s="33" t="str">
        <f aca="false">IF(AND(Y2894=1,W2894&lt;1),IF(AND(C2895=C2894,W2895=W2894+1),IF(Y2895=1,"",INDEX(DATAS,W2894+1)),INDEX(DATAS,W2894+1)),"")</f>
        <v/>
      </c>
    </row>
    <row r="2895" customFormat="false" ht="15" hidden="false" customHeight="false" outlineLevel="0" collapsed="false">
      <c r="A2895" s="33" t="n">
        <v>46309</v>
      </c>
      <c r="B2895" s="0" t="n">
        <v>13</v>
      </c>
      <c r="C2895" s="0" t="n">
        <v>7277</v>
      </c>
      <c r="E2895" s="0" t="n">
        <v>0</v>
      </c>
      <c r="F2895" s="27" t="s">
        <v>1416</v>
      </c>
      <c r="I2895" s="27" t="s">
        <v>166</v>
      </c>
      <c r="U2895" s="0" t="n">
        <v>288</v>
      </c>
      <c r="V2895" s="0" t="n">
        <v>0</v>
      </c>
      <c r="W2895" s="27" t="n">
        <f aca="false">MATCH(A2895,DATAS,0)</f>
        <v>1</v>
      </c>
      <c r="X2895" s="27" t="n">
        <f aca="false">IF(AND(E2895&gt;0,OR(AND(B2895&gt;=1,B2895&lt;=6),B2895=10)),1,0)</f>
        <v>0</v>
      </c>
      <c r="Y2895" s="27" t="n">
        <f aca="false">IF(AND(E2895&gt;0,B2895=10),1,0)</f>
        <v>0</v>
      </c>
      <c r="Z2895" s="0" t="str">
        <f aca="false">IF(AND(C2894=C2895,W2894=W2895-1),X2894,"")</f>
        <v/>
      </c>
      <c r="AA2895" s="0" t="str">
        <f aca="false">IF(AND(C2894=C2895,W2894=W2895-1),Y2894,"")</f>
        <v/>
      </c>
      <c r="AB2895" s="0" t="str">
        <f aca="false">IF(W2895=1,"",IF(AND(X2895=1,Z2895&lt;&gt;1),1,0))</f>
        <v/>
      </c>
      <c r="AC2895" s="0" t="str">
        <f aca="false">IF(W2895=1,"",IF(AND(Y2895=1,AA2895&lt;&gt;1),1,0))</f>
        <v/>
      </c>
      <c r="AD2895" s="33" t="str">
        <f aca="false">IF(AND(E2895&gt;0,W2895&lt;1,NOT(AND(C2896=C2895,W2896=W2895+1))),INDEX(DATAS,W2895+1),"")</f>
        <v/>
      </c>
      <c r="AE2895" s="33" t="str">
        <f aca="false">IF(AND(Y2895=1,W2895&lt;1),IF(AND(C2896=C2895,W2896=W2895+1),IF(Y2896=1,"",INDEX(DATAS,W2895+1)),INDEX(DATAS,W2895+1)),"")</f>
        <v/>
      </c>
    </row>
    <row r="2896" customFormat="false" ht="15" hidden="false" customHeight="false" outlineLevel="0" collapsed="false">
      <c r="A2896" s="33" t="n">
        <v>46309</v>
      </c>
      <c r="B2896" s="0" t="n">
        <v>13</v>
      </c>
      <c r="C2896" s="0" t="n">
        <v>7278</v>
      </c>
      <c r="E2896" s="0" t="n">
        <v>0</v>
      </c>
      <c r="F2896" s="27" t="s">
        <v>1416</v>
      </c>
      <c r="I2896" s="27" t="s">
        <v>166</v>
      </c>
      <c r="U2896" s="0" t="n">
        <v>288</v>
      </c>
      <c r="V2896" s="0" t="n">
        <v>0</v>
      </c>
      <c r="W2896" s="27" t="n">
        <f aca="false">MATCH(A2896,DATAS,0)</f>
        <v>1</v>
      </c>
      <c r="X2896" s="27" t="n">
        <f aca="false">IF(AND(E2896&gt;0,OR(AND(B2896&gt;=1,B2896&lt;=6),B2896=10)),1,0)</f>
        <v>0</v>
      </c>
      <c r="Y2896" s="27" t="n">
        <f aca="false">IF(AND(E2896&gt;0,B2896=10),1,0)</f>
        <v>0</v>
      </c>
      <c r="Z2896" s="0" t="str">
        <f aca="false">IF(AND(C2895=C2896,W2895=W2896-1),X2895,"")</f>
        <v/>
      </c>
      <c r="AA2896" s="0" t="str">
        <f aca="false">IF(AND(C2895=C2896,W2895=W2896-1),Y2895,"")</f>
        <v/>
      </c>
      <c r="AB2896" s="0" t="str">
        <f aca="false">IF(W2896=1,"",IF(AND(X2896=1,Z2896&lt;&gt;1),1,0))</f>
        <v/>
      </c>
      <c r="AC2896" s="0" t="str">
        <f aca="false">IF(W2896=1,"",IF(AND(Y2896=1,AA2896&lt;&gt;1),1,0))</f>
        <v/>
      </c>
      <c r="AD2896" s="33" t="str">
        <f aca="false">IF(AND(E2896&gt;0,W2896&lt;1,NOT(AND(C2897=C2896,W2897=W2896+1))),INDEX(DATAS,W2896+1),"")</f>
        <v/>
      </c>
      <c r="AE2896" s="33" t="str">
        <f aca="false">IF(AND(Y2896=1,W2896&lt;1),IF(AND(C2897=C2896,W2897=W2896+1),IF(Y2897=1,"",INDEX(DATAS,W2896+1)),INDEX(DATAS,W2896+1)),"")</f>
        <v/>
      </c>
    </row>
    <row r="2897" customFormat="false" ht="15" hidden="false" customHeight="false" outlineLevel="0" collapsed="false">
      <c r="A2897" s="33" t="n">
        <v>46309</v>
      </c>
      <c r="B2897" s="0" t="n">
        <v>13</v>
      </c>
      <c r="C2897" s="0" t="n">
        <v>7279</v>
      </c>
      <c r="E2897" s="0" t="n">
        <v>0</v>
      </c>
      <c r="F2897" s="27" t="s">
        <v>1417</v>
      </c>
      <c r="I2897" s="27" t="s">
        <v>166</v>
      </c>
      <c r="U2897" s="0" t="n">
        <v>287</v>
      </c>
      <c r="V2897" s="0" t="n">
        <v>0</v>
      </c>
      <c r="W2897" s="27" t="n">
        <f aca="false">MATCH(A2897,DATAS,0)</f>
        <v>1</v>
      </c>
      <c r="X2897" s="27" t="n">
        <f aca="false">IF(AND(E2897&gt;0,OR(AND(B2897&gt;=1,B2897&lt;=6),B2897=10)),1,0)</f>
        <v>0</v>
      </c>
      <c r="Y2897" s="27" t="n">
        <f aca="false">IF(AND(E2897&gt;0,B2897=10),1,0)</f>
        <v>0</v>
      </c>
      <c r="Z2897" s="0" t="str">
        <f aca="false">IF(AND(C2896=C2897,W2896=W2897-1),X2896,"")</f>
        <v/>
      </c>
      <c r="AA2897" s="0" t="str">
        <f aca="false">IF(AND(C2896=C2897,W2896=W2897-1),Y2896,"")</f>
        <v/>
      </c>
      <c r="AB2897" s="0" t="str">
        <f aca="false">IF(W2897=1,"",IF(AND(X2897=1,Z2897&lt;&gt;1),1,0))</f>
        <v/>
      </c>
      <c r="AC2897" s="0" t="str">
        <f aca="false">IF(W2897=1,"",IF(AND(Y2897=1,AA2897&lt;&gt;1),1,0))</f>
        <v/>
      </c>
      <c r="AD2897" s="33" t="str">
        <f aca="false">IF(AND(E2897&gt;0,W2897&lt;1,NOT(AND(C2898=C2897,W2898=W2897+1))),INDEX(DATAS,W2897+1),"")</f>
        <v/>
      </c>
      <c r="AE2897" s="33" t="str">
        <f aca="false">IF(AND(Y2897=1,W2897&lt;1),IF(AND(C2898=C2897,W2898=W2897+1),IF(Y2898=1,"",INDEX(DATAS,W2897+1)),INDEX(DATAS,W2897+1)),"")</f>
        <v/>
      </c>
    </row>
    <row r="2898" customFormat="false" ht="15" hidden="false" customHeight="false" outlineLevel="0" collapsed="false">
      <c r="A2898" s="33" t="n">
        <v>46309</v>
      </c>
      <c r="B2898" s="0" t="n">
        <v>13</v>
      </c>
      <c r="C2898" s="0" t="n">
        <v>7280</v>
      </c>
      <c r="E2898" s="0" t="n">
        <v>0</v>
      </c>
      <c r="F2898" s="27" t="s">
        <v>1417</v>
      </c>
      <c r="I2898" s="27" t="s">
        <v>166</v>
      </c>
      <c r="U2898" s="0" t="n">
        <v>287</v>
      </c>
      <c r="V2898" s="0" t="n">
        <v>0</v>
      </c>
      <c r="W2898" s="27" t="n">
        <f aca="false">MATCH(A2898,DATAS,0)</f>
        <v>1</v>
      </c>
      <c r="X2898" s="27" t="n">
        <f aca="false">IF(AND(E2898&gt;0,OR(AND(B2898&gt;=1,B2898&lt;=6),B2898=10)),1,0)</f>
        <v>0</v>
      </c>
      <c r="Y2898" s="27" t="n">
        <f aca="false">IF(AND(E2898&gt;0,B2898=10),1,0)</f>
        <v>0</v>
      </c>
      <c r="Z2898" s="0" t="str">
        <f aca="false">IF(AND(C2897=C2898,W2897=W2898-1),X2897,"")</f>
        <v/>
      </c>
      <c r="AA2898" s="0" t="str">
        <f aca="false">IF(AND(C2897=C2898,W2897=W2898-1),Y2897,"")</f>
        <v/>
      </c>
      <c r="AB2898" s="0" t="str">
        <f aca="false">IF(W2898=1,"",IF(AND(X2898=1,Z2898&lt;&gt;1),1,0))</f>
        <v/>
      </c>
      <c r="AC2898" s="0" t="str">
        <f aca="false">IF(W2898=1,"",IF(AND(Y2898=1,AA2898&lt;&gt;1),1,0))</f>
        <v/>
      </c>
      <c r="AD2898" s="33" t="str">
        <f aca="false">IF(AND(E2898&gt;0,W2898&lt;1,NOT(AND(C2899=C2898,W2899=W2898+1))),INDEX(DATAS,W2898+1),"")</f>
        <v/>
      </c>
      <c r="AE2898" s="33" t="str">
        <f aca="false">IF(AND(Y2898=1,W2898&lt;1),IF(AND(C2899=C2898,W2899=W2898+1),IF(Y2899=1,"",INDEX(DATAS,W2898+1)),INDEX(DATAS,W2898+1)),"")</f>
        <v/>
      </c>
    </row>
    <row r="2899" customFormat="false" ht="15" hidden="false" customHeight="false" outlineLevel="0" collapsed="false">
      <c r="A2899" s="33" t="n">
        <v>46309</v>
      </c>
      <c r="B2899" s="0" t="n">
        <v>13</v>
      </c>
      <c r="C2899" s="0" t="n">
        <v>7281</v>
      </c>
      <c r="E2899" s="0" t="n">
        <v>0</v>
      </c>
      <c r="F2899" s="27" t="s">
        <v>1417</v>
      </c>
      <c r="I2899" s="27" t="s">
        <v>166</v>
      </c>
      <c r="U2899" s="0" t="n">
        <v>287</v>
      </c>
      <c r="V2899" s="0" t="n">
        <v>0</v>
      </c>
      <c r="W2899" s="27" t="n">
        <f aca="false">MATCH(A2899,DATAS,0)</f>
        <v>1</v>
      </c>
      <c r="X2899" s="27" t="n">
        <f aca="false">IF(AND(E2899&gt;0,OR(AND(B2899&gt;=1,B2899&lt;=6),B2899=10)),1,0)</f>
        <v>0</v>
      </c>
      <c r="Y2899" s="27" t="n">
        <f aca="false">IF(AND(E2899&gt;0,B2899=10),1,0)</f>
        <v>0</v>
      </c>
      <c r="Z2899" s="0" t="str">
        <f aca="false">IF(AND(C2898=C2899,W2898=W2899-1),X2898,"")</f>
        <v/>
      </c>
      <c r="AA2899" s="0" t="str">
        <f aca="false">IF(AND(C2898=C2899,W2898=W2899-1),Y2898,"")</f>
        <v/>
      </c>
      <c r="AB2899" s="0" t="str">
        <f aca="false">IF(W2899=1,"",IF(AND(X2899=1,Z2899&lt;&gt;1),1,0))</f>
        <v/>
      </c>
      <c r="AC2899" s="0" t="str">
        <f aca="false">IF(W2899=1,"",IF(AND(Y2899=1,AA2899&lt;&gt;1),1,0))</f>
        <v/>
      </c>
      <c r="AD2899" s="33" t="str">
        <f aca="false">IF(AND(E2899&gt;0,W2899&lt;1,NOT(AND(C2900=C2899,W2900=W2899+1))),INDEX(DATAS,W2899+1),"")</f>
        <v/>
      </c>
      <c r="AE2899" s="33" t="str">
        <f aca="false">IF(AND(Y2899=1,W2899&lt;1),IF(AND(C2900=C2899,W2900=W2899+1),IF(Y2900=1,"",INDEX(DATAS,W2899+1)),INDEX(DATAS,W2899+1)),"")</f>
        <v/>
      </c>
    </row>
    <row r="2900" customFormat="false" ht="15" hidden="false" customHeight="false" outlineLevel="0" collapsed="false">
      <c r="A2900" s="33" t="n">
        <v>46309</v>
      </c>
      <c r="B2900" s="0" t="n">
        <v>13</v>
      </c>
      <c r="C2900" s="0" t="n">
        <v>7282</v>
      </c>
      <c r="E2900" s="0" t="n">
        <v>0</v>
      </c>
      <c r="F2900" s="27" t="s">
        <v>1418</v>
      </c>
      <c r="I2900" s="27" t="s">
        <v>166</v>
      </c>
      <c r="U2900" s="0" t="n">
        <v>286</v>
      </c>
      <c r="V2900" s="0" t="n">
        <v>0</v>
      </c>
      <c r="W2900" s="27" t="n">
        <f aca="false">MATCH(A2900,DATAS,0)</f>
        <v>1</v>
      </c>
      <c r="X2900" s="27" t="n">
        <f aca="false">IF(AND(E2900&gt;0,OR(AND(B2900&gt;=1,B2900&lt;=6),B2900=10)),1,0)</f>
        <v>0</v>
      </c>
      <c r="Y2900" s="27" t="n">
        <f aca="false">IF(AND(E2900&gt;0,B2900=10),1,0)</f>
        <v>0</v>
      </c>
      <c r="Z2900" s="0" t="str">
        <f aca="false">IF(AND(C2899=C2900,W2899=W2900-1),X2899,"")</f>
        <v/>
      </c>
      <c r="AA2900" s="0" t="str">
        <f aca="false">IF(AND(C2899=C2900,W2899=W2900-1),Y2899,"")</f>
        <v/>
      </c>
      <c r="AB2900" s="0" t="str">
        <f aca="false">IF(W2900=1,"",IF(AND(X2900=1,Z2900&lt;&gt;1),1,0))</f>
        <v/>
      </c>
      <c r="AC2900" s="0" t="str">
        <f aca="false">IF(W2900=1,"",IF(AND(Y2900=1,AA2900&lt;&gt;1),1,0))</f>
        <v/>
      </c>
      <c r="AD2900" s="33" t="str">
        <f aca="false">IF(AND(E2900&gt;0,W2900&lt;1,NOT(AND(C2901=C2900,W2901=W2900+1))),INDEX(DATAS,W2900+1),"")</f>
        <v/>
      </c>
      <c r="AE2900" s="33" t="str">
        <f aca="false">IF(AND(Y2900=1,W2900&lt;1),IF(AND(C2901=C2900,W2901=W2900+1),IF(Y2901=1,"",INDEX(DATAS,W2900+1)),INDEX(DATAS,W2900+1)),"")</f>
        <v/>
      </c>
    </row>
    <row r="2901" customFormat="false" ht="15" hidden="false" customHeight="false" outlineLevel="0" collapsed="false">
      <c r="A2901" s="33" t="n">
        <v>46309</v>
      </c>
      <c r="B2901" s="0" t="n">
        <v>13</v>
      </c>
      <c r="C2901" s="0" t="n">
        <v>7283</v>
      </c>
      <c r="E2901" s="0" t="n">
        <v>0</v>
      </c>
      <c r="F2901" s="27" t="s">
        <v>1418</v>
      </c>
      <c r="I2901" s="27" t="s">
        <v>166</v>
      </c>
      <c r="U2901" s="0" t="n">
        <v>286</v>
      </c>
      <c r="V2901" s="0" t="n">
        <v>0</v>
      </c>
      <c r="W2901" s="27" t="n">
        <f aca="false">MATCH(A2901,DATAS,0)</f>
        <v>1</v>
      </c>
      <c r="X2901" s="27" t="n">
        <f aca="false">IF(AND(E2901&gt;0,OR(AND(B2901&gt;=1,B2901&lt;=6),B2901=10)),1,0)</f>
        <v>0</v>
      </c>
      <c r="Y2901" s="27" t="n">
        <f aca="false">IF(AND(E2901&gt;0,B2901=10),1,0)</f>
        <v>0</v>
      </c>
      <c r="Z2901" s="0" t="str">
        <f aca="false">IF(AND(C2900=C2901,W2900=W2901-1),X2900,"")</f>
        <v/>
      </c>
      <c r="AA2901" s="0" t="str">
        <f aca="false">IF(AND(C2900=C2901,W2900=W2901-1),Y2900,"")</f>
        <v/>
      </c>
      <c r="AB2901" s="0" t="str">
        <f aca="false">IF(W2901=1,"",IF(AND(X2901=1,Z2901&lt;&gt;1),1,0))</f>
        <v/>
      </c>
      <c r="AC2901" s="0" t="str">
        <f aca="false">IF(W2901=1,"",IF(AND(Y2901=1,AA2901&lt;&gt;1),1,0))</f>
        <v/>
      </c>
      <c r="AD2901" s="33" t="str">
        <f aca="false">IF(AND(E2901&gt;0,W2901&lt;1,NOT(AND(C2902=C2901,W2902=W2901+1))),INDEX(DATAS,W2901+1),"")</f>
        <v/>
      </c>
      <c r="AE2901" s="33" t="str">
        <f aca="false">IF(AND(Y2901=1,W2901&lt;1),IF(AND(C2902=C2901,W2902=W2901+1),IF(Y2902=1,"",INDEX(DATAS,W2901+1)),INDEX(DATAS,W2901+1)),"")</f>
        <v/>
      </c>
    </row>
    <row r="2902" customFormat="false" ht="15" hidden="false" customHeight="false" outlineLevel="0" collapsed="false">
      <c r="A2902" s="33" t="n">
        <v>46309</v>
      </c>
      <c r="B2902" s="0" t="n">
        <v>13</v>
      </c>
      <c r="C2902" s="0" t="n">
        <v>7284</v>
      </c>
      <c r="E2902" s="0" t="n">
        <v>0</v>
      </c>
      <c r="F2902" s="27" t="s">
        <v>1419</v>
      </c>
      <c r="I2902" s="27" t="s">
        <v>166</v>
      </c>
      <c r="U2902" s="0" t="n">
        <v>285</v>
      </c>
      <c r="V2902" s="0" t="n">
        <v>0</v>
      </c>
      <c r="W2902" s="27" t="n">
        <f aca="false">MATCH(A2902,DATAS,0)</f>
        <v>1</v>
      </c>
      <c r="X2902" s="27" t="n">
        <f aca="false">IF(AND(E2902&gt;0,OR(AND(B2902&gt;=1,B2902&lt;=6),B2902=10)),1,0)</f>
        <v>0</v>
      </c>
      <c r="Y2902" s="27" t="n">
        <f aca="false">IF(AND(E2902&gt;0,B2902=10),1,0)</f>
        <v>0</v>
      </c>
      <c r="Z2902" s="0" t="str">
        <f aca="false">IF(AND(C2901=C2902,W2901=W2902-1),X2901,"")</f>
        <v/>
      </c>
      <c r="AA2902" s="0" t="str">
        <f aca="false">IF(AND(C2901=C2902,W2901=W2902-1),Y2901,"")</f>
        <v/>
      </c>
      <c r="AB2902" s="0" t="str">
        <f aca="false">IF(W2902=1,"",IF(AND(X2902=1,Z2902&lt;&gt;1),1,0))</f>
        <v/>
      </c>
      <c r="AC2902" s="0" t="str">
        <f aca="false">IF(W2902=1,"",IF(AND(Y2902=1,AA2902&lt;&gt;1),1,0))</f>
        <v/>
      </c>
      <c r="AD2902" s="33" t="str">
        <f aca="false">IF(AND(E2902&gt;0,W2902&lt;1,NOT(AND(C2903=C2902,W2903=W2902+1))),INDEX(DATAS,W2902+1),"")</f>
        <v/>
      </c>
      <c r="AE2902" s="33" t="str">
        <f aca="false">IF(AND(Y2902=1,W2902&lt;1),IF(AND(C2903=C2902,W2903=W2902+1),IF(Y2903=1,"",INDEX(DATAS,W2902+1)),INDEX(DATAS,W2902+1)),"")</f>
        <v/>
      </c>
    </row>
    <row r="2903" customFormat="false" ht="15" hidden="false" customHeight="false" outlineLevel="0" collapsed="false">
      <c r="A2903" s="33" t="n">
        <v>46309</v>
      </c>
      <c r="B2903" s="0" t="n">
        <v>13</v>
      </c>
      <c r="C2903" s="0" t="n">
        <v>7285</v>
      </c>
      <c r="E2903" s="0" t="n">
        <v>0</v>
      </c>
      <c r="F2903" s="27" t="s">
        <v>1419</v>
      </c>
      <c r="I2903" s="27" t="s">
        <v>166</v>
      </c>
      <c r="U2903" s="0" t="n">
        <v>285</v>
      </c>
      <c r="V2903" s="0" t="n">
        <v>0</v>
      </c>
      <c r="W2903" s="27" t="n">
        <f aca="false">MATCH(A2903,DATAS,0)</f>
        <v>1</v>
      </c>
      <c r="X2903" s="27" t="n">
        <f aca="false">IF(AND(E2903&gt;0,OR(AND(B2903&gt;=1,B2903&lt;=6),B2903=10)),1,0)</f>
        <v>0</v>
      </c>
      <c r="Y2903" s="27" t="n">
        <f aca="false">IF(AND(E2903&gt;0,B2903=10),1,0)</f>
        <v>0</v>
      </c>
      <c r="Z2903" s="0" t="str">
        <f aca="false">IF(AND(C2902=C2903,W2902=W2903-1),X2902,"")</f>
        <v/>
      </c>
      <c r="AA2903" s="0" t="str">
        <f aca="false">IF(AND(C2902=C2903,W2902=W2903-1),Y2902,"")</f>
        <v/>
      </c>
      <c r="AB2903" s="0" t="str">
        <f aca="false">IF(W2903=1,"",IF(AND(X2903=1,Z2903&lt;&gt;1),1,0))</f>
        <v/>
      </c>
      <c r="AC2903" s="0" t="str">
        <f aca="false">IF(W2903=1,"",IF(AND(Y2903=1,AA2903&lt;&gt;1),1,0))</f>
        <v/>
      </c>
      <c r="AD2903" s="33" t="str">
        <f aca="false">IF(AND(E2903&gt;0,W2903&lt;1,NOT(AND(C2904=C2903,W2904=W2903+1))),INDEX(DATAS,W2903+1),"")</f>
        <v/>
      </c>
      <c r="AE2903" s="33" t="str">
        <f aca="false">IF(AND(Y2903=1,W2903&lt;1),IF(AND(C2904=C2903,W2904=W2903+1),IF(Y2904=1,"",INDEX(DATAS,W2903+1)),INDEX(DATAS,W2903+1)),"")</f>
        <v/>
      </c>
    </row>
    <row r="2904" customFormat="false" ht="15" hidden="false" customHeight="false" outlineLevel="0" collapsed="false">
      <c r="A2904" s="33" t="n">
        <v>46309</v>
      </c>
      <c r="B2904" s="0" t="n">
        <v>13</v>
      </c>
      <c r="C2904" s="0" t="n">
        <v>7286</v>
      </c>
      <c r="E2904" s="0" t="n">
        <v>0</v>
      </c>
      <c r="F2904" s="27" t="s">
        <v>1419</v>
      </c>
      <c r="I2904" s="27" t="s">
        <v>166</v>
      </c>
      <c r="U2904" s="0" t="n">
        <v>285</v>
      </c>
      <c r="V2904" s="0" t="n">
        <v>0</v>
      </c>
      <c r="W2904" s="27" t="n">
        <f aca="false">MATCH(A2904,DATAS,0)</f>
        <v>1</v>
      </c>
      <c r="X2904" s="27" t="n">
        <f aca="false">IF(AND(E2904&gt;0,OR(AND(B2904&gt;=1,B2904&lt;=6),B2904=10)),1,0)</f>
        <v>0</v>
      </c>
      <c r="Y2904" s="27" t="n">
        <f aca="false">IF(AND(E2904&gt;0,B2904=10),1,0)</f>
        <v>0</v>
      </c>
      <c r="Z2904" s="0" t="str">
        <f aca="false">IF(AND(C2903=C2904,W2903=W2904-1),X2903,"")</f>
        <v/>
      </c>
      <c r="AA2904" s="0" t="str">
        <f aca="false">IF(AND(C2903=C2904,W2903=W2904-1),Y2903,"")</f>
        <v/>
      </c>
      <c r="AB2904" s="0" t="str">
        <f aca="false">IF(W2904=1,"",IF(AND(X2904=1,Z2904&lt;&gt;1),1,0))</f>
        <v/>
      </c>
      <c r="AC2904" s="0" t="str">
        <f aca="false">IF(W2904=1,"",IF(AND(Y2904=1,AA2904&lt;&gt;1),1,0))</f>
        <v/>
      </c>
      <c r="AD2904" s="33" t="str">
        <f aca="false">IF(AND(E2904&gt;0,W2904&lt;1,NOT(AND(C2905=C2904,W2905=W2904+1))),INDEX(DATAS,W2904+1),"")</f>
        <v/>
      </c>
      <c r="AE2904" s="33" t="str">
        <f aca="false">IF(AND(Y2904=1,W2904&lt;1),IF(AND(C2905=C2904,W2905=W2904+1),IF(Y2905=1,"",INDEX(DATAS,W2904+1)),INDEX(DATAS,W2904+1)),"")</f>
        <v/>
      </c>
    </row>
    <row r="2905" customFormat="false" ht="15" hidden="false" customHeight="false" outlineLevel="0" collapsed="false">
      <c r="A2905" s="33" t="n">
        <v>46309</v>
      </c>
      <c r="B2905" s="0" t="n">
        <v>13</v>
      </c>
      <c r="C2905" s="0" t="n">
        <v>7287</v>
      </c>
      <c r="E2905" s="0" t="n">
        <v>0</v>
      </c>
      <c r="F2905" s="27" t="s">
        <v>1420</v>
      </c>
      <c r="I2905" s="27" t="s">
        <v>166</v>
      </c>
      <c r="U2905" s="0" t="n">
        <v>284</v>
      </c>
      <c r="V2905" s="0" t="n">
        <v>0</v>
      </c>
      <c r="W2905" s="27" t="n">
        <f aca="false">MATCH(A2905,DATAS,0)</f>
        <v>1</v>
      </c>
      <c r="X2905" s="27" t="n">
        <f aca="false">IF(AND(E2905&gt;0,OR(AND(B2905&gt;=1,B2905&lt;=6),B2905=10)),1,0)</f>
        <v>0</v>
      </c>
      <c r="Y2905" s="27" t="n">
        <f aca="false">IF(AND(E2905&gt;0,B2905=10),1,0)</f>
        <v>0</v>
      </c>
      <c r="Z2905" s="0" t="str">
        <f aca="false">IF(AND(C2904=C2905,W2904=W2905-1),X2904,"")</f>
        <v/>
      </c>
      <c r="AA2905" s="0" t="str">
        <f aca="false">IF(AND(C2904=C2905,W2904=W2905-1),Y2904,"")</f>
        <v/>
      </c>
      <c r="AB2905" s="0" t="str">
        <f aca="false">IF(W2905=1,"",IF(AND(X2905=1,Z2905&lt;&gt;1),1,0))</f>
        <v/>
      </c>
      <c r="AC2905" s="0" t="str">
        <f aca="false">IF(W2905=1,"",IF(AND(Y2905=1,AA2905&lt;&gt;1),1,0))</f>
        <v/>
      </c>
      <c r="AD2905" s="33" t="str">
        <f aca="false">IF(AND(E2905&gt;0,W2905&lt;1,NOT(AND(C2906=C2905,W2906=W2905+1))),INDEX(DATAS,W2905+1),"")</f>
        <v/>
      </c>
      <c r="AE2905" s="33" t="str">
        <f aca="false">IF(AND(Y2905=1,W2905&lt;1),IF(AND(C2906=C2905,W2906=W2905+1),IF(Y2906=1,"",INDEX(DATAS,W2905+1)),INDEX(DATAS,W2905+1)),"")</f>
        <v/>
      </c>
    </row>
    <row r="2906" customFormat="false" ht="15" hidden="false" customHeight="false" outlineLevel="0" collapsed="false">
      <c r="A2906" s="33" t="n">
        <v>46309</v>
      </c>
      <c r="B2906" s="0" t="n">
        <v>13</v>
      </c>
      <c r="C2906" s="0" t="n">
        <v>7288</v>
      </c>
      <c r="E2906" s="0" t="n">
        <v>0</v>
      </c>
      <c r="F2906" s="27" t="s">
        <v>1420</v>
      </c>
      <c r="I2906" s="27" t="s">
        <v>166</v>
      </c>
      <c r="U2906" s="0" t="n">
        <v>284</v>
      </c>
      <c r="V2906" s="0" t="n">
        <v>0</v>
      </c>
      <c r="W2906" s="27" t="n">
        <f aca="false">MATCH(A2906,DATAS,0)</f>
        <v>1</v>
      </c>
      <c r="X2906" s="27" t="n">
        <f aca="false">IF(AND(E2906&gt;0,OR(AND(B2906&gt;=1,B2906&lt;=6),B2906=10)),1,0)</f>
        <v>0</v>
      </c>
      <c r="Y2906" s="27" t="n">
        <f aca="false">IF(AND(E2906&gt;0,B2906=10),1,0)</f>
        <v>0</v>
      </c>
      <c r="Z2906" s="0" t="str">
        <f aca="false">IF(AND(C2905=C2906,W2905=W2906-1),X2905,"")</f>
        <v/>
      </c>
      <c r="AA2906" s="0" t="str">
        <f aca="false">IF(AND(C2905=C2906,W2905=W2906-1),Y2905,"")</f>
        <v/>
      </c>
      <c r="AB2906" s="0" t="str">
        <f aca="false">IF(W2906=1,"",IF(AND(X2906=1,Z2906&lt;&gt;1),1,0))</f>
        <v/>
      </c>
      <c r="AC2906" s="0" t="str">
        <f aca="false">IF(W2906=1,"",IF(AND(Y2906=1,AA2906&lt;&gt;1),1,0))</f>
        <v/>
      </c>
      <c r="AD2906" s="33" t="str">
        <f aca="false">IF(AND(E2906&gt;0,W2906&lt;1,NOT(AND(C2907=C2906,W2907=W2906+1))),INDEX(DATAS,W2906+1),"")</f>
        <v/>
      </c>
      <c r="AE2906" s="33" t="str">
        <f aca="false">IF(AND(Y2906=1,W2906&lt;1),IF(AND(C2907=C2906,W2907=W2906+1),IF(Y2907=1,"",INDEX(DATAS,W2906+1)),INDEX(DATAS,W2906+1)),"")</f>
        <v/>
      </c>
    </row>
    <row r="2907" customFormat="false" ht="15" hidden="false" customHeight="false" outlineLevel="0" collapsed="false">
      <c r="A2907" s="33" t="n">
        <v>46309</v>
      </c>
      <c r="B2907" s="0" t="n">
        <v>13</v>
      </c>
      <c r="C2907" s="0" t="n">
        <v>7289</v>
      </c>
      <c r="E2907" s="0" t="n">
        <v>0</v>
      </c>
      <c r="F2907" s="27" t="s">
        <v>1421</v>
      </c>
      <c r="I2907" s="27" t="s">
        <v>166</v>
      </c>
      <c r="U2907" s="0" t="n">
        <v>283</v>
      </c>
      <c r="V2907" s="0" t="n">
        <v>0</v>
      </c>
      <c r="W2907" s="27" t="n">
        <f aca="false">MATCH(A2907,DATAS,0)</f>
        <v>1</v>
      </c>
      <c r="X2907" s="27" t="n">
        <f aca="false">IF(AND(E2907&gt;0,OR(AND(B2907&gt;=1,B2907&lt;=6),B2907=10)),1,0)</f>
        <v>0</v>
      </c>
      <c r="Y2907" s="27" t="n">
        <f aca="false">IF(AND(E2907&gt;0,B2907=10),1,0)</f>
        <v>0</v>
      </c>
      <c r="Z2907" s="0" t="str">
        <f aca="false">IF(AND(C2906=C2907,W2906=W2907-1),X2906,"")</f>
        <v/>
      </c>
      <c r="AA2907" s="0" t="str">
        <f aca="false">IF(AND(C2906=C2907,W2906=W2907-1),Y2906,"")</f>
        <v/>
      </c>
      <c r="AB2907" s="0" t="str">
        <f aca="false">IF(W2907=1,"",IF(AND(X2907=1,Z2907&lt;&gt;1),1,0))</f>
        <v/>
      </c>
      <c r="AC2907" s="0" t="str">
        <f aca="false">IF(W2907=1,"",IF(AND(Y2907=1,AA2907&lt;&gt;1),1,0))</f>
        <v/>
      </c>
      <c r="AD2907" s="33" t="str">
        <f aca="false">IF(AND(E2907&gt;0,W2907&lt;1,NOT(AND(C2908=C2907,W2908=W2907+1))),INDEX(DATAS,W2907+1),"")</f>
        <v/>
      </c>
      <c r="AE2907" s="33" t="str">
        <f aca="false">IF(AND(Y2907=1,W2907&lt;1),IF(AND(C2908=C2907,W2908=W2907+1),IF(Y2908=1,"",INDEX(DATAS,W2907+1)),INDEX(DATAS,W2907+1)),"")</f>
        <v/>
      </c>
    </row>
    <row r="2908" customFormat="false" ht="15" hidden="false" customHeight="false" outlineLevel="0" collapsed="false">
      <c r="A2908" s="33" t="n">
        <v>46309</v>
      </c>
      <c r="B2908" s="0" t="n">
        <v>13</v>
      </c>
      <c r="C2908" s="0" t="n">
        <v>7290</v>
      </c>
      <c r="E2908" s="0" t="n">
        <v>0</v>
      </c>
      <c r="F2908" s="27" t="s">
        <v>1421</v>
      </c>
      <c r="I2908" s="27" t="s">
        <v>166</v>
      </c>
      <c r="U2908" s="0" t="n">
        <v>283</v>
      </c>
      <c r="V2908" s="0" t="n">
        <v>0</v>
      </c>
      <c r="W2908" s="27" t="n">
        <f aca="false">MATCH(A2908,DATAS,0)</f>
        <v>1</v>
      </c>
      <c r="X2908" s="27" t="n">
        <f aca="false">IF(AND(E2908&gt;0,OR(AND(B2908&gt;=1,B2908&lt;=6),B2908=10)),1,0)</f>
        <v>0</v>
      </c>
      <c r="Y2908" s="27" t="n">
        <f aca="false">IF(AND(E2908&gt;0,B2908=10),1,0)</f>
        <v>0</v>
      </c>
      <c r="Z2908" s="0" t="str">
        <f aca="false">IF(AND(C2907=C2908,W2907=W2908-1),X2907,"")</f>
        <v/>
      </c>
      <c r="AA2908" s="0" t="str">
        <f aca="false">IF(AND(C2907=C2908,W2907=W2908-1),Y2907,"")</f>
        <v/>
      </c>
      <c r="AB2908" s="0" t="str">
        <f aca="false">IF(W2908=1,"",IF(AND(X2908=1,Z2908&lt;&gt;1),1,0))</f>
        <v/>
      </c>
      <c r="AC2908" s="0" t="str">
        <f aca="false">IF(W2908=1,"",IF(AND(Y2908=1,AA2908&lt;&gt;1),1,0))</f>
        <v/>
      </c>
      <c r="AD2908" s="33" t="str">
        <f aca="false">IF(AND(E2908&gt;0,W2908&lt;1,NOT(AND(C2909=C2908,W2909=W2908+1))),INDEX(DATAS,W2908+1),"")</f>
        <v/>
      </c>
      <c r="AE2908" s="33" t="str">
        <f aca="false">IF(AND(Y2908=1,W2908&lt;1),IF(AND(C2909=C2908,W2909=W2908+1),IF(Y2909=1,"",INDEX(DATAS,W2908+1)),INDEX(DATAS,W2908+1)),"")</f>
        <v/>
      </c>
    </row>
    <row r="2909" customFormat="false" ht="15" hidden="false" customHeight="false" outlineLevel="0" collapsed="false">
      <c r="A2909" s="33" t="n">
        <v>46309</v>
      </c>
      <c r="B2909" s="0" t="n">
        <v>13</v>
      </c>
      <c r="C2909" s="0" t="n">
        <v>7291</v>
      </c>
      <c r="E2909" s="0" t="n">
        <v>0</v>
      </c>
      <c r="F2909" s="27" t="s">
        <v>1421</v>
      </c>
      <c r="I2909" s="27" t="s">
        <v>166</v>
      </c>
      <c r="U2909" s="0" t="n">
        <v>283</v>
      </c>
      <c r="V2909" s="0" t="n">
        <v>0</v>
      </c>
      <c r="W2909" s="27" t="n">
        <f aca="false">MATCH(A2909,DATAS,0)</f>
        <v>1</v>
      </c>
      <c r="X2909" s="27" t="n">
        <f aca="false">IF(AND(E2909&gt;0,OR(AND(B2909&gt;=1,B2909&lt;=6),B2909=10)),1,0)</f>
        <v>0</v>
      </c>
      <c r="Y2909" s="27" t="n">
        <f aca="false">IF(AND(E2909&gt;0,B2909=10),1,0)</f>
        <v>0</v>
      </c>
      <c r="Z2909" s="0" t="str">
        <f aca="false">IF(AND(C2908=C2909,W2908=W2909-1),X2908,"")</f>
        <v/>
      </c>
      <c r="AA2909" s="0" t="str">
        <f aca="false">IF(AND(C2908=C2909,W2908=W2909-1),Y2908,"")</f>
        <v/>
      </c>
      <c r="AB2909" s="0" t="str">
        <f aca="false">IF(W2909=1,"",IF(AND(X2909=1,Z2909&lt;&gt;1),1,0))</f>
        <v/>
      </c>
      <c r="AC2909" s="0" t="str">
        <f aca="false">IF(W2909=1,"",IF(AND(Y2909=1,AA2909&lt;&gt;1),1,0))</f>
        <v/>
      </c>
      <c r="AD2909" s="33" t="str">
        <f aca="false">IF(AND(E2909&gt;0,W2909&lt;1,NOT(AND(C2910=C2909,W2910=W2909+1))),INDEX(DATAS,W2909+1),"")</f>
        <v/>
      </c>
      <c r="AE2909" s="33" t="str">
        <f aca="false">IF(AND(Y2909=1,W2909&lt;1),IF(AND(C2910=C2909,W2910=W2909+1),IF(Y2910=1,"",INDEX(DATAS,W2909+1)),INDEX(DATAS,W2909+1)),"")</f>
        <v/>
      </c>
    </row>
    <row r="2910" customFormat="false" ht="15" hidden="false" customHeight="false" outlineLevel="0" collapsed="false">
      <c r="A2910" s="33" t="n">
        <v>46309</v>
      </c>
      <c r="B2910" s="0" t="n">
        <v>13</v>
      </c>
      <c r="C2910" s="0" t="n">
        <v>7292</v>
      </c>
      <c r="E2910" s="0" t="n">
        <v>0</v>
      </c>
      <c r="F2910" s="27" t="s">
        <v>1421</v>
      </c>
      <c r="I2910" s="27" t="s">
        <v>166</v>
      </c>
      <c r="U2910" s="0" t="n">
        <v>283</v>
      </c>
      <c r="V2910" s="0" t="n">
        <v>0</v>
      </c>
      <c r="W2910" s="27" t="n">
        <f aca="false">MATCH(A2910,DATAS,0)</f>
        <v>1</v>
      </c>
      <c r="X2910" s="27" t="n">
        <f aca="false">IF(AND(E2910&gt;0,OR(AND(B2910&gt;=1,B2910&lt;=6),B2910=10)),1,0)</f>
        <v>0</v>
      </c>
      <c r="Y2910" s="27" t="n">
        <f aca="false">IF(AND(E2910&gt;0,B2910=10),1,0)</f>
        <v>0</v>
      </c>
      <c r="Z2910" s="0" t="str">
        <f aca="false">IF(AND(C2909=C2910,W2909=W2910-1),X2909,"")</f>
        <v/>
      </c>
      <c r="AA2910" s="0" t="str">
        <f aca="false">IF(AND(C2909=C2910,W2909=W2910-1),Y2909,"")</f>
        <v/>
      </c>
      <c r="AB2910" s="0" t="str">
        <f aca="false">IF(W2910=1,"",IF(AND(X2910=1,Z2910&lt;&gt;1),1,0))</f>
        <v/>
      </c>
      <c r="AC2910" s="0" t="str">
        <f aca="false">IF(W2910=1,"",IF(AND(Y2910=1,AA2910&lt;&gt;1),1,0))</f>
        <v/>
      </c>
      <c r="AD2910" s="33" t="str">
        <f aca="false">IF(AND(E2910&gt;0,W2910&lt;1,NOT(AND(C2911=C2910,W2911=W2910+1))),INDEX(DATAS,W2910+1),"")</f>
        <v/>
      </c>
      <c r="AE2910" s="33" t="str">
        <f aca="false">IF(AND(Y2910=1,W2910&lt;1),IF(AND(C2911=C2910,W2911=W2910+1),IF(Y2911=1,"",INDEX(DATAS,W2910+1)),INDEX(DATAS,W2910+1)),"")</f>
        <v/>
      </c>
    </row>
    <row r="2911" customFormat="false" ht="15" hidden="false" customHeight="false" outlineLevel="0" collapsed="false">
      <c r="A2911" s="33" t="n">
        <v>46309</v>
      </c>
      <c r="B2911" s="0" t="n">
        <v>13</v>
      </c>
      <c r="C2911" s="0" t="n">
        <v>7293</v>
      </c>
      <c r="E2911" s="0" t="n">
        <v>0</v>
      </c>
      <c r="F2911" s="27" t="s">
        <v>1422</v>
      </c>
      <c r="I2911" s="27" t="s">
        <v>166</v>
      </c>
      <c r="U2911" s="0" t="n">
        <v>282</v>
      </c>
      <c r="V2911" s="0" t="n">
        <v>0</v>
      </c>
      <c r="W2911" s="27" t="n">
        <f aca="false">MATCH(A2911,DATAS,0)</f>
        <v>1</v>
      </c>
      <c r="X2911" s="27" t="n">
        <f aca="false">IF(AND(E2911&gt;0,OR(AND(B2911&gt;=1,B2911&lt;=6),B2911=10)),1,0)</f>
        <v>0</v>
      </c>
      <c r="Y2911" s="27" t="n">
        <f aca="false">IF(AND(E2911&gt;0,B2911=10),1,0)</f>
        <v>0</v>
      </c>
      <c r="Z2911" s="0" t="str">
        <f aca="false">IF(AND(C2910=C2911,W2910=W2911-1),X2910,"")</f>
        <v/>
      </c>
      <c r="AA2911" s="0" t="str">
        <f aca="false">IF(AND(C2910=C2911,W2910=W2911-1),Y2910,"")</f>
        <v/>
      </c>
      <c r="AB2911" s="0" t="str">
        <f aca="false">IF(W2911=1,"",IF(AND(X2911=1,Z2911&lt;&gt;1),1,0))</f>
        <v/>
      </c>
      <c r="AC2911" s="0" t="str">
        <f aca="false">IF(W2911=1,"",IF(AND(Y2911=1,AA2911&lt;&gt;1),1,0))</f>
        <v/>
      </c>
      <c r="AD2911" s="33" t="str">
        <f aca="false">IF(AND(E2911&gt;0,W2911&lt;1,NOT(AND(C2912=C2911,W2912=W2911+1))),INDEX(DATAS,W2911+1),"")</f>
        <v/>
      </c>
      <c r="AE2911" s="33" t="str">
        <f aca="false">IF(AND(Y2911=1,W2911&lt;1),IF(AND(C2912=C2911,W2912=W2911+1),IF(Y2912=1,"",INDEX(DATAS,W2911+1)),INDEX(DATAS,W2911+1)),"")</f>
        <v/>
      </c>
    </row>
    <row r="2912" customFormat="false" ht="15" hidden="false" customHeight="false" outlineLevel="0" collapsed="false">
      <c r="A2912" s="33" t="n">
        <v>46309</v>
      </c>
      <c r="B2912" s="0" t="n">
        <v>13</v>
      </c>
      <c r="C2912" s="0" t="n">
        <v>7294</v>
      </c>
      <c r="E2912" s="0" t="n">
        <v>0</v>
      </c>
      <c r="F2912" s="27" t="s">
        <v>1422</v>
      </c>
      <c r="I2912" s="27" t="s">
        <v>166</v>
      </c>
      <c r="U2912" s="0" t="n">
        <v>282</v>
      </c>
      <c r="V2912" s="0" t="n">
        <v>0</v>
      </c>
      <c r="W2912" s="27" t="n">
        <f aca="false">MATCH(A2912,DATAS,0)</f>
        <v>1</v>
      </c>
      <c r="X2912" s="27" t="n">
        <f aca="false">IF(AND(E2912&gt;0,OR(AND(B2912&gt;=1,B2912&lt;=6),B2912=10)),1,0)</f>
        <v>0</v>
      </c>
      <c r="Y2912" s="27" t="n">
        <f aca="false">IF(AND(E2912&gt;0,B2912=10),1,0)</f>
        <v>0</v>
      </c>
      <c r="Z2912" s="0" t="str">
        <f aca="false">IF(AND(C2911=C2912,W2911=W2912-1),X2911,"")</f>
        <v/>
      </c>
      <c r="AA2912" s="0" t="str">
        <f aca="false">IF(AND(C2911=C2912,W2911=W2912-1),Y2911,"")</f>
        <v/>
      </c>
      <c r="AB2912" s="0" t="str">
        <f aca="false">IF(W2912=1,"",IF(AND(X2912=1,Z2912&lt;&gt;1),1,0))</f>
        <v/>
      </c>
      <c r="AC2912" s="0" t="str">
        <f aca="false">IF(W2912=1,"",IF(AND(Y2912=1,AA2912&lt;&gt;1),1,0))</f>
        <v/>
      </c>
      <c r="AD2912" s="33" t="str">
        <f aca="false">IF(AND(E2912&gt;0,W2912&lt;1,NOT(AND(C2913=C2912,W2913=W2912+1))),INDEX(DATAS,W2912+1),"")</f>
        <v/>
      </c>
      <c r="AE2912" s="33" t="str">
        <f aca="false">IF(AND(Y2912=1,W2912&lt;1),IF(AND(C2913=C2912,W2913=W2912+1),IF(Y2913=1,"",INDEX(DATAS,W2912+1)),INDEX(DATAS,W2912+1)),"")</f>
        <v/>
      </c>
    </row>
    <row r="2913" customFormat="false" ht="15" hidden="false" customHeight="false" outlineLevel="0" collapsed="false">
      <c r="A2913" s="33" t="n">
        <v>46309</v>
      </c>
      <c r="B2913" s="0" t="n">
        <v>13</v>
      </c>
      <c r="C2913" s="0" t="n">
        <v>7295</v>
      </c>
      <c r="E2913" s="0" t="n">
        <v>0</v>
      </c>
      <c r="F2913" s="27" t="s">
        <v>1423</v>
      </c>
      <c r="I2913" s="27" t="s">
        <v>166</v>
      </c>
      <c r="U2913" s="0" t="n">
        <v>281</v>
      </c>
      <c r="V2913" s="0" t="n">
        <v>0</v>
      </c>
      <c r="W2913" s="27" t="n">
        <f aca="false">MATCH(A2913,DATAS,0)</f>
        <v>1</v>
      </c>
      <c r="X2913" s="27" t="n">
        <f aca="false">IF(AND(E2913&gt;0,OR(AND(B2913&gt;=1,B2913&lt;=6),B2913=10)),1,0)</f>
        <v>0</v>
      </c>
      <c r="Y2913" s="27" t="n">
        <f aca="false">IF(AND(E2913&gt;0,B2913=10),1,0)</f>
        <v>0</v>
      </c>
      <c r="Z2913" s="0" t="str">
        <f aca="false">IF(AND(C2912=C2913,W2912=W2913-1),X2912,"")</f>
        <v/>
      </c>
      <c r="AA2913" s="0" t="str">
        <f aca="false">IF(AND(C2912=C2913,W2912=W2913-1),Y2912,"")</f>
        <v/>
      </c>
      <c r="AB2913" s="0" t="str">
        <f aca="false">IF(W2913=1,"",IF(AND(X2913=1,Z2913&lt;&gt;1),1,0))</f>
        <v/>
      </c>
      <c r="AC2913" s="0" t="str">
        <f aca="false">IF(W2913=1,"",IF(AND(Y2913=1,AA2913&lt;&gt;1),1,0))</f>
        <v/>
      </c>
      <c r="AD2913" s="33" t="str">
        <f aca="false">IF(AND(E2913&gt;0,W2913&lt;1,NOT(AND(C2914=C2913,W2914=W2913+1))),INDEX(DATAS,W2913+1),"")</f>
        <v/>
      </c>
      <c r="AE2913" s="33" t="str">
        <f aca="false">IF(AND(Y2913=1,W2913&lt;1),IF(AND(C2914=C2913,W2914=W2913+1),IF(Y2914=1,"",INDEX(DATAS,W2913+1)),INDEX(DATAS,W2913+1)),"")</f>
        <v/>
      </c>
    </row>
    <row r="2914" customFormat="false" ht="15" hidden="false" customHeight="false" outlineLevel="0" collapsed="false">
      <c r="A2914" s="33" t="n">
        <v>46309</v>
      </c>
      <c r="B2914" s="0" t="n">
        <v>13</v>
      </c>
      <c r="C2914" s="0" t="n">
        <v>7296</v>
      </c>
      <c r="E2914" s="0" t="n">
        <v>0</v>
      </c>
      <c r="F2914" s="27" t="s">
        <v>1423</v>
      </c>
      <c r="I2914" s="27" t="s">
        <v>166</v>
      </c>
      <c r="U2914" s="0" t="n">
        <v>281</v>
      </c>
      <c r="V2914" s="0" t="n">
        <v>0</v>
      </c>
      <c r="W2914" s="27" t="n">
        <f aca="false">MATCH(A2914,DATAS,0)</f>
        <v>1</v>
      </c>
      <c r="X2914" s="27" t="n">
        <f aca="false">IF(AND(E2914&gt;0,OR(AND(B2914&gt;=1,B2914&lt;=6),B2914=10)),1,0)</f>
        <v>0</v>
      </c>
      <c r="Y2914" s="27" t="n">
        <f aca="false">IF(AND(E2914&gt;0,B2914=10),1,0)</f>
        <v>0</v>
      </c>
      <c r="Z2914" s="0" t="str">
        <f aca="false">IF(AND(C2913=C2914,W2913=W2914-1),X2913,"")</f>
        <v/>
      </c>
      <c r="AA2914" s="0" t="str">
        <f aca="false">IF(AND(C2913=C2914,W2913=W2914-1),Y2913,"")</f>
        <v/>
      </c>
      <c r="AB2914" s="0" t="str">
        <f aca="false">IF(W2914=1,"",IF(AND(X2914=1,Z2914&lt;&gt;1),1,0))</f>
        <v/>
      </c>
      <c r="AC2914" s="0" t="str">
        <f aca="false">IF(W2914=1,"",IF(AND(Y2914=1,AA2914&lt;&gt;1),1,0))</f>
        <v/>
      </c>
      <c r="AD2914" s="33" t="str">
        <f aca="false">IF(AND(E2914&gt;0,W2914&lt;1,NOT(AND(C2915=C2914,W2915=W2914+1))),INDEX(DATAS,W2914+1),"")</f>
        <v/>
      </c>
      <c r="AE2914" s="33" t="str">
        <f aca="false">IF(AND(Y2914=1,W2914&lt;1),IF(AND(C2915=C2914,W2915=W2914+1),IF(Y2915=1,"",INDEX(DATAS,W2914+1)),INDEX(DATAS,W2914+1)),"")</f>
        <v/>
      </c>
    </row>
    <row r="2915" customFormat="false" ht="15" hidden="false" customHeight="false" outlineLevel="0" collapsed="false">
      <c r="A2915" s="33" t="n">
        <v>46309</v>
      </c>
      <c r="B2915" s="0" t="n">
        <v>13</v>
      </c>
      <c r="C2915" s="0" t="n">
        <v>7297</v>
      </c>
      <c r="E2915" s="0" t="n">
        <v>0</v>
      </c>
      <c r="F2915" s="27" t="s">
        <v>1423</v>
      </c>
      <c r="I2915" s="27" t="s">
        <v>166</v>
      </c>
      <c r="U2915" s="0" t="n">
        <v>281</v>
      </c>
      <c r="V2915" s="0" t="n">
        <v>0</v>
      </c>
      <c r="W2915" s="27" t="n">
        <f aca="false">MATCH(A2915,DATAS,0)</f>
        <v>1</v>
      </c>
      <c r="X2915" s="27" t="n">
        <f aca="false">IF(AND(E2915&gt;0,OR(AND(B2915&gt;=1,B2915&lt;=6),B2915=10)),1,0)</f>
        <v>0</v>
      </c>
      <c r="Y2915" s="27" t="n">
        <f aca="false">IF(AND(E2915&gt;0,B2915=10),1,0)</f>
        <v>0</v>
      </c>
      <c r="Z2915" s="0" t="str">
        <f aca="false">IF(AND(C2914=C2915,W2914=W2915-1),X2914,"")</f>
        <v/>
      </c>
      <c r="AA2915" s="0" t="str">
        <f aca="false">IF(AND(C2914=C2915,W2914=W2915-1),Y2914,"")</f>
        <v/>
      </c>
      <c r="AB2915" s="0" t="str">
        <f aca="false">IF(W2915=1,"",IF(AND(X2915=1,Z2915&lt;&gt;1),1,0))</f>
        <v/>
      </c>
      <c r="AC2915" s="0" t="str">
        <f aca="false">IF(W2915=1,"",IF(AND(Y2915=1,AA2915&lt;&gt;1),1,0))</f>
        <v/>
      </c>
      <c r="AD2915" s="33" t="str">
        <f aca="false">IF(AND(E2915&gt;0,W2915&lt;1,NOT(AND(C2916=C2915,W2916=W2915+1))),INDEX(DATAS,W2915+1),"")</f>
        <v/>
      </c>
      <c r="AE2915" s="33" t="str">
        <f aca="false">IF(AND(Y2915=1,W2915&lt;1),IF(AND(C2916=C2915,W2916=W2915+1),IF(Y2916=1,"",INDEX(DATAS,W2915+1)),INDEX(DATAS,W2915+1)),"")</f>
        <v/>
      </c>
    </row>
    <row r="2916" customFormat="false" ht="15" hidden="false" customHeight="false" outlineLevel="0" collapsed="false">
      <c r="A2916" s="33" t="n">
        <v>46309</v>
      </c>
      <c r="B2916" s="0" t="n">
        <v>13</v>
      </c>
      <c r="C2916" s="0" t="n">
        <v>7298</v>
      </c>
      <c r="E2916" s="0" t="n">
        <v>0</v>
      </c>
      <c r="F2916" s="27" t="s">
        <v>1423</v>
      </c>
      <c r="I2916" s="27" t="s">
        <v>166</v>
      </c>
      <c r="U2916" s="0" t="n">
        <v>281</v>
      </c>
      <c r="V2916" s="0" t="n">
        <v>0</v>
      </c>
      <c r="W2916" s="27" t="n">
        <f aca="false">MATCH(A2916,DATAS,0)</f>
        <v>1</v>
      </c>
      <c r="X2916" s="27" t="n">
        <f aca="false">IF(AND(E2916&gt;0,OR(AND(B2916&gt;=1,B2916&lt;=6),B2916=10)),1,0)</f>
        <v>0</v>
      </c>
      <c r="Y2916" s="27" t="n">
        <f aca="false">IF(AND(E2916&gt;0,B2916=10),1,0)</f>
        <v>0</v>
      </c>
      <c r="Z2916" s="0" t="str">
        <f aca="false">IF(AND(C2915=C2916,W2915=W2916-1),X2915,"")</f>
        <v/>
      </c>
      <c r="AA2916" s="0" t="str">
        <f aca="false">IF(AND(C2915=C2916,W2915=W2916-1),Y2915,"")</f>
        <v/>
      </c>
      <c r="AB2916" s="0" t="str">
        <f aca="false">IF(W2916=1,"",IF(AND(X2916=1,Z2916&lt;&gt;1),1,0))</f>
        <v/>
      </c>
      <c r="AC2916" s="0" t="str">
        <f aca="false">IF(W2916=1,"",IF(AND(Y2916=1,AA2916&lt;&gt;1),1,0))</f>
        <v/>
      </c>
      <c r="AD2916" s="33" t="str">
        <f aca="false">IF(AND(E2916&gt;0,W2916&lt;1,NOT(AND(C2917=C2916,W2917=W2916+1))),INDEX(DATAS,W2916+1),"")</f>
        <v/>
      </c>
      <c r="AE2916" s="33" t="str">
        <f aca="false">IF(AND(Y2916=1,W2916&lt;1),IF(AND(C2917=C2916,W2917=W2916+1),IF(Y2917=1,"",INDEX(DATAS,W2916+1)),INDEX(DATAS,W2916+1)),"")</f>
        <v/>
      </c>
    </row>
    <row r="2917" customFormat="false" ht="15" hidden="false" customHeight="false" outlineLevel="0" collapsed="false">
      <c r="A2917" s="33" t="n">
        <v>46309</v>
      </c>
      <c r="B2917" s="0" t="n">
        <v>13</v>
      </c>
      <c r="C2917" s="0" t="n">
        <v>7299</v>
      </c>
      <c r="E2917" s="0" t="n">
        <v>0</v>
      </c>
      <c r="F2917" s="27" t="s">
        <v>1423</v>
      </c>
      <c r="I2917" s="27" t="s">
        <v>166</v>
      </c>
      <c r="U2917" s="0" t="n">
        <v>281</v>
      </c>
      <c r="V2917" s="0" t="n">
        <v>0</v>
      </c>
      <c r="W2917" s="27" t="n">
        <f aca="false">MATCH(A2917,DATAS,0)</f>
        <v>1</v>
      </c>
      <c r="X2917" s="27" t="n">
        <f aca="false">IF(AND(E2917&gt;0,OR(AND(B2917&gt;=1,B2917&lt;=6),B2917=10)),1,0)</f>
        <v>0</v>
      </c>
      <c r="Y2917" s="27" t="n">
        <f aca="false">IF(AND(E2917&gt;0,B2917=10),1,0)</f>
        <v>0</v>
      </c>
      <c r="Z2917" s="0" t="str">
        <f aca="false">IF(AND(C2916=C2917,W2916=W2917-1),X2916,"")</f>
        <v/>
      </c>
      <c r="AA2917" s="0" t="str">
        <f aca="false">IF(AND(C2916=C2917,W2916=W2917-1),Y2916,"")</f>
        <v/>
      </c>
      <c r="AB2917" s="0" t="str">
        <f aca="false">IF(W2917=1,"",IF(AND(X2917=1,Z2917&lt;&gt;1),1,0))</f>
        <v/>
      </c>
      <c r="AC2917" s="0" t="str">
        <f aca="false">IF(W2917=1,"",IF(AND(Y2917=1,AA2917&lt;&gt;1),1,0))</f>
        <v/>
      </c>
      <c r="AD2917" s="33" t="str">
        <f aca="false">IF(AND(E2917&gt;0,W2917&lt;1,NOT(AND(C2918=C2917,W2918=W2917+1))),INDEX(DATAS,W2917+1),"")</f>
        <v/>
      </c>
      <c r="AE2917" s="33" t="str">
        <f aca="false">IF(AND(Y2917=1,W2917&lt;1),IF(AND(C2918=C2917,W2918=W2917+1),IF(Y2918=1,"",INDEX(DATAS,W2917+1)),INDEX(DATAS,W2917+1)),"")</f>
        <v/>
      </c>
    </row>
    <row r="2918" customFormat="false" ht="15" hidden="false" customHeight="false" outlineLevel="0" collapsed="false">
      <c r="A2918" s="33" t="n">
        <v>46309</v>
      </c>
      <c r="B2918" s="0" t="n">
        <v>13</v>
      </c>
      <c r="C2918" s="0" t="n">
        <v>7300</v>
      </c>
      <c r="E2918" s="0" t="n">
        <v>0</v>
      </c>
      <c r="F2918" s="27" t="s">
        <v>1424</v>
      </c>
      <c r="I2918" s="27" t="s">
        <v>166</v>
      </c>
      <c r="U2918" s="0" t="n">
        <v>280</v>
      </c>
      <c r="V2918" s="0" t="n">
        <v>0</v>
      </c>
      <c r="W2918" s="27" t="n">
        <f aca="false">MATCH(A2918,DATAS,0)</f>
        <v>1</v>
      </c>
      <c r="X2918" s="27" t="n">
        <f aca="false">IF(AND(E2918&gt;0,OR(AND(B2918&gt;=1,B2918&lt;=6),B2918=10)),1,0)</f>
        <v>0</v>
      </c>
      <c r="Y2918" s="27" t="n">
        <f aca="false">IF(AND(E2918&gt;0,B2918=10),1,0)</f>
        <v>0</v>
      </c>
      <c r="Z2918" s="0" t="str">
        <f aca="false">IF(AND(C2917=C2918,W2917=W2918-1),X2917,"")</f>
        <v/>
      </c>
      <c r="AA2918" s="0" t="str">
        <f aca="false">IF(AND(C2917=C2918,W2917=W2918-1),Y2917,"")</f>
        <v/>
      </c>
      <c r="AB2918" s="0" t="str">
        <f aca="false">IF(W2918=1,"",IF(AND(X2918=1,Z2918&lt;&gt;1),1,0))</f>
        <v/>
      </c>
      <c r="AC2918" s="0" t="str">
        <f aca="false">IF(W2918=1,"",IF(AND(Y2918=1,AA2918&lt;&gt;1),1,0))</f>
        <v/>
      </c>
      <c r="AD2918" s="33" t="str">
        <f aca="false">IF(AND(E2918&gt;0,W2918&lt;1,NOT(AND(C2919=C2918,W2919=W2918+1))),INDEX(DATAS,W2918+1),"")</f>
        <v/>
      </c>
      <c r="AE2918" s="33" t="str">
        <f aca="false">IF(AND(Y2918=1,W2918&lt;1),IF(AND(C2919=C2918,W2919=W2918+1),IF(Y2919=1,"",INDEX(DATAS,W2918+1)),INDEX(DATAS,W2918+1)),"")</f>
        <v/>
      </c>
    </row>
    <row r="2919" customFormat="false" ht="15" hidden="false" customHeight="false" outlineLevel="0" collapsed="false">
      <c r="A2919" s="33" t="n">
        <v>46309</v>
      </c>
      <c r="B2919" s="0" t="n">
        <v>13</v>
      </c>
      <c r="C2919" s="0" t="n">
        <v>7301</v>
      </c>
      <c r="E2919" s="0" t="n">
        <v>0</v>
      </c>
      <c r="F2919" s="27" t="s">
        <v>1424</v>
      </c>
      <c r="I2919" s="27" t="s">
        <v>166</v>
      </c>
      <c r="U2919" s="0" t="n">
        <v>280</v>
      </c>
      <c r="V2919" s="0" t="n">
        <v>0</v>
      </c>
      <c r="W2919" s="27" t="n">
        <f aca="false">MATCH(A2919,DATAS,0)</f>
        <v>1</v>
      </c>
      <c r="X2919" s="27" t="n">
        <f aca="false">IF(AND(E2919&gt;0,OR(AND(B2919&gt;=1,B2919&lt;=6),B2919=10)),1,0)</f>
        <v>0</v>
      </c>
      <c r="Y2919" s="27" t="n">
        <f aca="false">IF(AND(E2919&gt;0,B2919=10),1,0)</f>
        <v>0</v>
      </c>
      <c r="Z2919" s="0" t="str">
        <f aca="false">IF(AND(C2918=C2919,W2918=W2919-1),X2918,"")</f>
        <v/>
      </c>
      <c r="AA2919" s="0" t="str">
        <f aca="false">IF(AND(C2918=C2919,W2918=W2919-1),Y2918,"")</f>
        <v/>
      </c>
      <c r="AB2919" s="0" t="str">
        <f aca="false">IF(W2919=1,"",IF(AND(X2919=1,Z2919&lt;&gt;1),1,0))</f>
        <v/>
      </c>
      <c r="AC2919" s="0" t="str">
        <f aca="false">IF(W2919=1,"",IF(AND(Y2919=1,AA2919&lt;&gt;1),1,0))</f>
        <v/>
      </c>
      <c r="AD2919" s="33" t="str">
        <f aca="false">IF(AND(E2919&gt;0,W2919&lt;1,NOT(AND(C2920=C2919,W2920=W2919+1))),INDEX(DATAS,W2919+1),"")</f>
        <v/>
      </c>
      <c r="AE2919" s="33" t="str">
        <f aca="false">IF(AND(Y2919=1,W2919&lt;1),IF(AND(C2920=C2919,W2920=W2919+1),IF(Y2920=1,"",INDEX(DATAS,W2919+1)),INDEX(DATAS,W2919+1)),"")</f>
        <v/>
      </c>
    </row>
    <row r="2920" customFormat="false" ht="15" hidden="false" customHeight="false" outlineLevel="0" collapsed="false">
      <c r="A2920" s="33" t="n">
        <v>46309</v>
      </c>
      <c r="B2920" s="0" t="n">
        <v>13</v>
      </c>
      <c r="C2920" s="0" t="n">
        <v>7302</v>
      </c>
      <c r="E2920" s="0" t="n">
        <v>0</v>
      </c>
      <c r="F2920" s="27" t="s">
        <v>1424</v>
      </c>
      <c r="I2920" s="27" t="s">
        <v>166</v>
      </c>
      <c r="U2920" s="0" t="n">
        <v>280</v>
      </c>
      <c r="V2920" s="0" t="n">
        <v>0</v>
      </c>
      <c r="W2920" s="27" t="n">
        <f aca="false">MATCH(A2920,DATAS,0)</f>
        <v>1</v>
      </c>
      <c r="X2920" s="27" t="n">
        <f aca="false">IF(AND(E2920&gt;0,OR(AND(B2920&gt;=1,B2920&lt;=6),B2920=10)),1,0)</f>
        <v>0</v>
      </c>
      <c r="Y2920" s="27" t="n">
        <f aca="false">IF(AND(E2920&gt;0,B2920=10),1,0)</f>
        <v>0</v>
      </c>
      <c r="Z2920" s="0" t="str">
        <f aca="false">IF(AND(C2919=C2920,W2919=W2920-1),X2919,"")</f>
        <v/>
      </c>
      <c r="AA2920" s="0" t="str">
        <f aca="false">IF(AND(C2919=C2920,W2919=W2920-1),Y2919,"")</f>
        <v/>
      </c>
      <c r="AB2920" s="0" t="str">
        <f aca="false">IF(W2920=1,"",IF(AND(X2920=1,Z2920&lt;&gt;1),1,0))</f>
        <v/>
      </c>
      <c r="AC2920" s="0" t="str">
        <f aca="false">IF(W2920=1,"",IF(AND(Y2920=1,AA2920&lt;&gt;1),1,0))</f>
        <v/>
      </c>
      <c r="AD2920" s="33" t="str">
        <f aca="false">IF(AND(E2920&gt;0,W2920&lt;1,NOT(AND(C2921=C2920,W2921=W2920+1))),INDEX(DATAS,W2920+1),"")</f>
        <v/>
      </c>
      <c r="AE2920" s="33" t="str">
        <f aca="false">IF(AND(Y2920=1,W2920&lt;1),IF(AND(C2921=C2920,W2921=W2920+1),IF(Y2921=1,"",INDEX(DATAS,W2920+1)),INDEX(DATAS,W2920+1)),"")</f>
        <v/>
      </c>
    </row>
    <row r="2921" customFormat="false" ht="15" hidden="false" customHeight="false" outlineLevel="0" collapsed="false">
      <c r="A2921" s="33" t="n">
        <v>46309</v>
      </c>
      <c r="B2921" s="0" t="n">
        <v>13</v>
      </c>
      <c r="C2921" s="0" t="n">
        <v>7303</v>
      </c>
      <c r="E2921" s="0" t="n">
        <v>0</v>
      </c>
      <c r="F2921" s="27" t="s">
        <v>1424</v>
      </c>
      <c r="I2921" s="27" t="s">
        <v>166</v>
      </c>
      <c r="U2921" s="0" t="n">
        <v>280</v>
      </c>
      <c r="V2921" s="0" t="n">
        <v>0</v>
      </c>
      <c r="W2921" s="27" t="n">
        <f aca="false">MATCH(A2921,DATAS,0)</f>
        <v>1</v>
      </c>
      <c r="X2921" s="27" t="n">
        <f aca="false">IF(AND(E2921&gt;0,OR(AND(B2921&gt;=1,B2921&lt;=6),B2921=10)),1,0)</f>
        <v>0</v>
      </c>
      <c r="Y2921" s="27" t="n">
        <f aca="false">IF(AND(E2921&gt;0,B2921=10),1,0)</f>
        <v>0</v>
      </c>
      <c r="Z2921" s="0" t="str">
        <f aca="false">IF(AND(C2920=C2921,W2920=W2921-1),X2920,"")</f>
        <v/>
      </c>
      <c r="AA2921" s="0" t="str">
        <f aca="false">IF(AND(C2920=C2921,W2920=W2921-1),Y2920,"")</f>
        <v/>
      </c>
      <c r="AB2921" s="0" t="str">
        <f aca="false">IF(W2921=1,"",IF(AND(X2921=1,Z2921&lt;&gt;1),1,0))</f>
        <v/>
      </c>
      <c r="AC2921" s="0" t="str">
        <f aca="false">IF(W2921=1,"",IF(AND(Y2921=1,AA2921&lt;&gt;1),1,0))</f>
        <v/>
      </c>
      <c r="AD2921" s="33" t="str">
        <f aca="false">IF(AND(E2921&gt;0,W2921&lt;1,NOT(AND(C2922=C2921,W2922=W2921+1))),INDEX(DATAS,W2921+1),"")</f>
        <v/>
      </c>
      <c r="AE2921" s="33" t="str">
        <f aca="false">IF(AND(Y2921=1,W2921&lt;1),IF(AND(C2922=C2921,W2922=W2921+1),IF(Y2922=1,"",INDEX(DATAS,W2921+1)),INDEX(DATAS,W2921+1)),"")</f>
        <v/>
      </c>
    </row>
    <row r="2922" customFormat="false" ht="15" hidden="false" customHeight="false" outlineLevel="0" collapsed="false">
      <c r="A2922" s="33" t="n">
        <v>46309</v>
      </c>
      <c r="B2922" s="0" t="n">
        <v>13</v>
      </c>
      <c r="C2922" s="0" t="n">
        <v>7304</v>
      </c>
      <c r="E2922" s="0" t="n">
        <v>0</v>
      </c>
      <c r="F2922" s="27" t="s">
        <v>1425</v>
      </c>
      <c r="I2922" s="27" t="s">
        <v>166</v>
      </c>
      <c r="U2922" s="0" t="n">
        <v>279</v>
      </c>
      <c r="V2922" s="0" t="n">
        <v>0</v>
      </c>
      <c r="W2922" s="27" t="n">
        <f aca="false">MATCH(A2922,DATAS,0)</f>
        <v>1</v>
      </c>
      <c r="X2922" s="27" t="n">
        <f aca="false">IF(AND(E2922&gt;0,OR(AND(B2922&gt;=1,B2922&lt;=6),B2922=10)),1,0)</f>
        <v>0</v>
      </c>
      <c r="Y2922" s="27" t="n">
        <f aca="false">IF(AND(E2922&gt;0,B2922=10),1,0)</f>
        <v>0</v>
      </c>
      <c r="Z2922" s="0" t="str">
        <f aca="false">IF(AND(C2921=C2922,W2921=W2922-1),X2921,"")</f>
        <v/>
      </c>
      <c r="AA2922" s="0" t="str">
        <f aca="false">IF(AND(C2921=C2922,W2921=W2922-1),Y2921,"")</f>
        <v/>
      </c>
      <c r="AB2922" s="0" t="str">
        <f aca="false">IF(W2922=1,"",IF(AND(X2922=1,Z2922&lt;&gt;1),1,0))</f>
        <v/>
      </c>
      <c r="AC2922" s="0" t="str">
        <f aca="false">IF(W2922=1,"",IF(AND(Y2922=1,AA2922&lt;&gt;1),1,0))</f>
        <v/>
      </c>
      <c r="AD2922" s="33" t="str">
        <f aca="false">IF(AND(E2922&gt;0,W2922&lt;1,NOT(AND(C2923=C2922,W2923=W2922+1))),INDEX(DATAS,W2922+1),"")</f>
        <v/>
      </c>
      <c r="AE2922" s="33" t="str">
        <f aca="false">IF(AND(Y2922=1,W2922&lt;1),IF(AND(C2923=C2922,W2923=W2922+1),IF(Y2923=1,"",INDEX(DATAS,W2922+1)),INDEX(DATAS,W2922+1)),"")</f>
        <v/>
      </c>
    </row>
    <row r="2923" customFormat="false" ht="15" hidden="false" customHeight="false" outlineLevel="0" collapsed="false">
      <c r="A2923" s="33" t="n">
        <v>46309</v>
      </c>
      <c r="B2923" s="0" t="n">
        <v>13</v>
      </c>
      <c r="C2923" s="0" t="n">
        <v>7305</v>
      </c>
      <c r="E2923" s="0" t="n">
        <v>0</v>
      </c>
      <c r="F2923" s="27" t="s">
        <v>1425</v>
      </c>
      <c r="I2923" s="27" t="s">
        <v>166</v>
      </c>
      <c r="U2923" s="0" t="n">
        <v>279</v>
      </c>
      <c r="V2923" s="0" t="n">
        <v>0</v>
      </c>
      <c r="W2923" s="27" t="n">
        <f aca="false">MATCH(A2923,DATAS,0)</f>
        <v>1</v>
      </c>
      <c r="X2923" s="27" t="n">
        <f aca="false">IF(AND(E2923&gt;0,OR(AND(B2923&gt;=1,B2923&lt;=6),B2923=10)),1,0)</f>
        <v>0</v>
      </c>
      <c r="Y2923" s="27" t="n">
        <f aca="false">IF(AND(E2923&gt;0,B2923=10),1,0)</f>
        <v>0</v>
      </c>
      <c r="Z2923" s="0" t="str">
        <f aca="false">IF(AND(C2922=C2923,W2922=W2923-1),X2922,"")</f>
        <v/>
      </c>
      <c r="AA2923" s="0" t="str">
        <f aca="false">IF(AND(C2922=C2923,W2922=W2923-1),Y2922,"")</f>
        <v/>
      </c>
      <c r="AB2923" s="0" t="str">
        <f aca="false">IF(W2923=1,"",IF(AND(X2923=1,Z2923&lt;&gt;1),1,0))</f>
        <v/>
      </c>
      <c r="AC2923" s="0" t="str">
        <f aca="false">IF(W2923=1,"",IF(AND(Y2923=1,AA2923&lt;&gt;1),1,0))</f>
        <v/>
      </c>
      <c r="AD2923" s="33" t="str">
        <f aca="false">IF(AND(E2923&gt;0,W2923&lt;1,NOT(AND(C2924=C2923,W2924=W2923+1))),INDEX(DATAS,W2923+1),"")</f>
        <v/>
      </c>
      <c r="AE2923" s="33" t="str">
        <f aca="false">IF(AND(Y2923=1,W2923&lt;1),IF(AND(C2924=C2923,W2924=W2923+1),IF(Y2924=1,"",INDEX(DATAS,W2923+1)),INDEX(DATAS,W2923+1)),"")</f>
        <v/>
      </c>
    </row>
    <row r="2924" customFormat="false" ht="15" hidden="false" customHeight="false" outlineLevel="0" collapsed="false">
      <c r="A2924" s="33" t="n">
        <v>46309</v>
      </c>
      <c r="B2924" s="0" t="n">
        <v>13</v>
      </c>
      <c r="C2924" s="0" t="n">
        <v>7306</v>
      </c>
      <c r="E2924" s="0" t="n">
        <v>0</v>
      </c>
      <c r="F2924" s="27" t="s">
        <v>1425</v>
      </c>
      <c r="I2924" s="27" t="s">
        <v>166</v>
      </c>
      <c r="U2924" s="0" t="n">
        <v>279</v>
      </c>
      <c r="V2924" s="0" t="n">
        <v>0</v>
      </c>
      <c r="W2924" s="27" t="n">
        <f aca="false">MATCH(A2924,DATAS,0)</f>
        <v>1</v>
      </c>
      <c r="X2924" s="27" t="n">
        <f aca="false">IF(AND(E2924&gt;0,OR(AND(B2924&gt;=1,B2924&lt;=6),B2924=10)),1,0)</f>
        <v>0</v>
      </c>
      <c r="Y2924" s="27" t="n">
        <f aca="false">IF(AND(E2924&gt;0,B2924=10),1,0)</f>
        <v>0</v>
      </c>
      <c r="Z2924" s="0" t="str">
        <f aca="false">IF(AND(C2923=C2924,W2923=W2924-1),X2923,"")</f>
        <v/>
      </c>
      <c r="AA2924" s="0" t="str">
        <f aca="false">IF(AND(C2923=C2924,W2923=W2924-1),Y2923,"")</f>
        <v/>
      </c>
      <c r="AB2924" s="0" t="str">
        <f aca="false">IF(W2924=1,"",IF(AND(X2924=1,Z2924&lt;&gt;1),1,0))</f>
        <v/>
      </c>
      <c r="AC2924" s="0" t="str">
        <f aca="false">IF(W2924=1,"",IF(AND(Y2924=1,AA2924&lt;&gt;1),1,0))</f>
        <v/>
      </c>
      <c r="AD2924" s="33" t="str">
        <f aca="false">IF(AND(E2924&gt;0,W2924&lt;1,NOT(AND(C2925=C2924,W2925=W2924+1))),INDEX(DATAS,W2924+1),"")</f>
        <v/>
      </c>
      <c r="AE2924" s="33" t="str">
        <f aca="false">IF(AND(Y2924=1,W2924&lt;1),IF(AND(C2925=C2924,W2925=W2924+1),IF(Y2925=1,"",INDEX(DATAS,W2924+1)),INDEX(DATAS,W2924+1)),"")</f>
        <v/>
      </c>
    </row>
    <row r="2925" customFormat="false" ht="15" hidden="false" customHeight="false" outlineLevel="0" collapsed="false">
      <c r="A2925" s="33" t="n">
        <v>46309</v>
      </c>
      <c r="B2925" s="0" t="n">
        <v>13</v>
      </c>
      <c r="C2925" s="0" t="n">
        <v>7307</v>
      </c>
      <c r="E2925" s="0" t="n">
        <v>0</v>
      </c>
      <c r="F2925" s="27" t="s">
        <v>1425</v>
      </c>
      <c r="I2925" s="27" t="s">
        <v>166</v>
      </c>
      <c r="U2925" s="0" t="n">
        <v>279</v>
      </c>
      <c r="V2925" s="0" t="n">
        <v>0</v>
      </c>
      <c r="W2925" s="27" t="n">
        <f aca="false">MATCH(A2925,DATAS,0)</f>
        <v>1</v>
      </c>
      <c r="X2925" s="27" t="n">
        <f aca="false">IF(AND(E2925&gt;0,OR(AND(B2925&gt;=1,B2925&lt;=6),B2925=10)),1,0)</f>
        <v>0</v>
      </c>
      <c r="Y2925" s="27" t="n">
        <f aca="false">IF(AND(E2925&gt;0,B2925=10),1,0)</f>
        <v>0</v>
      </c>
      <c r="Z2925" s="0" t="str">
        <f aca="false">IF(AND(C2924=C2925,W2924=W2925-1),X2924,"")</f>
        <v/>
      </c>
      <c r="AA2925" s="0" t="str">
        <f aca="false">IF(AND(C2924=C2925,W2924=W2925-1),Y2924,"")</f>
        <v/>
      </c>
      <c r="AB2925" s="0" t="str">
        <f aca="false">IF(W2925=1,"",IF(AND(X2925=1,Z2925&lt;&gt;1),1,0))</f>
        <v/>
      </c>
      <c r="AC2925" s="0" t="str">
        <f aca="false">IF(W2925=1,"",IF(AND(Y2925=1,AA2925&lt;&gt;1),1,0))</f>
        <v/>
      </c>
      <c r="AD2925" s="33" t="str">
        <f aca="false">IF(AND(E2925&gt;0,W2925&lt;1,NOT(AND(C2926=C2925,W2926=W2925+1))),INDEX(DATAS,W2925+1),"")</f>
        <v/>
      </c>
      <c r="AE2925" s="33" t="str">
        <f aca="false">IF(AND(Y2925=1,W2925&lt;1),IF(AND(C2926=C2925,W2926=W2925+1),IF(Y2926=1,"",INDEX(DATAS,W2925+1)),INDEX(DATAS,W2925+1)),"")</f>
        <v/>
      </c>
    </row>
    <row r="2926" customFormat="false" ht="15" hidden="false" customHeight="false" outlineLevel="0" collapsed="false">
      <c r="A2926" s="33" t="n">
        <v>46309</v>
      </c>
      <c r="B2926" s="0" t="n">
        <v>13</v>
      </c>
      <c r="C2926" s="0" t="n">
        <v>7308</v>
      </c>
      <c r="E2926" s="0" t="n">
        <v>0</v>
      </c>
      <c r="F2926" s="27" t="s">
        <v>1425</v>
      </c>
      <c r="I2926" s="27" t="s">
        <v>166</v>
      </c>
      <c r="U2926" s="0" t="n">
        <v>279</v>
      </c>
      <c r="V2926" s="0" t="n">
        <v>0</v>
      </c>
      <c r="W2926" s="27" t="n">
        <f aca="false">MATCH(A2926,DATAS,0)</f>
        <v>1</v>
      </c>
      <c r="X2926" s="27" t="n">
        <f aca="false">IF(AND(E2926&gt;0,OR(AND(B2926&gt;=1,B2926&lt;=6),B2926=10)),1,0)</f>
        <v>0</v>
      </c>
      <c r="Y2926" s="27" t="n">
        <f aca="false">IF(AND(E2926&gt;0,B2926=10),1,0)</f>
        <v>0</v>
      </c>
      <c r="Z2926" s="0" t="str">
        <f aca="false">IF(AND(C2925=C2926,W2925=W2926-1),X2925,"")</f>
        <v/>
      </c>
      <c r="AA2926" s="0" t="str">
        <f aca="false">IF(AND(C2925=C2926,W2925=W2926-1),Y2925,"")</f>
        <v/>
      </c>
      <c r="AB2926" s="0" t="str">
        <f aca="false">IF(W2926=1,"",IF(AND(X2926=1,Z2926&lt;&gt;1),1,0))</f>
        <v/>
      </c>
      <c r="AC2926" s="0" t="str">
        <f aca="false">IF(W2926=1,"",IF(AND(Y2926=1,AA2926&lt;&gt;1),1,0))</f>
        <v/>
      </c>
      <c r="AD2926" s="33" t="str">
        <f aca="false">IF(AND(E2926&gt;0,W2926&lt;1,NOT(AND(C2927=C2926,W2927=W2926+1))),INDEX(DATAS,W2926+1),"")</f>
        <v/>
      </c>
      <c r="AE2926" s="33" t="str">
        <f aca="false">IF(AND(Y2926=1,W2926&lt;1),IF(AND(C2927=C2926,W2927=W2926+1),IF(Y2927=1,"",INDEX(DATAS,W2926+1)),INDEX(DATAS,W2926+1)),"")</f>
        <v/>
      </c>
    </row>
    <row r="2927" customFormat="false" ht="15" hidden="false" customHeight="false" outlineLevel="0" collapsed="false">
      <c r="A2927" s="33" t="n">
        <v>46309</v>
      </c>
      <c r="B2927" s="0" t="n">
        <v>13</v>
      </c>
      <c r="C2927" s="0" t="n">
        <v>7309</v>
      </c>
      <c r="E2927" s="0" t="n">
        <v>0</v>
      </c>
      <c r="F2927" s="27" t="s">
        <v>1426</v>
      </c>
      <c r="I2927" s="27" t="s">
        <v>166</v>
      </c>
      <c r="U2927" s="0" t="n">
        <v>278</v>
      </c>
      <c r="V2927" s="0" t="n">
        <v>0</v>
      </c>
      <c r="W2927" s="27" t="n">
        <f aca="false">MATCH(A2927,DATAS,0)</f>
        <v>1</v>
      </c>
      <c r="X2927" s="27" t="n">
        <f aca="false">IF(AND(E2927&gt;0,OR(AND(B2927&gt;=1,B2927&lt;=6),B2927=10)),1,0)</f>
        <v>0</v>
      </c>
      <c r="Y2927" s="27" t="n">
        <f aca="false">IF(AND(E2927&gt;0,B2927=10),1,0)</f>
        <v>0</v>
      </c>
      <c r="Z2927" s="0" t="str">
        <f aca="false">IF(AND(C2926=C2927,W2926=W2927-1),X2926,"")</f>
        <v/>
      </c>
      <c r="AA2927" s="0" t="str">
        <f aca="false">IF(AND(C2926=C2927,W2926=W2927-1),Y2926,"")</f>
        <v/>
      </c>
      <c r="AB2927" s="0" t="str">
        <f aca="false">IF(W2927=1,"",IF(AND(X2927=1,Z2927&lt;&gt;1),1,0))</f>
        <v/>
      </c>
      <c r="AC2927" s="0" t="str">
        <f aca="false">IF(W2927=1,"",IF(AND(Y2927=1,AA2927&lt;&gt;1),1,0))</f>
        <v/>
      </c>
      <c r="AD2927" s="33" t="str">
        <f aca="false">IF(AND(E2927&gt;0,W2927&lt;1,NOT(AND(C2928=C2927,W2928=W2927+1))),INDEX(DATAS,W2927+1),"")</f>
        <v/>
      </c>
      <c r="AE2927" s="33" t="str">
        <f aca="false">IF(AND(Y2927=1,W2927&lt;1),IF(AND(C2928=C2927,W2928=W2927+1),IF(Y2928=1,"",INDEX(DATAS,W2927+1)),INDEX(DATAS,W2927+1)),"")</f>
        <v/>
      </c>
    </row>
    <row r="2928" customFormat="false" ht="15" hidden="false" customHeight="false" outlineLevel="0" collapsed="false">
      <c r="A2928" s="33" t="n">
        <v>46309</v>
      </c>
      <c r="B2928" s="0" t="n">
        <v>13</v>
      </c>
      <c r="C2928" s="0" t="n">
        <v>7310</v>
      </c>
      <c r="E2928" s="0" t="n">
        <v>0</v>
      </c>
      <c r="F2928" s="27" t="s">
        <v>1426</v>
      </c>
      <c r="I2928" s="27" t="s">
        <v>166</v>
      </c>
      <c r="U2928" s="0" t="n">
        <v>278</v>
      </c>
      <c r="V2928" s="0" t="n">
        <v>0</v>
      </c>
      <c r="W2928" s="27" t="n">
        <f aca="false">MATCH(A2928,DATAS,0)</f>
        <v>1</v>
      </c>
      <c r="X2928" s="27" t="n">
        <f aca="false">IF(AND(E2928&gt;0,OR(AND(B2928&gt;=1,B2928&lt;=6),B2928=10)),1,0)</f>
        <v>0</v>
      </c>
      <c r="Y2928" s="27" t="n">
        <f aca="false">IF(AND(E2928&gt;0,B2928=10),1,0)</f>
        <v>0</v>
      </c>
      <c r="Z2928" s="0" t="str">
        <f aca="false">IF(AND(C2927=C2928,W2927=W2928-1),X2927,"")</f>
        <v/>
      </c>
      <c r="AA2928" s="0" t="str">
        <f aca="false">IF(AND(C2927=C2928,W2927=W2928-1),Y2927,"")</f>
        <v/>
      </c>
      <c r="AB2928" s="0" t="str">
        <f aca="false">IF(W2928=1,"",IF(AND(X2928=1,Z2928&lt;&gt;1),1,0))</f>
        <v/>
      </c>
      <c r="AC2928" s="0" t="str">
        <f aca="false">IF(W2928=1,"",IF(AND(Y2928=1,AA2928&lt;&gt;1),1,0))</f>
        <v/>
      </c>
      <c r="AD2928" s="33" t="str">
        <f aca="false">IF(AND(E2928&gt;0,W2928&lt;1,NOT(AND(C2929=C2928,W2929=W2928+1))),INDEX(DATAS,W2928+1),"")</f>
        <v/>
      </c>
      <c r="AE2928" s="33" t="str">
        <f aca="false">IF(AND(Y2928=1,W2928&lt;1),IF(AND(C2929=C2928,W2929=W2928+1),IF(Y2929=1,"",INDEX(DATAS,W2928+1)),INDEX(DATAS,W2928+1)),"")</f>
        <v/>
      </c>
    </row>
    <row r="2929" customFormat="false" ht="15" hidden="false" customHeight="false" outlineLevel="0" collapsed="false">
      <c r="A2929" s="33" t="n">
        <v>46309</v>
      </c>
      <c r="B2929" s="0" t="n">
        <v>13</v>
      </c>
      <c r="C2929" s="0" t="n">
        <v>7311</v>
      </c>
      <c r="E2929" s="0" t="n">
        <v>0</v>
      </c>
      <c r="F2929" s="27" t="s">
        <v>1426</v>
      </c>
      <c r="I2929" s="27" t="s">
        <v>166</v>
      </c>
      <c r="U2929" s="0" t="n">
        <v>278</v>
      </c>
      <c r="V2929" s="0" t="n">
        <v>0</v>
      </c>
      <c r="W2929" s="27" t="n">
        <f aca="false">MATCH(A2929,DATAS,0)</f>
        <v>1</v>
      </c>
      <c r="X2929" s="27" t="n">
        <f aca="false">IF(AND(E2929&gt;0,OR(AND(B2929&gt;=1,B2929&lt;=6),B2929=10)),1,0)</f>
        <v>0</v>
      </c>
      <c r="Y2929" s="27" t="n">
        <f aca="false">IF(AND(E2929&gt;0,B2929=10),1,0)</f>
        <v>0</v>
      </c>
      <c r="Z2929" s="0" t="str">
        <f aca="false">IF(AND(C2928=C2929,W2928=W2929-1),X2928,"")</f>
        <v/>
      </c>
      <c r="AA2929" s="0" t="str">
        <f aca="false">IF(AND(C2928=C2929,W2928=W2929-1),Y2928,"")</f>
        <v/>
      </c>
      <c r="AB2929" s="0" t="str">
        <f aca="false">IF(W2929=1,"",IF(AND(X2929=1,Z2929&lt;&gt;1),1,0))</f>
        <v/>
      </c>
      <c r="AC2929" s="0" t="str">
        <f aca="false">IF(W2929=1,"",IF(AND(Y2929=1,AA2929&lt;&gt;1),1,0))</f>
        <v/>
      </c>
      <c r="AD2929" s="33" t="str">
        <f aca="false">IF(AND(E2929&gt;0,W2929&lt;1,NOT(AND(C2930=C2929,W2930=W2929+1))),INDEX(DATAS,W2929+1),"")</f>
        <v/>
      </c>
      <c r="AE2929" s="33" t="str">
        <f aca="false">IF(AND(Y2929=1,W2929&lt;1),IF(AND(C2930=C2929,W2930=W2929+1),IF(Y2930=1,"",INDEX(DATAS,W2929+1)),INDEX(DATAS,W2929+1)),"")</f>
        <v/>
      </c>
    </row>
    <row r="2930" customFormat="false" ht="15" hidden="false" customHeight="false" outlineLevel="0" collapsed="false">
      <c r="A2930" s="33" t="n">
        <v>46309</v>
      </c>
      <c r="B2930" s="0" t="n">
        <v>13</v>
      </c>
      <c r="C2930" s="0" t="n">
        <v>7312</v>
      </c>
      <c r="E2930" s="0" t="n">
        <v>0</v>
      </c>
      <c r="F2930" s="27" t="s">
        <v>1426</v>
      </c>
      <c r="I2930" s="27" t="s">
        <v>166</v>
      </c>
      <c r="U2930" s="0" t="n">
        <v>278</v>
      </c>
      <c r="V2930" s="0" t="n">
        <v>0</v>
      </c>
      <c r="W2930" s="27" t="n">
        <f aca="false">MATCH(A2930,DATAS,0)</f>
        <v>1</v>
      </c>
      <c r="X2930" s="27" t="n">
        <f aca="false">IF(AND(E2930&gt;0,OR(AND(B2930&gt;=1,B2930&lt;=6),B2930=10)),1,0)</f>
        <v>0</v>
      </c>
      <c r="Y2930" s="27" t="n">
        <f aca="false">IF(AND(E2930&gt;0,B2930=10),1,0)</f>
        <v>0</v>
      </c>
      <c r="Z2930" s="0" t="str">
        <f aca="false">IF(AND(C2929=C2930,W2929=W2930-1),X2929,"")</f>
        <v/>
      </c>
      <c r="AA2930" s="0" t="str">
        <f aca="false">IF(AND(C2929=C2930,W2929=W2930-1),Y2929,"")</f>
        <v/>
      </c>
      <c r="AB2930" s="0" t="str">
        <f aca="false">IF(W2930=1,"",IF(AND(X2930=1,Z2930&lt;&gt;1),1,0))</f>
        <v/>
      </c>
      <c r="AC2930" s="0" t="str">
        <f aca="false">IF(W2930=1,"",IF(AND(Y2930=1,AA2930&lt;&gt;1),1,0))</f>
        <v/>
      </c>
      <c r="AD2930" s="33" t="str">
        <f aca="false">IF(AND(E2930&gt;0,W2930&lt;1,NOT(AND(C2931=C2930,W2931=W2930+1))),INDEX(DATAS,W2930+1),"")</f>
        <v/>
      </c>
      <c r="AE2930" s="33" t="str">
        <f aca="false">IF(AND(Y2930=1,W2930&lt;1),IF(AND(C2931=C2930,W2931=W2930+1),IF(Y2931=1,"",INDEX(DATAS,W2930+1)),INDEX(DATAS,W2930+1)),"")</f>
        <v/>
      </c>
    </row>
    <row r="2931" customFormat="false" ht="15" hidden="false" customHeight="false" outlineLevel="0" collapsed="false">
      <c r="A2931" s="33" t="n">
        <v>46309</v>
      </c>
      <c r="B2931" s="0" t="n">
        <v>13</v>
      </c>
      <c r="C2931" s="0" t="n">
        <v>7313</v>
      </c>
      <c r="E2931" s="0" t="n">
        <v>0</v>
      </c>
      <c r="F2931" s="27" t="s">
        <v>1426</v>
      </c>
      <c r="I2931" s="27" t="s">
        <v>166</v>
      </c>
      <c r="U2931" s="0" t="n">
        <v>278</v>
      </c>
      <c r="V2931" s="0" t="n">
        <v>0</v>
      </c>
      <c r="W2931" s="27" t="n">
        <f aca="false">MATCH(A2931,DATAS,0)</f>
        <v>1</v>
      </c>
      <c r="X2931" s="27" t="n">
        <f aca="false">IF(AND(E2931&gt;0,OR(AND(B2931&gt;=1,B2931&lt;=6),B2931=10)),1,0)</f>
        <v>0</v>
      </c>
      <c r="Y2931" s="27" t="n">
        <f aca="false">IF(AND(E2931&gt;0,B2931=10),1,0)</f>
        <v>0</v>
      </c>
      <c r="Z2931" s="0" t="str">
        <f aca="false">IF(AND(C2930=C2931,W2930=W2931-1),X2930,"")</f>
        <v/>
      </c>
      <c r="AA2931" s="0" t="str">
        <f aca="false">IF(AND(C2930=C2931,W2930=W2931-1),Y2930,"")</f>
        <v/>
      </c>
      <c r="AB2931" s="0" t="str">
        <f aca="false">IF(W2931=1,"",IF(AND(X2931=1,Z2931&lt;&gt;1),1,0))</f>
        <v/>
      </c>
      <c r="AC2931" s="0" t="str">
        <f aca="false">IF(W2931=1,"",IF(AND(Y2931=1,AA2931&lt;&gt;1),1,0))</f>
        <v/>
      </c>
      <c r="AD2931" s="33" t="str">
        <f aca="false">IF(AND(E2931&gt;0,W2931&lt;1,NOT(AND(C2932=C2931,W2932=W2931+1))),INDEX(DATAS,W2931+1),"")</f>
        <v/>
      </c>
      <c r="AE2931" s="33" t="str">
        <f aca="false">IF(AND(Y2931=1,W2931&lt;1),IF(AND(C2932=C2931,W2932=W2931+1),IF(Y2932=1,"",INDEX(DATAS,W2931+1)),INDEX(DATAS,W2931+1)),"")</f>
        <v/>
      </c>
    </row>
    <row r="2932" customFormat="false" ht="15" hidden="false" customHeight="false" outlineLevel="0" collapsed="false">
      <c r="A2932" s="33" t="n">
        <v>46309</v>
      </c>
      <c r="B2932" s="0" t="n">
        <v>13</v>
      </c>
      <c r="C2932" s="0" t="n">
        <v>7314</v>
      </c>
      <c r="E2932" s="0" t="n">
        <v>0</v>
      </c>
      <c r="F2932" s="27" t="s">
        <v>1426</v>
      </c>
      <c r="I2932" s="27" t="s">
        <v>166</v>
      </c>
      <c r="U2932" s="0" t="n">
        <v>278</v>
      </c>
      <c r="V2932" s="0" t="n">
        <v>0</v>
      </c>
      <c r="W2932" s="27" t="n">
        <f aca="false">MATCH(A2932,DATAS,0)</f>
        <v>1</v>
      </c>
      <c r="X2932" s="27" t="n">
        <f aca="false">IF(AND(E2932&gt;0,OR(AND(B2932&gt;=1,B2932&lt;=6),B2932=10)),1,0)</f>
        <v>0</v>
      </c>
      <c r="Y2932" s="27" t="n">
        <f aca="false">IF(AND(E2932&gt;0,B2932=10),1,0)</f>
        <v>0</v>
      </c>
      <c r="Z2932" s="0" t="str">
        <f aca="false">IF(AND(C2931=C2932,W2931=W2932-1),X2931,"")</f>
        <v/>
      </c>
      <c r="AA2932" s="0" t="str">
        <f aca="false">IF(AND(C2931=C2932,W2931=W2932-1),Y2931,"")</f>
        <v/>
      </c>
      <c r="AB2932" s="0" t="str">
        <f aca="false">IF(W2932=1,"",IF(AND(X2932=1,Z2932&lt;&gt;1),1,0))</f>
        <v/>
      </c>
      <c r="AC2932" s="0" t="str">
        <f aca="false">IF(W2932=1,"",IF(AND(Y2932=1,AA2932&lt;&gt;1),1,0))</f>
        <v/>
      </c>
      <c r="AD2932" s="33" t="str">
        <f aca="false">IF(AND(E2932&gt;0,W2932&lt;1,NOT(AND(C2933=C2932,W2933=W2932+1))),INDEX(DATAS,W2932+1),"")</f>
        <v/>
      </c>
      <c r="AE2932" s="33" t="str">
        <f aca="false">IF(AND(Y2932=1,W2932&lt;1),IF(AND(C2933=C2932,W2933=W2932+1),IF(Y2933=1,"",INDEX(DATAS,W2932+1)),INDEX(DATAS,W2932+1)),"")</f>
        <v/>
      </c>
    </row>
    <row r="2933" customFormat="false" ht="15" hidden="false" customHeight="false" outlineLevel="0" collapsed="false">
      <c r="A2933" s="33" t="n">
        <v>46309</v>
      </c>
      <c r="B2933" s="0" t="n">
        <v>13</v>
      </c>
      <c r="C2933" s="0" t="n">
        <v>7315</v>
      </c>
      <c r="E2933" s="0" t="n">
        <v>0</v>
      </c>
      <c r="F2933" s="27" t="s">
        <v>1427</v>
      </c>
      <c r="I2933" s="27" t="s">
        <v>166</v>
      </c>
      <c r="U2933" s="0" t="n">
        <v>277</v>
      </c>
      <c r="V2933" s="0" t="n">
        <v>0</v>
      </c>
      <c r="W2933" s="27" t="n">
        <f aca="false">MATCH(A2933,DATAS,0)</f>
        <v>1</v>
      </c>
      <c r="X2933" s="27" t="n">
        <f aca="false">IF(AND(E2933&gt;0,OR(AND(B2933&gt;=1,B2933&lt;=6),B2933=10)),1,0)</f>
        <v>0</v>
      </c>
      <c r="Y2933" s="27" t="n">
        <f aca="false">IF(AND(E2933&gt;0,B2933=10),1,0)</f>
        <v>0</v>
      </c>
      <c r="Z2933" s="0" t="str">
        <f aca="false">IF(AND(C2932=C2933,W2932=W2933-1),X2932,"")</f>
        <v/>
      </c>
      <c r="AA2933" s="0" t="str">
        <f aca="false">IF(AND(C2932=C2933,W2932=W2933-1),Y2932,"")</f>
        <v/>
      </c>
      <c r="AB2933" s="0" t="str">
        <f aca="false">IF(W2933=1,"",IF(AND(X2933=1,Z2933&lt;&gt;1),1,0))</f>
        <v/>
      </c>
      <c r="AC2933" s="0" t="str">
        <f aca="false">IF(W2933=1,"",IF(AND(Y2933=1,AA2933&lt;&gt;1),1,0))</f>
        <v/>
      </c>
      <c r="AD2933" s="33" t="str">
        <f aca="false">IF(AND(E2933&gt;0,W2933&lt;1,NOT(AND(C2934=C2933,W2934=W2933+1))),INDEX(DATAS,W2933+1),"")</f>
        <v/>
      </c>
      <c r="AE2933" s="33" t="str">
        <f aca="false">IF(AND(Y2933=1,W2933&lt;1),IF(AND(C2934=C2933,W2934=W2933+1),IF(Y2934=1,"",INDEX(DATAS,W2933+1)),INDEX(DATAS,W2933+1)),"")</f>
        <v/>
      </c>
    </row>
    <row r="2934" customFormat="false" ht="15" hidden="false" customHeight="false" outlineLevel="0" collapsed="false">
      <c r="A2934" s="33" t="n">
        <v>46309</v>
      </c>
      <c r="B2934" s="0" t="n">
        <v>13</v>
      </c>
      <c r="C2934" s="0" t="n">
        <v>7316</v>
      </c>
      <c r="E2934" s="0" t="n">
        <v>0</v>
      </c>
      <c r="F2934" s="27" t="s">
        <v>1427</v>
      </c>
      <c r="I2934" s="27" t="s">
        <v>166</v>
      </c>
      <c r="U2934" s="0" t="n">
        <v>277</v>
      </c>
      <c r="V2934" s="0" t="n">
        <v>0</v>
      </c>
      <c r="W2934" s="27" t="n">
        <f aca="false">MATCH(A2934,DATAS,0)</f>
        <v>1</v>
      </c>
      <c r="X2934" s="27" t="n">
        <f aca="false">IF(AND(E2934&gt;0,OR(AND(B2934&gt;=1,B2934&lt;=6),B2934=10)),1,0)</f>
        <v>0</v>
      </c>
      <c r="Y2934" s="27" t="n">
        <f aca="false">IF(AND(E2934&gt;0,B2934=10),1,0)</f>
        <v>0</v>
      </c>
      <c r="Z2934" s="0" t="str">
        <f aca="false">IF(AND(C2933=C2934,W2933=W2934-1),X2933,"")</f>
        <v/>
      </c>
      <c r="AA2934" s="0" t="str">
        <f aca="false">IF(AND(C2933=C2934,W2933=W2934-1),Y2933,"")</f>
        <v/>
      </c>
      <c r="AB2934" s="0" t="str">
        <f aca="false">IF(W2934=1,"",IF(AND(X2934=1,Z2934&lt;&gt;1),1,0))</f>
        <v/>
      </c>
      <c r="AC2934" s="0" t="str">
        <f aca="false">IF(W2934=1,"",IF(AND(Y2934=1,AA2934&lt;&gt;1),1,0))</f>
        <v/>
      </c>
      <c r="AD2934" s="33" t="str">
        <f aca="false">IF(AND(E2934&gt;0,W2934&lt;1,NOT(AND(C2935=C2934,W2935=W2934+1))),INDEX(DATAS,W2934+1),"")</f>
        <v/>
      </c>
      <c r="AE2934" s="33" t="str">
        <f aca="false">IF(AND(Y2934=1,W2934&lt;1),IF(AND(C2935=C2934,W2935=W2934+1),IF(Y2935=1,"",INDEX(DATAS,W2934+1)),INDEX(DATAS,W2934+1)),"")</f>
        <v/>
      </c>
    </row>
    <row r="2935" customFormat="false" ht="15" hidden="false" customHeight="false" outlineLevel="0" collapsed="false">
      <c r="A2935" s="33" t="n">
        <v>46309</v>
      </c>
      <c r="B2935" s="0" t="n">
        <v>13</v>
      </c>
      <c r="C2935" s="0" t="n">
        <v>7317</v>
      </c>
      <c r="E2935" s="0" t="n">
        <v>0</v>
      </c>
      <c r="F2935" s="27" t="s">
        <v>1427</v>
      </c>
      <c r="I2935" s="27" t="s">
        <v>166</v>
      </c>
      <c r="U2935" s="0" t="n">
        <v>277</v>
      </c>
      <c r="V2935" s="0" t="n">
        <v>0</v>
      </c>
      <c r="W2935" s="27" t="n">
        <f aca="false">MATCH(A2935,DATAS,0)</f>
        <v>1</v>
      </c>
      <c r="X2935" s="27" t="n">
        <f aca="false">IF(AND(E2935&gt;0,OR(AND(B2935&gt;=1,B2935&lt;=6),B2935=10)),1,0)</f>
        <v>0</v>
      </c>
      <c r="Y2935" s="27" t="n">
        <f aca="false">IF(AND(E2935&gt;0,B2935=10),1,0)</f>
        <v>0</v>
      </c>
      <c r="Z2935" s="0" t="str">
        <f aca="false">IF(AND(C2934=C2935,W2934=W2935-1),X2934,"")</f>
        <v/>
      </c>
      <c r="AA2935" s="0" t="str">
        <f aca="false">IF(AND(C2934=C2935,W2934=W2935-1),Y2934,"")</f>
        <v/>
      </c>
      <c r="AB2935" s="0" t="str">
        <f aca="false">IF(W2935=1,"",IF(AND(X2935=1,Z2935&lt;&gt;1),1,0))</f>
        <v/>
      </c>
      <c r="AC2935" s="0" t="str">
        <f aca="false">IF(W2935=1,"",IF(AND(Y2935=1,AA2935&lt;&gt;1),1,0))</f>
        <v/>
      </c>
      <c r="AD2935" s="33" t="str">
        <f aca="false">IF(AND(E2935&gt;0,W2935&lt;1,NOT(AND(C2936=C2935,W2936=W2935+1))),INDEX(DATAS,W2935+1),"")</f>
        <v/>
      </c>
      <c r="AE2935" s="33" t="str">
        <f aca="false">IF(AND(Y2935=1,W2935&lt;1),IF(AND(C2936=C2935,W2936=W2935+1),IF(Y2936=1,"",INDEX(DATAS,W2935+1)),INDEX(DATAS,W2935+1)),"")</f>
        <v/>
      </c>
    </row>
    <row r="2936" customFormat="false" ht="15" hidden="false" customHeight="false" outlineLevel="0" collapsed="false">
      <c r="A2936" s="33" t="n">
        <v>46309</v>
      </c>
      <c r="B2936" s="0" t="n">
        <v>13</v>
      </c>
      <c r="C2936" s="0" t="n">
        <v>7318</v>
      </c>
      <c r="E2936" s="0" t="n">
        <v>0</v>
      </c>
      <c r="F2936" s="27" t="s">
        <v>1428</v>
      </c>
      <c r="I2936" s="27" t="s">
        <v>166</v>
      </c>
      <c r="U2936" s="0" t="n">
        <v>276</v>
      </c>
      <c r="V2936" s="0" t="n">
        <v>0</v>
      </c>
      <c r="W2936" s="27" t="n">
        <f aca="false">MATCH(A2936,DATAS,0)</f>
        <v>1</v>
      </c>
      <c r="X2936" s="27" t="n">
        <f aca="false">IF(AND(E2936&gt;0,OR(AND(B2936&gt;=1,B2936&lt;=6),B2936=10)),1,0)</f>
        <v>0</v>
      </c>
      <c r="Y2936" s="27" t="n">
        <f aca="false">IF(AND(E2936&gt;0,B2936=10),1,0)</f>
        <v>0</v>
      </c>
      <c r="Z2936" s="0" t="str">
        <f aca="false">IF(AND(C2935=C2936,W2935=W2936-1),X2935,"")</f>
        <v/>
      </c>
      <c r="AA2936" s="0" t="str">
        <f aca="false">IF(AND(C2935=C2936,W2935=W2936-1),Y2935,"")</f>
        <v/>
      </c>
      <c r="AB2936" s="0" t="str">
        <f aca="false">IF(W2936=1,"",IF(AND(X2936=1,Z2936&lt;&gt;1),1,0))</f>
        <v/>
      </c>
      <c r="AC2936" s="0" t="str">
        <f aca="false">IF(W2936=1,"",IF(AND(Y2936=1,AA2936&lt;&gt;1),1,0))</f>
        <v/>
      </c>
      <c r="AD2936" s="33" t="str">
        <f aca="false">IF(AND(E2936&gt;0,W2936&lt;1,NOT(AND(C2937=C2936,W2937=W2936+1))),INDEX(DATAS,W2936+1),"")</f>
        <v/>
      </c>
      <c r="AE2936" s="33" t="str">
        <f aca="false">IF(AND(Y2936=1,W2936&lt;1),IF(AND(C2937=C2936,W2937=W2936+1),IF(Y2937=1,"",INDEX(DATAS,W2936+1)),INDEX(DATAS,W2936+1)),"")</f>
        <v/>
      </c>
    </row>
    <row r="2937" customFormat="false" ht="15" hidden="false" customHeight="false" outlineLevel="0" collapsed="false">
      <c r="A2937" s="33" t="n">
        <v>46309</v>
      </c>
      <c r="B2937" s="0" t="n">
        <v>13</v>
      </c>
      <c r="C2937" s="0" t="n">
        <v>7319</v>
      </c>
      <c r="E2937" s="0" t="n">
        <v>0</v>
      </c>
      <c r="F2937" s="27" t="s">
        <v>1428</v>
      </c>
      <c r="I2937" s="27" t="s">
        <v>166</v>
      </c>
      <c r="U2937" s="0" t="n">
        <v>276</v>
      </c>
      <c r="V2937" s="0" t="n">
        <v>0</v>
      </c>
      <c r="W2937" s="27" t="n">
        <f aca="false">MATCH(A2937,DATAS,0)</f>
        <v>1</v>
      </c>
      <c r="X2937" s="27" t="n">
        <f aca="false">IF(AND(E2937&gt;0,OR(AND(B2937&gt;=1,B2937&lt;=6),B2937=10)),1,0)</f>
        <v>0</v>
      </c>
      <c r="Y2937" s="27" t="n">
        <f aca="false">IF(AND(E2937&gt;0,B2937=10),1,0)</f>
        <v>0</v>
      </c>
      <c r="Z2937" s="0" t="str">
        <f aca="false">IF(AND(C2936=C2937,W2936=W2937-1),X2936,"")</f>
        <v/>
      </c>
      <c r="AA2937" s="0" t="str">
        <f aca="false">IF(AND(C2936=C2937,W2936=W2937-1),Y2936,"")</f>
        <v/>
      </c>
      <c r="AB2937" s="0" t="str">
        <f aca="false">IF(W2937=1,"",IF(AND(X2937=1,Z2937&lt;&gt;1),1,0))</f>
        <v/>
      </c>
      <c r="AC2937" s="0" t="str">
        <f aca="false">IF(W2937=1,"",IF(AND(Y2937=1,AA2937&lt;&gt;1),1,0))</f>
        <v/>
      </c>
      <c r="AD2937" s="33" t="str">
        <f aca="false">IF(AND(E2937&gt;0,W2937&lt;1,NOT(AND(C2938=C2937,W2938=W2937+1))),INDEX(DATAS,W2937+1),"")</f>
        <v/>
      </c>
      <c r="AE2937" s="33" t="str">
        <f aca="false">IF(AND(Y2937=1,W2937&lt;1),IF(AND(C2938=C2937,W2938=W2937+1),IF(Y2938=1,"",INDEX(DATAS,W2937+1)),INDEX(DATAS,W2937+1)),"")</f>
        <v/>
      </c>
    </row>
    <row r="2938" customFormat="false" ht="15" hidden="false" customHeight="false" outlineLevel="0" collapsed="false">
      <c r="A2938" s="33" t="n">
        <v>46309</v>
      </c>
      <c r="B2938" s="0" t="n">
        <v>13</v>
      </c>
      <c r="C2938" s="0" t="n">
        <v>7320</v>
      </c>
      <c r="E2938" s="0" t="n">
        <v>0</v>
      </c>
      <c r="F2938" s="27" t="s">
        <v>1428</v>
      </c>
      <c r="I2938" s="27" t="s">
        <v>166</v>
      </c>
      <c r="U2938" s="0" t="n">
        <v>276</v>
      </c>
      <c r="V2938" s="0" t="n">
        <v>0</v>
      </c>
      <c r="W2938" s="27" t="n">
        <f aca="false">MATCH(A2938,DATAS,0)</f>
        <v>1</v>
      </c>
      <c r="X2938" s="27" t="n">
        <f aca="false">IF(AND(E2938&gt;0,OR(AND(B2938&gt;=1,B2938&lt;=6),B2938=10)),1,0)</f>
        <v>0</v>
      </c>
      <c r="Y2938" s="27" t="n">
        <f aca="false">IF(AND(E2938&gt;0,B2938=10),1,0)</f>
        <v>0</v>
      </c>
      <c r="Z2938" s="0" t="str">
        <f aca="false">IF(AND(C2937=C2938,W2937=W2938-1),X2937,"")</f>
        <v/>
      </c>
      <c r="AA2938" s="0" t="str">
        <f aca="false">IF(AND(C2937=C2938,W2937=W2938-1),Y2937,"")</f>
        <v/>
      </c>
      <c r="AB2938" s="0" t="str">
        <f aca="false">IF(W2938=1,"",IF(AND(X2938=1,Z2938&lt;&gt;1),1,0))</f>
        <v/>
      </c>
      <c r="AC2938" s="0" t="str">
        <f aca="false">IF(W2938=1,"",IF(AND(Y2938=1,AA2938&lt;&gt;1),1,0))</f>
        <v/>
      </c>
      <c r="AD2938" s="33" t="str">
        <f aca="false">IF(AND(E2938&gt;0,W2938&lt;1,NOT(AND(C2939=C2938,W2939=W2938+1))),INDEX(DATAS,W2938+1),"")</f>
        <v/>
      </c>
      <c r="AE2938" s="33" t="str">
        <f aca="false">IF(AND(Y2938=1,W2938&lt;1),IF(AND(C2939=C2938,W2939=W2938+1),IF(Y2939=1,"",INDEX(DATAS,W2938+1)),INDEX(DATAS,W2938+1)),"")</f>
        <v/>
      </c>
    </row>
    <row r="2939" customFormat="false" ht="15" hidden="false" customHeight="false" outlineLevel="0" collapsed="false">
      <c r="A2939" s="33" t="n">
        <v>46309</v>
      </c>
      <c r="B2939" s="0" t="n">
        <v>13</v>
      </c>
      <c r="C2939" s="0" t="n">
        <v>7321</v>
      </c>
      <c r="E2939" s="0" t="n">
        <v>0</v>
      </c>
      <c r="F2939" s="27" t="s">
        <v>1429</v>
      </c>
      <c r="I2939" s="27" t="s">
        <v>166</v>
      </c>
      <c r="U2939" s="0" t="n">
        <v>275</v>
      </c>
      <c r="V2939" s="0" t="n">
        <v>0</v>
      </c>
      <c r="W2939" s="27" t="n">
        <f aca="false">MATCH(A2939,DATAS,0)</f>
        <v>1</v>
      </c>
      <c r="X2939" s="27" t="n">
        <f aca="false">IF(AND(E2939&gt;0,OR(AND(B2939&gt;=1,B2939&lt;=6),B2939=10)),1,0)</f>
        <v>0</v>
      </c>
      <c r="Y2939" s="27" t="n">
        <f aca="false">IF(AND(E2939&gt;0,B2939=10),1,0)</f>
        <v>0</v>
      </c>
      <c r="Z2939" s="0" t="str">
        <f aca="false">IF(AND(C2938=C2939,W2938=W2939-1),X2938,"")</f>
        <v/>
      </c>
      <c r="AA2939" s="0" t="str">
        <f aca="false">IF(AND(C2938=C2939,W2938=W2939-1),Y2938,"")</f>
        <v/>
      </c>
      <c r="AB2939" s="0" t="str">
        <f aca="false">IF(W2939=1,"",IF(AND(X2939=1,Z2939&lt;&gt;1),1,0))</f>
        <v/>
      </c>
      <c r="AC2939" s="0" t="str">
        <f aca="false">IF(W2939=1,"",IF(AND(Y2939=1,AA2939&lt;&gt;1),1,0))</f>
        <v/>
      </c>
      <c r="AD2939" s="33" t="str">
        <f aca="false">IF(AND(E2939&gt;0,W2939&lt;1,NOT(AND(C2940=C2939,W2940=W2939+1))),INDEX(DATAS,W2939+1),"")</f>
        <v/>
      </c>
      <c r="AE2939" s="33" t="str">
        <f aca="false">IF(AND(Y2939=1,W2939&lt;1),IF(AND(C2940=C2939,W2940=W2939+1),IF(Y2940=1,"",INDEX(DATAS,W2939+1)),INDEX(DATAS,W2939+1)),"")</f>
        <v/>
      </c>
    </row>
    <row r="2940" customFormat="false" ht="15" hidden="false" customHeight="false" outlineLevel="0" collapsed="false">
      <c r="A2940" s="33" t="n">
        <v>46309</v>
      </c>
      <c r="B2940" s="0" t="n">
        <v>13</v>
      </c>
      <c r="C2940" s="0" t="n">
        <v>7322</v>
      </c>
      <c r="E2940" s="0" t="n">
        <v>0</v>
      </c>
      <c r="F2940" s="27" t="s">
        <v>1429</v>
      </c>
      <c r="I2940" s="27" t="s">
        <v>166</v>
      </c>
      <c r="U2940" s="0" t="n">
        <v>275</v>
      </c>
      <c r="V2940" s="0" t="n">
        <v>0</v>
      </c>
      <c r="W2940" s="27" t="n">
        <f aca="false">MATCH(A2940,DATAS,0)</f>
        <v>1</v>
      </c>
      <c r="X2940" s="27" t="n">
        <f aca="false">IF(AND(E2940&gt;0,OR(AND(B2940&gt;=1,B2940&lt;=6),B2940=10)),1,0)</f>
        <v>0</v>
      </c>
      <c r="Y2940" s="27" t="n">
        <f aca="false">IF(AND(E2940&gt;0,B2940=10),1,0)</f>
        <v>0</v>
      </c>
      <c r="Z2940" s="0" t="str">
        <f aca="false">IF(AND(C2939=C2940,W2939=W2940-1),X2939,"")</f>
        <v/>
      </c>
      <c r="AA2940" s="0" t="str">
        <f aca="false">IF(AND(C2939=C2940,W2939=W2940-1),Y2939,"")</f>
        <v/>
      </c>
      <c r="AB2940" s="0" t="str">
        <f aca="false">IF(W2940=1,"",IF(AND(X2940=1,Z2940&lt;&gt;1),1,0))</f>
        <v/>
      </c>
      <c r="AC2940" s="0" t="str">
        <f aca="false">IF(W2940=1,"",IF(AND(Y2940=1,AA2940&lt;&gt;1),1,0))</f>
        <v/>
      </c>
      <c r="AD2940" s="33" t="str">
        <f aca="false">IF(AND(E2940&gt;0,W2940&lt;1,NOT(AND(C2941=C2940,W2941=W2940+1))),INDEX(DATAS,W2940+1),"")</f>
        <v/>
      </c>
      <c r="AE2940" s="33" t="str">
        <f aca="false">IF(AND(Y2940=1,W2940&lt;1),IF(AND(C2941=C2940,W2941=W2940+1),IF(Y2941=1,"",INDEX(DATAS,W2940+1)),INDEX(DATAS,W2940+1)),"")</f>
        <v/>
      </c>
    </row>
    <row r="2941" customFormat="false" ht="15" hidden="false" customHeight="false" outlineLevel="0" collapsed="false">
      <c r="A2941" s="33" t="n">
        <v>46309</v>
      </c>
      <c r="B2941" s="0" t="n">
        <v>13</v>
      </c>
      <c r="C2941" s="0" t="n">
        <v>7323</v>
      </c>
      <c r="E2941" s="0" t="n">
        <v>0</v>
      </c>
      <c r="F2941" s="27" t="s">
        <v>1430</v>
      </c>
      <c r="I2941" s="27" t="s">
        <v>166</v>
      </c>
      <c r="U2941" s="0" t="n">
        <v>274</v>
      </c>
      <c r="V2941" s="0" t="n">
        <v>0</v>
      </c>
      <c r="W2941" s="27" t="n">
        <f aca="false">MATCH(A2941,DATAS,0)</f>
        <v>1</v>
      </c>
      <c r="X2941" s="27" t="n">
        <f aca="false">IF(AND(E2941&gt;0,OR(AND(B2941&gt;=1,B2941&lt;=6),B2941=10)),1,0)</f>
        <v>0</v>
      </c>
      <c r="Y2941" s="27" t="n">
        <f aca="false">IF(AND(E2941&gt;0,B2941=10),1,0)</f>
        <v>0</v>
      </c>
      <c r="Z2941" s="0" t="str">
        <f aca="false">IF(AND(C2940=C2941,W2940=W2941-1),X2940,"")</f>
        <v/>
      </c>
      <c r="AA2941" s="0" t="str">
        <f aca="false">IF(AND(C2940=C2941,W2940=W2941-1),Y2940,"")</f>
        <v/>
      </c>
      <c r="AB2941" s="0" t="str">
        <f aca="false">IF(W2941=1,"",IF(AND(X2941=1,Z2941&lt;&gt;1),1,0))</f>
        <v/>
      </c>
      <c r="AC2941" s="0" t="str">
        <f aca="false">IF(W2941=1,"",IF(AND(Y2941=1,AA2941&lt;&gt;1),1,0))</f>
        <v/>
      </c>
      <c r="AD2941" s="33" t="str">
        <f aca="false">IF(AND(E2941&gt;0,W2941&lt;1,NOT(AND(C2942=C2941,W2942=W2941+1))),INDEX(DATAS,W2941+1),"")</f>
        <v/>
      </c>
      <c r="AE2941" s="33" t="str">
        <f aca="false">IF(AND(Y2941=1,W2941&lt;1),IF(AND(C2942=C2941,W2942=W2941+1),IF(Y2942=1,"",INDEX(DATAS,W2941+1)),INDEX(DATAS,W2941+1)),"")</f>
        <v/>
      </c>
    </row>
    <row r="2942" customFormat="false" ht="15" hidden="false" customHeight="false" outlineLevel="0" collapsed="false">
      <c r="A2942" s="33" t="n">
        <v>46309</v>
      </c>
      <c r="B2942" s="0" t="n">
        <v>13</v>
      </c>
      <c r="C2942" s="0" t="n">
        <v>7324</v>
      </c>
      <c r="E2942" s="0" t="n">
        <v>0</v>
      </c>
      <c r="F2942" s="27" t="s">
        <v>1430</v>
      </c>
      <c r="I2942" s="27" t="s">
        <v>166</v>
      </c>
      <c r="U2942" s="0" t="n">
        <v>274</v>
      </c>
      <c r="V2942" s="0" t="n">
        <v>0</v>
      </c>
      <c r="W2942" s="27" t="n">
        <f aca="false">MATCH(A2942,DATAS,0)</f>
        <v>1</v>
      </c>
      <c r="X2942" s="27" t="n">
        <f aca="false">IF(AND(E2942&gt;0,OR(AND(B2942&gt;=1,B2942&lt;=6),B2942=10)),1,0)</f>
        <v>0</v>
      </c>
      <c r="Y2942" s="27" t="n">
        <f aca="false">IF(AND(E2942&gt;0,B2942=10),1,0)</f>
        <v>0</v>
      </c>
      <c r="Z2942" s="0" t="str">
        <f aca="false">IF(AND(C2941=C2942,W2941=W2942-1),X2941,"")</f>
        <v/>
      </c>
      <c r="AA2942" s="0" t="str">
        <f aca="false">IF(AND(C2941=C2942,W2941=W2942-1),Y2941,"")</f>
        <v/>
      </c>
      <c r="AB2942" s="0" t="str">
        <f aca="false">IF(W2942=1,"",IF(AND(X2942=1,Z2942&lt;&gt;1),1,0))</f>
        <v/>
      </c>
      <c r="AC2942" s="0" t="str">
        <f aca="false">IF(W2942=1,"",IF(AND(Y2942=1,AA2942&lt;&gt;1),1,0))</f>
        <v/>
      </c>
      <c r="AD2942" s="33" t="str">
        <f aca="false">IF(AND(E2942&gt;0,W2942&lt;1,NOT(AND(C2943=C2942,W2943=W2942+1))),INDEX(DATAS,W2942+1),"")</f>
        <v/>
      </c>
      <c r="AE2942" s="33" t="str">
        <f aca="false">IF(AND(Y2942=1,W2942&lt;1),IF(AND(C2943=C2942,W2943=W2942+1),IF(Y2943=1,"",INDEX(DATAS,W2942+1)),INDEX(DATAS,W2942+1)),"")</f>
        <v/>
      </c>
    </row>
    <row r="2943" customFormat="false" ht="15" hidden="false" customHeight="false" outlineLevel="0" collapsed="false">
      <c r="A2943" s="33" t="n">
        <v>46309</v>
      </c>
      <c r="B2943" s="0" t="n">
        <v>13</v>
      </c>
      <c r="C2943" s="0" t="n">
        <v>7326</v>
      </c>
      <c r="E2943" s="0" t="n">
        <v>0</v>
      </c>
      <c r="F2943" s="27" t="s">
        <v>1431</v>
      </c>
      <c r="I2943" s="27" t="s">
        <v>166</v>
      </c>
      <c r="U2943" s="0" t="n">
        <v>273</v>
      </c>
      <c r="V2943" s="0" t="n">
        <v>0</v>
      </c>
      <c r="W2943" s="27" t="n">
        <f aca="false">MATCH(A2943,DATAS,0)</f>
        <v>1</v>
      </c>
      <c r="X2943" s="27" t="n">
        <f aca="false">IF(AND(E2943&gt;0,OR(AND(B2943&gt;=1,B2943&lt;=6),B2943=10)),1,0)</f>
        <v>0</v>
      </c>
      <c r="Y2943" s="27" t="n">
        <f aca="false">IF(AND(E2943&gt;0,B2943=10),1,0)</f>
        <v>0</v>
      </c>
      <c r="Z2943" s="0" t="str">
        <f aca="false">IF(AND(C2942=C2943,W2942=W2943-1),X2942,"")</f>
        <v/>
      </c>
      <c r="AA2943" s="0" t="str">
        <f aca="false">IF(AND(C2942=C2943,W2942=W2943-1),Y2942,"")</f>
        <v/>
      </c>
      <c r="AB2943" s="0" t="str">
        <f aca="false">IF(W2943=1,"",IF(AND(X2943=1,Z2943&lt;&gt;1),1,0))</f>
        <v/>
      </c>
      <c r="AC2943" s="0" t="str">
        <f aca="false">IF(W2943=1,"",IF(AND(Y2943=1,AA2943&lt;&gt;1),1,0))</f>
        <v/>
      </c>
      <c r="AD2943" s="33" t="str">
        <f aca="false">IF(AND(E2943&gt;0,W2943&lt;1,NOT(AND(C2944=C2943,W2944=W2943+1))),INDEX(DATAS,W2943+1),"")</f>
        <v/>
      </c>
      <c r="AE2943" s="33" t="str">
        <f aca="false">IF(AND(Y2943=1,W2943&lt;1),IF(AND(C2944=C2943,W2944=W2943+1),IF(Y2944=1,"",INDEX(DATAS,W2943+1)),INDEX(DATAS,W2943+1)),"")</f>
        <v/>
      </c>
    </row>
    <row r="2944" customFormat="false" ht="15" hidden="false" customHeight="false" outlineLevel="0" collapsed="false">
      <c r="A2944" s="33" t="n">
        <v>46309</v>
      </c>
      <c r="B2944" s="0" t="n">
        <v>13</v>
      </c>
      <c r="C2944" s="0" t="n">
        <v>7327</v>
      </c>
      <c r="E2944" s="0" t="n">
        <v>0</v>
      </c>
      <c r="F2944" s="27" t="s">
        <v>1432</v>
      </c>
      <c r="I2944" s="27" t="s">
        <v>166</v>
      </c>
      <c r="U2944" s="0" t="n">
        <v>272</v>
      </c>
      <c r="V2944" s="0" t="n">
        <v>0</v>
      </c>
      <c r="W2944" s="27" t="n">
        <f aca="false">MATCH(A2944,DATAS,0)</f>
        <v>1</v>
      </c>
      <c r="X2944" s="27" t="n">
        <f aca="false">IF(AND(E2944&gt;0,OR(AND(B2944&gt;=1,B2944&lt;=6),B2944=10)),1,0)</f>
        <v>0</v>
      </c>
      <c r="Y2944" s="27" t="n">
        <f aca="false">IF(AND(E2944&gt;0,B2944=10),1,0)</f>
        <v>0</v>
      </c>
      <c r="Z2944" s="0" t="str">
        <f aca="false">IF(AND(C2943=C2944,W2943=W2944-1),X2943,"")</f>
        <v/>
      </c>
      <c r="AA2944" s="0" t="str">
        <f aca="false">IF(AND(C2943=C2944,W2943=W2944-1),Y2943,"")</f>
        <v/>
      </c>
      <c r="AB2944" s="0" t="str">
        <f aca="false">IF(W2944=1,"",IF(AND(X2944=1,Z2944&lt;&gt;1),1,0))</f>
        <v/>
      </c>
      <c r="AC2944" s="0" t="str">
        <f aca="false">IF(W2944=1,"",IF(AND(Y2944=1,AA2944&lt;&gt;1),1,0))</f>
        <v/>
      </c>
      <c r="AD2944" s="33" t="str">
        <f aca="false">IF(AND(E2944&gt;0,W2944&lt;1,NOT(AND(C2945=C2944,W2945=W2944+1))),INDEX(DATAS,W2944+1),"")</f>
        <v/>
      </c>
      <c r="AE2944" s="33" t="str">
        <f aca="false">IF(AND(Y2944=1,W2944&lt;1),IF(AND(C2945=C2944,W2945=W2944+1),IF(Y2945=1,"",INDEX(DATAS,W2944+1)),INDEX(DATAS,W2944+1)),"")</f>
        <v/>
      </c>
    </row>
    <row r="2945" customFormat="false" ht="15" hidden="false" customHeight="false" outlineLevel="0" collapsed="false">
      <c r="A2945" s="33" t="n">
        <v>46309</v>
      </c>
      <c r="B2945" s="0" t="n">
        <v>13</v>
      </c>
      <c r="C2945" s="0" t="n">
        <v>7328</v>
      </c>
      <c r="E2945" s="0" t="n">
        <v>0</v>
      </c>
      <c r="F2945" s="27" t="s">
        <v>1433</v>
      </c>
      <c r="I2945" s="27" t="s">
        <v>166</v>
      </c>
      <c r="U2945" s="0" t="n">
        <v>271</v>
      </c>
      <c r="V2945" s="0" t="n">
        <v>0</v>
      </c>
      <c r="W2945" s="27" t="n">
        <f aca="false">MATCH(A2945,DATAS,0)</f>
        <v>1</v>
      </c>
      <c r="X2945" s="27" t="n">
        <f aca="false">IF(AND(E2945&gt;0,OR(AND(B2945&gt;=1,B2945&lt;=6),B2945=10)),1,0)</f>
        <v>0</v>
      </c>
      <c r="Y2945" s="27" t="n">
        <f aca="false">IF(AND(E2945&gt;0,B2945=10),1,0)</f>
        <v>0</v>
      </c>
      <c r="Z2945" s="0" t="str">
        <f aca="false">IF(AND(C2944=C2945,W2944=W2945-1),X2944,"")</f>
        <v/>
      </c>
      <c r="AA2945" s="0" t="str">
        <f aca="false">IF(AND(C2944=C2945,W2944=W2945-1),Y2944,"")</f>
        <v/>
      </c>
      <c r="AB2945" s="0" t="str">
        <f aca="false">IF(W2945=1,"",IF(AND(X2945=1,Z2945&lt;&gt;1),1,0))</f>
        <v/>
      </c>
      <c r="AC2945" s="0" t="str">
        <f aca="false">IF(W2945=1,"",IF(AND(Y2945=1,AA2945&lt;&gt;1),1,0))</f>
        <v/>
      </c>
      <c r="AD2945" s="33" t="str">
        <f aca="false">IF(AND(E2945&gt;0,W2945&lt;1,NOT(AND(C2946=C2945,W2946=W2945+1))),INDEX(DATAS,W2945+1),"")</f>
        <v/>
      </c>
      <c r="AE2945" s="33" t="str">
        <f aca="false">IF(AND(Y2945=1,W2945&lt;1),IF(AND(C2946=C2945,W2946=W2945+1),IF(Y2946=1,"",INDEX(DATAS,W2945+1)),INDEX(DATAS,W2945+1)),"")</f>
        <v/>
      </c>
    </row>
    <row r="2946" customFormat="false" ht="15" hidden="false" customHeight="false" outlineLevel="0" collapsed="false">
      <c r="A2946" s="33" t="n">
        <v>46309</v>
      </c>
      <c r="B2946" s="0" t="n">
        <v>13</v>
      </c>
      <c r="C2946" s="0" t="n">
        <v>7329</v>
      </c>
      <c r="E2946" s="0" t="n">
        <v>0</v>
      </c>
      <c r="F2946" s="27" t="s">
        <v>1433</v>
      </c>
      <c r="I2946" s="27" t="s">
        <v>166</v>
      </c>
      <c r="U2946" s="0" t="n">
        <v>271</v>
      </c>
      <c r="V2946" s="0" t="n">
        <v>0</v>
      </c>
      <c r="W2946" s="27" t="n">
        <f aca="false">MATCH(A2946,DATAS,0)</f>
        <v>1</v>
      </c>
      <c r="X2946" s="27" t="n">
        <f aca="false">IF(AND(E2946&gt;0,OR(AND(B2946&gt;=1,B2946&lt;=6),B2946=10)),1,0)</f>
        <v>0</v>
      </c>
      <c r="Y2946" s="27" t="n">
        <f aca="false">IF(AND(E2946&gt;0,B2946=10),1,0)</f>
        <v>0</v>
      </c>
      <c r="Z2946" s="0" t="str">
        <f aca="false">IF(AND(C2945=C2946,W2945=W2946-1),X2945,"")</f>
        <v/>
      </c>
      <c r="AA2946" s="0" t="str">
        <f aca="false">IF(AND(C2945=C2946,W2945=W2946-1),Y2945,"")</f>
        <v/>
      </c>
      <c r="AB2946" s="0" t="str">
        <f aca="false">IF(W2946=1,"",IF(AND(X2946=1,Z2946&lt;&gt;1),1,0))</f>
        <v/>
      </c>
      <c r="AC2946" s="0" t="str">
        <f aca="false">IF(W2946=1,"",IF(AND(Y2946=1,AA2946&lt;&gt;1),1,0))</f>
        <v/>
      </c>
      <c r="AD2946" s="33" t="str">
        <f aca="false">IF(AND(E2946&gt;0,W2946&lt;1,NOT(AND(C2947=C2946,W2947=W2946+1))),INDEX(DATAS,W2946+1),"")</f>
        <v/>
      </c>
      <c r="AE2946" s="33" t="str">
        <f aca="false">IF(AND(Y2946=1,W2946&lt;1),IF(AND(C2947=C2946,W2947=W2946+1),IF(Y2947=1,"",INDEX(DATAS,W2946+1)),INDEX(DATAS,W2946+1)),"")</f>
        <v/>
      </c>
    </row>
    <row r="2947" customFormat="false" ht="15" hidden="false" customHeight="false" outlineLevel="0" collapsed="false">
      <c r="A2947" s="33" t="n">
        <v>46309</v>
      </c>
      <c r="B2947" s="0" t="n">
        <v>13</v>
      </c>
      <c r="C2947" s="0" t="n">
        <v>7330</v>
      </c>
      <c r="E2947" s="0" t="n">
        <v>0</v>
      </c>
      <c r="F2947" s="27" t="s">
        <v>1433</v>
      </c>
      <c r="I2947" s="27" t="s">
        <v>166</v>
      </c>
      <c r="U2947" s="0" t="n">
        <v>271</v>
      </c>
      <c r="V2947" s="0" t="n">
        <v>0</v>
      </c>
      <c r="W2947" s="27" t="n">
        <f aca="false">MATCH(A2947,DATAS,0)</f>
        <v>1</v>
      </c>
      <c r="X2947" s="27" t="n">
        <f aca="false">IF(AND(E2947&gt;0,OR(AND(B2947&gt;=1,B2947&lt;=6),B2947=10)),1,0)</f>
        <v>0</v>
      </c>
      <c r="Y2947" s="27" t="n">
        <f aca="false">IF(AND(E2947&gt;0,B2947=10),1,0)</f>
        <v>0</v>
      </c>
      <c r="Z2947" s="0" t="str">
        <f aca="false">IF(AND(C2946=C2947,W2946=W2947-1),X2946,"")</f>
        <v/>
      </c>
      <c r="AA2947" s="0" t="str">
        <f aca="false">IF(AND(C2946=C2947,W2946=W2947-1),Y2946,"")</f>
        <v/>
      </c>
      <c r="AB2947" s="0" t="str">
        <f aca="false">IF(W2947=1,"",IF(AND(X2947=1,Z2947&lt;&gt;1),1,0))</f>
        <v/>
      </c>
      <c r="AC2947" s="0" t="str">
        <f aca="false">IF(W2947=1,"",IF(AND(Y2947=1,AA2947&lt;&gt;1),1,0))</f>
        <v/>
      </c>
      <c r="AD2947" s="33" t="str">
        <f aca="false">IF(AND(E2947&gt;0,W2947&lt;1,NOT(AND(C2948=C2947,W2948=W2947+1))),INDEX(DATAS,W2947+1),"")</f>
        <v/>
      </c>
      <c r="AE2947" s="33" t="str">
        <f aca="false">IF(AND(Y2947=1,W2947&lt;1),IF(AND(C2948=C2947,W2948=W2947+1),IF(Y2948=1,"",INDEX(DATAS,W2947+1)),INDEX(DATAS,W2947+1)),"")</f>
        <v/>
      </c>
    </row>
    <row r="2948" customFormat="false" ht="15" hidden="false" customHeight="false" outlineLevel="0" collapsed="false">
      <c r="A2948" s="33" t="n">
        <v>46309</v>
      </c>
      <c r="B2948" s="0" t="n">
        <v>13</v>
      </c>
      <c r="C2948" s="0" t="n">
        <v>7331</v>
      </c>
      <c r="E2948" s="0" t="n">
        <v>0</v>
      </c>
      <c r="F2948" s="27" t="s">
        <v>1433</v>
      </c>
      <c r="I2948" s="27" t="s">
        <v>166</v>
      </c>
      <c r="U2948" s="0" t="n">
        <v>271</v>
      </c>
      <c r="V2948" s="0" t="n">
        <v>0</v>
      </c>
      <c r="W2948" s="27" t="n">
        <f aca="false">MATCH(A2948,DATAS,0)</f>
        <v>1</v>
      </c>
      <c r="X2948" s="27" t="n">
        <f aca="false">IF(AND(E2948&gt;0,OR(AND(B2948&gt;=1,B2948&lt;=6),B2948=10)),1,0)</f>
        <v>0</v>
      </c>
      <c r="Y2948" s="27" t="n">
        <f aca="false">IF(AND(E2948&gt;0,B2948=10),1,0)</f>
        <v>0</v>
      </c>
      <c r="Z2948" s="0" t="str">
        <f aca="false">IF(AND(C2947=C2948,W2947=W2948-1),X2947,"")</f>
        <v/>
      </c>
      <c r="AA2948" s="0" t="str">
        <f aca="false">IF(AND(C2947=C2948,W2947=W2948-1),Y2947,"")</f>
        <v/>
      </c>
      <c r="AB2948" s="0" t="str">
        <f aca="false">IF(W2948=1,"",IF(AND(X2948=1,Z2948&lt;&gt;1),1,0))</f>
        <v/>
      </c>
      <c r="AC2948" s="0" t="str">
        <f aca="false">IF(W2948=1,"",IF(AND(Y2948=1,AA2948&lt;&gt;1),1,0))</f>
        <v/>
      </c>
      <c r="AD2948" s="33" t="str">
        <f aca="false">IF(AND(E2948&gt;0,W2948&lt;1,NOT(AND(C2949=C2948,W2949=W2948+1))),INDEX(DATAS,W2948+1),"")</f>
        <v/>
      </c>
      <c r="AE2948" s="33" t="str">
        <f aca="false">IF(AND(Y2948=1,W2948&lt;1),IF(AND(C2949=C2948,W2949=W2948+1),IF(Y2949=1,"",INDEX(DATAS,W2948+1)),INDEX(DATAS,W2948+1)),"")</f>
        <v/>
      </c>
    </row>
    <row r="2949" customFormat="false" ht="15" hidden="false" customHeight="false" outlineLevel="0" collapsed="false">
      <c r="A2949" s="33" t="n">
        <v>46309</v>
      </c>
      <c r="B2949" s="0" t="n">
        <v>13</v>
      </c>
      <c r="C2949" s="0" t="n">
        <v>7332</v>
      </c>
      <c r="E2949" s="0" t="n">
        <v>0</v>
      </c>
      <c r="F2949" s="27" t="s">
        <v>1434</v>
      </c>
      <c r="I2949" s="27" t="s">
        <v>166</v>
      </c>
      <c r="U2949" s="0" t="n">
        <v>270</v>
      </c>
      <c r="V2949" s="0" t="n">
        <v>0</v>
      </c>
      <c r="W2949" s="27" t="n">
        <f aca="false">MATCH(A2949,DATAS,0)</f>
        <v>1</v>
      </c>
      <c r="X2949" s="27" t="n">
        <f aca="false">IF(AND(E2949&gt;0,OR(AND(B2949&gt;=1,B2949&lt;=6),B2949=10)),1,0)</f>
        <v>0</v>
      </c>
      <c r="Y2949" s="27" t="n">
        <f aca="false">IF(AND(E2949&gt;0,B2949=10),1,0)</f>
        <v>0</v>
      </c>
      <c r="Z2949" s="0" t="str">
        <f aca="false">IF(AND(C2948=C2949,W2948=W2949-1),X2948,"")</f>
        <v/>
      </c>
      <c r="AA2949" s="0" t="str">
        <f aca="false">IF(AND(C2948=C2949,W2948=W2949-1),Y2948,"")</f>
        <v/>
      </c>
      <c r="AB2949" s="0" t="str">
        <f aca="false">IF(W2949=1,"",IF(AND(X2949=1,Z2949&lt;&gt;1),1,0))</f>
        <v/>
      </c>
      <c r="AC2949" s="0" t="str">
        <f aca="false">IF(W2949=1,"",IF(AND(Y2949=1,AA2949&lt;&gt;1),1,0))</f>
        <v/>
      </c>
      <c r="AD2949" s="33" t="str">
        <f aca="false">IF(AND(E2949&gt;0,W2949&lt;1,NOT(AND(C2950=C2949,W2950=W2949+1))),INDEX(DATAS,W2949+1),"")</f>
        <v/>
      </c>
      <c r="AE2949" s="33" t="str">
        <f aca="false">IF(AND(Y2949=1,W2949&lt;1),IF(AND(C2950=C2949,W2950=W2949+1),IF(Y2950=1,"",INDEX(DATAS,W2949+1)),INDEX(DATAS,W2949+1)),"")</f>
        <v/>
      </c>
    </row>
    <row r="2950" customFormat="false" ht="15" hidden="false" customHeight="false" outlineLevel="0" collapsed="false">
      <c r="A2950" s="33" t="n">
        <v>46309</v>
      </c>
      <c r="B2950" s="0" t="n">
        <v>13</v>
      </c>
      <c r="C2950" s="0" t="n">
        <v>7333</v>
      </c>
      <c r="E2950" s="0" t="n">
        <v>0</v>
      </c>
      <c r="F2950" s="27" t="s">
        <v>1434</v>
      </c>
      <c r="I2950" s="27" t="s">
        <v>166</v>
      </c>
      <c r="U2950" s="0" t="n">
        <v>270</v>
      </c>
      <c r="V2950" s="0" t="n">
        <v>0</v>
      </c>
      <c r="W2950" s="27" t="n">
        <f aca="false">MATCH(A2950,DATAS,0)</f>
        <v>1</v>
      </c>
      <c r="X2950" s="27" t="n">
        <f aca="false">IF(AND(E2950&gt;0,OR(AND(B2950&gt;=1,B2950&lt;=6),B2950=10)),1,0)</f>
        <v>0</v>
      </c>
      <c r="Y2950" s="27" t="n">
        <f aca="false">IF(AND(E2950&gt;0,B2950=10),1,0)</f>
        <v>0</v>
      </c>
      <c r="Z2950" s="0" t="str">
        <f aca="false">IF(AND(C2949=C2950,W2949=W2950-1),X2949,"")</f>
        <v/>
      </c>
      <c r="AA2950" s="0" t="str">
        <f aca="false">IF(AND(C2949=C2950,W2949=W2950-1),Y2949,"")</f>
        <v/>
      </c>
      <c r="AB2950" s="0" t="str">
        <f aca="false">IF(W2950=1,"",IF(AND(X2950=1,Z2950&lt;&gt;1),1,0))</f>
        <v/>
      </c>
      <c r="AC2950" s="0" t="str">
        <f aca="false">IF(W2950=1,"",IF(AND(Y2950=1,AA2950&lt;&gt;1),1,0))</f>
        <v/>
      </c>
      <c r="AD2950" s="33" t="str">
        <f aca="false">IF(AND(E2950&gt;0,W2950&lt;1,NOT(AND(C2951=C2950,W2951=W2950+1))),INDEX(DATAS,W2950+1),"")</f>
        <v/>
      </c>
      <c r="AE2950" s="33" t="str">
        <f aca="false">IF(AND(Y2950=1,W2950&lt;1),IF(AND(C2951=C2950,W2951=W2950+1),IF(Y2951=1,"",INDEX(DATAS,W2950+1)),INDEX(DATAS,W2950+1)),"")</f>
        <v/>
      </c>
    </row>
    <row r="2951" customFormat="false" ht="15" hidden="false" customHeight="false" outlineLevel="0" collapsed="false">
      <c r="A2951" s="33" t="n">
        <v>46309</v>
      </c>
      <c r="B2951" s="0" t="n">
        <v>13</v>
      </c>
      <c r="C2951" s="0" t="n">
        <v>7334</v>
      </c>
      <c r="E2951" s="0" t="n">
        <v>0</v>
      </c>
      <c r="F2951" s="27" t="s">
        <v>1434</v>
      </c>
      <c r="I2951" s="27" t="s">
        <v>166</v>
      </c>
      <c r="U2951" s="0" t="n">
        <v>270</v>
      </c>
      <c r="V2951" s="0" t="n">
        <v>0</v>
      </c>
      <c r="W2951" s="27" t="n">
        <f aca="false">MATCH(A2951,DATAS,0)</f>
        <v>1</v>
      </c>
      <c r="X2951" s="27" t="n">
        <f aca="false">IF(AND(E2951&gt;0,OR(AND(B2951&gt;=1,B2951&lt;=6),B2951=10)),1,0)</f>
        <v>0</v>
      </c>
      <c r="Y2951" s="27" t="n">
        <f aca="false">IF(AND(E2951&gt;0,B2951=10),1,0)</f>
        <v>0</v>
      </c>
      <c r="Z2951" s="0" t="str">
        <f aca="false">IF(AND(C2950=C2951,W2950=W2951-1),X2950,"")</f>
        <v/>
      </c>
      <c r="AA2951" s="0" t="str">
        <f aca="false">IF(AND(C2950=C2951,W2950=W2951-1),Y2950,"")</f>
        <v/>
      </c>
      <c r="AB2951" s="0" t="str">
        <f aca="false">IF(W2951=1,"",IF(AND(X2951=1,Z2951&lt;&gt;1),1,0))</f>
        <v/>
      </c>
      <c r="AC2951" s="0" t="str">
        <f aca="false">IF(W2951=1,"",IF(AND(Y2951=1,AA2951&lt;&gt;1),1,0))</f>
        <v/>
      </c>
      <c r="AD2951" s="33" t="str">
        <f aca="false">IF(AND(E2951&gt;0,W2951&lt;1,NOT(AND(C2952=C2951,W2952=W2951+1))),INDEX(DATAS,W2951+1),"")</f>
        <v/>
      </c>
      <c r="AE2951" s="33" t="str">
        <f aca="false">IF(AND(Y2951=1,W2951&lt;1),IF(AND(C2952=C2951,W2952=W2951+1),IF(Y2952=1,"",INDEX(DATAS,W2951+1)),INDEX(DATAS,W2951+1)),"")</f>
        <v/>
      </c>
    </row>
    <row r="2952" customFormat="false" ht="15" hidden="false" customHeight="false" outlineLevel="0" collapsed="false">
      <c r="A2952" s="33" t="n">
        <v>46309</v>
      </c>
      <c r="B2952" s="0" t="n">
        <v>13</v>
      </c>
      <c r="C2952" s="0" t="n">
        <v>7335</v>
      </c>
      <c r="E2952" s="0" t="n">
        <v>0</v>
      </c>
      <c r="F2952" s="27" t="s">
        <v>1434</v>
      </c>
      <c r="I2952" s="27" t="s">
        <v>166</v>
      </c>
      <c r="U2952" s="0" t="n">
        <v>270</v>
      </c>
      <c r="V2952" s="0" t="n">
        <v>0</v>
      </c>
      <c r="W2952" s="27" t="n">
        <f aca="false">MATCH(A2952,DATAS,0)</f>
        <v>1</v>
      </c>
      <c r="X2952" s="27" t="n">
        <f aca="false">IF(AND(E2952&gt;0,OR(AND(B2952&gt;=1,B2952&lt;=6),B2952=10)),1,0)</f>
        <v>0</v>
      </c>
      <c r="Y2952" s="27" t="n">
        <f aca="false">IF(AND(E2952&gt;0,B2952=10),1,0)</f>
        <v>0</v>
      </c>
      <c r="Z2952" s="0" t="str">
        <f aca="false">IF(AND(C2951=C2952,W2951=W2952-1),X2951,"")</f>
        <v/>
      </c>
      <c r="AA2952" s="0" t="str">
        <f aca="false">IF(AND(C2951=C2952,W2951=W2952-1),Y2951,"")</f>
        <v/>
      </c>
      <c r="AB2952" s="0" t="str">
        <f aca="false">IF(W2952=1,"",IF(AND(X2952=1,Z2952&lt;&gt;1),1,0))</f>
        <v/>
      </c>
      <c r="AC2952" s="0" t="str">
        <f aca="false">IF(W2952=1,"",IF(AND(Y2952=1,AA2952&lt;&gt;1),1,0))</f>
        <v/>
      </c>
      <c r="AD2952" s="33" t="str">
        <f aca="false">IF(AND(E2952&gt;0,W2952&lt;1,NOT(AND(C2953=C2952,W2953=W2952+1))),INDEX(DATAS,W2952+1),"")</f>
        <v/>
      </c>
      <c r="AE2952" s="33" t="str">
        <f aca="false">IF(AND(Y2952=1,W2952&lt;1),IF(AND(C2953=C2952,W2953=W2952+1),IF(Y2953=1,"",INDEX(DATAS,W2952+1)),INDEX(DATAS,W2952+1)),"")</f>
        <v/>
      </c>
    </row>
    <row r="2953" customFormat="false" ht="15" hidden="false" customHeight="false" outlineLevel="0" collapsed="false">
      <c r="A2953" s="33" t="n">
        <v>46309</v>
      </c>
      <c r="B2953" s="0" t="n">
        <v>13</v>
      </c>
      <c r="C2953" s="0" t="n">
        <v>7336</v>
      </c>
      <c r="E2953" s="0" t="n">
        <v>0</v>
      </c>
      <c r="F2953" s="27" t="s">
        <v>1434</v>
      </c>
      <c r="I2953" s="27" t="s">
        <v>166</v>
      </c>
      <c r="U2953" s="0" t="n">
        <v>270</v>
      </c>
      <c r="V2953" s="0" t="n">
        <v>0</v>
      </c>
      <c r="W2953" s="27" t="n">
        <f aca="false">MATCH(A2953,DATAS,0)</f>
        <v>1</v>
      </c>
      <c r="X2953" s="27" t="n">
        <f aca="false">IF(AND(E2953&gt;0,OR(AND(B2953&gt;=1,B2953&lt;=6),B2953=10)),1,0)</f>
        <v>0</v>
      </c>
      <c r="Y2953" s="27" t="n">
        <f aca="false">IF(AND(E2953&gt;0,B2953=10),1,0)</f>
        <v>0</v>
      </c>
      <c r="Z2953" s="0" t="str">
        <f aca="false">IF(AND(C2952=C2953,W2952=W2953-1),X2952,"")</f>
        <v/>
      </c>
      <c r="AA2953" s="0" t="str">
        <f aca="false">IF(AND(C2952=C2953,W2952=W2953-1),Y2952,"")</f>
        <v/>
      </c>
      <c r="AB2953" s="0" t="str">
        <f aca="false">IF(W2953=1,"",IF(AND(X2953=1,Z2953&lt;&gt;1),1,0))</f>
        <v/>
      </c>
      <c r="AC2953" s="0" t="str">
        <f aca="false">IF(W2953=1,"",IF(AND(Y2953=1,AA2953&lt;&gt;1),1,0))</f>
        <v/>
      </c>
      <c r="AD2953" s="33" t="str">
        <f aca="false">IF(AND(E2953&gt;0,W2953&lt;1,NOT(AND(C2954=C2953,W2954=W2953+1))),INDEX(DATAS,W2953+1),"")</f>
        <v/>
      </c>
      <c r="AE2953" s="33" t="str">
        <f aca="false">IF(AND(Y2953=1,W2953&lt;1),IF(AND(C2954=C2953,W2954=W2953+1),IF(Y2954=1,"",INDEX(DATAS,W2953+1)),INDEX(DATAS,W2953+1)),"")</f>
        <v/>
      </c>
    </row>
    <row r="2954" customFormat="false" ht="15" hidden="false" customHeight="false" outlineLevel="0" collapsed="false">
      <c r="A2954" s="33" t="n">
        <v>46309</v>
      </c>
      <c r="B2954" s="0" t="n">
        <v>13</v>
      </c>
      <c r="C2954" s="0" t="n">
        <v>7337</v>
      </c>
      <c r="E2954" s="0" t="n">
        <v>0</v>
      </c>
      <c r="F2954" s="27" t="s">
        <v>1434</v>
      </c>
      <c r="I2954" s="27" t="s">
        <v>166</v>
      </c>
      <c r="U2954" s="0" t="n">
        <v>270</v>
      </c>
      <c r="V2954" s="0" t="n">
        <v>0</v>
      </c>
      <c r="W2954" s="27" t="n">
        <f aca="false">MATCH(A2954,DATAS,0)</f>
        <v>1</v>
      </c>
      <c r="X2954" s="27" t="n">
        <f aca="false">IF(AND(E2954&gt;0,OR(AND(B2954&gt;=1,B2954&lt;=6),B2954=10)),1,0)</f>
        <v>0</v>
      </c>
      <c r="Y2954" s="27" t="n">
        <f aca="false">IF(AND(E2954&gt;0,B2954=10),1,0)</f>
        <v>0</v>
      </c>
      <c r="Z2954" s="0" t="str">
        <f aca="false">IF(AND(C2953=C2954,W2953=W2954-1),X2953,"")</f>
        <v/>
      </c>
      <c r="AA2954" s="0" t="str">
        <f aca="false">IF(AND(C2953=C2954,W2953=W2954-1),Y2953,"")</f>
        <v/>
      </c>
      <c r="AB2954" s="0" t="str">
        <f aca="false">IF(W2954=1,"",IF(AND(X2954=1,Z2954&lt;&gt;1),1,0))</f>
        <v/>
      </c>
      <c r="AC2954" s="0" t="str">
        <f aca="false">IF(W2954=1,"",IF(AND(Y2954=1,AA2954&lt;&gt;1),1,0))</f>
        <v/>
      </c>
      <c r="AD2954" s="33" t="str">
        <f aca="false">IF(AND(E2954&gt;0,W2954&lt;1,NOT(AND(C2955=C2954,W2955=W2954+1))),INDEX(DATAS,W2954+1),"")</f>
        <v/>
      </c>
      <c r="AE2954" s="33" t="str">
        <f aca="false">IF(AND(Y2954=1,W2954&lt;1),IF(AND(C2955=C2954,W2955=W2954+1),IF(Y2955=1,"",INDEX(DATAS,W2954+1)),INDEX(DATAS,W2954+1)),"")</f>
        <v/>
      </c>
    </row>
    <row r="2955" customFormat="false" ht="15" hidden="false" customHeight="false" outlineLevel="0" collapsed="false">
      <c r="A2955" s="33" t="n">
        <v>46309</v>
      </c>
      <c r="B2955" s="0" t="n">
        <v>13</v>
      </c>
      <c r="C2955" s="0" t="n">
        <v>7339</v>
      </c>
      <c r="E2955" s="0" t="n">
        <v>0</v>
      </c>
      <c r="F2955" s="27" t="s">
        <v>1435</v>
      </c>
      <c r="I2955" s="27" t="s">
        <v>166</v>
      </c>
      <c r="U2955" s="0" t="n">
        <v>268</v>
      </c>
      <c r="V2955" s="0" t="n">
        <v>0</v>
      </c>
      <c r="W2955" s="27" t="n">
        <f aca="false">MATCH(A2955,DATAS,0)</f>
        <v>1</v>
      </c>
      <c r="X2955" s="27" t="n">
        <f aca="false">IF(AND(E2955&gt;0,OR(AND(B2955&gt;=1,B2955&lt;=6),B2955=10)),1,0)</f>
        <v>0</v>
      </c>
      <c r="Y2955" s="27" t="n">
        <f aca="false">IF(AND(E2955&gt;0,B2955=10),1,0)</f>
        <v>0</v>
      </c>
      <c r="Z2955" s="0" t="str">
        <f aca="false">IF(AND(C2954=C2955,W2954=W2955-1),X2954,"")</f>
        <v/>
      </c>
      <c r="AA2955" s="0" t="str">
        <f aca="false">IF(AND(C2954=C2955,W2954=W2955-1),Y2954,"")</f>
        <v/>
      </c>
      <c r="AB2955" s="0" t="str">
        <f aca="false">IF(W2955=1,"",IF(AND(X2955=1,Z2955&lt;&gt;1),1,0))</f>
        <v/>
      </c>
      <c r="AC2955" s="0" t="str">
        <f aca="false">IF(W2955=1,"",IF(AND(Y2955=1,AA2955&lt;&gt;1),1,0))</f>
        <v/>
      </c>
      <c r="AD2955" s="33" t="str">
        <f aca="false">IF(AND(E2955&gt;0,W2955&lt;1,NOT(AND(C2956=C2955,W2956=W2955+1))),INDEX(DATAS,W2955+1),"")</f>
        <v/>
      </c>
      <c r="AE2955" s="33" t="str">
        <f aca="false">IF(AND(Y2955=1,W2955&lt;1),IF(AND(C2956=C2955,W2956=W2955+1),IF(Y2956=1,"",INDEX(DATAS,W2955+1)),INDEX(DATAS,W2955+1)),"")</f>
        <v/>
      </c>
    </row>
    <row r="2956" customFormat="false" ht="15" hidden="false" customHeight="false" outlineLevel="0" collapsed="false">
      <c r="A2956" s="33" t="n">
        <v>46309</v>
      </c>
      <c r="B2956" s="0" t="n">
        <v>13</v>
      </c>
      <c r="C2956" s="0" t="n">
        <v>7340</v>
      </c>
      <c r="E2956" s="0" t="n">
        <v>0</v>
      </c>
      <c r="F2956" s="27" t="s">
        <v>1435</v>
      </c>
      <c r="I2956" s="27" t="s">
        <v>166</v>
      </c>
      <c r="U2956" s="0" t="n">
        <v>268</v>
      </c>
      <c r="V2956" s="0" t="n">
        <v>0</v>
      </c>
      <c r="W2956" s="27" t="n">
        <f aca="false">MATCH(A2956,DATAS,0)</f>
        <v>1</v>
      </c>
      <c r="X2956" s="27" t="n">
        <f aca="false">IF(AND(E2956&gt;0,OR(AND(B2956&gt;=1,B2956&lt;=6),B2956=10)),1,0)</f>
        <v>0</v>
      </c>
      <c r="Y2956" s="27" t="n">
        <f aca="false">IF(AND(E2956&gt;0,B2956=10),1,0)</f>
        <v>0</v>
      </c>
      <c r="Z2956" s="0" t="str">
        <f aca="false">IF(AND(C2955=C2956,W2955=W2956-1),X2955,"")</f>
        <v/>
      </c>
      <c r="AA2956" s="0" t="str">
        <f aca="false">IF(AND(C2955=C2956,W2955=W2956-1),Y2955,"")</f>
        <v/>
      </c>
      <c r="AB2956" s="0" t="str">
        <f aca="false">IF(W2956=1,"",IF(AND(X2956=1,Z2956&lt;&gt;1),1,0))</f>
        <v/>
      </c>
      <c r="AC2956" s="0" t="str">
        <f aca="false">IF(W2956=1,"",IF(AND(Y2956=1,AA2956&lt;&gt;1),1,0))</f>
        <v/>
      </c>
      <c r="AD2956" s="33" t="str">
        <f aca="false">IF(AND(E2956&gt;0,W2956&lt;1,NOT(AND(C2957=C2956,W2957=W2956+1))),INDEX(DATAS,W2956+1),"")</f>
        <v/>
      </c>
      <c r="AE2956" s="33" t="str">
        <f aca="false">IF(AND(Y2956=1,W2956&lt;1),IF(AND(C2957=C2956,W2957=W2956+1),IF(Y2957=1,"",INDEX(DATAS,W2956+1)),INDEX(DATAS,W2956+1)),"")</f>
        <v/>
      </c>
    </row>
    <row r="2957" customFormat="false" ht="15" hidden="false" customHeight="false" outlineLevel="0" collapsed="false">
      <c r="A2957" s="33" t="n">
        <v>46309</v>
      </c>
      <c r="B2957" s="0" t="n">
        <v>13</v>
      </c>
      <c r="C2957" s="0" t="n">
        <v>7341</v>
      </c>
      <c r="E2957" s="0" t="n">
        <v>0</v>
      </c>
      <c r="F2957" s="27" t="s">
        <v>1435</v>
      </c>
      <c r="I2957" s="27" t="s">
        <v>166</v>
      </c>
      <c r="U2957" s="0" t="n">
        <v>268</v>
      </c>
      <c r="V2957" s="0" t="n">
        <v>0</v>
      </c>
      <c r="W2957" s="27" t="n">
        <f aca="false">MATCH(A2957,DATAS,0)</f>
        <v>1</v>
      </c>
      <c r="X2957" s="27" t="n">
        <f aca="false">IF(AND(E2957&gt;0,OR(AND(B2957&gt;=1,B2957&lt;=6),B2957=10)),1,0)</f>
        <v>0</v>
      </c>
      <c r="Y2957" s="27" t="n">
        <f aca="false">IF(AND(E2957&gt;0,B2957=10),1,0)</f>
        <v>0</v>
      </c>
      <c r="Z2957" s="0" t="str">
        <f aca="false">IF(AND(C2956=C2957,W2956=W2957-1),X2956,"")</f>
        <v/>
      </c>
      <c r="AA2957" s="0" t="str">
        <f aca="false">IF(AND(C2956=C2957,W2956=W2957-1),Y2956,"")</f>
        <v/>
      </c>
      <c r="AB2957" s="0" t="str">
        <f aca="false">IF(W2957=1,"",IF(AND(X2957=1,Z2957&lt;&gt;1),1,0))</f>
        <v/>
      </c>
      <c r="AC2957" s="0" t="str">
        <f aca="false">IF(W2957=1,"",IF(AND(Y2957=1,AA2957&lt;&gt;1),1,0))</f>
        <v/>
      </c>
      <c r="AD2957" s="33" t="str">
        <f aca="false">IF(AND(E2957&gt;0,W2957&lt;1,NOT(AND(C2958=C2957,W2958=W2957+1))),INDEX(DATAS,W2957+1),"")</f>
        <v/>
      </c>
      <c r="AE2957" s="33" t="str">
        <f aca="false">IF(AND(Y2957=1,W2957&lt;1),IF(AND(C2958=C2957,W2958=W2957+1),IF(Y2958=1,"",INDEX(DATAS,W2957+1)),INDEX(DATAS,W2957+1)),"")</f>
        <v/>
      </c>
    </row>
    <row r="2958" customFormat="false" ht="15" hidden="false" customHeight="false" outlineLevel="0" collapsed="false">
      <c r="A2958" s="33" t="n">
        <v>46309</v>
      </c>
      <c r="B2958" s="0" t="n">
        <v>13</v>
      </c>
      <c r="C2958" s="0" t="n">
        <v>7342</v>
      </c>
      <c r="E2958" s="0" t="n">
        <v>0</v>
      </c>
      <c r="F2958" s="27" t="s">
        <v>1436</v>
      </c>
      <c r="I2958" s="27" t="s">
        <v>166</v>
      </c>
      <c r="U2958" s="0" t="n">
        <v>267</v>
      </c>
      <c r="V2958" s="0" t="n">
        <v>0</v>
      </c>
      <c r="W2958" s="27" t="n">
        <f aca="false">MATCH(A2958,DATAS,0)</f>
        <v>1</v>
      </c>
      <c r="X2958" s="27" t="n">
        <f aca="false">IF(AND(E2958&gt;0,OR(AND(B2958&gt;=1,B2958&lt;=6),B2958=10)),1,0)</f>
        <v>0</v>
      </c>
      <c r="Y2958" s="27" t="n">
        <f aca="false">IF(AND(E2958&gt;0,B2958=10),1,0)</f>
        <v>0</v>
      </c>
      <c r="Z2958" s="0" t="str">
        <f aca="false">IF(AND(C2957=C2958,W2957=W2958-1),X2957,"")</f>
        <v/>
      </c>
      <c r="AA2958" s="0" t="str">
        <f aca="false">IF(AND(C2957=C2958,W2957=W2958-1),Y2957,"")</f>
        <v/>
      </c>
      <c r="AB2958" s="0" t="str">
        <f aca="false">IF(W2958=1,"",IF(AND(X2958=1,Z2958&lt;&gt;1),1,0))</f>
        <v/>
      </c>
      <c r="AC2958" s="0" t="str">
        <f aca="false">IF(W2958=1,"",IF(AND(Y2958=1,AA2958&lt;&gt;1),1,0))</f>
        <v/>
      </c>
      <c r="AD2958" s="33" t="str">
        <f aca="false">IF(AND(E2958&gt;0,W2958&lt;1,NOT(AND(C2959=C2958,W2959=W2958+1))),INDEX(DATAS,W2958+1),"")</f>
        <v/>
      </c>
      <c r="AE2958" s="33" t="str">
        <f aca="false">IF(AND(Y2958=1,W2958&lt;1),IF(AND(C2959=C2958,W2959=W2958+1),IF(Y2959=1,"",INDEX(DATAS,W2958+1)),INDEX(DATAS,W2958+1)),"")</f>
        <v/>
      </c>
    </row>
    <row r="2959" customFormat="false" ht="15" hidden="false" customHeight="false" outlineLevel="0" collapsed="false">
      <c r="A2959" s="33" t="n">
        <v>46309</v>
      </c>
      <c r="B2959" s="0" t="n">
        <v>13</v>
      </c>
      <c r="C2959" s="0" t="n">
        <v>7343</v>
      </c>
      <c r="E2959" s="0" t="n">
        <v>0</v>
      </c>
      <c r="F2959" s="27" t="s">
        <v>1436</v>
      </c>
      <c r="I2959" s="27" t="s">
        <v>166</v>
      </c>
      <c r="U2959" s="0" t="n">
        <v>267</v>
      </c>
      <c r="V2959" s="0" t="n">
        <v>0</v>
      </c>
      <c r="W2959" s="27" t="n">
        <f aca="false">MATCH(A2959,DATAS,0)</f>
        <v>1</v>
      </c>
      <c r="X2959" s="27" t="n">
        <f aca="false">IF(AND(E2959&gt;0,OR(AND(B2959&gt;=1,B2959&lt;=6),B2959=10)),1,0)</f>
        <v>0</v>
      </c>
      <c r="Y2959" s="27" t="n">
        <f aca="false">IF(AND(E2959&gt;0,B2959=10),1,0)</f>
        <v>0</v>
      </c>
      <c r="Z2959" s="0" t="str">
        <f aca="false">IF(AND(C2958=C2959,W2958=W2959-1),X2958,"")</f>
        <v/>
      </c>
      <c r="AA2959" s="0" t="str">
        <f aca="false">IF(AND(C2958=C2959,W2958=W2959-1),Y2958,"")</f>
        <v/>
      </c>
      <c r="AB2959" s="0" t="str">
        <f aca="false">IF(W2959=1,"",IF(AND(X2959=1,Z2959&lt;&gt;1),1,0))</f>
        <v/>
      </c>
      <c r="AC2959" s="0" t="str">
        <f aca="false">IF(W2959=1,"",IF(AND(Y2959=1,AA2959&lt;&gt;1),1,0))</f>
        <v/>
      </c>
      <c r="AD2959" s="33" t="str">
        <f aca="false">IF(AND(E2959&gt;0,W2959&lt;1,NOT(AND(C2960=C2959,W2960=W2959+1))),INDEX(DATAS,W2959+1),"")</f>
        <v/>
      </c>
      <c r="AE2959" s="33" t="str">
        <f aca="false">IF(AND(Y2959=1,W2959&lt;1),IF(AND(C2960=C2959,W2960=W2959+1),IF(Y2960=1,"",INDEX(DATAS,W2959+1)),INDEX(DATAS,W2959+1)),"")</f>
        <v/>
      </c>
    </row>
    <row r="2960" customFormat="false" ht="15" hidden="false" customHeight="false" outlineLevel="0" collapsed="false">
      <c r="A2960" s="33" t="n">
        <v>46309</v>
      </c>
      <c r="B2960" s="0" t="n">
        <v>13</v>
      </c>
      <c r="C2960" s="0" t="n">
        <v>7345</v>
      </c>
      <c r="E2960" s="0" t="n">
        <v>0</v>
      </c>
      <c r="F2960" s="27" t="s">
        <v>1436</v>
      </c>
      <c r="I2960" s="27" t="s">
        <v>166</v>
      </c>
      <c r="U2960" s="0" t="n">
        <v>267</v>
      </c>
      <c r="V2960" s="0" t="n">
        <v>0</v>
      </c>
      <c r="W2960" s="27" t="n">
        <f aca="false">MATCH(A2960,DATAS,0)</f>
        <v>1</v>
      </c>
      <c r="X2960" s="27" t="n">
        <f aca="false">IF(AND(E2960&gt;0,OR(AND(B2960&gt;=1,B2960&lt;=6),B2960=10)),1,0)</f>
        <v>0</v>
      </c>
      <c r="Y2960" s="27" t="n">
        <f aca="false">IF(AND(E2960&gt;0,B2960=10),1,0)</f>
        <v>0</v>
      </c>
      <c r="Z2960" s="0" t="str">
        <f aca="false">IF(AND(C2959=C2960,W2959=W2960-1),X2959,"")</f>
        <v/>
      </c>
      <c r="AA2960" s="0" t="str">
        <f aca="false">IF(AND(C2959=C2960,W2959=W2960-1),Y2959,"")</f>
        <v/>
      </c>
      <c r="AB2960" s="0" t="str">
        <f aca="false">IF(W2960=1,"",IF(AND(X2960=1,Z2960&lt;&gt;1),1,0))</f>
        <v/>
      </c>
      <c r="AC2960" s="0" t="str">
        <f aca="false">IF(W2960=1,"",IF(AND(Y2960=1,AA2960&lt;&gt;1),1,0))</f>
        <v/>
      </c>
      <c r="AD2960" s="33" t="str">
        <f aca="false">IF(AND(E2960&gt;0,W2960&lt;1,NOT(AND(C2961=C2960,W2961=W2960+1))),INDEX(DATAS,W2960+1),"")</f>
        <v/>
      </c>
      <c r="AE2960" s="33" t="str">
        <f aca="false">IF(AND(Y2960=1,W2960&lt;1),IF(AND(C2961=C2960,W2961=W2960+1),IF(Y2961=1,"",INDEX(DATAS,W2960+1)),INDEX(DATAS,W2960+1)),"")</f>
        <v/>
      </c>
    </row>
    <row r="2961" customFormat="false" ht="15" hidden="false" customHeight="false" outlineLevel="0" collapsed="false">
      <c r="A2961" s="33" t="n">
        <v>46309</v>
      </c>
      <c r="B2961" s="0" t="n">
        <v>13</v>
      </c>
      <c r="C2961" s="0" t="n">
        <v>7346</v>
      </c>
      <c r="E2961" s="0" t="n">
        <v>0</v>
      </c>
      <c r="F2961" s="27" t="s">
        <v>1437</v>
      </c>
      <c r="I2961" s="27" t="s">
        <v>166</v>
      </c>
      <c r="U2961" s="0" t="n">
        <v>266</v>
      </c>
      <c r="V2961" s="0" t="n">
        <v>0</v>
      </c>
      <c r="W2961" s="27" t="n">
        <f aca="false">MATCH(A2961,DATAS,0)</f>
        <v>1</v>
      </c>
      <c r="X2961" s="27" t="n">
        <f aca="false">IF(AND(E2961&gt;0,OR(AND(B2961&gt;=1,B2961&lt;=6),B2961=10)),1,0)</f>
        <v>0</v>
      </c>
      <c r="Y2961" s="27" t="n">
        <f aca="false">IF(AND(E2961&gt;0,B2961=10),1,0)</f>
        <v>0</v>
      </c>
      <c r="Z2961" s="0" t="str">
        <f aca="false">IF(AND(C2960=C2961,W2960=W2961-1),X2960,"")</f>
        <v/>
      </c>
      <c r="AA2961" s="0" t="str">
        <f aca="false">IF(AND(C2960=C2961,W2960=W2961-1),Y2960,"")</f>
        <v/>
      </c>
      <c r="AB2961" s="0" t="str">
        <f aca="false">IF(W2961=1,"",IF(AND(X2961=1,Z2961&lt;&gt;1),1,0))</f>
        <v/>
      </c>
      <c r="AC2961" s="0" t="str">
        <f aca="false">IF(W2961=1,"",IF(AND(Y2961=1,AA2961&lt;&gt;1),1,0))</f>
        <v/>
      </c>
      <c r="AD2961" s="33" t="str">
        <f aca="false">IF(AND(E2961&gt;0,W2961&lt;1,NOT(AND(C2962=C2961,W2962=W2961+1))),INDEX(DATAS,W2961+1),"")</f>
        <v/>
      </c>
      <c r="AE2961" s="33" t="str">
        <f aca="false">IF(AND(Y2961=1,W2961&lt;1),IF(AND(C2962=C2961,W2962=W2961+1),IF(Y2962=1,"",INDEX(DATAS,W2961+1)),INDEX(DATAS,W2961+1)),"")</f>
        <v/>
      </c>
    </row>
    <row r="2962" customFormat="false" ht="15" hidden="false" customHeight="false" outlineLevel="0" collapsed="false">
      <c r="A2962" s="33" t="n">
        <v>46309</v>
      </c>
      <c r="B2962" s="0" t="n">
        <v>13</v>
      </c>
      <c r="C2962" s="0" t="n">
        <v>7347</v>
      </c>
      <c r="E2962" s="0" t="n">
        <v>0</v>
      </c>
      <c r="F2962" s="27" t="s">
        <v>1437</v>
      </c>
      <c r="I2962" s="27" t="s">
        <v>166</v>
      </c>
      <c r="U2962" s="0" t="n">
        <v>266</v>
      </c>
      <c r="V2962" s="0" t="n">
        <v>0</v>
      </c>
      <c r="W2962" s="27" t="n">
        <f aca="false">MATCH(A2962,DATAS,0)</f>
        <v>1</v>
      </c>
      <c r="X2962" s="27" t="n">
        <f aca="false">IF(AND(E2962&gt;0,OR(AND(B2962&gt;=1,B2962&lt;=6),B2962=10)),1,0)</f>
        <v>0</v>
      </c>
      <c r="Y2962" s="27" t="n">
        <f aca="false">IF(AND(E2962&gt;0,B2962=10),1,0)</f>
        <v>0</v>
      </c>
      <c r="Z2962" s="0" t="str">
        <f aca="false">IF(AND(C2961=C2962,W2961=W2962-1),X2961,"")</f>
        <v/>
      </c>
      <c r="AA2962" s="0" t="str">
        <f aca="false">IF(AND(C2961=C2962,W2961=W2962-1),Y2961,"")</f>
        <v/>
      </c>
      <c r="AB2962" s="0" t="str">
        <f aca="false">IF(W2962=1,"",IF(AND(X2962=1,Z2962&lt;&gt;1),1,0))</f>
        <v/>
      </c>
      <c r="AC2962" s="0" t="str">
        <f aca="false">IF(W2962=1,"",IF(AND(Y2962=1,AA2962&lt;&gt;1),1,0))</f>
        <v/>
      </c>
      <c r="AD2962" s="33" t="str">
        <f aca="false">IF(AND(E2962&gt;0,W2962&lt;1,NOT(AND(C2963=C2962,W2963=W2962+1))),INDEX(DATAS,W2962+1),"")</f>
        <v/>
      </c>
      <c r="AE2962" s="33" t="str">
        <f aca="false">IF(AND(Y2962=1,W2962&lt;1),IF(AND(C2963=C2962,W2963=W2962+1),IF(Y2963=1,"",INDEX(DATAS,W2962+1)),INDEX(DATAS,W2962+1)),"")</f>
        <v/>
      </c>
    </row>
    <row r="2963" customFormat="false" ht="15" hidden="false" customHeight="false" outlineLevel="0" collapsed="false">
      <c r="A2963" s="33" t="n">
        <v>46309</v>
      </c>
      <c r="B2963" s="0" t="n">
        <v>13</v>
      </c>
      <c r="C2963" s="0" t="n">
        <v>7348</v>
      </c>
      <c r="E2963" s="0" t="n">
        <v>0</v>
      </c>
      <c r="F2963" s="27" t="s">
        <v>1437</v>
      </c>
      <c r="I2963" s="27" t="s">
        <v>166</v>
      </c>
      <c r="U2963" s="0" t="n">
        <v>266</v>
      </c>
      <c r="V2963" s="0" t="n">
        <v>0</v>
      </c>
      <c r="W2963" s="27" t="n">
        <f aca="false">MATCH(A2963,DATAS,0)</f>
        <v>1</v>
      </c>
      <c r="X2963" s="27" t="n">
        <f aca="false">IF(AND(E2963&gt;0,OR(AND(B2963&gt;=1,B2963&lt;=6),B2963=10)),1,0)</f>
        <v>0</v>
      </c>
      <c r="Y2963" s="27" t="n">
        <f aca="false">IF(AND(E2963&gt;0,B2963=10),1,0)</f>
        <v>0</v>
      </c>
      <c r="Z2963" s="0" t="str">
        <f aca="false">IF(AND(C2962=C2963,W2962=W2963-1),X2962,"")</f>
        <v/>
      </c>
      <c r="AA2963" s="0" t="str">
        <f aca="false">IF(AND(C2962=C2963,W2962=W2963-1),Y2962,"")</f>
        <v/>
      </c>
      <c r="AB2963" s="0" t="str">
        <f aca="false">IF(W2963=1,"",IF(AND(X2963=1,Z2963&lt;&gt;1),1,0))</f>
        <v/>
      </c>
      <c r="AC2963" s="0" t="str">
        <f aca="false">IF(W2963=1,"",IF(AND(Y2963=1,AA2963&lt;&gt;1),1,0))</f>
        <v/>
      </c>
      <c r="AD2963" s="33" t="str">
        <f aca="false">IF(AND(E2963&gt;0,W2963&lt;1,NOT(AND(C2964=C2963,W2964=W2963+1))),INDEX(DATAS,W2963+1),"")</f>
        <v/>
      </c>
      <c r="AE2963" s="33" t="str">
        <f aca="false">IF(AND(Y2963=1,W2963&lt;1),IF(AND(C2964=C2963,W2964=W2963+1),IF(Y2964=1,"",INDEX(DATAS,W2963+1)),INDEX(DATAS,W2963+1)),"")</f>
        <v/>
      </c>
    </row>
    <row r="2964" customFormat="false" ht="15" hidden="false" customHeight="false" outlineLevel="0" collapsed="false">
      <c r="A2964" s="33" t="n">
        <v>46309</v>
      </c>
      <c r="B2964" s="0" t="n">
        <v>13</v>
      </c>
      <c r="C2964" s="0" t="n">
        <v>7349</v>
      </c>
      <c r="E2964" s="0" t="n">
        <v>0</v>
      </c>
      <c r="F2964" s="27" t="s">
        <v>1438</v>
      </c>
      <c r="I2964" s="27" t="s">
        <v>166</v>
      </c>
      <c r="U2964" s="0" t="n">
        <v>264</v>
      </c>
      <c r="V2964" s="0" t="n">
        <v>0</v>
      </c>
      <c r="W2964" s="27" t="n">
        <f aca="false">MATCH(A2964,DATAS,0)</f>
        <v>1</v>
      </c>
      <c r="X2964" s="27" t="n">
        <f aca="false">IF(AND(E2964&gt;0,OR(AND(B2964&gt;=1,B2964&lt;=6),B2964=10)),1,0)</f>
        <v>0</v>
      </c>
      <c r="Y2964" s="27" t="n">
        <f aca="false">IF(AND(E2964&gt;0,B2964=10),1,0)</f>
        <v>0</v>
      </c>
      <c r="Z2964" s="0" t="str">
        <f aca="false">IF(AND(C2963=C2964,W2963=W2964-1),X2963,"")</f>
        <v/>
      </c>
      <c r="AA2964" s="0" t="str">
        <f aca="false">IF(AND(C2963=C2964,W2963=W2964-1),Y2963,"")</f>
        <v/>
      </c>
      <c r="AB2964" s="0" t="str">
        <f aca="false">IF(W2964=1,"",IF(AND(X2964=1,Z2964&lt;&gt;1),1,0))</f>
        <v/>
      </c>
      <c r="AC2964" s="0" t="str">
        <f aca="false">IF(W2964=1,"",IF(AND(Y2964=1,AA2964&lt;&gt;1),1,0))</f>
        <v/>
      </c>
      <c r="AD2964" s="33" t="str">
        <f aca="false">IF(AND(E2964&gt;0,W2964&lt;1,NOT(AND(C2965=C2964,W2965=W2964+1))),INDEX(DATAS,W2964+1),"")</f>
        <v/>
      </c>
      <c r="AE2964" s="33" t="str">
        <f aca="false">IF(AND(Y2964=1,W2964&lt;1),IF(AND(C2965=C2964,W2965=W2964+1),IF(Y2965=1,"",INDEX(DATAS,W2964+1)),INDEX(DATAS,W2964+1)),"")</f>
        <v/>
      </c>
    </row>
    <row r="2965" customFormat="false" ht="15" hidden="false" customHeight="false" outlineLevel="0" collapsed="false">
      <c r="A2965" s="33" t="n">
        <v>46309</v>
      </c>
      <c r="B2965" s="0" t="n">
        <v>13</v>
      </c>
      <c r="C2965" s="0" t="n">
        <v>7350</v>
      </c>
      <c r="E2965" s="0" t="n">
        <v>0</v>
      </c>
      <c r="F2965" s="27" t="s">
        <v>1438</v>
      </c>
      <c r="I2965" s="27" t="s">
        <v>166</v>
      </c>
      <c r="U2965" s="0" t="n">
        <v>264</v>
      </c>
      <c r="V2965" s="0" t="n">
        <v>0</v>
      </c>
      <c r="W2965" s="27" t="n">
        <f aca="false">MATCH(A2965,DATAS,0)</f>
        <v>1</v>
      </c>
      <c r="X2965" s="27" t="n">
        <f aca="false">IF(AND(E2965&gt;0,OR(AND(B2965&gt;=1,B2965&lt;=6),B2965=10)),1,0)</f>
        <v>0</v>
      </c>
      <c r="Y2965" s="27" t="n">
        <f aca="false">IF(AND(E2965&gt;0,B2965=10),1,0)</f>
        <v>0</v>
      </c>
      <c r="Z2965" s="0" t="str">
        <f aca="false">IF(AND(C2964=C2965,W2964=W2965-1),X2964,"")</f>
        <v/>
      </c>
      <c r="AA2965" s="0" t="str">
        <f aca="false">IF(AND(C2964=C2965,W2964=W2965-1),Y2964,"")</f>
        <v/>
      </c>
      <c r="AB2965" s="0" t="str">
        <f aca="false">IF(W2965=1,"",IF(AND(X2965=1,Z2965&lt;&gt;1),1,0))</f>
        <v/>
      </c>
      <c r="AC2965" s="0" t="str">
        <f aca="false">IF(W2965=1,"",IF(AND(Y2965=1,AA2965&lt;&gt;1),1,0))</f>
        <v/>
      </c>
      <c r="AD2965" s="33" t="str">
        <f aca="false">IF(AND(E2965&gt;0,W2965&lt;1,NOT(AND(C2966=C2965,W2966=W2965+1))),INDEX(DATAS,W2965+1),"")</f>
        <v/>
      </c>
      <c r="AE2965" s="33" t="str">
        <f aca="false">IF(AND(Y2965=1,W2965&lt;1),IF(AND(C2966=C2965,W2966=W2965+1),IF(Y2966=1,"",INDEX(DATAS,W2965+1)),INDEX(DATAS,W2965+1)),"")</f>
        <v/>
      </c>
    </row>
    <row r="2966" customFormat="false" ht="15" hidden="false" customHeight="false" outlineLevel="0" collapsed="false">
      <c r="A2966" s="33" t="n">
        <v>46309</v>
      </c>
      <c r="B2966" s="0" t="n">
        <v>13</v>
      </c>
      <c r="C2966" s="0" t="n">
        <v>7351</v>
      </c>
      <c r="E2966" s="0" t="n">
        <v>0</v>
      </c>
      <c r="F2966" s="27" t="s">
        <v>1438</v>
      </c>
      <c r="I2966" s="27" t="s">
        <v>166</v>
      </c>
      <c r="U2966" s="0" t="n">
        <v>264</v>
      </c>
      <c r="V2966" s="0" t="n">
        <v>0</v>
      </c>
      <c r="W2966" s="27" t="n">
        <f aca="false">MATCH(A2966,DATAS,0)</f>
        <v>1</v>
      </c>
      <c r="X2966" s="27" t="n">
        <f aca="false">IF(AND(E2966&gt;0,OR(AND(B2966&gt;=1,B2966&lt;=6),B2966=10)),1,0)</f>
        <v>0</v>
      </c>
      <c r="Y2966" s="27" t="n">
        <f aca="false">IF(AND(E2966&gt;0,B2966=10),1,0)</f>
        <v>0</v>
      </c>
      <c r="Z2966" s="0" t="str">
        <f aca="false">IF(AND(C2965=C2966,W2965=W2966-1),X2965,"")</f>
        <v/>
      </c>
      <c r="AA2966" s="0" t="str">
        <f aca="false">IF(AND(C2965=C2966,W2965=W2966-1),Y2965,"")</f>
        <v/>
      </c>
      <c r="AB2966" s="0" t="str">
        <f aca="false">IF(W2966=1,"",IF(AND(X2966=1,Z2966&lt;&gt;1),1,0))</f>
        <v/>
      </c>
      <c r="AC2966" s="0" t="str">
        <f aca="false">IF(W2966=1,"",IF(AND(Y2966=1,AA2966&lt;&gt;1),1,0))</f>
        <v/>
      </c>
      <c r="AD2966" s="33" t="str">
        <f aca="false">IF(AND(E2966&gt;0,W2966&lt;1,NOT(AND(C2967=C2966,W2967=W2966+1))),INDEX(DATAS,W2966+1),"")</f>
        <v/>
      </c>
      <c r="AE2966" s="33" t="str">
        <f aca="false">IF(AND(Y2966=1,W2966&lt;1),IF(AND(C2967=C2966,W2967=W2966+1),IF(Y2967=1,"",INDEX(DATAS,W2966+1)),INDEX(DATAS,W2966+1)),"")</f>
        <v/>
      </c>
    </row>
    <row r="2967" customFormat="false" ht="15" hidden="false" customHeight="false" outlineLevel="0" collapsed="false">
      <c r="A2967" s="33" t="n">
        <v>46309</v>
      </c>
      <c r="B2967" s="0" t="n">
        <v>13</v>
      </c>
      <c r="C2967" s="0" t="n">
        <v>7352</v>
      </c>
      <c r="E2967" s="0" t="n">
        <v>0</v>
      </c>
      <c r="F2967" s="27" t="s">
        <v>1438</v>
      </c>
      <c r="I2967" s="27" t="s">
        <v>166</v>
      </c>
      <c r="U2967" s="0" t="n">
        <v>264</v>
      </c>
      <c r="V2967" s="0" t="n">
        <v>0</v>
      </c>
      <c r="W2967" s="27" t="n">
        <f aca="false">MATCH(A2967,DATAS,0)</f>
        <v>1</v>
      </c>
      <c r="X2967" s="27" t="n">
        <f aca="false">IF(AND(E2967&gt;0,OR(AND(B2967&gt;=1,B2967&lt;=6),B2967=10)),1,0)</f>
        <v>0</v>
      </c>
      <c r="Y2967" s="27" t="n">
        <f aca="false">IF(AND(E2967&gt;0,B2967=10),1,0)</f>
        <v>0</v>
      </c>
      <c r="Z2967" s="0" t="str">
        <f aca="false">IF(AND(C2966=C2967,W2966=W2967-1),X2966,"")</f>
        <v/>
      </c>
      <c r="AA2967" s="0" t="str">
        <f aca="false">IF(AND(C2966=C2967,W2966=W2967-1),Y2966,"")</f>
        <v/>
      </c>
      <c r="AB2967" s="0" t="str">
        <f aca="false">IF(W2967=1,"",IF(AND(X2967=1,Z2967&lt;&gt;1),1,0))</f>
        <v/>
      </c>
      <c r="AC2967" s="0" t="str">
        <f aca="false">IF(W2967=1,"",IF(AND(Y2967=1,AA2967&lt;&gt;1),1,0))</f>
        <v/>
      </c>
      <c r="AD2967" s="33" t="str">
        <f aca="false">IF(AND(E2967&gt;0,W2967&lt;1,NOT(AND(C2968=C2967,W2968=W2967+1))),INDEX(DATAS,W2967+1),"")</f>
        <v/>
      </c>
      <c r="AE2967" s="33" t="str">
        <f aca="false">IF(AND(Y2967=1,W2967&lt;1),IF(AND(C2968=C2967,W2968=W2967+1),IF(Y2968=1,"",INDEX(DATAS,W2967+1)),INDEX(DATAS,W2967+1)),"")</f>
        <v/>
      </c>
    </row>
    <row r="2968" customFormat="false" ht="15" hidden="false" customHeight="false" outlineLevel="0" collapsed="false">
      <c r="A2968" s="33" t="n">
        <v>46309</v>
      </c>
      <c r="B2968" s="0" t="n">
        <v>13</v>
      </c>
      <c r="C2968" s="0" t="n">
        <v>7353</v>
      </c>
      <c r="E2968" s="0" t="n">
        <v>0</v>
      </c>
      <c r="F2968" s="27" t="s">
        <v>1438</v>
      </c>
      <c r="I2968" s="27" t="s">
        <v>166</v>
      </c>
      <c r="U2968" s="0" t="n">
        <v>264</v>
      </c>
      <c r="V2968" s="0" t="n">
        <v>0</v>
      </c>
      <c r="W2968" s="27" t="n">
        <f aca="false">MATCH(A2968,DATAS,0)</f>
        <v>1</v>
      </c>
      <c r="X2968" s="27" t="n">
        <f aca="false">IF(AND(E2968&gt;0,OR(AND(B2968&gt;=1,B2968&lt;=6),B2968=10)),1,0)</f>
        <v>0</v>
      </c>
      <c r="Y2968" s="27" t="n">
        <f aca="false">IF(AND(E2968&gt;0,B2968=10),1,0)</f>
        <v>0</v>
      </c>
      <c r="Z2968" s="0" t="str">
        <f aca="false">IF(AND(C2967=C2968,W2967=W2968-1),X2967,"")</f>
        <v/>
      </c>
      <c r="AA2968" s="0" t="str">
        <f aca="false">IF(AND(C2967=C2968,W2967=W2968-1),Y2967,"")</f>
        <v/>
      </c>
      <c r="AB2968" s="0" t="str">
        <f aca="false">IF(W2968=1,"",IF(AND(X2968=1,Z2968&lt;&gt;1),1,0))</f>
        <v/>
      </c>
      <c r="AC2968" s="0" t="str">
        <f aca="false">IF(W2968=1,"",IF(AND(Y2968=1,AA2968&lt;&gt;1),1,0))</f>
        <v/>
      </c>
      <c r="AD2968" s="33" t="str">
        <f aca="false">IF(AND(E2968&gt;0,W2968&lt;1,NOT(AND(C2969=C2968,W2969=W2968+1))),INDEX(DATAS,W2968+1),"")</f>
        <v/>
      </c>
      <c r="AE2968" s="33" t="str">
        <f aca="false">IF(AND(Y2968=1,W2968&lt;1),IF(AND(C2969=C2968,W2969=W2968+1),IF(Y2969=1,"",INDEX(DATAS,W2968+1)),INDEX(DATAS,W2968+1)),"")</f>
        <v/>
      </c>
    </row>
    <row r="2969" customFormat="false" ht="15" hidden="false" customHeight="false" outlineLevel="0" collapsed="false">
      <c r="A2969" s="33" t="n">
        <v>46309</v>
      </c>
      <c r="B2969" s="0" t="n">
        <v>13</v>
      </c>
      <c r="C2969" s="0" t="n">
        <v>7354</v>
      </c>
      <c r="E2969" s="0" t="n">
        <v>0</v>
      </c>
      <c r="F2969" s="27" t="s">
        <v>1438</v>
      </c>
      <c r="I2969" s="27" t="s">
        <v>166</v>
      </c>
      <c r="U2969" s="0" t="n">
        <v>264</v>
      </c>
      <c r="V2969" s="0" t="n">
        <v>0</v>
      </c>
      <c r="W2969" s="27" t="n">
        <f aca="false">MATCH(A2969,DATAS,0)</f>
        <v>1</v>
      </c>
      <c r="X2969" s="27" t="n">
        <f aca="false">IF(AND(E2969&gt;0,OR(AND(B2969&gt;=1,B2969&lt;=6),B2969=10)),1,0)</f>
        <v>0</v>
      </c>
      <c r="Y2969" s="27" t="n">
        <f aca="false">IF(AND(E2969&gt;0,B2969=10),1,0)</f>
        <v>0</v>
      </c>
      <c r="Z2969" s="0" t="str">
        <f aca="false">IF(AND(C2968=C2969,W2968=W2969-1),X2968,"")</f>
        <v/>
      </c>
      <c r="AA2969" s="0" t="str">
        <f aca="false">IF(AND(C2968=C2969,W2968=W2969-1),Y2968,"")</f>
        <v/>
      </c>
      <c r="AB2969" s="0" t="str">
        <f aca="false">IF(W2969=1,"",IF(AND(X2969=1,Z2969&lt;&gt;1),1,0))</f>
        <v/>
      </c>
      <c r="AC2969" s="0" t="str">
        <f aca="false">IF(W2969=1,"",IF(AND(Y2969=1,AA2969&lt;&gt;1),1,0))</f>
        <v/>
      </c>
      <c r="AD2969" s="33" t="str">
        <f aca="false">IF(AND(E2969&gt;0,W2969&lt;1,NOT(AND(C2970=C2969,W2970=W2969+1))),INDEX(DATAS,W2969+1),"")</f>
        <v/>
      </c>
      <c r="AE2969" s="33" t="str">
        <f aca="false">IF(AND(Y2969=1,W2969&lt;1),IF(AND(C2970=C2969,W2970=W2969+1),IF(Y2970=1,"",INDEX(DATAS,W2969+1)),INDEX(DATAS,W2969+1)),"")</f>
        <v/>
      </c>
    </row>
    <row r="2970" customFormat="false" ht="15" hidden="false" customHeight="false" outlineLevel="0" collapsed="false">
      <c r="A2970" s="33" t="n">
        <v>46309</v>
      </c>
      <c r="B2970" s="0" t="n">
        <v>13</v>
      </c>
      <c r="C2970" s="0" t="n">
        <v>7355</v>
      </c>
      <c r="E2970" s="0" t="n">
        <v>0</v>
      </c>
      <c r="F2970" s="27" t="s">
        <v>1438</v>
      </c>
      <c r="I2970" s="27" t="s">
        <v>166</v>
      </c>
      <c r="U2970" s="0" t="n">
        <v>264</v>
      </c>
      <c r="V2970" s="0" t="n">
        <v>0</v>
      </c>
      <c r="W2970" s="27" t="n">
        <f aca="false">MATCH(A2970,DATAS,0)</f>
        <v>1</v>
      </c>
      <c r="X2970" s="27" t="n">
        <f aca="false">IF(AND(E2970&gt;0,OR(AND(B2970&gt;=1,B2970&lt;=6),B2970=10)),1,0)</f>
        <v>0</v>
      </c>
      <c r="Y2970" s="27" t="n">
        <f aca="false">IF(AND(E2970&gt;0,B2970=10),1,0)</f>
        <v>0</v>
      </c>
      <c r="Z2970" s="0" t="str">
        <f aca="false">IF(AND(C2969=C2970,W2969=W2970-1),X2969,"")</f>
        <v/>
      </c>
      <c r="AA2970" s="0" t="str">
        <f aca="false">IF(AND(C2969=C2970,W2969=W2970-1),Y2969,"")</f>
        <v/>
      </c>
      <c r="AB2970" s="0" t="str">
        <f aca="false">IF(W2970=1,"",IF(AND(X2970=1,Z2970&lt;&gt;1),1,0))</f>
        <v/>
      </c>
      <c r="AC2970" s="0" t="str">
        <f aca="false">IF(W2970=1,"",IF(AND(Y2970=1,AA2970&lt;&gt;1),1,0))</f>
        <v/>
      </c>
      <c r="AD2970" s="33" t="str">
        <f aca="false">IF(AND(E2970&gt;0,W2970&lt;1,NOT(AND(C2971=C2970,W2971=W2970+1))),INDEX(DATAS,W2970+1),"")</f>
        <v/>
      </c>
      <c r="AE2970" s="33" t="str">
        <f aca="false">IF(AND(Y2970=1,W2970&lt;1),IF(AND(C2971=C2970,W2971=W2970+1),IF(Y2971=1,"",INDEX(DATAS,W2970+1)),INDEX(DATAS,W2970+1)),"")</f>
        <v/>
      </c>
    </row>
    <row r="2971" customFormat="false" ht="15" hidden="false" customHeight="false" outlineLevel="0" collapsed="false">
      <c r="A2971" s="33" t="n">
        <v>46309</v>
      </c>
      <c r="B2971" s="0" t="n">
        <v>13</v>
      </c>
      <c r="C2971" s="0" t="n">
        <v>7356</v>
      </c>
      <c r="E2971" s="0" t="n">
        <v>0</v>
      </c>
      <c r="F2971" s="27" t="s">
        <v>1438</v>
      </c>
      <c r="I2971" s="27" t="s">
        <v>166</v>
      </c>
      <c r="U2971" s="0" t="n">
        <v>264</v>
      </c>
      <c r="V2971" s="0" t="n">
        <v>0</v>
      </c>
      <c r="W2971" s="27" t="n">
        <f aca="false">MATCH(A2971,DATAS,0)</f>
        <v>1</v>
      </c>
      <c r="X2971" s="27" t="n">
        <f aca="false">IF(AND(E2971&gt;0,OR(AND(B2971&gt;=1,B2971&lt;=6),B2971=10)),1,0)</f>
        <v>0</v>
      </c>
      <c r="Y2971" s="27" t="n">
        <f aca="false">IF(AND(E2971&gt;0,B2971=10),1,0)</f>
        <v>0</v>
      </c>
      <c r="Z2971" s="0" t="str">
        <f aca="false">IF(AND(C2970=C2971,W2970=W2971-1),X2970,"")</f>
        <v/>
      </c>
      <c r="AA2971" s="0" t="str">
        <f aca="false">IF(AND(C2970=C2971,W2970=W2971-1),Y2970,"")</f>
        <v/>
      </c>
      <c r="AB2971" s="0" t="str">
        <f aca="false">IF(W2971=1,"",IF(AND(X2971=1,Z2971&lt;&gt;1),1,0))</f>
        <v/>
      </c>
      <c r="AC2971" s="0" t="str">
        <f aca="false">IF(W2971=1,"",IF(AND(Y2971=1,AA2971&lt;&gt;1),1,0))</f>
        <v/>
      </c>
      <c r="AD2971" s="33" t="str">
        <f aca="false">IF(AND(E2971&gt;0,W2971&lt;1,NOT(AND(C2972=C2971,W2972=W2971+1))),INDEX(DATAS,W2971+1),"")</f>
        <v/>
      </c>
      <c r="AE2971" s="33" t="str">
        <f aca="false">IF(AND(Y2971=1,W2971&lt;1),IF(AND(C2972=C2971,W2972=W2971+1),IF(Y2972=1,"",INDEX(DATAS,W2971+1)),INDEX(DATAS,W2971+1)),"")</f>
        <v/>
      </c>
    </row>
    <row r="2972" customFormat="false" ht="15" hidden="false" customHeight="false" outlineLevel="0" collapsed="false">
      <c r="A2972" s="33" t="n">
        <v>46309</v>
      </c>
      <c r="B2972" s="0" t="n">
        <v>13</v>
      </c>
      <c r="C2972" s="0" t="n">
        <v>7357</v>
      </c>
      <c r="E2972" s="0" t="n">
        <v>0</v>
      </c>
      <c r="F2972" s="27" t="s">
        <v>1438</v>
      </c>
      <c r="I2972" s="27" t="s">
        <v>166</v>
      </c>
      <c r="U2972" s="0" t="n">
        <v>264</v>
      </c>
      <c r="V2972" s="0" t="n">
        <v>0</v>
      </c>
      <c r="W2972" s="27" t="n">
        <f aca="false">MATCH(A2972,DATAS,0)</f>
        <v>1</v>
      </c>
      <c r="X2972" s="27" t="n">
        <f aca="false">IF(AND(E2972&gt;0,OR(AND(B2972&gt;=1,B2972&lt;=6),B2972=10)),1,0)</f>
        <v>0</v>
      </c>
      <c r="Y2972" s="27" t="n">
        <f aca="false">IF(AND(E2972&gt;0,B2972=10),1,0)</f>
        <v>0</v>
      </c>
      <c r="Z2972" s="0" t="str">
        <f aca="false">IF(AND(C2971=C2972,W2971=W2972-1),X2971,"")</f>
        <v/>
      </c>
      <c r="AA2972" s="0" t="str">
        <f aca="false">IF(AND(C2971=C2972,W2971=W2972-1),Y2971,"")</f>
        <v/>
      </c>
      <c r="AB2972" s="0" t="str">
        <f aca="false">IF(W2972=1,"",IF(AND(X2972=1,Z2972&lt;&gt;1),1,0))</f>
        <v/>
      </c>
      <c r="AC2972" s="0" t="str">
        <f aca="false">IF(W2972=1,"",IF(AND(Y2972=1,AA2972&lt;&gt;1),1,0))</f>
        <v/>
      </c>
      <c r="AD2972" s="33" t="str">
        <f aca="false">IF(AND(E2972&gt;0,W2972&lt;1,NOT(AND(C2973=C2972,W2973=W2972+1))),INDEX(DATAS,W2972+1),"")</f>
        <v/>
      </c>
      <c r="AE2972" s="33" t="str">
        <f aca="false">IF(AND(Y2972=1,W2972&lt;1),IF(AND(C2973=C2972,W2973=W2972+1),IF(Y2973=1,"",INDEX(DATAS,W2972+1)),INDEX(DATAS,W2972+1)),"")</f>
        <v/>
      </c>
    </row>
    <row r="2973" customFormat="false" ht="15" hidden="false" customHeight="false" outlineLevel="0" collapsed="false">
      <c r="A2973" s="33" t="n">
        <v>46309</v>
      </c>
      <c r="B2973" s="0" t="n">
        <v>13</v>
      </c>
      <c r="C2973" s="0" t="n">
        <v>7358</v>
      </c>
      <c r="E2973" s="0" t="n">
        <v>0</v>
      </c>
      <c r="F2973" s="27" t="s">
        <v>1439</v>
      </c>
      <c r="I2973" s="27" t="s">
        <v>166</v>
      </c>
      <c r="U2973" s="0" t="n">
        <v>263</v>
      </c>
      <c r="V2973" s="0" t="n">
        <v>0</v>
      </c>
      <c r="W2973" s="27" t="n">
        <f aca="false">MATCH(A2973,DATAS,0)</f>
        <v>1</v>
      </c>
      <c r="X2973" s="27" t="n">
        <f aca="false">IF(AND(E2973&gt;0,OR(AND(B2973&gt;=1,B2973&lt;=6),B2973=10)),1,0)</f>
        <v>0</v>
      </c>
      <c r="Y2973" s="27" t="n">
        <f aca="false">IF(AND(E2973&gt;0,B2973=10),1,0)</f>
        <v>0</v>
      </c>
      <c r="Z2973" s="0" t="str">
        <f aca="false">IF(AND(C2972=C2973,W2972=W2973-1),X2972,"")</f>
        <v/>
      </c>
      <c r="AA2973" s="0" t="str">
        <f aca="false">IF(AND(C2972=C2973,W2972=W2973-1),Y2972,"")</f>
        <v/>
      </c>
      <c r="AB2973" s="0" t="str">
        <f aca="false">IF(W2973=1,"",IF(AND(X2973=1,Z2973&lt;&gt;1),1,0))</f>
        <v/>
      </c>
      <c r="AC2973" s="0" t="str">
        <f aca="false">IF(W2973=1,"",IF(AND(Y2973=1,AA2973&lt;&gt;1),1,0))</f>
        <v/>
      </c>
      <c r="AD2973" s="33" t="str">
        <f aca="false">IF(AND(E2973&gt;0,W2973&lt;1,NOT(AND(C2974=C2973,W2974=W2973+1))),INDEX(DATAS,W2973+1),"")</f>
        <v/>
      </c>
      <c r="AE2973" s="33" t="str">
        <f aca="false">IF(AND(Y2973=1,W2973&lt;1),IF(AND(C2974=C2973,W2974=W2973+1),IF(Y2974=1,"",INDEX(DATAS,W2973+1)),INDEX(DATAS,W2973+1)),"")</f>
        <v/>
      </c>
    </row>
    <row r="2974" customFormat="false" ht="15" hidden="false" customHeight="false" outlineLevel="0" collapsed="false">
      <c r="A2974" s="33" t="n">
        <v>46309</v>
      </c>
      <c r="B2974" s="0" t="n">
        <v>13</v>
      </c>
      <c r="C2974" s="0" t="n">
        <v>7359</v>
      </c>
      <c r="E2974" s="0" t="n">
        <v>0</v>
      </c>
      <c r="F2974" s="27" t="s">
        <v>1440</v>
      </c>
      <c r="I2974" s="27" t="s">
        <v>166</v>
      </c>
      <c r="U2974" s="0" t="n">
        <v>262</v>
      </c>
      <c r="V2974" s="0" t="n">
        <v>0</v>
      </c>
      <c r="W2974" s="27" t="n">
        <f aca="false">MATCH(A2974,DATAS,0)</f>
        <v>1</v>
      </c>
      <c r="X2974" s="27" t="n">
        <f aca="false">IF(AND(E2974&gt;0,OR(AND(B2974&gt;=1,B2974&lt;=6),B2974=10)),1,0)</f>
        <v>0</v>
      </c>
      <c r="Y2974" s="27" t="n">
        <f aca="false">IF(AND(E2974&gt;0,B2974=10),1,0)</f>
        <v>0</v>
      </c>
      <c r="Z2974" s="0" t="str">
        <f aca="false">IF(AND(C2973=C2974,W2973=W2974-1),X2973,"")</f>
        <v/>
      </c>
      <c r="AA2974" s="0" t="str">
        <f aca="false">IF(AND(C2973=C2974,W2973=W2974-1),Y2973,"")</f>
        <v/>
      </c>
      <c r="AB2974" s="0" t="str">
        <f aca="false">IF(W2974=1,"",IF(AND(X2974=1,Z2974&lt;&gt;1),1,0))</f>
        <v/>
      </c>
      <c r="AC2974" s="0" t="str">
        <f aca="false">IF(W2974=1,"",IF(AND(Y2974=1,AA2974&lt;&gt;1),1,0))</f>
        <v/>
      </c>
      <c r="AD2974" s="33" t="str">
        <f aca="false">IF(AND(E2974&gt;0,W2974&lt;1,NOT(AND(C2975=C2974,W2975=W2974+1))),INDEX(DATAS,W2974+1),"")</f>
        <v/>
      </c>
      <c r="AE2974" s="33" t="str">
        <f aca="false">IF(AND(Y2974=1,W2974&lt;1),IF(AND(C2975=C2974,W2975=W2974+1),IF(Y2975=1,"",INDEX(DATAS,W2974+1)),INDEX(DATAS,W2974+1)),"")</f>
        <v/>
      </c>
    </row>
    <row r="2975" customFormat="false" ht="15" hidden="false" customHeight="false" outlineLevel="0" collapsed="false">
      <c r="A2975" s="33" t="n">
        <v>46309</v>
      </c>
      <c r="B2975" s="0" t="n">
        <v>13</v>
      </c>
      <c r="C2975" s="0" t="n">
        <v>7360</v>
      </c>
      <c r="E2975" s="0" t="n">
        <v>0</v>
      </c>
      <c r="F2975" s="27" t="s">
        <v>1440</v>
      </c>
      <c r="I2975" s="27" t="s">
        <v>166</v>
      </c>
      <c r="U2975" s="0" t="n">
        <v>262</v>
      </c>
      <c r="V2975" s="0" t="n">
        <v>0</v>
      </c>
      <c r="W2975" s="27" t="n">
        <f aca="false">MATCH(A2975,DATAS,0)</f>
        <v>1</v>
      </c>
      <c r="X2975" s="27" t="n">
        <f aca="false">IF(AND(E2975&gt;0,OR(AND(B2975&gt;=1,B2975&lt;=6),B2975=10)),1,0)</f>
        <v>0</v>
      </c>
      <c r="Y2975" s="27" t="n">
        <f aca="false">IF(AND(E2975&gt;0,B2975=10),1,0)</f>
        <v>0</v>
      </c>
      <c r="Z2975" s="0" t="str">
        <f aca="false">IF(AND(C2974=C2975,W2974=W2975-1),X2974,"")</f>
        <v/>
      </c>
      <c r="AA2975" s="0" t="str">
        <f aca="false">IF(AND(C2974=C2975,W2974=W2975-1),Y2974,"")</f>
        <v/>
      </c>
      <c r="AB2975" s="0" t="str">
        <f aca="false">IF(W2975=1,"",IF(AND(X2975=1,Z2975&lt;&gt;1),1,0))</f>
        <v/>
      </c>
      <c r="AC2975" s="0" t="str">
        <f aca="false">IF(W2975=1,"",IF(AND(Y2975=1,AA2975&lt;&gt;1),1,0))</f>
        <v/>
      </c>
      <c r="AD2975" s="33" t="str">
        <f aca="false">IF(AND(E2975&gt;0,W2975&lt;1,NOT(AND(C2976=C2975,W2976=W2975+1))),INDEX(DATAS,W2975+1),"")</f>
        <v/>
      </c>
      <c r="AE2975" s="33" t="str">
        <f aca="false">IF(AND(Y2975=1,W2975&lt;1),IF(AND(C2976=C2975,W2976=W2975+1),IF(Y2976=1,"",INDEX(DATAS,W2975+1)),INDEX(DATAS,W2975+1)),"")</f>
        <v/>
      </c>
    </row>
    <row r="2976" customFormat="false" ht="15" hidden="false" customHeight="false" outlineLevel="0" collapsed="false">
      <c r="A2976" s="33" t="n">
        <v>46309</v>
      </c>
      <c r="B2976" s="0" t="n">
        <v>13</v>
      </c>
      <c r="C2976" s="0" t="n">
        <v>7362</v>
      </c>
      <c r="E2976" s="0" t="n">
        <v>0</v>
      </c>
      <c r="F2976" s="27" t="s">
        <v>1441</v>
      </c>
      <c r="I2976" s="27" t="s">
        <v>166</v>
      </c>
      <c r="U2976" s="0" t="n">
        <v>261</v>
      </c>
      <c r="V2976" s="0" t="n">
        <v>0</v>
      </c>
      <c r="W2976" s="27" t="n">
        <f aca="false">MATCH(A2976,DATAS,0)</f>
        <v>1</v>
      </c>
      <c r="X2976" s="27" t="n">
        <f aca="false">IF(AND(E2976&gt;0,OR(AND(B2976&gt;=1,B2976&lt;=6),B2976=10)),1,0)</f>
        <v>0</v>
      </c>
      <c r="Y2976" s="27" t="n">
        <f aca="false">IF(AND(E2976&gt;0,B2976=10),1,0)</f>
        <v>0</v>
      </c>
      <c r="Z2976" s="0" t="str">
        <f aca="false">IF(AND(C2975=C2976,W2975=W2976-1),X2975,"")</f>
        <v/>
      </c>
      <c r="AA2976" s="0" t="str">
        <f aca="false">IF(AND(C2975=C2976,W2975=W2976-1),Y2975,"")</f>
        <v/>
      </c>
      <c r="AB2976" s="0" t="str">
        <f aca="false">IF(W2976=1,"",IF(AND(X2976=1,Z2976&lt;&gt;1),1,0))</f>
        <v/>
      </c>
      <c r="AC2976" s="0" t="str">
        <f aca="false">IF(W2976=1,"",IF(AND(Y2976=1,AA2976&lt;&gt;1),1,0))</f>
        <v/>
      </c>
      <c r="AD2976" s="33" t="str">
        <f aca="false">IF(AND(E2976&gt;0,W2976&lt;1,NOT(AND(C2977=C2976,W2977=W2976+1))),INDEX(DATAS,W2976+1),"")</f>
        <v/>
      </c>
      <c r="AE2976" s="33" t="str">
        <f aca="false">IF(AND(Y2976=1,W2976&lt;1),IF(AND(C2977=C2976,W2977=W2976+1),IF(Y2977=1,"",INDEX(DATAS,W2976+1)),INDEX(DATAS,W2976+1)),"")</f>
        <v/>
      </c>
    </row>
    <row r="2977" customFormat="false" ht="15" hidden="false" customHeight="false" outlineLevel="0" collapsed="false">
      <c r="A2977" s="33" t="n">
        <v>46309</v>
      </c>
      <c r="B2977" s="0" t="n">
        <v>13</v>
      </c>
      <c r="C2977" s="0" t="n">
        <v>7363</v>
      </c>
      <c r="E2977" s="0" t="n">
        <v>0</v>
      </c>
      <c r="F2977" s="27" t="s">
        <v>1441</v>
      </c>
      <c r="I2977" s="27" t="s">
        <v>166</v>
      </c>
      <c r="U2977" s="0" t="n">
        <v>261</v>
      </c>
      <c r="V2977" s="0" t="n">
        <v>0</v>
      </c>
      <c r="W2977" s="27" t="n">
        <f aca="false">MATCH(A2977,DATAS,0)</f>
        <v>1</v>
      </c>
      <c r="X2977" s="27" t="n">
        <f aca="false">IF(AND(E2977&gt;0,OR(AND(B2977&gt;=1,B2977&lt;=6),B2977=10)),1,0)</f>
        <v>0</v>
      </c>
      <c r="Y2977" s="27" t="n">
        <f aca="false">IF(AND(E2977&gt;0,B2977=10),1,0)</f>
        <v>0</v>
      </c>
      <c r="Z2977" s="0" t="str">
        <f aca="false">IF(AND(C2976=C2977,W2976=W2977-1),X2976,"")</f>
        <v/>
      </c>
      <c r="AA2977" s="0" t="str">
        <f aca="false">IF(AND(C2976=C2977,W2976=W2977-1),Y2976,"")</f>
        <v/>
      </c>
      <c r="AB2977" s="0" t="str">
        <f aca="false">IF(W2977=1,"",IF(AND(X2977=1,Z2977&lt;&gt;1),1,0))</f>
        <v/>
      </c>
      <c r="AC2977" s="0" t="str">
        <f aca="false">IF(W2977=1,"",IF(AND(Y2977=1,AA2977&lt;&gt;1),1,0))</f>
        <v/>
      </c>
      <c r="AD2977" s="33" t="str">
        <f aca="false">IF(AND(E2977&gt;0,W2977&lt;1,NOT(AND(C2978=C2977,W2978=W2977+1))),INDEX(DATAS,W2977+1),"")</f>
        <v/>
      </c>
      <c r="AE2977" s="33" t="str">
        <f aca="false">IF(AND(Y2977=1,W2977&lt;1),IF(AND(C2978=C2977,W2978=W2977+1),IF(Y2978=1,"",INDEX(DATAS,W2977+1)),INDEX(DATAS,W2977+1)),"")</f>
        <v/>
      </c>
    </row>
    <row r="2978" customFormat="false" ht="15" hidden="false" customHeight="false" outlineLevel="0" collapsed="false">
      <c r="A2978" s="33" t="n">
        <v>46309</v>
      </c>
      <c r="B2978" s="0" t="n">
        <v>13</v>
      </c>
      <c r="C2978" s="0" t="n">
        <v>7364</v>
      </c>
      <c r="E2978" s="0" t="n">
        <v>0</v>
      </c>
      <c r="F2978" s="27" t="s">
        <v>1441</v>
      </c>
      <c r="I2978" s="27" t="s">
        <v>166</v>
      </c>
      <c r="U2978" s="0" t="n">
        <v>261</v>
      </c>
      <c r="V2978" s="0" t="n">
        <v>0</v>
      </c>
      <c r="W2978" s="27" t="n">
        <f aca="false">MATCH(A2978,DATAS,0)</f>
        <v>1</v>
      </c>
      <c r="X2978" s="27" t="n">
        <f aca="false">IF(AND(E2978&gt;0,OR(AND(B2978&gt;=1,B2978&lt;=6),B2978=10)),1,0)</f>
        <v>0</v>
      </c>
      <c r="Y2978" s="27" t="n">
        <f aca="false">IF(AND(E2978&gt;0,B2978=10),1,0)</f>
        <v>0</v>
      </c>
      <c r="Z2978" s="0" t="str">
        <f aca="false">IF(AND(C2977=C2978,W2977=W2978-1),X2977,"")</f>
        <v/>
      </c>
      <c r="AA2978" s="0" t="str">
        <f aca="false">IF(AND(C2977=C2978,W2977=W2978-1),Y2977,"")</f>
        <v/>
      </c>
      <c r="AB2978" s="0" t="str">
        <f aca="false">IF(W2978=1,"",IF(AND(X2978=1,Z2978&lt;&gt;1),1,0))</f>
        <v/>
      </c>
      <c r="AC2978" s="0" t="str">
        <f aca="false">IF(W2978=1,"",IF(AND(Y2978=1,AA2978&lt;&gt;1),1,0))</f>
        <v/>
      </c>
      <c r="AD2978" s="33" t="str">
        <f aca="false">IF(AND(E2978&gt;0,W2978&lt;1,NOT(AND(C2979=C2978,W2979=W2978+1))),INDEX(DATAS,W2978+1),"")</f>
        <v/>
      </c>
      <c r="AE2978" s="33" t="str">
        <f aca="false">IF(AND(Y2978=1,W2978&lt;1),IF(AND(C2979=C2978,W2979=W2978+1),IF(Y2979=1,"",INDEX(DATAS,W2978+1)),INDEX(DATAS,W2978+1)),"")</f>
        <v/>
      </c>
    </row>
    <row r="2979" customFormat="false" ht="15" hidden="false" customHeight="false" outlineLevel="0" collapsed="false">
      <c r="A2979" s="33" t="n">
        <v>46309</v>
      </c>
      <c r="B2979" s="0" t="n">
        <v>13</v>
      </c>
      <c r="C2979" s="0" t="n">
        <v>7365</v>
      </c>
      <c r="E2979" s="0" t="n">
        <v>0</v>
      </c>
      <c r="F2979" s="27" t="s">
        <v>1442</v>
      </c>
      <c r="I2979" s="27" t="s">
        <v>166</v>
      </c>
      <c r="U2979" s="0" t="n">
        <v>260</v>
      </c>
      <c r="V2979" s="0" t="n">
        <v>0</v>
      </c>
      <c r="W2979" s="27" t="n">
        <f aca="false">MATCH(A2979,DATAS,0)</f>
        <v>1</v>
      </c>
      <c r="X2979" s="27" t="n">
        <f aca="false">IF(AND(E2979&gt;0,OR(AND(B2979&gt;=1,B2979&lt;=6),B2979=10)),1,0)</f>
        <v>0</v>
      </c>
      <c r="Y2979" s="27" t="n">
        <f aca="false">IF(AND(E2979&gt;0,B2979=10),1,0)</f>
        <v>0</v>
      </c>
      <c r="Z2979" s="0" t="str">
        <f aca="false">IF(AND(C2978=C2979,W2978=W2979-1),X2978,"")</f>
        <v/>
      </c>
      <c r="AA2979" s="0" t="str">
        <f aca="false">IF(AND(C2978=C2979,W2978=W2979-1),Y2978,"")</f>
        <v/>
      </c>
      <c r="AB2979" s="0" t="str">
        <f aca="false">IF(W2979=1,"",IF(AND(X2979=1,Z2979&lt;&gt;1),1,0))</f>
        <v/>
      </c>
      <c r="AC2979" s="0" t="str">
        <f aca="false">IF(W2979=1,"",IF(AND(Y2979=1,AA2979&lt;&gt;1),1,0))</f>
        <v/>
      </c>
      <c r="AD2979" s="33" t="str">
        <f aca="false">IF(AND(E2979&gt;0,W2979&lt;1,NOT(AND(C2980=C2979,W2980=W2979+1))),INDEX(DATAS,W2979+1),"")</f>
        <v/>
      </c>
      <c r="AE2979" s="33" t="str">
        <f aca="false">IF(AND(Y2979=1,W2979&lt;1),IF(AND(C2980=C2979,W2980=W2979+1),IF(Y2980=1,"",INDEX(DATAS,W2979+1)),INDEX(DATAS,W2979+1)),"")</f>
        <v/>
      </c>
    </row>
    <row r="2980" customFormat="false" ht="15" hidden="false" customHeight="false" outlineLevel="0" collapsed="false">
      <c r="A2980" s="33" t="n">
        <v>46309</v>
      </c>
      <c r="B2980" s="0" t="n">
        <v>13</v>
      </c>
      <c r="C2980" s="0" t="n">
        <v>7367</v>
      </c>
      <c r="E2980" s="0" t="n">
        <v>0</v>
      </c>
      <c r="F2980" s="27" t="s">
        <v>1443</v>
      </c>
      <c r="I2980" s="27" t="s">
        <v>166</v>
      </c>
      <c r="U2980" s="0" t="n">
        <v>259</v>
      </c>
      <c r="V2980" s="0" t="n">
        <v>0</v>
      </c>
      <c r="W2980" s="27" t="n">
        <f aca="false">MATCH(A2980,DATAS,0)</f>
        <v>1</v>
      </c>
      <c r="X2980" s="27" t="n">
        <f aca="false">IF(AND(E2980&gt;0,OR(AND(B2980&gt;=1,B2980&lt;=6),B2980=10)),1,0)</f>
        <v>0</v>
      </c>
      <c r="Y2980" s="27" t="n">
        <f aca="false">IF(AND(E2980&gt;0,B2980=10),1,0)</f>
        <v>0</v>
      </c>
      <c r="Z2980" s="0" t="str">
        <f aca="false">IF(AND(C2979=C2980,W2979=W2980-1),X2979,"")</f>
        <v/>
      </c>
      <c r="AA2980" s="0" t="str">
        <f aca="false">IF(AND(C2979=C2980,W2979=W2980-1),Y2979,"")</f>
        <v/>
      </c>
      <c r="AB2980" s="0" t="str">
        <f aca="false">IF(W2980=1,"",IF(AND(X2980=1,Z2980&lt;&gt;1),1,0))</f>
        <v/>
      </c>
      <c r="AC2980" s="0" t="str">
        <f aca="false">IF(W2980=1,"",IF(AND(Y2980=1,AA2980&lt;&gt;1),1,0))</f>
        <v/>
      </c>
      <c r="AD2980" s="33" t="str">
        <f aca="false">IF(AND(E2980&gt;0,W2980&lt;1,NOT(AND(C2981=C2980,W2981=W2980+1))),INDEX(DATAS,W2980+1),"")</f>
        <v/>
      </c>
      <c r="AE2980" s="33" t="str">
        <f aca="false">IF(AND(Y2980=1,W2980&lt;1),IF(AND(C2981=C2980,W2981=W2980+1),IF(Y2981=1,"",INDEX(DATAS,W2980+1)),INDEX(DATAS,W2980+1)),"")</f>
        <v/>
      </c>
    </row>
    <row r="2981" customFormat="false" ht="15" hidden="false" customHeight="false" outlineLevel="0" collapsed="false">
      <c r="A2981" s="33" t="n">
        <v>46309</v>
      </c>
      <c r="B2981" s="0" t="n">
        <v>13</v>
      </c>
      <c r="C2981" s="0" t="n">
        <v>7368</v>
      </c>
      <c r="E2981" s="0" t="n">
        <v>0</v>
      </c>
      <c r="F2981" s="27" t="s">
        <v>1443</v>
      </c>
      <c r="I2981" s="27" t="s">
        <v>166</v>
      </c>
      <c r="U2981" s="0" t="n">
        <v>259</v>
      </c>
      <c r="V2981" s="0" t="n">
        <v>0</v>
      </c>
      <c r="W2981" s="27" t="n">
        <f aca="false">MATCH(A2981,DATAS,0)</f>
        <v>1</v>
      </c>
      <c r="X2981" s="27" t="n">
        <f aca="false">IF(AND(E2981&gt;0,OR(AND(B2981&gt;=1,B2981&lt;=6),B2981=10)),1,0)</f>
        <v>0</v>
      </c>
      <c r="Y2981" s="27" t="n">
        <f aca="false">IF(AND(E2981&gt;0,B2981=10),1,0)</f>
        <v>0</v>
      </c>
      <c r="Z2981" s="0" t="str">
        <f aca="false">IF(AND(C2980=C2981,W2980=W2981-1),X2980,"")</f>
        <v/>
      </c>
      <c r="AA2981" s="0" t="str">
        <f aca="false">IF(AND(C2980=C2981,W2980=W2981-1),Y2980,"")</f>
        <v/>
      </c>
      <c r="AB2981" s="0" t="str">
        <f aca="false">IF(W2981=1,"",IF(AND(X2981=1,Z2981&lt;&gt;1),1,0))</f>
        <v/>
      </c>
      <c r="AC2981" s="0" t="str">
        <f aca="false">IF(W2981=1,"",IF(AND(Y2981=1,AA2981&lt;&gt;1),1,0))</f>
        <v/>
      </c>
      <c r="AD2981" s="33" t="str">
        <f aca="false">IF(AND(E2981&gt;0,W2981&lt;1,NOT(AND(C2982=C2981,W2982=W2981+1))),INDEX(DATAS,W2981+1),"")</f>
        <v/>
      </c>
      <c r="AE2981" s="33" t="str">
        <f aca="false">IF(AND(Y2981=1,W2981&lt;1),IF(AND(C2982=C2981,W2982=W2981+1),IF(Y2982=1,"",INDEX(DATAS,W2981+1)),INDEX(DATAS,W2981+1)),"")</f>
        <v/>
      </c>
    </row>
    <row r="2982" customFormat="false" ht="15" hidden="false" customHeight="false" outlineLevel="0" collapsed="false">
      <c r="A2982" s="33" t="n">
        <v>46309</v>
      </c>
      <c r="B2982" s="0" t="n">
        <v>13</v>
      </c>
      <c r="C2982" s="0" t="n">
        <v>7369</v>
      </c>
      <c r="E2982" s="0" t="n">
        <v>0</v>
      </c>
      <c r="F2982" s="27" t="s">
        <v>1444</v>
      </c>
      <c r="I2982" s="27" t="s">
        <v>166</v>
      </c>
      <c r="U2982" s="0" t="n">
        <v>258</v>
      </c>
      <c r="V2982" s="0" t="n">
        <v>0</v>
      </c>
      <c r="W2982" s="27" t="n">
        <f aca="false">MATCH(A2982,DATAS,0)</f>
        <v>1</v>
      </c>
      <c r="X2982" s="27" t="n">
        <f aca="false">IF(AND(E2982&gt;0,OR(AND(B2982&gt;=1,B2982&lt;=6),B2982=10)),1,0)</f>
        <v>0</v>
      </c>
      <c r="Y2982" s="27" t="n">
        <f aca="false">IF(AND(E2982&gt;0,B2982=10),1,0)</f>
        <v>0</v>
      </c>
      <c r="Z2982" s="0" t="str">
        <f aca="false">IF(AND(C2981=C2982,W2981=W2982-1),X2981,"")</f>
        <v/>
      </c>
      <c r="AA2982" s="0" t="str">
        <f aca="false">IF(AND(C2981=C2982,W2981=W2982-1),Y2981,"")</f>
        <v/>
      </c>
      <c r="AB2982" s="0" t="str">
        <f aca="false">IF(W2982=1,"",IF(AND(X2982=1,Z2982&lt;&gt;1),1,0))</f>
        <v/>
      </c>
      <c r="AC2982" s="0" t="str">
        <f aca="false">IF(W2982=1,"",IF(AND(Y2982=1,AA2982&lt;&gt;1),1,0))</f>
        <v/>
      </c>
      <c r="AD2982" s="33" t="str">
        <f aca="false">IF(AND(E2982&gt;0,W2982&lt;1,NOT(AND(C2983=C2982,W2983=W2982+1))),INDEX(DATAS,W2982+1),"")</f>
        <v/>
      </c>
      <c r="AE2982" s="33" t="str">
        <f aca="false">IF(AND(Y2982=1,W2982&lt;1),IF(AND(C2983=C2982,W2983=W2982+1),IF(Y2983=1,"",INDEX(DATAS,W2982+1)),INDEX(DATAS,W2982+1)),"")</f>
        <v/>
      </c>
    </row>
    <row r="2983" customFormat="false" ht="15" hidden="false" customHeight="false" outlineLevel="0" collapsed="false">
      <c r="A2983" s="33" t="n">
        <v>46309</v>
      </c>
      <c r="B2983" s="0" t="n">
        <v>13</v>
      </c>
      <c r="C2983" s="0" t="n">
        <v>7370</v>
      </c>
      <c r="E2983" s="0" t="n">
        <v>0</v>
      </c>
      <c r="F2983" s="27" t="s">
        <v>1444</v>
      </c>
      <c r="I2983" s="27" t="s">
        <v>166</v>
      </c>
      <c r="U2983" s="0" t="n">
        <v>258</v>
      </c>
      <c r="V2983" s="0" t="n">
        <v>0</v>
      </c>
      <c r="W2983" s="27" t="n">
        <f aca="false">MATCH(A2983,DATAS,0)</f>
        <v>1</v>
      </c>
      <c r="X2983" s="27" t="n">
        <f aca="false">IF(AND(E2983&gt;0,OR(AND(B2983&gt;=1,B2983&lt;=6),B2983=10)),1,0)</f>
        <v>0</v>
      </c>
      <c r="Y2983" s="27" t="n">
        <f aca="false">IF(AND(E2983&gt;0,B2983=10),1,0)</f>
        <v>0</v>
      </c>
      <c r="Z2983" s="0" t="str">
        <f aca="false">IF(AND(C2982=C2983,W2982=W2983-1),X2982,"")</f>
        <v/>
      </c>
      <c r="AA2983" s="0" t="str">
        <f aca="false">IF(AND(C2982=C2983,W2982=W2983-1),Y2982,"")</f>
        <v/>
      </c>
      <c r="AB2983" s="0" t="str">
        <f aca="false">IF(W2983=1,"",IF(AND(X2983=1,Z2983&lt;&gt;1),1,0))</f>
        <v/>
      </c>
      <c r="AC2983" s="0" t="str">
        <f aca="false">IF(W2983=1,"",IF(AND(Y2983=1,AA2983&lt;&gt;1),1,0))</f>
        <v/>
      </c>
      <c r="AD2983" s="33" t="str">
        <f aca="false">IF(AND(E2983&gt;0,W2983&lt;1,NOT(AND(C2984=C2983,W2984=W2983+1))),INDEX(DATAS,W2983+1),"")</f>
        <v/>
      </c>
      <c r="AE2983" s="33" t="str">
        <f aca="false">IF(AND(Y2983=1,W2983&lt;1),IF(AND(C2984=C2983,W2984=W2983+1),IF(Y2984=1,"",INDEX(DATAS,W2983+1)),INDEX(DATAS,W2983+1)),"")</f>
        <v/>
      </c>
    </row>
    <row r="2984" customFormat="false" ht="15" hidden="false" customHeight="false" outlineLevel="0" collapsed="false">
      <c r="A2984" s="33" t="n">
        <v>46309</v>
      </c>
      <c r="B2984" s="0" t="n">
        <v>13</v>
      </c>
      <c r="C2984" s="0" t="n">
        <v>7371</v>
      </c>
      <c r="E2984" s="0" t="n">
        <v>0</v>
      </c>
      <c r="F2984" s="27" t="s">
        <v>1444</v>
      </c>
      <c r="I2984" s="27" t="s">
        <v>166</v>
      </c>
      <c r="U2984" s="0" t="n">
        <v>258</v>
      </c>
      <c r="V2984" s="0" t="n">
        <v>0</v>
      </c>
      <c r="W2984" s="27" t="n">
        <f aca="false">MATCH(A2984,DATAS,0)</f>
        <v>1</v>
      </c>
      <c r="X2984" s="27" t="n">
        <f aca="false">IF(AND(E2984&gt;0,OR(AND(B2984&gt;=1,B2984&lt;=6),B2984=10)),1,0)</f>
        <v>0</v>
      </c>
      <c r="Y2984" s="27" t="n">
        <f aca="false">IF(AND(E2984&gt;0,B2984=10),1,0)</f>
        <v>0</v>
      </c>
      <c r="Z2984" s="0" t="str">
        <f aca="false">IF(AND(C2983=C2984,W2983=W2984-1),X2983,"")</f>
        <v/>
      </c>
      <c r="AA2984" s="0" t="str">
        <f aca="false">IF(AND(C2983=C2984,W2983=W2984-1),Y2983,"")</f>
        <v/>
      </c>
      <c r="AB2984" s="0" t="str">
        <f aca="false">IF(W2984=1,"",IF(AND(X2984=1,Z2984&lt;&gt;1),1,0))</f>
        <v/>
      </c>
      <c r="AC2984" s="0" t="str">
        <f aca="false">IF(W2984=1,"",IF(AND(Y2984=1,AA2984&lt;&gt;1),1,0))</f>
        <v/>
      </c>
      <c r="AD2984" s="33" t="str">
        <f aca="false">IF(AND(E2984&gt;0,W2984&lt;1,NOT(AND(C2985=C2984,W2985=W2984+1))),INDEX(DATAS,W2984+1),"")</f>
        <v/>
      </c>
      <c r="AE2984" s="33" t="str">
        <f aca="false">IF(AND(Y2984=1,W2984&lt;1),IF(AND(C2985=C2984,W2985=W2984+1),IF(Y2985=1,"",INDEX(DATAS,W2984+1)),INDEX(DATAS,W2984+1)),"")</f>
        <v/>
      </c>
    </row>
    <row r="2985" customFormat="false" ht="15" hidden="false" customHeight="false" outlineLevel="0" collapsed="false">
      <c r="A2985" s="33" t="n">
        <v>46309</v>
      </c>
      <c r="B2985" s="0" t="n">
        <v>13</v>
      </c>
      <c r="C2985" s="0" t="n">
        <v>7372</v>
      </c>
      <c r="E2985" s="0" t="n">
        <v>0</v>
      </c>
      <c r="F2985" s="27" t="s">
        <v>1445</v>
      </c>
      <c r="I2985" s="27" t="s">
        <v>166</v>
      </c>
      <c r="U2985" s="0" t="n">
        <v>257</v>
      </c>
      <c r="V2985" s="0" t="n">
        <v>0</v>
      </c>
      <c r="W2985" s="27" t="n">
        <f aca="false">MATCH(A2985,DATAS,0)</f>
        <v>1</v>
      </c>
      <c r="X2985" s="27" t="n">
        <f aca="false">IF(AND(E2985&gt;0,OR(AND(B2985&gt;=1,B2985&lt;=6),B2985=10)),1,0)</f>
        <v>0</v>
      </c>
      <c r="Y2985" s="27" t="n">
        <f aca="false">IF(AND(E2985&gt;0,B2985=10),1,0)</f>
        <v>0</v>
      </c>
      <c r="Z2985" s="0" t="str">
        <f aca="false">IF(AND(C2984=C2985,W2984=W2985-1),X2984,"")</f>
        <v/>
      </c>
      <c r="AA2985" s="0" t="str">
        <f aca="false">IF(AND(C2984=C2985,W2984=W2985-1),Y2984,"")</f>
        <v/>
      </c>
      <c r="AB2985" s="0" t="str">
        <f aca="false">IF(W2985=1,"",IF(AND(X2985=1,Z2985&lt;&gt;1),1,0))</f>
        <v/>
      </c>
      <c r="AC2985" s="0" t="str">
        <f aca="false">IF(W2985=1,"",IF(AND(Y2985=1,AA2985&lt;&gt;1),1,0))</f>
        <v/>
      </c>
      <c r="AD2985" s="33" t="str">
        <f aca="false">IF(AND(E2985&gt;0,W2985&lt;1,NOT(AND(C2986=C2985,W2986=W2985+1))),INDEX(DATAS,W2985+1),"")</f>
        <v/>
      </c>
      <c r="AE2985" s="33" t="str">
        <f aca="false">IF(AND(Y2985=1,W2985&lt;1),IF(AND(C2986=C2985,W2986=W2985+1),IF(Y2986=1,"",INDEX(DATAS,W2985+1)),INDEX(DATAS,W2985+1)),"")</f>
        <v/>
      </c>
    </row>
    <row r="2986" customFormat="false" ht="15" hidden="false" customHeight="false" outlineLevel="0" collapsed="false">
      <c r="A2986" s="33" t="n">
        <v>46309</v>
      </c>
      <c r="B2986" s="0" t="n">
        <v>13</v>
      </c>
      <c r="C2986" s="0" t="n">
        <v>7374</v>
      </c>
      <c r="E2986" s="0" t="n">
        <v>0</v>
      </c>
      <c r="F2986" s="27" t="s">
        <v>1446</v>
      </c>
      <c r="I2986" s="27" t="s">
        <v>166</v>
      </c>
      <c r="U2986" s="0" t="n">
        <v>256</v>
      </c>
      <c r="V2986" s="0" t="n">
        <v>0</v>
      </c>
      <c r="W2986" s="27" t="n">
        <f aca="false">MATCH(A2986,DATAS,0)</f>
        <v>1</v>
      </c>
      <c r="X2986" s="27" t="n">
        <f aca="false">IF(AND(E2986&gt;0,OR(AND(B2986&gt;=1,B2986&lt;=6),B2986=10)),1,0)</f>
        <v>0</v>
      </c>
      <c r="Y2986" s="27" t="n">
        <f aca="false">IF(AND(E2986&gt;0,B2986=10),1,0)</f>
        <v>0</v>
      </c>
      <c r="Z2986" s="0" t="str">
        <f aca="false">IF(AND(C2985=C2986,W2985=W2986-1),X2985,"")</f>
        <v/>
      </c>
      <c r="AA2986" s="0" t="str">
        <f aca="false">IF(AND(C2985=C2986,W2985=W2986-1),Y2985,"")</f>
        <v/>
      </c>
      <c r="AB2986" s="0" t="str">
        <f aca="false">IF(W2986=1,"",IF(AND(X2986=1,Z2986&lt;&gt;1),1,0))</f>
        <v/>
      </c>
      <c r="AC2986" s="0" t="str">
        <f aca="false">IF(W2986=1,"",IF(AND(Y2986=1,AA2986&lt;&gt;1),1,0))</f>
        <v/>
      </c>
      <c r="AD2986" s="33" t="str">
        <f aca="false">IF(AND(E2986&gt;0,W2986&lt;1,NOT(AND(C2987=C2986,W2987=W2986+1))),INDEX(DATAS,W2986+1),"")</f>
        <v/>
      </c>
      <c r="AE2986" s="33" t="str">
        <f aca="false">IF(AND(Y2986=1,W2986&lt;1),IF(AND(C2987=C2986,W2987=W2986+1),IF(Y2987=1,"",INDEX(DATAS,W2986+1)),INDEX(DATAS,W2986+1)),"")</f>
        <v/>
      </c>
    </row>
    <row r="2987" customFormat="false" ht="15" hidden="false" customHeight="false" outlineLevel="0" collapsed="false">
      <c r="A2987" s="33" t="n">
        <v>46309</v>
      </c>
      <c r="B2987" s="0" t="n">
        <v>13</v>
      </c>
      <c r="C2987" s="0" t="n">
        <v>7375</v>
      </c>
      <c r="E2987" s="0" t="n">
        <v>0</v>
      </c>
      <c r="F2987" s="27" t="s">
        <v>1446</v>
      </c>
      <c r="I2987" s="27" t="s">
        <v>166</v>
      </c>
      <c r="U2987" s="0" t="n">
        <v>256</v>
      </c>
      <c r="V2987" s="0" t="n">
        <v>0</v>
      </c>
      <c r="W2987" s="27" t="n">
        <f aca="false">MATCH(A2987,DATAS,0)</f>
        <v>1</v>
      </c>
      <c r="X2987" s="27" t="n">
        <f aca="false">IF(AND(E2987&gt;0,OR(AND(B2987&gt;=1,B2987&lt;=6),B2987=10)),1,0)</f>
        <v>0</v>
      </c>
      <c r="Y2987" s="27" t="n">
        <f aca="false">IF(AND(E2987&gt;0,B2987=10),1,0)</f>
        <v>0</v>
      </c>
      <c r="Z2987" s="0" t="str">
        <f aca="false">IF(AND(C2986=C2987,W2986=W2987-1),X2986,"")</f>
        <v/>
      </c>
      <c r="AA2987" s="0" t="str">
        <f aca="false">IF(AND(C2986=C2987,W2986=W2987-1),Y2986,"")</f>
        <v/>
      </c>
      <c r="AB2987" s="0" t="str">
        <f aca="false">IF(W2987=1,"",IF(AND(X2987=1,Z2987&lt;&gt;1),1,0))</f>
        <v/>
      </c>
      <c r="AC2987" s="0" t="str">
        <f aca="false">IF(W2987=1,"",IF(AND(Y2987=1,AA2987&lt;&gt;1),1,0))</f>
        <v/>
      </c>
      <c r="AD2987" s="33" t="str">
        <f aca="false">IF(AND(E2987&gt;0,W2987&lt;1,NOT(AND(C2988=C2987,W2988=W2987+1))),INDEX(DATAS,W2987+1),"")</f>
        <v/>
      </c>
      <c r="AE2987" s="33" t="str">
        <f aca="false">IF(AND(Y2987=1,W2987&lt;1),IF(AND(C2988=C2987,W2988=W2987+1),IF(Y2988=1,"",INDEX(DATAS,W2987+1)),INDEX(DATAS,W2987+1)),"")</f>
        <v/>
      </c>
    </row>
    <row r="2988" customFormat="false" ht="15" hidden="false" customHeight="false" outlineLevel="0" collapsed="false">
      <c r="A2988" s="33" t="n">
        <v>46309</v>
      </c>
      <c r="B2988" s="0" t="n">
        <v>13</v>
      </c>
      <c r="C2988" s="0" t="n">
        <v>7376</v>
      </c>
      <c r="E2988" s="0" t="n">
        <v>0</v>
      </c>
      <c r="F2988" s="27" t="s">
        <v>1446</v>
      </c>
      <c r="I2988" s="27" t="s">
        <v>166</v>
      </c>
      <c r="U2988" s="0" t="n">
        <v>256</v>
      </c>
      <c r="V2988" s="0" t="n">
        <v>0</v>
      </c>
      <c r="W2988" s="27" t="n">
        <f aca="false">MATCH(A2988,DATAS,0)</f>
        <v>1</v>
      </c>
      <c r="X2988" s="27" t="n">
        <f aca="false">IF(AND(E2988&gt;0,OR(AND(B2988&gt;=1,B2988&lt;=6),B2988=10)),1,0)</f>
        <v>0</v>
      </c>
      <c r="Y2988" s="27" t="n">
        <f aca="false">IF(AND(E2988&gt;0,B2988=10),1,0)</f>
        <v>0</v>
      </c>
      <c r="Z2988" s="0" t="str">
        <f aca="false">IF(AND(C2987=C2988,W2987=W2988-1),X2987,"")</f>
        <v/>
      </c>
      <c r="AA2988" s="0" t="str">
        <f aca="false">IF(AND(C2987=C2988,W2987=W2988-1),Y2987,"")</f>
        <v/>
      </c>
      <c r="AB2988" s="0" t="str">
        <f aca="false">IF(W2988=1,"",IF(AND(X2988=1,Z2988&lt;&gt;1),1,0))</f>
        <v/>
      </c>
      <c r="AC2988" s="0" t="str">
        <f aca="false">IF(W2988=1,"",IF(AND(Y2988=1,AA2988&lt;&gt;1),1,0))</f>
        <v/>
      </c>
      <c r="AD2988" s="33" t="str">
        <f aca="false">IF(AND(E2988&gt;0,W2988&lt;1,NOT(AND(C2989=C2988,W2989=W2988+1))),INDEX(DATAS,W2988+1),"")</f>
        <v/>
      </c>
      <c r="AE2988" s="33" t="str">
        <f aca="false">IF(AND(Y2988=1,W2988&lt;1),IF(AND(C2989=C2988,W2989=W2988+1),IF(Y2989=1,"",INDEX(DATAS,W2988+1)),INDEX(DATAS,W2988+1)),"")</f>
        <v/>
      </c>
    </row>
    <row r="2989" customFormat="false" ht="15" hidden="false" customHeight="false" outlineLevel="0" collapsed="false">
      <c r="A2989" s="33" t="n">
        <v>46309</v>
      </c>
      <c r="B2989" s="0" t="n">
        <v>13</v>
      </c>
      <c r="C2989" s="0" t="n">
        <v>7377</v>
      </c>
      <c r="E2989" s="0" t="n">
        <v>0</v>
      </c>
      <c r="F2989" s="27" t="s">
        <v>1446</v>
      </c>
      <c r="I2989" s="27" t="s">
        <v>166</v>
      </c>
      <c r="U2989" s="0" t="n">
        <v>256</v>
      </c>
      <c r="V2989" s="0" t="n">
        <v>0</v>
      </c>
      <c r="W2989" s="27" t="n">
        <f aca="false">MATCH(A2989,DATAS,0)</f>
        <v>1</v>
      </c>
      <c r="X2989" s="27" t="n">
        <f aca="false">IF(AND(E2989&gt;0,OR(AND(B2989&gt;=1,B2989&lt;=6),B2989=10)),1,0)</f>
        <v>0</v>
      </c>
      <c r="Y2989" s="27" t="n">
        <f aca="false">IF(AND(E2989&gt;0,B2989=10),1,0)</f>
        <v>0</v>
      </c>
      <c r="Z2989" s="0" t="str">
        <f aca="false">IF(AND(C2988=C2989,W2988=W2989-1),X2988,"")</f>
        <v/>
      </c>
      <c r="AA2989" s="0" t="str">
        <f aca="false">IF(AND(C2988=C2989,W2988=W2989-1),Y2988,"")</f>
        <v/>
      </c>
      <c r="AB2989" s="0" t="str">
        <f aca="false">IF(W2989=1,"",IF(AND(X2989=1,Z2989&lt;&gt;1),1,0))</f>
        <v/>
      </c>
      <c r="AC2989" s="0" t="str">
        <f aca="false">IF(W2989=1,"",IF(AND(Y2989=1,AA2989&lt;&gt;1),1,0))</f>
        <v/>
      </c>
      <c r="AD2989" s="33" t="str">
        <f aca="false">IF(AND(E2989&gt;0,W2989&lt;1,NOT(AND(C2990=C2989,W2990=W2989+1))),INDEX(DATAS,W2989+1),"")</f>
        <v/>
      </c>
      <c r="AE2989" s="33" t="str">
        <f aca="false">IF(AND(Y2989=1,W2989&lt;1),IF(AND(C2990=C2989,W2990=W2989+1),IF(Y2990=1,"",INDEX(DATAS,W2989+1)),INDEX(DATAS,W2989+1)),"")</f>
        <v/>
      </c>
    </row>
    <row r="2990" customFormat="false" ht="15" hidden="false" customHeight="false" outlineLevel="0" collapsed="false">
      <c r="A2990" s="33" t="n">
        <v>46309</v>
      </c>
      <c r="B2990" s="0" t="n">
        <v>13</v>
      </c>
      <c r="C2990" s="0" t="n">
        <v>7378</v>
      </c>
      <c r="E2990" s="0" t="n">
        <v>0</v>
      </c>
      <c r="F2990" s="27" t="s">
        <v>1446</v>
      </c>
      <c r="I2990" s="27" t="s">
        <v>166</v>
      </c>
      <c r="U2990" s="0" t="n">
        <v>256</v>
      </c>
      <c r="V2990" s="0" t="n">
        <v>0</v>
      </c>
      <c r="W2990" s="27" t="n">
        <f aca="false">MATCH(A2990,DATAS,0)</f>
        <v>1</v>
      </c>
      <c r="X2990" s="27" t="n">
        <f aca="false">IF(AND(E2990&gt;0,OR(AND(B2990&gt;=1,B2990&lt;=6),B2990=10)),1,0)</f>
        <v>0</v>
      </c>
      <c r="Y2990" s="27" t="n">
        <f aca="false">IF(AND(E2990&gt;0,B2990=10),1,0)</f>
        <v>0</v>
      </c>
      <c r="Z2990" s="0" t="str">
        <f aca="false">IF(AND(C2989=C2990,W2989=W2990-1),X2989,"")</f>
        <v/>
      </c>
      <c r="AA2990" s="0" t="str">
        <f aca="false">IF(AND(C2989=C2990,W2989=W2990-1),Y2989,"")</f>
        <v/>
      </c>
      <c r="AB2990" s="0" t="str">
        <f aca="false">IF(W2990=1,"",IF(AND(X2990=1,Z2990&lt;&gt;1),1,0))</f>
        <v/>
      </c>
      <c r="AC2990" s="0" t="str">
        <f aca="false">IF(W2990=1,"",IF(AND(Y2990=1,AA2990&lt;&gt;1),1,0))</f>
        <v/>
      </c>
      <c r="AD2990" s="33" t="str">
        <f aca="false">IF(AND(E2990&gt;0,W2990&lt;1,NOT(AND(C2991=C2990,W2991=W2990+1))),INDEX(DATAS,W2990+1),"")</f>
        <v/>
      </c>
      <c r="AE2990" s="33" t="str">
        <f aca="false">IF(AND(Y2990=1,W2990&lt;1),IF(AND(C2991=C2990,W2991=W2990+1),IF(Y2991=1,"",INDEX(DATAS,W2990+1)),INDEX(DATAS,W2990+1)),"")</f>
        <v/>
      </c>
    </row>
    <row r="2991" customFormat="false" ht="15" hidden="false" customHeight="false" outlineLevel="0" collapsed="false">
      <c r="A2991" s="33" t="n">
        <v>46309</v>
      </c>
      <c r="B2991" s="0" t="n">
        <v>13</v>
      </c>
      <c r="C2991" s="0" t="n">
        <v>7379</v>
      </c>
      <c r="E2991" s="0" t="n">
        <v>0</v>
      </c>
      <c r="F2991" s="27" t="s">
        <v>1447</v>
      </c>
      <c r="I2991" s="27" t="s">
        <v>166</v>
      </c>
      <c r="U2991" s="0" t="n">
        <v>255</v>
      </c>
      <c r="V2991" s="0" t="n">
        <v>0</v>
      </c>
      <c r="W2991" s="27" t="n">
        <f aca="false">MATCH(A2991,DATAS,0)</f>
        <v>1</v>
      </c>
      <c r="X2991" s="27" t="n">
        <f aca="false">IF(AND(E2991&gt;0,OR(AND(B2991&gt;=1,B2991&lt;=6),B2991=10)),1,0)</f>
        <v>0</v>
      </c>
      <c r="Y2991" s="27" t="n">
        <f aca="false">IF(AND(E2991&gt;0,B2991=10),1,0)</f>
        <v>0</v>
      </c>
      <c r="Z2991" s="0" t="str">
        <f aca="false">IF(AND(C2990=C2991,W2990=W2991-1),X2990,"")</f>
        <v/>
      </c>
      <c r="AA2991" s="0" t="str">
        <f aca="false">IF(AND(C2990=C2991,W2990=W2991-1),Y2990,"")</f>
        <v/>
      </c>
      <c r="AB2991" s="0" t="str">
        <f aca="false">IF(W2991=1,"",IF(AND(X2991=1,Z2991&lt;&gt;1),1,0))</f>
        <v/>
      </c>
      <c r="AC2991" s="0" t="str">
        <f aca="false">IF(W2991=1,"",IF(AND(Y2991=1,AA2991&lt;&gt;1),1,0))</f>
        <v/>
      </c>
      <c r="AD2991" s="33" t="str">
        <f aca="false">IF(AND(E2991&gt;0,W2991&lt;1,NOT(AND(C2992=C2991,W2992=W2991+1))),INDEX(DATAS,W2991+1),"")</f>
        <v/>
      </c>
      <c r="AE2991" s="33" t="str">
        <f aca="false">IF(AND(Y2991=1,W2991&lt;1),IF(AND(C2992=C2991,W2992=W2991+1),IF(Y2992=1,"",INDEX(DATAS,W2991+1)),INDEX(DATAS,W2991+1)),"")</f>
        <v/>
      </c>
    </row>
    <row r="2992" customFormat="false" ht="15" hidden="false" customHeight="false" outlineLevel="0" collapsed="false">
      <c r="A2992" s="33" t="n">
        <v>46309</v>
      </c>
      <c r="B2992" s="0" t="n">
        <v>13</v>
      </c>
      <c r="C2992" s="0" t="n">
        <v>7380</v>
      </c>
      <c r="E2992" s="0" t="n">
        <v>0</v>
      </c>
      <c r="F2992" s="27" t="s">
        <v>1447</v>
      </c>
      <c r="I2992" s="27" t="s">
        <v>166</v>
      </c>
      <c r="U2992" s="0" t="n">
        <v>255</v>
      </c>
      <c r="V2992" s="0" t="n">
        <v>0</v>
      </c>
      <c r="W2992" s="27" t="n">
        <f aca="false">MATCH(A2992,DATAS,0)</f>
        <v>1</v>
      </c>
      <c r="X2992" s="27" t="n">
        <f aca="false">IF(AND(E2992&gt;0,OR(AND(B2992&gt;=1,B2992&lt;=6),B2992=10)),1,0)</f>
        <v>0</v>
      </c>
      <c r="Y2992" s="27" t="n">
        <f aca="false">IF(AND(E2992&gt;0,B2992=10),1,0)</f>
        <v>0</v>
      </c>
      <c r="Z2992" s="0" t="str">
        <f aca="false">IF(AND(C2991=C2992,W2991=W2992-1),X2991,"")</f>
        <v/>
      </c>
      <c r="AA2992" s="0" t="str">
        <f aca="false">IF(AND(C2991=C2992,W2991=W2992-1),Y2991,"")</f>
        <v/>
      </c>
      <c r="AB2992" s="0" t="str">
        <f aca="false">IF(W2992=1,"",IF(AND(X2992=1,Z2992&lt;&gt;1),1,0))</f>
        <v/>
      </c>
      <c r="AC2992" s="0" t="str">
        <f aca="false">IF(W2992=1,"",IF(AND(Y2992=1,AA2992&lt;&gt;1),1,0))</f>
        <v/>
      </c>
      <c r="AD2992" s="33" t="str">
        <f aca="false">IF(AND(E2992&gt;0,W2992&lt;1,NOT(AND(C2993=C2992,W2993=W2992+1))),INDEX(DATAS,W2992+1),"")</f>
        <v/>
      </c>
      <c r="AE2992" s="33" t="str">
        <f aca="false">IF(AND(Y2992=1,W2992&lt;1),IF(AND(C2993=C2992,W2993=W2992+1),IF(Y2993=1,"",INDEX(DATAS,W2992+1)),INDEX(DATAS,W2992+1)),"")</f>
        <v/>
      </c>
    </row>
    <row r="2993" customFormat="false" ht="15" hidden="false" customHeight="false" outlineLevel="0" collapsed="false">
      <c r="A2993" s="33" t="n">
        <v>46309</v>
      </c>
      <c r="B2993" s="0" t="n">
        <v>13</v>
      </c>
      <c r="C2993" s="0" t="n">
        <v>7382</v>
      </c>
      <c r="E2993" s="0" t="n">
        <v>0</v>
      </c>
      <c r="F2993" s="27" t="s">
        <v>1448</v>
      </c>
      <c r="I2993" s="27" t="s">
        <v>166</v>
      </c>
      <c r="U2993" s="0" t="n">
        <v>254</v>
      </c>
      <c r="V2993" s="0" t="n">
        <v>0</v>
      </c>
      <c r="W2993" s="27" t="n">
        <f aca="false">MATCH(A2993,DATAS,0)</f>
        <v>1</v>
      </c>
      <c r="X2993" s="27" t="n">
        <f aca="false">IF(AND(E2993&gt;0,OR(AND(B2993&gt;=1,B2993&lt;=6),B2993=10)),1,0)</f>
        <v>0</v>
      </c>
      <c r="Y2993" s="27" t="n">
        <f aca="false">IF(AND(E2993&gt;0,B2993=10),1,0)</f>
        <v>0</v>
      </c>
      <c r="Z2993" s="0" t="str">
        <f aca="false">IF(AND(C2992=C2993,W2992=W2993-1),X2992,"")</f>
        <v/>
      </c>
      <c r="AA2993" s="0" t="str">
        <f aca="false">IF(AND(C2992=C2993,W2992=W2993-1),Y2992,"")</f>
        <v/>
      </c>
      <c r="AB2993" s="0" t="str">
        <f aca="false">IF(W2993=1,"",IF(AND(X2993=1,Z2993&lt;&gt;1),1,0))</f>
        <v/>
      </c>
      <c r="AC2993" s="0" t="str">
        <f aca="false">IF(W2993=1,"",IF(AND(Y2993=1,AA2993&lt;&gt;1),1,0))</f>
        <v/>
      </c>
      <c r="AD2993" s="33" t="str">
        <f aca="false">IF(AND(E2993&gt;0,W2993&lt;1,NOT(AND(C2994=C2993,W2994=W2993+1))),INDEX(DATAS,W2993+1),"")</f>
        <v/>
      </c>
      <c r="AE2993" s="33" t="str">
        <f aca="false">IF(AND(Y2993=1,W2993&lt;1),IF(AND(C2994=C2993,W2994=W2993+1),IF(Y2994=1,"",INDEX(DATAS,W2993+1)),INDEX(DATAS,W2993+1)),"")</f>
        <v/>
      </c>
    </row>
    <row r="2994" customFormat="false" ht="15" hidden="false" customHeight="false" outlineLevel="0" collapsed="false">
      <c r="A2994" s="33" t="n">
        <v>46309</v>
      </c>
      <c r="B2994" s="0" t="n">
        <v>13</v>
      </c>
      <c r="C2994" s="0" t="n">
        <v>7384</v>
      </c>
      <c r="E2994" s="0" t="n">
        <v>0</v>
      </c>
      <c r="F2994" s="27" t="s">
        <v>1448</v>
      </c>
      <c r="I2994" s="27" t="s">
        <v>166</v>
      </c>
      <c r="U2994" s="0" t="n">
        <v>254</v>
      </c>
      <c r="V2994" s="0" t="n">
        <v>0</v>
      </c>
      <c r="W2994" s="27" t="n">
        <f aca="false">MATCH(A2994,DATAS,0)</f>
        <v>1</v>
      </c>
      <c r="X2994" s="27" t="n">
        <f aca="false">IF(AND(E2994&gt;0,OR(AND(B2994&gt;=1,B2994&lt;=6),B2994=10)),1,0)</f>
        <v>0</v>
      </c>
      <c r="Y2994" s="27" t="n">
        <f aca="false">IF(AND(E2994&gt;0,B2994=10),1,0)</f>
        <v>0</v>
      </c>
      <c r="Z2994" s="0" t="str">
        <f aca="false">IF(AND(C2993=C2994,W2993=W2994-1),X2993,"")</f>
        <v/>
      </c>
      <c r="AA2994" s="0" t="str">
        <f aca="false">IF(AND(C2993=C2994,W2993=W2994-1),Y2993,"")</f>
        <v/>
      </c>
      <c r="AB2994" s="0" t="str">
        <f aca="false">IF(W2994=1,"",IF(AND(X2994=1,Z2994&lt;&gt;1),1,0))</f>
        <v/>
      </c>
      <c r="AC2994" s="0" t="str">
        <f aca="false">IF(W2994=1,"",IF(AND(Y2994=1,AA2994&lt;&gt;1),1,0))</f>
        <v/>
      </c>
      <c r="AD2994" s="33" t="str">
        <f aca="false">IF(AND(E2994&gt;0,W2994&lt;1,NOT(AND(C2995=C2994,W2995=W2994+1))),INDEX(DATAS,W2994+1),"")</f>
        <v/>
      </c>
      <c r="AE2994" s="33" t="str">
        <f aca="false">IF(AND(Y2994=1,W2994&lt;1),IF(AND(C2995=C2994,W2995=W2994+1),IF(Y2995=1,"",INDEX(DATAS,W2994+1)),INDEX(DATAS,W2994+1)),"")</f>
        <v/>
      </c>
    </row>
    <row r="2995" customFormat="false" ht="15" hidden="false" customHeight="false" outlineLevel="0" collapsed="false">
      <c r="A2995" s="33" t="n">
        <v>46309</v>
      </c>
      <c r="B2995" s="0" t="n">
        <v>13</v>
      </c>
      <c r="C2995" s="0" t="n">
        <v>7385</v>
      </c>
      <c r="E2995" s="0" t="n">
        <v>0</v>
      </c>
      <c r="F2995" s="27" t="s">
        <v>1449</v>
      </c>
      <c r="I2995" s="27" t="s">
        <v>166</v>
      </c>
      <c r="U2995" s="0" t="n">
        <v>253</v>
      </c>
      <c r="V2995" s="0" t="n">
        <v>0</v>
      </c>
      <c r="W2995" s="27" t="n">
        <f aca="false">MATCH(A2995,DATAS,0)</f>
        <v>1</v>
      </c>
      <c r="X2995" s="27" t="n">
        <f aca="false">IF(AND(E2995&gt;0,OR(AND(B2995&gt;=1,B2995&lt;=6),B2995=10)),1,0)</f>
        <v>0</v>
      </c>
      <c r="Y2995" s="27" t="n">
        <f aca="false">IF(AND(E2995&gt;0,B2995=10),1,0)</f>
        <v>0</v>
      </c>
      <c r="Z2995" s="0" t="str">
        <f aca="false">IF(AND(C2994=C2995,W2994=W2995-1),X2994,"")</f>
        <v/>
      </c>
      <c r="AA2995" s="0" t="str">
        <f aca="false">IF(AND(C2994=C2995,W2994=W2995-1),Y2994,"")</f>
        <v/>
      </c>
      <c r="AB2995" s="0" t="str">
        <f aca="false">IF(W2995=1,"",IF(AND(X2995=1,Z2995&lt;&gt;1),1,0))</f>
        <v/>
      </c>
      <c r="AC2995" s="0" t="str">
        <f aca="false">IF(W2995=1,"",IF(AND(Y2995=1,AA2995&lt;&gt;1),1,0))</f>
        <v/>
      </c>
      <c r="AD2995" s="33" t="str">
        <f aca="false">IF(AND(E2995&gt;0,W2995&lt;1,NOT(AND(C2996=C2995,W2996=W2995+1))),INDEX(DATAS,W2995+1),"")</f>
        <v/>
      </c>
      <c r="AE2995" s="33" t="str">
        <f aca="false">IF(AND(Y2995=1,W2995&lt;1),IF(AND(C2996=C2995,W2996=W2995+1),IF(Y2996=1,"",INDEX(DATAS,W2995+1)),INDEX(DATAS,W2995+1)),"")</f>
        <v/>
      </c>
    </row>
    <row r="2996" customFormat="false" ht="15" hidden="false" customHeight="false" outlineLevel="0" collapsed="false">
      <c r="A2996" s="33" t="n">
        <v>46309</v>
      </c>
      <c r="B2996" s="0" t="n">
        <v>13</v>
      </c>
      <c r="C2996" s="0" t="n">
        <v>7386</v>
      </c>
      <c r="E2996" s="0" t="n">
        <v>0</v>
      </c>
      <c r="F2996" s="27" t="s">
        <v>1449</v>
      </c>
      <c r="I2996" s="27" t="s">
        <v>166</v>
      </c>
      <c r="U2996" s="0" t="n">
        <v>253</v>
      </c>
      <c r="V2996" s="0" t="n">
        <v>0</v>
      </c>
      <c r="W2996" s="27" t="n">
        <f aca="false">MATCH(A2996,DATAS,0)</f>
        <v>1</v>
      </c>
      <c r="X2996" s="27" t="n">
        <f aca="false">IF(AND(E2996&gt;0,OR(AND(B2996&gt;=1,B2996&lt;=6),B2996=10)),1,0)</f>
        <v>0</v>
      </c>
      <c r="Y2996" s="27" t="n">
        <f aca="false">IF(AND(E2996&gt;0,B2996=10),1,0)</f>
        <v>0</v>
      </c>
      <c r="Z2996" s="0" t="str">
        <f aca="false">IF(AND(C2995=C2996,W2995=W2996-1),X2995,"")</f>
        <v/>
      </c>
      <c r="AA2996" s="0" t="str">
        <f aca="false">IF(AND(C2995=C2996,W2995=W2996-1),Y2995,"")</f>
        <v/>
      </c>
      <c r="AB2996" s="0" t="str">
        <f aca="false">IF(W2996=1,"",IF(AND(X2996=1,Z2996&lt;&gt;1),1,0))</f>
        <v/>
      </c>
      <c r="AC2996" s="0" t="str">
        <f aca="false">IF(W2996=1,"",IF(AND(Y2996=1,AA2996&lt;&gt;1),1,0))</f>
        <v/>
      </c>
      <c r="AD2996" s="33" t="str">
        <f aca="false">IF(AND(E2996&gt;0,W2996&lt;1,NOT(AND(C2997=C2996,W2997=W2996+1))),INDEX(DATAS,W2996+1),"")</f>
        <v/>
      </c>
      <c r="AE2996" s="33" t="str">
        <f aca="false">IF(AND(Y2996=1,W2996&lt;1),IF(AND(C2997=C2996,W2997=W2996+1),IF(Y2997=1,"",INDEX(DATAS,W2996+1)),INDEX(DATAS,W2996+1)),"")</f>
        <v/>
      </c>
    </row>
    <row r="2997" customFormat="false" ht="15" hidden="false" customHeight="false" outlineLevel="0" collapsed="false">
      <c r="A2997" s="33" t="n">
        <v>46309</v>
      </c>
      <c r="B2997" s="0" t="n">
        <v>13</v>
      </c>
      <c r="C2997" s="0" t="n">
        <v>7387</v>
      </c>
      <c r="E2997" s="0" t="n">
        <v>0</v>
      </c>
      <c r="F2997" s="27" t="s">
        <v>1449</v>
      </c>
      <c r="I2997" s="27" t="s">
        <v>166</v>
      </c>
      <c r="U2997" s="0" t="n">
        <v>253</v>
      </c>
      <c r="V2997" s="0" t="n">
        <v>0</v>
      </c>
      <c r="W2997" s="27" t="n">
        <f aca="false">MATCH(A2997,DATAS,0)</f>
        <v>1</v>
      </c>
      <c r="X2997" s="27" t="n">
        <f aca="false">IF(AND(E2997&gt;0,OR(AND(B2997&gt;=1,B2997&lt;=6),B2997=10)),1,0)</f>
        <v>0</v>
      </c>
      <c r="Y2997" s="27" t="n">
        <f aca="false">IF(AND(E2997&gt;0,B2997=10),1,0)</f>
        <v>0</v>
      </c>
      <c r="Z2997" s="0" t="str">
        <f aca="false">IF(AND(C2996=C2997,W2996=W2997-1),X2996,"")</f>
        <v/>
      </c>
      <c r="AA2997" s="0" t="str">
        <f aca="false">IF(AND(C2996=C2997,W2996=W2997-1),Y2996,"")</f>
        <v/>
      </c>
      <c r="AB2997" s="0" t="str">
        <f aca="false">IF(W2997=1,"",IF(AND(X2997=1,Z2997&lt;&gt;1),1,0))</f>
        <v/>
      </c>
      <c r="AC2997" s="0" t="str">
        <f aca="false">IF(W2997=1,"",IF(AND(Y2997=1,AA2997&lt;&gt;1),1,0))</f>
        <v/>
      </c>
      <c r="AD2997" s="33" t="str">
        <f aca="false">IF(AND(E2997&gt;0,W2997&lt;1,NOT(AND(C2998=C2997,W2998=W2997+1))),INDEX(DATAS,W2997+1),"")</f>
        <v/>
      </c>
      <c r="AE2997" s="33" t="str">
        <f aca="false">IF(AND(Y2997=1,W2997&lt;1),IF(AND(C2998=C2997,W2998=W2997+1),IF(Y2998=1,"",INDEX(DATAS,W2997+1)),INDEX(DATAS,W2997+1)),"")</f>
        <v/>
      </c>
    </row>
    <row r="2998" customFormat="false" ht="15" hidden="false" customHeight="false" outlineLevel="0" collapsed="false">
      <c r="A2998" s="33" t="n">
        <v>46309</v>
      </c>
      <c r="B2998" s="0" t="n">
        <v>13</v>
      </c>
      <c r="C2998" s="0" t="n">
        <v>7388</v>
      </c>
      <c r="E2998" s="0" t="n">
        <v>0</v>
      </c>
      <c r="F2998" s="27" t="s">
        <v>1449</v>
      </c>
      <c r="I2998" s="27" t="s">
        <v>166</v>
      </c>
      <c r="U2998" s="0" t="n">
        <v>253</v>
      </c>
      <c r="V2998" s="0" t="n">
        <v>0</v>
      </c>
      <c r="W2998" s="27" t="n">
        <f aca="false">MATCH(A2998,DATAS,0)</f>
        <v>1</v>
      </c>
      <c r="X2998" s="27" t="n">
        <f aca="false">IF(AND(E2998&gt;0,OR(AND(B2998&gt;=1,B2998&lt;=6),B2998=10)),1,0)</f>
        <v>0</v>
      </c>
      <c r="Y2998" s="27" t="n">
        <f aca="false">IF(AND(E2998&gt;0,B2998=10),1,0)</f>
        <v>0</v>
      </c>
      <c r="Z2998" s="0" t="str">
        <f aca="false">IF(AND(C2997=C2998,W2997=W2998-1),X2997,"")</f>
        <v/>
      </c>
      <c r="AA2998" s="0" t="str">
        <f aca="false">IF(AND(C2997=C2998,W2997=W2998-1),Y2997,"")</f>
        <v/>
      </c>
      <c r="AB2998" s="0" t="str">
        <f aca="false">IF(W2998=1,"",IF(AND(X2998=1,Z2998&lt;&gt;1),1,0))</f>
        <v/>
      </c>
      <c r="AC2998" s="0" t="str">
        <f aca="false">IF(W2998=1,"",IF(AND(Y2998=1,AA2998&lt;&gt;1),1,0))</f>
        <v/>
      </c>
      <c r="AD2998" s="33" t="str">
        <f aca="false">IF(AND(E2998&gt;0,W2998&lt;1,NOT(AND(C2999=C2998,W2999=W2998+1))),INDEX(DATAS,W2998+1),"")</f>
        <v/>
      </c>
      <c r="AE2998" s="33" t="str">
        <f aca="false">IF(AND(Y2998=1,W2998&lt;1),IF(AND(C2999=C2998,W2999=W2998+1),IF(Y2999=1,"",INDEX(DATAS,W2998+1)),INDEX(DATAS,W2998+1)),"")</f>
        <v/>
      </c>
    </row>
    <row r="2999" customFormat="false" ht="15" hidden="false" customHeight="false" outlineLevel="0" collapsed="false">
      <c r="A2999" s="33" t="n">
        <v>46309</v>
      </c>
      <c r="B2999" s="0" t="n">
        <v>13</v>
      </c>
      <c r="C2999" s="0" t="n">
        <v>7389</v>
      </c>
      <c r="E2999" s="0" t="n">
        <v>0</v>
      </c>
      <c r="F2999" s="27" t="s">
        <v>1449</v>
      </c>
      <c r="I2999" s="27" t="s">
        <v>166</v>
      </c>
      <c r="U2999" s="0" t="n">
        <v>253</v>
      </c>
      <c r="V2999" s="0" t="n">
        <v>0</v>
      </c>
      <c r="W2999" s="27" t="n">
        <f aca="false">MATCH(A2999,DATAS,0)</f>
        <v>1</v>
      </c>
      <c r="X2999" s="27" t="n">
        <f aca="false">IF(AND(E2999&gt;0,OR(AND(B2999&gt;=1,B2999&lt;=6),B2999=10)),1,0)</f>
        <v>0</v>
      </c>
      <c r="Y2999" s="27" t="n">
        <f aca="false">IF(AND(E2999&gt;0,B2999=10),1,0)</f>
        <v>0</v>
      </c>
      <c r="Z2999" s="0" t="str">
        <f aca="false">IF(AND(C2998=C2999,W2998=W2999-1),X2998,"")</f>
        <v/>
      </c>
      <c r="AA2999" s="0" t="str">
        <f aca="false">IF(AND(C2998=C2999,W2998=W2999-1),Y2998,"")</f>
        <v/>
      </c>
      <c r="AB2999" s="0" t="str">
        <f aca="false">IF(W2999=1,"",IF(AND(X2999=1,Z2999&lt;&gt;1),1,0))</f>
        <v/>
      </c>
      <c r="AC2999" s="0" t="str">
        <f aca="false">IF(W2999=1,"",IF(AND(Y2999=1,AA2999&lt;&gt;1),1,0))</f>
        <v/>
      </c>
      <c r="AD2999" s="33" t="str">
        <f aca="false">IF(AND(E2999&gt;0,W2999&lt;1,NOT(AND(C3000=C2999,W3000=W2999+1))),INDEX(DATAS,W2999+1),"")</f>
        <v/>
      </c>
      <c r="AE2999" s="33" t="str">
        <f aca="false">IF(AND(Y2999=1,W2999&lt;1),IF(AND(C3000=C2999,W3000=W2999+1),IF(Y3000=1,"",INDEX(DATAS,W2999+1)),INDEX(DATAS,W2999+1)),"")</f>
        <v/>
      </c>
    </row>
    <row r="3000" customFormat="false" ht="15" hidden="false" customHeight="false" outlineLevel="0" collapsed="false">
      <c r="A3000" s="33" t="n">
        <v>46309</v>
      </c>
      <c r="B3000" s="0" t="n">
        <v>13</v>
      </c>
      <c r="C3000" s="0" t="n">
        <v>7390</v>
      </c>
      <c r="E3000" s="0" t="n">
        <v>0</v>
      </c>
      <c r="F3000" s="27" t="s">
        <v>1450</v>
      </c>
      <c r="I3000" s="27" t="s">
        <v>166</v>
      </c>
      <c r="U3000" s="0" t="n">
        <v>252</v>
      </c>
      <c r="V3000" s="0" t="n">
        <v>0</v>
      </c>
      <c r="W3000" s="27" t="n">
        <f aca="false">MATCH(A3000,DATAS,0)</f>
        <v>1</v>
      </c>
      <c r="X3000" s="27" t="n">
        <f aca="false">IF(AND(E3000&gt;0,OR(AND(B3000&gt;=1,B3000&lt;=6),B3000=10)),1,0)</f>
        <v>0</v>
      </c>
      <c r="Y3000" s="27" t="n">
        <f aca="false">IF(AND(E3000&gt;0,B3000=10),1,0)</f>
        <v>0</v>
      </c>
      <c r="Z3000" s="0" t="str">
        <f aca="false">IF(AND(C2999=C3000,W2999=W3000-1),X2999,"")</f>
        <v/>
      </c>
      <c r="AA3000" s="0" t="str">
        <f aca="false">IF(AND(C2999=C3000,W2999=W3000-1),Y2999,"")</f>
        <v/>
      </c>
      <c r="AB3000" s="0" t="str">
        <f aca="false">IF(W3000=1,"",IF(AND(X3000=1,Z3000&lt;&gt;1),1,0))</f>
        <v/>
      </c>
      <c r="AC3000" s="0" t="str">
        <f aca="false">IF(W3000=1,"",IF(AND(Y3000=1,AA3000&lt;&gt;1),1,0))</f>
        <v/>
      </c>
      <c r="AD3000" s="33" t="str">
        <f aca="false">IF(AND(E3000&gt;0,W3000&lt;1,NOT(AND(C3001=C3000,W3001=W3000+1))),INDEX(DATAS,W3000+1),"")</f>
        <v/>
      </c>
      <c r="AE3000" s="33" t="str">
        <f aca="false">IF(AND(Y3000=1,W3000&lt;1),IF(AND(C3001=C3000,W3001=W3000+1),IF(Y3001=1,"",INDEX(DATAS,W3000+1)),INDEX(DATAS,W3000+1)),"")</f>
        <v/>
      </c>
    </row>
    <row r="3001" customFormat="false" ht="15" hidden="false" customHeight="false" outlineLevel="0" collapsed="false">
      <c r="A3001" s="33" t="n">
        <v>46309</v>
      </c>
      <c r="B3001" s="0" t="n">
        <v>13</v>
      </c>
      <c r="C3001" s="0" t="n">
        <v>7391</v>
      </c>
      <c r="E3001" s="0" t="n">
        <v>0</v>
      </c>
      <c r="F3001" s="27" t="s">
        <v>1450</v>
      </c>
      <c r="I3001" s="27" t="s">
        <v>166</v>
      </c>
      <c r="U3001" s="0" t="n">
        <v>252</v>
      </c>
      <c r="V3001" s="0" t="n">
        <v>0</v>
      </c>
      <c r="W3001" s="27" t="n">
        <f aca="false">MATCH(A3001,DATAS,0)</f>
        <v>1</v>
      </c>
      <c r="X3001" s="27" t="n">
        <f aca="false">IF(AND(E3001&gt;0,OR(AND(B3001&gt;=1,B3001&lt;=6),B3001=10)),1,0)</f>
        <v>0</v>
      </c>
      <c r="Y3001" s="27" t="n">
        <f aca="false">IF(AND(E3001&gt;0,B3001=10),1,0)</f>
        <v>0</v>
      </c>
      <c r="Z3001" s="0" t="str">
        <f aca="false">IF(AND(C3000=C3001,W3000=W3001-1),X3000,"")</f>
        <v/>
      </c>
      <c r="AA3001" s="0" t="str">
        <f aca="false">IF(AND(C3000=C3001,W3000=W3001-1),Y3000,"")</f>
        <v/>
      </c>
      <c r="AB3001" s="0" t="str">
        <f aca="false">IF(W3001=1,"",IF(AND(X3001=1,Z3001&lt;&gt;1),1,0))</f>
        <v/>
      </c>
      <c r="AC3001" s="0" t="str">
        <f aca="false">IF(W3001=1,"",IF(AND(Y3001=1,AA3001&lt;&gt;1),1,0))</f>
        <v/>
      </c>
      <c r="AD3001" s="33" t="str">
        <f aca="false">IF(AND(E3001&gt;0,W3001&lt;1,NOT(AND(C3002=C3001,W3002=W3001+1))),INDEX(DATAS,W3001+1),"")</f>
        <v/>
      </c>
      <c r="AE3001" s="33" t="str">
        <f aca="false">IF(AND(Y3001=1,W3001&lt;1),IF(AND(C3002=C3001,W3002=W3001+1),IF(Y3002=1,"",INDEX(DATAS,W3001+1)),INDEX(DATAS,W3001+1)),"")</f>
        <v/>
      </c>
    </row>
    <row r="3002" customFormat="false" ht="15" hidden="false" customHeight="false" outlineLevel="0" collapsed="false">
      <c r="A3002" s="33" t="n">
        <v>46309</v>
      </c>
      <c r="B3002" s="0" t="n">
        <v>13</v>
      </c>
      <c r="C3002" s="0" t="n">
        <v>7392</v>
      </c>
      <c r="E3002" s="0" t="n">
        <v>0</v>
      </c>
      <c r="F3002" s="27" t="s">
        <v>1450</v>
      </c>
      <c r="I3002" s="27" t="s">
        <v>166</v>
      </c>
      <c r="U3002" s="0" t="n">
        <v>252</v>
      </c>
      <c r="V3002" s="0" t="n">
        <v>0</v>
      </c>
      <c r="W3002" s="27" t="n">
        <f aca="false">MATCH(A3002,DATAS,0)</f>
        <v>1</v>
      </c>
      <c r="X3002" s="27" t="n">
        <f aca="false">IF(AND(E3002&gt;0,OR(AND(B3002&gt;=1,B3002&lt;=6),B3002=10)),1,0)</f>
        <v>0</v>
      </c>
      <c r="Y3002" s="27" t="n">
        <f aca="false">IF(AND(E3002&gt;0,B3002=10),1,0)</f>
        <v>0</v>
      </c>
      <c r="Z3002" s="0" t="str">
        <f aca="false">IF(AND(C3001=C3002,W3001=W3002-1),X3001,"")</f>
        <v/>
      </c>
      <c r="AA3002" s="0" t="str">
        <f aca="false">IF(AND(C3001=C3002,W3001=W3002-1),Y3001,"")</f>
        <v/>
      </c>
      <c r="AB3002" s="0" t="str">
        <f aca="false">IF(W3002=1,"",IF(AND(X3002=1,Z3002&lt;&gt;1),1,0))</f>
        <v/>
      </c>
      <c r="AC3002" s="0" t="str">
        <f aca="false">IF(W3002=1,"",IF(AND(Y3002=1,AA3002&lt;&gt;1),1,0))</f>
        <v/>
      </c>
      <c r="AD3002" s="33" t="str">
        <f aca="false">IF(AND(E3002&gt;0,W3002&lt;1,NOT(AND(C3003=C3002,W3003=W3002+1))),INDEX(DATAS,W3002+1),"")</f>
        <v/>
      </c>
      <c r="AE3002" s="33" t="str">
        <f aca="false">IF(AND(Y3002=1,W3002&lt;1),IF(AND(C3003=C3002,W3003=W3002+1),IF(Y3003=1,"",INDEX(DATAS,W3002+1)),INDEX(DATAS,W3002+1)),"")</f>
        <v/>
      </c>
    </row>
    <row r="3003" customFormat="false" ht="15" hidden="false" customHeight="false" outlineLevel="0" collapsed="false">
      <c r="A3003" s="33" t="n">
        <v>46309</v>
      </c>
      <c r="B3003" s="0" t="n">
        <v>13</v>
      </c>
      <c r="C3003" s="0" t="n">
        <v>7393</v>
      </c>
      <c r="E3003" s="0" t="n">
        <v>0</v>
      </c>
      <c r="F3003" s="27" t="s">
        <v>1450</v>
      </c>
      <c r="I3003" s="27" t="s">
        <v>166</v>
      </c>
      <c r="U3003" s="0" t="n">
        <v>252</v>
      </c>
      <c r="V3003" s="0" t="n">
        <v>0</v>
      </c>
      <c r="W3003" s="27" t="n">
        <f aca="false">MATCH(A3003,DATAS,0)</f>
        <v>1</v>
      </c>
      <c r="X3003" s="27" t="n">
        <f aca="false">IF(AND(E3003&gt;0,OR(AND(B3003&gt;=1,B3003&lt;=6),B3003=10)),1,0)</f>
        <v>0</v>
      </c>
      <c r="Y3003" s="27" t="n">
        <f aca="false">IF(AND(E3003&gt;0,B3003=10),1,0)</f>
        <v>0</v>
      </c>
      <c r="Z3003" s="0" t="str">
        <f aca="false">IF(AND(C3002=C3003,W3002=W3003-1),X3002,"")</f>
        <v/>
      </c>
      <c r="AA3003" s="0" t="str">
        <f aca="false">IF(AND(C3002=C3003,W3002=W3003-1),Y3002,"")</f>
        <v/>
      </c>
      <c r="AB3003" s="0" t="str">
        <f aca="false">IF(W3003=1,"",IF(AND(X3003=1,Z3003&lt;&gt;1),1,0))</f>
        <v/>
      </c>
      <c r="AC3003" s="0" t="str">
        <f aca="false">IF(W3003=1,"",IF(AND(Y3003=1,AA3003&lt;&gt;1),1,0))</f>
        <v/>
      </c>
      <c r="AD3003" s="33" t="str">
        <f aca="false">IF(AND(E3003&gt;0,W3003&lt;1,NOT(AND(C3004=C3003,W3004=W3003+1))),INDEX(DATAS,W3003+1),"")</f>
        <v/>
      </c>
      <c r="AE3003" s="33" t="str">
        <f aca="false">IF(AND(Y3003=1,W3003&lt;1),IF(AND(C3004=C3003,W3004=W3003+1),IF(Y3004=1,"",INDEX(DATAS,W3003+1)),INDEX(DATAS,W3003+1)),"")</f>
        <v/>
      </c>
    </row>
    <row r="3004" customFormat="false" ht="15" hidden="false" customHeight="false" outlineLevel="0" collapsed="false">
      <c r="A3004" s="33" t="n">
        <v>46309</v>
      </c>
      <c r="B3004" s="0" t="n">
        <v>13</v>
      </c>
      <c r="C3004" s="0" t="n">
        <v>7394</v>
      </c>
      <c r="E3004" s="0" t="n">
        <v>0</v>
      </c>
      <c r="F3004" s="27" t="s">
        <v>1451</v>
      </c>
      <c r="I3004" s="27" t="s">
        <v>166</v>
      </c>
      <c r="U3004" s="0" t="n">
        <v>251</v>
      </c>
      <c r="V3004" s="0" t="n">
        <v>0</v>
      </c>
      <c r="W3004" s="27" t="n">
        <f aca="false">MATCH(A3004,DATAS,0)</f>
        <v>1</v>
      </c>
      <c r="X3004" s="27" t="n">
        <f aca="false">IF(AND(E3004&gt;0,OR(AND(B3004&gt;=1,B3004&lt;=6),B3004=10)),1,0)</f>
        <v>0</v>
      </c>
      <c r="Y3004" s="27" t="n">
        <f aca="false">IF(AND(E3004&gt;0,B3004=10),1,0)</f>
        <v>0</v>
      </c>
      <c r="Z3004" s="0" t="str">
        <f aca="false">IF(AND(C3003=C3004,W3003=W3004-1),X3003,"")</f>
        <v/>
      </c>
      <c r="AA3004" s="0" t="str">
        <f aca="false">IF(AND(C3003=C3004,W3003=W3004-1),Y3003,"")</f>
        <v/>
      </c>
      <c r="AB3004" s="0" t="str">
        <f aca="false">IF(W3004=1,"",IF(AND(X3004=1,Z3004&lt;&gt;1),1,0))</f>
        <v/>
      </c>
      <c r="AC3004" s="0" t="str">
        <f aca="false">IF(W3004=1,"",IF(AND(Y3004=1,AA3004&lt;&gt;1),1,0))</f>
        <v/>
      </c>
      <c r="AD3004" s="33" t="str">
        <f aca="false">IF(AND(E3004&gt;0,W3004&lt;1,NOT(AND(C3005=C3004,W3005=W3004+1))),INDEX(DATAS,W3004+1),"")</f>
        <v/>
      </c>
      <c r="AE3004" s="33" t="str">
        <f aca="false">IF(AND(Y3004=1,W3004&lt;1),IF(AND(C3005=C3004,W3005=W3004+1),IF(Y3005=1,"",INDEX(DATAS,W3004+1)),INDEX(DATAS,W3004+1)),"")</f>
        <v/>
      </c>
    </row>
    <row r="3005" customFormat="false" ht="15" hidden="false" customHeight="false" outlineLevel="0" collapsed="false">
      <c r="A3005" s="33" t="n">
        <v>46309</v>
      </c>
      <c r="B3005" s="0" t="n">
        <v>13</v>
      </c>
      <c r="C3005" s="0" t="n">
        <v>7395</v>
      </c>
      <c r="E3005" s="0" t="n">
        <v>0</v>
      </c>
      <c r="F3005" s="27" t="s">
        <v>1451</v>
      </c>
      <c r="I3005" s="27" t="s">
        <v>166</v>
      </c>
      <c r="U3005" s="0" t="n">
        <v>251</v>
      </c>
      <c r="V3005" s="0" t="n">
        <v>0</v>
      </c>
      <c r="W3005" s="27" t="n">
        <f aca="false">MATCH(A3005,DATAS,0)</f>
        <v>1</v>
      </c>
      <c r="X3005" s="27" t="n">
        <f aca="false">IF(AND(E3005&gt;0,OR(AND(B3005&gt;=1,B3005&lt;=6),B3005=10)),1,0)</f>
        <v>0</v>
      </c>
      <c r="Y3005" s="27" t="n">
        <f aca="false">IF(AND(E3005&gt;0,B3005=10),1,0)</f>
        <v>0</v>
      </c>
      <c r="Z3005" s="0" t="str">
        <f aca="false">IF(AND(C3004=C3005,W3004=W3005-1),X3004,"")</f>
        <v/>
      </c>
      <c r="AA3005" s="0" t="str">
        <f aca="false">IF(AND(C3004=C3005,W3004=W3005-1),Y3004,"")</f>
        <v/>
      </c>
      <c r="AB3005" s="0" t="str">
        <f aca="false">IF(W3005=1,"",IF(AND(X3005=1,Z3005&lt;&gt;1),1,0))</f>
        <v/>
      </c>
      <c r="AC3005" s="0" t="str">
        <f aca="false">IF(W3005=1,"",IF(AND(Y3005=1,AA3005&lt;&gt;1),1,0))</f>
        <v/>
      </c>
      <c r="AD3005" s="33" t="str">
        <f aca="false">IF(AND(E3005&gt;0,W3005&lt;1,NOT(AND(C3006=C3005,W3006=W3005+1))),INDEX(DATAS,W3005+1),"")</f>
        <v/>
      </c>
      <c r="AE3005" s="33" t="str">
        <f aca="false">IF(AND(Y3005=1,W3005&lt;1),IF(AND(C3006=C3005,W3006=W3005+1),IF(Y3006=1,"",INDEX(DATAS,W3005+1)),INDEX(DATAS,W3005+1)),"")</f>
        <v/>
      </c>
    </row>
    <row r="3006" customFormat="false" ht="15" hidden="false" customHeight="false" outlineLevel="0" collapsed="false">
      <c r="A3006" s="33" t="n">
        <v>46309</v>
      </c>
      <c r="B3006" s="0" t="n">
        <v>13</v>
      </c>
      <c r="C3006" s="0" t="n">
        <v>7396</v>
      </c>
      <c r="E3006" s="0" t="n">
        <v>0</v>
      </c>
      <c r="F3006" s="27" t="s">
        <v>1451</v>
      </c>
      <c r="I3006" s="27" t="s">
        <v>166</v>
      </c>
      <c r="U3006" s="0" t="n">
        <v>251</v>
      </c>
      <c r="V3006" s="0" t="n">
        <v>0</v>
      </c>
      <c r="W3006" s="27" t="n">
        <f aca="false">MATCH(A3006,DATAS,0)</f>
        <v>1</v>
      </c>
      <c r="X3006" s="27" t="n">
        <f aca="false">IF(AND(E3006&gt;0,OR(AND(B3006&gt;=1,B3006&lt;=6),B3006=10)),1,0)</f>
        <v>0</v>
      </c>
      <c r="Y3006" s="27" t="n">
        <f aca="false">IF(AND(E3006&gt;0,B3006=10),1,0)</f>
        <v>0</v>
      </c>
      <c r="Z3006" s="0" t="str">
        <f aca="false">IF(AND(C3005=C3006,W3005=W3006-1),X3005,"")</f>
        <v/>
      </c>
      <c r="AA3006" s="0" t="str">
        <f aca="false">IF(AND(C3005=C3006,W3005=W3006-1),Y3005,"")</f>
        <v/>
      </c>
      <c r="AB3006" s="0" t="str">
        <f aca="false">IF(W3006=1,"",IF(AND(X3006=1,Z3006&lt;&gt;1),1,0))</f>
        <v/>
      </c>
      <c r="AC3006" s="0" t="str">
        <f aca="false">IF(W3006=1,"",IF(AND(Y3006=1,AA3006&lt;&gt;1),1,0))</f>
        <v/>
      </c>
      <c r="AD3006" s="33" t="str">
        <f aca="false">IF(AND(E3006&gt;0,W3006&lt;1,NOT(AND(C3007=C3006,W3007=W3006+1))),INDEX(DATAS,W3006+1),"")</f>
        <v/>
      </c>
      <c r="AE3006" s="33" t="str">
        <f aca="false">IF(AND(Y3006=1,W3006&lt;1),IF(AND(C3007=C3006,W3007=W3006+1),IF(Y3007=1,"",INDEX(DATAS,W3006+1)),INDEX(DATAS,W3006+1)),"")</f>
        <v/>
      </c>
    </row>
    <row r="3007" customFormat="false" ht="15" hidden="false" customHeight="false" outlineLevel="0" collapsed="false">
      <c r="A3007" s="33" t="n">
        <v>46309</v>
      </c>
      <c r="B3007" s="0" t="n">
        <v>13</v>
      </c>
      <c r="C3007" s="0" t="n">
        <v>7397</v>
      </c>
      <c r="E3007" s="0" t="n">
        <v>0</v>
      </c>
      <c r="F3007" s="27" t="s">
        <v>1451</v>
      </c>
      <c r="I3007" s="27" t="s">
        <v>166</v>
      </c>
      <c r="U3007" s="0" t="n">
        <v>251</v>
      </c>
      <c r="V3007" s="0" t="n">
        <v>0</v>
      </c>
      <c r="W3007" s="27" t="n">
        <f aca="false">MATCH(A3007,DATAS,0)</f>
        <v>1</v>
      </c>
      <c r="X3007" s="27" t="n">
        <f aca="false">IF(AND(E3007&gt;0,OR(AND(B3007&gt;=1,B3007&lt;=6),B3007=10)),1,0)</f>
        <v>0</v>
      </c>
      <c r="Y3007" s="27" t="n">
        <f aca="false">IF(AND(E3007&gt;0,B3007=10),1,0)</f>
        <v>0</v>
      </c>
      <c r="Z3007" s="0" t="str">
        <f aca="false">IF(AND(C3006=C3007,W3006=W3007-1),X3006,"")</f>
        <v/>
      </c>
      <c r="AA3007" s="0" t="str">
        <f aca="false">IF(AND(C3006=C3007,W3006=W3007-1),Y3006,"")</f>
        <v/>
      </c>
      <c r="AB3007" s="0" t="str">
        <f aca="false">IF(W3007=1,"",IF(AND(X3007=1,Z3007&lt;&gt;1),1,0))</f>
        <v/>
      </c>
      <c r="AC3007" s="0" t="str">
        <f aca="false">IF(W3007=1,"",IF(AND(Y3007=1,AA3007&lt;&gt;1),1,0))</f>
        <v/>
      </c>
      <c r="AD3007" s="33" t="str">
        <f aca="false">IF(AND(E3007&gt;0,W3007&lt;1,NOT(AND(C3008=C3007,W3008=W3007+1))),INDEX(DATAS,W3007+1),"")</f>
        <v/>
      </c>
      <c r="AE3007" s="33" t="str">
        <f aca="false">IF(AND(Y3007=1,W3007&lt;1),IF(AND(C3008=C3007,W3008=W3007+1),IF(Y3008=1,"",INDEX(DATAS,W3007+1)),INDEX(DATAS,W3007+1)),"")</f>
        <v/>
      </c>
    </row>
    <row r="3008" customFormat="false" ht="15" hidden="false" customHeight="false" outlineLevel="0" collapsed="false">
      <c r="A3008" s="33" t="n">
        <v>46309</v>
      </c>
      <c r="B3008" s="0" t="n">
        <v>13</v>
      </c>
      <c r="C3008" s="0" t="n">
        <v>7398</v>
      </c>
      <c r="E3008" s="0" t="n">
        <v>0</v>
      </c>
      <c r="F3008" s="27" t="s">
        <v>1451</v>
      </c>
      <c r="I3008" s="27" t="s">
        <v>166</v>
      </c>
      <c r="U3008" s="0" t="n">
        <v>251</v>
      </c>
      <c r="V3008" s="0" t="n">
        <v>0</v>
      </c>
      <c r="W3008" s="27" t="n">
        <f aca="false">MATCH(A3008,DATAS,0)</f>
        <v>1</v>
      </c>
      <c r="X3008" s="27" t="n">
        <f aca="false">IF(AND(E3008&gt;0,OR(AND(B3008&gt;=1,B3008&lt;=6),B3008=10)),1,0)</f>
        <v>0</v>
      </c>
      <c r="Y3008" s="27" t="n">
        <f aca="false">IF(AND(E3008&gt;0,B3008=10),1,0)</f>
        <v>0</v>
      </c>
      <c r="Z3008" s="0" t="str">
        <f aca="false">IF(AND(C3007=C3008,W3007=W3008-1),X3007,"")</f>
        <v/>
      </c>
      <c r="AA3008" s="0" t="str">
        <f aca="false">IF(AND(C3007=C3008,W3007=W3008-1),Y3007,"")</f>
        <v/>
      </c>
      <c r="AB3008" s="0" t="str">
        <f aca="false">IF(W3008=1,"",IF(AND(X3008=1,Z3008&lt;&gt;1),1,0))</f>
        <v/>
      </c>
      <c r="AC3008" s="0" t="str">
        <f aca="false">IF(W3008=1,"",IF(AND(Y3008=1,AA3008&lt;&gt;1),1,0))</f>
        <v/>
      </c>
      <c r="AD3008" s="33" t="str">
        <f aca="false">IF(AND(E3008&gt;0,W3008&lt;1,NOT(AND(C3009=C3008,W3009=W3008+1))),INDEX(DATAS,W3008+1),"")</f>
        <v/>
      </c>
      <c r="AE3008" s="33" t="str">
        <f aca="false">IF(AND(Y3008=1,W3008&lt;1),IF(AND(C3009=C3008,W3009=W3008+1),IF(Y3009=1,"",INDEX(DATAS,W3008+1)),INDEX(DATAS,W3008+1)),"")</f>
        <v/>
      </c>
    </row>
    <row r="3009" customFormat="false" ht="15" hidden="false" customHeight="false" outlineLevel="0" collapsed="false">
      <c r="A3009" s="33" t="n">
        <v>46309</v>
      </c>
      <c r="B3009" s="0" t="n">
        <v>13</v>
      </c>
      <c r="C3009" s="0" t="n">
        <v>7399</v>
      </c>
      <c r="E3009" s="0" t="n">
        <v>0</v>
      </c>
      <c r="F3009" s="27" t="s">
        <v>1451</v>
      </c>
      <c r="I3009" s="27" t="s">
        <v>166</v>
      </c>
      <c r="U3009" s="0" t="n">
        <v>251</v>
      </c>
      <c r="V3009" s="0" t="n">
        <v>0</v>
      </c>
      <c r="W3009" s="27" t="n">
        <f aca="false">MATCH(A3009,DATAS,0)</f>
        <v>1</v>
      </c>
      <c r="X3009" s="27" t="n">
        <f aca="false">IF(AND(E3009&gt;0,OR(AND(B3009&gt;=1,B3009&lt;=6),B3009=10)),1,0)</f>
        <v>0</v>
      </c>
      <c r="Y3009" s="27" t="n">
        <f aca="false">IF(AND(E3009&gt;0,B3009=10),1,0)</f>
        <v>0</v>
      </c>
      <c r="Z3009" s="0" t="str">
        <f aca="false">IF(AND(C3008=C3009,W3008=W3009-1),X3008,"")</f>
        <v/>
      </c>
      <c r="AA3009" s="0" t="str">
        <f aca="false">IF(AND(C3008=C3009,W3008=W3009-1),Y3008,"")</f>
        <v/>
      </c>
      <c r="AB3009" s="0" t="str">
        <f aca="false">IF(W3009=1,"",IF(AND(X3009=1,Z3009&lt;&gt;1),1,0))</f>
        <v/>
      </c>
      <c r="AC3009" s="0" t="str">
        <f aca="false">IF(W3009=1,"",IF(AND(Y3009=1,AA3009&lt;&gt;1),1,0))</f>
        <v/>
      </c>
      <c r="AD3009" s="33" t="str">
        <f aca="false">IF(AND(E3009&gt;0,W3009&lt;1,NOT(AND(C3010=C3009,W3010=W3009+1))),INDEX(DATAS,W3009+1),"")</f>
        <v/>
      </c>
      <c r="AE3009" s="33" t="str">
        <f aca="false">IF(AND(Y3009=1,W3009&lt;1),IF(AND(C3010=C3009,W3010=W3009+1),IF(Y3010=1,"",INDEX(DATAS,W3009+1)),INDEX(DATAS,W3009+1)),"")</f>
        <v/>
      </c>
    </row>
    <row r="3010" customFormat="false" ht="15" hidden="false" customHeight="false" outlineLevel="0" collapsed="false">
      <c r="A3010" s="33" t="n">
        <v>46309</v>
      </c>
      <c r="B3010" s="0" t="n">
        <v>13</v>
      </c>
      <c r="C3010" s="0" t="n">
        <v>7400</v>
      </c>
      <c r="E3010" s="0" t="n">
        <v>0</v>
      </c>
      <c r="F3010" s="27" t="s">
        <v>1452</v>
      </c>
      <c r="I3010" s="27" t="s">
        <v>166</v>
      </c>
      <c r="U3010" s="0" t="n">
        <v>250</v>
      </c>
      <c r="V3010" s="0" t="n">
        <v>0</v>
      </c>
      <c r="W3010" s="27" t="n">
        <f aca="false">MATCH(A3010,DATAS,0)</f>
        <v>1</v>
      </c>
      <c r="X3010" s="27" t="n">
        <f aca="false">IF(AND(E3010&gt;0,OR(AND(B3010&gt;=1,B3010&lt;=6),B3010=10)),1,0)</f>
        <v>0</v>
      </c>
      <c r="Y3010" s="27" t="n">
        <f aca="false">IF(AND(E3010&gt;0,B3010=10),1,0)</f>
        <v>0</v>
      </c>
      <c r="Z3010" s="0" t="str">
        <f aca="false">IF(AND(C3009=C3010,W3009=W3010-1),X3009,"")</f>
        <v/>
      </c>
      <c r="AA3010" s="0" t="str">
        <f aca="false">IF(AND(C3009=C3010,W3009=W3010-1),Y3009,"")</f>
        <v/>
      </c>
      <c r="AB3010" s="0" t="str">
        <f aca="false">IF(W3010=1,"",IF(AND(X3010=1,Z3010&lt;&gt;1),1,0))</f>
        <v/>
      </c>
      <c r="AC3010" s="0" t="str">
        <f aca="false">IF(W3010=1,"",IF(AND(Y3010=1,AA3010&lt;&gt;1),1,0))</f>
        <v/>
      </c>
      <c r="AD3010" s="33" t="str">
        <f aca="false">IF(AND(E3010&gt;0,W3010&lt;1,NOT(AND(C3011=C3010,W3011=W3010+1))),INDEX(DATAS,W3010+1),"")</f>
        <v/>
      </c>
      <c r="AE3010" s="33" t="str">
        <f aca="false">IF(AND(Y3010=1,W3010&lt;1),IF(AND(C3011=C3010,W3011=W3010+1),IF(Y3011=1,"",INDEX(DATAS,W3010+1)),INDEX(DATAS,W3010+1)),"")</f>
        <v/>
      </c>
    </row>
    <row r="3011" customFormat="false" ht="15" hidden="false" customHeight="false" outlineLevel="0" collapsed="false">
      <c r="A3011" s="33" t="n">
        <v>46309</v>
      </c>
      <c r="B3011" s="0" t="n">
        <v>13</v>
      </c>
      <c r="C3011" s="0" t="n">
        <v>7401</v>
      </c>
      <c r="E3011" s="0" t="n">
        <v>0</v>
      </c>
      <c r="F3011" s="27" t="s">
        <v>1452</v>
      </c>
      <c r="I3011" s="27" t="s">
        <v>166</v>
      </c>
      <c r="U3011" s="0" t="n">
        <v>250</v>
      </c>
      <c r="V3011" s="0" t="n">
        <v>0</v>
      </c>
      <c r="W3011" s="27" t="n">
        <f aca="false">MATCH(A3011,DATAS,0)</f>
        <v>1</v>
      </c>
      <c r="X3011" s="27" t="n">
        <f aca="false">IF(AND(E3011&gt;0,OR(AND(B3011&gt;=1,B3011&lt;=6),B3011=10)),1,0)</f>
        <v>0</v>
      </c>
      <c r="Y3011" s="27" t="n">
        <f aca="false">IF(AND(E3011&gt;0,B3011=10),1,0)</f>
        <v>0</v>
      </c>
      <c r="Z3011" s="0" t="str">
        <f aca="false">IF(AND(C3010=C3011,W3010=W3011-1),X3010,"")</f>
        <v/>
      </c>
      <c r="AA3011" s="0" t="str">
        <f aca="false">IF(AND(C3010=C3011,W3010=W3011-1),Y3010,"")</f>
        <v/>
      </c>
      <c r="AB3011" s="0" t="str">
        <f aca="false">IF(W3011=1,"",IF(AND(X3011=1,Z3011&lt;&gt;1),1,0))</f>
        <v/>
      </c>
      <c r="AC3011" s="0" t="str">
        <f aca="false">IF(W3011=1,"",IF(AND(Y3011=1,AA3011&lt;&gt;1),1,0))</f>
        <v/>
      </c>
      <c r="AD3011" s="33" t="str">
        <f aca="false">IF(AND(E3011&gt;0,W3011&lt;1,NOT(AND(C3012=C3011,W3012=W3011+1))),INDEX(DATAS,W3011+1),"")</f>
        <v/>
      </c>
      <c r="AE3011" s="33" t="str">
        <f aca="false">IF(AND(Y3011=1,W3011&lt;1),IF(AND(C3012=C3011,W3012=W3011+1),IF(Y3012=1,"",INDEX(DATAS,W3011+1)),INDEX(DATAS,W3011+1)),"")</f>
        <v/>
      </c>
    </row>
    <row r="3012" customFormat="false" ht="15" hidden="false" customHeight="false" outlineLevel="0" collapsed="false">
      <c r="A3012" s="33" t="n">
        <v>46309</v>
      </c>
      <c r="B3012" s="0" t="n">
        <v>13</v>
      </c>
      <c r="C3012" s="0" t="n">
        <v>7402</v>
      </c>
      <c r="E3012" s="0" t="n">
        <v>0</v>
      </c>
      <c r="F3012" s="27" t="s">
        <v>1453</v>
      </c>
      <c r="I3012" s="27" t="s">
        <v>166</v>
      </c>
      <c r="U3012" s="0" t="n">
        <v>249</v>
      </c>
      <c r="V3012" s="0" t="n">
        <v>0</v>
      </c>
      <c r="W3012" s="27" t="n">
        <f aca="false">MATCH(A3012,DATAS,0)</f>
        <v>1</v>
      </c>
      <c r="X3012" s="27" t="n">
        <f aca="false">IF(AND(E3012&gt;0,OR(AND(B3012&gt;=1,B3012&lt;=6),B3012=10)),1,0)</f>
        <v>0</v>
      </c>
      <c r="Y3012" s="27" t="n">
        <f aca="false">IF(AND(E3012&gt;0,B3012=10),1,0)</f>
        <v>0</v>
      </c>
      <c r="Z3012" s="0" t="str">
        <f aca="false">IF(AND(C3011=C3012,W3011=W3012-1),X3011,"")</f>
        <v/>
      </c>
      <c r="AA3012" s="0" t="str">
        <f aca="false">IF(AND(C3011=C3012,W3011=W3012-1),Y3011,"")</f>
        <v/>
      </c>
      <c r="AB3012" s="0" t="str">
        <f aca="false">IF(W3012=1,"",IF(AND(X3012=1,Z3012&lt;&gt;1),1,0))</f>
        <v/>
      </c>
      <c r="AC3012" s="0" t="str">
        <f aca="false">IF(W3012=1,"",IF(AND(Y3012=1,AA3012&lt;&gt;1),1,0))</f>
        <v/>
      </c>
      <c r="AD3012" s="33" t="str">
        <f aca="false">IF(AND(E3012&gt;0,W3012&lt;1,NOT(AND(C3013=C3012,W3013=W3012+1))),INDEX(DATAS,W3012+1),"")</f>
        <v/>
      </c>
      <c r="AE3012" s="33" t="str">
        <f aca="false">IF(AND(Y3012=1,W3012&lt;1),IF(AND(C3013=C3012,W3013=W3012+1),IF(Y3013=1,"",INDEX(DATAS,W3012+1)),INDEX(DATAS,W3012+1)),"")</f>
        <v/>
      </c>
    </row>
    <row r="3013" customFormat="false" ht="15" hidden="false" customHeight="false" outlineLevel="0" collapsed="false">
      <c r="A3013" s="33" t="n">
        <v>46309</v>
      </c>
      <c r="B3013" s="0" t="n">
        <v>13</v>
      </c>
      <c r="C3013" s="0" t="n">
        <v>7403</v>
      </c>
      <c r="E3013" s="0" t="n">
        <v>0</v>
      </c>
      <c r="F3013" s="27" t="s">
        <v>1453</v>
      </c>
      <c r="I3013" s="27" t="s">
        <v>166</v>
      </c>
      <c r="U3013" s="0" t="n">
        <v>249</v>
      </c>
      <c r="V3013" s="0" t="n">
        <v>0</v>
      </c>
      <c r="W3013" s="27" t="n">
        <f aca="false">MATCH(A3013,DATAS,0)</f>
        <v>1</v>
      </c>
      <c r="X3013" s="27" t="n">
        <f aca="false">IF(AND(E3013&gt;0,OR(AND(B3013&gt;=1,B3013&lt;=6),B3013=10)),1,0)</f>
        <v>0</v>
      </c>
      <c r="Y3013" s="27" t="n">
        <f aca="false">IF(AND(E3013&gt;0,B3013=10),1,0)</f>
        <v>0</v>
      </c>
      <c r="Z3013" s="0" t="str">
        <f aca="false">IF(AND(C3012=C3013,W3012=W3013-1),X3012,"")</f>
        <v/>
      </c>
      <c r="AA3013" s="0" t="str">
        <f aca="false">IF(AND(C3012=C3013,W3012=W3013-1),Y3012,"")</f>
        <v/>
      </c>
      <c r="AB3013" s="0" t="str">
        <f aca="false">IF(W3013=1,"",IF(AND(X3013=1,Z3013&lt;&gt;1),1,0))</f>
        <v/>
      </c>
      <c r="AC3013" s="0" t="str">
        <f aca="false">IF(W3013=1,"",IF(AND(Y3013=1,AA3013&lt;&gt;1),1,0))</f>
        <v/>
      </c>
      <c r="AD3013" s="33" t="str">
        <f aca="false">IF(AND(E3013&gt;0,W3013&lt;1,NOT(AND(C3014=C3013,W3014=W3013+1))),INDEX(DATAS,W3013+1),"")</f>
        <v/>
      </c>
      <c r="AE3013" s="33" t="str">
        <f aca="false">IF(AND(Y3013=1,W3013&lt;1),IF(AND(C3014=C3013,W3014=W3013+1),IF(Y3014=1,"",INDEX(DATAS,W3013+1)),INDEX(DATAS,W3013+1)),"")</f>
        <v/>
      </c>
    </row>
    <row r="3014" customFormat="false" ht="15" hidden="false" customHeight="false" outlineLevel="0" collapsed="false">
      <c r="A3014" s="33" t="n">
        <v>46309</v>
      </c>
      <c r="B3014" s="0" t="n">
        <v>13</v>
      </c>
      <c r="C3014" s="0" t="n">
        <v>7404</v>
      </c>
      <c r="E3014" s="0" t="n">
        <v>0</v>
      </c>
      <c r="F3014" s="27" t="s">
        <v>1454</v>
      </c>
      <c r="I3014" s="27" t="s">
        <v>166</v>
      </c>
      <c r="U3014" s="0" t="n">
        <v>248</v>
      </c>
      <c r="V3014" s="0" t="n">
        <v>0</v>
      </c>
      <c r="W3014" s="27" t="n">
        <f aca="false">MATCH(A3014,DATAS,0)</f>
        <v>1</v>
      </c>
      <c r="X3014" s="27" t="n">
        <f aca="false">IF(AND(E3014&gt;0,OR(AND(B3014&gt;=1,B3014&lt;=6),B3014=10)),1,0)</f>
        <v>0</v>
      </c>
      <c r="Y3014" s="27" t="n">
        <f aca="false">IF(AND(E3014&gt;0,B3014=10),1,0)</f>
        <v>0</v>
      </c>
      <c r="Z3014" s="0" t="str">
        <f aca="false">IF(AND(C3013=C3014,W3013=W3014-1),X3013,"")</f>
        <v/>
      </c>
      <c r="AA3014" s="0" t="str">
        <f aca="false">IF(AND(C3013=C3014,W3013=W3014-1),Y3013,"")</f>
        <v/>
      </c>
      <c r="AB3014" s="0" t="str">
        <f aca="false">IF(W3014=1,"",IF(AND(X3014=1,Z3014&lt;&gt;1),1,0))</f>
        <v/>
      </c>
      <c r="AC3014" s="0" t="str">
        <f aca="false">IF(W3014=1,"",IF(AND(Y3014=1,AA3014&lt;&gt;1),1,0))</f>
        <v/>
      </c>
      <c r="AD3014" s="33" t="str">
        <f aca="false">IF(AND(E3014&gt;0,W3014&lt;1,NOT(AND(C3015=C3014,W3015=W3014+1))),INDEX(DATAS,W3014+1),"")</f>
        <v/>
      </c>
      <c r="AE3014" s="33" t="str">
        <f aca="false">IF(AND(Y3014=1,W3014&lt;1),IF(AND(C3015=C3014,W3015=W3014+1),IF(Y3015=1,"",INDEX(DATAS,W3014+1)),INDEX(DATAS,W3014+1)),"")</f>
        <v/>
      </c>
    </row>
    <row r="3015" customFormat="false" ht="15" hidden="false" customHeight="false" outlineLevel="0" collapsed="false">
      <c r="A3015" s="33" t="n">
        <v>46309</v>
      </c>
      <c r="B3015" s="0" t="n">
        <v>13</v>
      </c>
      <c r="C3015" s="0" t="n">
        <v>7405</v>
      </c>
      <c r="E3015" s="0" t="n">
        <v>0</v>
      </c>
      <c r="F3015" s="27" t="s">
        <v>1454</v>
      </c>
      <c r="I3015" s="27" t="s">
        <v>166</v>
      </c>
      <c r="U3015" s="0" t="n">
        <v>248</v>
      </c>
      <c r="V3015" s="0" t="n">
        <v>0</v>
      </c>
      <c r="W3015" s="27" t="n">
        <f aca="false">MATCH(A3015,DATAS,0)</f>
        <v>1</v>
      </c>
      <c r="X3015" s="27" t="n">
        <f aca="false">IF(AND(E3015&gt;0,OR(AND(B3015&gt;=1,B3015&lt;=6),B3015=10)),1,0)</f>
        <v>0</v>
      </c>
      <c r="Y3015" s="27" t="n">
        <f aca="false">IF(AND(E3015&gt;0,B3015=10),1,0)</f>
        <v>0</v>
      </c>
      <c r="Z3015" s="0" t="str">
        <f aca="false">IF(AND(C3014=C3015,W3014=W3015-1),X3014,"")</f>
        <v/>
      </c>
      <c r="AA3015" s="0" t="str">
        <f aca="false">IF(AND(C3014=C3015,W3014=W3015-1),Y3014,"")</f>
        <v/>
      </c>
      <c r="AB3015" s="0" t="str">
        <f aca="false">IF(W3015=1,"",IF(AND(X3015=1,Z3015&lt;&gt;1),1,0))</f>
        <v/>
      </c>
      <c r="AC3015" s="0" t="str">
        <f aca="false">IF(W3015=1,"",IF(AND(Y3015=1,AA3015&lt;&gt;1),1,0))</f>
        <v/>
      </c>
      <c r="AD3015" s="33" t="str">
        <f aca="false">IF(AND(E3015&gt;0,W3015&lt;1,NOT(AND(C3016=C3015,W3016=W3015+1))),INDEX(DATAS,W3015+1),"")</f>
        <v/>
      </c>
      <c r="AE3015" s="33" t="str">
        <f aca="false">IF(AND(Y3015=1,W3015&lt;1),IF(AND(C3016=C3015,W3016=W3015+1),IF(Y3016=1,"",INDEX(DATAS,W3015+1)),INDEX(DATAS,W3015+1)),"")</f>
        <v/>
      </c>
    </row>
    <row r="3016" customFormat="false" ht="15" hidden="false" customHeight="false" outlineLevel="0" collapsed="false">
      <c r="A3016" s="33" t="n">
        <v>46309</v>
      </c>
      <c r="B3016" s="0" t="n">
        <v>13</v>
      </c>
      <c r="C3016" s="0" t="n">
        <v>7406</v>
      </c>
      <c r="E3016" s="0" t="n">
        <v>0</v>
      </c>
      <c r="F3016" s="27" t="s">
        <v>1454</v>
      </c>
      <c r="I3016" s="27" t="s">
        <v>166</v>
      </c>
      <c r="U3016" s="0" t="n">
        <v>248</v>
      </c>
      <c r="V3016" s="0" t="n">
        <v>0</v>
      </c>
      <c r="W3016" s="27" t="n">
        <f aca="false">MATCH(A3016,DATAS,0)</f>
        <v>1</v>
      </c>
      <c r="X3016" s="27" t="n">
        <f aca="false">IF(AND(E3016&gt;0,OR(AND(B3016&gt;=1,B3016&lt;=6),B3016=10)),1,0)</f>
        <v>0</v>
      </c>
      <c r="Y3016" s="27" t="n">
        <f aca="false">IF(AND(E3016&gt;0,B3016=10),1,0)</f>
        <v>0</v>
      </c>
      <c r="Z3016" s="0" t="str">
        <f aca="false">IF(AND(C3015=C3016,W3015=W3016-1),X3015,"")</f>
        <v/>
      </c>
      <c r="AA3016" s="0" t="str">
        <f aca="false">IF(AND(C3015=C3016,W3015=W3016-1),Y3015,"")</f>
        <v/>
      </c>
      <c r="AB3016" s="0" t="str">
        <f aca="false">IF(W3016=1,"",IF(AND(X3016=1,Z3016&lt;&gt;1),1,0))</f>
        <v/>
      </c>
      <c r="AC3016" s="0" t="str">
        <f aca="false">IF(W3016=1,"",IF(AND(Y3016=1,AA3016&lt;&gt;1),1,0))</f>
        <v/>
      </c>
      <c r="AD3016" s="33" t="str">
        <f aca="false">IF(AND(E3016&gt;0,W3016&lt;1,NOT(AND(C3017=C3016,W3017=W3016+1))),INDEX(DATAS,W3016+1),"")</f>
        <v/>
      </c>
      <c r="AE3016" s="33" t="str">
        <f aca="false">IF(AND(Y3016=1,W3016&lt;1),IF(AND(C3017=C3016,W3017=W3016+1),IF(Y3017=1,"",INDEX(DATAS,W3016+1)),INDEX(DATAS,W3016+1)),"")</f>
        <v/>
      </c>
    </row>
    <row r="3017" customFormat="false" ht="15" hidden="false" customHeight="false" outlineLevel="0" collapsed="false">
      <c r="A3017" s="33" t="n">
        <v>46309</v>
      </c>
      <c r="B3017" s="0" t="n">
        <v>13</v>
      </c>
      <c r="C3017" s="0" t="n">
        <v>7408</v>
      </c>
      <c r="E3017" s="0" t="n">
        <v>0</v>
      </c>
      <c r="F3017" s="27" t="s">
        <v>1455</v>
      </c>
      <c r="I3017" s="27" t="s">
        <v>166</v>
      </c>
      <c r="U3017" s="0" t="n">
        <v>247</v>
      </c>
      <c r="V3017" s="0" t="n">
        <v>0</v>
      </c>
      <c r="W3017" s="27" t="n">
        <f aca="false">MATCH(A3017,DATAS,0)</f>
        <v>1</v>
      </c>
      <c r="X3017" s="27" t="n">
        <f aca="false">IF(AND(E3017&gt;0,OR(AND(B3017&gt;=1,B3017&lt;=6),B3017=10)),1,0)</f>
        <v>0</v>
      </c>
      <c r="Y3017" s="27" t="n">
        <f aca="false">IF(AND(E3017&gt;0,B3017=10),1,0)</f>
        <v>0</v>
      </c>
      <c r="Z3017" s="0" t="str">
        <f aca="false">IF(AND(C3016=C3017,W3016=W3017-1),X3016,"")</f>
        <v/>
      </c>
      <c r="AA3017" s="0" t="str">
        <f aca="false">IF(AND(C3016=C3017,W3016=W3017-1),Y3016,"")</f>
        <v/>
      </c>
      <c r="AB3017" s="0" t="str">
        <f aca="false">IF(W3017=1,"",IF(AND(X3017=1,Z3017&lt;&gt;1),1,0))</f>
        <v/>
      </c>
      <c r="AC3017" s="0" t="str">
        <f aca="false">IF(W3017=1,"",IF(AND(Y3017=1,AA3017&lt;&gt;1),1,0))</f>
        <v/>
      </c>
      <c r="AD3017" s="33" t="str">
        <f aca="false">IF(AND(E3017&gt;0,W3017&lt;1,NOT(AND(C3018=C3017,W3018=W3017+1))),INDEX(DATAS,W3017+1),"")</f>
        <v/>
      </c>
      <c r="AE3017" s="33" t="str">
        <f aca="false">IF(AND(Y3017=1,W3017&lt;1),IF(AND(C3018=C3017,W3018=W3017+1),IF(Y3018=1,"",INDEX(DATAS,W3017+1)),INDEX(DATAS,W3017+1)),"")</f>
        <v/>
      </c>
    </row>
    <row r="3018" customFormat="false" ht="15" hidden="false" customHeight="false" outlineLevel="0" collapsed="false">
      <c r="A3018" s="33" t="n">
        <v>46309</v>
      </c>
      <c r="B3018" s="0" t="n">
        <v>13</v>
      </c>
      <c r="C3018" s="0" t="n">
        <v>7409</v>
      </c>
      <c r="E3018" s="0" t="n">
        <v>0</v>
      </c>
      <c r="F3018" s="27" t="s">
        <v>1456</v>
      </c>
      <c r="I3018" s="27" t="s">
        <v>166</v>
      </c>
      <c r="U3018" s="0" t="n">
        <v>246</v>
      </c>
      <c r="V3018" s="0" t="n">
        <v>0</v>
      </c>
      <c r="W3018" s="27" t="n">
        <f aca="false">MATCH(A3018,DATAS,0)</f>
        <v>1</v>
      </c>
      <c r="X3018" s="27" t="n">
        <f aca="false">IF(AND(E3018&gt;0,OR(AND(B3018&gt;=1,B3018&lt;=6),B3018=10)),1,0)</f>
        <v>0</v>
      </c>
      <c r="Y3018" s="27" t="n">
        <f aca="false">IF(AND(E3018&gt;0,B3018=10),1,0)</f>
        <v>0</v>
      </c>
      <c r="Z3018" s="0" t="str">
        <f aca="false">IF(AND(C3017=C3018,W3017=W3018-1),X3017,"")</f>
        <v/>
      </c>
      <c r="AA3018" s="0" t="str">
        <f aca="false">IF(AND(C3017=C3018,W3017=W3018-1),Y3017,"")</f>
        <v/>
      </c>
      <c r="AB3018" s="0" t="str">
        <f aca="false">IF(W3018=1,"",IF(AND(X3018=1,Z3018&lt;&gt;1),1,0))</f>
        <v/>
      </c>
      <c r="AC3018" s="0" t="str">
        <f aca="false">IF(W3018=1,"",IF(AND(Y3018=1,AA3018&lt;&gt;1),1,0))</f>
        <v/>
      </c>
      <c r="AD3018" s="33" t="str">
        <f aca="false">IF(AND(E3018&gt;0,W3018&lt;1,NOT(AND(C3019=C3018,W3019=W3018+1))),INDEX(DATAS,W3018+1),"")</f>
        <v/>
      </c>
      <c r="AE3018" s="33" t="str">
        <f aca="false">IF(AND(Y3018=1,W3018&lt;1),IF(AND(C3019=C3018,W3019=W3018+1),IF(Y3019=1,"",INDEX(DATAS,W3018+1)),INDEX(DATAS,W3018+1)),"")</f>
        <v/>
      </c>
    </row>
    <row r="3019" customFormat="false" ht="15" hidden="false" customHeight="false" outlineLevel="0" collapsed="false">
      <c r="A3019" s="33" t="n">
        <v>46309</v>
      </c>
      <c r="B3019" s="0" t="n">
        <v>13</v>
      </c>
      <c r="C3019" s="0" t="n">
        <v>7411</v>
      </c>
      <c r="E3019" s="0" t="n">
        <v>0</v>
      </c>
      <c r="F3019" s="27" t="s">
        <v>1457</v>
      </c>
      <c r="I3019" s="27" t="s">
        <v>166</v>
      </c>
      <c r="U3019" s="0" t="n">
        <v>245</v>
      </c>
      <c r="V3019" s="0" t="n">
        <v>0</v>
      </c>
      <c r="W3019" s="27" t="n">
        <f aca="false">MATCH(A3019,DATAS,0)</f>
        <v>1</v>
      </c>
      <c r="X3019" s="27" t="n">
        <f aca="false">IF(AND(E3019&gt;0,OR(AND(B3019&gt;=1,B3019&lt;=6),B3019=10)),1,0)</f>
        <v>0</v>
      </c>
      <c r="Y3019" s="27" t="n">
        <f aca="false">IF(AND(E3019&gt;0,B3019=10),1,0)</f>
        <v>0</v>
      </c>
      <c r="Z3019" s="0" t="str">
        <f aca="false">IF(AND(C3018=C3019,W3018=W3019-1),X3018,"")</f>
        <v/>
      </c>
      <c r="AA3019" s="0" t="str">
        <f aca="false">IF(AND(C3018=C3019,W3018=W3019-1),Y3018,"")</f>
        <v/>
      </c>
      <c r="AB3019" s="0" t="str">
        <f aca="false">IF(W3019=1,"",IF(AND(X3019=1,Z3019&lt;&gt;1),1,0))</f>
        <v/>
      </c>
      <c r="AC3019" s="0" t="str">
        <f aca="false">IF(W3019=1,"",IF(AND(Y3019=1,AA3019&lt;&gt;1),1,0))</f>
        <v/>
      </c>
      <c r="AD3019" s="33" t="str">
        <f aca="false">IF(AND(E3019&gt;0,W3019&lt;1,NOT(AND(C3020=C3019,W3020=W3019+1))),INDEX(DATAS,W3019+1),"")</f>
        <v/>
      </c>
      <c r="AE3019" s="33" t="str">
        <f aca="false">IF(AND(Y3019=1,W3019&lt;1),IF(AND(C3020=C3019,W3020=W3019+1),IF(Y3020=1,"",INDEX(DATAS,W3019+1)),INDEX(DATAS,W3019+1)),"")</f>
        <v/>
      </c>
    </row>
    <row r="3020" customFormat="false" ht="15" hidden="false" customHeight="false" outlineLevel="0" collapsed="false">
      <c r="A3020" s="33" t="n">
        <v>46309</v>
      </c>
      <c r="B3020" s="0" t="n">
        <v>13</v>
      </c>
      <c r="C3020" s="0" t="n">
        <v>7413</v>
      </c>
      <c r="E3020" s="0" t="n">
        <v>0</v>
      </c>
      <c r="F3020" s="27" t="s">
        <v>1457</v>
      </c>
      <c r="I3020" s="27" t="s">
        <v>166</v>
      </c>
      <c r="U3020" s="0" t="n">
        <v>245</v>
      </c>
      <c r="V3020" s="0" t="n">
        <v>0</v>
      </c>
      <c r="W3020" s="27" t="n">
        <f aca="false">MATCH(A3020,DATAS,0)</f>
        <v>1</v>
      </c>
      <c r="X3020" s="27" t="n">
        <f aca="false">IF(AND(E3020&gt;0,OR(AND(B3020&gt;=1,B3020&lt;=6),B3020=10)),1,0)</f>
        <v>0</v>
      </c>
      <c r="Y3020" s="27" t="n">
        <f aca="false">IF(AND(E3020&gt;0,B3020=10),1,0)</f>
        <v>0</v>
      </c>
      <c r="Z3020" s="0" t="str">
        <f aca="false">IF(AND(C3019=C3020,W3019=W3020-1),X3019,"")</f>
        <v/>
      </c>
      <c r="AA3020" s="0" t="str">
        <f aca="false">IF(AND(C3019=C3020,W3019=W3020-1),Y3019,"")</f>
        <v/>
      </c>
      <c r="AB3020" s="0" t="str">
        <f aca="false">IF(W3020=1,"",IF(AND(X3020=1,Z3020&lt;&gt;1),1,0))</f>
        <v/>
      </c>
      <c r="AC3020" s="0" t="str">
        <f aca="false">IF(W3020=1,"",IF(AND(Y3020=1,AA3020&lt;&gt;1),1,0))</f>
        <v/>
      </c>
      <c r="AD3020" s="33" t="str">
        <f aca="false">IF(AND(E3020&gt;0,W3020&lt;1,NOT(AND(C3021=C3020,W3021=W3020+1))),INDEX(DATAS,W3020+1),"")</f>
        <v/>
      </c>
      <c r="AE3020" s="33" t="str">
        <f aca="false">IF(AND(Y3020=1,W3020&lt;1),IF(AND(C3021=C3020,W3021=W3020+1),IF(Y3021=1,"",INDEX(DATAS,W3020+1)),INDEX(DATAS,W3020+1)),"")</f>
        <v/>
      </c>
    </row>
    <row r="3021" customFormat="false" ht="15" hidden="false" customHeight="false" outlineLevel="0" collapsed="false">
      <c r="A3021" s="33" t="n">
        <v>46309</v>
      </c>
      <c r="B3021" s="0" t="n">
        <v>13</v>
      </c>
      <c r="C3021" s="0" t="n">
        <v>7414</v>
      </c>
      <c r="E3021" s="0" t="n">
        <v>0</v>
      </c>
      <c r="F3021" s="27" t="s">
        <v>1457</v>
      </c>
      <c r="I3021" s="27" t="s">
        <v>166</v>
      </c>
      <c r="U3021" s="0" t="n">
        <v>245</v>
      </c>
      <c r="V3021" s="0" t="n">
        <v>0</v>
      </c>
      <c r="W3021" s="27" t="n">
        <f aca="false">MATCH(A3021,DATAS,0)</f>
        <v>1</v>
      </c>
      <c r="X3021" s="27" t="n">
        <f aca="false">IF(AND(E3021&gt;0,OR(AND(B3021&gt;=1,B3021&lt;=6),B3021=10)),1,0)</f>
        <v>0</v>
      </c>
      <c r="Y3021" s="27" t="n">
        <f aca="false">IF(AND(E3021&gt;0,B3021=10),1,0)</f>
        <v>0</v>
      </c>
      <c r="Z3021" s="0" t="str">
        <f aca="false">IF(AND(C3020=C3021,W3020=W3021-1),X3020,"")</f>
        <v/>
      </c>
      <c r="AA3021" s="0" t="str">
        <f aca="false">IF(AND(C3020=C3021,W3020=W3021-1),Y3020,"")</f>
        <v/>
      </c>
      <c r="AB3021" s="0" t="str">
        <f aca="false">IF(W3021=1,"",IF(AND(X3021=1,Z3021&lt;&gt;1),1,0))</f>
        <v/>
      </c>
      <c r="AC3021" s="0" t="str">
        <f aca="false">IF(W3021=1,"",IF(AND(Y3021=1,AA3021&lt;&gt;1),1,0))</f>
        <v/>
      </c>
      <c r="AD3021" s="33" t="str">
        <f aca="false">IF(AND(E3021&gt;0,W3021&lt;1,NOT(AND(C3022=C3021,W3022=W3021+1))),INDEX(DATAS,W3021+1),"")</f>
        <v/>
      </c>
      <c r="AE3021" s="33" t="str">
        <f aca="false">IF(AND(Y3021=1,W3021&lt;1),IF(AND(C3022=C3021,W3022=W3021+1),IF(Y3022=1,"",INDEX(DATAS,W3021+1)),INDEX(DATAS,W3021+1)),"")</f>
        <v/>
      </c>
    </row>
    <row r="3022" customFormat="false" ht="15" hidden="false" customHeight="false" outlineLevel="0" collapsed="false">
      <c r="A3022" s="33" t="n">
        <v>46309</v>
      </c>
      <c r="B3022" s="0" t="n">
        <v>13</v>
      </c>
      <c r="C3022" s="0" t="n">
        <v>7415</v>
      </c>
      <c r="E3022" s="0" t="n">
        <v>0</v>
      </c>
      <c r="F3022" s="27" t="s">
        <v>1457</v>
      </c>
      <c r="I3022" s="27" t="s">
        <v>166</v>
      </c>
      <c r="U3022" s="0" t="n">
        <v>245</v>
      </c>
      <c r="V3022" s="0" t="n">
        <v>0</v>
      </c>
      <c r="W3022" s="27" t="n">
        <f aca="false">MATCH(A3022,DATAS,0)</f>
        <v>1</v>
      </c>
      <c r="X3022" s="27" t="n">
        <f aca="false">IF(AND(E3022&gt;0,OR(AND(B3022&gt;=1,B3022&lt;=6),B3022=10)),1,0)</f>
        <v>0</v>
      </c>
      <c r="Y3022" s="27" t="n">
        <f aca="false">IF(AND(E3022&gt;0,B3022=10),1,0)</f>
        <v>0</v>
      </c>
      <c r="Z3022" s="0" t="str">
        <f aca="false">IF(AND(C3021=C3022,W3021=W3022-1),X3021,"")</f>
        <v/>
      </c>
      <c r="AA3022" s="0" t="str">
        <f aca="false">IF(AND(C3021=C3022,W3021=W3022-1),Y3021,"")</f>
        <v/>
      </c>
      <c r="AB3022" s="0" t="str">
        <f aca="false">IF(W3022=1,"",IF(AND(X3022=1,Z3022&lt;&gt;1),1,0))</f>
        <v/>
      </c>
      <c r="AC3022" s="0" t="str">
        <f aca="false">IF(W3022=1,"",IF(AND(Y3022=1,AA3022&lt;&gt;1),1,0))</f>
        <v/>
      </c>
      <c r="AD3022" s="33" t="str">
        <f aca="false">IF(AND(E3022&gt;0,W3022&lt;1,NOT(AND(C3023=C3022,W3023=W3022+1))),INDEX(DATAS,W3022+1),"")</f>
        <v/>
      </c>
      <c r="AE3022" s="33" t="str">
        <f aca="false">IF(AND(Y3022=1,W3022&lt;1),IF(AND(C3023=C3022,W3023=W3022+1),IF(Y3023=1,"",INDEX(DATAS,W3022+1)),INDEX(DATAS,W3022+1)),"")</f>
        <v/>
      </c>
    </row>
    <row r="3023" customFormat="false" ht="15" hidden="false" customHeight="false" outlineLevel="0" collapsed="false">
      <c r="A3023" s="33" t="n">
        <v>46309</v>
      </c>
      <c r="B3023" s="0" t="n">
        <v>13</v>
      </c>
      <c r="C3023" s="0" t="n">
        <v>7416</v>
      </c>
      <c r="E3023" s="0" t="n">
        <v>0</v>
      </c>
      <c r="F3023" s="27" t="s">
        <v>1458</v>
      </c>
      <c r="I3023" s="27" t="s">
        <v>166</v>
      </c>
      <c r="U3023" s="0" t="n">
        <v>244</v>
      </c>
      <c r="V3023" s="0" t="n">
        <v>0</v>
      </c>
      <c r="W3023" s="27" t="n">
        <f aca="false">MATCH(A3023,DATAS,0)</f>
        <v>1</v>
      </c>
      <c r="X3023" s="27" t="n">
        <f aca="false">IF(AND(E3023&gt;0,OR(AND(B3023&gt;=1,B3023&lt;=6),B3023=10)),1,0)</f>
        <v>0</v>
      </c>
      <c r="Y3023" s="27" t="n">
        <f aca="false">IF(AND(E3023&gt;0,B3023=10),1,0)</f>
        <v>0</v>
      </c>
      <c r="Z3023" s="0" t="str">
        <f aca="false">IF(AND(C3022=C3023,W3022=W3023-1),X3022,"")</f>
        <v/>
      </c>
      <c r="AA3023" s="0" t="str">
        <f aca="false">IF(AND(C3022=C3023,W3022=W3023-1),Y3022,"")</f>
        <v/>
      </c>
      <c r="AB3023" s="0" t="str">
        <f aca="false">IF(W3023=1,"",IF(AND(X3023=1,Z3023&lt;&gt;1),1,0))</f>
        <v/>
      </c>
      <c r="AC3023" s="0" t="str">
        <f aca="false">IF(W3023=1,"",IF(AND(Y3023=1,AA3023&lt;&gt;1),1,0))</f>
        <v/>
      </c>
      <c r="AD3023" s="33" t="str">
        <f aca="false">IF(AND(E3023&gt;0,W3023&lt;1,NOT(AND(C3024=C3023,W3024=W3023+1))),INDEX(DATAS,W3023+1),"")</f>
        <v/>
      </c>
      <c r="AE3023" s="33" t="str">
        <f aca="false">IF(AND(Y3023=1,W3023&lt;1),IF(AND(C3024=C3023,W3024=W3023+1),IF(Y3024=1,"",INDEX(DATAS,W3023+1)),INDEX(DATAS,W3023+1)),"")</f>
        <v/>
      </c>
    </row>
    <row r="3024" customFormat="false" ht="15" hidden="false" customHeight="false" outlineLevel="0" collapsed="false">
      <c r="A3024" s="33" t="n">
        <v>46309</v>
      </c>
      <c r="B3024" s="0" t="n">
        <v>13</v>
      </c>
      <c r="C3024" s="0" t="n">
        <v>7418</v>
      </c>
      <c r="E3024" s="0" t="n">
        <v>0</v>
      </c>
      <c r="F3024" s="27" t="s">
        <v>1459</v>
      </c>
      <c r="I3024" s="27" t="s">
        <v>166</v>
      </c>
      <c r="U3024" s="0" t="n">
        <v>242</v>
      </c>
      <c r="V3024" s="0" t="n">
        <v>0</v>
      </c>
      <c r="W3024" s="27" t="n">
        <f aca="false">MATCH(A3024,DATAS,0)</f>
        <v>1</v>
      </c>
      <c r="X3024" s="27" t="n">
        <f aca="false">IF(AND(E3024&gt;0,OR(AND(B3024&gt;=1,B3024&lt;=6),B3024=10)),1,0)</f>
        <v>0</v>
      </c>
      <c r="Y3024" s="27" t="n">
        <f aca="false">IF(AND(E3024&gt;0,B3024=10),1,0)</f>
        <v>0</v>
      </c>
      <c r="Z3024" s="0" t="str">
        <f aca="false">IF(AND(C3023=C3024,W3023=W3024-1),X3023,"")</f>
        <v/>
      </c>
      <c r="AA3024" s="0" t="str">
        <f aca="false">IF(AND(C3023=C3024,W3023=W3024-1),Y3023,"")</f>
        <v/>
      </c>
      <c r="AB3024" s="0" t="str">
        <f aca="false">IF(W3024=1,"",IF(AND(X3024=1,Z3024&lt;&gt;1),1,0))</f>
        <v/>
      </c>
      <c r="AC3024" s="0" t="str">
        <f aca="false">IF(W3024=1,"",IF(AND(Y3024=1,AA3024&lt;&gt;1),1,0))</f>
        <v/>
      </c>
      <c r="AD3024" s="33" t="str">
        <f aca="false">IF(AND(E3024&gt;0,W3024&lt;1,NOT(AND(C3025=C3024,W3025=W3024+1))),INDEX(DATAS,W3024+1),"")</f>
        <v/>
      </c>
      <c r="AE3024" s="33" t="str">
        <f aca="false">IF(AND(Y3024=1,W3024&lt;1),IF(AND(C3025=C3024,W3025=W3024+1),IF(Y3025=1,"",INDEX(DATAS,W3024+1)),INDEX(DATAS,W3024+1)),"")</f>
        <v/>
      </c>
    </row>
    <row r="3025" customFormat="false" ht="15" hidden="false" customHeight="false" outlineLevel="0" collapsed="false">
      <c r="A3025" s="33" t="n">
        <v>46309</v>
      </c>
      <c r="B3025" s="0" t="n">
        <v>13</v>
      </c>
      <c r="C3025" s="0" t="n">
        <v>7420</v>
      </c>
      <c r="E3025" s="0" t="n">
        <v>0</v>
      </c>
      <c r="F3025" s="27" t="s">
        <v>1460</v>
      </c>
      <c r="I3025" s="27" t="s">
        <v>166</v>
      </c>
      <c r="U3025" s="0" t="n">
        <v>241</v>
      </c>
      <c r="V3025" s="0" t="n">
        <v>0</v>
      </c>
      <c r="W3025" s="27" t="n">
        <f aca="false">MATCH(A3025,DATAS,0)</f>
        <v>1</v>
      </c>
      <c r="X3025" s="27" t="n">
        <f aca="false">IF(AND(E3025&gt;0,OR(AND(B3025&gt;=1,B3025&lt;=6),B3025=10)),1,0)</f>
        <v>0</v>
      </c>
      <c r="Y3025" s="27" t="n">
        <f aca="false">IF(AND(E3025&gt;0,B3025=10),1,0)</f>
        <v>0</v>
      </c>
      <c r="Z3025" s="0" t="str">
        <f aca="false">IF(AND(C3024=C3025,W3024=W3025-1),X3024,"")</f>
        <v/>
      </c>
      <c r="AA3025" s="0" t="str">
        <f aca="false">IF(AND(C3024=C3025,W3024=W3025-1),Y3024,"")</f>
        <v/>
      </c>
      <c r="AB3025" s="0" t="str">
        <f aca="false">IF(W3025=1,"",IF(AND(X3025=1,Z3025&lt;&gt;1),1,0))</f>
        <v/>
      </c>
      <c r="AC3025" s="0" t="str">
        <f aca="false">IF(W3025=1,"",IF(AND(Y3025=1,AA3025&lt;&gt;1),1,0))</f>
        <v/>
      </c>
      <c r="AD3025" s="33" t="str">
        <f aca="false">IF(AND(E3025&gt;0,W3025&lt;1,NOT(AND(C3026=C3025,W3026=W3025+1))),INDEX(DATAS,W3025+1),"")</f>
        <v/>
      </c>
      <c r="AE3025" s="33" t="str">
        <f aca="false">IF(AND(Y3025=1,W3025&lt;1),IF(AND(C3026=C3025,W3026=W3025+1),IF(Y3026=1,"",INDEX(DATAS,W3025+1)),INDEX(DATAS,W3025+1)),"")</f>
        <v/>
      </c>
    </row>
    <row r="3026" customFormat="false" ht="15" hidden="false" customHeight="false" outlineLevel="0" collapsed="false">
      <c r="A3026" s="33" t="n">
        <v>46309</v>
      </c>
      <c r="B3026" s="0" t="n">
        <v>13</v>
      </c>
      <c r="C3026" s="0" t="n">
        <v>7421</v>
      </c>
      <c r="E3026" s="0" t="n">
        <v>0</v>
      </c>
      <c r="F3026" s="27" t="s">
        <v>1460</v>
      </c>
      <c r="I3026" s="27" t="s">
        <v>166</v>
      </c>
      <c r="U3026" s="0" t="n">
        <v>241</v>
      </c>
      <c r="V3026" s="0" t="n">
        <v>0</v>
      </c>
      <c r="W3026" s="27" t="n">
        <f aca="false">MATCH(A3026,DATAS,0)</f>
        <v>1</v>
      </c>
      <c r="X3026" s="27" t="n">
        <f aca="false">IF(AND(E3026&gt;0,OR(AND(B3026&gt;=1,B3026&lt;=6),B3026=10)),1,0)</f>
        <v>0</v>
      </c>
      <c r="Y3026" s="27" t="n">
        <f aca="false">IF(AND(E3026&gt;0,B3026=10),1,0)</f>
        <v>0</v>
      </c>
      <c r="Z3026" s="0" t="str">
        <f aca="false">IF(AND(C3025=C3026,W3025=W3026-1),X3025,"")</f>
        <v/>
      </c>
      <c r="AA3026" s="0" t="str">
        <f aca="false">IF(AND(C3025=C3026,W3025=W3026-1),Y3025,"")</f>
        <v/>
      </c>
      <c r="AB3026" s="0" t="str">
        <f aca="false">IF(W3026=1,"",IF(AND(X3026=1,Z3026&lt;&gt;1),1,0))</f>
        <v/>
      </c>
      <c r="AC3026" s="0" t="str">
        <f aca="false">IF(W3026=1,"",IF(AND(Y3026=1,AA3026&lt;&gt;1),1,0))</f>
        <v/>
      </c>
      <c r="AD3026" s="33" t="str">
        <f aca="false">IF(AND(E3026&gt;0,W3026&lt;1,NOT(AND(C3027=C3026,W3027=W3026+1))),INDEX(DATAS,W3026+1),"")</f>
        <v/>
      </c>
      <c r="AE3026" s="33" t="str">
        <f aca="false">IF(AND(Y3026=1,W3026&lt;1),IF(AND(C3027=C3026,W3027=W3026+1),IF(Y3027=1,"",INDEX(DATAS,W3026+1)),INDEX(DATAS,W3026+1)),"")</f>
        <v/>
      </c>
    </row>
    <row r="3027" customFormat="false" ht="15" hidden="false" customHeight="false" outlineLevel="0" collapsed="false">
      <c r="A3027" s="33" t="n">
        <v>46309</v>
      </c>
      <c r="B3027" s="0" t="n">
        <v>13</v>
      </c>
      <c r="C3027" s="0" t="n">
        <v>7422</v>
      </c>
      <c r="E3027" s="0" t="n">
        <v>0</v>
      </c>
      <c r="F3027" s="27" t="s">
        <v>1461</v>
      </c>
      <c r="I3027" s="27" t="s">
        <v>166</v>
      </c>
      <c r="U3027" s="0" t="n">
        <v>240</v>
      </c>
      <c r="V3027" s="0" t="n">
        <v>0</v>
      </c>
      <c r="W3027" s="27" t="n">
        <f aca="false">MATCH(A3027,DATAS,0)</f>
        <v>1</v>
      </c>
      <c r="X3027" s="27" t="n">
        <f aca="false">IF(AND(E3027&gt;0,OR(AND(B3027&gt;=1,B3027&lt;=6),B3027=10)),1,0)</f>
        <v>0</v>
      </c>
      <c r="Y3027" s="27" t="n">
        <f aca="false">IF(AND(E3027&gt;0,B3027=10),1,0)</f>
        <v>0</v>
      </c>
      <c r="Z3027" s="0" t="str">
        <f aca="false">IF(AND(C3026=C3027,W3026=W3027-1),X3026,"")</f>
        <v/>
      </c>
      <c r="AA3027" s="0" t="str">
        <f aca="false">IF(AND(C3026=C3027,W3026=W3027-1),Y3026,"")</f>
        <v/>
      </c>
      <c r="AB3027" s="0" t="str">
        <f aca="false">IF(W3027=1,"",IF(AND(X3027=1,Z3027&lt;&gt;1),1,0))</f>
        <v/>
      </c>
      <c r="AC3027" s="0" t="str">
        <f aca="false">IF(W3027=1,"",IF(AND(Y3027=1,AA3027&lt;&gt;1),1,0))</f>
        <v/>
      </c>
      <c r="AD3027" s="33" t="str">
        <f aca="false">IF(AND(E3027&gt;0,W3027&lt;1,NOT(AND(C3028=C3027,W3028=W3027+1))),INDEX(DATAS,W3027+1),"")</f>
        <v/>
      </c>
      <c r="AE3027" s="33" t="str">
        <f aca="false">IF(AND(Y3027=1,W3027&lt;1),IF(AND(C3028=C3027,W3028=W3027+1),IF(Y3028=1,"",INDEX(DATAS,W3027+1)),INDEX(DATAS,W3027+1)),"")</f>
        <v/>
      </c>
    </row>
    <row r="3028" customFormat="false" ht="15" hidden="false" customHeight="false" outlineLevel="0" collapsed="false">
      <c r="A3028" s="33" t="n">
        <v>46309</v>
      </c>
      <c r="B3028" s="0" t="n">
        <v>13</v>
      </c>
      <c r="C3028" s="0" t="n">
        <v>7423</v>
      </c>
      <c r="E3028" s="0" t="n">
        <v>0</v>
      </c>
      <c r="F3028" s="27" t="s">
        <v>1461</v>
      </c>
      <c r="I3028" s="27" t="s">
        <v>166</v>
      </c>
      <c r="U3028" s="0" t="n">
        <v>240</v>
      </c>
      <c r="V3028" s="0" t="n">
        <v>0</v>
      </c>
      <c r="W3028" s="27" t="n">
        <f aca="false">MATCH(A3028,DATAS,0)</f>
        <v>1</v>
      </c>
      <c r="X3028" s="27" t="n">
        <f aca="false">IF(AND(E3028&gt;0,OR(AND(B3028&gt;=1,B3028&lt;=6),B3028=10)),1,0)</f>
        <v>0</v>
      </c>
      <c r="Y3028" s="27" t="n">
        <f aca="false">IF(AND(E3028&gt;0,B3028=10),1,0)</f>
        <v>0</v>
      </c>
      <c r="Z3028" s="0" t="str">
        <f aca="false">IF(AND(C3027=C3028,W3027=W3028-1),X3027,"")</f>
        <v/>
      </c>
      <c r="AA3028" s="0" t="str">
        <f aca="false">IF(AND(C3027=C3028,W3027=W3028-1),Y3027,"")</f>
        <v/>
      </c>
      <c r="AB3028" s="0" t="str">
        <f aca="false">IF(W3028=1,"",IF(AND(X3028=1,Z3028&lt;&gt;1),1,0))</f>
        <v/>
      </c>
      <c r="AC3028" s="0" t="str">
        <f aca="false">IF(W3028=1,"",IF(AND(Y3028=1,AA3028&lt;&gt;1),1,0))</f>
        <v/>
      </c>
      <c r="AD3028" s="33" t="str">
        <f aca="false">IF(AND(E3028&gt;0,W3028&lt;1,NOT(AND(C3029=C3028,W3029=W3028+1))),INDEX(DATAS,W3028+1),"")</f>
        <v/>
      </c>
      <c r="AE3028" s="33" t="str">
        <f aca="false">IF(AND(Y3028=1,W3028&lt;1),IF(AND(C3029=C3028,W3029=W3028+1),IF(Y3029=1,"",INDEX(DATAS,W3028+1)),INDEX(DATAS,W3028+1)),"")</f>
        <v/>
      </c>
    </row>
    <row r="3029" customFormat="false" ht="15" hidden="false" customHeight="false" outlineLevel="0" collapsed="false">
      <c r="A3029" s="33" t="n">
        <v>46309</v>
      </c>
      <c r="B3029" s="0" t="n">
        <v>13</v>
      </c>
      <c r="C3029" s="0" t="n">
        <v>7424</v>
      </c>
      <c r="E3029" s="0" t="n">
        <v>0</v>
      </c>
      <c r="F3029" s="27" t="s">
        <v>1461</v>
      </c>
      <c r="I3029" s="27" t="s">
        <v>166</v>
      </c>
      <c r="U3029" s="0" t="n">
        <v>240</v>
      </c>
      <c r="V3029" s="0" t="n">
        <v>0</v>
      </c>
      <c r="W3029" s="27" t="n">
        <f aca="false">MATCH(A3029,DATAS,0)</f>
        <v>1</v>
      </c>
      <c r="X3029" s="27" t="n">
        <f aca="false">IF(AND(E3029&gt;0,OR(AND(B3029&gt;=1,B3029&lt;=6),B3029=10)),1,0)</f>
        <v>0</v>
      </c>
      <c r="Y3029" s="27" t="n">
        <f aca="false">IF(AND(E3029&gt;0,B3029=10),1,0)</f>
        <v>0</v>
      </c>
      <c r="Z3029" s="0" t="str">
        <f aca="false">IF(AND(C3028=C3029,W3028=W3029-1),X3028,"")</f>
        <v/>
      </c>
      <c r="AA3029" s="0" t="str">
        <f aca="false">IF(AND(C3028=C3029,W3028=W3029-1),Y3028,"")</f>
        <v/>
      </c>
      <c r="AB3029" s="0" t="str">
        <f aca="false">IF(W3029=1,"",IF(AND(X3029=1,Z3029&lt;&gt;1),1,0))</f>
        <v/>
      </c>
      <c r="AC3029" s="0" t="str">
        <f aca="false">IF(W3029=1,"",IF(AND(Y3029=1,AA3029&lt;&gt;1),1,0))</f>
        <v/>
      </c>
      <c r="AD3029" s="33" t="str">
        <f aca="false">IF(AND(E3029&gt;0,W3029&lt;1,NOT(AND(C3030=C3029,W3030=W3029+1))),INDEX(DATAS,W3029+1),"")</f>
        <v/>
      </c>
      <c r="AE3029" s="33" t="str">
        <f aca="false">IF(AND(Y3029=1,W3029&lt;1),IF(AND(C3030=C3029,W3030=W3029+1),IF(Y3030=1,"",INDEX(DATAS,W3029+1)),INDEX(DATAS,W3029+1)),"")</f>
        <v/>
      </c>
    </row>
    <row r="3030" customFormat="false" ht="15" hidden="false" customHeight="false" outlineLevel="0" collapsed="false">
      <c r="A3030" s="33" t="n">
        <v>46309</v>
      </c>
      <c r="B3030" s="0" t="n">
        <v>13</v>
      </c>
      <c r="C3030" s="0" t="n">
        <v>7425</v>
      </c>
      <c r="E3030" s="0" t="n">
        <v>0</v>
      </c>
      <c r="F3030" s="27" t="s">
        <v>1461</v>
      </c>
      <c r="I3030" s="27" t="s">
        <v>166</v>
      </c>
      <c r="U3030" s="0" t="n">
        <v>240</v>
      </c>
      <c r="V3030" s="0" t="n">
        <v>0</v>
      </c>
      <c r="W3030" s="27" t="n">
        <f aca="false">MATCH(A3030,DATAS,0)</f>
        <v>1</v>
      </c>
      <c r="X3030" s="27" t="n">
        <f aca="false">IF(AND(E3030&gt;0,OR(AND(B3030&gt;=1,B3030&lt;=6),B3030=10)),1,0)</f>
        <v>0</v>
      </c>
      <c r="Y3030" s="27" t="n">
        <f aca="false">IF(AND(E3030&gt;0,B3030=10),1,0)</f>
        <v>0</v>
      </c>
      <c r="Z3030" s="0" t="str">
        <f aca="false">IF(AND(C3029=C3030,W3029=W3030-1),X3029,"")</f>
        <v/>
      </c>
      <c r="AA3030" s="0" t="str">
        <f aca="false">IF(AND(C3029=C3030,W3029=W3030-1),Y3029,"")</f>
        <v/>
      </c>
      <c r="AB3030" s="0" t="str">
        <f aca="false">IF(W3030=1,"",IF(AND(X3030=1,Z3030&lt;&gt;1),1,0))</f>
        <v/>
      </c>
      <c r="AC3030" s="0" t="str">
        <f aca="false">IF(W3030=1,"",IF(AND(Y3030=1,AA3030&lt;&gt;1),1,0))</f>
        <v/>
      </c>
      <c r="AD3030" s="33" t="str">
        <f aca="false">IF(AND(E3030&gt;0,W3030&lt;1,NOT(AND(C3031=C3030,W3031=W3030+1))),INDEX(DATAS,W3030+1),"")</f>
        <v/>
      </c>
      <c r="AE3030" s="33" t="str">
        <f aca="false">IF(AND(Y3030=1,W3030&lt;1),IF(AND(C3031=C3030,W3031=W3030+1),IF(Y3031=1,"",INDEX(DATAS,W3030+1)),INDEX(DATAS,W3030+1)),"")</f>
        <v/>
      </c>
    </row>
    <row r="3031" customFormat="false" ht="15" hidden="false" customHeight="false" outlineLevel="0" collapsed="false">
      <c r="A3031" s="33" t="n">
        <v>46309</v>
      </c>
      <c r="B3031" s="0" t="n">
        <v>13</v>
      </c>
      <c r="C3031" s="0" t="n">
        <v>7426</v>
      </c>
      <c r="E3031" s="0" t="n">
        <v>0</v>
      </c>
      <c r="F3031" s="27" t="s">
        <v>1461</v>
      </c>
      <c r="I3031" s="27" t="s">
        <v>166</v>
      </c>
      <c r="U3031" s="0" t="n">
        <v>240</v>
      </c>
      <c r="V3031" s="0" t="n">
        <v>0</v>
      </c>
      <c r="W3031" s="27" t="n">
        <f aca="false">MATCH(A3031,DATAS,0)</f>
        <v>1</v>
      </c>
      <c r="X3031" s="27" t="n">
        <f aca="false">IF(AND(E3031&gt;0,OR(AND(B3031&gt;=1,B3031&lt;=6),B3031=10)),1,0)</f>
        <v>0</v>
      </c>
      <c r="Y3031" s="27" t="n">
        <f aca="false">IF(AND(E3031&gt;0,B3031=10),1,0)</f>
        <v>0</v>
      </c>
      <c r="Z3031" s="0" t="str">
        <f aca="false">IF(AND(C3030=C3031,W3030=W3031-1),X3030,"")</f>
        <v/>
      </c>
      <c r="AA3031" s="0" t="str">
        <f aca="false">IF(AND(C3030=C3031,W3030=W3031-1),Y3030,"")</f>
        <v/>
      </c>
      <c r="AB3031" s="0" t="str">
        <f aca="false">IF(W3031=1,"",IF(AND(X3031=1,Z3031&lt;&gt;1),1,0))</f>
        <v/>
      </c>
      <c r="AC3031" s="0" t="str">
        <f aca="false">IF(W3031=1,"",IF(AND(Y3031=1,AA3031&lt;&gt;1),1,0))</f>
        <v/>
      </c>
      <c r="AD3031" s="33" t="str">
        <f aca="false">IF(AND(E3031&gt;0,W3031&lt;1,NOT(AND(C3032=C3031,W3032=W3031+1))),INDEX(DATAS,W3031+1),"")</f>
        <v/>
      </c>
      <c r="AE3031" s="33" t="str">
        <f aca="false">IF(AND(Y3031=1,W3031&lt;1),IF(AND(C3032=C3031,W3032=W3031+1),IF(Y3032=1,"",INDEX(DATAS,W3031+1)),INDEX(DATAS,W3031+1)),"")</f>
        <v/>
      </c>
    </row>
    <row r="3032" customFormat="false" ht="15" hidden="false" customHeight="false" outlineLevel="0" collapsed="false">
      <c r="A3032" s="33" t="n">
        <v>46309</v>
      </c>
      <c r="B3032" s="0" t="n">
        <v>13</v>
      </c>
      <c r="C3032" s="0" t="n">
        <v>7427</v>
      </c>
      <c r="E3032" s="0" t="n">
        <v>0</v>
      </c>
      <c r="F3032" s="27" t="s">
        <v>1461</v>
      </c>
      <c r="I3032" s="27" t="s">
        <v>166</v>
      </c>
      <c r="U3032" s="0" t="n">
        <v>240</v>
      </c>
      <c r="V3032" s="0" t="n">
        <v>0</v>
      </c>
      <c r="W3032" s="27" t="n">
        <f aca="false">MATCH(A3032,DATAS,0)</f>
        <v>1</v>
      </c>
      <c r="X3032" s="27" t="n">
        <f aca="false">IF(AND(E3032&gt;0,OR(AND(B3032&gt;=1,B3032&lt;=6),B3032=10)),1,0)</f>
        <v>0</v>
      </c>
      <c r="Y3032" s="27" t="n">
        <f aca="false">IF(AND(E3032&gt;0,B3032=10),1,0)</f>
        <v>0</v>
      </c>
      <c r="Z3032" s="0" t="str">
        <f aca="false">IF(AND(C3031=C3032,W3031=W3032-1),X3031,"")</f>
        <v/>
      </c>
      <c r="AA3032" s="0" t="str">
        <f aca="false">IF(AND(C3031=C3032,W3031=W3032-1),Y3031,"")</f>
        <v/>
      </c>
      <c r="AB3032" s="0" t="str">
        <f aca="false">IF(W3032=1,"",IF(AND(X3032=1,Z3032&lt;&gt;1),1,0))</f>
        <v/>
      </c>
      <c r="AC3032" s="0" t="str">
        <f aca="false">IF(W3032=1,"",IF(AND(Y3032=1,AA3032&lt;&gt;1),1,0))</f>
        <v/>
      </c>
      <c r="AD3032" s="33" t="str">
        <f aca="false">IF(AND(E3032&gt;0,W3032&lt;1,NOT(AND(C3033=C3032,W3033=W3032+1))),INDEX(DATAS,W3032+1),"")</f>
        <v/>
      </c>
      <c r="AE3032" s="33" t="str">
        <f aca="false">IF(AND(Y3032=1,W3032&lt;1),IF(AND(C3033=C3032,W3033=W3032+1),IF(Y3033=1,"",INDEX(DATAS,W3032+1)),INDEX(DATAS,W3032+1)),"")</f>
        <v/>
      </c>
    </row>
    <row r="3033" customFormat="false" ht="15" hidden="false" customHeight="false" outlineLevel="0" collapsed="false">
      <c r="A3033" s="33" t="n">
        <v>46309</v>
      </c>
      <c r="B3033" s="0" t="n">
        <v>13</v>
      </c>
      <c r="C3033" s="0" t="n">
        <v>7428</v>
      </c>
      <c r="E3033" s="0" t="n">
        <v>0</v>
      </c>
      <c r="F3033" s="27" t="s">
        <v>1462</v>
      </c>
      <c r="I3033" s="27" t="s">
        <v>166</v>
      </c>
      <c r="U3033" s="0" t="n">
        <v>239</v>
      </c>
      <c r="V3033" s="0" t="n">
        <v>0</v>
      </c>
      <c r="W3033" s="27" t="n">
        <f aca="false">MATCH(A3033,DATAS,0)</f>
        <v>1</v>
      </c>
      <c r="X3033" s="27" t="n">
        <f aca="false">IF(AND(E3033&gt;0,OR(AND(B3033&gt;=1,B3033&lt;=6),B3033=10)),1,0)</f>
        <v>0</v>
      </c>
      <c r="Y3033" s="27" t="n">
        <f aca="false">IF(AND(E3033&gt;0,B3033=10),1,0)</f>
        <v>0</v>
      </c>
      <c r="Z3033" s="0" t="str">
        <f aca="false">IF(AND(C3032=C3033,W3032=W3033-1),X3032,"")</f>
        <v/>
      </c>
      <c r="AA3033" s="0" t="str">
        <f aca="false">IF(AND(C3032=C3033,W3032=W3033-1),Y3032,"")</f>
        <v/>
      </c>
      <c r="AB3033" s="0" t="str">
        <f aca="false">IF(W3033=1,"",IF(AND(X3033=1,Z3033&lt;&gt;1),1,0))</f>
        <v/>
      </c>
      <c r="AC3033" s="0" t="str">
        <f aca="false">IF(W3033=1,"",IF(AND(Y3033=1,AA3033&lt;&gt;1),1,0))</f>
        <v/>
      </c>
      <c r="AD3033" s="33" t="str">
        <f aca="false">IF(AND(E3033&gt;0,W3033&lt;1,NOT(AND(C3034=C3033,W3034=W3033+1))),INDEX(DATAS,W3033+1),"")</f>
        <v/>
      </c>
      <c r="AE3033" s="33" t="str">
        <f aca="false">IF(AND(Y3033=1,W3033&lt;1),IF(AND(C3034=C3033,W3034=W3033+1),IF(Y3034=1,"",INDEX(DATAS,W3033+1)),INDEX(DATAS,W3033+1)),"")</f>
        <v/>
      </c>
    </row>
    <row r="3034" customFormat="false" ht="15" hidden="false" customHeight="false" outlineLevel="0" collapsed="false">
      <c r="A3034" s="33" t="n">
        <v>46309</v>
      </c>
      <c r="B3034" s="0" t="n">
        <v>13</v>
      </c>
      <c r="C3034" s="0" t="n">
        <v>7429</v>
      </c>
      <c r="E3034" s="0" t="n">
        <v>0</v>
      </c>
      <c r="F3034" s="27" t="s">
        <v>1463</v>
      </c>
      <c r="I3034" s="27" t="s">
        <v>166</v>
      </c>
      <c r="U3034" s="0" t="n">
        <v>238</v>
      </c>
      <c r="V3034" s="0" t="n">
        <v>0</v>
      </c>
      <c r="W3034" s="27" t="n">
        <f aca="false">MATCH(A3034,DATAS,0)</f>
        <v>1</v>
      </c>
      <c r="X3034" s="27" t="n">
        <f aca="false">IF(AND(E3034&gt;0,OR(AND(B3034&gt;=1,B3034&lt;=6),B3034=10)),1,0)</f>
        <v>0</v>
      </c>
      <c r="Y3034" s="27" t="n">
        <f aca="false">IF(AND(E3034&gt;0,B3034=10),1,0)</f>
        <v>0</v>
      </c>
      <c r="Z3034" s="0" t="str">
        <f aca="false">IF(AND(C3033=C3034,W3033=W3034-1),X3033,"")</f>
        <v/>
      </c>
      <c r="AA3034" s="0" t="str">
        <f aca="false">IF(AND(C3033=C3034,W3033=W3034-1),Y3033,"")</f>
        <v/>
      </c>
      <c r="AB3034" s="0" t="str">
        <f aca="false">IF(W3034=1,"",IF(AND(X3034=1,Z3034&lt;&gt;1),1,0))</f>
        <v/>
      </c>
      <c r="AC3034" s="0" t="str">
        <f aca="false">IF(W3034=1,"",IF(AND(Y3034=1,AA3034&lt;&gt;1),1,0))</f>
        <v/>
      </c>
      <c r="AD3034" s="33" t="str">
        <f aca="false">IF(AND(E3034&gt;0,W3034&lt;1,NOT(AND(C3035=C3034,W3035=W3034+1))),INDEX(DATAS,W3034+1),"")</f>
        <v/>
      </c>
      <c r="AE3034" s="33" t="str">
        <f aca="false">IF(AND(Y3034=1,W3034&lt;1),IF(AND(C3035=C3034,W3035=W3034+1),IF(Y3035=1,"",INDEX(DATAS,W3034+1)),INDEX(DATAS,W3034+1)),"")</f>
        <v/>
      </c>
    </row>
    <row r="3035" customFormat="false" ht="15" hidden="false" customHeight="false" outlineLevel="0" collapsed="false">
      <c r="A3035" s="33" t="n">
        <v>46309</v>
      </c>
      <c r="B3035" s="0" t="n">
        <v>13</v>
      </c>
      <c r="C3035" s="0" t="n">
        <v>7430</v>
      </c>
      <c r="E3035" s="0" t="n">
        <v>0</v>
      </c>
      <c r="F3035" s="27" t="s">
        <v>1463</v>
      </c>
      <c r="I3035" s="27" t="s">
        <v>166</v>
      </c>
      <c r="U3035" s="0" t="n">
        <v>238</v>
      </c>
      <c r="V3035" s="0" t="n">
        <v>0</v>
      </c>
      <c r="W3035" s="27" t="n">
        <f aca="false">MATCH(A3035,DATAS,0)</f>
        <v>1</v>
      </c>
      <c r="X3035" s="27" t="n">
        <f aca="false">IF(AND(E3035&gt;0,OR(AND(B3035&gt;=1,B3035&lt;=6),B3035=10)),1,0)</f>
        <v>0</v>
      </c>
      <c r="Y3035" s="27" t="n">
        <f aca="false">IF(AND(E3035&gt;0,B3035=10),1,0)</f>
        <v>0</v>
      </c>
      <c r="Z3035" s="0" t="str">
        <f aca="false">IF(AND(C3034=C3035,W3034=W3035-1),X3034,"")</f>
        <v/>
      </c>
      <c r="AA3035" s="0" t="str">
        <f aca="false">IF(AND(C3034=C3035,W3034=W3035-1),Y3034,"")</f>
        <v/>
      </c>
      <c r="AB3035" s="0" t="str">
        <f aca="false">IF(W3035=1,"",IF(AND(X3035=1,Z3035&lt;&gt;1),1,0))</f>
        <v/>
      </c>
      <c r="AC3035" s="0" t="str">
        <f aca="false">IF(W3035=1,"",IF(AND(Y3035=1,AA3035&lt;&gt;1),1,0))</f>
        <v/>
      </c>
      <c r="AD3035" s="33" t="str">
        <f aca="false">IF(AND(E3035&gt;0,W3035&lt;1,NOT(AND(C3036=C3035,W3036=W3035+1))),INDEX(DATAS,W3035+1),"")</f>
        <v/>
      </c>
      <c r="AE3035" s="33" t="str">
        <f aca="false">IF(AND(Y3035=1,W3035&lt;1),IF(AND(C3036=C3035,W3036=W3035+1),IF(Y3036=1,"",INDEX(DATAS,W3035+1)),INDEX(DATAS,W3035+1)),"")</f>
        <v/>
      </c>
    </row>
    <row r="3036" customFormat="false" ht="15" hidden="false" customHeight="false" outlineLevel="0" collapsed="false">
      <c r="A3036" s="33" t="n">
        <v>46309</v>
      </c>
      <c r="B3036" s="0" t="n">
        <v>13</v>
      </c>
      <c r="C3036" s="0" t="n">
        <v>7431</v>
      </c>
      <c r="E3036" s="0" t="n">
        <v>0</v>
      </c>
      <c r="F3036" s="27" t="s">
        <v>1463</v>
      </c>
      <c r="I3036" s="27" t="s">
        <v>166</v>
      </c>
      <c r="U3036" s="0" t="n">
        <v>238</v>
      </c>
      <c r="V3036" s="0" t="n">
        <v>0</v>
      </c>
      <c r="W3036" s="27" t="n">
        <f aca="false">MATCH(A3036,DATAS,0)</f>
        <v>1</v>
      </c>
      <c r="X3036" s="27" t="n">
        <f aca="false">IF(AND(E3036&gt;0,OR(AND(B3036&gt;=1,B3036&lt;=6),B3036=10)),1,0)</f>
        <v>0</v>
      </c>
      <c r="Y3036" s="27" t="n">
        <f aca="false">IF(AND(E3036&gt;0,B3036=10),1,0)</f>
        <v>0</v>
      </c>
      <c r="Z3036" s="0" t="str">
        <f aca="false">IF(AND(C3035=C3036,W3035=W3036-1),X3035,"")</f>
        <v/>
      </c>
      <c r="AA3036" s="0" t="str">
        <f aca="false">IF(AND(C3035=C3036,W3035=W3036-1),Y3035,"")</f>
        <v/>
      </c>
      <c r="AB3036" s="0" t="str">
        <f aca="false">IF(W3036=1,"",IF(AND(X3036=1,Z3036&lt;&gt;1),1,0))</f>
        <v/>
      </c>
      <c r="AC3036" s="0" t="str">
        <f aca="false">IF(W3036=1,"",IF(AND(Y3036=1,AA3036&lt;&gt;1),1,0))</f>
        <v/>
      </c>
      <c r="AD3036" s="33" t="str">
        <f aca="false">IF(AND(E3036&gt;0,W3036&lt;1,NOT(AND(C3037=C3036,W3037=W3036+1))),INDEX(DATAS,W3036+1),"")</f>
        <v/>
      </c>
      <c r="AE3036" s="33" t="str">
        <f aca="false">IF(AND(Y3036=1,W3036&lt;1),IF(AND(C3037=C3036,W3037=W3036+1),IF(Y3037=1,"",INDEX(DATAS,W3036+1)),INDEX(DATAS,W3036+1)),"")</f>
        <v/>
      </c>
    </row>
    <row r="3037" customFormat="false" ht="15" hidden="false" customHeight="false" outlineLevel="0" collapsed="false">
      <c r="A3037" s="33" t="n">
        <v>46309</v>
      </c>
      <c r="B3037" s="0" t="n">
        <v>13</v>
      </c>
      <c r="C3037" s="0" t="n">
        <v>7432</v>
      </c>
      <c r="E3037" s="0" t="n">
        <v>0</v>
      </c>
      <c r="F3037" s="27" t="s">
        <v>1464</v>
      </c>
      <c r="I3037" s="27" t="s">
        <v>166</v>
      </c>
      <c r="U3037" s="0" t="n">
        <v>237</v>
      </c>
      <c r="V3037" s="0" t="n">
        <v>0</v>
      </c>
      <c r="W3037" s="27" t="n">
        <f aca="false">MATCH(A3037,DATAS,0)</f>
        <v>1</v>
      </c>
      <c r="X3037" s="27" t="n">
        <f aca="false">IF(AND(E3037&gt;0,OR(AND(B3037&gt;=1,B3037&lt;=6),B3037=10)),1,0)</f>
        <v>0</v>
      </c>
      <c r="Y3037" s="27" t="n">
        <f aca="false">IF(AND(E3037&gt;0,B3037=10),1,0)</f>
        <v>0</v>
      </c>
      <c r="Z3037" s="0" t="str">
        <f aca="false">IF(AND(C3036=C3037,W3036=W3037-1),X3036,"")</f>
        <v/>
      </c>
      <c r="AA3037" s="0" t="str">
        <f aca="false">IF(AND(C3036=C3037,W3036=W3037-1),Y3036,"")</f>
        <v/>
      </c>
      <c r="AB3037" s="0" t="str">
        <f aca="false">IF(W3037=1,"",IF(AND(X3037=1,Z3037&lt;&gt;1),1,0))</f>
        <v/>
      </c>
      <c r="AC3037" s="0" t="str">
        <f aca="false">IF(W3037=1,"",IF(AND(Y3037=1,AA3037&lt;&gt;1),1,0))</f>
        <v/>
      </c>
      <c r="AD3037" s="33" t="str">
        <f aca="false">IF(AND(E3037&gt;0,W3037&lt;1,NOT(AND(C3038=C3037,W3038=W3037+1))),INDEX(DATAS,W3037+1),"")</f>
        <v/>
      </c>
      <c r="AE3037" s="33" t="str">
        <f aca="false">IF(AND(Y3037=1,W3037&lt;1),IF(AND(C3038=C3037,W3038=W3037+1),IF(Y3038=1,"",INDEX(DATAS,W3037+1)),INDEX(DATAS,W3037+1)),"")</f>
        <v/>
      </c>
    </row>
    <row r="3038" customFormat="false" ht="15" hidden="false" customHeight="false" outlineLevel="0" collapsed="false">
      <c r="A3038" s="33" t="n">
        <v>46309</v>
      </c>
      <c r="B3038" s="0" t="n">
        <v>13</v>
      </c>
      <c r="C3038" s="0" t="n">
        <v>7433</v>
      </c>
      <c r="E3038" s="0" t="n">
        <v>0</v>
      </c>
      <c r="F3038" s="27" t="s">
        <v>1464</v>
      </c>
      <c r="I3038" s="27" t="s">
        <v>166</v>
      </c>
      <c r="U3038" s="0" t="n">
        <v>237</v>
      </c>
      <c r="V3038" s="0" t="n">
        <v>0</v>
      </c>
      <c r="W3038" s="27" t="n">
        <f aca="false">MATCH(A3038,DATAS,0)</f>
        <v>1</v>
      </c>
      <c r="X3038" s="27" t="n">
        <f aca="false">IF(AND(E3038&gt;0,OR(AND(B3038&gt;=1,B3038&lt;=6),B3038=10)),1,0)</f>
        <v>0</v>
      </c>
      <c r="Y3038" s="27" t="n">
        <f aca="false">IF(AND(E3038&gt;0,B3038=10),1,0)</f>
        <v>0</v>
      </c>
      <c r="Z3038" s="0" t="str">
        <f aca="false">IF(AND(C3037=C3038,W3037=W3038-1),X3037,"")</f>
        <v/>
      </c>
      <c r="AA3038" s="0" t="str">
        <f aca="false">IF(AND(C3037=C3038,W3037=W3038-1),Y3037,"")</f>
        <v/>
      </c>
      <c r="AB3038" s="0" t="str">
        <f aca="false">IF(W3038=1,"",IF(AND(X3038=1,Z3038&lt;&gt;1),1,0))</f>
        <v/>
      </c>
      <c r="AC3038" s="0" t="str">
        <f aca="false">IF(W3038=1,"",IF(AND(Y3038=1,AA3038&lt;&gt;1),1,0))</f>
        <v/>
      </c>
      <c r="AD3038" s="33" t="str">
        <f aca="false">IF(AND(E3038&gt;0,W3038&lt;1,NOT(AND(C3039=C3038,W3039=W3038+1))),INDEX(DATAS,W3038+1),"")</f>
        <v/>
      </c>
      <c r="AE3038" s="33" t="str">
        <f aca="false">IF(AND(Y3038=1,W3038&lt;1),IF(AND(C3039=C3038,W3039=W3038+1),IF(Y3039=1,"",INDEX(DATAS,W3038+1)),INDEX(DATAS,W3038+1)),"")</f>
        <v/>
      </c>
    </row>
    <row r="3039" customFormat="false" ht="15" hidden="false" customHeight="false" outlineLevel="0" collapsed="false">
      <c r="A3039" s="33" t="n">
        <v>46309</v>
      </c>
      <c r="B3039" s="0" t="n">
        <v>13</v>
      </c>
      <c r="C3039" s="0" t="n">
        <v>7434</v>
      </c>
      <c r="E3039" s="0" t="n">
        <v>0</v>
      </c>
      <c r="F3039" s="27" t="s">
        <v>1464</v>
      </c>
      <c r="I3039" s="27" t="s">
        <v>166</v>
      </c>
      <c r="U3039" s="0" t="n">
        <v>237</v>
      </c>
      <c r="V3039" s="0" t="n">
        <v>0</v>
      </c>
      <c r="W3039" s="27" t="n">
        <f aca="false">MATCH(A3039,DATAS,0)</f>
        <v>1</v>
      </c>
      <c r="X3039" s="27" t="n">
        <f aca="false">IF(AND(E3039&gt;0,OR(AND(B3039&gt;=1,B3039&lt;=6),B3039=10)),1,0)</f>
        <v>0</v>
      </c>
      <c r="Y3039" s="27" t="n">
        <f aca="false">IF(AND(E3039&gt;0,B3039=10),1,0)</f>
        <v>0</v>
      </c>
      <c r="Z3039" s="0" t="str">
        <f aca="false">IF(AND(C3038=C3039,W3038=W3039-1),X3038,"")</f>
        <v/>
      </c>
      <c r="AA3039" s="0" t="str">
        <f aca="false">IF(AND(C3038=C3039,W3038=W3039-1),Y3038,"")</f>
        <v/>
      </c>
      <c r="AB3039" s="0" t="str">
        <f aca="false">IF(W3039=1,"",IF(AND(X3039=1,Z3039&lt;&gt;1),1,0))</f>
        <v/>
      </c>
      <c r="AC3039" s="0" t="str">
        <f aca="false">IF(W3039=1,"",IF(AND(Y3039=1,AA3039&lt;&gt;1),1,0))</f>
        <v/>
      </c>
      <c r="AD3039" s="33" t="str">
        <f aca="false">IF(AND(E3039&gt;0,W3039&lt;1,NOT(AND(C3040=C3039,W3040=W3039+1))),INDEX(DATAS,W3039+1),"")</f>
        <v/>
      </c>
      <c r="AE3039" s="33" t="str">
        <f aca="false">IF(AND(Y3039=1,W3039&lt;1),IF(AND(C3040=C3039,W3040=W3039+1),IF(Y3040=1,"",INDEX(DATAS,W3039+1)),INDEX(DATAS,W3039+1)),"")</f>
        <v/>
      </c>
    </row>
    <row r="3040" customFormat="false" ht="15" hidden="false" customHeight="false" outlineLevel="0" collapsed="false">
      <c r="A3040" s="33" t="n">
        <v>46309</v>
      </c>
      <c r="B3040" s="0" t="n">
        <v>13</v>
      </c>
      <c r="C3040" s="0" t="n">
        <v>7435</v>
      </c>
      <c r="E3040" s="0" t="n">
        <v>0</v>
      </c>
      <c r="F3040" s="27" t="s">
        <v>1464</v>
      </c>
      <c r="I3040" s="27" t="s">
        <v>166</v>
      </c>
      <c r="U3040" s="0" t="n">
        <v>237</v>
      </c>
      <c r="V3040" s="0" t="n">
        <v>0</v>
      </c>
      <c r="W3040" s="27" t="n">
        <f aca="false">MATCH(A3040,DATAS,0)</f>
        <v>1</v>
      </c>
      <c r="X3040" s="27" t="n">
        <f aca="false">IF(AND(E3040&gt;0,OR(AND(B3040&gt;=1,B3040&lt;=6),B3040=10)),1,0)</f>
        <v>0</v>
      </c>
      <c r="Y3040" s="27" t="n">
        <f aca="false">IF(AND(E3040&gt;0,B3040=10),1,0)</f>
        <v>0</v>
      </c>
      <c r="Z3040" s="0" t="str">
        <f aca="false">IF(AND(C3039=C3040,W3039=W3040-1),X3039,"")</f>
        <v/>
      </c>
      <c r="AA3040" s="0" t="str">
        <f aca="false">IF(AND(C3039=C3040,W3039=W3040-1),Y3039,"")</f>
        <v/>
      </c>
      <c r="AB3040" s="0" t="str">
        <f aca="false">IF(W3040=1,"",IF(AND(X3040=1,Z3040&lt;&gt;1),1,0))</f>
        <v/>
      </c>
      <c r="AC3040" s="0" t="str">
        <f aca="false">IF(W3040=1,"",IF(AND(Y3040=1,AA3040&lt;&gt;1),1,0))</f>
        <v/>
      </c>
      <c r="AD3040" s="33" t="str">
        <f aca="false">IF(AND(E3040&gt;0,W3040&lt;1,NOT(AND(C3041=C3040,W3041=W3040+1))),INDEX(DATAS,W3040+1),"")</f>
        <v/>
      </c>
      <c r="AE3040" s="33" t="str">
        <f aca="false">IF(AND(Y3040=1,W3040&lt;1),IF(AND(C3041=C3040,W3041=W3040+1),IF(Y3041=1,"",INDEX(DATAS,W3040+1)),INDEX(DATAS,W3040+1)),"")</f>
        <v/>
      </c>
    </row>
    <row r="3041" customFormat="false" ht="15" hidden="false" customHeight="false" outlineLevel="0" collapsed="false">
      <c r="A3041" s="33" t="n">
        <v>46309</v>
      </c>
      <c r="B3041" s="0" t="n">
        <v>13</v>
      </c>
      <c r="C3041" s="0" t="n">
        <v>7436</v>
      </c>
      <c r="E3041" s="0" t="n">
        <v>0</v>
      </c>
      <c r="F3041" s="27" t="s">
        <v>1465</v>
      </c>
      <c r="I3041" s="27" t="s">
        <v>166</v>
      </c>
      <c r="U3041" s="0" t="n">
        <v>236</v>
      </c>
      <c r="V3041" s="0" t="n">
        <v>0</v>
      </c>
      <c r="W3041" s="27" t="n">
        <f aca="false">MATCH(A3041,DATAS,0)</f>
        <v>1</v>
      </c>
      <c r="X3041" s="27" t="n">
        <f aca="false">IF(AND(E3041&gt;0,OR(AND(B3041&gt;=1,B3041&lt;=6),B3041=10)),1,0)</f>
        <v>0</v>
      </c>
      <c r="Y3041" s="27" t="n">
        <f aca="false">IF(AND(E3041&gt;0,B3041=10),1,0)</f>
        <v>0</v>
      </c>
      <c r="Z3041" s="0" t="str">
        <f aca="false">IF(AND(C3040=C3041,W3040=W3041-1),X3040,"")</f>
        <v/>
      </c>
      <c r="AA3041" s="0" t="str">
        <f aca="false">IF(AND(C3040=C3041,W3040=W3041-1),Y3040,"")</f>
        <v/>
      </c>
      <c r="AB3041" s="0" t="str">
        <f aca="false">IF(W3041=1,"",IF(AND(X3041=1,Z3041&lt;&gt;1),1,0))</f>
        <v/>
      </c>
      <c r="AC3041" s="0" t="str">
        <f aca="false">IF(W3041=1,"",IF(AND(Y3041=1,AA3041&lt;&gt;1),1,0))</f>
        <v/>
      </c>
      <c r="AD3041" s="33" t="str">
        <f aca="false">IF(AND(E3041&gt;0,W3041&lt;1,NOT(AND(C3042=C3041,W3042=W3041+1))),INDEX(DATAS,W3041+1),"")</f>
        <v/>
      </c>
      <c r="AE3041" s="33" t="str">
        <f aca="false">IF(AND(Y3041=1,W3041&lt;1),IF(AND(C3042=C3041,W3042=W3041+1),IF(Y3042=1,"",INDEX(DATAS,W3041+1)),INDEX(DATAS,W3041+1)),"")</f>
        <v/>
      </c>
    </row>
    <row r="3042" customFormat="false" ht="15" hidden="false" customHeight="false" outlineLevel="0" collapsed="false">
      <c r="A3042" s="33" t="n">
        <v>46309</v>
      </c>
      <c r="B3042" s="0" t="n">
        <v>13</v>
      </c>
      <c r="C3042" s="0" t="n">
        <v>7438</v>
      </c>
      <c r="E3042" s="0" t="n">
        <v>0</v>
      </c>
      <c r="F3042" s="27" t="s">
        <v>1465</v>
      </c>
      <c r="I3042" s="27" t="s">
        <v>166</v>
      </c>
      <c r="U3042" s="0" t="n">
        <v>236</v>
      </c>
      <c r="V3042" s="0" t="n">
        <v>0</v>
      </c>
      <c r="W3042" s="27" t="n">
        <f aca="false">MATCH(A3042,DATAS,0)</f>
        <v>1</v>
      </c>
      <c r="X3042" s="27" t="n">
        <f aca="false">IF(AND(E3042&gt;0,OR(AND(B3042&gt;=1,B3042&lt;=6),B3042=10)),1,0)</f>
        <v>0</v>
      </c>
      <c r="Y3042" s="27" t="n">
        <f aca="false">IF(AND(E3042&gt;0,B3042=10),1,0)</f>
        <v>0</v>
      </c>
      <c r="Z3042" s="0" t="str">
        <f aca="false">IF(AND(C3041=C3042,W3041=W3042-1),X3041,"")</f>
        <v/>
      </c>
      <c r="AA3042" s="0" t="str">
        <f aca="false">IF(AND(C3041=C3042,W3041=W3042-1),Y3041,"")</f>
        <v/>
      </c>
      <c r="AB3042" s="0" t="str">
        <f aca="false">IF(W3042=1,"",IF(AND(X3042=1,Z3042&lt;&gt;1),1,0))</f>
        <v/>
      </c>
      <c r="AC3042" s="0" t="str">
        <f aca="false">IF(W3042=1,"",IF(AND(Y3042=1,AA3042&lt;&gt;1),1,0))</f>
        <v/>
      </c>
      <c r="AD3042" s="33" t="str">
        <f aca="false">IF(AND(E3042&gt;0,W3042&lt;1,NOT(AND(C3043=C3042,W3043=W3042+1))),INDEX(DATAS,W3042+1),"")</f>
        <v/>
      </c>
      <c r="AE3042" s="33" t="str">
        <f aca="false">IF(AND(Y3042=1,W3042&lt;1),IF(AND(C3043=C3042,W3043=W3042+1),IF(Y3043=1,"",INDEX(DATAS,W3042+1)),INDEX(DATAS,W3042+1)),"")</f>
        <v/>
      </c>
    </row>
    <row r="3043" customFormat="false" ht="15" hidden="false" customHeight="false" outlineLevel="0" collapsed="false">
      <c r="A3043" s="33" t="n">
        <v>46309</v>
      </c>
      <c r="B3043" s="0" t="n">
        <v>13</v>
      </c>
      <c r="C3043" s="0" t="n">
        <v>7440</v>
      </c>
      <c r="E3043" s="0" t="n">
        <v>0</v>
      </c>
      <c r="F3043" s="27" t="s">
        <v>1466</v>
      </c>
      <c r="I3043" s="27" t="s">
        <v>166</v>
      </c>
      <c r="U3043" s="0" t="n">
        <v>235</v>
      </c>
      <c r="V3043" s="0" t="n">
        <v>0</v>
      </c>
      <c r="W3043" s="27" t="n">
        <f aca="false">MATCH(A3043,DATAS,0)</f>
        <v>1</v>
      </c>
      <c r="X3043" s="27" t="n">
        <f aca="false">IF(AND(E3043&gt;0,OR(AND(B3043&gt;=1,B3043&lt;=6),B3043=10)),1,0)</f>
        <v>0</v>
      </c>
      <c r="Y3043" s="27" t="n">
        <f aca="false">IF(AND(E3043&gt;0,B3043=10),1,0)</f>
        <v>0</v>
      </c>
      <c r="Z3043" s="0" t="str">
        <f aca="false">IF(AND(C3042=C3043,W3042=W3043-1),X3042,"")</f>
        <v/>
      </c>
      <c r="AA3043" s="0" t="str">
        <f aca="false">IF(AND(C3042=C3043,W3042=W3043-1),Y3042,"")</f>
        <v/>
      </c>
      <c r="AB3043" s="0" t="str">
        <f aca="false">IF(W3043=1,"",IF(AND(X3043=1,Z3043&lt;&gt;1),1,0))</f>
        <v/>
      </c>
      <c r="AC3043" s="0" t="str">
        <f aca="false">IF(W3043=1,"",IF(AND(Y3043=1,AA3043&lt;&gt;1),1,0))</f>
        <v/>
      </c>
      <c r="AD3043" s="33" t="str">
        <f aca="false">IF(AND(E3043&gt;0,W3043&lt;1,NOT(AND(C3044=C3043,W3044=W3043+1))),INDEX(DATAS,W3043+1),"")</f>
        <v/>
      </c>
      <c r="AE3043" s="33" t="str">
        <f aca="false">IF(AND(Y3043=1,W3043&lt;1),IF(AND(C3044=C3043,W3044=W3043+1),IF(Y3044=1,"",INDEX(DATAS,W3043+1)),INDEX(DATAS,W3043+1)),"")</f>
        <v/>
      </c>
    </row>
    <row r="3044" customFormat="false" ht="15" hidden="false" customHeight="false" outlineLevel="0" collapsed="false">
      <c r="A3044" s="33" t="n">
        <v>46309</v>
      </c>
      <c r="B3044" s="0" t="n">
        <v>13</v>
      </c>
      <c r="C3044" s="0" t="n">
        <v>7441</v>
      </c>
      <c r="E3044" s="0" t="n">
        <v>0</v>
      </c>
      <c r="F3044" s="27" t="s">
        <v>1466</v>
      </c>
      <c r="I3044" s="27" t="s">
        <v>166</v>
      </c>
      <c r="U3044" s="0" t="n">
        <v>235</v>
      </c>
      <c r="V3044" s="0" t="n">
        <v>0</v>
      </c>
      <c r="W3044" s="27" t="n">
        <f aca="false">MATCH(A3044,DATAS,0)</f>
        <v>1</v>
      </c>
      <c r="X3044" s="27" t="n">
        <f aca="false">IF(AND(E3044&gt;0,OR(AND(B3044&gt;=1,B3044&lt;=6),B3044=10)),1,0)</f>
        <v>0</v>
      </c>
      <c r="Y3044" s="27" t="n">
        <f aca="false">IF(AND(E3044&gt;0,B3044=10),1,0)</f>
        <v>0</v>
      </c>
      <c r="Z3044" s="0" t="str">
        <f aca="false">IF(AND(C3043=C3044,W3043=W3044-1),X3043,"")</f>
        <v/>
      </c>
      <c r="AA3044" s="0" t="str">
        <f aca="false">IF(AND(C3043=C3044,W3043=W3044-1),Y3043,"")</f>
        <v/>
      </c>
      <c r="AB3044" s="0" t="str">
        <f aca="false">IF(W3044=1,"",IF(AND(X3044=1,Z3044&lt;&gt;1),1,0))</f>
        <v/>
      </c>
      <c r="AC3044" s="0" t="str">
        <f aca="false">IF(W3044=1,"",IF(AND(Y3044=1,AA3044&lt;&gt;1),1,0))</f>
        <v/>
      </c>
      <c r="AD3044" s="33" t="str">
        <f aca="false">IF(AND(E3044&gt;0,W3044&lt;1,NOT(AND(C3045=C3044,W3045=W3044+1))),INDEX(DATAS,W3044+1),"")</f>
        <v/>
      </c>
      <c r="AE3044" s="33" t="str">
        <f aca="false">IF(AND(Y3044=1,W3044&lt;1),IF(AND(C3045=C3044,W3045=W3044+1),IF(Y3045=1,"",INDEX(DATAS,W3044+1)),INDEX(DATAS,W3044+1)),"")</f>
        <v/>
      </c>
    </row>
    <row r="3045" customFormat="false" ht="15" hidden="false" customHeight="false" outlineLevel="0" collapsed="false">
      <c r="A3045" s="33" t="n">
        <v>46309</v>
      </c>
      <c r="B3045" s="0" t="n">
        <v>13</v>
      </c>
      <c r="C3045" s="0" t="n">
        <v>7442</v>
      </c>
      <c r="E3045" s="0" t="n">
        <v>0</v>
      </c>
      <c r="F3045" s="27" t="s">
        <v>1467</v>
      </c>
      <c r="I3045" s="27" t="s">
        <v>166</v>
      </c>
      <c r="U3045" s="0" t="n">
        <v>234</v>
      </c>
      <c r="V3045" s="0" t="n">
        <v>0</v>
      </c>
      <c r="W3045" s="27" t="n">
        <f aca="false">MATCH(A3045,DATAS,0)</f>
        <v>1</v>
      </c>
      <c r="X3045" s="27" t="n">
        <f aca="false">IF(AND(E3045&gt;0,OR(AND(B3045&gt;=1,B3045&lt;=6),B3045=10)),1,0)</f>
        <v>0</v>
      </c>
      <c r="Y3045" s="27" t="n">
        <f aca="false">IF(AND(E3045&gt;0,B3045=10),1,0)</f>
        <v>0</v>
      </c>
      <c r="Z3045" s="0" t="str">
        <f aca="false">IF(AND(C3044=C3045,W3044=W3045-1),X3044,"")</f>
        <v/>
      </c>
      <c r="AA3045" s="0" t="str">
        <f aca="false">IF(AND(C3044=C3045,W3044=W3045-1),Y3044,"")</f>
        <v/>
      </c>
      <c r="AB3045" s="0" t="str">
        <f aca="false">IF(W3045=1,"",IF(AND(X3045=1,Z3045&lt;&gt;1),1,0))</f>
        <v/>
      </c>
      <c r="AC3045" s="0" t="str">
        <f aca="false">IF(W3045=1,"",IF(AND(Y3045=1,AA3045&lt;&gt;1),1,0))</f>
        <v/>
      </c>
      <c r="AD3045" s="33" t="str">
        <f aca="false">IF(AND(E3045&gt;0,W3045&lt;1,NOT(AND(C3046=C3045,W3046=W3045+1))),INDEX(DATAS,W3045+1),"")</f>
        <v/>
      </c>
      <c r="AE3045" s="33" t="str">
        <f aca="false">IF(AND(Y3045=1,W3045&lt;1),IF(AND(C3046=C3045,W3046=W3045+1),IF(Y3046=1,"",INDEX(DATAS,W3045+1)),INDEX(DATAS,W3045+1)),"")</f>
        <v/>
      </c>
    </row>
    <row r="3046" customFormat="false" ht="15" hidden="false" customHeight="false" outlineLevel="0" collapsed="false">
      <c r="A3046" s="33" t="n">
        <v>46309</v>
      </c>
      <c r="B3046" s="0" t="n">
        <v>13</v>
      </c>
      <c r="C3046" s="0" t="n">
        <v>7443</v>
      </c>
      <c r="E3046" s="0" t="n">
        <v>0</v>
      </c>
      <c r="F3046" s="27" t="s">
        <v>1467</v>
      </c>
      <c r="I3046" s="27" t="s">
        <v>166</v>
      </c>
      <c r="U3046" s="0" t="n">
        <v>234</v>
      </c>
      <c r="V3046" s="0" t="n">
        <v>0</v>
      </c>
      <c r="W3046" s="27" t="n">
        <f aca="false">MATCH(A3046,DATAS,0)</f>
        <v>1</v>
      </c>
      <c r="X3046" s="27" t="n">
        <f aca="false">IF(AND(E3046&gt;0,OR(AND(B3046&gt;=1,B3046&lt;=6),B3046=10)),1,0)</f>
        <v>0</v>
      </c>
      <c r="Y3046" s="27" t="n">
        <f aca="false">IF(AND(E3046&gt;0,B3046=10),1,0)</f>
        <v>0</v>
      </c>
      <c r="Z3046" s="0" t="str">
        <f aca="false">IF(AND(C3045=C3046,W3045=W3046-1),X3045,"")</f>
        <v/>
      </c>
      <c r="AA3046" s="0" t="str">
        <f aca="false">IF(AND(C3045=C3046,W3045=W3046-1),Y3045,"")</f>
        <v/>
      </c>
      <c r="AB3046" s="0" t="str">
        <f aca="false">IF(W3046=1,"",IF(AND(X3046=1,Z3046&lt;&gt;1),1,0))</f>
        <v/>
      </c>
      <c r="AC3046" s="0" t="str">
        <f aca="false">IF(W3046=1,"",IF(AND(Y3046=1,AA3046&lt;&gt;1),1,0))</f>
        <v/>
      </c>
      <c r="AD3046" s="33" t="str">
        <f aca="false">IF(AND(E3046&gt;0,W3046&lt;1,NOT(AND(C3047=C3046,W3047=W3046+1))),INDEX(DATAS,W3046+1),"")</f>
        <v/>
      </c>
      <c r="AE3046" s="33" t="str">
        <f aca="false">IF(AND(Y3046=1,W3046&lt;1),IF(AND(C3047=C3046,W3047=W3046+1),IF(Y3047=1,"",INDEX(DATAS,W3046+1)),INDEX(DATAS,W3046+1)),"")</f>
        <v/>
      </c>
    </row>
    <row r="3047" customFormat="false" ht="15" hidden="false" customHeight="false" outlineLevel="0" collapsed="false">
      <c r="A3047" s="33" t="n">
        <v>46309</v>
      </c>
      <c r="B3047" s="0" t="n">
        <v>13</v>
      </c>
      <c r="C3047" s="0" t="n">
        <v>7444</v>
      </c>
      <c r="E3047" s="0" t="n">
        <v>0</v>
      </c>
      <c r="F3047" s="27" t="s">
        <v>1467</v>
      </c>
      <c r="I3047" s="27" t="s">
        <v>166</v>
      </c>
      <c r="U3047" s="0" t="n">
        <v>234</v>
      </c>
      <c r="V3047" s="0" t="n">
        <v>0</v>
      </c>
      <c r="W3047" s="27" t="n">
        <f aca="false">MATCH(A3047,DATAS,0)</f>
        <v>1</v>
      </c>
      <c r="X3047" s="27" t="n">
        <f aca="false">IF(AND(E3047&gt;0,OR(AND(B3047&gt;=1,B3047&lt;=6),B3047=10)),1,0)</f>
        <v>0</v>
      </c>
      <c r="Y3047" s="27" t="n">
        <f aca="false">IF(AND(E3047&gt;0,B3047=10),1,0)</f>
        <v>0</v>
      </c>
      <c r="Z3047" s="0" t="str">
        <f aca="false">IF(AND(C3046=C3047,W3046=W3047-1),X3046,"")</f>
        <v/>
      </c>
      <c r="AA3047" s="0" t="str">
        <f aca="false">IF(AND(C3046=C3047,W3046=W3047-1),Y3046,"")</f>
        <v/>
      </c>
      <c r="AB3047" s="0" t="str">
        <f aca="false">IF(W3047=1,"",IF(AND(X3047=1,Z3047&lt;&gt;1),1,0))</f>
        <v/>
      </c>
      <c r="AC3047" s="0" t="str">
        <f aca="false">IF(W3047=1,"",IF(AND(Y3047=1,AA3047&lt;&gt;1),1,0))</f>
        <v/>
      </c>
      <c r="AD3047" s="33" t="str">
        <f aca="false">IF(AND(E3047&gt;0,W3047&lt;1,NOT(AND(C3048=C3047,W3048=W3047+1))),INDEX(DATAS,W3047+1),"")</f>
        <v/>
      </c>
      <c r="AE3047" s="33" t="str">
        <f aca="false">IF(AND(Y3047=1,W3047&lt;1),IF(AND(C3048=C3047,W3048=W3047+1),IF(Y3048=1,"",INDEX(DATAS,W3047+1)),INDEX(DATAS,W3047+1)),"")</f>
        <v/>
      </c>
    </row>
    <row r="3048" customFormat="false" ht="15" hidden="false" customHeight="false" outlineLevel="0" collapsed="false">
      <c r="A3048" s="33" t="n">
        <v>46309</v>
      </c>
      <c r="B3048" s="0" t="n">
        <v>13</v>
      </c>
      <c r="C3048" s="0" t="n">
        <v>7446</v>
      </c>
      <c r="E3048" s="0" t="n">
        <v>0</v>
      </c>
      <c r="F3048" s="27" t="s">
        <v>1467</v>
      </c>
      <c r="I3048" s="27" t="s">
        <v>166</v>
      </c>
      <c r="U3048" s="0" t="n">
        <v>234</v>
      </c>
      <c r="V3048" s="0" t="n">
        <v>0</v>
      </c>
      <c r="W3048" s="27" t="n">
        <f aca="false">MATCH(A3048,DATAS,0)</f>
        <v>1</v>
      </c>
      <c r="X3048" s="27" t="n">
        <f aca="false">IF(AND(E3048&gt;0,OR(AND(B3048&gt;=1,B3048&lt;=6),B3048=10)),1,0)</f>
        <v>0</v>
      </c>
      <c r="Y3048" s="27" t="n">
        <f aca="false">IF(AND(E3048&gt;0,B3048=10),1,0)</f>
        <v>0</v>
      </c>
      <c r="Z3048" s="0" t="str">
        <f aca="false">IF(AND(C3047=C3048,W3047=W3048-1),X3047,"")</f>
        <v/>
      </c>
      <c r="AA3048" s="0" t="str">
        <f aca="false">IF(AND(C3047=C3048,W3047=W3048-1),Y3047,"")</f>
        <v/>
      </c>
      <c r="AB3048" s="0" t="str">
        <f aca="false">IF(W3048=1,"",IF(AND(X3048=1,Z3048&lt;&gt;1),1,0))</f>
        <v/>
      </c>
      <c r="AC3048" s="0" t="str">
        <f aca="false">IF(W3048=1,"",IF(AND(Y3048=1,AA3048&lt;&gt;1),1,0))</f>
        <v/>
      </c>
      <c r="AD3048" s="33" t="str">
        <f aca="false">IF(AND(E3048&gt;0,W3048&lt;1,NOT(AND(C3049=C3048,W3049=W3048+1))),INDEX(DATAS,W3048+1),"")</f>
        <v/>
      </c>
      <c r="AE3048" s="33" t="str">
        <f aca="false">IF(AND(Y3048=1,W3048&lt;1),IF(AND(C3049=C3048,W3049=W3048+1),IF(Y3049=1,"",INDEX(DATAS,W3048+1)),INDEX(DATAS,W3048+1)),"")</f>
        <v/>
      </c>
    </row>
    <row r="3049" customFormat="false" ht="15" hidden="false" customHeight="false" outlineLevel="0" collapsed="false">
      <c r="A3049" s="33" t="n">
        <v>46309</v>
      </c>
      <c r="B3049" s="0" t="n">
        <v>13</v>
      </c>
      <c r="C3049" s="0" t="n">
        <v>7448</v>
      </c>
      <c r="E3049" s="0" t="n">
        <v>0</v>
      </c>
      <c r="F3049" s="27" t="s">
        <v>1467</v>
      </c>
      <c r="I3049" s="27" t="s">
        <v>166</v>
      </c>
      <c r="U3049" s="0" t="n">
        <v>234</v>
      </c>
      <c r="V3049" s="0" t="n">
        <v>0</v>
      </c>
      <c r="W3049" s="27" t="n">
        <f aca="false">MATCH(A3049,DATAS,0)</f>
        <v>1</v>
      </c>
      <c r="X3049" s="27" t="n">
        <f aca="false">IF(AND(E3049&gt;0,OR(AND(B3049&gt;=1,B3049&lt;=6),B3049=10)),1,0)</f>
        <v>0</v>
      </c>
      <c r="Y3049" s="27" t="n">
        <f aca="false">IF(AND(E3049&gt;0,B3049=10),1,0)</f>
        <v>0</v>
      </c>
      <c r="Z3049" s="0" t="str">
        <f aca="false">IF(AND(C3048=C3049,W3048=W3049-1),X3048,"")</f>
        <v/>
      </c>
      <c r="AA3049" s="0" t="str">
        <f aca="false">IF(AND(C3048=C3049,W3048=W3049-1),Y3048,"")</f>
        <v/>
      </c>
      <c r="AB3049" s="0" t="str">
        <f aca="false">IF(W3049=1,"",IF(AND(X3049=1,Z3049&lt;&gt;1),1,0))</f>
        <v/>
      </c>
      <c r="AC3049" s="0" t="str">
        <f aca="false">IF(W3049=1,"",IF(AND(Y3049=1,AA3049&lt;&gt;1),1,0))</f>
        <v/>
      </c>
      <c r="AD3049" s="33" t="str">
        <f aca="false">IF(AND(E3049&gt;0,W3049&lt;1,NOT(AND(C3050=C3049,W3050=W3049+1))),INDEX(DATAS,W3049+1),"")</f>
        <v/>
      </c>
      <c r="AE3049" s="33" t="str">
        <f aca="false">IF(AND(Y3049=1,W3049&lt;1),IF(AND(C3050=C3049,W3050=W3049+1),IF(Y3050=1,"",INDEX(DATAS,W3049+1)),INDEX(DATAS,W3049+1)),"")</f>
        <v/>
      </c>
    </row>
    <row r="3050" customFormat="false" ht="15" hidden="false" customHeight="false" outlineLevel="0" collapsed="false">
      <c r="A3050" s="33" t="n">
        <v>46309</v>
      </c>
      <c r="B3050" s="0" t="n">
        <v>13</v>
      </c>
      <c r="C3050" s="0" t="n">
        <v>7450</v>
      </c>
      <c r="E3050" s="0" t="n">
        <v>0</v>
      </c>
      <c r="F3050" s="27" t="s">
        <v>1468</v>
      </c>
      <c r="I3050" s="27" t="s">
        <v>166</v>
      </c>
      <c r="U3050" s="0" t="n">
        <v>232</v>
      </c>
      <c r="V3050" s="0" t="n">
        <v>0</v>
      </c>
      <c r="W3050" s="27" t="n">
        <f aca="false">MATCH(A3050,DATAS,0)</f>
        <v>1</v>
      </c>
      <c r="X3050" s="27" t="n">
        <f aca="false">IF(AND(E3050&gt;0,OR(AND(B3050&gt;=1,B3050&lt;=6),B3050=10)),1,0)</f>
        <v>0</v>
      </c>
      <c r="Y3050" s="27" t="n">
        <f aca="false">IF(AND(E3050&gt;0,B3050=10),1,0)</f>
        <v>0</v>
      </c>
      <c r="Z3050" s="0" t="str">
        <f aca="false">IF(AND(C3049=C3050,W3049=W3050-1),X3049,"")</f>
        <v/>
      </c>
      <c r="AA3050" s="0" t="str">
        <f aca="false">IF(AND(C3049=C3050,W3049=W3050-1),Y3049,"")</f>
        <v/>
      </c>
      <c r="AB3050" s="0" t="str">
        <f aca="false">IF(W3050=1,"",IF(AND(X3050=1,Z3050&lt;&gt;1),1,0))</f>
        <v/>
      </c>
      <c r="AC3050" s="0" t="str">
        <f aca="false">IF(W3050=1,"",IF(AND(Y3050=1,AA3050&lt;&gt;1),1,0))</f>
        <v/>
      </c>
      <c r="AD3050" s="33" t="str">
        <f aca="false">IF(AND(E3050&gt;0,W3050&lt;1,NOT(AND(C3051=C3050,W3051=W3050+1))),INDEX(DATAS,W3050+1),"")</f>
        <v/>
      </c>
      <c r="AE3050" s="33" t="str">
        <f aca="false">IF(AND(Y3050=1,W3050&lt;1),IF(AND(C3051=C3050,W3051=W3050+1),IF(Y3051=1,"",INDEX(DATAS,W3050+1)),INDEX(DATAS,W3050+1)),"")</f>
        <v/>
      </c>
    </row>
    <row r="3051" customFormat="false" ht="15" hidden="false" customHeight="false" outlineLevel="0" collapsed="false">
      <c r="A3051" s="33" t="n">
        <v>46309</v>
      </c>
      <c r="B3051" s="0" t="n">
        <v>13</v>
      </c>
      <c r="C3051" s="0" t="n">
        <v>7451</v>
      </c>
      <c r="E3051" s="0" t="n">
        <v>0</v>
      </c>
      <c r="F3051" s="27" t="s">
        <v>1468</v>
      </c>
      <c r="I3051" s="27" t="s">
        <v>166</v>
      </c>
      <c r="U3051" s="0" t="n">
        <v>232</v>
      </c>
      <c r="V3051" s="0" t="n">
        <v>0</v>
      </c>
      <c r="W3051" s="27" t="n">
        <f aca="false">MATCH(A3051,DATAS,0)</f>
        <v>1</v>
      </c>
      <c r="X3051" s="27" t="n">
        <f aca="false">IF(AND(E3051&gt;0,OR(AND(B3051&gt;=1,B3051&lt;=6),B3051=10)),1,0)</f>
        <v>0</v>
      </c>
      <c r="Y3051" s="27" t="n">
        <f aca="false">IF(AND(E3051&gt;0,B3051=10),1,0)</f>
        <v>0</v>
      </c>
      <c r="Z3051" s="0" t="str">
        <f aca="false">IF(AND(C3050=C3051,W3050=W3051-1),X3050,"")</f>
        <v/>
      </c>
      <c r="AA3051" s="0" t="str">
        <f aca="false">IF(AND(C3050=C3051,W3050=W3051-1),Y3050,"")</f>
        <v/>
      </c>
      <c r="AB3051" s="0" t="str">
        <f aca="false">IF(W3051=1,"",IF(AND(X3051=1,Z3051&lt;&gt;1),1,0))</f>
        <v/>
      </c>
      <c r="AC3051" s="0" t="str">
        <f aca="false">IF(W3051=1,"",IF(AND(Y3051=1,AA3051&lt;&gt;1),1,0))</f>
        <v/>
      </c>
      <c r="AD3051" s="33" t="str">
        <f aca="false">IF(AND(E3051&gt;0,W3051&lt;1,NOT(AND(C3052=C3051,W3052=W3051+1))),INDEX(DATAS,W3051+1),"")</f>
        <v/>
      </c>
      <c r="AE3051" s="33" t="str">
        <f aca="false">IF(AND(Y3051=1,W3051&lt;1),IF(AND(C3052=C3051,W3052=W3051+1),IF(Y3052=1,"",INDEX(DATAS,W3051+1)),INDEX(DATAS,W3051+1)),"")</f>
        <v/>
      </c>
    </row>
    <row r="3052" customFormat="false" ht="15" hidden="false" customHeight="false" outlineLevel="0" collapsed="false">
      <c r="A3052" s="33" t="n">
        <v>46309</v>
      </c>
      <c r="B3052" s="0" t="n">
        <v>13</v>
      </c>
      <c r="C3052" s="0" t="n">
        <v>7452</v>
      </c>
      <c r="E3052" s="0" t="n">
        <v>0</v>
      </c>
      <c r="F3052" s="27" t="s">
        <v>1468</v>
      </c>
      <c r="I3052" s="27" t="s">
        <v>166</v>
      </c>
      <c r="U3052" s="0" t="n">
        <v>232</v>
      </c>
      <c r="V3052" s="0" t="n">
        <v>0</v>
      </c>
      <c r="W3052" s="27" t="n">
        <f aca="false">MATCH(A3052,DATAS,0)</f>
        <v>1</v>
      </c>
      <c r="X3052" s="27" t="n">
        <f aca="false">IF(AND(E3052&gt;0,OR(AND(B3052&gt;=1,B3052&lt;=6),B3052=10)),1,0)</f>
        <v>0</v>
      </c>
      <c r="Y3052" s="27" t="n">
        <f aca="false">IF(AND(E3052&gt;0,B3052=10),1,0)</f>
        <v>0</v>
      </c>
      <c r="Z3052" s="0" t="str">
        <f aca="false">IF(AND(C3051=C3052,W3051=W3052-1),X3051,"")</f>
        <v/>
      </c>
      <c r="AA3052" s="0" t="str">
        <f aca="false">IF(AND(C3051=C3052,W3051=W3052-1),Y3051,"")</f>
        <v/>
      </c>
      <c r="AB3052" s="0" t="str">
        <f aca="false">IF(W3052=1,"",IF(AND(X3052=1,Z3052&lt;&gt;1),1,0))</f>
        <v/>
      </c>
      <c r="AC3052" s="0" t="str">
        <f aca="false">IF(W3052=1,"",IF(AND(Y3052=1,AA3052&lt;&gt;1),1,0))</f>
        <v/>
      </c>
      <c r="AD3052" s="33" t="str">
        <f aca="false">IF(AND(E3052&gt;0,W3052&lt;1,NOT(AND(C3053=C3052,W3053=W3052+1))),INDEX(DATAS,W3052+1),"")</f>
        <v/>
      </c>
      <c r="AE3052" s="33" t="str">
        <f aca="false">IF(AND(Y3052=1,W3052&lt;1),IF(AND(C3053=C3052,W3053=W3052+1),IF(Y3053=1,"",INDEX(DATAS,W3052+1)),INDEX(DATAS,W3052+1)),"")</f>
        <v/>
      </c>
    </row>
    <row r="3053" customFormat="false" ht="15" hidden="false" customHeight="false" outlineLevel="0" collapsed="false">
      <c r="A3053" s="33" t="n">
        <v>46309</v>
      </c>
      <c r="B3053" s="0" t="n">
        <v>13</v>
      </c>
      <c r="C3053" s="0" t="n">
        <v>7453</v>
      </c>
      <c r="E3053" s="0" t="n">
        <v>0</v>
      </c>
      <c r="F3053" s="27" t="s">
        <v>1468</v>
      </c>
      <c r="I3053" s="27" t="s">
        <v>166</v>
      </c>
      <c r="U3053" s="0" t="n">
        <v>232</v>
      </c>
      <c r="V3053" s="0" t="n">
        <v>0</v>
      </c>
      <c r="W3053" s="27" t="n">
        <f aca="false">MATCH(A3053,DATAS,0)</f>
        <v>1</v>
      </c>
      <c r="X3053" s="27" t="n">
        <f aca="false">IF(AND(E3053&gt;0,OR(AND(B3053&gt;=1,B3053&lt;=6),B3053=10)),1,0)</f>
        <v>0</v>
      </c>
      <c r="Y3053" s="27" t="n">
        <f aca="false">IF(AND(E3053&gt;0,B3053=10),1,0)</f>
        <v>0</v>
      </c>
      <c r="Z3053" s="0" t="str">
        <f aca="false">IF(AND(C3052=C3053,W3052=W3053-1),X3052,"")</f>
        <v/>
      </c>
      <c r="AA3053" s="0" t="str">
        <f aca="false">IF(AND(C3052=C3053,W3052=W3053-1),Y3052,"")</f>
        <v/>
      </c>
      <c r="AB3053" s="0" t="str">
        <f aca="false">IF(W3053=1,"",IF(AND(X3053=1,Z3053&lt;&gt;1),1,0))</f>
        <v/>
      </c>
      <c r="AC3053" s="0" t="str">
        <f aca="false">IF(W3053=1,"",IF(AND(Y3053=1,AA3053&lt;&gt;1),1,0))</f>
        <v/>
      </c>
      <c r="AD3053" s="33" t="str">
        <f aca="false">IF(AND(E3053&gt;0,W3053&lt;1,NOT(AND(C3054=C3053,W3054=W3053+1))),INDEX(DATAS,W3053+1),"")</f>
        <v/>
      </c>
      <c r="AE3053" s="33" t="str">
        <f aca="false">IF(AND(Y3053=1,W3053&lt;1),IF(AND(C3054=C3053,W3054=W3053+1),IF(Y3054=1,"",INDEX(DATAS,W3053+1)),INDEX(DATAS,W3053+1)),"")</f>
        <v/>
      </c>
    </row>
    <row r="3054" customFormat="false" ht="15" hidden="false" customHeight="false" outlineLevel="0" collapsed="false">
      <c r="A3054" s="33" t="n">
        <v>46309</v>
      </c>
      <c r="B3054" s="0" t="n">
        <v>13</v>
      </c>
      <c r="C3054" s="0" t="n">
        <v>7454</v>
      </c>
      <c r="E3054" s="0" t="n">
        <v>0</v>
      </c>
      <c r="F3054" s="27" t="s">
        <v>1469</v>
      </c>
      <c r="I3054" s="27" t="s">
        <v>166</v>
      </c>
      <c r="U3054" s="0" t="n">
        <v>231</v>
      </c>
      <c r="V3054" s="0" t="n">
        <v>0</v>
      </c>
      <c r="W3054" s="27" t="n">
        <f aca="false">MATCH(A3054,DATAS,0)</f>
        <v>1</v>
      </c>
      <c r="X3054" s="27" t="n">
        <f aca="false">IF(AND(E3054&gt;0,OR(AND(B3054&gt;=1,B3054&lt;=6),B3054=10)),1,0)</f>
        <v>0</v>
      </c>
      <c r="Y3054" s="27" t="n">
        <f aca="false">IF(AND(E3054&gt;0,B3054=10),1,0)</f>
        <v>0</v>
      </c>
      <c r="Z3054" s="0" t="str">
        <f aca="false">IF(AND(C3053=C3054,W3053=W3054-1),X3053,"")</f>
        <v/>
      </c>
      <c r="AA3054" s="0" t="str">
        <f aca="false">IF(AND(C3053=C3054,W3053=W3054-1),Y3053,"")</f>
        <v/>
      </c>
      <c r="AB3054" s="0" t="str">
        <f aca="false">IF(W3054=1,"",IF(AND(X3054=1,Z3054&lt;&gt;1),1,0))</f>
        <v/>
      </c>
      <c r="AC3054" s="0" t="str">
        <f aca="false">IF(W3054=1,"",IF(AND(Y3054=1,AA3054&lt;&gt;1),1,0))</f>
        <v/>
      </c>
      <c r="AD3054" s="33" t="str">
        <f aca="false">IF(AND(E3054&gt;0,W3054&lt;1,NOT(AND(C3055=C3054,W3055=W3054+1))),INDEX(DATAS,W3054+1),"")</f>
        <v/>
      </c>
      <c r="AE3054" s="33" t="str">
        <f aca="false">IF(AND(Y3054=1,W3054&lt;1),IF(AND(C3055=C3054,W3055=W3054+1),IF(Y3055=1,"",INDEX(DATAS,W3054+1)),INDEX(DATAS,W3054+1)),"")</f>
        <v/>
      </c>
    </row>
    <row r="3055" customFormat="false" ht="15" hidden="false" customHeight="false" outlineLevel="0" collapsed="false">
      <c r="A3055" s="33" t="n">
        <v>46309</v>
      </c>
      <c r="B3055" s="0" t="n">
        <v>13</v>
      </c>
      <c r="C3055" s="0" t="n">
        <v>7455</v>
      </c>
      <c r="E3055" s="0" t="n">
        <v>0</v>
      </c>
      <c r="F3055" s="27" t="s">
        <v>1469</v>
      </c>
      <c r="I3055" s="27" t="s">
        <v>166</v>
      </c>
      <c r="U3055" s="0" t="n">
        <v>231</v>
      </c>
      <c r="V3055" s="0" t="n">
        <v>0</v>
      </c>
      <c r="W3055" s="27" t="n">
        <f aca="false">MATCH(A3055,DATAS,0)</f>
        <v>1</v>
      </c>
      <c r="X3055" s="27" t="n">
        <f aca="false">IF(AND(E3055&gt;0,OR(AND(B3055&gt;=1,B3055&lt;=6),B3055=10)),1,0)</f>
        <v>0</v>
      </c>
      <c r="Y3055" s="27" t="n">
        <f aca="false">IF(AND(E3055&gt;0,B3055=10),1,0)</f>
        <v>0</v>
      </c>
      <c r="Z3055" s="0" t="str">
        <f aca="false">IF(AND(C3054=C3055,W3054=W3055-1),X3054,"")</f>
        <v/>
      </c>
      <c r="AA3055" s="0" t="str">
        <f aca="false">IF(AND(C3054=C3055,W3054=W3055-1),Y3054,"")</f>
        <v/>
      </c>
      <c r="AB3055" s="0" t="str">
        <f aca="false">IF(W3055=1,"",IF(AND(X3055=1,Z3055&lt;&gt;1),1,0))</f>
        <v/>
      </c>
      <c r="AC3055" s="0" t="str">
        <f aca="false">IF(W3055=1,"",IF(AND(Y3055=1,AA3055&lt;&gt;1),1,0))</f>
        <v/>
      </c>
      <c r="AD3055" s="33" t="str">
        <f aca="false">IF(AND(E3055&gt;0,W3055&lt;1,NOT(AND(C3056=C3055,W3056=W3055+1))),INDEX(DATAS,W3055+1),"")</f>
        <v/>
      </c>
      <c r="AE3055" s="33" t="str">
        <f aca="false">IF(AND(Y3055=1,W3055&lt;1),IF(AND(C3056=C3055,W3056=W3055+1),IF(Y3056=1,"",INDEX(DATAS,W3055+1)),INDEX(DATAS,W3055+1)),"")</f>
        <v/>
      </c>
    </row>
    <row r="3056" customFormat="false" ht="15" hidden="false" customHeight="false" outlineLevel="0" collapsed="false">
      <c r="A3056" s="33" t="n">
        <v>46309</v>
      </c>
      <c r="B3056" s="0" t="n">
        <v>13</v>
      </c>
      <c r="C3056" s="0" t="n">
        <v>7456</v>
      </c>
      <c r="E3056" s="0" t="n">
        <v>0</v>
      </c>
      <c r="F3056" s="27" t="s">
        <v>1469</v>
      </c>
      <c r="I3056" s="27" t="s">
        <v>166</v>
      </c>
      <c r="U3056" s="0" t="n">
        <v>231</v>
      </c>
      <c r="V3056" s="0" t="n">
        <v>0</v>
      </c>
      <c r="W3056" s="27" t="n">
        <f aca="false">MATCH(A3056,DATAS,0)</f>
        <v>1</v>
      </c>
      <c r="X3056" s="27" t="n">
        <f aca="false">IF(AND(E3056&gt;0,OR(AND(B3056&gt;=1,B3056&lt;=6),B3056=10)),1,0)</f>
        <v>0</v>
      </c>
      <c r="Y3056" s="27" t="n">
        <f aca="false">IF(AND(E3056&gt;0,B3056=10),1,0)</f>
        <v>0</v>
      </c>
      <c r="Z3056" s="0" t="str">
        <f aca="false">IF(AND(C3055=C3056,W3055=W3056-1),X3055,"")</f>
        <v/>
      </c>
      <c r="AA3056" s="0" t="str">
        <f aca="false">IF(AND(C3055=C3056,W3055=W3056-1),Y3055,"")</f>
        <v/>
      </c>
      <c r="AB3056" s="0" t="str">
        <f aca="false">IF(W3056=1,"",IF(AND(X3056=1,Z3056&lt;&gt;1),1,0))</f>
        <v/>
      </c>
      <c r="AC3056" s="0" t="str">
        <f aca="false">IF(W3056=1,"",IF(AND(Y3056=1,AA3056&lt;&gt;1),1,0))</f>
        <v/>
      </c>
      <c r="AD3056" s="33" t="str">
        <f aca="false">IF(AND(E3056&gt;0,W3056&lt;1,NOT(AND(C3057=C3056,W3057=W3056+1))),INDEX(DATAS,W3056+1),"")</f>
        <v/>
      </c>
      <c r="AE3056" s="33" t="str">
        <f aca="false">IF(AND(Y3056=1,W3056&lt;1),IF(AND(C3057=C3056,W3057=W3056+1),IF(Y3057=1,"",INDEX(DATAS,W3056+1)),INDEX(DATAS,W3056+1)),"")</f>
        <v/>
      </c>
    </row>
    <row r="3057" customFormat="false" ht="15" hidden="false" customHeight="false" outlineLevel="0" collapsed="false">
      <c r="A3057" s="33" t="n">
        <v>46309</v>
      </c>
      <c r="B3057" s="0" t="n">
        <v>13</v>
      </c>
      <c r="C3057" s="0" t="n">
        <v>7457</v>
      </c>
      <c r="E3057" s="0" t="n">
        <v>0</v>
      </c>
      <c r="F3057" s="27" t="s">
        <v>1469</v>
      </c>
      <c r="I3057" s="27" t="s">
        <v>166</v>
      </c>
      <c r="U3057" s="0" t="n">
        <v>231</v>
      </c>
      <c r="V3057" s="0" t="n">
        <v>0</v>
      </c>
      <c r="W3057" s="27" t="n">
        <f aca="false">MATCH(A3057,DATAS,0)</f>
        <v>1</v>
      </c>
      <c r="X3057" s="27" t="n">
        <f aca="false">IF(AND(E3057&gt;0,OR(AND(B3057&gt;=1,B3057&lt;=6),B3057=10)),1,0)</f>
        <v>0</v>
      </c>
      <c r="Y3057" s="27" t="n">
        <f aca="false">IF(AND(E3057&gt;0,B3057=10),1,0)</f>
        <v>0</v>
      </c>
      <c r="Z3057" s="0" t="str">
        <f aca="false">IF(AND(C3056=C3057,W3056=W3057-1),X3056,"")</f>
        <v/>
      </c>
      <c r="AA3057" s="0" t="str">
        <f aca="false">IF(AND(C3056=C3057,W3056=W3057-1),Y3056,"")</f>
        <v/>
      </c>
      <c r="AB3057" s="0" t="str">
        <f aca="false">IF(W3057=1,"",IF(AND(X3057=1,Z3057&lt;&gt;1),1,0))</f>
        <v/>
      </c>
      <c r="AC3057" s="0" t="str">
        <f aca="false">IF(W3057=1,"",IF(AND(Y3057=1,AA3057&lt;&gt;1),1,0))</f>
        <v/>
      </c>
      <c r="AD3057" s="33" t="str">
        <f aca="false">IF(AND(E3057&gt;0,W3057&lt;1,NOT(AND(C3058=C3057,W3058=W3057+1))),INDEX(DATAS,W3057+1),"")</f>
        <v/>
      </c>
      <c r="AE3057" s="33" t="str">
        <f aca="false">IF(AND(Y3057=1,W3057&lt;1),IF(AND(C3058=C3057,W3058=W3057+1),IF(Y3058=1,"",INDEX(DATAS,W3057+1)),INDEX(DATAS,W3057+1)),"")</f>
        <v/>
      </c>
    </row>
    <row r="3058" customFormat="false" ht="15" hidden="false" customHeight="false" outlineLevel="0" collapsed="false">
      <c r="A3058" s="33" t="n">
        <v>46309</v>
      </c>
      <c r="B3058" s="0" t="n">
        <v>13</v>
      </c>
      <c r="C3058" s="0" t="n">
        <v>7459</v>
      </c>
      <c r="E3058" s="0" t="n">
        <v>0</v>
      </c>
      <c r="F3058" s="27" t="s">
        <v>1469</v>
      </c>
      <c r="I3058" s="27" t="s">
        <v>166</v>
      </c>
      <c r="U3058" s="0" t="n">
        <v>231</v>
      </c>
      <c r="V3058" s="0" t="n">
        <v>0</v>
      </c>
      <c r="W3058" s="27" t="n">
        <f aca="false">MATCH(A3058,DATAS,0)</f>
        <v>1</v>
      </c>
      <c r="X3058" s="27" t="n">
        <f aca="false">IF(AND(E3058&gt;0,OR(AND(B3058&gt;=1,B3058&lt;=6),B3058=10)),1,0)</f>
        <v>0</v>
      </c>
      <c r="Y3058" s="27" t="n">
        <f aca="false">IF(AND(E3058&gt;0,B3058=10),1,0)</f>
        <v>0</v>
      </c>
      <c r="Z3058" s="0" t="str">
        <f aca="false">IF(AND(C3057=C3058,W3057=W3058-1),X3057,"")</f>
        <v/>
      </c>
      <c r="AA3058" s="0" t="str">
        <f aca="false">IF(AND(C3057=C3058,W3057=W3058-1),Y3057,"")</f>
        <v/>
      </c>
      <c r="AB3058" s="0" t="str">
        <f aca="false">IF(W3058=1,"",IF(AND(X3058=1,Z3058&lt;&gt;1),1,0))</f>
        <v/>
      </c>
      <c r="AC3058" s="0" t="str">
        <f aca="false">IF(W3058=1,"",IF(AND(Y3058=1,AA3058&lt;&gt;1),1,0))</f>
        <v/>
      </c>
      <c r="AD3058" s="33" t="str">
        <f aca="false">IF(AND(E3058&gt;0,W3058&lt;1,NOT(AND(C3059=C3058,W3059=W3058+1))),INDEX(DATAS,W3058+1),"")</f>
        <v/>
      </c>
      <c r="AE3058" s="33" t="str">
        <f aca="false">IF(AND(Y3058=1,W3058&lt;1),IF(AND(C3059=C3058,W3059=W3058+1),IF(Y3059=1,"",INDEX(DATAS,W3058+1)),INDEX(DATAS,W3058+1)),"")</f>
        <v/>
      </c>
    </row>
    <row r="3059" customFormat="false" ht="15" hidden="false" customHeight="false" outlineLevel="0" collapsed="false">
      <c r="A3059" s="33" t="n">
        <v>46309</v>
      </c>
      <c r="B3059" s="0" t="n">
        <v>13</v>
      </c>
      <c r="C3059" s="0" t="n">
        <v>7460</v>
      </c>
      <c r="E3059" s="0" t="n">
        <v>0</v>
      </c>
      <c r="F3059" s="27" t="s">
        <v>1469</v>
      </c>
      <c r="I3059" s="27" t="s">
        <v>166</v>
      </c>
      <c r="U3059" s="0" t="n">
        <v>231</v>
      </c>
      <c r="V3059" s="0" t="n">
        <v>0</v>
      </c>
      <c r="W3059" s="27" t="n">
        <f aca="false">MATCH(A3059,DATAS,0)</f>
        <v>1</v>
      </c>
      <c r="X3059" s="27" t="n">
        <f aca="false">IF(AND(E3059&gt;0,OR(AND(B3059&gt;=1,B3059&lt;=6),B3059=10)),1,0)</f>
        <v>0</v>
      </c>
      <c r="Y3059" s="27" t="n">
        <f aca="false">IF(AND(E3059&gt;0,B3059=10),1,0)</f>
        <v>0</v>
      </c>
      <c r="Z3059" s="0" t="str">
        <f aca="false">IF(AND(C3058=C3059,W3058=W3059-1),X3058,"")</f>
        <v/>
      </c>
      <c r="AA3059" s="0" t="str">
        <f aca="false">IF(AND(C3058=C3059,W3058=W3059-1),Y3058,"")</f>
        <v/>
      </c>
      <c r="AB3059" s="0" t="str">
        <f aca="false">IF(W3059=1,"",IF(AND(X3059=1,Z3059&lt;&gt;1),1,0))</f>
        <v/>
      </c>
      <c r="AC3059" s="0" t="str">
        <f aca="false">IF(W3059=1,"",IF(AND(Y3059=1,AA3059&lt;&gt;1),1,0))</f>
        <v/>
      </c>
      <c r="AD3059" s="33" t="str">
        <f aca="false">IF(AND(E3059&gt;0,W3059&lt;1,NOT(AND(C3060=C3059,W3060=W3059+1))),INDEX(DATAS,W3059+1),"")</f>
        <v/>
      </c>
      <c r="AE3059" s="33" t="str">
        <f aca="false">IF(AND(Y3059=1,W3059&lt;1),IF(AND(C3060=C3059,W3060=W3059+1),IF(Y3060=1,"",INDEX(DATAS,W3059+1)),INDEX(DATAS,W3059+1)),"")</f>
        <v/>
      </c>
    </row>
    <row r="3060" customFormat="false" ht="15" hidden="false" customHeight="false" outlineLevel="0" collapsed="false">
      <c r="A3060" s="33" t="n">
        <v>46309</v>
      </c>
      <c r="B3060" s="0" t="n">
        <v>13</v>
      </c>
      <c r="C3060" s="0" t="n">
        <v>7461</v>
      </c>
      <c r="E3060" s="0" t="n">
        <v>0</v>
      </c>
      <c r="F3060" s="27" t="s">
        <v>1470</v>
      </c>
      <c r="I3060" s="27" t="s">
        <v>166</v>
      </c>
      <c r="U3060" s="0" t="n">
        <v>230</v>
      </c>
      <c r="V3060" s="0" t="n">
        <v>0</v>
      </c>
      <c r="W3060" s="27" t="n">
        <f aca="false">MATCH(A3060,DATAS,0)</f>
        <v>1</v>
      </c>
      <c r="X3060" s="27" t="n">
        <f aca="false">IF(AND(E3060&gt;0,OR(AND(B3060&gt;=1,B3060&lt;=6),B3060=10)),1,0)</f>
        <v>0</v>
      </c>
      <c r="Y3060" s="27" t="n">
        <f aca="false">IF(AND(E3060&gt;0,B3060=10),1,0)</f>
        <v>0</v>
      </c>
      <c r="Z3060" s="0" t="str">
        <f aca="false">IF(AND(C3059=C3060,W3059=W3060-1),X3059,"")</f>
        <v/>
      </c>
      <c r="AA3060" s="0" t="str">
        <f aca="false">IF(AND(C3059=C3060,W3059=W3060-1),Y3059,"")</f>
        <v/>
      </c>
      <c r="AB3060" s="0" t="str">
        <f aca="false">IF(W3060=1,"",IF(AND(X3060=1,Z3060&lt;&gt;1),1,0))</f>
        <v/>
      </c>
      <c r="AC3060" s="0" t="str">
        <f aca="false">IF(W3060=1,"",IF(AND(Y3060=1,AA3060&lt;&gt;1),1,0))</f>
        <v/>
      </c>
      <c r="AD3060" s="33" t="str">
        <f aca="false">IF(AND(E3060&gt;0,W3060&lt;1,NOT(AND(C3061=C3060,W3061=W3060+1))),INDEX(DATAS,W3060+1),"")</f>
        <v/>
      </c>
      <c r="AE3060" s="33" t="str">
        <f aca="false">IF(AND(Y3060=1,W3060&lt;1),IF(AND(C3061=C3060,W3061=W3060+1),IF(Y3061=1,"",INDEX(DATAS,W3060+1)),INDEX(DATAS,W3060+1)),"")</f>
        <v/>
      </c>
    </row>
    <row r="3061" customFormat="false" ht="15" hidden="false" customHeight="false" outlineLevel="0" collapsed="false">
      <c r="A3061" s="33" t="n">
        <v>46309</v>
      </c>
      <c r="B3061" s="0" t="n">
        <v>13</v>
      </c>
      <c r="C3061" s="0" t="n">
        <v>7462</v>
      </c>
      <c r="E3061" s="0" t="n">
        <v>0</v>
      </c>
      <c r="F3061" s="27" t="s">
        <v>1471</v>
      </c>
      <c r="I3061" s="27" t="s">
        <v>166</v>
      </c>
      <c r="U3061" s="0" t="n">
        <v>229</v>
      </c>
      <c r="V3061" s="0" t="n">
        <v>0</v>
      </c>
      <c r="W3061" s="27" t="n">
        <f aca="false">MATCH(A3061,DATAS,0)</f>
        <v>1</v>
      </c>
      <c r="X3061" s="27" t="n">
        <f aca="false">IF(AND(E3061&gt;0,OR(AND(B3061&gt;=1,B3061&lt;=6),B3061=10)),1,0)</f>
        <v>0</v>
      </c>
      <c r="Y3061" s="27" t="n">
        <f aca="false">IF(AND(E3061&gt;0,B3061=10),1,0)</f>
        <v>0</v>
      </c>
      <c r="Z3061" s="0" t="str">
        <f aca="false">IF(AND(C3060=C3061,W3060=W3061-1),X3060,"")</f>
        <v/>
      </c>
      <c r="AA3061" s="0" t="str">
        <f aca="false">IF(AND(C3060=C3061,W3060=W3061-1),Y3060,"")</f>
        <v/>
      </c>
      <c r="AB3061" s="0" t="str">
        <f aca="false">IF(W3061=1,"",IF(AND(X3061=1,Z3061&lt;&gt;1),1,0))</f>
        <v/>
      </c>
      <c r="AC3061" s="0" t="str">
        <f aca="false">IF(W3061=1,"",IF(AND(Y3061=1,AA3061&lt;&gt;1),1,0))</f>
        <v/>
      </c>
      <c r="AD3061" s="33" t="str">
        <f aca="false">IF(AND(E3061&gt;0,W3061&lt;1,NOT(AND(C3062=C3061,W3062=W3061+1))),INDEX(DATAS,W3061+1),"")</f>
        <v/>
      </c>
      <c r="AE3061" s="33" t="str">
        <f aca="false">IF(AND(Y3061=1,W3061&lt;1),IF(AND(C3062=C3061,W3062=W3061+1),IF(Y3062=1,"",INDEX(DATAS,W3061+1)),INDEX(DATAS,W3061+1)),"")</f>
        <v/>
      </c>
    </row>
    <row r="3062" customFormat="false" ht="15" hidden="false" customHeight="false" outlineLevel="0" collapsed="false">
      <c r="A3062" s="33" t="n">
        <v>46309</v>
      </c>
      <c r="B3062" s="0" t="n">
        <v>13</v>
      </c>
      <c r="C3062" s="0" t="n">
        <v>7464</v>
      </c>
      <c r="E3062" s="0" t="n">
        <v>0</v>
      </c>
      <c r="F3062" s="27" t="s">
        <v>1472</v>
      </c>
      <c r="I3062" s="27" t="s">
        <v>166</v>
      </c>
      <c r="U3062" s="0" t="n">
        <v>228</v>
      </c>
      <c r="V3062" s="0" t="n">
        <v>0</v>
      </c>
      <c r="W3062" s="27" t="n">
        <f aca="false">MATCH(A3062,DATAS,0)</f>
        <v>1</v>
      </c>
      <c r="X3062" s="27" t="n">
        <f aca="false">IF(AND(E3062&gt;0,OR(AND(B3062&gt;=1,B3062&lt;=6),B3062=10)),1,0)</f>
        <v>0</v>
      </c>
      <c r="Y3062" s="27" t="n">
        <f aca="false">IF(AND(E3062&gt;0,B3062=10),1,0)</f>
        <v>0</v>
      </c>
      <c r="Z3062" s="0" t="str">
        <f aca="false">IF(AND(C3061=C3062,W3061=W3062-1),X3061,"")</f>
        <v/>
      </c>
      <c r="AA3062" s="0" t="str">
        <f aca="false">IF(AND(C3061=C3062,W3061=W3062-1),Y3061,"")</f>
        <v/>
      </c>
      <c r="AB3062" s="0" t="str">
        <f aca="false">IF(W3062=1,"",IF(AND(X3062=1,Z3062&lt;&gt;1),1,0))</f>
        <v/>
      </c>
      <c r="AC3062" s="0" t="str">
        <f aca="false">IF(W3062=1,"",IF(AND(Y3062=1,AA3062&lt;&gt;1),1,0))</f>
        <v/>
      </c>
      <c r="AD3062" s="33" t="str">
        <f aca="false">IF(AND(E3062&gt;0,W3062&lt;1,NOT(AND(C3063=C3062,W3063=W3062+1))),INDEX(DATAS,W3062+1),"")</f>
        <v/>
      </c>
      <c r="AE3062" s="33" t="str">
        <f aca="false">IF(AND(Y3062=1,W3062&lt;1),IF(AND(C3063=C3062,W3063=W3062+1),IF(Y3063=1,"",INDEX(DATAS,W3062+1)),INDEX(DATAS,W3062+1)),"")</f>
        <v/>
      </c>
    </row>
    <row r="3063" customFormat="false" ht="15" hidden="false" customHeight="false" outlineLevel="0" collapsed="false">
      <c r="A3063" s="33" t="n">
        <v>46309</v>
      </c>
      <c r="B3063" s="0" t="n">
        <v>13</v>
      </c>
      <c r="C3063" s="0" t="n">
        <v>7465</v>
      </c>
      <c r="E3063" s="0" t="n">
        <v>0</v>
      </c>
      <c r="F3063" s="27" t="s">
        <v>1472</v>
      </c>
      <c r="I3063" s="27" t="s">
        <v>166</v>
      </c>
      <c r="U3063" s="0" t="n">
        <v>228</v>
      </c>
      <c r="V3063" s="0" t="n">
        <v>0</v>
      </c>
      <c r="W3063" s="27" t="n">
        <f aca="false">MATCH(A3063,DATAS,0)</f>
        <v>1</v>
      </c>
      <c r="X3063" s="27" t="n">
        <f aca="false">IF(AND(E3063&gt;0,OR(AND(B3063&gt;=1,B3063&lt;=6),B3063=10)),1,0)</f>
        <v>0</v>
      </c>
      <c r="Y3063" s="27" t="n">
        <f aca="false">IF(AND(E3063&gt;0,B3063=10),1,0)</f>
        <v>0</v>
      </c>
      <c r="Z3063" s="0" t="str">
        <f aca="false">IF(AND(C3062=C3063,W3062=W3063-1),X3062,"")</f>
        <v/>
      </c>
      <c r="AA3063" s="0" t="str">
        <f aca="false">IF(AND(C3062=C3063,W3062=W3063-1),Y3062,"")</f>
        <v/>
      </c>
      <c r="AB3063" s="0" t="str">
        <f aca="false">IF(W3063=1,"",IF(AND(X3063=1,Z3063&lt;&gt;1),1,0))</f>
        <v/>
      </c>
      <c r="AC3063" s="0" t="str">
        <f aca="false">IF(W3063=1,"",IF(AND(Y3063=1,AA3063&lt;&gt;1),1,0))</f>
        <v/>
      </c>
      <c r="AD3063" s="33" t="str">
        <f aca="false">IF(AND(E3063&gt;0,W3063&lt;1,NOT(AND(C3064=C3063,W3064=W3063+1))),INDEX(DATAS,W3063+1),"")</f>
        <v/>
      </c>
      <c r="AE3063" s="33" t="str">
        <f aca="false">IF(AND(Y3063=1,W3063&lt;1),IF(AND(C3064=C3063,W3064=W3063+1),IF(Y3064=1,"",INDEX(DATAS,W3063+1)),INDEX(DATAS,W3063+1)),"")</f>
        <v/>
      </c>
    </row>
    <row r="3064" customFormat="false" ht="15" hidden="false" customHeight="false" outlineLevel="0" collapsed="false">
      <c r="A3064" s="33" t="n">
        <v>46309</v>
      </c>
      <c r="B3064" s="0" t="n">
        <v>13</v>
      </c>
      <c r="C3064" s="0" t="n">
        <v>7468</v>
      </c>
      <c r="E3064" s="0" t="n">
        <v>0</v>
      </c>
      <c r="F3064" s="27" t="s">
        <v>1473</v>
      </c>
      <c r="I3064" s="27" t="s">
        <v>166</v>
      </c>
      <c r="U3064" s="0" t="n">
        <v>227</v>
      </c>
      <c r="V3064" s="0" t="n">
        <v>0</v>
      </c>
      <c r="W3064" s="27" t="n">
        <f aca="false">MATCH(A3064,DATAS,0)</f>
        <v>1</v>
      </c>
      <c r="X3064" s="27" t="n">
        <f aca="false">IF(AND(E3064&gt;0,OR(AND(B3064&gt;=1,B3064&lt;=6),B3064=10)),1,0)</f>
        <v>0</v>
      </c>
      <c r="Y3064" s="27" t="n">
        <f aca="false">IF(AND(E3064&gt;0,B3064=10),1,0)</f>
        <v>0</v>
      </c>
      <c r="Z3064" s="0" t="str">
        <f aca="false">IF(AND(C3063=C3064,W3063=W3064-1),X3063,"")</f>
        <v/>
      </c>
      <c r="AA3064" s="0" t="str">
        <f aca="false">IF(AND(C3063=C3064,W3063=W3064-1),Y3063,"")</f>
        <v/>
      </c>
      <c r="AB3064" s="0" t="str">
        <f aca="false">IF(W3064=1,"",IF(AND(X3064=1,Z3064&lt;&gt;1),1,0))</f>
        <v/>
      </c>
      <c r="AC3064" s="0" t="str">
        <f aca="false">IF(W3064=1,"",IF(AND(Y3064=1,AA3064&lt;&gt;1),1,0))</f>
        <v/>
      </c>
      <c r="AD3064" s="33" t="str">
        <f aca="false">IF(AND(E3064&gt;0,W3064&lt;1,NOT(AND(C3065=C3064,W3065=W3064+1))),INDEX(DATAS,W3064+1),"")</f>
        <v/>
      </c>
      <c r="AE3064" s="33" t="str">
        <f aca="false">IF(AND(Y3064=1,W3064&lt;1),IF(AND(C3065=C3064,W3065=W3064+1),IF(Y3065=1,"",INDEX(DATAS,W3064+1)),INDEX(DATAS,W3064+1)),"")</f>
        <v/>
      </c>
    </row>
    <row r="3065" customFormat="false" ht="15" hidden="false" customHeight="false" outlineLevel="0" collapsed="false">
      <c r="A3065" s="33" t="n">
        <v>46309</v>
      </c>
      <c r="B3065" s="0" t="n">
        <v>13</v>
      </c>
      <c r="C3065" s="0" t="n">
        <v>7469</v>
      </c>
      <c r="E3065" s="0" t="n">
        <v>0</v>
      </c>
      <c r="F3065" s="27" t="s">
        <v>1473</v>
      </c>
      <c r="I3065" s="27" t="s">
        <v>166</v>
      </c>
      <c r="U3065" s="0" t="n">
        <v>227</v>
      </c>
      <c r="V3065" s="0" t="n">
        <v>0</v>
      </c>
      <c r="W3065" s="27" t="n">
        <f aca="false">MATCH(A3065,DATAS,0)</f>
        <v>1</v>
      </c>
      <c r="X3065" s="27" t="n">
        <f aca="false">IF(AND(E3065&gt;0,OR(AND(B3065&gt;=1,B3065&lt;=6),B3065=10)),1,0)</f>
        <v>0</v>
      </c>
      <c r="Y3065" s="27" t="n">
        <f aca="false">IF(AND(E3065&gt;0,B3065=10),1,0)</f>
        <v>0</v>
      </c>
      <c r="Z3065" s="0" t="str">
        <f aca="false">IF(AND(C3064=C3065,W3064=W3065-1),X3064,"")</f>
        <v/>
      </c>
      <c r="AA3065" s="0" t="str">
        <f aca="false">IF(AND(C3064=C3065,W3064=W3065-1),Y3064,"")</f>
        <v/>
      </c>
      <c r="AB3065" s="0" t="str">
        <f aca="false">IF(W3065=1,"",IF(AND(X3065=1,Z3065&lt;&gt;1),1,0))</f>
        <v/>
      </c>
      <c r="AC3065" s="0" t="str">
        <f aca="false">IF(W3065=1,"",IF(AND(Y3065=1,AA3065&lt;&gt;1),1,0))</f>
        <v/>
      </c>
      <c r="AD3065" s="33" t="str">
        <f aca="false">IF(AND(E3065&gt;0,W3065&lt;1,NOT(AND(C3066=C3065,W3066=W3065+1))),INDEX(DATAS,W3065+1),"")</f>
        <v/>
      </c>
      <c r="AE3065" s="33" t="str">
        <f aca="false">IF(AND(Y3065=1,W3065&lt;1),IF(AND(C3066=C3065,W3066=W3065+1),IF(Y3066=1,"",INDEX(DATAS,W3065+1)),INDEX(DATAS,W3065+1)),"")</f>
        <v/>
      </c>
    </row>
    <row r="3066" customFormat="false" ht="15" hidden="false" customHeight="false" outlineLevel="0" collapsed="false">
      <c r="A3066" s="33" t="n">
        <v>46309</v>
      </c>
      <c r="B3066" s="0" t="n">
        <v>13</v>
      </c>
      <c r="C3066" s="0" t="n">
        <v>7470</v>
      </c>
      <c r="E3066" s="0" t="n">
        <v>0</v>
      </c>
      <c r="F3066" s="27" t="s">
        <v>1474</v>
      </c>
      <c r="I3066" s="27" t="s">
        <v>166</v>
      </c>
      <c r="U3066" s="0" t="n">
        <v>226</v>
      </c>
      <c r="V3066" s="0" t="n">
        <v>0</v>
      </c>
      <c r="W3066" s="27" t="n">
        <f aca="false">MATCH(A3066,DATAS,0)</f>
        <v>1</v>
      </c>
      <c r="X3066" s="27" t="n">
        <f aca="false">IF(AND(E3066&gt;0,OR(AND(B3066&gt;=1,B3066&lt;=6),B3066=10)),1,0)</f>
        <v>0</v>
      </c>
      <c r="Y3066" s="27" t="n">
        <f aca="false">IF(AND(E3066&gt;0,B3066=10),1,0)</f>
        <v>0</v>
      </c>
      <c r="Z3066" s="0" t="str">
        <f aca="false">IF(AND(C3065=C3066,W3065=W3066-1),X3065,"")</f>
        <v/>
      </c>
      <c r="AA3066" s="0" t="str">
        <f aca="false">IF(AND(C3065=C3066,W3065=W3066-1),Y3065,"")</f>
        <v/>
      </c>
      <c r="AB3066" s="0" t="str">
        <f aca="false">IF(W3066=1,"",IF(AND(X3066=1,Z3066&lt;&gt;1),1,0))</f>
        <v/>
      </c>
      <c r="AC3066" s="0" t="str">
        <f aca="false">IF(W3066=1,"",IF(AND(Y3066=1,AA3066&lt;&gt;1),1,0))</f>
        <v/>
      </c>
      <c r="AD3066" s="33" t="str">
        <f aca="false">IF(AND(E3066&gt;0,W3066&lt;1,NOT(AND(C3067=C3066,W3067=W3066+1))),INDEX(DATAS,W3066+1),"")</f>
        <v/>
      </c>
      <c r="AE3066" s="33" t="str">
        <f aca="false">IF(AND(Y3066=1,W3066&lt;1),IF(AND(C3067=C3066,W3067=W3066+1),IF(Y3067=1,"",INDEX(DATAS,W3066+1)),INDEX(DATAS,W3066+1)),"")</f>
        <v/>
      </c>
    </row>
    <row r="3067" customFormat="false" ht="15" hidden="false" customHeight="false" outlineLevel="0" collapsed="false">
      <c r="A3067" s="33" t="n">
        <v>46309</v>
      </c>
      <c r="B3067" s="0" t="n">
        <v>13</v>
      </c>
      <c r="C3067" s="0" t="n">
        <v>7471</v>
      </c>
      <c r="E3067" s="0" t="n">
        <v>0</v>
      </c>
      <c r="F3067" s="27" t="s">
        <v>1475</v>
      </c>
      <c r="I3067" s="27" t="s">
        <v>166</v>
      </c>
      <c r="U3067" s="0" t="n">
        <v>225</v>
      </c>
      <c r="V3067" s="0" t="n">
        <v>0</v>
      </c>
      <c r="W3067" s="27" t="n">
        <f aca="false">MATCH(A3067,DATAS,0)</f>
        <v>1</v>
      </c>
      <c r="X3067" s="27" t="n">
        <f aca="false">IF(AND(E3067&gt;0,OR(AND(B3067&gt;=1,B3067&lt;=6),B3067=10)),1,0)</f>
        <v>0</v>
      </c>
      <c r="Y3067" s="27" t="n">
        <f aca="false">IF(AND(E3067&gt;0,B3067=10),1,0)</f>
        <v>0</v>
      </c>
      <c r="Z3067" s="0" t="str">
        <f aca="false">IF(AND(C3066=C3067,W3066=W3067-1),X3066,"")</f>
        <v/>
      </c>
      <c r="AA3067" s="0" t="str">
        <f aca="false">IF(AND(C3066=C3067,W3066=W3067-1),Y3066,"")</f>
        <v/>
      </c>
      <c r="AB3067" s="0" t="str">
        <f aca="false">IF(W3067=1,"",IF(AND(X3067=1,Z3067&lt;&gt;1),1,0))</f>
        <v/>
      </c>
      <c r="AC3067" s="0" t="str">
        <f aca="false">IF(W3067=1,"",IF(AND(Y3067=1,AA3067&lt;&gt;1),1,0))</f>
        <v/>
      </c>
      <c r="AD3067" s="33" t="str">
        <f aca="false">IF(AND(E3067&gt;0,W3067&lt;1,NOT(AND(C3068=C3067,W3068=W3067+1))),INDEX(DATAS,W3067+1),"")</f>
        <v/>
      </c>
      <c r="AE3067" s="33" t="str">
        <f aca="false">IF(AND(Y3067=1,W3067&lt;1),IF(AND(C3068=C3067,W3068=W3067+1),IF(Y3068=1,"",INDEX(DATAS,W3067+1)),INDEX(DATAS,W3067+1)),"")</f>
        <v/>
      </c>
    </row>
    <row r="3068" customFormat="false" ht="15" hidden="false" customHeight="false" outlineLevel="0" collapsed="false">
      <c r="A3068" s="33" t="n">
        <v>46309</v>
      </c>
      <c r="B3068" s="0" t="n">
        <v>13</v>
      </c>
      <c r="C3068" s="0" t="n">
        <v>7472</v>
      </c>
      <c r="E3068" s="0" t="n">
        <v>0</v>
      </c>
      <c r="F3068" s="27" t="s">
        <v>1475</v>
      </c>
      <c r="I3068" s="27" t="s">
        <v>166</v>
      </c>
      <c r="U3068" s="0" t="n">
        <v>225</v>
      </c>
      <c r="V3068" s="0" t="n">
        <v>0</v>
      </c>
      <c r="W3068" s="27" t="n">
        <f aca="false">MATCH(A3068,DATAS,0)</f>
        <v>1</v>
      </c>
      <c r="X3068" s="27" t="n">
        <f aca="false">IF(AND(E3068&gt;0,OR(AND(B3068&gt;=1,B3068&lt;=6),B3068=10)),1,0)</f>
        <v>0</v>
      </c>
      <c r="Y3068" s="27" t="n">
        <f aca="false">IF(AND(E3068&gt;0,B3068=10),1,0)</f>
        <v>0</v>
      </c>
      <c r="Z3068" s="0" t="str">
        <f aca="false">IF(AND(C3067=C3068,W3067=W3068-1),X3067,"")</f>
        <v/>
      </c>
      <c r="AA3068" s="0" t="str">
        <f aca="false">IF(AND(C3067=C3068,W3067=W3068-1),Y3067,"")</f>
        <v/>
      </c>
      <c r="AB3068" s="0" t="str">
        <f aca="false">IF(W3068=1,"",IF(AND(X3068=1,Z3068&lt;&gt;1),1,0))</f>
        <v/>
      </c>
      <c r="AC3068" s="0" t="str">
        <f aca="false">IF(W3068=1,"",IF(AND(Y3068=1,AA3068&lt;&gt;1),1,0))</f>
        <v/>
      </c>
      <c r="AD3068" s="33" t="str">
        <f aca="false">IF(AND(E3068&gt;0,W3068&lt;1,NOT(AND(C3069=C3068,W3069=W3068+1))),INDEX(DATAS,W3068+1),"")</f>
        <v/>
      </c>
      <c r="AE3068" s="33" t="str">
        <f aca="false">IF(AND(Y3068=1,W3068&lt;1),IF(AND(C3069=C3068,W3069=W3068+1),IF(Y3069=1,"",INDEX(DATAS,W3068+1)),INDEX(DATAS,W3068+1)),"")</f>
        <v/>
      </c>
    </row>
    <row r="3069" customFormat="false" ht="15" hidden="false" customHeight="false" outlineLevel="0" collapsed="false">
      <c r="A3069" s="33" t="n">
        <v>46309</v>
      </c>
      <c r="B3069" s="0" t="n">
        <v>13</v>
      </c>
      <c r="C3069" s="0" t="n">
        <v>7473</v>
      </c>
      <c r="E3069" s="0" t="n">
        <v>0</v>
      </c>
      <c r="F3069" s="27" t="s">
        <v>1475</v>
      </c>
      <c r="I3069" s="27" t="s">
        <v>166</v>
      </c>
      <c r="U3069" s="0" t="n">
        <v>225</v>
      </c>
      <c r="V3069" s="0" t="n">
        <v>0</v>
      </c>
      <c r="W3069" s="27" t="n">
        <f aca="false">MATCH(A3069,DATAS,0)</f>
        <v>1</v>
      </c>
      <c r="X3069" s="27" t="n">
        <f aca="false">IF(AND(E3069&gt;0,OR(AND(B3069&gt;=1,B3069&lt;=6),B3069=10)),1,0)</f>
        <v>0</v>
      </c>
      <c r="Y3069" s="27" t="n">
        <f aca="false">IF(AND(E3069&gt;0,B3069=10),1,0)</f>
        <v>0</v>
      </c>
      <c r="Z3069" s="0" t="str">
        <f aca="false">IF(AND(C3068=C3069,W3068=W3069-1),X3068,"")</f>
        <v/>
      </c>
      <c r="AA3069" s="0" t="str">
        <f aca="false">IF(AND(C3068=C3069,W3068=W3069-1),Y3068,"")</f>
        <v/>
      </c>
      <c r="AB3069" s="0" t="str">
        <f aca="false">IF(W3069=1,"",IF(AND(X3069=1,Z3069&lt;&gt;1),1,0))</f>
        <v/>
      </c>
      <c r="AC3069" s="0" t="str">
        <f aca="false">IF(W3069=1,"",IF(AND(Y3069=1,AA3069&lt;&gt;1),1,0))</f>
        <v/>
      </c>
      <c r="AD3069" s="33" t="str">
        <f aca="false">IF(AND(E3069&gt;0,W3069&lt;1,NOT(AND(C3070=C3069,W3070=W3069+1))),INDEX(DATAS,W3069+1),"")</f>
        <v/>
      </c>
      <c r="AE3069" s="33" t="str">
        <f aca="false">IF(AND(Y3069=1,W3069&lt;1),IF(AND(C3070=C3069,W3070=W3069+1),IF(Y3070=1,"",INDEX(DATAS,W3069+1)),INDEX(DATAS,W3069+1)),"")</f>
        <v/>
      </c>
    </row>
    <row r="3070" customFormat="false" ht="15" hidden="false" customHeight="false" outlineLevel="0" collapsed="false">
      <c r="A3070" s="33" t="n">
        <v>46309</v>
      </c>
      <c r="B3070" s="0" t="n">
        <v>13</v>
      </c>
      <c r="C3070" s="0" t="n">
        <v>7474</v>
      </c>
      <c r="E3070" s="0" t="n">
        <v>0</v>
      </c>
      <c r="F3070" s="27" t="s">
        <v>1476</v>
      </c>
      <c r="I3070" s="27" t="s">
        <v>166</v>
      </c>
      <c r="U3070" s="0" t="n">
        <v>224</v>
      </c>
      <c r="V3070" s="0" t="n">
        <v>0</v>
      </c>
      <c r="W3070" s="27" t="n">
        <f aca="false">MATCH(A3070,DATAS,0)</f>
        <v>1</v>
      </c>
      <c r="X3070" s="27" t="n">
        <f aca="false">IF(AND(E3070&gt;0,OR(AND(B3070&gt;=1,B3070&lt;=6),B3070=10)),1,0)</f>
        <v>0</v>
      </c>
      <c r="Y3070" s="27" t="n">
        <f aca="false">IF(AND(E3070&gt;0,B3070=10),1,0)</f>
        <v>0</v>
      </c>
      <c r="Z3070" s="0" t="str">
        <f aca="false">IF(AND(C3069=C3070,W3069=W3070-1),X3069,"")</f>
        <v/>
      </c>
      <c r="AA3070" s="0" t="str">
        <f aca="false">IF(AND(C3069=C3070,W3069=W3070-1),Y3069,"")</f>
        <v/>
      </c>
      <c r="AB3070" s="0" t="str">
        <f aca="false">IF(W3070=1,"",IF(AND(X3070=1,Z3070&lt;&gt;1),1,0))</f>
        <v/>
      </c>
      <c r="AC3070" s="0" t="str">
        <f aca="false">IF(W3070=1,"",IF(AND(Y3070=1,AA3070&lt;&gt;1),1,0))</f>
        <v/>
      </c>
      <c r="AD3070" s="33" t="str">
        <f aca="false">IF(AND(E3070&gt;0,W3070&lt;1,NOT(AND(C3071=C3070,W3071=W3070+1))),INDEX(DATAS,W3070+1),"")</f>
        <v/>
      </c>
      <c r="AE3070" s="33" t="str">
        <f aca="false">IF(AND(Y3070=1,W3070&lt;1),IF(AND(C3071=C3070,W3071=W3070+1),IF(Y3071=1,"",INDEX(DATAS,W3070+1)),INDEX(DATAS,W3070+1)),"")</f>
        <v/>
      </c>
    </row>
    <row r="3071" customFormat="false" ht="15" hidden="false" customHeight="false" outlineLevel="0" collapsed="false">
      <c r="A3071" s="33" t="n">
        <v>46309</v>
      </c>
      <c r="B3071" s="0" t="n">
        <v>13</v>
      </c>
      <c r="C3071" s="0" t="n">
        <v>7476</v>
      </c>
      <c r="E3071" s="0" t="n">
        <v>0</v>
      </c>
      <c r="F3071" s="27" t="s">
        <v>1475</v>
      </c>
      <c r="I3071" s="27" t="s">
        <v>166</v>
      </c>
      <c r="U3071" s="0" t="n">
        <v>225</v>
      </c>
      <c r="V3071" s="0" t="n">
        <v>0</v>
      </c>
      <c r="W3071" s="27" t="n">
        <f aca="false">MATCH(A3071,DATAS,0)</f>
        <v>1</v>
      </c>
      <c r="X3071" s="27" t="n">
        <f aca="false">IF(AND(E3071&gt;0,OR(AND(B3071&gt;=1,B3071&lt;=6),B3071=10)),1,0)</f>
        <v>0</v>
      </c>
      <c r="Y3071" s="27" t="n">
        <f aca="false">IF(AND(E3071&gt;0,B3071=10),1,0)</f>
        <v>0</v>
      </c>
      <c r="Z3071" s="0" t="str">
        <f aca="false">IF(AND(C3070=C3071,W3070=W3071-1),X3070,"")</f>
        <v/>
      </c>
      <c r="AA3071" s="0" t="str">
        <f aca="false">IF(AND(C3070=C3071,W3070=W3071-1),Y3070,"")</f>
        <v/>
      </c>
      <c r="AB3071" s="0" t="str">
        <f aca="false">IF(W3071=1,"",IF(AND(X3071=1,Z3071&lt;&gt;1),1,0))</f>
        <v/>
      </c>
      <c r="AC3071" s="0" t="str">
        <f aca="false">IF(W3071=1,"",IF(AND(Y3071=1,AA3071&lt;&gt;1),1,0))</f>
        <v/>
      </c>
      <c r="AD3071" s="33" t="str">
        <f aca="false">IF(AND(E3071&gt;0,W3071&lt;1,NOT(AND(C3072=C3071,W3072=W3071+1))),INDEX(DATAS,W3071+1),"")</f>
        <v/>
      </c>
      <c r="AE3071" s="33" t="str">
        <f aca="false">IF(AND(Y3071=1,W3071&lt;1),IF(AND(C3072=C3071,W3072=W3071+1),IF(Y3072=1,"",INDEX(DATAS,W3071+1)),INDEX(DATAS,W3071+1)),"")</f>
        <v/>
      </c>
    </row>
    <row r="3072" customFormat="false" ht="15" hidden="false" customHeight="false" outlineLevel="0" collapsed="false">
      <c r="A3072" s="33" t="n">
        <v>46309</v>
      </c>
      <c r="B3072" s="0" t="n">
        <v>13</v>
      </c>
      <c r="C3072" s="0" t="n">
        <v>7477</v>
      </c>
      <c r="E3072" s="0" t="n">
        <v>0</v>
      </c>
      <c r="F3072" s="27" t="s">
        <v>1476</v>
      </c>
      <c r="I3072" s="27" t="s">
        <v>166</v>
      </c>
      <c r="U3072" s="0" t="n">
        <v>224</v>
      </c>
      <c r="V3072" s="0" t="n">
        <v>0</v>
      </c>
      <c r="W3072" s="27" t="n">
        <f aca="false">MATCH(A3072,DATAS,0)</f>
        <v>1</v>
      </c>
      <c r="X3072" s="27" t="n">
        <f aca="false">IF(AND(E3072&gt;0,OR(AND(B3072&gt;=1,B3072&lt;=6),B3072=10)),1,0)</f>
        <v>0</v>
      </c>
      <c r="Y3072" s="27" t="n">
        <f aca="false">IF(AND(E3072&gt;0,B3072=10),1,0)</f>
        <v>0</v>
      </c>
      <c r="Z3072" s="0" t="str">
        <f aca="false">IF(AND(C3071=C3072,W3071=W3072-1),X3071,"")</f>
        <v/>
      </c>
      <c r="AA3072" s="0" t="str">
        <f aca="false">IF(AND(C3071=C3072,W3071=W3072-1),Y3071,"")</f>
        <v/>
      </c>
      <c r="AB3072" s="0" t="str">
        <f aca="false">IF(W3072=1,"",IF(AND(X3072=1,Z3072&lt;&gt;1),1,0))</f>
        <v/>
      </c>
      <c r="AC3072" s="0" t="str">
        <f aca="false">IF(W3072=1,"",IF(AND(Y3072=1,AA3072&lt;&gt;1),1,0))</f>
        <v/>
      </c>
      <c r="AD3072" s="33" t="str">
        <f aca="false">IF(AND(E3072&gt;0,W3072&lt;1,NOT(AND(C3073=C3072,W3073=W3072+1))),INDEX(DATAS,W3072+1),"")</f>
        <v/>
      </c>
      <c r="AE3072" s="33" t="str">
        <f aca="false">IF(AND(Y3072=1,W3072&lt;1),IF(AND(C3073=C3072,W3073=W3072+1),IF(Y3073=1,"",INDEX(DATAS,W3072+1)),INDEX(DATAS,W3072+1)),"")</f>
        <v/>
      </c>
    </row>
    <row r="3073" customFormat="false" ht="15" hidden="false" customHeight="false" outlineLevel="0" collapsed="false">
      <c r="A3073" s="33" t="n">
        <v>46309</v>
      </c>
      <c r="B3073" s="0" t="n">
        <v>13</v>
      </c>
      <c r="C3073" s="0" t="n">
        <v>7478</v>
      </c>
      <c r="E3073" s="0" t="n">
        <v>0</v>
      </c>
      <c r="F3073" s="27" t="s">
        <v>1476</v>
      </c>
      <c r="I3073" s="27" t="s">
        <v>166</v>
      </c>
      <c r="U3073" s="0" t="n">
        <v>224</v>
      </c>
      <c r="V3073" s="0" t="n">
        <v>0</v>
      </c>
      <c r="W3073" s="27" t="n">
        <f aca="false">MATCH(A3073,DATAS,0)</f>
        <v>1</v>
      </c>
      <c r="X3073" s="27" t="n">
        <f aca="false">IF(AND(E3073&gt;0,OR(AND(B3073&gt;=1,B3073&lt;=6),B3073=10)),1,0)</f>
        <v>0</v>
      </c>
      <c r="Y3073" s="27" t="n">
        <f aca="false">IF(AND(E3073&gt;0,B3073=10),1,0)</f>
        <v>0</v>
      </c>
      <c r="Z3073" s="0" t="str">
        <f aca="false">IF(AND(C3072=C3073,W3072=W3073-1),X3072,"")</f>
        <v/>
      </c>
      <c r="AA3073" s="0" t="str">
        <f aca="false">IF(AND(C3072=C3073,W3072=W3073-1),Y3072,"")</f>
        <v/>
      </c>
      <c r="AB3073" s="0" t="str">
        <f aca="false">IF(W3073=1,"",IF(AND(X3073=1,Z3073&lt;&gt;1),1,0))</f>
        <v/>
      </c>
      <c r="AC3073" s="0" t="str">
        <f aca="false">IF(W3073=1,"",IF(AND(Y3073=1,AA3073&lt;&gt;1),1,0))</f>
        <v/>
      </c>
      <c r="AD3073" s="33" t="str">
        <f aca="false">IF(AND(E3073&gt;0,W3073&lt;1,NOT(AND(C3074=C3073,W3074=W3073+1))),INDEX(DATAS,W3073+1),"")</f>
        <v/>
      </c>
      <c r="AE3073" s="33" t="str">
        <f aca="false">IF(AND(Y3073=1,W3073&lt;1),IF(AND(C3074=C3073,W3074=W3073+1),IF(Y3074=1,"",INDEX(DATAS,W3073+1)),INDEX(DATAS,W3073+1)),"")</f>
        <v/>
      </c>
    </row>
    <row r="3074" customFormat="false" ht="15" hidden="false" customHeight="false" outlineLevel="0" collapsed="false">
      <c r="A3074" s="33" t="n">
        <v>46309</v>
      </c>
      <c r="B3074" s="0" t="n">
        <v>13</v>
      </c>
      <c r="C3074" s="0" t="n">
        <v>7479</v>
      </c>
      <c r="E3074" s="0" t="n">
        <v>0</v>
      </c>
      <c r="F3074" s="27" t="s">
        <v>1477</v>
      </c>
      <c r="I3074" s="27" t="s">
        <v>166</v>
      </c>
      <c r="U3074" s="0" t="n">
        <v>223</v>
      </c>
      <c r="V3074" s="0" t="n">
        <v>0</v>
      </c>
      <c r="W3074" s="27" t="n">
        <f aca="false">MATCH(A3074,DATAS,0)</f>
        <v>1</v>
      </c>
      <c r="X3074" s="27" t="n">
        <f aca="false">IF(AND(E3074&gt;0,OR(AND(B3074&gt;=1,B3074&lt;=6),B3074=10)),1,0)</f>
        <v>0</v>
      </c>
      <c r="Y3074" s="27" t="n">
        <f aca="false">IF(AND(E3074&gt;0,B3074=10),1,0)</f>
        <v>0</v>
      </c>
      <c r="Z3074" s="0" t="str">
        <f aca="false">IF(AND(C3073=C3074,W3073=W3074-1),X3073,"")</f>
        <v/>
      </c>
      <c r="AA3074" s="0" t="str">
        <f aca="false">IF(AND(C3073=C3074,W3073=W3074-1),Y3073,"")</f>
        <v/>
      </c>
      <c r="AB3074" s="0" t="str">
        <f aca="false">IF(W3074=1,"",IF(AND(X3074=1,Z3074&lt;&gt;1),1,0))</f>
        <v/>
      </c>
      <c r="AC3074" s="0" t="str">
        <f aca="false">IF(W3074=1,"",IF(AND(Y3074=1,AA3074&lt;&gt;1),1,0))</f>
        <v/>
      </c>
      <c r="AD3074" s="33" t="str">
        <f aca="false">IF(AND(E3074&gt;0,W3074&lt;1,NOT(AND(C3075=C3074,W3075=W3074+1))),INDEX(DATAS,W3074+1),"")</f>
        <v/>
      </c>
      <c r="AE3074" s="33" t="str">
        <f aca="false">IF(AND(Y3074=1,W3074&lt;1),IF(AND(C3075=C3074,W3075=W3074+1),IF(Y3075=1,"",INDEX(DATAS,W3074+1)),INDEX(DATAS,W3074+1)),"")</f>
        <v/>
      </c>
    </row>
    <row r="3075" customFormat="false" ht="15" hidden="false" customHeight="false" outlineLevel="0" collapsed="false">
      <c r="A3075" s="33" t="n">
        <v>46309</v>
      </c>
      <c r="B3075" s="0" t="n">
        <v>13</v>
      </c>
      <c r="C3075" s="0" t="n">
        <v>7480</v>
      </c>
      <c r="E3075" s="0" t="n">
        <v>0</v>
      </c>
      <c r="F3075" s="27" t="s">
        <v>1478</v>
      </c>
      <c r="I3075" s="27" t="s">
        <v>166</v>
      </c>
      <c r="U3075" s="0" t="n">
        <v>222</v>
      </c>
      <c r="V3075" s="0" t="n">
        <v>0</v>
      </c>
      <c r="W3075" s="27" t="n">
        <f aca="false">MATCH(A3075,DATAS,0)</f>
        <v>1</v>
      </c>
      <c r="X3075" s="27" t="n">
        <f aca="false">IF(AND(E3075&gt;0,OR(AND(B3075&gt;=1,B3075&lt;=6),B3075=10)),1,0)</f>
        <v>0</v>
      </c>
      <c r="Y3075" s="27" t="n">
        <f aca="false">IF(AND(E3075&gt;0,B3075=10),1,0)</f>
        <v>0</v>
      </c>
      <c r="Z3075" s="0" t="str">
        <f aca="false">IF(AND(C3074=C3075,W3074=W3075-1),X3074,"")</f>
        <v/>
      </c>
      <c r="AA3075" s="0" t="str">
        <f aca="false">IF(AND(C3074=C3075,W3074=W3075-1),Y3074,"")</f>
        <v/>
      </c>
      <c r="AB3075" s="0" t="str">
        <f aca="false">IF(W3075=1,"",IF(AND(X3075=1,Z3075&lt;&gt;1),1,0))</f>
        <v/>
      </c>
      <c r="AC3075" s="0" t="str">
        <f aca="false">IF(W3075=1,"",IF(AND(Y3075=1,AA3075&lt;&gt;1),1,0))</f>
        <v/>
      </c>
      <c r="AD3075" s="33" t="str">
        <f aca="false">IF(AND(E3075&gt;0,W3075&lt;1,NOT(AND(C3076=C3075,W3076=W3075+1))),INDEX(DATAS,W3075+1),"")</f>
        <v/>
      </c>
      <c r="AE3075" s="33" t="str">
        <f aca="false">IF(AND(Y3075=1,W3075&lt;1),IF(AND(C3076=C3075,W3076=W3075+1),IF(Y3076=1,"",INDEX(DATAS,W3075+1)),INDEX(DATAS,W3075+1)),"")</f>
        <v/>
      </c>
    </row>
    <row r="3076" customFormat="false" ht="15" hidden="false" customHeight="false" outlineLevel="0" collapsed="false">
      <c r="A3076" s="33" t="n">
        <v>46309</v>
      </c>
      <c r="B3076" s="0" t="n">
        <v>13</v>
      </c>
      <c r="C3076" s="0" t="n">
        <v>7481</v>
      </c>
      <c r="E3076" s="0" t="n">
        <v>0</v>
      </c>
      <c r="F3076" s="27" t="s">
        <v>1478</v>
      </c>
      <c r="I3076" s="27" t="s">
        <v>166</v>
      </c>
      <c r="U3076" s="0" t="n">
        <v>222</v>
      </c>
      <c r="V3076" s="0" t="n">
        <v>0</v>
      </c>
      <c r="W3076" s="27" t="n">
        <f aca="false">MATCH(A3076,DATAS,0)</f>
        <v>1</v>
      </c>
      <c r="X3076" s="27" t="n">
        <f aca="false">IF(AND(E3076&gt;0,OR(AND(B3076&gt;=1,B3076&lt;=6),B3076=10)),1,0)</f>
        <v>0</v>
      </c>
      <c r="Y3076" s="27" t="n">
        <f aca="false">IF(AND(E3076&gt;0,B3076=10),1,0)</f>
        <v>0</v>
      </c>
      <c r="Z3076" s="0" t="str">
        <f aca="false">IF(AND(C3075=C3076,W3075=W3076-1),X3075,"")</f>
        <v/>
      </c>
      <c r="AA3076" s="0" t="str">
        <f aca="false">IF(AND(C3075=C3076,W3075=W3076-1),Y3075,"")</f>
        <v/>
      </c>
      <c r="AB3076" s="0" t="str">
        <f aca="false">IF(W3076=1,"",IF(AND(X3076=1,Z3076&lt;&gt;1),1,0))</f>
        <v/>
      </c>
      <c r="AC3076" s="0" t="str">
        <f aca="false">IF(W3076=1,"",IF(AND(Y3076=1,AA3076&lt;&gt;1),1,0))</f>
        <v/>
      </c>
      <c r="AD3076" s="33" t="str">
        <f aca="false">IF(AND(E3076&gt;0,W3076&lt;1,NOT(AND(C3077=C3076,W3077=W3076+1))),INDEX(DATAS,W3076+1),"")</f>
        <v/>
      </c>
      <c r="AE3076" s="33" t="str">
        <f aca="false">IF(AND(Y3076=1,W3076&lt;1),IF(AND(C3077=C3076,W3077=W3076+1),IF(Y3077=1,"",INDEX(DATAS,W3076+1)),INDEX(DATAS,W3076+1)),"")</f>
        <v/>
      </c>
    </row>
    <row r="3077" customFormat="false" ht="15" hidden="false" customHeight="false" outlineLevel="0" collapsed="false">
      <c r="A3077" s="33" t="n">
        <v>46309</v>
      </c>
      <c r="B3077" s="0" t="n">
        <v>13</v>
      </c>
      <c r="C3077" s="0" t="n">
        <v>7482</v>
      </c>
      <c r="E3077" s="0" t="n">
        <v>0</v>
      </c>
      <c r="F3077" s="27" t="s">
        <v>1478</v>
      </c>
      <c r="I3077" s="27" t="s">
        <v>166</v>
      </c>
      <c r="U3077" s="0" t="n">
        <v>222</v>
      </c>
      <c r="V3077" s="0" t="n">
        <v>0</v>
      </c>
      <c r="W3077" s="27" t="n">
        <f aca="false">MATCH(A3077,DATAS,0)</f>
        <v>1</v>
      </c>
      <c r="X3077" s="27" t="n">
        <f aca="false">IF(AND(E3077&gt;0,OR(AND(B3077&gt;=1,B3077&lt;=6),B3077=10)),1,0)</f>
        <v>0</v>
      </c>
      <c r="Y3077" s="27" t="n">
        <f aca="false">IF(AND(E3077&gt;0,B3077=10),1,0)</f>
        <v>0</v>
      </c>
      <c r="Z3077" s="0" t="str">
        <f aca="false">IF(AND(C3076=C3077,W3076=W3077-1),X3076,"")</f>
        <v/>
      </c>
      <c r="AA3077" s="0" t="str">
        <f aca="false">IF(AND(C3076=C3077,W3076=W3077-1),Y3076,"")</f>
        <v/>
      </c>
      <c r="AB3077" s="0" t="str">
        <f aca="false">IF(W3077=1,"",IF(AND(X3077=1,Z3077&lt;&gt;1),1,0))</f>
        <v/>
      </c>
      <c r="AC3077" s="0" t="str">
        <f aca="false">IF(W3077=1,"",IF(AND(Y3077=1,AA3077&lt;&gt;1),1,0))</f>
        <v/>
      </c>
      <c r="AD3077" s="33" t="str">
        <f aca="false">IF(AND(E3077&gt;0,W3077&lt;1,NOT(AND(C3078=C3077,W3078=W3077+1))),INDEX(DATAS,W3077+1),"")</f>
        <v/>
      </c>
      <c r="AE3077" s="33" t="str">
        <f aca="false">IF(AND(Y3077=1,W3077&lt;1),IF(AND(C3078=C3077,W3078=W3077+1),IF(Y3078=1,"",INDEX(DATAS,W3077+1)),INDEX(DATAS,W3077+1)),"")</f>
        <v/>
      </c>
    </row>
    <row r="3078" customFormat="false" ht="15" hidden="false" customHeight="false" outlineLevel="0" collapsed="false">
      <c r="A3078" s="33" t="n">
        <v>46309</v>
      </c>
      <c r="B3078" s="0" t="n">
        <v>13</v>
      </c>
      <c r="C3078" s="0" t="n">
        <v>7483</v>
      </c>
      <c r="E3078" s="0" t="n">
        <v>0</v>
      </c>
      <c r="F3078" s="27" t="s">
        <v>1478</v>
      </c>
      <c r="I3078" s="27" t="s">
        <v>166</v>
      </c>
      <c r="U3078" s="0" t="n">
        <v>222</v>
      </c>
      <c r="V3078" s="0" t="n">
        <v>0</v>
      </c>
      <c r="W3078" s="27" t="n">
        <f aca="false">MATCH(A3078,DATAS,0)</f>
        <v>1</v>
      </c>
      <c r="X3078" s="27" t="n">
        <f aca="false">IF(AND(E3078&gt;0,OR(AND(B3078&gt;=1,B3078&lt;=6),B3078=10)),1,0)</f>
        <v>0</v>
      </c>
      <c r="Y3078" s="27" t="n">
        <f aca="false">IF(AND(E3078&gt;0,B3078=10),1,0)</f>
        <v>0</v>
      </c>
      <c r="Z3078" s="0" t="str">
        <f aca="false">IF(AND(C3077=C3078,W3077=W3078-1),X3077,"")</f>
        <v/>
      </c>
      <c r="AA3078" s="0" t="str">
        <f aca="false">IF(AND(C3077=C3078,W3077=W3078-1),Y3077,"")</f>
        <v/>
      </c>
      <c r="AB3078" s="0" t="str">
        <f aca="false">IF(W3078=1,"",IF(AND(X3078=1,Z3078&lt;&gt;1),1,0))</f>
        <v/>
      </c>
      <c r="AC3078" s="0" t="str">
        <f aca="false">IF(W3078=1,"",IF(AND(Y3078=1,AA3078&lt;&gt;1),1,0))</f>
        <v/>
      </c>
      <c r="AD3078" s="33" t="str">
        <f aca="false">IF(AND(E3078&gt;0,W3078&lt;1,NOT(AND(C3079=C3078,W3079=W3078+1))),INDEX(DATAS,W3078+1),"")</f>
        <v/>
      </c>
      <c r="AE3078" s="33" t="str">
        <f aca="false">IF(AND(Y3078=1,W3078&lt;1),IF(AND(C3079=C3078,W3079=W3078+1),IF(Y3079=1,"",INDEX(DATAS,W3078+1)),INDEX(DATAS,W3078+1)),"")</f>
        <v/>
      </c>
    </row>
    <row r="3079" customFormat="false" ht="15" hidden="false" customHeight="false" outlineLevel="0" collapsed="false">
      <c r="A3079" s="33" t="n">
        <v>46309</v>
      </c>
      <c r="B3079" s="0" t="n">
        <v>13</v>
      </c>
      <c r="C3079" s="0" t="n">
        <v>7484</v>
      </c>
      <c r="E3079" s="0" t="n">
        <v>0</v>
      </c>
      <c r="F3079" s="27" t="s">
        <v>1479</v>
      </c>
      <c r="I3079" s="27" t="s">
        <v>166</v>
      </c>
      <c r="U3079" s="0" t="n">
        <v>221</v>
      </c>
      <c r="V3079" s="0" t="n">
        <v>0</v>
      </c>
      <c r="W3079" s="27" t="n">
        <f aca="false">MATCH(A3079,DATAS,0)</f>
        <v>1</v>
      </c>
      <c r="X3079" s="27" t="n">
        <f aca="false">IF(AND(E3079&gt;0,OR(AND(B3079&gt;=1,B3079&lt;=6),B3079=10)),1,0)</f>
        <v>0</v>
      </c>
      <c r="Y3079" s="27" t="n">
        <f aca="false">IF(AND(E3079&gt;0,B3079=10),1,0)</f>
        <v>0</v>
      </c>
      <c r="Z3079" s="0" t="str">
        <f aca="false">IF(AND(C3078=C3079,W3078=W3079-1),X3078,"")</f>
        <v/>
      </c>
      <c r="AA3079" s="0" t="str">
        <f aca="false">IF(AND(C3078=C3079,W3078=W3079-1),Y3078,"")</f>
        <v/>
      </c>
      <c r="AB3079" s="0" t="str">
        <f aca="false">IF(W3079=1,"",IF(AND(X3079=1,Z3079&lt;&gt;1),1,0))</f>
        <v/>
      </c>
      <c r="AC3079" s="0" t="str">
        <f aca="false">IF(W3079=1,"",IF(AND(Y3079=1,AA3079&lt;&gt;1),1,0))</f>
        <v/>
      </c>
      <c r="AD3079" s="33" t="str">
        <f aca="false">IF(AND(E3079&gt;0,W3079&lt;1,NOT(AND(C3080=C3079,W3080=W3079+1))),INDEX(DATAS,W3079+1),"")</f>
        <v/>
      </c>
      <c r="AE3079" s="33" t="str">
        <f aca="false">IF(AND(Y3079=1,W3079&lt;1),IF(AND(C3080=C3079,W3080=W3079+1),IF(Y3080=1,"",INDEX(DATAS,W3079+1)),INDEX(DATAS,W3079+1)),"")</f>
        <v/>
      </c>
    </row>
    <row r="3080" customFormat="false" ht="15" hidden="false" customHeight="false" outlineLevel="0" collapsed="false">
      <c r="A3080" s="33" t="n">
        <v>46309</v>
      </c>
      <c r="B3080" s="0" t="n">
        <v>13</v>
      </c>
      <c r="C3080" s="0" t="n">
        <v>7485</v>
      </c>
      <c r="E3080" s="0" t="n">
        <v>0</v>
      </c>
      <c r="F3080" s="27" t="s">
        <v>1479</v>
      </c>
      <c r="I3080" s="27" t="s">
        <v>166</v>
      </c>
      <c r="U3080" s="0" t="n">
        <v>221</v>
      </c>
      <c r="V3080" s="0" t="n">
        <v>0</v>
      </c>
      <c r="W3080" s="27" t="n">
        <f aca="false">MATCH(A3080,DATAS,0)</f>
        <v>1</v>
      </c>
      <c r="X3080" s="27" t="n">
        <f aca="false">IF(AND(E3080&gt;0,OR(AND(B3080&gt;=1,B3080&lt;=6),B3080=10)),1,0)</f>
        <v>0</v>
      </c>
      <c r="Y3080" s="27" t="n">
        <f aca="false">IF(AND(E3080&gt;0,B3080=10),1,0)</f>
        <v>0</v>
      </c>
      <c r="Z3080" s="0" t="str">
        <f aca="false">IF(AND(C3079=C3080,W3079=W3080-1),X3079,"")</f>
        <v/>
      </c>
      <c r="AA3080" s="0" t="str">
        <f aca="false">IF(AND(C3079=C3080,W3079=W3080-1),Y3079,"")</f>
        <v/>
      </c>
      <c r="AB3080" s="0" t="str">
        <f aca="false">IF(W3080=1,"",IF(AND(X3080=1,Z3080&lt;&gt;1),1,0))</f>
        <v/>
      </c>
      <c r="AC3080" s="0" t="str">
        <f aca="false">IF(W3080=1,"",IF(AND(Y3080=1,AA3080&lt;&gt;1),1,0))</f>
        <v/>
      </c>
      <c r="AD3080" s="33" t="str">
        <f aca="false">IF(AND(E3080&gt;0,W3080&lt;1,NOT(AND(C3081=C3080,W3081=W3080+1))),INDEX(DATAS,W3080+1),"")</f>
        <v/>
      </c>
      <c r="AE3080" s="33" t="str">
        <f aca="false">IF(AND(Y3080=1,W3080&lt;1),IF(AND(C3081=C3080,W3081=W3080+1),IF(Y3081=1,"",INDEX(DATAS,W3080+1)),INDEX(DATAS,W3080+1)),"")</f>
        <v/>
      </c>
    </row>
    <row r="3081" customFormat="false" ht="15" hidden="false" customHeight="false" outlineLevel="0" collapsed="false">
      <c r="A3081" s="33" t="n">
        <v>46309</v>
      </c>
      <c r="B3081" s="0" t="n">
        <v>13</v>
      </c>
      <c r="C3081" s="0" t="n">
        <v>7487</v>
      </c>
      <c r="E3081" s="0" t="n">
        <v>0</v>
      </c>
      <c r="F3081" s="27" t="s">
        <v>1479</v>
      </c>
      <c r="I3081" s="27" t="s">
        <v>166</v>
      </c>
      <c r="U3081" s="0" t="n">
        <v>221</v>
      </c>
      <c r="V3081" s="0" t="n">
        <v>0</v>
      </c>
      <c r="W3081" s="27" t="n">
        <f aca="false">MATCH(A3081,DATAS,0)</f>
        <v>1</v>
      </c>
      <c r="X3081" s="27" t="n">
        <f aca="false">IF(AND(E3081&gt;0,OR(AND(B3081&gt;=1,B3081&lt;=6),B3081=10)),1,0)</f>
        <v>0</v>
      </c>
      <c r="Y3081" s="27" t="n">
        <f aca="false">IF(AND(E3081&gt;0,B3081=10),1,0)</f>
        <v>0</v>
      </c>
      <c r="Z3081" s="0" t="str">
        <f aca="false">IF(AND(C3080=C3081,W3080=W3081-1),X3080,"")</f>
        <v/>
      </c>
      <c r="AA3081" s="0" t="str">
        <f aca="false">IF(AND(C3080=C3081,W3080=W3081-1),Y3080,"")</f>
        <v/>
      </c>
      <c r="AB3081" s="0" t="str">
        <f aca="false">IF(W3081=1,"",IF(AND(X3081=1,Z3081&lt;&gt;1),1,0))</f>
        <v/>
      </c>
      <c r="AC3081" s="0" t="str">
        <f aca="false">IF(W3081=1,"",IF(AND(Y3081=1,AA3081&lt;&gt;1),1,0))</f>
        <v/>
      </c>
      <c r="AD3081" s="33" t="str">
        <f aca="false">IF(AND(E3081&gt;0,W3081&lt;1,NOT(AND(C3082=C3081,W3082=W3081+1))),INDEX(DATAS,W3081+1),"")</f>
        <v/>
      </c>
      <c r="AE3081" s="33" t="str">
        <f aca="false">IF(AND(Y3081=1,W3081&lt;1),IF(AND(C3082=C3081,W3082=W3081+1),IF(Y3082=1,"",INDEX(DATAS,W3081+1)),INDEX(DATAS,W3081+1)),"")</f>
        <v/>
      </c>
    </row>
    <row r="3082" customFormat="false" ht="15" hidden="false" customHeight="false" outlineLevel="0" collapsed="false">
      <c r="A3082" s="33" t="n">
        <v>46309</v>
      </c>
      <c r="B3082" s="0" t="n">
        <v>13</v>
      </c>
      <c r="C3082" s="0" t="n">
        <v>7488</v>
      </c>
      <c r="E3082" s="0" t="n">
        <v>0</v>
      </c>
      <c r="F3082" s="27" t="s">
        <v>165</v>
      </c>
      <c r="I3082" s="27" t="s">
        <v>166</v>
      </c>
      <c r="U3082" s="0" t="n">
        <v>220</v>
      </c>
      <c r="V3082" s="0" t="n">
        <v>0</v>
      </c>
      <c r="W3082" s="27" t="n">
        <f aca="false">MATCH(A3082,DATAS,0)</f>
        <v>1</v>
      </c>
      <c r="X3082" s="27" t="n">
        <f aca="false">IF(AND(E3082&gt;0,OR(AND(B3082&gt;=1,B3082&lt;=6),B3082=10)),1,0)</f>
        <v>0</v>
      </c>
      <c r="Y3082" s="27" t="n">
        <f aca="false">IF(AND(E3082&gt;0,B3082=10),1,0)</f>
        <v>0</v>
      </c>
      <c r="Z3082" s="0" t="str">
        <f aca="false">IF(AND(C3081=C3082,W3081=W3082-1),X3081,"")</f>
        <v/>
      </c>
      <c r="AA3082" s="0" t="str">
        <f aca="false">IF(AND(C3081=C3082,W3081=W3082-1),Y3081,"")</f>
        <v/>
      </c>
      <c r="AB3082" s="0" t="str">
        <f aca="false">IF(W3082=1,"",IF(AND(X3082=1,Z3082&lt;&gt;1),1,0))</f>
        <v/>
      </c>
      <c r="AC3082" s="0" t="str">
        <f aca="false">IF(W3082=1,"",IF(AND(Y3082=1,AA3082&lt;&gt;1),1,0))</f>
        <v/>
      </c>
      <c r="AD3082" s="33" t="str">
        <f aca="false">IF(AND(E3082&gt;0,W3082&lt;1,NOT(AND(C3083=C3082,W3083=W3082+1))),INDEX(DATAS,W3082+1),"")</f>
        <v/>
      </c>
      <c r="AE3082" s="33" t="str">
        <f aca="false">IF(AND(Y3082=1,W3082&lt;1),IF(AND(C3083=C3082,W3083=W3082+1),IF(Y3083=1,"",INDEX(DATAS,W3082+1)),INDEX(DATAS,W3082+1)),"")</f>
        <v/>
      </c>
    </row>
    <row r="3083" customFormat="false" ht="15" hidden="false" customHeight="false" outlineLevel="0" collapsed="false">
      <c r="A3083" s="33" t="n">
        <v>46309</v>
      </c>
      <c r="B3083" s="0" t="n">
        <v>13</v>
      </c>
      <c r="C3083" s="0" t="n">
        <v>7489</v>
      </c>
      <c r="E3083" s="0" t="n">
        <v>0</v>
      </c>
      <c r="F3083" s="27" t="s">
        <v>165</v>
      </c>
      <c r="I3083" s="27" t="s">
        <v>166</v>
      </c>
      <c r="U3083" s="0" t="n">
        <v>220</v>
      </c>
      <c r="V3083" s="0" t="n">
        <v>0</v>
      </c>
      <c r="W3083" s="27" t="n">
        <f aca="false">MATCH(A3083,DATAS,0)</f>
        <v>1</v>
      </c>
      <c r="X3083" s="27" t="n">
        <f aca="false">IF(AND(E3083&gt;0,OR(AND(B3083&gt;=1,B3083&lt;=6),B3083=10)),1,0)</f>
        <v>0</v>
      </c>
      <c r="Y3083" s="27" t="n">
        <f aca="false">IF(AND(E3083&gt;0,B3083=10),1,0)</f>
        <v>0</v>
      </c>
      <c r="Z3083" s="0" t="str">
        <f aca="false">IF(AND(C3082=C3083,W3082=W3083-1),X3082,"")</f>
        <v/>
      </c>
      <c r="AA3083" s="0" t="str">
        <f aca="false">IF(AND(C3082=C3083,W3082=W3083-1),Y3082,"")</f>
        <v/>
      </c>
      <c r="AB3083" s="0" t="str">
        <f aca="false">IF(W3083=1,"",IF(AND(X3083=1,Z3083&lt;&gt;1),1,0))</f>
        <v/>
      </c>
      <c r="AC3083" s="0" t="str">
        <f aca="false">IF(W3083=1,"",IF(AND(Y3083=1,AA3083&lt;&gt;1),1,0))</f>
        <v/>
      </c>
      <c r="AD3083" s="33" t="str">
        <f aca="false">IF(AND(E3083&gt;0,W3083&lt;1,NOT(AND(C3084=C3083,W3084=W3083+1))),INDEX(DATAS,W3083+1),"")</f>
        <v/>
      </c>
      <c r="AE3083" s="33" t="str">
        <f aca="false">IF(AND(Y3083=1,W3083&lt;1),IF(AND(C3084=C3083,W3084=W3083+1),IF(Y3084=1,"",INDEX(DATAS,W3083+1)),INDEX(DATAS,W3083+1)),"")</f>
        <v/>
      </c>
    </row>
    <row r="3084" customFormat="false" ht="15" hidden="false" customHeight="false" outlineLevel="0" collapsed="false">
      <c r="A3084" s="33" t="n">
        <v>46309</v>
      </c>
      <c r="B3084" s="0" t="n">
        <v>13</v>
      </c>
      <c r="C3084" s="0" t="n">
        <v>7490</v>
      </c>
      <c r="E3084" s="0" t="n">
        <v>0</v>
      </c>
      <c r="F3084" s="27" t="s">
        <v>165</v>
      </c>
      <c r="I3084" s="27" t="s">
        <v>166</v>
      </c>
      <c r="U3084" s="0" t="n">
        <v>220</v>
      </c>
      <c r="V3084" s="0" t="n">
        <v>0</v>
      </c>
      <c r="W3084" s="27" t="n">
        <f aca="false">MATCH(A3084,DATAS,0)</f>
        <v>1</v>
      </c>
      <c r="X3084" s="27" t="n">
        <f aca="false">IF(AND(E3084&gt;0,OR(AND(B3084&gt;=1,B3084&lt;=6),B3084=10)),1,0)</f>
        <v>0</v>
      </c>
      <c r="Y3084" s="27" t="n">
        <f aca="false">IF(AND(E3084&gt;0,B3084=10),1,0)</f>
        <v>0</v>
      </c>
      <c r="Z3084" s="0" t="str">
        <f aca="false">IF(AND(C3083=C3084,W3083=W3084-1),X3083,"")</f>
        <v/>
      </c>
      <c r="AA3084" s="0" t="str">
        <f aca="false">IF(AND(C3083=C3084,W3083=W3084-1),Y3083,"")</f>
        <v/>
      </c>
      <c r="AB3084" s="0" t="str">
        <f aca="false">IF(W3084=1,"",IF(AND(X3084=1,Z3084&lt;&gt;1),1,0))</f>
        <v/>
      </c>
      <c r="AC3084" s="0" t="str">
        <f aca="false">IF(W3084=1,"",IF(AND(Y3084=1,AA3084&lt;&gt;1),1,0))</f>
        <v/>
      </c>
      <c r="AD3084" s="33" t="str">
        <f aca="false">IF(AND(E3084&gt;0,W3084&lt;1,NOT(AND(C3085=C3084,W3085=W3084+1))),INDEX(DATAS,W3084+1),"")</f>
        <v/>
      </c>
      <c r="AE3084" s="33" t="str">
        <f aca="false">IF(AND(Y3084=1,W3084&lt;1),IF(AND(C3085=C3084,W3085=W3084+1),IF(Y3085=1,"",INDEX(DATAS,W3084+1)),INDEX(DATAS,W3084+1)),"")</f>
        <v/>
      </c>
    </row>
    <row r="3085" customFormat="false" ht="15" hidden="false" customHeight="false" outlineLevel="0" collapsed="false">
      <c r="A3085" s="33" t="n">
        <v>46309</v>
      </c>
      <c r="B3085" s="0" t="n">
        <v>13</v>
      </c>
      <c r="C3085" s="0" t="n">
        <v>7491</v>
      </c>
      <c r="E3085" s="0" t="n">
        <v>0</v>
      </c>
      <c r="F3085" s="27" t="s">
        <v>1480</v>
      </c>
      <c r="I3085" s="27" t="s">
        <v>166</v>
      </c>
      <c r="U3085" s="0" t="n">
        <v>217</v>
      </c>
      <c r="V3085" s="0" t="n">
        <v>0</v>
      </c>
      <c r="W3085" s="27" t="n">
        <f aca="false">MATCH(A3085,DATAS,0)</f>
        <v>1</v>
      </c>
      <c r="X3085" s="27" t="n">
        <f aca="false">IF(AND(E3085&gt;0,OR(AND(B3085&gt;=1,B3085&lt;=6),B3085=10)),1,0)</f>
        <v>0</v>
      </c>
      <c r="Y3085" s="27" t="n">
        <f aca="false">IF(AND(E3085&gt;0,B3085=10),1,0)</f>
        <v>0</v>
      </c>
      <c r="Z3085" s="0" t="str">
        <f aca="false">IF(AND(C3084=C3085,W3084=W3085-1),X3084,"")</f>
        <v/>
      </c>
      <c r="AA3085" s="0" t="str">
        <f aca="false">IF(AND(C3084=C3085,W3084=W3085-1),Y3084,"")</f>
        <v/>
      </c>
      <c r="AB3085" s="0" t="str">
        <f aca="false">IF(W3085=1,"",IF(AND(X3085=1,Z3085&lt;&gt;1),1,0))</f>
        <v/>
      </c>
      <c r="AC3085" s="0" t="str">
        <f aca="false">IF(W3085=1,"",IF(AND(Y3085=1,AA3085&lt;&gt;1),1,0))</f>
        <v/>
      </c>
      <c r="AD3085" s="33" t="str">
        <f aca="false">IF(AND(E3085&gt;0,W3085&lt;1,NOT(AND(C3086=C3085,W3086=W3085+1))),INDEX(DATAS,W3085+1),"")</f>
        <v/>
      </c>
      <c r="AE3085" s="33" t="str">
        <f aca="false">IF(AND(Y3085=1,W3085&lt;1),IF(AND(C3086=C3085,W3086=W3085+1),IF(Y3086=1,"",INDEX(DATAS,W3085+1)),INDEX(DATAS,W3085+1)),"")</f>
        <v/>
      </c>
    </row>
    <row r="3086" customFormat="false" ht="15" hidden="false" customHeight="false" outlineLevel="0" collapsed="false">
      <c r="A3086" s="33" t="n">
        <v>46309</v>
      </c>
      <c r="B3086" s="0" t="n">
        <v>13</v>
      </c>
      <c r="C3086" s="0" t="n">
        <v>7492</v>
      </c>
      <c r="E3086" s="0" t="n">
        <v>0</v>
      </c>
      <c r="F3086" s="27" t="s">
        <v>1481</v>
      </c>
      <c r="I3086" s="27" t="s">
        <v>166</v>
      </c>
      <c r="U3086" s="0" t="n">
        <v>218</v>
      </c>
      <c r="V3086" s="0" t="n">
        <v>0</v>
      </c>
      <c r="W3086" s="27" t="n">
        <f aca="false">MATCH(A3086,DATAS,0)</f>
        <v>1</v>
      </c>
      <c r="X3086" s="27" t="n">
        <f aca="false">IF(AND(E3086&gt;0,OR(AND(B3086&gt;=1,B3086&lt;=6),B3086=10)),1,0)</f>
        <v>0</v>
      </c>
      <c r="Y3086" s="27" t="n">
        <f aca="false">IF(AND(E3086&gt;0,B3086=10),1,0)</f>
        <v>0</v>
      </c>
      <c r="Z3086" s="0" t="str">
        <f aca="false">IF(AND(C3085=C3086,W3085=W3086-1),X3085,"")</f>
        <v/>
      </c>
      <c r="AA3086" s="0" t="str">
        <f aca="false">IF(AND(C3085=C3086,W3085=W3086-1),Y3085,"")</f>
        <v/>
      </c>
      <c r="AB3086" s="0" t="str">
        <f aca="false">IF(W3086=1,"",IF(AND(X3086=1,Z3086&lt;&gt;1),1,0))</f>
        <v/>
      </c>
      <c r="AC3086" s="0" t="str">
        <f aca="false">IF(W3086=1,"",IF(AND(Y3086=1,AA3086&lt;&gt;1),1,0))</f>
        <v/>
      </c>
      <c r="AD3086" s="33" t="str">
        <f aca="false">IF(AND(E3086&gt;0,W3086&lt;1,NOT(AND(C3087=C3086,W3087=W3086+1))),INDEX(DATAS,W3086+1),"")</f>
        <v/>
      </c>
      <c r="AE3086" s="33" t="str">
        <f aca="false">IF(AND(Y3086=1,W3086&lt;1),IF(AND(C3087=C3086,W3087=W3086+1),IF(Y3087=1,"",INDEX(DATAS,W3086+1)),INDEX(DATAS,W3086+1)),"")</f>
        <v/>
      </c>
    </row>
    <row r="3087" customFormat="false" ht="15" hidden="false" customHeight="false" outlineLevel="0" collapsed="false">
      <c r="A3087" s="33" t="n">
        <v>46309</v>
      </c>
      <c r="B3087" s="0" t="n">
        <v>13</v>
      </c>
      <c r="C3087" s="0" t="n">
        <v>7493</v>
      </c>
      <c r="E3087" s="0" t="n">
        <v>0</v>
      </c>
      <c r="F3087" s="27" t="s">
        <v>1481</v>
      </c>
      <c r="I3087" s="27" t="s">
        <v>166</v>
      </c>
      <c r="U3087" s="0" t="n">
        <v>218</v>
      </c>
      <c r="V3087" s="0" t="n">
        <v>0</v>
      </c>
      <c r="W3087" s="27" t="n">
        <f aca="false">MATCH(A3087,DATAS,0)</f>
        <v>1</v>
      </c>
      <c r="X3087" s="27" t="n">
        <f aca="false">IF(AND(E3087&gt;0,OR(AND(B3087&gt;=1,B3087&lt;=6),B3087=10)),1,0)</f>
        <v>0</v>
      </c>
      <c r="Y3087" s="27" t="n">
        <f aca="false">IF(AND(E3087&gt;0,B3087=10),1,0)</f>
        <v>0</v>
      </c>
      <c r="Z3087" s="0" t="str">
        <f aca="false">IF(AND(C3086=C3087,W3086=W3087-1),X3086,"")</f>
        <v/>
      </c>
      <c r="AA3087" s="0" t="str">
        <f aca="false">IF(AND(C3086=C3087,W3086=W3087-1),Y3086,"")</f>
        <v/>
      </c>
      <c r="AB3087" s="0" t="str">
        <f aca="false">IF(W3087=1,"",IF(AND(X3087=1,Z3087&lt;&gt;1),1,0))</f>
        <v/>
      </c>
      <c r="AC3087" s="0" t="str">
        <f aca="false">IF(W3087=1,"",IF(AND(Y3087=1,AA3087&lt;&gt;1),1,0))</f>
        <v/>
      </c>
      <c r="AD3087" s="33" t="str">
        <f aca="false">IF(AND(E3087&gt;0,W3087&lt;1,NOT(AND(C3088=C3087,W3088=W3087+1))),INDEX(DATAS,W3087+1),"")</f>
        <v/>
      </c>
      <c r="AE3087" s="33" t="str">
        <f aca="false">IF(AND(Y3087=1,W3087&lt;1),IF(AND(C3088=C3087,W3088=W3087+1),IF(Y3088=1,"",INDEX(DATAS,W3087+1)),INDEX(DATAS,W3087+1)),"")</f>
        <v/>
      </c>
    </row>
    <row r="3088" customFormat="false" ht="15" hidden="false" customHeight="false" outlineLevel="0" collapsed="false">
      <c r="A3088" s="33" t="n">
        <v>46309</v>
      </c>
      <c r="B3088" s="0" t="n">
        <v>13</v>
      </c>
      <c r="C3088" s="0" t="n">
        <v>7494</v>
      </c>
      <c r="E3088" s="0" t="n">
        <v>0</v>
      </c>
      <c r="F3088" s="27" t="s">
        <v>1480</v>
      </c>
      <c r="I3088" s="27" t="s">
        <v>166</v>
      </c>
      <c r="U3088" s="0" t="n">
        <v>217</v>
      </c>
      <c r="V3088" s="0" t="n">
        <v>0</v>
      </c>
      <c r="W3088" s="27" t="n">
        <f aca="false">MATCH(A3088,DATAS,0)</f>
        <v>1</v>
      </c>
      <c r="X3088" s="27" t="n">
        <f aca="false">IF(AND(E3088&gt;0,OR(AND(B3088&gt;=1,B3088&lt;=6),B3088=10)),1,0)</f>
        <v>0</v>
      </c>
      <c r="Y3088" s="27" t="n">
        <f aca="false">IF(AND(E3088&gt;0,B3088=10),1,0)</f>
        <v>0</v>
      </c>
      <c r="Z3088" s="0" t="str">
        <f aca="false">IF(AND(C3087=C3088,W3087=W3088-1),X3087,"")</f>
        <v/>
      </c>
      <c r="AA3088" s="0" t="str">
        <f aca="false">IF(AND(C3087=C3088,W3087=W3088-1),Y3087,"")</f>
        <v/>
      </c>
      <c r="AB3088" s="0" t="str">
        <f aca="false">IF(W3088=1,"",IF(AND(X3088=1,Z3088&lt;&gt;1),1,0))</f>
        <v/>
      </c>
      <c r="AC3088" s="0" t="str">
        <f aca="false">IF(W3088=1,"",IF(AND(Y3088=1,AA3088&lt;&gt;1),1,0))</f>
        <v/>
      </c>
      <c r="AD3088" s="33" t="str">
        <f aca="false">IF(AND(E3088&gt;0,W3088&lt;1,NOT(AND(C3089=C3088,W3089=W3088+1))),INDEX(DATAS,W3088+1),"")</f>
        <v/>
      </c>
      <c r="AE3088" s="33" t="str">
        <f aca="false">IF(AND(Y3088=1,W3088&lt;1),IF(AND(C3089=C3088,W3089=W3088+1),IF(Y3089=1,"",INDEX(DATAS,W3088+1)),INDEX(DATAS,W3088+1)),"")</f>
        <v/>
      </c>
    </row>
    <row r="3089" customFormat="false" ht="15" hidden="false" customHeight="false" outlineLevel="0" collapsed="false">
      <c r="A3089" s="33" t="n">
        <v>46309</v>
      </c>
      <c r="B3089" s="0" t="n">
        <v>13</v>
      </c>
      <c r="C3089" s="0" t="n">
        <v>7495</v>
      </c>
      <c r="E3089" s="0" t="n">
        <v>0</v>
      </c>
      <c r="F3089" s="27" t="s">
        <v>1480</v>
      </c>
      <c r="I3089" s="27" t="s">
        <v>166</v>
      </c>
      <c r="U3089" s="0" t="n">
        <v>217</v>
      </c>
      <c r="V3089" s="0" t="n">
        <v>0</v>
      </c>
      <c r="W3089" s="27" t="n">
        <f aca="false">MATCH(A3089,DATAS,0)</f>
        <v>1</v>
      </c>
      <c r="X3089" s="27" t="n">
        <f aca="false">IF(AND(E3089&gt;0,OR(AND(B3089&gt;=1,B3089&lt;=6),B3089=10)),1,0)</f>
        <v>0</v>
      </c>
      <c r="Y3089" s="27" t="n">
        <f aca="false">IF(AND(E3089&gt;0,B3089=10),1,0)</f>
        <v>0</v>
      </c>
      <c r="Z3089" s="0" t="str">
        <f aca="false">IF(AND(C3088=C3089,W3088=W3089-1),X3088,"")</f>
        <v/>
      </c>
      <c r="AA3089" s="0" t="str">
        <f aca="false">IF(AND(C3088=C3089,W3088=W3089-1),Y3088,"")</f>
        <v/>
      </c>
      <c r="AB3089" s="0" t="str">
        <f aca="false">IF(W3089=1,"",IF(AND(X3089=1,Z3089&lt;&gt;1),1,0))</f>
        <v/>
      </c>
      <c r="AC3089" s="0" t="str">
        <f aca="false">IF(W3089=1,"",IF(AND(Y3089=1,AA3089&lt;&gt;1),1,0))</f>
        <v/>
      </c>
      <c r="AD3089" s="33" t="str">
        <f aca="false">IF(AND(E3089&gt;0,W3089&lt;1,NOT(AND(C3090=C3089,W3090=W3089+1))),INDEX(DATAS,W3089+1),"")</f>
        <v/>
      </c>
      <c r="AE3089" s="33" t="str">
        <f aca="false">IF(AND(Y3089=1,W3089&lt;1),IF(AND(C3090=C3089,W3090=W3089+1),IF(Y3090=1,"",INDEX(DATAS,W3089+1)),INDEX(DATAS,W3089+1)),"")</f>
        <v/>
      </c>
    </row>
    <row r="3090" customFormat="false" ht="15" hidden="false" customHeight="false" outlineLevel="0" collapsed="false">
      <c r="A3090" s="33" t="n">
        <v>46309</v>
      </c>
      <c r="B3090" s="0" t="n">
        <v>13</v>
      </c>
      <c r="C3090" s="0" t="n">
        <v>7496</v>
      </c>
      <c r="E3090" s="0" t="n">
        <v>0</v>
      </c>
      <c r="F3090" s="27" t="s">
        <v>1480</v>
      </c>
      <c r="I3090" s="27" t="s">
        <v>166</v>
      </c>
      <c r="U3090" s="0" t="n">
        <v>217</v>
      </c>
      <c r="V3090" s="0" t="n">
        <v>0</v>
      </c>
      <c r="W3090" s="27" t="n">
        <f aca="false">MATCH(A3090,DATAS,0)</f>
        <v>1</v>
      </c>
      <c r="X3090" s="27" t="n">
        <f aca="false">IF(AND(E3090&gt;0,OR(AND(B3090&gt;=1,B3090&lt;=6),B3090=10)),1,0)</f>
        <v>0</v>
      </c>
      <c r="Y3090" s="27" t="n">
        <f aca="false">IF(AND(E3090&gt;0,B3090=10),1,0)</f>
        <v>0</v>
      </c>
      <c r="Z3090" s="0" t="str">
        <f aca="false">IF(AND(C3089=C3090,W3089=W3090-1),X3089,"")</f>
        <v/>
      </c>
      <c r="AA3090" s="0" t="str">
        <f aca="false">IF(AND(C3089=C3090,W3089=W3090-1),Y3089,"")</f>
        <v/>
      </c>
      <c r="AB3090" s="0" t="str">
        <f aca="false">IF(W3090=1,"",IF(AND(X3090=1,Z3090&lt;&gt;1),1,0))</f>
        <v/>
      </c>
      <c r="AC3090" s="0" t="str">
        <f aca="false">IF(W3090=1,"",IF(AND(Y3090=1,AA3090&lt;&gt;1),1,0))</f>
        <v/>
      </c>
      <c r="AD3090" s="33" t="str">
        <f aca="false">IF(AND(E3090&gt;0,W3090&lt;1,NOT(AND(C3091=C3090,W3091=W3090+1))),INDEX(DATAS,W3090+1),"")</f>
        <v/>
      </c>
      <c r="AE3090" s="33" t="str">
        <f aca="false">IF(AND(Y3090=1,W3090&lt;1),IF(AND(C3091=C3090,W3091=W3090+1),IF(Y3091=1,"",INDEX(DATAS,W3090+1)),INDEX(DATAS,W3090+1)),"")</f>
        <v/>
      </c>
    </row>
    <row r="3091" customFormat="false" ht="15" hidden="false" customHeight="false" outlineLevel="0" collapsed="false">
      <c r="A3091" s="33" t="n">
        <v>46309</v>
      </c>
      <c r="B3091" s="0" t="n">
        <v>13</v>
      </c>
      <c r="C3091" s="0" t="n">
        <v>7497</v>
      </c>
      <c r="E3091" s="0" t="n">
        <v>0</v>
      </c>
      <c r="F3091" s="27" t="s">
        <v>1482</v>
      </c>
      <c r="I3091" s="27" t="s">
        <v>166</v>
      </c>
      <c r="U3091" s="0" t="n">
        <v>216</v>
      </c>
      <c r="V3091" s="0" t="n">
        <v>0</v>
      </c>
      <c r="W3091" s="27" t="n">
        <f aca="false">MATCH(A3091,DATAS,0)</f>
        <v>1</v>
      </c>
      <c r="X3091" s="27" t="n">
        <f aca="false">IF(AND(E3091&gt;0,OR(AND(B3091&gt;=1,B3091&lt;=6),B3091=10)),1,0)</f>
        <v>0</v>
      </c>
      <c r="Y3091" s="27" t="n">
        <f aca="false">IF(AND(E3091&gt;0,B3091=10),1,0)</f>
        <v>0</v>
      </c>
      <c r="Z3091" s="0" t="str">
        <f aca="false">IF(AND(C3090=C3091,W3090=W3091-1),X3090,"")</f>
        <v/>
      </c>
      <c r="AA3091" s="0" t="str">
        <f aca="false">IF(AND(C3090=C3091,W3090=W3091-1),Y3090,"")</f>
        <v/>
      </c>
      <c r="AB3091" s="0" t="str">
        <f aca="false">IF(W3091=1,"",IF(AND(X3091=1,Z3091&lt;&gt;1),1,0))</f>
        <v/>
      </c>
      <c r="AC3091" s="0" t="str">
        <f aca="false">IF(W3091=1,"",IF(AND(Y3091=1,AA3091&lt;&gt;1),1,0))</f>
        <v/>
      </c>
      <c r="AD3091" s="33" t="str">
        <f aca="false">IF(AND(E3091&gt;0,W3091&lt;1,NOT(AND(C3092=C3091,W3092=W3091+1))),INDEX(DATAS,W3091+1),"")</f>
        <v/>
      </c>
      <c r="AE3091" s="33" t="str">
        <f aca="false">IF(AND(Y3091=1,W3091&lt;1),IF(AND(C3092=C3091,W3092=W3091+1),IF(Y3092=1,"",INDEX(DATAS,W3091+1)),INDEX(DATAS,W3091+1)),"")</f>
        <v/>
      </c>
    </row>
    <row r="3092" customFormat="false" ht="15" hidden="false" customHeight="false" outlineLevel="0" collapsed="false">
      <c r="A3092" s="33" t="n">
        <v>46309</v>
      </c>
      <c r="B3092" s="0" t="n">
        <v>13</v>
      </c>
      <c r="C3092" s="0" t="n">
        <v>7498</v>
      </c>
      <c r="E3092" s="0" t="n">
        <v>0</v>
      </c>
      <c r="F3092" s="27" t="s">
        <v>1482</v>
      </c>
      <c r="I3092" s="27" t="s">
        <v>166</v>
      </c>
      <c r="U3092" s="0" t="n">
        <v>216</v>
      </c>
      <c r="V3092" s="0" t="n">
        <v>0</v>
      </c>
      <c r="W3092" s="27" t="n">
        <f aca="false">MATCH(A3092,DATAS,0)</f>
        <v>1</v>
      </c>
      <c r="X3092" s="27" t="n">
        <f aca="false">IF(AND(E3092&gt;0,OR(AND(B3092&gt;=1,B3092&lt;=6),B3092=10)),1,0)</f>
        <v>0</v>
      </c>
      <c r="Y3092" s="27" t="n">
        <f aca="false">IF(AND(E3092&gt;0,B3092=10),1,0)</f>
        <v>0</v>
      </c>
      <c r="Z3092" s="0" t="str">
        <f aca="false">IF(AND(C3091=C3092,W3091=W3092-1),X3091,"")</f>
        <v/>
      </c>
      <c r="AA3092" s="0" t="str">
        <f aca="false">IF(AND(C3091=C3092,W3091=W3092-1),Y3091,"")</f>
        <v/>
      </c>
      <c r="AB3092" s="0" t="str">
        <f aca="false">IF(W3092=1,"",IF(AND(X3092=1,Z3092&lt;&gt;1),1,0))</f>
        <v/>
      </c>
      <c r="AC3092" s="0" t="str">
        <f aca="false">IF(W3092=1,"",IF(AND(Y3092=1,AA3092&lt;&gt;1),1,0))</f>
        <v/>
      </c>
      <c r="AD3092" s="33" t="str">
        <f aca="false">IF(AND(E3092&gt;0,W3092&lt;1,NOT(AND(C3093=C3092,W3093=W3092+1))),INDEX(DATAS,W3092+1),"")</f>
        <v/>
      </c>
      <c r="AE3092" s="33" t="str">
        <f aca="false">IF(AND(Y3092=1,W3092&lt;1),IF(AND(C3093=C3092,W3093=W3092+1),IF(Y3093=1,"",INDEX(DATAS,W3092+1)),INDEX(DATAS,W3092+1)),"")</f>
        <v/>
      </c>
    </row>
    <row r="3093" customFormat="false" ht="15" hidden="false" customHeight="false" outlineLevel="0" collapsed="false">
      <c r="A3093" s="33" t="n">
        <v>46309</v>
      </c>
      <c r="B3093" s="0" t="n">
        <v>13</v>
      </c>
      <c r="C3093" s="0" t="n">
        <v>7499</v>
      </c>
      <c r="E3093" s="0" t="n">
        <v>0</v>
      </c>
      <c r="F3093" s="27" t="s">
        <v>1482</v>
      </c>
      <c r="I3093" s="27" t="s">
        <v>166</v>
      </c>
      <c r="U3093" s="0" t="n">
        <v>216</v>
      </c>
      <c r="V3093" s="0" t="n">
        <v>0</v>
      </c>
      <c r="W3093" s="27" t="n">
        <f aca="false">MATCH(A3093,DATAS,0)</f>
        <v>1</v>
      </c>
      <c r="X3093" s="27" t="n">
        <f aca="false">IF(AND(E3093&gt;0,OR(AND(B3093&gt;=1,B3093&lt;=6),B3093=10)),1,0)</f>
        <v>0</v>
      </c>
      <c r="Y3093" s="27" t="n">
        <f aca="false">IF(AND(E3093&gt;0,B3093=10),1,0)</f>
        <v>0</v>
      </c>
      <c r="Z3093" s="0" t="str">
        <f aca="false">IF(AND(C3092=C3093,W3092=W3093-1),X3092,"")</f>
        <v/>
      </c>
      <c r="AA3093" s="0" t="str">
        <f aca="false">IF(AND(C3092=C3093,W3092=W3093-1),Y3092,"")</f>
        <v/>
      </c>
      <c r="AB3093" s="0" t="str">
        <f aca="false">IF(W3093=1,"",IF(AND(X3093=1,Z3093&lt;&gt;1),1,0))</f>
        <v/>
      </c>
      <c r="AC3093" s="0" t="str">
        <f aca="false">IF(W3093=1,"",IF(AND(Y3093=1,AA3093&lt;&gt;1),1,0))</f>
        <v/>
      </c>
      <c r="AD3093" s="33" t="str">
        <f aca="false">IF(AND(E3093&gt;0,W3093&lt;1,NOT(AND(C3094=C3093,W3094=W3093+1))),INDEX(DATAS,W3093+1),"")</f>
        <v/>
      </c>
      <c r="AE3093" s="33" t="str">
        <f aca="false">IF(AND(Y3093=1,W3093&lt;1),IF(AND(C3094=C3093,W3094=W3093+1),IF(Y3094=1,"",INDEX(DATAS,W3093+1)),INDEX(DATAS,W3093+1)),"")</f>
        <v/>
      </c>
    </row>
    <row r="3094" customFormat="false" ht="15" hidden="false" customHeight="false" outlineLevel="0" collapsed="false">
      <c r="A3094" s="33" t="n">
        <v>46309</v>
      </c>
      <c r="B3094" s="0" t="n">
        <v>13</v>
      </c>
      <c r="C3094" s="0" t="n">
        <v>7500</v>
      </c>
      <c r="E3094" s="0" t="n">
        <v>0</v>
      </c>
      <c r="F3094" s="27" t="s">
        <v>1482</v>
      </c>
      <c r="I3094" s="27" t="s">
        <v>166</v>
      </c>
      <c r="U3094" s="0" t="n">
        <v>216</v>
      </c>
      <c r="V3094" s="0" t="n">
        <v>0</v>
      </c>
      <c r="W3094" s="27" t="n">
        <f aca="false">MATCH(A3094,DATAS,0)</f>
        <v>1</v>
      </c>
      <c r="X3094" s="27" t="n">
        <f aca="false">IF(AND(E3094&gt;0,OR(AND(B3094&gt;=1,B3094&lt;=6),B3094=10)),1,0)</f>
        <v>0</v>
      </c>
      <c r="Y3094" s="27" t="n">
        <f aca="false">IF(AND(E3094&gt;0,B3094=10),1,0)</f>
        <v>0</v>
      </c>
      <c r="Z3094" s="0" t="str">
        <f aca="false">IF(AND(C3093=C3094,W3093=W3094-1),X3093,"")</f>
        <v/>
      </c>
      <c r="AA3094" s="0" t="str">
        <f aca="false">IF(AND(C3093=C3094,W3093=W3094-1),Y3093,"")</f>
        <v/>
      </c>
      <c r="AB3094" s="0" t="str">
        <f aca="false">IF(W3094=1,"",IF(AND(X3094=1,Z3094&lt;&gt;1),1,0))</f>
        <v/>
      </c>
      <c r="AC3094" s="0" t="str">
        <f aca="false">IF(W3094=1,"",IF(AND(Y3094=1,AA3094&lt;&gt;1),1,0))</f>
        <v/>
      </c>
      <c r="AD3094" s="33" t="str">
        <f aca="false">IF(AND(E3094&gt;0,W3094&lt;1,NOT(AND(C3095=C3094,W3095=W3094+1))),INDEX(DATAS,W3094+1),"")</f>
        <v/>
      </c>
      <c r="AE3094" s="33" t="str">
        <f aca="false">IF(AND(Y3094=1,W3094&lt;1),IF(AND(C3095=C3094,W3095=W3094+1),IF(Y3095=1,"",INDEX(DATAS,W3094+1)),INDEX(DATAS,W3094+1)),"")</f>
        <v/>
      </c>
    </row>
    <row r="3095" customFormat="false" ht="15" hidden="false" customHeight="false" outlineLevel="0" collapsed="false">
      <c r="A3095" s="33" t="n">
        <v>46309</v>
      </c>
      <c r="B3095" s="0" t="n">
        <v>13</v>
      </c>
      <c r="C3095" s="0" t="n">
        <v>7501</v>
      </c>
      <c r="E3095" s="0" t="n">
        <v>0</v>
      </c>
      <c r="F3095" s="27" t="s">
        <v>1482</v>
      </c>
      <c r="I3095" s="27" t="s">
        <v>166</v>
      </c>
      <c r="U3095" s="0" t="n">
        <v>216</v>
      </c>
      <c r="V3095" s="0" t="n">
        <v>0</v>
      </c>
      <c r="W3095" s="27" t="n">
        <f aca="false">MATCH(A3095,DATAS,0)</f>
        <v>1</v>
      </c>
      <c r="X3095" s="27" t="n">
        <f aca="false">IF(AND(E3095&gt;0,OR(AND(B3095&gt;=1,B3095&lt;=6),B3095=10)),1,0)</f>
        <v>0</v>
      </c>
      <c r="Y3095" s="27" t="n">
        <f aca="false">IF(AND(E3095&gt;0,B3095=10),1,0)</f>
        <v>0</v>
      </c>
      <c r="Z3095" s="0" t="str">
        <f aca="false">IF(AND(C3094=C3095,W3094=W3095-1),X3094,"")</f>
        <v/>
      </c>
      <c r="AA3095" s="0" t="str">
        <f aca="false">IF(AND(C3094=C3095,W3094=W3095-1),Y3094,"")</f>
        <v/>
      </c>
      <c r="AB3095" s="0" t="str">
        <f aca="false">IF(W3095=1,"",IF(AND(X3095=1,Z3095&lt;&gt;1),1,0))</f>
        <v/>
      </c>
      <c r="AC3095" s="0" t="str">
        <f aca="false">IF(W3095=1,"",IF(AND(Y3095=1,AA3095&lt;&gt;1),1,0))</f>
        <v/>
      </c>
      <c r="AD3095" s="33" t="str">
        <f aca="false">IF(AND(E3095&gt;0,W3095&lt;1,NOT(AND(C3096=C3095,W3096=W3095+1))),INDEX(DATAS,W3095+1),"")</f>
        <v/>
      </c>
      <c r="AE3095" s="33" t="str">
        <f aca="false">IF(AND(Y3095=1,W3095&lt;1),IF(AND(C3096=C3095,W3096=W3095+1),IF(Y3096=1,"",INDEX(DATAS,W3095+1)),INDEX(DATAS,W3095+1)),"")</f>
        <v/>
      </c>
    </row>
    <row r="3096" customFormat="false" ht="15" hidden="false" customHeight="false" outlineLevel="0" collapsed="false">
      <c r="A3096" s="33" t="n">
        <v>46309</v>
      </c>
      <c r="B3096" s="0" t="n">
        <v>13</v>
      </c>
      <c r="C3096" s="0" t="n">
        <v>7502</v>
      </c>
      <c r="E3096" s="0" t="n">
        <v>0</v>
      </c>
      <c r="F3096" s="27" t="s">
        <v>1483</v>
      </c>
      <c r="I3096" s="27" t="s">
        <v>166</v>
      </c>
      <c r="U3096" s="0" t="n">
        <v>215</v>
      </c>
      <c r="V3096" s="0" t="n">
        <v>0</v>
      </c>
      <c r="W3096" s="27" t="n">
        <f aca="false">MATCH(A3096,DATAS,0)</f>
        <v>1</v>
      </c>
      <c r="X3096" s="27" t="n">
        <f aca="false">IF(AND(E3096&gt;0,OR(AND(B3096&gt;=1,B3096&lt;=6),B3096=10)),1,0)</f>
        <v>0</v>
      </c>
      <c r="Y3096" s="27" t="n">
        <f aca="false">IF(AND(E3096&gt;0,B3096=10),1,0)</f>
        <v>0</v>
      </c>
      <c r="Z3096" s="0" t="str">
        <f aca="false">IF(AND(C3095=C3096,W3095=W3096-1),X3095,"")</f>
        <v/>
      </c>
      <c r="AA3096" s="0" t="str">
        <f aca="false">IF(AND(C3095=C3096,W3095=W3096-1),Y3095,"")</f>
        <v/>
      </c>
      <c r="AB3096" s="0" t="str">
        <f aca="false">IF(W3096=1,"",IF(AND(X3096=1,Z3096&lt;&gt;1),1,0))</f>
        <v/>
      </c>
      <c r="AC3096" s="0" t="str">
        <f aca="false">IF(W3096=1,"",IF(AND(Y3096=1,AA3096&lt;&gt;1),1,0))</f>
        <v/>
      </c>
      <c r="AD3096" s="33" t="str">
        <f aca="false">IF(AND(E3096&gt;0,W3096&lt;1,NOT(AND(C3097=C3096,W3097=W3096+1))),INDEX(DATAS,W3096+1),"")</f>
        <v/>
      </c>
      <c r="AE3096" s="33" t="str">
        <f aca="false">IF(AND(Y3096=1,W3096&lt;1),IF(AND(C3097=C3096,W3097=W3096+1),IF(Y3097=1,"",INDEX(DATAS,W3096+1)),INDEX(DATAS,W3096+1)),"")</f>
        <v/>
      </c>
    </row>
    <row r="3097" customFormat="false" ht="15" hidden="false" customHeight="false" outlineLevel="0" collapsed="false">
      <c r="A3097" s="33" t="n">
        <v>46309</v>
      </c>
      <c r="B3097" s="0" t="n">
        <v>13</v>
      </c>
      <c r="C3097" s="0" t="n">
        <v>7504</v>
      </c>
      <c r="E3097" s="0" t="n">
        <v>0</v>
      </c>
      <c r="F3097" s="27" t="s">
        <v>1484</v>
      </c>
      <c r="I3097" s="27" t="s">
        <v>166</v>
      </c>
      <c r="U3097" s="0" t="n">
        <v>213</v>
      </c>
      <c r="V3097" s="0" t="n">
        <v>0</v>
      </c>
      <c r="W3097" s="27" t="n">
        <f aca="false">MATCH(A3097,DATAS,0)</f>
        <v>1</v>
      </c>
      <c r="X3097" s="27" t="n">
        <f aca="false">IF(AND(E3097&gt;0,OR(AND(B3097&gt;=1,B3097&lt;=6),B3097=10)),1,0)</f>
        <v>0</v>
      </c>
      <c r="Y3097" s="27" t="n">
        <f aca="false">IF(AND(E3097&gt;0,B3097=10),1,0)</f>
        <v>0</v>
      </c>
      <c r="Z3097" s="0" t="str">
        <f aca="false">IF(AND(C3096=C3097,W3096=W3097-1),X3096,"")</f>
        <v/>
      </c>
      <c r="AA3097" s="0" t="str">
        <f aca="false">IF(AND(C3096=C3097,W3096=W3097-1),Y3096,"")</f>
        <v/>
      </c>
      <c r="AB3097" s="0" t="str">
        <f aca="false">IF(W3097=1,"",IF(AND(X3097=1,Z3097&lt;&gt;1),1,0))</f>
        <v/>
      </c>
      <c r="AC3097" s="0" t="str">
        <f aca="false">IF(W3097=1,"",IF(AND(Y3097=1,AA3097&lt;&gt;1),1,0))</f>
        <v/>
      </c>
      <c r="AD3097" s="33" t="str">
        <f aca="false">IF(AND(E3097&gt;0,W3097&lt;1,NOT(AND(C3098=C3097,W3098=W3097+1))),INDEX(DATAS,W3097+1),"")</f>
        <v/>
      </c>
      <c r="AE3097" s="33" t="str">
        <f aca="false">IF(AND(Y3097=1,W3097&lt;1),IF(AND(C3098=C3097,W3098=W3097+1),IF(Y3098=1,"",INDEX(DATAS,W3097+1)),INDEX(DATAS,W3097+1)),"")</f>
        <v/>
      </c>
    </row>
    <row r="3098" customFormat="false" ht="15" hidden="false" customHeight="false" outlineLevel="0" collapsed="false">
      <c r="A3098" s="33" t="n">
        <v>46309</v>
      </c>
      <c r="B3098" s="0" t="n">
        <v>13</v>
      </c>
      <c r="C3098" s="0" t="n">
        <v>7505</v>
      </c>
      <c r="E3098" s="0" t="n">
        <v>0</v>
      </c>
      <c r="F3098" s="27" t="s">
        <v>1484</v>
      </c>
      <c r="I3098" s="27" t="s">
        <v>166</v>
      </c>
      <c r="U3098" s="0" t="n">
        <v>213</v>
      </c>
      <c r="V3098" s="0" t="n">
        <v>0</v>
      </c>
      <c r="W3098" s="27" t="n">
        <f aca="false">MATCH(A3098,DATAS,0)</f>
        <v>1</v>
      </c>
      <c r="X3098" s="27" t="n">
        <f aca="false">IF(AND(E3098&gt;0,OR(AND(B3098&gt;=1,B3098&lt;=6),B3098=10)),1,0)</f>
        <v>0</v>
      </c>
      <c r="Y3098" s="27" t="n">
        <f aca="false">IF(AND(E3098&gt;0,B3098=10),1,0)</f>
        <v>0</v>
      </c>
      <c r="Z3098" s="0" t="str">
        <f aca="false">IF(AND(C3097=C3098,W3097=W3098-1),X3097,"")</f>
        <v/>
      </c>
      <c r="AA3098" s="0" t="str">
        <f aca="false">IF(AND(C3097=C3098,W3097=W3098-1),Y3097,"")</f>
        <v/>
      </c>
      <c r="AB3098" s="0" t="str">
        <f aca="false">IF(W3098=1,"",IF(AND(X3098=1,Z3098&lt;&gt;1),1,0))</f>
        <v/>
      </c>
      <c r="AC3098" s="0" t="str">
        <f aca="false">IF(W3098=1,"",IF(AND(Y3098=1,AA3098&lt;&gt;1),1,0))</f>
        <v/>
      </c>
      <c r="AD3098" s="33" t="str">
        <f aca="false">IF(AND(E3098&gt;0,W3098&lt;1,NOT(AND(C3099=C3098,W3099=W3098+1))),INDEX(DATAS,W3098+1),"")</f>
        <v/>
      </c>
      <c r="AE3098" s="33" t="str">
        <f aca="false">IF(AND(Y3098=1,W3098&lt;1),IF(AND(C3099=C3098,W3099=W3098+1),IF(Y3099=1,"",INDEX(DATAS,W3098+1)),INDEX(DATAS,W3098+1)),"")</f>
        <v/>
      </c>
    </row>
    <row r="3099" customFormat="false" ht="15" hidden="false" customHeight="false" outlineLevel="0" collapsed="false">
      <c r="A3099" s="33" t="n">
        <v>46309</v>
      </c>
      <c r="B3099" s="0" t="n">
        <v>13</v>
      </c>
      <c r="C3099" s="0" t="n">
        <v>7506</v>
      </c>
      <c r="E3099" s="0" t="n">
        <v>0</v>
      </c>
      <c r="F3099" s="27" t="s">
        <v>1484</v>
      </c>
      <c r="I3099" s="27" t="s">
        <v>166</v>
      </c>
      <c r="U3099" s="0" t="n">
        <v>213</v>
      </c>
      <c r="V3099" s="0" t="n">
        <v>0</v>
      </c>
      <c r="W3099" s="27" t="n">
        <f aca="false">MATCH(A3099,DATAS,0)</f>
        <v>1</v>
      </c>
      <c r="X3099" s="27" t="n">
        <f aca="false">IF(AND(E3099&gt;0,OR(AND(B3099&gt;=1,B3099&lt;=6),B3099=10)),1,0)</f>
        <v>0</v>
      </c>
      <c r="Y3099" s="27" t="n">
        <f aca="false">IF(AND(E3099&gt;0,B3099=10),1,0)</f>
        <v>0</v>
      </c>
      <c r="Z3099" s="0" t="str">
        <f aca="false">IF(AND(C3098=C3099,W3098=W3099-1),X3098,"")</f>
        <v/>
      </c>
      <c r="AA3099" s="0" t="str">
        <f aca="false">IF(AND(C3098=C3099,W3098=W3099-1),Y3098,"")</f>
        <v/>
      </c>
      <c r="AB3099" s="0" t="str">
        <f aca="false">IF(W3099=1,"",IF(AND(X3099=1,Z3099&lt;&gt;1),1,0))</f>
        <v/>
      </c>
      <c r="AC3099" s="0" t="str">
        <f aca="false">IF(W3099=1,"",IF(AND(Y3099=1,AA3099&lt;&gt;1),1,0))</f>
        <v/>
      </c>
      <c r="AD3099" s="33" t="str">
        <f aca="false">IF(AND(E3099&gt;0,W3099&lt;1,NOT(AND(C3100=C3099,W3100=W3099+1))),INDEX(DATAS,W3099+1),"")</f>
        <v/>
      </c>
      <c r="AE3099" s="33" t="str">
        <f aca="false">IF(AND(Y3099=1,W3099&lt;1),IF(AND(C3100=C3099,W3100=W3099+1),IF(Y3100=1,"",INDEX(DATAS,W3099+1)),INDEX(DATAS,W3099+1)),"")</f>
        <v/>
      </c>
    </row>
    <row r="3100" customFormat="false" ht="15" hidden="false" customHeight="false" outlineLevel="0" collapsed="false">
      <c r="A3100" s="33" t="n">
        <v>46309</v>
      </c>
      <c r="B3100" s="0" t="n">
        <v>13</v>
      </c>
      <c r="C3100" s="0" t="n">
        <v>7507</v>
      </c>
      <c r="E3100" s="0" t="n">
        <v>0</v>
      </c>
      <c r="F3100" s="27" t="s">
        <v>1484</v>
      </c>
      <c r="I3100" s="27" t="s">
        <v>166</v>
      </c>
      <c r="U3100" s="0" t="n">
        <v>213</v>
      </c>
      <c r="V3100" s="0" t="n">
        <v>0</v>
      </c>
      <c r="W3100" s="27" t="n">
        <f aca="false">MATCH(A3100,DATAS,0)</f>
        <v>1</v>
      </c>
      <c r="X3100" s="27" t="n">
        <f aca="false">IF(AND(E3100&gt;0,OR(AND(B3100&gt;=1,B3100&lt;=6),B3100=10)),1,0)</f>
        <v>0</v>
      </c>
      <c r="Y3100" s="27" t="n">
        <f aca="false">IF(AND(E3100&gt;0,B3100=10),1,0)</f>
        <v>0</v>
      </c>
      <c r="Z3100" s="0" t="str">
        <f aca="false">IF(AND(C3099=C3100,W3099=W3100-1),X3099,"")</f>
        <v/>
      </c>
      <c r="AA3100" s="0" t="str">
        <f aca="false">IF(AND(C3099=C3100,W3099=W3100-1),Y3099,"")</f>
        <v/>
      </c>
      <c r="AB3100" s="0" t="str">
        <f aca="false">IF(W3100=1,"",IF(AND(X3100=1,Z3100&lt;&gt;1),1,0))</f>
        <v/>
      </c>
      <c r="AC3100" s="0" t="str">
        <f aca="false">IF(W3100=1,"",IF(AND(Y3100=1,AA3100&lt;&gt;1),1,0))</f>
        <v/>
      </c>
      <c r="AD3100" s="33" t="str">
        <f aca="false">IF(AND(E3100&gt;0,W3100&lt;1,NOT(AND(C3101=C3100,W3101=W3100+1))),INDEX(DATAS,W3100+1),"")</f>
        <v/>
      </c>
      <c r="AE3100" s="33" t="str">
        <f aca="false">IF(AND(Y3100=1,W3100&lt;1),IF(AND(C3101=C3100,W3101=W3100+1),IF(Y3101=1,"",INDEX(DATAS,W3100+1)),INDEX(DATAS,W3100+1)),"")</f>
        <v/>
      </c>
    </row>
    <row r="3101" customFormat="false" ht="15" hidden="false" customHeight="false" outlineLevel="0" collapsed="false">
      <c r="A3101" s="33" t="n">
        <v>46309</v>
      </c>
      <c r="B3101" s="0" t="n">
        <v>13</v>
      </c>
      <c r="C3101" s="0" t="n">
        <v>7508</v>
      </c>
      <c r="E3101" s="0" t="n">
        <v>0</v>
      </c>
      <c r="F3101" s="27" t="s">
        <v>1485</v>
      </c>
      <c r="I3101" s="27" t="s">
        <v>166</v>
      </c>
      <c r="U3101" s="0" t="n">
        <v>212</v>
      </c>
      <c r="V3101" s="0" t="n">
        <v>0</v>
      </c>
      <c r="W3101" s="27" t="n">
        <f aca="false">MATCH(A3101,DATAS,0)</f>
        <v>1</v>
      </c>
      <c r="X3101" s="27" t="n">
        <f aca="false">IF(AND(E3101&gt;0,OR(AND(B3101&gt;=1,B3101&lt;=6),B3101=10)),1,0)</f>
        <v>0</v>
      </c>
      <c r="Y3101" s="27" t="n">
        <f aca="false">IF(AND(E3101&gt;0,B3101=10),1,0)</f>
        <v>0</v>
      </c>
      <c r="Z3101" s="0" t="str">
        <f aca="false">IF(AND(C3100=C3101,W3100=W3101-1),X3100,"")</f>
        <v/>
      </c>
      <c r="AA3101" s="0" t="str">
        <f aca="false">IF(AND(C3100=C3101,W3100=W3101-1),Y3100,"")</f>
        <v/>
      </c>
      <c r="AB3101" s="0" t="str">
        <f aca="false">IF(W3101=1,"",IF(AND(X3101=1,Z3101&lt;&gt;1),1,0))</f>
        <v/>
      </c>
      <c r="AC3101" s="0" t="str">
        <f aca="false">IF(W3101=1,"",IF(AND(Y3101=1,AA3101&lt;&gt;1),1,0))</f>
        <v/>
      </c>
      <c r="AD3101" s="33" t="str">
        <f aca="false">IF(AND(E3101&gt;0,W3101&lt;1,NOT(AND(C3102=C3101,W3102=W3101+1))),INDEX(DATAS,W3101+1),"")</f>
        <v/>
      </c>
      <c r="AE3101" s="33" t="str">
        <f aca="false">IF(AND(Y3101=1,W3101&lt;1),IF(AND(C3102=C3101,W3102=W3101+1),IF(Y3102=1,"",INDEX(DATAS,W3101+1)),INDEX(DATAS,W3101+1)),"")</f>
        <v/>
      </c>
    </row>
    <row r="3102" customFormat="false" ht="15" hidden="false" customHeight="false" outlineLevel="0" collapsed="false">
      <c r="A3102" s="33" t="n">
        <v>46309</v>
      </c>
      <c r="B3102" s="0" t="n">
        <v>13</v>
      </c>
      <c r="C3102" s="0" t="n">
        <v>7509</v>
      </c>
      <c r="E3102" s="0" t="n">
        <v>0</v>
      </c>
      <c r="F3102" s="27" t="s">
        <v>1485</v>
      </c>
      <c r="I3102" s="27" t="s">
        <v>166</v>
      </c>
      <c r="U3102" s="0" t="n">
        <v>212</v>
      </c>
      <c r="V3102" s="0" t="n">
        <v>0</v>
      </c>
      <c r="W3102" s="27" t="n">
        <f aca="false">MATCH(A3102,DATAS,0)</f>
        <v>1</v>
      </c>
      <c r="X3102" s="27" t="n">
        <f aca="false">IF(AND(E3102&gt;0,OR(AND(B3102&gt;=1,B3102&lt;=6),B3102=10)),1,0)</f>
        <v>0</v>
      </c>
      <c r="Y3102" s="27" t="n">
        <f aca="false">IF(AND(E3102&gt;0,B3102=10),1,0)</f>
        <v>0</v>
      </c>
      <c r="Z3102" s="0" t="str">
        <f aca="false">IF(AND(C3101=C3102,W3101=W3102-1),X3101,"")</f>
        <v/>
      </c>
      <c r="AA3102" s="0" t="str">
        <f aca="false">IF(AND(C3101=C3102,W3101=W3102-1),Y3101,"")</f>
        <v/>
      </c>
      <c r="AB3102" s="0" t="str">
        <f aca="false">IF(W3102=1,"",IF(AND(X3102=1,Z3102&lt;&gt;1),1,0))</f>
        <v/>
      </c>
      <c r="AC3102" s="0" t="str">
        <f aca="false">IF(W3102=1,"",IF(AND(Y3102=1,AA3102&lt;&gt;1),1,0))</f>
        <v/>
      </c>
      <c r="AD3102" s="33" t="str">
        <f aca="false">IF(AND(E3102&gt;0,W3102&lt;1,NOT(AND(C3103=C3102,W3103=W3102+1))),INDEX(DATAS,W3102+1),"")</f>
        <v/>
      </c>
      <c r="AE3102" s="33" t="str">
        <f aca="false">IF(AND(Y3102=1,W3102&lt;1),IF(AND(C3103=C3102,W3103=W3102+1),IF(Y3103=1,"",INDEX(DATAS,W3102+1)),INDEX(DATAS,W3102+1)),"")</f>
        <v/>
      </c>
    </row>
    <row r="3103" customFormat="false" ht="15" hidden="false" customHeight="false" outlineLevel="0" collapsed="false">
      <c r="A3103" s="33" t="n">
        <v>46309</v>
      </c>
      <c r="B3103" s="0" t="n">
        <v>13</v>
      </c>
      <c r="C3103" s="0" t="n">
        <v>7510</v>
      </c>
      <c r="E3103" s="0" t="n">
        <v>0</v>
      </c>
      <c r="F3103" s="27" t="s">
        <v>1485</v>
      </c>
      <c r="I3103" s="27" t="s">
        <v>166</v>
      </c>
      <c r="U3103" s="0" t="n">
        <v>212</v>
      </c>
      <c r="V3103" s="0" t="n">
        <v>0</v>
      </c>
      <c r="W3103" s="27" t="n">
        <f aca="false">MATCH(A3103,DATAS,0)</f>
        <v>1</v>
      </c>
      <c r="X3103" s="27" t="n">
        <f aca="false">IF(AND(E3103&gt;0,OR(AND(B3103&gt;=1,B3103&lt;=6),B3103=10)),1,0)</f>
        <v>0</v>
      </c>
      <c r="Y3103" s="27" t="n">
        <f aca="false">IF(AND(E3103&gt;0,B3103=10),1,0)</f>
        <v>0</v>
      </c>
      <c r="Z3103" s="0" t="str">
        <f aca="false">IF(AND(C3102=C3103,W3102=W3103-1),X3102,"")</f>
        <v/>
      </c>
      <c r="AA3103" s="0" t="str">
        <f aca="false">IF(AND(C3102=C3103,W3102=W3103-1),Y3102,"")</f>
        <v/>
      </c>
      <c r="AB3103" s="0" t="str">
        <f aca="false">IF(W3103=1,"",IF(AND(X3103=1,Z3103&lt;&gt;1),1,0))</f>
        <v/>
      </c>
      <c r="AC3103" s="0" t="str">
        <f aca="false">IF(W3103=1,"",IF(AND(Y3103=1,AA3103&lt;&gt;1),1,0))</f>
        <v/>
      </c>
      <c r="AD3103" s="33" t="str">
        <f aca="false">IF(AND(E3103&gt;0,W3103&lt;1,NOT(AND(C3104=C3103,W3104=W3103+1))),INDEX(DATAS,W3103+1),"")</f>
        <v/>
      </c>
      <c r="AE3103" s="33" t="str">
        <f aca="false">IF(AND(Y3103=1,W3103&lt;1),IF(AND(C3104=C3103,W3104=W3103+1),IF(Y3104=1,"",INDEX(DATAS,W3103+1)),INDEX(DATAS,W3103+1)),"")</f>
        <v/>
      </c>
    </row>
    <row r="3104" customFormat="false" ht="15" hidden="false" customHeight="false" outlineLevel="0" collapsed="false">
      <c r="A3104" s="33" t="n">
        <v>46309</v>
      </c>
      <c r="B3104" s="0" t="n">
        <v>13</v>
      </c>
      <c r="C3104" s="0" t="n">
        <v>7511</v>
      </c>
      <c r="E3104" s="0" t="n">
        <v>0</v>
      </c>
      <c r="F3104" s="27" t="s">
        <v>1485</v>
      </c>
      <c r="I3104" s="27" t="s">
        <v>166</v>
      </c>
      <c r="U3104" s="0" t="n">
        <v>212</v>
      </c>
      <c r="V3104" s="0" t="n">
        <v>0</v>
      </c>
      <c r="W3104" s="27" t="n">
        <f aca="false">MATCH(A3104,DATAS,0)</f>
        <v>1</v>
      </c>
      <c r="X3104" s="27" t="n">
        <f aca="false">IF(AND(E3104&gt;0,OR(AND(B3104&gt;=1,B3104&lt;=6),B3104=10)),1,0)</f>
        <v>0</v>
      </c>
      <c r="Y3104" s="27" t="n">
        <f aca="false">IF(AND(E3104&gt;0,B3104=10),1,0)</f>
        <v>0</v>
      </c>
      <c r="Z3104" s="0" t="str">
        <f aca="false">IF(AND(C3103=C3104,W3103=W3104-1),X3103,"")</f>
        <v/>
      </c>
      <c r="AA3104" s="0" t="str">
        <f aca="false">IF(AND(C3103=C3104,W3103=W3104-1),Y3103,"")</f>
        <v/>
      </c>
      <c r="AB3104" s="0" t="str">
        <f aca="false">IF(W3104=1,"",IF(AND(X3104=1,Z3104&lt;&gt;1),1,0))</f>
        <v/>
      </c>
      <c r="AC3104" s="0" t="str">
        <f aca="false">IF(W3104=1,"",IF(AND(Y3104=1,AA3104&lt;&gt;1),1,0))</f>
        <v/>
      </c>
      <c r="AD3104" s="33" t="str">
        <f aca="false">IF(AND(E3104&gt;0,W3104&lt;1,NOT(AND(C3105=C3104,W3105=W3104+1))),INDEX(DATAS,W3104+1),"")</f>
        <v/>
      </c>
      <c r="AE3104" s="33" t="str">
        <f aca="false">IF(AND(Y3104=1,W3104&lt;1),IF(AND(C3105=C3104,W3105=W3104+1),IF(Y3105=1,"",INDEX(DATAS,W3104+1)),INDEX(DATAS,W3104+1)),"")</f>
        <v/>
      </c>
    </row>
    <row r="3105" customFormat="false" ht="15" hidden="false" customHeight="false" outlineLevel="0" collapsed="false">
      <c r="A3105" s="33" t="n">
        <v>46309</v>
      </c>
      <c r="B3105" s="0" t="n">
        <v>13</v>
      </c>
      <c r="C3105" s="0" t="n">
        <v>7512</v>
      </c>
      <c r="E3105" s="0" t="n">
        <v>0</v>
      </c>
      <c r="F3105" s="27" t="s">
        <v>1485</v>
      </c>
      <c r="I3105" s="27" t="s">
        <v>166</v>
      </c>
      <c r="U3105" s="0" t="n">
        <v>212</v>
      </c>
      <c r="V3105" s="0" t="n">
        <v>0</v>
      </c>
      <c r="W3105" s="27" t="n">
        <f aca="false">MATCH(A3105,DATAS,0)</f>
        <v>1</v>
      </c>
      <c r="X3105" s="27" t="n">
        <f aca="false">IF(AND(E3105&gt;0,OR(AND(B3105&gt;=1,B3105&lt;=6),B3105=10)),1,0)</f>
        <v>0</v>
      </c>
      <c r="Y3105" s="27" t="n">
        <f aca="false">IF(AND(E3105&gt;0,B3105=10),1,0)</f>
        <v>0</v>
      </c>
      <c r="Z3105" s="0" t="str">
        <f aca="false">IF(AND(C3104=C3105,W3104=W3105-1),X3104,"")</f>
        <v/>
      </c>
      <c r="AA3105" s="0" t="str">
        <f aca="false">IF(AND(C3104=C3105,W3104=W3105-1),Y3104,"")</f>
        <v/>
      </c>
      <c r="AB3105" s="0" t="str">
        <f aca="false">IF(W3105=1,"",IF(AND(X3105=1,Z3105&lt;&gt;1),1,0))</f>
        <v/>
      </c>
      <c r="AC3105" s="0" t="str">
        <f aca="false">IF(W3105=1,"",IF(AND(Y3105=1,AA3105&lt;&gt;1),1,0))</f>
        <v/>
      </c>
      <c r="AD3105" s="33" t="str">
        <f aca="false">IF(AND(E3105&gt;0,W3105&lt;1,NOT(AND(C3106=C3105,W3106=W3105+1))),INDEX(DATAS,W3105+1),"")</f>
        <v/>
      </c>
      <c r="AE3105" s="33" t="str">
        <f aca="false">IF(AND(Y3105=1,W3105&lt;1),IF(AND(C3106=C3105,W3106=W3105+1),IF(Y3106=1,"",INDEX(DATAS,W3105+1)),INDEX(DATAS,W3105+1)),"")</f>
        <v/>
      </c>
    </row>
    <row r="3106" customFormat="false" ht="15" hidden="false" customHeight="false" outlineLevel="0" collapsed="false">
      <c r="A3106" s="33" t="n">
        <v>46309</v>
      </c>
      <c r="B3106" s="0" t="n">
        <v>13</v>
      </c>
      <c r="C3106" s="0" t="n">
        <v>7513</v>
      </c>
      <c r="E3106" s="0" t="n">
        <v>0</v>
      </c>
      <c r="F3106" s="27" t="s">
        <v>1486</v>
      </c>
      <c r="I3106" s="27" t="s">
        <v>166</v>
      </c>
      <c r="U3106" s="0" t="n">
        <v>211</v>
      </c>
      <c r="V3106" s="0" t="n">
        <v>0</v>
      </c>
      <c r="W3106" s="27" t="n">
        <f aca="false">MATCH(A3106,DATAS,0)</f>
        <v>1</v>
      </c>
      <c r="X3106" s="27" t="n">
        <f aca="false">IF(AND(E3106&gt;0,OR(AND(B3106&gt;=1,B3106&lt;=6),B3106=10)),1,0)</f>
        <v>0</v>
      </c>
      <c r="Y3106" s="27" t="n">
        <f aca="false">IF(AND(E3106&gt;0,B3106=10),1,0)</f>
        <v>0</v>
      </c>
      <c r="Z3106" s="0" t="str">
        <f aca="false">IF(AND(C3105=C3106,W3105=W3106-1),X3105,"")</f>
        <v/>
      </c>
      <c r="AA3106" s="0" t="str">
        <f aca="false">IF(AND(C3105=C3106,W3105=W3106-1),Y3105,"")</f>
        <v/>
      </c>
      <c r="AB3106" s="0" t="str">
        <f aca="false">IF(W3106=1,"",IF(AND(X3106=1,Z3106&lt;&gt;1),1,0))</f>
        <v/>
      </c>
      <c r="AC3106" s="0" t="str">
        <f aca="false">IF(W3106=1,"",IF(AND(Y3106=1,AA3106&lt;&gt;1),1,0))</f>
        <v/>
      </c>
      <c r="AD3106" s="33" t="str">
        <f aca="false">IF(AND(E3106&gt;0,W3106&lt;1,NOT(AND(C3107=C3106,W3107=W3106+1))),INDEX(DATAS,W3106+1),"")</f>
        <v/>
      </c>
      <c r="AE3106" s="33" t="str">
        <f aca="false">IF(AND(Y3106=1,W3106&lt;1),IF(AND(C3107=C3106,W3107=W3106+1),IF(Y3107=1,"",INDEX(DATAS,W3106+1)),INDEX(DATAS,W3106+1)),"")</f>
        <v/>
      </c>
    </row>
    <row r="3107" customFormat="false" ht="15" hidden="false" customHeight="false" outlineLevel="0" collapsed="false">
      <c r="A3107" s="33" t="n">
        <v>46309</v>
      </c>
      <c r="B3107" s="0" t="n">
        <v>13</v>
      </c>
      <c r="C3107" s="0" t="n">
        <v>7514</v>
      </c>
      <c r="E3107" s="0" t="n">
        <v>0</v>
      </c>
      <c r="F3107" s="27" t="s">
        <v>1486</v>
      </c>
      <c r="I3107" s="27" t="s">
        <v>166</v>
      </c>
      <c r="U3107" s="0" t="n">
        <v>211</v>
      </c>
      <c r="V3107" s="0" t="n">
        <v>0</v>
      </c>
      <c r="W3107" s="27" t="n">
        <f aca="false">MATCH(A3107,DATAS,0)</f>
        <v>1</v>
      </c>
      <c r="X3107" s="27" t="n">
        <f aca="false">IF(AND(E3107&gt;0,OR(AND(B3107&gt;=1,B3107&lt;=6),B3107=10)),1,0)</f>
        <v>0</v>
      </c>
      <c r="Y3107" s="27" t="n">
        <f aca="false">IF(AND(E3107&gt;0,B3107=10),1,0)</f>
        <v>0</v>
      </c>
      <c r="Z3107" s="0" t="str">
        <f aca="false">IF(AND(C3106=C3107,W3106=W3107-1),X3106,"")</f>
        <v/>
      </c>
      <c r="AA3107" s="0" t="str">
        <f aca="false">IF(AND(C3106=C3107,W3106=W3107-1),Y3106,"")</f>
        <v/>
      </c>
      <c r="AB3107" s="0" t="str">
        <f aca="false">IF(W3107=1,"",IF(AND(X3107=1,Z3107&lt;&gt;1),1,0))</f>
        <v/>
      </c>
      <c r="AC3107" s="0" t="str">
        <f aca="false">IF(W3107=1,"",IF(AND(Y3107=1,AA3107&lt;&gt;1),1,0))</f>
        <v/>
      </c>
      <c r="AD3107" s="33" t="str">
        <f aca="false">IF(AND(E3107&gt;0,W3107&lt;1,NOT(AND(C3108=C3107,W3108=W3107+1))),INDEX(DATAS,W3107+1),"")</f>
        <v/>
      </c>
      <c r="AE3107" s="33" t="str">
        <f aca="false">IF(AND(Y3107=1,W3107&lt;1),IF(AND(C3108=C3107,W3108=W3107+1),IF(Y3108=1,"",INDEX(DATAS,W3107+1)),INDEX(DATAS,W3107+1)),"")</f>
        <v/>
      </c>
    </row>
    <row r="3108" customFormat="false" ht="15" hidden="false" customHeight="false" outlineLevel="0" collapsed="false">
      <c r="A3108" s="33" t="n">
        <v>46309</v>
      </c>
      <c r="B3108" s="0" t="n">
        <v>13</v>
      </c>
      <c r="C3108" s="0" t="n">
        <v>7516</v>
      </c>
      <c r="E3108" s="0" t="n">
        <v>0</v>
      </c>
      <c r="F3108" s="27" t="s">
        <v>1486</v>
      </c>
      <c r="I3108" s="27" t="s">
        <v>166</v>
      </c>
      <c r="U3108" s="0" t="n">
        <v>211</v>
      </c>
      <c r="V3108" s="0" t="n">
        <v>0</v>
      </c>
      <c r="W3108" s="27" t="n">
        <f aca="false">MATCH(A3108,DATAS,0)</f>
        <v>1</v>
      </c>
      <c r="X3108" s="27" t="n">
        <f aca="false">IF(AND(E3108&gt;0,OR(AND(B3108&gt;=1,B3108&lt;=6),B3108=10)),1,0)</f>
        <v>0</v>
      </c>
      <c r="Y3108" s="27" t="n">
        <f aca="false">IF(AND(E3108&gt;0,B3108=10),1,0)</f>
        <v>0</v>
      </c>
      <c r="Z3108" s="0" t="str">
        <f aca="false">IF(AND(C3107=C3108,W3107=W3108-1),X3107,"")</f>
        <v/>
      </c>
      <c r="AA3108" s="0" t="str">
        <f aca="false">IF(AND(C3107=C3108,W3107=W3108-1),Y3107,"")</f>
        <v/>
      </c>
      <c r="AB3108" s="0" t="str">
        <f aca="false">IF(W3108=1,"",IF(AND(X3108=1,Z3108&lt;&gt;1),1,0))</f>
        <v/>
      </c>
      <c r="AC3108" s="0" t="str">
        <f aca="false">IF(W3108=1,"",IF(AND(Y3108=1,AA3108&lt;&gt;1),1,0))</f>
        <v/>
      </c>
      <c r="AD3108" s="33" t="str">
        <f aca="false">IF(AND(E3108&gt;0,W3108&lt;1,NOT(AND(C3109=C3108,W3109=W3108+1))),INDEX(DATAS,W3108+1),"")</f>
        <v/>
      </c>
      <c r="AE3108" s="33" t="str">
        <f aca="false">IF(AND(Y3108=1,W3108&lt;1),IF(AND(C3109=C3108,W3109=W3108+1),IF(Y3109=1,"",INDEX(DATAS,W3108+1)),INDEX(DATAS,W3108+1)),"")</f>
        <v/>
      </c>
    </row>
    <row r="3109" customFormat="false" ht="15" hidden="false" customHeight="false" outlineLevel="0" collapsed="false">
      <c r="A3109" s="33" t="n">
        <v>46309</v>
      </c>
      <c r="B3109" s="0" t="n">
        <v>13</v>
      </c>
      <c r="C3109" s="0" t="n">
        <v>7517</v>
      </c>
      <c r="E3109" s="0" t="n">
        <v>0</v>
      </c>
      <c r="F3109" s="27" t="s">
        <v>1487</v>
      </c>
      <c r="I3109" s="27" t="s">
        <v>166</v>
      </c>
      <c r="U3109" s="0" t="n">
        <v>210</v>
      </c>
      <c r="V3109" s="0" t="n">
        <v>0</v>
      </c>
      <c r="W3109" s="27" t="n">
        <f aca="false">MATCH(A3109,DATAS,0)</f>
        <v>1</v>
      </c>
      <c r="X3109" s="27" t="n">
        <f aca="false">IF(AND(E3109&gt;0,OR(AND(B3109&gt;=1,B3109&lt;=6),B3109=10)),1,0)</f>
        <v>0</v>
      </c>
      <c r="Y3109" s="27" t="n">
        <f aca="false">IF(AND(E3109&gt;0,B3109=10),1,0)</f>
        <v>0</v>
      </c>
      <c r="Z3109" s="0" t="str">
        <f aca="false">IF(AND(C3108=C3109,W3108=W3109-1),X3108,"")</f>
        <v/>
      </c>
      <c r="AA3109" s="0" t="str">
        <f aca="false">IF(AND(C3108=C3109,W3108=W3109-1),Y3108,"")</f>
        <v/>
      </c>
      <c r="AB3109" s="0" t="str">
        <f aca="false">IF(W3109=1,"",IF(AND(X3109=1,Z3109&lt;&gt;1),1,0))</f>
        <v/>
      </c>
      <c r="AC3109" s="0" t="str">
        <f aca="false">IF(W3109=1,"",IF(AND(Y3109=1,AA3109&lt;&gt;1),1,0))</f>
        <v/>
      </c>
      <c r="AD3109" s="33" t="str">
        <f aca="false">IF(AND(E3109&gt;0,W3109&lt;1,NOT(AND(C3110=C3109,W3110=W3109+1))),INDEX(DATAS,W3109+1),"")</f>
        <v/>
      </c>
      <c r="AE3109" s="33" t="str">
        <f aca="false">IF(AND(Y3109=1,W3109&lt;1),IF(AND(C3110=C3109,W3110=W3109+1),IF(Y3110=1,"",INDEX(DATAS,W3109+1)),INDEX(DATAS,W3109+1)),"")</f>
        <v/>
      </c>
    </row>
    <row r="3110" customFormat="false" ht="15" hidden="false" customHeight="false" outlineLevel="0" collapsed="false">
      <c r="A3110" s="33" t="n">
        <v>46309</v>
      </c>
      <c r="B3110" s="0" t="n">
        <v>13</v>
      </c>
      <c r="C3110" s="0" t="n">
        <v>7519</v>
      </c>
      <c r="E3110" s="0" t="n">
        <v>0</v>
      </c>
      <c r="F3110" s="27" t="s">
        <v>1487</v>
      </c>
      <c r="I3110" s="27" t="s">
        <v>166</v>
      </c>
      <c r="U3110" s="0" t="n">
        <v>210</v>
      </c>
      <c r="V3110" s="0" t="n">
        <v>0</v>
      </c>
      <c r="W3110" s="27" t="n">
        <f aca="false">MATCH(A3110,DATAS,0)</f>
        <v>1</v>
      </c>
      <c r="X3110" s="27" t="n">
        <f aca="false">IF(AND(E3110&gt;0,OR(AND(B3110&gt;=1,B3110&lt;=6),B3110=10)),1,0)</f>
        <v>0</v>
      </c>
      <c r="Y3110" s="27" t="n">
        <f aca="false">IF(AND(E3110&gt;0,B3110=10),1,0)</f>
        <v>0</v>
      </c>
      <c r="Z3110" s="0" t="str">
        <f aca="false">IF(AND(C3109=C3110,W3109=W3110-1),X3109,"")</f>
        <v/>
      </c>
      <c r="AA3110" s="0" t="str">
        <f aca="false">IF(AND(C3109=C3110,W3109=W3110-1),Y3109,"")</f>
        <v/>
      </c>
      <c r="AB3110" s="0" t="str">
        <f aca="false">IF(W3110=1,"",IF(AND(X3110=1,Z3110&lt;&gt;1),1,0))</f>
        <v/>
      </c>
      <c r="AC3110" s="0" t="str">
        <f aca="false">IF(W3110=1,"",IF(AND(Y3110=1,AA3110&lt;&gt;1),1,0))</f>
        <v/>
      </c>
      <c r="AD3110" s="33" t="str">
        <f aca="false">IF(AND(E3110&gt;0,W3110&lt;1,NOT(AND(C3111=C3110,W3111=W3110+1))),INDEX(DATAS,W3110+1),"")</f>
        <v/>
      </c>
      <c r="AE3110" s="33" t="str">
        <f aca="false">IF(AND(Y3110=1,W3110&lt;1),IF(AND(C3111=C3110,W3111=W3110+1),IF(Y3111=1,"",INDEX(DATAS,W3110+1)),INDEX(DATAS,W3110+1)),"")</f>
        <v/>
      </c>
    </row>
    <row r="3111" customFormat="false" ht="15" hidden="false" customHeight="false" outlineLevel="0" collapsed="false">
      <c r="A3111" s="33" t="n">
        <v>46309</v>
      </c>
      <c r="B3111" s="0" t="n">
        <v>13</v>
      </c>
      <c r="C3111" s="0" t="n">
        <v>7520</v>
      </c>
      <c r="E3111" s="0" t="n">
        <v>0</v>
      </c>
      <c r="F3111" s="27" t="s">
        <v>1487</v>
      </c>
      <c r="I3111" s="27" t="s">
        <v>166</v>
      </c>
      <c r="U3111" s="0" t="n">
        <v>210</v>
      </c>
      <c r="V3111" s="0" t="n">
        <v>0</v>
      </c>
      <c r="W3111" s="27" t="n">
        <f aca="false">MATCH(A3111,DATAS,0)</f>
        <v>1</v>
      </c>
      <c r="X3111" s="27" t="n">
        <f aca="false">IF(AND(E3111&gt;0,OR(AND(B3111&gt;=1,B3111&lt;=6),B3111=10)),1,0)</f>
        <v>0</v>
      </c>
      <c r="Y3111" s="27" t="n">
        <f aca="false">IF(AND(E3111&gt;0,B3111=10),1,0)</f>
        <v>0</v>
      </c>
      <c r="Z3111" s="0" t="str">
        <f aca="false">IF(AND(C3110=C3111,W3110=W3111-1),X3110,"")</f>
        <v/>
      </c>
      <c r="AA3111" s="0" t="str">
        <f aca="false">IF(AND(C3110=C3111,W3110=W3111-1),Y3110,"")</f>
        <v/>
      </c>
      <c r="AB3111" s="0" t="str">
        <f aca="false">IF(W3111=1,"",IF(AND(X3111=1,Z3111&lt;&gt;1),1,0))</f>
        <v/>
      </c>
      <c r="AC3111" s="0" t="str">
        <f aca="false">IF(W3111=1,"",IF(AND(Y3111=1,AA3111&lt;&gt;1),1,0))</f>
        <v/>
      </c>
      <c r="AD3111" s="33" t="str">
        <f aca="false">IF(AND(E3111&gt;0,W3111&lt;1,NOT(AND(C3112=C3111,W3112=W3111+1))),INDEX(DATAS,W3111+1),"")</f>
        <v/>
      </c>
      <c r="AE3111" s="33" t="str">
        <f aca="false">IF(AND(Y3111=1,W3111&lt;1),IF(AND(C3112=C3111,W3112=W3111+1),IF(Y3112=1,"",INDEX(DATAS,W3111+1)),INDEX(DATAS,W3111+1)),"")</f>
        <v/>
      </c>
    </row>
    <row r="3112" customFormat="false" ht="15" hidden="false" customHeight="false" outlineLevel="0" collapsed="false">
      <c r="A3112" s="33" t="n">
        <v>46309</v>
      </c>
      <c r="B3112" s="0" t="n">
        <v>13</v>
      </c>
      <c r="C3112" s="0" t="n">
        <v>7521</v>
      </c>
      <c r="E3112" s="0" t="n">
        <v>0</v>
      </c>
      <c r="F3112" s="27" t="s">
        <v>1488</v>
      </c>
      <c r="I3112" s="27" t="s">
        <v>166</v>
      </c>
      <c r="U3112" s="0" t="n">
        <v>209</v>
      </c>
      <c r="V3112" s="0" t="n">
        <v>0</v>
      </c>
      <c r="W3112" s="27" t="n">
        <f aca="false">MATCH(A3112,DATAS,0)</f>
        <v>1</v>
      </c>
      <c r="X3112" s="27" t="n">
        <f aca="false">IF(AND(E3112&gt;0,OR(AND(B3112&gt;=1,B3112&lt;=6),B3112=10)),1,0)</f>
        <v>0</v>
      </c>
      <c r="Y3112" s="27" t="n">
        <f aca="false">IF(AND(E3112&gt;0,B3112=10),1,0)</f>
        <v>0</v>
      </c>
      <c r="Z3112" s="0" t="str">
        <f aca="false">IF(AND(C3111=C3112,W3111=W3112-1),X3111,"")</f>
        <v/>
      </c>
      <c r="AA3112" s="0" t="str">
        <f aca="false">IF(AND(C3111=C3112,W3111=W3112-1),Y3111,"")</f>
        <v/>
      </c>
      <c r="AB3112" s="0" t="str">
        <f aca="false">IF(W3112=1,"",IF(AND(X3112=1,Z3112&lt;&gt;1),1,0))</f>
        <v/>
      </c>
      <c r="AC3112" s="0" t="str">
        <f aca="false">IF(W3112=1,"",IF(AND(Y3112=1,AA3112&lt;&gt;1),1,0))</f>
        <v/>
      </c>
      <c r="AD3112" s="33" t="str">
        <f aca="false">IF(AND(E3112&gt;0,W3112&lt;1,NOT(AND(C3113=C3112,W3113=W3112+1))),INDEX(DATAS,W3112+1),"")</f>
        <v/>
      </c>
      <c r="AE3112" s="33" t="str">
        <f aca="false">IF(AND(Y3112=1,W3112&lt;1),IF(AND(C3113=C3112,W3113=W3112+1),IF(Y3113=1,"",INDEX(DATAS,W3112+1)),INDEX(DATAS,W3112+1)),"")</f>
        <v/>
      </c>
    </row>
    <row r="3113" customFormat="false" ht="15" hidden="false" customHeight="false" outlineLevel="0" collapsed="false">
      <c r="A3113" s="33" t="n">
        <v>46309</v>
      </c>
      <c r="B3113" s="0" t="n">
        <v>13</v>
      </c>
      <c r="C3113" s="0" t="n">
        <v>7523</v>
      </c>
      <c r="E3113" s="0" t="n">
        <v>0</v>
      </c>
      <c r="F3113" s="27" t="s">
        <v>1488</v>
      </c>
      <c r="I3113" s="27" t="s">
        <v>166</v>
      </c>
      <c r="U3113" s="0" t="n">
        <v>209</v>
      </c>
      <c r="V3113" s="0" t="n">
        <v>0</v>
      </c>
      <c r="W3113" s="27" t="n">
        <f aca="false">MATCH(A3113,DATAS,0)</f>
        <v>1</v>
      </c>
      <c r="X3113" s="27" t="n">
        <f aca="false">IF(AND(E3113&gt;0,OR(AND(B3113&gt;=1,B3113&lt;=6),B3113=10)),1,0)</f>
        <v>0</v>
      </c>
      <c r="Y3113" s="27" t="n">
        <f aca="false">IF(AND(E3113&gt;0,B3113=10),1,0)</f>
        <v>0</v>
      </c>
      <c r="Z3113" s="0" t="str">
        <f aca="false">IF(AND(C3112=C3113,W3112=W3113-1),X3112,"")</f>
        <v/>
      </c>
      <c r="AA3113" s="0" t="str">
        <f aca="false">IF(AND(C3112=C3113,W3112=W3113-1),Y3112,"")</f>
        <v/>
      </c>
      <c r="AB3113" s="0" t="str">
        <f aca="false">IF(W3113=1,"",IF(AND(X3113=1,Z3113&lt;&gt;1),1,0))</f>
        <v/>
      </c>
      <c r="AC3113" s="0" t="str">
        <f aca="false">IF(W3113=1,"",IF(AND(Y3113=1,AA3113&lt;&gt;1),1,0))</f>
        <v/>
      </c>
      <c r="AD3113" s="33" t="str">
        <f aca="false">IF(AND(E3113&gt;0,W3113&lt;1,NOT(AND(C3114=C3113,W3114=W3113+1))),INDEX(DATAS,W3113+1),"")</f>
        <v/>
      </c>
      <c r="AE3113" s="33" t="str">
        <f aca="false">IF(AND(Y3113=1,W3113&lt;1),IF(AND(C3114=C3113,W3114=W3113+1),IF(Y3114=1,"",INDEX(DATAS,W3113+1)),INDEX(DATAS,W3113+1)),"")</f>
        <v/>
      </c>
    </row>
    <row r="3114" customFormat="false" ht="15" hidden="false" customHeight="false" outlineLevel="0" collapsed="false">
      <c r="A3114" s="33" t="n">
        <v>46309</v>
      </c>
      <c r="B3114" s="0" t="n">
        <v>13</v>
      </c>
      <c r="C3114" s="0" t="n">
        <v>7525</v>
      </c>
      <c r="E3114" s="0" t="n">
        <v>0</v>
      </c>
      <c r="F3114" s="27" t="s">
        <v>1488</v>
      </c>
      <c r="I3114" s="27" t="s">
        <v>166</v>
      </c>
      <c r="U3114" s="0" t="n">
        <v>209</v>
      </c>
      <c r="V3114" s="0" t="n">
        <v>0</v>
      </c>
      <c r="W3114" s="27" t="n">
        <f aca="false">MATCH(A3114,DATAS,0)</f>
        <v>1</v>
      </c>
      <c r="X3114" s="27" t="n">
        <f aca="false">IF(AND(E3114&gt;0,OR(AND(B3114&gt;=1,B3114&lt;=6),B3114=10)),1,0)</f>
        <v>0</v>
      </c>
      <c r="Y3114" s="27" t="n">
        <f aca="false">IF(AND(E3114&gt;0,B3114=10),1,0)</f>
        <v>0</v>
      </c>
      <c r="Z3114" s="0" t="str">
        <f aca="false">IF(AND(C3113=C3114,W3113=W3114-1),X3113,"")</f>
        <v/>
      </c>
      <c r="AA3114" s="0" t="str">
        <f aca="false">IF(AND(C3113=C3114,W3113=W3114-1),Y3113,"")</f>
        <v/>
      </c>
      <c r="AB3114" s="0" t="str">
        <f aca="false">IF(W3114=1,"",IF(AND(X3114=1,Z3114&lt;&gt;1),1,0))</f>
        <v/>
      </c>
      <c r="AC3114" s="0" t="str">
        <f aca="false">IF(W3114=1,"",IF(AND(Y3114=1,AA3114&lt;&gt;1),1,0))</f>
        <v/>
      </c>
      <c r="AD3114" s="33" t="str">
        <f aca="false">IF(AND(E3114&gt;0,W3114&lt;1,NOT(AND(C3115=C3114,W3115=W3114+1))),INDEX(DATAS,W3114+1),"")</f>
        <v/>
      </c>
      <c r="AE3114" s="33" t="str">
        <f aca="false">IF(AND(Y3114=1,W3114&lt;1),IF(AND(C3115=C3114,W3115=W3114+1),IF(Y3115=1,"",INDEX(DATAS,W3114+1)),INDEX(DATAS,W3114+1)),"")</f>
        <v/>
      </c>
    </row>
    <row r="3115" customFormat="false" ht="15" hidden="false" customHeight="false" outlineLevel="0" collapsed="false">
      <c r="A3115" s="33" t="n">
        <v>46309</v>
      </c>
      <c r="B3115" s="0" t="n">
        <v>13</v>
      </c>
      <c r="C3115" s="0" t="n">
        <v>7526</v>
      </c>
      <c r="E3115" s="0" t="n">
        <v>0</v>
      </c>
      <c r="F3115" s="27" t="s">
        <v>1488</v>
      </c>
      <c r="I3115" s="27" t="s">
        <v>166</v>
      </c>
      <c r="U3115" s="0" t="n">
        <v>209</v>
      </c>
      <c r="V3115" s="0" t="n">
        <v>0</v>
      </c>
      <c r="W3115" s="27" t="n">
        <f aca="false">MATCH(A3115,DATAS,0)</f>
        <v>1</v>
      </c>
      <c r="X3115" s="27" t="n">
        <f aca="false">IF(AND(E3115&gt;0,OR(AND(B3115&gt;=1,B3115&lt;=6),B3115=10)),1,0)</f>
        <v>0</v>
      </c>
      <c r="Y3115" s="27" t="n">
        <f aca="false">IF(AND(E3115&gt;0,B3115=10),1,0)</f>
        <v>0</v>
      </c>
      <c r="Z3115" s="0" t="str">
        <f aca="false">IF(AND(C3114=C3115,W3114=W3115-1),X3114,"")</f>
        <v/>
      </c>
      <c r="AA3115" s="0" t="str">
        <f aca="false">IF(AND(C3114=C3115,W3114=W3115-1),Y3114,"")</f>
        <v/>
      </c>
      <c r="AB3115" s="0" t="str">
        <f aca="false">IF(W3115=1,"",IF(AND(X3115=1,Z3115&lt;&gt;1),1,0))</f>
        <v/>
      </c>
      <c r="AC3115" s="0" t="str">
        <f aca="false">IF(W3115=1,"",IF(AND(Y3115=1,AA3115&lt;&gt;1),1,0))</f>
        <v/>
      </c>
      <c r="AD3115" s="33" t="str">
        <f aca="false">IF(AND(E3115&gt;0,W3115&lt;1,NOT(AND(C3116=C3115,W3116=W3115+1))),INDEX(DATAS,W3115+1),"")</f>
        <v/>
      </c>
      <c r="AE3115" s="33" t="str">
        <f aca="false">IF(AND(Y3115=1,W3115&lt;1),IF(AND(C3116=C3115,W3116=W3115+1),IF(Y3116=1,"",INDEX(DATAS,W3115+1)),INDEX(DATAS,W3115+1)),"")</f>
        <v/>
      </c>
    </row>
    <row r="3116" customFormat="false" ht="15" hidden="false" customHeight="false" outlineLevel="0" collapsed="false">
      <c r="A3116" s="33" t="n">
        <v>46309</v>
      </c>
      <c r="B3116" s="0" t="n">
        <v>13</v>
      </c>
      <c r="C3116" s="0" t="n">
        <v>7527</v>
      </c>
      <c r="E3116" s="0" t="n">
        <v>0</v>
      </c>
      <c r="F3116" s="27" t="s">
        <v>1488</v>
      </c>
      <c r="I3116" s="27" t="s">
        <v>166</v>
      </c>
      <c r="U3116" s="0" t="n">
        <v>209</v>
      </c>
      <c r="V3116" s="0" t="n">
        <v>0</v>
      </c>
      <c r="W3116" s="27" t="n">
        <f aca="false">MATCH(A3116,DATAS,0)</f>
        <v>1</v>
      </c>
      <c r="X3116" s="27" t="n">
        <f aca="false">IF(AND(E3116&gt;0,OR(AND(B3116&gt;=1,B3116&lt;=6),B3116=10)),1,0)</f>
        <v>0</v>
      </c>
      <c r="Y3116" s="27" t="n">
        <f aca="false">IF(AND(E3116&gt;0,B3116=10),1,0)</f>
        <v>0</v>
      </c>
      <c r="Z3116" s="0" t="str">
        <f aca="false">IF(AND(C3115=C3116,W3115=W3116-1),X3115,"")</f>
        <v/>
      </c>
      <c r="AA3116" s="0" t="str">
        <f aca="false">IF(AND(C3115=C3116,W3115=W3116-1),Y3115,"")</f>
        <v/>
      </c>
      <c r="AB3116" s="0" t="str">
        <f aca="false">IF(W3116=1,"",IF(AND(X3116=1,Z3116&lt;&gt;1),1,0))</f>
        <v/>
      </c>
      <c r="AC3116" s="0" t="str">
        <f aca="false">IF(W3116=1,"",IF(AND(Y3116=1,AA3116&lt;&gt;1),1,0))</f>
        <v/>
      </c>
      <c r="AD3116" s="33" t="str">
        <f aca="false">IF(AND(E3116&gt;0,W3116&lt;1,NOT(AND(C3117=C3116,W3117=W3116+1))),INDEX(DATAS,W3116+1),"")</f>
        <v/>
      </c>
      <c r="AE3116" s="33" t="str">
        <f aca="false">IF(AND(Y3116=1,W3116&lt;1),IF(AND(C3117=C3116,W3117=W3116+1),IF(Y3117=1,"",INDEX(DATAS,W3116+1)),INDEX(DATAS,W3116+1)),"")</f>
        <v/>
      </c>
    </row>
    <row r="3117" customFormat="false" ht="15" hidden="false" customHeight="false" outlineLevel="0" collapsed="false">
      <c r="A3117" s="33" t="n">
        <v>46309</v>
      </c>
      <c r="B3117" s="0" t="n">
        <v>13</v>
      </c>
      <c r="C3117" s="0" t="n">
        <v>7528</v>
      </c>
      <c r="E3117" s="0" t="n">
        <v>0</v>
      </c>
      <c r="F3117" s="27" t="s">
        <v>1489</v>
      </c>
      <c r="I3117" s="27" t="s">
        <v>166</v>
      </c>
      <c r="U3117" s="0" t="n">
        <v>208</v>
      </c>
      <c r="V3117" s="0" t="n">
        <v>0</v>
      </c>
      <c r="W3117" s="27" t="n">
        <f aca="false">MATCH(A3117,DATAS,0)</f>
        <v>1</v>
      </c>
      <c r="X3117" s="27" t="n">
        <f aca="false">IF(AND(E3117&gt;0,OR(AND(B3117&gt;=1,B3117&lt;=6),B3117=10)),1,0)</f>
        <v>0</v>
      </c>
      <c r="Y3117" s="27" t="n">
        <f aca="false">IF(AND(E3117&gt;0,B3117=10),1,0)</f>
        <v>0</v>
      </c>
      <c r="Z3117" s="0" t="str">
        <f aca="false">IF(AND(C3116=C3117,W3116=W3117-1),X3116,"")</f>
        <v/>
      </c>
      <c r="AA3117" s="0" t="str">
        <f aca="false">IF(AND(C3116=C3117,W3116=W3117-1),Y3116,"")</f>
        <v/>
      </c>
      <c r="AB3117" s="0" t="str">
        <f aca="false">IF(W3117=1,"",IF(AND(X3117=1,Z3117&lt;&gt;1),1,0))</f>
        <v/>
      </c>
      <c r="AC3117" s="0" t="str">
        <f aca="false">IF(W3117=1,"",IF(AND(Y3117=1,AA3117&lt;&gt;1),1,0))</f>
        <v/>
      </c>
      <c r="AD3117" s="33" t="str">
        <f aca="false">IF(AND(E3117&gt;0,W3117&lt;1,NOT(AND(C3118=C3117,W3118=W3117+1))),INDEX(DATAS,W3117+1),"")</f>
        <v/>
      </c>
      <c r="AE3117" s="33" t="str">
        <f aca="false">IF(AND(Y3117=1,W3117&lt;1),IF(AND(C3118=C3117,W3118=W3117+1),IF(Y3118=1,"",INDEX(DATAS,W3117+1)),INDEX(DATAS,W3117+1)),"")</f>
        <v/>
      </c>
    </row>
    <row r="3118" customFormat="false" ht="15" hidden="false" customHeight="false" outlineLevel="0" collapsed="false">
      <c r="A3118" s="33" t="n">
        <v>46309</v>
      </c>
      <c r="B3118" s="0" t="n">
        <v>13</v>
      </c>
      <c r="C3118" s="0" t="n">
        <v>7529</v>
      </c>
      <c r="E3118" s="0" t="n">
        <v>0</v>
      </c>
      <c r="F3118" s="27" t="s">
        <v>1489</v>
      </c>
      <c r="I3118" s="27" t="s">
        <v>166</v>
      </c>
      <c r="U3118" s="0" t="n">
        <v>208</v>
      </c>
      <c r="V3118" s="0" t="n">
        <v>0</v>
      </c>
      <c r="W3118" s="27" t="n">
        <f aca="false">MATCH(A3118,DATAS,0)</f>
        <v>1</v>
      </c>
      <c r="X3118" s="27" t="n">
        <f aca="false">IF(AND(E3118&gt;0,OR(AND(B3118&gt;=1,B3118&lt;=6),B3118=10)),1,0)</f>
        <v>0</v>
      </c>
      <c r="Y3118" s="27" t="n">
        <f aca="false">IF(AND(E3118&gt;0,B3118=10),1,0)</f>
        <v>0</v>
      </c>
      <c r="Z3118" s="0" t="str">
        <f aca="false">IF(AND(C3117=C3118,W3117=W3118-1),X3117,"")</f>
        <v/>
      </c>
      <c r="AA3118" s="0" t="str">
        <f aca="false">IF(AND(C3117=C3118,W3117=W3118-1),Y3117,"")</f>
        <v/>
      </c>
      <c r="AB3118" s="0" t="str">
        <f aca="false">IF(W3118=1,"",IF(AND(X3118=1,Z3118&lt;&gt;1),1,0))</f>
        <v/>
      </c>
      <c r="AC3118" s="0" t="str">
        <f aca="false">IF(W3118=1,"",IF(AND(Y3118=1,AA3118&lt;&gt;1),1,0))</f>
        <v/>
      </c>
      <c r="AD3118" s="33" t="str">
        <f aca="false">IF(AND(E3118&gt;0,W3118&lt;1,NOT(AND(C3119=C3118,W3119=W3118+1))),INDEX(DATAS,W3118+1),"")</f>
        <v/>
      </c>
      <c r="AE3118" s="33" t="str">
        <f aca="false">IF(AND(Y3118=1,W3118&lt;1),IF(AND(C3119=C3118,W3119=W3118+1),IF(Y3119=1,"",INDEX(DATAS,W3118+1)),INDEX(DATAS,W3118+1)),"")</f>
        <v/>
      </c>
    </row>
    <row r="3119" customFormat="false" ht="15" hidden="false" customHeight="false" outlineLevel="0" collapsed="false">
      <c r="A3119" s="33" t="n">
        <v>46309</v>
      </c>
      <c r="B3119" s="0" t="n">
        <v>13</v>
      </c>
      <c r="C3119" s="0" t="n">
        <v>7530</v>
      </c>
      <c r="E3119" s="0" t="n">
        <v>0</v>
      </c>
      <c r="F3119" s="27" t="s">
        <v>1489</v>
      </c>
      <c r="I3119" s="27" t="s">
        <v>166</v>
      </c>
      <c r="U3119" s="0" t="n">
        <v>208</v>
      </c>
      <c r="V3119" s="0" t="n">
        <v>0</v>
      </c>
      <c r="W3119" s="27" t="n">
        <f aca="false">MATCH(A3119,DATAS,0)</f>
        <v>1</v>
      </c>
      <c r="X3119" s="27" t="n">
        <f aca="false">IF(AND(E3119&gt;0,OR(AND(B3119&gt;=1,B3119&lt;=6),B3119=10)),1,0)</f>
        <v>0</v>
      </c>
      <c r="Y3119" s="27" t="n">
        <f aca="false">IF(AND(E3119&gt;0,B3119=10),1,0)</f>
        <v>0</v>
      </c>
      <c r="Z3119" s="0" t="str">
        <f aca="false">IF(AND(C3118=C3119,W3118=W3119-1),X3118,"")</f>
        <v/>
      </c>
      <c r="AA3119" s="0" t="str">
        <f aca="false">IF(AND(C3118=C3119,W3118=W3119-1),Y3118,"")</f>
        <v/>
      </c>
      <c r="AB3119" s="0" t="str">
        <f aca="false">IF(W3119=1,"",IF(AND(X3119=1,Z3119&lt;&gt;1),1,0))</f>
        <v/>
      </c>
      <c r="AC3119" s="0" t="str">
        <f aca="false">IF(W3119=1,"",IF(AND(Y3119=1,AA3119&lt;&gt;1),1,0))</f>
        <v/>
      </c>
      <c r="AD3119" s="33" t="str">
        <f aca="false">IF(AND(E3119&gt;0,W3119&lt;1,NOT(AND(C3120=C3119,W3120=W3119+1))),INDEX(DATAS,W3119+1),"")</f>
        <v/>
      </c>
      <c r="AE3119" s="33" t="str">
        <f aca="false">IF(AND(Y3119=1,W3119&lt;1),IF(AND(C3120=C3119,W3120=W3119+1),IF(Y3120=1,"",INDEX(DATAS,W3119+1)),INDEX(DATAS,W3119+1)),"")</f>
        <v/>
      </c>
    </row>
    <row r="3120" customFormat="false" ht="15" hidden="false" customHeight="false" outlineLevel="0" collapsed="false">
      <c r="A3120" s="33" t="n">
        <v>46309</v>
      </c>
      <c r="B3120" s="0" t="n">
        <v>13</v>
      </c>
      <c r="C3120" s="0" t="n">
        <v>7531</v>
      </c>
      <c r="E3120" s="0" t="n">
        <v>0</v>
      </c>
      <c r="F3120" s="27" t="s">
        <v>1489</v>
      </c>
      <c r="I3120" s="27" t="s">
        <v>166</v>
      </c>
      <c r="U3120" s="0" t="n">
        <v>208</v>
      </c>
      <c r="V3120" s="0" t="n">
        <v>0</v>
      </c>
      <c r="W3120" s="27" t="n">
        <f aca="false">MATCH(A3120,DATAS,0)</f>
        <v>1</v>
      </c>
      <c r="X3120" s="27" t="n">
        <f aca="false">IF(AND(E3120&gt;0,OR(AND(B3120&gt;=1,B3120&lt;=6),B3120=10)),1,0)</f>
        <v>0</v>
      </c>
      <c r="Y3120" s="27" t="n">
        <f aca="false">IF(AND(E3120&gt;0,B3120=10),1,0)</f>
        <v>0</v>
      </c>
      <c r="Z3120" s="0" t="str">
        <f aca="false">IF(AND(C3119=C3120,W3119=W3120-1),X3119,"")</f>
        <v/>
      </c>
      <c r="AA3120" s="0" t="str">
        <f aca="false">IF(AND(C3119=C3120,W3119=W3120-1),Y3119,"")</f>
        <v/>
      </c>
      <c r="AB3120" s="0" t="str">
        <f aca="false">IF(W3120=1,"",IF(AND(X3120=1,Z3120&lt;&gt;1),1,0))</f>
        <v/>
      </c>
      <c r="AC3120" s="0" t="str">
        <f aca="false">IF(W3120=1,"",IF(AND(Y3120=1,AA3120&lt;&gt;1),1,0))</f>
        <v/>
      </c>
      <c r="AD3120" s="33" t="str">
        <f aca="false">IF(AND(E3120&gt;0,W3120&lt;1,NOT(AND(C3121=C3120,W3121=W3120+1))),INDEX(DATAS,W3120+1),"")</f>
        <v/>
      </c>
      <c r="AE3120" s="33" t="str">
        <f aca="false">IF(AND(Y3120=1,W3120&lt;1),IF(AND(C3121=C3120,W3121=W3120+1),IF(Y3121=1,"",INDEX(DATAS,W3120+1)),INDEX(DATAS,W3120+1)),"")</f>
        <v/>
      </c>
    </row>
    <row r="3121" customFormat="false" ht="15" hidden="false" customHeight="false" outlineLevel="0" collapsed="false">
      <c r="A3121" s="33" t="n">
        <v>46309</v>
      </c>
      <c r="B3121" s="0" t="n">
        <v>13</v>
      </c>
      <c r="C3121" s="0" t="n">
        <v>7532</v>
      </c>
      <c r="E3121" s="0" t="n">
        <v>0</v>
      </c>
      <c r="F3121" s="27" t="s">
        <v>1489</v>
      </c>
      <c r="I3121" s="27" t="s">
        <v>166</v>
      </c>
      <c r="U3121" s="0" t="n">
        <v>208</v>
      </c>
      <c r="V3121" s="0" t="n">
        <v>0</v>
      </c>
      <c r="W3121" s="27" t="n">
        <f aca="false">MATCH(A3121,DATAS,0)</f>
        <v>1</v>
      </c>
      <c r="X3121" s="27" t="n">
        <f aca="false">IF(AND(E3121&gt;0,OR(AND(B3121&gt;=1,B3121&lt;=6),B3121=10)),1,0)</f>
        <v>0</v>
      </c>
      <c r="Y3121" s="27" t="n">
        <f aca="false">IF(AND(E3121&gt;0,B3121=10),1,0)</f>
        <v>0</v>
      </c>
      <c r="Z3121" s="0" t="str">
        <f aca="false">IF(AND(C3120=C3121,W3120=W3121-1),X3120,"")</f>
        <v/>
      </c>
      <c r="AA3121" s="0" t="str">
        <f aca="false">IF(AND(C3120=C3121,W3120=W3121-1),Y3120,"")</f>
        <v/>
      </c>
      <c r="AB3121" s="0" t="str">
        <f aca="false">IF(W3121=1,"",IF(AND(X3121=1,Z3121&lt;&gt;1),1,0))</f>
        <v/>
      </c>
      <c r="AC3121" s="0" t="str">
        <f aca="false">IF(W3121=1,"",IF(AND(Y3121=1,AA3121&lt;&gt;1),1,0))</f>
        <v/>
      </c>
      <c r="AD3121" s="33" t="str">
        <f aca="false">IF(AND(E3121&gt;0,W3121&lt;1,NOT(AND(C3122=C3121,W3122=W3121+1))),INDEX(DATAS,W3121+1),"")</f>
        <v/>
      </c>
      <c r="AE3121" s="33" t="str">
        <f aca="false">IF(AND(Y3121=1,W3121&lt;1),IF(AND(C3122=C3121,W3122=W3121+1),IF(Y3122=1,"",INDEX(DATAS,W3121+1)),INDEX(DATAS,W3121+1)),"")</f>
        <v/>
      </c>
    </row>
    <row r="3122" customFormat="false" ht="15" hidden="false" customHeight="false" outlineLevel="0" collapsed="false">
      <c r="A3122" s="33" t="n">
        <v>46309</v>
      </c>
      <c r="B3122" s="0" t="n">
        <v>13</v>
      </c>
      <c r="C3122" s="0" t="n">
        <v>7533</v>
      </c>
      <c r="E3122" s="0" t="n">
        <v>0</v>
      </c>
      <c r="F3122" s="27" t="s">
        <v>1490</v>
      </c>
      <c r="I3122" s="27" t="s">
        <v>166</v>
      </c>
      <c r="U3122" s="0" t="n">
        <v>207</v>
      </c>
      <c r="V3122" s="0" t="n">
        <v>0</v>
      </c>
      <c r="W3122" s="27" t="n">
        <f aca="false">MATCH(A3122,DATAS,0)</f>
        <v>1</v>
      </c>
      <c r="X3122" s="27" t="n">
        <f aca="false">IF(AND(E3122&gt;0,OR(AND(B3122&gt;=1,B3122&lt;=6),B3122=10)),1,0)</f>
        <v>0</v>
      </c>
      <c r="Y3122" s="27" t="n">
        <f aca="false">IF(AND(E3122&gt;0,B3122=10),1,0)</f>
        <v>0</v>
      </c>
      <c r="Z3122" s="0" t="str">
        <f aca="false">IF(AND(C3121=C3122,W3121=W3122-1),X3121,"")</f>
        <v/>
      </c>
      <c r="AA3122" s="0" t="str">
        <f aca="false">IF(AND(C3121=C3122,W3121=W3122-1),Y3121,"")</f>
        <v/>
      </c>
      <c r="AB3122" s="0" t="str">
        <f aca="false">IF(W3122=1,"",IF(AND(X3122=1,Z3122&lt;&gt;1),1,0))</f>
        <v/>
      </c>
      <c r="AC3122" s="0" t="str">
        <f aca="false">IF(W3122=1,"",IF(AND(Y3122=1,AA3122&lt;&gt;1),1,0))</f>
        <v/>
      </c>
      <c r="AD3122" s="33" t="str">
        <f aca="false">IF(AND(E3122&gt;0,W3122&lt;1,NOT(AND(C3123=C3122,W3123=W3122+1))),INDEX(DATAS,W3122+1),"")</f>
        <v/>
      </c>
      <c r="AE3122" s="33" t="str">
        <f aca="false">IF(AND(Y3122=1,W3122&lt;1),IF(AND(C3123=C3122,W3123=W3122+1),IF(Y3123=1,"",INDEX(DATAS,W3122+1)),INDEX(DATAS,W3122+1)),"")</f>
        <v/>
      </c>
    </row>
    <row r="3123" customFormat="false" ht="15" hidden="false" customHeight="false" outlineLevel="0" collapsed="false">
      <c r="A3123" s="33" t="n">
        <v>46309</v>
      </c>
      <c r="B3123" s="0" t="n">
        <v>13</v>
      </c>
      <c r="C3123" s="0" t="n">
        <v>7534</v>
      </c>
      <c r="E3123" s="0" t="n">
        <v>0</v>
      </c>
      <c r="F3123" s="27" t="s">
        <v>1490</v>
      </c>
      <c r="I3123" s="27" t="s">
        <v>166</v>
      </c>
      <c r="U3123" s="0" t="n">
        <v>207</v>
      </c>
      <c r="V3123" s="0" t="n">
        <v>0</v>
      </c>
      <c r="W3123" s="27" t="n">
        <f aca="false">MATCH(A3123,DATAS,0)</f>
        <v>1</v>
      </c>
      <c r="X3123" s="27" t="n">
        <f aca="false">IF(AND(E3123&gt;0,OR(AND(B3123&gt;=1,B3123&lt;=6),B3123=10)),1,0)</f>
        <v>0</v>
      </c>
      <c r="Y3123" s="27" t="n">
        <f aca="false">IF(AND(E3123&gt;0,B3123=10),1,0)</f>
        <v>0</v>
      </c>
      <c r="Z3123" s="0" t="str">
        <f aca="false">IF(AND(C3122=C3123,W3122=W3123-1),X3122,"")</f>
        <v/>
      </c>
      <c r="AA3123" s="0" t="str">
        <f aca="false">IF(AND(C3122=C3123,W3122=W3123-1),Y3122,"")</f>
        <v/>
      </c>
      <c r="AB3123" s="0" t="str">
        <f aca="false">IF(W3123=1,"",IF(AND(X3123=1,Z3123&lt;&gt;1),1,0))</f>
        <v/>
      </c>
      <c r="AC3123" s="0" t="str">
        <f aca="false">IF(W3123=1,"",IF(AND(Y3123=1,AA3123&lt;&gt;1),1,0))</f>
        <v/>
      </c>
      <c r="AD3123" s="33" t="str">
        <f aca="false">IF(AND(E3123&gt;0,W3123&lt;1,NOT(AND(C3124=C3123,W3124=W3123+1))),INDEX(DATAS,W3123+1),"")</f>
        <v/>
      </c>
      <c r="AE3123" s="33" t="str">
        <f aca="false">IF(AND(Y3123=1,W3123&lt;1),IF(AND(C3124=C3123,W3124=W3123+1),IF(Y3124=1,"",INDEX(DATAS,W3123+1)),INDEX(DATAS,W3123+1)),"")</f>
        <v/>
      </c>
    </row>
    <row r="3124" customFormat="false" ht="15" hidden="false" customHeight="false" outlineLevel="0" collapsed="false">
      <c r="A3124" s="33" t="n">
        <v>46309</v>
      </c>
      <c r="B3124" s="0" t="n">
        <v>13</v>
      </c>
      <c r="C3124" s="0" t="n">
        <v>7535</v>
      </c>
      <c r="E3124" s="0" t="n">
        <v>0</v>
      </c>
      <c r="F3124" s="27" t="s">
        <v>1490</v>
      </c>
      <c r="I3124" s="27" t="s">
        <v>166</v>
      </c>
      <c r="U3124" s="0" t="n">
        <v>207</v>
      </c>
      <c r="V3124" s="0" t="n">
        <v>0</v>
      </c>
      <c r="W3124" s="27" t="n">
        <f aca="false">MATCH(A3124,DATAS,0)</f>
        <v>1</v>
      </c>
      <c r="X3124" s="27" t="n">
        <f aca="false">IF(AND(E3124&gt;0,OR(AND(B3124&gt;=1,B3124&lt;=6),B3124=10)),1,0)</f>
        <v>0</v>
      </c>
      <c r="Y3124" s="27" t="n">
        <f aca="false">IF(AND(E3124&gt;0,B3124=10),1,0)</f>
        <v>0</v>
      </c>
      <c r="Z3124" s="0" t="str">
        <f aca="false">IF(AND(C3123=C3124,W3123=W3124-1),X3123,"")</f>
        <v/>
      </c>
      <c r="AA3124" s="0" t="str">
        <f aca="false">IF(AND(C3123=C3124,W3123=W3124-1),Y3123,"")</f>
        <v/>
      </c>
      <c r="AB3124" s="0" t="str">
        <f aca="false">IF(W3124=1,"",IF(AND(X3124=1,Z3124&lt;&gt;1),1,0))</f>
        <v/>
      </c>
      <c r="AC3124" s="0" t="str">
        <f aca="false">IF(W3124=1,"",IF(AND(Y3124=1,AA3124&lt;&gt;1),1,0))</f>
        <v/>
      </c>
      <c r="AD3124" s="33" t="str">
        <f aca="false">IF(AND(E3124&gt;0,W3124&lt;1,NOT(AND(C3125=C3124,W3125=W3124+1))),INDEX(DATAS,W3124+1),"")</f>
        <v/>
      </c>
      <c r="AE3124" s="33" t="str">
        <f aca="false">IF(AND(Y3124=1,W3124&lt;1),IF(AND(C3125=C3124,W3125=W3124+1),IF(Y3125=1,"",INDEX(DATAS,W3124+1)),INDEX(DATAS,W3124+1)),"")</f>
        <v/>
      </c>
    </row>
    <row r="3125" customFormat="false" ht="15" hidden="false" customHeight="false" outlineLevel="0" collapsed="false">
      <c r="A3125" s="33" t="n">
        <v>46309</v>
      </c>
      <c r="B3125" s="0" t="n">
        <v>13</v>
      </c>
      <c r="C3125" s="0" t="n">
        <v>7536</v>
      </c>
      <c r="E3125" s="0" t="n">
        <v>0</v>
      </c>
      <c r="F3125" s="27" t="s">
        <v>1490</v>
      </c>
      <c r="I3125" s="27" t="s">
        <v>166</v>
      </c>
      <c r="U3125" s="0" t="n">
        <v>207</v>
      </c>
      <c r="V3125" s="0" t="n">
        <v>0</v>
      </c>
      <c r="W3125" s="27" t="n">
        <f aca="false">MATCH(A3125,DATAS,0)</f>
        <v>1</v>
      </c>
      <c r="X3125" s="27" t="n">
        <f aca="false">IF(AND(E3125&gt;0,OR(AND(B3125&gt;=1,B3125&lt;=6),B3125=10)),1,0)</f>
        <v>0</v>
      </c>
      <c r="Y3125" s="27" t="n">
        <f aca="false">IF(AND(E3125&gt;0,B3125=10),1,0)</f>
        <v>0</v>
      </c>
      <c r="Z3125" s="0" t="str">
        <f aca="false">IF(AND(C3124=C3125,W3124=W3125-1),X3124,"")</f>
        <v/>
      </c>
      <c r="AA3125" s="0" t="str">
        <f aca="false">IF(AND(C3124=C3125,W3124=W3125-1),Y3124,"")</f>
        <v/>
      </c>
      <c r="AB3125" s="0" t="str">
        <f aca="false">IF(W3125=1,"",IF(AND(X3125=1,Z3125&lt;&gt;1),1,0))</f>
        <v/>
      </c>
      <c r="AC3125" s="0" t="str">
        <f aca="false">IF(W3125=1,"",IF(AND(Y3125=1,AA3125&lt;&gt;1),1,0))</f>
        <v/>
      </c>
      <c r="AD3125" s="33" t="str">
        <f aca="false">IF(AND(E3125&gt;0,W3125&lt;1,NOT(AND(C3126=C3125,W3126=W3125+1))),INDEX(DATAS,W3125+1),"")</f>
        <v/>
      </c>
      <c r="AE3125" s="33" t="str">
        <f aca="false">IF(AND(Y3125=1,W3125&lt;1),IF(AND(C3126=C3125,W3126=W3125+1),IF(Y3126=1,"",INDEX(DATAS,W3125+1)),INDEX(DATAS,W3125+1)),"")</f>
        <v/>
      </c>
    </row>
    <row r="3126" customFormat="false" ht="15" hidden="false" customHeight="false" outlineLevel="0" collapsed="false">
      <c r="A3126" s="33" t="n">
        <v>46309</v>
      </c>
      <c r="B3126" s="0" t="n">
        <v>13</v>
      </c>
      <c r="C3126" s="0" t="n">
        <v>7537</v>
      </c>
      <c r="E3126" s="0" t="n">
        <v>0</v>
      </c>
      <c r="F3126" s="27" t="s">
        <v>1490</v>
      </c>
      <c r="I3126" s="27" t="s">
        <v>166</v>
      </c>
      <c r="U3126" s="0" t="n">
        <v>207</v>
      </c>
      <c r="V3126" s="0" t="n">
        <v>0</v>
      </c>
      <c r="W3126" s="27" t="n">
        <f aca="false">MATCH(A3126,DATAS,0)</f>
        <v>1</v>
      </c>
      <c r="X3126" s="27" t="n">
        <f aca="false">IF(AND(E3126&gt;0,OR(AND(B3126&gt;=1,B3126&lt;=6),B3126=10)),1,0)</f>
        <v>0</v>
      </c>
      <c r="Y3126" s="27" t="n">
        <f aca="false">IF(AND(E3126&gt;0,B3126=10),1,0)</f>
        <v>0</v>
      </c>
      <c r="Z3126" s="0" t="str">
        <f aca="false">IF(AND(C3125=C3126,W3125=W3126-1),X3125,"")</f>
        <v/>
      </c>
      <c r="AA3126" s="0" t="str">
        <f aca="false">IF(AND(C3125=C3126,W3125=W3126-1),Y3125,"")</f>
        <v/>
      </c>
      <c r="AB3126" s="0" t="str">
        <f aca="false">IF(W3126=1,"",IF(AND(X3126=1,Z3126&lt;&gt;1),1,0))</f>
        <v/>
      </c>
      <c r="AC3126" s="0" t="str">
        <f aca="false">IF(W3126=1,"",IF(AND(Y3126=1,AA3126&lt;&gt;1),1,0))</f>
        <v/>
      </c>
      <c r="AD3126" s="33" t="str">
        <f aca="false">IF(AND(E3126&gt;0,W3126&lt;1,NOT(AND(C3127=C3126,W3127=W3126+1))),INDEX(DATAS,W3126+1),"")</f>
        <v/>
      </c>
      <c r="AE3126" s="33" t="str">
        <f aca="false">IF(AND(Y3126=1,W3126&lt;1),IF(AND(C3127=C3126,W3127=W3126+1),IF(Y3127=1,"",INDEX(DATAS,W3126+1)),INDEX(DATAS,W3126+1)),"")</f>
        <v/>
      </c>
    </row>
    <row r="3127" customFormat="false" ht="15" hidden="false" customHeight="false" outlineLevel="0" collapsed="false">
      <c r="A3127" s="33" t="n">
        <v>46309</v>
      </c>
      <c r="B3127" s="0" t="n">
        <v>13</v>
      </c>
      <c r="C3127" s="0" t="n">
        <v>7538</v>
      </c>
      <c r="E3127" s="0" t="n">
        <v>0</v>
      </c>
      <c r="F3127" s="27" t="s">
        <v>1491</v>
      </c>
      <c r="I3127" s="27" t="s">
        <v>166</v>
      </c>
      <c r="U3127" s="0" t="n">
        <v>206</v>
      </c>
      <c r="V3127" s="0" t="n">
        <v>0</v>
      </c>
      <c r="W3127" s="27" t="n">
        <f aca="false">MATCH(A3127,DATAS,0)</f>
        <v>1</v>
      </c>
      <c r="X3127" s="27" t="n">
        <f aca="false">IF(AND(E3127&gt;0,OR(AND(B3127&gt;=1,B3127&lt;=6),B3127=10)),1,0)</f>
        <v>0</v>
      </c>
      <c r="Y3127" s="27" t="n">
        <f aca="false">IF(AND(E3127&gt;0,B3127=10),1,0)</f>
        <v>0</v>
      </c>
      <c r="Z3127" s="0" t="str">
        <f aca="false">IF(AND(C3126=C3127,W3126=W3127-1),X3126,"")</f>
        <v/>
      </c>
      <c r="AA3127" s="0" t="str">
        <f aca="false">IF(AND(C3126=C3127,W3126=W3127-1),Y3126,"")</f>
        <v/>
      </c>
      <c r="AB3127" s="0" t="str">
        <f aca="false">IF(W3127=1,"",IF(AND(X3127=1,Z3127&lt;&gt;1),1,0))</f>
        <v/>
      </c>
      <c r="AC3127" s="0" t="str">
        <f aca="false">IF(W3127=1,"",IF(AND(Y3127=1,AA3127&lt;&gt;1),1,0))</f>
        <v/>
      </c>
      <c r="AD3127" s="33" t="str">
        <f aca="false">IF(AND(E3127&gt;0,W3127&lt;1,NOT(AND(C3128=C3127,W3128=W3127+1))),INDEX(DATAS,W3127+1),"")</f>
        <v/>
      </c>
      <c r="AE3127" s="33" t="str">
        <f aca="false">IF(AND(Y3127=1,W3127&lt;1),IF(AND(C3128=C3127,W3128=W3127+1),IF(Y3128=1,"",INDEX(DATAS,W3127+1)),INDEX(DATAS,W3127+1)),"")</f>
        <v/>
      </c>
    </row>
    <row r="3128" customFormat="false" ht="15" hidden="false" customHeight="false" outlineLevel="0" collapsed="false">
      <c r="A3128" s="33" t="n">
        <v>46309</v>
      </c>
      <c r="B3128" s="0" t="n">
        <v>13</v>
      </c>
      <c r="C3128" s="0" t="n">
        <v>7539</v>
      </c>
      <c r="E3128" s="0" t="n">
        <v>0</v>
      </c>
      <c r="F3128" s="27" t="s">
        <v>1491</v>
      </c>
      <c r="I3128" s="27" t="s">
        <v>166</v>
      </c>
      <c r="U3128" s="0" t="n">
        <v>206</v>
      </c>
      <c r="V3128" s="0" t="n">
        <v>0</v>
      </c>
      <c r="W3128" s="27" t="n">
        <f aca="false">MATCH(A3128,DATAS,0)</f>
        <v>1</v>
      </c>
      <c r="X3128" s="27" t="n">
        <f aca="false">IF(AND(E3128&gt;0,OR(AND(B3128&gt;=1,B3128&lt;=6),B3128=10)),1,0)</f>
        <v>0</v>
      </c>
      <c r="Y3128" s="27" t="n">
        <f aca="false">IF(AND(E3128&gt;0,B3128=10),1,0)</f>
        <v>0</v>
      </c>
      <c r="Z3128" s="0" t="str">
        <f aca="false">IF(AND(C3127=C3128,W3127=W3128-1),X3127,"")</f>
        <v/>
      </c>
      <c r="AA3128" s="0" t="str">
        <f aca="false">IF(AND(C3127=C3128,W3127=W3128-1),Y3127,"")</f>
        <v/>
      </c>
      <c r="AB3128" s="0" t="str">
        <f aca="false">IF(W3128=1,"",IF(AND(X3128=1,Z3128&lt;&gt;1),1,0))</f>
        <v/>
      </c>
      <c r="AC3128" s="0" t="str">
        <f aca="false">IF(W3128=1,"",IF(AND(Y3128=1,AA3128&lt;&gt;1),1,0))</f>
        <v/>
      </c>
      <c r="AD3128" s="33" t="str">
        <f aca="false">IF(AND(E3128&gt;0,W3128&lt;1,NOT(AND(C3129=C3128,W3129=W3128+1))),INDEX(DATAS,W3128+1),"")</f>
        <v/>
      </c>
      <c r="AE3128" s="33" t="str">
        <f aca="false">IF(AND(Y3128=1,W3128&lt;1),IF(AND(C3129=C3128,W3129=W3128+1),IF(Y3129=1,"",INDEX(DATAS,W3128+1)),INDEX(DATAS,W3128+1)),"")</f>
        <v/>
      </c>
    </row>
    <row r="3129" customFormat="false" ht="15" hidden="false" customHeight="false" outlineLevel="0" collapsed="false">
      <c r="A3129" s="33" t="n">
        <v>46309</v>
      </c>
      <c r="B3129" s="0" t="n">
        <v>13</v>
      </c>
      <c r="C3129" s="0" t="n">
        <v>7540</v>
      </c>
      <c r="E3129" s="0" t="n">
        <v>0</v>
      </c>
      <c r="F3129" s="27" t="s">
        <v>1491</v>
      </c>
      <c r="I3129" s="27" t="s">
        <v>166</v>
      </c>
      <c r="U3129" s="0" t="n">
        <v>206</v>
      </c>
      <c r="V3129" s="0" t="n">
        <v>0</v>
      </c>
      <c r="W3129" s="27" t="n">
        <f aca="false">MATCH(A3129,DATAS,0)</f>
        <v>1</v>
      </c>
      <c r="X3129" s="27" t="n">
        <f aca="false">IF(AND(E3129&gt;0,OR(AND(B3129&gt;=1,B3129&lt;=6),B3129=10)),1,0)</f>
        <v>0</v>
      </c>
      <c r="Y3129" s="27" t="n">
        <f aca="false">IF(AND(E3129&gt;0,B3129=10),1,0)</f>
        <v>0</v>
      </c>
      <c r="Z3129" s="0" t="str">
        <f aca="false">IF(AND(C3128=C3129,W3128=W3129-1),X3128,"")</f>
        <v/>
      </c>
      <c r="AA3129" s="0" t="str">
        <f aca="false">IF(AND(C3128=C3129,W3128=W3129-1),Y3128,"")</f>
        <v/>
      </c>
      <c r="AB3129" s="0" t="str">
        <f aca="false">IF(W3129=1,"",IF(AND(X3129=1,Z3129&lt;&gt;1),1,0))</f>
        <v/>
      </c>
      <c r="AC3129" s="0" t="str">
        <f aca="false">IF(W3129=1,"",IF(AND(Y3129=1,AA3129&lt;&gt;1),1,0))</f>
        <v/>
      </c>
      <c r="AD3129" s="33" t="str">
        <f aca="false">IF(AND(E3129&gt;0,W3129&lt;1,NOT(AND(C3130=C3129,W3130=W3129+1))),INDEX(DATAS,W3129+1),"")</f>
        <v/>
      </c>
      <c r="AE3129" s="33" t="str">
        <f aca="false">IF(AND(Y3129=1,W3129&lt;1),IF(AND(C3130=C3129,W3130=W3129+1),IF(Y3130=1,"",INDEX(DATAS,W3129+1)),INDEX(DATAS,W3129+1)),"")</f>
        <v/>
      </c>
    </row>
    <row r="3130" customFormat="false" ht="15" hidden="false" customHeight="false" outlineLevel="0" collapsed="false">
      <c r="A3130" s="33" t="n">
        <v>46309</v>
      </c>
      <c r="B3130" s="0" t="n">
        <v>13</v>
      </c>
      <c r="C3130" s="0" t="n">
        <v>7543</v>
      </c>
      <c r="E3130" s="0" t="n">
        <v>0</v>
      </c>
      <c r="F3130" s="27" t="s">
        <v>1491</v>
      </c>
      <c r="I3130" s="27" t="s">
        <v>166</v>
      </c>
      <c r="U3130" s="0" t="n">
        <v>206</v>
      </c>
      <c r="V3130" s="0" t="n">
        <v>0</v>
      </c>
      <c r="W3130" s="27" t="n">
        <f aca="false">MATCH(A3130,DATAS,0)</f>
        <v>1</v>
      </c>
      <c r="X3130" s="27" t="n">
        <f aca="false">IF(AND(E3130&gt;0,OR(AND(B3130&gt;=1,B3130&lt;=6),B3130=10)),1,0)</f>
        <v>0</v>
      </c>
      <c r="Y3130" s="27" t="n">
        <f aca="false">IF(AND(E3130&gt;0,B3130=10),1,0)</f>
        <v>0</v>
      </c>
      <c r="Z3130" s="0" t="str">
        <f aca="false">IF(AND(C3129=C3130,W3129=W3130-1),X3129,"")</f>
        <v/>
      </c>
      <c r="AA3130" s="0" t="str">
        <f aca="false">IF(AND(C3129=C3130,W3129=W3130-1),Y3129,"")</f>
        <v/>
      </c>
      <c r="AB3130" s="0" t="str">
        <f aca="false">IF(W3130=1,"",IF(AND(X3130=1,Z3130&lt;&gt;1),1,0))</f>
        <v/>
      </c>
      <c r="AC3130" s="0" t="str">
        <f aca="false">IF(W3130=1,"",IF(AND(Y3130=1,AA3130&lt;&gt;1),1,0))</f>
        <v/>
      </c>
      <c r="AD3130" s="33" t="str">
        <f aca="false">IF(AND(E3130&gt;0,W3130&lt;1,NOT(AND(C3131=C3130,W3131=W3130+1))),INDEX(DATAS,W3130+1),"")</f>
        <v/>
      </c>
      <c r="AE3130" s="33" t="str">
        <f aca="false">IF(AND(Y3130=1,W3130&lt;1),IF(AND(C3131=C3130,W3131=W3130+1),IF(Y3131=1,"",INDEX(DATAS,W3130+1)),INDEX(DATAS,W3130+1)),"")</f>
        <v/>
      </c>
    </row>
    <row r="3131" customFormat="false" ht="15" hidden="false" customHeight="false" outlineLevel="0" collapsed="false">
      <c r="A3131" s="33" t="n">
        <v>46309</v>
      </c>
      <c r="B3131" s="0" t="n">
        <v>13</v>
      </c>
      <c r="C3131" s="0" t="n">
        <v>7544</v>
      </c>
      <c r="E3131" s="0" t="n">
        <v>0</v>
      </c>
      <c r="F3131" s="27" t="s">
        <v>1491</v>
      </c>
      <c r="I3131" s="27" t="s">
        <v>166</v>
      </c>
      <c r="U3131" s="0" t="n">
        <v>206</v>
      </c>
      <c r="V3131" s="0" t="n">
        <v>0</v>
      </c>
      <c r="W3131" s="27" t="n">
        <f aca="false">MATCH(A3131,DATAS,0)</f>
        <v>1</v>
      </c>
      <c r="X3131" s="27" t="n">
        <f aca="false">IF(AND(E3131&gt;0,OR(AND(B3131&gt;=1,B3131&lt;=6),B3131=10)),1,0)</f>
        <v>0</v>
      </c>
      <c r="Y3131" s="27" t="n">
        <f aca="false">IF(AND(E3131&gt;0,B3131=10),1,0)</f>
        <v>0</v>
      </c>
      <c r="Z3131" s="0" t="str">
        <f aca="false">IF(AND(C3130=C3131,W3130=W3131-1),X3130,"")</f>
        <v/>
      </c>
      <c r="AA3131" s="0" t="str">
        <f aca="false">IF(AND(C3130=C3131,W3130=W3131-1),Y3130,"")</f>
        <v/>
      </c>
      <c r="AB3131" s="0" t="str">
        <f aca="false">IF(W3131=1,"",IF(AND(X3131=1,Z3131&lt;&gt;1),1,0))</f>
        <v/>
      </c>
      <c r="AC3131" s="0" t="str">
        <f aca="false">IF(W3131=1,"",IF(AND(Y3131=1,AA3131&lt;&gt;1),1,0))</f>
        <v/>
      </c>
      <c r="AD3131" s="33" t="str">
        <f aca="false">IF(AND(E3131&gt;0,W3131&lt;1,NOT(AND(C3132=C3131,W3132=W3131+1))),INDEX(DATAS,W3131+1),"")</f>
        <v/>
      </c>
      <c r="AE3131" s="33" t="str">
        <f aca="false">IF(AND(Y3131=1,W3131&lt;1),IF(AND(C3132=C3131,W3132=W3131+1),IF(Y3132=1,"",INDEX(DATAS,W3131+1)),INDEX(DATAS,W3131+1)),"")</f>
        <v/>
      </c>
    </row>
    <row r="3132" customFormat="false" ht="15" hidden="false" customHeight="false" outlineLevel="0" collapsed="false">
      <c r="A3132" s="33" t="n">
        <v>46309</v>
      </c>
      <c r="B3132" s="0" t="n">
        <v>13</v>
      </c>
      <c r="C3132" s="0" t="n">
        <v>7546</v>
      </c>
      <c r="E3132" s="0" t="n">
        <v>0</v>
      </c>
      <c r="F3132" s="27" t="s">
        <v>1492</v>
      </c>
      <c r="I3132" s="27" t="s">
        <v>166</v>
      </c>
      <c r="U3132" s="0" t="n">
        <v>205</v>
      </c>
      <c r="V3132" s="0" t="n">
        <v>0</v>
      </c>
      <c r="W3132" s="27" t="n">
        <f aca="false">MATCH(A3132,DATAS,0)</f>
        <v>1</v>
      </c>
      <c r="X3132" s="27" t="n">
        <f aca="false">IF(AND(E3132&gt;0,OR(AND(B3132&gt;=1,B3132&lt;=6),B3132=10)),1,0)</f>
        <v>0</v>
      </c>
      <c r="Y3132" s="27" t="n">
        <f aca="false">IF(AND(E3132&gt;0,B3132=10),1,0)</f>
        <v>0</v>
      </c>
      <c r="Z3132" s="0" t="str">
        <f aca="false">IF(AND(C3131=C3132,W3131=W3132-1),X3131,"")</f>
        <v/>
      </c>
      <c r="AA3132" s="0" t="str">
        <f aca="false">IF(AND(C3131=C3132,W3131=W3132-1),Y3131,"")</f>
        <v/>
      </c>
      <c r="AB3132" s="0" t="str">
        <f aca="false">IF(W3132=1,"",IF(AND(X3132=1,Z3132&lt;&gt;1),1,0))</f>
        <v/>
      </c>
      <c r="AC3132" s="0" t="str">
        <f aca="false">IF(W3132=1,"",IF(AND(Y3132=1,AA3132&lt;&gt;1),1,0))</f>
        <v/>
      </c>
      <c r="AD3132" s="33" t="str">
        <f aca="false">IF(AND(E3132&gt;0,W3132&lt;1,NOT(AND(C3133=C3132,W3133=W3132+1))),INDEX(DATAS,W3132+1),"")</f>
        <v/>
      </c>
      <c r="AE3132" s="33" t="str">
        <f aca="false">IF(AND(Y3132=1,W3132&lt;1),IF(AND(C3133=C3132,W3133=W3132+1),IF(Y3133=1,"",INDEX(DATAS,W3132+1)),INDEX(DATAS,W3132+1)),"")</f>
        <v/>
      </c>
    </row>
    <row r="3133" customFormat="false" ht="15" hidden="false" customHeight="false" outlineLevel="0" collapsed="false">
      <c r="A3133" s="33" t="n">
        <v>46309</v>
      </c>
      <c r="B3133" s="0" t="n">
        <v>13</v>
      </c>
      <c r="C3133" s="0" t="n">
        <v>7547</v>
      </c>
      <c r="E3133" s="0" t="n">
        <v>0</v>
      </c>
      <c r="F3133" s="27" t="s">
        <v>1492</v>
      </c>
      <c r="I3133" s="27" t="s">
        <v>166</v>
      </c>
      <c r="U3133" s="0" t="n">
        <v>205</v>
      </c>
      <c r="V3133" s="0" t="n">
        <v>0</v>
      </c>
      <c r="W3133" s="27" t="n">
        <f aca="false">MATCH(A3133,DATAS,0)</f>
        <v>1</v>
      </c>
      <c r="X3133" s="27" t="n">
        <f aca="false">IF(AND(E3133&gt;0,OR(AND(B3133&gt;=1,B3133&lt;=6),B3133=10)),1,0)</f>
        <v>0</v>
      </c>
      <c r="Y3133" s="27" t="n">
        <f aca="false">IF(AND(E3133&gt;0,B3133=10),1,0)</f>
        <v>0</v>
      </c>
      <c r="Z3133" s="0" t="str">
        <f aca="false">IF(AND(C3132=C3133,W3132=W3133-1),X3132,"")</f>
        <v/>
      </c>
      <c r="AA3133" s="0" t="str">
        <f aca="false">IF(AND(C3132=C3133,W3132=W3133-1),Y3132,"")</f>
        <v/>
      </c>
      <c r="AB3133" s="0" t="str">
        <f aca="false">IF(W3133=1,"",IF(AND(X3133=1,Z3133&lt;&gt;1),1,0))</f>
        <v/>
      </c>
      <c r="AC3133" s="0" t="str">
        <f aca="false">IF(W3133=1,"",IF(AND(Y3133=1,AA3133&lt;&gt;1),1,0))</f>
        <v/>
      </c>
      <c r="AD3133" s="33" t="str">
        <f aca="false">IF(AND(E3133&gt;0,W3133&lt;1,NOT(AND(C3134=C3133,W3134=W3133+1))),INDEX(DATAS,W3133+1),"")</f>
        <v/>
      </c>
      <c r="AE3133" s="33" t="str">
        <f aca="false">IF(AND(Y3133=1,W3133&lt;1),IF(AND(C3134=C3133,W3134=W3133+1),IF(Y3134=1,"",INDEX(DATAS,W3133+1)),INDEX(DATAS,W3133+1)),"")</f>
        <v/>
      </c>
    </row>
    <row r="3134" customFormat="false" ht="15" hidden="false" customHeight="false" outlineLevel="0" collapsed="false">
      <c r="A3134" s="33" t="n">
        <v>46309</v>
      </c>
      <c r="B3134" s="0" t="n">
        <v>13</v>
      </c>
      <c r="C3134" s="0" t="n">
        <v>7549</v>
      </c>
      <c r="E3134" s="0" t="n">
        <v>0</v>
      </c>
      <c r="F3134" s="27" t="s">
        <v>1492</v>
      </c>
      <c r="I3134" s="27" t="s">
        <v>166</v>
      </c>
      <c r="U3134" s="0" t="n">
        <v>205</v>
      </c>
      <c r="V3134" s="0" t="n">
        <v>0</v>
      </c>
      <c r="W3134" s="27" t="n">
        <f aca="false">MATCH(A3134,DATAS,0)</f>
        <v>1</v>
      </c>
      <c r="X3134" s="27" t="n">
        <f aca="false">IF(AND(E3134&gt;0,OR(AND(B3134&gt;=1,B3134&lt;=6),B3134=10)),1,0)</f>
        <v>0</v>
      </c>
      <c r="Y3134" s="27" t="n">
        <f aca="false">IF(AND(E3134&gt;0,B3134=10),1,0)</f>
        <v>0</v>
      </c>
      <c r="Z3134" s="0" t="str">
        <f aca="false">IF(AND(C3133=C3134,W3133=W3134-1),X3133,"")</f>
        <v/>
      </c>
      <c r="AA3134" s="0" t="str">
        <f aca="false">IF(AND(C3133=C3134,W3133=W3134-1),Y3133,"")</f>
        <v/>
      </c>
      <c r="AB3134" s="0" t="str">
        <f aca="false">IF(W3134=1,"",IF(AND(X3134=1,Z3134&lt;&gt;1),1,0))</f>
        <v/>
      </c>
      <c r="AC3134" s="0" t="str">
        <f aca="false">IF(W3134=1,"",IF(AND(Y3134=1,AA3134&lt;&gt;1),1,0))</f>
        <v/>
      </c>
      <c r="AD3134" s="33" t="str">
        <f aca="false">IF(AND(E3134&gt;0,W3134&lt;1,NOT(AND(C3135=C3134,W3135=W3134+1))),INDEX(DATAS,W3134+1),"")</f>
        <v/>
      </c>
      <c r="AE3134" s="33" t="str">
        <f aca="false">IF(AND(Y3134=1,W3134&lt;1),IF(AND(C3135=C3134,W3135=W3134+1),IF(Y3135=1,"",INDEX(DATAS,W3134+1)),INDEX(DATAS,W3134+1)),"")</f>
        <v/>
      </c>
    </row>
    <row r="3135" customFormat="false" ht="15" hidden="false" customHeight="false" outlineLevel="0" collapsed="false">
      <c r="A3135" s="33" t="n">
        <v>46309</v>
      </c>
      <c r="B3135" s="0" t="n">
        <v>13</v>
      </c>
      <c r="C3135" s="0" t="n">
        <v>7550</v>
      </c>
      <c r="E3135" s="0" t="n">
        <v>0</v>
      </c>
      <c r="F3135" s="27" t="s">
        <v>1492</v>
      </c>
      <c r="I3135" s="27" t="s">
        <v>166</v>
      </c>
      <c r="U3135" s="0" t="n">
        <v>205</v>
      </c>
      <c r="V3135" s="0" t="n">
        <v>0</v>
      </c>
      <c r="W3135" s="27" t="n">
        <f aca="false">MATCH(A3135,DATAS,0)</f>
        <v>1</v>
      </c>
      <c r="X3135" s="27" t="n">
        <f aca="false">IF(AND(E3135&gt;0,OR(AND(B3135&gt;=1,B3135&lt;=6),B3135=10)),1,0)</f>
        <v>0</v>
      </c>
      <c r="Y3135" s="27" t="n">
        <f aca="false">IF(AND(E3135&gt;0,B3135=10),1,0)</f>
        <v>0</v>
      </c>
      <c r="Z3135" s="0" t="str">
        <f aca="false">IF(AND(C3134=C3135,W3134=W3135-1),X3134,"")</f>
        <v/>
      </c>
      <c r="AA3135" s="0" t="str">
        <f aca="false">IF(AND(C3134=C3135,W3134=W3135-1),Y3134,"")</f>
        <v/>
      </c>
      <c r="AB3135" s="0" t="str">
        <f aca="false">IF(W3135=1,"",IF(AND(X3135=1,Z3135&lt;&gt;1),1,0))</f>
        <v/>
      </c>
      <c r="AC3135" s="0" t="str">
        <f aca="false">IF(W3135=1,"",IF(AND(Y3135=1,AA3135&lt;&gt;1),1,0))</f>
        <v/>
      </c>
      <c r="AD3135" s="33" t="str">
        <f aca="false">IF(AND(E3135&gt;0,W3135&lt;1,NOT(AND(C3136=C3135,W3136=W3135+1))),INDEX(DATAS,W3135+1),"")</f>
        <v/>
      </c>
      <c r="AE3135" s="33" t="str">
        <f aca="false">IF(AND(Y3135=1,W3135&lt;1),IF(AND(C3136=C3135,W3136=W3135+1),IF(Y3136=1,"",INDEX(DATAS,W3135+1)),INDEX(DATAS,W3135+1)),"")</f>
        <v/>
      </c>
    </row>
    <row r="3136" customFormat="false" ht="15" hidden="false" customHeight="false" outlineLevel="0" collapsed="false">
      <c r="A3136" s="33" t="n">
        <v>46309</v>
      </c>
      <c r="B3136" s="0" t="n">
        <v>13</v>
      </c>
      <c r="C3136" s="0" t="n">
        <v>7551</v>
      </c>
      <c r="E3136" s="0" t="n">
        <v>0</v>
      </c>
      <c r="F3136" s="27" t="s">
        <v>1492</v>
      </c>
      <c r="I3136" s="27" t="s">
        <v>166</v>
      </c>
      <c r="U3136" s="0" t="n">
        <v>205</v>
      </c>
      <c r="V3136" s="0" t="n">
        <v>0</v>
      </c>
      <c r="W3136" s="27" t="n">
        <f aca="false">MATCH(A3136,DATAS,0)</f>
        <v>1</v>
      </c>
      <c r="X3136" s="27" t="n">
        <f aca="false">IF(AND(E3136&gt;0,OR(AND(B3136&gt;=1,B3136&lt;=6),B3136=10)),1,0)</f>
        <v>0</v>
      </c>
      <c r="Y3136" s="27" t="n">
        <f aca="false">IF(AND(E3136&gt;0,B3136=10),1,0)</f>
        <v>0</v>
      </c>
      <c r="Z3136" s="0" t="str">
        <f aca="false">IF(AND(C3135=C3136,W3135=W3136-1),X3135,"")</f>
        <v/>
      </c>
      <c r="AA3136" s="0" t="str">
        <f aca="false">IF(AND(C3135=C3136,W3135=W3136-1),Y3135,"")</f>
        <v/>
      </c>
      <c r="AB3136" s="0" t="str">
        <f aca="false">IF(W3136=1,"",IF(AND(X3136=1,Z3136&lt;&gt;1),1,0))</f>
        <v/>
      </c>
      <c r="AC3136" s="0" t="str">
        <f aca="false">IF(W3136=1,"",IF(AND(Y3136=1,AA3136&lt;&gt;1),1,0))</f>
        <v/>
      </c>
      <c r="AD3136" s="33" t="str">
        <f aca="false">IF(AND(E3136&gt;0,W3136&lt;1,NOT(AND(C3137=C3136,W3137=W3136+1))),INDEX(DATAS,W3136+1),"")</f>
        <v/>
      </c>
      <c r="AE3136" s="33" t="str">
        <f aca="false">IF(AND(Y3136=1,W3136&lt;1),IF(AND(C3137=C3136,W3137=W3136+1),IF(Y3137=1,"",INDEX(DATAS,W3136+1)),INDEX(DATAS,W3136+1)),"")</f>
        <v/>
      </c>
    </row>
    <row r="3137" customFormat="false" ht="15" hidden="false" customHeight="false" outlineLevel="0" collapsed="false">
      <c r="A3137" s="33" t="n">
        <v>46309</v>
      </c>
      <c r="B3137" s="0" t="n">
        <v>13</v>
      </c>
      <c r="C3137" s="0" t="n">
        <v>7552</v>
      </c>
      <c r="E3137" s="0" t="n">
        <v>0</v>
      </c>
      <c r="F3137" s="27" t="s">
        <v>1492</v>
      </c>
      <c r="I3137" s="27" t="s">
        <v>166</v>
      </c>
      <c r="U3137" s="0" t="n">
        <v>205</v>
      </c>
      <c r="V3137" s="0" t="n">
        <v>0</v>
      </c>
      <c r="W3137" s="27" t="n">
        <f aca="false">MATCH(A3137,DATAS,0)</f>
        <v>1</v>
      </c>
      <c r="X3137" s="27" t="n">
        <f aca="false">IF(AND(E3137&gt;0,OR(AND(B3137&gt;=1,B3137&lt;=6),B3137=10)),1,0)</f>
        <v>0</v>
      </c>
      <c r="Y3137" s="27" t="n">
        <f aca="false">IF(AND(E3137&gt;0,B3137=10),1,0)</f>
        <v>0</v>
      </c>
      <c r="Z3137" s="0" t="str">
        <f aca="false">IF(AND(C3136=C3137,W3136=W3137-1),X3136,"")</f>
        <v/>
      </c>
      <c r="AA3137" s="0" t="str">
        <f aca="false">IF(AND(C3136=C3137,W3136=W3137-1),Y3136,"")</f>
        <v/>
      </c>
      <c r="AB3137" s="0" t="str">
        <f aca="false">IF(W3137=1,"",IF(AND(X3137=1,Z3137&lt;&gt;1),1,0))</f>
        <v/>
      </c>
      <c r="AC3137" s="0" t="str">
        <f aca="false">IF(W3137=1,"",IF(AND(Y3137=1,AA3137&lt;&gt;1),1,0))</f>
        <v/>
      </c>
      <c r="AD3137" s="33" t="str">
        <f aca="false">IF(AND(E3137&gt;0,W3137&lt;1,NOT(AND(C3138=C3137,W3138=W3137+1))),INDEX(DATAS,W3137+1),"")</f>
        <v/>
      </c>
      <c r="AE3137" s="33" t="str">
        <f aca="false">IF(AND(Y3137=1,W3137&lt;1),IF(AND(C3138=C3137,W3138=W3137+1),IF(Y3138=1,"",INDEX(DATAS,W3137+1)),INDEX(DATAS,W3137+1)),"")</f>
        <v/>
      </c>
    </row>
    <row r="3138" customFormat="false" ht="15" hidden="false" customHeight="false" outlineLevel="0" collapsed="false">
      <c r="A3138" s="33" t="n">
        <v>46309</v>
      </c>
      <c r="B3138" s="0" t="n">
        <v>13</v>
      </c>
      <c r="C3138" s="0" t="n">
        <v>7553</v>
      </c>
      <c r="E3138" s="0" t="n">
        <v>0</v>
      </c>
      <c r="F3138" s="27" t="s">
        <v>1492</v>
      </c>
      <c r="I3138" s="27" t="s">
        <v>166</v>
      </c>
      <c r="U3138" s="0" t="n">
        <v>205</v>
      </c>
      <c r="V3138" s="0" t="n">
        <v>0</v>
      </c>
      <c r="W3138" s="27" t="n">
        <f aca="false">MATCH(A3138,DATAS,0)</f>
        <v>1</v>
      </c>
      <c r="X3138" s="27" t="n">
        <f aca="false">IF(AND(E3138&gt;0,OR(AND(B3138&gt;=1,B3138&lt;=6),B3138=10)),1,0)</f>
        <v>0</v>
      </c>
      <c r="Y3138" s="27" t="n">
        <f aca="false">IF(AND(E3138&gt;0,B3138=10),1,0)</f>
        <v>0</v>
      </c>
      <c r="Z3138" s="0" t="str">
        <f aca="false">IF(AND(C3137=C3138,W3137=W3138-1),X3137,"")</f>
        <v/>
      </c>
      <c r="AA3138" s="0" t="str">
        <f aca="false">IF(AND(C3137=C3138,W3137=W3138-1),Y3137,"")</f>
        <v/>
      </c>
      <c r="AB3138" s="0" t="str">
        <f aca="false">IF(W3138=1,"",IF(AND(X3138=1,Z3138&lt;&gt;1),1,0))</f>
        <v/>
      </c>
      <c r="AC3138" s="0" t="str">
        <f aca="false">IF(W3138=1,"",IF(AND(Y3138=1,AA3138&lt;&gt;1),1,0))</f>
        <v/>
      </c>
      <c r="AD3138" s="33" t="str">
        <f aca="false">IF(AND(E3138&gt;0,W3138&lt;1,NOT(AND(C3139=C3138,W3139=W3138+1))),INDEX(DATAS,W3138+1),"")</f>
        <v/>
      </c>
      <c r="AE3138" s="33" t="str">
        <f aca="false">IF(AND(Y3138=1,W3138&lt;1),IF(AND(C3139=C3138,W3139=W3138+1),IF(Y3139=1,"",INDEX(DATAS,W3138+1)),INDEX(DATAS,W3138+1)),"")</f>
        <v/>
      </c>
    </row>
    <row r="3139" customFormat="false" ht="15" hidden="false" customHeight="false" outlineLevel="0" collapsed="false">
      <c r="A3139" s="33" t="n">
        <v>46309</v>
      </c>
      <c r="B3139" s="0" t="n">
        <v>13</v>
      </c>
      <c r="C3139" s="0" t="n">
        <v>7554</v>
      </c>
      <c r="E3139" s="0" t="n">
        <v>0</v>
      </c>
      <c r="F3139" s="27" t="s">
        <v>1492</v>
      </c>
      <c r="I3139" s="27" t="s">
        <v>166</v>
      </c>
      <c r="U3139" s="0" t="n">
        <v>205</v>
      </c>
      <c r="V3139" s="0" t="n">
        <v>0</v>
      </c>
      <c r="W3139" s="27" t="n">
        <f aca="false">MATCH(A3139,DATAS,0)</f>
        <v>1</v>
      </c>
      <c r="X3139" s="27" t="n">
        <f aca="false">IF(AND(E3139&gt;0,OR(AND(B3139&gt;=1,B3139&lt;=6),B3139=10)),1,0)</f>
        <v>0</v>
      </c>
      <c r="Y3139" s="27" t="n">
        <f aca="false">IF(AND(E3139&gt;0,B3139=10),1,0)</f>
        <v>0</v>
      </c>
      <c r="Z3139" s="0" t="str">
        <f aca="false">IF(AND(C3138=C3139,W3138=W3139-1),X3138,"")</f>
        <v/>
      </c>
      <c r="AA3139" s="0" t="str">
        <f aca="false">IF(AND(C3138=C3139,W3138=W3139-1),Y3138,"")</f>
        <v/>
      </c>
      <c r="AB3139" s="0" t="str">
        <f aca="false">IF(W3139=1,"",IF(AND(X3139=1,Z3139&lt;&gt;1),1,0))</f>
        <v/>
      </c>
      <c r="AC3139" s="0" t="str">
        <f aca="false">IF(W3139=1,"",IF(AND(Y3139=1,AA3139&lt;&gt;1),1,0))</f>
        <v/>
      </c>
      <c r="AD3139" s="33" t="str">
        <f aca="false">IF(AND(E3139&gt;0,W3139&lt;1,NOT(AND(C3140=C3139,W3140=W3139+1))),INDEX(DATAS,W3139+1),"")</f>
        <v/>
      </c>
      <c r="AE3139" s="33" t="str">
        <f aca="false">IF(AND(Y3139=1,W3139&lt;1),IF(AND(C3140=C3139,W3140=W3139+1),IF(Y3140=1,"",INDEX(DATAS,W3139+1)),INDEX(DATAS,W3139+1)),"")</f>
        <v/>
      </c>
    </row>
    <row r="3140" customFormat="false" ht="15" hidden="false" customHeight="false" outlineLevel="0" collapsed="false">
      <c r="A3140" s="33" t="n">
        <v>46309</v>
      </c>
      <c r="B3140" s="0" t="n">
        <v>13</v>
      </c>
      <c r="C3140" s="0" t="n">
        <v>7555</v>
      </c>
      <c r="E3140" s="0" t="n">
        <v>0</v>
      </c>
      <c r="F3140" s="27" t="s">
        <v>1493</v>
      </c>
      <c r="I3140" s="27" t="s">
        <v>166</v>
      </c>
      <c r="U3140" s="0" t="n">
        <v>204</v>
      </c>
      <c r="V3140" s="0" t="n">
        <v>0</v>
      </c>
      <c r="W3140" s="27" t="n">
        <f aca="false">MATCH(A3140,DATAS,0)</f>
        <v>1</v>
      </c>
      <c r="X3140" s="27" t="n">
        <f aca="false">IF(AND(E3140&gt;0,OR(AND(B3140&gt;=1,B3140&lt;=6),B3140=10)),1,0)</f>
        <v>0</v>
      </c>
      <c r="Y3140" s="27" t="n">
        <f aca="false">IF(AND(E3140&gt;0,B3140=10),1,0)</f>
        <v>0</v>
      </c>
      <c r="Z3140" s="0" t="str">
        <f aca="false">IF(AND(C3139=C3140,W3139=W3140-1),X3139,"")</f>
        <v/>
      </c>
      <c r="AA3140" s="0" t="str">
        <f aca="false">IF(AND(C3139=C3140,W3139=W3140-1),Y3139,"")</f>
        <v/>
      </c>
      <c r="AB3140" s="0" t="str">
        <f aca="false">IF(W3140=1,"",IF(AND(X3140=1,Z3140&lt;&gt;1),1,0))</f>
        <v/>
      </c>
      <c r="AC3140" s="0" t="str">
        <f aca="false">IF(W3140=1,"",IF(AND(Y3140=1,AA3140&lt;&gt;1),1,0))</f>
        <v/>
      </c>
      <c r="AD3140" s="33" t="str">
        <f aca="false">IF(AND(E3140&gt;0,W3140&lt;1,NOT(AND(C3141=C3140,W3141=W3140+1))),INDEX(DATAS,W3140+1),"")</f>
        <v/>
      </c>
      <c r="AE3140" s="33" t="str">
        <f aca="false">IF(AND(Y3140=1,W3140&lt;1),IF(AND(C3141=C3140,W3141=W3140+1),IF(Y3141=1,"",INDEX(DATAS,W3140+1)),INDEX(DATAS,W3140+1)),"")</f>
        <v/>
      </c>
    </row>
    <row r="3141" customFormat="false" ht="15" hidden="false" customHeight="false" outlineLevel="0" collapsed="false">
      <c r="A3141" s="33" t="n">
        <v>46309</v>
      </c>
      <c r="B3141" s="0" t="n">
        <v>13</v>
      </c>
      <c r="C3141" s="0" t="n">
        <v>7556</v>
      </c>
      <c r="E3141" s="0" t="n">
        <v>0</v>
      </c>
      <c r="F3141" s="27" t="s">
        <v>1493</v>
      </c>
      <c r="I3141" s="27" t="s">
        <v>166</v>
      </c>
      <c r="U3141" s="0" t="n">
        <v>204</v>
      </c>
      <c r="V3141" s="0" t="n">
        <v>0</v>
      </c>
      <c r="W3141" s="27" t="n">
        <f aca="false">MATCH(A3141,DATAS,0)</f>
        <v>1</v>
      </c>
      <c r="X3141" s="27" t="n">
        <f aca="false">IF(AND(E3141&gt;0,OR(AND(B3141&gt;=1,B3141&lt;=6),B3141=10)),1,0)</f>
        <v>0</v>
      </c>
      <c r="Y3141" s="27" t="n">
        <f aca="false">IF(AND(E3141&gt;0,B3141=10),1,0)</f>
        <v>0</v>
      </c>
      <c r="Z3141" s="0" t="str">
        <f aca="false">IF(AND(C3140=C3141,W3140=W3141-1),X3140,"")</f>
        <v/>
      </c>
      <c r="AA3141" s="0" t="str">
        <f aca="false">IF(AND(C3140=C3141,W3140=W3141-1),Y3140,"")</f>
        <v/>
      </c>
      <c r="AB3141" s="0" t="str">
        <f aca="false">IF(W3141=1,"",IF(AND(X3141=1,Z3141&lt;&gt;1),1,0))</f>
        <v/>
      </c>
      <c r="AC3141" s="0" t="str">
        <f aca="false">IF(W3141=1,"",IF(AND(Y3141=1,AA3141&lt;&gt;1),1,0))</f>
        <v/>
      </c>
      <c r="AD3141" s="33" t="str">
        <f aca="false">IF(AND(E3141&gt;0,W3141&lt;1,NOT(AND(C3142=C3141,W3142=W3141+1))),INDEX(DATAS,W3141+1),"")</f>
        <v/>
      </c>
      <c r="AE3141" s="33" t="str">
        <f aca="false">IF(AND(Y3141=1,W3141&lt;1),IF(AND(C3142=C3141,W3142=W3141+1),IF(Y3142=1,"",INDEX(DATAS,W3141+1)),INDEX(DATAS,W3141+1)),"")</f>
        <v/>
      </c>
    </row>
    <row r="3142" customFormat="false" ht="15" hidden="false" customHeight="false" outlineLevel="0" collapsed="false">
      <c r="A3142" s="33" t="n">
        <v>46309</v>
      </c>
      <c r="B3142" s="0" t="n">
        <v>13</v>
      </c>
      <c r="C3142" s="0" t="n">
        <v>7557</v>
      </c>
      <c r="E3142" s="0" t="n">
        <v>0</v>
      </c>
      <c r="F3142" s="27" t="s">
        <v>1493</v>
      </c>
      <c r="I3142" s="27" t="s">
        <v>166</v>
      </c>
      <c r="U3142" s="0" t="n">
        <v>204</v>
      </c>
      <c r="V3142" s="0" t="n">
        <v>0</v>
      </c>
      <c r="W3142" s="27" t="n">
        <f aca="false">MATCH(A3142,DATAS,0)</f>
        <v>1</v>
      </c>
      <c r="X3142" s="27" t="n">
        <f aca="false">IF(AND(E3142&gt;0,OR(AND(B3142&gt;=1,B3142&lt;=6),B3142=10)),1,0)</f>
        <v>0</v>
      </c>
      <c r="Y3142" s="27" t="n">
        <f aca="false">IF(AND(E3142&gt;0,B3142=10),1,0)</f>
        <v>0</v>
      </c>
      <c r="Z3142" s="0" t="str">
        <f aca="false">IF(AND(C3141=C3142,W3141=W3142-1),X3141,"")</f>
        <v/>
      </c>
      <c r="AA3142" s="0" t="str">
        <f aca="false">IF(AND(C3141=C3142,W3141=W3142-1),Y3141,"")</f>
        <v/>
      </c>
      <c r="AB3142" s="0" t="str">
        <f aca="false">IF(W3142=1,"",IF(AND(X3142=1,Z3142&lt;&gt;1),1,0))</f>
        <v/>
      </c>
      <c r="AC3142" s="0" t="str">
        <f aca="false">IF(W3142=1,"",IF(AND(Y3142=1,AA3142&lt;&gt;1),1,0))</f>
        <v/>
      </c>
      <c r="AD3142" s="33" t="str">
        <f aca="false">IF(AND(E3142&gt;0,W3142&lt;1,NOT(AND(C3143=C3142,W3143=W3142+1))),INDEX(DATAS,W3142+1),"")</f>
        <v/>
      </c>
      <c r="AE3142" s="33" t="str">
        <f aca="false">IF(AND(Y3142=1,W3142&lt;1),IF(AND(C3143=C3142,W3143=W3142+1),IF(Y3143=1,"",INDEX(DATAS,W3142+1)),INDEX(DATAS,W3142+1)),"")</f>
        <v/>
      </c>
    </row>
    <row r="3143" customFormat="false" ht="15" hidden="false" customHeight="false" outlineLevel="0" collapsed="false">
      <c r="A3143" s="33" t="n">
        <v>46309</v>
      </c>
      <c r="B3143" s="0" t="n">
        <v>13</v>
      </c>
      <c r="C3143" s="0" t="n">
        <v>7558</v>
      </c>
      <c r="E3143" s="0" t="n">
        <v>0</v>
      </c>
      <c r="F3143" s="27" t="s">
        <v>1493</v>
      </c>
      <c r="I3143" s="27" t="s">
        <v>166</v>
      </c>
      <c r="U3143" s="0" t="n">
        <v>204</v>
      </c>
      <c r="V3143" s="0" t="n">
        <v>0</v>
      </c>
      <c r="W3143" s="27" t="n">
        <f aca="false">MATCH(A3143,DATAS,0)</f>
        <v>1</v>
      </c>
      <c r="X3143" s="27" t="n">
        <f aca="false">IF(AND(E3143&gt;0,OR(AND(B3143&gt;=1,B3143&lt;=6),B3143=10)),1,0)</f>
        <v>0</v>
      </c>
      <c r="Y3143" s="27" t="n">
        <f aca="false">IF(AND(E3143&gt;0,B3143=10),1,0)</f>
        <v>0</v>
      </c>
      <c r="Z3143" s="0" t="str">
        <f aca="false">IF(AND(C3142=C3143,W3142=W3143-1),X3142,"")</f>
        <v/>
      </c>
      <c r="AA3143" s="0" t="str">
        <f aca="false">IF(AND(C3142=C3143,W3142=W3143-1),Y3142,"")</f>
        <v/>
      </c>
      <c r="AB3143" s="0" t="str">
        <f aca="false">IF(W3143=1,"",IF(AND(X3143=1,Z3143&lt;&gt;1),1,0))</f>
        <v/>
      </c>
      <c r="AC3143" s="0" t="str">
        <f aca="false">IF(W3143=1,"",IF(AND(Y3143=1,AA3143&lt;&gt;1),1,0))</f>
        <v/>
      </c>
      <c r="AD3143" s="33" t="str">
        <f aca="false">IF(AND(E3143&gt;0,W3143&lt;1,NOT(AND(C3144=C3143,W3144=W3143+1))),INDEX(DATAS,W3143+1),"")</f>
        <v/>
      </c>
      <c r="AE3143" s="33" t="str">
        <f aca="false">IF(AND(Y3143=1,W3143&lt;1),IF(AND(C3144=C3143,W3144=W3143+1),IF(Y3144=1,"",INDEX(DATAS,W3143+1)),INDEX(DATAS,W3143+1)),"")</f>
        <v/>
      </c>
    </row>
    <row r="3144" customFormat="false" ht="15" hidden="false" customHeight="false" outlineLevel="0" collapsed="false">
      <c r="A3144" s="33" t="n">
        <v>46309</v>
      </c>
      <c r="B3144" s="0" t="n">
        <v>13</v>
      </c>
      <c r="C3144" s="0" t="n">
        <v>7559</v>
      </c>
      <c r="E3144" s="0" t="n">
        <v>0</v>
      </c>
      <c r="F3144" s="27" t="s">
        <v>1494</v>
      </c>
      <c r="I3144" s="27" t="s">
        <v>166</v>
      </c>
      <c r="U3144" s="0" t="n">
        <v>203</v>
      </c>
      <c r="V3144" s="0" t="n">
        <v>0</v>
      </c>
      <c r="W3144" s="27" t="n">
        <f aca="false">MATCH(A3144,DATAS,0)</f>
        <v>1</v>
      </c>
      <c r="X3144" s="27" t="n">
        <f aca="false">IF(AND(E3144&gt;0,OR(AND(B3144&gt;=1,B3144&lt;=6),B3144=10)),1,0)</f>
        <v>0</v>
      </c>
      <c r="Y3144" s="27" t="n">
        <f aca="false">IF(AND(E3144&gt;0,B3144=10),1,0)</f>
        <v>0</v>
      </c>
      <c r="Z3144" s="0" t="str">
        <f aca="false">IF(AND(C3143=C3144,W3143=W3144-1),X3143,"")</f>
        <v/>
      </c>
      <c r="AA3144" s="0" t="str">
        <f aca="false">IF(AND(C3143=C3144,W3143=W3144-1),Y3143,"")</f>
        <v/>
      </c>
      <c r="AB3144" s="0" t="str">
        <f aca="false">IF(W3144=1,"",IF(AND(X3144=1,Z3144&lt;&gt;1),1,0))</f>
        <v/>
      </c>
      <c r="AC3144" s="0" t="str">
        <f aca="false">IF(W3144=1,"",IF(AND(Y3144=1,AA3144&lt;&gt;1),1,0))</f>
        <v/>
      </c>
      <c r="AD3144" s="33" t="str">
        <f aca="false">IF(AND(E3144&gt;0,W3144&lt;1,NOT(AND(C3145=C3144,W3145=W3144+1))),INDEX(DATAS,W3144+1),"")</f>
        <v/>
      </c>
      <c r="AE3144" s="33" t="str">
        <f aca="false">IF(AND(Y3144=1,W3144&lt;1),IF(AND(C3145=C3144,W3145=W3144+1),IF(Y3145=1,"",INDEX(DATAS,W3144+1)),INDEX(DATAS,W3144+1)),"")</f>
        <v/>
      </c>
    </row>
    <row r="3145" customFormat="false" ht="15" hidden="false" customHeight="false" outlineLevel="0" collapsed="false">
      <c r="A3145" s="33" t="n">
        <v>46309</v>
      </c>
      <c r="B3145" s="0" t="n">
        <v>13</v>
      </c>
      <c r="C3145" s="0" t="n">
        <v>7560</v>
      </c>
      <c r="E3145" s="0" t="n">
        <v>0</v>
      </c>
      <c r="F3145" s="27" t="s">
        <v>1494</v>
      </c>
      <c r="I3145" s="27" t="s">
        <v>166</v>
      </c>
      <c r="U3145" s="0" t="n">
        <v>203</v>
      </c>
      <c r="V3145" s="0" t="n">
        <v>0</v>
      </c>
      <c r="W3145" s="27" t="n">
        <f aca="false">MATCH(A3145,DATAS,0)</f>
        <v>1</v>
      </c>
      <c r="X3145" s="27" t="n">
        <f aca="false">IF(AND(E3145&gt;0,OR(AND(B3145&gt;=1,B3145&lt;=6),B3145=10)),1,0)</f>
        <v>0</v>
      </c>
      <c r="Y3145" s="27" t="n">
        <f aca="false">IF(AND(E3145&gt;0,B3145=10),1,0)</f>
        <v>0</v>
      </c>
      <c r="Z3145" s="0" t="str">
        <f aca="false">IF(AND(C3144=C3145,W3144=W3145-1),X3144,"")</f>
        <v/>
      </c>
      <c r="AA3145" s="0" t="str">
        <f aca="false">IF(AND(C3144=C3145,W3144=W3145-1),Y3144,"")</f>
        <v/>
      </c>
      <c r="AB3145" s="0" t="str">
        <f aca="false">IF(W3145=1,"",IF(AND(X3145=1,Z3145&lt;&gt;1),1,0))</f>
        <v/>
      </c>
      <c r="AC3145" s="0" t="str">
        <f aca="false">IF(W3145=1,"",IF(AND(Y3145=1,AA3145&lt;&gt;1),1,0))</f>
        <v/>
      </c>
      <c r="AD3145" s="33" t="str">
        <f aca="false">IF(AND(E3145&gt;0,W3145&lt;1,NOT(AND(C3146=C3145,W3146=W3145+1))),INDEX(DATAS,W3145+1),"")</f>
        <v/>
      </c>
      <c r="AE3145" s="33" t="str">
        <f aca="false">IF(AND(Y3145=1,W3145&lt;1),IF(AND(C3146=C3145,W3146=W3145+1),IF(Y3146=1,"",INDEX(DATAS,W3145+1)),INDEX(DATAS,W3145+1)),"")</f>
        <v/>
      </c>
    </row>
    <row r="3146" customFormat="false" ht="15" hidden="false" customHeight="false" outlineLevel="0" collapsed="false">
      <c r="A3146" s="33" t="n">
        <v>46309</v>
      </c>
      <c r="B3146" s="0" t="n">
        <v>13</v>
      </c>
      <c r="C3146" s="0" t="n">
        <v>7561</v>
      </c>
      <c r="E3146" s="0" t="n">
        <v>0</v>
      </c>
      <c r="F3146" s="27" t="s">
        <v>1494</v>
      </c>
      <c r="I3146" s="27" t="s">
        <v>166</v>
      </c>
      <c r="U3146" s="0" t="n">
        <v>203</v>
      </c>
      <c r="V3146" s="0" t="n">
        <v>0</v>
      </c>
      <c r="W3146" s="27" t="n">
        <f aca="false">MATCH(A3146,DATAS,0)</f>
        <v>1</v>
      </c>
      <c r="X3146" s="27" t="n">
        <f aca="false">IF(AND(E3146&gt;0,OR(AND(B3146&gt;=1,B3146&lt;=6),B3146=10)),1,0)</f>
        <v>0</v>
      </c>
      <c r="Y3146" s="27" t="n">
        <f aca="false">IF(AND(E3146&gt;0,B3146=10),1,0)</f>
        <v>0</v>
      </c>
      <c r="Z3146" s="0" t="str">
        <f aca="false">IF(AND(C3145=C3146,W3145=W3146-1),X3145,"")</f>
        <v/>
      </c>
      <c r="AA3146" s="0" t="str">
        <f aca="false">IF(AND(C3145=C3146,W3145=W3146-1),Y3145,"")</f>
        <v/>
      </c>
      <c r="AB3146" s="0" t="str">
        <f aca="false">IF(W3146=1,"",IF(AND(X3146=1,Z3146&lt;&gt;1),1,0))</f>
        <v/>
      </c>
      <c r="AC3146" s="0" t="str">
        <f aca="false">IF(W3146=1,"",IF(AND(Y3146=1,AA3146&lt;&gt;1),1,0))</f>
        <v/>
      </c>
      <c r="AD3146" s="33" t="str">
        <f aca="false">IF(AND(E3146&gt;0,W3146&lt;1,NOT(AND(C3147=C3146,W3147=W3146+1))),INDEX(DATAS,W3146+1),"")</f>
        <v/>
      </c>
      <c r="AE3146" s="33" t="str">
        <f aca="false">IF(AND(Y3146=1,W3146&lt;1),IF(AND(C3147=C3146,W3147=W3146+1),IF(Y3147=1,"",INDEX(DATAS,W3146+1)),INDEX(DATAS,W3146+1)),"")</f>
        <v/>
      </c>
    </row>
    <row r="3147" customFormat="false" ht="15" hidden="false" customHeight="false" outlineLevel="0" collapsed="false">
      <c r="A3147" s="33" t="n">
        <v>46309</v>
      </c>
      <c r="B3147" s="0" t="n">
        <v>13</v>
      </c>
      <c r="C3147" s="0" t="n">
        <v>7562</v>
      </c>
      <c r="E3147" s="0" t="n">
        <v>0</v>
      </c>
      <c r="F3147" s="27" t="s">
        <v>1494</v>
      </c>
      <c r="I3147" s="27" t="s">
        <v>166</v>
      </c>
      <c r="U3147" s="0" t="n">
        <v>203</v>
      </c>
      <c r="V3147" s="0" t="n">
        <v>0</v>
      </c>
      <c r="W3147" s="27" t="n">
        <f aca="false">MATCH(A3147,DATAS,0)</f>
        <v>1</v>
      </c>
      <c r="X3147" s="27" t="n">
        <f aca="false">IF(AND(E3147&gt;0,OR(AND(B3147&gt;=1,B3147&lt;=6),B3147=10)),1,0)</f>
        <v>0</v>
      </c>
      <c r="Y3147" s="27" t="n">
        <f aca="false">IF(AND(E3147&gt;0,B3147=10),1,0)</f>
        <v>0</v>
      </c>
      <c r="Z3147" s="0" t="str">
        <f aca="false">IF(AND(C3146=C3147,W3146=W3147-1),X3146,"")</f>
        <v/>
      </c>
      <c r="AA3147" s="0" t="str">
        <f aca="false">IF(AND(C3146=C3147,W3146=W3147-1),Y3146,"")</f>
        <v/>
      </c>
      <c r="AB3147" s="0" t="str">
        <f aca="false">IF(W3147=1,"",IF(AND(X3147=1,Z3147&lt;&gt;1),1,0))</f>
        <v/>
      </c>
      <c r="AC3147" s="0" t="str">
        <f aca="false">IF(W3147=1,"",IF(AND(Y3147=1,AA3147&lt;&gt;1),1,0))</f>
        <v/>
      </c>
      <c r="AD3147" s="33" t="str">
        <f aca="false">IF(AND(E3147&gt;0,W3147&lt;1,NOT(AND(C3148=C3147,W3148=W3147+1))),INDEX(DATAS,W3147+1),"")</f>
        <v/>
      </c>
      <c r="AE3147" s="33" t="str">
        <f aca="false">IF(AND(Y3147=1,W3147&lt;1),IF(AND(C3148=C3147,W3148=W3147+1),IF(Y3148=1,"",INDEX(DATAS,W3147+1)),INDEX(DATAS,W3147+1)),"")</f>
        <v/>
      </c>
    </row>
    <row r="3148" customFormat="false" ht="15" hidden="false" customHeight="false" outlineLevel="0" collapsed="false">
      <c r="A3148" s="33" t="n">
        <v>46309</v>
      </c>
      <c r="B3148" s="0" t="n">
        <v>13</v>
      </c>
      <c r="C3148" s="0" t="n">
        <v>7563</v>
      </c>
      <c r="E3148" s="0" t="n">
        <v>0</v>
      </c>
      <c r="F3148" s="27" t="s">
        <v>1494</v>
      </c>
      <c r="I3148" s="27" t="s">
        <v>166</v>
      </c>
      <c r="U3148" s="0" t="n">
        <v>203</v>
      </c>
      <c r="V3148" s="0" t="n">
        <v>0</v>
      </c>
      <c r="W3148" s="27" t="n">
        <f aca="false">MATCH(A3148,DATAS,0)</f>
        <v>1</v>
      </c>
      <c r="X3148" s="27" t="n">
        <f aca="false">IF(AND(E3148&gt;0,OR(AND(B3148&gt;=1,B3148&lt;=6),B3148=10)),1,0)</f>
        <v>0</v>
      </c>
      <c r="Y3148" s="27" t="n">
        <f aca="false">IF(AND(E3148&gt;0,B3148=10),1,0)</f>
        <v>0</v>
      </c>
      <c r="Z3148" s="0" t="str">
        <f aca="false">IF(AND(C3147=C3148,W3147=W3148-1),X3147,"")</f>
        <v/>
      </c>
      <c r="AA3148" s="0" t="str">
        <f aca="false">IF(AND(C3147=C3148,W3147=W3148-1),Y3147,"")</f>
        <v/>
      </c>
      <c r="AB3148" s="0" t="str">
        <f aca="false">IF(W3148=1,"",IF(AND(X3148=1,Z3148&lt;&gt;1),1,0))</f>
        <v/>
      </c>
      <c r="AC3148" s="0" t="str">
        <f aca="false">IF(W3148=1,"",IF(AND(Y3148=1,AA3148&lt;&gt;1),1,0))</f>
        <v/>
      </c>
      <c r="AD3148" s="33" t="str">
        <f aca="false">IF(AND(E3148&gt;0,W3148&lt;1,NOT(AND(C3149=C3148,W3149=W3148+1))),INDEX(DATAS,W3148+1),"")</f>
        <v/>
      </c>
      <c r="AE3148" s="33" t="str">
        <f aca="false">IF(AND(Y3148=1,W3148&lt;1),IF(AND(C3149=C3148,W3149=W3148+1),IF(Y3149=1,"",INDEX(DATAS,W3148+1)),INDEX(DATAS,W3148+1)),"")</f>
        <v/>
      </c>
    </row>
    <row r="3149" customFormat="false" ht="15" hidden="false" customHeight="false" outlineLevel="0" collapsed="false">
      <c r="A3149" s="33" t="n">
        <v>46309</v>
      </c>
      <c r="B3149" s="0" t="n">
        <v>13</v>
      </c>
      <c r="C3149" s="0" t="n">
        <v>7564</v>
      </c>
      <c r="E3149" s="0" t="n">
        <v>0</v>
      </c>
      <c r="F3149" s="27" t="s">
        <v>1495</v>
      </c>
      <c r="I3149" s="27" t="s">
        <v>166</v>
      </c>
      <c r="U3149" s="0" t="n">
        <v>202</v>
      </c>
      <c r="V3149" s="0" t="n">
        <v>0</v>
      </c>
      <c r="W3149" s="27" t="n">
        <f aca="false">MATCH(A3149,DATAS,0)</f>
        <v>1</v>
      </c>
      <c r="X3149" s="27" t="n">
        <f aca="false">IF(AND(E3149&gt;0,OR(AND(B3149&gt;=1,B3149&lt;=6),B3149=10)),1,0)</f>
        <v>0</v>
      </c>
      <c r="Y3149" s="27" t="n">
        <f aca="false">IF(AND(E3149&gt;0,B3149=10),1,0)</f>
        <v>0</v>
      </c>
      <c r="Z3149" s="0" t="str">
        <f aca="false">IF(AND(C3148=C3149,W3148=W3149-1),X3148,"")</f>
        <v/>
      </c>
      <c r="AA3149" s="0" t="str">
        <f aca="false">IF(AND(C3148=C3149,W3148=W3149-1),Y3148,"")</f>
        <v/>
      </c>
      <c r="AB3149" s="0" t="str">
        <f aca="false">IF(W3149=1,"",IF(AND(X3149=1,Z3149&lt;&gt;1),1,0))</f>
        <v/>
      </c>
      <c r="AC3149" s="0" t="str">
        <f aca="false">IF(W3149=1,"",IF(AND(Y3149=1,AA3149&lt;&gt;1),1,0))</f>
        <v/>
      </c>
      <c r="AD3149" s="33" t="str">
        <f aca="false">IF(AND(E3149&gt;0,W3149&lt;1,NOT(AND(C3150=C3149,W3150=W3149+1))),INDEX(DATAS,W3149+1),"")</f>
        <v/>
      </c>
      <c r="AE3149" s="33" t="str">
        <f aca="false">IF(AND(Y3149=1,W3149&lt;1),IF(AND(C3150=C3149,W3150=W3149+1),IF(Y3150=1,"",INDEX(DATAS,W3149+1)),INDEX(DATAS,W3149+1)),"")</f>
        <v/>
      </c>
    </row>
    <row r="3150" customFormat="false" ht="15" hidden="false" customHeight="false" outlineLevel="0" collapsed="false">
      <c r="A3150" s="33" t="n">
        <v>46309</v>
      </c>
      <c r="B3150" s="0" t="n">
        <v>13</v>
      </c>
      <c r="C3150" s="0" t="n">
        <v>7565</v>
      </c>
      <c r="E3150" s="0" t="n">
        <v>0</v>
      </c>
      <c r="F3150" s="27" t="s">
        <v>1495</v>
      </c>
      <c r="I3150" s="27" t="s">
        <v>166</v>
      </c>
      <c r="U3150" s="0" t="n">
        <v>202</v>
      </c>
      <c r="V3150" s="0" t="n">
        <v>0</v>
      </c>
      <c r="W3150" s="27" t="n">
        <f aca="false">MATCH(A3150,DATAS,0)</f>
        <v>1</v>
      </c>
      <c r="X3150" s="27" t="n">
        <f aca="false">IF(AND(E3150&gt;0,OR(AND(B3150&gt;=1,B3150&lt;=6),B3150=10)),1,0)</f>
        <v>0</v>
      </c>
      <c r="Y3150" s="27" t="n">
        <f aca="false">IF(AND(E3150&gt;0,B3150=10),1,0)</f>
        <v>0</v>
      </c>
      <c r="Z3150" s="0" t="str">
        <f aca="false">IF(AND(C3149=C3150,W3149=W3150-1),X3149,"")</f>
        <v/>
      </c>
      <c r="AA3150" s="0" t="str">
        <f aca="false">IF(AND(C3149=C3150,W3149=W3150-1),Y3149,"")</f>
        <v/>
      </c>
      <c r="AB3150" s="0" t="str">
        <f aca="false">IF(W3150=1,"",IF(AND(X3150=1,Z3150&lt;&gt;1),1,0))</f>
        <v/>
      </c>
      <c r="AC3150" s="0" t="str">
        <f aca="false">IF(W3150=1,"",IF(AND(Y3150=1,AA3150&lt;&gt;1),1,0))</f>
        <v/>
      </c>
      <c r="AD3150" s="33" t="str">
        <f aca="false">IF(AND(E3150&gt;0,W3150&lt;1,NOT(AND(C3151=C3150,W3151=W3150+1))),INDEX(DATAS,W3150+1),"")</f>
        <v/>
      </c>
      <c r="AE3150" s="33" t="str">
        <f aca="false">IF(AND(Y3150=1,W3150&lt;1),IF(AND(C3151=C3150,W3151=W3150+1),IF(Y3151=1,"",INDEX(DATAS,W3150+1)),INDEX(DATAS,W3150+1)),"")</f>
        <v/>
      </c>
    </row>
    <row r="3151" customFormat="false" ht="15" hidden="false" customHeight="false" outlineLevel="0" collapsed="false">
      <c r="A3151" s="33" t="n">
        <v>46309</v>
      </c>
      <c r="B3151" s="0" t="n">
        <v>13</v>
      </c>
      <c r="C3151" s="0" t="n">
        <v>7566</v>
      </c>
      <c r="E3151" s="0" t="n">
        <v>0</v>
      </c>
      <c r="F3151" s="27" t="s">
        <v>1495</v>
      </c>
      <c r="I3151" s="27" t="s">
        <v>166</v>
      </c>
      <c r="U3151" s="0" t="n">
        <v>202</v>
      </c>
      <c r="V3151" s="0" t="n">
        <v>0</v>
      </c>
      <c r="W3151" s="27" t="n">
        <f aca="false">MATCH(A3151,DATAS,0)</f>
        <v>1</v>
      </c>
      <c r="X3151" s="27" t="n">
        <f aca="false">IF(AND(E3151&gt;0,OR(AND(B3151&gt;=1,B3151&lt;=6),B3151=10)),1,0)</f>
        <v>0</v>
      </c>
      <c r="Y3151" s="27" t="n">
        <f aca="false">IF(AND(E3151&gt;0,B3151=10),1,0)</f>
        <v>0</v>
      </c>
      <c r="Z3151" s="0" t="str">
        <f aca="false">IF(AND(C3150=C3151,W3150=W3151-1),X3150,"")</f>
        <v/>
      </c>
      <c r="AA3151" s="0" t="str">
        <f aca="false">IF(AND(C3150=C3151,W3150=W3151-1),Y3150,"")</f>
        <v/>
      </c>
      <c r="AB3151" s="0" t="str">
        <f aca="false">IF(W3151=1,"",IF(AND(X3151=1,Z3151&lt;&gt;1),1,0))</f>
        <v/>
      </c>
      <c r="AC3151" s="0" t="str">
        <f aca="false">IF(W3151=1,"",IF(AND(Y3151=1,AA3151&lt;&gt;1),1,0))</f>
        <v/>
      </c>
      <c r="AD3151" s="33" t="str">
        <f aca="false">IF(AND(E3151&gt;0,W3151&lt;1,NOT(AND(C3152=C3151,W3152=W3151+1))),INDEX(DATAS,W3151+1),"")</f>
        <v/>
      </c>
      <c r="AE3151" s="33" t="str">
        <f aca="false">IF(AND(Y3151=1,W3151&lt;1),IF(AND(C3152=C3151,W3152=W3151+1),IF(Y3152=1,"",INDEX(DATAS,W3151+1)),INDEX(DATAS,W3151+1)),"")</f>
        <v/>
      </c>
    </row>
    <row r="3152" customFormat="false" ht="15" hidden="false" customHeight="false" outlineLevel="0" collapsed="false">
      <c r="A3152" s="33" t="n">
        <v>46309</v>
      </c>
      <c r="B3152" s="0" t="n">
        <v>13</v>
      </c>
      <c r="C3152" s="0" t="n">
        <v>7568</v>
      </c>
      <c r="E3152" s="0" t="n">
        <v>0</v>
      </c>
      <c r="F3152" s="27" t="s">
        <v>1496</v>
      </c>
      <c r="I3152" s="27" t="s">
        <v>166</v>
      </c>
      <c r="U3152" s="0" t="n">
        <v>201</v>
      </c>
      <c r="V3152" s="0" t="n">
        <v>0</v>
      </c>
      <c r="W3152" s="27" t="n">
        <f aca="false">MATCH(A3152,DATAS,0)</f>
        <v>1</v>
      </c>
      <c r="X3152" s="27" t="n">
        <f aca="false">IF(AND(E3152&gt;0,OR(AND(B3152&gt;=1,B3152&lt;=6),B3152=10)),1,0)</f>
        <v>0</v>
      </c>
      <c r="Y3152" s="27" t="n">
        <f aca="false">IF(AND(E3152&gt;0,B3152=10),1,0)</f>
        <v>0</v>
      </c>
      <c r="Z3152" s="0" t="str">
        <f aca="false">IF(AND(C3151=C3152,W3151=W3152-1),X3151,"")</f>
        <v/>
      </c>
      <c r="AA3152" s="0" t="str">
        <f aca="false">IF(AND(C3151=C3152,W3151=W3152-1),Y3151,"")</f>
        <v/>
      </c>
      <c r="AB3152" s="0" t="str">
        <f aca="false">IF(W3152=1,"",IF(AND(X3152=1,Z3152&lt;&gt;1),1,0))</f>
        <v/>
      </c>
      <c r="AC3152" s="0" t="str">
        <f aca="false">IF(W3152=1,"",IF(AND(Y3152=1,AA3152&lt;&gt;1),1,0))</f>
        <v/>
      </c>
      <c r="AD3152" s="33" t="str">
        <f aca="false">IF(AND(E3152&gt;0,W3152&lt;1,NOT(AND(C3153=C3152,W3153=W3152+1))),INDEX(DATAS,W3152+1),"")</f>
        <v/>
      </c>
      <c r="AE3152" s="33" t="str">
        <f aca="false">IF(AND(Y3152=1,W3152&lt;1),IF(AND(C3153=C3152,W3153=W3152+1),IF(Y3153=1,"",INDEX(DATAS,W3152+1)),INDEX(DATAS,W3152+1)),"")</f>
        <v/>
      </c>
    </row>
    <row r="3153" customFormat="false" ht="15" hidden="false" customHeight="false" outlineLevel="0" collapsed="false">
      <c r="A3153" s="33" t="n">
        <v>46309</v>
      </c>
      <c r="B3153" s="0" t="n">
        <v>13</v>
      </c>
      <c r="C3153" s="0" t="n">
        <v>7570</v>
      </c>
      <c r="E3153" s="0" t="n">
        <v>0</v>
      </c>
      <c r="F3153" s="27" t="s">
        <v>1496</v>
      </c>
      <c r="I3153" s="27" t="s">
        <v>166</v>
      </c>
      <c r="U3153" s="0" t="n">
        <v>201</v>
      </c>
      <c r="V3153" s="0" t="n">
        <v>0</v>
      </c>
      <c r="W3153" s="27" t="n">
        <f aca="false">MATCH(A3153,DATAS,0)</f>
        <v>1</v>
      </c>
      <c r="X3153" s="27" t="n">
        <f aca="false">IF(AND(E3153&gt;0,OR(AND(B3153&gt;=1,B3153&lt;=6),B3153=10)),1,0)</f>
        <v>0</v>
      </c>
      <c r="Y3153" s="27" t="n">
        <f aca="false">IF(AND(E3153&gt;0,B3153=10),1,0)</f>
        <v>0</v>
      </c>
      <c r="Z3153" s="0" t="str">
        <f aca="false">IF(AND(C3152=C3153,W3152=W3153-1),X3152,"")</f>
        <v/>
      </c>
      <c r="AA3153" s="0" t="str">
        <f aca="false">IF(AND(C3152=C3153,W3152=W3153-1),Y3152,"")</f>
        <v/>
      </c>
      <c r="AB3153" s="0" t="str">
        <f aca="false">IF(W3153=1,"",IF(AND(X3153=1,Z3153&lt;&gt;1),1,0))</f>
        <v/>
      </c>
      <c r="AC3153" s="0" t="str">
        <f aca="false">IF(W3153=1,"",IF(AND(Y3153=1,AA3153&lt;&gt;1),1,0))</f>
        <v/>
      </c>
      <c r="AD3153" s="33" t="str">
        <f aca="false">IF(AND(E3153&gt;0,W3153&lt;1,NOT(AND(C3154=C3153,W3154=W3153+1))),INDEX(DATAS,W3153+1),"")</f>
        <v/>
      </c>
      <c r="AE3153" s="33" t="str">
        <f aca="false">IF(AND(Y3153=1,W3153&lt;1),IF(AND(C3154=C3153,W3154=W3153+1),IF(Y3154=1,"",INDEX(DATAS,W3153+1)),INDEX(DATAS,W3153+1)),"")</f>
        <v/>
      </c>
    </row>
    <row r="3154" customFormat="false" ht="15" hidden="false" customHeight="false" outlineLevel="0" collapsed="false">
      <c r="A3154" s="33" t="n">
        <v>46309</v>
      </c>
      <c r="B3154" s="0" t="n">
        <v>13</v>
      </c>
      <c r="C3154" s="0" t="n">
        <v>7571</v>
      </c>
      <c r="E3154" s="0" t="n">
        <v>0</v>
      </c>
      <c r="F3154" s="27" t="s">
        <v>1496</v>
      </c>
      <c r="I3154" s="27" t="s">
        <v>166</v>
      </c>
      <c r="U3154" s="0" t="n">
        <v>201</v>
      </c>
      <c r="V3154" s="0" t="n">
        <v>0</v>
      </c>
      <c r="W3154" s="27" t="n">
        <f aca="false">MATCH(A3154,DATAS,0)</f>
        <v>1</v>
      </c>
      <c r="X3154" s="27" t="n">
        <f aca="false">IF(AND(E3154&gt;0,OR(AND(B3154&gt;=1,B3154&lt;=6),B3154=10)),1,0)</f>
        <v>0</v>
      </c>
      <c r="Y3154" s="27" t="n">
        <f aca="false">IF(AND(E3154&gt;0,B3154=10),1,0)</f>
        <v>0</v>
      </c>
      <c r="Z3154" s="0" t="str">
        <f aca="false">IF(AND(C3153=C3154,W3153=W3154-1),X3153,"")</f>
        <v/>
      </c>
      <c r="AA3154" s="0" t="str">
        <f aca="false">IF(AND(C3153=C3154,W3153=W3154-1),Y3153,"")</f>
        <v/>
      </c>
      <c r="AB3154" s="0" t="str">
        <f aca="false">IF(W3154=1,"",IF(AND(X3154=1,Z3154&lt;&gt;1),1,0))</f>
        <v/>
      </c>
      <c r="AC3154" s="0" t="str">
        <f aca="false">IF(W3154=1,"",IF(AND(Y3154=1,AA3154&lt;&gt;1),1,0))</f>
        <v/>
      </c>
      <c r="AD3154" s="33" t="str">
        <f aca="false">IF(AND(E3154&gt;0,W3154&lt;1,NOT(AND(C3155=C3154,W3155=W3154+1))),INDEX(DATAS,W3154+1),"")</f>
        <v/>
      </c>
      <c r="AE3154" s="33" t="str">
        <f aca="false">IF(AND(Y3154=1,W3154&lt;1),IF(AND(C3155=C3154,W3155=W3154+1),IF(Y3155=1,"",INDEX(DATAS,W3154+1)),INDEX(DATAS,W3154+1)),"")</f>
        <v/>
      </c>
    </row>
    <row r="3155" customFormat="false" ht="15" hidden="false" customHeight="false" outlineLevel="0" collapsed="false">
      <c r="A3155" s="33" t="n">
        <v>46309</v>
      </c>
      <c r="B3155" s="0" t="n">
        <v>13</v>
      </c>
      <c r="C3155" s="0" t="n">
        <v>7572</v>
      </c>
      <c r="E3155" s="0" t="n">
        <v>0</v>
      </c>
      <c r="F3155" s="27" t="s">
        <v>1497</v>
      </c>
      <c r="I3155" s="27" t="s">
        <v>166</v>
      </c>
      <c r="U3155" s="0" t="n">
        <v>200</v>
      </c>
      <c r="V3155" s="0" t="n">
        <v>0</v>
      </c>
      <c r="W3155" s="27" t="n">
        <f aca="false">MATCH(A3155,DATAS,0)</f>
        <v>1</v>
      </c>
      <c r="X3155" s="27" t="n">
        <f aca="false">IF(AND(E3155&gt;0,OR(AND(B3155&gt;=1,B3155&lt;=6),B3155=10)),1,0)</f>
        <v>0</v>
      </c>
      <c r="Y3155" s="27" t="n">
        <f aca="false">IF(AND(E3155&gt;0,B3155=10),1,0)</f>
        <v>0</v>
      </c>
      <c r="Z3155" s="0" t="str">
        <f aca="false">IF(AND(C3154=C3155,W3154=W3155-1),X3154,"")</f>
        <v/>
      </c>
      <c r="AA3155" s="0" t="str">
        <f aca="false">IF(AND(C3154=C3155,W3154=W3155-1),Y3154,"")</f>
        <v/>
      </c>
      <c r="AB3155" s="0" t="str">
        <f aca="false">IF(W3155=1,"",IF(AND(X3155=1,Z3155&lt;&gt;1),1,0))</f>
        <v/>
      </c>
      <c r="AC3155" s="0" t="str">
        <f aca="false">IF(W3155=1,"",IF(AND(Y3155=1,AA3155&lt;&gt;1),1,0))</f>
        <v/>
      </c>
      <c r="AD3155" s="33" t="str">
        <f aca="false">IF(AND(E3155&gt;0,W3155&lt;1,NOT(AND(C3156=C3155,W3156=W3155+1))),INDEX(DATAS,W3155+1),"")</f>
        <v/>
      </c>
      <c r="AE3155" s="33" t="str">
        <f aca="false">IF(AND(Y3155=1,W3155&lt;1),IF(AND(C3156=C3155,W3156=W3155+1),IF(Y3156=1,"",INDEX(DATAS,W3155+1)),INDEX(DATAS,W3155+1)),"")</f>
        <v/>
      </c>
    </row>
    <row r="3156" customFormat="false" ht="15" hidden="false" customHeight="false" outlineLevel="0" collapsed="false">
      <c r="A3156" s="33" t="n">
        <v>46309</v>
      </c>
      <c r="B3156" s="0" t="n">
        <v>13</v>
      </c>
      <c r="C3156" s="0" t="n">
        <v>7573</v>
      </c>
      <c r="E3156" s="0" t="n">
        <v>0</v>
      </c>
      <c r="F3156" s="27" t="s">
        <v>1497</v>
      </c>
      <c r="I3156" s="27" t="s">
        <v>166</v>
      </c>
      <c r="U3156" s="0" t="n">
        <v>200</v>
      </c>
      <c r="V3156" s="0" t="n">
        <v>0</v>
      </c>
      <c r="W3156" s="27" t="n">
        <f aca="false">MATCH(A3156,DATAS,0)</f>
        <v>1</v>
      </c>
      <c r="X3156" s="27" t="n">
        <f aca="false">IF(AND(E3156&gt;0,OR(AND(B3156&gt;=1,B3156&lt;=6),B3156=10)),1,0)</f>
        <v>0</v>
      </c>
      <c r="Y3156" s="27" t="n">
        <f aca="false">IF(AND(E3156&gt;0,B3156=10),1,0)</f>
        <v>0</v>
      </c>
      <c r="Z3156" s="0" t="str">
        <f aca="false">IF(AND(C3155=C3156,W3155=W3156-1),X3155,"")</f>
        <v/>
      </c>
      <c r="AA3156" s="0" t="str">
        <f aca="false">IF(AND(C3155=C3156,W3155=W3156-1),Y3155,"")</f>
        <v/>
      </c>
      <c r="AB3156" s="0" t="str">
        <f aca="false">IF(W3156=1,"",IF(AND(X3156=1,Z3156&lt;&gt;1),1,0))</f>
        <v/>
      </c>
      <c r="AC3156" s="0" t="str">
        <f aca="false">IF(W3156=1,"",IF(AND(Y3156=1,AA3156&lt;&gt;1),1,0))</f>
        <v/>
      </c>
      <c r="AD3156" s="33" t="str">
        <f aca="false">IF(AND(E3156&gt;0,W3156&lt;1,NOT(AND(C3157=C3156,W3157=W3156+1))),INDEX(DATAS,W3156+1),"")</f>
        <v/>
      </c>
      <c r="AE3156" s="33" t="str">
        <f aca="false">IF(AND(Y3156=1,W3156&lt;1),IF(AND(C3157=C3156,W3157=W3156+1),IF(Y3157=1,"",INDEX(DATAS,W3156+1)),INDEX(DATAS,W3156+1)),"")</f>
        <v/>
      </c>
    </row>
    <row r="3157" customFormat="false" ht="15" hidden="false" customHeight="false" outlineLevel="0" collapsed="false">
      <c r="A3157" s="33" t="n">
        <v>46309</v>
      </c>
      <c r="B3157" s="0" t="n">
        <v>13</v>
      </c>
      <c r="C3157" s="0" t="n">
        <v>7574</v>
      </c>
      <c r="E3157" s="0" t="n">
        <v>0</v>
      </c>
      <c r="F3157" s="27" t="s">
        <v>1497</v>
      </c>
      <c r="I3157" s="27" t="s">
        <v>166</v>
      </c>
      <c r="U3157" s="0" t="n">
        <v>200</v>
      </c>
      <c r="V3157" s="0" t="n">
        <v>0</v>
      </c>
      <c r="W3157" s="27" t="n">
        <f aca="false">MATCH(A3157,DATAS,0)</f>
        <v>1</v>
      </c>
      <c r="X3157" s="27" t="n">
        <f aca="false">IF(AND(E3157&gt;0,OR(AND(B3157&gt;=1,B3157&lt;=6),B3157=10)),1,0)</f>
        <v>0</v>
      </c>
      <c r="Y3157" s="27" t="n">
        <f aca="false">IF(AND(E3157&gt;0,B3157=10),1,0)</f>
        <v>0</v>
      </c>
      <c r="Z3157" s="0" t="str">
        <f aca="false">IF(AND(C3156=C3157,W3156=W3157-1),X3156,"")</f>
        <v/>
      </c>
      <c r="AA3157" s="0" t="str">
        <f aca="false">IF(AND(C3156=C3157,W3156=W3157-1),Y3156,"")</f>
        <v/>
      </c>
      <c r="AB3157" s="0" t="str">
        <f aca="false">IF(W3157=1,"",IF(AND(X3157=1,Z3157&lt;&gt;1),1,0))</f>
        <v/>
      </c>
      <c r="AC3157" s="0" t="str">
        <f aca="false">IF(W3157=1,"",IF(AND(Y3157=1,AA3157&lt;&gt;1),1,0))</f>
        <v/>
      </c>
      <c r="AD3157" s="33" t="str">
        <f aca="false">IF(AND(E3157&gt;0,W3157&lt;1,NOT(AND(C3158=C3157,W3158=W3157+1))),INDEX(DATAS,W3157+1),"")</f>
        <v/>
      </c>
      <c r="AE3157" s="33" t="str">
        <f aca="false">IF(AND(Y3157=1,W3157&lt;1),IF(AND(C3158=C3157,W3158=W3157+1),IF(Y3158=1,"",INDEX(DATAS,W3157+1)),INDEX(DATAS,W3157+1)),"")</f>
        <v/>
      </c>
    </row>
    <row r="3158" customFormat="false" ht="15" hidden="false" customHeight="false" outlineLevel="0" collapsed="false">
      <c r="A3158" s="33" t="n">
        <v>46309</v>
      </c>
      <c r="B3158" s="0" t="n">
        <v>13</v>
      </c>
      <c r="C3158" s="0" t="n">
        <v>7575</v>
      </c>
      <c r="E3158" s="0" t="n">
        <v>0</v>
      </c>
      <c r="F3158" s="27" t="s">
        <v>1497</v>
      </c>
      <c r="I3158" s="27" t="s">
        <v>166</v>
      </c>
      <c r="U3158" s="0" t="n">
        <v>200</v>
      </c>
      <c r="V3158" s="0" t="n">
        <v>0</v>
      </c>
      <c r="W3158" s="27" t="n">
        <f aca="false">MATCH(A3158,DATAS,0)</f>
        <v>1</v>
      </c>
      <c r="X3158" s="27" t="n">
        <f aca="false">IF(AND(E3158&gt;0,OR(AND(B3158&gt;=1,B3158&lt;=6),B3158=10)),1,0)</f>
        <v>0</v>
      </c>
      <c r="Y3158" s="27" t="n">
        <f aca="false">IF(AND(E3158&gt;0,B3158=10),1,0)</f>
        <v>0</v>
      </c>
      <c r="Z3158" s="0" t="str">
        <f aca="false">IF(AND(C3157=C3158,W3157=W3158-1),X3157,"")</f>
        <v/>
      </c>
      <c r="AA3158" s="0" t="str">
        <f aca="false">IF(AND(C3157=C3158,W3157=W3158-1),Y3157,"")</f>
        <v/>
      </c>
      <c r="AB3158" s="0" t="str">
        <f aca="false">IF(W3158=1,"",IF(AND(X3158=1,Z3158&lt;&gt;1),1,0))</f>
        <v/>
      </c>
      <c r="AC3158" s="0" t="str">
        <f aca="false">IF(W3158=1,"",IF(AND(Y3158=1,AA3158&lt;&gt;1),1,0))</f>
        <v/>
      </c>
      <c r="AD3158" s="33" t="str">
        <f aca="false">IF(AND(E3158&gt;0,W3158&lt;1,NOT(AND(C3159=C3158,W3159=W3158+1))),INDEX(DATAS,W3158+1),"")</f>
        <v/>
      </c>
      <c r="AE3158" s="33" t="str">
        <f aca="false">IF(AND(Y3158=1,W3158&lt;1),IF(AND(C3159=C3158,W3159=W3158+1),IF(Y3159=1,"",INDEX(DATAS,W3158+1)),INDEX(DATAS,W3158+1)),"")</f>
        <v/>
      </c>
    </row>
    <row r="3159" customFormat="false" ht="15" hidden="false" customHeight="false" outlineLevel="0" collapsed="false">
      <c r="A3159" s="33" t="n">
        <v>46309</v>
      </c>
      <c r="B3159" s="0" t="n">
        <v>13</v>
      </c>
      <c r="C3159" s="0" t="n">
        <v>7576</v>
      </c>
      <c r="E3159" s="0" t="n">
        <v>0</v>
      </c>
      <c r="F3159" s="27" t="s">
        <v>1498</v>
      </c>
      <c r="I3159" s="27" t="s">
        <v>166</v>
      </c>
      <c r="U3159" s="0" t="n">
        <v>199</v>
      </c>
      <c r="V3159" s="0" t="n">
        <v>0</v>
      </c>
      <c r="W3159" s="27" t="n">
        <f aca="false">MATCH(A3159,DATAS,0)</f>
        <v>1</v>
      </c>
      <c r="X3159" s="27" t="n">
        <f aca="false">IF(AND(E3159&gt;0,OR(AND(B3159&gt;=1,B3159&lt;=6),B3159=10)),1,0)</f>
        <v>0</v>
      </c>
      <c r="Y3159" s="27" t="n">
        <f aca="false">IF(AND(E3159&gt;0,B3159=10),1,0)</f>
        <v>0</v>
      </c>
      <c r="Z3159" s="0" t="str">
        <f aca="false">IF(AND(C3158=C3159,W3158=W3159-1),X3158,"")</f>
        <v/>
      </c>
      <c r="AA3159" s="0" t="str">
        <f aca="false">IF(AND(C3158=C3159,W3158=W3159-1),Y3158,"")</f>
        <v/>
      </c>
      <c r="AB3159" s="0" t="str">
        <f aca="false">IF(W3159=1,"",IF(AND(X3159=1,Z3159&lt;&gt;1),1,0))</f>
        <v/>
      </c>
      <c r="AC3159" s="0" t="str">
        <f aca="false">IF(W3159=1,"",IF(AND(Y3159=1,AA3159&lt;&gt;1),1,0))</f>
        <v/>
      </c>
      <c r="AD3159" s="33" t="str">
        <f aca="false">IF(AND(E3159&gt;0,W3159&lt;1,NOT(AND(C3160=C3159,W3160=W3159+1))),INDEX(DATAS,W3159+1),"")</f>
        <v/>
      </c>
      <c r="AE3159" s="33" t="str">
        <f aca="false">IF(AND(Y3159=1,W3159&lt;1),IF(AND(C3160=C3159,W3160=W3159+1),IF(Y3160=1,"",INDEX(DATAS,W3159+1)),INDEX(DATAS,W3159+1)),"")</f>
        <v/>
      </c>
    </row>
    <row r="3160" customFormat="false" ht="15" hidden="false" customHeight="false" outlineLevel="0" collapsed="false">
      <c r="A3160" s="33" t="n">
        <v>46309</v>
      </c>
      <c r="B3160" s="0" t="n">
        <v>13</v>
      </c>
      <c r="C3160" s="0" t="n">
        <v>7577</v>
      </c>
      <c r="E3160" s="0" t="n">
        <v>0</v>
      </c>
      <c r="F3160" s="27" t="s">
        <v>1498</v>
      </c>
      <c r="I3160" s="27" t="s">
        <v>166</v>
      </c>
      <c r="U3160" s="0" t="n">
        <v>199</v>
      </c>
      <c r="V3160" s="0" t="n">
        <v>0</v>
      </c>
      <c r="W3160" s="27" t="n">
        <f aca="false">MATCH(A3160,DATAS,0)</f>
        <v>1</v>
      </c>
      <c r="X3160" s="27" t="n">
        <f aca="false">IF(AND(E3160&gt;0,OR(AND(B3160&gt;=1,B3160&lt;=6),B3160=10)),1,0)</f>
        <v>0</v>
      </c>
      <c r="Y3160" s="27" t="n">
        <f aca="false">IF(AND(E3160&gt;0,B3160=10),1,0)</f>
        <v>0</v>
      </c>
      <c r="Z3160" s="0" t="str">
        <f aca="false">IF(AND(C3159=C3160,W3159=W3160-1),X3159,"")</f>
        <v/>
      </c>
      <c r="AA3160" s="0" t="str">
        <f aca="false">IF(AND(C3159=C3160,W3159=W3160-1),Y3159,"")</f>
        <v/>
      </c>
      <c r="AB3160" s="0" t="str">
        <f aca="false">IF(W3160=1,"",IF(AND(X3160=1,Z3160&lt;&gt;1),1,0))</f>
        <v/>
      </c>
      <c r="AC3160" s="0" t="str">
        <f aca="false">IF(W3160=1,"",IF(AND(Y3160=1,AA3160&lt;&gt;1),1,0))</f>
        <v/>
      </c>
      <c r="AD3160" s="33" t="str">
        <f aca="false">IF(AND(E3160&gt;0,W3160&lt;1,NOT(AND(C3161=C3160,W3161=W3160+1))),INDEX(DATAS,W3160+1),"")</f>
        <v/>
      </c>
      <c r="AE3160" s="33" t="str">
        <f aca="false">IF(AND(Y3160=1,W3160&lt;1),IF(AND(C3161=C3160,W3161=W3160+1),IF(Y3161=1,"",INDEX(DATAS,W3160+1)),INDEX(DATAS,W3160+1)),"")</f>
        <v/>
      </c>
    </row>
    <row r="3161" customFormat="false" ht="15" hidden="false" customHeight="false" outlineLevel="0" collapsed="false">
      <c r="A3161" s="33" t="n">
        <v>46309</v>
      </c>
      <c r="B3161" s="0" t="n">
        <v>13</v>
      </c>
      <c r="C3161" s="0" t="n">
        <v>7578</v>
      </c>
      <c r="E3161" s="0" t="n">
        <v>0</v>
      </c>
      <c r="F3161" s="27" t="s">
        <v>1498</v>
      </c>
      <c r="I3161" s="27" t="s">
        <v>166</v>
      </c>
      <c r="U3161" s="0" t="n">
        <v>199</v>
      </c>
      <c r="V3161" s="0" t="n">
        <v>0</v>
      </c>
      <c r="W3161" s="27" t="n">
        <f aca="false">MATCH(A3161,DATAS,0)</f>
        <v>1</v>
      </c>
      <c r="X3161" s="27" t="n">
        <f aca="false">IF(AND(E3161&gt;0,OR(AND(B3161&gt;=1,B3161&lt;=6),B3161=10)),1,0)</f>
        <v>0</v>
      </c>
      <c r="Y3161" s="27" t="n">
        <f aca="false">IF(AND(E3161&gt;0,B3161=10),1,0)</f>
        <v>0</v>
      </c>
      <c r="Z3161" s="0" t="str">
        <f aca="false">IF(AND(C3160=C3161,W3160=W3161-1),X3160,"")</f>
        <v/>
      </c>
      <c r="AA3161" s="0" t="str">
        <f aca="false">IF(AND(C3160=C3161,W3160=W3161-1),Y3160,"")</f>
        <v/>
      </c>
      <c r="AB3161" s="0" t="str">
        <f aca="false">IF(W3161=1,"",IF(AND(X3161=1,Z3161&lt;&gt;1),1,0))</f>
        <v/>
      </c>
      <c r="AC3161" s="0" t="str">
        <f aca="false">IF(W3161=1,"",IF(AND(Y3161=1,AA3161&lt;&gt;1),1,0))</f>
        <v/>
      </c>
      <c r="AD3161" s="33" t="str">
        <f aca="false">IF(AND(E3161&gt;0,W3161&lt;1,NOT(AND(C3162=C3161,W3162=W3161+1))),INDEX(DATAS,W3161+1),"")</f>
        <v/>
      </c>
      <c r="AE3161" s="33" t="str">
        <f aca="false">IF(AND(Y3161=1,W3161&lt;1),IF(AND(C3162=C3161,W3162=W3161+1),IF(Y3162=1,"",INDEX(DATAS,W3161+1)),INDEX(DATAS,W3161+1)),"")</f>
        <v/>
      </c>
    </row>
    <row r="3162" customFormat="false" ht="15" hidden="false" customHeight="false" outlineLevel="0" collapsed="false">
      <c r="A3162" s="33" t="n">
        <v>46309</v>
      </c>
      <c r="B3162" s="0" t="n">
        <v>13</v>
      </c>
      <c r="C3162" s="0" t="n">
        <v>7579</v>
      </c>
      <c r="E3162" s="0" t="n">
        <v>0</v>
      </c>
      <c r="F3162" s="27" t="s">
        <v>1498</v>
      </c>
      <c r="I3162" s="27" t="s">
        <v>166</v>
      </c>
      <c r="U3162" s="0" t="n">
        <v>199</v>
      </c>
      <c r="V3162" s="0" t="n">
        <v>0</v>
      </c>
      <c r="W3162" s="27" t="n">
        <f aca="false">MATCH(A3162,DATAS,0)</f>
        <v>1</v>
      </c>
      <c r="X3162" s="27" t="n">
        <f aca="false">IF(AND(E3162&gt;0,OR(AND(B3162&gt;=1,B3162&lt;=6),B3162=10)),1,0)</f>
        <v>0</v>
      </c>
      <c r="Y3162" s="27" t="n">
        <f aca="false">IF(AND(E3162&gt;0,B3162=10),1,0)</f>
        <v>0</v>
      </c>
      <c r="Z3162" s="0" t="str">
        <f aca="false">IF(AND(C3161=C3162,W3161=W3162-1),X3161,"")</f>
        <v/>
      </c>
      <c r="AA3162" s="0" t="str">
        <f aca="false">IF(AND(C3161=C3162,W3161=W3162-1),Y3161,"")</f>
        <v/>
      </c>
      <c r="AB3162" s="0" t="str">
        <f aca="false">IF(W3162=1,"",IF(AND(X3162=1,Z3162&lt;&gt;1),1,0))</f>
        <v/>
      </c>
      <c r="AC3162" s="0" t="str">
        <f aca="false">IF(W3162=1,"",IF(AND(Y3162=1,AA3162&lt;&gt;1),1,0))</f>
        <v/>
      </c>
      <c r="AD3162" s="33" t="str">
        <f aca="false">IF(AND(E3162&gt;0,W3162&lt;1,NOT(AND(C3163=C3162,W3163=W3162+1))),INDEX(DATAS,W3162+1),"")</f>
        <v/>
      </c>
      <c r="AE3162" s="33" t="str">
        <f aca="false">IF(AND(Y3162=1,W3162&lt;1),IF(AND(C3163=C3162,W3163=W3162+1),IF(Y3163=1,"",INDEX(DATAS,W3162+1)),INDEX(DATAS,W3162+1)),"")</f>
        <v/>
      </c>
    </row>
    <row r="3163" customFormat="false" ht="15" hidden="false" customHeight="false" outlineLevel="0" collapsed="false">
      <c r="A3163" s="33" t="n">
        <v>46309</v>
      </c>
      <c r="B3163" s="0" t="n">
        <v>13</v>
      </c>
      <c r="C3163" s="0" t="n">
        <v>7580</v>
      </c>
      <c r="E3163" s="0" t="n">
        <v>0</v>
      </c>
      <c r="F3163" s="27" t="s">
        <v>1499</v>
      </c>
      <c r="I3163" s="27" t="s">
        <v>166</v>
      </c>
      <c r="U3163" s="0" t="n">
        <v>198</v>
      </c>
      <c r="V3163" s="0" t="n">
        <v>0</v>
      </c>
      <c r="W3163" s="27" t="n">
        <f aca="false">MATCH(A3163,DATAS,0)</f>
        <v>1</v>
      </c>
      <c r="X3163" s="27" t="n">
        <f aca="false">IF(AND(E3163&gt;0,OR(AND(B3163&gt;=1,B3163&lt;=6),B3163=10)),1,0)</f>
        <v>0</v>
      </c>
      <c r="Y3163" s="27" t="n">
        <f aca="false">IF(AND(E3163&gt;0,B3163=10),1,0)</f>
        <v>0</v>
      </c>
      <c r="Z3163" s="0" t="str">
        <f aca="false">IF(AND(C3162=C3163,W3162=W3163-1),X3162,"")</f>
        <v/>
      </c>
      <c r="AA3163" s="0" t="str">
        <f aca="false">IF(AND(C3162=C3163,W3162=W3163-1),Y3162,"")</f>
        <v/>
      </c>
      <c r="AB3163" s="0" t="str">
        <f aca="false">IF(W3163=1,"",IF(AND(X3163=1,Z3163&lt;&gt;1),1,0))</f>
        <v/>
      </c>
      <c r="AC3163" s="0" t="str">
        <f aca="false">IF(W3163=1,"",IF(AND(Y3163=1,AA3163&lt;&gt;1),1,0))</f>
        <v/>
      </c>
      <c r="AD3163" s="33" t="str">
        <f aca="false">IF(AND(E3163&gt;0,W3163&lt;1,NOT(AND(C3164=C3163,W3164=W3163+1))),INDEX(DATAS,W3163+1),"")</f>
        <v/>
      </c>
      <c r="AE3163" s="33" t="str">
        <f aca="false">IF(AND(Y3163=1,W3163&lt;1),IF(AND(C3164=C3163,W3164=W3163+1),IF(Y3164=1,"",INDEX(DATAS,W3163+1)),INDEX(DATAS,W3163+1)),"")</f>
        <v/>
      </c>
    </row>
    <row r="3164" customFormat="false" ht="15" hidden="false" customHeight="false" outlineLevel="0" collapsed="false">
      <c r="A3164" s="33" t="n">
        <v>46309</v>
      </c>
      <c r="B3164" s="0" t="n">
        <v>13</v>
      </c>
      <c r="C3164" s="0" t="n">
        <v>7581</v>
      </c>
      <c r="E3164" s="0" t="n">
        <v>0</v>
      </c>
      <c r="F3164" s="27" t="s">
        <v>1499</v>
      </c>
      <c r="I3164" s="27" t="s">
        <v>166</v>
      </c>
      <c r="U3164" s="0" t="n">
        <v>198</v>
      </c>
      <c r="V3164" s="0" t="n">
        <v>0</v>
      </c>
      <c r="W3164" s="27" t="n">
        <f aca="false">MATCH(A3164,DATAS,0)</f>
        <v>1</v>
      </c>
      <c r="X3164" s="27" t="n">
        <f aca="false">IF(AND(E3164&gt;0,OR(AND(B3164&gt;=1,B3164&lt;=6),B3164=10)),1,0)</f>
        <v>0</v>
      </c>
      <c r="Y3164" s="27" t="n">
        <f aca="false">IF(AND(E3164&gt;0,B3164=10),1,0)</f>
        <v>0</v>
      </c>
      <c r="Z3164" s="0" t="str">
        <f aca="false">IF(AND(C3163=C3164,W3163=W3164-1),X3163,"")</f>
        <v/>
      </c>
      <c r="AA3164" s="0" t="str">
        <f aca="false">IF(AND(C3163=C3164,W3163=W3164-1),Y3163,"")</f>
        <v/>
      </c>
      <c r="AB3164" s="0" t="str">
        <f aca="false">IF(W3164=1,"",IF(AND(X3164=1,Z3164&lt;&gt;1),1,0))</f>
        <v/>
      </c>
      <c r="AC3164" s="0" t="str">
        <f aca="false">IF(W3164=1,"",IF(AND(Y3164=1,AA3164&lt;&gt;1),1,0))</f>
        <v/>
      </c>
      <c r="AD3164" s="33" t="str">
        <f aca="false">IF(AND(E3164&gt;0,W3164&lt;1,NOT(AND(C3165=C3164,W3165=W3164+1))),INDEX(DATAS,W3164+1),"")</f>
        <v/>
      </c>
      <c r="AE3164" s="33" t="str">
        <f aca="false">IF(AND(Y3164=1,W3164&lt;1),IF(AND(C3165=C3164,W3165=W3164+1),IF(Y3165=1,"",INDEX(DATAS,W3164+1)),INDEX(DATAS,W3164+1)),"")</f>
        <v/>
      </c>
    </row>
    <row r="3165" customFormat="false" ht="15" hidden="false" customHeight="false" outlineLevel="0" collapsed="false">
      <c r="A3165" s="33" t="n">
        <v>46309</v>
      </c>
      <c r="B3165" s="0" t="n">
        <v>13</v>
      </c>
      <c r="C3165" s="0" t="n">
        <v>7582</v>
      </c>
      <c r="E3165" s="0" t="n">
        <v>0</v>
      </c>
      <c r="F3165" s="27" t="s">
        <v>1499</v>
      </c>
      <c r="I3165" s="27" t="s">
        <v>166</v>
      </c>
      <c r="U3165" s="0" t="n">
        <v>198</v>
      </c>
      <c r="V3165" s="0" t="n">
        <v>0</v>
      </c>
      <c r="W3165" s="27" t="n">
        <f aca="false">MATCH(A3165,DATAS,0)</f>
        <v>1</v>
      </c>
      <c r="X3165" s="27" t="n">
        <f aca="false">IF(AND(E3165&gt;0,OR(AND(B3165&gt;=1,B3165&lt;=6),B3165=10)),1,0)</f>
        <v>0</v>
      </c>
      <c r="Y3165" s="27" t="n">
        <f aca="false">IF(AND(E3165&gt;0,B3165=10),1,0)</f>
        <v>0</v>
      </c>
      <c r="Z3165" s="0" t="str">
        <f aca="false">IF(AND(C3164=C3165,W3164=W3165-1),X3164,"")</f>
        <v/>
      </c>
      <c r="AA3165" s="0" t="str">
        <f aca="false">IF(AND(C3164=C3165,W3164=W3165-1),Y3164,"")</f>
        <v/>
      </c>
      <c r="AB3165" s="0" t="str">
        <f aca="false">IF(W3165=1,"",IF(AND(X3165=1,Z3165&lt;&gt;1),1,0))</f>
        <v/>
      </c>
      <c r="AC3165" s="0" t="str">
        <f aca="false">IF(W3165=1,"",IF(AND(Y3165=1,AA3165&lt;&gt;1),1,0))</f>
        <v/>
      </c>
      <c r="AD3165" s="33" t="str">
        <f aca="false">IF(AND(E3165&gt;0,W3165&lt;1,NOT(AND(C3166=C3165,W3166=W3165+1))),INDEX(DATAS,W3165+1),"")</f>
        <v/>
      </c>
      <c r="AE3165" s="33" t="str">
        <f aca="false">IF(AND(Y3165=1,W3165&lt;1),IF(AND(C3166=C3165,W3166=W3165+1),IF(Y3166=1,"",INDEX(DATAS,W3165+1)),INDEX(DATAS,W3165+1)),"")</f>
        <v/>
      </c>
    </row>
    <row r="3166" customFormat="false" ht="15" hidden="false" customHeight="false" outlineLevel="0" collapsed="false">
      <c r="A3166" s="33" t="n">
        <v>46309</v>
      </c>
      <c r="B3166" s="0" t="n">
        <v>13</v>
      </c>
      <c r="C3166" s="0" t="n">
        <v>7583</v>
      </c>
      <c r="E3166" s="0" t="n">
        <v>0</v>
      </c>
      <c r="F3166" s="27" t="s">
        <v>1499</v>
      </c>
      <c r="I3166" s="27" t="s">
        <v>166</v>
      </c>
      <c r="U3166" s="0" t="n">
        <v>198</v>
      </c>
      <c r="V3166" s="0" t="n">
        <v>0</v>
      </c>
      <c r="W3166" s="27" t="n">
        <f aca="false">MATCH(A3166,DATAS,0)</f>
        <v>1</v>
      </c>
      <c r="X3166" s="27" t="n">
        <f aca="false">IF(AND(E3166&gt;0,OR(AND(B3166&gt;=1,B3166&lt;=6),B3166=10)),1,0)</f>
        <v>0</v>
      </c>
      <c r="Y3166" s="27" t="n">
        <f aca="false">IF(AND(E3166&gt;0,B3166=10),1,0)</f>
        <v>0</v>
      </c>
      <c r="Z3166" s="0" t="str">
        <f aca="false">IF(AND(C3165=C3166,W3165=W3166-1),X3165,"")</f>
        <v/>
      </c>
      <c r="AA3166" s="0" t="str">
        <f aca="false">IF(AND(C3165=C3166,W3165=W3166-1),Y3165,"")</f>
        <v/>
      </c>
      <c r="AB3166" s="0" t="str">
        <f aca="false">IF(W3166=1,"",IF(AND(X3166=1,Z3166&lt;&gt;1),1,0))</f>
        <v/>
      </c>
      <c r="AC3166" s="0" t="str">
        <f aca="false">IF(W3166=1,"",IF(AND(Y3166=1,AA3166&lt;&gt;1),1,0))</f>
        <v/>
      </c>
      <c r="AD3166" s="33" t="str">
        <f aca="false">IF(AND(E3166&gt;0,W3166&lt;1,NOT(AND(C3167=C3166,W3167=W3166+1))),INDEX(DATAS,W3166+1),"")</f>
        <v/>
      </c>
      <c r="AE3166" s="33" t="str">
        <f aca="false">IF(AND(Y3166=1,W3166&lt;1),IF(AND(C3167=C3166,W3167=W3166+1),IF(Y3167=1,"",INDEX(DATAS,W3166+1)),INDEX(DATAS,W3166+1)),"")</f>
        <v/>
      </c>
    </row>
    <row r="3167" customFormat="false" ht="15" hidden="false" customHeight="false" outlineLevel="0" collapsed="false">
      <c r="A3167" s="33" t="n">
        <v>46309</v>
      </c>
      <c r="B3167" s="0" t="n">
        <v>13</v>
      </c>
      <c r="C3167" s="0" t="n">
        <v>7584</v>
      </c>
      <c r="E3167" s="0" t="n">
        <v>0</v>
      </c>
      <c r="F3167" s="27" t="s">
        <v>1499</v>
      </c>
      <c r="I3167" s="27" t="s">
        <v>166</v>
      </c>
      <c r="U3167" s="0" t="n">
        <v>198</v>
      </c>
      <c r="V3167" s="0" t="n">
        <v>0</v>
      </c>
      <c r="W3167" s="27" t="n">
        <f aca="false">MATCH(A3167,DATAS,0)</f>
        <v>1</v>
      </c>
      <c r="X3167" s="27" t="n">
        <f aca="false">IF(AND(E3167&gt;0,OR(AND(B3167&gt;=1,B3167&lt;=6),B3167=10)),1,0)</f>
        <v>0</v>
      </c>
      <c r="Y3167" s="27" t="n">
        <f aca="false">IF(AND(E3167&gt;0,B3167=10),1,0)</f>
        <v>0</v>
      </c>
      <c r="Z3167" s="0" t="str">
        <f aca="false">IF(AND(C3166=C3167,W3166=W3167-1),X3166,"")</f>
        <v/>
      </c>
      <c r="AA3167" s="0" t="str">
        <f aca="false">IF(AND(C3166=C3167,W3166=W3167-1),Y3166,"")</f>
        <v/>
      </c>
      <c r="AB3167" s="0" t="str">
        <f aca="false">IF(W3167=1,"",IF(AND(X3167=1,Z3167&lt;&gt;1),1,0))</f>
        <v/>
      </c>
      <c r="AC3167" s="0" t="str">
        <f aca="false">IF(W3167=1,"",IF(AND(Y3167=1,AA3167&lt;&gt;1),1,0))</f>
        <v/>
      </c>
      <c r="AD3167" s="33" t="str">
        <f aca="false">IF(AND(E3167&gt;0,W3167&lt;1,NOT(AND(C3168=C3167,W3168=W3167+1))),INDEX(DATAS,W3167+1),"")</f>
        <v/>
      </c>
      <c r="AE3167" s="33" t="str">
        <f aca="false">IF(AND(Y3167=1,W3167&lt;1),IF(AND(C3168=C3167,W3168=W3167+1),IF(Y3168=1,"",INDEX(DATAS,W3167+1)),INDEX(DATAS,W3167+1)),"")</f>
        <v/>
      </c>
    </row>
    <row r="3168" customFormat="false" ht="15" hidden="false" customHeight="false" outlineLevel="0" collapsed="false">
      <c r="A3168" s="33" t="n">
        <v>46309</v>
      </c>
      <c r="B3168" s="0" t="n">
        <v>13</v>
      </c>
      <c r="C3168" s="0" t="n">
        <v>7585</v>
      </c>
      <c r="E3168" s="0" t="n">
        <v>0</v>
      </c>
      <c r="F3168" s="27" t="s">
        <v>1499</v>
      </c>
      <c r="I3168" s="27" t="s">
        <v>166</v>
      </c>
      <c r="U3168" s="0" t="n">
        <v>198</v>
      </c>
      <c r="V3168" s="0" t="n">
        <v>0</v>
      </c>
      <c r="W3168" s="27" t="n">
        <f aca="false">MATCH(A3168,DATAS,0)</f>
        <v>1</v>
      </c>
      <c r="X3168" s="27" t="n">
        <f aca="false">IF(AND(E3168&gt;0,OR(AND(B3168&gt;=1,B3168&lt;=6),B3168=10)),1,0)</f>
        <v>0</v>
      </c>
      <c r="Y3168" s="27" t="n">
        <f aca="false">IF(AND(E3168&gt;0,B3168=10),1,0)</f>
        <v>0</v>
      </c>
      <c r="Z3168" s="0" t="str">
        <f aca="false">IF(AND(C3167=C3168,W3167=W3168-1),X3167,"")</f>
        <v/>
      </c>
      <c r="AA3168" s="0" t="str">
        <f aca="false">IF(AND(C3167=C3168,W3167=W3168-1),Y3167,"")</f>
        <v/>
      </c>
      <c r="AB3168" s="0" t="str">
        <f aca="false">IF(W3168=1,"",IF(AND(X3168=1,Z3168&lt;&gt;1),1,0))</f>
        <v/>
      </c>
      <c r="AC3168" s="0" t="str">
        <f aca="false">IF(W3168=1,"",IF(AND(Y3168=1,AA3168&lt;&gt;1),1,0))</f>
        <v/>
      </c>
      <c r="AD3168" s="33" t="str">
        <f aca="false">IF(AND(E3168&gt;0,W3168&lt;1,NOT(AND(C3169=C3168,W3169=W3168+1))),INDEX(DATAS,W3168+1),"")</f>
        <v/>
      </c>
      <c r="AE3168" s="33" t="str">
        <f aca="false">IF(AND(Y3168=1,W3168&lt;1),IF(AND(C3169=C3168,W3169=W3168+1),IF(Y3169=1,"",INDEX(DATAS,W3168+1)),INDEX(DATAS,W3168+1)),"")</f>
        <v/>
      </c>
    </row>
    <row r="3169" customFormat="false" ht="15" hidden="false" customHeight="false" outlineLevel="0" collapsed="false">
      <c r="A3169" s="33" t="n">
        <v>46309</v>
      </c>
      <c r="B3169" s="0" t="n">
        <v>13</v>
      </c>
      <c r="C3169" s="0" t="n">
        <v>7586</v>
      </c>
      <c r="E3169" s="0" t="n">
        <v>0</v>
      </c>
      <c r="F3169" s="27" t="s">
        <v>1499</v>
      </c>
      <c r="I3169" s="27" t="s">
        <v>166</v>
      </c>
      <c r="U3169" s="0" t="n">
        <v>198</v>
      </c>
      <c r="V3169" s="0" t="n">
        <v>0</v>
      </c>
      <c r="W3169" s="27" t="n">
        <f aca="false">MATCH(A3169,DATAS,0)</f>
        <v>1</v>
      </c>
      <c r="X3169" s="27" t="n">
        <f aca="false">IF(AND(E3169&gt;0,OR(AND(B3169&gt;=1,B3169&lt;=6),B3169=10)),1,0)</f>
        <v>0</v>
      </c>
      <c r="Y3169" s="27" t="n">
        <f aca="false">IF(AND(E3169&gt;0,B3169=10),1,0)</f>
        <v>0</v>
      </c>
      <c r="Z3169" s="0" t="str">
        <f aca="false">IF(AND(C3168=C3169,W3168=W3169-1),X3168,"")</f>
        <v/>
      </c>
      <c r="AA3169" s="0" t="str">
        <f aca="false">IF(AND(C3168=C3169,W3168=W3169-1),Y3168,"")</f>
        <v/>
      </c>
      <c r="AB3169" s="0" t="str">
        <f aca="false">IF(W3169=1,"",IF(AND(X3169=1,Z3169&lt;&gt;1),1,0))</f>
        <v/>
      </c>
      <c r="AC3169" s="0" t="str">
        <f aca="false">IF(W3169=1,"",IF(AND(Y3169=1,AA3169&lt;&gt;1),1,0))</f>
        <v/>
      </c>
      <c r="AD3169" s="33" t="str">
        <f aca="false">IF(AND(E3169&gt;0,W3169&lt;1,NOT(AND(C3170=C3169,W3170=W3169+1))),INDEX(DATAS,W3169+1),"")</f>
        <v/>
      </c>
      <c r="AE3169" s="33" t="str">
        <f aca="false">IF(AND(Y3169=1,W3169&lt;1),IF(AND(C3170=C3169,W3170=W3169+1),IF(Y3170=1,"",INDEX(DATAS,W3169+1)),INDEX(DATAS,W3169+1)),"")</f>
        <v/>
      </c>
    </row>
    <row r="3170" customFormat="false" ht="15" hidden="false" customHeight="false" outlineLevel="0" collapsed="false">
      <c r="A3170" s="33" t="n">
        <v>46309</v>
      </c>
      <c r="B3170" s="0" t="n">
        <v>13</v>
      </c>
      <c r="C3170" s="0" t="n">
        <v>7588</v>
      </c>
      <c r="E3170" s="0" t="n">
        <v>0</v>
      </c>
      <c r="F3170" s="27" t="s">
        <v>1500</v>
      </c>
      <c r="I3170" s="27" t="s">
        <v>166</v>
      </c>
      <c r="U3170" s="0" t="n">
        <v>197</v>
      </c>
      <c r="V3170" s="0" t="n">
        <v>0</v>
      </c>
      <c r="W3170" s="27" t="n">
        <f aca="false">MATCH(A3170,DATAS,0)</f>
        <v>1</v>
      </c>
      <c r="X3170" s="27" t="n">
        <f aca="false">IF(AND(E3170&gt;0,OR(AND(B3170&gt;=1,B3170&lt;=6),B3170=10)),1,0)</f>
        <v>0</v>
      </c>
      <c r="Y3170" s="27" t="n">
        <f aca="false">IF(AND(E3170&gt;0,B3170=10),1,0)</f>
        <v>0</v>
      </c>
      <c r="Z3170" s="0" t="str">
        <f aca="false">IF(AND(C3169=C3170,W3169=W3170-1),X3169,"")</f>
        <v/>
      </c>
      <c r="AA3170" s="0" t="str">
        <f aca="false">IF(AND(C3169=C3170,W3169=W3170-1),Y3169,"")</f>
        <v/>
      </c>
      <c r="AB3170" s="0" t="str">
        <f aca="false">IF(W3170=1,"",IF(AND(X3170=1,Z3170&lt;&gt;1),1,0))</f>
        <v/>
      </c>
      <c r="AC3170" s="0" t="str">
        <f aca="false">IF(W3170=1,"",IF(AND(Y3170=1,AA3170&lt;&gt;1),1,0))</f>
        <v/>
      </c>
      <c r="AD3170" s="33" t="str">
        <f aca="false">IF(AND(E3170&gt;0,W3170&lt;1,NOT(AND(C3171=C3170,W3171=W3170+1))),INDEX(DATAS,W3170+1),"")</f>
        <v/>
      </c>
      <c r="AE3170" s="33" t="str">
        <f aca="false">IF(AND(Y3170=1,W3170&lt;1),IF(AND(C3171=C3170,W3171=W3170+1),IF(Y3171=1,"",INDEX(DATAS,W3170+1)),INDEX(DATAS,W3170+1)),"")</f>
        <v/>
      </c>
    </row>
    <row r="3171" customFormat="false" ht="15" hidden="false" customHeight="false" outlineLevel="0" collapsed="false">
      <c r="A3171" s="33" t="n">
        <v>46309</v>
      </c>
      <c r="B3171" s="0" t="n">
        <v>13</v>
      </c>
      <c r="C3171" s="0" t="n">
        <v>7589</v>
      </c>
      <c r="E3171" s="0" t="n">
        <v>0</v>
      </c>
      <c r="F3171" s="27" t="s">
        <v>1501</v>
      </c>
      <c r="I3171" s="27" t="s">
        <v>166</v>
      </c>
      <c r="U3171" s="0" t="n">
        <v>196</v>
      </c>
      <c r="V3171" s="0" t="n">
        <v>0</v>
      </c>
      <c r="W3171" s="27" t="n">
        <f aca="false">MATCH(A3171,DATAS,0)</f>
        <v>1</v>
      </c>
      <c r="X3171" s="27" t="n">
        <f aca="false">IF(AND(E3171&gt;0,OR(AND(B3171&gt;=1,B3171&lt;=6),B3171=10)),1,0)</f>
        <v>0</v>
      </c>
      <c r="Y3171" s="27" t="n">
        <f aca="false">IF(AND(E3171&gt;0,B3171=10),1,0)</f>
        <v>0</v>
      </c>
      <c r="Z3171" s="0" t="str">
        <f aca="false">IF(AND(C3170=C3171,W3170=W3171-1),X3170,"")</f>
        <v/>
      </c>
      <c r="AA3171" s="0" t="str">
        <f aca="false">IF(AND(C3170=C3171,W3170=W3171-1),Y3170,"")</f>
        <v/>
      </c>
      <c r="AB3171" s="0" t="str">
        <f aca="false">IF(W3171=1,"",IF(AND(X3171=1,Z3171&lt;&gt;1),1,0))</f>
        <v/>
      </c>
      <c r="AC3171" s="0" t="str">
        <f aca="false">IF(W3171=1,"",IF(AND(Y3171=1,AA3171&lt;&gt;1),1,0))</f>
        <v/>
      </c>
      <c r="AD3171" s="33" t="str">
        <f aca="false">IF(AND(E3171&gt;0,W3171&lt;1,NOT(AND(C3172=C3171,W3172=W3171+1))),INDEX(DATAS,W3171+1),"")</f>
        <v/>
      </c>
      <c r="AE3171" s="33" t="str">
        <f aca="false">IF(AND(Y3171=1,W3171&lt;1),IF(AND(C3172=C3171,W3172=W3171+1),IF(Y3172=1,"",INDEX(DATAS,W3171+1)),INDEX(DATAS,W3171+1)),"")</f>
        <v/>
      </c>
    </row>
    <row r="3172" customFormat="false" ht="15" hidden="false" customHeight="false" outlineLevel="0" collapsed="false">
      <c r="A3172" s="33" t="n">
        <v>46309</v>
      </c>
      <c r="B3172" s="0" t="n">
        <v>13</v>
      </c>
      <c r="C3172" s="0" t="n">
        <v>7590</v>
      </c>
      <c r="E3172" s="0" t="n">
        <v>0</v>
      </c>
      <c r="F3172" s="27" t="s">
        <v>1501</v>
      </c>
      <c r="I3172" s="27" t="s">
        <v>166</v>
      </c>
      <c r="U3172" s="0" t="n">
        <v>196</v>
      </c>
      <c r="V3172" s="0" t="n">
        <v>0</v>
      </c>
      <c r="W3172" s="27" t="n">
        <f aca="false">MATCH(A3172,DATAS,0)</f>
        <v>1</v>
      </c>
      <c r="X3172" s="27" t="n">
        <f aca="false">IF(AND(E3172&gt;0,OR(AND(B3172&gt;=1,B3172&lt;=6),B3172=10)),1,0)</f>
        <v>0</v>
      </c>
      <c r="Y3172" s="27" t="n">
        <f aca="false">IF(AND(E3172&gt;0,B3172=10),1,0)</f>
        <v>0</v>
      </c>
      <c r="Z3172" s="0" t="str">
        <f aca="false">IF(AND(C3171=C3172,W3171=W3172-1),X3171,"")</f>
        <v/>
      </c>
      <c r="AA3172" s="0" t="str">
        <f aca="false">IF(AND(C3171=C3172,W3171=W3172-1),Y3171,"")</f>
        <v/>
      </c>
      <c r="AB3172" s="0" t="str">
        <f aca="false">IF(W3172=1,"",IF(AND(X3172=1,Z3172&lt;&gt;1),1,0))</f>
        <v/>
      </c>
      <c r="AC3172" s="0" t="str">
        <f aca="false">IF(W3172=1,"",IF(AND(Y3172=1,AA3172&lt;&gt;1),1,0))</f>
        <v/>
      </c>
      <c r="AD3172" s="33" t="str">
        <f aca="false">IF(AND(E3172&gt;0,W3172&lt;1,NOT(AND(C3173=C3172,W3173=W3172+1))),INDEX(DATAS,W3172+1),"")</f>
        <v/>
      </c>
      <c r="AE3172" s="33" t="str">
        <f aca="false">IF(AND(Y3172=1,W3172&lt;1),IF(AND(C3173=C3172,W3173=W3172+1),IF(Y3173=1,"",INDEX(DATAS,W3172+1)),INDEX(DATAS,W3172+1)),"")</f>
        <v/>
      </c>
    </row>
    <row r="3173" customFormat="false" ht="15" hidden="false" customHeight="false" outlineLevel="0" collapsed="false">
      <c r="A3173" s="33" t="n">
        <v>46309</v>
      </c>
      <c r="B3173" s="0" t="n">
        <v>13</v>
      </c>
      <c r="C3173" s="0" t="n">
        <v>7591</v>
      </c>
      <c r="E3173" s="0" t="n">
        <v>0</v>
      </c>
      <c r="F3173" s="27" t="s">
        <v>1501</v>
      </c>
      <c r="I3173" s="27" t="s">
        <v>166</v>
      </c>
      <c r="U3173" s="0" t="n">
        <v>196</v>
      </c>
      <c r="V3173" s="0" t="n">
        <v>0</v>
      </c>
      <c r="W3173" s="27" t="n">
        <f aca="false">MATCH(A3173,DATAS,0)</f>
        <v>1</v>
      </c>
      <c r="X3173" s="27" t="n">
        <f aca="false">IF(AND(E3173&gt;0,OR(AND(B3173&gt;=1,B3173&lt;=6),B3173=10)),1,0)</f>
        <v>0</v>
      </c>
      <c r="Y3173" s="27" t="n">
        <f aca="false">IF(AND(E3173&gt;0,B3173=10),1,0)</f>
        <v>0</v>
      </c>
      <c r="Z3173" s="0" t="str">
        <f aca="false">IF(AND(C3172=C3173,W3172=W3173-1),X3172,"")</f>
        <v/>
      </c>
      <c r="AA3173" s="0" t="str">
        <f aca="false">IF(AND(C3172=C3173,W3172=W3173-1),Y3172,"")</f>
        <v/>
      </c>
      <c r="AB3173" s="0" t="str">
        <f aca="false">IF(W3173=1,"",IF(AND(X3173=1,Z3173&lt;&gt;1),1,0))</f>
        <v/>
      </c>
      <c r="AC3173" s="0" t="str">
        <f aca="false">IF(W3173=1,"",IF(AND(Y3173=1,AA3173&lt;&gt;1),1,0))</f>
        <v/>
      </c>
      <c r="AD3173" s="33" t="str">
        <f aca="false">IF(AND(E3173&gt;0,W3173&lt;1,NOT(AND(C3174=C3173,W3174=W3173+1))),INDEX(DATAS,W3173+1),"")</f>
        <v/>
      </c>
      <c r="AE3173" s="33" t="str">
        <f aca="false">IF(AND(Y3173=1,W3173&lt;1),IF(AND(C3174=C3173,W3174=W3173+1),IF(Y3174=1,"",INDEX(DATAS,W3173+1)),INDEX(DATAS,W3173+1)),"")</f>
        <v/>
      </c>
    </row>
    <row r="3174" customFormat="false" ht="15" hidden="false" customHeight="false" outlineLevel="0" collapsed="false">
      <c r="A3174" s="33" t="n">
        <v>46309</v>
      </c>
      <c r="B3174" s="0" t="n">
        <v>13</v>
      </c>
      <c r="C3174" s="0" t="n">
        <v>7592</v>
      </c>
      <c r="E3174" s="0" t="n">
        <v>0</v>
      </c>
      <c r="F3174" s="27" t="s">
        <v>1501</v>
      </c>
      <c r="I3174" s="27" t="s">
        <v>166</v>
      </c>
      <c r="U3174" s="0" t="n">
        <v>196</v>
      </c>
      <c r="V3174" s="0" t="n">
        <v>0</v>
      </c>
      <c r="W3174" s="27" t="n">
        <f aca="false">MATCH(A3174,DATAS,0)</f>
        <v>1</v>
      </c>
      <c r="X3174" s="27" t="n">
        <f aca="false">IF(AND(E3174&gt;0,OR(AND(B3174&gt;=1,B3174&lt;=6),B3174=10)),1,0)</f>
        <v>0</v>
      </c>
      <c r="Y3174" s="27" t="n">
        <f aca="false">IF(AND(E3174&gt;0,B3174=10),1,0)</f>
        <v>0</v>
      </c>
      <c r="Z3174" s="0" t="str">
        <f aca="false">IF(AND(C3173=C3174,W3173=W3174-1),X3173,"")</f>
        <v/>
      </c>
      <c r="AA3174" s="0" t="str">
        <f aca="false">IF(AND(C3173=C3174,W3173=W3174-1),Y3173,"")</f>
        <v/>
      </c>
      <c r="AB3174" s="0" t="str">
        <f aca="false">IF(W3174=1,"",IF(AND(X3174=1,Z3174&lt;&gt;1),1,0))</f>
        <v/>
      </c>
      <c r="AC3174" s="0" t="str">
        <f aca="false">IF(W3174=1,"",IF(AND(Y3174=1,AA3174&lt;&gt;1),1,0))</f>
        <v/>
      </c>
      <c r="AD3174" s="33" t="str">
        <f aca="false">IF(AND(E3174&gt;0,W3174&lt;1,NOT(AND(C3175=C3174,W3175=W3174+1))),INDEX(DATAS,W3174+1),"")</f>
        <v/>
      </c>
      <c r="AE3174" s="33" t="str">
        <f aca="false">IF(AND(Y3174=1,W3174&lt;1),IF(AND(C3175=C3174,W3175=W3174+1),IF(Y3175=1,"",INDEX(DATAS,W3174+1)),INDEX(DATAS,W3174+1)),"")</f>
        <v/>
      </c>
    </row>
    <row r="3175" customFormat="false" ht="15" hidden="false" customHeight="false" outlineLevel="0" collapsed="false">
      <c r="A3175" s="33" t="n">
        <v>46309</v>
      </c>
      <c r="B3175" s="0" t="n">
        <v>13</v>
      </c>
      <c r="C3175" s="0" t="n">
        <v>7593</v>
      </c>
      <c r="E3175" s="0" t="n">
        <v>0</v>
      </c>
      <c r="F3175" s="27" t="s">
        <v>1501</v>
      </c>
      <c r="I3175" s="27" t="s">
        <v>166</v>
      </c>
      <c r="U3175" s="0" t="n">
        <v>196</v>
      </c>
      <c r="V3175" s="0" t="n">
        <v>0</v>
      </c>
      <c r="W3175" s="27" t="n">
        <f aca="false">MATCH(A3175,DATAS,0)</f>
        <v>1</v>
      </c>
      <c r="X3175" s="27" t="n">
        <f aca="false">IF(AND(E3175&gt;0,OR(AND(B3175&gt;=1,B3175&lt;=6),B3175=10)),1,0)</f>
        <v>0</v>
      </c>
      <c r="Y3175" s="27" t="n">
        <f aca="false">IF(AND(E3175&gt;0,B3175=10),1,0)</f>
        <v>0</v>
      </c>
      <c r="Z3175" s="0" t="str">
        <f aca="false">IF(AND(C3174=C3175,W3174=W3175-1),X3174,"")</f>
        <v/>
      </c>
      <c r="AA3175" s="0" t="str">
        <f aca="false">IF(AND(C3174=C3175,W3174=W3175-1),Y3174,"")</f>
        <v/>
      </c>
      <c r="AB3175" s="0" t="str">
        <f aca="false">IF(W3175=1,"",IF(AND(X3175=1,Z3175&lt;&gt;1),1,0))</f>
        <v/>
      </c>
      <c r="AC3175" s="0" t="str">
        <f aca="false">IF(W3175=1,"",IF(AND(Y3175=1,AA3175&lt;&gt;1),1,0))</f>
        <v/>
      </c>
      <c r="AD3175" s="33" t="str">
        <f aca="false">IF(AND(E3175&gt;0,W3175&lt;1,NOT(AND(C3176=C3175,W3176=W3175+1))),INDEX(DATAS,W3175+1),"")</f>
        <v/>
      </c>
      <c r="AE3175" s="33" t="str">
        <f aca="false">IF(AND(Y3175=1,W3175&lt;1),IF(AND(C3176=C3175,W3176=W3175+1),IF(Y3176=1,"",INDEX(DATAS,W3175+1)),INDEX(DATAS,W3175+1)),"")</f>
        <v/>
      </c>
    </row>
    <row r="3176" customFormat="false" ht="15" hidden="false" customHeight="false" outlineLevel="0" collapsed="false">
      <c r="A3176" s="33" t="n">
        <v>46309</v>
      </c>
      <c r="B3176" s="0" t="n">
        <v>13</v>
      </c>
      <c r="C3176" s="0" t="n">
        <v>7594</v>
      </c>
      <c r="E3176" s="0" t="n">
        <v>0</v>
      </c>
      <c r="F3176" s="27" t="s">
        <v>1502</v>
      </c>
      <c r="I3176" s="27" t="s">
        <v>166</v>
      </c>
      <c r="U3176" s="0" t="n">
        <v>195</v>
      </c>
      <c r="V3176" s="0" t="n">
        <v>0</v>
      </c>
      <c r="W3176" s="27" t="n">
        <f aca="false">MATCH(A3176,DATAS,0)</f>
        <v>1</v>
      </c>
      <c r="X3176" s="27" t="n">
        <f aca="false">IF(AND(E3176&gt;0,OR(AND(B3176&gt;=1,B3176&lt;=6),B3176=10)),1,0)</f>
        <v>0</v>
      </c>
      <c r="Y3176" s="27" t="n">
        <f aca="false">IF(AND(E3176&gt;0,B3176=10),1,0)</f>
        <v>0</v>
      </c>
      <c r="Z3176" s="0" t="str">
        <f aca="false">IF(AND(C3175=C3176,W3175=W3176-1),X3175,"")</f>
        <v/>
      </c>
      <c r="AA3176" s="0" t="str">
        <f aca="false">IF(AND(C3175=C3176,W3175=W3176-1),Y3175,"")</f>
        <v/>
      </c>
      <c r="AB3176" s="0" t="str">
        <f aca="false">IF(W3176=1,"",IF(AND(X3176=1,Z3176&lt;&gt;1),1,0))</f>
        <v/>
      </c>
      <c r="AC3176" s="0" t="str">
        <f aca="false">IF(W3176=1,"",IF(AND(Y3176=1,AA3176&lt;&gt;1),1,0))</f>
        <v/>
      </c>
      <c r="AD3176" s="33" t="str">
        <f aca="false">IF(AND(E3176&gt;0,W3176&lt;1,NOT(AND(C3177=C3176,W3177=W3176+1))),INDEX(DATAS,W3176+1),"")</f>
        <v/>
      </c>
      <c r="AE3176" s="33" t="str">
        <f aca="false">IF(AND(Y3176=1,W3176&lt;1),IF(AND(C3177=C3176,W3177=W3176+1),IF(Y3177=1,"",INDEX(DATAS,W3176+1)),INDEX(DATAS,W3176+1)),"")</f>
        <v/>
      </c>
    </row>
    <row r="3177" customFormat="false" ht="15" hidden="false" customHeight="false" outlineLevel="0" collapsed="false">
      <c r="A3177" s="33" t="n">
        <v>46309</v>
      </c>
      <c r="B3177" s="0" t="n">
        <v>13</v>
      </c>
      <c r="C3177" s="0" t="n">
        <v>7595</v>
      </c>
      <c r="E3177" s="0" t="n">
        <v>0</v>
      </c>
      <c r="F3177" s="27" t="s">
        <v>1502</v>
      </c>
      <c r="I3177" s="27" t="s">
        <v>166</v>
      </c>
      <c r="U3177" s="0" t="n">
        <v>195</v>
      </c>
      <c r="V3177" s="0" t="n">
        <v>0</v>
      </c>
      <c r="W3177" s="27" t="n">
        <f aca="false">MATCH(A3177,DATAS,0)</f>
        <v>1</v>
      </c>
      <c r="X3177" s="27" t="n">
        <f aca="false">IF(AND(E3177&gt;0,OR(AND(B3177&gt;=1,B3177&lt;=6),B3177=10)),1,0)</f>
        <v>0</v>
      </c>
      <c r="Y3177" s="27" t="n">
        <f aca="false">IF(AND(E3177&gt;0,B3177=10),1,0)</f>
        <v>0</v>
      </c>
      <c r="Z3177" s="0" t="str">
        <f aca="false">IF(AND(C3176=C3177,W3176=W3177-1),X3176,"")</f>
        <v/>
      </c>
      <c r="AA3177" s="0" t="str">
        <f aca="false">IF(AND(C3176=C3177,W3176=W3177-1),Y3176,"")</f>
        <v/>
      </c>
      <c r="AB3177" s="0" t="str">
        <f aca="false">IF(W3177=1,"",IF(AND(X3177=1,Z3177&lt;&gt;1),1,0))</f>
        <v/>
      </c>
      <c r="AC3177" s="0" t="str">
        <f aca="false">IF(W3177=1,"",IF(AND(Y3177=1,AA3177&lt;&gt;1),1,0))</f>
        <v/>
      </c>
      <c r="AD3177" s="33" t="str">
        <f aca="false">IF(AND(E3177&gt;0,W3177&lt;1,NOT(AND(C3178=C3177,W3178=W3177+1))),INDEX(DATAS,W3177+1),"")</f>
        <v/>
      </c>
      <c r="AE3177" s="33" t="str">
        <f aca="false">IF(AND(Y3177=1,W3177&lt;1),IF(AND(C3178=C3177,W3178=W3177+1),IF(Y3178=1,"",INDEX(DATAS,W3177+1)),INDEX(DATAS,W3177+1)),"")</f>
        <v/>
      </c>
    </row>
    <row r="3178" customFormat="false" ht="15" hidden="false" customHeight="false" outlineLevel="0" collapsed="false">
      <c r="A3178" s="33" t="n">
        <v>46309</v>
      </c>
      <c r="B3178" s="0" t="n">
        <v>13</v>
      </c>
      <c r="C3178" s="0" t="n">
        <v>7596</v>
      </c>
      <c r="E3178" s="0" t="n">
        <v>0</v>
      </c>
      <c r="F3178" s="27" t="s">
        <v>1502</v>
      </c>
      <c r="I3178" s="27" t="s">
        <v>166</v>
      </c>
      <c r="U3178" s="0" t="n">
        <v>195</v>
      </c>
      <c r="V3178" s="0" t="n">
        <v>0</v>
      </c>
      <c r="W3178" s="27" t="n">
        <f aca="false">MATCH(A3178,DATAS,0)</f>
        <v>1</v>
      </c>
      <c r="X3178" s="27" t="n">
        <f aca="false">IF(AND(E3178&gt;0,OR(AND(B3178&gt;=1,B3178&lt;=6),B3178=10)),1,0)</f>
        <v>0</v>
      </c>
      <c r="Y3178" s="27" t="n">
        <f aca="false">IF(AND(E3178&gt;0,B3178=10),1,0)</f>
        <v>0</v>
      </c>
      <c r="Z3178" s="0" t="str">
        <f aca="false">IF(AND(C3177=C3178,W3177=W3178-1),X3177,"")</f>
        <v/>
      </c>
      <c r="AA3178" s="0" t="str">
        <f aca="false">IF(AND(C3177=C3178,W3177=W3178-1),Y3177,"")</f>
        <v/>
      </c>
      <c r="AB3178" s="0" t="str">
        <f aca="false">IF(W3178=1,"",IF(AND(X3178=1,Z3178&lt;&gt;1),1,0))</f>
        <v/>
      </c>
      <c r="AC3178" s="0" t="str">
        <f aca="false">IF(W3178=1,"",IF(AND(Y3178=1,AA3178&lt;&gt;1),1,0))</f>
        <v/>
      </c>
      <c r="AD3178" s="33" t="str">
        <f aca="false">IF(AND(E3178&gt;0,W3178&lt;1,NOT(AND(C3179=C3178,W3179=W3178+1))),INDEX(DATAS,W3178+1),"")</f>
        <v/>
      </c>
      <c r="AE3178" s="33" t="str">
        <f aca="false">IF(AND(Y3178=1,W3178&lt;1),IF(AND(C3179=C3178,W3179=W3178+1),IF(Y3179=1,"",INDEX(DATAS,W3178+1)),INDEX(DATAS,W3178+1)),"")</f>
        <v/>
      </c>
    </row>
    <row r="3179" customFormat="false" ht="15" hidden="false" customHeight="false" outlineLevel="0" collapsed="false">
      <c r="A3179" s="33" t="n">
        <v>46309</v>
      </c>
      <c r="B3179" s="0" t="n">
        <v>13</v>
      </c>
      <c r="C3179" s="0" t="n">
        <v>7597</v>
      </c>
      <c r="E3179" s="0" t="n">
        <v>0</v>
      </c>
      <c r="F3179" s="27" t="s">
        <v>1503</v>
      </c>
      <c r="I3179" s="27" t="s">
        <v>166</v>
      </c>
      <c r="U3179" s="0" t="n">
        <v>194</v>
      </c>
      <c r="V3179" s="0" t="n">
        <v>0</v>
      </c>
      <c r="W3179" s="27" t="n">
        <f aca="false">MATCH(A3179,DATAS,0)</f>
        <v>1</v>
      </c>
      <c r="X3179" s="27" t="n">
        <f aca="false">IF(AND(E3179&gt;0,OR(AND(B3179&gt;=1,B3179&lt;=6),B3179=10)),1,0)</f>
        <v>0</v>
      </c>
      <c r="Y3179" s="27" t="n">
        <f aca="false">IF(AND(E3179&gt;0,B3179=10),1,0)</f>
        <v>0</v>
      </c>
      <c r="Z3179" s="0" t="str">
        <f aca="false">IF(AND(C3178=C3179,W3178=W3179-1),X3178,"")</f>
        <v/>
      </c>
      <c r="AA3179" s="0" t="str">
        <f aca="false">IF(AND(C3178=C3179,W3178=W3179-1),Y3178,"")</f>
        <v/>
      </c>
      <c r="AB3179" s="0" t="str">
        <f aca="false">IF(W3179=1,"",IF(AND(X3179=1,Z3179&lt;&gt;1),1,0))</f>
        <v/>
      </c>
      <c r="AC3179" s="0" t="str">
        <f aca="false">IF(W3179=1,"",IF(AND(Y3179=1,AA3179&lt;&gt;1),1,0))</f>
        <v/>
      </c>
      <c r="AD3179" s="33" t="str">
        <f aca="false">IF(AND(E3179&gt;0,W3179&lt;1,NOT(AND(C3180=C3179,W3180=W3179+1))),INDEX(DATAS,W3179+1),"")</f>
        <v/>
      </c>
      <c r="AE3179" s="33" t="str">
        <f aca="false">IF(AND(Y3179=1,W3179&lt;1),IF(AND(C3180=C3179,W3180=W3179+1),IF(Y3180=1,"",INDEX(DATAS,W3179+1)),INDEX(DATAS,W3179+1)),"")</f>
        <v/>
      </c>
    </row>
    <row r="3180" customFormat="false" ht="15" hidden="false" customHeight="false" outlineLevel="0" collapsed="false">
      <c r="A3180" s="33" t="n">
        <v>46309</v>
      </c>
      <c r="B3180" s="0" t="n">
        <v>13</v>
      </c>
      <c r="C3180" s="0" t="n">
        <v>7598</v>
      </c>
      <c r="E3180" s="0" t="n">
        <v>0</v>
      </c>
      <c r="F3180" s="27" t="s">
        <v>1503</v>
      </c>
      <c r="I3180" s="27" t="s">
        <v>166</v>
      </c>
      <c r="U3180" s="0" t="n">
        <v>194</v>
      </c>
      <c r="V3180" s="0" t="n">
        <v>0</v>
      </c>
      <c r="W3180" s="27" t="n">
        <f aca="false">MATCH(A3180,DATAS,0)</f>
        <v>1</v>
      </c>
      <c r="X3180" s="27" t="n">
        <f aca="false">IF(AND(E3180&gt;0,OR(AND(B3180&gt;=1,B3180&lt;=6),B3180=10)),1,0)</f>
        <v>0</v>
      </c>
      <c r="Y3180" s="27" t="n">
        <f aca="false">IF(AND(E3180&gt;0,B3180=10),1,0)</f>
        <v>0</v>
      </c>
      <c r="Z3180" s="0" t="str">
        <f aca="false">IF(AND(C3179=C3180,W3179=W3180-1),X3179,"")</f>
        <v/>
      </c>
      <c r="AA3180" s="0" t="str">
        <f aca="false">IF(AND(C3179=C3180,W3179=W3180-1),Y3179,"")</f>
        <v/>
      </c>
      <c r="AB3180" s="0" t="str">
        <f aca="false">IF(W3180=1,"",IF(AND(X3180=1,Z3180&lt;&gt;1),1,0))</f>
        <v/>
      </c>
      <c r="AC3180" s="0" t="str">
        <f aca="false">IF(W3180=1,"",IF(AND(Y3180=1,AA3180&lt;&gt;1),1,0))</f>
        <v/>
      </c>
      <c r="AD3180" s="33" t="str">
        <f aca="false">IF(AND(E3180&gt;0,W3180&lt;1,NOT(AND(C3181=C3180,W3181=W3180+1))),INDEX(DATAS,W3180+1),"")</f>
        <v/>
      </c>
      <c r="AE3180" s="33" t="str">
        <f aca="false">IF(AND(Y3180=1,W3180&lt;1),IF(AND(C3181=C3180,W3181=W3180+1),IF(Y3181=1,"",INDEX(DATAS,W3180+1)),INDEX(DATAS,W3180+1)),"")</f>
        <v/>
      </c>
    </row>
    <row r="3181" customFormat="false" ht="15" hidden="false" customHeight="false" outlineLevel="0" collapsed="false">
      <c r="A3181" s="33" t="n">
        <v>46309</v>
      </c>
      <c r="B3181" s="0" t="n">
        <v>13</v>
      </c>
      <c r="C3181" s="0" t="n">
        <v>7599</v>
      </c>
      <c r="E3181" s="0" t="n">
        <v>0</v>
      </c>
      <c r="F3181" s="27" t="s">
        <v>1504</v>
      </c>
      <c r="I3181" s="27" t="s">
        <v>166</v>
      </c>
      <c r="U3181" s="0" t="n">
        <v>193</v>
      </c>
      <c r="V3181" s="0" t="n">
        <v>0</v>
      </c>
      <c r="W3181" s="27" t="n">
        <f aca="false">MATCH(A3181,DATAS,0)</f>
        <v>1</v>
      </c>
      <c r="X3181" s="27" t="n">
        <f aca="false">IF(AND(E3181&gt;0,OR(AND(B3181&gt;=1,B3181&lt;=6),B3181=10)),1,0)</f>
        <v>0</v>
      </c>
      <c r="Y3181" s="27" t="n">
        <f aca="false">IF(AND(E3181&gt;0,B3181=10),1,0)</f>
        <v>0</v>
      </c>
      <c r="Z3181" s="0" t="str">
        <f aca="false">IF(AND(C3180=C3181,W3180=W3181-1),X3180,"")</f>
        <v/>
      </c>
      <c r="AA3181" s="0" t="str">
        <f aca="false">IF(AND(C3180=C3181,W3180=W3181-1),Y3180,"")</f>
        <v/>
      </c>
      <c r="AB3181" s="0" t="str">
        <f aca="false">IF(W3181=1,"",IF(AND(X3181=1,Z3181&lt;&gt;1),1,0))</f>
        <v/>
      </c>
      <c r="AC3181" s="0" t="str">
        <f aca="false">IF(W3181=1,"",IF(AND(Y3181=1,AA3181&lt;&gt;1),1,0))</f>
        <v/>
      </c>
      <c r="AD3181" s="33" t="str">
        <f aca="false">IF(AND(E3181&gt;0,W3181&lt;1,NOT(AND(C3182=C3181,W3182=W3181+1))),INDEX(DATAS,W3181+1),"")</f>
        <v/>
      </c>
      <c r="AE3181" s="33" t="str">
        <f aca="false">IF(AND(Y3181=1,W3181&lt;1),IF(AND(C3182=C3181,W3182=W3181+1),IF(Y3182=1,"",INDEX(DATAS,W3181+1)),INDEX(DATAS,W3181+1)),"")</f>
        <v/>
      </c>
    </row>
    <row r="3182" customFormat="false" ht="15" hidden="false" customHeight="false" outlineLevel="0" collapsed="false">
      <c r="A3182" s="33" t="n">
        <v>46309</v>
      </c>
      <c r="B3182" s="0" t="n">
        <v>13</v>
      </c>
      <c r="C3182" s="0" t="n">
        <v>7600</v>
      </c>
      <c r="E3182" s="0" t="n">
        <v>0</v>
      </c>
      <c r="F3182" s="27" t="s">
        <v>1504</v>
      </c>
      <c r="I3182" s="27" t="s">
        <v>166</v>
      </c>
      <c r="U3182" s="0" t="n">
        <v>193</v>
      </c>
      <c r="V3182" s="0" t="n">
        <v>0</v>
      </c>
      <c r="W3182" s="27" t="n">
        <f aca="false">MATCH(A3182,DATAS,0)</f>
        <v>1</v>
      </c>
      <c r="X3182" s="27" t="n">
        <f aca="false">IF(AND(E3182&gt;0,OR(AND(B3182&gt;=1,B3182&lt;=6),B3182=10)),1,0)</f>
        <v>0</v>
      </c>
      <c r="Y3182" s="27" t="n">
        <f aca="false">IF(AND(E3182&gt;0,B3182=10),1,0)</f>
        <v>0</v>
      </c>
      <c r="Z3182" s="0" t="str">
        <f aca="false">IF(AND(C3181=C3182,W3181=W3182-1),X3181,"")</f>
        <v/>
      </c>
      <c r="AA3182" s="0" t="str">
        <f aca="false">IF(AND(C3181=C3182,W3181=W3182-1),Y3181,"")</f>
        <v/>
      </c>
      <c r="AB3182" s="0" t="str">
        <f aca="false">IF(W3182=1,"",IF(AND(X3182=1,Z3182&lt;&gt;1),1,0))</f>
        <v/>
      </c>
      <c r="AC3182" s="0" t="str">
        <f aca="false">IF(W3182=1,"",IF(AND(Y3182=1,AA3182&lt;&gt;1),1,0))</f>
        <v/>
      </c>
      <c r="AD3182" s="33" t="str">
        <f aca="false">IF(AND(E3182&gt;0,W3182&lt;1,NOT(AND(C3183=C3182,W3183=W3182+1))),INDEX(DATAS,W3182+1),"")</f>
        <v/>
      </c>
      <c r="AE3182" s="33" t="str">
        <f aca="false">IF(AND(Y3182=1,W3182&lt;1),IF(AND(C3183=C3182,W3183=W3182+1),IF(Y3183=1,"",INDEX(DATAS,W3182+1)),INDEX(DATAS,W3182+1)),"")</f>
        <v/>
      </c>
    </row>
    <row r="3183" customFormat="false" ht="15" hidden="false" customHeight="false" outlineLevel="0" collapsed="false">
      <c r="A3183" s="33" t="n">
        <v>46309</v>
      </c>
      <c r="B3183" s="0" t="n">
        <v>13</v>
      </c>
      <c r="C3183" s="0" t="n">
        <v>7602</v>
      </c>
      <c r="E3183" s="0" t="n">
        <v>0</v>
      </c>
      <c r="F3183" s="27" t="s">
        <v>1504</v>
      </c>
      <c r="I3183" s="27" t="s">
        <v>166</v>
      </c>
      <c r="U3183" s="0" t="n">
        <v>193</v>
      </c>
      <c r="V3183" s="0" t="n">
        <v>0</v>
      </c>
      <c r="W3183" s="27" t="n">
        <f aca="false">MATCH(A3183,DATAS,0)</f>
        <v>1</v>
      </c>
      <c r="X3183" s="27" t="n">
        <f aca="false">IF(AND(E3183&gt;0,OR(AND(B3183&gt;=1,B3183&lt;=6),B3183=10)),1,0)</f>
        <v>0</v>
      </c>
      <c r="Y3183" s="27" t="n">
        <f aca="false">IF(AND(E3183&gt;0,B3183=10),1,0)</f>
        <v>0</v>
      </c>
      <c r="Z3183" s="0" t="str">
        <f aca="false">IF(AND(C3182=C3183,W3182=W3183-1),X3182,"")</f>
        <v/>
      </c>
      <c r="AA3183" s="0" t="str">
        <f aca="false">IF(AND(C3182=C3183,W3182=W3183-1),Y3182,"")</f>
        <v/>
      </c>
      <c r="AB3183" s="0" t="str">
        <f aca="false">IF(W3183=1,"",IF(AND(X3183=1,Z3183&lt;&gt;1),1,0))</f>
        <v/>
      </c>
      <c r="AC3183" s="0" t="str">
        <f aca="false">IF(W3183=1,"",IF(AND(Y3183=1,AA3183&lt;&gt;1),1,0))</f>
        <v/>
      </c>
      <c r="AD3183" s="33" t="str">
        <f aca="false">IF(AND(E3183&gt;0,W3183&lt;1,NOT(AND(C3184=C3183,W3184=W3183+1))),INDEX(DATAS,W3183+1),"")</f>
        <v/>
      </c>
      <c r="AE3183" s="33" t="str">
        <f aca="false">IF(AND(Y3183=1,W3183&lt;1),IF(AND(C3184=C3183,W3184=W3183+1),IF(Y3184=1,"",INDEX(DATAS,W3183+1)),INDEX(DATAS,W3183+1)),"")</f>
        <v/>
      </c>
    </row>
    <row r="3184" customFormat="false" ht="15" hidden="false" customHeight="false" outlineLevel="0" collapsed="false">
      <c r="A3184" s="33" t="n">
        <v>46309</v>
      </c>
      <c r="B3184" s="0" t="n">
        <v>13</v>
      </c>
      <c r="C3184" s="0" t="n">
        <v>7603</v>
      </c>
      <c r="E3184" s="0" t="n">
        <v>0</v>
      </c>
      <c r="F3184" s="27" t="s">
        <v>1504</v>
      </c>
      <c r="I3184" s="27" t="s">
        <v>166</v>
      </c>
      <c r="U3184" s="0" t="n">
        <v>193</v>
      </c>
      <c r="V3184" s="0" t="n">
        <v>0</v>
      </c>
      <c r="W3184" s="27" t="n">
        <f aca="false">MATCH(A3184,DATAS,0)</f>
        <v>1</v>
      </c>
      <c r="X3184" s="27" t="n">
        <f aca="false">IF(AND(E3184&gt;0,OR(AND(B3184&gt;=1,B3184&lt;=6),B3184=10)),1,0)</f>
        <v>0</v>
      </c>
      <c r="Y3184" s="27" t="n">
        <f aca="false">IF(AND(E3184&gt;0,B3184=10),1,0)</f>
        <v>0</v>
      </c>
      <c r="Z3184" s="0" t="str">
        <f aca="false">IF(AND(C3183=C3184,W3183=W3184-1),X3183,"")</f>
        <v/>
      </c>
      <c r="AA3184" s="0" t="str">
        <f aca="false">IF(AND(C3183=C3184,W3183=W3184-1),Y3183,"")</f>
        <v/>
      </c>
      <c r="AB3184" s="0" t="str">
        <f aca="false">IF(W3184=1,"",IF(AND(X3184=1,Z3184&lt;&gt;1),1,0))</f>
        <v/>
      </c>
      <c r="AC3184" s="0" t="str">
        <f aca="false">IF(W3184=1,"",IF(AND(Y3184=1,AA3184&lt;&gt;1),1,0))</f>
        <v/>
      </c>
      <c r="AD3184" s="33" t="str">
        <f aca="false">IF(AND(E3184&gt;0,W3184&lt;1,NOT(AND(C3185=C3184,W3185=W3184+1))),INDEX(DATAS,W3184+1),"")</f>
        <v/>
      </c>
      <c r="AE3184" s="33" t="str">
        <f aca="false">IF(AND(Y3184=1,W3184&lt;1),IF(AND(C3185=C3184,W3185=W3184+1),IF(Y3185=1,"",INDEX(DATAS,W3184+1)),INDEX(DATAS,W3184+1)),"")</f>
        <v/>
      </c>
    </row>
    <row r="3185" customFormat="false" ht="15" hidden="false" customHeight="false" outlineLevel="0" collapsed="false">
      <c r="A3185" s="33" t="n">
        <v>46309</v>
      </c>
      <c r="B3185" s="0" t="n">
        <v>13</v>
      </c>
      <c r="C3185" s="0" t="n">
        <v>7604</v>
      </c>
      <c r="E3185" s="0" t="n">
        <v>0</v>
      </c>
      <c r="F3185" s="27" t="s">
        <v>1505</v>
      </c>
      <c r="I3185" s="27" t="s">
        <v>166</v>
      </c>
      <c r="U3185" s="0" t="n">
        <v>192</v>
      </c>
      <c r="V3185" s="0" t="n">
        <v>0</v>
      </c>
      <c r="W3185" s="27" t="n">
        <f aca="false">MATCH(A3185,DATAS,0)</f>
        <v>1</v>
      </c>
      <c r="X3185" s="27" t="n">
        <f aca="false">IF(AND(E3185&gt;0,OR(AND(B3185&gt;=1,B3185&lt;=6),B3185=10)),1,0)</f>
        <v>0</v>
      </c>
      <c r="Y3185" s="27" t="n">
        <f aca="false">IF(AND(E3185&gt;0,B3185=10),1,0)</f>
        <v>0</v>
      </c>
      <c r="Z3185" s="0" t="str">
        <f aca="false">IF(AND(C3184=C3185,W3184=W3185-1),X3184,"")</f>
        <v/>
      </c>
      <c r="AA3185" s="0" t="str">
        <f aca="false">IF(AND(C3184=C3185,W3184=W3185-1),Y3184,"")</f>
        <v/>
      </c>
      <c r="AB3185" s="0" t="str">
        <f aca="false">IF(W3185=1,"",IF(AND(X3185=1,Z3185&lt;&gt;1),1,0))</f>
        <v/>
      </c>
      <c r="AC3185" s="0" t="str">
        <f aca="false">IF(W3185=1,"",IF(AND(Y3185=1,AA3185&lt;&gt;1),1,0))</f>
        <v/>
      </c>
      <c r="AD3185" s="33" t="str">
        <f aca="false">IF(AND(E3185&gt;0,W3185&lt;1,NOT(AND(C3186=C3185,W3186=W3185+1))),INDEX(DATAS,W3185+1),"")</f>
        <v/>
      </c>
      <c r="AE3185" s="33" t="str">
        <f aca="false">IF(AND(Y3185=1,W3185&lt;1),IF(AND(C3186=C3185,W3186=W3185+1),IF(Y3186=1,"",INDEX(DATAS,W3185+1)),INDEX(DATAS,W3185+1)),"")</f>
        <v/>
      </c>
    </row>
    <row r="3186" customFormat="false" ht="15" hidden="false" customHeight="false" outlineLevel="0" collapsed="false">
      <c r="A3186" s="33" t="n">
        <v>46309</v>
      </c>
      <c r="B3186" s="0" t="n">
        <v>13</v>
      </c>
      <c r="C3186" s="0" t="n">
        <v>7605</v>
      </c>
      <c r="E3186" s="0" t="n">
        <v>0</v>
      </c>
      <c r="F3186" s="27" t="s">
        <v>1505</v>
      </c>
      <c r="I3186" s="27" t="s">
        <v>166</v>
      </c>
      <c r="U3186" s="0" t="n">
        <v>192</v>
      </c>
      <c r="V3186" s="0" t="n">
        <v>0</v>
      </c>
      <c r="W3186" s="27" t="n">
        <f aca="false">MATCH(A3186,DATAS,0)</f>
        <v>1</v>
      </c>
      <c r="X3186" s="27" t="n">
        <f aca="false">IF(AND(E3186&gt;0,OR(AND(B3186&gt;=1,B3186&lt;=6),B3186=10)),1,0)</f>
        <v>0</v>
      </c>
      <c r="Y3186" s="27" t="n">
        <f aca="false">IF(AND(E3186&gt;0,B3186=10),1,0)</f>
        <v>0</v>
      </c>
      <c r="Z3186" s="0" t="str">
        <f aca="false">IF(AND(C3185=C3186,W3185=W3186-1),X3185,"")</f>
        <v/>
      </c>
      <c r="AA3186" s="0" t="str">
        <f aca="false">IF(AND(C3185=C3186,W3185=W3186-1),Y3185,"")</f>
        <v/>
      </c>
      <c r="AB3186" s="0" t="str">
        <f aca="false">IF(W3186=1,"",IF(AND(X3186=1,Z3186&lt;&gt;1),1,0))</f>
        <v/>
      </c>
      <c r="AC3186" s="0" t="str">
        <f aca="false">IF(W3186=1,"",IF(AND(Y3186=1,AA3186&lt;&gt;1),1,0))</f>
        <v/>
      </c>
      <c r="AD3186" s="33" t="str">
        <f aca="false">IF(AND(E3186&gt;0,W3186&lt;1,NOT(AND(C3187=C3186,W3187=W3186+1))),INDEX(DATAS,W3186+1),"")</f>
        <v/>
      </c>
      <c r="AE3186" s="33" t="str">
        <f aca="false">IF(AND(Y3186=1,W3186&lt;1),IF(AND(C3187=C3186,W3187=W3186+1),IF(Y3187=1,"",INDEX(DATAS,W3186+1)),INDEX(DATAS,W3186+1)),"")</f>
        <v/>
      </c>
    </row>
    <row r="3187" customFormat="false" ht="15" hidden="false" customHeight="false" outlineLevel="0" collapsed="false">
      <c r="A3187" s="33" t="n">
        <v>46309</v>
      </c>
      <c r="B3187" s="0" t="n">
        <v>13</v>
      </c>
      <c r="C3187" s="0" t="n">
        <v>7606</v>
      </c>
      <c r="E3187" s="0" t="n">
        <v>0</v>
      </c>
      <c r="F3187" s="27" t="s">
        <v>1505</v>
      </c>
      <c r="I3187" s="27" t="s">
        <v>166</v>
      </c>
      <c r="U3187" s="0" t="n">
        <v>192</v>
      </c>
      <c r="V3187" s="0" t="n">
        <v>0</v>
      </c>
      <c r="W3187" s="27" t="n">
        <f aca="false">MATCH(A3187,DATAS,0)</f>
        <v>1</v>
      </c>
      <c r="X3187" s="27" t="n">
        <f aca="false">IF(AND(E3187&gt;0,OR(AND(B3187&gt;=1,B3187&lt;=6),B3187=10)),1,0)</f>
        <v>0</v>
      </c>
      <c r="Y3187" s="27" t="n">
        <f aca="false">IF(AND(E3187&gt;0,B3187=10),1,0)</f>
        <v>0</v>
      </c>
      <c r="Z3187" s="0" t="str">
        <f aca="false">IF(AND(C3186=C3187,W3186=W3187-1),X3186,"")</f>
        <v/>
      </c>
      <c r="AA3187" s="0" t="str">
        <f aca="false">IF(AND(C3186=C3187,W3186=W3187-1),Y3186,"")</f>
        <v/>
      </c>
      <c r="AB3187" s="0" t="str">
        <f aca="false">IF(W3187=1,"",IF(AND(X3187=1,Z3187&lt;&gt;1),1,0))</f>
        <v/>
      </c>
      <c r="AC3187" s="0" t="str">
        <f aca="false">IF(W3187=1,"",IF(AND(Y3187=1,AA3187&lt;&gt;1),1,0))</f>
        <v/>
      </c>
      <c r="AD3187" s="33" t="str">
        <f aca="false">IF(AND(E3187&gt;0,W3187&lt;1,NOT(AND(C3188=C3187,W3188=W3187+1))),INDEX(DATAS,W3187+1),"")</f>
        <v/>
      </c>
      <c r="AE3187" s="33" t="str">
        <f aca="false">IF(AND(Y3187=1,W3187&lt;1),IF(AND(C3188=C3187,W3188=W3187+1),IF(Y3188=1,"",INDEX(DATAS,W3187+1)),INDEX(DATAS,W3187+1)),"")</f>
        <v/>
      </c>
    </row>
    <row r="3188" customFormat="false" ht="15" hidden="false" customHeight="false" outlineLevel="0" collapsed="false">
      <c r="A3188" s="33" t="n">
        <v>46309</v>
      </c>
      <c r="B3188" s="0" t="n">
        <v>13</v>
      </c>
      <c r="C3188" s="0" t="n">
        <v>7607</v>
      </c>
      <c r="E3188" s="0" t="n">
        <v>0</v>
      </c>
      <c r="F3188" s="27" t="s">
        <v>1505</v>
      </c>
      <c r="I3188" s="27" t="s">
        <v>166</v>
      </c>
      <c r="U3188" s="0" t="n">
        <v>192</v>
      </c>
      <c r="V3188" s="0" t="n">
        <v>0</v>
      </c>
      <c r="W3188" s="27" t="n">
        <f aca="false">MATCH(A3188,DATAS,0)</f>
        <v>1</v>
      </c>
      <c r="X3188" s="27" t="n">
        <f aca="false">IF(AND(E3188&gt;0,OR(AND(B3188&gt;=1,B3188&lt;=6),B3188=10)),1,0)</f>
        <v>0</v>
      </c>
      <c r="Y3188" s="27" t="n">
        <f aca="false">IF(AND(E3188&gt;0,B3188=10),1,0)</f>
        <v>0</v>
      </c>
      <c r="Z3188" s="0" t="str">
        <f aca="false">IF(AND(C3187=C3188,W3187=W3188-1),X3187,"")</f>
        <v/>
      </c>
      <c r="AA3188" s="0" t="str">
        <f aca="false">IF(AND(C3187=C3188,W3187=W3188-1),Y3187,"")</f>
        <v/>
      </c>
      <c r="AB3188" s="0" t="str">
        <f aca="false">IF(W3188=1,"",IF(AND(X3188=1,Z3188&lt;&gt;1),1,0))</f>
        <v/>
      </c>
      <c r="AC3188" s="0" t="str">
        <f aca="false">IF(W3188=1,"",IF(AND(Y3188=1,AA3188&lt;&gt;1),1,0))</f>
        <v/>
      </c>
      <c r="AD3188" s="33" t="str">
        <f aca="false">IF(AND(E3188&gt;0,W3188&lt;1,NOT(AND(C3189=C3188,W3189=W3188+1))),INDEX(DATAS,W3188+1),"")</f>
        <v/>
      </c>
      <c r="AE3188" s="33" t="str">
        <f aca="false">IF(AND(Y3188=1,W3188&lt;1),IF(AND(C3189=C3188,W3189=W3188+1),IF(Y3189=1,"",INDEX(DATAS,W3188+1)),INDEX(DATAS,W3188+1)),"")</f>
        <v/>
      </c>
    </row>
    <row r="3189" customFormat="false" ht="15" hidden="false" customHeight="false" outlineLevel="0" collapsed="false">
      <c r="A3189" s="33" t="n">
        <v>46309</v>
      </c>
      <c r="B3189" s="0" t="n">
        <v>13</v>
      </c>
      <c r="C3189" s="0" t="n">
        <v>7608</v>
      </c>
      <c r="E3189" s="0" t="n">
        <v>0</v>
      </c>
      <c r="F3189" s="27" t="s">
        <v>1506</v>
      </c>
      <c r="I3189" s="27" t="s">
        <v>166</v>
      </c>
      <c r="U3189" s="0" t="n">
        <v>191</v>
      </c>
      <c r="V3189" s="0" t="n">
        <v>0</v>
      </c>
      <c r="W3189" s="27" t="n">
        <f aca="false">MATCH(A3189,DATAS,0)</f>
        <v>1</v>
      </c>
      <c r="X3189" s="27" t="n">
        <f aca="false">IF(AND(E3189&gt;0,OR(AND(B3189&gt;=1,B3189&lt;=6),B3189=10)),1,0)</f>
        <v>0</v>
      </c>
      <c r="Y3189" s="27" t="n">
        <f aca="false">IF(AND(E3189&gt;0,B3189=10),1,0)</f>
        <v>0</v>
      </c>
      <c r="Z3189" s="0" t="str">
        <f aca="false">IF(AND(C3188=C3189,W3188=W3189-1),X3188,"")</f>
        <v/>
      </c>
      <c r="AA3189" s="0" t="str">
        <f aca="false">IF(AND(C3188=C3189,W3188=W3189-1),Y3188,"")</f>
        <v/>
      </c>
      <c r="AB3189" s="0" t="str">
        <f aca="false">IF(W3189=1,"",IF(AND(X3189=1,Z3189&lt;&gt;1),1,0))</f>
        <v/>
      </c>
      <c r="AC3189" s="0" t="str">
        <f aca="false">IF(W3189=1,"",IF(AND(Y3189=1,AA3189&lt;&gt;1),1,0))</f>
        <v/>
      </c>
      <c r="AD3189" s="33" t="str">
        <f aca="false">IF(AND(E3189&gt;0,W3189&lt;1,NOT(AND(C3190=C3189,W3190=W3189+1))),INDEX(DATAS,W3189+1),"")</f>
        <v/>
      </c>
      <c r="AE3189" s="33" t="str">
        <f aca="false">IF(AND(Y3189=1,W3189&lt;1),IF(AND(C3190=C3189,W3190=W3189+1),IF(Y3190=1,"",INDEX(DATAS,W3189+1)),INDEX(DATAS,W3189+1)),"")</f>
        <v/>
      </c>
    </row>
    <row r="3190" customFormat="false" ht="15" hidden="false" customHeight="false" outlineLevel="0" collapsed="false">
      <c r="A3190" s="33" t="n">
        <v>46309</v>
      </c>
      <c r="B3190" s="0" t="n">
        <v>13</v>
      </c>
      <c r="C3190" s="0" t="n">
        <v>7609</v>
      </c>
      <c r="E3190" s="0" t="n">
        <v>0</v>
      </c>
      <c r="F3190" s="27" t="s">
        <v>1506</v>
      </c>
      <c r="I3190" s="27" t="s">
        <v>166</v>
      </c>
      <c r="U3190" s="0" t="n">
        <v>191</v>
      </c>
      <c r="V3190" s="0" t="n">
        <v>0</v>
      </c>
      <c r="W3190" s="27" t="n">
        <f aca="false">MATCH(A3190,DATAS,0)</f>
        <v>1</v>
      </c>
      <c r="X3190" s="27" t="n">
        <f aca="false">IF(AND(E3190&gt;0,OR(AND(B3190&gt;=1,B3190&lt;=6),B3190=10)),1,0)</f>
        <v>0</v>
      </c>
      <c r="Y3190" s="27" t="n">
        <f aca="false">IF(AND(E3190&gt;0,B3190=10),1,0)</f>
        <v>0</v>
      </c>
      <c r="Z3190" s="0" t="str">
        <f aca="false">IF(AND(C3189=C3190,W3189=W3190-1),X3189,"")</f>
        <v/>
      </c>
      <c r="AA3190" s="0" t="str">
        <f aca="false">IF(AND(C3189=C3190,W3189=W3190-1),Y3189,"")</f>
        <v/>
      </c>
      <c r="AB3190" s="0" t="str">
        <f aca="false">IF(W3190=1,"",IF(AND(X3190=1,Z3190&lt;&gt;1),1,0))</f>
        <v/>
      </c>
      <c r="AC3190" s="0" t="str">
        <f aca="false">IF(W3190=1,"",IF(AND(Y3190=1,AA3190&lt;&gt;1),1,0))</f>
        <v/>
      </c>
      <c r="AD3190" s="33" t="str">
        <f aca="false">IF(AND(E3190&gt;0,W3190&lt;1,NOT(AND(C3191=C3190,W3191=W3190+1))),INDEX(DATAS,W3190+1),"")</f>
        <v/>
      </c>
      <c r="AE3190" s="33" t="str">
        <f aca="false">IF(AND(Y3190=1,W3190&lt;1),IF(AND(C3191=C3190,W3191=W3190+1),IF(Y3191=1,"",INDEX(DATAS,W3190+1)),INDEX(DATAS,W3190+1)),"")</f>
        <v/>
      </c>
    </row>
    <row r="3191" customFormat="false" ht="15" hidden="false" customHeight="false" outlineLevel="0" collapsed="false">
      <c r="A3191" s="33" t="n">
        <v>46309</v>
      </c>
      <c r="B3191" s="0" t="n">
        <v>13</v>
      </c>
      <c r="C3191" s="0" t="n">
        <v>7610</v>
      </c>
      <c r="E3191" s="0" t="n">
        <v>0</v>
      </c>
      <c r="F3191" s="27" t="s">
        <v>1506</v>
      </c>
      <c r="I3191" s="27" t="s">
        <v>166</v>
      </c>
      <c r="U3191" s="0" t="n">
        <v>191</v>
      </c>
      <c r="V3191" s="0" t="n">
        <v>0</v>
      </c>
      <c r="W3191" s="27" t="n">
        <f aca="false">MATCH(A3191,DATAS,0)</f>
        <v>1</v>
      </c>
      <c r="X3191" s="27" t="n">
        <f aca="false">IF(AND(E3191&gt;0,OR(AND(B3191&gt;=1,B3191&lt;=6),B3191=10)),1,0)</f>
        <v>0</v>
      </c>
      <c r="Y3191" s="27" t="n">
        <f aca="false">IF(AND(E3191&gt;0,B3191=10),1,0)</f>
        <v>0</v>
      </c>
      <c r="Z3191" s="0" t="str">
        <f aca="false">IF(AND(C3190=C3191,W3190=W3191-1),X3190,"")</f>
        <v/>
      </c>
      <c r="AA3191" s="0" t="str">
        <f aca="false">IF(AND(C3190=C3191,W3190=W3191-1),Y3190,"")</f>
        <v/>
      </c>
      <c r="AB3191" s="0" t="str">
        <f aca="false">IF(W3191=1,"",IF(AND(X3191=1,Z3191&lt;&gt;1),1,0))</f>
        <v/>
      </c>
      <c r="AC3191" s="0" t="str">
        <f aca="false">IF(W3191=1,"",IF(AND(Y3191=1,AA3191&lt;&gt;1),1,0))</f>
        <v/>
      </c>
      <c r="AD3191" s="33" t="str">
        <f aca="false">IF(AND(E3191&gt;0,W3191&lt;1,NOT(AND(C3192=C3191,W3192=W3191+1))),INDEX(DATAS,W3191+1),"")</f>
        <v/>
      </c>
      <c r="AE3191" s="33" t="str">
        <f aca="false">IF(AND(Y3191=1,W3191&lt;1),IF(AND(C3192=C3191,W3192=W3191+1),IF(Y3192=1,"",INDEX(DATAS,W3191+1)),INDEX(DATAS,W3191+1)),"")</f>
        <v/>
      </c>
    </row>
    <row r="3192" customFormat="false" ht="15" hidden="false" customHeight="false" outlineLevel="0" collapsed="false">
      <c r="A3192" s="33" t="n">
        <v>46309</v>
      </c>
      <c r="B3192" s="0" t="n">
        <v>13</v>
      </c>
      <c r="C3192" s="0" t="n">
        <v>7612</v>
      </c>
      <c r="E3192" s="0" t="n">
        <v>0</v>
      </c>
      <c r="F3192" s="27" t="s">
        <v>1507</v>
      </c>
      <c r="I3192" s="27" t="s">
        <v>166</v>
      </c>
      <c r="U3192" s="0" t="n">
        <v>190</v>
      </c>
      <c r="V3192" s="0" t="n">
        <v>0</v>
      </c>
      <c r="W3192" s="27" t="n">
        <f aca="false">MATCH(A3192,DATAS,0)</f>
        <v>1</v>
      </c>
      <c r="X3192" s="27" t="n">
        <f aca="false">IF(AND(E3192&gt;0,OR(AND(B3192&gt;=1,B3192&lt;=6),B3192=10)),1,0)</f>
        <v>0</v>
      </c>
      <c r="Y3192" s="27" t="n">
        <f aca="false">IF(AND(E3192&gt;0,B3192=10),1,0)</f>
        <v>0</v>
      </c>
      <c r="Z3192" s="0" t="str">
        <f aca="false">IF(AND(C3191=C3192,W3191=W3192-1),X3191,"")</f>
        <v/>
      </c>
      <c r="AA3192" s="0" t="str">
        <f aca="false">IF(AND(C3191=C3192,W3191=W3192-1),Y3191,"")</f>
        <v/>
      </c>
      <c r="AB3192" s="0" t="str">
        <f aca="false">IF(W3192=1,"",IF(AND(X3192=1,Z3192&lt;&gt;1),1,0))</f>
        <v/>
      </c>
      <c r="AC3192" s="0" t="str">
        <f aca="false">IF(W3192=1,"",IF(AND(Y3192=1,AA3192&lt;&gt;1),1,0))</f>
        <v/>
      </c>
      <c r="AD3192" s="33" t="str">
        <f aca="false">IF(AND(E3192&gt;0,W3192&lt;1,NOT(AND(C3193=C3192,W3193=W3192+1))),INDEX(DATAS,W3192+1),"")</f>
        <v/>
      </c>
      <c r="AE3192" s="33" t="str">
        <f aca="false">IF(AND(Y3192=1,W3192&lt;1),IF(AND(C3193=C3192,W3193=W3192+1),IF(Y3193=1,"",INDEX(DATAS,W3192+1)),INDEX(DATAS,W3192+1)),"")</f>
        <v/>
      </c>
    </row>
    <row r="3193" customFormat="false" ht="15" hidden="false" customHeight="false" outlineLevel="0" collapsed="false">
      <c r="A3193" s="33" t="n">
        <v>46309</v>
      </c>
      <c r="B3193" s="0" t="n">
        <v>13</v>
      </c>
      <c r="C3193" s="0" t="n">
        <v>7613</v>
      </c>
      <c r="E3193" s="0" t="n">
        <v>0</v>
      </c>
      <c r="F3193" s="27" t="s">
        <v>1508</v>
      </c>
      <c r="I3193" s="27" t="s">
        <v>166</v>
      </c>
      <c r="U3193" s="0" t="n">
        <v>189</v>
      </c>
      <c r="V3193" s="0" t="n">
        <v>0</v>
      </c>
      <c r="W3193" s="27" t="n">
        <f aca="false">MATCH(A3193,DATAS,0)</f>
        <v>1</v>
      </c>
      <c r="X3193" s="27" t="n">
        <f aca="false">IF(AND(E3193&gt;0,OR(AND(B3193&gt;=1,B3193&lt;=6),B3193=10)),1,0)</f>
        <v>0</v>
      </c>
      <c r="Y3193" s="27" t="n">
        <f aca="false">IF(AND(E3193&gt;0,B3193=10),1,0)</f>
        <v>0</v>
      </c>
      <c r="Z3193" s="0" t="str">
        <f aca="false">IF(AND(C3192=C3193,W3192=W3193-1),X3192,"")</f>
        <v/>
      </c>
      <c r="AA3193" s="0" t="str">
        <f aca="false">IF(AND(C3192=C3193,W3192=W3193-1),Y3192,"")</f>
        <v/>
      </c>
      <c r="AB3193" s="0" t="str">
        <f aca="false">IF(W3193=1,"",IF(AND(X3193=1,Z3193&lt;&gt;1),1,0))</f>
        <v/>
      </c>
      <c r="AC3193" s="0" t="str">
        <f aca="false">IF(W3193=1,"",IF(AND(Y3193=1,AA3193&lt;&gt;1),1,0))</f>
        <v/>
      </c>
      <c r="AD3193" s="33" t="str">
        <f aca="false">IF(AND(E3193&gt;0,W3193&lt;1,NOT(AND(C3194=C3193,W3194=W3193+1))),INDEX(DATAS,W3193+1),"")</f>
        <v/>
      </c>
      <c r="AE3193" s="33" t="str">
        <f aca="false">IF(AND(Y3193=1,W3193&lt;1),IF(AND(C3194=C3193,W3194=W3193+1),IF(Y3194=1,"",INDEX(DATAS,W3193+1)),INDEX(DATAS,W3193+1)),"")</f>
        <v/>
      </c>
    </row>
    <row r="3194" customFormat="false" ht="15" hidden="false" customHeight="false" outlineLevel="0" collapsed="false">
      <c r="A3194" s="33" t="n">
        <v>46309</v>
      </c>
      <c r="B3194" s="0" t="n">
        <v>13</v>
      </c>
      <c r="C3194" s="0" t="n">
        <v>7614</v>
      </c>
      <c r="E3194" s="0" t="n">
        <v>0</v>
      </c>
      <c r="F3194" s="27" t="s">
        <v>1508</v>
      </c>
      <c r="I3194" s="27" t="s">
        <v>166</v>
      </c>
      <c r="U3194" s="0" t="n">
        <v>189</v>
      </c>
      <c r="V3194" s="0" t="n">
        <v>0</v>
      </c>
      <c r="W3194" s="27" t="n">
        <f aca="false">MATCH(A3194,DATAS,0)</f>
        <v>1</v>
      </c>
      <c r="X3194" s="27" t="n">
        <f aca="false">IF(AND(E3194&gt;0,OR(AND(B3194&gt;=1,B3194&lt;=6),B3194=10)),1,0)</f>
        <v>0</v>
      </c>
      <c r="Y3194" s="27" t="n">
        <f aca="false">IF(AND(E3194&gt;0,B3194=10),1,0)</f>
        <v>0</v>
      </c>
      <c r="Z3194" s="0" t="str">
        <f aca="false">IF(AND(C3193=C3194,W3193=W3194-1),X3193,"")</f>
        <v/>
      </c>
      <c r="AA3194" s="0" t="str">
        <f aca="false">IF(AND(C3193=C3194,W3193=W3194-1),Y3193,"")</f>
        <v/>
      </c>
      <c r="AB3194" s="0" t="str">
        <f aca="false">IF(W3194=1,"",IF(AND(X3194=1,Z3194&lt;&gt;1),1,0))</f>
        <v/>
      </c>
      <c r="AC3194" s="0" t="str">
        <f aca="false">IF(W3194=1,"",IF(AND(Y3194=1,AA3194&lt;&gt;1),1,0))</f>
        <v/>
      </c>
      <c r="AD3194" s="33" t="str">
        <f aca="false">IF(AND(E3194&gt;0,W3194&lt;1,NOT(AND(C3195=C3194,W3195=W3194+1))),INDEX(DATAS,W3194+1),"")</f>
        <v/>
      </c>
      <c r="AE3194" s="33" t="str">
        <f aca="false">IF(AND(Y3194=1,W3194&lt;1),IF(AND(C3195=C3194,W3195=W3194+1),IF(Y3195=1,"",INDEX(DATAS,W3194+1)),INDEX(DATAS,W3194+1)),"")</f>
        <v/>
      </c>
    </row>
    <row r="3195" customFormat="false" ht="15" hidden="false" customHeight="false" outlineLevel="0" collapsed="false">
      <c r="A3195" s="33" t="n">
        <v>46309</v>
      </c>
      <c r="B3195" s="0" t="n">
        <v>13</v>
      </c>
      <c r="C3195" s="0" t="n">
        <v>7615</v>
      </c>
      <c r="E3195" s="0" t="n">
        <v>0</v>
      </c>
      <c r="F3195" s="27" t="s">
        <v>1509</v>
      </c>
      <c r="I3195" s="27" t="s">
        <v>166</v>
      </c>
      <c r="U3195" s="0" t="n">
        <v>188</v>
      </c>
      <c r="V3195" s="0" t="n">
        <v>0</v>
      </c>
      <c r="W3195" s="27" t="n">
        <f aca="false">MATCH(A3195,DATAS,0)</f>
        <v>1</v>
      </c>
      <c r="X3195" s="27" t="n">
        <f aca="false">IF(AND(E3195&gt;0,OR(AND(B3195&gt;=1,B3195&lt;=6),B3195=10)),1,0)</f>
        <v>0</v>
      </c>
      <c r="Y3195" s="27" t="n">
        <f aca="false">IF(AND(E3195&gt;0,B3195=10),1,0)</f>
        <v>0</v>
      </c>
      <c r="Z3195" s="0" t="str">
        <f aca="false">IF(AND(C3194=C3195,W3194=W3195-1),X3194,"")</f>
        <v/>
      </c>
      <c r="AA3195" s="0" t="str">
        <f aca="false">IF(AND(C3194=C3195,W3194=W3195-1),Y3194,"")</f>
        <v/>
      </c>
      <c r="AB3195" s="0" t="str">
        <f aca="false">IF(W3195=1,"",IF(AND(X3195=1,Z3195&lt;&gt;1),1,0))</f>
        <v/>
      </c>
      <c r="AC3195" s="0" t="str">
        <f aca="false">IF(W3195=1,"",IF(AND(Y3195=1,AA3195&lt;&gt;1),1,0))</f>
        <v/>
      </c>
      <c r="AD3195" s="33" t="str">
        <f aca="false">IF(AND(E3195&gt;0,W3195&lt;1,NOT(AND(C3196=C3195,W3196=W3195+1))),INDEX(DATAS,W3195+1),"")</f>
        <v/>
      </c>
      <c r="AE3195" s="33" t="str">
        <f aca="false">IF(AND(Y3195=1,W3195&lt;1),IF(AND(C3196=C3195,W3196=W3195+1),IF(Y3196=1,"",INDEX(DATAS,W3195+1)),INDEX(DATAS,W3195+1)),"")</f>
        <v/>
      </c>
    </row>
    <row r="3196" customFormat="false" ht="15" hidden="false" customHeight="false" outlineLevel="0" collapsed="false">
      <c r="A3196" s="33" t="n">
        <v>46309</v>
      </c>
      <c r="B3196" s="0" t="n">
        <v>13</v>
      </c>
      <c r="C3196" s="0" t="n">
        <v>7616</v>
      </c>
      <c r="E3196" s="0" t="n">
        <v>0</v>
      </c>
      <c r="F3196" s="27" t="s">
        <v>1509</v>
      </c>
      <c r="I3196" s="27" t="s">
        <v>166</v>
      </c>
      <c r="U3196" s="0" t="n">
        <v>188</v>
      </c>
      <c r="V3196" s="0" t="n">
        <v>0</v>
      </c>
      <c r="W3196" s="27" t="n">
        <f aca="false">MATCH(A3196,DATAS,0)</f>
        <v>1</v>
      </c>
      <c r="X3196" s="27" t="n">
        <f aca="false">IF(AND(E3196&gt;0,OR(AND(B3196&gt;=1,B3196&lt;=6),B3196=10)),1,0)</f>
        <v>0</v>
      </c>
      <c r="Y3196" s="27" t="n">
        <f aca="false">IF(AND(E3196&gt;0,B3196=10),1,0)</f>
        <v>0</v>
      </c>
      <c r="Z3196" s="0" t="str">
        <f aca="false">IF(AND(C3195=C3196,W3195=W3196-1),X3195,"")</f>
        <v/>
      </c>
      <c r="AA3196" s="0" t="str">
        <f aca="false">IF(AND(C3195=C3196,W3195=W3196-1),Y3195,"")</f>
        <v/>
      </c>
      <c r="AB3196" s="0" t="str">
        <f aca="false">IF(W3196=1,"",IF(AND(X3196=1,Z3196&lt;&gt;1),1,0))</f>
        <v/>
      </c>
      <c r="AC3196" s="0" t="str">
        <f aca="false">IF(W3196=1,"",IF(AND(Y3196=1,AA3196&lt;&gt;1),1,0))</f>
        <v/>
      </c>
      <c r="AD3196" s="33" t="str">
        <f aca="false">IF(AND(E3196&gt;0,W3196&lt;1,NOT(AND(C3197=C3196,W3197=W3196+1))),INDEX(DATAS,W3196+1),"")</f>
        <v/>
      </c>
      <c r="AE3196" s="33" t="str">
        <f aca="false">IF(AND(Y3196=1,W3196&lt;1),IF(AND(C3197=C3196,W3197=W3196+1),IF(Y3197=1,"",INDEX(DATAS,W3196+1)),INDEX(DATAS,W3196+1)),"")</f>
        <v/>
      </c>
    </row>
    <row r="3197" customFormat="false" ht="15" hidden="false" customHeight="false" outlineLevel="0" collapsed="false">
      <c r="A3197" s="33" t="n">
        <v>46309</v>
      </c>
      <c r="B3197" s="0" t="n">
        <v>13</v>
      </c>
      <c r="C3197" s="0" t="n">
        <v>7617</v>
      </c>
      <c r="E3197" s="0" t="n">
        <v>0</v>
      </c>
      <c r="F3197" s="27" t="s">
        <v>1509</v>
      </c>
      <c r="I3197" s="27" t="s">
        <v>166</v>
      </c>
      <c r="U3197" s="0" t="n">
        <v>188</v>
      </c>
      <c r="V3197" s="0" t="n">
        <v>0</v>
      </c>
      <c r="W3197" s="27" t="n">
        <f aca="false">MATCH(A3197,DATAS,0)</f>
        <v>1</v>
      </c>
      <c r="X3197" s="27" t="n">
        <f aca="false">IF(AND(E3197&gt;0,OR(AND(B3197&gt;=1,B3197&lt;=6),B3197=10)),1,0)</f>
        <v>0</v>
      </c>
      <c r="Y3197" s="27" t="n">
        <f aca="false">IF(AND(E3197&gt;0,B3197=10),1,0)</f>
        <v>0</v>
      </c>
      <c r="Z3197" s="0" t="str">
        <f aca="false">IF(AND(C3196=C3197,W3196=W3197-1),X3196,"")</f>
        <v/>
      </c>
      <c r="AA3197" s="0" t="str">
        <f aca="false">IF(AND(C3196=C3197,W3196=W3197-1),Y3196,"")</f>
        <v/>
      </c>
      <c r="AB3197" s="0" t="str">
        <f aca="false">IF(W3197=1,"",IF(AND(X3197=1,Z3197&lt;&gt;1),1,0))</f>
        <v/>
      </c>
      <c r="AC3197" s="0" t="str">
        <f aca="false">IF(W3197=1,"",IF(AND(Y3197=1,AA3197&lt;&gt;1),1,0))</f>
        <v/>
      </c>
      <c r="AD3197" s="33" t="str">
        <f aca="false">IF(AND(E3197&gt;0,W3197&lt;1,NOT(AND(C3198=C3197,W3198=W3197+1))),INDEX(DATAS,W3197+1),"")</f>
        <v/>
      </c>
      <c r="AE3197" s="33" t="str">
        <f aca="false">IF(AND(Y3197=1,W3197&lt;1),IF(AND(C3198=C3197,W3198=W3197+1),IF(Y3198=1,"",INDEX(DATAS,W3197+1)),INDEX(DATAS,W3197+1)),"")</f>
        <v/>
      </c>
    </row>
    <row r="3198" customFormat="false" ht="15" hidden="false" customHeight="false" outlineLevel="0" collapsed="false">
      <c r="A3198" s="33" t="n">
        <v>46309</v>
      </c>
      <c r="B3198" s="0" t="n">
        <v>13</v>
      </c>
      <c r="C3198" s="0" t="n">
        <v>7618</v>
      </c>
      <c r="E3198" s="0" t="n">
        <v>0</v>
      </c>
      <c r="F3198" s="27" t="s">
        <v>1509</v>
      </c>
      <c r="I3198" s="27" t="s">
        <v>166</v>
      </c>
      <c r="U3198" s="0" t="n">
        <v>188</v>
      </c>
      <c r="V3198" s="0" t="n">
        <v>0</v>
      </c>
      <c r="W3198" s="27" t="n">
        <f aca="false">MATCH(A3198,DATAS,0)</f>
        <v>1</v>
      </c>
      <c r="X3198" s="27" t="n">
        <f aca="false">IF(AND(E3198&gt;0,OR(AND(B3198&gt;=1,B3198&lt;=6),B3198=10)),1,0)</f>
        <v>0</v>
      </c>
      <c r="Y3198" s="27" t="n">
        <f aca="false">IF(AND(E3198&gt;0,B3198=10),1,0)</f>
        <v>0</v>
      </c>
      <c r="Z3198" s="0" t="str">
        <f aca="false">IF(AND(C3197=C3198,W3197=W3198-1),X3197,"")</f>
        <v/>
      </c>
      <c r="AA3198" s="0" t="str">
        <f aca="false">IF(AND(C3197=C3198,W3197=W3198-1),Y3197,"")</f>
        <v/>
      </c>
      <c r="AB3198" s="0" t="str">
        <f aca="false">IF(W3198=1,"",IF(AND(X3198=1,Z3198&lt;&gt;1),1,0))</f>
        <v/>
      </c>
      <c r="AC3198" s="0" t="str">
        <f aca="false">IF(W3198=1,"",IF(AND(Y3198=1,AA3198&lt;&gt;1),1,0))</f>
        <v/>
      </c>
      <c r="AD3198" s="33" t="str">
        <f aca="false">IF(AND(E3198&gt;0,W3198&lt;1,NOT(AND(C3199=C3198,W3199=W3198+1))),INDEX(DATAS,W3198+1),"")</f>
        <v/>
      </c>
      <c r="AE3198" s="33" t="str">
        <f aca="false">IF(AND(Y3198=1,W3198&lt;1),IF(AND(C3199=C3198,W3199=W3198+1),IF(Y3199=1,"",INDEX(DATAS,W3198+1)),INDEX(DATAS,W3198+1)),"")</f>
        <v/>
      </c>
    </row>
    <row r="3199" customFormat="false" ht="15" hidden="false" customHeight="false" outlineLevel="0" collapsed="false">
      <c r="A3199" s="33" t="n">
        <v>46309</v>
      </c>
      <c r="B3199" s="0" t="n">
        <v>13</v>
      </c>
      <c r="C3199" s="0" t="n">
        <v>7620</v>
      </c>
      <c r="E3199" s="0" t="n">
        <v>0</v>
      </c>
      <c r="F3199" s="27" t="s">
        <v>1510</v>
      </c>
      <c r="I3199" s="27" t="s">
        <v>166</v>
      </c>
      <c r="U3199" s="0" t="n">
        <v>187</v>
      </c>
      <c r="V3199" s="0" t="n">
        <v>0</v>
      </c>
      <c r="W3199" s="27" t="n">
        <f aca="false">MATCH(A3199,DATAS,0)</f>
        <v>1</v>
      </c>
      <c r="X3199" s="27" t="n">
        <f aca="false">IF(AND(E3199&gt;0,OR(AND(B3199&gt;=1,B3199&lt;=6),B3199=10)),1,0)</f>
        <v>0</v>
      </c>
      <c r="Y3199" s="27" t="n">
        <f aca="false">IF(AND(E3199&gt;0,B3199=10),1,0)</f>
        <v>0</v>
      </c>
      <c r="Z3199" s="0" t="str">
        <f aca="false">IF(AND(C3198=C3199,W3198=W3199-1),X3198,"")</f>
        <v/>
      </c>
      <c r="AA3199" s="0" t="str">
        <f aca="false">IF(AND(C3198=C3199,W3198=W3199-1),Y3198,"")</f>
        <v/>
      </c>
      <c r="AB3199" s="0" t="str">
        <f aca="false">IF(W3199=1,"",IF(AND(X3199=1,Z3199&lt;&gt;1),1,0))</f>
        <v/>
      </c>
      <c r="AC3199" s="0" t="str">
        <f aca="false">IF(W3199=1,"",IF(AND(Y3199=1,AA3199&lt;&gt;1),1,0))</f>
        <v/>
      </c>
      <c r="AD3199" s="33" t="str">
        <f aca="false">IF(AND(E3199&gt;0,W3199&lt;1,NOT(AND(C3200=C3199,W3200=W3199+1))),INDEX(DATAS,W3199+1),"")</f>
        <v/>
      </c>
      <c r="AE3199" s="33" t="str">
        <f aca="false">IF(AND(Y3199=1,W3199&lt;1),IF(AND(C3200=C3199,W3200=W3199+1),IF(Y3200=1,"",INDEX(DATAS,W3199+1)),INDEX(DATAS,W3199+1)),"")</f>
        <v/>
      </c>
    </row>
    <row r="3200" customFormat="false" ht="15" hidden="false" customHeight="false" outlineLevel="0" collapsed="false">
      <c r="A3200" s="33" t="n">
        <v>46309</v>
      </c>
      <c r="B3200" s="0" t="n">
        <v>13</v>
      </c>
      <c r="C3200" s="0" t="n">
        <v>7621</v>
      </c>
      <c r="E3200" s="0" t="n">
        <v>0</v>
      </c>
      <c r="F3200" s="27" t="s">
        <v>1510</v>
      </c>
      <c r="I3200" s="27" t="s">
        <v>166</v>
      </c>
      <c r="U3200" s="0" t="n">
        <v>187</v>
      </c>
      <c r="V3200" s="0" t="n">
        <v>0</v>
      </c>
      <c r="W3200" s="27" t="n">
        <f aca="false">MATCH(A3200,DATAS,0)</f>
        <v>1</v>
      </c>
      <c r="X3200" s="27" t="n">
        <f aca="false">IF(AND(E3200&gt;0,OR(AND(B3200&gt;=1,B3200&lt;=6),B3200=10)),1,0)</f>
        <v>0</v>
      </c>
      <c r="Y3200" s="27" t="n">
        <f aca="false">IF(AND(E3200&gt;0,B3200=10),1,0)</f>
        <v>0</v>
      </c>
      <c r="Z3200" s="0" t="str">
        <f aca="false">IF(AND(C3199=C3200,W3199=W3200-1),X3199,"")</f>
        <v/>
      </c>
      <c r="AA3200" s="0" t="str">
        <f aca="false">IF(AND(C3199=C3200,W3199=W3200-1),Y3199,"")</f>
        <v/>
      </c>
      <c r="AB3200" s="0" t="str">
        <f aca="false">IF(W3200=1,"",IF(AND(X3200=1,Z3200&lt;&gt;1),1,0))</f>
        <v/>
      </c>
      <c r="AC3200" s="0" t="str">
        <f aca="false">IF(W3200=1,"",IF(AND(Y3200=1,AA3200&lt;&gt;1),1,0))</f>
        <v/>
      </c>
      <c r="AD3200" s="33" t="str">
        <f aca="false">IF(AND(E3200&gt;0,W3200&lt;1,NOT(AND(C3201=C3200,W3201=W3200+1))),INDEX(DATAS,W3200+1),"")</f>
        <v/>
      </c>
      <c r="AE3200" s="33" t="str">
        <f aca="false">IF(AND(Y3200=1,W3200&lt;1),IF(AND(C3201=C3200,W3201=W3200+1),IF(Y3201=1,"",INDEX(DATAS,W3200+1)),INDEX(DATAS,W3200+1)),"")</f>
        <v/>
      </c>
    </row>
    <row r="3201" customFormat="false" ht="15" hidden="false" customHeight="false" outlineLevel="0" collapsed="false">
      <c r="A3201" s="33" t="n">
        <v>46309</v>
      </c>
      <c r="B3201" s="0" t="n">
        <v>13</v>
      </c>
      <c r="C3201" s="0" t="n">
        <v>7622</v>
      </c>
      <c r="E3201" s="0" t="n">
        <v>0</v>
      </c>
      <c r="F3201" s="27" t="s">
        <v>1510</v>
      </c>
      <c r="I3201" s="27" t="s">
        <v>166</v>
      </c>
      <c r="U3201" s="0" t="n">
        <v>187</v>
      </c>
      <c r="V3201" s="0" t="n">
        <v>0</v>
      </c>
      <c r="W3201" s="27" t="n">
        <f aca="false">MATCH(A3201,DATAS,0)</f>
        <v>1</v>
      </c>
      <c r="X3201" s="27" t="n">
        <f aca="false">IF(AND(E3201&gt;0,OR(AND(B3201&gt;=1,B3201&lt;=6),B3201=10)),1,0)</f>
        <v>0</v>
      </c>
      <c r="Y3201" s="27" t="n">
        <f aca="false">IF(AND(E3201&gt;0,B3201=10),1,0)</f>
        <v>0</v>
      </c>
      <c r="Z3201" s="0" t="str">
        <f aca="false">IF(AND(C3200=C3201,W3200=W3201-1),X3200,"")</f>
        <v/>
      </c>
      <c r="AA3201" s="0" t="str">
        <f aca="false">IF(AND(C3200=C3201,W3200=W3201-1),Y3200,"")</f>
        <v/>
      </c>
      <c r="AB3201" s="0" t="str">
        <f aca="false">IF(W3201=1,"",IF(AND(X3201=1,Z3201&lt;&gt;1),1,0))</f>
        <v/>
      </c>
      <c r="AC3201" s="0" t="str">
        <f aca="false">IF(W3201=1,"",IF(AND(Y3201=1,AA3201&lt;&gt;1),1,0))</f>
        <v/>
      </c>
      <c r="AD3201" s="33" t="str">
        <f aca="false">IF(AND(E3201&gt;0,W3201&lt;1,NOT(AND(C3202=C3201,W3202=W3201+1))),INDEX(DATAS,W3201+1),"")</f>
        <v/>
      </c>
      <c r="AE3201" s="33" t="str">
        <f aca="false">IF(AND(Y3201=1,W3201&lt;1),IF(AND(C3202=C3201,W3202=W3201+1),IF(Y3202=1,"",INDEX(DATAS,W3201+1)),INDEX(DATAS,W3201+1)),"")</f>
        <v/>
      </c>
    </row>
    <row r="3202" customFormat="false" ht="15" hidden="false" customHeight="false" outlineLevel="0" collapsed="false">
      <c r="A3202" s="33" t="n">
        <v>46309</v>
      </c>
      <c r="B3202" s="0" t="n">
        <v>13</v>
      </c>
      <c r="C3202" s="0" t="n">
        <v>7623</v>
      </c>
      <c r="E3202" s="0" t="n">
        <v>0</v>
      </c>
      <c r="F3202" s="27" t="s">
        <v>1510</v>
      </c>
      <c r="I3202" s="27" t="s">
        <v>166</v>
      </c>
      <c r="U3202" s="0" t="n">
        <v>187</v>
      </c>
      <c r="V3202" s="0" t="n">
        <v>0</v>
      </c>
      <c r="W3202" s="27" t="n">
        <f aca="false">MATCH(A3202,DATAS,0)</f>
        <v>1</v>
      </c>
      <c r="X3202" s="27" t="n">
        <f aca="false">IF(AND(E3202&gt;0,OR(AND(B3202&gt;=1,B3202&lt;=6),B3202=10)),1,0)</f>
        <v>0</v>
      </c>
      <c r="Y3202" s="27" t="n">
        <f aca="false">IF(AND(E3202&gt;0,B3202=10),1,0)</f>
        <v>0</v>
      </c>
      <c r="Z3202" s="0" t="str">
        <f aca="false">IF(AND(C3201=C3202,W3201=W3202-1),X3201,"")</f>
        <v/>
      </c>
      <c r="AA3202" s="0" t="str">
        <f aca="false">IF(AND(C3201=C3202,W3201=W3202-1),Y3201,"")</f>
        <v/>
      </c>
      <c r="AB3202" s="0" t="str">
        <f aca="false">IF(W3202=1,"",IF(AND(X3202=1,Z3202&lt;&gt;1),1,0))</f>
        <v/>
      </c>
      <c r="AC3202" s="0" t="str">
        <f aca="false">IF(W3202=1,"",IF(AND(Y3202=1,AA3202&lt;&gt;1),1,0))</f>
        <v/>
      </c>
      <c r="AD3202" s="33" t="str">
        <f aca="false">IF(AND(E3202&gt;0,W3202&lt;1,NOT(AND(C3203=C3202,W3203=W3202+1))),INDEX(DATAS,W3202+1),"")</f>
        <v/>
      </c>
      <c r="AE3202" s="33" t="str">
        <f aca="false">IF(AND(Y3202=1,W3202&lt;1),IF(AND(C3203=C3202,W3203=W3202+1),IF(Y3203=1,"",INDEX(DATAS,W3202+1)),INDEX(DATAS,W3202+1)),"")</f>
        <v/>
      </c>
    </row>
    <row r="3203" customFormat="false" ht="15" hidden="false" customHeight="false" outlineLevel="0" collapsed="false">
      <c r="A3203" s="33" t="n">
        <v>46309</v>
      </c>
      <c r="B3203" s="0" t="n">
        <v>13</v>
      </c>
      <c r="C3203" s="0" t="n">
        <v>7624</v>
      </c>
      <c r="E3203" s="0" t="n">
        <v>0</v>
      </c>
      <c r="F3203" s="27" t="s">
        <v>1510</v>
      </c>
      <c r="I3203" s="27" t="s">
        <v>166</v>
      </c>
      <c r="U3203" s="0" t="n">
        <v>187</v>
      </c>
      <c r="V3203" s="0" t="n">
        <v>0</v>
      </c>
      <c r="W3203" s="27" t="n">
        <f aca="false">MATCH(A3203,DATAS,0)</f>
        <v>1</v>
      </c>
      <c r="X3203" s="27" t="n">
        <f aca="false">IF(AND(E3203&gt;0,OR(AND(B3203&gt;=1,B3203&lt;=6),B3203=10)),1,0)</f>
        <v>0</v>
      </c>
      <c r="Y3203" s="27" t="n">
        <f aca="false">IF(AND(E3203&gt;0,B3203=10),1,0)</f>
        <v>0</v>
      </c>
      <c r="Z3203" s="0" t="str">
        <f aca="false">IF(AND(C3202=C3203,W3202=W3203-1),X3202,"")</f>
        <v/>
      </c>
      <c r="AA3203" s="0" t="str">
        <f aca="false">IF(AND(C3202=C3203,W3202=W3203-1),Y3202,"")</f>
        <v/>
      </c>
      <c r="AB3203" s="0" t="str">
        <f aca="false">IF(W3203=1,"",IF(AND(X3203=1,Z3203&lt;&gt;1),1,0))</f>
        <v/>
      </c>
      <c r="AC3203" s="0" t="str">
        <f aca="false">IF(W3203=1,"",IF(AND(Y3203=1,AA3203&lt;&gt;1),1,0))</f>
        <v/>
      </c>
      <c r="AD3203" s="33" t="str">
        <f aca="false">IF(AND(E3203&gt;0,W3203&lt;1,NOT(AND(C3204=C3203,W3204=W3203+1))),INDEX(DATAS,W3203+1),"")</f>
        <v/>
      </c>
      <c r="AE3203" s="33" t="str">
        <f aca="false">IF(AND(Y3203=1,W3203&lt;1),IF(AND(C3204=C3203,W3204=W3203+1),IF(Y3204=1,"",INDEX(DATAS,W3203+1)),INDEX(DATAS,W3203+1)),"")</f>
        <v/>
      </c>
    </row>
    <row r="3204" customFormat="false" ht="15" hidden="false" customHeight="false" outlineLevel="0" collapsed="false">
      <c r="A3204" s="33" t="n">
        <v>46309</v>
      </c>
      <c r="B3204" s="0" t="n">
        <v>13</v>
      </c>
      <c r="C3204" s="0" t="n">
        <v>7625</v>
      </c>
      <c r="E3204" s="0" t="n">
        <v>0</v>
      </c>
      <c r="F3204" s="27" t="s">
        <v>1511</v>
      </c>
      <c r="I3204" s="27" t="s">
        <v>166</v>
      </c>
      <c r="U3204" s="0" t="n">
        <v>186</v>
      </c>
      <c r="V3204" s="0" t="n">
        <v>0</v>
      </c>
      <c r="W3204" s="27" t="n">
        <f aca="false">MATCH(A3204,DATAS,0)</f>
        <v>1</v>
      </c>
      <c r="X3204" s="27" t="n">
        <f aca="false">IF(AND(E3204&gt;0,OR(AND(B3204&gt;=1,B3204&lt;=6),B3204=10)),1,0)</f>
        <v>0</v>
      </c>
      <c r="Y3204" s="27" t="n">
        <f aca="false">IF(AND(E3204&gt;0,B3204=10),1,0)</f>
        <v>0</v>
      </c>
      <c r="Z3204" s="0" t="str">
        <f aca="false">IF(AND(C3203=C3204,W3203=W3204-1),X3203,"")</f>
        <v/>
      </c>
      <c r="AA3204" s="0" t="str">
        <f aca="false">IF(AND(C3203=C3204,W3203=W3204-1),Y3203,"")</f>
        <v/>
      </c>
      <c r="AB3204" s="0" t="str">
        <f aca="false">IF(W3204=1,"",IF(AND(X3204=1,Z3204&lt;&gt;1),1,0))</f>
        <v/>
      </c>
      <c r="AC3204" s="0" t="str">
        <f aca="false">IF(W3204=1,"",IF(AND(Y3204=1,AA3204&lt;&gt;1),1,0))</f>
        <v/>
      </c>
      <c r="AD3204" s="33" t="str">
        <f aca="false">IF(AND(E3204&gt;0,W3204&lt;1,NOT(AND(C3205=C3204,W3205=W3204+1))),INDEX(DATAS,W3204+1),"")</f>
        <v/>
      </c>
      <c r="AE3204" s="33" t="str">
        <f aca="false">IF(AND(Y3204=1,W3204&lt;1),IF(AND(C3205=C3204,W3205=W3204+1),IF(Y3205=1,"",INDEX(DATAS,W3204+1)),INDEX(DATAS,W3204+1)),"")</f>
        <v/>
      </c>
    </row>
    <row r="3205" customFormat="false" ht="15" hidden="false" customHeight="false" outlineLevel="0" collapsed="false">
      <c r="A3205" s="33" t="n">
        <v>46309</v>
      </c>
      <c r="B3205" s="0" t="n">
        <v>13</v>
      </c>
      <c r="C3205" s="0" t="n">
        <v>7626</v>
      </c>
      <c r="E3205" s="0" t="n">
        <v>0</v>
      </c>
      <c r="F3205" s="27" t="s">
        <v>1511</v>
      </c>
      <c r="I3205" s="27" t="s">
        <v>166</v>
      </c>
      <c r="U3205" s="0" t="n">
        <v>186</v>
      </c>
      <c r="V3205" s="0" t="n">
        <v>0</v>
      </c>
      <c r="W3205" s="27" t="n">
        <f aca="false">MATCH(A3205,DATAS,0)</f>
        <v>1</v>
      </c>
      <c r="X3205" s="27" t="n">
        <f aca="false">IF(AND(E3205&gt;0,OR(AND(B3205&gt;=1,B3205&lt;=6),B3205=10)),1,0)</f>
        <v>0</v>
      </c>
      <c r="Y3205" s="27" t="n">
        <f aca="false">IF(AND(E3205&gt;0,B3205=10),1,0)</f>
        <v>0</v>
      </c>
      <c r="Z3205" s="0" t="str">
        <f aca="false">IF(AND(C3204=C3205,W3204=W3205-1),X3204,"")</f>
        <v/>
      </c>
      <c r="AA3205" s="0" t="str">
        <f aca="false">IF(AND(C3204=C3205,W3204=W3205-1),Y3204,"")</f>
        <v/>
      </c>
      <c r="AB3205" s="0" t="str">
        <f aca="false">IF(W3205=1,"",IF(AND(X3205=1,Z3205&lt;&gt;1),1,0))</f>
        <v/>
      </c>
      <c r="AC3205" s="0" t="str">
        <f aca="false">IF(W3205=1,"",IF(AND(Y3205=1,AA3205&lt;&gt;1),1,0))</f>
        <v/>
      </c>
      <c r="AD3205" s="33" t="str">
        <f aca="false">IF(AND(E3205&gt;0,W3205&lt;1,NOT(AND(C3206=C3205,W3206=W3205+1))),INDEX(DATAS,W3205+1),"")</f>
        <v/>
      </c>
      <c r="AE3205" s="33" t="str">
        <f aca="false">IF(AND(Y3205=1,W3205&lt;1),IF(AND(C3206=C3205,W3206=W3205+1),IF(Y3206=1,"",INDEX(DATAS,W3205+1)),INDEX(DATAS,W3205+1)),"")</f>
        <v/>
      </c>
    </row>
    <row r="3206" customFormat="false" ht="15" hidden="false" customHeight="false" outlineLevel="0" collapsed="false">
      <c r="A3206" s="33" t="n">
        <v>46309</v>
      </c>
      <c r="B3206" s="0" t="n">
        <v>13</v>
      </c>
      <c r="C3206" s="0" t="n">
        <v>7628</v>
      </c>
      <c r="E3206" s="0" t="n">
        <v>0</v>
      </c>
      <c r="F3206" s="27" t="s">
        <v>1511</v>
      </c>
      <c r="I3206" s="27" t="s">
        <v>166</v>
      </c>
      <c r="U3206" s="0" t="n">
        <v>186</v>
      </c>
      <c r="V3206" s="0" t="n">
        <v>0</v>
      </c>
      <c r="W3206" s="27" t="n">
        <f aca="false">MATCH(A3206,DATAS,0)</f>
        <v>1</v>
      </c>
      <c r="X3206" s="27" t="n">
        <f aca="false">IF(AND(E3206&gt;0,OR(AND(B3206&gt;=1,B3206&lt;=6),B3206=10)),1,0)</f>
        <v>0</v>
      </c>
      <c r="Y3206" s="27" t="n">
        <f aca="false">IF(AND(E3206&gt;0,B3206=10),1,0)</f>
        <v>0</v>
      </c>
      <c r="Z3206" s="0" t="str">
        <f aca="false">IF(AND(C3205=C3206,W3205=W3206-1),X3205,"")</f>
        <v/>
      </c>
      <c r="AA3206" s="0" t="str">
        <f aca="false">IF(AND(C3205=C3206,W3205=W3206-1),Y3205,"")</f>
        <v/>
      </c>
      <c r="AB3206" s="0" t="str">
        <f aca="false">IF(W3206=1,"",IF(AND(X3206=1,Z3206&lt;&gt;1),1,0))</f>
        <v/>
      </c>
      <c r="AC3206" s="0" t="str">
        <f aca="false">IF(W3206=1,"",IF(AND(Y3206=1,AA3206&lt;&gt;1),1,0))</f>
        <v/>
      </c>
      <c r="AD3206" s="33" t="str">
        <f aca="false">IF(AND(E3206&gt;0,W3206&lt;1,NOT(AND(C3207=C3206,W3207=W3206+1))),INDEX(DATAS,W3206+1),"")</f>
        <v/>
      </c>
      <c r="AE3206" s="33" t="str">
        <f aca="false">IF(AND(Y3206=1,W3206&lt;1),IF(AND(C3207=C3206,W3207=W3206+1),IF(Y3207=1,"",INDEX(DATAS,W3206+1)),INDEX(DATAS,W3206+1)),"")</f>
        <v/>
      </c>
    </row>
    <row r="3207" customFormat="false" ht="15" hidden="false" customHeight="false" outlineLevel="0" collapsed="false">
      <c r="A3207" s="33" t="n">
        <v>46309</v>
      </c>
      <c r="B3207" s="0" t="n">
        <v>13</v>
      </c>
      <c r="C3207" s="0" t="n">
        <v>7629</v>
      </c>
      <c r="E3207" s="0" t="n">
        <v>0</v>
      </c>
      <c r="F3207" s="27" t="s">
        <v>1512</v>
      </c>
      <c r="I3207" s="27" t="s">
        <v>166</v>
      </c>
      <c r="U3207" s="0" t="n">
        <v>185</v>
      </c>
      <c r="V3207" s="0" t="n">
        <v>0</v>
      </c>
      <c r="W3207" s="27" t="n">
        <f aca="false">MATCH(A3207,DATAS,0)</f>
        <v>1</v>
      </c>
      <c r="X3207" s="27" t="n">
        <f aca="false">IF(AND(E3207&gt;0,OR(AND(B3207&gt;=1,B3207&lt;=6),B3207=10)),1,0)</f>
        <v>0</v>
      </c>
      <c r="Y3207" s="27" t="n">
        <f aca="false">IF(AND(E3207&gt;0,B3207=10),1,0)</f>
        <v>0</v>
      </c>
      <c r="Z3207" s="0" t="str">
        <f aca="false">IF(AND(C3206=C3207,W3206=W3207-1),X3206,"")</f>
        <v/>
      </c>
      <c r="AA3207" s="0" t="str">
        <f aca="false">IF(AND(C3206=C3207,W3206=W3207-1),Y3206,"")</f>
        <v/>
      </c>
      <c r="AB3207" s="0" t="str">
        <f aca="false">IF(W3207=1,"",IF(AND(X3207=1,Z3207&lt;&gt;1),1,0))</f>
        <v/>
      </c>
      <c r="AC3207" s="0" t="str">
        <f aca="false">IF(W3207=1,"",IF(AND(Y3207=1,AA3207&lt;&gt;1),1,0))</f>
        <v/>
      </c>
      <c r="AD3207" s="33" t="str">
        <f aca="false">IF(AND(E3207&gt;0,W3207&lt;1,NOT(AND(C3208=C3207,W3208=W3207+1))),INDEX(DATAS,W3207+1),"")</f>
        <v/>
      </c>
      <c r="AE3207" s="33" t="str">
        <f aca="false">IF(AND(Y3207=1,W3207&lt;1),IF(AND(C3208=C3207,W3208=W3207+1),IF(Y3208=1,"",INDEX(DATAS,W3207+1)),INDEX(DATAS,W3207+1)),"")</f>
        <v/>
      </c>
    </row>
    <row r="3208" customFormat="false" ht="15" hidden="false" customHeight="false" outlineLevel="0" collapsed="false">
      <c r="A3208" s="33" t="n">
        <v>46309</v>
      </c>
      <c r="B3208" s="0" t="n">
        <v>13</v>
      </c>
      <c r="C3208" s="0" t="n">
        <v>7630</v>
      </c>
      <c r="E3208" s="0" t="n">
        <v>0</v>
      </c>
      <c r="F3208" s="27" t="s">
        <v>1512</v>
      </c>
      <c r="I3208" s="27" t="s">
        <v>166</v>
      </c>
      <c r="U3208" s="0" t="n">
        <v>185</v>
      </c>
      <c r="V3208" s="0" t="n">
        <v>0</v>
      </c>
      <c r="W3208" s="27" t="n">
        <f aca="false">MATCH(A3208,DATAS,0)</f>
        <v>1</v>
      </c>
      <c r="X3208" s="27" t="n">
        <f aca="false">IF(AND(E3208&gt;0,OR(AND(B3208&gt;=1,B3208&lt;=6),B3208=10)),1,0)</f>
        <v>0</v>
      </c>
      <c r="Y3208" s="27" t="n">
        <f aca="false">IF(AND(E3208&gt;0,B3208=10),1,0)</f>
        <v>0</v>
      </c>
      <c r="Z3208" s="0" t="str">
        <f aca="false">IF(AND(C3207=C3208,W3207=W3208-1),X3207,"")</f>
        <v/>
      </c>
      <c r="AA3208" s="0" t="str">
        <f aca="false">IF(AND(C3207=C3208,W3207=W3208-1),Y3207,"")</f>
        <v/>
      </c>
      <c r="AB3208" s="0" t="str">
        <f aca="false">IF(W3208=1,"",IF(AND(X3208=1,Z3208&lt;&gt;1),1,0))</f>
        <v/>
      </c>
      <c r="AC3208" s="0" t="str">
        <f aca="false">IF(W3208=1,"",IF(AND(Y3208=1,AA3208&lt;&gt;1),1,0))</f>
        <v/>
      </c>
      <c r="AD3208" s="33" t="str">
        <f aca="false">IF(AND(E3208&gt;0,W3208&lt;1,NOT(AND(C3209=C3208,W3209=W3208+1))),INDEX(DATAS,W3208+1),"")</f>
        <v/>
      </c>
      <c r="AE3208" s="33" t="str">
        <f aca="false">IF(AND(Y3208=1,W3208&lt;1),IF(AND(C3209=C3208,W3209=W3208+1),IF(Y3209=1,"",INDEX(DATAS,W3208+1)),INDEX(DATAS,W3208+1)),"")</f>
        <v/>
      </c>
    </row>
    <row r="3209" customFormat="false" ht="15" hidden="false" customHeight="false" outlineLevel="0" collapsed="false">
      <c r="A3209" s="33" t="n">
        <v>46309</v>
      </c>
      <c r="B3209" s="0" t="n">
        <v>13</v>
      </c>
      <c r="C3209" s="0" t="n">
        <v>7631</v>
      </c>
      <c r="E3209" s="0" t="n">
        <v>0</v>
      </c>
      <c r="F3209" s="27" t="s">
        <v>1513</v>
      </c>
      <c r="I3209" s="27" t="s">
        <v>166</v>
      </c>
      <c r="U3209" s="0" t="n">
        <v>184</v>
      </c>
      <c r="V3209" s="0" t="n">
        <v>0</v>
      </c>
      <c r="W3209" s="27" t="n">
        <f aca="false">MATCH(A3209,DATAS,0)</f>
        <v>1</v>
      </c>
      <c r="X3209" s="27" t="n">
        <f aca="false">IF(AND(E3209&gt;0,OR(AND(B3209&gt;=1,B3209&lt;=6),B3209=10)),1,0)</f>
        <v>0</v>
      </c>
      <c r="Y3209" s="27" t="n">
        <f aca="false">IF(AND(E3209&gt;0,B3209=10),1,0)</f>
        <v>0</v>
      </c>
      <c r="Z3209" s="0" t="str">
        <f aca="false">IF(AND(C3208=C3209,W3208=W3209-1),X3208,"")</f>
        <v/>
      </c>
      <c r="AA3209" s="0" t="str">
        <f aca="false">IF(AND(C3208=C3209,W3208=W3209-1),Y3208,"")</f>
        <v/>
      </c>
      <c r="AB3209" s="0" t="str">
        <f aca="false">IF(W3209=1,"",IF(AND(X3209=1,Z3209&lt;&gt;1),1,0))</f>
        <v/>
      </c>
      <c r="AC3209" s="0" t="str">
        <f aca="false">IF(W3209=1,"",IF(AND(Y3209=1,AA3209&lt;&gt;1),1,0))</f>
        <v/>
      </c>
      <c r="AD3209" s="33" t="str">
        <f aca="false">IF(AND(E3209&gt;0,W3209&lt;1,NOT(AND(C3210=C3209,W3210=W3209+1))),INDEX(DATAS,W3209+1),"")</f>
        <v/>
      </c>
      <c r="AE3209" s="33" t="str">
        <f aca="false">IF(AND(Y3209=1,W3209&lt;1),IF(AND(C3210=C3209,W3210=W3209+1),IF(Y3210=1,"",INDEX(DATAS,W3209+1)),INDEX(DATAS,W3209+1)),"")</f>
        <v/>
      </c>
    </row>
    <row r="3210" customFormat="false" ht="15" hidden="false" customHeight="false" outlineLevel="0" collapsed="false">
      <c r="A3210" s="33" t="n">
        <v>46309</v>
      </c>
      <c r="B3210" s="0" t="n">
        <v>13</v>
      </c>
      <c r="C3210" s="0" t="n">
        <v>7632</v>
      </c>
      <c r="E3210" s="0" t="n">
        <v>0</v>
      </c>
      <c r="F3210" s="27" t="s">
        <v>1513</v>
      </c>
      <c r="I3210" s="27" t="s">
        <v>166</v>
      </c>
      <c r="U3210" s="0" t="n">
        <v>184</v>
      </c>
      <c r="V3210" s="0" t="n">
        <v>0</v>
      </c>
      <c r="W3210" s="27" t="n">
        <f aca="false">MATCH(A3210,DATAS,0)</f>
        <v>1</v>
      </c>
      <c r="X3210" s="27" t="n">
        <f aca="false">IF(AND(E3210&gt;0,OR(AND(B3210&gt;=1,B3210&lt;=6),B3210=10)),1,0)</f>
        <v>0</v>
      </c>
      <c r="Y3210" s="27" t="n">
        <f aca="false">IF(AND(E3210&gt;0,B3210=10),1,0)</f>
        <v>0</v>
      </c>
      <c r="Z3210" s="0" t="str">
        <f aca="false">IF(AND(C3209=C3210,W3209=W3210-1),X3209,"")</f>
        <v/>
      </c>
      <c r="AA3210" s="0" t="str">
        <f aca="false">IF(AND(C3209=C3210,W3209=W3210-1),Y3209,"")</f>
        <v/>
      </c>
      <c r="AB3210" s="0" t="str">
        <f aca="false">IF(W3210=1,"",IF(AND(X3210=1,Z3210&lt;&gt;1),1,0))</f>
        <v/>
      </c>
      <c r="AC3210" s="0" t="str">
        <f aca="false">IF(W3210=1,"",IF(AND(Y3210=1,AA3210&lt;&gt;1),1,0))</f>
        <v/>
      </c>
      <c r="AD3210" s="33" t="str">
        <f aca="false">IF(AND(E3210&gt;0,W3210&lt;1,NOT(AND(C3211=C3210,W3211=W3210+1))),INDEX(DATAS,W3210+1),"")</f>
        <v/>
      </c>
      <c r="AE3210" s="33" t="str">
        <f aca="false">IF(AND(Y3210=1,W3210&lt;1),IF(AND(C3211=C3210,W3211=W3210+1),IF(Y3211=1,"",INDEX(DATAS,W3210+1)),INDEX(DATAS,W3210+1)),"")</f>
        <v/>
      </c>
    </row>
    <row r="3211" customFormat="false" ht="15" hidden="false" customHeight="false" outlineLevel="0" collapsed="false">
      <c r="A3211" s="33" t="n">
        <v>46309</v>
      </c>
      <c r="B3211" s="0" t="n">
        <v>13</v>
      </c>
      <c r="C3211" s="0" t="n">
        <v>7633</v>
      </c>
      <c r="E3211" s="0" t="n">
        <v>0</v>
      </c>
      <c r="F3211" s="27" t="s">
        <v>1514</v>
      </c>
      <c r="I3211" s="27" t="s">
        <v>166</v>
      </c>
      <c r="U3211" s="0" t="n">
        <v>183</v>
      </c>
      <c r="V3211" s="0" t="n">
        <v>0</v>
      </c>
      <c r="W3211" s="27" t="n">
        <f aca="false">MATCH(A3211,DATAS,0)</f>
        <v>1</v>
      </c>
      <c r="X3211" s="27" t="n">
        <f aca="false">IF(AND(E3211&gt;0,OR(AND(B3211&gt;=1,B3211&lt;=6),B3211=10)),1,0)</f>
        <v>0</v>
      </c>
      <c r="Y3211" s="27" t="n">
        <f aca="false">IF(AND(E3211&gt;0,B3211=10),1,0)</f>
        <v>0</v>
      </c>
      <c r="Z3211" s="0" t="str">
        <f aca="false">IF(AND(C3210=C3211,W3210=W3211-1),X3210,"")</f>
        <v/>
      </c>
      <c r="AA3211" s="0" t="str">
        <f aca="false">IF(AND(C3210=C3211,W3210=W3211-1),Y3210,"")</f>
        <v/>
      </c>
      <c r="AB3211" s="0" t="str">
        <f aca="false">IF(W3211=1,"",IF(AND(X3211=1,Z3211&lt;&gt;1),1,0))</f>
        <v/>
      </c>
      <c r="AC3211" s="0" t="str">
        <f aca="false">IF(W3211=1,"",IF(AND(Y3211=1,AA3211&lt;&gt;1),1,0))</f>
        <v/>
      </c>
      <c r="AD3211" s="33" t="str">
        <f aca="false">IF(AND(E3211&gt;0,W3211&lt;1,NOT(AND(C3212=C3211,W3212=W3211+1))),INDEX(DATAS,W3211+1),"")</f>
        <v/>
      </c>
      <c r="AE3211" s="33" t="str">
        <f aca="false">IF(AND(Y3211=1,W3211&lt;1),IF(AND(C3212=C3211,W3212=W3211+1),IF(Y3212=1,"",INDEX(DATAS,W3211+1)),INDEX(DATAS,W3211+1)),"")</f>
        <v/>
      </c>
    </row>
    <row r="3212" customFormat="false" ht="15" hidden="false" customHeight="false" outlineLevel="0" collapsed="false">
      <c r="A3212" s="33" t="n">
        <v>46309</v>
      </c>
      <c r="B3212" s="0" t="n">
        <v>13</v>
      </c>
      <c r="C3212" s="0" t="n">
        <v>7634</v>
      </c>
      <c r="E3212" s="0" t="n">
        <v>0</v>
      </c>
      <c r="F3212" s="27" t="s">
        <v>1515</v>
      </c>
      <c r="I3212" s="27" t="s">
        <v>166</v>
      </c>
      <c r="U3212" s="0" t="n">
        <v>182</v>
      </c>
      <c r="V3212" s="0" t="n">
        <v>0</v>
      </c>
      <c r="W3212" s="27" t="n">
        <f aca="false">MATCH(A3212,DATAS,0)</f>
        <v>1</v>
      </c>
      <c r="X3212" s="27" t="n">
        <f aca="false">IF(AND(E3212&gt;0,OR(AND(B3212&gt;=1,B3212&lt;=6),B3212=10)),1,0)</f>
        <v>0</v>
      </c>
      <c r="Y3212" s="27" t="n">
        <f aca="false">IF(AND(E3212&gt;0,B3212=10),1,0)</f>
        <v>0</v>
      </c>
      <c r="Z3212" s="0" t="str">
        <f aca="false">IF(AND(C3211=C3212,W3211=W3212-1),X3211,"")</f>
        <v/>
      </c>
      <c r="AA3212" s="0" t="str">
        <f aca="false">IF(AND(C3211=C3212,W3211=W3212-1),Y3211,"")</f>
        <v/>
      </c>
      <c r="AB3212" s="0" t="str">
        <f aca="false">IF(W3212=1,"",IF(AND(X3212=1,Z3212&lt;&gt;1),1,0))</f>
        <v/>
      </c>
      <c r="AC3212" s="0" t="str">
        <f aca="false">IF(W3212=1,"",IF(AND(Y3212=1,AA3212&lt;&gt;1),1,0))</f>
        <v/>
      </c>
      <c r="AD3212" s="33" t="str">
        <f aca="false">IF(AND(E3212&gt;0,W3212&lt;1,NOT(AND(C3213=C3212,W3213=W3212+1))),INDEX(DATAS,W3212+1),"")</f>
        <v/>
      </c>
      <c r="AE3212" s="33" t="str">
        <f aca="false">IF(AND(Y3212=1,W3212&lt;1),IF(AND(C3213=C3212,W3213=W3212+1),IF(Y3213=1,"",INDEX(DATAS,W3212+1)),INDEX(DATAS,W3212+1)),"")</f>
        <v/>
      </c>
    </row>
    <row r="3213" customFormat="false" ht="15" hidden="false" customHeight="false" outlineLevel="0" collapsed="false">
      <c r="A3213" s="33" t="n">
        <v>46309</v>
      </c>
      <c r="B3213" s="0" t="n">
        <v>13</v>
      </c>
      <c r="C3213" s="0" t="n">
        <v>7635</v>
      </c>
      <c r="E3213" s="0" t="n">
        <v>0</v>
      </c>
      <c r="F3213" s="27" t="s">
        <v>1515</v>
      </c>
      <c r="I3213" s="27" t="s">
        <v>166</v>
      </c>
      <c r="U3213" s="0" t="n">
        <v>182</v>
      </c>
      <c r="V3213" s="0" t="n">
        <v>0</v>
      </c>
      <c r="W3213" s="27" t="n">
        <f aca="false">MATCH(A3213,DATAS,0)</f>
        <v>1</v>
      </c>
      <c r="X3213" s="27" t="n">
        <f aca="false">IF(AND(E3213&gt;0,OR(AND(B3213&gt;=1,B3213&lt;=6),B3213=10)),1,0)</f>
        <v>0</v>
      </c>
      <c r="Y3213" s="27" t="n">
        <f aca="false">IF(AND(E3213&gt;0,B3213=10),1,0)</f>
        <v>0</v>
      </c>
      <c r="Z3213" s="0" t="str">
        <f aca="false">IF(AND(C3212=C3213,W3212=W3213-1),X3212,"")</f>
        <v/>
      </c>
      <c r="AA3213" s="0" t="str">
        <f aca="false">IF(AND(C3212=C3213,W3212=W3213-1),Y3212,"")</f>
        <v/>
      </c>
      <c r="AB3213" s="0" t="str">
        <f aca="false">IF(W3213=1,"",IF(AND(X3213=1,Z3213&lt;&gt;1),1,0))</f>
        <v/>
      </c>
      <c r="AC3213" s="0" t="str">
        <f aca="false">IF(W3213=1,"",IF(AND(Y3213=1,AA3213&lt;&gt;1),1,0))</f>
        <v/>
      </c>
      <c r="AD3213" s="33" t="str">
        <f aca="false">IF(AND(E3213&gt;0,W3213&lt;1,NOT(AND(C3214=C3213,W3214=W3213+1))),INDEX(DATAS,W3213+1),"")</f>
        <v/>
      </c>
      <c r="AE3213" s="33" t="str">
        <f aca="false">IF(AND(Y3213=1,W3213&lt;1),IF(AND(C3214=C3213,W3214=W3213+1),IF(Y3214=1,"",INDEX(DATAS,W3213+1)),INDEX(DATAS,W3213+1)),"")</f>
        <v/>
      </c>
    </row>
    <row r="3214" customFormat="false" ht="15" hidden="false" customHeight="false" outlineLevel="0" collapsed="false">
      <c r="A3214" s="33" t="n">
        <v>46309</v>
      </c>
      <c r="B3214" s="0" t="n">
        <v>13</v>
      </c>
      <c r="C3214" s="0" t="n">
        <v>7636</v>
      </c>
      <c r="E3214" s="0" t="n">
        <v>0</v>
      </c>
      <c r="F3214" s="27" t="s">
        <v>1515</v>
      </c>
      <c r="I3214" s="27" t="s">
        <v>166</v>
      </c>
      <c r="U3214" s="0" t="n">
        <v>182</v>
      </c>
      <c r="V3214" s="0" t="n">
        <v>0</v>
      </c>
      <c r="W3214" s="27" t="n">
        <f aca="false">MATCH(A3214,DATAS,0)</f>
        <v>1</v>
      </c>
      <c r="X3214" s="27" t="n">
        <f aca="false">IF(AND(E3214&gt;0,OR(AND(B3214&gt;=1,B3214&lt;=6),B3214=10)),1,0)</f>
        <v>0</v>
      </c>
      <c r="Y3214" s="27" t="n">
        <f aca="false">IF(AND(E3214&gt;0,B3214=10),1,0)</f>
        <v>0</v>
      </c>
      <c r="Z3214" s="0" t="str">
        <f aca="false">IF(AND(C3213=C3214,W3213=W3214-1),X3213,"")</f>
        <v/>
      </c>
      <c r="AA3214" s="0" t="str">
        <f aca="false">IF(AND(C3213=C3214,W3213=W3214-1),Y3213,"")</f>
        <v/>
      </c>
      <c r="AB3214" s="0" t="str">
        <f aca="false">IF(W3214=1,"",IF(AND(X3214=1,Z3214&lt;&gt;1),1,0))</f>
        <v/>
      </c>
      <c r="AC3214" s="0" t="str">
        <f aca="false">IF(W3214=1,"",IF(AND(Y3214=1,AA3214&lt;&gt;1),1,0))</f>
        <v/>
      </c>
      <c r="AD3214" s="33" t="str">
        <f aca="false">IF(AND(E3214&gt;0,W3214&lt;1,NOT(AND(C3215=C3214,W3215=W3214+1))),INDEX(DATAS,W3214+1),"")</f>
        <v/>
      </c>
      <c r="AE3214" s="33" t="str">
        <f aca="false">IF(AND(Y3214=1,W3214&lt;1),IF(AND(C3215=C3214,W3215=W3214+1),IF(Y3215=1,"",INDEX(DATAS,W3214+1)),INDEX(DATAS,W3214+1)),"")</f>
        <v/>
      </c>
    </row>
    <row r="3215" customFormat="false" ht="15" hidden="false" customHeight="false" outlineLevel="0" collapsed="false">
      <c r="A3215" s="33" t="n">
        <v>46309</v>
      </c>
      <c r="B3215" s="0" t="n">
        <v>13</v>
      </c>
      <c r="C3215" s="0" t="n">
        <v>7637</v>
      </c>
      <c r="E3215" s="0" t="n">
        <v>0</v>
      </c>
      <c r="F3215" s="27" t="s">
        <v>1515</v>
      </c>
      <c r="I3215" s="27" t="s">
        <v>166</v>
      </c>
      <c r="U3215" s="0" t="n">
        <v>182</v>
      </c>
      <c r="V3215" s="0" t="n">
        <v>0</v>
      </c>
      <c r="W3215" s="27" t="n">
        <f aca="false">MATCH(A3215,DATAS,0)</f>
        <v>1</v>
      </c>
      <c r="X3215" s="27" t="n">
        <f aca="false">IF(AND(E3215&gt;0,OR(AND(B3215&gt;=1,B3215&lt;=6),B3215=10)),1,0)</f>
        <v>0</v>
      </c>
      <c r="Y3215" s="27" t="n">
        <f aca="false">IF(AND(E3215&gt;0,B3215=10),1,0)</f>
        <v>0</v>
      </c>
      <c r="Z3215" s="0" t="str">
        <f aca="false">IF(AND(C3214=C3215,W3214=W3215-1),X3214,"")</f>
        <v/>
      </c>
      <c r="AA3215" s="0" t="str">
        <f aca="false">IF(AND(C3214=C3215,W3214=W3215-1),Y3214,"")</f>
        <v/>
      </c>
      <c r="AB3215" s="0" t="str">
        <f aca="false">IF(W3215=1,"",IF(AND(X3215=1,Z3215&lt;&gt;1),1,0))</f>
        <v/>
      </c>
      <c r="AC3215" s="0" t="str">
        <f aca="false">IF(W3215=1,"",IF(AND(Y3215=1,AA3215&lt;&gt;1),1,0))</f>
        <v/>
      </c>
      <c r="AD3215" s="33" t="str">
        <f aca="false">IF(AND(E3215&gt;0,W3215&lt;1,NOT(AND(C3216=C3215,W3216=W3215+1))),INDEX(DATAS,W3215+1),"")</f>
        <v/>
      </c>
      <c r="AE3215" s="33" t="str">
        <f aca="false">IF(AND(Y3215=1,W3215&lt;1),IF(AND(C3216=C3215,W3216=W3215+1),IF(Y3216=1,"",INDEX(DATAS,W3215+1)),INDEX(DATAS,W3215+1)),"")</f>
        <v/>
      </c>
    </row>
    <row r="3216" customFormat="false" ht="15" hidden="false" customHeight="false" outlineLevel="0" collapsed="false">
      <c r="A3216" s="33" t="n">
        <v>46309</v>
      </c>
      <c r="B3216" s="0" t="n">
        <v>13</v>
      </c>
      <c r="C3216" s="0" t="n">
        <v>7638</v>
      </c>
      <c r="E3216" s="0" t="n">
        <v>0</v>
      </c>
      <c r="F3216" s="27" t="s">
        <v>1515</v>
      </c>
      <c r="I3216" s="27" t="s">
        <v>166</v>
      </c>
      <c r="U3216" s="0" t="n">
        <v>182</v>
      </c>
      <c r="V3216" s="0" t="n">
        <v>0</v>
      </c>
      <c r="W3216" s="27" t="n">
        <f aca="false">MATCH(A3216,DATAS,0)</f>
        <v>1</v>
      </c>
      <c r="X3216" s="27" t="n">
        <f aca="false">IF(AND(E3216&gt;0,OR(AND(B3216&gt;=1,B3216&lt;=6),B3216=10)),1,0)</f>
        <v>0</v>
      </c>
      <c r="Y3216" s="27" t="n">
        <f aca="false">IF(AND(E3216&gt;0,B3216=10),1,0)</f>
        <v>0</v>
      </c>
      <c r="Z3216" s="0" t="str">
        <f aca="false">IF(AND(C3215=C3216,W3215=W3216-1),X3215,"")</f>
        <v/>
      </c>
      <c r="AA3216" s="0" t="str">
        <f aca="false">IF(AND(C3215=C3216,W3215=W3216-1),Y3215,"")</f>
        <v/>
      </c>
      <c r="AB3216" s="0" t="str">
        <f aca="false">IF(W3216=1,"",IF(AND(X3216=1,Z3216&lt;&gt;1),1,0))</f>
        <v/>
      </c>
      <c r="AC3216" s="0" t="str">
        <f aca="false">IF(W3216=1,"",IF(AND(Y3216=1,AA3216&lt;&gt;1),1,0))</f>
        <v/>
      </c>
      <c r="AD3216" s="33" t="str">
        <f aca="false">IF(AND(E3216&gt;0,W3216&lt;1,NOT(AND(C3217=C3216,W3217=W3216+1))),INDEX(DATAS,W3216+1),"")</f>
        <v/>
      </c>
      <c r="AE3216" s="33" t="str">
        <f aca="false">IF(AND(Y3216=1,W3216&lt;1),IF(AND(C3217=C3216,W3217=W3216+1),IF(Y3217=1,"",INDEX(DATAS,W3216+1)),INDEX(DATAS,W3216+1)),"")</f>
        <v/>
      </c>
    </row>
    <row r="3217" customFormat="false" ht="15" hidden="false" customHeight="false" outlineLevel="0" collapsed="false">
      <c r="A3217" s="33" t="n">
        <v>46309</v>
      </c>
      <c r="B3217" s="0" t="n">
        <v>13</v>
      </c>
      <c r="C3217" s="0" t="n">
        <v>7639</v>
      </c>
      <c r="E3217" s="0" t="n">
        <v>0</v>
      </c>
      <c r="F3217" s="27" t="s">
        <v>1516</v>
      </c>
      <c r="I3217" s="27" t="s">
        <v>166</v>
      </c>
      <c r="U3217" s="0" t="n">
        <v>181</v>
      </c>
      <c r="V3217" s="0" t="n">
        <v>0</v>
      </c>
      <c r="W3217" s="27" t="n">
        <f aca="false">MATCH(A3217,DATAS,0)</f>
        <v>1</v>
      </c>
      <c r="X3217" s="27" t="n">
        <f aca="false">IF(AND(E3217&gt;0,OR(AND(B3217&gt;=1,B3217&lt;=6),B3217=10)),1,0)</f>
        <v>0</v>
      </c>
      <c r="Y3217" s="27" t="n">
        <f aca="false">IF(AND(E3217&gt;0,B3217=10),1,0)</f>
        <v>0</v>
      </c>
      <c r="Z3217" s="0" t="str">
        <f aca="false">IF(AND(C3216=C3217,W3216=W3217-1),X3216,"")</f>
        <v/>
      </c>
      <c r="AA3217" s="0" t="str">
        <f aca="false">IF(AND(C3216=C3217,W3216=W3217-1),Y3216,"")</f>
        <v/>
      </c>
      <c r="AB3217" s="0" t="str">
        <f aca="false">IF(W3217=1,"",IF(AND(X3217=1,Z3217&lt;&gt;1),1,0))</f>
        <v/>
      </c>
      <c r="AC3217" s="0" t="str">
        <f aca="false">IF(W3217=1,"",IF(AND(Y3217=1,AA3217&lt;&gt;1),1,0))</f>
        <v/>
      </c>
      <c r="AD3217" s="33" t="str">
        <f aca="false">IF(AND(E3217&gt;0,W3217&lt;1,NOT(AND(C3218=C3217,W3218=W3217+1))),INDEX(DATAS,W3217+1),"")</f>
        <v/>
      </c>
      <c r="AE3217" s="33" t="str">
        <f aca="false">IF(AND(Y3217=1,W3217&lt;1),IF(AND(C3218=C3217,W3218=W3217+1),IF(Y3218=1,"",INDEX(DATAS,W3217+1)),INDEX(DATAS,W3217+1)),"")</f>
        <v/>
      </c>
    </row>
    <row r="3218" customFormat="false" ht="15" hidden="false" customHeight="false" outlineLevel="0" collapsed="false">
      <c r="A3218" s="33" t="n">
        <v>46309</v>
      </c>
      <c r="B3218" s="0" t="n">
        <v>13</v>
      </c>
      <c r="C3218" s="0" t="n">
        <v>7640</v>
      </c>
      <c r="E3218" s="0" t="n">
        <v>0</v>
      </c>
      <c r="F3218" s="27" t="s">
        <v>1516</v>
      </c>
      <c r="I3218" s="27" t="s">
        <v>166</v>
      </c>
      <c r="U3218" s="0" t="n">
        <v>181</v>
      </c>
      <c r="V3218" s="0" t="n">
        <v>0</v>
      </c>
      <c r="W3218" s="27" t="n">
        <f aca="false">MATCH(A3218,DATAS,0)</f>
        <v>1</v>
      </c>
      <c r="X3218" s="27" t="n">
        <f aca="false">IF(AND(E3218&gt;0,OR(AND(B3218&gt;=1,B3218&lt;=6),B3218=10)),1,0)</f>
        <v>0</v>
      </c>
      <c r="Y3218" s="27" t="n">
        <f aca="false">IF(AND(E3218&gt;0,B3218=10),1,0)</f>
        <v>0</v>
      </c>
      <c r="Z3218" s="0" t="str">
        <f aca="false">IF(AND(C3217=C3218,W3217=W3218-1),X3217,"")</f>
        <v/>
      </c>
      <c r="AA3218" s="0" t="str">
        <f aca="false">IF(AND(C3217=C3218,W3217=W3218-1),Y3217,"")</f>
        <v/>
      </c>
      <c r="AB3218" s="0" t="str">
        <f aca="false">IF(W3218=1,"",IF(AND(X3218=1,Z3218&lt;&gt;1),1,0))</f>
        <v/>
      </c>
      <c r="AC3218" s="0" t="str">
        <f aca="false">IF(W3218=1,"",IF(AND(Y3218=1,AA3218&lt;&gt;1),1,0))</f>
        <v/>
      </c>
      <c r="AD3218" s="33" t="str">
        <f aca="false">IF(AND(E3218&gt;0,W3218&lt;1,NOT(AND(C3219=C3218,W3219=W3218+1))),INDEX(DATAS,W3218+1),"")</f>
        <v/>
      </c>
      <c r="AE3218" s="33" t="str">
        <f aca="false">IF(AND(Y3218=1,W3218&lt;1),IF(AND(C3219=C3218,W3219=W3218+1),IF(Y3219=1,"",INDEX(DATAS,W3218+1)),INDEX(DATAS,W3218+1)),"")</f>
        <v/>
      </c>
    </row>
    <row r="3219" customFormat="false" ht="15" hidden="false" customHeight="false" outlineLevel="0" collapsed="false">
      <c r="A3219" s="33" t="n">
        <v>46309</v>
      </c>
      <c r="B3219" s="0" t="n">
        <v>13</v>
      </c>
      <c r="C3219" s="0" t="n">
        <v>7641</v>
      </c>
      <c r="E3219" s="0" t="n">
        <v>0</v>
      </c>
      <c r="F3219" s="27" t="s">
        <v>1517</v>
      </c>
      <c r="I3219" s="27" t="s">
        <v>166</v>
      </c>
      <c r="U3219" s="0" t="n">
        <v>180</v>
      </c>
      <c r="V3219" s="0" t="n">
        <v>0</v>
      </c>
      <c r="W3219" s="27" t="n">
        <f aca="false">MATCH(A3219,DATAS,0)</f>
        <v>1</v>
      </c>
      <c r="X3219" s="27" t="n">
        <f aca="false">IF(AND(E3219&gt;0,OR(AND(B3219&gt;=1,B3219&lt;=6),B3219=10)),1,0)</f>
        <v>0</v>
      </c>
      <c r="Y3219" s="27" t="n">
        <f aca="false">IF(AND(E3219&gt;0,B3219=10),1,0)</f>
        <v>0</v>
      </c>
      <c r="Z3219" s="0" t="str">
        <f aca="false">IF(AND(C3218=C3219,W3218=W3219-1),X3218,"")</f>
        <v/>
      </c>
      <c r="AA3219" s="0" t="str">
        <f aca="false">IF(AND(C3218=C3219,W3218=W3219-1),Y3218,"")</f>
        <v/>
      </c>
      <c r="AB3219" s="0" t="str">
        <f aca="false">IF(W3219=1,"",IF(AND(X3219=1,Z3219&lt;&gt;1),1,0))</f>
        <v/>
      </c>
      <c r="AC3219" s="0" t="str">
        <f aca="false">IF(W3219=1,"",IF(AND(Y3219=1,AA3219&lt;&gt;1),1,0))</f>
        <v/>
      </c>
      <c r="AD3219" s="33" t="str">
        <f aca="false">IF(AND(E3219&gt;0,W3219&lt;1,NOT(AND(C3220=C3219,W3220=W3219+1))),INDEX(DATAS,W3219+1),"")</f>
        <v/>
      </c>
      <c r="AE3219" s="33" t="str">
        <f aca="false">IF(AND(Y3219=1,W3219&lt;1),IF(AND(C3220=C3219,W3220=W3219+1),IF(Y3220=1,"",INDEX(DATAS,W3219+1)),INDEX(DATAS,W3219+1)),"")</f>
        <v/>
      </c>
    </row>
    <row r="3220" customFormat="false" ht="15" hidden="false" customHeight="false" outlineLevel="0" collapsed="false">
      <c r="A3220" s="33" t="n">
        <v>46309</v>
      </c>
      <c r="B3220" s="0" t="n">
        <v>13</v>
      </c>
      <c r="C3220" s="0" t="n">
        <v>7642</v>
      </c>
      <c r="E3220" s="0" t="n">
        <v>0</v>
      </c>
      <c r="F3220" s="27" t="s">
        <v>1518</v>
      </c>
      <c r="I3220" s="27" t="s">
        <v>166</v>
      </c>
      <c r="U3220" s="0" t="n">
        <v>179</v>
      </c>
      <c r="V3220" s="0" t="n">
        <v>0</v>
      </c>
      <c r="W3220" s="27" t="n">
        <f aca="false">MATCH(A3220,DATAS,0)</f>
        <v>1</v>
      </c>
      <c r="X3220" s="27" t="n">
        <f aca="false">IF(AND(E3220&gt;0,OR(AND(B3220&gt;=1,B3220&lt;=6),B3220=10)),1,0)</f>
        <v>0</v>
      </c>
      <c r="Y3220" s="27" t="n">
        <f aca="false">IF(AND(E3220&gt;0,B3220=10),1,0)</f>
        <v>0</v>
      </c>
      <c r="Z3220" s="0" t="str">
        <f aca="false">IF(AND(C3219=C3220,W3219=W3220-1),X3219,"")</f>
        <v/>
      </c>
      <c r="AA3220" s="0" t="str">
        <f aca="false">IF(AND(C3219=C3220,W3219=W3220-1),Y3219,"")</f>
        <v/>
      </c>
      <c r="AB3220" s="0" t="str">
        <f aca="false">IF(W3220=1,"",IF(AND(X3220=1,Z3220&lt;&gt;1),1,0))</f>
        <v/>
      </c>
      <c r="AC3220" s="0" t="str">
        <f aca="false">IF(W3220=1,"",IF(AND(Y3220=1,AA3220&lt;&gt;1),1,0))</f>
        <v/>
      </c>
      <c r="AD3220" s="33" t="str">
        <f aca="false">IF(AND(E3220&gt;0,W3220&lt;1,NOT(AND(C3221=C3220,W3221=W3220+1))),INDEX(DATAS,W3220+1),"")</f>
        <v/>
      </c>
      <c r="AE3220" s="33" t="str">
        <f aca="false">IF(AND(Y3220=1,W3220&lt;1),IF(AND(C3221=C3220,W3221=W3220+1),IF(Y3221=1,"",INDEX(DATAS,W3220+1)),INDEX(DATAS,W3220+1)),"")</f>
        <v/>
      </c>
    </row>
    <row r="3221" customFormat="false" ht="15" hidden="false" customHeight="false" outlineLevel="0" collapsed="false">
      <c r="A3221" s="33" t="n">
        <v>46309</v>
      </c>
      <c r="B3221" s="0" t="n">
        <v>13</v>
      </c>
      <c r="C3221" s="0" t="n">
        <v>7643</v>
      </c>
      <c r="E3221" s="0" t="n">
        <v>0</v>
      </c>
      <c r="F3221" s="27" t="s">
        <v>1518</v>
      </c>
      <c r="I3221" s="27" t="s">
        <v>166</v>
      </c>
      <c r="U3221" s="0" t="n">
        <v>179</v>
      </c>
      <c r="V3221" s="0" t="n">
        <v>0</v>
      </c>
      <c r="W3221" s="27" t="n">
        <f aca="false">MATCH(A3221,DATAS,0)</f>
        <v>1</v>
      </c>
      <c r="X3221" s="27" t="n">
        <f aca="false">IF(AND(E3221&gt;0,OR(AND(B3221&gt;=1,B3221&lt;=6),B3221=10)),1,0)</f>
        <v>0</v>
      </c>
      <c r="Y3221" s="27" t="n">
        <f aca="false">IF(AND(E3221&gt;0,B3221=10),1,0)</f>
        <v>0</v>
      </c>
      <c r="Z3221" s="0" t="str">
        <f aca="false">IF(AND(C3220=C3221,W3220=W3221-1),X3220,"")</f>
        <v/>
      </c>
      <c r="AA3221" s="0" t="str">
        <f aca="false">IF(AND(C3220=C3221,W3220=W3221-1),Y3220,"")</f>
        <v/>
      </c>
      <c r="AB3221" s="0" t="str">
        <f aca="false">IF(W3221=1,"",IF(AND(X3221=1,Z3221&lt;&gt;1),1,0))</f>
        <v/>
      </c>
      <c r="AC3221" s="0" t="str">
        <f aca="false">IF(W3221=1,"",IF(AND(Y3221=1,AA3221&lt;&gt;1),1,0))</f>
        <v/>
      </c>
      <c r="AD3221" s="33" t="str">
        <f aca="false">IF(AND(E3221&gt;0,W3221&lt;1,NOT(AND(C3222=C3221,W3222=W3221+1))),INDEX(DATAS,W3221+1),"")</f>
        <v/>
      </c>
      <c r="AE3221" s="33" t="str">
        <f aca="false">IF(AND(Y3221=1,W3221&lt;1),IF(AND(C3222=C3221,W3222=W3221+1),IF(Y3222=1,"",INDEX(DATAS,W3221+1)),INDEX(DATAS,W3221+1)),"")</f>
        <v/>
      </c>
    </row>
    <row r="3222" customFormat="false" ht="15" hidden="false" customHeight="false" outlineLevel="0" collapsed="false">
      <c r="A3222" s="33" t="n">
        <v>46309</v>
      </c>
      <c r="B3222" s="0" t="n">
        <v>13</v>
      </c>
      <c r="C3222" s="0" t="n">
        <v>7644</v>
      </c>
      <c r="E3222" s="0" t="n">
        <v>0</v>
      </c>
      <c r="F3222" s="27" t="s">
        <v>1519</v>
      </c>
      <c r="I3222" s="27" t="s">
        <v>166</v>
      </c>
      <c r="U3222" s="0" t="n">
        <v>178</v>
      </c>
      <c r="V3222" s="0" t="n">
        <v>0</v>
      </c>
      <c r="W3222" s="27" t="n">
        <f aca="false">MATCH(A3222,DATAS,0)</f>
        <v>1</v>
      </c>
      <c r="X3222" s="27" t="n">
        <f aca="false">IF(AND(E3222&gt;0,OR(AND(B3222&gt;=1,B3222&lt;=6),B3222=10)),1,0)</f>
        <v>0</v>
      </c>
      <c r="Y3222" s="27" t="n">
        <f aca="false">IF(AND(E3222&gt;0,B3222=10),1,0)</f>
        <v>0</v>
      </c>
      <c r="Z3222" s="0" t="str">
        <f aca="false">IF(AND(C3221=C3222,W3221=W3222-1),X3221,"")</f>
        <v/>
      </c>
      <c r="AA3222" s="0" t="str">
        <f aca="false">IF(AND(C3221=C3222,W3221=W3222-1),Y3221,"")</f>
        <v/>
      </c>
      <c r="AB3222" s="0" t="str">
        <f aca="false">IF(W3222=1,"",IF(AND(X3222=1,Z3222&lt;&gt;1),1,0))</f>
        <v/>
      </c>
      <c r="AC3222" s="0" t="str">
        <f aca="false">IF(W3222=1,"",IF(AND(Y3222=1,AA3222&lt;&gt;1),1,0))</f>
        <v/>
      </c>
      <c r="AD3222" s="33" t="str">
        <f aca="false">IF(AND(E3222&gt;0,W3222&lt;1,NOT(AND(C3223=C3222,W3223=W3222+1))),INDEX(DATAS,W3222+1),"")</f>
        <v/>
      </c>
      <c r="AE3222" s="33" t="str">
        <f aca="false">IF(AND(Y3222=1,W3222&lt;1),IF(AND(C3223=C3222,W3223=W3222+1),IF(Y3223=1,"",INDEX(DATAS,W3222+1)),INDEX(DATAS,W3222+1)),"")</f>
        <v/>
      </c>
    </row>
    <row r="3223" customFormat="false" ht="15" hidden="false" customHeight="false" outlineLevel="0" collapsed="false">
      <c r="A3223" s="33" t="n">
        <v>46309</v>
      </c>
      <c r="B3223" s="0" t="n">
        <v>13</v>
      </c>
      <c r="C3223" s="0" t="n">
        <v>7645</v>
      </c>
      <c r="E3223" s="0" t="n">
        <v>0</v>
      </c>
      <c r="F3223" s="27" t="s">
        <v>1519</v>
      </c>
      <c r="I3223" s="27" t="s">
        <v>166</v>
      </c>
      <c r="U3223" s="0" t="n">
        <v>178</v>
      </c>
      <c r="V3223" s="0" t="n">
        <v>0</v>
      </c>
      <c r="W3223" s="27" t="n">
        <f aca="false">MATCH(A3223,DATAS,0)</f>
        <v>1</v>
      </c>
      <c r="X3223" s="27" t="n">
        <f aca="false">IF(AND(E3223&gt;0,OR(AND(B3223&gt;=1,B3223&lt;=6),B3223=10)),1,0)</f>
        <v>0</v>
      </c>
      <c r="Y3223" s="27" t="n">
        <f aca="false">IF(AND(E3223&gt;0,B3223=10),1,0)</f>
        <v>0</v>
      </c>
      <c r="Z3223" s="0" t="str">
        <f aca="false">IF(AND(C3222=C3223,W3222=W3223-1),X3222,"")</f>
        <v/>
      </c>
      <c r="AA3223" s="0" t="str">
        <f aca="false">IF(AND(C3222=C3223,W3222=W3223-1),Y3222,"")</f>
        <v/>
      </c>
      <c r="AB3223" s="0" t="str">
        <f aca="false">IF(W3223=1,"",IF(AND(X3223=1,Z3223&lt;&gt;1),1,0))</f>
        <v/>
      </c>
      <c r="AC3223" s="0" t="str">
        <f aca="false">IF(W3223=1,"",IF(AND(Y3223=1,AA3223&lt;&gt;1),1,0))</f>
        <v/>
      </c>
      <c r="AD3223" s="33" t="str">
        <f aca="false">IF(AND(E3223&gt;0,W3223&lt;1,NOT(AND(C3224=C3223,W3224=W3223+1))),INDEX(DATAS,W3223+1),"")</f>
        <v/>
      </c>
      <c r="AE3223" s="33" t="str">
        <f aca="false">IF(AND(Y3223=1,W3223&lt;1),IF(AND(C3224=C3223,W3224=W3223+1),IF(Y3224=1,"",INDEX(DATAS,W3223+1)),INDEX(DATAS,W3223+1)),"")</f>
        <v/>
      </c>
    </row>
    <row r="3224" customFormat="false" ht="15" hidden="false" customHeight="false" outlineLevel="0" collapsed="false">
      <c r="A3224" s="33" t="n">
        <v>46309</v>
      </c>
      <c r="B3224" s="0" t="n">
        <v>13</v>
      </c>
      <c r="C3224" s="0" t="n">
        <v>7646</v>
      </c>
      <c r="E3224" s="0" t="n">
        <v>0</v>
      </c>
      <c r="F3224" s="27" t="s">
        <v>1519</v>
      </c>
      <c r="I3224" s="27" t="s">
        <v>166</v>
      </c>
      <c r="U3224" s="0" t="n">
        <v>178</v>
      </c>
      <c r="V3224" s="0" t="n">
        <v>0</v>
      </c>
      <c r="W3224" s="27" t="n">
        <f aca="false">MATCH(A3224,DATAS,0)</f>
        <v>1</v>
      </c>
      <c r="X3224" s="27" t="n">
        <f aca="false">IF(AND(E3224&gt;0,OR(AND(B3224&gt;=1,B3224&lt;=6),B3224=10)),1,0)</f>
        <v>0</v>
      </c>
      <c r="Y3224" s="27" t="n">
        <f aca="false">IF(AND(E3224&gt;0,B3224=10),1,0)</f>
        <v>0</v>
      </c>
      <c r="Z3224" s="0" t="str">
        <f aca="false">IF(AND(C3223=C3224,W3223=W3224-1),X3223,"")</f>
        <v/>
      </c>
      <c r="AA3224" s="0" t="str">
        <f aca="false">IF(AND(C3223=C3224,W3223=W3224-1),Y3223,"")</f>
        <v/>
      </c>
      <c r="AB3224" s="0" t="str">
        <f aca="false">IF(W3224=1,"",IF(AND(X3224=1,Z3224&lt;&gt;1),1,0))</f>
        <v/>
      </c>
      <c r="AC3224" s="0" t="str">
        <f aca="false">IF(W3224=1,"",IF(AND(Y3224=1,AA3224&lt;&gt;1),1,0))</f>
        <v/>
      </c>
      <c r="AD3224" s="33" t="str">
        <f aca="false">IF(AND(E3224&gt;0,W3224&lt;1,NOT(AND(C3225=C3224,W3225=W3224+1))),INDEX(DATAS,W3224+1),"")</f>
        <v/>
      </c>
      <c r="AE3224" s="33" t="str">
        <f aca="false">IF(AND(Y3224=1,W3224&lt;1),IF(AND(C3225=C3224,W3225=W3224+1),IF(Y3225=1,"",INDEX(DATAS,W3224+1)),INDEX(DATAS,W3224+1)),"")</f>
        <v/>
      </c>
    </row>
    <row r="3225" customFormat="false" ht="15" hidden="false" customHeight="false" outlineLevel="0" collapsed="false">
      <c r="A3225" s="33" t="n">
        <v>46309</v>
      </c>
      <c r="B3225" s="0" t="n">
        <v>13</v>
      </c>
      <c r="C3225" s="0" t="n">
        <v>7647</v>
      </c>
      <c r="E3225" s="0" t="n">
        <v>0</v>
      </c>
      <c r="F3225" s="27" t="s">
        <v>1520</v>
      </c>
      <c r="I3225" s="27" t="s">
        <v>166</v>
      </c>
      <c r="U3225" s="0" t="n">
        <v>177</v>
      </c>
      <c r="V3225" s="0" t="n">
        <v>0</v>
      </c>
      <c r="W3225" s="27" t="n">
        <f aca="false">MATCH(A3225,DATAS,0)</f>
        <v>1</v>
      </c>
      <c r="X3225" s="27" t="n">
        <f aca="false">IF(AND(E3225&gt;0,OR(AND(B3225&gt;=1,B3225&lt;=6),B3225=10)),1,0)</f>
        <v>0</v>
      </c>
      <c r="Y3225" s="27" t="n">
        <f aca="false">IF(AND(E3225&gt;0,B3225=10),1,0)</f>
        <v>0</v>
      </c>
      <c r="Z3225" s="0" t="str">
        <f aca="false">IF(AND(C3224=C3225,W3224=W3225-1),X3224,"")</f>
        <v/>
      </c>
      <c r="AA3225" s="0" t="str">
        <f aca="false">IF(AND(C3224=C3225,W3224=W3225-1),Y3224,"")</f>
        <v/>
      </c>
      <c r="AB3225" s="0" t="str">
        <f aca="false">IF(W3225=1,"",IF(AND(X3225=1,Z3225&lt;&gt;1),1,0))</f>
        <v/>
      </c>
      <c r="AC3225" s="0" t="str">
        <f aca="false">IF(W3225=1,"",IF(AND(Y3225=1,AA3225&lt;&gt;1),1,0))</f>
        <v/>
      </c>
      <c r="AD3225" s="33" t="str">
        <f aca="false">IF(AND(E3225&gt;0,W3225&lt;1,NOT(AND(C3226=C3225,W3226=W3225+1))),INDEX(DATAS,W3225+1),"")</f>
        <v/>
      </c>
      <c r="AE3225" s="33" t="str">
        <f aca="false">IF(AND(Y3225=1,W3225&lt;1),IF(AND(C3226=C3225,W3226=W3225+1),IF(Y3226=1,"",INDEX(DATAS,W3225+1)),INDEX(DATAS,W3225+1)),"")</f>
        <v/>
      </c>
    </row>
    <row r="3226" customFormat="false" ht="15" hidden="false" customHeight="false" outlineLevel="0" collapsed="false">
      <c r="A3226" s="33" t="n">
        <v>46309</v>
      </c>
      <c r="B3226" s="0" t="n">
        <v>13</v>
      </c>
      <c r="C3226" s="0" t="n">
        <v>7648</v>
      </c>
      <c r="E3226" s="0" t="n">
        <v>0</v>
      </c>
      <c r="F3226" s="27" t="s">
        <v>1520</v>
      </c>
      <c r="I3226" s="27" t="s">
        <v>166</v>
      </c>
      <c r="U3226" s="0" t="n">
        <v>177</v>
      </c>
      <c r="V3226" s="0" t="n">
        <v>0</v>
      </c>
      <c r="W3226" s="27" t="n">
        <f aca="false">MATCH(A3226,DATAS,0)</f>
        <v>1</v>
      </c>
      <c r="X3226" s="27" t="n">
        <f aca="false">IF(AND(E3226&gt;0,OR(AND(B3226&gt;=1,B3226&lt;=6),B3226=10)),1,0)</f>
        <v>0</v>
      </c>
      <c r="Y3226" s="27" t="n">
        <f aca="false">IF(AND(E3226&gt;0,B3226=10),1,0)</f>
        <v>0</v>
      </c>
      <c r="Z3226" s="0" t="str">
        <f aca="false">IF(AND(C3225=C3226,W3225=W3226-1),X3225,"")</f>
        <v/>
      </c>
      <c r="AA3226" s="0" t="str">
        <f aca="false">IF(AND(C3225=C3226,W3225=W3226-1),Y3225,"")</f>
        <v/>
      </c>
      <c r="AB3226" s="0" t="str">
        <f aca="false">IF(W3226=1,"",IF(AND(X3226=1,Z3226&lt;&gt;1),1,0))</f>
        <v/>
      </c>
      <c r="AC3226" s="0" t="str">
        <f aca="false">IF(W3226=1,"",IF(AND(Y3226=1,AA3226&lt;&gt;1),1,0))</f>
        <v/>
      </c>
      <c r="AD3226" s="33" t="str">
        <f aca="false">IF(AND(E3226&gt;0,W3226&lt;1,NOT(AND(C3227=C3226,W3227=W3226+1))),INDEX(DATAS,W3226+1),"")</f>
        <v/>
      </c>
      <c r="AE3226" s="33" t="str">
        <f aca="false">IF(AND(Y3226=1,W3226&lt;1),IF(AND(C3227=C3226,W3227=W3226+1),IF(Y3227=1,"",INDEX(DATAS,W3226+1)),INDEX(DATAS,W3226+1)),"")</f>
        <v/>
      </c>
    </row>
    <row r="3227" customFormat="false" ht="15" hidden="false" customHeight="false" outlineLevel="0" collapsed="false">
      <c r="A3227" s="33" t="n">
        <v>46309</v>
      </c>
      <c r="B3227" s="0" t="n">
        <v>13</v>
      </c>
      <c r="C3227" s="0" t="n">
        <v>7649</v>
      </c>
      <c r="E3227" s="0" t="n">
        <v>0</v>
      </c>
      <c r="F3227" s="27" t="s">
        <v>1520</v>
      </c>
      <c r="I3227" s="27" t="s">
        <v>166</v>
      </c>
      <c r="U3227" s="0" t="n">
        <v>177</v>
      </c>
      <c r="V3227" s="0" t="n">
        <v>0</v>
      </c>
      <c r="W3227" s="27" t="n">
        <f aca="false">MATCH(A3227,DATAS,0)</f>
        <v>1</v>
      </c>
      <c r="X3227" s="27" t="n">
        <f aca="false">IF(AND(E3227&gt;0,OR(AND(B3227&gt;=1,B3227&lt;=6),B3227=10)),1,0)</f>
        <v>0</v>
      </c>
      <c r="Y3227" s="27" t="n">
        <f aca="false">IF(AND(E3227&gt;0,B3227=10),1,0)</f>
        <v>0</v>
      </c>
      <c r="Z3227" s="0" t="str">
        <f aca="false">IF(AND(C3226=C3227,W3226=W3227-1),X3226,"")</f>
        <v/>
      </c>
      <c r="AA3227" s="0" t="str">
        <f aca="false">IF(AND(C3226=C3227,W3226=W3227-1),Y3226,"")</f>
        <v/>
      </c>
      <c r="AB3227" s="0" t="str">
        <f aca="false">IF(W3227=1,"",IF(AND(X3227=1,Z3227&lt;&gt;1),1,0))</f>
        <v/>
      </c>
      <c r="AC3227" s="0" t="str">
        <f aca="false">IF(W3227=1,"",IF(AND(Y3227=1,AA3227&lt;&gt;1),1,0))</f>
        <v/>
      </c>
      <c r="AD3227" s="33" t="str">
        <f aca="false">IF(AND(E3227&gt;0,W3227&lt;1,NOT(AND(C3228=C3227,W3228=W3227+1))),INDEX(DATAS,W3227+1),"")</f>
        <v/>
      </c>
      <c r="AE3227" s="33" t="str">
        <f aca="false">IF(AND(Y3227=1,W3227&lt;1),IF(AND(C3228=C3227,W3228=W3227+1),IF(Y3228=1,"",INDEX(DATAS,W3227+1)),INDEX(DATAS,W3227+1)),"")</f>
        <v/>
      </c>
    </row>
    <row r="3228" customFormat="false" ht="15" hidden="false" customHeight="false" outlineLevel="0" collapsed="false">
      <c r="A3228" s="33" t="n">
        <v>46309</v>
      </c>
      <c r="B3228" s="0" t="n">
        <v>13</v>
      </c>
      <c r="C3228" s="0" t="n">
        <v>7650</v>
      </c>
      <c r="E3228" s="0" t="n">
        <v>0</v>
      </c>
      <c r="F3228" s="27" t="s">
        <v>1521</v>
      </c>
      <c r="I3228" s="27" t="s">
        <v>166</v>
      </c>
      <c r="U3228" s="0" t="n">
        <v>176</v>
      </c>
      <c r="V3228" s="0" t="n">
        <v>0</v>
      </c>
      <c r="W3228" s="27" t="n">
        <f aca="false">MATCH(A3228,DATAS,0)</f>
        <v>1</v>
      </c>
      <c r="X3228" s="27" t="n">
        <f aca="false">IF(AND(E3228&gt;0,OR(AND(B3228&gt;=1,B3228&lt;=6),B3228=10)),1,0)</f>
        <v>0</v>
      </c>
      <c r="Y3228" s="27" t="n">
        <f aca="false">IF(AND(E3228&gt;0,B3228=10),1,0)</f>
        <v>0</v>
      </c>
      <c r="Z3228" s="0" t="str">
        <f aca="false">IF(AND(C3227=C3228,W3227=W3228-1),X3227,"")</f>
        <v/>
      </c>
      <c r="AA3228" s="0" t="str">
        <f aca="false">IF(AND(C3227=C3228,W3227=W3228-1),Y3227,"")</f>
        <v/>
      </c>
      <c r="AB3228" s="0" t="str">
        <f aca="false">IF(W3228=1,"",IF(AND(X3228=1,Z3228&lt;&gt;1),1,0))</f>
        <v/>
      </c>
      <c r="AC3228" s="0" t="str">
        <f aca="false">IF(W3228=1,"",IF(AND(Y3228=1,AA3228&lt;&gt;1),1,0))</f>
        <v/>
      </c>
      <c r="AD3228" s="33" t="str">
        <f aca="false">IF(AND(E3228&gt;0,W3228&lt;1,NOT(AND(C3229=C3228,W3229=W3228+1))),INDEX(DATAS,W3228+1),"")</f>
        <v/>
      </c>
      <c r="AE3228" s="33" t="str">
        <f aca="false">IF(AND(Y3228=1,W3228&lt;1),IF(AND(C3229=C3228,W3229=W3228+1),IF(Y3229=1,"",INDEX(DATAS,W3228+1)),INDEX(DATAS,W3228+1)),"")</f>
        <v/>
      </c>
    </row>
    <row r="3229" customFormat="false" ht="15" hidden="false" customHeight="false" outlineLevel="0" collapsed="false">
      <c r="A3229" s="33" t="n">
        <v>46309</v>
      </c>
      <c r="B3229" s="0" t="n">
        <v>13</v>
      </c>
      <c r="C3229" s="0" t="n">
        <v>7651</v>
      </c>
      <c r="E3229" s="0" t="n">
        <v>0</v>
      </c>
      <c r="F3229" s="27" t="s">
        <v>1521</v>
      </c>
      <c r="I3229" s="27" t="s">
        <v>166</v>
      </c>
      <c r="U3229" s="0" t="n">
        <v>176</v>
      </c>
      <c r="V3229" s="0" t="n">
        <v>0</v>
      </c>
      <c r="W3229" s="27" t="n">
        <f aca="false">MATCH(A3229,DATAS,0)</f>
        <v>1</v>
      </c>
      <c r="X3229" s="27" t="n">
        <f aca="false">IF(AND(E3229&gt;0,OR(AND(B3229&gt;=1,B3229&lt;=6),B3229=10)),1,0)</f>
        <v>0</v>
      </c>
      <c r="Y3229" s="27" t="n">
        <f aca="false">IF(AND(E3229&gt;0,B3229=10),1,0)</f>
        <v>0</v>
      </c>
      <c r="Z3229" s="0" t="str">
        <f aca="false">IF(AND(C3228=C3229,W3228=W3229-1),X3228,"")</f>
        <v/>
      </c>
      <c r="AA3229" s="0" t="str">
        <f aca="false">IF(AND(C3228=C3229,W3228=W3229-1),Y3228,"")</f>
        <v/>
      </c>
      <c r="AB3229" s="0" t="str">
        <f aca="false">IF(W3229=1,"",IF(AND(X3229=1,Z3229&lt;&gt;1),1,0))</f>
        <v/>
      </c>
      <c r="AC3229" s="0" t="str">
        <f aca="false">IF(W3229=1,"",IF(AND(Y3229=1,AA3229&lt;&gt;1),1,0))</f>
        <v/>
      </c>
      <c r="AD3229" s="33" t="str">
        <f aca="false">IF(AND(E3229&gt;0,W3229&lt;1,NOT(AND(C3230=C3229,W3230=W3229+1))),INDEX(DATAS,W3229+1),"")</f>
        <v/>
      </c>
      <c r="AE3229" s="33" t="str">
        <f aca="false">IF(AND(Y3229=1,W3229&lt;1),IF(AND(C3230=C3229,W3230=W3229+1),IF(Y3230=1,"",INDEX(DATAS,W3229+1)),INDEX(DATAS,W3229+1)),"")</f>
        <v/>
      </c>
    </row>
    <row r="3230" customFormat="false" ht="15" hidden="false" customHeight="false" outlineLevel="0" collapsed="false">
      <c r="A3230" s="33" t="n">
        <v>46309</v>
      </c>
      <c r="B3230" s="0" t="n">
        <v>13</v>
      </c>
      <c r="C3230" s="0" t="n">
        <v>7652</v>
      </c>
      <c r="E3230" s="0" t="n">
        <v>0</v>
      </c>
      <c r="F3230" s="27" t="s">
        <v>1521</v>
      </c>
      <c r="I3230" s="27" t="s">
        <v>166</v>
      </c>
      <c r="U3230" s="0" t="n">
        <v>176</v>
      </c>
      <c r="V3230" s="0" t="n">
        <v>0</v>
      </c>
      <c r="W3230" s="27" t="n">
        <f aca="false">MATCH(A3230,DATAS,0)</f>
        <v>1</v>
      </c>
      <c r="X3230" s="27" t="n">
        <f aca="false">IF(AND(E3230&gt;0,OR(AND(B3230&gt;=1,B3230&lt;=6),B3230=10)),1,0)</f>
        <v>0</v>
      </c>
      <c r="Y3230" s="27" t="n">
        <f aca="false">IF(AND(E3230&gt;0,B3230=10),1,0)</f>
        <v>0</v>
      </c>
      <c r="Z3230" s="0" t="str">
        <f aca="false">IF(AND(C3229=C3230,W3229=W3230-1),X3229,"")</f>
        <v/>
      </c>
      <c r="AA3230" s="0" t="str">
        <f aca="false">IF(AND(C3229=C3230,W3229=W3230-1),Y3229,"")</f>
        <v/>
      </c>
      <c r="AB3230" s="0" t="str">
        <f aca="false">IF(W3230=1,"",IF(AND(X3230=1,Z3230&lt;&gt;1),1,0))</f>
        <v/>
      </c>
      <c r="AC3230" s="0" t="str">
        <f aca="false">IF(W3230=1,"",IF(AND(Y3230=1,AA3230&lt;&gt;1),1,0))</f>
        <v/>
      </c>
      <c r="AD3230" s="33" t="str">
        <f aca="false">IF(AND(E3230&gt;0,W3230&lt;1,NOT(AND(C3231=C3230,W3231=W3230+1))),INDEX(DATAS,W3230+1),"")</f>
        <v/>
      </c>
      <c r="AE3230" s="33" t="str">
        <f aca="false">IF(AND(Y3230=1,W3230&lt;1),IF(AND(C3231=C3230,W3231=W3230+1),IF(Y3231=1,"",INDEX(DATAS,W3230+1)),INDEX(DATAS,W3230+1)),"")</f>
        <v/>
      </c>
    </row>
    <row r="3231" customFormat="false" ht="15" hidden="false" customHeight="false" outlineLevel="0" collapsed="false">
      <c r="A3231" s="33" t="n">
        <v>46309</v>
      </c>
      <c r="B3231" s="0" t="n">
        <v>13</v>
      </c>
      <c r="C3231" s="0" t="n">
        <v>7653</v>
      </c>
      <c r="E3231" s="0" t="n">
        <v>0</v>
      </c>
      <c r="F3231" s="27" t="s">
        <v>1521</v>
      </c>
      <c r="I3231" s="27" t="s">
        <v>166</v>
      </c>
      <c r="U3231" s="0" t="n">
        <v>176</v>
      </c>
      <c r="V3231" s="0" t="n">
        <v>0</v>
      </c>
      <c r="W3231" s="27" t="n">
        <f aca="false">MATCH(A3231,DATAS,0)</f>
        <v>1</v>
      </c>
      <c r="X3231" s="27" t="n">
        <f aca="false">IF(AND(E3231&gt;0,OR(AND(B3231&gt;=1,B3231&lt;=6),B3231=10)),1,0)</f>
        <v>0</v>
      </c>
      <c r="Y3231" s="27" t="n">
        <f aca="false">IF(AND(E3231&gt;0,B3231=10),1,0)</f>
        <v>0</v>
      </c>
      <c r="Z3231" s="0" t="str">
        <f aca="false">IF(AND(C3230=C3231,W3230=W3231-1),X3230,"")</f>
        <v/>
      </c>
      <c r="AA3231" s="0" t="str">
        <f aca="false">IF(AND(C3230=C3231,W3230=W3231-1),Y3230,"")</f>
        <v/>
      </c>
      <c r="AB3231" s="0" t="str">
        <f aca="false">IF(W3231=1,"",IF(AND(X3231=1,Z3231&lt;&gt;1),1,0))</f>
        <v/>
      </c>
      <c r="AC3231" s="0" t="str">
        <f aca="false">IF(W3231=1,"",IF(AND(Y3231=1,AA3231&lt;&gt;1),1,0))</f>
        <v/>
      </c>
      <c r="AD3231" s="33" t="str">
        <f aca="false">IF(AND(E3231&gt;0,W3231&lt;1,NOT(AND(C3232=C3231,W3232=W3231+1))),INDEX(DATAS,W3231+1),"")</f>
        <v/>
      </c>
      <c r="AE3231" s="33" t="str">
        <f aca="false">IF(AND(Y3231=1,W3231&lt;1),IF(AND(C3232=C3231,W3232=W3231+1),IF(Y3232=1,"",INDEX(DATAS,W3231+1)),INDEX(DATAS,W3231+1)),"")</f>
        <v/>
      </c>
    </row>
    <row r="3232" customFormat="false" ht="15" hidden="false" customHeight="false" outlineLevel="0" collapsed="false">
      <c r="A3232" s="33" t="n">
        <v>46309</v>
      </c>
      <c r="B3232" s="0" t="n">
        <v>13</v>
      </c>
      <c r="C3232" s="0" t="n">
        <v>7654</v>
      </c>
      <c r="E3232" s="0" t="n">
        <v>0</v>
      </c>
      <c r="F3232" s="27" t="s">
        <v>1521</v>
      </c>
      <c r="I3232" s="27" t="s">
        <v>166</v>
      </c>
      <c r="U3232" s="0" t="n">
        <v>176</v>
      </c>
      <c r="V3232" s="0" t="n">
        <v>0</v>
      </c>
      <c r="W3232" s="27" t="n">
        <f aca="false">MATCH(A3232,DATAS,0)</f>
        <v>1</v>
      </c>
      <c r="X3232" s="27" t="n">
        <f aca="false">IF(AND(E3232&gt;0,OR(AND(B3232&gt;=1,B3232&lt;=6),B3232=10)),1,0)</f>
        <v>0</v>
      </c>
      <c r="Y3232" s="27" t="n">
        <f aca="false">IF(AND(E3232&gt;0,B3232=10),1,0)</f>
        <v>0</v>
      </c>
      <c r="Z3232" s="0" t="str">
        <f aca="false">IF(AND(C3231=C3232,W3231=W3232-1),X3231,"")</f>
        <v/>
      </c>
      <c r="AA3232" s="0" t="str">
        <f aca="false">IF(AND(C3231=C3232,W3231=W3232-1),Y3231,"")</f>
        <v/>
      </c>
      <c r="AB3232" s="0" t="str">
        <f aca="false">IF(W3232=1,"",IF(AND(X3232=1,Z3232&lt;&gt;1),1,0))</f>
        <v/>
      </c>
      <c r="AC3232" s="0" t="str">
        <f aca="false">IF(W3232=1,"",IF(AND(Y3232=1,AA3232&lt;&gt;1),1,0))</f>
        <v/>
      </c>
      <c r="AD3232" s="33" t="str">
        <f aca="false">IF(AND(E3232&gt;0,W3232&lt;1,NOT(AND(C3233=C3232,W3233=W3232+1))),INDEX(DATAS,W3232+1),"")</f>
        <v/>
      </c>
      <c r="AE3232" s="33" t="str">
        <f aca="false">IF(AND(Y3232=1,W3232&lt;1),IF(AND(C3233=C3232,W3233=W3232+1),IF(Y3233=1,"",INDEX(DATAS,W3232+1)),INDEX(DATAS,W3232+1)),"")</f>
        <v/>
      </c>
    </row>
    <row r="3233" customFormat="false" ht="15" hidden="false" customHeight="false" outlineLevel="0" collapsed="false">
      <c r="A3233" s="33" t="n">
        <v>46309</v>
      </c>
      <c r="B3233" s="0" t="n">
        <v>13</v>
      </c>
      <c r="C3233" s="0" t="n">
        <v>7655</v>
      </c>
      <c r="E3233" s="0" t="n">
        <v>0</v>
      </c>
      <c r="F3233" s="27" t="s">
        <v>1522</v>
      </c>
      <c r="I3233" s="27" t="s">
        <v>166</v>
      </c>
      <c r="U3233" s="0" t="n">
        <v>175</v>
      </c>
      <c r="V3233" s="0" t="n">
        <v>0</v>
      </c>
      <c r="W3233" s="27" t="n">
        <f aca="false">MATCH(A3233,DATAS,0)</f>
        <v>1</v>
      </c>
      <c r="X3233" s="27" t="n">
        <f aca="false">IF(AND(E3233&gt;0,OR(AND(B3233&gt;=1,B3233&lt;=6),B3233=10)),1,0)</f>
        <v>0</v>
      </c>
      <c r="Y3233" s="27" t="n">
        <f aca="false">IF(AND(E3233&gt;0,B3233=10),1,0)</f>
        <v>0</v>
      </c>
      <c r="Z3233" s="0" t="str">
        <f aca="false">IF(AND(C3232=C3233,W3232=W3233-1),X3232,"")</f>
        <v/>
      </c>
      <c r="AA3233" s="0" t="str">
        <f aca="false">IF(AND(C3232=C3233,W3232=W3233-1),Y3232,"")</f>
        <v/>
      </c>
      <c r="AB3233" s="0" t="str">
        <f aca="false">IF(W3233=1,"",IF(AND(X3233=1,Z3233&lt;&gt;1),1,0))</f>
        <v/>
      </c>
      <c r="AC3233" s="0" t="str">
        <f aca="false">IF(W3233=1,"",IF(AND(Y3233=1,AA3233&lt;&gt;1),1,0))</f>
        <v/>
      </c>
      <c r="AD3233" s="33" t="str">
        <f aca="false">IF(AND(E3233&gt;0,W3233&lt;1,NOT(AND(C3234=C3233,W3234=W3233+1))),INDEX(DATAS,W3233+1),"")</f>
        <v/>
      </c>
      <c r="AE3233" s="33" t="str">
        <f aca="false">IF(AND(Y3233=1,W3233&lt;1),IF(AND(C3234=C3233,W3234=W3233+1),IF(Y3234=1,"",INDEX(DATAS,W3233+1)),INDEX(DATAS,W3233+1)),"")</f>
        <v/>
      </c>
    </row>
    <row r="3234" customFormat="false" ht="15" hidden="false" customHeight="false" outlineLevel="0" collapsed="false">
      <c r="A3234" s="33" t="n">
        <v>46309</v>
      </c>
      <c r="B3234" s="0" t="n">
        <v>13</v>
      </c>
      <c r="C3234" s="0" t="n">
        <v>7656</v>
      </c>
      <c r="E3234" s="0" t="n">
        <v>0</v>
      </c>
      <c r="F3234" s="27" t="s">
        <v>1522</v>
      </c>
      <c r="I3234" s="27" t="s">
        <v>166</v>
      </c>
      <c r="U3234" s="0" t="n">
        <v>175</v>
      </c>
      <c r="V3234" s="0" t="n">
        <v>0</v>
      </c>
      <c r="W3234" s="27" t="n">
        <f aca="false">MATCH(A3234,DATAS,0)</f>
        <v>1</v>
      </c>
      <c r="X3234" s="27" t="n">
        <f aca="false">IF(AND(E3234&gt;0,OR(AND(B3234&gt;=1,B3234&lt;=6),B3234=10)),1,0)</f>
        <v>0</v>
      </c>
      <c r="Y3234" s="27" t="n">
        <f aca="false">IF(AND(E3234&gt;0,B3234=10),1,0)</f>
        <v>0</v>
      </c>
      <c r="Z3234" s="0" t="str">
        <f aca="false">IF(AND(C3233=C3234,W3233=W3234-1),X3233,"")</f>
        <v/>
      </c>
      <c r="AA3234" s="0" t="str">
        <f aca="false">IF(AND(C3233=C3234,W3233=W3234-1),Y3233,"")</f>
        <v/>
      </c>
      <c r="AB3234" s="0" t="str">
        <f aca="false">IF(W3234=1,"",IF(AND(X3234=1,Z3234&lt;&gt;1),1,0))</f>
        <v/>
      </c>
      <c r="AC3234" s="0" t="str">
        <f aca="false">IF(W3234=1,"",IF(AND(Y3234=1,AA3234&lt;&gt;1),1,0))</f>
        <v/>
      </c>
      <c r="AD3234" s="33" t="str">
        <f aca="false">IF(AND(E3234&gt;0,W3234&lt;1,NOT(AND(C3235=C3234,W3235=W3234+1))),INDEX(DATAS,W3234+1),"")</f>
        <v/>
      </c>
      <c r="AE3234" s="33" t="str">
        <f aca="false">IF(AND(Y3234=1,W3234&lt;1),IF(AND(C3235=C3234,W3235=W3234+1),IF(Y3235=1,"",INDEX(DATAS,W3234+1)),INDEX(DATAS,W3234+1)),"")</f>
        <v/>
      </c>
    </row>
    <row r="3235" customFormat="false" ht="15" hidden="false" customHeight="false" outlineLevel="0" collapsed="false">
      <c r="A3235" s="33" t="n">
        <v>46309</v>
      </c>
      <c r="B3235" s="0" t="n">
        <v>13</v>
      </c>
      <c r="C3235" s="0" t="n">
        <v>7657</v>
      </c>
      <c r="E3235" s="0" t="n">
        <v>0</v>
      </c>
      <c r="F3235" s="27" t="s">
        <v>1522</v>
      </c>
      <c r="I3235" s="27" t="s">
        <v>166</v>
      </c>
      <c r="U3235" s="0" t="n">
        <v>175</v>
      </c>
      <c r="V3235" s="0" t="n">
        <v>0</v>
      </c>
      <c r="W3235" s="27" t="n">
        <f aca="false">MATCH(A3235,DATAS,0)</f>
        <v>1</v>
      </c>
      <c r="X3235" s="27" t="n">
        <f aca="false">IF(AND(E3235&gt;0,OR(AND(B3235&gt;=1,B3235&lt;=6),B3235=10)),1,0)</f>
        <v>0</v>
      </c>
      <c r="Y3235" s="27" t="n">
        <f aca="false">IF(AND(E3235&gt;0,B3235=10),1,0)</f>
        <v>0</v>
      </c>
      <c r="Z3235" s="0" t="str">
        <f aca="false">IF(AND(C3234=C3235,W3234=W3235-1),X3234,"")</f>
        <v/>
      </c>
      <c r="AA3235" s="0" t="str">
        <f aca="false">IF(AND(C3234=C3235,W3234=W3235-1),Y3234,"")</f>
        <v/>
      </c>
      <c r="AB3235" s="0" t="str">
        <f aca="false">IF(W3235=1,"",IF(AND(X3235=1,Z3235&lt;&gt;1),1,0))</f>
        <v/>
      </c>
      <c r="AC3235" s="0" t="str">
        <f aca="false">IF(W3235=1,"",IF(AND(Y3235=1,AA3235&lt;&gt;1),1,0))</f>
        <v/>
      </c>
      <c r="AD3235" s="33" t="str">
        <f aca="false">IF(AND(E3235&gt;0,W3235&lt;1,NOT(AND(C3236=C3235,W3236=W3235+1))),INDEX(DATAS,W3235+1),"")</f>
        <v/>
      </c>
      <c r="AE3235" s="33" t="str">
        <f aca="false">IF(AND(Y3235=1,W3235&lt;1),IF(AND(C3236=C3235,W3236=W3235+1),IF(Y3236=1,"",INDEX(DATAS,W3235+1)),INDEX(DATAS,W3235+1)),"")</f>
        <v/>
      </c>
    </row>
    <row r="3236" customFormat="false" ht="15" hidden="false" customHeight="false" outlineLevel="0" collapsed="false">
      <c r="A3236" s="33" t="n">
        <v>46309</v>
      </c>
      <c r="B3236" s="0" t="n">
        <v>13</v>
      </c>
      <c r="C3236" s="0" t="n">
        <v>7658</v>
      </c>
      <c r="E3236" s="0" t="n">
        <v>0</v>
      </c>
      <c r="F3236" s="27" t="s">
        <v>1523</v>
      </c>
      <c r="I3236" s="27" t="s">
        <v>166</v>
      </c>
      <c r="U3236" s="0" t="n">
        <v>174</v>
      </c>
      <c r="V3236" s="0" t="n">
        <v>0</v>
      </c>
      <c r="W3236" s="27" t="n">
        <f aca="false">MATCH(A3236,DATAS,0)</f>
        <v>1</v>
      </c>
      <c r="X3236" s="27" t="n">
        <f aca="false">IF(AND(E3236&gt;0,OR(AND(B3236&gt;=1,B3236&lt;=6),B3236=10)),1,0)</f>
        <v>0</v>
      </c>
      <c r="Y3236" s="27" t="n">
        <f aca="false">IF(AND(E3236&gt;0,B3236=10),1,0)</f>
        <v>0</v>
      </c>
      <c r="Z3236" s="0" t="str">
        <f aca="false">IF(AND(C3235=C3236,W3235=W3236-1),X3235,"")</f>
        <v/>
      </c>
      <c r="AA3236" s="0" t="str">
        <f aca="false">IF(AND(C3235=C3236,W3235=W3236-1),Y3235,"")</f>
        <v/>
      </c>
      <c r="AB3236" s="0" t="str">
        <f aca="false">IF(W3236=1,"",IF(AND(X3236=1,Z3236&lt;&gt;1),1,0))</f>
        <v/>
      </c>
      <c r="AC3236" s="0" t="str">
        <f aca="false">IF(W3236=1,"",IF(AND(Y3236=1,AA3236&lt;&gt;1),1,0))</f>
        <v/>
      </c>
      <c r="AD3236" s="33" t="str">
        <f aca="false">IF(AND(E3236&gt;0,W3236&lt;1,NOT(AND(C3237=C3236,W3237=W3236+1))),INDEX(DATAS,W3236+1),"")</f>
        <v/>
      </c>
      <c r="AE3236" s="33" t="str">
        <f aca="false">IF(AND(Y3236=1,W3236&lt;1),IF(AND(C3237=C3236,W3237=W3236+1),IF(Y3237=1,"",INDEX(DATAS,W3236+1)),INDEX(DATAS,W3236+1)),"")</f>
        <v/>
      </c>
    </row>
    <row r="3237" customFormat="false" ht="15" hidden="false" customHeight="false" outlineLevel="0" collapsed="false">
      <c r="A3237" s="33" t="n">
        <v>46309</v>
      </c>
      <c r="B3237" s="0" t="n">
        <v>13</v>
      </c>
      <c r="C3237" s="0" t="n">
        <v>7659</v>
      </c>
      <c r="E3237" s="0" t="n">
        <v>0</v>
      </c>
      <c r="F3237" s="27" t="s">
        <v>1523</v>
      </c>
      <c r="I3237" s="27" t="s">
        <v>166</v>
      </c>
      <c r="U3237" s="0" t="n">
        <v>174</v>
      </c>
      <c r="V3237" s="0" t="n">
        <v>0</v>
      </c>
      <c r="W3237" s="27" t="n">
        <f aca="false">MATCH(A3237,DATAS,0)</f>
        <v>1</v>
      </c>
      <c r="X3237" s="27" t="n">
        <f aca="false">IF(AND(E3237&gt;0,OR(AND(B3237&gt;=1,B3237&lt;=6),B3237=10)),1,0)</f>
        <v>0</v>
      </c>
      <c r="Y3237" s="27" t="n">
        <f aca="false">IF(AND(E3237&gt;0,B3237=10),1,0)</f>
        <v>0</v>
      </c>
      <c r="Z3237" s="0" t="str">
        <f aca="false">IF(AND(C3236=C3237,W3236=W3237-1),X3236,"")</f>
        <v/>
      </c>
      <c r="AA3237" s="0" t="str">
        <f aca="false">IF(AND(C3236=C3237,W3236=W3237-1),Y3236,"")</f>
        <v/>
      </c>
      <c r="AB3237" s="0" t="str">
        <f aca="false">IF(W3237=1,"",IF(AND(X3237=1,Z3237&lt;&gt;1),1,0))</f>
        <v/>
      </c>
      <c r="AC3237" s="0" t="str">
        <f aca="false">IF(W3237=1,"",IF(AND(Y3237=1,AA3237&lt;&gt;1),1,0))</f>
        <v/>
      </c>
      <c r="AD3237" s="33" t="str">
        <f aca="false">IF(AND(E3237&gt;0,W3237&lt;1,NOT(AND(C3238=C3237,W3238=W3237+1))),INDEX(DATAS,W3237+1),"")</f>
        <v/>
      </c>
      <c r="AE3237" s="33" t="str">
        <f aca="false">IF(AND(Y3237=1,W3237&lt;1),IF(AND(C3238=C3237,W3238=W3237+1),IF(Y3238=1,"",INDEX(DATAS,W3237+1)),INDEX(DATAS,W3237+1)),"")</f>
        <v/>
      </c>
    </row>
    <row r="3238" customFormat="false" ht="15" hidden="false" customHeight="false" outlineLevel="0" collapsed="false">
      <c r="A3238" s="33" t="n">
        <v>46309</v>
      </c>
      <c r="B3238" s="0" t="n">
        <v>13</v>
      </c>
      <c r="C3238" s="0" t="n">
        <v>7660</v>
      </c>
      <c r="E3238" s="0" t="n">
        <v>0</v>
      </c>
      <c r="F3238" s="27" t="s">
        <v>1523</v>
      </c>
      <c r="I3238" s="27" t="s">
        <v>166</v>
      </c>
      <c r="U3238" s="0" t="n">
        <v>174</v>
      </c>
      <c r="V3238" s="0" t="n">
        <v>0</v>
      </c>
      <c r="W3238" s="27" t="n">
        <f aca="false">MATCH(A3238,DATAS,0)</f>
        <v>1</v>
      </c>
      <c r="X3238" s="27" t="n">
        <f aca="false">IF(AND(E3238&gt;0,OR(AND(B3238&gt;=1,B3238&lt;=6),B3238=10)),1,0)</f>
        <v>0</v>
      </c>
      <c r="Y3238" s="27" t="n">
        <f aca="false">IF(AND(E3238&gt;0,B3238=10),1,0)</f>
        <v>0</v>
      </c>
      <c r="Z3238" s="0" t="str">
        <f aca="false">IF(AND(C3237=C3238,W3237=W3238-1),X3237,"")</f>
        <v/>
      </c>
      <c r="AA3238" s="0" t="str">
        <f aca="false">IF(AND(C3237=C3238,W3237=W3238-1),Y3237,"")</f>
        <v/>
      </c>
      <c r="AB3238" s="0" t="str">
        <f aca="false">IF(W3238=1,"",IF(AND(X3238=1,Z3238&lt;&gt;1),1,0))</f>
        <v/>
      </c>
      <c r="AC3238" s="0" t="str">
        <f aca="false">IF(W3238=1,"",IF(AND(Y3238=1,AA3238&lt;&gt;1),1,0))</f>
        <v/>
      </c>
      <c r="AD3238" s="33" t="str">
        <f aca="false">IF(AND(E3238&gt;0,W3238&lt;1,NOT(AND(C3239=C3238,W3239=W3238+1))),INDEX(DATAS,W3238+1),"")</f>
        <v/>
      </c>
      <c r="AE3238" s="33" t="str">
        <f aca="false">IF(AND(Y3238=1,W3238&lt;1),IF(AND(C3239=C3238,W3239=W3238+1),IF(Y3239=1,"",INDEX(DATAS,W3238+1)),INDEX(DATAS,W3238+1)),"")</f>
        <v/>
      </c>
    </row>
    <row r="3239" customFormat="false" ht="15" hidden="false" customHeight="false" outlineLevel="0" collapsed="false">
      <c r="A3239" s="33" t="n">
        <v>46309</v>
      </c>
      <c r="B3239" s="0" t="n">
        <v>13</v>
      </c>
      <c r="C3239" s="0" t="n">
        <v>7661</v>
      </c>
      <c r="E3239" s="0" t="n">
        <v>0</v>
      </c>
      <c r="F3239" s="27" t="s">
        <v>1523</v>
      </c>
      <c r="I3239" s="27" t="s">
        <v>166</v>
      </c>
      <c r="U3239" s="0" t="n">
        <v>174</v>
      </c>
      <c r="V3239" s="0" t="n">
        <v>0</v>
      </c>
      <c r="W3239" s="27" t="n">
        <f aca="false">MATCH(A3239,DATAS,0)</f>
        <v>1</v>
      </c>
      <c r="X3239" s="27" t="n">
        <f aca="false">IF(AND(E3239&gt;0,OR(AND(B3239&gt;=1,B3239&lt;=6),B3239=10)),1,0)</f>
        <v>0</v>
      </c>
      <c r="Y3239" s="27" t="n">
        <f aca="false">IF(AND(E3239&gt;0,B3239=10),1,0)</f>
        <v>0</v>
      </c>
      <c r="Z3239" s="0" t="str">
        <f aca="false">IF(AND(C3238=C3239,W3238=W3239-1),X3238,"")</f>
        <v/>
      </c>
      <c r="AA3239" s="0" t="str">
        <f aca="false">IF(AND(C3238=C3239,W3238=W3239-1),Y3238,"")</f>
        <v/>
      </c>
      <c r="AB3239" s="0" t="str">
        <f aca="false">IF(W3239=1,"",IF(AND(X3239=1,Z3239&lt;&gt;1),1,0))</f>
        <v/>
      </c>
      <c r="AC3239" s="0" t="str">
        <f aca="false">IF(W3239=1,"",IF(AND(Y3239=1,AA3239&lt;&gt;1),1,0))</f>
        <v/>
      </c>
      <c r="AD3239" s="33" t="str">
        <f aca="false">IF(AND(E3239&gt;0,W3239&lt;1,NOT(AND(C3240=C3239,W3240=W3239+1))),INDEX(DATAS,W3239+1),"")</f>
        <v/>
      </c>
      <c r="AE3239" s="33" t="str">
        <f aca="false">IF(AND(Y3239=1,W3239&lt;1),IF(AND(C3240=C3239,W3240=W3239+1),IF(Y3240=1,"",INDEX(DATAS,W3239+1)),INDEX(DATAS,W3239+1)),"")</f>
        <v/>
      </c>
    </row>
    <row r="3240" customFormat="false" ht="15" hidden="false" customHeight="false" outlineLevel="0" collapsed="false">
      <c r="A3240" s="33" t="n">
        <v>46309</v>
      </c>
      <c r="B3240" s="0" t="n">
        <v>13</v>
      </c>
      <c r="C3240" s="0" t="n">
        <v>7662</v>
      </c>
      <c r="E3240" s="0" t="n">
        <v>0</v>
      </c>
      <c r="F3240" s="27" t="s">
        <v>1523</v>
      </c>
      <c r="I3240" s="27" t="s">
        <v>166</v>
      </c>
      <c r="U3240" s="0" t="n">
        <v>174</v>
      </c>
      <c r="V3240" s="0" t="n">
        <v>0</v>
      </c>
      <c r="W3240" s="27" t="n">
        <f aca="false">MATCH(A3240,DATAS,0)</f>
        <v>1</v>
      </c>
      <c r="X3240" s="27" t="n">
        <f aca="false">IF(AND(E3240&gt;0,OR(AND(B3240&gt;=1,B3240&lt;=6),B3240=10)),1,0)</f>
        <v>0</v>
      </c>
      <c r="Y3240" s="27" t="n">
        <f aca="false">IF(AND(E3240&gt;0,B3240=10),1,0)</f>
        <v>0</v>
      </c>
      <c r="Z3240" s="0" t="str">
        <f aca="false">IF(AND(C3239=C3240,W3239=W3240-1),X3239,"")</f>
        <v/>
      </c>
      <c r="AA3240" s="0" t="str">
        <f aca="false">IF(AND(C3239=C3240,W3239=W3240-1),Y3239,"")</f>
        <v/>
      </c>
      <c r="AB3240" s="0" t="str">
        <f aca="false">IF(W3240=1,"",IF(AND(X3240=1,Z3240&lt;&gt;1),1,0))</f>
        <v/>
      </c>
      <c r="AC3240" s="0" t="str">
        <f aca="false">IF(W3240=1,"",IF(AND(Y3240=1,AA3240&lt;&gt;1),1,0))</f>
        <v/>
      </c>
      <c r="AD3240" s="33" t="str">
        <f aca="false">IF(AND(E3240&gt;0,W3240&lt;1,NOT(AND(C3241=C3240,W3241=W3240+1))),INDEX(DATAS,W3240+1),"")</f>
        <v/>
      </c>
      <c r="AE3240" s="33" t="str">
        <f aca="false">IF(AND(Y3240=1,W3240&lt;1),IF(AND(C3241=C3240,W3241=W3240+1),IF(Y3241=1,"",INDEX(DATAS,W3240+1)),INDEX(DATAS,W3240+1)),"")</f>
        <v/>
      </c>
    </row>
    <row r="3241" customFormat="false" ht="15" hidden="false" customHeight="false" outlineLevel="0" collapsed="false">
      <c r="A3241" s="33" t="n">
        <v>46309</v>
      </c>
      <c r="B3241" s="0" t="n">
        <v>13</v>
      </c>
      <c r="C3241" s="0" t="n">
        <v>7663</v>
      </c>
      <c r="E3241" s="0" t="n">
        <v>0</v>
      </c>
      <c r="F3241" s="27" t="s">
        <v>1524</v>
      </c>
      <c r="I3241" s="27" t="s">
        <v>166</v>
      </c>
      <c r="U3241" s="0" t="n">
        <v>172</v>
      </c>
      <c r="V3241" s="0" t="n">
        <v>0</v>
      </c>
      <c r="W3241" s="27" t="n">
        <f aca="false">MATCH(A3241,DATAS,0)</f>
        <v>1</v>
      </c>
      <c r="X3241" s="27" t="n">
        <f aca="false">IF(AND(E3241&gt;0,OR(AND(B3241&gt;=1,B3241&lt;=6),B3241=10)),1,0)</f>
        <v>0</v>
      </c>
      <c r="Y3241" s="27" t="n">
        <f aca="false">IF(AND(E3241&gt;0,B3241=10),1,0)</f>
        <v>0</v>
      </c>
      <c r="Z3241" s="0" t="str">
        <f aca="false">IF(AND(C3240=C3241,W3240=W3241-1),X3240,"")</f>
        <v/>
      </c>
      <c r="AA3241" s="0" t="str">
        <f aca="false">IF(AND(C3240=C3241,W3240=W3241-1),Y3240,"")</f>
        <v/>
      </c>
      <c r="AB3241" s="0" t="str">
        <f aca="false">IF(W3241=1,"",IF(AND(X3241=1,Z3241&lt;&gt;1),1,0))</f>
        <v/>
      </c>
      <c r="AC3241" s="0" t="str">
        <f aca="false">IF(W3241=1,"",IF(AND(Y3241=1,AA3241&lt;&gt;1),1,0))</f>
        <v/>
      </c>
      <c r="AD3241" s="33" t="str">
        <f aca="false">IF(AND(E3241&gt;0,W3241&lt;1,NOT(AND(C3242=C3241,W3242=W3241+1))),INDEX(DATAS,W3241+1),"")</f>
        <v/>
      </c>
      <c r="AE3241" s="33" t="str">
        <f aca="false">IF(AND(Y3241=1,W3241&lt;1),IF(AND(C3242=C3241,W3242=W3241+1),IF(Y3242=1,"",INDEX(DATAS,W3241+1)),INDEX(DATAS,W3241+1)),"")</f>
        <v/>
      </c>
    </row>
    <row r="3242" customFormat="false" ht="15" hidden="false" customHeight="false" outlineLevel="0" collapsed="false">
      <c r="A3242" s="33" t="n">
        <v>46309</v>
      </c>
      <c r="B3242" s="0" t="n">
        <v>13</v>
      </c>
      <c r="C3242" s="0" t="n">
        <v>7664</v>
      </c>
      <c r="E3242" s="0" t="n">
        <v>0</v>
      </c>
      <c r="F3242" s="27" t="s">
        <v>1524</v>
      </c>
      <c r="I3242" s="27" t="s">
        <v>166</v>
      </c>
      <c r="U3242" s="0" t="n">
        <v>172</v>
      </c>
      <c r="V3242" s="0" t="n">
        <v>0</v>
      </c>
      <c r="W3242" s="27" t="n">
        <f aca="false">MATCH(A3242,DATAS,0)</f>
        <v>1</v>
      </c>
      <c r="X3242" s="27" t="n">
        <f aca="false">IF(AND(E3242&gt;0,OR(AND(B3242&gt;=1,B3242&lt;=6),B3242=10)),1,0)</f>
        <v>0</v>
      </c>
      <c r="Y3242" s="27" t="n">
        <f aca="false">IF(AND(E3242&gt;0,B3242=10),1,0)</f>
        <v>0</v>
      </c>
      <c r="Z3242" s="0" t="str">
        <f aca="false">IF(AND(C3241=C3242,W3241=W3242-1),X3241,"")</f>
        <v/>
      </c>
      <c r="AA3242" s="0" t="str">
        <f aca="false">IF(AND(C3241=C3242,W3241=W3242-1),Y3241,"")</f>
        <v/>
      </c>
      <c r="AB3242" s="0" t="str">
        <f aca="false">IF(W3242=1,"",IF(AND(X3242=1,Z3242&lt;&gt;1),1,0))</f>
        <v/>
      </c>
      <c r="AC3242" s="0" t="str">
        <f aca="false">IF(W3242=1,"",IF(AND(Y3242=1,AA3242&lt;&gt;1),1,0))</f>
        <v/>
      </c>
      <c r="AD3242" s="33" t="str">
        <f aca="false">IF(AND(E3242&gt;0,W3242&lt;1,NOT(AND(C3243=C3242,W3243=W3242+1))),INDEX(DATAS,W3242+1),"")</f>
        <v/>
      </c>
      <c r="AE3242" s="33" t="str">
        <f aca="false">IF(AND(Y3242=1,W3242&lt;1),IF(AND(C3243=C3242,W3243=W3242+1),IF(Y3243=1,"",INDEX(DATAS,W3242+1)),INDEX(DATAS,W3242+1)),"")</f>
        <v/>
      </c>
    </row>
    <row r="3243" customFormat="false" ht="15" hidden="false" customHeight="false" outlineLevel="0" collapsed="false">
      <c r="A3243" s="33" t="n">
        <v>46309</v>
      </c>
      <c r="B3243" s="0" t="n">
        <v>13</v>
      </c>
      <c r="C3243" s="0" t="n">
        <v>7665</v>
      </c>
      <c r="E3243" s="0" t="n">
        <v>0</v>
      </c>
      <c r="F3243" s="27" t="s">
        <v>1524</v>
      </c>
      <c r="I3243" s="27" t="s">
        <v>166</v>
      </c>
      <c r="U3243" s="0" t="n">
        <v>172</v>
      </c>
      <c r="V3243" s="0" t="n">
        <v>0</v>
      </c>
      <c r="W3243" s="27" t="n">
        <f aca="false">MATCH(A3243,DATAS,0)</f>
        <v>1</v>
      </c>
      <c r="X3243" s="27" t="n">
        <f aca="false">IF(AND(E3243&gt;0,OR(AND(B3243&gt;=1,B3243&lt;=6),B3243=10)),1,0)</f>
        <v>0</v>
      </c>
      <c r="Y3243" s="27" t="n">
        <f aca="false">IF(AND(E3243&gt;0,B3243=10),1,0)</f>
        <v>0</v>
      </c>
      <c r="Z3243" s="0" t="str">
        <f aca="false">IF(AND(C3242=C3243,W3242=W3243-1),X3242,"")</f>
        <v/>
      </c>
      <c r="AA3243" s="0" t="str">
        <f aca="false">IF(AND(C3242=C3243,W3242=W3243-1),Y3242,"")</f>
        <v/>
      </c>
      <c r="AB3243" s="0" t="str">
        <f aca="false">IF(W3243=1,"",IF(AND(X3243=1,Z3243&lt;&gt;1),1,0))</f>
        <v/>
      </c>
      <c r="AC3243" s="0" t="str">
        <f aca="false">IF(W3243=1,"",IF(AND(Y3243=1,AA3243&lt;&gt;1),1,0))</f>
        <v/>
      </c>
      <c r="AD3243" s="33" t="str">
        <f aca="false">IF(AND(E3243&gt;0,W3243&lt;1,NOT(AND(C3244=C3243,W3244=W3243+1))),INDEX(DATAS,W3243+1),"")</f>
        <v/>
      </c>
      <c r="AE3243" s="33" t="str">
        <f aca="false">IF(AND(Y3243=1,W3243&lt;1),IF(AND(C3244=C3243,W3244=W3243+1),IF(Y3244=1,"",INDEX(DATAS,W3243+1)),INDEX(DATAS,W3243+1)),"")</f>
        <v/>
      </c>
    </row>
    <row r="3244" customFormat="false" ht="15" hidden="false" customHeight="false" outlineLevel="0" collapsed="false">
      <c r="A3244" s="33" t="n">
        <v>46309</v>
      </c>
      <c r="B3244" s="0" t="n">
        <v>13</v>
      </c>
      <c r="C3244" s="0" t="n">
        <v>7667</v>
      </c>
      <c r="E3244" s="0" t="n">
        <v>0</v>
      </c>
      <c r="F3244" s="27" t="s">
        <v>1524</v>
      </c>
      <c r="I3244" s="27" t="s">
        <v>166</v>
      </c>
      <c r="U3244" s="0" t="n">
        <v>172</v>
      </c>
      <c r="V3244" s="0" t="n">
        <v>0</v>
      </c>
      <c r="W3244" s="27" t="n">
        <f aca="false">MATCH(A3244,DATAS,0)</f>
        <v>1</v>
      </c>
      <c r="X3244" s="27" t="n">
        <f aca="false">IF(AND(E3244&gt;0,OR(AND(B3244&gt;=1,B3244&lt;=6),B3244=10)),1,0)</f>
        <v>0</v>
      </c>
      <c r="Y3244" s="27" t="n">
        <f aca="false">IF(AND(E3244&gt;0,B3244=10),1,0)</f>
        <v>0</v>
      </c>
      <c r="Z3244" s="0" t="str">
        <f aca="false">IF(AND(C3243=C3244,W3243=W3244-1),X3243,"")</f>
        <v/>
      </c>
      <c r="AA3244" s="0" t="str">
        <f aca="false">IF(AND(C3243=C3244,W3243=W3244-1),Y3243,"")</f>
        <v/>
      </c>
      <c r="AB3244" s="0" t="str">
        <f aca="false">IF(W3244=1,"",IF(AND(X3244=1,Z3244&lt;&gt;1),1,0))</f>
        <v/>
      </c>
      <c r="AC3244" s="0" t="str">
        <f aca="false">IF(W3244=1,"",IF(AND(Y3244=1,AA3244&lt;&gt;1),1,0))</f>
        <v/>
      </c>
      <c r="AD3244" s="33" t="str">
        <f aca="false">IF(AND(E3244&gt;0,W3244&lt;1,NOT(AND(C3245=C3244,W3245=W3244+1))),INDEX(DATAS,W3244+1),"")</f>
        <v/>
      </c>
      <c r="AE3244" s="33" t="str">
        <f aca="false">IF(AND(Y3244=1,W3244&lt;1),IF(AND(C3245=C3244,W3245=W3244+1),IF(Y3245=1,"",INDEX(DATAS,W3244+1)),INDEX(DATAS,W3244+1)),"")</f>
        <v/>
      </c>
    </row>
    <row r="3245" customFormat="false" ht="15" hidden="false" customHeight="false" outlineLevel="0" collapsed="false">
      <c r="A3245" s="33" t="n">
        <v>46309</v>
      </c>
      <c r="B3245" s="0" t="n">
        <v>13</v>
      </c>
      <c r="C3245" s="0" t="n">
        <v>7668</v>
      </c>
      <c r="E3245" s="0" t="n">
        <v>0</v>
      </c>
      <c r="F3245" s="27" t="s">
        <v>1525</v>
      </c>
      <c r="I3245" s="27" t="s">
        <v>166</v>
      </c>
      <c r="U3245" s="0" t="n">
        <v>171</v>
      </c>
      <c r="V3245" s="0" t="n">
        <v>0</v>
      </c>
      <c r="W3245" s="27" t="n">
        <f aca="false">MATCH(A3245,DATAS,0)</f>
        <v>1</v>
      </c>
      <c r="X3245" s="27" t="n">
        <f aca="false">IF(AND(E3245&gt;0,OR(AND(B3245&gt;=1,B3245&lt;=6),B3245=10)),1,0)</f>
        <v>0</v>
      </c>
      <c r="Y3245" s="27" t="n">
        <f aca="false">IF(AND(E3245&gt;0,B3245=10),1,0)</f>
        <v>0</v>
      </c>
      <c r="Z3245" s="0" t="str">
        <f aca="false">IF(AND(C3244=C3245,W3244=W3245-1),X3244,"")</f>
        <v/>
      </c>
      <c r="AA3245" s="0" t="str">
        <f aca="false">IF(AND(C3244=C3245,W3244=W3245-1),Y3244,"")</f>
        <v/>
      </c>
      <c r="AB3245" s="0" t="str">
        <f aca="false">IF(W3245=1,"",IF(AND(X3245=1,Z3245&lt;&gt;1),1,0))</f>
        <v/>
      </c>
      <c r="AC3245" s="0" t="str">
        <f aca="false">IF(W3245=1,"",IF(AND(Y3245=1,AA3245&lt;&gt;1),1,0))</f>
        <v/>
      </c>
      <c r="AD3245" s="33" t="str">
        <f aca="false">IF(AND(E3245&gt;0,W3245&lt;1,NOT(AND(C3246=C3245,W3246=W3245+1))),INDEX(DATAS,W3245+1),"")</f>
        <v/>
      </c>
      <c r="AE3245" s="33" t="str">
        <f aca="false">IF(AND(Y3245=1,W3245&lt;1),IF(AND(C3246=C3245,W3246=W3245+1),IF(Y3246=1,"",INDEX(DATAS,W3245+1)),INDEX(DATAS,W3245+1)),"")</f>
        <v/>
      </c>
    </row>
    <row r="3246" customFormat="false" ht="15" hidden="false" customHeight="false" outlineLevel="0" collapsed="false">
      <c r="A3246" s="33" t="n">
        <v>46309</v>
      </c>
      <c r="B3246" s="0" t="n">
        <v>13</v>
      </c>
      <c r="C3246" s="0" t="n">
        <v>7669</v>
      </c>
      <c r="E3246" s="0" t="n">
        <v>0</v>
      </c>
      <c r="F3246" s="27" t="s">
        <v>1525</v>
      </c>
      <c r="I3246" s="27" t="s">
        <v>166</v>
      </c>
      <c r="U3246" s="0" t="n">
        <v>171</v>
      </c>
      <c r="V3246" s="0" t="n">
        <v>0</v>
      </c>
      <c r="W3246" s="27" t="n">
        <f aca="false">MATCH(A3246,DATAS,0)</f>
        <v>1</v>
      </c>
      <c r="X3246" s="27" t="n">
        <f aca="false">IF(AND(E3246&gt;0,OR(AND(B3246&gt;=1,B3246&lt;=6),B3246=10)),1,0)</f>
        <v>0</v>
      </c>
      <c r="Y3246" s="27" t="n">
        <f aca="false">IF(AND(E3246&gt;0,B3246=10),1,0)</f>
        <v>0</v>
      </c>
      <c r="Z3246" s="0" t="str">
        <f aca="false">IF(AND(C3245=C3246,W3245=W3246-1),X3245,"")</f>
        <v/>
      </c>
      <c r="AA3246" s="0" t="str">
        <f aca="false">IF(AND(C3245=C3246,W3245=W3246-1),Y3245,"")</f>
        <v/>
      </c>
      <c r="AB3246" s="0" t="str">
        <f aca="false">IF(W3246=1,"",IF(AND(X3246=1,Z3246&lt;&gt;1),1,0))</f>
        <v/>
      </c>
      <c r="AC3246" s="0" t="str">
        <f aca="false">IF(W3246=1,"",IF(AND(Y3246=1,AA3246&lt;&gt;1),1,0))</f>
        <v/>
      </c>
      <c r="AD3246" s="33" t="str">
        <f aca="false">IF(AND(E3246&gt;0,W3246&lt;1,NOT(AND(C3247=C3246,W3247=W3246+1))),INDEX(DATAS,W3246+1),"")</f>
        <v/>
      </c>
      <c r="AE3246" s="33" t="str">
        <f aca="false">IF(AND(Y3246=1,W3246&lt;1),IF(AND(C3247=C3246,W3247=W3246+1),IF(Y3247=1,"",INDEX(DATAS,W3246+1)),INDEX(DATAS,W3246+1)),"")</f>
        <v/>
      </c>
    </row>
    <row r="3247" customFormat="false" ht="15" hidden="false" customHeight="false" outlineLevel="0" collapsed="false">
      <c r="A3247" s="33" t="n">
        <v>46309</v>
      </c>
      <c r="B3247" s="0" t="n">
        <v>13</v>
      </c>
      <c r="C3247" s="0" t="n">
        <v>7671</v>
      </c>
      <c r="E3247" s="0" t="n">
        <v>0</v>
      </c>
      <c r="F3247" s="27" t="s">
        <v>1526</v>
      </c>
      <c r="I3247" s="27" t="s">
        <v>166</v>
      </c>
      <c r="U3247" s="0" t="n">
        <v>170</v>
      </c>
      <c r="V3247" s="0" t="n">
        <v>0</v>
      </c>
      <c r="W3247" s="27" t="n">
        <f aca="false">MATCH(A3247,DATAS,0)</f>
        <v>1</v>
      </c>
      <c r="X3247" s="27" t="n">
        <f aca="false">IF(AND(E3247&gt;0,OR(AND(B3247&gt;=1,B3247&lt;=6),B3247=10)),1,0)</f>
        <v>0</v>
      </c>
      <c r="Y3247" s="27" t="n">
        <f aca="false">IF(AND(E3247&gt;0,B3247=10),1,0)</f>
        <v>0</v>
      </c>
      <c r="Z3247" s="0" t="str">
        <f aca="false">IF(AND(C3246=C3247,W3246=W3247-1),X3246,"")</f>
        <v/>
      </c>
      <c r="AA3247" s="0" t="str">
        <f aca="false">IF(AND(C3246=C3247,W3246=W3247-1),Y3246,"")</f>
        <v/>
      </c>
      <c r="AB3247" s="0" t="str">
        <f aca="false">IF(W3247=1,"",IF(AND(X3247=1,Z3247&lt;&gt;1),1,0))</f>
        <v/>
      </c>
      <c r="AC3247" s="0" t="str">
        <f aca="false">IF(W3247=1,"",IF(AND(Y3247=1,AA3247&lt;&gt;1),1,0))</f>
        <v/>
      </c>
      <c r="AD3247" s="33" t="str">
        <f aca="false">IF(AND(E3247&gt;0,W3247&lt;1,NOT(AND(C3248=C3247,W3248=W3247+1))),INDEX(DATAS,W3247+1),"")</f>
        <v/>
      </c>
      <c r="AE3247" s="33" t="str">
        <f aca="false">IF(AND(Y3247=1,W3247&lt;1),IF(AND(C3248=C3247,W3248=W3247+1),IF(Y3248=1,"",INDEX(DATAS,W3247+1)),INDEX(DATAS,W3247+1)),"")</f>
        <v/>
      </c>
    </row>
    <row r="3248" customFormat="false" ht="15" hidden="false" customHeight="false" outlineLevel="0" collapsed="false">
      <c r="A3248" s="33" t="n">
        <v>46309</v>
      </c>
      <c r="B3248" s="0" t="n">
        <v>13</v>
      </c>
      <c r="C3248" s="0" t="n">
        <v>7672</v>
      </c>
      <c r="E3248" s="0" t="n">
        <v>0</v>
      </c>
      <c r="F3248" s="27" t="s">
        <v>1527</v>
      </c>
      <c r="I3248" s="27" t="s">
        <v>166</v>
      </c>
      <c r="U3248" s="0" t="n">
        <v>169</v>
      </c>
      <c r="V3248" s="0" t="n">
        <v>0</v>
      </c>
      <c r="W3248" s="27" t="n">
        <f aca="false">MATCH(A3248,DATAS,0)</f>
        <v>1</v>
      </c>
      <c r="X3248" s="27" t="n">
        <f aca="false">IF(AND(E3248&gt;0,OR(AND(B3248&gt;=1,B3248&lt;=6),B3248=10)),1,0)</f>
        <v>0</v>
      </c>
      <c r="Y3248" s="27" t="n">
        <f aca="false">IF(AND(E3248&gt;0,B3248=10),1,0)</f>
        <v>0</v>
      </c>
      <c r="Z3248" s="0" t="str">
        <f aca="false">IF(AND(C3247=C3248,W3247=W3248-1),X3247,"")</f>
        <v/>
      </c>
      <c r="AA3248" s="0" t="str">
        <f aca="false">IF(AND(C3247=C3248,W3247=W3248-1),Y3247,"")</f>
        <v/>
      </c>
      <c r="AB3248" s="0" t="str">
        <f aca="false">IF(W3248=1,"",IF(AND(X3248=1,Z3248&lt;&gt;1),1,0))</f>
        <v/>
      </c>
      <c r="AC3248" s="0" t="str">
        <f aca="false">IF(W3248=1,"",IF(AND(Y3248=1,AA3248&lt;&gt;1),1,0))</f>
        <v/>
      </c>
      <c r="AD3248" s="33" t="str">
        <f aca="false">IF(AND(E3248&gt;0,W3248&lt;1,NOT(AND(C3249=C3248,W3249=W3248+1))),INDEX(DATAS,W3248+1),"")</f>
        <v/>
      </c>
      <c r="AE3248" s="33" t="str">
        <f aca="false">IF(AND(Y3248=1,W3248&lt;1),IF(AND(C3249=C3248,W3249=W3248+1),IF(Y3249=1,"",INDEX(DATAS,W3248+1)),INDEX(DATAS,W3248+1)),"")</f>
        <v/>
      </c>
    </row>
    <row r="3249" customFormat="false" ht="15" hidden="false" customHeight="false" outlineLevel="0" collapsed="false">
      <c r="A3249" s="33" t="n">
        <v>46309</v>
      </c>
      <c r="B3249" s="0" t="n">
        <v>13</v>
      </c>
      <c r="C3249" s="0" t="n">
        <v>7673</v>
      </c>
      <c r="E3249" s="0" t="n">
        <v>0</v>
      </c>
      <c r="F3249" s="27" t="s">
        <v>1527</v>
      </c>
      <c r="I3249" s="27" t="s">
        <v>166</v>
      </c>
      <c r="U3249" s="0" t="n">
        <v>169</v>
      </c>
      <c r="V3249" s="0" t="n">
        <v>0</v>
      </c>
      <c r="W3249" s="27" t="n">
        <f aca="false">MATCH(A3249,DATAS,0)</f>
        <v>1</v>
      </c>
      <c r="X3249" s="27" t="n">
        <f aca="false">IF(AND(E3249&gt;0,OR(AND(B3249&gt;=1,B3249&lt;=6),B3249=10)),1,0)</f>
        <v>0</v>
      </c>
      <c r="Y3249" s="27" t="n">
        <f aca="false">IF(AND(E3249&gt;0,B3249=10),1,0)</f>
        <v>0</v>
      </c>
      <c r="Z3249" s="0" t="str">
        <f aca="false">IF(AND(C3248=C3249,W3248=W3249-1),X3248,"")</f>
        <v/>
      </c>
      <c r="AA3249" s="0" t="str">
        <f aca="false">IF(AND(C3248=C3249,W3248=W3249-1),Y3248,"")</f>
        <v/>
      </c>
      <c r="AB3249" s="0" t="str">
        <f aca="false">IF(W3249=1,"",IF(AND(X3249=1,Z3249&lt;&gt;1),1,0))</f>
        <v/>
      </c>
      <c r="AC3249" s="0" t="str">
        <f aca="false">IF(W3249=1,"",IF(AND(Y3249=1,AA3249&lt;&gt;1),1,0))</f>
        <v/>
      </c>
      <c r="AD3249" s="33" t="str">
        <f aca="false">IF(AND(E3249&gt;0,W3249&lt;1,NOT(AND(C3250=C3249,W3250=W3249+1))),INDEX(DATAS,W3249+1),"")</f>
        <v/>
      </c>
      <c r="AE3249" s="33" t="str">
        <f aca="false">IF(AND(Y3249=1,W3249&lt;1),IF(AND(C3250=C3249,W3250=W3249+1),IF(Y3250=1,"",INDEX(DATAS,W3249+1)),INDEX(DATAS,W3249+1)),"")</f>
        <v/>
      </c>
    </row>
    <row r="3250" customFormat="false" ht="15" hidden="false" customHeight="false" outlineLevel="0" collapsed="false">
      <c r="A3250" s="33" t="n">
        <v>46309</v>
      </c>
      <c r="B3250" s="0" t="n">
        <v>13</v>
      </c>
      <c r="C3250" s="0" t="n">
        <v>7674</v>
      </c>
      <c r="E3250" s="0" t="n">
        <v>0</v>
      </c>
      <c r="F3250" s="27" t="s">
        <v>1527</v>
      </c>
      <c r="I3250" s="27" t="s">
        <v>166</v>
      </c>
      <c r="U3250" s="0" t="n">
        <v>169</v>
      </c>
      <c r="V3250" s="0" t="n">
        <v>0</v>
      </c>
      <c r="W3250" s="27" t="n">
        <f aca="false">MATCH(A3250,DATAS,0)</f>
        <v>1</v>
      </c>
      <c r="X3250" s="27" t="n">
        <f aca="false">IF(AND(E3250&gt;0,OR(AND(B3250&gt;=1,B3250&lt;=6),B3250=10)),1,0)</f>
        <v>0</v>
      </c>
      <c r="Y3250" s="27" t="n">
        <f aca="false">IF(AND(E3250&gt;0,B3250=10),1,0)</f>
        <v>0</v>
      </c>
      <c r="Z3250" s="0" t="str">
        <f aca="false">IF(AND(C3249=C3250,W3249=W3250-1),X3249,"")</f>
        <v/>
      </c>
      <c r="AA3250" s="0" t="str">
        <f aca="false">IF(AND(C3249=C3250,W3249=W3250-1),Y3249,"")</f>
        <v/>
      </c>
      <c r="AB3250" s="0" t="str">
        <f aca="false">IF(W3250=1,"",IF(AND(X3250=1,Z3250&lt;&gt;1),1,0))</f>
        <v/>
      </c>
      <c r="AC3250" s="0" t="str">
        <f aca="false">IF(W3250=1,"",IF(AND(Y3250=1,AA3250&lt;&gt;1),1,0))</f>
        <v/>
      </c>
      <c r="AD3250" s="33" t="str">
        <f aca="false">IF(AND(E3250&gt;0,W3250&lt;1,NOT(AND(C3251=C3250,W3251=W3250+1))),INDEX(DATAS,W3250+1),"")</f>
        <v/>
      </c>
      <c r="AE3250" s="33" t="str">
        <f aca="false">IF(AND(Y3250=1,W3250&lt;1),IF(AND(C3251=C3250,W3251=W3250+1),IF(Y3251=1,"",INDEX(DATAS,W3250+1)),INDEX(DATAS,W3250+1)),"")</f>
        <v/>
      </c>
    </row>
    <row r="3251" customFormat="false" ht="15" hidden="false" customHeight="false" outlineLevel="0" collapsed="false">
      <c r="A3251" s="33" t="n">
        <v>46309</v>
      </c>
      <c r="B3251" s="0" t="n">
        <v>13</v>
      </c>
      <c r="C3251" s="0" t="n">
        <v>7675</v>
      </c>
      <c r="E3251" s="0" t="n">
        <v>0</v>
      </c>
      <c r="F3251" s="27" t="s">
        <v>1528</v>
      </c>
      <c r="I3251" s="27" t="s">
        <v>166</v>
      </c>
      <c r="U3251" s="0" t="n">
        <v>168</v>
      </c>
      <c r="V3251" s="0" t="n">
        <v>0</v>
      </c>
      <c r="W3251" s="27" t="n">
        <f aca="false">MATCH(A3251,DATAS,0)</f>
        <v>1</v>
      </c>
      <c r="X3251" s="27" t="n">
        <f aca="false">IF(AND(E3251&gt;0,OR(AND(B3251&gt;=1,B3251&lt;=6),B3251=10)),1,0)</f>
        <v>0</v>
      </c>
      <c r="Y3251" s="27" t="n">
        <f aca="false">IF(AND(E3251&gt;0,B3251=10),1,0)</f>
        <v>0</v>
      </c>
      <c r="Z3251" s="0" t="str">
        <f aca="false">IF(AND(C3250=C3251,W3250=W3251-1),X3250,"")</f>
        <v/>
      </c>
      <c r="AA3251" s="0" t="str">
        <f aca="false">IF(AND(C3250=C3251,W3250=W3251-1),Y3250,"")</f>
        <v/>
      </c>
      <c r="AB3251" s="0" t="str">
        <f aca="false">IF(W3251=1,"",IF(AND(X3251=1,Z3251&lt;&gt;1),1,0))</f>
        <v/>
      </c>
      <c r="AC3251" s="0" t="str">
        <f aca="false">IF(W3251=1,"",IF(AND(Y3251=1,AA3251&lt;&gt;1),1,0))</f>
        <v/>
      </c>
      <c r="AD3251" s="33" t="str">
        <f aca="false">IF(AND(E3251&gt;0,W3251&lt;1,NOT(AND(C3252=C3251,W3252=W3251+1))),INDEX(DATAS,W3251+1),"")</f>
        <v/>
      </c>
      <c r="AE3251" s="33" t="str">
        <f aca="false">IF(AND(Y3251=1,W3251&lt;1),IF(AND(C3252=C3251,W3252=W3251+1),IF(Y3252=1,"",INDEX(DATAS,W3251+1)),INDEX(DATAS,W3251+1)),"")</f>
        <v/>
      </c>
    </row>
    <row r="3252" customFormat="false" ht="15" hidden="false" customHeight="false" outlineLevel="0" collapsed="false">
      <c r="A3252" s="33" t="n">
        <v>46309</v>
      </c>
      <c r="B3252" s="0" t="n">
        <v>13</v>
      </c>
      <c r="C3252" s="0" t="n">
        <v>7676</v>
      </c>
      <c r="E3252" s="0" t="n">
        <v>0</v>
      </c>
      <c r="F3252" s="27" t="s">
        <v>1527</v>
      </c>
      <c r="I3252" s="27" t="s">
        <v>166</v>
      </c>
      <c r="U3252" s="0" t="n">
        <v>169</v>
      </c>
      <c r="V3252" s="0" t="n">
        <v>0</v>
      </c>
      <c r="W3252" s="27" t="n">
        <f aca="false">MATCH(A3252,DATAS,0)</f>
        <v>1</v>
      </c>
      <c r="X3252" s="27" t="n">
        <f aca="false">IF(AND(E3252&gt;0,OR(AND(B3252&gt;=1,B3252&lt;=6),B3252=10)),1,0)</f>
        <v>0</v>
      </c>
      <c r="Y3252" s="27" t="n">
        <f aca="false">IF(AND(E3252&gt;0,B3252=10),1,0)</f>
        <v>0</v>
      </c>
      <c r="Z3252" s="0" t="str">
        <f aca="false">IF(AND(C3251=C3252,W3251=W3252-1),X3251,"")</f>
        <v/>
      </c>
      <c r="AA3252" s="0" t="str">
        <f aca="false">IF(AND(C3251=C3252,W3251=W3252-1),Y3251,"")</f>
        <v/>
      </c>
      <c r="AB3252" s="0" t="str">
        <f aca="false">IF(W3252=1,"",IF(AND(X3252=1,Z3252&lt;&gt;1),1,0))</f>
        <v/>
      </c>
      <c r="AC3252" s="0" t="str">
        <f aca="false">IF(W3252=1,"",IF(AND(Y3252=1,AA3252&lt;&gt;1),1,0))</f>
        <v/>
      </c>
      <c r="AD3252" s="33" t="str">
        <f aca="false">IF(AND(E3252&gt;0,W3252&lt;1,NOT(AND(C3253=C3252,W3253=W3252+1))),INDEX(DATAS,W3252+1),"")</f>
        <v/>
      </c>
      <c r="AE3252" s="33" t="str">
        <f aca="false">IF(AND(Y3252=1,W3252&lt;1),IF(AND(C3253=C3252,W3253=W3252+1),IF(Y3253=1,"",INDEX(DATAS,W3252+1)),INDEX(DATAS,W3252+1)),"")</f>
        <v/>
      </c>
    </row>
    <row r="3253" customFormat="false" ht="15" hidden="false" customHeight="false" outlineLevel="0" collapsed="false">
      <c r="A3253" s="33" t="n">
        <v>46309</v>
      </c>
      <c r="B3253" s="0" t="n">
        <v>13</v>
      </c>
      <c r="C3253" s="0" t="n">
        <v>7677</v>
      </c>
      <c r="E3253" s="0" t="n">
        <v>0</v>
      </c>
      <c r="F3253" s="27" t="s">
        <v>1529</v>
      </c>
      <c r="I3253" s="27" t="s">
        <v>166</v>
      </c>
      <c r="U3253" s="0" t="n">
        <v>167</v>
      </c>
      <c r="V3253" s="0" t="n">
        <v>0</v>
      </c>
      <c r="W3253" s="27" t="n">
        <f aca="false">MATCH(A3253,DATAS,0)</f>
        <v>1</v>
      </c>
      <c r="X3253" s="27" t="n">
        <f aca="false">IF(AND(E3253&gt;0,OR(AND(B3253&gt;=1,B3253&lt;=6),B3253=10)),1,0)</f>
        <v>0</v>
      </c>
      <c r="Y3253" s="27" t="n">
        <f aca="false">IF(AND(E3253&gt;0,B3253=10),1,0)</f>
        <v>0</v>
      </c>
      <c r="Z3253" s="0" t="str">
        <f aca="false">IF(AND(C3252=C3253,W3252=W3253-1),X3252,"")</f>
        <v/>
      </c>
      <c r="AA3253" s="0" t="str">
        <f aca="false">IF(AND(C3252=C3253,W3252=W3253-1),Y3252,"")</f>
        <v/>
      </c>
      <c r="AB3253" s="0" t="str">
        <f aca="false">IF(W3253=1,"",IF(AND(X3253=1,Z3253&lt;&gt;1),1,0))</f>
        <v/>
      </c>
      <c r="AC3253" s="0" t="str">
        <f aca="false">IF(W3253=1,"",IF(AND(Y3253=1,AA3253&lt;&gt;1),1,0))</f>
        <v/>
      </c>
      <c r="AD3253" s="33" t="str">
        <f aca="false">IF(AND(E3253&gt;0,W3253&lt;1,NOT(AND(C3254=C3253,W3254=W3253+1))),INDEX(DATAS,W3253+1),"")</f>
        <v/>
      </c>
      <c r="AE3253" s="33" t="str">
        <f aca="false">IF(AND(Y3253=1,W3253&lt;1),IF(AND(C3254=C3253,W3254=W3253+1),IF(Y3254=1,"",INDEX(DATAS,W3253+1)),INDEX(DATAS,W3253+1)),"")</f>
        <v/>
      </c>
    </row>
    <row r="3254" customFormat="false" ht="15" hidden="false" customHeight="false" outlineLevel="0" collapsed="false">
      <c r="A3254" s="33" t="n">
        <v>46309</v>
      </c>
      <c r="B3254" s="0" t="n">
        <v>13</v>
      </c>
      <c r="C3254" s="0" t="n">
        <v>7678</v>
      </c>
      <c r="E3254" s="0" t="n">
        <v>0</v>
      </c>
      <c r="F3254" s="27" t="s">
        <v>1529</v>
      </c>
      <c r="I3254" s="27" t="s">
        <v>166</v>
      </c>
      <c r="U3254" s="0" t="n">
        <v>167</v>
      </c>
      <c r="V3254" s="0" t="n">
        <v>0</v>
      </c>
      <c r="W3254" s="27" t="n">
        <f aca="false">MATCH(A3254,DATAS,0)</f>
        <v>1</v>
      </c>
      <c r="X3254" s="27" t="n">
        <f aca="false">IF(AND(E3254&gt;0,OR(AND(B3254&gt;=1,B3254&lt;=6),B3254=10)),1,0)</f>
        <v>0</v>
      </c>
      <c r="Y3254" s="27" t="n">
        <f aca="false">IF(AND(E3254&gt;0,B3254=10),1,0)</f>
        <v>0</v>
      </c>
      <c r="Z3254" s="0" t="str">
        <f aca="false">IF(AND(C3253=C3254,W3253=W3254-1),X3253,"")</f>
        <v/>
      </c>
      <c r="AA3254" s="0" t="str">
        <f aca="false">IF(AND(C3253=C3254,W3253=W3254-1),Y3253,"")</f>
        <v/>
      </c>
      <c r="AB3254" s="0" t="str">
        <f aca="false">IF(W3254=1,"",IF(AND(X3254=1,Z3254&lt;&gt;1),1,0))</f>
        <v/>
      </c>
      <c r="AC3254" s="0" t="str">
        <f aca="false">IF(W3254=1,"",IF(AND(Y3254=1,AA3254&lt;&gt;1),1,0))</f>
        <v/>
      </c>
      <c r="AD3254" s="33" t="str">
        <f aca="false">IF(AND(E3254&gt;0,W3254&lt;1,NOT(AND(C3255=C3254,W3255=W3254+1))),INDEX(DATAS,W3254+1),"")</f>
        <v/>
      </c>
      <c r="AE3254" s="33" t="str">
        <f aca="false">IF(AND(Y3254=1,W3254&lt;1),IF(AND(C3255=C3254,W3255=W3254+1),IF(Y3255=1,"",INDEX(DATAS,W3254+1)),INDEX(DATAS,W3254+1)),"")</f>
        <v/>
      </c>
    </row>
    <row r="3255" customFormat="false" ht="15" hidden="false" customHeight="false" outlineLevel="0" collapsed="false">
      <c r="A3255" s="33" t="n">
        <v>46309</v>
      </c>
      <c r="B3255" s="0" t="n">
        <v>13</v>
      </c>
      <c r="C3255" s="0" t="n">
        <v>7679</v>
      </c>
      <c r="E3255" s="0" t="n">
        <v>0</v>
      </c>
      <c r="F3255" s="27" t="s">
        <v>1529</v>
      </c>
      <c r="I3255" s="27" t="s">
        <v>166</v>
      </c>
      <c r="U3255" s="0" t="n">
        <v>167</v>
      </c>
      <c r="V3255" s="0" t="n">
        <v>0</v>
      </c>
      <c r="W3255" s="27" t="n">
        <f aca="false">MATCH(A3255,DATAS,0)</f>
        <v>1</v>
      </c>
      <c r="X3255" s="27" t="n">
        <f aca="false">IF(AND(E3255&gt;0,OR(AND(B3255&gt;=1,B3255&lt;=6),B3255=10)),1,0)</f>
        <v>0</v>
      </c>
      <c r="Y3255" s="27" t="n">
        <f aca="false">IF(AND(E3255&gt;0,B3255=10),1,0)</f>
        <v>0</v>
      </c>
      <c r="Z3255" s="0" t="str">
        <f aca="false">IF(AND(C3254=C3255,W3254=W3255-1),X3254,"")</f>
        <v/>
      </c>
      <c r="AA3255" s="0" t="str">
        <f aca="false">IF(AND(C3254=C3255,W3254=W3255-1),Y3254,"")</f>
        <v/>
      </c>
      <c r="AB3255" s="0" t="str">
        <f aca="false">IF(W3255=1,"",IF(AND(X3255=1,Z3255&lt;&gt;1),1,0))</f>
        <v/>
      </c>
      <c r="AC3255" s="0" t="str">
        <f aca="false">IF(W3255=1,"",IF(AND(Y3255=1,AA3255&lt;&gt;1),1,0))</f>
        <v/>
      </c>
      <c r="AD3255" s="33" t="str">
        <f aca="false">IF(AND(E3255&gt;0,W3255&lt;1,NOT(AND(C3256=C3255,W3256=W3255+1))),INDEX(DATAS,W3255+1),"")</f>
        <v/>
      </c>
      <c r="AE3255" s="33" t="str">
        <f aca="false">IF(AND(Y3255=1,W3255&lt;1),IF(AND(C3256=C3255,W3256=W3255+1),IF(Y3256=1,"",INDEX(DATAS,W3255+1)),INDEX(DATAS,W3255+1)),"")</f>
        <v/>
      </c>
    </row>
    <row r="3256" customFormat="false" ht="15" hidden="false" customHeight="false" outlineLevel="0" collapsed="false">
      <c r="A3256" s="33" t="n">
        <v>46309</v>
      </c>
      <c r="B3256" s="0" t="n">
        <v>13</v>
      </c>
      <c r="C3256" s="0" t="n">
        <v>7680</v>
      </c>
      <c r="E3256" s="0" t="n">
        <v>0</v>
      </c>
      <c r="F3256" s="27" t="s">
        <v>1530</v>
      </c>
      <c r="I3256" s="27" t="s">
        <v>166</v>
      </c>
      <c r="U3256" s="0" t="n">
        <v>166</v>
      </c>
      <c r="V3256" s="0" t="n">
        <v>0</v>
      </c>
      <c r="W3256" s="27" t="n">
        <f aca="false">MATCH(A3256,DATAS,0)</f>
        <v>1</v>
      </c>
      <c r="X3256" s="27" t="n">
        <f aca="false">IF(AND(E3256&gt;0,OR(AND(B3256&gt;=1,B3256&lt;=6),B3256=10)),1,0)</f>
        <v>0</v>
      </c>
      <c r="Y3256" s="27" t="n">
        <f aca="false">IF(AND(E3256&gt;0,B3256=10),1,0)</f>
        <v>0</v>
      </c>
      <c r="Z3256" s="0" t="str">
        <f aca="false">IF(AND(C3255=C3256,W3255=W3256-1),X3255,"")</f>
        <v/>
      </c>
      <c r="AA3256" s="0" t="str">
        <f aca="false">IF(AND(C3255=C3256,W3255=W3256-1),Y3255,"")</f>
        <v/>
      </c>
      <c r="AB3256" s="0" t="str">
        <f aca="false">IF(W3256=1,"",IF(AND(X3256=1,Z3256&lt;&gt;1),1,0))</f>
        <v/>
      </c>
      <c r="AC3256" s="0" t="str">
        <f aca="false">IF(W3256=1,"",IF(AND(Y3256=1,AA3256&lt;&gt;1),1,0))</f>
        <v/>
      </c>
      <c r="AD3256" s="33" t="str">
        <f aca="false">IF(AND(E3256&gt;0,W3256&lt;1,NOT(AND(C3257=C3256,W3257=W3256+1))),INDEX(DATAS,W3256+1),"")</f>
        <v/>
      </c>
      <c r="AE3256" s="33" t="str">
        <f aca="false">IF(AND(Y3256=1,W3256&lt;1),IF(AND(C3257=C3256,W3257=W3256+1),IF(Y3257=1,"",INDEX(DATAS,W3256+1)),INDEX(DATAS,W3256+1)),"")</f>
        <v/>
      </c>
    </row>
    <row r="3257" customFormat="false" ht="15" hidden="false" customHeight="false" outlineLevel="0" collapsed="false">
      <c r="A3257" s="33" t="n">
        <v>46309</v>
      </c>
      <c r="B3257" s="0" t="n">
        <v>13</v>
      </c>
      <c r="C3257" s="0" t="n">
        <v>7681</v>
      </c>
      <c r="E3257" s="0" t="n">
        <v>0</v>
      </c>
      <c r="F3257" s="27" t="s">
        <v>1530</v>
      </c>
      <c r="I3257" s="27" t="s">
        <v>166</v>
      </c>
      <c r="U3257" s="0" t="n">
        <v>166</v>
      </c>
      <c r="V3257" s="0" t="n">
        <v>0</v>
      </c>
      <c r="W3257" s="27" t="n">
        <f aca="false">MATCH(A3257,DATAS,0)</f>
        <v>1</v>
      </c>
      <c r="X3257" s="27" t="n">
        <f aca="false">IF(AND(E3257&gt;0,OR(AND(B3257&gt;=1,B3257&lt;=6),B3257=10)),1,0)</f>
        <v>0</v>
      </c>
      <c r="Y3257" s="27" t="n">
        <f aca="false">IF(AND(E3257&gt;0,B3257=10),1,0)</f>
        <v>0</v>
      </c>
      <c r="Z3257" s="0" t="str">
        <f aca="false">IF(AND(C3256=C3257,W3256=W3257-1),X3256,"")</f>
        <v/>
      </c>
      <c r="AA3257" s="0" t="str">
        <f aca="false">IF(AND(C3256=C3257,W3256=W3257-1),Y3256,"")</f>
        <v/>
      </c>
      <c r="AB3257" s="0" t="str">
        <f aca="false">IF(W3257=1,"",IF(AND(X3257=1,Z3257&lt;&gt;1),1,0))</f>
        <v/>
      </c>
      <c r="AC3257" s="0" t="str">
        <f aca="false">IF(W3257=1,"",IF(AND(Y3257=1,AA3257&lt;&gt;1),1,0))</f>
        <v/>
      </c>
      <c r="AD3257" s="33" t="str">
        <f aca="false">IF(AND(E3257&gt;0,W3257&lt;1,NOT(AND(C3258=C3257,W3258=W3257+1))),INDEX(DATAS,W3257+1),"")</f>
        <v/>
      </c>
      <c r="AE3257" s="33" t="str">
        <f aca="false">IF(AND(Y3257=1,W3257&lt;1),IF(AND(C3258=C3257,W3258=W3257+1),IF(Y3258=1,"",INDEX(DATAS,W3257+1)),INDEX(DATAS,W3257+1)),"")</f>
        <v/>
      </c>
    </row>
    <row r="3258" customFormat="false" ht="15" hidden="false" customHeight="false" outlineLevel="0" collapsed="false">
      <c r="A3258" s="33" t="n">
        <v>46309</v>
      </c>
      <c r="B3258" s="0" t="n">
        <v>13</v>
      </c>
      <c r="C3258" s="0" t="n">
        <v>7682</v>
      </c>
      <c r="E3258" s="0" t="n">
        <v>0</v>
      </c>
      <c r="F3258" s="27" t="s">
        <v>1531</v>
      </c>
      <c r="I3258" s="27" t="s">
        <v>166</v>
      </c>
      <c r="U3258" s="0" t="n">
        <v>165</v>
      </c>
      <c r="V3258" s="0" t="n">
        <v>0</v>
      </c>
      <c r="W3258" s="27" t="n">
        <f aca="false">MATCH(A3258,DATAS,0)</f>
        <v>1</v>
      </c>
      <c r="X3258" s="27" t="n">
        <f aca="false">IF(AND(E3258&gt;0,OR(AND(B3258&gt;=1,B3258&lt;=6),B3258=10)),1,0)</f>
        <v>0</v>
      </c>
      <c r="Y3258" s="27" t="n">
        <f aca="false">IF(AND(E3258&gt;0,B3258=10),1,0)</f>
        <v>0</v>
      </c>
      <c r="Z3258" s="0" t="str">
        <f aca="false">IF(AND(C3257=C3258,W3257=W3258-1),X3257,"")</f>
        <v/>
      </c>
      <c r="AA3258" s="0" t="str">
        <f aca="false">IF(AND(C3257=C3258,W3257=W3258-1),Y3257,"")</f>
        <v/>
      </c>
      <c r="AB3258" s="0" t="str">
        <f aca="false">IF(W3258=1,"",IF(AND(X3258=1,Z3258&lt;&gt;1),1,0))</f>
        <v/>
      </c>
      <c r="AC3258" s="0" t="str">
        <f aca="false">IF(W3258=1,"",IF(AND(Y3258=1,AA3258&lt;&gt;1),1,0))</f>
        <v/>
      </c>
      <c r="AD3258" s="33" t="str">
        <f aca="false">IF(AND(E3258&gt;0,W3258&lt;1,NOT(AND(C3259=C3258,W3259=W3258+1))),INDEX(DATAS,W3258+1),"")</f>
        <v/>
      </c>
      <c r="AE3258" s="33" t="str">
        <f aca="false">IF(AND(Y3258=1,W3258&lt;1),IF(AND(C3259=C3258,W3259=W3258+1),IF(Y3259=1,"",INDEX(DATAS,W3258+1)),INDEX(DATAS,W3258+1)),"")</f>
        <v/>
      </c>
    </row>
    <row r="3259" customFormat="false" ht="15" hidden="false" customHeight="false" outlineLevel="0" collapsed="false">
      <c r="A3259" s="33" t="n">
        <v>46309</v>
      </c>
      <c r="B3259" s="0" t="n">
        <v>13</v>
      </c>
      <c r="C3259" s="0" t="n">
        <v>7683</v>
      </c>
      <c r="E3259" s="0" t="n">
        <v>0</v>
      </c>
      <c r="F3259" s="27" t="s">
        <v>1531</v>
      </c>
      <c r="I3259" s="27" t="s">
        <v>166</v>
      </c>
      <c r="U3259" s="0" t="n">
        <v>165</v>
      </c>
      <c r="V3259" s="0" t="n">
        <v>0</v>
      </c>
      <c r="W3259" s="27" t="n">
        <f aca="false">MATCH(A3259,DATAS,0)</f>
        <v>1</v>
      </c>
      <c r="X3259" s="27" t="n">
        <f aca="false">IF(AND(E3259&gt;0,OR(AND(B3259&gt;=1,B3259&lt;=6),B3259=10)),1,0)</f>
        <v>0</v>
      </c>
      <c r="Y3259" s="27" t="n">
        <f aca="false">IF(AND(E3259&gt;0,B3259=10),1,0)</f>
        <v>0</v>
      </c>
      <c r="Z3259" s="0" t="str">
        <f aca="false">IF(AND(C3258=C3259,W3258=W3259-1),X3258,"")</f>
        <v/>
      </c>
      <c r="AA3259" s="0" t="str">
        <f aca="false">IF(AND(C3258=C3259,W3258=W3259-1),Y3258,"")</f>
        <v/>
      </c>
      <c r="AB3259" s="0" t="str">
        <f aca="false">IF(W3259=1,"",IF(AND(X3259=1,Z3259&lt;&gt;1),1,0))</f>
        <v/>
      </c>
      <c r="AC3259" s="0" t="str">
        <f aca="false">IF(W3259=1,"",IF(AND(Y3259=1,AA3259&lt;&gt;1),1,0))</f>
        <v/>
      </c>
      <c r="AD3259" s="33" t="str">
        <f aca="false">IF(AND(E3259&gt;0,W3259&lt;1,NOT(AND(C3260=C3259,W3260=W3259+1))),INDEX(DATAS,W3259+1),"")</f>
        <v/>
      </c>
      <c r="AE3259" s="33" t="str">
        <f aca="false">IF(AND(Y3259=1,W3259&lt;1),IF(AND(C3260=C3259,W3260=W3259+1),IF(Y3260=1,"",INDEX(DATAS,W3259+1)),INDEX(DATAS,W3259+1)),"")</f>
        <v/>
      </c>
    </row>
    <row r="3260" customFormat="false" ht="15" hidden="false" customHeight="false" outlineLevel="0" collapsed="false">
      <c r="A3260" s="33" t="n">
        <v>46309</v>
      </c>
      <c r="B3260" s="0" t="n">
        <v>13</v>
      </c>
      <c r="C3260" s="0" t="n">
        <v>7684</v>
      </c>
      <c r="E3260" s="0" t="n">
        <v>0</v>
      </c>
      <c r="F3260" s="27" t="s">
        <v>1532</v>
      </c>
      <c r="I3260" s="27" t="s">
        <v>166</v>
      </c>
      <c r="U3260" s="0" t="n">
        <v>164</v>
      </c>
      <c r="V3260" s="0" t="n">
        <v>0</v>
      </c>
      <c r="W3260" s="27" t="n">
        <f aca="false">MATCH(A3260,DATAS,0)</f>
        <v>1</v>
      </c>
      <c r="X3260" s="27" t="n">
        <f aca="false">IF(AND(E3260&gt;0,OR(AND(B3260&gt;=1,B3260&lt;=6),B3260=10)),1,0)</f>
        <v>0</v>
      </c>
      <c r="Y3260" s="27" t="n">
        <f aca="false">IF(AND(E3260&gt;0,B3260=10),1,0)</f>
        <v>0</v>
      </c>
      <c r="Z3260" s="0" t="str">
        <f aca="false">IF(AND(C3259=C3260,W3259=W3260-1),X3259,"")</f>
        <v/>
      </c>
      <c r="AA3260" s="0" t="str">
        <f aca="false">IF(AND(C3259=C3260,W3259=W3260-1),Y3259,"")</f>
        <v/>
      </c>
      <c r="AB3260" s="0" t="str">
        <f aca="false">IF(W3260=1,"",IF(AND(X3260=1,Z3260&lt;&gt;1),1,0))</f>
        <v/>
      </c>
      <c r="AC3260" s="0" t="str">
        <f aca="false">IF(W3260=1,"",IF(AND(Y3260=1,AA3260&lt;&gt;1),1,0))</f>
        <v/>
      </c>
      <c r="AD3260" s="33" t="str">
        <f aca="false">IF(AND(E3260&gt;0,W3260&lt;1,NOT(AND(C3261=C3260,W3261=W3260+1))),INDEX(DATAS,W3260+1),"")</f>
        <v/>
      </c>
      <c r="AE3260" s="33" t="str">
        <f aca="false">IF(AND(Y3260=1,W3260&lt;1),IF(AND(C3261=C3260,W3261=W3260+1),IF(Y3261=1,"",INDEX(DATAS,W3260+1)),INDEX(DATAS,W3260+1)),"")</f>
        <v/>
      </c>
    </row>
    <row r="3261" customFormat="false" ht="15" hidden="false" customHeight="false" outlineLevel="0" collapsed="false">
      <c r="A3261" s="33" t="n">
        <v>46309</v>
      </c>
      <c r="B3261" s="0" t="n">
        <v>13</v>
      </c>
      <c r="C3261" s="0" t="n">
        <v>7685</v>
      </c>
      <c r="E3261" s="0" t="n">
        <v>0</v>
      </c>
      <c r="F3261" s="27" t="s">
        <v>1532</v>
      </c>
      <c r="I3261" s="27" t="s">
        <v>166</v>
      </c>
      <c r="U3261" s="0" t="n">
        <v>164</v>
      </c>
      <c r="V3261" s="0" t="n">
        <v>0</v>
      </c>
      <c r="W3261" s="27" t="n">
        <f aca="false">MATCH(A3261,DATAS,0)</f>
        <v>1</v>
      </c>
      <c r="X3261" s="27" t="n">
        <f aca="false">IF(AND(E3261&gt;0,OR(AND(B3261&gt;=1,B3261&lt;=6),B3261=10)),1,0)</f>
        <v>0</v>
      </c>
      <c r="Y3261" s="27" t="n">
        <f aca="false">IF(AND(E3261&gt;0,B3261=10),1,0)</f>
        <v>0</v>
      </c>
      <c r="Z3261" s="0" t="str">
        <f aca="false">IF(AND(C3260=C3261,W3260=W3261-1),X3260,"")</f>
        <v/>
      </c>
      <c r="AA3261" s="0" t="str">
        <f aca="false">IF(AND(C3260=C3261,W3260=W3261-1),Y3260,"")</f>
        <v/>
      </c>
      <c r="AB3261" s="0" t="str">
        <f aca="false">IF(W3261=1,"",IF(AND(X3261=1,Z3261&lt;&gt;1),1,0))</f>
        <v/>
      </c>
      <c r="AC3261" s="0" t="str">
        <f aca="false">IF(W3261=1,"",IF(AND(Y3261=1,AA3261&lt;&gt;1),1,0))</f>
        <v/>
      </c>
      <c r="AD3261" s="33" t="str">
        <f aca="false">IF(AND(E3261&gt;0,W3261&lt;1,NOT(AND(C3262=C3261,W3262=W3261+1))),INDEX(DATAS,W3261+1),"")</f>
        <v/>
      </c>
      <c r="AE3261" s="33" t="str">
        <f aca="false">IF(AND(Y3261=1,W3261&lt;1),IF(AND(C3262=C3261,W3262=W3261+1),IF(Y3262=1,"",INDEX(DATAS,W3261+1)),INDEX(DATAS,W3261+1)),"")</f>
        <v/>
      </c>
    </row>
    <row r="3262" customFormat="false" ht="15" hidden="false" customHeight="false" outlineLevel="0" collapsed="false">
      <c r="A3262" s="33" t="n">
        <v>46309</v>
      </c>
      <c r="B3262" s="0" t="n">
        <v>13</v>
      </c>
      <c r="C3262" s="0" t="n">
        <v>7686</v>
      </c>
      <c r="E3262" s="0" t="n">
        <v>0</v>
      </c>
      <c r="F3262" s="27" t="s">
        <v>1533</v>
      </c>
      <c r="I3262" s="27" t="s">
        <v>166</v>
      </c>
      <c r="U3262" s="0" t="n">
        <v>163</v>
      </c>
      <c r="V3262" s="0" t="n">
        <v>0</v>
      </c>
      <c r="W3262" s="27" t="n">
        <f aca="false">MATCH(A3262,DATAS,0)</f>
        <v>1</v>
      </c>
      <c r="X3262" s="27" t="n">
        <f aca="false">IF(AND(E3262&gt;0,OR(AND(B3262&gt;=1,B3262&lt;=6),B3262=10)),1,0)</f>
        <v>0</v>
      </c>
      <c r="Y3262" s="27" t="n">
        <f aca="false">IF(AND(E3262&gt;0,B3262=10),1,0)</f>
        <v>0</v>
      </c>
      <c r="Z3262" s="0" t="str">
        <f aca="false">IF(AND(C3261=C3262,W3261=W3262-1),X3261,"")</f>
        <v/>
      </c>
      <c r="AA3262" s="0" t="str">
        <f aca="false">IF(AND(C3261=C3262,W3261=W3262-1),Y3261,"")</f>
        <v/>
      </c>
      <c r="AB3262" s="0" t="str">
        <f aca="false">IF(W3262=1,"",IF(AND(X3262=1,Z3262&lt;&gt;1),1,0))</f>
        <v/>
      </c>
      <c r="AC3262" s="0" t="str">
        <f aca="false">IF(W3262=1,"",IF(AND(Y3262=1,AA3262&lt;&gt;1),1,0))</f>
        <v/>
      </c>
      <c r="AD3262" s="33" t="str">
        <f aca="false">IF(AND(E3262&gt;0,W3262&lt;1,NOT(AND(C3263=C3262,W3263=W3262+1))),INDEX(DATAS,W3262+1),"")</f>
        <v/>
      </c>
      <c r="AE3262" s="33" t="str">
        <f aca="false">IF(AND(Y3262=1,W3262&lt;1),IF(AND(C3263=C3262,W3263=W3262+1),IF(Y3263=1,"",INDEX(DATAS,W3262+1)),INDEX(DATAS,W3262+1)),"")</f>
        <v/>
      </c>
    </row>
    <row r="3263" customFormat="false" ht="15" hidden="false" customHeight="false" outlineLevel="0" collapsed="false">
      <c r="A3263" s="33" t="n">
        <v>46309</v>
      </c>
      <c r="B3263" s="0" t="n">
        <v>13</v>
      </c>
      <c r="C3263" s="0" t="n">
        <v>7687</v>
      </c>
      <c r="E3263" s="0" t="n">
        <v>0</v>
      </c>
      <c r="F3263" s="27" t="s">
        <v>1533</v>
      </c>
      <c r="I3263" s="27" t="s">
        <v>166</v>
      </c>
      <c r="U3263" s="0" t="n">
        <v>163</v>
      </c>
      <c r="V3263" s="0" t="n">
        <v>0</v>
      </c>
      <c r="W3263" s="27" t="n">
        <f aca="false">MATCH(A3263,DATAS,0)</f>
        <v>1</v>
      </c>
      <c r="X3263" s="27" t="n">
        <f aca="false">IF(AND(E3263&gt;0,OR(AND(B3263&gt;=1,B3263&lt;=6),B3263=10)),1,0)</f>
        <v>0</v>
      </c>
      <c r="Y3263" s="27" t="n">
        <f aca="false">IF(AND(E3263&gt;0,B3263=10),1,0)</f>
        <v>0</v>
      </c>
      <c r="Z3263" s="0" t="str">
        <f aca="false">IF(AND(C3262=C3263,W3262=W3263-1),X3262,"")</f>
        <v/>
      </c>
      <c r="AA3263" s="0" t="str">
        <f aca="false">IF(AND(C3262=C3263,W3262=W3263-1),Y3262,"")</f>
        <v/>
      </c>
      <c r="AB3263" s="0" t="str">
        <f aca="false">IF(W3263=1,"",IF(AND(X3263=1,Z3263&lt;&gt;1),1,0))</f>
        <v/>
      </c>
      <c r="AC3263" s="0" t="str">
        <f aca="false">IF(W3263=1,"",IF(AND(Y3263=1,AA3263&lt;&gt;1),1,0))</f>
        <v/>
      </c>
      <c r="AD3263" s="33" t="str">
        <f aca="false">IF(AND(E3263&gt;0,W3263&lt;1,NOT(AND(C3264=C3263,W3264=W3263+1))),INDEX(DATAS,W3263+1),"")</f>
        <v/>
      </c>
      <c r="AE3263" s="33" t="str">
        <f aca="false">IF(AND(Y3263=1,W3263&lt;1),IF(AND(C3264=C3263,W3264=W3263+1),IF(Y3264=1,"",INDEX(DATAS,W3263+1)),INDEX(DATAS,W3263+1)),"")</f>
        <v/>
      </c>
    </row>
    <row r="3264" customFormat="false" ht="15" hidden="false" customHeight="false" outlineLevel="0" collapsed="false">
      <c r="A3264" s="33" t="n">
        <v>46309</v>
      </c>
      <c r="B3264" s="0" t="n">
        <v>13</v>
      </c>
      <c r="C3264" s="0" t="n">
        <v>7688</v>
      </c>
      <c r="E3264" s="0" t="n">
        <v>0</v>
      </c>
      <c r="F3264" s="27" t="s">
        <v>1534</v>
      </c>
      <c r="I3264" s="27" t="s">
        <v>166</v>
      </c>
      <c r="U3264" s="0" t="n">
        <v>162</v>
      </c>
      <c r="V3264" s="0" t="n">
        <v>0</v>
      </c>
      <c r="W3264" s="27" t="n">
        <f aca="false">MATCH(A3264,DATAS,0)</f>
        <v>1</v>
      </c>
      <c r="X3264" s="27" t="n">
        <f aca="false">IF(AND(E3264&gt;0,OR(AND(B3264&gt;=1,B3264&lt;=6),B3264=10)),1,0)</f>
        <v>0</v>
      </c>
      <c r="Y3264" s="27" t="n">
        <f aca="false">IF(AND(E3264&gt;0,B3264=10),1,0)</f>
        <v>0</v>
      </c>
      <c r="Z3264" s="0" t="str">
        <f aca="false">IF(AND(C3263=C3264,W3263=W3264-1),X3263,"")</f>
        <v/>
      </c>
      <c r="AA3264" s="0" t="str">
        <f aca="false">IF(AND(C3263=C3264,W3263=W3264-1),Y3263,"")</f>
        <v/>
      </c>
      <c r="AB3264" s="0" t="str">
        <f aca="false">IF(W3264=1,"",IF(AND(X3264=1,Z3264&lt;&gt;1),1,0))</f>
        <v/>
      </c>
      <c r="AC3264" s="0" t="str">
        <f aca="false">IF(W3264=1,"",IF(AND(Y3264=1,AA3264&lt;&gt;1),1,0))</f>
        <v/>
      </c>
      <c r="AD3264" s="33" t="str">
        <f aca="false">IF(AND(E3264&gt;0,W3264&lt;1,NOT(AND(C3265=C3264,W3265=W3264+1))),INDEX(DATAS,W3264+1),"")</f>
        <v/>
      </c>
      <c r="AE3264" s="33" t="str">
        <f aca="false">IF(AND(Y3264=1,W3264&lt;1),IF(AND(C3265=C3264,W3265=W3264+1),IF(Y3265=1,"",INDEX(DATAS,W3264+1)),INDEX(DATAS,W3264+1)),"")</f>
        <v/>
      </c>
    </row>
    <row r="3265" customFormat="false" ht="15" hidden="false" customHeight="false" outlineLevel="0" collapsed="false">
      <c r="A3265" s="33" t="n">
        <v>46309</v>
      </c>
      <c r="B3265" s="0" t="n">
        <v>13</v>
      </c>
      <c r="C3265" s="0" t="n">
        <v>7689</v>
      </c>
      <c r="E3265" s="0" t="n">
        <v>0</v>
      </c>
      <c r="F3265" s="27" t="s">
        <v>1534</v>
      </c>
      <c r="I3265" s="27" t="s">
        <v>166</v>
      </c>
      <c r="U3265" s="0" t="n">
        <v>162</v>
      </c>
      <c r="V3265" s="0" t="n">
        <v>0</v>
      </c>
      <c r="W3265" s="27" t="n">
        <f aca="false">MATCH(A3265,DATAS,0)</f>
        <v>1</v>
      </c>
      <c r="X3265" s="27" t="n">
        <f aca="false">IF(AND(E3265&gt;0,OR(AND(B3265&gt;=1,B3265&lt;=6),B3265=10)),1,0)</f>
        <v>0</v>
      </c>
      <c r="Y3265" s="27" t="n">
        <f aca="false">IF(AND(E3265&gt;0,B3265=10),1,0)</f>
        <v>0</v>
      </c>
      <c r="Z3265" s="0" t="str">
        <f aca="false">IF(AND(C3264=C3265,W3264=W3265-1),X3264,"")</f>
        <v/>
      </c>
      <c r="AA3265" s="0" t="str">
        <f aca="false">IF(AND(C3264=C3265,W3264=W3265-1),Y3264,"")</f>
        <v/>
      </c>
      <c r="AB3265" s="0" t="str">
        <f aca="false">IF(W3265=1,"",IF(AND(X3265=1,Z3265&lt;&gt;1),1,0))</f>
        <v/>
      </c>
      <c r="AC3265" s="0" t="str">
        <f aca="false">IF(W3265=1,"",IF(AND(Y3265=1,AA3265&lt;&gt;1),1,0))</f>
        <v/>
      </c>
      <c r="AD3265" s="33" t="str">
        <f aca="false">IF(AND(E3265&gt;0,W3265&lt;1,NOT(AND(C3266=C3265,W3266=W3265+1))),INDEX(DATAS,W3265+1),"")</f>
        <v/>
      </c>
      <c r="AE3265" s="33" t="str">
        <f aca="false">IF(AND(Y3265=1,W3265&lt;1),IF(AND(C3266=C3265,W3266=W3265+1),IF(Y3266=1,"",INDEX(DATAS,W3265+1)),INDEX(DATAS,W3265+1)),"")</f>
        <v/>
      </c>
    </row>
    <row r="3266" customFormat="false" ht="15" hidden="false" customHeight="false" outlineLevel="0" collapsed="false">
      <c r="A3266" s="33" t="n">
        <v>46309</v>
      </c>
      <c r="B3266" s="0" t="n">
        <v>13</v>
      </c>
      <c r="C3266" s="0" t="n">
        <v>7690</v>
      </c>
      <c r="E3266" s="0" t="n">
        <v>0</v>
      </c>
      <c r="F3266" s="27" t="s">
        <v>1535</v>
      </c>
      <c r="I3266" s="27" t="s">
        <v>166</v>
      </c>
      <c r="U3266" s="0" t="n">
        <v>161</v>
      </c>
      <c r="V3266" s="0" t="n">
        <v>0</v>
      </c>
      <c r="W3266" s="27" t="n">
        <f aca="false">MATCH(A3266,DATAS,0)</f>
        <v>1</v>
      </c>
      <c r="X3266" s="27" t="n">
        <f aca="false">IF(AND(E3266&gt;0,OR(AND(B3266&gt;=1,B3266&lt;=6),B3266=10)),1,0)</f>
        <v>0</v>
      </c>
      <c r="Y3266" s="27" t="n">
        <f aca="false">IF(AND(E3266&gt;0,B3266=10),1,0)</f>
        <v>0</v>
      </c>
      <c r="Z3266" s="0" t="str">
        <f aca="false">IF(AND(C3265=C3266,W3265=W3266-1),X3265,"")</f>
        <v/>
      </c>
      <c r="AA3266" s="0" t="str">
        <f aca="false">IF(AND(C3265=C3266,W3265=W3266-1),Y3265,"")</f>
        <v/>
      </c>
      <c r="AB3266" s="0" t="str">
        <f aca="false">IF(W3266=1,"",IF(AND(X3266=1,Z3266&lt;&gt;1),1,0))</f>
        <v/>
      </c>
      <c r="AC3266" s="0" t="str">
        <f aca="false">IF(W3266=1,"",IF(AND(Y3266=1,AA3266&lt;&gt;1),1,0))</f>
        <v/>
      </c>
      <c r="AD3266" s="33" t="str">
        <f aca="false">IF(AND(E3266&gt;0,W3266&lt;1,NOT(AND(C3267=C3266,W3267=W3266+1))),INDEX(DATAS,W3266+1),"")</f>
        <v/>
      </c>
      <c r="AE3266" s="33" t="str">
        <f aca="false">IF(AND(Y3266=1,W3266&lt;1),IF(AND(C3267=C3266,W3267=W3266+1),IF(Y3267=1,"",INDEX(DATAS,W3266+1)),INDEX(DATAS,W3266+1)),"")</f>
        <v/>
      </c>
    </row>
    <row r="3267" customFormat="false" ht="15" hidden="false" customHeight="false" outlineLevel="0" collapsed="false">
      <c r="A3267" s="33" t="n">
        <v>46309</v>
      </c>
      <c r="B3267" s="0" t="n">
        <v>13</v>
      </c>
      <c r="C3267" s="0" t="n">
        <v>7691</v>
      </c>
      <c r="E3267" s="0" t="n">
        <v>0</v>
      </c>
      <c r="F3267" s="27" t="s">
        <v>1535</v>
      </c>
      <c r="I3267" s="27" t="s">
        <v>166</v>
      </c>
      <c r="U3267" s="0" t="n">
        <v>161</v>
      </c>
      <c r="V3267" s="0" t="n">
        <v>0</v>
      </c>
      <c r="W3267" s="27" t="n">
        <f aca="false">MATCH(A3267,DATAS,0)</f>
        <v>1</v>
      </c>
      <c r="X3267" s="27" t="n">
        <f aca="false">IF(AND(E3267&gt;0,OR(AND(B3267&gt;=1,B3267&lt;=6),B3267=10)),1,0)</f>
        <v>0</v>
      </c>
      <c r="Y3267" s="27" t="n">
        <f aca="false">IF(AND(E3267&gt;0,B3267=10),1,0)</f>
        <v>0</v>
      </c>
      <c r="Z3267" s="0" t="str">
        <f aca="false">IF(AND(C3266=C3267,W3266=W3267-1),X3266,"")</f>
        <v/>
      </c>
      <c r="AA3267" s="0" t="str">
        <f aca="false">IF(AND(C3266=C3267,W3266=W3267-1),Y3266,"")</f>
        <v/>
      </c>
      <c r="AB3267" s="0" t="str">
        <f aca="false">IF(W3267=1,"",IF(AND(X3267=1,Z3267&lt;&gt;1),1,0))</f>
        <v/>
      </c>
      <c r="AC3267" s="0" t="str">
        <f aca="false">IF(W3267=1,"",IF(AND(Y3267=1,AA3267&lt;&gt;1),1,0))</f>
        <v/>
      </c>
      <c r="AD3267" s="33" t="str">
        <f aca="false">IF(AND(E3267&gt;0,W3267&lt;1,NOT(AND(C3268=C3267,W3268=W3267+1))),INDEX(DATAS,W3267+1),"")</f>
        <v/>
      </c>
      <c r="AE3267" s="33" t="str">
        <f aca="false">IF(AND(Y3267=1,W3267&lt;1),IF(AND(C3268=C3267,W3268=W3267+1),IF(Y3268=1,"",INDEX(DATAS,W3267+1)),INDEX(DATAS,W3267+1)),"")</f>
        <v/>
      </c>
    </row>
    <row r="3268" customFormat="false" ht="15" hidden="false" customHeight="false" outlineLevel="0" collapsed="false">
      <c r="A3268" s="33" t="n">
        <v>46309</v>
      </c>
      <c r="B3268" s="0" t="n">
        <v>13</v>
      </c>
      <c r="C3268" s="0" t="n">
        <v>7693</v>
      </c>
      <c r="E3268" s="0" t="n">
        <v>0</v>
      </c>
      <c r="F3268" s="27" t="s">
        <v>1535</v>
      </c>
      <c r="I3268" s="27" t="s">
        <v>166</v>
      </c>
      <c r="U3268" s="0" t="n">
        <v>161</v>
      </c>
      <c r="V3268" s="0" t="n">
        <v>0</v>
      </c>
      <c r="W3268" s="27" t="n">
        <f aca="false">MATCH(A3268,DATAS,0)</f>
        <v>1</v>
      </c>
      <c r="X3268" s="27" t="n">
        <f aca="false">IF(AND(E3268&gt;0,OR(AND(B3268&gt;=1,B3268&lt;=6),B3268=10)),1,0)</f>
        <v>0</v>
      </c>
      <c r="Y3268" s="27" t="n">
        <f aca="false">IF(AND(E3268&gt;0,B3268=10),1,0)</f>
        <v>0</v>
      </c>
      <c r="Z3268" s="0" t="str">
        <f aca="false">IF(AND(C3267=C3268,W3267=W3268-1),X3267,"")</f>
        <v/>
      </c>
      <c r="AA3268" s="0" t="str">
        <f aca="false">IF(AND(C3267=C3268,W3267=W3268-1),Y3267,"")</f>
        <v/>
      </c>
      <c r="AB3268" s="0" t="str">
        <f aca="false">IF(W3268=1,"",IF(AND(X3268=1,Z3268&lt;&gt;1),1,0))</f>
        <v/>
      </c>
      <c r="AC3268" s="0" t="str">
        <f aca="false">IF(W3268=1,"",IF(AND(Y3268=1,AA3268&lt;&gt;1),1,0))</f>
        <v/>
      </c>
      <c r="AD3268" s="33" t="str">
        <f aca="false">IF(AND(E3268&gt;0,W3268&lt;1,NOT(AND(C3269=C3268,W3269=W3268+1))),INDEX(DATAS,W3268+1),"")</f>
        <v/>
      </c>
      <c r="AE3268" s="33" t="str">
        <f aca="false">IF(AND(Y3268=1,W3268&lt;1),IF(AND(C3269=C3268,W3269=W3268+1),IF(Y3269=1,"",INDEX(DATAS,W3268+1)),INDEX(DATAS,W3268+1)),"")</f>
        <v/>
      </c>
    </row>
    <row r="3269" customFormat="false" ht="15" hidden="false" customHeight="false" outlineLevel="0" collapsed="false">
      <c r="A3269" s="33" t="n">
        <v>46309</v>
      </c>
      <c r="B3269" s="0" t="n">
        <v>13</v>
      </c>
      <c r="C3269" s="0" t="n">
        <v>7694</v>
      </c>
      <c r="E3269" s="0" t="n">
        <v>0</v>
      </c>
      <c r="F3269" s="27" t="s">
        <v>1535</v>
      </c>
      <c r="I3269" s="27" t="s">
        <v>166</v>
      </c>
      <c r="U3269" s="0" t="n">
        <v>161</v>
      </c>
      <c r="V3269" s="0" t="n">
        <v>0</v>
      </c>
      <c r="W3269" s="27" t="n">
        <f aca="false">MATCH(A3269,DATAS,0)</f>
        <v>1</v>
      </c>
      <c r="X3269" s="27" t="n">
        <f aca="false">IF(AND(E3269&gt;0,OR(AND(B3269&gt;=1,B3269&lt;=6),B3269=10)),1,0)</f>
        <v>0</v>
      </c>
      <c r="Y3269" s="27" t="n">
        <f aca="false">IF(AND(E3269&gt;0,B3269=10),1,0)</f>
        <v>0</v>
      </c>
      <c r="Z3269" s="0" t="str">
        <f aca="false">IF(AND(C3268=C3269,W3268=W3269-1),X3268,"")</f>
        <v/>
      </c>
      <c r="AA3269" s="0" t="str">
        <f aca="false">IF(AND(C3268=C3269,W3268=W3269-1),Y3268,"")</f>
        <v/>
      </c>
      <c r="AB3269" s="0" t="str">
        <f aca="false">IF(W3269=1,"",IF(AND(X3269=1,Z3269&lt;&gt;1),1,0))</f>
        <v/>
      </c>
      <c r="AC3269" s="0" t="str">
        <f aca="false">IF(W3269=1,"",IF(AND(Y3269=1,AA3269&lt;&gt;1),1,0))</f>
        <v/>
      </c>
      <c r="AD3269" s="33" t="str">
        <f aca="false">IF(AND(E3269&gt;0,W3269&lt;1,NOT(AND(C3270=C3269,W3270=W3269+1))),INDEX(DATAS,W3269+1),"")</f>
        <v/>
      </c>
      <c r="AE3269" s="33" t="str">
        <f aca="false">IF(AND(Y3269=1,W3269&lt;1),IF(AND(C3270=C3269,W3270=W3269+1),IF(Y3270=1,"",INDEX(DATAS,W3269+1)),INDEX(DATAS,W3269+1)),"")</f>
        <v/>
      </c>
    </row>
    <row r="3270" customFormat="false" ht="15" hidden="false" customHeight="false" outlineLevel="0" collapsed="false">
      <c r="A3270" s="33" t="n">
        <v>46309</v>
      </c>
      <c r="B3270" s="0" t="n">
        <v>13</v>
      </c>
      <c r="C3270" s="0" t="n">
        <v>7695</v>
      </c>
      <c r="E3270" s="0" t="n">
        <v>0</v>
      </c>
      <c r="F3270" s="27" t="s">
        <v>1535</v>
      </c>
      <c r="I3270" s="27" t="s">
        <v>166</v>
      </c>
      <c r="U3270" s="0" t="n">
        <v>161</v>
      </c>
      <c r="V3270" s="0" t="n">
        <v>0</v>
      </c>
      <c r="W3270" s="27" t="n">
        <f aca="false">MATCH(A3270,DATAS,0)</f>
        <v>1</v>
      </c>
      <c r="X3270" s="27" t="n">
        <f aca="false">IF(AND(E3270&gt;0,OR(AND(B3270&gt;=1,B3270&lt;=6),B3270=10)),1,0)</f>
        <v>0</v>
      </c>
      <c r="Y3270" s="27" t="n">
        <f aca="false">IF(AND(E3270&gt;0,B3270=10),1,0)</f>
        <v>0</v>
      </c>
      <c r="Z3270" s="0" t="str">
        <f aca="false">IF(AND(C3269=C3270,W3269=W3270-1),X3269,"")</f>
        <v/>
      </c>
      <c r="AA3270" s="0" t="str">
        <f aca="false">IF(AND(C3269=C3270,W3269=W3270-1),Y3269,"")</f>
        <v/>
      </c>
      <c r="AB3270" s="0" t="str">
        <f aca="false">IF(W3270=1,"",IF(AND(X3270=1,Z3270&lt;&gt;1),1,0))</f>
        <v/>
      </c>
      <c r="AC3270" s="0" t="str">
        <f aca="false">IF(W3270=1,"",IF(AND(Y3270=1,AA3270&lt;&gt;1),1,0))</f>
        <v/>
      </c>
      <c r="AD3270" s="33" t="str">
        <f aca="false">IF(AND(E3270&gt;0,W3270&lt;1,NOT(AND(C3271=C3270,W3271=W3270+1))),INDEX(DATAS,W3270+1),"")</f>
        <v/>
      </c>
      <c r="AE3270" s="33" t="str">
        <f aca="false">IF(AND(Y3270=1,W3270&lt;1),IF(AND(C3271=C3270,W3271=W3270+1),IF(Y3271=1,"",INDEX(DATAS,W3270+1)),INDEX(DATAS,W3270+1)),"")</f>
        <v/>
      </c>
    </row>
    <row r="3271" customFormat="false" ht="15" hidden="false" customHeight="false" outlineLevel="0" collapsed="false">
      <c r="A3271" s="33" t="n">
        <v>46309</v>
      </c>
      <c r="B3271" s="0" t="n">
        <v>13</v>
      </c>
      <c r="C3271" s="0" t="n">
        <v>7696</v>
      </c>
      <c r="E3271" s="0" t="n">
        <v>0</v>
      </c>
      <c r="F3271" s="27" t="s">
        <v>1535</v>
      </c>
      <c r="I3271" s="27" t="s">
        <v>166</v>
      </c>
      <c r="U3271" s="0" t="n">
        <v>161</v>
      </c>
      <c r="V3271" s="0" t="n">
        <v>0</v>
      </c>
      <c r="W3271" s="27" t="n">
        <f aca="false">MATCH(A3271,DATAS,0)</f>
        <v>1</v>
      </c>
      <c r="X3271" s="27" t="n">
        <f aca="false">IF(AND(E3271&gt;0,OR(AND(B3271&gt;=1,B3271&lt;=6),B3271=10)),1,0)</f>
        <v>0</v>
      </c>
      <c r="Y3271" s="27" t="n">
        <f aca="false">IF(AND(E3271&gt;0,B3271=10),1,0)</f>
        <v>0</v>
      </c>
      <c r="Z3271" s="0" t="str">
        <f aca="false">IF(AND(C3270=C3271,W3270=W3271-1),X3270,"")</f>
        <v/>
      </c>
      <c r="AA3271" s="0" t="str">
        <f aca="false">IF(AND(C3270=C3271,W3270=W3271-1),Y3270,"")</f>
        <v/>
      </c>
      <c r="AB3271" s="0" t="str">
        <f aca="false">IF(W3271=1,"",IF(AND(X3271=1,Z3271&lt;&gt;1),1,0))</f>
        <v/>
      </c>
      <c r="AC3271" s="0" t="str">
        <f aca="false">IF(W3271=1,"",IF(AND(Y3271=1,AA3271&lt;&gt;1),1,0))</f>
        <v/>
      </c>
      <c r="AD3271" s="33" t="str">
        <f aca="false">IF(AND(E3271&gt;0,W3271&lt;1,NOT(AND(C3272=C3271,W3272=W3271+1))),INDEX(DATAS,W3271+1),"")</f>
        <v/>
      </c>
      <c r="AE3271" s="33" t="str">
        <f aca="false">IF(AND(Y3271=1,W3271&lt;1),IF(AND(C3272=C3271,W3272=W3271+1),IF(Y3272=1,"",INDEX(DATAS,W3271+1)),INDEX(DATAS,W3271+1)),"")</f>
        <v/>
      </c>
    </row>
    <row r="3272" customFormat="false" ht="15" hidden="false" customHeight="false" outlineLevel="0" collapsed="false">
      <c r="A3272" s="33" t="n">
        <v>46309</v>
      </c>
      <c r="B3272" s="0" t="n">
        <v>13</v>
      </c>
      <c r="C3272" s="0" t="n">
        <v>7697</v>
      </c>
      <c r="E3272" s="0" t="n">
        <v>0</v>
      </c>
      <c r="F3272" s="27" t="s">
        <v>1536</v>
      </c>
      <c r="I3272" s="27" t="s">
        <v>166</v>
      </c>
      <c r="U3272" s="0" t="n">
        <v>160</v>
      </c>
      <c r="V3272" s="0" t="n">
        <v>0</v>
      </c>
      <c r="W3272" s="27" t="n">
        <f aca="false">MATCH(A3272,DATAS,0)</f>
        <v>1</v>
      </c>
      <c r="X3272" s="27" t="n">
        <f aca="false">IF(AND(E3272&gt;0,OR(AND(B3272&gt;=1,B3272&lt;=6),B3272=10)),1,0)</f>
        <v>0</v>
      </c>
      <c r="Y3272" s="27" t="n">
        <f aca="false">IF(AND(E3272&gt;0,B3272=10),1,0)</f>
        <v>0</v>
      </c>
      <c r="Z3272" s="0" t="str">
        <f aca="false">IF(AND(C3271=C3272,W3271=W3272-1),X3271,"")</f>
        <v/>
      </c>
      <c r="AA3272" s="0" t="str">
        <f aca="false">IF(AND(C3271=C3272,W3271=W3272-1),Y3271,"")</f>
        <v/>
      </c>
      <c r="AB3272" s="0" t="str">
        <f aca="false">IF(W3272=1,"",IF(AND(X3272=1,Z3272&lt;&gt;1),1,0))</f>
        <v/>
      </c>
      <c r="AC3272" s="0" t="str">
        <f aca="false">IF(W3272=1,"",IF(AND(Y3272=1,AA3272&lt;&gt;1),1,0))</f>
        <v/>
      </c>
      <c r="AD3272" s="33" t="str">
        <f aca="false">IF(AND(E3272&gt;0,W3272&lt;1,NOT(AND(C3273=C3272,W3273=W3272+1))),INDEX(DATAS,W3272+1),"")</f>
        <v/>
      </c>
      <c r="AE3272" s="33" t="str">
        <f aca="false">IF(AND(Y3272=1,W3272&lt;1),IF(AND(C3273=C3272,W3273=W3272+1),IF(Y3273=1,"",INDEX(DATAS,W3272+1)),INDEX(DATAS,W3272+1)),"")</f>
        <v/>
      </c>
    </row>
    <row r="3273" customFormat="false" ht="15" hidden="false" customHeight="false" outlineLevel="0" collapsed="false">
      <c r="A3273" s="33" t="n">
        <v>46309</v>
      </c>
      <c r="B3273" s="0" t="n">
        <v>13</v>
      </c>
      <c r="C3273" s="0" t="n">
        <v>7698</v>
      </c>
      <c r="E3273" s="0" t="n">
        <v>0</v>
      </c>
      <c r="F3273" s="27" t="s">
        <v>1536</v>
      </c>
      <c r="I3273" s="27" t="s">
        <v>166</v>
      </c>
      <c r="U3273" s="0" t="n">
        <v>160</v>
      </c>
      <c r="V3273" s="0" t="n">
        <v>0</v>
      </c>
      <c r="W3273" s="27" t="n">
        <f aca="false">MATCH(A3273,DATAS,0)</f>
        <v>1</v>
      </c>
      <c r="X3273" s="27" t="n">
        <f aca="false">IF(AND(E3273&gt;0,OR(AND(B3273&gt;=1,B3273&lt;=6),B3273=10)),1,0)</f>
        <v>0</v>
      </c>
      <c r="Y3273" s="27" t="n">
        <f aca="false">IF(AND(E3273&gt;0,B3273=10),1,0)</f>
        <v>0</v>
      </c>
      <c r="Z3273" s="0" t="str">
        <f aca="false">IF(AND(C3272=C3273,W3272=W3273-1),X3272,"")</f>
        <v/>
      </c>
      <c r="AA3273" s="0" t="str">
        <f aca="false">IF(AND(C3272=C3273,W3272=W3273-1),Y3272,"")</f>
        <v/>
      </c>
      <c r="AB3273" s="0" t="str">
        <f aca="false">IF(W3273=1,"",IF(AND(X3273=1,Z3273&lt;&gt;1),1,0))</f>
        <v/>
      </c>
      <c r="AC3273" s="0" t="str">
        <f aca="false">IF(W3273=1,"",IF(AND(Y3273=1,AA3273&lt;&gt;1),1,0))</f>
        <v/>
      </c>
      <c r="AD3273" s="33" t="str">
        <f aca="false">IF(AND(E3273&gt;0,W3273&lt;1,NOT(AND(C3274=C3273,W3274=W3273+1))),INDEX(DATAS,W3273+1),"")</f>
        <v/>
      </c>
      <c r="AE3273" s="33" t="str">
        <f aca="false">IF(AND(Y3273=1,W3273&lt;1),IF(AND(C3274=C3273,W3274=W3273+1),IF(Y3274=1,"",INDEX(DATAS,W3273+1)),INDEX(DATAS,W3273+1)),"")</f>
        <v/>
      </c>
    </row>
    <row r="3274" customFormat="false" ht="15" hidden="false" customHeight="false" outlineLevel="0" collapsed="false">
      <c r="A3274" s="33" t="n">
        <v>46309</v>
      </c>
      <c r="B3274" s="0" t="n">
        <v>13</v>
      </c>
      <c r="C3274" s="0" t="n">
        <v>7699</v>
      </c>
      <c r="E3274" s="0" t="n">
        <v>0</v>
      </c>
      <c r="F3274" s="27" t="s">
        <v>1536</v>
      </c>
      <c r="I3274" s="27" t="s">
        <v>166</v>
      </c>
      <c r="U3274" s="0" t="n">
        <v>160</v>
      </c>
      <c r="V3274" s="0" t="n">
        <v>0</v>
      </c>
      <c r="W3274" s="27" t="n">
        <f aca="false">MATCH(A3274,DATAS,0)</f>
        <v>1</v>
      </c>
      <c r="X3274" s="27" t="n">
        <f aca="false">IF(AND(E3274&gt;0,OR(AND(B3274&gt;=1,B3274&lt;=6),B3274=10)),1,0)</f>
        <v>0</v>
      </c>
      <c r="Y3274" s="27" t="n">
        <f aca="false">IF(AND(E3274&gt;0,B3274=10),1,0)</f>
        <v>0</v>
      </c>
      <c r="Z3274" s="0" t="str">
        <f aca="false">IF(AND(C3273=C3274,W3273=W3274-1),X3273,"")</f>
        <v/>
      </c>
      <c r="AA3274" s="0" t="str">
        <f aca="false">IF(AND(C3273=C3274,W3273=W3274-1),Y3273,"")</f>
        <v/>
      </c>
      <c r="AB3274" s="0" t="str">
        <f aca="false">IF(W3274=1,"",IF(AND(X3274=1,Z3274&lt;&gt;1),1,0))</f>
        <v/>
      </c>
      <c r="AC3274" s="0" t="str">
        <f aca="false">IF(W3274=1,"",IF(AND(Y3274=1,AA3274&lt;&gt;1),1,0))</f>
        <v/>
      </c>
      <c r="AD3274" s="33" t="str">
        <f aca="false">IF(AND(E3274&gt;0,W3274&lt;1,NOT(AND(C3275=C3274,W3275=W3274+1))),INDEX(DATAS,W3274+1),"")</f>
        <v/>
      </c>
      <c r="AE3274" s="33" t="str">
        <f aca="false">IF(AND(Y3274=1,W3274&lt;1),IF(AND(C3275=C3274,W3275=W3274+1),IF(Y3275=1,"",INDEX(DATAS,W3274+1)),INDEX(DATAS,W3274+1)),"")</f>
        <v/>
      </c>
    </row>
    <row r="3275" customFormat="false" ht="15" hidden="false" customHeight="false" outlineLevel="0" collapsed="false">
      <c r="A3275" s="33" t="n">
        <v>46309</v>
      </c>
      <c r="B3275" s="0" t="n">
        <v>13</v>
      </c>
      <c r="C3275" s="0" t="n">
        <v>7700</v>
      </c>
      <c r="E3275" s="0" t="n">
        <v>0</v>
      </c>
      <c r="F3275" s="27" t="s">
        <v>1537</v>
      </c>
      <c r="I3275" s="27" t="s">
        <v>166</v>
      </c>
      <c r="U3275" s="0" t="n">
        <v>159</v>
      </c>
      <c r="V3275" s="0" t="n">
        <v>0</v>
      </c>
      <c r="W3275" s="27" t="n">
        <f aca="false">MATCH(A3275,DATAS,0)</f>
        <v>1</v>
      </c>
      <c r="X3275" s="27" t="n">
        <f aca="false">IF(AND(E3275&gt;0,OR(AND(B3275&gt;=1,B3275&lt;=6),B3275=10)),1,0)</f>
        <v>0</v>
      </c>
      <c r="Y3275" s="27" t="n">
        <f aca="false">IF(AND(E3275&gt;0,B3275=10),1,0)</f>
        <v>0</v>
      </c>
      <c r="Z3275" s="0" t="str">
        <f aca="false">IF(AND(C3274=C3275,W3274=W3275-1),X3274,"")</f>
        <v/>
      </c>
      <c r="AA3275" s="0" t="str">
        <f aca="false">IF(AND(C3274=C3275,W3274=W3275-1),Y3274,"")</f>
        <v/>
      </c>
      <c r="AB3275" s="0" t="str">
        <f aca="false">IF(W3275=1,"",IF(AND(X3275=1,Z3275&lt;&gt;1),1,0))</f>
        <v/>
      </c>
      <c r="AC3275" s="0" t="str">
        <f aca="false">IF(W3275=1,"",IF(AND(Y3275=1,AA3275&lt;&gt;1),1,0))</f>
        <v/>
      </c>
      <c r="AD3275" s="33" t="str">
        <f aca="false">IF(AND(E3275&gt;0,W3275&lt;1,NOT(AND(C3276=C3275,W3276=W3275+1))),INDEX(DATAS,W3275+1),"")</f>
        <v/>
      </c>
      <c r="AE3275" s="33" t="str">
        <f aca="false">IF(AND(Y3275=1,W3275&lt;1),IF(AND(C3276=C3275,W3276=W3275+1),IF(Y3276=1,"",INDEX(DATAS,W3275+1)),INDEX(DATAS,W3275+1)),"")</f>
        <v/>
      </c>
    </row>
    <row r="3276" customFormat="false" ht="15" hidden="false" customHeight="false" outlineLevel="0" collapsed="false">
      <c r="A3276" s="33" t="n">
        <v>46309</v>
      </c>
      <c r="B3276" s="0" t="n">
        <v>13</v>
      </c>
      <c r="C3276" s="0" t="n">
        <v>7701</v>
      </c>
      <c r="E3276" s="0" t="n">
        <v>0</v>
      </c>
      <c r="F3276" s="27" t="s">
        <v>1537</v>
      </c>
      <c r="I3276" s="27" t="s">
        <v>166</v>
      </c>
      <c r="U3276" s="0" t="n">
        <v>159</v>
      </c>
      <c r="V3276" s="0" t="n">
        <v>0</v>
      </c>
      <c r="W3276" s="27" t="n">
        <f aca="false">MATCH(A3276,DATAS,0)</f>
        <v>1</v>
      </c>
      <c r="X3276" s="27" t="n">
        <f aca="false">IF(AND(E3276&gt;0,OR(AND(B3276&gt;=1,B3276&lt;=6),B3276=10)),1,0)</f>
        <v>0</v>
      </c>
      <c r="Y3276" s="27" t="n">
        <f aca="false">IF(AND(E3276&gt;0,B3276=10),1,0)</f>
        <v>0</v>
      </c>
      <c r="Z3276" s="0" t="str">
        <f aca="false">IF(AND(C3275=C3276,W3275=W3276-1),X3275,"")</f>
        <v/>
      </c>
      <c r="AA3276" s="0" t="str">
        <f aca="false">IF(AND(C3275=C3276,W3275=W3276-1),Y3275,"")</f>
        <v/>
      </c>
      <c r="AB3276" s="0" t="str">
        <f aca="false">IF(W3276=1,"",IF(AND(X3276=1,Z3276&lt;&gt;1),1,0))</f>
        <v/>
      </c>
      <c r="AC3276" s="0" t="str">
        <f aca="false">IF(W3276=1,"",IF(AND(Y3276=1,AA3276&lt;&gt;1),1,0))</f>
        <v/>
      </c>
      <c r="AD3276" s="33" t="str">
        <f aca="false">IF(AND(E3276&gt;0,W3276&lt;1,NOT(AND(C3277=C3276,W3277=W3276+1))),INDEX(DATAS,W3276+1),"")</f>
        <v/>
      </c>
      <c r="AE3276" s="33" t="str">
        <f aca="false">IF(AND(Y3276=1,W3276&lt;1),IF(AND(C3277=C3276,W3277=W3276+1),IF(Y3277=1,"",INDEX(DATAS,W3276+1)),INDEX(DATAS,W3276+1)),"")</f>
        <v/>
      </c>
    </row>
    <row r="3277" customFormat="false" ht="15" hidden="false" customHeight="false" outlineLevel="0" collapsed="false">
      <c r="A3277" s="33" t="n">
        <v>46309</v>
      </c>
      <c r="B3277" s="0" t="n">
        <v>13</v>
      </c>
      <c r="C3277" s="0" t="n">
        <v>7702</v>
      </c>
      <c r="E3277" s="0" t="n">
        <v>0</v>
      </c>
      <c r="F3277" s="27" t="s">
        <v>1538</v>
      </c>
      <c r="I3277" s="27" t="s">
        <v>166</v>
      </c>
      <c r="U3277" s="0" t="n">
        <v>158</v>
      </c>
      <c r="V3277" s="0" t="n">
        <v>0</v>
      </c>
      <c r="W3277" s="27" t="n">
        <f aca="false">MATCH(A3277,DATAS,0)</f>
        <v>1</v>
      </c>
      <c r="X3277" s="27" t="n">
        <f aca="false">IF(AND(E3277&gt;0,OR(AND(B3277&gt;=1,B3277&lt;=6),B3277=10)),1,0)</f>
        <v>0</v>
      </c>
      <c r="Y3277" s="27" t="n">
        <f aca="false">IF(AND(E3277&gt;0,B3277=10),1,0)</f>
        <v>0</v>
      </c>
      <c r="Z3277" s="0" t="str">
        <f aca="false">IF(AND(C3276=C3277,W3276=W3277-1),X3276,"")</f>
        <v/>
      </c>
      <c r="AA3277" s="0" t="str">
        <f aca="false">IF(AND(C3276=C3277,W3276=W3277-1),Y3276,"")</f>
        <v/>
      </c>
      <c r="AB3277" s="0" t="str">
        <f aca="false">IF(W3277=1,"",IF(AND(X3277=1,Z3277&lt;&gt;1),1,0))</f>
        <v/>
      </c>
      <c r="AC3277" s="0" t="str">
        <f aca="false">IF(W3277=1,"",IF(AND(Y3277=1,AA3277&lt;&gt;1),1,0))</f>
        <v/>
      </c>
      <c r="AD3277" s="33" t="str">
        <f aca="false">IF(AND(E3277&gt;0,W3277&lt;1,NOT(AND(C3278=C3277,W3278=W3277+1))),INDEX(DATAS,W3277+1),"")</f>
        <v/>
      </c>
      <c r="AE3277" s="33" t="str">
        <f aca="false">IF(AND(Y3277=1,W3277&lt;1),IF(AND(C3278=C3277,W3278=W3277+1),IF(Y3278=1,"",INDEX(DATAS,W3277+1)),INDEX(DATAS,W3277+1)),"")</f>
        <v/>
      </c>
    </row>
    <row r="3278" customFormat="false" ht="15" hidden="false" customHeight="false" outlineLevel="0" collapsed="false">
      <c r="A3278" s="33" t="n">
        <v>46309</v>
      </c>
      <c r="B3278" s="0" t="n">
        <v>13</v>
      </c>
      <c r="C3278" s="0" t="n">
        <v>7703</v>
      </c>
      <c r="E3278" s="0" t="n">
        <v>0</v>
      </c>
      <c r="F3278" s="27" t="s">
        <v>1538</v>
      </c>
      <c r="I3278" s="27" t="s">
        <v>166</v>
      </c>
      <c r="U3278" s="0" t="n">
        <v>158</v>
      </c>
      <c r="V3278" s="0" t="n">
        <v>0</v>
      </c>
      <c r="W3278" s="27" t="n">
        <f aca="false">MATCH(A3278,DATAS,0)</f>
        <v>1</v>
      </c>
      <c r="X3278" s="27" t="n">
        <f aca="false">IF(AND(E3278&gt;0,OR(AND(B3278&gt;=1,B3278&lt;=6),B3278=10)),1,0)</f>
        <v>0</v>
      </c>
      <c r="Y3278" s="27" t="n">
        <f aca="false">IF(AND(E3278&gt;0,B3278=10),1,0)</f>
        <v>0</v>
      </c>
      <c r="Z3278" s="0" t="str">
        <f aca="false">IF(AND(C3277=C3278,W3277=W3278-1),X3277,"")</f>
        <v/>
      </c>
      <c r="AA3278" s="0" t="str">
        <f aca="false">IF(AND(C3277=C3278,W3277=W3278-1),Y3277,"")</f>
        <v/>
      </c>
      <c r="AB3278" s="0" t="str">
        <f aca="false">IF(W3278=1,"",IF(AND(X3278=1,Z3278&lt;&gt;1),1,0))</f>
        <v/>
      </c>
      <c r="AC3278" s="0" t="str">
        <f aca="false">IF(W3278=1,"",IF(AND(Y3278=1,AA3278&lt;&gt;1),1,0))</f>
        <v/>
      </c>
      <c r="AD3278" s="33" t="str">
        <f aca="false">IF(AND(E3278&gt;0,W3278&lt;1,NOT(AND(C3279=C3278,W3279=W3278+1))),INDEX(DATAS,W3278+1),"")</f>
        <v/>
      </c>
      <c r="AE3278" s="33" t="str">
        <f aca="false">IF(AND(Y3278=1,W3278&lt;1),IF(AND(C3279=C3278,W3279=W3278+1),IF(Y3279=1,"",INDEX(DATAS,W3278+1)),INDEX(DATAS,W3278+1)),"")</f>
        <v/>
      </c>
    </row>
    <row r="3279" customFormat="false" ht="15" hidden="false" customHeight="false" outlineLevel="0" collapsed="false">
      <c r="A3279" s="33" t="n">
        <v>46309</v>
      </c>
      <c r="B3279" s="0" t="n">
        <v>13</v>
      </c>
      <c r="C3279" s="0" t="n">
        <v>7704</v>
      </c>
      <c r="E3279" s="0" t="n">
        <v>0</v>
      </c>
      <c r="F3279" s="27" t="s">
        <v>1539</v>
      </c>
      <c r="I3279" s="27" t="s">
        <v>166</v>
      </c>
      <c r="U3279" s="0" t="n">
        <v>157</v>
      </c>
      <c r="V3279" s="0" t="n">
        <v>0</v>
      </c>
      <c r="W3279" s="27" t="n">
        <f aca="false">MATCH(A3279,DATAS,0)</f>
        <v>1</v>
      </c>
      <c r="X3279" s="27" t="n">
        <f aca="false">IF(AND(E3279&gt;0,OR(AND(B3279&gt;=1,B3279&lt;=6),B3279=10)),1,0)</f>
        <v>0</v>
      </c>
      <c r="Y3279" s="27" t="n">
        <f aca="false">IF(AND(E3279&gt;0,B3279=10),1,0)</f>
        <v>0</v>
      </c>
      <c r="Z3279" s="0" t="str">
        <f aca="false">IF(AND(C3278=C3279,W3278=W3279-1),X3278,"")</f>
        <v/>
      </c>
      <c r="AA3279" s="0" t="str">
        <f aca="false">IF(AND(C3278=C3279,W3278=W3279-1),Y3278,"")</f>
        <v/>
      </c>
      <c r="AB3279" s="0" t="str">
        <f aca="false">IF(W3279=1,"",IF(AND(X3279=1,Z3279&lt;&gt;1),1,0))</f>
        <v/>
      </c>
      <c r="AC3279" s="0" t="str">
        <f aca="false">IF(W3279=1,"",IF(AND(Y3279=1,AA3279&lt;&gt;1),1,0))</f>
        <v/>
      </c>
      <c r="AD3279" s="33" t="str">
        <f aca="false">IF(AND(E3279&gt;0,W3279&lt;1,NOT(AND(C3280=C3279,W3280=W3279+1))),INDEX(DATAS,W3279+1),"")</f>
        <v/>
      </c>
      <c r="AE3279" s="33" t="str">
        <f aca="false">IF(AND(Y3279=1,W3279&lt;1),IF(AND(C3280=C3279,W3280=W3279+1),IF(Y3280=1,"",INDEX(DATAS,W3279+1)),INDEX(DATAS,W3279+1)),"")</f>
        <v/>
      </c>
    </row>
    <row r="3280" customFormat="false" ht="15" hidden="false" customHeight="false" outlineLevel="0" collapsed="false">
      <c r="A3280" s="33" t="n">
        <v>46309</v>
      </c>
      <c r="B3280" s="0" t="n">
        <v>13</v>
      </c>
      <c r="C3280" s="0" t="n">
        <v>7705</v>
      </c>
      <c r="E3280" s="0" t="n">
        <v>0</v>
      </c>
      <c r="F3280" s="27" t="s">
        <v>1539</v>
      </c>
      <c r="I3280" s="27" t="s">
        <v>166</v>
      </c>
      <c r="U3280" s="0" t="n">
        <v>157</v>
      </c>
      <c r="V3280" s="0" t="n">
        <v>0</v>
      </c>
      <c r="W3280" s="27" t="n">
        <f aca="false">MATCH(A3280,DATAS,0)</f>
        <v>1</v>
      </c>
      <c r="X3280" s="27" t="n">
        <f aca="false">IF(AND(E3280&gt;0,OR(AND(B3280&gt;=1,B3280&lt;=6),B3280=10)),1,0)</f>
        <v>0</v>
      </c>
      <c r="Y3280" s="27" t="n">
        <f aca="false">IF(AND(E3280&gt;0,B3280=10),1,0)</f>
        <v>0</v>
      </c>
      <c r="Z3280" s="0" t="str">
        <f aca="false">IF(AND(C3279=C3280,W3279=W3280-1),X3279,"")</f>
        <v/>
      </c>
      <c r="AA3280" s="0" t="str">
        <f aca="false">IF(AND(C3279=C3280,W3279=W3280-1),Y3279,"")</f>
        <v/>
      </c>
      <c r="AB3280" s="0" t="str">
        <f aca="false">IF(W3280=1,"",IF(AND(X3280=1,Z3280&lt;&gt;1),1,0))</f>
        <v/>
      </c>
      <c r="AC3280" s="0" t="str">
        <f aca="false">IF(W3280=1,"",IF(AND(Y3280=1,AA3280&lt;&gt;1),1,0))</f>
        <v/>
      </c>
      <c r="AD3280" s="33" t="str">
        <f aca="false">IF(AND(E3280&gt;0,W3280&lt;1,NOT(AND(C3281=C3280,W3281=W3280+1))),INDEX(DATAS,W3280+1),"")</f>
        <v/>
      </c>
      <c r="AE3280" s="33" t="str">
        <f aca="false">IF(AND(Y3280=1,W3280&lt;1),IF(AND(C3281=C3280,W3281=W3280+1),IF(Y3281=1,"",INDEX(DATAS,W3280+1)),INDEX(DATAS,W3280+1)),"")</f>
        <v/>
      </c>
    </row>
    <row r="3281" customFormat="false" ht="15" hidden="false" customHeight="false" outlineLevel="0" collapsed="false">
      <c r="A3281" s="33" t="n">
        <v>46309</v>
      </c>
      <c r="B3281" s="0" t="n">
        <v>13</v>
      </c>
      <c r="C3281" s="0" t="n">
        <v>7706</v>
      </c>
      <c r="E3281" s="0" t="n">
        <v>0</v>
      </c>
      <c r="F3281" s="27" t="s">
        <v>1540</v>
      </c>
      <c r="I3281" s="27" t="s">
        <v>166</v>
      </c>
      <c r="U3281" s="0" t="n">
        <v>156</v>
      </c>
      <c r="V3281" s="0" t="n">
        <v>0</v>
      </c>
      <c r="W3281" s="27" t="n">
        <f aca="false">MATCH(A3281,DATAS,0)</f>
        <v>1</v>
      </c>
      <c r="X3281" s="27" t="n">
        <f aca="false">IF(AND(E3281&gt;0,OR(AND(B3281&gt;=1,B3281&lt;=6),B3281=10)),1,0)</f>
        <v>0</v>
      </c>
      <c r="Y3281" s="27" t="n">
        <f aca="false">IF(AND(E3281&gt;0,B3281=10),1,0)</f>
        <v>0</v>
      </c>
      <c r="Z3281" s="0" t="str">
        <f aca="false">IF(AND(C3280=C3281,W3280=W3281-1),X3280,"")</f>
        <v/>
      </c>
      <c r="AA3281" s="0" t="str">
        <f aca="false">IF(AND(C3280=C3281,W3280=W3281-1),Y3280,"")</f>
        <v/>
      </c>
      <c r="AB3281" s="0" t="str">
        <f aca="false">IF(W3281=1,"",IF(AND(X3281=1,Z3281&lt;&gt;1),1,0))</f>
        <v/>
      </c>
      <c r="AC3281" s="0" t="str">
        <f aca="false">IF(W3281=1,"",IF(AND(Y3281=1,AA3281&lt;&gt;1),1,0))</f>
        <v/>
      </c>
      <c r="AD3281" s="33" t="str">
        <f aca="false">IF(AND(E3281&gt;0,W3281&lt;1,NOT(AND(C3282=C3281,W3282=W3281+1))),INDEX(DATAS,W3281+1),"")</f>
        <v/>
      </c>
      <c r="AE3281" s="33" t="str">
        <f aca="false">IF(AND(Y3281=1,W3281&lt;1),IF(AND(C3282=C3281,W3282=W3281+1),IF(Y3282=1,"",INDEX(DATAS,W3281+1)),INDEX(DATAS,W3281+1)),"")</f>
        <v/>
      </c>
    </row>
    <row r="3282" customFormat="false" ht="15" hidden="false" customHeight="false" outlineLevel="0" collapsed="false">
      <c r="A3282" s="33" t="n">
        <v>46309</v>
      </c>
      <c r="B3282" s="0" t="n">
        <v>13</v>
      </c>
      <c r="C3282" s="0" t="n">
        <v>7707</v>
      </c>
      <c r="E3282" s="0" t="n">
        <v>0</v>
      </c>
      <c r="F3282" s="27" t="s">
        <v>1541</v>
      </c>
      <c r="I3282" s="27" t="s">
        <v>166</v>
      </c>
      <c r="U3282" s="0" t="n">
        <v>155</v>
      </c>
      <c r="V3282" s="0" t="n">
        <v>0</v>
      </c>
      <c r="W3282" s="27" t="n">
        <f aca="false">MATCH(A3282,DATAS,0)</f>
        <v>1</v>
      </c>
      <c r="X3282" s="27" t="n">
        <f aca="false">IF(AND(E3282&gt;0,OR(AND(B3282&gt;=1,B3282&lt;=6),B3282=10)),1,0)</f>
        <v>0</v>
      </c>
      <c r="Y3282" s="27" t="n">
        <f aca="false">IF(AND(E3282&gt;0,B3282=10),1,0)</f>
        <v>0</v>
      </c>
      <c r="Z3282" s="0" t="str">
        <f aca="false">IF(AND(C3281=C3282,W3281=W3282-1),X3281,"")</f>
        <v/>
      </c>
      <c r="AA3282" s="0" t="str">
        <f aca="false">IF(AND(C3281=C3282,W3281=W3282-1),Y3281,"")</f>
        <v/>
      </c>
      <c r="AB3282" s="0" t="str">
        <f aca="false">IF(W3282=1,"",IF(AND(X3282=1,Z3282&lt;&gt;1),1,0))</f>
        <v/>
      </c>
      <c r="AC3282" s="0" t="str">
        <f aca="false">IF(W3282=1,"",IF(AND(Y3282=1,AA3282&lt;&gt;1),1,0))</f>
        <v/>
      </c>
      <c r="AD3282" s="33" t="str">
        <f aca="false">IF(AND(E3282&gt;0,W3282&lt;1,NOT(AND(C3283=C3282,W3283=W3282+1))),INDEX(DATAS,W3282+1),"")</f>
        <v/>
      </c>
      <c r="AE3282" s="33" t="str">
        <f aca="false">IF(AND(Y3282=1,W3282&lt;1),IF(AND(C3283=C3282,W3283=W3282+1),IF(Y3283=1,"",INDEX(DATAS,W3282+1)),INDEX(DATAS,W3282+1)),"")</f>
        <v/>
      </c>
    </row>
    <row r="3283" customFormat="false" ht="15" hidden="false" customHeight="false" outlineLevel="0" collapsed="false">
      <c r="A3283" s="33" t="n">
        <v>46309</v>
      </c>
      <c r="B3283" s="0" t="n">
        <v>13</v>
      </c>
      <c r="C3283" s="0" t="n">
        <v>7708</v>
      </c>
      <c r="E3283" s="0" t="n">
        <v>0</v>
      </c>
      <c r="F3283" s="27" t="s">
        <v>1541</v>
      </c>
      <c r="I3283" s="27" t="s">
        <v>166</v>
      </c>
      <c r="U3283" s="0" t="n">
        <v>155</v>
      </c>
      <c r="V3283" s="0" t="n">
        <v>0</v>
      </c>
      <c r="W3283" s="27" t="n">
        <f aca="false">MATCH(A3283,DATAS,0)</f>
        <v>1</v>
      </c>
      <c r="X3283" s="27" t="n">
        <f aca="false">IF(AND(E3283&gt;0,OR(AND(B3283&gt;=1,B3283&lt;=6),B3283=10)),1,0)</f>
        <v>0</v>
      </c>
      <c r="Y3283" s="27" t="n">
        <f aca="false">IF(AND(E3283&gt;0,B3283=10),1,0)</f>
        <v>0</v>
      </c>
      <c r="Z3283" s="0" t="str">
        <f aca="false">IF(AND(C3282=C3283,W3282=W3283-1),X3282,"")</f>
        <v/>
      </c>
      <c r="AA3283" s="0" t="str">
        <f aca="false">IF(AND(C3282=C3283,W3282=W3283-1),Y3282,"")</f>
        <v/>
      </c>
      <c r="AB3283" s="0" t="str">
        <f aca="false">IF(W3283=1,"",IF(AND(X3283=1,Z3283&lt;&gt;1),1,0))</f>
        <v/>
      </c>
      <c r="AC3283" s="0" t="str">
        <f aca="false">IF(W3283=1,"",IF(AND(Y3283=1,AA3283&lt;&gt;1),1,0))</f>
        <v/>
      </c>
      <c r="AD3283" s="33" t="str">
        <f aca="false">IF(AND(E3283&gt;0,W3283&lt;1,NOT(AND(C3284=C3283,W3284=W3283+1))),INDEX(DATAS,W3283+1),"")</f>
        <v/>
      </c>
      <c r="AE3283" s="33" t="str">
        <f aca="false">IF(AND(Y3283=1,W3283&lt;1),IF(AND(C3284=C3283,W3284=W3283+1),IF(Y3284=1,"",INDEX(DATAS,W3283+1)),INDEX(DATAS,W3283+1)),"")</f>
        <v/>
      </c>
    </row>
    <row r="3284" customFormat="false" ht="15" hidden="false" customHeight="false" outlineLevel="0" collapsed="false">
      <c r="A3284" s="33" t="n">
        <v>46309</v>
      </c>
      <c r="B3284" s="0" t="n">
        <v>13</v>
      </c>
      <c r="C3284" s="0" t="n">
        <v>7709</v>
      </c>
      <c r="E3284" s="0" t="n">
        <v>0</v>
      </c>
      <c r="F3284" s="27" t="s">
        <v>1541</v>
      </c>
      <c r="I3284" s="27" t="s">
        <v>166</v>
      </c>
      <c r="U3284" s="0" t="n">
        <v>155</v>
      </c>
      <c r="V3284" s="0" t="n">
        <v>0</v>
      </c>
      <c r="W3284" s="27" t="n">
        <f aca="false">MATCH(A3284,DATAS,0)</f>
        <v>1</v>
      </c>
      <c r="X3284" s="27" t="n">
        <f aca="false">IF(AND(E3284&gt;0,OR(AND(B3284&gt;=1,B3284&lt;=6),B3284=10)),1,0)</f>
        <v>0</v>
      </c>
      <c r="Y3284" s="27" t="n">
        <f aca="false">IF(AND(E3284&gt;0,B3284=10),1,0)</f>
        <v>0</v>
      </c>
      <c r="Z3284" s="0" t="str">
        <f aca="false">IF(AND(C3283=C3284,W3283=W3284-1),X3283,"")</f>
        <v/>
      </c>
      <c r="AA3284" s="0" t="str">
        <f aca="false">IF(AND(C3283=C3284,W3283=W3284-1),Y3283,"")</f>
        <v/>
      </c>
      <c r="AB3284" s="0" t="str">
        <f aca="false">IF(W3284=1,"",IF(AND(X3284=1,Z3284&lt;&gt;1),1,0))</f>
        <v/>
      </c>
      <c r="AC3284" s="0" t="str">
        <f aca="false">IF(W3284=1,"",IF(AND(Y3284=1,AA3284&lt;&gt;1),1,0))</f>
        <v/>
      </c>
      <c r="AD3284" s="33" t="str">
        <f aca="false">IF(AND(E3284&gt;0,W3284&lt;1,NOT(AND(C3285=C3284,W3285=W3284+1))),INDEX(DATAS,W3284+1),"")</f>
        <v/>
      </c>
      <c r="AE3284" s="33" t="str">
        <f aca="false">IF(AND(Y3284=1,W3284&lt;1),IF(AND(C3285=C3284,W3285=W3284+1),IF(Y3285=1,"",INDEX(DATAS,W3284+1)),INDEX(DATAS,W3284+1)),"")</f>
        <v/>
      </c>
    </row>
    <row r="3285" customFormat="false" ht="15" hidden="false" customHeight="false" outlineLevel="0" collapsed="false">
      <c r="A3285" s="33" t="n">
        <v>46309</v>
      </c>
      <c r="B3285" s="0" t="n">
        <v>13</v>
      </c>
      <c r="C3285" s="0" t="n">
        <v>7710</v>
      </c>
      <c r="E3285" s="0" t="n">
        <v>0</v>
      </c>
      <c r="F3285" s="27" t="s">
        <v>1541</v>
      </c>
      <c r="I3285" s="27" t="s">
        <v>166</v>
      </c>
      <c r="U3285" s="0" t="n">
        <v>155</v>
      </c>
      <c r="V3285" s="0" t="n">
        <v>0</v>
      </c>
      <c r="W3285" s="27" t="n">
        <f aca="false">MATCH(A3285,DATAS,0)</f>
        <v>1</v>
      </c>
      <c r="X3285" s="27" t="n">
        <f aca="false">IF(AND(E3285&gt;0,OR(AND(B3285&gt;=1,B3285&lt;=6),B3285=10)),1,0)</f>
        <v>0</v>
      </c>
      <c r="Y3285" s="27" t="n">
        <f aca="false">IF(AND(E3285&gt;0,B3285=10),1,0)</f>
        <v>0</v>
      </c>
      <c r="Z3285" s="0" t="str">
        <f aca="false">IF(AND(C3284=C3285,W3284=W3285-1),X3284,"")</f>
        <v/>
      </c>
      <c r="AA3285" s="0" t="str">
        <f aca="false">IF(AND(C3284=C3285,W3284=W3285-1),Y3284,"")</f>
        <v/>
      </c>
      <c r="AB3285" s="0" t="str">
        <f aca="false">IF(W3285=1,"",IF(AND(X3285=1,Z3285&lt;&gt;1),1,0))</f>
        <v/>
      </c>
      <c r="AC3285" s="0" t="str">
        <f aca="false">IF(W3285=1,"",IF(AND(Y3285=1,AA3285&lt;&gt;1),1,0))</f>
        <v/>
      </c>
      <c r="AD3285" s="33" t="str">
        <f aca="false">IF(AND(E3285&gt;0,W3285&lt;1,NOT(AND(C3286=C3285,W3286=W3285+1))),INDEX(DATAS,W3285+1),"")</f>
        <v/>
      </c>
      <c r="AE3285" s="33" t="str">
        <f aca="false">IF(AND(Y3285=1,W3285&lt;1),IF(AND(C3286=C3285,W3286=W3285+1),IF(Y3286=1,"",INDEX(DATAS,W3285+1)),INDEX(DATAS,W3285+1)),"")</f>
        <v/>
      </c>
    </row>
    <row r="3286" customFormat="false" ht="15" hidden="false" customHeight="false" outlineLevel="0" collapsed="false">
      <c r="A3286" s="33" t="n">
        <v>46309</v>
      </c>
      <c r="B3286" s="0" t="n">
        <v>13</v>
      </c>
      <c r="C3286" s="0" t="n">
        <v>7711</v>
      </c>
      <c r="E3286" s="0" t="n">
        <v>0</v>
      </c>
      <c r="F3286" s="27" t="s">
        <v>1541</v>
      </c>
      <c r="I3286" s="27" t="s">
        <v>166</v>
      </c>
      <c r="U3286" s="0" t="n">
        <v>155</v>
      </c>
      <c r="V3286" s="0" t="n">
        <v>0</v>
      </c>
      <c r="W3286" s="27" t="n">
        <f aca="false">MATCH(A3286,DATAS,0)</f>
        <v>1</v>
      </c>
      <c r="X3286" s="27" t="n">
        <f aca="false">IF(AND(E3286&gt;0,OR(AND(B3286&gt;=1,B3286&lt;=6),B3286=10)),1,0)</f>
        <v>0</v>
      </c>
      <c r="Y3286" s="27" t="n">
        <f aca="false">IF(AND(E3286&gt;0,B3286=10),1,0)</f>
        <v>0</v>
      </c>
      <c r="Z3286" s="0" t="str">
        <f aca="false">IF(AND(C3285=C3286,W3285=W3286-1),X3285,"")</f>
        <v/>
      </c>
      <c r="AA3286" s="0" t="str">
        <f aca="false">IF(AND(C3285=C3286,W3285=W3286-1),Y3285,"")</f>
        <v/>
      </c>
      <c r="AB3286" s="0" t="str">
        <f aca="false">IF(W3286=1,"",IF(AND(X3286=1,Z3286&lt;&gt;1),1,0))</f>
        <v/>
      </c>
      <c r="AC3286" s="0" t="str">
        <f aca="false">IF(W3286=1,"",IF(AND(Y3286=1,AA3286&lt;&gt;1),1,0))</f>
        <v/>
      </c>
      <c r="AD3286" s="33" t="str">
        <f aca="false">IF(AND(E3286&gt;0,W3286&lt;1,NOT(AND(C3287=C3286,W3287=W3286+1))),INDEX(DATAS,W3286+1),"")</f>
        <v/>
      </c>
      <c r="AE3286" s="33" t="str">
        <f aca="false">IF(AND(Y3286=1,W3286&lt;1),IF(AND(C3287=C3286,W3287=W3286+1),IF(Y3287=1,"",INDEX(DATAS,W3286+1)),INDEX(DATAS,W3286+1)),"")</f>
        <v/>
      </c>
    </row>
    <row r="3287" customFormat="false" ht="15" hidden="false" customHeight="false" outlineLevel="0" collapsed="false">
      <c r="A3287" s="33" t="n">
        <v>46309</v>
      </c>
      <c r="B3287" s="0" t="n">
        <v>13</v>
      </c>
      <c r="C3287" s="0" t="n">
        <v>7712</v>
      </c>
      <c r="E3287" s="0" t="n">
        <v>0</v>
      </c>
      <c r="F3287" s="27" t="s">
        <v>1541</v>
      </c>
      <c r="I3287" s="27" t="s">
        <v>166</v>
      </c>
      <c r="U3287" s="0" t="n">
        <v>155</v>
      </c>
      <c r="V3287" s="0" t="n">
        <v>0</v>
      </c>
      <c r="W3287" s="27" t="n">
        <f aca="false">MATCH(A3287,DATAS,0)</f>
        <v>1</v>
      </c>
      <c r="X3287" s="27" t="n">
        <f aca="false">IF(AND(E3287&gt;0,OR(AND(B3287&gt;=1,B3287&lt;=6),B3287=10)),1,0)</f>
        <v>0</v>
      </c>
      <c r="Y3287" s="27" t="n">
        <f aca="false">IF(AND(E3287&gt;0,B3287=10),1,0)</f>
        <v>0</v>
      </c>
      <c r="Z3287" s="0" t="str">
        <f aca="false">IF(AND(C3286=C3287,W3286=W3287-1),X3286,"")</f>
        <v/>
      </c>
      <c r="AA3287" s="0" t="str">
        <f aca="false">IF(AND(C3286=C3287,W3286=W3287-1),Y3286,"")</f>
        <v/>
      </c>
      <c r="AB3287" s="0" t="str">
        <f aca="false">IF(W3287=1,"",IF(AND(X3287=1,Z3287&lt;&gt;1),1,0))</f>
        <v/>
      </c>
      <c r="AC3287" s="0" t="str">
        <f aca="false">IF(W3287=1,"",IF(AND(Y3287=1,AA3287&lt;&gt;1),1,0))</f>
        <v/>
      </c>
      <c r="AD3287" s="33" t="str">
        <f aca="false">IF(AND(E3287&gt;0,W3287&lt;1,NOT(AND(C3288=C3287,W3288=W3287+1))),INDEX(DATAS,W3287+1),"")</f>
        <v/>
      </c>
      <c r="AE3287" s="33" t="str">
        <f aca="false">IF(AND(Y3287=1,W3287&lt;1),IF(AND(C3288=C3287,W3288=W3287+1),IF(Y3288=1,"",INDEX(DATAS,W3287+1)),INDEX(DATAS,W3287+1)),"")</f>
        <v/>
      </c>
    </row>
    <row r="3288" customFormat="false" ht="15" hidden="false" customHeight="false" outlineLevel="0" collapsed="false">
      <c r="A3288" s="33" t="n">
        <v>46309</v>
      </c>
      <c r="B3288" s="0" t="n">
        <v>13</v>
      </c>
      <c r="C3288" s="0" t="n">
        <v>7713</v>
      </c>
      <c r="E3288" s="0" t="n">
        <v>0</v>
      </c>
      <c r="F3288" s="27" t="s">
        <v>1541</v>
      </c>
      <c r="I3288" s="27" t="s">
        <v>166</v>
      </c>
      <c r="U3288" s="0" t="n">
        <v>155</v>
      </c>
      <c r="V3288" s="0" t="n">
        <v>0</v>
      </c>
      <c r="W3288" s="27" t="n">
        <f aca="false">MATCH(A3288,DATAS,0)</f>
        <v>1</v>
      </c>
      <c r="X3288" s="27" t="n">
        <f aca="false">IF(AND(E3288&gt;0,OR(AND(B3288&gt;=1,B3288&lt;=6),B3288=10)),1,0)</f>
        <v>0</v>
      </c>
      <c r="Y3288" s="27" t="n">
        <f aca="false">IF(AND(E3288&gt;0,B3288=10),1,0)</f>
        <v>0</v>
      </c>
      <c r="Z3288" s="0" t="str">
        <f aca="false">IF(AND(C3287=C3288,W3287=W3288-1),X3287,"")</f>
        <v/>
      </c>
      <c r="AA3288" s="0" t="str">
        <f aca="false">IF(AND(C3287=C3288,W3287=W3288-1),Y3287,"")</f>
        <v/>
      </c>
      <c r="AB3288" s="0" t="str">
        <f aca="false">IF(W3288=1,"",IF(AND(X3288=1,Z3288&lt;&gt;1),1,0))</f>
        <v/>
      </c>
      <c r="AC3288" s="0" t="str">
        <f aca="false">IF(W3288=1,"",IF(AND(Y3288=1,AA3288&lt;&gt;1),1,0))</f>
        <v/>
      </c>
      <c r="AD3288" s="33" t="str">
        <f aca="false">IF(AND(E3288&gt;0,W3288&lt;1,NOT(AND(C3289=C3288,W3289=W3288+1))),INDEX(DATAS,W3288+1),"")</f>
        <v/>
      </c>
      <c r="AE3288" s="33" t="str">
        <f aca="false">IF(AND(Y3288=1,W3288&lt;1),IF(AND(C3289=C3288,W3289=W3288+1),IF(Y3289=1,"",INDEX(DATAS,W3288+1)),INDEX(DATAS,W3288+1)),"")</f>
        <v/>
      </c>
    </row>
    <row r="3289" customFormat="false" ht="15" hidden="false" customHeight="false" outlineLevel="0" collapsed="false">
      <c r="A3289" s="33" t="n">
        <v>46309</v>
      </c>
      <c r="B3289" s="0" t="n">
        <v>13</v>
      </c>
      <c r="C3289" s="0" t="n">
        <v>7714</v>
      </c>
      <c r="E3289" s="0" t="n">
        <v>0</v>
      </c>
      <c r="F3289" s="27" t="s">
        <v>1541</v>
      </c>
      <c r="I3289" s="27" t="s">
        <v>166</v>
      </c>
      <c r="U3289" s="0" t="n">
        <v>155</v>
      </c>
      <c r="V3289" s="0" t="n">
        <v>0</v>
      </c>
      <c r="W3289" s="27" t="n">
        <f aca="false">MATCH(A3289,DATAS,0)</f>
        <v>1</v>
      </c>
      <c r="X3289" s="27" t="n">
        <f aca="false">IF(AND(E3289&gt;0,OR(AND(B3289&gt;=1,B3289&lt;=6),B3289=10)),1,0)</f>
        <v>0</v>
      </c>
      <c r="Y3289" s="27" t="n">
        <f aca="false">IF(AND(E3289&gt;0,B3289=10),1,0)</f>
        <v>0</v>
      </c>
      <c r="Z3289" s="0" t="str">
        <f aca="false">IF(AND(C3288=C3289,W3288=W3289-1),X3288,"")</f>
        <v/>
      </c>
      <c r="AA3289" s="0" t="str">
        <f aca="false">IF(AND(C3288=C3289,W3288=W3289-1),Y3288,"")</f>
        <v/>
      </c>
      <c r="AB3289" s="0" t="str">
        <f aca="false">IF(W3289=1,"",IF(AND(X3289=1,Z3289&lt;&gt;1),1,0))</f>
        <v/>
      </c>
      <c r="AC3289" s="0" t="str">
        <f aca="false">IF(W3289=1,"",IF(AND(Y3289=1,AA3289&lt;&gt;1),1,0))</f>
        <v/>
      </c>
      <c r="AD3289" s="33" t="str">
        <f aca="false">IF(AND(E3289&gt;0,W3289&lt;1,NOT(AND(C3290=C3289,W3290=W3289+1))),INDEX(DATAS,W3289+1),"")</f>
        <v/>
      </c>
      <c r="AE3289" s="33" t="str">
        <f aca="false">IF(AND(Y3289=1,W3289&lt;1),IF(AND(C3290=C3289,W3290=W3289+1),IF(Y3290=1,"",INDEX(DATAS,W3289+1)),INDEX(DATAS,W3289+1)),"")</f>
        <v/>
      </c>
    </row>
    <row r="3290" customFormat="false" ht="15" hidden="false" customHeight="false" outlineLevel="0" collapsed="false">
      <c r="A3290" s="33" t="n">
        <v>46309</v>
      </c>
      <c r="B3290" s="0" t="n">
        <v>13</v>
      </c>
      <c r="C3290" s="0" t="n">
        <v>7715</v>
      </c>
      <c r="E3290" s="0" t="n">
        <v>0</v>
      </c>
      <c r="F3290" s="27" t="s">
        <v>1542</v>
      </c>
      <c r="I3290" s="27" t="s">
        <v>166</v>
      </c>
      <c r="U3290" s="0" t="n">
        <v>154</v>
      </c>
      <c r="V3290" s="0" t="n">
        <v>0</v>
      </c>
      <c r="W3290" s="27" t="n">
        <f aca="false">MATCH(A3290,DATAS,0)</f>
        <v>1</v>
      </c>
      <c r="X3290" s="27" t="n">
        <f aca="false">IF(AND(E3290&gt;0,OR(AND(B3290&gt;=1,B3290&lt;=6),B3290=10)),1,0)</f>
        <v>0</v>
      </c>
      <c r="Y3290" s="27" t="n">
        <f aca="false">IF(AND(E3290&gt;0,B3290=10),1,0)</f>
        <v>0</v>
      </c>
      <c r="Z3290" s="0" t="str">
        <f aca="false">IF(AND(C3289=C3290,W3289=W3290-1),X3289,"")</f>
        <v/>
      </c>
      <c r="AA3290" s="0" t="str">
        <f aca="false">IF(AND(C3289=C3290,W3289=W3290-1),Y3289,"")</f>
        <v/>
      </c>
      <c r="AB3290" s="0" t="str">
        <f aca="false">IF(W3290=1,"",IF(AND(X3290=1,Z3290&lt;&gt;1),1,0))</f>
        <v/>
      </c>
      <c r="AC3290" s="0" t="str">
        <f aca="false">IF(W3290=1,"",IF(AND(Y3290=1,AA3290&lt;&gt;1),1,0))</f>
        <v/>
      </c>
      <c r="AD3290" s="33" t="str">
        <f aca="false">IF(AND(E3290&gt;0,W3290&lt;1,NOT(AND(C3291=C3290,W3291=W3290+1))),INDEX(DATAS,W3290+1),"")</f>
        <v/>
      </c>
      <c r="AE3290" s="33" t="str">
        <f aca="false">IF(AND(Y3290=1,W3290&lt;1),IF(AND(C3291=C3290,W3291=W3290+1),IF(Y3291=1,"",INDEX(DATAS,W3290+1)),INDEX(DATAS,W3290+1)),"")</f>
        <v/>
      </c>
    </row>
    <row r="3291" customFormat="false" ht="15" hidden="false" customHeight="false" outlineLevel="0" collapsed="false">
      <c r="A3291" s="33" t="n">
        <v>46309</v>
      </c>
      <c r="B3291" s="0" t="n">
        <v>13</v>
      </c>
      <c r="C3291" s="0" t="n">
        <v>7716</v>
      </c>
      <c r="E3291" s="0" t="n">
        <v>0</v>
      </c>
      <c r="F3291" s="27" t="s">
        <v>1542</v>
      </c>
      <c r="I3291" s="27" t="s">
        <v>166</v>
      </c>
      <c r="U3291" s="0" t="n">
        <v>154</v>
      </c>
      <c r="V3291" s="0" t="n">
        <v>0</v>
      </c>
      <c r="W3291" s="27" t="n">
        <f aca="false">MATCH(A3291,DATAS,0)</f>
        <v>1</v>
      </c>
      <c r="X3291" s="27" t="n">
        <f aca="false">IF(AND(E3291&gt;0,OR(AND(B3291&gt;=1,B3291&lt;=6),B3291=10)),1,0)</f>
        <v>0</v>
      </c>
      <c r="Y3291" s="27" t="n">
        <f aca="false">IF(AND(E3291&gt;0,B3291=10),1,0)</f>
        <v>0</v>
      </c>
      <c r="Z3291" s="0" t="str">
        <f aca="false">IF(AND(C3290=C3291,W3290=W3291-1),X3290,"")</f>
        <v/>
      </c>
      <c r="AA3291" s="0" t="str">
        <f aca="false">IF(AND(C3290=C3291,W3290=W3291-1),Y3290,"")</f>
        <v/>
      </c>
      <c r="AB3291" s="0" t="str">
        <f aca="false">IF(W3291=1,"",IF(AND(X3291=1,Z3291&lt;&gt;1),1,0))</f>
        <v/>
      </c>
      <c r="AC3291" s="0" t="str">
        <f aca="false">IF(W3291=1,"",IF(AND(Y3291=1,AA3291&lt;&gt;1),1,0))</f>
        <v/>
      </c>
      <c r="AD3291" s="33" t="str">
        <f aca="false">IF(AND(E3291&gt;0,W3291&lt;1,NOT(AND(C3292=C3291,W3292=W3291+1))),INDEX(DATAS,W3291+1),"")</f>
        <v/>
      </c>
      <c r="AE3291" s="33" t="str">
        <f aca="false">IF(AND(Y3291=1,W3291&lt;1),IF(AND(C3292=C3291,W3292=W3291+1),IF(Y3292=1,"",INDEX(DATAS,W3291+1)),INDEX(DATAS,W3291+1)),"")</f>
        <v/>
      </c>
    </row>
    <row r="3292" customFormat="false" ht="15" hidden="false" customHeight="false" outlineLevel="0" collapsed="false">
      <c r="A3292" s="33" t="n">
        <v>46309</v>
      </c>
      <c r="B3292" s="0" t="n">
        <v>13</v>
      </c>
      <c r="C3292" s="0" t="n">
        <v>7717</v>
      </c>
      <c r="E3292" s="0" t="n">
        <v>0</v>
      </c>
      <c r="F3292" s="27" t="s">
        <v>1542</v>
      </c>
      <c r="I3292" s="27" t="s">
        <v>166</v>
      </c>
      <c r="U3292" s="0" t="n">
        <v>154</v>
      </c>
      <c r="V3292" s="0" t="n">
        <v>0</v>
      </c>
      <c r="W3292" s="27" t="n">
        <f aca="false">MATCH(A3292,DATAS,0)</f>
        <v>1</v>
      </c>
      <c r="X3292" s="27" t="n">
        <f aca="false">IF(AND(E3292&gt;0,OR(AND(B3292&gt;=1,B3292&lt;=6),B3292=10)),1,0)</f>
        <v>0</v>
      </c>
      <c r="Y3292" s="27" t="n">
        <f aca="false">IF(AND(E3292&gt;0,B3292=10),1,0)</f>
        <v>0</v>
      </c>
      <c r="Z3292" s="0" t="str">
        <f aca="false">IF(AND(C3291=C3292,W3291=W3292-1),X3291,"")</f>
        <v/>
      </c>
      <c r="AA3292" s="0" t="str">
        <f aca="false">IF(AND(C3291=C3292,W3291=W3292-1),Y3291,"")</f>
        <v/>
      </c>
      <c r="AB3292" s="0" t="str">
        <f aca="false">IF(W3292=1,"",IF(AND(X3292=1,Z3292&lt;&gt;1),1,0))</f>
        <v/>
      </c>
      <c r="AC3292" s="0" t="str">
        <f aca="false">IF(W3292=1,"",IF(AND(Y3292=1,AA3292&lt;&gt;1),1,0))</f>
        <v/>
      </c>
      <c r="AD3292" s="33" t="str">
        <f aca="false">IF(AND(E3292&gt;0,W3292&lt;1,NOT(AND(C3293=C3292,W3293=W3292+1))),INDEX(DATAS,W3292+1),"")</f>
        <v/>
      </c>
      <c r="AE3292" s="33" t="str">
        <f aca="false">IF(AND(Y3292=1,W3292&lt;1),IF(AND(C3293=C3292,W3293=W3292+1),IF(Y3293=1,"",INDEX(DATAS,W3292+1)),INDEX(DATAS,W3292+1)),"")</f>
        <v/>
      </c>
    </row>
    <row r="3293" customFormat="false" ht="15" hidden="false" customHeight="false" outlineLevel="0" collapsed="false">
      <c r="A3293" s="33" t="n">
        <v>46309</v>
      </c>
      <c r="B3293" s="0" t="n">
        <v>13</v>
      </c>
      <c r="C3293" s="0" t="n">
        <v>7718</v>
      </c>
      <c r="E3293" s="0" t="n">
        <v>0</v>
      </c>
      <c r="F3293" s="27" t="s">
        <v>1542</v>
      </c>
      <c r="I3293" s="27" t="s">
        <v>166</v>
      </c>
      <c r="U3293" s="0" t="n">
        <v>154</v>
      </c>
      <c r="V3293" s="0" t="n">
        <v>0</v>
      </c>
      <c r="W3293" s="27" t="n">
        <f aca="false">MATCH(A3293,DATAS,0)</f>
        <v>1</v>
      </c>
      <c r="X3293" s="27" t="n">
        <f aca="false">IF(AND(E3293&gt;0,OR(AND(B3293&gt;=1,B3293&lt;=6),B3293=10)),1,0)</f>
        <v>0</v>
      </c>
      <c r="Y3293" s="27" t="n">
        <f aca="false">IF(AND(E3293&gt;0,B3293=10),1,0)</f>
        <v>0</v>
      </c>
      <c r="Z3293" s="0" t="str">
        <f aca="false">IF(AND(C3292=C3293,W3292=W3293-1),X3292,"")</f>
        <v/>
      </c>
      <c r="AA3293" s="0" t="str">
        <f aca="false">IF(AND(C3292=C3293,W3292=W3293-1),Y3292,"")</f>
        <v/>
      </c>
      <c r="AB3293" s="0" t="str">
        <f aca="false">IF(W3293=1,"",IF(AND(X3293=1,Z3293&lt;&gt;1),1,0))</f>
        <v/>
      </c>
      <c r="AC3293" s="0" t="str">
        <f aca="false">IF(W3293=1,"",IF(AND(Y3293=1,AA3293&lt;&gt;1),1,0))</f>
        <v/>
      </c>
      <c r="AD3293" s="33" t="str">
        <f aca="false">IF(AND(E3293&gt;0,W3293&lt;1,NOT(AND(C3294=C3293,W3294=W3293+1))),INDEX(DATAS,W3293+1),"")</f>
        <v/>
      </c>
      <c r="AE3293" s="33" t="str">
        <f aca="false">IF(AND(Y3293=1,W3293&lt;1),IF(AND(C3294=C3293,W3294=W3293+1),IF(Y3294=1,"",INDEX(DATAS,W3293+1)),INDEX(DATAS,W3293+1)),"")</f>
        <v/>
      </c>
    </row>
    <row r="3294" customFormat="false" ht="15" hidden="false" customHeight="false" outlineLevel="0" collapsed="false">
      <c r="A3294" s="33" t="n">
        <v>46309</v>
      </c>
      <c r="B3294" s="0" t="n">
        <v>13</v>
      </c>
      <c r="C3294" s="0" t="n">
        <v>7719</v>
      </c>
      <c r="E3294" s="0" t="n">
        <v>0</v>
      </c>
      <c r="F3294" s="27" t="s">
        <v>1542</v>
      </c>
      <c r="I3294" s="27" t="s">
        <v>166</v>
      </c>
      <c r="U3294" s="0" t="n">
        <v>154</v>
      </c>
      <c r="V3294" s="0" t="n">
        <v>0</v>
      </c>
      <c r="W3294" s="27" t="n">
        <f aca="false">MATCH(A3294,DATAS,0)</f>
        <v>1</v>
      </c>
      <c r="X3294" s="27" t="n">
        <f aca="false">IF(AND(E3294&gt;0,OR(AND(B3294&gt;=1,B3294&lt;=6),B3294=10)),1,0)</f>
        <v>0</v>
      </c>
      <c r="Y3294" s="27" t="n">
        <f aca="false">IF(AND(E3294&gt;0,B3294=10),1,0)</f>
        <v>0</v>
      </c>
      <c r="Z3294" s="0" t="str">
        <f aca="false">IF(AND(C3293=C3294,W3293=W3294-1),X3293,"")</f>
        <v/>
      </c>
      <c r="AA3294" s="0" t="str">
        <f aca="false">IF(AND(C3293=C3294,W3293=W3294-1),Y3293,"")</f>
        <v/>
      </c>
      <c r="AB3294" s="0" t="str">
        <f aca="false">IF(W3294=1,"",IF(AND(X3294=1,Z3294&lt;&gt;1),1,0))</f>
        <v/>
      </c>
      <c r="AC3294" s="0" t="str">
        <f aca="false">IF(W3294=1,"",IF(AND(Y3294=1,AA3294&lt;&gt;1),1,0))</f>
        <v/>
      </c>
      <c r="AD3294" s="33" t="str">
        <f aca="false">IF(AND(E3294&gt;0,W3294&lt;1,NOT(AND(C3295=C3294,W3295=W3294+1))),INDEX(DATAS,W3294+1),"")</f>
        <v/>
      </c>
      <c r="AE3294" s="33" t="str">
        <f aca="false">IF(AND(Y3294=1,W3294&lt;1),IF(AND(C3295=C3294,W3295=W3294+1),IF(Y3295=1,"",INDEX(DATAS,W3294+1)),INDEX(DATAS,W3294+1)),"")</f>
        <v/>
      </c>
    </row>
    <row r="3295" customFormat="false" ht="15" hidden="false" customHeight="false" outlineLevel="0" collapsed="false">
      <c r="A3295" s="33" t="n">
        <v>46309</v>
      </c>
      <c r="B3295" s="0" t="n">
        <v>13</v>
      </c>
      <c r="C3295" s="0" t="n">
        <v>7720</v>
      </c>
      <c r="E3295" s="0" t="n">
        <v>0</v>
      </c>
      <c r="F3295" s="27" t="s">
        <v>1542</v>
      </c>
      <c r="I3295" s="27" t="s">
        <v>166</v>
      </c>
      <c r="U3295" s="0" t="n">
        <v>154</v>
      </c>
      <c r="V3295" s="0" t="n">
        <v>0</v>
      </c>
      <c r="W3295" s="27" t="n">
        <f aca="false">MATCH(A3295,DATAS,0)</f>
        <v>1</v>
      </c>
      <c r="X3295" s="27" t="n">
        <f aca="false">IF(AND(E3295&gt;0,OR(AND(B3295&gt;=1,B3295&lt;=6),B3295=10)),1,0)</f>
        <v>0</v>
      </c>
      <c r="Y3295" s="27" t="n">
        <f aca="false">IF(AND(E3295&gt;0,B3295=10),1,0)</f>
        <v>0</v>
      </c>
      <c r="Z3295" s="0" t="str">
        <f aca="false">IF(AND(C3294=C3295,W3294=W3295-1),X3294,"")</f>
        <v/>
      </c>
      <c r="AA3295" s="0" t="str">
        <f aca="false">IF(AND(C3294=C3295,W3294=W3295-1),Y3294,"")</f>
        <v/>
      </c>
      <c r="AB3295" s="0" t="str">
        <f aca="false">IF(W3295=1,"",IF(AND(X3295=1,Z3295&lt;&gt;1),1,0))</f>
        <v/>
      </c>
      <c r="AC3295" s="0" t="str">
        <f aca="false">IF(W3295=1,"",IF(AND(Y3295=1,AA3295&lt;&gt;1),1,0))</f>
        <v/>
      </c>
      <c r="AD3295" s="33" t="str">
        <f aca="false">IF(AND(E3295&gt;0,W3295&lt;1,NOT(AND(C3296=C3295,W3296=W3295+1))),INDEX(DATAS,W3295+1),"")</f>
        <v/>
      </c>
      <c r="AE3295" s="33" t="str">
        <f aca="false">IF(AND(Y3295=1,W3295&lt;1),IF(AND(C3296=C3295,W3296=W3295+1),IF(Y3296=1,"",INDEX(DATAS,W3295+1)),INDEX(DATAS,W3295+1)),"")</f>
        <v/>
      </c>
    </row>
    <row r="3296" customFormat="false" ht="15" hidden="false" customHeight="false" outlineLevel="0" collapsed="false">
      <c r="A3296" s="33" t="n">
        <v>46309</v>
      </c>
      <c r="B3296" s="0" t="n">
        <v>13</v>
      </c>
      <c r="C3296" s="0" t="n">
        <v>7721</v>
      </c>
      <c r="E3296" s="0" t="n">
        <v>0</v>
      </c>
      <c r="F3296" s="27" t="s">
        <v>1542</v>
      </c>
      <c r="I3296" s="27" t="s">
        <v>166</v>
      </c>
      <c r="U3296" s="0" t="n">
        <v>154</v>
      </c>
      <c r="V3296" s="0" t="n">
        <v>0</v>
      </c>
      <c r="W3296" s="27" t="n">
        <f aca="false">MATCH(A3296,DATAS,0)</f>
        <v>1</v>
      </c>
      <c r="X3296" s="27" t="n">
        <f aca="false">IF(AND(E3296&gt;0,OR(AND(B3296&gt;=1,B3296&lt;=6),B3296=10)),1,0)</f>
        <v>0</v>
      </c>
      <c r="Y3296" s="27" t="n">
        <f aca="false">IF(AND(E3296&gt;0,B3296=10),1,0)</f>
        <v>0</v>
      </c>
      <c r="Z3296" s="0" t="str">
        <f aca="false">IF(AND(C3295=C3296,W3295=W3296-1),X3295,"")</f>
        <v/>
      </c>
      <c r="AA3296" s="0" t="str">
        <f aca="false">IF(AND(C3295=C3296,W3295=W3296-1),Y3295,"")</f>
        <v/>
      </c>
      <c r="AB3296" s="0" t="str">
        <f aca="false">IF(W3296=1,"",IF(AND(X3296=1,Z3296&lt;&gt;1),1,0))</f>
        <v/>
      </c>
      <c r="AC3296" s="0" t="str">
        <f aca="false">IF(W3296=1,"",IF(AND(Y3296=1,AA3296&lt;&gt;1),1,0))</f>
        <v/>
      </c>
      <c r="AD3296" s="33" t="str">
        <f aca="false">IF(AND(E3296&gt;0,W3296&lt;1,NOT(AND(C3297=C3296,W3297=W3296+1))),INDEX(DATAS,W3296+1),"")</f>
        <v/>
      </c>
      <c r="AE3296" s="33" t="str">
        <f aca="false">IF(AND(Y3296=1,W3296&lt;1),IF(AND(C3297=C3296,W3297=W3296+1),IF(Y3297=1,"",INDEX(DATAS,W3296+1)),INDEX(DATAS,W3296+1)),"")</f>
        <v/>
      </c>
    </row>
    <row r="3297" customFormat="false" ht="15" hidden="false" customHeight="false" outlineLevel="0" collapsed="false">
      <c r="A3297" s="33" t="n">
        <v>46309</v>
      </c>
      <c r="B3297" s="0" t="n">
        <v>13</v>
      </c>
      <c r="C3297" s="0" t="n">
        <v>7723</v>
      </c>
      <c r="E3297" s="0" t="n">
        <v>0</v>
      </c>
      <c r="F3297" s="27" t="s">
        <v>1542</v>
      </c>
      <c r="I3297" s="27" t="s">
        <v>166</v>
      </c>
      <c r="U3297" s="0" t="n">
        <v>154</v>
      </c>
      <c r="V3297" s="0" t="n">
        <v>0</v>
      </c>
      <c r="W3297" s="27" t="n">
        <f aca="false">MATCH(A3297,DATAS,0)</f>
        <v>1</v>
      </c>
      <c r="X3297" s="27" t="n">
        <f aca="false">IF(AND(E3297&gt;0,OR(AND(B3297&gt;=1,B3297&lt;=6),B3297=10)),1,0)</f>
        <v>0</v>
      </c>
      <c r="Y3297" s="27" t="n">
        <f aca="false">IF(AND(E3297&gt;0,B3297=10),1,0)</f>
        <v>0</v>
      </c>
      <c r="Z3297" s="0" t="str">
        <f aca="false">IF(AND(C3296=C3297,W3296=W3297-1),X3296,"")</f>
        <v/>
      </c>
      <c r="AA3297" s="0" t="str">
        <f aca="false">IF(AND(C3296=C3297,W3296=W3297-1),Y3296,"")</f>
        <v/>
      </c>
      <c r="AB3297" s="0" t="str">
        <f aca="false">IF(W3297=1,"",IF(AND(X3297=1,Z3297&lt;&gt;1),1,0))</f>
        <v/>
      </c>
      <c r="AC3297" s="0" t="str">
        <f aca="false">IF(W3297=1,"",IF(AND(Y3297=1,AA3297&lt;&gt;1),1,0))</f>
        <v/>
      </c>
      <c r="AD3297" s="33" t="str">
        <f aca="false">IF(AND(E3297&gt;0,W3297&lt;1,NOT(AND(C3298=C3297,W3298=W3297+1))),INDEX(DATAS,W3297+1),"")</f>
        <v/>
      </c>
      <c r="AE3297" s="33" t="str">
        <f aca="false">IF(AND(Y3297=1,W3297&lt;1),IF(AND(C3298=C3297,W3298=W3297+1),IF(Y3298=1,"",INDEX(DATAS,W3297+1)),INDEX(DATAS,W3297+1)),"")</f>
        <v/>
      </c>
    </row>
    <row r="3298" customFormat="false" ht="15" hidden="false" customHeight="false" outlineLevel="0" collapsed="false">
      <c r="A3298" s="33" t="n">
        <v>46309</v>
      </c>
      <c r="B3298" s="0" t="n">
        <v>13</v>
      </c>
      <c r="C3298" s="0" t="n">
        <v>7724</v>
      </c>
      <c r="E3298" s="0" t="n">
        <v>0</v>
      </c>
      <c r="F3298" s="27" t="s">
        <v>1543</v>
      </c>
      <c r="I3298" s="27" t="s">
        <v>166</v>
      </c>
      <c r="U3298" s="0" t="n">
        <v>153</v>
      </c>
      <c r="V3298" s="0" t="n">
        <v>0</v>
      </c>
      <c r="W3298" s="27" t="n">
        <f aca="false">MATCH(A3298,DATAS,0)</f>
        <v>1</v>
      </c>
      <c r="X3298" s="27" t="n">
        <f aca="false">IF(AND(E3298&gt;0,OR(AND(B3298&gt;=1,B3298&lt;=6),B3298=10)),1,0)</f>
        <v>0</v>
      </c>
      <c r="Y3298" s="27" t="n">
        <f aca="false">IF(AND(E3298&gt;0,B3298=10),1,0)</f>
        <v>0</v>
      </c>
      <c r="Z3298" s="0" t="str">
        <f aca="false">IF(AND(C3297=C3298,W3297=W3298-1),X3297,"")</f>
        <v/>
      </c>
      <c r="AA3298" s="0" t="str">
        <f aca="false">IF(AND(C3297=C3298,W3297=W3298-1),Y3297,"")</f>
        <v/>
      </c>
      <c r="AB3298" s="0" t="str">
        <f aca="false">IF(W3298=1,"",IF(AND(X3298=1,Z3298&lt;&gt;1),1,0))</f>
        <v/>
      </c>
      <c r="AC3298" s="0" t="str">
        <f aca="false">IF(W3298=1,"",IF(AND(Y3298=1,AA3298&lt;&gt;1),1,0))</f>
        <v/>
      </c>
      <c r="AD3298" s="33" t="str">
        <f aca="false">IF(AND(E3298&gt;0,W3298&lt;1,NOT(AND(C3299=C3298,W3299=W3298+1))),INDEX(DATAS,W3298+1),"")</f>
        <v/>
      </c>
      <c r="AE3298" s="33" t="str">
        <f aca="false">IF(AND(Y3298=1,W3298&lt;1),IF(AND(C3299=C3298,W3299=W3298+1),IF(Y3299=1,"",INDEX(DATAS,W3298+1)),INDEX(DATAS,W3298+1)),"")</f>
        <v/>
      </c>
    </row>
    <row r="3299" customFormat="false" ht="15" hidden="false" customHeight="false" outlineLevel="0" collapsed="false">
      <c r="A3299" s="33" t="n">
        <v>46309</v>
      </c>
      <c r="B3299" s="0" t="n">
        <v>13</v>
      </c>
      <c r="C3299" s="0" t="n">
        <v>7726</v>
      </c>
      <c r="E3299" s="0" t="n">
        <v>0</v>
      </c>
      <c r="F3299" s="27" t="s">
        <v>1543</v>
      </c>
      <c r="I3299" s="27" t="s">
        <v>166</v>
      </c>
      <c r="U3299" s="0" t="n">
        <v>153</v>
      </c>
      <c r="V3299" s="0" t="n">
        <v>0</v>
      </c>
      <c r="W3299" s="27" t="n">
        <f aca="false">MATCH(A3299,DATAS,0)</f>
        <v>1</v>
      </c>
      <c r="X3299" s="27" t="n">
        <f aca="false">IF(AND(E3299&gt;0,OR(AND(B3299&gt;=1,B3299&lt;=6),B3299=10)),1,0)</f>
        <v>0</v>
      </c>
      <c r="Y3299" s="27" t="n">
        <f aca="false">IF(AND(E3299&gt;0,B3299=10),1,0)</f>
        <v>0</v>
      </c>
      <c r="Z3299" s="0" t="str">
        <f aca="false">IF(AND(C3298=C3299,W3298=W3299-1),X3298,"")</f>
        <v/>
      </c>
      <c r="AA3299" s="0" t="str">
        <f aca="false">IF(AND(C3298=C3299,W3298=W3299-1),Y3298,"")</f>
        <v/>
      </c>
      <c r="AB3299" s="0" t="str">
        <f aca="false">IF(W3299=1,"",IF(AND(X3299=1,Z3299&lt;&gt;1),1,0))</f>
        <v/>
      </c>
      <c r="AC3299" s="0" t="str">
        <f aca="false">IF(W3299=1,"",IF(AND(Y3299=1,AA3299&lt;&gt;1),1,0))</f>
        <v/>
      </c>
      <c r="AD3299" s="33" t="str">
        <f aca="false">IF(AND(E3299&gt;0,W3299&lt;1,NOT(AND(C3300=C3299,W3300=W3299+1))),INDEX(DATAS,W3299+1),"")</f>
        <v/>
      </c>
      <c r="AE3299" s="33" t="str">
        <f aca="false">IF(AND(Y3299=1,W3299&lt;1),IF(AND(C3300=C3299,W3300=W3299+1),IF(Y3300=1,"",INDEX(DATAS,W3299+1)),INDEX(DATAS,W3299+1)),"")</f>
        <v/>
      </c>
    </row>
    <row r="3300" customFormat="false" ht="15" hidden="false" customHeight="false" outlineLevel="0" collapsed="false">
      <c r="A3300" s="33" t="n">
        <v>46309</v>
      </c>
      <c r="B3300" s="0" t="n">
        <v>13</v>
      </c>
      <c r="C3300" s="0" t="n">
        <v>7727</v>
      </c>
      <c r="E3300" s="0" t="n">
        <v>0</v>
      </c>
      <c r="F3300" s="27" t="s">
        <v>1543</v>
      </c>
      <c r="I3300" s="27" t="s">
        <v>166</v>
      </c>
      <c r="U3300" s="0" t="n">
        <v>153</v>
      </c>
      <c r="V3300" s="0" t="n">
        <v>0</v>
      </c>
      <c r="W3300" s="27" t="n">
        <f aca="false">MATCH(A3300,DATAS,0)</f>
        <v>1</v>
      </c>
      <c r="X3300" s="27" t="n">
        <f aca="false">IF(AND(E3300&gt;0,OR(AND(B3300&gt;=1,B3300&lt;=6),B3300=10)),1,0)</f>
        <v>0</v>
      </c>
      <c r="Y3300" s="27" t="n">
        <f aca="false">IF(AND(E3300&gt;0,B3300=10),1,0)</f>
        <v>0</v>
      </c>
      <c r="Z3300" s="0" t="str">
        <f aca="false">IF(AND(C3299=C3300,W3299=W3300-1),X3299,"")</f>
        <v/>
      </c>
      <c r="AA3300" s="0" t="str">
        <f aca="false">IF(AND(C3299=C3300,W3299=W3300-1),Y3299,"")</f>
        <v/>
      </c>
      <c r="AB3300" s="0" t="str">
        <f aca="false">IF(W3300=1,"",IF(AND(X3300=1,Z3300&lt;&gt;1),1,0))</f>
        <v/>
      </c>
      <c r="AC3300" s="0" t="str">
        <f aca="false">IF(W3300=1,"",IF(AND(Y3300=1,AA3300&lt;&gt;1),1,0))</f>
        <v/>
      </c>
      <c r="AD3300" s="33" t="str">
        <f aca="false">IF(AND(E3300&gt;0,W3300&lt;1,NOT(AND(C3301=C3300,W3301=W3300+1))),INDEX(DATAS,W3300+1),"")</f>
        <v/>
      </c>
      <c r="AE3300" s="33" t="str">
        <f aca="false">IF(AND(Y3300=1,W3300&lt;1),IF(AND(C3301=C3300,W3301=W3300+1),IF(Y3301=1,"",INDEX(DATAS,W3300+1)),INDEX(DATAS,W3300+1)),"")</f>
        <v/>
      </c>
    </row>
    <row r="3301" customFormat="false" ht="15" hidden="false" customHeight="false" outlineLevel="0" collapsed="false">
      <c r="A3301" s="33" t="n">
        <v>46309</v>
      </c>
      <c r="B3301" s="0" t="n">
        <v>13</v>
      </c>
      <c r="C3301" s="0" t="n">
        <v>7728</v>
      </c>
      <c r="E3301" s="0" t="n">
        <v>0</v>
      </c>
      <c r="F3301" s="27" t="s">
        <v>1543</v>
      </c>
      <c r="I3301" s="27" t="s">
        <v>166</v>
      </c>
      <c r="U3301" s="0" t="n">
        <v>153</v>
      </c>
      <c r="V3301" s="0" t="n">
        <v>0</v>
      </c>
      <c r="W3301" s="27" t="n">
        <f aca="false">MATCH(A3301,DATAS,0)</f>
        <v>1</v>
      </c>
      <c r="X3301" s="27" t="n">
        <f aca="false">IF(AND(E3301&gt;0,OR(AND(B3301&gt;=1,B3301&lt;=6),B3301=10)),1,0)</f>
        <v>0</v>
      </c>
      <c r="Y3301" s="27" t="n">
        <f aca="false">IF(AND(E3301&gt;0,B3301=10),1,0)</f>
        <v>0</v>
      </c>
      <c r="Z3301" s="0" t="str">
        <f aca="false">IF(AND(C3300=C3301,W3300=W3301-1),X3300,"")</f>
        <v/>
      </c>
      <c r="AA3301" s="0" t="str">
        <f aca="false">IF(AND(C3300=C3301,W3300=W3301-1),Y3300,"")</f>
        <v/>
      </c>
      <c r="AB3301" s="0" t="str">
        <f aca="false">IF(W3301=1,"",IF(AND(X3301=1,Z3301&lt;&gt;1),1,0))</f>
        <v/>
      </c>
      <c r="AC3301" s="0" t="str">
        <f aca="false">IF(W3301=1,"",IF(AND(Y3301=1,AA3301&lt;&gt;1),1,0))</f>
        <v/>
      </c>
      <c r="AD3301" s="33" t="str">
        <f aca="false">IF(AND(E3301&gt;0,W3301&lt;1,NOT(AND(C3302=C3301,W3302=W3301+1))),INDEX(DATAS,W3301+1),"")</f>
        <v/>
      </c>
      <c r="AE3301" s="33" t="str">
        <f aca="false">IF(AND(Y3301=1,W3301&lt;1),IF(AND(C3302=C3301,W3302=W3301+1),IF(Y3302=1,"",INDEX(DATAS,W3301+1)),INDEX(DATAS,W3301+1)),"")</f>
        <v/>
      </c>
    </row>
    <row r="3302" customFormat="false" ht="15" hidden="false" customHeight="false" outlineLevel="0" collapsed="false">
      <c r="A3302" s="33" t="n">
        <v>46309</v>
      </c>
      <c r="B3302" s="0" t="n">
        <v>13</v>
      </c>
      <c r="C3302" s="0" t="n">
        <v>7729</v>
      </c>
      <c r="E3302" s="0" t="n">
        <v>0</v>
      </c>
      <c r="F3302" s="27" t="s">
        <v>1543</v>
      </c>
      <c r="I3302" s="27" t="s">
        <v>166</v>
      </c>
      <c r="U3302" s="0" t="n">
        <v>153</v>
      </c>
      <c r="V3302" s="0" t="n">
        <v>0</v>
      </c>
      <c r="W3302" s="27" t="n">
        <f aca="false">MATCH(A3302,DATAS,0)</f>
        <v>1</v>
      </c>
      <c r="X3302" s="27" t="n">
        <f aca="false">IF(AND(E3302&gt;0,OR(AND(B3302&gt;=1,B3302&lt;=6),B3302=10)),1,0)</f>
        <v>0</v>
      </c>
      <c r="Y3302" s="27" t="n">
        <f aca="false">IF(AND(E3302&gt;0,B3302=10),1,0)</f>
        <v>0</v>
      </c>
      <c r="Z3302" s="0" t="str">
        <f aca="false">IF(AND(C3301=C3302,W3301=W3302-1),X3301,"")</f>
        <v/>
      </c>
      <c r="AA3302" s="0" t="str">
        <f aca="false">IF(AND(C3301=C3302,W3301=W3302-1),Y3301,"")</f>
        <v/>
      </c>
      <c r="AB3302" s="0" t="str">
        <f aca="false">IF(W3302=1,"",IF(AND(X3302=1,Z3302&lt;&gt;1),1,0))</f>
        <v/>
      </c>
      <c r="AC3302" s="0" t="str">
        <f aca="false">IF(W3302=1,"",IF(AND(Y3302=1,AA3302&lt;&gt;1),1,0))</f>
        <v/>
      </c>
      <c r="AD3302" s="33" t="str">
        <f aca="false">IF(AND(E3302&gt;0,W3302&lt;1,NOT(AND(C3303=C3302,W3303=W3302+1))),INDEX(DATAS,W3302+1),"")</f>
        <v/>
      </c>
      <c r="AE3302" s="33" t="str">
        <f aca="false">IF(AND(Y3302=1,W3302&lt;1),IF(AND(C3303=C3302,W3303=W3302+1),IF(Y3303=1,"",INDEX(DATAS,W3302+1)),INDEX(DATAS,W3302+1)),"")</f>
        <v/>
      </c>
    </row>
    <row r="3303" customFormat="false" ht="15" hidden="false" customHeight="false" outlineLevel="0" collapsed="false">
      <c r="A3303" s="33" t="n">
        <v>46309</v>
      </c>
      <c r="B3303" s="0" t="n">
        <v>13</v>
      </c>
      <c r="C3303" s="0" t="n">
        <v>7730</v>
      </c>
      <c r="E3303" s="0" t="n">
        <v>0</v>
      </c>
      <c r="F3303" s="27" t="s">
        <v>1544</v>
      </c>
      <c r="I3303" s="27" t="s">
        <v>166</v>
      </c>
      <c r="U3303" s="0" t="n">
        <v>152</v>
      </c>
      <c r="V3303" s="0" t="n">
        <v>0</v>
      </c>
      <c r="W3303" s="27" t="n">
        <f aca="false">MATCH(A3303,DATAS,0)</f>
        <v>1</v>
      </c>
      <c r="X3303" s="27" t="n">
        <f aca="false">IF(AND(E3303&gt;0,OR(AND(B3303&gt;=1,B3303&lt;=6),B3303=10)),1,0)</f>
        <v>0</v>
      </c>
      <c r="Y3303" s="27" t="n">
        <f aca="false">IF(AND(E3303&gt;0,B3303=10),1,0)</f>
        <v>0</v>
      </c>
      <c r="Z3303" s="0" t="str">
        <f aca="false">IF(AND(C3302=C3303,W3302=W3303-1),X3302,"")</f>
        <v/>
      </c>
      <c r="AA3303" s="0" t="str">
        <f aca="false">IF(AND(C3302=C3303,W3302=W3303-1),Y3302,"")</f>
        <v/>
      </c>
      <c r="AB3303" s="0" t="str">
        <f aca="false">IF(W3303=1,"",IF(AND(X3303=1,Z3303&lt;&gt;1),1,0))</f>
        <v/>
      </c>
      <c r="AC3303" s="0" t="str">
        <f aca="false">IF(W3303=1,"",IF(AND(Y3303=1,AA3303&lt;&gt;1),1,0))</f>
        <v/>
      </c>
      <c r="AD3303" s="33" t="str">
        <f aca="false">IF(AND(E3303&gt;0,W3303&lt;1,NOT(AND(C3304=C3303,W3304=W3303+1))),INDEX(DATAS,W3303+1),"")</f>
        <v/>
      </c>
      <c r="AE3303" s="33" t="str">
        <f aca="false">IF(AND(Y3303=1,W3303&lt;1),IF(AND(C3304=C3303,W3304=W3303+1),IF(Y3304=1,"",INDEX(DATAS,W3303+1)),INDEX(DATAS,W3303+1)),"")</f>
        <v/>
      </c>
    </row>
    <row r="3304" customFormat="false" ht="15" hidden="false" customHeight="false" outlineLevel="0" collapsed="false">
      <c r="A3304" s="33" t="n">
        <v>46309</v>
      </c>
      <c r="B3304" s="0" t="n">
        <v>13</v>
      </c>
      <c r="C3304" s="0" t="n">
        <v>7731</v>
      </c>
      <c r="E3304" s="0" t="n">
        <v>0</v>
      </c>
      <c r="F3304" s="27" t="s">
        <v>1544</v>
      </c>
      <c r="I3304" s="27" t="s">
        <v>166</v>
      </c>
      <c r="U3304" s="0" t="n">
        <v>152</v>
      </c>
      <c r="V3304" s="0" t="n">
        <v>0</v>
      </c>
      <c r="W3304" s="27" t="n">
        <f aca="false">MATCH(A3304,DATAS,0)</f>
        <v>1</v>
      </c>
      <c r="X3304" s="27" t="n">
        <f aca="false">IF(AND(E3304&gt;0,OR(AND(B3304&gt;=1,B3304&lt;=6),B3304=10)),1,0)</f>
        <v>0</v>
      </c>
      <c r="Y3304" s="27" t="n">
        <f aca="false">IF(AND(E3304&gt;0,B3304=10),1,0)</f>
        <v>0</v>
      </c>
      <c r="Z3304" s="0" t="str">
        <f aca="false">IF(AND(C3303=C3304,W3303=W3304-1),X3303,"")</f>
        <v/>
      </c>
      <c r="AA3304" s="0" t="str">
        <f aca="false">IF(AND(C3303=C3304,W3303=W3304-1),Y3303,"")</f>
        <v/>
      </c>
      <c r="AB3304" s="0" t="str">
        <f aca="false">IF(W3304=1,"",IF(AND(X3304=1,Z3304&lt;&gt;1),1,0))</f>
        <v/>
      </c>
      <c r="AC3304" s="0" t="str">
        <f aca="false">IF(W3304=1,"",IF(AND(Y3304=1,AA3304&lt;&gt;1),1,0))</f>
        <v/>
      </c>
      <c r="AD3304" s="33" t="str">
        <f aca="false">IF(AND(E3304&gt;0,W3304&lt;1,NOT(AND(C3305=C3304,W3305=W3304+1))),INDEX(DATAS,W3304+1),"")</f>
        <v/>
      </c>
      <c r="AE3304" s="33" t="str">
        <f aca="false">IF(AND(Y3304=1,W3304&lt;1),IF(AND(C3305=C3304,W3305=W3304+1),IF(Y3305=1,"",INDEX(DATAS,W3304+1)),INDEX(DATAS,W3304+1)),"")</f>
        <v/>
      </c>
    </row>
    <row r="3305" customFormat="false" ht="15" hidden="false" customHeight="false" outlineLevel="0" collapsed="false">
      <c r="A3305" s="33" t="n">
        <v>46309</v>
      </c>
      <c r="B3305" s="0" t="n">
        <v>13</v>
      </c>
      <c r="C3305" s="0" t="n">
        <v>7732</v>
      </c>
      <c r="E3305" s="0" t="n">
        <v>0</v>
      </c>
      <c r="F3305" s="27" t="s">
        <v>1544</v>
      </c>
      <c r="I3305" s="27" t="s">
        <v>166</v>
      </c>
      <c r="U3305" s="0" t="n">
        <v>152</v>
      </c>
      <c r="V3305" s="0" t="n">
        <v>0</v>
      </c>
      <c r="W3305" s="27" t="n">
        <f aca="false">MATCH(A3305,DATAS,0)</f>
        <v>1</v>
      </c>
      <c r="X3305" s="27" t="n">
        <f aca="false">IF(AND(E3305&gt;0,OR(AND(B3305&gt;=1,B3305&lt;=6),B3305=10)),1,0)</f>
        <v>0</v>
      </c>
      <c r="Y3305" s="27" t="n">
        <f aca="false">IF(AND(E3305&gt;0,B3305=10),1,0)</f>
        <v>0</v>
      </c>
      <c r="Z3305" s="0" t="str">
        <f aca="false">IF(AND(C3304=C3305,W3304=W3305-1),X3304,"")</f>
        <v/>
      </c>
      <c r="AA3305" s="0" t="str">
        <f aca="false">IF(AND(C3304=C3305,W3304=W3305-1),Y3304,"")</f>
        <v/>
      </c>
      <c r="AB3305" s="0" t="str">
        <f aca="false">IF(W3305=1,"",IF(AND(X3305=1,Z3305&lt;&gt;1),1,0))</f>
        <v/>
      </c>
      <c r="AC3305" s="0" t="str">
        <f aca="false">IF(W3305=1,"",IF(AND(Y3305=1,AA3305&lt;&gt;1),1,0))</f>
        <v/>
      </c>
      <c r="AD3305" s="33" t="str">
        <f aca="false">IF(AND(E3305&gt;0,W3305&lt;1,NOT(AND(C3306=C3305,W3306=W3305+1))),INDEX(DATAS,W3305+1),"")</f>
        <v/>
      </c>
      <c r="AE3305" s="33" t="str">
        <f aca="false">IF(AND(Y3305=1,W3305&lt;1),IF(AND(C3306=C3305,W3306=W3305+1),IF(Y3306=1,"",INDEX(DATAS,W3305+1)),INDEX(DATAS,W3305+1)),"")</f>
        <v/>
      </c>
    </row>
    <row r="3306" customFormat="false" ht="15" hidden="false" customHeight="false" outlineLevel="0" collapsed="false">
      <c r="A3306" s="33" t="n">
        <v>46309</v>
      </c>
      <c r="B3306" s="0" t="n">
        <v>13</v>
      </c>
      <c r="C3306" s="0" t="n">
        <v>7733</v>
      </c>
      <c r="E3306" s="0" t="n">
        <v>0</v>
      </c>
      <c r="F3306" s="27" t="s">
        <v>1545</v>
      </c>
      <c r="I3306" s="27" t="s">
        <v>166</v>
      </c>
      <c r="U3306" s="0" t="n">
        <v>150</v>
      </c>
      <c r="V3306" s="0" t="n">
        <v>0</v>
      </c>
      <c r="W3306" s="27" t="n">
        <f aca="false">MATCH(A3306,DATAS,0)</f>
        <v>1</v>
      </c>
      <c r="X3306" s="27" t="n">
        <f aca="false">IF(AND(E3306&gt;0,OR(AND(B3306&gt;=1,B3306&lt;=6),B3306=10)),1,0)</f>
        <v>0</v>
      </c>
      <c r="Y3306" s="27" t="n">
        <f aca="false">IF(AND(E3306&gt;0,B3306=10),1,0)</f>
        <v>0</v>
      </c>
      <c r="Z3306" s="0" t="str">
        <f aca="false">IF(AND(C3305=C3306,W3305=W3306-1),X3305,"")</f>
        <v/>
      </c>
      <c r="AA3306" s="0" t="str">
        <f aca="false">IF(AND(C3305=C3306,W3305=W3306-1),Y3305,"")</f>
        <v/>
      </c>
      <c r="AB3306" s="0" t="str">
        <f aca="false">IF(W3306=1,"",IF(AND(X3306=1,Z3306&lt;&gt;1),1,0))</f>
        <v/>
      </c>
      <c r="AC3306" s="0" t="str">
        <f aca="false">IF(W3306=1,"",IF(AND(Y3306=1,AA3306&lt;&gt;1),1,0))</f>
        <v/>
      </c>
      <c r="AD3306" s="33" t="str">
        <f aca="false">IF(AND(E3306&gt;0,W3306&lt;1,NOT(AND(C3307=C3306,W3307=W3306+1))),INDEX(DATAS,W3306+1),"")</f>
        <v/>
      </c>
      <c r="AE3306" s="33" t="str">
        <f aca="false">IF(AND(Y3306=1,W3306&lt;1),IF(AND(C3307=C3306,W3307=W3306+1),IF(Y3307=1,"",INDEX(DATAS,W3306+1)),INDEX(DATAS,W3306+1)),"")</f>
        <v/>
      </c>
    </row>
    <row r="3307" customFormat="false" ht="15" hidden="false" customHeight="false" outlineLevel="0" collapsed="false">
      <c r="A3307" s="33" t="n">
        <v>46309</v>
      </c>
      <c r="B3307" s="0" t="n">
        <v>13</v>
      </c>
      <c r="C3307" s="0" t="n">
        <v>7734</v>
      </c>
      <c r="E3307" s="0" t="n">
        <v>0</v>
      </c>
      <c r="F3307" s="27" t="s">
        <v>1546</v>
      </c>
      <c r="I3307" s="27" t="s">
        <v>166</v>
      </c>
      <c r="U3307" s="0" t="n">
        <v>151</v>
      </c>
      <c r="V3307" s="0" t="n">
        <v>0</v>
      </c>
      <c r="W3307" s="27" t="n">
        <f aca="false">MATCH(A3307,DATAS,0)</f>
        <v>1</v>
      </c>
      <c r="X3307" s="27" t="n">
        <f aca="false">IF(AND(E3307&gt;0,OR(AND(B3307&gt;=1,B3307&lt;=6),B3307=10)),1,0)</f>
        <v>0</v>
      </c>
      <c r="Y3307" s="27" t="n">
        <f aca="false">IF(AND(E3307&gt;0,B3307=10),1,0)</f>
        <v>0</v>
      </c>
      <c r="Z3307" s="0" t="str">
        <f aca="false">IF(AND(C3306=C3307,W3306=W3307-1),X3306,"")</f>
        <v/>
      </c>
      <c r="AA3307" s="0" t="str">
        <f aca="false">IF(AND(C3306=C3307,W3306=W3307-1),Y3306,"")</f>
        <v/>
      </c>
      <c r="AB3307" s="0" t="str">
        <f aca="false">IF(W3307=1,"",IF(AND(X3307=1,Z3307&lt;&gt;1),1,0))</f>
        <v/>
      </c>
      <c r="AC3307" s="0" t="str">
        <f aca="false">IF(W3307=1,"",IF(AND(Y3307=1,AA3307&lt;&gt;1),1,0))</f>
        <v/>
      </c>
      <c r="AD3307" s="33" t="str">
        <f aca="false">IF(AND(E3307&gt;0,W3307&lt;1,NOT(AND(C3308=C3307,W3308=W3307+1))),INDEX(DATAS,W3307+1),"")</f>
        <v/>
      </c>
      <c r="AE3307" s="33" t="str">
        <f aca="false">IF(AND(Y3307=1,W3307&lt;1),IF(AND(C3308=C3307,W3308=W3307+1),IF(Y3308=1,"",INDEX(DATAS,W3307+1)),INDEX(DATAS,W3307+1)),"")</f>
        <v/>
      </c>
    </row>
    <row r="3308" customFormat="false" ht="15" hidden="false" customHeight="false" outlineLevel="0" collapsed="false">
      <c r="A3308" s="33" t="n">
        <v>46309</v>
      </c>
      <c r="B3308" s="0" t="n">
        <v>13</v>
      </c>
      <c r="C3308" s="0" t="n">
        <v>7735</v>
      </c>
      <c r="E3308" s="0" t="n">
        <v>0</v>
      </c>
      <c r="F3308" s="27" t="s">
        <v>1547</v>
      </c>
      <c r="I3308" s="27" t="s">
        <v>166</v>
      </c>
      <c r="U3308" s="0" t="n">
        <v>149</v>
      </c>
      <c r="V3308" s="0" t="n">
        <v>0</v>
      </c>
      <c r="W3308" s="27" t="n">
        <f aca="false">MATCH(A3308,DATAS,0)</f>
        <v>1</v>
      </c>
      <c r="X3308" s="27" t="n">
        <f aca="false">IF(AND(E3308&gt;0,OR(AND(B3308&gt;=1,B3308&lt;=6),B3308=10)),1,0)</f>
        <v>0</v>
      </c>
      <c r="Y3308" s="27" t="n">
        <f aca="false">IF(AND(E3308&gt;0,B3308=10),1,0)</f>
        <v>0</v>
      </c>
      <c r="Z3308" s="0" t="str">
        <f aca="false">IF(AND(C3307=C3308,W3307=W3308-1),X3307,"")</f>
        <v/>
      </c>
      <c r="AA3308" s="0" t="str">
        <f aca="false">IF(AND(C3307=C3308,W3307=W3308-1),Y3307,"")</f>
        <v/>
      </c>
      <c r="AB3308" s="0" t="str">
        <f aca="false">IF(W3308=1,"",IF(AND(X3308=1,Z3308&lt;&gt;1),1,0))</f>
        <v/>
      </c>
      <c r="AC3308" s="0" t="str">
        <f aca="false">IF(W3308=1,"",IF(AND(Y3308=1,AA3308&lt;&gt;1),1,0))</f>
        <v/>
      </c>
      <c r="AD3308" s="33" t="str">
        <f aca="false">IF(AND(E3308&gt;0,W3308&lt;1,NOT(AND(C3309=C3308,W3309=W3308+1))),INDEX(DATAS,W3308+1),"")</f>
        <v/>
      </c>
      <c r="AE3308" s="33" t="str">
        <f aca="false">IF(AND(Y3308=1,W3308&lt;1),IF(AND(C3309=C3308,W3309=W3308+1),IF(Y3309=1,"",INDEX(DATAS,W3308+1)),INDEX(DATAS,W3308+1)),"")</f>
        <v/>
      </c>
    </row>
    <row r="3309" customFormat="false" ht="15" hidden="false" customHeight="false" outlineLevel="0" collapsed="false">
      <c r="A3309" s="33" t="n">
        <v>46309</v>
      </c>
      <c r="B3309" s="0" t="n">
        <v>13</v>
      </c>
      <c r="C3309" s="0" t="n">
        <v>7736</v>
      </c>
      <c r="E3309" s="0" t="n">
        <v>0</v>
      </c>
      <c r="F3309" s="27" t="s">
        <v>1547</v>
      </c>
      <c r="I3309" s="27" t="s">
        <v>166</v>
      </c>
      <c r="U3309" s="0" t="n">
        <v>149</v>
      </c>
      <c r="V3309" s="0" t="n">
        <v>0</v>
      </c>
      <c r="W3309" s="27" t="n">
        <f aca="false">MATCH(A3309,DATAS,0)</f>
        <v>1</v>
      </c>
      <c r="X3309" s="27" t="n">
        <f aca="false">IF(AND(E3309&gt;0,OR(AND(B3309&gt;=1,B3309&lt;=6),B3309=10)),1,0)</f>
        <v>0</v>
      </c>
      <c r="Y3309" s="27" t="n">
        <f aca="false">IF(AND(E3309&gt;0,B3309=10),1,0)</f>
        <v>0</v>
      </c>
      <c r="Z3309" s="0" t="str">
        <f aca="false">IF(AND(C3308=C3309,W3308=W3309-1),X3308,"")</f>
        <v/>
      </c>
      <c r="AA3309" s="0" t="str">
        <f aca="false">IF(AND(C3308=C3309,W3308=W3309-1),Y3308,"")</f>
        <v/>
      </c>
      <c r="AB3309" s="0" t="str">
        <f aca="false">IF(W3309=1,"",IF(AND(X3309=1,Z3309&lt;&gt;1),1,0))</f>
        <v/>
      </c>
      <c r="AC3309" s="0" t="str">
        <f aca="false">IF(W3309=1,"",IF(AND(Y3309=1,AA3309&lt;&gt;1),1,0))</f>
        <v/>
      </c>
      <c r="AD3309" s="33" t="str">
        <f aca="false">IF(AND(E3309&gt;0,W3309&lt;1,NOT(AND(C3310=C3309,W3310=W3309+1))),INDEX(DATAS,W3309+1),"")</f>
        <v/>
      </c>
      <c r="AE3309" s="33" t="str">
        <f aca="false">IF(AND(Y3309=1,W3309&lt;1),IF(AND(C3310=C3309,W3310=W3309+1),IF(Y3310=1,"",INDEX(DATAS,W3309+1)),INDEX(DATAS,W3309+1)),"")</f>
        <v/>
      </c>
    </row>
    <row r="3310" customFormat="false" ht="15" hidden="false" customHeight="false" outlineLevel="0" collapsed="false">
      <c r="A3310" s="33" t="n">
        <v>46309</v>
      </c>
      <c r="B3310" s="0" t="n">
        <v>13</v>
      </c>
      <c r="C3310" s="0" t="n">
        <v>7737</v>
      </c>
      <c r="E3310" s="0" t="n">
        <v>0</v>
      </c>
      <c r="F3310" s="27" t="s">
        <v>1547</v>
      </c>
      <c r="I3310" s="27" t="s">
        <v>166</v>
      </c>
      <c r="U3310" s="0" t="n">
        <v>149</v>
      </c>
      <c r="V3310" s="0" t="n">
        <v>0</v>
      </c>
      <c r="W3310" s="27" t="n">
        <f aca="false">MATCH(A3310,DATAS,0)</f>
        <v>1</v>
      </c>
      <c r="X3310" s="27" t="n">
        <f aca="false">IF(AND(E3310&gt;0,OR(AND(B3310&gt;=1,B3310&lt;=6),B3310=10)),1,0)</f>
        <v>0</v>
      </c>
      <c r="Y3310" s="27" t="n">
        <f aca="false">IF(AND(E3310&gt;0,B3310=10),1,0)</f>
        <v>0</v>
      </c>
      <c r="Z3310" s="0" t="str">
        <f aca="false">IF(AND(C3309=C3310,W3309=W3310-1),X3309,"")</f>
        <v/>
      </c>
      <c r="AA3310" s="0" t="str">
        <f aca="false">IF(AND(C3309=C3310,W3309=W3310-1),Y3309,"")</f>
        <v/>
      </c>
      <c r="AB3310" s="0" t="str">
        <f aca="false">IF(W3310=1,"",IF(AND(X3310=1,Z3310&lt;&gt;1),1,0))</f>
        <v/>
      </c>
      <c r="AC3310" s="0" t="str">
        <f aca="false">IF(W3310=1,"",IF(AND(Y3310=1,AA3310&lt;&gt;1),1,0))</f>
        <v/>
      </c>
      <c r="AD3310" s="33" t="str">
        <f aca="false">IF(AND(E3310&gt;0,W3310&lt;1,NOT(AND(C3311=C3310,W3311=W3310+1))),INDEX(DATAS,W3310+1),"")</f>
        <v/>
      </c>
      <c r="AE3310" s="33" t="str">
        <f aca="false">IF(AND(Y3310=1,W3310&lt;1),IF(AND(C3311=C3310,W3311=W3310+1),IF(Y3311=1,"",INDEX(DATAS,W3310+1)),INDEX(DATAS,W3310+1)),"")</f>
        <v/>
      </c>
    </row>
    <row r="3311" customFormat="false" ht="15" hidden="false" customHeight="false" outlineLevel="0" collapsed="false">
      <c r="A3311" s="33" t="n">
        <v>46309</v>
      </c>
      <c r="B3311" s="0" t="n">
        <v>13</v>
      </c>
      <c r="C3311" s="0" t="n">
        <v>7738</v>
      </c>
      <c r="E3311" s="0" t="n">
        <v>0</v>
      </c>
      <c r="F3311" s="27" t="s">
        <v>1547</v>
      </c>
      <c r="I3311" s="27" t="s">
        <v>166</v>
      </c>
      <c r="U3311" s="0" t="n">
        <v>149</v>
      </c>
      <c r="V3311" s="0" t="n">
        <v>0</v>
      </c>
      <c r="W3311" s="27" t="n">
        <f aca="false">MATCH(A3311,DATAS,0)</f>
        <v>1</v>
      </c>
      <c r="X3311" s="27" t="n">
        <f aca="false">IF(AND(E3311&gt;0,OR(AND(B3311&gt;=1,B3311&lt;=6),B3311=10)),1,0)</f>
        <v>0</v>
      </c>
      <c r="Y3311" s="27" t="n">
        <f aca="false">IF(AND(E3311&gt;0,B3311=10),1,0)</f>
        <v>0</v>
      </c>
      <c r="Z3311" s="0" t="str">
        <f aca="false">IF(AND(C3310=C3311,W3310=W3311-1),X3310,"")</f>
        <v/>
      </c>
      <c r="AA3311" s="0" t="str">
        <f aca="false">IF(AND(C3310=C3311,W3310=W3311-1),Y3310,"")</f>
        <v/>
      </c>
      <c r="AB3311" s="0" t="str">
        <f aca="false">IF(W3311=1,"",IF(AND(X3311=1,Z3311&lt;&gt;1),1,0))</f>
        <v/>
      </c>
      <c r="AC3311" s="0" t="str">
        <f aca="false">IF(W3311=1,"",IF(AND(Y3311=1,AA3311&lt;&gt;1),1,0))</f>
        <v/>
      </c>
      <c r="AD3311" s="33" t="str">
        <f aca="false">IF(AND(E3311&gt;0,W3311&lt;1,NOT(AND(C3312=C3311,W3312=W3311+1))),INDEX(DATAS,W3311+1),"")</f>
        <v/>
      </c>
      <c r="AE3311" s="33" t="str">
        <f aca="false">IF(AND(Y3311=1,W3311&lt;1),IF(AND(C3312=C3311,W3312=W3311+1),IF(Y3312=1,"",INDEX(DATAS,W3311+1)),INDEX(DATAS,W3311+1)),"")</f>
        <v/>
      </c>
    </row>
    <row r="3312" customFormat="false" ht="15" hidden="false" customHeight="false" outlineLevel="0" collapsed="false">
      <c r="A3312" s="33" t="n">
        <v>46309</v>
      </c>
      <c r="B3312" s="0" t="n">
        <v>13</v>
      </c>
      <c r="C3312" s="0" t="n">
        <v>7739</v>
      </c>
      <c r="E3312" s="0" t="n">
        <v>0</v>
      </c>
      <c r="F3312" s="27" t="s">
        <v>1548</v>
      </c>
      <c r="I3312" s="27" t="s">
        <v>166</v>
      </c>
      <c r="U3312" s="0" t="n">
        <v>148</v>
      </c>
      <c r="V3312" s="0" t="n">
        <v>0</v>
      </c>
      <c r="W3312" s="27" t="n">
        <f aca="false">MATCH(A3312,DATAS,0)</f>
        <v>1</v>
      </c>
      <c r="X3312" s="27" t="n">
        <f aca="false">IF(AND(E3312&gt;0,OR(AND(B3312&gt;=1,B3312&lt;=6),B3312=10)),1,0)</f>
        <v>0</v>
      </c>
      <c r="Y3312" s="27" t="n">
        <f aca="false">IF(AND(E3312&gt;0,B3312=10),1,0)</f>
        <v>0</v>
      </c>
      <c r="Z3312" s="0" t="str">
        <f aca="false">IF(AND(C3311=C3312,W3311=W3312-1),X3311,"")</f>
        <v/>
      </c>
      <c r="AA3312" s="0" t="str">
        <f aca="false">IF(AND(C3311=C3312,W3311=W3312-1),Y3311,"")</f>
        <v/>
      </c>
      <c r="AB3312" s="0" t="str">
        <f aca="false">IF(W3312=1,"",IF(AND(X3312=1,Z3312&lt;&gt;1),1,0))</f>
        <v/>
      </c>
      <c r="AC3312" s="0" t="str">
        <f aca="false">IF(W3312=1,"",IF(AND(Y3312=1,AA3312&lt;&gt;1),1,0))</f>
        <v/>
      </c>
      <c r="AD3312" s="33" t="str">
        <f aca="false">IF(AND(E3312&gt;0,W3312&lt;1,NOT(AND(C3313=C3312,W3313=W3312+1))),INDEX(DATAS,W3312+1),"")</f>
        <v/>
      </c>
      <c r="AE3312" s="33" t="str">
        <f aca="false">IF(AND(Y3312=1,W3312&lt;1),IF(AND(C3313=C3312,W3313=W3312+1),IF(Y3313=1,"",INDEX(DATAS,W3312+1)),INDEX(DATAS,W3312+1)),"")</f>
        <v/>
      </c>
    </row>
    <row r="3313" customFormat="false" ht="15" hidden="false" customHeight="false" outlineLevel="0" collapsed="false">
      <c r="A3313" s="33" t="n">
        <v>46309</v>
      </c>
      <c r="B3313" s="0" t="n">
        <v>13</v>
      </c>
      <c r="C3313" s="0" t="n">
        <v>7740</v>
      </c>
      <c r="E3313" s="0" t="n">
        <v>0</v>
      </c>
      <c r="F3313" s="27" t="s">
        <v>1549</v>
      </c>
      <c r="I3313" s="27" t="s">
        <v>166</v>
      </c>
      <c r="U3313" s="0" t="n">
        <v>147</v>
      </c>
      <c r="V3313" s="0" t="n">
        <v>0</v>
      </c>
      <c r="W3313" s="27" t="n">
        <f aca="false">MATCH(A3313,DATAS,0)</f>
        <v>1</v>
      </c>
      <c r="X3313" s="27" t="n">
        <f aca="false">IF(AND(E3313&gt;0,OR(AND(B3313&gt;=1,B3313&lt;=6),B3313=10)),1,0)</f>
        <v>0</v>
      </c>
      <c r="Y3313" s="27" t="n">
        <f aca="false">IF(AND(E3313&gt;0,B3313=10),1,0)</f>
        <v>0</v>
      </c>
      <c r="Z3313" s="0" t="str">
        <f aca="false">IF(AND(C3312=C3313,W3312=W3313-1),X3312,"")</f>
        <v/>
      </c>
      <c r="AA3313" s="0" t="str">
        <f aca="false">IF(AND(C3312=C3313,W3312=W3313-1),Y3312,"")</f>
        <v/>
      </c>
      <c r="AB3313" s="0" t="str">
        <f aca="false">IF(W3313=1,"",IF(AND(X3313=1,Z3313&lt;&gt;1),1,0))</f>
        <v/>
      </c>
      <c r="AC3313" s="0" t="str">
        <f aca="false">IF(W3313=1,"",IF(AND(Y3313=1,AA3313&lt;&gt;1),1,0))</f>
        <v/>
      </c>
      <c r="AD3313" s="33" t="str">
        <f aca="false">IF(AND(E3313&gt;0,W3313&lt;1,NOT(AND(C3314=C3313,W3314=W3313+1))),INDEX(DATAS,W3313+1),"")</f>
        <v/>
      </c>
      <c r="AE3313" s="33" t="str">
        <f aca="false">IF(AND(Y3313=1,W3313&lt;1),IF(AND(C3314=C3313,W3314=W3313+1),IF(Y3314=1,"",INDEX(DATAS,W3313+1)),INDEX(DATAS,W3313+1)),"")</f>
        <v/>
      </c>
    </row>
    <row r="3314" customFormat="false" ht="15" hidden="false" customHeight="false" outlineLevel="0" collapsed="false">
      <c r="A3314" s="33" t="n">
        <v>46309</v>
      </c>
      <c r="B3314" s="0" t="n">
        <v>13</v>
      </c>
      <c r="C3314" s="0" t="n">
        <v>7742</v>
      </c>
      <c r="E3314" s="0" t="n">
        <v>0</v>
      </c>
      <c r="F3314" s="27" t="s">
        <v>1550</v>
      </c>
      <c r="I3314" s="27" t="s">
        <v>166</v>
      </c>
      <c r="U3314" s="0" t="n">
        <v>146</v>
      </c>
      <c r="V3314" s="0" t="n">
        <v>0</v>
      </c>
      <c r="W3314" s="27" t="n">
        <f aca="false">MATCH(A3314,DATAS,0)</f>
        <v>1</v>
      </c>
      <c r="X3314" s="27" t="n">
        <f aca="false">IF(AND(E3314&gt;0,OR(AND(B3314&gt;=1,B3314&lt;=6),B3314=10)),1,0)</f>
        <v>0</v>
      </c>
      <c r="Y3314" s="27" t="n">
        <f aca="false">IF(AND(E3314&gt;0,B3314=10),1,0)</f>
        <v>0</v>
      </c>
      <c r="Z3314" s="0" t="str">
        <f aca="false">IF(AND(C3313=C3314,W3313=W3314-1),X3313,"")</f>
        <v/>
      </c>
      <c r="AA3314" s="0" t="str">
        <f aca="false">IF(AND(C3313=C3314,W3313=W3314-1),Y3313,"")</f>
        <v/>
      </c>
      <c r="AB3314" s="0" t="str">
        <f aca="false">IF(W3314=1,"",IF(AND(X3314=1,Z3314&lt;&gt;1),1,0))</f>
        <v/>
      </c>
      <c r="AC3314" s="0" t="str">
        <f aca="false">IF(W3314=1,"",IF(AND(Y3314=1,AA3314&lt;&gt;1),1,0))</f>
        <v/>
      </c>
      <c r="AD3314" s="33" t="str">
        <f aca="false">IF(AND(E3314&gt;0,W3314&lt;1,NOT(AND(C3315=C3314,W3315=W3314+1))),INDEX(DATAS,W3314+1),"")</f>
        <v/>
      </c>
      <c r="AE3314" s="33" t="str">
        <f aca="false">IF(AND(Y3314=1,W3314&lt;1),IF(AND(C3315=C3314,W3315=W3314+1),IF(Y3315=1,"",INDEX(DATAS,W3314+1)),INDEX(DATAS,W3314+1)),"")</f>
        <v/>
      </c>
    </row>
    <row r="3315" customFormat="false" ht="15" hidden="false" customHeight="false" outlineLevel="0" collapsed="false">
      <c r="A3315" s="33" t="n">
        <v>46309</v>
      </c>
      <c r="B3315" s="0" t="n">
        <v>13</v>
      </c>
      <c r="C3315" s="0" t="n">
        <v>7743</v>
      </c>
      <c r="E3315" s="0" t="n">
        <v>0</v>
      </c>
      <c r="F3315" s="27" t="s">
        <v>1550</v>
      </c>
      <c r="I3315" s="27" t="s">
        <v>166</v>
      </c>
      <c r="U3315" s="0" t="n">
        <v>146</v>
      </c>
      <c r="V3315" s="0" t="n">
        <v>0</v>
      </c>
      <c r="W3315" s="27" t="n">
        <f aca="false">MATCH(A3315,DATAS,0)</f>
        <v>1</v>
      </c>
      <c r="X3315" s="27" t="n">
        <f aca="false">IF(AND(E3315&gt;0,OR(AND(B3315&gt;=1,B3315&lt;=6),B3315=10)),1,0)</f>
        <v>0</v>
      </c>
      <c r="Y3315" s="27" t="n">
        <f aca="false">IF(AND(E3315&gt;0,B3315=10),1,0)</f>
        <v>0</v>
      </c>
      <c r="Z3315" s="0" t="str">
        <f aca="false">IF(AND(C3314=C3315,W3314=W3315-1),X3314,"")</f>
        <v/>
      </c>
      <c r="AA3315" s="0" t="str">
        <f aca="false">IF(AND(C3314=C3315,W3314=W3315-1),Y3314,"")</f>
        <v/>
      </c>
      <c r="AB3315" s="0" t="str">
        <f aca="false">IF(W3315=1,"",IF(AND(X3315=1,Z3315&lt;&gt;1),1,0))</f>
        <v/>
      </c>
      <c r="AC3315" s="0" t="str">
        <f aca="false">IF(W3315=1,"",IF(AND(Y3315=1,AA3315&lt;&gt;1),1,0))</f>
        <v/>
      </c>
      <c r="AD3315" s="33" t="str">
        <f aca="false">IF(AND(E3315&gt;0,W3315&lt;1,NOT(AND(C3316=C3315,W3316=W3315+1))),INDEX(DATAS,W3315+1),"")</f>
        <v/>
      </c>
      <c r="AE3315" s="33" t="str">
        <f aca="false">IF(AND(Y3315=1,W3315&lt;1),IF(AND(C3316=C3315,W3316=W3315+1),IF(Y3316=1,"",INDEX(DATAS,W3315+1)),INDEX(DATAS,W3315+1)),"")</f>
        <v/>
      </c>
    </row>
    <row r="3316" customFormat="false" ht="15" hidden="false" customHeight="false" outlineLevel="0" collapsed="false">
      <c r="A3316" s="33" t="n">
        <v>46309</v>
      </c>
      <c r="B3316" s="0" t="n">
        <v>13</v>
      </c>
      <c r="C3316" s="0" t="n">
        <v>7744</v>
      </c>
      <c r="E3316" s="0" t="n">
        <v>0</v>
      </c>
      <c r="F3316" s="27" t="s">
        <v>1551</v>
      </c>
      <c r="I3316" s="27" t="s">
        <v>166</v>
      </c>
      <c r="U3316" s="0" t="n">
        <v>145</v>
      </c>
      <c r="V3316" s="0" t="n">
        <v>0</v>
      </c>
      <c r="W3316" s="27" t="n">
        <f aca="false">MATCH(A3316,DATAS,0)</f>
        <v>1</v>
      </c>
      <c r="X3316" s="27" t="n">
        <f aca="false">IF(AND(E3316&gt;0,OR(AND(B3316&gt;=1,B3316&lt;=6),B3316=10)),1,0)</f>
        <v>0</v>
      </c>
      <c r="Y3316" s="27" t="n">
        <f aca="false">IF(AND(E3316&gt;0,B3316=10),1,0)</f>
        <v>0</v>
      </c>
      <c r="Z3316" s="0" t="str">
        <f aca="false">IF(AND(C3315=C3316,W3315=W3316-1),X3315,"")</f>
        <v/>
      </c>
      <c r="AA3316" s="0" t="str">
        <f aca="false">IF(AND(C3315=C3316,W3315=W3316-1),Y3315,"")</f>
        <v/>
      </c>
      <c r="AB3316" s="0" t="str">
        <f aca="false">IF(W3316=1,"",IF(AND(X3316=1,Z3316&lt;&gt;1),1,0))</f>
        <v/>
      </c>
      <c r="AC3316" s="0" t="str">
        <f aca="false">IF(W3316=1,"",IF(AND(Y3316=1,AA3316&lt;&gt;1),1,0))</f>
        <v/>
      </c>
      <c r="AD3316" s="33" t="str">
        <f aca="false">IF(AND(E3316&gt;0,W3316&lt;1,NOT(AND(C3317=C3316,W3317=W3316+1))),INDEX(DATAS,W3316+1),"")</f>
        <v/>
      </c>
      <c r="AE3316" s="33" t="str">
        <f aca="false">IF(AND(Y3316=1,W3316&lt;1),IF(AND(C3317=C3316,W3317=W3316+1),IF(Y3317=1,"",INDEX(DATAS,W3316+1)),INDEX(DATAS,W3316+1)),"")</f>
        <v/>
      </c>
    </row>
    <row r="3317" customFormat="false" ht="15" hidden="false" customHeight="false" outlineLevel="0" collapsed="false">
      <c r="A3317" s="33" t="n">
        <v>46309</v>
      </c>
      <c r="B3317" s="0" t="n">
        <v>13</v>
      </c>
      <c r="C3317" s="0" t="n">
        <v>7745</v>
      </c>
      <c r="E3317" s="0" t="n">
        <v>0</v>
      </c>
      <c r="F3317" s="27" t="s">
        <v>1552</v>
      </c>
      <c r="I3317" s="27" t="s">
        <v>166</v>
      </c>
      <c r="U3317" s="0" t="n">
        <v>144</v>
      </c>
      <c r="V3317" s="0" t="n">
        <v>0</v>
      </c>
      <c r="W3317" s="27" t="n">
        <f aca="false">MATCH(A3317,DATAS,0)</f>
        <v>1</v>
      </c>
      <c r="X3317" s="27" t="n">
        <f aca="false">IF(AND(E3317&gt;0,OR(AND(B3317&gt;=1,B3317&lt;=6),B3317=10)),1,0)</f>
        <v>0</v>
      </c>
      <c r="Y3317" s="27" t="n">
        <f aca="false">IF(AND(E3317&gt;0,B3317=10),1,0)</f>
        <v>0</v>
      </c>
      <c r="Z3317" s="0" t="str">
        <f aca="false">IF(AND(C3316=C3317,W3316=W3317-1),X3316,"")</f>
        <v/>
      </c>
      <c r="AA3317" s="0" t="str">
        <f aca="false">IF(AND(C3316=C3317,W3316=W3317-1),Y3316,"")</f>
        <v/>
      </c>
      <c r="AB3317" s="0" t="str">
        <f aca="false">IF(W3317=1,"",IF(AND(X3317=1,Z3317&lt;&gt;1),1,0))</f>
        <v/>
      </c>
      <c r="AC3317" s="0" t="str">
        <f aca="false">IF(W3317=1,"",IF(AND(Y3317=1,AA3317&lt;&gt;1),1,0))</f>
        <v/>
      </c>
      <c r="AD3317" s="33" t="str">
        <f aca="false">IF(AND(E3317&gt;0,W3317&lt;1,NOT(AND(C3318=C3317,W3318=W3317+1))),INDEX(DATAS,W3317+1),"")</f>
        <v/>
      </c>
      <c r="AE3317" s="33" t="str">
        <f aca="false">IF(AND(Y3317=1,W3317&lt;1),IF(AND(C3318=C3317,W3318=W3317+1),IF(Y3318=1,"",INDEX(DATAS,W3317+1)),INDEX(DATAS,W3317+1)),"")</f>
        <v/>
      </c>
    </row>
    <row r="3318" customFormat="false" ht="15" hidden="false" customHeight="false" outlineLevel="0" collapsed="false">
      <c r="A3318" s="33" t="n">
        <v>46309</v>
      </c>
      <c r="B3318" s="0" t="n">
        <v>13</v>
      </c>
      <c r="C3318" s="0" t="n">
        <v>7746</v>
      </c>
      <c r="E3318" s="0" t="n">
        <v>0</v>
      </c>
      <c r="F3318" s="27" t="s">
        <v>1552</v>
      </c>
      <c r="I3318" s="27" t="s">
        <v>166</v>
      </c>
      <c r="U3318" s="0" t="n">
        <v>144</v>
      </c>
      <c r="V3318" s="0" t="n">
        <v>0</v>
      </c>
      <c r="W3318" s="27" t="n">
        <f aca="false">MATCH(A3318,DATAS,0)</f>
        <v>1</v>
      </c>
      <c r="X3318" s="27" t="n">
        <f aca="false">IF(AND(E3318&gt;0,OR(AND(B3318&gt;=1,B3318&lt;=6),B3318=10)),1,0)</f>
        <v>0</v>
      </c>
      <c r="Y3318" s="27" t="n">
        <f aca="false">IF(AND(E3318&gt;0,B3318=10),1,0)</f>
        <v>0</v>
      </c>
      <c r="Z3318" s="0" t="str">
        <f aca="false">IF(AND(C3317=C3318,W3317=W3318-1),X3317,"")</f>
        <v/>
      </c>
      <c r="AA3318" s="0" t="str">
        <f aca="false">IF(AND(C3317=C3318,W3317=W3318-1),Y3317,"")</f>
        <v/>
      </c>
      <c r="AB3318" s="0" t="str">
        <f aca="false">IF(W3318=1,"",IF(AND(X3318=1,Z3318&lt;&gt;1),1,0))</f>
        <v/>
      </c>
      <c r="AC3318" s="0" t="str">
        <f aca="false">IF(W3318=1,"",IF(AND(Y3318=1,AA3318&lt;&gt;1),1,0))</f>
        <v/>
      </c>
      <c r="AD3318" s="33" t="str">
        <f aca="false">IF(AND(E3318&gt;0,W3318&lt;1,NOT(AND(C3319=C3318,W3319=W3318+1))),INDEX(DATAS,W3318+1),"")</f>
        <v/>
      </c>
      <c r="AE3318" s="33" t="str">
        <f aca="false">IF(AND(Y3318=1,W3318&lt;1),IF(AND(C3319=C3318,W3319=W3318+1),IF(Y3319=1,"",INDEX(DATAS,W3318+1)),INDEX(DATAS,W3318+1)),"")</f>
        <v/>
      </c>
    </row>
    <row r="3319" customFormat="false" ht="15" hidden="false" customHeight="false" outlineLevel="0" collapsed="false">
      <c r="A3319" s="33" t="n">
        <v>46309</v>
      </c>
      <c r="B3319" s="0" t="n">
        <v>13</v>
      </c>
      <c r="C3319" s="0" t="n">
        <v>7747</v>
      </c>
      <c r="E3319" s="0" t="n">
        <v>0</v>
      </c>
      <c r="F3319" s="27" t="s">
        <v>1552</v>
      </c>
      <c r="I3319" s="27" t="s">
        <v>166</v>
      </c>
      <c r="U3319" s="0" t="n">
        <v>144</v>
      </c>
      <c r="V3319" s="0" t="n">
        <v>0</v>
      </c>
      <c r="W3319" s="27" t="n">
        <f aca="false">MATCH(A3319,DATAS,0)</f>
        <v>1</v>
      </c>
      <c r="X3319" s="27" t="n">
        <f aca="false">IF(AND(E3319&gt;0,OR(AND(B3319&gt;=1,B3319&lt;=6),B3319=10)),1,0)</f>
        <v>0</v>
      </c>
      <c r="Y3319" s="27" t="n">
        <f aca="false">IF(AND(E3319&gt;0,B3319=10),1,0)</f>
        <v>0</v>
      </c>
      <c r="Z3319" s="0" t="str">
        <f aca="false">IF(AND(C3318=C3319,W3318=W3319-1),X3318,"")</f>
        <v/>
      </c>
      <c r="AA3319" s="0" t="str">
        <f aca="false">IF(AND(C3318=C3319,W3318=W3319-1),Y3318,"")</f>
        <v/>
      </c>
      <c r="AB3319" s="0" t="str">
        <f aca="false">IF(W3319=1,"",IF(AND(X3319=1,Z3319&lt;&gt;1),1,0))</f>
        <v/>
      </c>
      <c r="AC3319" s="0" t="str">
        <f aca="false">IF(W3319=1,"",IF(AND(Y3319=1,AA3319&lt;&gt;1),1,0))</f>
        <v/>
      </c>
      <c r="AD3319" s="33" t="str">
        <f aca="false">IF(AND(E3319&gt;0,W3319&lt;1,NOT(AND(C3320=C3319,W3320=W3319+1))),INDEX(DATAS,W3319+1),"")</f>
        <v/>
      </c>
      <c r="AE3319" s="33" t="str">
        <f aca="false">IF(AND(Y3319=1,W3319&lt;1),IF(AND(C3320=C3319,W3320=W3319+1),IF(Y3320=1,"",INDEX(DATAS,W3319+1)),INDEX(DATAS,W3319+1)),"")</f>
        <v/>
      </c>
    </row>
    <row r="3320" customFormat="false" ht="15" hidden="false" customHeight="false" outlineLevel="0" collapsed="false">
      <c r="A3320" s="33" t="n">
        <v>46309</v>
      </c>
      <c r="B3320" s="0" t="n">
        <v>13</v>
      </c>
      <c r="C3320" s="0" t="n">
        <v>7748</v>
      </c>
      <c r="E3320" s="0" t="n">
        <v>0</v>
      </c>
      <c r="F3320" s="27" t="s">
        <v>1552</v>
      </c>
      <c r="I3320" s="27" t="s">
        <v>166</v>
      </c>
      <c r="U3320" s="0" t="n">
        <v>144</v>
      </c>
      <c r="V3320" s="0" t="n">
        <v>0</v>
      </c>
      <c r="W3320" s="27" t="n">
        <f aca="false">MATCH(A3320,DATAS,0)</f>
        <v>1</v>
      </c>
      <c r="X3320" s="27" t="n">
        <f aca="false">IF(AND(E3320&gt;0,OR(AND(B3320&gt;=1,B3320&lt;=6),B3320=10)),1,0)</f>
        <v>0</v>
      </c>
      <c r="Y3320" s="27" t="n">
        <f aca="false">IF(AND(E3320&gt;0,B3320=10),1,0)</f>
        <v>0</v>
      </c>
      <c r="Z3320" s="0" t="str">
        <f aca="false">IF(AND(C3319=C3320,W3319=W3320-1),X3319,"")</f>
        <v/>
      </c>
      <c r="AA3320" s="0" t="str">
        <f aca="false">IF(AND(C3319=C3320,W3319=W3320-1),Y3319,"")</f>
        <v/>
      </c>
      <c r="AB3320" s="0" t="str">
        <f aca="false">IF(W3320=1,"",IF(AND(X3320=1,Z3320&lt;&gt;1),1,0))</f>
        <v/>
      </c>
      <c r="AC3320" s="0" t="str">
        <f aca="false">IF(W3320=1,"",IF(AND(Y3320=1,AA3320&lt;&gt;1),1,0))</f>
        <v/>
      </c>
      <c r="AD3320" s="33" t="str">
        <f aca="false">IF(AND(E3320&gt;0,W3320&lt;1,NOT(AND(C3321=C3320,W3321=W3320+1))),INDEX(DATAS,W3320+1),"")</f>
        <v/>
      </c>
      <c r="AE3320" s="33" t="str">
        <f aca="false">IF(AND(Y3320=1,W3320&lt;1),IF(AND(C3321=C3320,W3321=W3320+1),IF(Y3321=1,"",INDEX(DATAS,W3320+1)),INDEX(DATAS,W3320+1)),"")</f>
        <v/>
      </c>
    </row>
    <row r="3321" customFormat="false" ht="15" hidden="false" customHeight="false" outlineLevel="0" collapsed="false">
      <c r="A3321" s="33" t="n">
        <v>46309</v>
      </c>
      <c r="B3321" s="0" t="n">
        <v>13</v>
      </c>
      <c r="C3321" s="0" t="n">
        <v>7750</v>
      </c>
      <c r="E3321" s="0" t="n">
        <v>0</v>
      </c>
      <c r="F3321" s="27" t="s">
        <v>1552</v>
      </c>
      <c r="I3321" s="27" t="s">
        <v>166</v>
      </c>
      <c r="U3321" s="0" t="n">
        <v>144</v>
      </c>
      <c r="V3321" s="0" t="n">
        <v>0</v>
      </c>
      <c r="W3321" s="27" t="n">
        <f aca="false">MATCH(A3321,DATAS,0)</f>
        <v>1</v>
      </c>
      <c r="X3321" s="27" t="n">
        <f aca="false">IF(AND(E3321&gt;0,OR(AND(B3321&gt;=1,B3321&lt;=6),B3321=10)),1,0)</f>
        <v>0</v>
      </c>
      <c r="Y3321" s="27" t="n">
        <f aca="false">IF(AND(E3321&gt;0,B3321=10),1,0)</f>
        <v>0</v>
      </c>
      <c r="Z3321" s="0" t="str">
        <f aca="false">IF(AND(C3320=C3321,W3320=W3321-1),X3320,"")</f>
        <v/>
      </c>
      <c r="AA3321" s="0" t="str">
        <f aca="false">IF(AND(C3320=C3321,W3320=W3321-1),Y3320,"")</f>
        <v/>
      </c>
      <c r="AB3321" s="0" t="str">
        <f aca="false">IF(W3321=1,"",IF(AND(X3321=1,Z3321&lt;&gt;1),1,0))</f>
        <v/>
      </c>
      <c r="AC3321" s="0" t="str">
        <f aca="false">IF(W3321=1,"",IF(AND(Y3321=1,AA3321&lt;&gt;1),1,0))</f>
        <v/>
      </c>
      <c r="AD3321" s="33" t="str">
        <f aca="false">IF(AND(E3321&gt;0,W3321&lt;1,NOT(AND(C3322=C3321,W3322=W3321+1))),INDEX(DATAS,W3321+1),"")</f>
        <v/>
      </c>
      <c r="AE3321" s="33" t="str">
        <f aca="false">IF(AND(Y3321=1,W3321&lt;1),IF(AND(C3322=C3321,W3322=W3321+1),IF(Y3322=1,"",INDEX(DATAS,W3321+1)),INDEX(DATAS,W3321+1)),"")</f>
        <v/>
      </c>
    </row>
    <row r="3322" customFormat="false" ht="15" hidden="false" customHeight="false" outlineLevel="0" collapsed="false">
      <c r="A3322" s="33" t="n">
        <v>46309</v>
      </c>
      <c r="B3322" s="0" t="n">
        <v>13</v>
      </c>
      <c r="C3322" s="0" t="n">
        <v>7751</v>
      </c>
      <c r="E3322" s="0" t="n">
        <v>0</v>
      </c>
      <c r="F3322" s="27" t="s">
        <v>1552</v>
      </c>
      <c r="I3322" s="27" t="s">
        <v>166</v>
      </c>
      <c r="U3322" s="0" t="n">
        <v>144</v>
      </c>
      <c r="V3322" s="0" t="n">
        <v>0</v>
      </c>
      <c r="W3322" s="27" t="n">
        <f aca="false">MATCH(A3322,DATAS,0)</f>
        <v>1</v>
      </c>
      <c r="X3322" s="27" t="n">
        <f aca="false">IF(AND(E3322&gt;0,OR(AND(B3322&gt;=1,B3322&lt;=6),B3322=10)),1,0)</f>
        <v>0</v>
      </c>
      <c r="Y3322" s="27" t="n">
        <f aca="false">IF(AND(E3322&gt;0,B3322=10),1,0)</f>
        <v>0</v>
      </c>
      <c r="Z3322" s="0" t="str">
        <f aca="false">IF(AND(C3321=C3322,W3321=W3322-1),X3321,"")</f>
        <v/>
      </c>
      <c r="AA3322" s="0" t="str">
        <f aca="false">IF(AND(C3321=C3322,W3321=W3322-1),Y3321,"")</f>
        <v/>
      </c>
      <c r="AB3322" s="0" t="str">
        <f aca="false">IF(W3322=1,"",IF(AND(X3322=1,Z3322&lt;&gt;1),1,0))</f>
        <v/>
      </c>
      <c r="AC3322" s="0" t="str">
        <f aca="false">IF(W3322=1,"",IF(AND(Y3322=1,AA3322&lt;&gt;1),1,0))</f>
        <v/>
      </c>
      <c r="AD3322" s="33" t="str">
        <f aca="false">IF(AND(E3322&gt;0,W3322&lt;1,NOT(AND(C3323=C3322,W3323=W3322+1))),INDEX(DATAS,W3322+1),"")</f>
        <v/>
      </c>
      <c r="AE3322" s="33" t="str">
        <f aca="false">IF(AND(Y3322=1,W3322&lt;1),IF(AND(C3323=C3322,W3323=W3322+1),IF(Y3323=1,"",INDEX(DATAS,W3322+1)),INDEX(DATAS,W3322+1)),"")</f>
        <v/>
      </c>
    </row>
    <row r="3323" customFormat="false" ht="15" hidden="false" customHeight="false" outlineLevel="0" collapsed="false">
      <c r="A3323" s="33" t="n">
        <v>46309</v>
      </c>
      <c r="B3323" s="0" t="n">
        <v>13</v>
      </c>
      <c r="C3323" s="0" t="n">
        <v>7752</v>
      </c>
      <c r="E3323" s="0" t="n">
        <v>0</v>
      </c>
      <c r="F3323" s="27" t="s">
        <v>1552</v>
      </c>
      <c r="I3323" s="27" t="s">
        <v>166</v>
      </c>
      <c r="U3323" s="0" t="n">
        <v>144</v>
      </c>
      <c r="V3323" s="0" t="n">
        <v>0</v>
      </c>
      <c r="W3323" s="27" t="n">
        <f aca="false">MATCH(A3323,DATAS,0)</f>
        <v>1</v>
      </c>
      <c r="X3323" s="27" t="n">
        <f aca="false">IF(AND(E3323&gt;0,OR(AND(B3323&gt;=1,B3323&lt;=6),B3323=10)),1,0)</f>
        <v>0</v>
      </c>
      <c r="Y3323" s="27" t="n">
        <f aca="false">IF(AND(E3323&gt;0,B3323=10),1,0)</f>
        <v>0</v>
      </c>
      <c r="Z3323" s="0" t="str">
        <f aca="false">IF(AND(C3322=C3323,W3322=W3323-1),X3322,"")</f>
        <v/>
      </c>
      <c r="AA3323" s="0" t="str">
        <f aca="false">IF(AND(C3322=C3323,W3322=W3323-1),Y3322,"")</f>
        <v/>
      </c>
      <c r="AB3323" s="0" t="str">
        <f aca="false">IF(W3323=1,"",IF(AND(X3323=1,Z3323&lt;&gt;1),1,0))</f>
        <v/>
      </c>
      <c r="AC3323" s="0" t="str">
        <f aca="false">IF(W3323=1,"",IF(AND(Y3323=1,AA3323&lt;&gt;1),1,0))</f>
        <v/>
      </c>
      <c r="AD3323" s="33" t="str">
        <f aca="false">IF(AND(E3323&gt;0,W3323&lt;1,NOT(AND(C3324=C3323,W3324=W3323+1))),INDEX(DATAS,W3323+1),"")</f>
        <v/>
      </c>
      <c r="AE3323" s="33" t="str">
        <f aca="false">IF(AND(Y3323=1,W3323&lt;1),IF(AND(C3324=C3323,W3324=W3323+1),IF(Y3324=1,"",INDEX(DATAS,W3323+1)),INDEX(DATAS,W3323+1)),"")</f>
        <v/>
      </c>
    </row>
    <row r="3324" customFormat="false" ht="15" hidden="false" customHeight="false" outlineLevel="0" collapsed="false">
      <c r="A3324" s="33" t="n">
        <v>46309</v>
      </c>
      <c r="B3324" s="0" t="n">
        <v>13</v>
      </c>
      <c r="C3324" s="0" t="n">
        <v>7753</v>
      </c>
      <c r="E3324" s="0" t="n">
        <v>0</v>
      </c>
      <c r="F3324" s="27" t="s">
        <v>1552</v>
      </c>
      <c r="I3324" s="27" t="s">
        <v>166</v>
      </c>
      <c r="U3324" s="0" t="n">
        <v>144</v>
      </c>
      <c r="V3324" s="0" t="n">
        <v>0</v>
      </c>
      <c r="W3324" s="27" t="n">
        <f aca="false">MATCH(A3324,DATAS,0)</f>
        <v>1</v>
      </c>
      <c r="X3324" s="27" t="n">
        <f aca="false">IF(AND(E3324&gt;0,OR(AND(B3324&gt;=1,B3324&lt;=6),B3324=10)),1,0)</f>
        <v>0</v>
      </c>
      <c r="Y3324" s="27" t="n">
        <f aca="false">IF(AND(E3324&gt;0,B3324=10),1,0)</f>
        <v>0</v>
      </c>
      <c r="Z3324" s="0" t="str">
        <f aca="false">IF(AND(C3323=C3324,W3323=W3324-1),X3323,"")</f>
        <v/>
      </c>
      <c r="AA3324" s="0" t="str">
        <f aca="false">IF(AND(C3323=C3324,W3323=W3324-1),Y3323,"")</f>
        <v/>
      </c>
      <c r="AB3324" s="0" t="str">
        <f aca="false">IF(W3324=1,"",IF(AND(X3324=1,Z3324&lt;&gt;1),1,0))</f>
        <v/>
      </c>
      <c r="AC3324" s="0" t="str">
        <f aca="false">IF(W3324=1,"",IF(AND(Y3324=1,AA3324&lt;&gt;1),1,0))</f>
        <v/>
      </c>
      <c r="AD3324" s="33" t="str">
        <f aca="false">IF(AND(E3324&gt;0,W3324&lt;1,NOT(AND(C3325=C3324,W3325=W3324+1))),INDEX(DATAS,W3324+1),"")</f>
        <v/>
      </c>
      <c r="AE3324" s="33" t="str">
        <f aca="false">IF(AND(Y3324=1,W3324&lt;1),IF(AND(C3325=C3324,W3325=W3324+1),IF(Y3325=1,"",INDEX(DATAS,W3324+1)),INDEX(DATAS,W3324+1)),"")</f>
        <v/>
      </c>
    </row>
    <row r="3325" customFormat="false" ht="15" hidden="false" customHeight="false" outlineLevel="0" collapsed="false">
      <c r="A3325" s="33" t="n">
        <v>46309</v>
      </c>
      <c r="B3325" s="0" t="n">
        <v>13</v>
      </c>
      <c r="C3325" s="0" t="n">
        <v>7754</v>
      </c>
      <c r="E3325" s="0" t="n">
        <v>0</v>
      </c>
      <c r="F3325" s="27" t="s">
        <v>1552</v>
      </c>
      <c r="I3325" s="27" t="s">
        <v>166</v>
      </c>
      <c r="U3325" s="0" t="n">
        <v>144</v>
      </c>
      <c r="V3325" s="0" t="n">
        <v>0</v>
      </c>
      <c r="W3325" s="27" t="n">
        <f aca="false">MATCH(A3325,DATAS,0)</f>
        <v>1</v>
      </c>
      <c r="X3325" s="27" t="n">
        <f aca="false">IF(AND(E3325&gt;0,OR(AND(B3325&gt;=1,B3325&lt;=6),B3325=10)),1,0)</f>
        <v>0</v>
      </c>
      <c r="Y3325" s="27" t="n">
        <f aca="false">IF(AND(E3325&gt;0,B3325=10),1,0)</f>
        <v>0</v>
      </c>
      <c r="Z3325" s="0" t="str">
        <f aca="false">IF(AND(C3324=C3325,W3324=W3325-1),X3324,"")</f>
        <v/>
      </c>
      <c r="AA3325" s="0" t="str">
        <f aca="false">IF(AND(C3324=C3325,W3324=W3325-1),Y3324,"")</f>
        <v/>
      </c>
      <c r="AB3325" s="0" t="str">
        <f aca="false">IF(W3325=1,"",IF(AND(X3325=1,Z3325&lt;&gt;1),1,0))</f>
        <v/>
      </c>
      <c r="AC3325" s="0" t="str">
        <f aca="false">IF(W3325=1,"",IF(AND(Y3325=1,AA3325&lt;&gt;1),1,0))</f>
        <v/>
      </c>
      <c r="AD3325" s="33" t="str">
        <f aca="false">IF(AND(E3325&gt;0,W3325&lt;1,NOT(AND(C3326=C3325,W3326=W3325+1))),INDEX(DATAS,W3325+1),"")</f>
        <v/>
      </c>
      <c r="AE3325" s="33" t="str">
        <f aca="false">IF(AND(Y3325=1,W3325&lt;1),IF(AND(C3326=C3325,W3326=W3325+1),IF(Y3326=1,"",INDEX(DATAS,W3325+1)),INDEX(DATAS,W3325+1)),"")</f>
        <v/>
      </c>
    </row>
    <row r="3326" customFormat="false" ht="15" hidden="false" customHeight="false" outlineLevel="0" collapsed="false">
      <c r="A3326" s="33" t="n">
        <v>46309</v>
      </c>
      <c r="B3326" s="0" t="n">
        <v>13</v>
      </c>
      <c r="C3326" s="0" t="n">
        <v>7755</v>
      </c>
      <c r="E3326" s="0" t="n">
        <v>0</v>
      </c>
      <c r="F3326" s="27" t="s">
        <v>1553</v>
      </c>
      <c r="I3326" s="27" t="s">
        <v>166</v>
      </c>
      <c r="U3326" s="0" t="n">
        <v>143</v>
      </c>
      <c r="V3326" s="0" t="n">
        <v>0</v>
      </c>
      <c r="W3326" s="27" t="n">
        <f aca="false">MATCH(A3326,DATAS,0)</f>
        <v>1</v>
      </c>
      <c r="X3326" s="27" t="n">
        <f aca="false">IF(AND(E3326&gt;0,OR(AND(B3326&gt;=1,B3326&lt;=6),B3326=10)),1,0)</f>
        <v>0</v>
      </c>
      <c r="Y3326" s="27" t="n">
        <f aca="false">IF(AND(E3326&gt;0,B3326=10),1,0)</f>
        <v>0</v>
      </c>
      <c r="Z3326" s="0" t="str">
        <f aca="false">IF(AND(C3325=C3326,W3325=W3326-1),X3325,"")</f>
        <v/>
      </c>
      <c r="AA3326" s="0" t="str">
        <f aca="false">IF(AND(C3325=C3326,W3325=W3326-1),Y3325,"")</f>
        <v/>
      </c>
      <c r="AB3326" s="0" t="str">
        <f aca="false">IF(W3326=1,"",IF(AND(X3326=1,Z3326&lt;&gt;1),1,0))</f>
        <v/>
      </c>
      <c r="AC3326" s="0" t="str">
        <f aca="false">IF(W3326=1,"",IF(AND(Y3326=1,AA3326&lt;&gt;1),1,0))</f>
        <v/>
      </c>
      <c r="AD3326" s="33" t="str">
        <f aca="false">IF(AND(E3326&gt;0,W3326&lt;1,NOT(AND(C3327=C3326,W3327=W3326+1))),INDEX(DATAS,W3326+1),"")</f>
        <v/>
      </c>
      <c r="AE3326" s="33" t="str">
        <f aca="false">IF(AND(Y3326=1,W3326&lt;1),IF(AND(C3327=C3326,W3327=W3326+1),IF(Y3327=1,"",INDEX(DATAS,W3326+1)),INDEX(DATAS,W3326+1)),"")</f>
        <v/>
      </c>
    </row>
    <row r="3327" customFormat="false" ht="15" hidden="false" customHeight="false" outlineLevel="0" collapsed="false">
      <c r="A3327" s="33" t="n">
        <v>46309</v>
      </c>
      <c r="B3327" s="0" t="n">
        <v>13</v>
      </c>
      <c r="C3327" s="0" t="n">
        <v>7756</v>
      </c>
      <c r="E3327" s="0" t="n">
        <v>0</v>
      </c>
      <c r="F3327" s="27" t="s">
        <v>1553</v>
      </c>
      <c r="I3327" s="27" t="s">
        <v>166</v>
      </c>
      <c r="U3327" s="0" t="n">
        <v>143</v>
      </c>
      <c r="V3327" s="0" t="n">
        <v>0</v>
      </c>
      <c r="W3327" s="27" t="n">
        <f aca="false">MATCH(A3327,DATAS,0)</f>
        <v>1</v>
      </c>
      <c r="X3327" s="27" t="n">
        <f aca="false">IF(AND(E3327&gt;0,OR(AND(B3327&gt;=1,B3327&lt;=6),B3327=10)),1,0)</f>
        <v>0</v>
      </c>
      <c r="Y3327" s="27" t="n">
        <f aca="false">IF(AND(E3327&gt;0,B3327=10),1,0)</f>
        <v>0</v>
      </c>
      <c r="Z3327" s="0" t="str">
        <f aca="false">IF(AND(C3326=C3327,W3326=W3327-1),X3326,"")</f>
        <v/>
      </c>
      <c r="AA3327" s="0" t="str">
        <f aca="false">IF(AND(C3326=C3327,W3326=W3327-1),Y3326,"")</f>
        <v/>
      </c>
      <c r="AB3327" s="0" t="str">
        <f aca="false">IF(W3327=1,"",IF(AND(X3327=1,Z3327&lt;&gt;1),1,0))</f>
        <v/>
      </c>
      <c r="AC3327" s="0" t="str">
        <f aca="false">IF(W3327=1,"",IF(AND(Y3327=1,AA3327&lt;&gt;1),1,0))</f>
        <v/>
      </c>
      <c r="AD3327" s="33" t="str">
        <f aca="false">IF(AND(E3327&gt;0,W3327&lt;1,NOT(AND(C3328=C3327,W3328=W3327+1))),INDEX(DATAS,W3327+1),"")</f>
        <v/>
      </c>
      <c r="AE3327" s="33" t="str">
        <f aca="false">IF(AND(Y3327=1,W3327&lt;1),IF(AND(C3328=C3327,W3328=W3327+1),IF(Y3328=1,"",INDEX(DATAS,W3327+1)),INDEX(DATAS,W3327+1)),"")</f>
        <v/>
      </c>
    </row>
    <row r="3328" customFormat="false" ht="15" hidden="false" customHeight="false" outlineLevel="0" collapsed="false">
      <c r="A3328" s="33" t="n">
        <v>46309</v>
      </c>
      <c r="B3328" s="0" t="n">
        <v>13</v>
      </c>
      <c r="C3328" s="0" t="n">
        <v>7759</v>
      </c>
      <c r="E3328" s="0" t="n">
        <v>0</v>
      </c>
      <c r="F3328" s="27" t="s">
        <v>1554</v>
      </c>
      <c r="I3328" s="27" t="s">
        <v>166</v>
      </c>
      <c r="U3328" s="0" t="n">
        <v>142</v>
      </c>
      <c r="V3328" s="0" t="n">
        <v>0</v>
      </c>
      <c r="W3328" s="27" t="n">
        <f aca="false">MATCH(A3328,DATAS,0)</f>
        <v>1</v>
      </c>
      <c r="X3328" s="27" t="n">
        <f aca="false">IF(AND(E3328&gt;0,OR(AND(B3328&gt;=1,B3328&lt;=6),B3328=10)),1,0)</f>
        <v>0</v>
      </c>
      <c r="Y3328" s="27" t="n">
        <f aca="false">IF(AND(E3328&gt;0,B3328=10),1,0)</f>
        <v>0</v>
      </c>
      <c r="Z3328" s="0" t="str">
        <f aca="false">IF(AND(C3327=C3328,W3327=W3328-1),X3327,"")</f>
        <v/>
      </c>
      <c r="AA3328" s="0" t="str">
        <f aca="false">IF(AND(C3327=C3328,W3327=W3328-1),Y3327,"")</f>
        <v/>
      </c>
      <c r="AB3328" s="0" t="str">
        <f aca="false">IF(W3328=1,"",IF(AND(X3328=1,Z3328&lt;&gt;1),1,0))</f>
        <v/>
      </c>
      <c r="AC3328" s="0" t="str">
        <f aca="false">IF(W3328=1,"",IF(AND(Y3328=1,AA3328&lt;&gt;1),1,0))</f>
        <v/>
      </c>
      <c r="AD3328" s="33" t="str">
        <f aca="false">IF(AND(E3328&gt;0,W3328&lt;1,NOT(AND(C3329=C3328,W3329=W3328+1))),INDEX(DATAS,W3328+1),"")</f>
        <v/>
      </c>
      <c r="AE3328" s="33" t="str">
        <f aca="false">IF(AND(Y3328=1,W3328&lt;1),IF(AND(C3329=C3328,W3329=W3328+1),IF(Y3329=1,"",INDEX(DATAS,W3328+1)),INDEX(DATAS,W3328+1)),"")</f>
        <v/>
      </c>
    </row>
    <row r="3329" customFormat="false" ht="15" hidden="false" customHeight="false" outlineLevel="0" collapsed="false">
      <c r="A3329" s="33" t="n">
        <v>46309</v>
      </c>
      <c r="B3329" s="0" t="n">
        <v>13</v>
      </c>
      <c r="C3329" s="0" t="n">
        <v>7760</v>
      </c>
      <c r="E3329" s="0" t="n">
        <v>0</v>
      </c>
      <c r="F3329" s="27" t="s">
        <v>1554</v>
      </c>
      <c r="I3329" s="27" t="s">
        <v>166</v>
      </c>
      <c r="U3329" s="0" t="n">
        <v>142</v>
      </c>
      <c r="V3329" s="0" t="n">
        <v>0</v>
      </c>
      <c r="W3329" s="27" t="n">
        <f aca="false">MATCH(A3329,DATAS,0)</f>
        <v>1</v>
      </c>
      <c r="X3329" s="27" t="n">
        <f aca="false">IF(AND(E3329&gt;0,OR(AND(B3329&gt;=1,B3329&lt;=6),B3329=10)),1,0)</f>
        <v>0</v>
      </c>
      <c r="Y3329" s="27" t="n">
        <f aca="false">IF(AND(E3329&gt;0,B3329=10),1,0)</f>
        <v>0</v>
      </c>
      <c r="Z3329" s="0" t="str">
        <f aca="false">IF(AND(C3328=C3329,W3328=W3329-1),X3328,"")</f>
        <v/>
      </c>
      <c r="AA3329" s="0" t="str">
        <f aca="false">IF(AND(C3328=C3329,W3328=W3329-1),Y3328,"")</f>
        <v/>
      </c>
      <c r="AB3329" s="0" t="str">
        <f aca="false">IF(W3329=1,"",IF(AND(X3329=1,Z3329&lt;&gt;1),1,0))</f>
        <v/>
      </c>
      <c r="AC3329" s="0" t="str">
        <f aca="false">IF(W3329=1,"",IF(AND(Y3329=1,AA3329&lt;&gt;1),1,0))</f>
        <v/>
      </c>
      <c r="AD3329" s="33" t="str">
        <f aca="false">IF(AND(E3329&gt;0,W3329&lt;1,NOT(AND(C3330=C3329,W3330=W3329+1))),INDEX(DATAS,W3329+1),"")</f>
        <v/>
      </c>
      <c r="AE3329" s="33" t="str">
        <f aca="false">IF(AND(Y3329=1,W3329&lt;1),IF(AND(C3330=C3329,W3330=W3329+1),IF(Y3330=1,"",INDEX(DATAS,W3329+1)),INDEX(DATAS,W3329+1)),"")</f>
        <v/>
      </c>
    </row>
    <row r="3330" customFormat="false" ht="15" hidden="false" customHeight="false" outlineLevel="0" collapsed="false">
      <c r="A3330" s="33" t="n">
        <v>46309</v>
      </c>
      <c r="B3330" s="0" t="n">
        <v>13</v>
      </c>
      <c r="C3330" s="0" t="n">
        <v>7761</v>
      </c>
      <c r="E3330" s="0" t="n">
        <v>0</v>
      </c>
      <c r="F3330" s="27" t="s">
        <v>1554</v>
      </c>
      <c r="I3330" s="27" t="s">
        <v>166</v>
      </c>
      <c r="U3330" s="0" t="n">
        <v>142</v>
      </c>
      <c r="V3330" s="0" t="n">
        <v>0</v>
      </c>
      <c r="W3330" s="27" t="n">
        <f aca="false">MATCH(A3330,DATAS,0)</f>
        <v>1</v>
      </c>
      <c r="X3330" s="27" t="n">
        <f aca="false">IF(AND(E3330&gt;0,OR(AND(B3330&gt;=1,B3330&lt;=6),B3330=10)),1,0)</f>
        <v>0</v>
      </c>
      <c r="Y3330" s="27" t="n">
        <f aca="false">IF(AND(E3330&gt;0,B3330=10),1,0)</f>
        <v>0</v>
      </c>
      <c r="Z3330" s="0" t="str">
        <f aca="false">IF(AND(C3329=C3330,W3329=W3330-1),X3329,"")</f>
        <v/>
      </c>
      <c r="AA3330" s="0" t="str">
        <f aca="false">IF(AND(C3329=C3330,W3329=W3330-1),Y3329,"")</f>
        <v/>
      </c>
      <c r="AB3330" s="0" t="str">
        <f aca="false">IF(W3330=1,"",IF(AND(X3330=1,Z3330&lt;&gt;1),1,0))</f>
        <v/>
      </c>
      <c r="AC3330" s="0" t="str">
        <f aca="false">IF(W3330=1,"",IF(AND(Y3330=1,AA3330&lt;&gt;1),1,0))</f>
        <v/>
      </c>
      <c r="AD3330" s="33" t="str">
        <f aca="false">IF(AND(E3330&gt;0,W3330&lt;1,NOT(AND(C3331=C3330,W3331=W3330+1))),INDEX(DATAS,W3330+1),"")</f>
        <v/>
      </c>
      <c r="AE3330" s="33" t="str">
        <f aca="false">IF(AND(Y3330=1,W3330&lt;1),IF(AND(C3331=C3330,W3331=W3330+1),IF(Y3331=1,"",INDEX(DATAS,W3330+1)),INDEX(DATAS,W3330+1)),"")</f>
        <v/>
      </c>
    </row>
    <row r="3331" customFormat="false" ht="15" hidden="false" customHeight="false" outlineLevel="0" collapsed="false">
      <c r="A3331" s="33" t="n">
        <v>46309</v>
      </c>
      <c r="B3331" s="0" t="n">
        <v>13</v>
      </c>
      <c r="C3331" s="0" t="n">
        <v>7762</v>
      </c>
      <c r="E3331" s="0" t="n">
        <v>0</v>
      </c>
      <c r="F3331" s="27" t="s">
        <v>1554</v>
      </c>
      <c r="I3331" s="27" t="s">
        <v>166</v>
      </c>
      <c r="U3331" s="0" t="n">
        <v>142</v>
      </c>
      <c r="V3331" s="0" t="n">
        <v>0</v>
      </c>
      <c r="W3331" s="27" t="n">
        <f aca="false">MATCH(A3331,DATAS,0)</f>
        <v>1</v>
      </c>
      <c r="X3331" s="27" t="n">
        <f aca="false">IF(AND(E3331&gt;0,OR(AND(B3331&gt;=1,B3331&lt;=6),B3331=10)),1,0)</f>
        <v>0</v>
      </c>
      <c r="Y3331" s="27" t="n">
        <f aca="false">IF(AND(E3331&gt;0,B3331=10),1,0)</f>
        <v>0</v>
      </c>
      <c r="Z3331" s="0" t="str">
        <f aca="false">IF(AND(C3330=C3331,W3330=W3331-1),X3330,"")</f>
        <v/>
      </c>
      <c r="AA3331" s="0" t="str">
        <f aca="false">IF(AND(C3330=C3331,W3330=W3331-1),Y3330,"")</f>
        <v/>
      </c>
      <c r="AB3331" s="0" t="str">
        <f aca="false">IF(W3331=1,"",IF(AND(X3331=1,Z3331&lt;&gt;1),1,0))</f>
        <v/>
      </c>
      <c r="AC3331" s="0" t="str">
        <f aca="false">IF(W3331=1,"",IF(AND(Y3331=1,AA3331&lt;&gt;1),1,0))</f>
        <v/>
      </c>
      <c r="AD3331" s="33" t="str">
        <f aca="false">IF(AND(E3331&gt;0,W3331&lt;1,NOT(AND(C3332=C3331,W3332=W3331+1))),INDEX(DATAS,W3331+1),"")</f>
        <v/>
      </c>
      <c r="AE3331" s="33" t="str">
        <f aca="false">IF(AND(Y3331=1,W3331&lt;1),IF(AND(C3332=C3331,W3332=W3331+1),IF(Y3332=1,"",INDEX(DATAS,W3331+1)),INDEX(DATAS,W3331+1)),"")</f>
        <v/>
      </c>
    </row>
    <row r="3332" customFormat="false" ht="15" hidden="false" customHeight="false" outlineLevel="0" collapsed="false">
      <c r="A3332" s="33" t="n">
        <v>46309</v>
      </c>
      <c r="B3332" s="0" t="n">
        <v>13</v>
      </c>
      <c r="C3332" s="0" t="n">
        <v>7763</v>
      </c>
      <c r="E3332" s="0" t="n">
        <v>0</v>
      </c>
      <c r="F3332" s="27" t="s">
        <v>1555</v>
      </c>
      <c r="I3332" s="27" t="s">
        <v>166</v>
      </c>
      <c r="U3332" s="0" t="n">
        <v>141</v>
      </c>
      <c r="V3332" s="0" t="n">
        <v>0</v>
      </c>
      <c r="W3332" s="27" t="n">
        <f aca="false">MATCH(A3332,DATAS,0)</f>
        <v>1</v>
      </c>
      <c r="X3332" s="27" t="n">
        <f aca="false">IF(AND(E3332&gt;0,OR(AND(B3332&gt;=1,B3332&lt;=6),B3332=10)),1,0)</f>
        <v>0</v>
      </c>
      <c r="Y3332" s="27" t="n">
        <f aca="false">IF(AND(E3332&gt;0,B3332=10),1,0)</f>
        <v>0</v>
      </c>
      <c r="Z3332" s="0" t="str">
        <f aca="false">IF(AND(C3331=C3332,W3331=W3332-1),X3331,"")</f>
        <v/>
      </c>
      <c r="AA3332" s="0" t="str">
        <f aca="false">IF(AND(C3331=C3332,W3331=W3332-1),Y3331,"")</f>
        <v/>
      </c>
      <c r="AB3332" s="0" t="str">
        <f aca="false">IF(W3332=1,"",IF(AND(X3332=1,Z3332&lt;&gt;1),1,0))</f>
        <v/>
      </c>
      <c r="AC3332" s="0" t="str">
        <f aca="false">IF(W3332=1,"",IF(AND(Y3332=1,AA3332&lt;&gt;1),1,0))</f>
        <v/>
      </c>
      <c r="AD3332" s="33" t="str">
        <f aca="false">IF(AND(E3332&gt;0,W3332&lt;1,NOT(AND(C3333=C3332,W3333=W3332+1))),INDEX(DATAS,W3332+1),"")</f>
        <v/>
      </c>
      <c r="AE3332" s="33" t="str">
        <f aca="false">IF(AND(Y3332=1,W3332&lt;1),IF(AND(C3333=C3332,W3333=W3332+1),IF(Y3333=1,"",INDEX(DATAS,W3332+1)),INDEX(DATAS,W3332+1)),"")</f>
        <v/>
      </c>
    </row>
    <row r="3333" customFormat="false" ht="15" hidden="false" customHeight="false" outlineLevel="0" collapsed="false">
      <c r="A3333" s="33" t="n">
        <v>46309</v>
      </c>
      <c r="B3333" s="0" t="n">
        <v>13</v>
      </c>
      <c r="C3333" s="0" t="n">
        <v>7764</v>
      </c>
      <c r="E3333" s="0" t="n">
        <v>0</v>
      </c>
      <c r="F3333" s="27" t="s">
        <v>1555</v>
      </c>
      <c r="I3333" s="27" t="s">
        <v>166</v>
      </c>
      <c r="U3333" s="0" t="n">
        <v>141</v>
      </c>
      <c r="V3333" s="0" t="n">
        <v>0</v>
      </c>
      <c r="W3333" s="27" t="n">
        <f aca="false">MATCH(A3333,DATAS,0)</f>
        <v>1</v>
      </c>
      <c r="X3333" s="27" t="n">
        <f aca="false">IF(AND(E3333&gt;0,OR(AND(B3333&gt;=1,B3333&lt;=6),B3333=10)),1,0)</f>
        <v>0</v>
      </c>
      <c r="Y3333" s="27" t="n">
        <f aca="false">IF(AND(E3333&gt;0,B3333=10),1,0)</f>
        <v>0</v>
      </c>
      <c r="Z3333" s="0" t="str">
        <f aca="false">IF(AND(C3332=C3333,W3332=W3333-1),X3332,"")</f>
        <v/>
      </c>
      <c r="AA3333" s="0" t="str">
        <f aca="false">IF(AND(C3332=C3333,W3332=W3333-1),Y3332,"")</f>
        <v/>
      </c>
      <c r="AB3333" s="0" t="str">
        <f aca="false">IF(W3333=1,"",IF(AND(X3333=1,Z3333&lt;&gt;1),1,0))</f>
        <v/>
      </c>
      <c r="AC3333" s="0" t="str">
        <f aca="false">IF(W3333=1,"",IF(AND(Y3333=1,AA3333&lt;&gt;1),1,0))</f>
        <v/>
      </c>
      <c r="AD3333" s="33" t="str">
        <f aca="false">IF(AND(E3333&gt;0,W3333&lt;1,NOT(AND(C3334=C3333,W3334=W3333+1))),INDEX(DATAS,W3333+1),"")</f>
        <v/>
      </c>
      <c r="AE3333" s="33" t="str">
        <f aca="false">IF(AND(Y3333=1,W3333&lt;1),IF(AND(C3334=C3333,W3334=W3333+1),IF(Y3334=1,"",INDEX(DATAS,W3333+1)),INDEX(DATAS,W3333+1)),"")</f>
        <v/>
      </c>
    </row>
    <row r="3334" customFormat="false" ht="15" hidden="false" customHeight="false" outlineLevel="0" collapsed="false">
      <c r="A3334" s="33" t="n">
        <v>46309</v>
      </c>
      <c r="B3334" s="0" t="n">
        <v>13</v>
      </c>
      <c r="C3334" s="0" t="n">
        <v>7765</v>
      </c>
      <c r="E3334" s="0" t="n">
        <v>0</v>
      </c>
      <c r="F3334" s="27" t="s">
        <v>1555</v>
      </c>
      <c r="I3334" s="27" t="s">
        <v>166</v>
      </c>
      <c r="U3334" s="0" t="n">
        <v>141</v>
      </c>
      <c r="V3334" s="0" t="n">
        <v>0</v>
      </c>
      <c r="W3334" s="27" t="n">
        <f aca="false">MATCH(A3334,DATAS,0)</f>
        <v>1</v>
      </c>
      <c r="X3334" s="27" t="n">
        <f aca="false">IF(AND(E3334&gt;0,OR(AND(B3334&gt;=1,B3334&lt;=6),B3334=10)),1,0)</f>
        <v>0</v>
      </c>
      <c r="Y3334" s="27" t="n">
        <f aca="false">IF(AND(E3334&gt;0,B3334=10),1,0)</f>
        <v>0</v>
      </c>
      <c r="Z3334" s="0" t="str">
        <f aca="false">IF(AND(C3333=C3334,W3333=W3334-1),X3333,"")</f>
        <v/>
      </c>
      <c r="AA3334" s="0" t="str">
        <f aca="false">IF(AND(C3333=C3334,W3333=W3334-1),Y3333,"")</f>
        <v/>
      </c>
      <c r="AB3334" s="0" t="str">
        <f aca="false">IF(W3334=1,"",IF(AND(X3334=1,Z3334&lt;&gt;1),1,0))</f>
        <v/>
      </c>
      <c r="AC3334" s="0" t="str">
        <f aca="false">IF(W3334=1,"",IF(AND(Y3334=1,AA3334&lt;&gt;1),1,0))</f>
        <v/>
      </c>
      <c r="AD3334" s="33" t="str">
        <f aca="false">IF(AND(E3334&gt;0,W3334&lt;1,NOT(AND(C3335=C3334,W3335=W3334+1))),INDEX(DATAS,W3334+1),"")</f>
        <v/>
      </c>
      <c r="AE3334" s="33" t="str">
        <f aca="false">IF(AND(Y3334=1,W3334&lt;1),IF(AND(C3335=C3334,W3335=W3334+1),IF(Y3335=1,"",INDEX(DATAS,W3334+1)),INDEX(DATAS,W3334+1)),"")</f>
        <v/>
      </c>
    </row>
    <row r="3335" customFormat="false" ht="15" hidden="false" customHeight="false" outlineLevel="0" collapsed="false">
      <c r="A3335" s="33" t="n">
        <v>46309</v>
      </c>
      <c r="B3335" s="0" t="n">
        <v>13</v>
      </c>
      <c r="C3335" s="0" t="n">
        <v>7766</v>
      </c>
      <c r="E3335" s="0" t="n">
        <v>0</v>
      </c>
      <c r="F3335" s="27" t="s">
        <v>1555</v>
      </c>
      <c r="I3335" s="27" t="s">
        <v>166</v>
      </c>
      <c r="U3335" s="0" t="n">
        <v>141</v>
      </c>
      <c r="V3335" s="0" t="n">
        <v>0</v>
      </c>
      <c r="W3335" s="27" t="n">
        <f aca="false">MATCH(A3335,DATAS,0)</f>
        <v>1</v>
      </c>
      <c r="X3335" s="27" t="n">
        <f aca="false">IF(AND(E3335&gt;0,OR(AND(B3335&gt;=1,B3335&lt;=6),B3335=10)),1,0)</f>
        <v>0</v>
      </c>
      <c r="Y3335" s="27" t="n">
        <f aca="false">IF(AND(E3335&gt;0,B3335=10),1,0)</f>
        <v>0</v>
      </c>
      <c r="Z3335" s="0" t="str">
        <f aca="false">IF(AND(C3334=C3335,W3334=W3335-1),X3334,"")</f>
        <v/>
      </c>
      <c r="AA3335" s="0" t="str">
        <f aca="false">IF(AND(C3334=C3335,W3334=W3335-1),Y3334,"")</f>
        <v/>
      </c>
      <c r="AB3335" s="0" t="str">
        <f aca="false">IF(W3335=1,"",IF(AND(X3335=1,Z3335&lt;&gt;1),1,0))</f>
        <v/>
      </c>
      <c r="AC3335" s="0" t="str">
        <f aca="false">IF(W3335=1,"",IF(AND(Y3335=1,AA3335&lt;&gt;1),1,0))</f>
        <v/>
      </c>
      <c r="AD3335" s="33" t="str">
        <f aca="false">IF(AND(E3335&gt;0,W3335&lt;1,NOT(AND(C3336=C3335,W3336=W3335+1))),INDEX(DATAS,W3335+1),"")</f>
        <v/>
      </c>
      <c r="AE3335" s="33" t="str">
        <f aca="false">IF(AND(Y3335=1,W3335&lt;1),IF(AND(C3336=C3335,W3336=W3335+1),IF(Y3336=1,"",INDEX(DATAS,W3335+1)),INDEX(DATAS,W3335+1)),"")</f>
        <v/>
      </c>
    </row>
    <row r="3336" customFormat="false" ht="15" hidden="false" customHeight="false" outlineLevel="0" collapsed="false">
      <c r="A3336" s="33" t="n">
        <v>46309</v>
      </c>
      <c r="B3336" s="0" t="n">
        <v>13</v>
      </c>
      <c r="C3336" s="0" t="n">
        <v>7767</v>
      </c>
      <c r="E3336" s="0" t="n">
        <v>0</v>
      </c>
      <c r="F3336" s="27" t="s">
        <v>1556</v>
      </c>
      <c r="I3336" s="27" t="s">
        <v>166</v>
      </c>
      <c r="U3336" s="0" t="n">
        <v>140</v>
      </c>
      <c r="V3336" s="0" t="n">
        <v>0</v>
      </c>
      <c r="W3336" s="27" t="n">
        <f aca="false">MATCH(A3336,DATAS,0)</f>
        <v>1</v>
      </c>
      <c r="X3336" s="27" t="n">
        <f aca="false">IF(AND(E3336&gt;0,OR(AND(B3336&gt;=1,B3336&lt;=6),B3336=10)),1,0)</f>
        <v>0</v>
      </c>
      <c r="Y3336" s="27" t="n">
        <f aca="false">IF(AND(E3336&gt;0,B3336=10),1,0)</f>
        <v>0</v>
      </c>
      <c r="Z3336" s="0" t="str">
        <f aca="false">IF(AND(C3335=C3336,W3335=W3336-1),X3335,"")</f>
        <v/>
      </c>
      <c r="AA3336" s="0" t="str">
        <f aca="false">IF(AND(C3335=C3336,W3335=W3336-1),Y3335,"")</f>
        <v/>
      </c>
      <c r="AB3336" s="0" t="str">
        <f aca="false">IF(W3336=1,"",IF(AND(X3336=1,Z3336&lt;&gt;1),1,0))</f>
        <v/>
      </c>
      <c r="AC3336" s="0" t="str">
        <f aca="false">IF(W3336=1,"",IF(AND(Y3336=1,AA3336&lt;&gt;1),1,0))</f>
        <v/>
      </c>
      <c r="AD3336" s="33" t="str">
        <f aca="false">IF(AND(E3336&gt;0,W3336&lt;1,NOT(AND(C3337=C3336,W3337=W3336+1))),INDEX(DATAS,W3336+1),"")</f>
        <v/>
      </c>
      <c r="AE3336" s="33" t="str">
        <f aca="false">IF(AND(Y3336=1,W3336&lt;1),IF(AND(C3337=C3336,W3337=W3336+1),IF(Y3337=1,"",INDEX(DATAS,W3336+1)),INDEX(DATAS,W3336+1)),"")</f>
        <v/>
      </c>
    </row>
    <row r="3337" customFormat="false" ht="15" hidden="false" customHeight="false" outlineLevel="0" collapsed="false">
      <c r="A3337" s="33" t="n">
        <v>46309</v>
      </c>
      <c r="B3337" s="0" t="n">
        <v>13</v>
      </c>
      <c r="C3337" s="0" t="n">
        <v>7768</v>
      </c>
      <c r="E3337" s="0" t="n">
        <v>0</v>
      </c>
      <c r="F3337" s="27" t="s">
        <v>1556</v>
      </c>
      <c r="I3337" s="27" t="s">
        <v>166</v>
      </c>
      <c r="U3337" s="0" t="n">
        <v>140</v>
      </c>
      <c r="V3337" s="0" t="n">
        <v>0</v>
      </c>
      <c r="W3337" s="27" t="n">
        <f aca="false">MATCH(A3337,DATAS,0)</f>
        <v>1</v>
      </c>
      <c r="X3337" s="27" t="n">
        <f aca="false">IF(AND(E3337&gt;0,OR(AND(B3337&gt;=1,B3337&lt;=6),B3337=10)),1,0)</f>
        <v>0</v>
      </c>
      <c r="Y3337" s="27" t="n">
        <f aca="false">IF(AND(E3337&gt;0,B3337=10),1,0)</f>
        <v>0</v>
      </c>
      <c r="Z3337" s="0" t="str">
        <f aca="false">IF(AND(C3336=C3337,W3336=W3337-1),X3336,"")</f>
        <v/>
      </c>
      <c r="AA3337" s="0" t="str">
        <f aca="false">IF(AND(C3336=C3337,W3336=W3337-1),Y3336,"")</f>
        <v/>
      </c>
      <c r="AB3337" s="0" t="str">
        <f aca="false">IF(W3337=1,"",IF(AND(X3337=1,Z3337&lt;&gt;1),1,0))</f>
        <v/>
      </c>
      <c r="AC3337" s="0" t="str">
        <f aca="false">IF(W3337=1,"",IF(AND(Y3337=1,AA3337&lt;&gt;1),1,0))</f>
        <v/>
      </c>
      <c r="AD3337" s="33" t="str">
        <f aca="false">IF(AND(E3337&gt;0,W3337&lt;1,NOT(AND(C3338=C3337,W3338=W3337+1))),INDEX(DATAS,W3337+1),"")</f>
        <v/>
      </c>
      <c r="AE3337" s="33" t="str">
        <f aca="false">IF(AND(Y3337=1,W3337&lt;1),IF(AND(C3338=C3337,W3338=W3337+1),IF(Y3338=1,"",INDEX(DATAS,W3337+1)),INDEX(DATAS,W3337+1)),"")</f>
        <v/>
      </c>
    </row>
    <row r="3338" customFormat="false" ht="15" hidden="false" customHeight="false" outlineLevel="0" collapsed="false">
      <c r="A3338" s="33" t="n">
        <v>46309</v>
      </c>
      <c r="B3338" s="0" t="n">
        <v>13</v>
      </c>
      <c r="C3338" s="0" t="n">
        <v>7770</v>
      </c>
      <c r="E3338" s="0" t="n">
        <v>0</v>
      </c>
      <c r="F3338" s="27" t="s">
        <v>1556</v>
      </c>
      <c r="I3338" s="27" t="s">
        <v>166</v>
      </c>
      <c r="U3338" s="0" t="n">
        <v>140</v>
      </c>
      <c r="V3338" s="0" t="n">
        <v>0</v>
      </c>
      <c r="W3338" s="27" t="n">
        <f aca="false">MATCH(A3338,DATAS,0)</f>
        <v>1</v>
      </c>
      <c r="X3338" s="27" t="n">
        <f aca="false">IF(AND(E3338&gt;0,OR(AND(B3338&gt;=1,B3338&lt;=6),B3338=10)),1,0)</f>
        <v>0</v>
      </c>
      <c r="Y3338" s="27" t="n">
        <f aca="false">IF(AND(E3338&gt;0,B3338=10),1,0)</f>
        <v>0</v>
      </c>
      <c r="Z3338" s="0" t="str">
        <f aca="false">IF(AND(C3337=C3338,W3337=W3338-1),X3337,"")</f>
        <v/>
      </c>
      <c r="AA3338" s="0" t="str">
        <f aca="false">IF(AND(C3337=C3338,W3337=W3338-1),Y3337,"")</f>
        <v/>
      </c>
      <c r="AB3338" s="0" t="str">
        <f aca="false">IF(W3338=1,"",IF(AND(X3338=1,Z3338&lt;&gt;1),1,0))</f>
        <v/>
      </c>
      <c r="AC3338" s="0" t="str">
        <f aca="false">IF(W3338=1,"",IF(AND(Y3338=1,AA3338&lt;&gt;1),1,0))</f>
        <v/>
      </c>
      <c r="AD3338" s="33" t="str">
        <f aca="false">IF(AND(E3338&gt;0,W3338&lt;1,NOT(AND(C3339=C3338,W3339=W3338+1))),INDEX(DATAS,W3338+1),"")</f>
        <v/>
      </c>
      <c r="AE3338" s="33" t="str">
        <f aca="false">IF(AND(Y3338=1,W3338&lt;1),IF(AND(C3339=C3338,W3339=W3338+1),IF(Y3339=1,"",INDEX(DATAS,W3338+1)),INDEX(DATAS,W3338+1)),"")</f>
        <v/>
      </c>
    </row>
    <row r="3339" customFormat="false" ht="15" hidden="false" customHeight="false" outlineLevel="0" collapsed="false">
      <c r="A3339" s="33" t="n">
        <v>46309</v>
      </c>
      <c r="B3339" s="0" t="n">
        <v>13</v>
      </c>
      <c r="C3339" s="0" t="n">
        <v>7771</v>
      </c>
      <c r="E3339" s="0" t="n">
        <v>0</v>
      </c>
      <c r="F3339" s="27" t="s">
        <v>1557</v>
      </c>
      <c r="I3339" s="27" t="s">
        <v>166</v>
      </c>
      <c r="U3339" s="0" t="n">
        <v>138</v>
      </c>
      <c r="V3339" s="0" t="n">
        <v>0</v>
      </c>
      <c r="W3339" s="27" t="n">
        <f aca="false">MATCH(A3339,DATAS,0)</f>
        <v>1</v>
      </c>
      <c r="X3339" s="27" t="n">
        <f aca="false">IF(AND(E3339&gt;0,OR(AND(B3339&gt;=1,B3339&lt;=6),B3339=10)),1,0)</f>
        <v>0</v>
      </c>
      <c r="Y3339" s="27" t="n">
        <f aca="false">IF(AND(E3339&gt;0,B3339=10),1,0)</f>
        <v>0</v>
      </c>
      <c r="Z3339" s="0" t="str">
        <f aca="false">IF(AND(C3338=C3339,W3338=W3339-1),X3338,"")</f>
        <v/>
      </c>
      <c r="AA3339" s="0" t="str">
        <f aca="false">IF(AND(C3338=C3339,W3338=W3339-1),Y3338,"")</f>
        <v/>
      </c>
      <c r="AB3339" s="0" t="str">
        <f aca="false">IF(W3339=1,"",IF(AND(X3339=1,Z3339&lt;&gt;1),1,0))</f>
        <v/>
      </c>
      <c r="AC3339" s="0" t="str">
        <f aca="false">IF(W3339=1,"",IF(AND(Y3339=1,AA3339&lt;&gt;1),1,0))</f>
        <v/>
      </c>
      <c r="AD3339" s="33" t="str">
        <f aca="false">IF(AND(E3339&gt;0,W3339&lt;1,NOT(AND(C3340=C3339,W3340=W3339+1))),INDEX(DATAS,W3339+1),"")</f>
        <v/>
      </c>
      <c r="AE3339" s="33" t="str">
        <f aca="false">IF(AND(Y3339=1,W3339&lt;1),IF(AND(C3340=C3339,W3340=W3339+1),IF(Y3340=1,"",INDEX(DATAS,W3339+1)),INDEX(DATAS,W3339+1)),"")</f>
        <v/>
      </c>
    </row>
    <row r="3340" customFormat="false" ht="15" hidden="false" customHeight="false" outlineLevel="0" collapsed="false">
      <c r="A3340" s="33" t="n">
        <v>46309</v>
      </c>
      <c r="B3340" s="0" t="n">
        <v>13</v>
      </c>
      <c r="C3340" s="0" t="n">
        <v>7772</v>
      </c>
      <c r="E3340" s="0" t="n">
        <v>0</v>
      </c>
      <c r="F3340" s="27" t="s">
        <v>1558</v>
      </c>
      <c r="I3340" s="27" t="s">
        <v>166</v>
      </c>
      <c r="U3340" s="0" t="n">
        <v>137</v>
      </c>
      <c r="V3340" s="0" t="n">
        <v>0</v>
      </c>
      <c r="W3340" s="27" t="n">
        <f aca="false">MATCH(A3340,DATAS,0)</f>
        <v>1</v>
      </c>
      <c r="X3340" s="27" t="n">
        <f aca="false">IF(AND(E3340&gt;0,OR(AND(B3340&gt;=1,B3340&lt;=6),B3340=10)),1,0)</f>
        <v>0</v>
      </c>
      <c r="Y3340" s="27" t="n">
        <f aca="false">IF(AND(E3340&gt;0,B3340=10),1,0)</f>
        <v>0</v>
      </c>
      <c r="Z3340" s="0" t="str">
        <f aca="false">IF(AND(C3339=C3340,W3339=W3340-1),X3339,"")</f>
        <v/>
      </c>
      <c r="AA3340" s="0" t="str">
        <f aca="false">IF(AND(C3339=C3340,W3339=W3340-1),Y3339,"")</f>
        <v/>
      </c>
      <c r="AB3340" s="0" t="str">
        <f aca="false">IF(W3340=1,"",IF(AND(X3340=1,Z3340&lt;&gt;1),1,0))</f>
        <v/>
      </c>
      <c r="AC3340" s="0" t="str">
        <f aca="false">IF(W3340=1,"",IF(AND(Y3340=1,AA3340&lt;&gt;1),1,0))</f>
        <v/>
      </c>
      <c r="AD3340" s="33" t="str">
        <f aca="false">IF(AND(E3340&gt;0,W3340&lt;1,NOT(AND(C3341=C3340,W3341=W3340+1))),INDEX(DATAS,W3340+1),"")</f>
        <v/>
      </c>
      <c r="AE3340" s="33" t="str">
        <f aca="false">IF(AND(Y3340=1,W3340&lt;1),IF(AND(C3341=C3340,W3341=W3340+1),IF(Y3341=1,"",INDEX(DATAS,W3340+1)),INDEX(DATAS,W3340+1)),"")</f>
        <v/>
      </c>
    </row>
    <row r="3341" customFormat="false" ht="15" hidden="false" customHeight="false" outlineLevel="0" collapsed="false">
      <c r="A3341" s="33" t="n">
        <v>46309</v>
      </c>
      <c r="B3341" s="0" t="n">
        <v>13</v>
      </c>
      <c r="C3341" s="0" t="n">
        <v>7773</v>
      </c>
      <c r="E3341" s="0" t="n">
        <v>0</v>
      </c>
      <c r="F3341" s="27" t="s">
        <v>1558</v>
      </c>
      <c r="I3341" s="27" t="s">
        <v>166</v>
      </c>
      <c r="U3341" s="0" t="n">
        <v>137</v>
      </c>
      <c r="V3341" s="0" t="n">
        <v>0</v>
      </c>
      <c r="W3341" s="27" t="n">
        <f aca="false">MATCH(A3341,DATAS,0)</f>
        <v>1</v>
      </c>
      <c r="X3341" s="27" t="n">
        <f aca="false">IF(AND(E3341&gt;0,OR(AND(B3341&gt;=1,B3341&lt;=6),B3341=10)),1,0)</f>
        <v>0</v>
      </c>
      <c r="Y3341" s="27" t="n">
        <f aca="false">IF(AND(E3341&gt;0,B3341=10),1,0)</f>
        <v>0</v>
      </c>
      <c r="Z3341" s="0" t="str">
        <f aca="false">IF(AND(C3340=C3341,W3340=W3341-1),X3340,"")</f>
        <v/>
      </c>
      <c r="AA3341" s="0" t="str">
        <f aca="false">IF(AND(C3340=C3341,W3340=W3341-1),Y3340,"")</f>
        <v/>
      </c>
      <c r="AB3341" s="0" t="str">
        <f aca="false">IF(W3341=1,"",IF(AND(X3341=1,Z3341&lt;&gt;1),1,0))</f>
        <v/>
      </c>
      <c r="AC3341" s="0" t="str">
        <f aca="false">IF(W3341=1,"",IF(AND(Y3341=1,AA3341&lt;&gt;1),1,0))</f>
        <v/>
      </c>
      <c r="AD3341" s="33" t="str">
        <f aca="false">IF(AND(E3341&gt;0,W3341&lt;1,NOT(AND(C3342=C3341,W3342=W3341+1))),INDEX(DATAS,W3341+1),"")</f>
        <v/>
      </c>
      <c r="AE3341" s="33" t="str">
        <f aca="false">IF(AND(Y3341=1,W3341&lt;1),IF(AND(C3342=C3341,W3342=W3341+1),IF(Y3342=1,"",INDEX(DATAS,W3341+1)),INDEX(DATAS,W3341+1)),"")</f>
        <v/>
      </c>
    </row>
    <row r="3342" customFormat="false" ht="15" hidden="false" customHeight="false" outlineLevel="0" collapsed="false">
      <c r="A3342" s="33" t="n">
        <v>46309</v>
      </c>
      <c r="B3342" s="0" t="n">
        <v>13</v>
      </c>
      <c r="C3342" s="0" t="n">
        <v>7774</v>
      </c>
      <c r="E3342" s="0" t="n">
        <v>0</v>
      </c>
      <c r="F3342" s="27" t="s">
        <v>1558</v>
      </c>
      <c r="I3342" s="27" t="s">
        <v>166</v>
      </c>
      <c r="U3342" s="0" t="n">
        <v>137</v>
      </c>
      <c r="V3342" s="0" t="n">
        <v>0</v>
      </c>
      <c r="W3342" s="27" t="n">
        <f aca="false">MATCH(A3342,DATAS,0)</f>
        <v>1</v>
      </c>
      <c r="X3342" s="27" t="n">
        <f aca="false">IF(AND(E3342&gt;0,OR(AND(B3342&gt;=1,B3342&lt;=6),B3342=10)),1,0)</f>
        <v>0</v>
      </c>
      <c r="Y3342" s="27" t="n">
        <f aca="false">IF(AND(E3342&gt;0,B3342=10),1,0)</f>
        <v>0</v>
      </c>
      <c r="Z3342" s="0" t="str">
        <f aca="false">IF(AND(C3341=C3342,W3341=W3342-1),X3341,"")</f>
        <v/>
      </c>
      <c r="AA3342" s="0" t="str">
        <f aca="false">IF(AND(C3341=C3342,W3341=W3342-1),Y3341,"")</f>
        <v/>
      </c>
      <c r="AB3342" s="0" t="str">
        <f aca="false">IF(W3342=1,"",IF(AND(X3342=1,Z3342&lt;&gt;1),1,0))</f>
        <v/>
      </c>
      <c r="AC3342" s="0" t="str">
        <f aca="false">IF(W3342=1,"",IF(AND(Y3342=1,AA3342&lt;&gt;1),1,0))</f>
        <v/>
      </c>
      <c r="AD3342" s="33" t="str">
        <f aca="false">IF(AND(E3342&gt;0,W3342&lt;1,NOT(AND(C3343=C3342,W3343=W3342+1))),INDEX(DATAS,W3342+1),"")</f>
        <v/>
      </c>
      <c r="AE3342" s="33" t="str">
        <f aca="false">IF(AND(Y3342=1,W3342&lt;1),IF(AND(C3343=C3342,W3343=W3342+1),IF(Y3343=1,"",INDEX(DATAS,W3342+1)),INDEX(DATAS,W3342+1)),"")</f>
        <v/>
      </c>
    </row>
    <row r="3343" customFormat="false" ht="15" hidden="false" customHeight="false" outlineLevel="0" collapsed="false">
      <c r="A3343" s="33" t="n">
        <v>46309</v>
      </c>
      <c r="B3343" s="0" t="n">
        <v>13</v>
      </c>
      <c r="C3343" s="0" t="n">
        <v>7775</v>
      </c>
      <c r="E3343" s="0" t="n">
        <v>0</v>
      </c>
      <c r="F3343" s="27" t="s">
        <v>1558</v>
      </c>
      <c r="I3343" s="27" t="s">
        <v>166</v>
      </c>
      <c r="U3343" s="0" t="n">
        <v>137</v>
      </c>
      <c r="V3343" s="0" t="n">
        <v>0</v>
      </c>
      <c r="W3343" s="27" t="n">
        <f aca="false">MATCH(A3343,DATAS,0)</f>
        <v>1</v>
      </c>
      <c r="X3343" s="27" t="n">
        <f aca="false">IF(AND(E3343&gt;0,OR(AND(B3343&gt;=1,B3343&lt;=6),B3343=10)),1,0)</f>
        <v>0</v>
      </c>
      <c r="Y3343" s="27" t="n">
        <f aca="false">IF(AND(E3343&gt;0,B3343=10),1,0)</f>
        <v>0</v>
      </c>
      <c r="Z3343" s="0" t="str">
        <f aca="false">IF(AND(C3342=C3343,W3342=W3343-1),X3342,"")</f>
        <v/>
      </c>
      <c r="AA3343" s="0" t="str">
        <f aca="false">IF(AND(C3342=C3343,W3342=W3343-1),Y3342,"")</f>
        <v/>
      </c>
      <c r="AB3343" s="0" t="str">
        <f aca="false">IF(W3343=1,"",IF(AND(X3343=1,Z3343&lt;&gt;1),1,0))</f>
        <v/>
      </c>
      <c r="AC3343" s="0" t="str">
        <f aca="false">IF(W3343=1,"",IF(AND(Y3343=1,AA3343&lt;&gt;1),1,0))</f>
        <v/>
      </c>
      <c r="AD3343" s="33" t="str">
        <f aca="false">IF(AND(E3343&gt;0,W3343&lt;1,NOT(AND(C3344=C3343,W3344=W3343+1))),INDEX(DATAS,W3343+1),"")</f>
        <v/>
      </c>
      <c r="AE3343" s="33" t="str">
        <f aca="false">IF(AND(Y3343=1,W3343&lt;1),IF(AND(C3344=C3343,W3344=W3343+1),IF(Y3344=1,"",INDEX(DATAS,W3343+1)),INDEX(DATAS,W3343+1)),"")</f>
        <v/>
      </c>
    </row>
    <row r="3344" customFormat="false" ht="15" hidden="false" customHeight="false" outlineLevel="0" collapsed="false">
      <c r="A3344" s="33" t="n">
        <v>46309</v>
      </c>
      <c r="B3344" s="0" t="n">
        <v>13</v>
      </c>
      <c r="C3344" s="0" t="n">
        <v>7776</v>
      </c>
      <c r="E3344" s="0" t="n">
        <v>0</v>
      </c>
      <c r="F3344" s="27" t="s">
        <v>1559</v>
      </c>
      <c r="I3344" s="27" t="s">
        <v>166</v>
      </c>
      <c r="U3344" s="0" t="n">
        <v>136</v>
      </c>
      <c r="V3344" s="0" t="n">
        <v>0</v>
      </c>
      <c r="W3344" s="27" t="n">
        <f aca="false">MATCH(A3344,DATAS,0)</f>
        <v>1</v>
      </c>
      <c r="X3344" s="27" t="n">
        <f aca="false">IF(AND(E3344&gt;0,OR(AND(B3344&gt;=1,B3344&lt;=6),B3344=10)),1,0)</f>
        <v>0</v>
      </c>
      <c r="Y3344" s="27" t="n">
        <f aca="false">IF(AND(E3344&gt;0,B3344=10),1,0)</f>
        <v>0</v>
      </c>
      <c r="Z3344" s="0" t="str">
        <f aca="false">IF(AND(C3343=C3344,W3343=W3344-1),X3343,"")</f>
        <v/>
      </c>
      <c r="AA3344" s="0" t="str">
        <f aca="false">IF(AND(C3343=C3344,W3343=W3344-1),Y3343,"")</f>
        <v/>
      </c>
      <c r="AB3344" s="0" t="str">
        <f aca="false">IF(W3344=1,"",IF(AND(X3344=1,Z3344&lt;&gt;1),1,0))</f>
        <v/>
      </c>
      <c r="AC3344" s="0" t="str">
        <f aca="false">IF(W3344=1,"",IF(AND(Y3344=1,AA3344&lt;&gt;1),1,0))</f>
        <v/>
      </c>
      <c r="AD3344" s="33" t="str">
        <f aca="false">IF(AND(E3344&gt;0,W3344&lt;1,NOT(AND(C3345=C3344,W3345=W3344+1))),INDEX(DATAS,W3344+1),"")</f>
        <v/>
      </c>
      <c r="AE3344" s="33" t="str">
        <f aca="false">IF(AND(Y3344=1,W3344&lt;1),IF(AND(C3345=C3344,W3345=W3344+1),IF(Y3345=1,"",INDEX(DATAS,W3344+1)),INDEX(DATAS,W3344+1)),"")</f>
        <v/>
      </c>
    </row>
    <row r="3345" customFormat="false" ht="15" hidden="false" customHeight="false" outlineLevel="0" collapsed="false">
      <c r="A3345" s="33" t="n">
        <v>46309</v>
      </c>
      <c r="B3345" s="0" t="n">
        <v>15</v>
      </c>
      <c r="C3345" s="0" t="n">
        <v>7778</v>
      </c>
      <c r="E3345" s="0" t="n">
        <v>0</v>
      </c>
      <c r="F3345" s="27" t="s">
        <v>1559</v>
      </c>
      <c r="I3345" s="27" t="s">
        <v>136</v>
      </c>
      <c r="U3345" s="0" t="n">
        <v>136</v>
      </c>
      <c r="V3345" s="0" t="n">
        <v>0</v>
      </c>
      <c r="W3345" s="27" t="n">
        <f aca="false">MATCH(A3345,DATAS,0)</f>
        <v>1</v>
      </c>
      <c r="X3345" s="27" t="n">
        <f aca="false">IF(AND(E3345&gt;0,OR(AND(B3345&gt;=1,B3345&lt;=6),B3345=10)),1,0)</f>
        <v>0</v>
      </c>
      <c r="Y3345" s="27" t="n">
        <f aca="false">IF(AND(E3345&gt;0,B3345=10),1,0)</f>
        <v>0</v>
      </c>
      <c r="Z3345" s="0" t="str">
        <f aca="false">IF(AND(C3344=C3345,W3344=W3345-1),X3344,"")</f>
        <v/>
      </c>
      <c r="AA3345" s="0" t="str">
        <f aca="false">IF(AND(C3344=C3345,W3344=W3345-1),Y3344,"")</f>
        <v/>
      </c>
      <c r="AB3345" s="0" t="str">
        <f aca="false">IF(W3345=1,"",IF(AND(X3345=1,Z3345&lt;&gt;1),1,0))</f>
        <v/>
      </c>
      <c r="AC3345" s="0" t="str">
        <f aca="false">IF(W3345=1,"",IF(AND(Y3345=1,AA3345&lt;&gt;1),1,0))</f>
        <v/>
      </c>
      <c r="AD3345" s="33" t="str">
        <f aca="false">IF(AND(E3345&gt;0,W3345&lt;1,NOT(AND(C3346=C3345,W3346=W3345+1))),INDEX(DATAS,W3345+1),"")</f>
        <v/>
      </c>
      <c r="AE3345" s="33" t="str">
        <f aca="false">IF(AND(Y3345=1,W3345&lt;1),IF(AND(C3346=C3345,W3346=W3345+1),IF(Y3346=1,"",INDEX(DATAS,W3345+1)),INDEX(DATAS,W3345+1)),"")</f>
        <v/>
      </c>
    </row>
    <row r="3346" customFormat="false" ht="15" hidden="false" customHeight="false" outlineLevel="0" collapsed="false">
      <c r="A3346" s="33" t="n">
        <v>46309</v>
      </c>
      <c r="B3346" s="0" t="n">
        <v>13</v>
      </c>
      <c r="C3346" s="0" t="n">
        <v>7779</v>
      </c>
      <c r="E3346" s="0" t="n">
        <v>0</v>
      </c>
      <c r="F3346" s="27" t="s">
        <v>1559</v>
      </c>
      <c r="I3346" s="27" t="s">
        <v>166</v>
      </c>
      <c r="U3346" s="0" t="n">
        <v>136</v>
      </c>
      <c r="V3346" s="0" t="n">
        <v>0</v>
      </c>
      <c r="W3346" s="27" t="n">
        <f aca="false">MATCH(A3346,DATAS,0)</f>
        <v>1</v>
      </c>
      <c r="X3346" s="27" t="n">
        <f aca="false">IF(AND(E3346&gt;0,OR(AND(B3346&gt;=1,B3346&lt;=6),B3346=10)),1,0)</f>
        <v>0</v>
      </c>
      <c r="Y3346" s="27" t="n">
        <f aca="false">IF(AND(E3346&gt;0,B3346=10),1,0)</f>
        <v>0</v>
      </c>
      <c r="Z3346" s="0" t="str">
        <f aca="false">IF(AND(C3345=C3346,W3345=W3346-1),X3345,"")</f>
        <v/>
      </c>
      <c r="AA3346" s="0" t="str">
        <f aca="false">IF(AND(C3345=C3346,W3345=W3346-1),Y3345,"")</f>
        <v/>
      </c>
      <c r="AB3346" s="0" t="str">
        <f aca="false">IF(W3346=1,"",IF(AND(X3346=1,Z3346&lt;&gt;1),1,0))</f>
        <v/>
      </c>
      <c r="AC3346" s="0" t="str">
        <f aca="false">IF(W3346=1,"",IF(AND(Y3346=1,AA3346&lt;&gt;1),1,0))</f>
        <v/>
      </c>
      <c r="AD3346" s="33" t="str">
        <f aca="false">IF(AND(E3346&gt;0,W3346&lt;1,NOT(AND(C3347=C3346,W3347=W3346+1))),INDEX(DATAS,W3346+1),"")</f>
        <v/>
      </c>
      <c r="AE3346" s="33" t="str">
        <f aca="false">IF(AND(Y3346=1,W3346&lt;1),IF(AND(C3347=C3346,W3347=W3346+1),IF(Y3347=1,"",INDEX(DATAS,W3346+1)),INDEX(DATAS,W3346+1)),"")</f>
        <v/>
      </c>
    </row>
    <row r="3347" customFormat="false" ht="15" hidden="false" customHeight="false" outlineLevel="0" collapsed="false">
      <c r="A3347" s="33" t="n">
        <v>46309</v>
      </c>
      <c r="B3347" s="0" t="n">
        <v>13</v>
      </c>
      <c r="C3347" s="0" t="n">
        <v>7781</v>
      </c>
      <c r="E3347" s="0" t="n">
        <v>0</v>
      </c>
      <c r="F3347" s="27" t="s">
        <v>1560</v>
      </c>
      <c r="I3347" s="27" t="s">
        <v>166</v>
      </c>
      <c r="U3347" s="0" t="n">
        <v>135</v>
      </c>
      <c r="V3347" s="0" t="n">
        <v>0</v>
      </c>
      <c r="W3347" s="27" t="n">
        <f aca="false">MATCH(A3347,DATAS,0)</f>
        <v>1</v>
      </c>
      <c r="X3347" s="27" t="n">
        <f aca="false">IF(AND(E3347&gt;0,OR(AND(B3347&gt;=1,B3347&lt;=6),B3347=10)),1,0)</f>
        <v>0</v>
      </c>
      <c r="Y3347" s="27" t="n">
        <f aca="false">IF(AND(E3347&gt;0,B3347=10),1,0)</f>
        <v>0</v>
      </c>
      <c r="Z3347" s="0" t="str">
        <f aca="false">IF(AND(C3346=C3347,W3346=W3347-1),X3346,"")</f>
        <v/>
      </c>
      <c r="AA3347" s="0" t="str">
        <f aca="false">IF(AND(C3346=C3347,W3346=W3347-1),Y3346,"")</f>
        <v/>
      </c>
      <c r="AB3347" s="0" t="str">
        <f aca="false">IF(W3347=1,"",IF(AND(X3347=1,Z3347&lt;&gt;1),1,0))</f>
        <v/>
      </c>
      <c r="AC3347" s="0" t="str">
        <f aca="false">IF(W3347=1,"",IF(AND(Y3347=1,AA3347&lt;&gt;1),1,0))</f>
        <v/>
      </c>
      <c r="AD3347" s="33" t="str">
        <f aca="false">IF(AND(E3347&gt;0,W3347&lt;1,NOT(AND(C3348=C3347,W3348=W3347+1))),INDEX(DATAS,W3347+1),"")</f>
        <v/>
      </c>
      <c r="AE3347" s="33" t="str">
        <f aca="false">IF(AND(Y3347=1,W3347&lt;1),IF(AND(C3348=C3347,W3348=W3347+1),IF(Y3348=1,"",INDEX(DATAS,W3347+1)),INDEX(DATAS,W3347+1)),"")</f>
        <v/>
      </c>
    </row>
    <row r="3348" customFormat="false" ht="15" hidden="false" customHeight="false" outlineLevel="0" collapsed="false">
      <c r="A3348" s="33" t="n">
        <v>46309</v>
      </c>
      <c r="B3348" s="0" t="n">
        <v>13</v>
      </c>
      <c r="C3348" s="0" t="n">
        <v>7782</v>
      </c>
      <c r="E3348" s="0" t="n">
        <v>0</v>
      </c>
      <c r="F3348" s="27" t="s">
        <v>1560</v>
      </c>
      <c r="I3348" s="27" t="s">
        <v>166</v>
      </c>
      <c r="U3348" s="0" t="n">
        <v>135</v>
      </c>
      <c r="V3348" s="0" t="n">
        <v>0</v>
      </c>
      <c r="W3348" s="27" t="n">
        <f aca="false">MATCH(A3348,DATAS,0)</f>
        <v>1</v>
      </c>
      <c r="X3348" s="27" t="n">
        <f aca="false">IF(AND(E3348&gt;0,OR(AND(B3348&gt;=1,B3348&lt;=6),B3348=10)),1,0)</f>
        <v>0</v>
      </c>
      <c r="Y3348" s="27" t="n">
        <f aca="false">IF(AND(E3348&gt;0,B3348=10),1,0)</f>
        <v>0</v>
      </c>
      <c r="Z3348" s="0" t="str">
        <f aca="false">IF(AND(C3347=C3348,W3347=W3348-1),X3347,"")</f>
        <v/>
      </c>
      <c r="AA3348" s="0" t="str">
        <f aca="false">IF(AND(C3347=C3348,W3347=W3348-1),Y3347,"")</f>
        <v/>
      </c>
      <c r="AB3348" s="0" t="str">
        <f aca="false">IF(W3348=1,"",IF(AND(X3348=1,Z3348&lt;&gt;1),1,0))</f>
        <v/>
      </c>
      <c r="AC3348" s="0" t="str">
        <f aca="false">IF(W3348=1,"",IF(AND(Y3348=1,AA3348&lt;&gt;1),1,0))</f>
        <v/>
      </c>
      <c r="AD3348" s="33" t="str">
        <f aca="false">IF(AND(E3348&gt;0,W3348&lt;1,NOT(AND(C3349=C3348,W3349=W3348+1))),INDEX(DATAS,W3348+1),"")</f>
        <v/>
      </c>
      <c r="AE3348" s="33" t="str">
        <f aca="false">IF(AND(Y3348=1,W3348&lt;1),IF(AND(C3349=C3348,W3349=W3348+1),IF(Y3349=1,"",INDEX(DATAS,W3348+1)),INDEX(DATAS,W3348+1)),"")</f>
        <v/>
      </c>
    </row>
    <row r="3349" customFormat="false" ht="15" hidden="false" customHeight="false" outlineLevel="0" collapsed="false">
      <c r="A3349" s="33" t="n">
        <v>46309</v>
      </c>
      <c r="B3349" s="0" t="n">
        <v>13</v>
      </c>
      <c r="C3349" s="0" t="n">
        <v>7783</v>
      </c>
      <c r="E3349" s="0" t="n">
        <v>0</v>
      </c>
      <c r="F3349" s="27" t="s">
        <v>1561</v>
      </c>
      <c r="I3349" s="27" t="s">
        <v>166</v>
      </c>
      <c r="U3349" s="0" t="n">
        <v>134</v>
      </c>
      <c r="V3349" s="0" t="n">
        <v>0</v>
      </c>
      <c r="W3349" s="27" t="n">
        <f aca="false">MATCH(A3349,DATAS,0)</f>
        <v>1</v>
      </c>
      <c r="X3349" s="27" t="n">
        <f aca="false">IF(AND(E3349&gt;0,OR(AND(B3349&gt;=1,B3349&lt;=6),B3349=10)),1,0)</f>
        <v>0</v>
      </c>
      <c r="Y3349" s="27" t="n">
        <f aca="false">IF(AND(E3349&gt;0,B3349=10),1,0)</f>
        <v>0</v>
      </c>
      <c r="Z3349" s="0" t="str">
        <f aca="false">IF(AND(C3348=C3349,W3348=W3349-1),X3348,"")</f>
        <v/>
      </c>
      <c r="AA3349" s="0" t="str">
        <f aca="false">IF(AND(C3348=C3349,W3348=W3349-1),Y3348,"")</f>
        <v/>
      </c>
      <c r="AB3349" s="0" t="str">
        <f aca="false">IF(W3349=1,"",IF(AND(X3349=1,Z3349&lt;&gt;1),1,0))</f>
        <v/>
      </c>
      <c r="AC3349" s="0" t="str">
        <f aca="false">IF(W3349=1,"",IF(AND(Y3349=1,AA3349&lt;&gt;1),1,0))</f>
        <v/>
      </c>
      <c r="AD3349" s="33" t="str">
        <f aca="false">IF(AND(E3349&gt;0,W3349&lt;1,NOT(AND(C3350=C3349,W3350=W3349+1))),INDEX(DATAS,W3349+1),"")</f>
        <v/>
      </c>
      <c r="AE3349" s="33" t="str">
        <f aca="false">IF(AND(Y3349=1,W3349&lt;1),IF(AND(C3350=C3349,W3350=W3349+1),IF(Y3350=1,"",INDEX(DATAS,W3349+1)),INDEX(DATAS,W3349+1)),"")</f>
        <v/>
      </c>
    </row>
    <row r="3350" customFormat="false" ht="15" hidden="false" customHeight="false" outlineLevel="0" collapsed="false">
      <c r="A3350" s="33" t="n">
        <v>46309</v>
      </c>
      <c r="B3350" s="0" t="n">
        <v>13</v>
      </c>
      <c r="C3350" s="0" t="n">
        <v>7784</v>
      </c>
      <c r="E3350" s="0" t="n">
        <v>0</v>
      </c>
      <c r="F3350" s="27" t="s">
        <v>1561</v>
      </c>
      <c r="I3350" s="27" t="s">
        <v>166</v>
      </c>
      <c r="U3350" s="0" t="n">
        <v>134</v>
      </c>
      <c r="V3350" s="0" t="n">
        <v>0</v>
      </c>
      <c r="W3350" s="27" t="n">
        <f aca="false">MATCH(A3350,DATAS,0)</f>
        <v>1</v>
      </c>
      <c r="X3350" s="27" t="n">
        <f aca="false">IF(AND(E3350&gt;0,OR(AND(B3350&gt;=1,B3350&lt;=6),B3350=10)),1,0)</f>
        <v>0</v>
      </c>
      <c r="Y3350" s="27" t="n">
        <f aca="false">IF(AND(E3350&gt;0,B3350=10),1,0)</f>
        <v>0</v>
      </c>
      <c r="Z3350" s="0" t="str">
        <f aca="false">IF(AND(C3349=C3350,W3349=W3350-1),X3349,"")</f>
        <v/>
      </c>
      <c r="AA3350" s="0" t="str">
        <f aca="false">IF(AND(C3349=C3350,W3349=W3350-1),Y3349,"")</f>
        <v/>
      </c>
      <c r="AB3350" s="0" t="str">
        <f aca="false">IF(W3350=1,"",IF(AND(X3350=1,Z3350&lt;&gt;1),1,0))</f>
        <v/>
      </c>
      <c r="AC3350" s="0" t="str">
        <f aca="false">IF(W3350=1,"",IF(AND(Y3350=1,AA3350&lt;&gt;1),1,0))</f>
        <v/>
      </c>
      <c r="AD3350" s="33" t="str">
        <f aca="false">IF(AND(E3350&gt;0,W3350&lt;1,NOT(AND(C3351=C3350,W3351=W3350+1))),INDEX(DATAS,W3350+1),"")</f>
        <v/>
      </c>
      <c r="AE3350" s="33" t="str">
        <f aca="false">IF(AND(Y3350=1,W3350&lt;1),IF(AND(C3351=C3350,W3351=W3350+1),IF(Y3351=1,"",INDEX(DATAS,W3350+1)),INDEX(DATAS,W3350+1)),"")</f>
        <v/>
      </c>
    </row>
    <row r="3351" customFormat="false" ht="15" hidden="false" customHeight="false" outlineLevel="0" collapsed="false">
      <c r="A3351" s="33" t="n">
        <v>46309</v>
      </c>
      <c r="B3351" s="0" t="n">
        <v>13</v>
      </c>
      <c r="C3351" s="0" t="n">
        <v>7785</v>
      </c>
      <c r="E3351" s="0" t="n">
        <v>0</v>
      </c>
      <c r="F3351" s="27" t="s">
        <v>1561</v>
      </c>
      <c r="I3351" s="27" t="s">
        <v>166</v>
      </c>
      <c r="U3351" s="0" t="n">
        <v>134</v>
      </c>
      <c r="V3351" s="0" t="n">
        <v>0</v>
      </c>
      <c r="W3351" s="27" t="n">
        <f aca="false">MATCH(A3351,DATAS,0)</f>
        <v>1</v>
      </c>
      <c r="X3351" s="27" t="n">
        <f aca="false">IF(AND(E3351&gt;0,OR(AND(B3351&gt;=1,B3351&lt;=6),B3351=10)),1,0)</f>
        <v>0</v>
      </c>
      <c r="Y3351" s="27" t="n">
        <f aca="false">IF(AND(E3351&gt;0,B3351=10),1,0)</f>
        <v>0</v>
      </c>
      <c r="Z3351" s="0" t="str">
        <f aca="false">IF(AND(C3350=C3351,W3350=W3351-1),X3350,"")</f>
        <v/>
      </c>
      <c r="AA3351" s="0" t="str">
        <f aca="false">IF(AND(C3350=C3351,W3350=W3351-1),Y3350,"")</f>
        <v/>
      </c>
      <c r="AB3351" s="0" t="str">
        <f aca="false">IF(W3351=1,"",IF(AND(X3351=1,Z3351&lt;&gt;1),1,0))</f>
        <v/>
      </c>
      <c r="AC3351" s="0" t="str">
        <f aca="false">IF(W3351=1,"",IF(AND(Y3351=1,AA3351&lt;&gt;1),1,0))</f>
        <v/>
      </c>
      <c r="AD3351" s="33" t="str">
        <f aca="false">IF(AND(E3351&gt;0,W3351&lt;1,NOT(AND(C3352=C3351,W3352=W3351+1))),INDEX(DATAS,W3351+1),"")</f>
        <v/>
      </c>
      <c r="AE3351" s="33" t="str">
        <f aca="false">IF(AND(Y3351=1,W3351&lt;1),IF(AND(C3352=C3351,W3352=W3351+1),IF(Y3352=1,"",INDEX(DATAS,W3351+1)),INDEX(DATAS,W3351+1)),"")</f>
        <v/>
      </c>
    </row>
    <row r="3352" customFormat="false" ht="15" hidden="false" customHeight="false" outlineLevel="0" collapsed="false">
      <c r="A3352" s="33" t="n">
        <v>46309</v>
      </c>
      <c r="B3352" s="0" t="n">
        <v>13</v>
      </c>
      <c r="C3352" s="0" t="n">
        <v>7786</v>
      </c>
      <c r="E3352" s="0" t="n">
        <v>0</v>
      </c>
      <c r="F3352" s="27" t="s">
        <v>1561</v>
      </c>
      <c r="I3352" s="27" t="s">
        <v>166</v>
      </c>
      <c r="U3352" s="0" t="n">
        <v>134</v>
      </c>
      <c r="V3352" s="0" t="n">
        <v>0</v>
      </c>
      <c r="W3352" s="27" t="n">
        <f aca="false">MATCH(A3352,DATAS,0)</f>
        <v>1</v>
      </c>
      <c r="X3352" s="27" t="n">
        <f aca="false">IF(AND(E3352&gt;0,OR(AND(B3352&gt;=1,B3352&lt;=6),B3352=10)),1,0)</f>
        <v>0</v>
      </c>
      <c r="Y3352" s="27" t="n">
        <f aca="false">IF(AND(E3352&gt;0,B3352=10),1,0)</f>
        <v>0</v>
      </c>
      <c r="Z3352" s="0" t="str">
        <f aca="false">IF(AND(C3351=C3352,W3351=W3352-1),X3351,"")</f>
        <v/>
      </c>
      <c r="AA3352" s="0" t="str">
        <f aca="false">IF(AND(C3351=C3352,W3351=W3352-1),Y3351,"")</f>
        <v/>
      </c>
      <c r="AB3352" s="0" t="str">
        <f aca="false">IF(W3352=1,"",IF(AND(X3352=1,Z3352&lt;&gt;1),1,0))</f>
        <v/>
      </c>
      <c r="AC3352" s="0" t="str">
        <f aca="false">IF(W3352=1,"",IF(AND(Y3352=1,AA3352&lt;&gt;1),1,0))</f>
        <v/>
      </c>
      <c r="AD3352" s="33" t="str">
        <f aca="false">IF(AND(E3352&gt;0,W3352&lt;1,NOT(AND(C3353=C3352,W3353=W3352+1))),INDEX(DATAS,W3352+1),"")</f>
        <v/>
      </c>
      <c r="AE3352" s="33" t="str">
        <f aca="false">IF(AND(Y3352=1,W3352&lt;1),IF(AND(C3353=C3352,W3353=W3352+1),IF(Y3353=1,"",INDEX(DATAS,W3352+1)),INDEX(DATAS,W3352+1)),"")</f>
        <v/>
      </c>
    </row>
    <row r="3353" customFormat="false" ht="15" hidden="false" customHeight="false" outlineLevel="0" collapsed="false">
      <c r="A3353" s="33" t="n">
        <v>46309</v>
      </c>
      <c r="B3353" s="0" t="n">
        <v>13</v>
      </c>
      <c r="C3353" s="0" t="n">
        <v>7787</v>
      </c>
      <c r="E3353" s="0" t="n">
        <v>0</v>
      </c>
      <c r="F3353" s="27" t="s">
        <v>1562</v>
      </c>
      <c r="I3353" s="27" t="s">
        <v>166</v>
      </c>
      <c r="U3353" s="0" t="n">
        <v>133</v>
      </c>
      <c r="V3353" s="0" t="n">
        <v>0</v>
      </c>
      <c r="W3353" s="27" t="n">
        <f aca="false">MATCH(A3353,DATAS,0)</f>
        <v>1</v>
      </c>
      <c r="X3353" s="27" t="n">
        <f aca="false">IF(AND(E3353&gt;0,OR(AND(B3353&gt;=1,B3353&lt;=6),B3353=10)),1,0)</f>
        <v>0</v>
      </c>
      <c r="Y3353" s="27" t="n">
        <f aca="false">IF(AND(E3353&gt;0,B3353=10),1,0)</f>
        <v>0</v>
      </c>
      <c r="Z3353" s="0" t="str">
        <f aca="false">IF(AND(C3352=C3353,W3352=W3353-1),X3352,"")</f>
        <v/>
      </c>
      <c r="AA3353" s="0" t="str">
        <f aca="false">IF(AND(C3352=C3353,W3352=W3353-1),Y3352,"")</f>
        <v/>
      </c>
      <c r="AB3353" s="0" t="str">
        <f aca="false">IF(W3353=1,"",IF(AND(X3353=1,Z3353&lt;&gt;1),1,0))</f>
        <v/>
      </c>
      <c r="AC3353" s="0" t="str">
        <f aca="false">IF(W3353=1,"",IF(AND(Y3353=1,AA3353&lt;&gt;1),1,0))</f>
        <v/>
      </c>
      <c r="AD3353" s="33" t="str">
        <f aca="false">IF(AND(E3353&gt;0,W3353&lt;1,NOT(AND(C3354=C3353,W3354=W3353+1))),INDEX(DATAS,W3353+1),"")</f>
        <v/>
      </c>
      <c r="AE3353" s="33" t="str">
        <f aca="false">IF(AND(Y3353=1,W3353&lt;1),IF(AND(C3354=C3353,W3354=W3353+1),IF(Y3354=1,"",INDEX(DATAS,W3353+1)),INDEX(DATAS,W3353+1)),"")</f>
        <v/>
      </c>
    </row>
    <row r="3354" customFormat="false" ht="15" hidden="false" customHeight="false" outlineLevel="0" collapsed="false">
      <c r="A3354" s="33" t="n">
        <v>46309</v>
      </c>
      <c r="B3354" s="0" t="n">
        <v>13</v>
      </c>
      <c r="C3354" s="0" t="n">
        <v>7788</v>
      </c>
      <c r="E3354" s="0" t="n">
        <v>0</v>
      </c>
      <c r="F3354" s="27" t="s">
        <v>1562</v>
      </c>
      <c r="I3354" s="27" t="s">
        <v>166</v>
      </c>
      <c r="U3354" s="0" t="n">
        <v>133</v>
      </c>
      <c r="V3354" s="0" t="n">
        <v>0</v>
      </c>
      <c r="W3354" s="27" t="n">
        <f aca="false">MATCH(A3354,DATAS,0)</f>
        <v>1</v>
      </c>
      <c r="X3354" s="27" t="n">
        <f aca="false">IF(AND(E3354&gt;0,OR(AND(B3354&gt;=1,B3354&lt;=6),B3354=10)),1,0)</f>
        <v>0</v>
      </c>
      <c r="Y3354" s="27" t="n">
        <f aca="false">IF(AND(E3354&gt;0,B3354=10),1,0)</f>
        <v>0</v>
      </c>
      <c r="Z3354" s="0" t="str">
        <f aca="false">IF(AND(C3353=C3354,W3353=W3354-1),X3353,"")</f>
        <v/>
      </c>
      <c r="AA3354" s="0" t="str">
        <f aca="false">IF(AND(C3353=C3354,W3353=W3354-1),Y3353,"")</f>
        <v/>
      </c>
      <c r="AB3354" s="0" t="str">
        <f aca="false">IF(W3354=1,"",IF(AND(X3354=1,Z3354&lt;&gt;1),1,0))</f>
        <v/>
      </c>
      <c r="AC3354" s="0" t="str">
        <f aca="false">IF(W3354=1,"",IF(AND(Y3354=1,AA3354&lt;&gt;1),1,0))</f>
        <v/>
      </c>
      <c r="AD3354" s="33" t="str">
        <f aca="false">IF(AND(E3354&gt;0,W3354&lt;1,NOT(AND(C3355=C3354,W3355=W3354+1))),INDEX(DATAS,W3354+1),"")</f>
        <v/>
      </c>
      <c r="AE3354" s="33" t="str">
        <f aca="false">IF(AND(Y3354=1,W3354&lt;1),IF(AND(C3355=C3354,W3355=W3354+1),IF(Y3355=1,"",INDEX(DATAS,W3354+1)),INDEX(DATAS,W3354+1)),"")</f>
        <v/>
      </c>
    </row>
    <row r="3355" customFormat="false" ht="15" hidden="false" customHeight="false" outlineLevel="0" collapsed="false">
      <c r="A3355" s="33" t="n">
        <v>46309</v>
      </c>
      <c r="B3355" s="0" t="n">
        <v>13</v>
      </c>
      <c r="C3355" s="0" t="n">
        <v>7789</v>
      </c>
      <c r="E3355" s="0" t="n">
        <v>0</v>
      </c>
      <c r="F3355" s="27" t="s">
        <v>1562</v>
      </c>
      <c r="I3355" s="27" t="s">
        <v>166</v>
      </c>
      <c r="U3355" s="0" t="n">
        <v>133</v>
      </c>
      <c r="V3355" s="0" t="n">
        <v>0</v>
      </c>
      <c r="W3355" s="27" t="n">
        <f aca="false">MATCH(A3355,DATAS,0)</f>
        <v>1</v>
      </c>
      <c r="X3355" s="27" t="n">
        <f aca="false">IF(AND(E3355&gt;0,OR(AND(B3355&gt;=1,B3355&lt;=6),B3355=10)),1,0)</f>
        <v>0</v>
      </c>
      <c r="Y3355" s="27" t="n">
        <f aca="false">IF(AND(E3355&gt;0,B3355=10),1,0)</f>
        <v>0</v>
      </c>
      <c r="Z3355" s="0" t="str">
        <f aca="false">IF(AND(C3354=C3355,W3354=W3355-1),X3354,"")</f>
        <v/>
      </c>
      <c r="AA3355" s="0" t="str">
        <f aca="false">IF(AND(C3354=C3355,W3354=W3355-1),Y3354,"")</f>
        <v/>
      </c>
      <c r="AB3355" s="0" t="str">
        <f aca="false">IF(W3355=1,"",IF(AND(X3355=1,Z3355&lt;&gt;1),1,0))</f>
        <v/>
      </c>
      <c r="AC3355" s="0" t="str">
        <f aca="false">IF(W3355=1,"",IF(AND(Y3355=1,AA3355&lt;&gt;1),1,0))</f>
        <v/>
      </c>
      <c r="AD3355" s="33" t="str">
        <f aca="false">IF(AND(E3355&gt;0,W3355&lt;1,NOT(AND(C3356=C3355,W3356=W3355+1))),INDEX(DATAS,W3355+1),"")</f>
        <v/>
      </c>
      <c r="AE3355" s="33" t="str">
        <f aca="false">IF(AND(Y3355=1,W3355&lt;1),IF(AND(C3356=C3355,W3356=W3355+1),IF(Y3356=1,"",INDEX(DATAS,W3355+1)),INDEX(DATAS,W3355+1)),"")</f>
        <v/>
      </c>
    </row>
    <row r="3356" customFormat="false" ht="15" hidden="false" customHeight="false" outlineLevel="0" collapsed="false">
      <c r="A3356" s="33" t="n">
        <v>46309</v>
      </c>
      <c r="B3356" s="0" t="n">
        <v>13</v>
      </c>
      <c r="C3356" s="0" t="n">
        <v>7790</v>
      </c>
      <c r="E3356" s="0" t="n">
        <v>0</v>
      </c>
      <c r="F3356" s="27" t="s">
        <v>1563</v>
      </c>
      <c r="I3356" s="27" t="s">
        <v>166</v>
      </c>
      <c r="U3356" s="0" t="n">
        <v>132</v>
      </c>
      <c r="V3356" s="0" t="n">
        <v>0</v>
      </c>
      <c r="W3356" s="27" t="n">
        <f aca="false">MATCH(A3356,DATAS,0)</f>
        <v>1</v>
      </c>
      <c r="X3356" s="27" t="n">
        <f aca="false">IF(AND(E3356&gt;0,OR(AND(B3356&gt;=1,B3356&lt;=6),B3356=10)),1,0)</f>
        <v>0</v>
      </c>
      <c r="Y3356" s="27" t="n">
        <f aca="false">IF(AND(E3356&gt;0,B3356=10),1,0)</f>
        <v>0</v>
      </c>
      <c r="Z3356" s="0" t="str">
        <f aca="false">IF(AND(C3355=C3356,W3355=W3356-1),X3355,"")</f>
        <v/>
      </c>
      <c r="AA3356" s="0" t="str">
        <f aca="false">IF(AND(C3355=C3356,W3355=W3356-1),Y3355,"")</f>
        <v/>
      </c>
      <c r="AB3356" s="0" t="str">
        <f aca="false">IF(W3356=1,"",IF(AND(X3356=1,Z3356&lt;&gt;1),1,0))</f>
        <v/>
      </c>
      <c r="AC3356" s="0" t="str">
        <f aca="false">IF(W3356=1,"",IF(AND(Y3356=1,AA3356&lt;&gt;1),1,0))</f>
        <v/>
      </c>
      <c r="AD3356" s="33" t="str">
        <f aca="false">IF(AND(E3356&gt;0,W3356&lt;1,NOT(AND(C3357=C3356,W3357=W3356+1))),INDEX(DATAS,W3356+1),"")</f>
        <v/>
      </c>
      <c r="AE3356" s="33" t="str">
        <f aca="false">IF(AND(Y3356=1,W3356&lt;1),IF(AND(C3357=C3356,W3357=W3356+1),IF(Y3357=1,"",INDEX(DATAS,W3356+1)),INDEX(DATAS,W3356+1)),"")</f>
        <v/>
      </c>
    </row>
    <row r="3357" customFormat="false" ht="15" hidden="false" customHeight="false" outlineLevel="0" collapsed="false">
      <c r="A3357" s="33" t="n">
        <v>46309</v>
      </c>
      <c r="B3357" s="0" t="n">
        <v>13</v>
      </c>
      <c r="C3357" s="0" t="n">
        <v>7791</v>
      </c>
      <c r="E3357" s="0" t="n">
        <v>0</v>
      </c>
      <c r="F3357" s="27" t="s">
        <v>1563</v>
      </c>
      <c r="I3357" s="27" t="s">
        <v>166</v>
      </c>
      <c r="U3357" s="0" t="n">
        <v>132</v>
      </c>
      <c r="V3357" s="0" t="n">
        <v>0</v>
      </c>
      <c r="W3357" s="27" t="n">
        <f aca="false">MATCH(A3357,DATAS,0)</f>
        <v>1</v>
      </c>
      <c r="X3357" s="27" t="n">
        <f aca="false">IF(AND(E3357&gt;0,OR(AND(B3357&gt;=1,B3357&lt;=6),B3357=10)),1,0)</f>
        <v>0</v>
      </c>
      <c r="Y3357" s="27" t="n">
        <f aca="false">IF(AND(E3357&gt;0,B3357=10),1,0)</f>
        <v>0</v>
      </c>
      <c r="Z3357" s="0" t="str">
        <f aca="false">IF(AND(C3356=C3357,W3356=W3357-1),X3356,"")</f>
        <v/>
      </c>
      <c r="AA3357" s="0" t="str">
        <f aca="false">IF(AND(C3356=C3357,W3356=W3357-1),Y3356,"")</f>
        <v/>
      </c>
      <c r="AB3357" s="0" t="str">
        <f aca="false">IF(W3357=1,"",IF(AND(X3357=1,Z3357&lt;&gt;1),1,0))</f>
        <v/>
      </c>
      <c r="AC3357" s="0" t="str">
        <f aca="false">IF(W3357=1,"",IF(AND(Y3357=1,AA3357&lt;&gt;1),1,0))</f>
        <v/>
      </c>
      <c r="AD3357" s="33" t="str">
        <f aca="false">IF(AND(E3357&gt;0,W3357&lt;1,NOT(AND(C3358=C3357,W3358=W3357+1))),INDEX(DATAS,W3357+1),"")</f>
        <v/>
      </c>
      <c r="AE3357" s="33" t="str">
        <f aca="false">IF(AND(Y3357=1,W3357&lt;1),IF(AND(C3358=C3357,W3358=W3357+1),IF(Y3358=1,"",INDEX(DATAS,W3357+1)),INDEX(DATAS,W3357+1)),"")</f>
        <v/>
      </c>
    </row>
    <row r="3358" customFormat="false" ht="15" hidden="false" customHeight="false" outlineLevel="0" collapsed="false">
      <c r="A3358" s="33" t="n">
        <v>46309</v>
      </c>
      <c r="B3358" s="0" t="n">
        <v>13</v>
      </c>
      <c r="C3358" s="0" t="n">
        <v>7792</v>
      </c>
      <c r="E3358" s="0" t="n">
        <v>0</v>
      </c>
      <c r="F3358" s="27" t="s">
        <v>1563</v>
      </c>
      <c r="I3358" s="27" t="s">
        <v>166</v>
      </c>
      <c r="U3358" s="0" t="n">
        <v>132</v>
      </c>
      <c r="V3358" s="0" t="n">
        <v>0</v>
      </c>
      <c r="W3358" s="27" t="n">
        <f aca="false">MATCH(A3358,DATAS,0)</f>
        <v>1</v>
      </c>
      <c r="X3358" s="27" t="n">
        <f aca="false">IF(AND(E3358&gt;0,OR(AND(B3358&gt;=1,B3358&lt;=6),B3358=10)),1,0)</f>
        <v>0</v>
      </c>
      <c r="Y3358" s="27" t="n">
        <f aca="false">IF(AND(E3358&gt;0,B3358=10),1,0)</f>
        <v>0</v>
      </c>
      <c r="Z3358" s="0" t="str">
        <f aca="false">IF(AND(C3357=C3358,W3357=W3358-1),X3357,"")</f>
        <v/>
      </c>
      <c r="AA3358" s="0" t="str">
        <f aca="false">IF(AND(C3357=C3358,W3357=W3358-1),Y3357,"")</f>
        <v/>
      </c>
      <c r="AB3358" s="0" t="str">
        <f aca="false">IF(W3358=1,"",IF(AND(X3358=1,Z3358&lt;&gt;1),1,0))</f>
        <v/>
      </c>
      <c r="AC3358" s="0" t="str">
        <f aca="false">IF(W3358=1,"",IF(AND(Y3358=1,AA3358&lt;&gt;1),1,0))</f>
        <v/>
      </c>
      <c r="AD3358" s="33" t="str">
        <f aca="false">IF(AND(E3358&gt;0,W3358&lt;1,NOT(AND(C3359=C3358,W3359=W3358+1))),INDEX(DATAS,W3358+1),"")</f>
        <v/>
      </c>
      <c r="AE3358" s="33" t="str">
        <f aca="false">IF(AND(Y3358=1,W3358&lt;1),IF(AND(C3359=C3358,W3359=W3358+1),IF(Y3359=1,"",INDEX(DATAS,W3358+1)),INDEX(DATAS,W3358+1)),"")</f>
        <v/>
      </c>
    </row>
    <row r="3359" customFormat="false" ht="15" hidden="false" customHeight="false" outlineLevel="0" collapsed="false">
      <c r="A3359" s="33" t="n">
        <v>46309</v>
      </c>
      <c r="B3359" s="0" t="n">
        <v>13</v>
      </c>
      <c r="C3359" s="0" t="n">
        <v>7793</v>
      </c>
      <c r="E3359" s="0" t="n">
        <v>0</v>
      </c>
      <c r="F3359" s="27" t="s">
        <v>1563</v>
      </c>
      <c r="I3359" s="27" t="s">
        <v>166</v>
      </c>
      <c r="U3359" s="0" t="n">
        <v>132</v>
      </c>
      <c r="V3359" s="0" t="n">
        <v>0</v>
      </c>
      <c r="W3359" s="27" t="n">
        <f aca="false">MATCH(A3359,DATAS,0)</f>
        <v>1</v>
      </c>
      <c r="X3359" s="27" t="n">
        <f aca="false">IF(AND(E3359&gt;0,OR(AND(B3359&gt;=1,B3359&lt;=6),B3359=10)),1,0)</f>
        <v>0</v>
      </c>
      <c r="Y3359" s="27" t="n">
        <f aca="false">IF(AND(E3359&gt;0,B3359=10),1,0)</f>
        <v>0</v>
      </c>
      <c r="Z3359" s="0" t="str">
        <f aca="false">IF(AND(C3358=C3359,W3358=W3359-1),X3358,"")</f>
        <v/>
      </c>
      <c r="AA3359" s="0" t="str">
        <f aca="false">IF(AND(C3358=C3359,W3358=W3359-1),Y3358,"")</f>
        <v/>
      </c>
      <c r="AB3359" s="0" t="str">
        <f aca="false">IF(W3359=1,"",IF(AND(X3359=1,Z3359&lt;&gt;1),1,0))</f>
        <v/>
      </c>
      <c r="AC3359" s="0" t="str">
        <f aca="false">IF(W3359=1,"",IF(AND(Y3359=1,AA3359&lt;&gt;1),1,0))</f>
        <v/>
      </c>
      <c r="AD3359" s="33" t="str">
        <f aca="false">IF(AND(E3359&gt;0,W3359&lt;1,NOT(AND(C3360=C3359,W3360=W3359+1))),INDEX(DATAS,W3359+1),"")</f>
        <v/>
      </c>
      <c r="AE3359" s="33" t="str">
        <f aca="false">IF(AND(Y3359=1,W3359&lt;1),IF(AND(C3360=C3359,W3360=W3359+1),IF(Y3360=1,"",INDEX(DATAS,W3359+1)),INDEX(DATAS,W3359+1)),"")</f>
        <v/>
      </c>
    </row>
    <row r="3360" customFormat="false" ht="15" hidden="false" customHeight="false" outlineLevel="0" collapsed="false">
      <c r="A3360" s="33" t="n">
        <v>46309</v>
      </c>
      <c r="B3360" s="0" t="n">
        <v>13</v>
      </c>
      <c r="C3360" s="0" t="n">
        <v>7794</v>
      </c>
      <c r="E3360" s="0" t="n">
        <v>0</v>
      </c>
      <c r="F3360" s="27" t="s">
        <v>1563</v>
      </c>
      <c r="I3360" s="27" t="s">
        <v>166</v>
      </c>
      <c r="U3360" s="0" t="n">
        <v>132</v>
      </c>
      <c r="V3360" s="0" t="n">
        <v>0</v>
      </c>
      <c r="W3360" s="27" t="n">
        <f aca="false">MATCH(A3360,DATAS,0)</f>
        <v>1</v>
      </c>
      <c r="X3360" s="27" t="n">
        <f aca="false">IF(AND(E3360&gt;0,OR(AND(B3360&gt;=1,B3360&lt;=6),B3360=10)),1,0)</f>
        <v>0</v>
      </c>
      <c r="Y3360" s="27" t="n">
        <f aca="false">IF(AND(E3360&gt;0,B3360=10),1,0)</f>
        <v>0</v>
      </c>
      <c r="Z3360" s="0" t="str">
        <f aca="false">IF(AND(C3359=C3360,W3359=W3360-1),X3359,"")</f>
        <v/>
      </c>
      <c r="AA3360" s="0" t="str">
        <f aca="false">IF(AND(C3359=C3360,W3359=W3360-1),Y3359,"")</f>
        <v/>
      </c>
      <c r="AB3360" s="0" t="str">
        <f aca="false">IF(W3360=1,"",IF(AND(X3360=1,Z3360&lt;&gt;1),1,0))</f>
        <v/>
      </c>
      <c r="AC3360" s="0" t="str">
        <f aca="false">IF(W3360=1,"",IF(AND(Y3360=1,AA3360&lt;&gt;1),1,0))</f>
        <v/>
      </c>
      <c r="AD3360" s="33" t="str">
        <f aca="false">IF(AND(E3360&gt;0,W3360&lt;1,NOT(AND(C3361=C3360,W3361=W3360+1))),INDEX(DATAS,W3360+1),"")</f>
        <v/>
      </c>
      <c r="AE3360" s="33" t="str">
        <f aca="false">IF(AND(Y3360=1,W3360&lt;1),IF(AND(C3361=C3360,W3361=W3360+1),IF(Y3361=1,"",INDEX(DATAS,W3360+1)),INDEX(DATAS,W3360+1)),"")</f>
        <v/>
      </c>
    </row>
    <row r="3361" customFormat="false" ht="15" hidden="false" customHeight="false" outlineLevel="0" collapsed="false">
      <c r="A3361" s="33" t="n">
        <v>46309</v>
      </c>
      <c r="B3361" s="0" t="n">
        <v>13</v>
      </c>
      <c r="C3361" s="0" t="n">
        <v>7795</v>
      </c>
      <c r="E3361" s="0" t="n">
        <v>0</v>
      </c>
      <c r="F3361" s="27" t="s">
        <v>1564</v>
      </c>
      <c r="I3361" s="27" t="s">
        <v>166</v>
      </c>
      <c r="U3361" s="0" t="n">
        <v>131</v>
      </c>
      <c r="V3361" s="0" t="n">
        <v>0</v>
      </c>
      <c r="W3361" s="27" t="n">
        <f aca="false">MATCH(A3361,DATAS,0)</f>
        <v>1</v>
      </c>
      <c r="X3361" s="27" t="n">
        <f aca="false">IF(AND(E3361&gt;0,OR(AND(B3361&gt;=1,B3361&lt;=6),B3361=10)),1,0)</f>
        <v>0</v>
      </c>
      <c r="Y3361" s="27" t="n">
        <f aca="false">IF(AND(E3361&gt;0,B3361=10),1,0)</f>
        <v>0</v>
      </c>
      <c r="Z3361" s="0" t="str">
        <f aca="false">IF(AND(C3360=C3361,W3360=W3361-1),X3360,"")</f>
        <v/>
      </c>
      <c r="AA3361" s="0" t="str">
        <f aca="false">IF(AND(C3360=C3361,W3360=W3361-1),Y3360,"")</f>
        <v/>
      </c>
      <c r="AB3361" s="0" t="str">
        <f aca="false">IF(W3361=1,"",IF(AND(X3361=1,Z3361&lt;&gt;1),1,0))</f>
        <v/>
      </c>
      <c r="AC3361" s="0" t="str">
        <f aca="false">IF(W3361=1,"",IF(AND(Y3361=1,AA3361&lt;&gt;1),1,0))</f>
        <v/>
      </c>
      <c r="AD3361" s="33" t="str">
        <f aca="false">IF(AND(E3361&gt;0,W3361&lt;1,NOT(AND(C3362=C3361,W3362=W3361+1))),INDEX(DATAS,W3361+1),"")</f>
        <v/>
      </c>
      <c r="AE3361" s="33" t="str">
        <f aca="false">IF(AND(Y3361=1,W3361&lt;1),IF(AND(C3362=C3361,W3362=W3361+1),IF(Y3362=1,"",INDEX(DATAS,W3361+1)),INDEX(DATAS,W3361+1)),"")</f>
        <v/>
      </c>
    </row>
    <row r="3362" customFormat="false" ht="15" hidden="false" customHeight="false" outlineLevel="0" collapsed="false">
      <c r="A3362" s="33" t="n">
        <v>46309</v>
      </c>
      <c r="B3362" s="0" t="n">
        <v>13</v>
      </c>
      <c r="C3362" s="0" t="n">
        <v>7796</v>
      </c>
      <c r="E3362" s="0" t="n">
        <v>0</v>
      </c>
      <c r="F3362" s="27" t="s">
        <v>1564</v>
      </c>
      <c r="I3362" s="27" t="s">
        <v>166</v>
      </c>
      <c r="U3362" s="0" t="n">
        <v>131</v>
      </c>
      <c r="V3362" s="0" t="n">
        <v>0</v>
      </c>
      <c r="W3362" s="27" t="n">
        <f aca="false">MATCH(A3362,DATAS,0)</f>
        <v>1</v>
      </c>
      <c r="X3362" s="27" t="n">
        <f aca="false">IF(AND(E3362&gt;0,OR(AND(B3362&gt;=1,B3362&lt;=6),B3362=10)),1,0)</f>
        <v>0</v>
      </c>
      <c r="Y3362" s="27" t="n">
        <f aca="false">IF(AND(E3362&gt;0,B3362=10),1,0)</f>
        <v>0</v>
      </c>
      <c r="Z3362" s="0" t="str">
        <f aca="false">IF(AND(C3361=C3362,W3361=W3362-1),X3361,"")</f>
        <v/>
      </c>
      <c r="AA3362" s="0" t="str">
        <f aca="false">IF(AND(C3361=C3362,W3361=W3362-1),Y3361,"")</f>
        <v/>
      </c>
      <c r="AB3362" s="0" t="str">
        <f aca="false">IF(W3362=1,"",IF(AND(X3362=1,Z3362&lt;&gt;1),1,0))</f>
        <v/>
      </c>
      <c r="AC3362" s="0" t="str">
        <f aca="false">IF(W3362=1,"",IF(AND(Y3362=1,AA3362&lt;&gt;1),1,0))</f>
        <v/>
      </c>
      <c r="AD3362" s="33" t="str">
        <f aca="false">IF(AND(E3362&gt;0,W3362&lt;1,NOT(AND(C3363=C3362,W3363=W3362+1))),INDEX(DATAS,W3362+1),"")</f>
        <v/>
      </c>
      <c r="AE3362" s="33" t="str">
        <f aca="false">IF(AND(Y3362=1,W3362&lt;1),IF(AND(C3363=C3362,W3363=W3362+1),IF(Y3363=1,"",INDEX(DATAS,W3362+1)),INDEX(DATAS,W3362+1)),"")</f>
        <v/>
      </c>
    </row>
    <row r="3363" customFormat="false" ht="15" hidden="false" customHeight="false" outlineLevel="0" collapsed="false">
      <c r="A3363" s="33" t="n">
        <v>46309</v>
      </c>
      <c r="B3363" s="0" t="n">
        <v>13</v>
      </c>
      <c r="C3363" s="0" t="n">
        <v>7797</v>
      </c>
      <c r="E3363" s="0" t="n">
        <v>0</v>
      </c>
      <c r="F3363" s="27" t="s">
        <v>1564</v>
      </c>
      <c r="I3363" s="27" t="s">
        <v>166</v>
      </c>
      <c r="U3363" s="0" t="n">
        <v>131</v>
      </c>
      <c r="V3363" s="0" t="n">
        <v>0</v>
      </c>
      <c r="W3363" s="27" t="n">
        <f aca="false">MATCH(A3363,DATAS,0)</f>
        <v>1</v>
      </c>
      <c r="X3363" s="27" t="n">
        <f aca="false">IF(AND(E3363&gt;0,OR(AND(B3363&gt;=1,B3363&lt;=6),B3363=10)),1,0)</f>
        <v>0</v>
      </c>
      <c r="Y3363" s="27" t="n">
        <f aca="false">IF(AND(E3363&gt;0,B3363=10),1,0)</f>
        <v>0</v>
      </c>
      <c r="Z3363" s="0" t="str">
        <f aca="false">IF(AND(C3362=C3363,W3362=W3363-1),X3362,"")</f>
        <v/>
      </c>
      <c r="AA3363" s="0" t="str">
        <f aca="false">IF(AND(C3362=C3363,W3362=W3363-1),Y3362,"")</f>
        <v/>
      </c>
      <c r="AB3363" s="0" t="str">
        <f aca="false">IF(W3363=1,"",IF(AND(X3363=1,Z3363&lt;&gt;1),1,0))</f>
        <v/>
      </c>
      <c r="AC3363" s="0" t="str">
        <f aca="false">IF(W3363=1,"",IF(AND(Y3363=1,AA3363&lt;&gt;1),1,0))</f>
        <v/>
      </c>
      <c r="AD3363" s="33" t="str">
        <f aca="false">IF(AND(E3363&gt;0,W3363&lt;1,NOT(AND(C3364=C3363,W3364=W3363+1))),INDEX(DATAS,W3363+1),"")</f>
        <v/>
      </c>
      <c r="AE3363" s="33" t="str">
        <f aca="false">IF(AND(Y3363=1,W3363&lt;1),IF(AND(C3364=C3363,W3364=W3363+1),IF(Y3364=1,"",INDEX(DATAS,W3363+1)),INDEX(DATAS,W3363+1)),"")</f>
        <v/>
      </c>
    </row>
    <row r="3364" customFormat="false" ht="15" hidden="false" customHeight="false" outlineLevel="0" collapsed="false">
      <c r="A3364" s="33" t="n">
        <v>46309</v>
      </c>
      <c r="B3364" s="0" t="n">
        <v>13</v>
      </c>
      <c r="C3364" s="0" t="n">
        <v>7799</v>
      </c>
      <c r="E3364" s="0" t="n">
        <v>0</v>
      </c>
      <c r="F3364" s="27" t="s">
        <v>1564</v>
      </c>
      <c r="I3364" s="27" t="s">
        <v>166</v>
      </c>
      <c r="U3364" s="0" t="n">
        <v>131</v>
      </c>
      <c r="V3364" s="0" t="n">
        <v>0</v>
      </c>
      <c r="W3364" s="27" t="n">
        <f aca="false">MATCH(A3364,DATAS,0)</f>
        <v>1</v>
      </c>
      <c r="X3364" s="27" t="n">
        <f aca="false">IF(AND(E3364&gt;0,OR(AND(B3364&gt;=1,B3364&lt;=6),B3364=10)),1,0)</f>
        <v>0</v>
      </c>
      <c r="Y3364" s="27" t="n">
        <f aca="false">IF(AND(E3364&gt;0,B3364=10),1,0)</f>
        <v>0</v>
      </c>
      <c r="Z3364" s="0" t="str">
        <f aca="false">IF(AND(C3363=C3364,W3363=W3364-1),X3363,"")</f>
        <v/>
      </c>
      <c r="AA3364" s="0" t="str">
        <f aca="false">IF(AND(C3363=C3364,W3363=W3364-1),Y3363,"")</f>
        <v/>
      </c>
      <c r="AB3364" s="0" t="str">
        <f aca="false">IF(W3364=1,"",IF(AND(X3364=1,Z3364&lt;&gt;1),1,0))</f>
        <v/>
      </c>
      <c r="AC3364" s="0" t="str">
        <f aca="false">IF(W3364=1,"",IF(AND(Y3364=1,AA3364&lt;&gt;1),1,0))</f>
        <v/>
      </c>
      <c r="AD3364" s="33" t="str">
        <f aca="false">IF(AND(E3364&gt;0,W3364&lt;1,NOT(AND(C3365=C3364,W3365=W3364+1))),INDEX(DATAS,W3364+1),"")</f>
        <v/>
      </c>
      <c r="AE3364" s="33" t="str">
        <f aca="false">IF(AND(Y3364=1,W3364&lt;1),IF(AND(C3365=C3364,W3365=W3364+1),IF(Y3365=1,"",INDEX(DATAS,W3364+1)),INDEX(DATAS,W3364+1)),"")</f>
        <v/>
      </c>
    </row>
    <row r="3365" customFormat="false" ht="15" hidden="false" customHeight="false" outlineLevel="0" collapsed="false">
      <c r="A3365" s="33" t="n">
        <v>46309</v>
      </c>
      <c r="B3365" s="0" t="n">
        <v>13</v>
      </c>
      <c r="C3365" s="0" t="n">
        <v>7800</v>
      </c>
      <c r="E3365" s="0" t="n">
        <v>0</v>
      </c>
      <c r="F3365" s="27" t="s">
        <v>1565</v>
      </c>
      <c r="I3365" s="27" t="s">
        <v>166</v>
      </c>
      <c r="U3365" s="0" t="n">
        <v>130</v>
      </c>
      <c r="V3365" s="0" t="n">
        <v>0</v>
      </c>
      <c r="W3365" s="27" t="n">
        <f aca="false">MATCH(A3365,DATAS,0)</f>
        <v>1</v>
      </c>
      <c r="X3365" s="27" t="n">
        <f aca="false">IF(AND(E3365&gt;0,OR(AND(B3365&gt;=1,B3365&lt;=6),B3365=10)),1,0)</f>
        <v>0</v>
      </c>
      <c r="Y3365" s="27" t="n">
        <f aca="false">IF(AND(E3365&gt;0,B3365=10),1,0)</f>
        <v>0</v>
      </c>
      <c r="Z3365" s="0" t="str">
        <f aca="false">IF(AND(C3364=C3365,W3364=W3365-1),X3364,"")</f>
        <v/>
      </c>
      <c r="AA3365" s="0" t="str">
        <f aca="false">IF(AND(C3364=C3365,W3364=W3365-1),Y3364,"")</f>
        <v/>
      </c>
      <c r="AB3365" s="0" t="str">
        <f aca="false">IF(W3365=1,"",IF(AND(X3365=1,Z3365&lt;&gt;1),1,0))</f>
        <v/>
      </c>
      <c r="AC3365" s="0" t="str">
        <f aca="false">IF(W3365=1,"",IF(AND(Y3365=1,AA3365&lt;&gt;1),1,0))</f>
        <v/>
      </c>
      <c r="AD3365" s="33" t="str">
        <f aca="false">IF(AND(E3365&gt;0,W3365&lt;1,NOT(AND(C3366=C3365,W3366=W3365+1))),INDEX(DATAS,W3365+1),"")</f>
        <v/>
      </c>
      <c r="AE3365" s="33" t="str">
        <f aca="false">IF(AND(Y3365=1,W3365&lt;1),IF(AND(C3366=C3365,W3366=W3365+1),IF(Y3366=1,"",INDEX(DATAS,W3365+1)),INDEX(DATAS,W3365+1)),"")</f>
        <v/>
      </c>
    </row>
    <row r="3366" customFormat="false" ht="15" hidden="false" customHeight="false" outlineLevel="0" collapsed="false">
      <c r="A3366" s="33" t="n">
        <v>46309</v>
      </c>
      <c r="B3366" s="0" t="n">
        <v>13</v>
      </c>
      <c r="C3366" s="0" t="n">
        <v>7801</v>
      </c>
      <c r="E3366" s="0" t="n">
        <v>0</v>
      </c>
      <c r="F3366" s="27" t="s">
        <v>1565</v>
      </c>
      <c r="I3366" s="27" t="s">
        <v>166</v>
      </c>
      <c r="U3366" s="0" t="n">
        <v>130</v>
      </c>
      <c r="V3366" s="0" t="n">
        <v>0</v>
      </c>
      <c r="W3366" s="27" t="n">
        <f aca="false">MATCH(A3366,DATAS,0)</f>
        <v>1</v>
      </c>
      <c r="X3366" s="27" t="n">
        <f aca="false">IF(AND(E3366&gt;0,OR(AND(B3366&gt;=1,B3366&lt;=6),B3366=10)),1,0)</f>
        <v>0</v>
      </c>
      <c r="Y3366" s="27" t="n">
        <f aca="false">IF(AND(E3366&gt;0,B3366=10),1,0)</f>
        <v>0</v>
      </c>
      <c r="Z3366" s="0" t="str">
        <f aca="false">IF(AND(C3365=C3366,W3365=W3366-1),X3365,"")</f>
        <v/>
      </c>
      <c r="AA3366" s="0" t="str">
        <f aca="false">IF(AND(C3365=C3366,W3365=W3366-1),Y3365,"")</f>
        <v/>
      </c>
      <c r="AB3366" s="0" t="str">
        <f aca="false">IF(W3366=1,"",IF(AND(X3366=1,Z3366&lt;&gt;1),1,0))</f>
        <v/>
      </c>
      <c r="AC3366" s="0" t="str">
        <f aca="false">IF(W3366=1,"",IF(AND(Y3366=1,AA3366&lt;&gt;1),1,0))</f>
        <v/>
      </c>
      <c r="AD3366" s="33" t="str">
        <f aca="false">IF(AND(E3366&gt;0,W3366&lt;1,NOT(AND(C3367=C3366,W3367=W3366+1))),INDEX(DATAS,W3366+1),"")</f>
        <v/>
      </c>
      <c r="AE3366" s="33" t="str">
        <f aca="false">IF(AND(Y3366=1,W3366&lt;1),IF(AND(C3367=C3366,W3367=W3366+1),IF(Y3367=1,"",INDEX(DATAS,W3366+1)),INDEX(DATAS,W3366+1)),"")</f>
        <v/>
      </c>
    </row>
    <row r="3367" customFormat="false" ht="15" hidden="false" customHeight="false" outlineLevel="0" collapsed="false">
      <c r="A3367" s="33" t="n">
        <v>46309</v>
      </c>
      <c r="B3367" s="0" t="n">
        <v>13</v>
      </c>
      <c r="C3367" s="0" t="n">
        <v>7802</v>
      </c>
      <c r="E3367" s="0" t="n">
        <v>0</v>
      </c>
      <c r="F3367" s="27" t="s">
        <v>1565</v>
      </c>
      <c r="I3367" s="27" t="s">
        <v>166</v>
      </c>
      <c r="U3367" s="0" t="n">
        <v>130</v>
      </c>
      <c r="V3367" s="0" t="n">
        <v>0</v>
      </c>
      <c r="W3367" s="27" t="n">
        <f aca="false">MATCH(A3367,DATAS,0)</f>
        <v>1</v>
      </c>
      <c r="X3367" s="27" t="n">
        <f aca="false">IF(AND(E3367&gt;0,OR(AND(B3367&gt;=1,B3367&lt;=6),B3367=10)),1,0)</f>
        <v>0</v>
      </c>
      <c r="Y3367" s="27" t="n">
        <f aca="false">IF(AND(E3367&gt;0,B3367=10),1,0)</f>
        <v>0</v>
      </c>
      <c r="Z3367" s="0" t="str">
        <f aca="false">IF(AND(C3366=C3367,W3366=W3367-1),X3366,"")</f>
        <v/>
      </c>
      <c r="AA3367" s="0" t="str">
        <f aca="false">IF(AND(C3366=C3367,W3366=W3367-1),Y3366,"")</f>
        <v/>
      </c>
      <c r="AB3367" s="0" t="str">
        <f aca="false">IF(W3367=1,"",IF(AND(X3367=1,Z3367&lt;&gt;1),1,0))</f>
        <v/>
      </c>
      <c r="AC3367" s="0" t="str">
        <f aca="false">IF(W3367=1,"",IF(AND(Y3367=1,AA3367&lt;&gt;1),1,0))</f>
        <v/>
      </c>
      <c r="AD3367" s="33" t="str">
        <f aca="false">IF(AND(E3367&gt;0,W3367&lt;1,NOT(AND(C3368=C3367,W3368=W3367+1))),INDEX(DATAS,W3367+1),"")</f>
        <v/>
      </c>
      <c r="AE3367" s="33" t="str">
        <f aca="false">IF(AND(Y3367=1,W3367&lt;1),IF(AND(C3368=C3367,W3368=W3367+1),IF(Y3368=1,"",INDEX(DATAS,W3367+1)),INDEX(DATAS,W3367+1)),"")</f>
        <v/>
      </c>
    </row>
    <row r="3368" customFormat="false" ht="15" hidden="false" customHeight="false" outlineLevel="0" collapsed="false">
      <c r="A3368" s="33" t="n">
        <v>46309</v>
      </c>
      <c r="B3368" s="0" t="n">
        <v>13</v>
      </c>
      <c r="C3368" s="0" t="n">
        <v>7803</v>
      </c>
      <c r="E3368" s="0" t="n">
        <v>0</v>
      </c>
      <c r="F3368" s="27" t="s">
        <v>1566</v>
      </c>
      <c r="I3368" s="27" t="s">
        <v>166</v>
      </c>
      <c r="U3368" s="0" t="n">
        <v>129</v>
      </c>
      <c r="V3368" s="0" t="n">
        <v>0</v>
      </c>
      <c r="W3368" s="27" t="n">
        <f aca="false">MATCH(A3368,DATAS,0)</f>
        <v>1</v>
      </c>
      <c r="X3368" s="27" t="n">
        <f aca="false">IF(AND(E3368&gt;0,OR(AND(B3368&gt;=1,B3368&lt;=6),B3368=10)),1,0)</f>
        <v>0</v>
      </c>
      <c r="Y3368" s="27" t="n">
        <f aca="false">IF(AND(E3368&gt;0,B3368=10),1,0)</f>
        <v>0</v>
      </c>
      <c r="Z3368" s="0" t="str">
        <f aca="false">IF(AND(C3367=C3368,W3367=W3368-1),X3367,"")</f>
        <v/>
      </c>
      <c r="AA3368" s="0" t="str">
        <f aca="false">IF(AND(C3367=C3368,W3367=W3368-1),Y3367,"")</f>
        <v/>
      </c>
      <c r="AB3368" s="0" t="str">
        <f aca="false">IF(W3368=1,"",IF(AND(X3368=1,Z3368&lt;&gt;1),1,0))</f>
        <v/>
      </c>
      <c r="AC3368" s="0" t="str">
        <f aca="false">IF(W3368=1,"",IF(AND(Y3368=1,AA3368&lt;&gt;1),1,0))</f>
        <v/>
      </c>
      <c r="AD3368" s="33" t="str">
        <f aca="false">IF(AND(E3368&gt;0,W3368&lt;1,NOT(AND(C3369=C3368,W3369=W3368+1))),INDEX(DATAS,W3368+1),"")</f>
        <v/>
      </c>
      <c r="AE3368" s="33" t="str">
        <f aca="false">IF(AND(Y3368=1,W3368&lt;1),IF(AND(C3369=C3368,W3369=W3368+1),IF(Y3369=1,"",INDEX(DATAS,W3368+1)),INDEX(DATAS,W3368+1)),"")</f>
        <v/>
      </c>
    </row>
    <row r="3369" customFormat="false" ht="15" hidden="false" customHeight="false" outlineLevel="0" collapsed="false">
      <c r="A3369" s="33" t="n">
        <v>46309</v>
      </c>
      <c r="B3369" s="0" t="n">
        <v>13</v>
      </c>
      <c r="C3369" s="0" t="n">
        <v>7804</v>
      </c>
      <c r="E3369" s="0" t="n">
        <v>0</v>
      </c>
      <c r="F3369" s="27" t="s">
        <v>1566</v>
      </c>
      <c r="I3369" s="27" t="s">
        <v>166</v>
      </c>
      <c r="U3369" s="0" t="n">
        <v>129</v>
      </c>
      <c r="V3369" s="0" t="n">
        <v>0</v>
      </c>
      <c r="W3369" s="27" t="n">
        <f aca="false">MATCH(A3369,DATAS,0)</f>
        <v>1</v>
      </c>
      <c r="X3369" s="27" t="n">
        <f aca="false">IF(AND(E3369&gt;0,OR(AND(B3369&gt;=1,B3369&lt;=6),B3369=10)),1,0)</f>
        <v>0</v>
      </c>
      <c r="Y3369" s="27" t="n">
        <f aca="false">IF(AND(E3369&gt;0,B3369=10),1,0)</f>
        <v>0</v>
      </c>
      <c r="Z3369" s="0" t="str">
        <f aca="false">IF(AND(C3368=C3369,W3368=W3369-1),X3368,"")</f>
        <v/>
      </c>
      <c r="AA3369" s="0" t="str">
        <f aca="false">IF(AND(C3368=C3369,W3368=W3369-1),Y3368,"")</f>
        <v/>
      </c>
      <c r="AB3369" s="0" t="str">
        <f aca="false">IF(W3369=1,"",IF(AND(X3369=1,Z3369&lt;&gt;1),1,0))</f>
        <v/>
      </c>
      <c r="AC3369" s="0" t="str">
        <f aca="false">IF(W3369=1,"",IF(AND(Y3369=1,AA3369&lt;&gt;1),1,0))</f>
        <v/>
      </c>
      <c r="AD3369" s="33" t="str">
        <f aca="false">IF(AND(E3369&gt;0,W3369&lt;1,NOT(AND(C3370=C3369,W3370=W3369+1))),INDEX(DATAS,W3369+1),"")</f>
        <v/>
      </c>
      <c r="AE3369" s="33" t="str">
        <f aca="false">IF(AND(Y3369=1,W3369&lt;1),IF(AND(C3370=C3369,W3370=W3369+1),IF(Y3370=1,"",INDEX(DATAS,W3369+1)),INDEX(DATAS,W3369+1)),"")</f>
        <v/>
      </c>
    </row>
    <row r="3370" customFormat="false" ht="15" hidden="false" customHeight="false" outlineLevel="0" collapsed="false">
      <c r="A3370" s="33" t="n">
        <v>46309</v>
      </c>
      <c r="B3370" s="0" t="n">
        <v>13</v>
      </c>
      <c r="C3370" s="0" t="n">
        <v>7805</v>
      </c>
      <c r="E3370" s="0" t="n">
        <v>0</v>
      </c>
      <c r="F3370" s="27" t="s">
        <v>1566</v>
      </c>
      <c r="I3370" s="27" t="s">
        <v>166</v>
      </c>
      <c r="U3370" s="0" t="n">
        <v>129</v>
      </c>
      <c r="V3370" s="0" t="n">
        <v>0</v>
      </c>
      <c r="W3370" s="27" t="n">
        <f aca="false">MATCH(A3370,DATAS,0)</f>
        <v>1</v>
      </c>
      <c r="X3370" s="27" t="n">
        <f aca="false">IF(AND(E3370&gt;0,OR(AND(B3370&gt;=1,B3370&lt;=6),B3370=10)),1,0)</f>
        <v>0</v>
      </c>
      <c r="Y3370" s="27" t="n">
        <f aca="false">IF(AND(E3370&gt;0,B3370=10),1,0)</f>
        <v>0</v>
      </c>
      <c r="Z3370" s="0" t="str">
        <f aca="false">IF(AND(C3369=C3370,W3369=W3370-1),X3369,"")</f>
        <v/>
      </c>
      <c r="AA3370" s="0" t="str">
        <f aca="false">IF(AND(C3369=C3370,W3369=W3370-1),Y3369,"")</f>
        <v/>
      </c>
      <c r="AB3370" s="0" t="str">
        <f aca="false">IF(W3370=1,"",IF(AND(X3370=1,Z3370&lt;&gt;1),1,0))</f>
        <v/>
      </c>
      <c r="AC3370" s="0" t="str">
        <f aca="false">IF(W3370=1,"",IF(AND(Y3370=1,AA3370&lt;&gt;1),1,0))</f>
        <v/>
      </c>
      <c r="AD3370" s="33" t="str">
        <f aca="false">IF(AND(E3370&gt;0,W3370&lt;1,NOT(AND(C3371=C3370,W3371=W3370+1))),INDEX(DATAS,W3370+1),"")</f>
        <v/>
      </c>
      <c r="AE3370" s="33" t="str">
        <f aca="false">IF(AND(Y3370=1,W3370&lt;1),IF(AND(C3371=C3370,W3371=W3370+1),IF(Y3371=1,"",INDEX(DATAS,W3370+1)),INDEX(DATAS,W3370+1)),"")</f>
        <v/>
      </c>
    </row>
    <row r="3371" customFormat="false" ht="15" hidden="false" customHeight="false" outlineLevel="0" collapsed="false">
      <c r="A3371" s="33" t="n">
        <v>46309</v>
      </c>
      <c r="B3371" s="0" t="n">
        <v>13</v>
      </c>
      <c r="C3371" s="0" t="n">
        <v>7806</v>
      </c>
      <c r="E3371" s="0" t="n">
        <v>0</v>
      </c>
      <c r="F3371" s="27" t="s">
        <v>1567</v>
      </c>
      <c r="I3371" s="27" t="s">
        <v>166</v>
      </c>
      <c r="U3371" s="0" t="n">
        <v>128</v>
      </c>
      <c r="V3371" s="0" t="n">
        <v>0</v>
      </c>
      <c r="W3371" s="27" t="n">
        <f aca="false">MATCH(A3371,DATAS,0)</f>
        <v>1</v>
      </c>
      <c r="X3371" s="27" t="n">
        <f aca="false">IF(AND(E3371&gt;0,OR(AND(B3371&gt;=1,B3371&lt;=6),B3371=10)),1,0)</f>
        <v>0</v>
      </c>
      <c r="Y3371" s="27" t="n">
        <f aca="false">IF(AND(E3371&gt;0,B3371=10),1,0)</f>
        <v>0</v>
      </c>
      <c r="Z3371" s="0" t="str">
        <f aca="false">IF(AND(C3370=C3371,W3370=W3371-1),X3370,"")</f>
        <v/>
      </c>
      <c r="AA3371" s="0" t="str">
        <f aca="false">IF(AND(C3370=C3371,W3370=W3371-1),Y3370,"")</f>
        <v/>
      </c>
      <c r="AB3371" s="0" t="str">
        <f aca="false">IF(W3371=1,"",IF(AND(X3371=1,Z3371&lt;&gt;1),1,0))</f>
        <v/>
      </c>
      <c r="AC3371" s="0" t="str">
        <f aca="false">IF(W3371=1,"",IF(AND(Y3371=1,AA3371&lt;&gt;1),1,0))</f>
        <v/>
      </c>
      <c r="AD3371" s="33" t="str">
        <f aca="false">IF(AND(E3371&gt;0,W3371&lt;1,NOT(AND(C3372=C3371,W3372=W3371+1))),INDEX(DATAS,W3371+1),"")</f>
        <v/>
      </c>
      <c r="AE3371" s="33" t="str">
        <f aca="false">IF(AND(Y3371=1,W3371&lt;1),IF(AND(C3372=C3371,W3372=W3371+1),IF(Y3372=1,"",INDEX(DATAS,W3371+1)),INDEX(DATAS,W3371+1)),"")</f>
        <v/>
      </c>
    </row>
    <row r="3372" customFormat="false" ht="15" hidden="false" customHeight="false" outlineLevel="0" collapsed="false">
      <c r="A3372" s="33" t="n">
        <v>46309</v>
      </c>
      <c r="B3372" s="0" t="n">
        <v>13</v>
      </c>
      <c r="C3372" s="0" t="n">
        <v>7807</v>
      </c>
      <c r="E3372" s="0" t="n">
        <v>0</v>
      </c>
      <c r="F3372" s="27" t="s">
        <v>1568</v>
      </c>
      <c r="I3372" s="27" t="s">
        <v>166</v>
      </c>
      <c r="U3372" s="0" t="n">
        <v>127</v>
      </c>
      <c r="V3372" s="0" t="n">
        <v>0</v>
      </c>
      <c r="W3372" s="27" t="n">
        <f aca="false">MATCH(A3372,DATAS,0)</f>
        <v>1</v>
      </c>
      <c r="X3372" s="27" t="n">
        <f aca="false">IF(AND(E3372&gt;0,OR(AND(B3372&gt;=1,B3372&lt;=6),B3372=10)),1,0)</f>
        <v>0</v>
      </c>
      <c r="Y3372" s="27" t="n">
        <f aca="false">IF(AND(E3372&gt;0,B3372=10),1,0)</f>
        <v>0</v>
      </c>
      <c r="Z3372" s="0" t="str">
        <f aca="false">IF(AND(C3371=C3372,W3371=W3372-1),X3371,"")</f>
        <v/>
      </c>
      <c r="AA3372" s="0" t="str">
        <f aca="false">IF(AND(C3371=C3372,W3371=W3372-1),Y3371,"")</f>
        <v/>
      </c>
      <c r="AB3372" s="0" t="str">
        <f aca="false">IF(W3372=1,"",IF(AND(X3372=1,Z3372&lt;&gt;1),1,0))</f>
        <v/>
      </c>
      <c r="AC3372" s="0" t="str">
        <f aca="false">IF(W3372=1,"",IF(AND(Y3372=1,AA3372&lt;&gt;1),1,0))</f>
        <v/>
      </c>
      <c r="AD3372" s="33" t="str">
        <f aca="false">IF(AND(E3372&gt;0,W3372&lt;1,NOT(AND(C3373=C3372,W3373=W3372+1))),INDEX(DATAS,W3372+1),"")</f>
        <v/>
      </c>
      <c r="AE3372" s="33" t="str">
        <f aca="false">IF(AND(Y3372=1,W3372&lt;1),IF(AND(C3373=C3372,W3373=W3372+1),IF(Y3373=1,"",INDEX(DATAS,W3372+1)),INDEX(DATAS,W3372+1)),"")</f>
        <v/>
      </c>
    </row>
    <row r="3373" customFormat="false" ht="15" hidden="false" customHeight="false" outlineLevel="0" collapsed="false">
      <c r="A3373" s="33" t="n">
        <v>46309</v>
      </c>
      <c r="B3373" s="0" t="n">
        <v>13</v>
      </c>
      <c r="C3373" s="0" t="n">
        <v>7808</v>
      </c>
      <c r="E3373" s="0" t="n">
        <v>0</v>
      </c>
      <c r="F3373" s="27" t="s">
        <v>1568</v>
      </c>
      <c r="I3373" s="27" t="s">
        <v>166</v>
      </c>
      <c r="U3373" s="0" t="n">
        <v>127</v>
      </c>
      <c r="V3373" s="0" t="n">
        <v>0</v>
      </c>
      <c r="W3373" s="27" t="n">
        <f aca="false">MATCH(A3373,DATAS,0)</f>
        <v>1</v>
      </c>
      <c r="X3373" s="27" t="n">
        <f aca="false">IF(AND(E3373&gt;0,OR(AND(B3373&gt;=1,B3373&lt;=6),B3373=10)),1,0)</f>
        <v>0</v>
      </c>
      <c r="Y3373" s="27" t="n">
        <f aca="false">IF(AND(E3373&gt;0,B3373=10),1,0)</f>
        <v>0</v>
      </c>
      <c r="Z3373" s="0" t="str">
        <f aca="false">IF(AND(C3372=C3373,W3372=W3373-1),X3372,"")</f>
        <v/>
      </c>
      <c r="AA3373" s="0" t="str">
        <f aca="false">IF(AND(C3372=C3373,W3372=W3373-1),Y3372,"")</f>
        <v/>
      </c>
      <c r="AB3373" s="0" t="str">
        <f aca="false">IF(W3373=1,"",IF(AND(X3373=1,Z3373&lt;&gt;1),1,0))</f>
        <v/>
      </c>
      <c r="AC3373" s="0" t="str">
        <f aca="false">IF(W3373=1,"",IF(AND(Y3373=1,AA3373&lt;&gt;1),1,0))</f>
        <v/>
      </c>
      <c r="AD3373" s="33" t="str">
        <f aca="false">IF(AND(E3373&gt;0,W3373&lt;1,NOT(AND(C3374=C3373,W3374=W3373+1))),INDEX(DATAS,W3373+1),"")</f>
        <v/>
      </c>
      <c r="AE3373" s="33" t="str">
        <f aca="false">IF(AND(Y3373=1,W3373&lt;1),IF(AND(C3374=C3373,W3374=W3373+1),IF(Y3374=1,"",INDEX(DATAS,W3373+1)),INDEX(DATAS,W3373+1)),"")</f>
        <v/>
      </c>
    </row>
    <row r="3374" customFormat="false" ht="15" hidden="false" customHeight="false" outlineLevel="0" collapsed="false">
      <c r="A3374" s="33" t="n">
        <v>46309</v>
      </c>
      <c r="B3374" s="0" t="n">
        <v>13</v>
      </c>
      <c r="C3374" s="0" t="n">
        <v>7809</v>
      </c>
      <c r="E3374" s="0" t="n">
        <v>0</v>
      </c>
      <c r="F3374" s="27" t="s">
        <v>1568</v>
      </c>
      <c r="I3374" s="27" t="s">
        <v>166</v>
      </c>
      <c r="U3374" s="0" t="n">
        <v>127</v>
      </c>
      <c r="V3374" s="0" t="n">
        <v>0</v>
      </c>
      <c r="W3374" s="27" t="n">
        <f aca="false">MATCH(A3374,DATAS,0)</f>
        <v>1</v>
      </c>
      <c r="X3374" s="27" t="n">
        <f aca="false">IF(AND(E3374&gt;0,OR(AND(B3374&gt;=1,B3374&lt;=6),B3374=10)),1,0)</f>
        <v>0</v>
      </c>
      <c r="Y3374" s="27" t="n">
        <f aca="false">IF(AND(E3374&gt;0,B3374=10),1,0)</f>
        <v>0</v>
      </c>
      <c r="Z3374" s="0" t="str">
        <f aca="false">IF(AND(C3373=C3374,W3373=W3374-1),X3373,"")</f>
        <v/>
      </c>
      <c r="AA3374" s="0" t="str">
        <f aca="false">IF(AND(C3373=C3374,W3373=W3374-1),Y3373,"")</f>
        <v/>
      </c>
      <c r="AB3374" s="0" t="str">
        <f aca="false">IF(W3374=1,"",IF(AND(X3374=1,Z3374&lt;&gt;1),1,0))</f>
        <v/>
      </c>
      <c r="AC3374" s="0" t="str">
        <f aca="false">IF(W3374=1,"",IF(AND(Y3374=1,AA3374&lt;&gt;1),1,0))</f>
        <v/>
      </c>
      <c r="AD3374" s="33" t="str">
        <f aca="false">IF(AND(E3374&gt;0,W3374&lt;1,NOT(AND(C3375=C3374,W3375=W3374+1))),INDEX(DATAS,W3374+1),"")</f>
        <v/>
      </c>
      <c r="AE3374" s="33" t="str">
        <f aca="false">IF(AND(Y3374=1,W3374&lt;1),IF(AND(C3375=C3374,W3375=W3374+1),IF(Y3375=1,"",INDEX(DATAS,W3374+1)),INDEX(DATAS,W3374+1)),"")</f>
        <v/>
      </c>
    </row>
    <row r="3375" customFormat="false" ht="15" hidden="false" customHeight="false" outlineLevel="0" collapsed="false">
      <c r="A3375" s="33" t="n">
        <v>46309</v>
      </c>
      <c r="B3375" s="0" t="n">
        <v>13</v>
      </c>
      <c r="C3375" s="0" t="n">
        <v>7810</v>
      </c>
      <c r="E3375" s="0" t="n">
        <v>0</v>
      </c>
      <c r="F3375" s="27" t="s">
        <v>1569</v>
      </c>
      <c r="I3375" s="27" t="s">
        <v>166</v>
      </c>
      <c r="U3375" s="0" t="n">
        <v>126</v>
      </c>
      <c r="V3375" s="0" t="n">
        <v>0</v>
      </c>
      <c r="W3375" s="27" t="n">
        <f aca="false">MATCH(A3375,DATAS,0)</f>
        <v>1</v>
      </c>
      <c r="X3375" s="27" t="n">
        <f aca="false">IF(AND(E3375&gt;0,OR(AND(B3375&gt;=1,B3375&lt;=6),B3375=10)),1,0)</f>
        <v>0</v>
      </c>
      <c r="Y3375" s="27" t="n">
        <f aca="false">IF(AND(E3375&gt;0,B3375=10),1,0)</f>
        <v>0</v>
      </c>
      <c r="Z3375" s="0" t="str">
        <f aca="false">IF(AND(C3374=C3375,W3374=W3375-1),X3374,"")</f>
        <v/>
      </c>
      <c r="AA3375" s="0" t="str">
        <f aca="false">IF(AND(C3374=C3375,W3374=W3375-1),Y3374,"")</f>
        <v/>
      </c>
      <c r="AB3375" s="0" t="str">
        <f aca="false">IF(W3375=1,"",IF(AND(X3375=1,Z3375&lt;&gt;1),1,0))</f>
        <v/>
      </c>
      <c r="AC3375" s="0" t="str">
        <f aca="false">IF(W3375=1,"",IF(AND(Y3375=1,AA3375&lt;&gt;1),1,0))</f>
        <v/>
      </c>
      <c r="AD3375" s="33" t="str">
        <f aca="false">IF(AND(E3375&gt;0,W3375&lt;1,NOT(AND(C3376=C3375,W3376=W3375+1))),INDEX(DATAS,W3375+1),"")</f>
        <v/>
      </c>
      <c r="AE3375" s="33" t="str">
        <f aca="false">IF(AND(Y3375=1,W3375&lt;1),IF(AND(C3376=C3375,W3376=W3375+1),IF(Y3376=1,"",INDEX(DATAS,W3375+1)),INDEX(DATAS,W3375+1)),"")</f>
        <v/>
      </c>
    </row>
    <row r="3376" customFormat="false" ht="15" hidden="false" customHeight="false" outlineLevel="0" collapsed="false">
      <c r="A3376" s="33" t="n">
        <v>46309</v>
      </c>
      <c r="B3376" s="0" t="n">
        <v>13</v>
      </c>
      <c r="C3376" s="0" t="n">
        <v>7811</v>
      </c>
      <c r="E3376" s="0" t="n">
        <v>0</v>
      </c>
      <c r="F3376" s="27" t="s">
        <v>1569</v>
      </c>
      <c r="I3376" s="27" t="s">
        <v>166</v>
      </c>
      <c r="U3376" s="0" t="n">
        <v>126</v>
      </c>
      <c r="V3376" s="0" t="n">
        <v>0</v>
      </c>
      <c r="W3376" s="27" t="n">
        <f aca="false">MATCH(A3376,DATAS,0)</f>
        <v>1</v>
      </c>
      <c r="X3376" s="27" t="n">
        <f aca="false">IF(AND(E3376&gt;0,OR(AND(B3376&gt;=1,B3376&lt;=6),B3376=10)),1,0)</f>
        <v>0</v>
      </c>
      <c r="Y3376" s="27" t="n">
        <f aca="false">IF(AND(E3376&gt;0,B3376=10),1,0)</f>
        <v>0</v>
      </c>
      <c r="Z3376" s="0" t="str">
        <f aca="false">IF(AND(C3375=C3376,W3375=W3376-1),X3375,"")</f>
        <v/>
      </c>
      <c r="AA3376" s="0" t="str">
        <f aca="false">IF(AND(C3375=C3376,W3375=W3376-1),Y3375,"")</f>
        <v/>
      </c>
      <c r="AB3376" s="0" t="str">
        <f aca="false">IF(W3376=1,"",IF(AND(X3376=1,Z3376&lt;&gt;1),1,0))</f>
        <v/>
      </c>
      <c r="AC3376" s="0" t="str">
        <f aca="false">IF(W3376=1,"",IF(AND(Y3376=1,AA3376&lt;&gt;1),1,0))</f>
        <v/>
      </c>
      <c r="AD3376" s="33" t="str">
        <f aca="false">IF(AND(E3376&gt;0,W3376&lt;1,NOT(AND(C3377=C3376,W3377=W3376+1))),INDEX(DATAS,W3376+1),"")</f>
        <v/>
      </c>
      <c r="AE3376" s="33" t="str">
        <f aca="false">IF(AND(Y3376=1,W3376&lt;1),IF(AND(C3377=C3376,W3377=W3376+1),IF(Y3377=1,"",INDEX(DATAS,W3376+1)),INDEX(DATAS,W3376+1)),"")</f>
        <v/>
      </c>
    </row>
    <row r="3377" customFormat="false" ht="15" hidden="false" customHeight="false" outlineLevel="0" collapsed="false">
      <c r="A3377" s="33" t="n">
        <v>46309</v>
      </c>
      <c r="B3377" s="0" t="n">
        <v>13</v>
      </c>
      <c r="C3377" s="0" t="n">
        <v>7812</v>
      </c>
      <c r="E3377" s="0" t="n">
        <v>0</v>
      </c>
      <c r="F3377" s="27" t="s">
        <v>1569</v>
      </c>
      <c r="I3377" s="27" t="s">
        <v>166</v>
      </c>
      <c r="U3377" s="0" t="n">
        <v>126</v>
      </c>
      <c r="V3377" s="0" t="n">
        <v>0</v>
      </c>
      <c r="W3377" s="27" t="n">
        <f aca="false">MATCH(A3377,DATAS,0)</f>
        <v>1</v>
      </c>
      <c r="X3377" s="27" t="n">
        <f aca="false">IF(AND(E3377&gt;0,OR(AND(B3377&gt;=1,B3377&lt;=6),B3377=10)),1,0)</f>
        <v>0</v>
      </c>
      <c r="Y3377" s="27" t="n">
        <f aca="false">IF(AND(E3377&gt;0,B3377=10),1,0)</f>
        <v>0</v>
      </c>
      <c r="Z3377" s="0" t="str">
        <f aca="false">IF(AND(C3376=C3377,W3376=W3377-1),X3376,"")</f>
        <v/>
      </c>
      <c r="AA3377" s="0" t="str">
        <f aca="false">IF(AND(C3376=C3377,W3376=W3377-1),Y3376,"")</f>
        <v/>
      </c>
      <c r="AB3377" s="0" t="str">
        <f aca="false">IF(W3377=1,"",IF(AND(X3377=1,Z3377&lt;&gt;1),1,0))</f>
        <v/>
      </c>
      <c r="AC3377" s="0" t="str">
        <f aca="false">IF(W3377=1,"",IF(AND(Y3377=1,AA3377&lt;&gt;1),1,0))</f>
        <v/>
      </c>
      <c r="AD3377" s="33" t="str">
        <f aca="false">IF(AND(E3377&gt;0,W3377&lt;1,NOT(AND(C3378=C3377,W3378=W3377+1))),INDEX(DATAS,W3377+1),"")</f>
        <v/>
      </c>
      <c r="AE3377" s="33" t="str">
        <f aca="false">IF(AND(Y3377=1,W3377&lt;1),IF(AND(C3378=C3377,W3378=W3377+1),IF(Y3378=1,"",INDEX(DATAS,W3377+1)),INDEX(DATAS,W3377+1)),"")</f>
        <v/>
      </c>
    </row>
    <row r="3378" customFormat="false" ht="15" hidden="false" customHeight="false" outlineLevel="0" collapsed="false">
      <c r="A3378" s="33" t="n">
        <v>46309</v>
      </c>
      <c r="B3378" s="0" t="n">
        <v>13</v>
      </c>
      <c r="C3378" s="0" t="n">
        <v>7813</v>
      </c>
      <c r="E3378" s="0" t="n">
        <v>0</v>
      </c>
      <c r="F3378" s="27" t="s">
        <v>1569</v>
      </c>
      <c r="I3378" s="27" t="s">
        <v>166</v>
      </c>
      <c r="U3378" s="0" t="n">
        <v>126</v>
      </c>
      <c r="V3378" s="0" t="n">
        <v>0</v>
      </c>
      <c r="W3378" s="27" t="n">
        <f aca="false">MATCH(A3378,DATAS,0)</f>
        <v>1</v>
      </c>
      <c r="X3378" s="27" t="n">
        <f aca="false">IF(AND(E3378&gt;0,OR(AND(B3378&gt;=1,B3378&lt;=6),B3378=10)),1,0)</f>
        <v>0</v>
      </c>
      <c r="Y3378" s="27" t="n">
        <f aca="false">IF(AND(E3378&gt;0,B3378=10),1,0)</f>
        <v>0</v>
      </c>
      <c r="Z3378" s="0" t="str">
        <f aca="false">IF(AND(C3377=C3378,W3377=W3378-1),X3377,"")</f>
        <v/>
      </c>
      <c r="AA3378" s="0" t="str">
        <f aca="false">IF(AND(C3377=C3378,W3377=W3378-1),Y3377,"")</f>
        <v/>
      </c>
      <c r="AB3378" s="0" t="str">
        <f aca="false">IF(W3378=1,"",IF(AND(X3378=1,Z3378&lt;&gt;1),1,0))</f>
        <v/>
      </c>
      <c r="AC3378" s="0" t="str">
        <f aca="false">IF(W3378=1,"",IF(AND(Y3378=1,AA3378&lt;&gt;1),1,0))</f>
        <v/>
      </c>
      <c r="AD3378" s="33" t="str">
        <f aca="false">IF(AND(E3378&gt;0,W3378&lt;1,NOT(AND(C3379=C3378,W3379=W3378+1))),INDEX(DATAS,W3378+1),"")</f>
        <v/>
      </c>
      <c r="AE3378" s="33" t="str">
        <f aca="false">IF(AND(Y3378=1,W3378&lt;1),IF(AND(C3379=C3378,W3379=W3378+1),IF(Y3379=1,"",INDEX(DATAS,W3378+1)),INDEX(DATAS,W3378+1)),"")</f>
        <v/>
      </c>
    </row>
    <row r="3379" customFormat="false" ht="15" hidden="false" customHeight="false" outlineLevel="0" collapsed="false">
      <c r="A3379" s="33" t="n">
        <v>46309</v>
      </c>
      <c r="B3379" s="0" t="n">
        <v>13</v>
      </c>
      <c r="C3379" s="0" t="n">
        <v>7815</v>
      </c>
      <c r="E3379" s="0" t="n">
        <v>0</v>
      </c>
      <c r="F3379" s="27" t="s">
        <v>1569</v>
      </c>
      <c r="I3379" s="27" t="s">
        <v>166</v>
      </c>
      <c r="U3379" s="0" t="n">
        <v>126</v>
      </c>
      <c r="V3379" s="0" t="n">
        <v>0</v>
      </c>
      <c r="W3379" s="27" t="n">
        <f aca="false">MATCH(A3379,DATAS,0)</f>
        <v>1</v>
      </c>
      <c r="X3379" s="27" t="n">
        <f aca="false">IF(AND(E3379&gt;0,OR(AND(B3379&gt;=1,B3379&lt;=6),B3379=10)),1,0)</f>
        <v>0</v>
      </c>
      <c r="Y3379" s="27" t="n">
        <f aca="false">IF(AND(E3379&gt;0,B3379=10),1,0)</f>
        <v>0</v>
      </c>
      <c r="Z3379" s="0" t="str">
        <f aca="false">IF(AND(C3378=C3379,W3378=W3379-1),X3378,"")</f>
        <v/>
      </c>
      <c r="AA3379" s="0" t="str">
        <f aca="false">IF(AND(C3378=C3379,W3378=W3379-1),Y3378,"")</f>
        <v/>
      </c>
      <c r="AB3379" s="0" t="str">
        <f aca="false">IF(W3379=1,"",IF(AND(X3379=1,Z3379&lt;&gt;1),1,0))</f>
        <v/>
      </c>
      <c r="AC3379" s="0" t="str">
        <f aca="false">IF(W3379=1,"",IF(AND(Y3379=1,AA3379&lt;&gt;1),1,0))</f>
        <v/>
      </c>
      <c r="AD3379" s="33" t="str">
        <f aca="false">IF(AND(E3379&gt;0,W3379&lt;1,NOT(AND(C3380=C3379,W3380=W3379+1))),INDEX(DATAS,W3379+1),"")</f>
        <v/>
      </c>
      <c r="AE3379" s="33" t="str">
        <f aca="false">IF(AND(Y3379=1,W3379&lt;1),IF(AND(C3380=C3379,W3380=W3379+1),IF(Y3380=1,"",INDEX(DATAS,W3379+1)),INDEX(DATAS,W3379+1)),"")</f>
        <v/>
      </c>
    </row>
    <row r="3380" customFormat="false" ht="15" hidden="false" customHeight="false" outlineLevel="0" collapsed="false">
      <c r="A3380" s="33" t="n">
        <v>46309</v>
      </c>
      <c r="B3380" s="0" t="n">
        <v>13</v>
      </c>
      <c r="C3380" s="0" t="n">
        <v>7816</v>
      </c>
      <c r="E3380" s="0" t="n">
        <v>0</v>
      </c>
      <c r="F3380" s="27" t="s">
        <v>1570</v>
      </c>
      <c r="I3380" s="27" t="s">
        <v>166</v>
      </c>
      <c r="U3380" s="0" t="n">
        <v>125</v>
      </c>
      <c r="V3380" s="0" t="n">
        <v>0</v>
      </c>
      <c r="W3380" s="27" t="n">
        <f aca="false">MATCH(A3380,DATAS,0)</f>
        <v>1</v>
      </c>
      <c r="X3380" s="27" t="n">
        <f aca="false">IF(AND(E3380&gt;0,OR(AND(B3380&gt;=1,B3380&lt;=6),B3380=10)),1,0)</f>
        <v>0</v>
      </c>
      <c r="Y3380" s="27" t="n">
        <f aca="false">IF(AND(E3380&gt;0,B3380=10),1,0)</f>
        <v>0</v>
      </c>
      <c r="Z3380" s="0" t="str">
        <f aca="false">IF(AND(C3379=C3380,W3379=W3380-1),X3379,"")</f>
        <v/>
      </c>
      <c r="AA3380" s="0" t="str">
        <f aca="false">IF(AND(C3379=C3380,W3379=W3380-1),Y3379,"")</f>
        <v/>
      </c>
      <c r="AB3380" s="0" t="str">
        <f aca="false">IF(W3380=1,"",IF(AND(X3380=1,Z3380&lt;&gt;1),1,0))</f>
        <v/>
      </c>
      <c r="AC3380" s="0" t="str">
        <f aca="false">IF(W3380=1,"",IF(AND(Y3380=1,AA3380&lt;&gt;1),1,0))</f>
        <v/>
      </c>
      <c r="AD3380" s="33" t="str">
        <f aca="false">IF(AND(E3380&gt;0,W3380&lt;1,NOT(AND(C3381=C3380,W3381=W3380+1))),INDEX(DATAS,W3380+1),"")</f>
        <v/>
      </c>
      <c r="AE3380" s="33" t="str">
        <f aca="false">IF(AND(Y3380=1,W3380&lt;1),IF(AND(C3381=C3380,W3381=W3380+1),IF(Y3381=1,"",INDEX(DATAS,W3380+1)),INDEX(DATAS,W3380+1)),"")</f>
        <v/>
      </c>
    </row>
    <row r="3381" customFormat="false" ht="15" hidden="false" customHeight="false" outlineLevel="0" collapsed="false">
      <c r="A3381" s="33" t="n">
        <v>46309</v>
      </c>
      <c r="B3381" s="0" t="n">
        <v>13</v>
      </c>
      <c r="C3381" s="0" t="n">
        <v>7817</v>
      </c>
      <c r="E3381" s="0" t="n">
        <v>0</v>
      </c>
      <c r="F3381" s="27" t="s">
        <v>1570</v>
      </c>
      <c r="I3381" s="27" t="s">
        <v>166</v>
      </c>
      <c r="U3381" s="0" t="n">
        <v>125</v>
      </c>
      <c r="V3381" s="0" t="n">
        <v>0</v>
      </c>
      <c r="W3381" s="27" t="n">
        <f aca="false">MATCH(A3381,DATAS,0)</f>
        <v>1</v>
      </c>
      <c r="X3381" s="27" t="n">
        <f aca="false">IF(AND(E3381&gt;0,OR(AND(B3381&gt;=1,B3381&lt;=6),B3381=10)),1,0)</f>
        <v>0</v>
      </c>
      <c r="Y3381" s="27" t="n">
        <f aca="false">IF(AND(E3381&gt;0,B3381=10),1,0)</f>
        <v>0</v>
      </c>
      <c r="Z3381" s="0" t="str">
        <f aca="false">IF(AND(C3380=C3381,W3380=W3381-1),X3380,"")</f>
        <v/>
      </c>
      <c r="AA3381" s="0" t="str">
        <f aca="false">IF(AND(C3380=C3381,W3380=W3381-1),Y3380,"")</f>
        <v/>
      </c>
      <c r="AB3381" s="0" t="str">
        <f aca="false">IF(W3381=1,"",IF(AND(X3381=1,Z3381&lt;&gt;1),1,0))</f>
        <v/>
      </c>
      <c r="AC3381" s="0" t="str">
        <f aca="false">IF(W3381=1,"",IF(AND(Y3381=1,AA3381&lt;&gt;1),1,0))</f>
        <v/>
      </c>
      <c r="AD3381" s="33" t="str">
        <f aca="false">IF(AND(E3381&gt;0,W3381&lt;1,NOT(AND(C3382=C3381,W3382=W3381+1))),INDEX(DATAS,W3381+1),"")</f>
        <v/>
      </c>
      <c r="AE3381" s="33" t="str">
        <f aca="false">IF(AND(Y3381=1,W3381&lt;1),IF(AND(C3382=C3381,W3382=W3381+1),IF(Y3382=1,"",INDEX(DATAS,W3381+1)),INDEX(DATAS,W3381+1)),"")</f>
        <v/>
      </c>
    </row>
    <row r="3382" customFormat="false" ht="15" hidden="false" customHeight="false" outlineLevel="0" collapsed="false">
      <c r="A3382" s="33" t="n">
        <v>46309</v>
      </c>
      <c r="B3382" s="0" t="n">
        <v>13</v>
      </c>
      <c r="C3382" s="0" t="n">
        <v>7818</v>
      </c>
      <c r="E3382" s="0" t="n">
        <v>0</v>
      </c>
      <c r="F3382" s="27" t="s">
        <v>1570</v>
      </c>
      <c r="I3382" s="27" t="s">
        <v>166</v>
      </c>
      <c r="U3382" s="0" t="n">
        <v>125</v>
      </c>
      <c r="V3382" s="0" t="n">
        <v>0</v>
      </c>
      <c r="W3382" s="27" t="n">
        <f aca="false">MATCH(A3382,DATAS,0)</f>
        <v>1</v>
      </c>
      <c r="X3382" s="27" t="n">
        <f aca="false">IF(AND(E3382&gt;0,OR(AND(B3382&gt;=1,B3382&lt;=6),B3382=10)),1,0)</f>
        <v>0</v>
      </c>
      <c r="Y3382" s="27" t="n">
        <f aca="false">IF(AND(E3382&gt;0,B3382=10),1,0)</f>
        <v>0</v>
      </c>
      <c r="Z3382" s="0" t="str">
        <f aca="false">IF(AND(C3381=C3382,W3381=W3382-1),X3381,"")</f>
        <v/>
      </c>
      <c r="AA3382" s="0" t="str">
        <f aca="false">IF(AND(C3381=C3382,W3381=W3382-1),Y3381,"")</f>
        <v/>
      </c>
      <c r="AB3382" s="0" t="str">
        <f aca="false">IF(W3382=1,"",IF(AND(X3382=1,Z3382&lt;&gt;1),1,0))</f>
        <v/>
      </c>
      <c r="AC3382" s="0" t="str">
        <f aca="false">IF(W3382=1,"",IF(AND(Y3382=1,AA3382&lt;&gt;1),1,0))</f>
        <v/>
      </c>
      <c r="AD3382" s="33" t="str">
        <f aca="false">IF(AND(E3382&gt;0,W3382&lt;1,NOT(AND(C3383=C3382,W3383=W3382+1))),INDEX(DATAS,W3382+1),"")</f>
        <v/>
      </c>
      <c r="AE3382" s="33" t="str">
        <f aca="false">IF(AND(Y3382=1,W3382&lt;1),IF(AND(C3383=C3382,W3383=W3382+1),IF(Y3383=1,"",INDEX(DATAS,W3382+1)),INDEX(DATAS,W3382+1)),"")</f>
        <v/>
      </c>
    </row>
    <row r="3383" customFormat="false" ht="15" hidden="false" customHeight="false" outlineLevel="0" collapsed="false">
      <c r="A3383" s="33" t="n">
        <v>46309</v>
      </c>
      <c r="B3383" s="0" t="n">
        <v>13</v>
      </c>
      <c r="C3383" s="0" t="n">
        <v>7819</v>
      </c>
      <c r="E3383" s="0" t="n">
        <v>0</v>
      </c>
      <c r="F3383" s="27" t="s">
        <v>1570</v>
      </c>
      <c r="I3383" s="27" t="s">
        <v>166</v>
      </c>
      <c r="U3383" s="0" t="n">
        <v>125</v>
      </c>
      <c r="V3383" s="0" t="n">
        <v>0</v>
      </c>
      <c r="W3383" s="27" t="n">
        <f aca="false">MATCH(A3383,DATAS,0)</f>
        <v>1</v>
      </c>
      <c r="X3383" s="27" t="n">
        <f aca="false">IF(AND(E3383&gt;0,OR(AND(B3383&gt;=1,B3383&lt;=6),B3383=10)),1,0)</f>
        <v>0</v>
      </c>
      <c r="Y3383" s="27" t="n">
        <f aca="false">IF(AND(E3383&gt;0,B3383=10),1,0)</f>
        <v>0</v>
      </c>
      <c r="Z3383" s="0" t="str">
        <f aca="false">IF(AND(C3382=C3383,W3382=W3383-1),X3382,"")</f>
        <v/>
      </c>
      <c r="AA3383" s="0" t="str">
        <f aca="false">IF(AND(C3382=C3383,W3382=W3383-1),Y3382,"")</f>
        <v/>
      </c>
      <c r="AB3383" s="0" t="str">
        <f aca="false">IF(W3383=1,"",IF(AND(X3383=1,Z3383&lt;&gt;1),1,0))</f>
        <v/>
      </c>
      <c r="AC3383" s="0" t="str">
        <f aca="false">IF(W3383=1,"",IF(AND(Y3383=1,AA3383&lt;&gt;1),1,0))</f>
        <v/>
      </c>
      <c r="AD3383" s="33" t="str">
        <f aca="false">IF(AND(E3383&gt;0,W3383&lt;1,NOT(AND(C3384=C3383,W3384=W3383+1))),INDEX(DATAS,W3383+1),"")</f>
        <v/>
      </c>
      <c r="AE3383" s="33" t="str">
        <f aca="false">IF(AND(Y3383=1,W3383&lt;1),IF(AND(C3384=C3383,W3384=W3383+1),IF(Y3384=1,"",INDEX(DATAS,W3383+1)),INDEX(DATAS,W3383+1)),"")</f>
        <v/>
      </c>
    </row>
    <row r="3384" customFormat="false" ht="15" hidden="false" customHeight="false" outlineLevel="0" collapsed="false">
      <c r="A3384" s="33" t="n">
        <v>46309</v>
      </c>
      <c r="B3384" s="0" t="n">
        <v>13</v>
      </c>
      <c r="C3384" s="0" t="n">
        <v>7820</v>
      </c>
      <c r="E3384" s="0" t="n">
        <v>0</v>
      </c>
      <c r="F3384" s="27" t="s">
        <v>1570</v>
      </c>
      <c r="I3384" s="27" t="s">
        <v>166</v>
      </c>
      <c r="U3384" s="0" t="n">
        <v>125</v>
      </c>
      <c r="V3384" s="0" t="n">
        <v>0</v>
      </c>
      <c r="W3384" s="27" t="n">
        <f aca="false">MATCH(A3384,DATAS,0)</f>
        <v>1</v>
      </c>
      <c r="X3384" s="27" t="n">
        <f aca="false">IF(AND(E3384&gt;0,OR(AND(B3384&gt;=1,B3384&lt;=6),B3384=10)),1,0)</f>
        <v>0</v>
      </c>
      <c r="Y3384" s="27" t="n">
        <f aca="false">IF(AND(E3384&gt;0,B3384=10),1,0)</f>
        <v>0</v>
      </c>
      <c r="Z3384" s="0" t="str">
        <f aca="false">IF(AND(C3383=C3384,W3383=W3384-1),X3383,"")</f>
        <v/>
      </c>
      <c r="AA3384" s="0" t="str">
        <f aca="false">IF(AND(C3383=C3384,W3383=W3384-1),Y3383,"")</f>
        <v/>
      </c>
      <c r="AB3384" s="0" t="str">
        <f aca="false">IF(W3384=1,"",IF(AND(X3384=1,Z3384&lt;&gt;1),1,0))</f>
        <v/>
      </c>
      <c r="AC3384" s="0" t="str">
        <f aca="false">IF(W3384=1,"",IF(AND(Y3384=1,AA3384&lt;&gt;1),1,0))</f>
        <v/>
      </c>
      <c r="AD3384" s="33" t="str">
        <f aca="false">IF(AND(E3384&gt;0,W3384&lt;1,NOT(AND(C3385=C3384,W3385=W3384+1))),INDEX(DATAS,W3384+1),"")</f>
        <v/>
      </c>
      <c r="AE3384" s="33" t="str">
        <f aca="false">IF(AND(Y3384=1,W3384&lt;1),IF(AND(C3385=C3384,W3385=W3384+1),IF(Y3385=1,"",INDEX(DATAS,W3384+1)),INDEX(DATAS,W3384+1)),"")</f>
        <v/>
      </c>
    </row>
    <row r="3385" customFormat="false" ht="15" hidden="false" customHeight="false" outlineLevel="0" collapsed="false">
      <c r="A3385" s="33" t="n">
        <v>46309</v>
      </c>
      <c r="B3385" s="0" t="n">
        <v>13</v>
      </c>
      <c r="C3385" s="0" t="n">
        <v>7821</v>
      </c>
      <c r="E3385" s="0" t="n">
        <v>0</v>
      </c>
      <c r="F3385" s="27" t="s">
        <v>1570</v>
      </c>
      <c r="I3385" s="27" t="s">
        <v>166</v>
      </c>
      <c r="U3385" s="0" t="n">
        <v>125</v>
      </c>
      <c r="V3385" s="0" t="n">
        <v>0</v>
      </c>
      <c r="W3385" s="27" t="n">
        <f aca="false">MATCH(A3385,DATAS,0)</f>
        <v>1</v>
      </c>
      <c r="X3385" s="27" t="n">
        <f aca="false">IF(AND(E3385&gt;0,OR(AND(B3385&gt;=1,B3385&lt;=6),B3385=10)),1,0)</f>
        <v>0</v>
      </c>
      <c r="Y3385" s="27" t="n">
        <f aca="false">IF(AND(E3385&gt;0,B3385=10),1,0)</f>
        <v>0</v>
      </c>
      <c r="Z3385" s="0" t="str">
        <f aca="false">IF(AND(C3384=C3385,W3384=W3385-1),X3384,"")</f>
        <v/>
      </c>
      <c r="AA3385" s="0" t="str">
        <f aca="false">IF(AND(C3384=C3385,W3384=W3385-1),Y3384,"")</f>
        <v/>
      </c>
      <c r="AB3385" s="0" t="str">
        <f aca="false">IF(W3385=1,"",IF(AND(X3385=1,Z3385&lt;&gt;1),1,0))</f>
        <v/>
      </c>
      <c r="AC3385" s="0" t="str">
        <f aca="false">IF(W3385=1,"",IF(AND(Y3385=1,AA3385&lt;&gt;1),1,0))</f>
        <v/>
      </c>
      <c r="AD3385" s="33" t="str">
        <f aca="false">IF(AND(E3385&gt;0,W3385&lt;1,NOT(AND(C3386=C3385,W3386=W3385+1))),INDEX(DATAS,W3385+1),"")</f>
        <v/>
      </c>
      <c r="AE3385" s="33" t="str">
        <f aca="false">IF(AND(Y3385=1,W3385&lt;1),IF(AND(C3386=C3385,W3386=W3385+1),IF(Y3386=1,"",INDEX(DATAS,W3385+1)),INDEX(DATAS,W3385+1)),"")</f>
        <v/>
      </c>
    </row>
    <row r="3386" customFormat="false" ht="15" hidden="false" customHeight="false" outlineLevel="0" collapsed="false">
      <c r="A3386" s="33" t="n">
        <v>46309</v>
      </c>
      <c r="B3386" s="0" t="n">
        <v>13</v>
      </c>
      <c r="C3386" s="0" t="n">
        <v>7822</v>
      </c>
      <c r="E3386" s="0" t="n">
        <v>0</v>
      </c>
      <c r="F3386" s="27" t="s">
        <v>1571</v>
      </c>
      <c r="I3386" s="27" t="s">
        <v>166</v>
      </c>
      <c r="U3386" s="0" t="n">
        <v>123</v>
      </c>
      <c r="V3386" s="0" t="n">
        <v>0</v>
      </c>
      <c r="W3386" s="27" t="n">
        <f aca="false">MATCH(A3386,DATAS,0)</f>
        <v>1</v>
      </c>
      <c r="X3386" s="27" t="n">
        <f aca="false">IF(AND(E3386&gt;0,OR(AND(B3386&gt;=1,B3386&lt;=6),B3386=10)),1,0)</f>
        <v>0</v>
      </c>
      <c r="Y3386" s="27" t="n">
        <f aca="false">IF(AND(E3386&gt;0,B3386=10),1,0)</f>
        <v>0</v>
      </c>
      <c r="Z3386" s="0" t="str">
        <f aca="false">IF(AND(C3385=C3386,W3385=W3386-1),X3385,"")</f>
        <v/>
      </c>
      <c r="AA3386" s="0" t="str">
        <f aca="false">IF(AND(C3385=C3386,W3385=W3386-1),Y3385,"")</f>
        <v/>
      </c>
      <c r="AB3386" s="0" t="str">
        <f aca="false">IF(W3386=1,"",IF(AND(X3386=1,Z3386&lt;&gt;1),1,0))</f>
        <v/>
      </c>
      <c r="AC3386" s="0" t="str">
        <f aca="false">IF(W3386=1,"",IF(AND(Y3386=1,AA3386&lt;&gt;1),1,0))</f>
        <v/>
      </c>
      <c r="AD3386" s="33" t="str">
        <f aca="false">IF(AND(E3386&gt;0,W3386&lt;1,NOT(AND(C3387=C3386,W3387=W3386+1))),INDEX(DATAS,W3386+1),"")</f>
        <v/>
      </c>
      <c r="AE3386" s="33" t="str">
        <f aca="false">IF(AND(Y3386=1,W3386&lt;1),IF(AND(C3387=C3386,W3387=W3386+1),IF(Y3387=1,"",INDEX(DATAS,W3386+1)),INDEX(DATAS,W3386+1)),"")</f>
        <v/>
      </c>
    </row>
    <row r="3387" customFormat="false" ht="15" hidden="false" customHeight="false" outlineLevel="0" collapsed="false">
      <c r="A3387" s="33" t="n">
        <v>46309</v>
      </c>
      <c r="B3387" s="0" t="n">
        <v>13</v>
      </c>
      <c r="C3387" s="0" t="n">
        <v>7823</v>
      </c>
      <c r="E3387" s="0" t="n">
        <v>0</v>
      </c>
      <c r="F3387" s="27" t="s">
        <v>1571</v>
      </c>
      <c r="I3387" s="27" t="s">
        <v>166</v>
      </c>
      <c r="U3387" s="0" t="n">
        <v>123</v>
      </c>
      <c r="V3387" s="0" t="n">
        <v>0</v>
      </c>
      <c r="W3387" s="27" t="n">
        <f aca="false">MATCH(A3387,DATAS,0)</f>
        <v>1</v>
      </c>
      <c r="X3387" s="27" t="n">
        <f aca="false">IF(AND(E3387&gt;0,OR(AND(B3387&gt;=1,B3387&lt;=6),B3387=10)),1,0)</f>
        <v>0</v>
      </c>
      <c r="Y3387" s="27" t="n">
        <f aca="false">IF(AND(E3387&gt;0,B3387=10),1,0)</f>
        <v>0</v>
      </c>
      <c r="Z3387" s="0" t="str">
        <f aca="false">IF(AND(C3386=C3387,W3386=W3387-1),X3386,"")</f>
        <v/>
      </c>
      <c r="AA3387" s="0" t="str">
        <f aca="false">IF(AND(C3386=C3387,W3386=W3387-1),Y3386,"")</f>
        <v/>
      </c>
      <c r="AB3387" s="0" t="str">
        <f aca="false">IF(W3387=1,"",IF(AND(X3387=1,Z3387&lt;&gt;1),1,0))</f>
        <v/>
      </c>
      <c r="AC3387" s="0" t="str">
        <f aca="false">IF(W3387=1,"",IF(AND(Y3387=1,AA3387&lt;&gt;1),1,0))</f>
        <v/>
      </c>
      <c r="AD3387" s="33" t="str">
        <f aca="false">IF(AND(E3387&gt;0,W3387&lt;1,NOT(AND(C3388=C3387,W3388=W3387+1))),INDEX(DATAS,W3387+1),"")</f>
        <v/>
      </c>
      <c r="AE3387" s="33" t="str">
        <f aca="false">IF(AND(Y3387=1,W3387&lt;1),IF(AND(C3388=C3387,W3388=W3387+1),IF(Y3388=1,"",INDEX(DATAS,W3387+1)),INDEX(DATAS,W3387+1)),"")</f>
        <v/>
      </c>
    </row>
    <row r="3388" customFormat="false" ht="15" hidden="false" customHeight="false" outlineLevel="0" collapsed="false">
      <c r="A3388" s="33" t="n">
        <v>46309</v>
      </c>
      <c r="B3388" s="0" t="n">
        <v>13</v>
      </c>
      <c r="C3388" s="0" t="n">
        <v>7824</v>
      </c>
      <c r="E3388" s="0" t="n">
        <v>0</v>
      </c>
      <c r="F3388" s="27" t="s">
        <v>1572</v>
      </c>
      <c r="I3388" s="27" t="s">
        <v>166</v>
      </c>
      <c r="U3388" s="0" t="n">
        <v>122</v>
      </c>
      <c r="V3388" s="0" t="n">
        <v>0</v>
      </c>
      <c r="W3388" s="27" t="n">
        <f aca="false">MATCH(A3388,DATAS,0)</f>
        <v>1</v>
      </c>
      <c r="X3388" s="27" t="n">
        <f aca="false">IF(AND(E3388&gt;0,OR(AND(B3388&gt;=1,B3388&lt;=6),B3388=10)),1,0)</f>
        <v>0</v>
      </c>
      <c r="Y3388" s="27" t="n">
        <f aca="false">IF(AND(E3388&gt;0,B3388=10),1,0)</f>
        <v>0</v>
      </c>
      <c r="Z3388" s="0" t="str">
        <f aca="false">IF(AND(C3387=C3388,W3387=W3388-1),X3387,"")</f>
        <v/>
      </c>
      <c r="AA3388" s="0" t="str">
        <f aca="false">IF(AND(C3387=C3388,W3387=W3388-1),Y3387,"")</f>
        <v/>
      </c>
      <c r="AB3388" s="0" t="str">
        <f aca="false">IF(W3388=1,"",IF(AND(X3388=1,Z3388&lt;&gt;1),1,0))</f>
        <v/>
      </c>
      <c r="AC3388" s="0" t="str">
        <f aca="false">IF(W3388=1,"",IF(AND(Y3388=1,AA3388&lt;&gt;1),1,0))</f>
        <v/>
      </c>
      <c r="AD3388" s="33" t="str">
        <f aca="false">IF(AND(E3388&gt;0,W3388&lt;1,NOT(AND(C3389=C3388,W3389=W3388+1))),INDEX(DATAS,W3388+1),"")</f>
        <v/>
      </c>
      <c r="AE3388" s="33" t="str">
        <f aca="false">IF(AND(Y3388=1,W3388&lt;1),IF(AND(C3389=C3388,W3389=W3388+1),IF(Y3389=1,"",INDEX(DATAS,W3388+1)),INDEX(DATAS,W3388+1)),"")</f>
        <v/>
      </c>
    </row>
    <row r="3389" customFormat="false" ht="15" hidden="false" customHeight="false" outlineLevel="0" collapsed="false">
      <c r="A3389" s="33" t="n">
        <v>46309</v>
      </c>
      <c r="B3389" s="0" t="n">
        <v>13</v>
      </c>
      <c r="C3389" s="0" t="n">
        <v>7825</v>
      </c>
      <c r="E3389" s="0" t="n">
        <v>0</v>
      </c>
      <c r="F3389" s="27" t="s">
        <v>1573</v>
      </c>
      <c r="I3389" s="27" t="s">
        <v>166</v>
      </c>
      <c r="U3389" s="0" t="n">
        <v>121</v>
      </c>
      <c r="V3389" s="0" t="n">
        <v>0</v>
      </c>
      <c r="W3389" s="27" t="n">
        <f aca="false">MATCH(A3389,DATAS,0)</f>
        <v>1</v>
      </c>
      <c r="X3389" s="27" t="n">
        <f aca="false">IF(AND(E3389&gt;0,OR(AND(B3389&gt;=1,B3389&lt;=6),B3389=10)),1,0)</f>
        <v>0</v>
      </c>
      <c r="Y3389" s="27" t="n">
        <f aca="false">IF(AND(E3389&gt;0,B3389=10),1,0)</f>
        <v>0</v>
      </c>
      <c r="Z3389" s="0" t="str">
        <f aca="false">IF(AND(C3388=C3389,W3388=W3389-1),X3388,"")</f>
        <v/>
      </c>
      <c r="AA3389" s="0" t="str">
        <f aca="false">IF(AND(C3388=C3389,W3388=W3389-1),Y3388,"")</f>
        <v/>
      </c>
      <c r="AB3389" s="0" t="str">
        <f aca="false">IF(W3389=1,"",IF(AND(X3389=1,Z3389&lt;&gt;1),1,0))</f>
        <v/>
      </c>
      <c r="AC3389" s="0" t="str">
        <f aca="false">IF(W3389=1,"",IF(AND(Y3389=1,AA3389&lt;&gt;1),1,0))</f>
        <v/>
      </c>
      <c r="AD3389" s="33" t="str">
        <f aca="false">IF(AND(E3389&gt;0,W3389&lt;1,NOT(AND(C3390=C3389,W3390=W3389+1))),INDEX(DATAS,W3389+1),"")</f>
        <v/>
      </c>
      <c r="AE3389" s="33" t="str">
        <f aca="false">IF(AND(Y3389=1,W3389&lt;1),IF(AND(C3390=C3389,W3390=W3389+1),IF(Y3390=1,"",INDEX(DATAS,W3389+1)),INDEX(DATAS,W3389+1)),"")</f>
        <v/>
      </c>
    </row>
    <row r="3390" customFormat="false" ht="15" hidden="false" customHeight="false" outlineLevel="0" collapsed="false">
      <c r="A3390" s="33" t="n">
        <v>46309</v>
      </c>
      <c r="B3390" s="0" t="n">
        <v>13</v>
      </c>
      <c r="C3390" s="0" t="n">
        <v>7826</v>
      </c>
      <c r="E3390" s="0" t="n">
        <v>0</v>
      </c>
      <c r="F3390" s="27" t="s">
        <v>1573</v>
      </c>
      <c r="I3390" s="27" t="s">
        <v>166</v>
      </c>
      <c r="U3390" s="0" t="n">
        <v>121</v>
      </c>
      <c r="V3390" s="0" t="n">
        <v>0</v>
      </c>
      <c r="W3390" s="27" t="n">
        <f aca="false">MATCH(A3390,DATAS,0)</f>
        <v>1</v>
      </c>
      <c r="X3390" s="27" t="n">
        <f aca="false">IF(AND(E3390&gt;0,OR(AND(B3390&gt;=1,B3390&lt;=6),B3390=10)),1,0)</f>
        <v>0</v>
      </c>
      <c r="Y3390" s="27" t="n">
        <f aca="false">IF(AND(E3390&gt;0,B3390=10),1,0)</f>
        <v>0</v>
      </c>
      <c r="Z3390" s="0" t="str">
        <f aca="false">IF(AND(C3389=C3390,W3389=W3390-1),X3389,"")</f>
        <v/>
      </c>
      <c r="AA3390" s="0" t="str">
        <f aca="false">IF(AND(C3389=C3390,W3389=W3390-1),Y3389,"")</f>
        <v/>
      </c>
      <c r="AB3390" s="0" t="str">
        <f aca="false">IF(W3390=1,"",IF(AND(X3390=1,Z3390&lt;&gt;1),1,0))</f>
        <v/>
      </c>
      <c r="AC3390" s="0" t="str">
        <f aca="false">IF(W3390=1,"",IF(AND(Y3390=1,AA3390&lt;&gt;1),1,0))</f>
        <v/>
      </c>
      <c r="AD3390" s="33" t="str">
        <f aca="false">IF(AND(E3390&gt;0,W3390&lt;1,NOT(AND(C3391=C3390,W3391=W3390+1))),INDEX(DATAS,W3390+1),"")</f>
        <v/>
      </c>
      <c r="AE3390" s="33" t="str">
        <f aca="false">IF(AND(Y3390=1,W3390&lt;1),IF(AND(C3391=C3390,W3391=W3390+1),IF(Y3391=1,"",INDEX(DATAS,W3390+1)),INDEX(DATAS,W3390+1)),"")</f>
        <v/>
      </c>
    </row>
    <row r="3391" customFormat="false" ht="15" hidden="false" customHeight="false" outlineLevel="0" collapsed="false">
      <c r="A3391" s="33" t="n">
        <v>46309</v>
      </c>
      <c r="B3391" s="0" t="n">
        <v>13</v>
      </c>
      <c r="C3391" s="0" t="n">
        <v>7827</v>
      </c>
      <c r="E3391" s="0" t="n">
        <v>0</v>
      </c>
      <c r="F3391" s="27" t="s">
        <v>1573</v>
      </c>
      <c r="I3391" s="27" t="s">
        <v>166</v>
      </c>
      <c r="U3391" s="0" t="n">
        <v>121</v>
      </c>
      <c r="V3391" s="0" t="n">
        <v>0</v>
      </c>
      <c r="W3391" s="27" t="n">
        <f aca="false">MATCH(A3391,DATAS,0)</f>
        <v>1</v>
      </c>
      <c r="X3391" s="27" t="n">
        <f aca="false">IF(AND(E3391&gt;0,OR(AND(B3391&gt;=1,B3391&lt;=6),B3391=10)),1,0)</f>
        <v>0</v>
      </c>
      <c r="Y3391" s="27" t="n">
        <f aca="false">IF(AND(E3391&gt;0,B3391=10),1,0)</f>
        <v>0</v>
      </c>
      <c r="Z3391" s="0" t="str">
        <f aca="false">IF(AND(C3390=C3391,W3390=W3391-1),X3390,"")</f>
        <v/>
      </c>
      <c r="AA3391" s="0" t="str">
        <f aca="false">IF(AND(C3390=C3391,W3390=W3391-1),Y3390,"")</f>
        <v/>
      </c>
      <c r="AB3391" s="0" t="str">
        <f aca="false">IF(W3391=1,"",IF(AND(X3391=1,Z3391&lt;&gt;1),1,0))</f>
        <v/>
      </c>
      <c r="AC3391" s="0" t="str">
        <f aca="false">IF(W3391=1,"",IF(AND(Y3391=1,AA3391&lt;&gt;1),1,0))</f>
        <v/>
      </c>
      <c r="AD3391" s="33" t="str">
        <f aca="false">IF(AND(E3391&gt;0,W3391&lt;1,NOT(AND(C3392=C3391,W3392=W3391+1))),INDEX(DATAS,W3391+1),"")</f>
        <v/>
      </c>
      <c r="AE3391" s="33" t="str">
        <f aca="false">IF(AND(Y3391=1,W3391&lt;1),IF(AND(C3392=C3391,W3392=W3391+1),IF(Y3392=1,"",INDEX(DATAS,W3391+1)),INDEX(DATAS,W3391+1)),"")</f>
        <v/>
      </c>
    </row>
    <row r="3392" customFormat="false" ht="15" hidden="false" customHeight="false" outlineLevel="0" collapsed="false">
      <c r="A3392" s="33" t="n">
        <v>46309</v>
      </c>
      <c r="B3392" s="0" t="n">
        <v>13</v>
      </c>
      <c r="C3392" s="0" t="n">
        <v>7828</v>
      </c>
      <c r="E3392" s="0" t="n">
        <v>0</v>
      </c>
      <c r="F3392" s="27" t="s">
        <v>1573</v>
      </c>
      <c r="I3392" s="27" t="s">
        <v>166</v>
      </c>
      <c r="U3392" s="0" t="n">
        <v>121</v>
      </c>
      <c r="V3392" s="0" t="n">
        <v>0</v>
      </c>
      <c r="W3392" s="27" t="n">
        <f aca="false">MATCH(A3392,DATAS,0)</f>
        <v>1</v>
      </c>
      <c r="X3392" s="27" t="n">
        <f aca="false">IF(AND(E3392&gt;0,OR(AND(B3392&gt;=1,B3392&lt;=6),B3392=10)),1,0)</f>
        <v>0</v>
      </c>
      <c r="Y3392" s="27" t="n">
        <f aca="false">IF(AND(E3392&gt;0,B3392=10),1,0)</f>
        <v>0</v>
      </c>
      <c r="Z3392" s="0" t="str">
        <f aca="false">IF(AND(C3391=C3392,W3391=W3392-1),X3391,"")</f>
        <v/>
      </c>
      <c r="AA3392" s="0" t="str">
        <f aca="false">IF(AND(C3391=C3392,W3391=W3392-1),Y3391,"")</f>
        <v/>
      </c>
      <c r="AB3392" s="0" t="str">
        <f aca="false">IF(W3392=1,"",IF(AND(X3392=1,Z3392&lt;&gt;1),1,0))</f>
        <v/>
      </c>
      <c r="AC3392" s="0" t="str">
        <f aca="false">IF(W3392=1,"",IF(AND(Y3392=1,AA3392&lt;&gt;1),1,0))</f>
        <v/>
      </c>
      <c r="AD3392" s="33" t="str">
        <f aca="false">IF(AND(E3392&gt;0,W3392&lt;1,NOT(AND(C3393=C3392,W3393=W3392+1))),INDEX(DATAS,W3392+1),"")</f>
        <v/>
      </c>
      <c r="AE3392" s="33" t="str">
        <f aca="false">IF(AND(Y3392=1,W3392&lt;1),IF(AND(C3393=C3392,W3393=W3392+1),IF(Y3393=1,"",INDEX(DATAS,W3392+1)),INDEX(DATAS,W3392+1)),"")</f>
        <v/>
      </c>
    </row>
    <row r="3393" customFormat="false" ht="15" hidden="false" customHeight="false" outlineLevel="0" collapsed="false">
      <c r="A3393" s="33" t="n">
        <v>46309</v>
      </c>
      <c r="B3393" s="0" t="n">
        <v>13</v>
      </c>
      <c r="C3393" s="0" t="n">
        <v>7829</v>
      </c>
      <c r="E3393" s="0" t="n">
        <v>0</v>
      </c>
      <c r="F3393" s="27" t="s">
        <v>1574</v>
      </c>
      <c r="I3393" s="27" t="s">
        <v>166</v>
      </c>
      <c r="U3393" s="0" t="n">
        <v>120</v>
      </c>
      <c r="V3393" s="0" t="n">
        <v>0</v>
      </c>
      <c r="W3393" s="27" t="n">
        <f aca="false">MATCH(A3393,DATAS,0)</f>
        <v>1</v>
      </c>
      <c r="X3393" s="27" t="n">
        <f aca="false">IF(AND(E3393&gt;0,OR(AND(B3393&gt;=1,B3393&lt;=6),B3393=10)),1,0)</f>
        <v>0</v>
      </c>
      <c r="Y3393" s="27" t="n">
        <f aca="false">IF(AND(E3393&gt;0,B3393=10),1,0)</f>
        <v>0</v>
      </c>
      <c r="Z3393" s="0" t="str">
        <f aca="false">IF(AND(C3392=C3393,W3392=W3393-1),X3392,"")</f>
        <v/>
      </c>
      <c r="AA3393" s="0" t="str">
        <f aca="false">IF(AND(C3392=C3393,W3392=W3393-1),Y3392,"")</f>
        <v/>
      </c>
      <c r="AB3393" s="0" t="str">
        <f aca="false">IF(W3393=1,"",IF(AND(X3393=1,Z3393&lt;&gt;1),1,0))</f>
        <v/>
      </c>
      <c r="AC3393" s="0" t="str">
        <f aca="false">IF(W3393=1,"",IF(AND(Y3393=1,AA3393&lt;&gt;1),1,0))</f>
        <v/>
      </c>
      <c r="AD3393" s="33" t="str">
        <f aca="false">IF(AND(E3393&gt;0,W3393&lt;1,NOT(AND(C3394=C3393,W3394=W3393+1))),INDEX(DATAS,W3393+1),"")</f>
        <v/>
      </c>
      <c r="AE3393" s="33" t="str">
        <f aca="false">IF(AND(Y3393=1,W3393&lt;1),IF(AND(C3394=C3393,W3394=W3393+1),IF(Y3394=1,"",INDEX(DATAS,W3393+1)),INDEX(DATAS,W3393+1)),"")</f>
        <v/>
      </c>
    </row>
    <row r="3394" customFormat="false" ht="15" hidden="false" customHeight="false" outlineLevel="0" collapsed="false">
      <c r="A3394" s="33" t="n">
        <v>46309</v>
      </c>
      <c r="B3394" s="0" t="n">
        <v>13</v>
      </c>
      <c r="C3394" s="0" t="n">
        <v>7830</v>
      </c>
      <c r="E3394" s="0" t="n">
        <v>0</v>
      </c>
      <c r="F3394" s="27" t="s">
        <v>1575</v>
      </c>
      <c r="I3394" s="27" t="s">
        <v>166</v>
      </c>
      <c r="U3394" s="0" t="n">
        <v>114</v>
      </c>
      <c r="V3394" s="0" t="n">
        <v>0</v>
      </c>
      <c r="W3394" s="27" t="n">
        <f aca="false">MATCH(A3394,DATAS,0)</f>
        <v>1</v>
      </c>
      <c r="X3394" s="27" t="n">
        <f aca="false">IF(AND(E3394&gt;0,OR(AND(B3394&gt;=1,B3394&lt;=6),B3394=10)),1,0)</f>
        <v>0</v>
      </c>
      <c r="Y3394" s="27" t="n">
        <f aca="false">IF(AND(E3394&gt;0,B3394=10),1,0)</f>
        <v>0</v>
      </c>
      <c r="Z3394" s="0" t="str">
        <f aca="false">IF(AND(C3393=C3394,W3393=W3394-1),X3393,"")</f>
        <v/>
      </c>
      <c r="AA3394" s="0" t="str">
        <f aca="false">IF(AND(C3393=C3394,W3393=W3394-1),Y3393,"")</f>
        <v/>
      </c>
      <c r="AB3394" s="0" t="str">
        <f aca="false">IF(W3394=1,"",IF(AND(X3394=1,Z3394&lt;&gt;1),1,0))</f>
        <v/>
      </c>
      <c r="AC3394" s="0" t="str">
        <f aca="false">IF(W3394=1,"",IF(AND(Y3394=1,AA3394&lt;&gt;1),1,0))</f>
        <v/>
      </c>
      <c r="AD3394" s="33" t="str">
        <f aca="false">IF(AND(E3394&gt;0,W3394&lt;1,NOT(AND(C3395=C3394,W3395=W3394+1))),INDEX(DATAS,W3394+1),"")</f>
        <v/>
      </c>
      <c r="AE3394" s="33" t="str">
        <f aca="false">IF(AND(Y3394=1,W3394&lt;1),IF(AND(C3395=C3394,W3395=W3394+1),IF(Y3395=1,"",INDEX(DATAS,W3394+1)),INDEX(DATAS,W3394+1)),"")</f>
        <v/>
      </c>
    </row>
    <row r="3395" customFormat="false" ht="15" hidden="false" customHeight="false" outlineLevel="0" collapsed="false">
      <c r="A3395" s="33" t="n">
        <v>46309</v>
      </c>
      <c r="B3395" s="0" t="n">
        <v>13</v>
      </c>
      <c r="C3395" s="0" t="n">
        <v>7831</v>
      </c>
      <c r="E3395" s="0" t="n">
        <v>0</v>
      </c>
      <c r="F3395" s="27" t="s">
        <v>1574</v>
      </c>
      <c r="I3395" s="27" t="s">
        <v>166</v>
      </c>
      <c r="U3395" s="0" t="n">
        <v>120</v>
      </c>
      <c r="V3395" s="0" t="n">
        <v>0</v>
      </c>
      <c r="W3395" s="27" t="n">
        <f aca="false">MATCH(A3395,DATAS,0)</f>
        <v>1</v>
      </c>
      <c r="X3395" s="27" t="n">
        <f aca="false">IF(AND(E3395&gt;0,OR(AND(B3395&gt;=1,B3395&lt;=6),B3395=10)),1,0)</f>
        <v>0</v>
      </c>
      <c r="Y3395" s="27" t="n">
        <f aca="false">IF(AND(E3395&gt;0,B3395=10),1,0)</f>
        <v>0</v>
      </c>
      <c r="Z3395" s="0" t="str">
        <f aca="false">IF(AND(C3394=C3395,W3394=W3395-1),X3394,"")</f>
        <v/>
      </c>
      <c r="AA3395" s="0" t="str">
        <f aca="false">IF(AND(C3394=C3395,W3394=W3395-1),Y3394,"")</f>
        <v/>
      </c>
      <c r="AB3395" s="0" t="str">
        <f aca="false">IF(W3395=1,"",IF(AND(X3395=1,Z3395&lt;&gt;1),1,0))</f>
        <v/>
      </c>
      <c r="AC3395" s="0" t="str">
        <f aca="false">IF(W3395=1,"",IF(AND(Y3395=1,AA3395&lt;&gt;1),1,0))</f>
        <v/>
      </c>
      <c r="AD3395" s="33" t="str">
        <f aca="false">IF(AND(E3395&gt;0,W3395&lt;1,NOT(AND(C3396=C3395,W3396=W3395+1))),INDEX(DATAS,W3395+1),"")</f>
        <v/>
      </c>
      <c r="AE3395" s="33" t="str">
        <f aca="false">IF(AND(Y3395=1,W3395&lt;1),IF(AND(C3396=C3395,W3396=W3395+1),IF(Y3396=1,"",INDEX(DATAS,W3395+1)),INDEX(DATAS,W3395+1)),"")</f>
        <v/>
      </c>
    </row>
    <row r="3396" customFormat="false" ht="15" hidden="false" customHeight="false" outlineLevel="0" collapsed="false">
      <c r="A3396" s="33" t="n">
        <v>46309</v>
      </c>
      <c r="B3396" s="0" t="n">
        <v>13</v>
      </c>
      <c r="C3396" s="0" t="n">
        <v>7832</v>
      </c>
      <c r="E3396" s="0" t="n">
        <v>0</v>
      </c>
      <c r="F3396" s="27" t="s">
        <v>1574</v>
      </c>
      <c r="I3396" s="27" t="s">
        <v>166</v>
      </c>
      <c r="U3396" s="0" t="n">
        <v>120</v>
      </c>
      <c r="V3396" s="0" t="n">
        <v>0</v>
      </c>
      <c r="W3396" s="27" t="n">
        <f aca="false">MATCH(A3396,DATAS,0)</f>
        <v>1</v>
      </c>
      <c r="X3396" s="27" t="n">
        <f aca="false">IF(AND(E3396&gt;0,OR(AND(B3396&gt;=1,B3396&lt;=6),B3396=10)),1,0)</f>
        <v>0</v>
      </c>
      <c r="Y3396" s="27" t="n">
        <f aca="false">IF(AND(E3396&gt;0,B3396=10),1,0)</f>
        <v>0</v>
      </c>
      <c r="Z3396" s="0" t="str">
        <f aca="false">IF(AND(C3395=C3396,W3395=W3396-1),X3395,"")</f>
        <v/>
      </c>
      <c r="AA3396" s="0" t="str">
        <f aca="false">IF(AND(C3395=C3396,W3395=W3396-1),Y3395,"")</f>
        <v/>
      </c>
      <c r="AB3396" s="0" t="str">
        <f aca="false">IF(W3396=1,"",IF(AND(X3396=1,Z3396&lt;&gt;1),1,0))</f>
        <v/>
      </c>
      <c r="AC3396" s="0" t="str">
        <f aca="false">IF(W3396=1,"",IF(AND(Y3396=1,AA3396&lt;&gt;1),1,0))</f>
        <v/>
      </c>
      <c r="AD3396" s="33" t="str">
        <f aca="false">IF(AND(E3396&gt;0,W3396&lt;1,NOT(AND(C3397=C3396,W3397=W3396+1))),INDEX(DATAS,W3396+1),"")</f>
        <v/>
      </c>
      <c r="AE3396" s="33" t="str">
        <f aca="false">IF(AND(Y3396=1,W3396&lt;1),IF(AND(C3397=C3396,W3397=W3396+1),IF(Y3397=1,"",INDEX(DATAS,W3396+1)),INDEX(DATAS,W3396+1)),"")</f>
        <v/>
      </c>
    </row>
    <row r="3397" customFormat="false" ht="15" hidden="false" customHeight="false" outlineLevel="0" collapsed="false">
      <c r="A3397" s="33" t="n">
        <v>46309</v>
      </c>
      <c r="B3397" s="0" t="n">
        <v>13</v>
      </c>
      <c r="C3397" s="0" t="n">
        <v>7833</v>
      </c>
      <c r="E3397" s="0" t="n">
        <v>0</v>
      </c>
      <c r="F3397" s="27" t="s">
        <v>1574</v>
      </c>
      <c r="I3397" s="27" t="s">
        <v>166</v>
      </c>
      <c r="U3397" s="0" t="n">
        <v>120</v>
      </c>
      <c r="V3397" s="0" t="n">
        <v>0</v>
      </c>
      <c r="W3397" s="27" t="n">
        <f aca="false">MATCH(A3397,DATAS,0)</f>
        <v>1</v>
      </c>
      <c r="X3397" s="27" t="n">
        <f aca="false">IF(AND(E3397&gt;0,OR(AND(B3397&gt;=1,B3397&lt;=6),B3397=10)),1,0)</f>
        <v>0</v>
      </c>
      <c r="Y3397" s="27" t="n">
        <f aca="false">IF(AND(E3397&gt;0,B3397=10),1,0)</f>
        <v>0</v>
      </c>
      <c r="Z3397" s="0" t="str">
        <f aca="false">IF(AND(C3396=C3397,W3396=W3397-1),X3396,"")</f>
        <v/>
      </c>
      <c r="AA3397" s="0" t="str">
        <f aca="false">IF(AND(C3396=C3397,W3396=W3397-1),Y3396,"")</f>
        <v/>
      </c>
      <c r="AB3397" s="0" t="str">
        <f aca="false">IF(W3397=1,"",IF(AND(X3397=1,Z3397&lt;&gt;1),1,0))</f>
        <v/>
      </c>
      <c r="AC3397" s="0" t="str">
        <f aca="false">IF(W3397=1,"",IF(AND(Y3397=1,AA3397&lt;&gt;1),1,0))</f>
        <v/>
      </c>
      <c r="AD3397" s="33" t="str">
        <f aca="false">IF(AND(E3397&gt;0,W3397&lt;1,NOT(AND(C3398=C3397,W3398=W3397+1))),INDEX(DATAS,W3397+1),"")</f>
        <v/>
      </c>
      <c r="AE3397" s="33" t="str">
        <f aca="false">IF(AND(Y3397=1,W3397&lt;1),IF(AND(C3398=C3397,W3398=W3397+1),IF(Y3398=1,"",INDEX(DATAS,W3397+1)),INDEX(DATAS,W3397+1)),"")</f>
        <v/>
      </c>
    </row>
    <row r="3398" customFormat="false" ht="15" hidden="false" customHeight="false" outlineLevel="0" collapsed="false">
      <c r="A3398" s="33" t="n">
        <v>46309</v>
      </c>
      <c r="B3398" s="0" t="n">
        <v>13</v>
      </c>
      <c r="C3398" s="0" t="n">
        <v>7835</v>
      </c>
      <c r="E3398" s="0" t="n">
        <v>0</v>
      </c>
      <c r="F3398" s="27" t="s">
        <v>1576</v>
      </c>
      <c r="I3398" s="27" t="s">
        <v>166</v>
      </c>
      <c r="U3398" s="0" t="n">
        <v>119</v>
      </c>
      <c r="V3398" s="0" t="n">
        <v>0</v>
      </c>
      <c r="W3398" s="27" t="n">
        <f aca="false">MATCH(A3398,DATAS,0)</f>
        <v>1</v>
      </c>
      <c r="X3398" s="27" t="n">
        <f aca="false">IF(AND(E3398&gt;0,OR(AND(B3398&gt;=1,B3398&lt;=6),B3398=10)),1,0)</f>
        <v>0</v>
      </c>
      <c r="Y3398" s="27" t="n">
        <f aca="false">IF(AND(E3398&gt;0,B3398=10),1,0)</f>
        <v>0</v>
      </c>
      <c r="Z3398" s="0" t="str">
        <f aca="false">IF(AND(C3397=C3398,W3397=W3398-1),X3397,"")</f>
        <v/>
      </c>
      <c r="AA3398" s="0" t="str">
        <f aca="false">IF(AND(C3397=C3398,W3397=W3398-1),Y3397,"")</f>
        <v/>
      </c>
      <c r="AB3398" s="0" t="str">
        <f aca="false">IF(W3398=1,"",IF(AND(X3398=1,Z3398&lt;&gt;1),1,0))</f>
        <v/>
      </c>
      <c r="AC3398" s="0" t="str">
        <f aca="false">IF(W3398=1,"",IF(AND(Y3398=1,AA3398&lt;&gt;1),1,0))</f>
        <v/>
      </c>
      <c r="AD3398" s="33" t="str">
        <f aca="false">IF(AND(E3398&gt;0,W3398&lt;1,NOT(AND(C3399=C3398,W3399=W3398+1))),INDEX(DATAS,W3398+1),"")</f>
        <v/>
      </c>
      <c r="AE3398" s="33" t="str">
        <f aca="false">IF(AND(Y3398=1,W3398&lt;1),IF(AND(C3399=C3398,W3399=W3398+1),IF(Y3399=1,"",INDEX(DATAS,W3398+1)),INDEX(DATAS,W3398+1)),"")</f>
        <v/>
      </c>
    </row>
    <row r="3399" customFormat="false" ht="15" hidden="false" customHeight="false" outlineLevel="0" collapsed="false">
      <c r="A3399" s="33" t="n">
        <v>46309</v>
      </c>
      <c r="B3399" s="0" t="n">
        <v>13</v>
      </c>
      <c r="C3399" s="0" t="n">
        <v>7836</v>
      </c>
      <c r="E3399" s="0" t="n">
        <v>0</v>
      </c>
      <c r="F3399" s="27" t="s">
        <v>1576</v>
      </c>
      <c r="I3399" s="27" t="s">
        <v>166</v>
      </c>
      <c r="U3399" s="0" t="n">
        <v>119</v>
      </c>
      <c r="V3399" s="0" t="n">
        <v>0</v>
      </c>
      <c r="W3399" s="27" t="n">
        <f aca="false">MATCH(A3399,DATAS,0)</f>
        <v>1</v>
      </c>
      <c r="X3399" s="27" t="n">
        <f aca="false">IF(AND(E3399&gt;0,OR(AND(B3399&gt;=1,B3399&lt;=6),B3399=10)),1,0)</f>
        <v>0</v>
      </c>
      <c r="Y3399" s="27" t="n">
        <f aca="false">IF(AND(E3399&gt;0,B3399=10),1,0)</f>
        <v>0</v>
      </c>
      <c r="Z3399" s="0" t="str">
        <f aca="false">IF(AND(C3398=C3399,W3398=W3399-1),X3398,"")</f>
        <v/>
      </c>
      <c r="AA3399" s="0" t="str">
        <f aca="false">IF(AND(C3398=C3399,W3398=W3399-1),Y3398,"")</f>
        <v/>
      </c>
      <c r="AB3399" s="0" t="str">
        <f aca="false">IF(W3399=1,"",IF(AND(X3399=1,Z3399&lt;&gt;1),1,0))</f>
        <v/>
      </c>
      <c r="AC3399" s="0" t="str">
        <f aca="false">IF(W3399=1,"",IF(AND(Y3399=1,AA3399&lt;&gt;1),1,0))</f>
        <v/>
      </c>
      <c r="AD3399" s="33" t="str">
        <f aca="false">IF(AND(E3399&gt;0,W3399&lt;1,NOT(AND(C3400=C3399,W3400=W3399+1))),INDEX(DATAS,W3399+1),"")</f>
        <v/>
      </c>
      <c r="AE3399" s="33" t="str">
        <f aca="false">IF(AND(Y3399=1,W3399&lt;1),IF(AND(C3400=C3399,W3400=W3399+1),IF(Y3400=1,"",INDEX(DATAS,W3399+1)),INDEX(DATAS,W3399+1)),"")</f>
        <v/>
      </c>
    </row>
    <row r="3400" customFormat="false" ht="15" hidden="false" customHeight="false" outlineLevel="0" collapsed="false">
      <c r="A3400" s="33" t="n">
        <v>46309</v>
      </c>
      <c r="B3400" s="0" t="n">
        <v>13</v>
      </c>
      <c r="C3400" s="0" t="n">
        <v>7837</v>
      </c>
      <c r="E3400" s="0" t="n">
        <v>0</v>
      </c>
      <c r="F3400" s="27" t="s">
        <v>1577</v>
      </c>
      <c r="I3400" s="27" t="s">
        <v>166</v>
      </c>
      <c r="U3400" s="0" t="n">
        <v>118</v>
      </c>
      <c r="V3400" s="0" t="n">
        <v>0</v>
      </c>
      <c r="W3400" s="27" t="n">
        <f aca="false">MATCH(A3400,DATAS,0)</f>
        <v>1</v>
      </c>
      <c r="X3400" s="27" t="n">
        <f aca="false">IF(AND(E3400&gt;0,OR(AND(B3400&gt;=1,B3400&lt;=6),B3400=10)),1,0)</f>
        <v>0</v>
      </c>
      <c r="Y3400" s="27" t="n">
        <f aca="false">IF(AND(E3400&gt;0,B3400=10),1,0)</f>
        <v>0</v>
      </c>
      <c r="Z3400" s="0" t="str">
        <f aca="false">IF(AND(C3399=C3400,W3399=W3400-1),X3399,"")</f>
        <v/>
      </c>
      <c r="AA3400" s="0" t="str">
        <f aca="false">IF(AND(C3399=C3400,W3399=W3400-1),Y3399,"")</f>
        <v/>
      </c>
      <c r="AB3400" s="0" t="str">
        <f aca="false">IF(W3400=1,"",IF(AND(X3400=1,Z3400&lt;&gt;1),1,0))</f>
        <v/>
      </c>
      <c r="AC3400" s="0" t="str">
        <f aca="false">IF(W3400=1,"",IF(AND(Y3400=1,AA3400&lt;&gt;1),1,0))</f>
        <v/>
      </c>
      <c r="AD3400" s="33" t="str">
        <f aca="false">IF(AND(E3400&gt;0,W3400&lt;1,NOT(AND(C3401=C3400,W3401=W3400+1))),INDEX(DATAS,W3400+1),"")</f>
        <v/>
      </c>
      <c r="AE3400" s="33" t="str">
        <f aca="false">IF(AND(Y3400=1,W3400&lt;1),IF(AND(C3401=C3400,W3401=W3400+1),IF(Y3401=1,"",INDEX(DATAS,W3400+1)),INDEX(DATAS,W3400+1)),"")</f>
        <v/>
      </c>
    </row>
    <row r="3401" customFormat="false" ht="15" hidden="false" customHeight="false" outlineLevel="0" collapsed="false">
      <c r="A3401" s="33" t="n">
        <v>46309</v>
      </c>
      <c r="B3401" s="0" t="n">
        <v>13</v>
      </c>
      <c r="C3401" s="0" t="n">
        <v>7838</v>
      </c>
      <c r="E3401" s="0" t="n">
        <v>0</v>
      </c>
      <c r="F3401" s="27" t="s">
        <v>1577</v>
      </c>
      <c r="I3401" s="27" t="s">
        <v>166</v>
      </c>
      <c r="U3401" s="0" t="n">
        <v>118</v>
      </c>
      <c r="V3401" s="0" t="n">
        <v>0</v>
      </c>
      <c r="W3401" s="27" t="n">
        <f aca="false">MATCH(A3401,DATAS,0)</f>
        <v>1</v>
      </c>
      <c r="X3401" s="27" t="n">
        <f aca="false">IF(AND(E3401&gt;0,OR(AND(B3401&gt;=1,B3401&lt;=6),B3401=10)),1,0)</f>
        <v>0</v>
      </c>
      <c r="Y3401" s="27" t="n">
        <f aca="false">IF(AND(E3401&gt;0,B3401=10),1,0)</f>
        <v>0</v>
      </c>
      <c r="Z3401" s="0" t="str">
        <f aca="false">IF(AND(C3400=C3401,W3400=W3401-1),X3400,"")</f>
        <v/>
      </c>
      <c r="AA3401" s="0" t="str">
        <f aca="false">IF(AND(C3400=C3401,W3400=W3401-1),Y3400,"")</f>
        <v/>
      </c>
      <c r="AB3401" s="0" t="str">
        <f aca="false">IF(W3401=1,"",IF(AND(X3401=1,Z3401&lt;&gt;1),1,0))</f>
        <v/>
      </c>
      <c r="AC3401" s="0" t="str">
        <f aca="false">IF(W3401=1,"",IF(AND(Y3401=1,AA3401&lt;&gt;1),1,0))</f>
        <v/>
      </c>
      <c r="AD3401" s="33" t="str">
        <f aca="false">IF(AND(E3401&gt;0,W3401&lt;1,NOT(AND(C3402=C3401,W3402=W3401+1))),INDEX(DATAS,W3401+1),"")</f>
        <v/>
      </c>
      <c r="AE3401" s="33" t="str">
        <f aca="false">IF(AND(Y3401=1,W3401&lt;1),IF(AND(C3402=C3401,W3402=W3401+1),IF(Y3402=1,"",INDEX(DATAS,W3401+1)),INDEX(DATAS,W3401+1)),"")</f>
        <v/>
      </c>
    </row>
    <row r="3402" customFormat="false" ht="15" hidden="false" customHeight="false" outlineLevel="0" collapsed="false">
      <c r="A3402" s="33" t="n">
        <v>46309</v>
      </c>
      <c r="B3402" s="0" t="n">
        <v>13</v>
      </c>
      <c r="C3402" s="0" t="n">
        <v>7839</v>
      </c>
      <c r="E3402" s="0" t="n">
        <v>0</v>
      </c>
      <c r="F3402" s="27" t="s">
        <v>1577</v>
      </c>
      <c r="I3402" s="27" t="s">
        <v>166</v>
      </c>
      <c r="U3402" s="0" t="n">
        <v>118</v>
      </c>
      <c r="V3402" s="0" t="n">
        <v>0</v>
      </c>
      <c r="W3402" s="27" t="n">
        <f aca="false">MATCH(A3402,DATAS,0)</f>
        <v>1</v>
      </c>
      <c r="X3402" s="27" t="n">
        <f aca="false">IF(AND(E3402&gt;0,OR(AND(B3402&gt;=1,B3402&lt;=6),B3402=10)),1,0)</f>
        <v>0</v>
      </c>
      <c r="Y3402" s="27" t="n">
        <f aca="false">IF(AND(E3402&gt;0,B3402=10),1,0)</f>
        <v>0</v>
      </c>
      <c r="Z3402" s="0" t="str">
        <f aca="false">IF(AND(C3401=C3402,W3401=W3402-1),X3401,"")</f>
        <v/>
      </c>
      <c r="AA3402" s="0" t="str">
        <f aca="false">IF(AND(C3401=C3402,W3401=W3402-1),Y3401,"")</f>
        <v/>
      </c>
      <c r="AB3402" s="0" t="str">
        <f aca="false">IF(W3402=1,"",IF(AND(X3402=1,Z3402&lt;&gt;1),1,0))</f>
        <v/>
      </c>
      <c r="AC3402" s="0" t="str">
        <f aca="false">IF(W3402=1,"",IF(AND(Y3402=1,AA3402&lt;&gt;1),1,0))</f>
        <v/>
      </c>
      <c r="AD3402" s="33" t="str">
        <f aca="false">IF(AND(E3402&gt;0,W3402&lt;1,NOT(AND(C3403=C3402,W3403=W3402+1))),INDEX(DATAS,W3402+1),"")</f>
        <v/>
      </c>
      <c r="AE3402" s="33" t="str">
        <f aca="false">IF(AND(Y3402=1,W3402&lt;1),IF(AND(C3403=C3402,W3403=W3402+1),IF(Y3403=1,"",INDEX(DATAS,W3402+1)),INDEX(DATAS,W3402+1)),"")</f>
        <v/>
      </c>
    </row>
    <row r="3403" customFormat="false" ht="15" hidden="false" customHeight="false" outlineLevel="0" collapsed="false">
      <c r="A3403" s="33" t="n">
        <v>46309</v>
      </c>
      <c r="B3403" s="0" t="n">
        <v>13</v>
      </c>
      <c r="C3403" s="0" t="n">
        <v>7840</v>
      </c>
      <c r="E3403" s="0" t="n">
        <v>0</v>
      </c>
      <c r="F3403" s="27" t="s">
        <v>1577</v>
      </c>
      <c r="I3403" s="27" t="s">
        <v>166</v>
      </c>
      <c r="U3403" s="0" t="n">
        <v>118</v>
      </c>
      <c r="V3403" s="0" t="n">
        <v>0</v>
      </c>
      <c r="W3403" s="27" t="n">
        <f aca="false">MATCH(A3403,DATAS,0)</f>
        <v>1</v>
      </c>
      <c r="X3403" s="27" t="n">
        <f aca="false">IF(AND(E3403&gt;0,OR(AND(B3403&gt;=1,B3403&lt;=6),B3403=10)),1,0)</f>
        <v>0</v>
      </c>
      <c r="Y3403" s="27" t="n">
        <f aca="false">IF(AND(E3403&gt;0,B3403=10),1,0)</f>
        <v>0</v>
      </c>
      <c r="Z3403" s="0" t="str">
        <f aca="false">IF(AND(C3402=C3403,W3402=W3403-1),X3402,"")</f>
        <v/>
      </c>
      <c r="AA3403" s="0" t="str">
        <f aca="false">IF(AND(C3402=C3403,W3402=W3403-1),Y3402,"")</f>
        <v/>
      </c>
      <c r="AB3403" s="0" t="str">
        <f aca="false">IF(W3403=1,"",IF(AND(X3403=1,Z3403&lt;&gt;1),1,0))</f>
        <v/>
      </c>
      <c r="AC3403" s="0" t="str">
        <f aca="false">IF(W3403=1,"",IF(AND(Y3403=1,AA3403&lt;&gt;1),1,0))</f>
        <v/>
      </c>
      <c r="AD3403" s="33" t="str">
        <f aca="false">IF(AND(E3403&gt;0,W3403&lt;1,NOT(AND(C3404=C3403,W3404=W3403+1))),INDEX(DATAS,W3403+1),"")</f>
        <v/>
      </c>
      <c r="AE3403" s="33" t="str">
        <f aca="false">IF(AND(Y3403=1,W3403&lt;1),IF(AND(C3404=C3403,W3404=W3403+1),IF(Y3404=1,"",INDEX(DATAS,W3403+1)),INDEX(DATAS,W3403+1)),"")</f>
        <v/>
      </c>
    </row>
    <row r="3404" customFormat="false" ht="15" hidden="false" customHeight="false" outlineLevel="0" collapsed="false">
      <c r="A3404" s="33" t="n">
        <v>46309</v>
      </c>
      <c r="B3404" s="0" t="n">
        <v>13</v>
      </c>
      <c r="C3404" s="0" t="n">
        <v>7841</v>
      </c>
      <c r="E3404" s="0" t="n">
        <v>0</v>
      </c>
      <c r="F3404" s="27" t="s">
        <v>1577</v>
      </c>
      <c r="I3404" s="27" t="s">
        <v>166</v>
      </c>
      <c r="U3404" s="0" t="n">
        <v>118</v>
      </c>
      <c r="V3404" s="0" t="n">
        <v>0</v>
      </c>
      <c r="W3404" s="27" t="n">
        <f aca="false">MATCH(A3404,DATAS,0)</f>
        <v>1</v>
      </c>
      <c r="X3404" s="27" t="n">
        <f aca="false">IF(AND(E3404&gt;0,OR(AND(B3404&gt;=1,B3404&lt;=6),B3404=10)),1,0)</f>
        <v>0</v>
      </c>
      <c r="Y3404" s="27" t="n">
        <f aca="false">IF(AND(E3404&gt;0,B3404=10),1,0)</f>
        <v>0</v>
      </c>
      <c r="Z3404" s="0" t="str">
        <f aca="false">IF(AND(C3403=C3404,W3403=W3404-1),X3403,"")</f>
        <v/>
      </c>
      <c r="AA3404" s="0" t="str">
        <f aca="false">IF(AND(C3403=C3404,W3403=W3404-1),Y3403,"")</f>
        <v/>
      </c>
      <c r="AB3404" s="0" t="str">
        <f aca="false">IF(W3404=1,"",IF(AND(X3404=1,Z3404&lt;&gt;1),1,0))</f>
        <v/>
      </c>
      <c r="AC3404" s="0" t="str">
        <f aca="false">IF(W3404=1,"",IF(AND(Y3404=1,AA3404&lt;&gt;1),1,0))</f>
        <v/>
      </c>
      <c r="AD3404" s="33" t="str">
        <f aca="false">IF(AND(E3404&gt;0,W3404&lt;1,NOT(AND(C3405=C3404,W3405=W3404+1))),INDEX(DATAS,W3404+1),"")</f>
        <v/>
      </c>
      <c r="AE3404" s="33" t="str">
        <f aca="false">IF(AND(Y3404=1,W3404&lt;1),IF(AND(C3405=C3404,W3405=W3404+1),IF(Y3405=1,"",INDEX(DATAS,W3404+1)),INDEX(DATAS,W3404+1)),"")</f>
        <v/>
      </c>
    </row>
    <row r="3405" customFormat="false" ht="15" hidden="false" customHeight="false" outlineLevel="0" collapsed="false">
      <c r="A3405" s="33" t="n">
        <v>46309</v>
      </c>
      <c r="B3405" s="0" t="n">
        <v>13</v>
      </c>
      <c r="C3405" s="0" t="n">
        <v>7842</v>
      </c>
      <c r="E3405" s="0" t="n">
        <v>0</v>
      </c>
      <c r="F3405" s="27" t="s">
        <v>1577</v>
      </c>
      <c r="I3405" s="27" t="s">
        <v>166</v>
      </c>
      <c r="U3405" s="0" t="n">
        <v>118</v>
      </c>
      <c r="V3405" s="0" t="n">
        <v>0</v>
      </c>
      <c r="W3405" s="27" t="n">
        <f aca="false">MATCH(A3405,DATAS,0)</f>
        <v>1</v>
      </c>
      <c r="X3405" s="27" t="n">
        <f aca="false">IF(AND(E3405&gt;0,OR(AND(B3405&gt;=1,B3405&lt;=6),B3405=10)),1,0)</f>
        <v>0</v>
      </c>
      <c r="Y3405" s="27" t="n">
        <f aca="false">IF(AND(E3405&gt;0,B3405=10),1,0)</f>
        <v>0</v>
      </c>
      <c r="Z3405" s="0" t="str">
        <f aca="false">IF(AND(C3404=C3405,W3404=W3405-1),X3404,"")</f>
        <v/>
      </c>
      <c r="AA3405" s="0" t="str">
        <f aca="false">IF(AND(C3404=C3405,W3404=W3405-1),Y3404,"")</f>
        <v/>
      </c>
      <c r="AB3405" s="0" t="str">
        <f aca="false">IF(W3405=1,"",IF(AND(X3405=1,Z3405&lt;&gt;1),1,0))</f>
        <v/>
      </c>
      <c r="AC3405" s="0" t="str">
        <f aca="false">IF(W3405=1,"",IF(AND(Y3405=1,AA3405&lt;&gt;1),1,0))</f>
        <v/>
      </c>
      <c r="AD3405" s="33" t="str">
        <f aca="false">IF(AND(E3405&gt;0,W3405&lt;1,NOT(AND(C3406=C3405,W3406=W3405+1))),INDEX(DATAS,W3405+1),"")</f>
        <v/>
      </c>
      <c r="AE3405" s="33" t="str">
        <f aca="false">IF(AND(Y3405=1,W3405&lt;1),IF(AND(C3406=C3405,W3406=W3405+1),IF(Y3406=1,"",INDEX(DATAS,W3405+1)),INDEX(DATAS,W3405+1)),"")</f>
        <v/>
      </c>
    </row>
    <row r="3406" customFormat="false" ht="15" hidden="false" customHeight="false" outlineLevel="0" collapsed="false">
      <c r="A3406" s="33" t="n">
        <v>46309</v>
      </c>
      <c r="B3406" s="0" t="n">
        <v>13</v>
      </c>
      <c r="C3406" s="0" t="n">
        <v>7843</v>
      </c>
      <c r="E3406" s="0" t="n">
        <v>0</v>
      </c>
      <c r="F3406" s="27" t="s">
        <v>1577</v>
      </c>
      <c r="I3406" s="27" t="s">
        <v>166</v>
      </c>
      <c r="U3406" s="0" t="n">
        <v>118</v>
      </c>
      <c r="V3406" s="0" t="n">
        <v>0</v>
      </c>
      <c r="W3406" s="27" t="n">
        <f aca="false">MATCH(A3406,DATAS,0)</f>
        <v>1</v>
      </c>
      <c r="X3406" s="27" t="n">
        <f aca="false">IF(AND(E3406&gt;0,OR(AND(B3406&gt;=1,B3406&lt;=6),B3406=10)),1,0)</f>
        <v>0</v>
      </c>
      <c r="Y3406" s="27" t="n">
        <f aca="false">IF(AND(E3406&gt;0,B3406=10),1,0)</f>
        <v>0</v>
      </c>
      <c r="Z3406" s="0" t="str">
        <f aca="false">IF(AND(C3405=C3406,W3405=W3406-1),X3405,"")</f>
        <v/>
      </c>
      <c r="AA3406" s="0" t="str">
        <f aca="false">IF(AND(C3405=C3406,W3405=W3406-1),Y3405,"")</f>
        <v/>
      </c>
      <c r="AB3406" s="0" t="str">
        <f aca="false">IF(W3406=1,"",IF(AND(X3406=1,Z3406&lt;&gt;1),1,0))</f>
        <v/>
      </c>
      <c r="AC3406" s="0" t="str">
        <f aca="false">IF(W3406=1,"",IF(AND(Y3406=1,AA3406&lt;&gt;1),1,0))</f>
        <v/>
      </c>
      <c r="AD3406" s="33" t="str">
        <f aca="false">IF(AND(E3406&gt;0,W3406&lt;1,NOT(AND(C3407=C3406,W3407=W3406+1))),INDEX(DATAS,W3406+1),"")</f>
        <v/>
      </c>
      <c r="AE3406" s="33" t="str">
        <f aca="false">IF(AND(Y3406=1,W3406&lt;1),IF(AND(C3407=C3406,W3407=W3406+1),IF(Y3407=1,"",INDEX(DATAS,W3406+1)),INDEX(DATAS,W3406+1)),"")</f>
        <v/>
      </c>
    </row>
    <row r="3407" customFormat="false" ht="15" hidden="false" customHeight="false" outlineLevel="0" collapsed="false">
      <c r="A3407" s="33" t="n">
        <v>46309</v>
      </c>
      <c r="B3407" s="0" t="n">
        <v>13</v>
      </c>
      <c r="C3407" s="0" t="n">
        <v>7845</v>
      </c>
      <c r="E3407" s="0" t="n">
        <v>0</v>
      </c>
      <c r="F3407" s="27" t="s">
        <v>1578</v>
      </c>
      <c r="I3407" s="27" t="s">
        <v>166</v>
      </c>
      <c r="U3407" s="0" t="n">
        <v>117</v>
      </c>
      <c r="V3407" s="0" t="n">
        <v>0</v>
      </c>
      <c r="W3407" s="27" t="n">
        <f aca="false">MATCH(A3407,DATAS,0)</f>
        <v>1</v>
      </c>
      <c r="X3407" s="27" t="n">
        <f aca="false">IF(AND(E3407&gt;0,OR(AND(B3407&gt;=1,B3407&lt;=6),B3407=10)),1,0)</f>
        <v>0</v>
      </c>
      <c r="Y3407" s="27" t="n">
        <f aca="false">IF(AND(E3407&gt;0,B3407=10),1,0)</f>
        <v>0</v>
      </c>
      <c r="Z3407" s="0" t="str">
        <f aca="false">IF(AND(C3406=C3407,W3406=W3407-1),X3406,"")</f>
        <v/>
      </c>
      <c r="AA3407" s="0" t="str">
        <f aca="false">IF(AND(C3406=C3407,W3406=W3407-1),Y3406,"")</f>
        <v/>
      </c>
      <c r="AB3407" s="0" t="str">
        <f aca="false">IF(W3407=1,"",IF(AND(X3407=1,Z3407&lt;&gt;1),1,0))</f>
        <v/>
      </c>
      <c r="AC3407" s="0" t="str">
        <f aca="false">IF(W3407=1,"",IF(AND(Y3407=1,AA3407&lt;&gt;1),1,0))</f>
        <v/>
      </c>
      <c r="AD3407" s="33" t="str">
        <f aca="false">IF(AND(E3407&gt;0,W3407&lt;1,NOT(AND(C3408=C3407,W3408=W3407+1))),INDEX(DATAS,W3407+1),"")</f>
        <v/>
      </c>
      <c r="AE3407" s="33" t="str">
        <f aca="false">IF(AND(Y3407=1,W3407&lt;1),IF(AND(C3408=C3407,W3408=W3407+1),IF(Y3408=1,"",INDEX(DATAS,W3407+1)),INDEX(DATAS,W3407+1)),"")</f>
        <v/>
      </c>
    </row>
    <row r="3408" customFormat="false" ht="15" hidden="false" customHeight="false" outlineLevel="0" collapsed="false">
      <c r="A3408" s="33" t="n">
        <v>46309</v>
      </c>
      <c r="B3408" s="0" t="n">
        <v>13</v>
      </c>
      <c r="C3408" s="0" t="n">
        <v>7846</v>
      </c>
      <c r="E3408" s="0" t="n">
        <v>0</v>
      </c>
      <c r="F3408" s="27" t="s">
        <v>1578</v>
      </c>
      <c r="I3408" s="27" t="s">
        <v>166</v>
      </c>
      <c r="U3408" s="0" t="n">
        <v>117</v>
      </c>
      <c r="V3408" s="0" t="n">
        <v>0</v>
      </c>
      <c r="W3408" s="27" t="n">
        <f aca="false">MATCH(A3408,DATAS,0)</f>
        <v>1</v>
      </c>
      <c r="X3408" s="27" t="n">
        <f aca="false">IF(AND(E3408&gt;0,OR(AND(B3408&gt;=1,B3408&lt;=6),B3408=10)),1,0)</f>
        <v>0</v>
      </c>
      <c r="Y3408" s="27" t="n">
        <f aca="false">IF(AND(E3408&gt;0,B3408=10),1,0)</f>
        <v>0</v>
      </c>
      <c r="Z3408" s="0" t="str">
        <f aca="false">IF(AND(C3407=C3408,W3407=W3408-1),X3407,"")</f>
        <v/>
      </c>
      <c r="AA3408" s="0" t="str">
        <f aca="false">IF(AND(C3407=C3408,W3407=W3408-1),Y3407,"")</f>
        <v/>
      </c>
      <c r="AB3408" s="0" t="str">
        <f aca="false">IF(W3408=1,"",IF(AND(X3408=1,Z3408&lt;&gt;1),1,0))</f>
        <v/>
      </c>
      <c r="AC3408" s="0" t="str">
        <f aca="false">IF(W3408=1,"",IF(AND(Y3408=1,AA3408&lt;&gt;1),1,0))</f>
        <v/>
      </c>
      <c r="AD3408" s="33" t="str">
        <f aca="false">IF(AND(E3408&gt;0,W3408&lt;1,NOT(AND(C3409=C3408,W3409=W3408+1))),INDEX(DATAS,W3408+1),"")</f>
        <v/>
      </c>
      <c r="AE3408" s="33" t="str">
        <f aca="false">IF(AND(Y3408=1,W3408&lt;1),IF(AND(C3409=C3408,W3409=W3408+1),IF(Y3409=1,"",INDEX(DATAS,W3408+1)),INDEX(DATAS,W3408+1)),"")</f>
        <v/>
      </c>
    </row>
    <row r="3409" customFormat="false" ht="15" hidden="false" customHeight="false" outlineLevel="0" collapsed="false">
      <c r="A3409" s="33" t="n">
        <v>46309</v>
      </c>
      <c r="B3409" s="0" t="n">
        <v>13</v>
      </c>
      <c r="C3409" s="0" t="n">
        <v>7847</v>
      </c>
      <c r="E3409" s="0" t="n">
        <v>0</v>
      </c>
      <c r="F3409" s="27" t="s">
        <v>1578</v>
      </c>
      <c r="I3409" s="27" t="s">
        <v>166</v>
      </c>
      <c r="U3409" s="0" t="n">
        <v>117</v>
      </c>
      <c r="V3409" s="0" t="n">
        <v>0</v>
      </c>
      <c r="W3409" s="27" t="n">
        <f aca="false">MATCH(A3409,DATAS,0)</f>
        <v>1</v>
      </c>
      <c r="X3409" s="27" t="n">
        <f aca="false">IF(AND(E3409&gt;0,OR(AND(B3409&gt;=1,B3409&lt;=6),B3409=10)),1,0)</f>
        <v>0</v>
      </c>
      <c r="Y3409" s="27" t="n">
        <f aca="false">IF(AND(E3409&gt;0,B3409=10),1,0)</f>
        <v>0</v>
      </c>
      <c r="Z3409" s="0" t="str">
        <f aca="false">IF(AND(C3408=C3409,W3408=W3409-1),X3408,"")</f>
        <v/>
      </c>
      <c r="AA3409" s="0" t="str">
        <f aca="false">IF(AND(C3408=C3409,W3408=W3409-1),Y3408,"")</f>
        <v/>
      </c>
      <c r="AB3409" s="0" t="str">
        <f aca="false">IF(W3409=1,"",IF(AND(X3409=1,Z3409&lt;&gt;1),1,0))</f>
        <v/>
      </c>
      <c r="AC3409" s="0" t="str">
        <f aca="false">IF(W3409=1,"",IF(AND(Y3409=1,AA3409&lt;&gt;1),1,0))</f>
        <v/>
      </c>
      <c r="AD3409" s="33" t="str">
        <f aca="false">IF(AND(E3409&gt;0,W3409&lt;1,NOT(AND(C3410=C3409,W3410=W3409+1))),INDEX(DATAS,W3409+1),"")</f>
        <v/>
      </c>
      <c r="AE3409" s="33" t="str">
        <f aca="false">IF(AND(Y3409=1,W3409&lt;1),IF(AND(C3410=C3409,W3410=W3409+1),IF(Y3410=1,"",INDEX(DATAS,W3409+1)),INDEX(DATAS,W3409+1)),"")</f>
        <v/>
      </c>
    </row>
    <row r="3410" customFormat="false" ht="15" hidden="false" customHeight="false" outlineLevel="0" collapsed="false">
      <c r="A3410" s="33" t="n">
        <v>46309</v>
      </c>
      <c r="B3410" s="0" t="n">
        <v>13</v>
      </c>
      <c r="C3410" s="0" t="n">
        <v>7848</v>
      </c>
      <c r="E3410" s="0" t="n">
        <v>0</v>
      </c>
      <c r="F3410" s="27" t="s">
        <v>1578</v>
      </c>
      <c r="I3410" s="27" t="s">
        <v>166</v>
      </c>
      <c r="U3410" s="0" t="n">
        <v>117</v>
      </c>
      <c r="V3410" s="0" t="n">
        <v>0</v>
      </c>
      <c r="W3410" s="27" t="n">
        <f aca="false">MATCH(A3410,DATAS,0)</f>
        <v>1</v>
      </c>
      <c r="X3410" s="27" t="n">
        <f aca="false">IF(AND(E3410&gt;0,OR(AND(B3410&gt;=1,B3410&lt;=6),B3410=10)),1,0)</f>
        <v>0</v>
      </c>
      <c r="Y3410" s="27" t="n">
        <f aca="false">IF(AND(E3410&gt;0,B3410=10),1,0)</f>
        <v>0</v>
      </c>
      <c r="Z3410" s="0" t="str">
        <f aca="false">IF(AND(C3409=C3410,W3409=W3410-1),X3409,"")</f>
        <v/>
      </c>
      <c r="AA3410" s="0" t="str">
        <f aca="false">IF(AND(C3409=C3410,W3409=W3410-1),Y3409,"")</f>
        <v/>
      </c>
      <c r="AB3410" s="0" t="str">
        <f aca="false">IF(W3410=1,"",IF(AND(X3410=1,Z3410&lt;&gt;1),1,0))</f>
        <v/>
      </c>
      <c r="AC3410" s="0" t="str">
        <f aca="false">IF(W3410=1,"",IF(AND(Y3410=1,AA3410&lt;&gt;1),1,0))</f>
        <v/>
      </c>
      <c r="AD3410" s="33" t="str">
        <f aca="false">IF(AND(E3410&gt;0,W3410&lt;1,NOT(AND(C3411=C3410,W3411=W3410+1))),INDEX(DATAS,W3410+1),"")</f>
        <v/>
      </c>
      <c r="AE3410" s="33" t="str">
        <f aca="false">IF(AND(Y3410=1,W3410&lt;1),IF(AND(C3411=C3410,W3411=W3410+1),IF(Y3411=1,"",INDEX(DATAS,W3410+1)),INDEX(DATAS,W3410+1)),"")</f>
        <v/>
      </c>
    </row>
    <row r="3411" customFormat="false" ht="15" hidden="false" customHeight="false" outlineLevel="0" collapsed="false">
      <c r="A3411" s="33" t="n">
        <v>46309</v>
      </c>
      <c r="B3411" s="0" t="n">
        <v>13</v>
      </c>
      <c r="C3411" s="0" t="n">
        <v>7849</v>
      </c>
      <c r="E3411" s="0" t="n">
        <v>0</v>
      </c>
      <c r="F3411" s="27" t="s">
        <v>1579</v>
      </c>
      <c r="I3411" s="27" t="s">
        <v>166</v>
      </c>
      <c r="U3411" s="0" t="n">
        <v>116</v>
      </c>
      <c r="V3411" s="0" t="n">
        <v>0</v>
      </c>
      <c r="W3411" s="27" t="n">
        <f aca="false">MATCH(A3411,DATAS,0)</f>
        <v>1</v>
      </c>
      <c r="X3411" s="27" t="n">
        <f aca="false">IF(AND(E3411&gt;0,OR(AND(B3411&gt;=1,B3411&lt;=6),B3411=10)),1,0)</f>
        <v>0</v>
      </c>
      <c r="Y3411" s="27" t="n">
        <f aca="false">IF(AND(E3411&gt;0,B3411=10),1,0)</f>
        <v>0</v>
      </c>
      <c r="Z3411" s="0" t="str">
        <f aca="false">IF(AND(C3410=C3411,W3410=W3411-1),X3410,"")</f>
        <v/>
      </c>
      <c r="AA3411" s="0" t="str">
        <f aca="false">IF(AND(C3410=C3411,W3410=W3411-1),Y3410,"")</f>
        <v/>
      </c>
      <c r="AB3411" s="0" t="str">
        <f aca="false">IF(W3411=1,"",IF(AND(X3411=1,Z3411&lt;&gt;1),1,0))</f>
        <v/>
      </c>
      <c r="AC3411" s="0" t="str">
        <f aca="false">IF(W3411=1,"",IF(AND(Y3411=1,AA3411&lt;&gt;1),1,0))</f>
        <v/>
      </c>
      <c r="AD3411" s="33" t="str">
        <f aca="false">IF(AND(E3411&gt;0,W3411&lt;1,NOT(AND(C3412=C3411,W3412=W3411+1))),INDEX(DATAS,W3411+1),"")</f>
        <v/>
      </c>
      <c r="AE3411" s="33" t="str">
        <f aca="false">IF(AND(Y3411=1,W3411&lt;1),IF(AND(C3412=C3411,W3412=W3411+1),IF(Y3412=1,"",INDEX(DATAS,W3411+1)),INDEX(DATAS,W3411+1)),"")</f>
        <v/>
      </c>
    </row>
    <row r="3412" customFormat="false" ht="15" hidden="false" customHeight="false" outlineLevel="0" collapsed="false">
      <c r="A3412" s="33" t="n">
        <v>46309</v>
      </c>
      <c r="B3412" s="0" t="n">
        <v>13</v>
      </c>
      <c r="C3412" s="0" t="n">
        <v>7851</v>
      </c>
      <c r="E3412" s="0" t="n">
        <v>0</v>
      </c>
      <c r="F3412" s="27" t="s">
        <v>1575</v>
      </c>
      <c r="I3412" s="27" t="s">
        <v>166</v>
      </c>
      <c r="U3412" s="0" t="n">
        <v>114</v>
      </c>
      <c r="V3412" s="0" t="n">
        <v>0</v>
      </c>
      <c r="W3412" s="27" t="n">
        <f aca="false">MATCH(A3412,DATAS,0)</f>
        <v>1</v>
      </c>
      <c r="X3412" s="27" t="n">
        <f aca="false">IF(AND(E3412&gt;0,OR(AND(B3412&gt;=1,B3412&lt;=6),B3412=10)),1,0)</f>
        <v>0</v>
      </c>
      <c r="Y3412" s="27" t="n">
        <f aca="false">IF(AND(E3412&gt;0,B3412=10),1,0)</f>
        <v>0</v>
      </c>
      <c r="Z3412" s="0" t="str">
        <f aca="false">IF(AND(C3411=C3412,W3411=W3412-1),X3411,"")</f>
        <v/>
      </c>
      <c r="AA3412" s="0" t="str">
        <f aca="false">IF(AND(C3411=C3412,W3411=W3412-1),Y3411,"")</f>
        <v/>
      </c>
      <c r="AB3412" s="0" t="str">
        <f aca="false">IF(W3412=1,"",IF(AND(X3412=1,Z3412&lt;&gt;1),1,0))</f>
        <v/>
      </c>
      <c r="AC3412" s="0" t="str">
        <f aca="false">IF(W3412=1,"",IF(AND(Y3412=1,AA3412&lt;&gt;1),1,0))</f>
        <v/>
      </c>
      <c r="AD3412" s="33" t="str">
        <f aca="false">IF(AND(E3412&gt;0,W3412&lt;1,NOT(AND(C3413=C3412,W3413=W3412+1))),INDEX(DATAS,W3412+1),"")</f>
        <v/>
      </c>
      <c r="AE3412" s="33" t="str">
        <f aca="false">IF(AND(Y3412=1,W3412&lt;1),IF(AND(C3413=C3412,W3413=W3412+1),IF(Y3413=1,"",INDEX(DATAS,W3412+1)),INDEX(DATAS,W3412+1)),"")</f>
        <v/>
      </c>
    </row>
    <row r="3413" customFormat="false" ht="15" hidden="false" customHeight="false" outlineLevel="0" collapsed="false">
      <c r="A3413" s="33" t="n">
        <v>46309</v>
      </c>
      <c r="B3413" s="0" t="n">
        <v>13</v>
      </c>
      <c r="C3413" s="0" t="n">
        <v>7852</v>
      </c>
      <c r="E3413" s="0" t="n">
        <v>0</v>
      </c>
      <c r="F3413" s="27" t="s">
        <v>1575</v>
      </c>
      <c r="I3413" s="27" t="s">
        <v>166</v>
      </c>
      <c r="U3413" s="0" t="n">
        <v>114</v>
      </c>
      <c r="V3413" s="0" t="n">
        <v>0</v>
      </c>
      <c r="W3413" s="27" t="n">
        <f aca="false">MATCH(A3413,DATAS,0)</f>
        <v>1</v>
      </c>
      <c r="X3413" s="27" t="n">
        <f aca="false">IF(AND(E3413&gt;0,OR(AND(B3413&gt;=1,B3413&lt;=6),B3413=10)),1,0)</f>
        <v>0</v>
      </c>
      <c r="Y3413" s="27" t="n">
        <f aca="false">IF(AND(E3413&gt;0,B3413=10),1,0)</f>
        <v>0</v>
      </c>
      <c r="Z3413" s="0" t="str">
        <f aca="false">IF(AND(C3412=C3413,W3412=W3413-1),X3412,"")</f>
        <v/>
      </c>
      <c r="AA3413" s="0" t="str">
        <f aca="false">IF(AND(C3412=C3413,W3412=W3413-1),Y3412,"")</f>
        <v/>
      </c>
      <c r="AB3413" s="0" t="str">
        <f aca="false">IF(W3413=1,"",IF(AND(X3413=1,Z3413&lt;&gt;1),1,0))</f>
        <v/>
      </c>
      <c r="AC3413" s="0" t="str">
        <f aca="false">IF(W3413=1,"",IF(AND(Y3413=1,AA3413&lt;&gt;1),1,0))</f>
        <v/>
      </c>
      <c r="AD3413" s="33" t="str">
        <f aca="false">IF(AND(E3413&gt;0,W3413&lt;1,NOT(AND(C3414=C3413,W3414=W3413+1))),INDEX(DATAS,W3413+1),"")</f>
        <v/>
      </c>
      <c r="AE3413" s="33" t="str">
        <f aca="false">IF(AND(Y3413=1,W3413&lt;1),IF(AND(C3414=C3413,W3414=W3413+1),IF(Y3414=1,"",INDEX(DATAS,W3413+1)),INDEX(DATAS,W3413+1)),"")</f>
        <v/>
      </c>
    </row>
    <row r="3414" customFormat="false" ht="15" hidden="false" customHeight="false" outlineLevel="0" collapsed="false">
      <c r="A3414" s="33" t="n">
        <v>46309</v>
      </c>
      <c r="B3414" s="0" t="n">
        <v>13</v>
      </c>
      <c r="C3414" s="0" t="n">
        <v>7853</v>
      </c>
      <c r="E3414" s="0" t="n">
        <v>0</v>
      </c>
      <c r="F3414" s="27" t="s">
        <v>1575</v>
      </c>
      <c r="I3414" s="27" t="s">
        <v>166</v>
      </c>
      <c r="U3414" s="0" t="n">
        <v>114</v>
      </c>
      <c r="V3414" s="0" t="n">
        <v>0</v>
      </c>
      <c r="W3414" s="27" t="n">
        <f aca="false">MATCH(A3414,DATAS,0)</f>
        <v>1</v>
      </c>
      <c r="X3414" s="27" t="n">
        <f aca="false">IF(AND(E3414&gt;0,OR(AND(B3414&gt;=1,B3414&lt;=6),B3414=10)),1,0)</f>
        <v>0</v>
      </c>
      <c r="Y3414" s="27" t="n">
        <f aca="false">IF(AND(E3414&gt;0,B3414=10),1,0)</f>
        <v>0</v>
      </c>
      <c r="Z3414" s="0" t="str">
        <f aca="false">IF(AND(C3413=C3414,W3413=W3414-1),X3413,"")</f>
        <v/>
      </c>
      <c r="AA3414" s="0" t="str">
        <f aca="false">IF(AND(C3413=C3414,W3413=W3414-1),Y3413,"")</f>
        <v/>
      </c>
      <c r="AB3414" s="0" t="str">
        <f aca="false">IF(W3414=1,"",IF(AND(X3414=1,Z3414&lt;&gt;1),1,0))</f>
        <v/>
      </c>
      <c r="AC3414" s="0" t="str">
        <f aca="false">IF(W3414=1,"",IF(AND(Y3414=1,AA3414&lt;&gt;1),1,0))</f>
        <v/>
      </c>
      <c r="AD3414" s="33" t="str">
        <f aca="false">IF(AND(E3414&gt;0,W3414&lt;1,NOT(AND(C3415=C3414,W3415=W3414+1))),INDEX(DATAS,W3414+1),"")</f>
        <v/>
      </c>
      <c r="AE3414" s="33" t="str">
        <f aca="false">IF(AND(Y3414=1,W3414&lt;1),IF(AND(C3415=C3414,W3415=W3414+1),IF(Y3415=1,"",INDEX(DATAS,W3414+1)),INDEX(DATAS,W3414+1)),"")</f>
        <v/>
      </c>
    </row>
    <row r="3415" customFormat="false" ht="15" hidden="false" customHeight="false" outlineLevel="0" collapsed="false">
      <c r="A3415" s="33" t="n">
        <v>46309</v>
      </c>
      <c r="B3415" s="0" t="n">
        <v>13</v>
      </c>
      <c r="C3415" s="0" t="n">
        <v>7854</v>
      </c>
      <c r="E3415" s="0" t="n">
        <v>0</v>
      </c>
      <c r="F3415" s="27" t="s">
        <v>1580</v>
      </c>
      <c r="I3415" s="27" t="s">
        <v>166</v>
      </c>
      <c r="U3415" s="0" t="n">
        <v>113</v>
      </c>
      <c r="V3415" s="0" t="n">
        <v>0</v>
      </c>
      <c r="W3415" s="27" t="n">
        <f aca="false">MATCH(A3415,DATAS,0)</f>
        <v>1</v>
      </c>
      <c r="X3415" s="27" t="n">
        <f aca="false">IF(AND(E3415&gt;0,OR(AND(B3415&gt;=1,B3415&lt;=6),B3415=10)),1,0)</f>
        <v>0</v>
      </c>
      <c r="Y3415" s="27" t="n">
        <f aca="false">IF(AND(E3415&gt;0,B3415=10),1,0)</f>
        <v>0</v>
      </c>
      <c r="Z3415" s="0" t="str">
        <f aca="false">IF(AND(C3414=C3415,W3414=W3415-1),X3414,"")</f>
        <v/>
      </c>
      <c r="AA3415" s="0" t="str">
        <f aca="false">IF(AND(C3414=C3415,W3414=W3415-1),Y3414,"")</f>
        <v/>
      </c>
      <c r="AB3415" s="0" t="str">
        <f aca="false">IF(W3415=1,"",IF(AND(X3415=1,Z3415&lt;&gt;1),1,0))</f>
        <v/>
      </c>
      <c r="AC3415" s="0" t="str">
        <f aca="false">IF(W3415=1,"",IF(AND(Y3415=1,AA3415&lt;&gt;1),1,0))</f>
        <v/>
      </c>
      <c r="AD3415" s="33" t="str">
        <f aca="false">IF(AND(E3415&gt;0,W3415&lt;1,NOT(AND(C3416=C3415,W3416=W3415+1))),INDEX(DATAS,W3415+1),"")</f>
        <v/>
      </c>
      <c r="AE3415" s="33" t="str">
        <f aca="false">IF(AND(Y3415=1,W3415&lt;1),IF(AND(C3416=C3415,W3416=W3415+1),IF(Y3416=1,"",INDEX(DATAS,W3415+1)),INDEX(DATAS,W3415+1)),"")</f>
        <v/>
      </c>
    </row>
    <row r="3416" customFormat="false" ht="15" hidden="false" customHeight="false" outlineLevel="0" collapsed="false">
      <c r="A3416" s="33" t="n">
        <v>46309</v>
      </c>
      <c r="B3416" s="0" t="n">
        <v>13</v>
      </c>
      <c r="C3416" s="0" t="n">
        <v>7855</v>
      </c>
      <c r="E3416" s="0" t="n">
        <v>0</v>
      </c>
      <c r="F3416" s="27" t="s">
        <v>1580</v>
      </c>
      <c r="I3416" s="27" t="s">
        <v>166</v>
      </c>
      <c r="U3416" s="0" t="n">
        <v>113</v>
      </c>
      <c r="V3416" s="0" t="n">
        <v>0</v>
      </c>
      <c r="W3416" s="27" t="n">
        <f aca="false">MATCH(A3416,DATAS,0)</f>
        <v>1</v>
      </c>
      <c r="X3416" s="27" t="n">
        <f aca="false">IF(AND(E3416&gt;0,OR(AND(B3416&gt;=1,B3416&lt;=6),B3416=10)),1,0)</f>
        <v>0</v>
      </c>
      <c r="Y3416" s="27" t="n">
        <f aca="false">IF(AND(E3416&gt;0,B3416=10),1,0)</f>
        <v>0</v>
      </c>
      <c r="Z3416" s="0" t="str">
        <f aca="false">IF(AND(C3415=C3416,W3415=W3416-1),X3415,"")</f>
        <v/>
      </c>
      <c r="AA3416" s="0" t="str">
        <f aca="false">IF(AND(C3415=C3416,W3415=W3416-1),Y3415,"")</f>
        <v/>
      </c>
      <c r="AB3416" s="0" t="str">
        <f aca="false">IF(W3416=1,"",IF(AND(X3416=1,Z3416&lt;&gt;1),1,0))</f>
        <v/>
      </c>
      <c r="AC3416" s="0" t="str">
        <f aca="false">IF(W3416=1,"",IF(AND(Y3416=1,AA3416&lt;&gt;1),1,0))</f>
        <v/>
      </c>
      <c r="AD3416" s="33" t="str">
        <f aca="false">IF(AND(E3416&gt;0,W3416&lt;1,NOT(AND(C3417=C3416,W3417=W3416+1))),INDEX(DATAS,W3416+1),"")</f>
        <v/>
      </c>
      <c r="AE3416" s="33" t="str">
        <f aca="false">IF(AND(Y3416=1,W3416&lt;1),IF(AND(C3417=C3416,W3417=W3416+1),IF(Y3417=1,"",INDEX(DATAS,W3416+1)),INDEX(DATAS,W3416+1)),"")</f>
        <v/>
      </c>
    </row>
    <row r="3417" customFormat="false" ht="15" hidden="false" customHeight="false" outlineLevel="0" collapsed="false">
      <c r="A3417" s="33" t="n">
        <v>46309</v>
      </c>
      <c r="B3417" s="0" t="n">
        <v>13</v>
      </c>
      <c r="C3417" s="0" t="n">
        <v>7856</v>
      </c>
      <c r="E3417" s="0" t="n">
        <v>0</v>
      </c>
      <c r="F3417" s="27" t="s">
        <v>1580</v>
      </c>
      <c r="I3417" s="27" t="s">
        <v>166</v>
      </c>
      <c r="U3417" s="0" t="n">
        <v>113</v>
      </c>
      <c r="V3417" s="0" t="n">
        <v>0</v>
      </c>
      <c r="W3417" s="27" t="n">
        <f aca="false">MATCH(A3417,DATAS,0)</f>
        <v>1</v>
      </c>
      <c r="X3417" s="27" t="n">
        <f aca="false">IF(AND(E3417&gt;0,OR(AND(B3417&gt;=1,B3417&lt;=6),B3417=10)),1,0)</f>
        <v>0</v>
      </c>
      <c r="Y3417" s="27" t="n">
        <f aca="false">IF(AND(E3417&gt;0,B3417=10),1,0)</f>
        <v>0</v>
      </c>
      <c r="Z3417" s="0" t="str">
        <f aca="false">IF(AND(C3416=C3417,W3416=W3417-1),X3416,"")</f>
        <v/>
      </c>
      <c r="AA3417" s="0" t="str">
        <f aca="false">IF(AND(C3416=C3417,W3416=W3417-1),Y3416,"")</f>
        <v/>
      </c>
      <c r="AB3417" s="0" t="str">
        <f aca="false">IF(W3417=1,"",IF(AND(X3417=1,Z3417&lt;&gt;1),1,0))</f>
        <v/>
      </c>
      <c r="AC3417" s="0" t="str">
        <f aca="false">IF(W3417=1,"",IF(AND(Y3417=1,AA3417&lt;&gt;1),1,0))</f>
        <v/>
      </c>
      <c r="AD3417" s="33" t="str">
        <f aca="false">IF(AND(E3417&gt;0,W3417&lt;1,NOT(AND(C3418=C3417,W3418=W3417+1))),INDEX(DATAS,W3417+1),"")</f>
        <v/>
      </c>
      <c r="AE3417" s="33" t="str">
        <f aca="false">IF(AND(Y3417=1,W3417&lt;1),IF(AND(C3418=C3417,W3418=W3417+1),IF(Y3418=1,"",INDEX(DATAS,W3417+1)),INDEX(DATAS,W3417+1)),"")</f>
        <v/>
      </c>
    </row>
    <row r="3418" customFormat="false" ht="15" hidden="false" customHeight="false" outlineLevel="0" collapsed="false">
      <c r="A3418" s="33" t="n">
        <v>46309</v>
      </c>
      <c r="B3418" s="0" t="n">
        <v>13</v>
      </c>
      <c r="C3418" s="0" t="n">
        <v>7857</v>
      </c>
      <c r="E3418" s="0" t="n">
        <v>0</v>
      </c>
      <c r="F3418" s="27" t="s">
        <v>1581</v>
      </c>
      <c r="I3418" s="27" t="s">
        <v>166</v>
      </c>
      <c r="U3418" s="0" t="n">
        <v>112</v>
      </c>
      <c r="V3418" s="0" t="n">
        <v>0</v>
      </c>
      <c r="W3418" s="27" t="n">
        <f aca="false">MATCH(A3418,DATAS,0)</f>
        <v>1</v>
      </c>
      <c r="X3418" s="27" t="n">
        <f aca="false">IF(AND(E3418&gt;0,OR(AND(B3418&gt;=1,B3418&lt;=6),B3418=10)),1,0)</f>
        <v>0</v>
      </c>
      <c r="Y3418" s="27" t="n">
        <f aca="false">IF(AND(E3418&gt;0,B3418=10),1,0)</f>
        <v>0</v>
      </c>
      <c r="Z3418" s="0" t="str">
        <f aca="false">IF(AND(C3417=C3418,W3417=W3418-1),X3417,"")</f>
        <v/>
      </c>
      <c r="AA3418" s="0" t="str">
        <f aca="false">IF(AND(C3417=C3418,W3417=W3418-1),Y3417,"")</f>
        <v/>
      </c>
      <c r="AB3418" s="0" t="str">
        <f aca="false">IF(W3418=1,"",IF(AND(X3418=1,Z3418&lt;&gt;1),1,0))</f>
        <v/>
      </c>
      <c r="AC3418" s="0" t="str">
        <f aca="false">IF(W3418=1,"",IF(AND(Y3418=1,AA3418&lt;&gt;1),1,0))</f>
        <v/>
      </c>
      <c r="AD3418" s="33" t="str">
        <f aca="false">IF(AND(E3418&gt;0,W3418&lt;1,NOT(AND(C3419=C3418,W3419=W3418+1))),INDEX(DATAS,W3418+1),"")</f>
        <v/>
      </c>
      <c r="AE3418" s="33" t="str">
        <f aca="false">IF(AND(Y3418=1,W3418&lt;1),IF(AND(C3419=C3418,W3419=W3418+1),IF(Y3419=1,"",INDEX(DATAS,W3418+1)),INDEX(DATAS,W3418+1)),"")</f>
        <v/>
      </c>
    </row>
    <row r="3419" customFormat="false" ht="15" hidden="false" customHeight="false" outlineLevel="0" collapsed="false">
      <c r="A3419" s="33" t="n">
        <v>46309</v>
      </c>
      <c r="B3419" s="0" t="n">
        <v>13</v>
      </c>
      <c r="C3419" s="0" t="n">
        <v>7858</v>
      </c>
      <c r="E3419" s="0" t="n">
        <v>0</v>
      </c>
      <c r="F3419" s="27" t="s">
        <v>1581</v>
      </c>
      <c r="I3419" s="27" t="s">
        <v>166</v>
      </c>
      <c r="U3419" s="0" t="n">
        <v>112</v>
      </c>
      <c r="V3419" s="0" t="n">
        <v>0</v>
      </c>
      <c r="W3419" s="27" t="n">
        <f aca="false">MATCH(A3419,DATAS,0)</f>
        <v>1</v>
      </c>
      <c r="X3419" s="27" t="n">
        <f aca="false">IF(AND(E3419&gt;0,OR(AND(B3419&gt;=1,B3419&lt;=6),B3419=10)),1,0)</f>
        <v>0</v>
      </c>
      <c r="Y3419" s="27" t="n">
        <f aca="false">IF(AND(E3419&gt;0,B3419=10),1,0)</f>
        <v>0</v>
      </c>
      <c r="Z3419" s="0" t="str">
        <f aca="false">IF(AND(C3418=C3419,W3418=W3419-1),X3418,"")</f>
        <v/>
      </c>
      <c r="AA3419" s="0" t="str">
        <f aca="false">IF(AND(C3418=C3419,W3418=W3419-1),Y3418,"")</f>
        <v/>
      </c>
      <c r="AB3419" s="0" t="str">
        <f aca="false">IF(W3419=1,"",IF(AND(X3419=1,Z3419&lt;&gt;1),1,0))</f>
        <v/>
      </c>
      <c r="AC3419" s="0" t="str">
        <f aca="false">IF(W3419=1,"",IF(AND(Y3419=1,AA3419&lt;&gt;1),1,0))</f>
        <v/>
      </c>
      <c r="AD3419" s="33" t="str">
        <f aca="false">IF(AND(E3419&gt;0,W3419&lt;1,NOT(AND(C3420=C3419,W3420=W3419+1))),INDEX(DATAS,W3419+1),"")</f>
        <v/>
      </c>
      <c r="AE3419" s="33" t="str">
        <f aca="false">IF(AND(Y3419=1,W3419&lt;1),IF(AND(C3420=C3419,W3420=W3419+1),IF(Y3420=1,"",INDEX(DATAS,W3419+1)),INDEX(DATAS,W3419+1)),"")</f>
        <v/>
      </c>
    </row>
    <row r="3420" customFormat="false" ht="15" hidden="false" customHeight="false" outlineLevel="0" collapsed="false">
      <c r="A3420" s="33" t="n">
        <v>46309</v>
      </c>
      <c r="B3420" s="0" t="n">
        <v>13</v>
      </c>
      <c r="C3420" s="0" t="n">
        <v>7859</v>
      </c>
      <c r="E3420" s="0" t="n">
        <v>0</v>
      </c>
      <c r="F3420" s="27" t="s">
        <v>1581</v>
      </c>
      <c r="I3420" s="27" t="s">
        <v>166</v>
      </c>
      <c r="U3420" s="0" t="n">
        <v>112</v>
      </c>
      <c r="V3420" s="0" t="n">
        <v>0</v>
      </c>
      <c r="W3420" s="27" t="n">
        <f aca="false">MATCH(A3420,DATAS,0)</f>
        <v>1</v>
      </c>
      <c r="X3420" s="27" t="n">
        <f aca="false">IF(AND(E3420&gt;0,OR(AND(B3420&gt;=1,B3420&lt;=6),B3420=10)),1,0)</f>
        <v>0</v>
      </c>
      <c r="Y3420" s="27" t="n">
        <f aca="false">IF(AND(E3420&gt;0,B3420=10),1,0)</f>
        <v>0</v>
      </c>
      <c r="Z3420" s="0" t="str">
        <f aca="false">IF(AND(C3419=C3420,W3419=W3420-1),X3419,"")</f>
        <v/>
      </c>
      <c r="AA3420" s="0" t="str">
        <f aca="false">IF(AND(C3419=C3420,W3419=W3420-1),Y3419,"")</f>
        <v/>
      </c>
      <c r="AB3420" s="0" t="str">
        <f aca="false">IF(W3420=1,"",IF(AND(X3420=1,Z3420&lt;&gt;1),1,0))</f>
        <v/>
      </c>
      <c r="AC3420" s="0" t="str">
        <f aca="false">IF(W3420=1,"",IF(AND(Y3420=1,AA3420&lt;&gt;1),1,0))</f>
        <v/>
      </c>
      <c r="AD3420" s="33" t="str">
        <f aca="false">IF(AND(E3420&gt;0,W3420&lt;1,NOT(AND(C3421=C3420,W3421=W3420+1))),INDEX(DATAS,W3420+1),"")</f>
        <v/>
      </c>
      <c r="AE3420" s="33" t="str">
        <f aca="false">IF(AND(Y3420=1,W3420&lt;1),IF(AND(C3421=C3420,W3421=W3420+1),IF(Y3421=1,"",INDEX(DATAS,W3420+1)),INDEX(DATAS,W3420+1)),"")</f>
        <v/>
      </c>
    </row>
    <row r="3421" customFormat="false" ht="15" hidden="false" customHeight="false" outlineLevel="0" collapsed="false">
      <c r="A3421" s="33" t="n">
        <v>46309</v>
      </c>
      <c r="B3421" s="0" t="n">
        <v>13</v>
      </c>
      <c r="C3421" s="0" t="n">
        <v>7860</v>
      </c>
      <c r="E3421" s="0" t="n">
        <v>0</v>
      </c>
      <c r="F3421" s="27" t="s">
        <v>1581</v>
      </c>
      <c r="I3421" s="27" t="s">
        <v>166</v>
      </c>
      <c r="U3421" s="0" t="n">
        <v>112</v>
      </c>
      <c r="V3421" s="0" t="n">
        <v>0</v>
      </c>
      <c r="W3421" s="27" t="n">
        <f aca="false">MATCH(A3421,DATAS,0)</f>
        <v>1</v>
      </c>
      <c r="X3421" s="27" t="n">
        <f aca="false">IF(AND(E3421&gt;0,OR(AND(B3421&gt;=1,B3421&lt;=6),B3421=10)),1,0)</f>
        <v>0</v>
      </c>
      <c r="Y3421" s="27" t="n">
        <f aca="false">IF(AND(E3421&gt;0,B3421=10),1,0)</f>
        <v>0</v>
      </c>
      <c r="Z3421" s="0" t="str">
        <f aca="false">IF(AND(C3420=C3421,W3420=W3421-1),X3420,"")</f>
        <v/>
      </c>
      <c r="AA3421" s="0" t="str">
        <f aca="false">IF(AND(C3420=C3421,W3420=W3421-1),Y3420,"")</f>
        <v/>
      </c>
      <c r="AB3421" s="0" t="str">
        <f aca="false">IF(W3421=1,"",IF(AND(X3421=1,Z3421&lt;&gt;1),1,0))</f>
        <v/>
      </c>
      <c r="AC3421" s="0" t="str">
        <f aca="false">IF(W3421=1,"",IF(AND(Y3421=1,AA3421&lt;&gt;1),1,0))</f>
        <v/>
      </c>
      <c r="AD3421" s="33" t="str">
        <f aca="false">IF(AND(E3421&gt;0,W3421&lt;1,NOT(AND(C3422=C3421,W3422=W3421+1))),INDEX(DATAS,W3421+1),"")</f>
        <v/>
      </c>
      <c r="AE3421" s="33" t="str">
        <f aca="false">IF(AND(Y3421=1,W3421&lt;1),IF(AND(C3422=C3421,W3422=W3421+1),IF(Y3422=1,"",INDEX(DATAS,W3421+1)),INDEX(DATAS,W3421+1)),"")</f>
        <v/>
      </c>
    </row>
    <row r="3422" customFormat="false" ht="15" hidden="false" customHeight="false" outlineLevel="0" collapsed="false">
      <c r="A3422" s="33" t="n">
        <v>46309</v>
      </c>
      <c r="B3422" s="0" t="n">
        <v>13</v>
      </c>
      <c r="C3422" s="0" t="n">
        <v>7861</v>
      </c>
      <c r="E3422" s="0" t="n">
        <v>0</v>
      </c>
      <c r="F3422" s="27" t="s">
        <v>1582</v>
      </c>
      <c r="I3422" s="27" t="s">
        <v>166</v>
      </c>
      <c r="U3422" s="0" t="n">
        <v>111</v>
      </c>
      <c r="V3422" s="0" t="n">
        <v>0</v>
      </c>
      <c r="W3422" s="27" t="n">
        <f aca="false">MATCH(A3422,DATAS,0)</f>
        <v>1</v>
      </c>
      <c r="X3422" s="27" t="n">
        <f aca="false">IF(AND(E3422&gt;0,OR(AND(B3422&gt;=1,B3422&lt;=6),B3422=10)),1,0)</f>
        <v>0</v>
      </c>
      <c r="Y3422" s="27" t="n">
        <f aca="false">IF(AND(E3422&gt;0,B3422=10),1,0)</f>
        <v>0</v>
      </c>
      <c r="Z3422" s="0" t="str">
        <f aca="false">IF(AND(C3421=C3422,W3421=W3422-1),X3421,"")</f>
        <v/>
      </c>
      <c r="AA3422" s="0" t="str">
        <f aca="false">IF(AND(C3421=C3422,W3421=W3422-1),Y3421,"")</f>
        <v/>
      </c>
      <c r="AB3422" s="0" t="str">
        <f aca="false">IF(W3422=1,"",IF(AND(X3422=1,Z3422&lt;&gt;1),1,0))</f>
        <v/>
      </c>
      <c r="AC3422" s="0" t="str">
        <f aca="false">IF(W3422=1,"",IF(AND(Y3422=1,AA3422&lt;&gt;1),1,0))</f>
        <v/>
      </c>
      <c r="AD3422" s="33" t="str">
        <f aca="false">IF(AND(E3422&gt;0,W3422&lt;1,NOT(AND(C3423=C3422,W3423=W3422+1))),INDEX(DATAS,W3422+1),"")</f>
        <v/>
      </c>
      <c r="AE3422" s="33" t="str">
        <f aca="false">IF(AND(Y3422=1,W3422&lt;1),IF(AND(C3423=C3422,W3423=W3422+1),IF(Y3423=1,"",INDEX(DATAS,W3422+1)),INDEX(DATAS,W3422+1)),"")</f>
        <v/>
      </c>
    </row>
    <row r="3423" customFormat="false" ht="15" hidden="false" customHeight="false" outlineLevel="0" collapsed="false">
      <c r="A3423" s="33" t="n">
        <v>46309</v>
      </c>
      <c r="B3423" s="0" t="n">
        <v>13</v>
      </c>
      <c r="C3423" s="0" t="n">
        <v>7862</v>
      </c>
      <c r="E3423" s="0" t="n">
        <v>0</v>
      </c>
      <c r="F3423" s="27" t="s">
        <v>1582</v>
      </c>
      <c r="I3423" s="27" t="s">
        <v>166</v>
      </c>
      <c r="U3423" s="0" t="n">
        <v>111</v>
      </c>
      <c r="V3423" s="0" t="n">
        <v>0</v>
      </c>
      <c r="W3423" s="27" t="n">
        <f aca="false">MATCH(A3423,DATAS,0)</f>
        <v>1</v>
      </c>
      <c r="X3423" s="27" t="n">
        <f aca="false">IF(AND(E3423&gt;0,OR(AND(B3423&gt;=1,B3423&lt;=6),B3423=10)),1,0)</f>
        <v>0</v>
      </c>
      <c r="Y3423" s="27" t="n">
        <f aca="false">IF(AND(E3423&gt;0,B3423=10),1,0)</f>
        <v>0</v>
      </c>
      <c r="Z3423" s="0" t="str">
        <f aca="false">IF(AND(C3422=C3423,W3422=W3423-1),X3422,"")</f>
        <v/>
      </c>
      <c r="AA3423" s="0" t="str">
        <f aca="false">IF(AND(C3422=C3423,W3422=W3423-1),Y3422,"")</f>
        <v/>
      </c>
      <c r="AB3423" s="0" t="str">
        <f aca="false">IF(W3423=1,"",IF(AND(X3423=1,Z3423&lt;&gt;1),1,0))</f>
        <v/>
      </c>
      <c r="AC3423" s="0" t="str">
        <f aca="false">IF(W3423=1,"",IF(AND(Y3423=1,AA3423&lt;&gt;1),1,0))</f>
        <v/>
      </c>
      <c r="AD3423" s="33" t="str">
        <f aca="false">IF(AND(E3423&gt;0,W3423&lt;1,NOT(AND(C3424=C3423,W3424=W3423+1))),INDEX(DATAS,W3423+1),"")</f>
        <v/>
      </c>
      <c r="AE3423" s="33" t="str">
        <f aca="false">IF(AND(Y3423=1,W3423&lt;1),IF(AND(C3424=C3423,W3424=W3423+1),IF(Y3424=1,"",INDEX(DATAS,W3423+1)),INDEX(DATAS,W3423+1)),"")</f>
        <v/>
      </c>
    </row>
    <row r="3424" customFormat="false" ht="15" hidden="false" customHeight="false" outlineLevel="0" collapsed="false">
      <c r="A3424" s="33" t="n">
        <v>46309</v>
      </c>
      <c r="B3424" s="0" t="n">
        <v>13</v>
      </c>
      <c r="C3424" s="0" t="n">
        <v>7863</v>
      </c>
      <c r="E3424" s="0" t="n">
        <v>0</v>
      </c>
      <c r="F3424" s="27" t="s">
        <v>1582</v>
      </c>
      <c r="I3424" s="27" t="s">
        <v>166</v>
      </c>
      <c r="U3424" s="0" t="n">
        <v>111</v>
      </c>
      <c r="V3424" s="0" t="n">
        <v>0</v>
      </c>
      <c r="W3424" s="27" t="n">
        <f aca="false">MATCH(A3424,DATAS,0)</f>
        <v>1</v>
      </c>
      <c r="X3424" s="27" t="n">
        <f aca="false">IF(AND(E3424&gt;0,OR(AND(B3424&gt;=1,B3424&lt;=6),B3424=10)),1,0)</f>
        <v>0</v>
      </c>
      <c r="Y3424" s="27" t="n">
        <f aca="false">IF(AND(E3424&gt;0,B3424=10),1,0)</f>
        <v>0</v>
      </c>
      <c r="Z3424" s="0" t="str">
        <f aca="false">IF(AND(C3423=C3424,W3423=W3424-1),X3423,"")</f>
        <v/>
      </c>
      <c r="AA3424" s="0" t="str">
        <f aca="false">IF(AND(C3423=C3424,W3423=W3424-1),Y3423,"")</f>
        <v/>
      </c>
      <c r="AB3424" s="0" t="str">
        <f aca="false">IF(W3424=1,"",IF(AND(X3424=1,Z3424&lt;&gt;1),1,0))</f>
        <v/>
      </c>
      <c r="AC3424" s="0" t="str">
        <f aca="false">IF(W3424=1,"",IF(AND(Y3424=1,AA3424&lt;&gt;1),1,0))</f>
        <v/>
      </c>
      <c r="AD3424" s="33" t="str">
        <f aca="false">IF(AND(E3424&gt;0,W3424&lt;1,NOT(AND(C3425=C3424,W3425=W3424+1))),INDEX(DATAS,W3424+1),"")</f>
        <v/>
      </c>
      <c r="AE3424" s="33" t="str">
        <f aca="false">IF(AND(Y3424=1,W3424&lt;1),IF(AND(C3425=C3424,W3425=W3424+1),IF(Y3425=1,"",INDEX(DATAS,W3424+1)),INDEX(DATAS,W3424+1)),"")</f>
        <v/>
      </c>
    </row>
    <row r="3425" customFormat="false" ht="15" hidden="false" customHeight="false" outlineLevel="0" collapsed="false">
      <c r="A3425" s="33" t="n">
        <v>46309</v>
      </c>
      <c r="B3425" s="0" t="n">
        <v>13</v>
      </c>
      <c r="C3425" s="0" t="n">
        <v>7864</v>
      </c>
      <c r="E3425" s="0" t="n">
        <v>0</v>
      </c>
      <c r="F3425" s="27" t="s">
        <v>1582</v>
      </c>
      <c r="I3425" s="27" t="s">
        <v>166</v>
      </c>
      <c r="U3425" s="0" t="n">
        <v>111</v>
      </c>
      <c r="V3425" s="0" t="n">
        <v>0</v>
      </c>
      <c r="W3425" s="27" t="n">
        <f aca="false">MATCH(A3425,DATAS,0)</f>
        <v>1</v>
      </c>
      <c r="X3425" s="27" t="n">
        <f aca="false">IF(AND(E3425&gt;0,OR(AND(B3425&gt;=1,B3425&lt;=6),B3425=10)),1,0)</f>
        <v>0</v>
      </c>
      <c r="Y3425" s="27" t="n">
        <f aca="false">IF(AND(E3425&gt;0,B3425=10),1,0)</f>
        <v>0</v>
      </c>
      <c r="Z3425" s="0" t="str">
        <f aca="false">IF(AND(C3424=C3425,W3424=W3425-1),X3424,"")</f>
        <v/>
      </c>
      <c r="AA3425" s="0" t="str">
        <f aca="false">IF(AND(C3424=C3425,W3424=W3425-1),Y3424,"")</f>
        <v/>
      </c>
      <c r="AB3425" s="0" t="str">
        <f aca="false">IF(W3425=1,"",IF(AND(X3425=1,Z3425&lt;&gt;1),1,0))</f>
        <v/>
      </c>
      <c r="AC3425" s="0" t="str">
        <f aca="false">IF(W3425=1,"",IF(AND(Y3425=1,AA3425&lt;&gt;1),1,0))</f>
        <v/>
      </c>
      <c r="AD3425" s="33" t="str">
        <f aca="false">IF(AND(E3425&gt;0,W3425&lt;1,NOT(AND(C3426=C3425,W3426=W3425+1))),INDEX(DATAS,W3425+1),"")</f>
        <v/>
      </c>
      <c r="AE3425" s="33" t="str">
        <f aca="false">IF(AND(Y3425=1,W3425&lt;1),IF(AND(C3426=C3425,W3426=W3425+1),IF(Y3426=1,"",INDEX(DATAS,W3425+1)),INDEX(DATAS,W3425+1)),"")</f>
        <v/>
      </c>
    </row>
    <row r="3426" customFormat="false" ht="15" hidden="false" customHeight="false" outlineLevel="0" collapsed="false">
      <c r="A3426" s="33" t="n">
        <v>46309</v>
      </c>
      <c r="B3426" s="0" t="n">
        <v>13</v>
      </c>
      <c r="C3426" s="0" t="n">
        <v>7865</v>
      </c>
      <c r="E3426" s="0" t="n">
        <v>0</v>
      </c>
      <c r="F3426" s="27" t="s">
        <v>1582</v>
      </c>
      <c r="I3426" s="27" t="s">
        <v>166</v>
      </c>
      <c r="U3426" s="0" t="n">
        <v>111</v>
      </c>
      <c r="V3426" s="0" t="n">
        <v>0</v>
      </c>
      <c r="W3426" s="27" t="n">
        <f aca="false">MATCH(A3426,DATAS,0)</f>
        <v>1</v>
      </c>
      <c r="X3426" s="27" t="n">
        <f aca="false">IF(AND(E3426&gt;0,OR(AND(B3426&gt;=1,B3426&lt;=6),B3426=10)),1,0)</f>
        <v>0</v>
      </c>
      <c r="Y3426" s="27" t="n">
        <f aca="false">IF(AND(E3426&gt;0,B3426=10),1,0)</f>
        <v>0</v>
      </c>
      <c r="Z3426" s="0" t="str">
        <f aca="false">IF(AND(C3425=C3426,W3425=W3426-1),X3425,"")</f>
        <v/>
      </c>
      <c r="AA3426" s="0" t="str">
        <f aca="false">IF(AND(C3425=C3426,W3425=W3426-1),Y3425,"")</f>
        <v/>
      </c>
      <c r="AB3426" s="0" t="str">
        <f aca="false">IF(W3426=1,"",IF(AND(X3426=1,Z3426&lt;&gt;1),1,0))</f>
        <v/>
      </c>
      <c r="AC3426" s="0" t="str">
        <f aca="false">IF(W3426=1,"",IF(AND(Y3426=1,AA3426&lt;&gt;1),1,0))</f>
        <v/>
      </c>
      <c r="AD3426" s="33" t="str">
        <f aca="false">IF(AND(E3426&gt;0,W3426&lt;1,NOT(AND(C3427=C3426,W3427=W3426+1))),INDEX(DATAS,W3426+1),"")</f>
        <v/>
      </c>
      <c r="AE3426" s="33" t="str">
        <f aca="false">IF(AND(Y3426=1,W3426&lt;1),IF(AND(C3427=C3426,W3427=W3426+1),IF(Y3427=1,"",INDEX(DATAS,W3426+1)),INDEX(DATAS,W3426+1)),"")</f>
        <v/>
      </c>
    </row>
    <row r="3427" customFormat="false" ht="15" hidden="false" customHeight="false" outlineLevel="0" collapsed="false">
      <c r="A3427" s="33" t="n">
        <v>46309</v>
      </c>
      <c r="B3427" s="0" t="n">
        <v>13</v>
      </c>
      <c r="C3427" s="0" t="n">
        <v>7867</v>
      </c>
      <c r="E3427" s="0" t="n">
        <v>0</v>
      </c>
      <c r="F3427" s="27" t="s">
        <v>1582</v>
      </c>
      <c r="I3427" s="27" t="s">
        <v>166</v>
      </c>
      <c r="U3427" s="0" t="n">
        <v>111</v>
      </c>
      <c r="V3427" s="0" t="n">
        <v>0</v>
      </c>
      <c r="W3427" s="27" t="n">
        <f aca="false">MATCH(A3427,DATAS,0)</f>
        <v>1</v>
      </c>
      <c r="X3427" s="27" t="n">
        <f aca="false">IF(AND(E3427&gt;0,OR(AND(B3427&gt;=1,B3427&lt;=6),B3427=10)),1,0)</f>
        <v>0</v>
      </c>
      <c r="Y3427" s="27" t="n">
        <f aca="false">IF(AND(E3427&gt;0,B3427=10),1,0)</f>
        <v>0</v>
      </c>
      <c r="Z3427" s="0" t="str">
        <f aca="false">IF(AND(C3426=C3427,W3426=W3427-1),X3426,"")</f>
        <v/>
      </c>
      <c r="AA3427" s="0" t="str">
        <f aca="false">IF(AND(C3426=C3427,W3426=W3427-1),Y3426,"")</f>
        <v/>
      </c>
      <c r="AB3427" s="0" t="str">
        <f aca="false">IF(W3427=1,"",IF(AND(X3427=1,Z3427&lt;&gt;1),1,0))</f>
        <v/>
      </c>
      <c r="AC3427" s="0" t="str">
        <f aca="false">IF(W3427=1,"",IF(AND(Y3427=1,AA3427&lt;&gt;1),1,0))</f>
        <v/>
      </c>
      <c r="AD3427" s="33" t="str">
        <f aca="false">IF(AND(E3427&gt;0,W3427&lt;1,NOT(AND(C3428=C3427,W3428=W3427+1))),INDEX(DATAS,W3427+1),"")</f>
        <v/>
      </c>
      <c r="AE3427" s="33" t="str">
        <f aca="false">IF(AND(Y3427=1,W3427&lt;1),IF(AND(C3428=C3427,W3428=W3427+1),IF(Y3428=1,"",INDEX(DATAS,W3427+1)),INDEX(DATAS,W3427+1)),"")</f>
        <v/>
      </c>
    </row>
    <row r="3428" customFormat="false" ht="15" hidden="false" customHeight="false" outlineLevel="0" collapsed="false">
      <c r="A3428" s="33" t="n">
        <v>46309</v>
      </c>
      <c r="B3428" s="0" t="n">
        <v>13</v>
      </c>
      <c r="C3428" s="0" t="n">
        <v>7868</v>
      </c>
      <c r="E3428" s="0" t="n">
        <v>0</v>
      </c>
      <c r="F3428" s="27" t="s">
        <v>1583</v>
      </c>
      <c r="I3428" s="27" t="s">
        <v>166</v>
      </c>
      <c r="U3428" s="0" t="n">
        <v>110</v>
      </c>
      <c r="V3428" s="0" t="n">
        <v>0</v>
      </c>
      <c r="W3428" s="27" t="n">
        <f aca="false">MATCH(A3428,DATAS,0)</f>
        <v>1</v>
      </c>
      <c r="X3428" s="27" t="n">
        <f aca="false">IF(AND(E3428&gt;0,OR(AND(B3428&gt;=1,B3428&lt;=6),B3428=10)),1,0)</f>
        <v>0</v>
      </c>
      <c r="Y3428" s="27" t="n">
        <f aca="false">IF(AND(E3428&gt;0,B3428=10),1,0)</f>
        <v>0</v>
      </c>
      <c r="Z3428" s="0" t="str">
        <f aca="false">IF(AND(C3427=C3428,W3427=W3428-1),X3427,"")</f>
        <v/>
      </c>
      <c r="AA3428" s="0" t="str">
        <f aca="false">IF(AND(C3427=C3428,W3427=W3428-1),Y3427,"")</f>
        <v/>
      </c>
      <c r="AB3428" s="0" t="str">
        <f aca="false">IF(W3428=1,"",IF(AND(X3428=1,Z3428&lt;&gt;1),1,0))</f>
        <v/>
      </c>
      <c r="AC3428" s="0" t="str">
        <f aca="false">IF(W3428=1,"",IF(AND(Y3428=1,AA3428&lt;&gt;1),1,0))</f>
        <v/>
      </c>
      <c r="AD3428" s="33" t="str">
        <f aca="false">IF(AND(E3428&gt;0,W3428&lt;1,NOT(AND(C3429=C3428,W3429=W3428+1))),INDEX(DATAS,W3428+1),"")</f>
        <v/>
      </c>
      <c r="AE3428" s="33" t="str">
        <f aca="false">IF(AND(Y3428=1,W3428&lt;1),IF(AND(C3429=C3428,W3429=W3428+1),IF(Y3429=1,"",INDEX(DATAS,W3428+1)),INDEX(DATAS,W3428+1)),"")</f>
        <v/>
      </c>
    </row>
    <row r="3429" customFormat="false" ht="15" hidden="false" customHeight="false" outlineLevel="0" collapsed="false">
      <c r="A3429" s="33" t="n">
        <v>46309</v>
      </c>
      <c r="B3429" s="0" t="n">
        <v>13</v>
      </c>
      <c r="C3429" s="0" t="n">
        <v>7869</v>
      </c>
      <c r="E3429" s="0" t="n">
        <v>0</v>
      </c>
      <c r="F3429" s="27" t="s">
        <v>1583</v>
      </c>
      <c r="I3429" s="27" t="s">
        <v>166</v>
      </c>
      <c r="U3429" s="0" t="n">
        <v>110</v>
      </c>
      <c r="V3429" s="0" t="n">
        <v>0</v>
      </c>
      <c r="W3429" s="27" t="n">
        <f aca="false">MATCH(A3429,DATAS,0)</f>
        <v>1</v>
      </c>
      <c r="X3429" s="27" t="n">
        <f aca="false">IF(AND(E3429&gt;0,OR(AND(B3429&gt;=1,B3429&lt;=6),B3429=10)),1,0)</f>
        <v>0</v>
      </c>
      <c r="Y3429" s="27" t="n">
        <f aca="false">IF(AND(E3429&gt;0,B3429=10),1,0)</f>
        <v>0</v>
      </c>
      <c r="Z3429" s="0" t="str">
        <f aca="false">IF(AND(C3428=C3429,W3428=W3429-1),X3428,"")</f>
        <v/>
      </c>
      <c r="AA3429" s="0" t="str">
        <f aca="false">IF(AND(C3428=C3429,W3428=W3429-1),Y3428,"")</f>
        <v/>
      </c>
      <c r="AB3429" s="0" t="str">
        <f aca="false">IF(W3429=1,"",IF(AND(X3429=1,Z3429&lt;&gt;1),1,0))</f>
        <v/>
      </c>
      <c r="AC3429" s="0" t="str">
        <f aca="false">IF(W3429=1,"",IF(AND(Y3429=1,AA3429&lt;&gt;1),1,0))</f>
        <v/>
      </c>
      <c r="AD3429" s="33" t="str">
        <f aca="false">IF(AND(E3429&gt;0,W3429&lt;1,NOT(AND(C3430=C3429,W3430=W3429+1))),INDEX(DATAS,W3429+1),"")</f>
        <v/>
      </c>
      <c r="AE3429" s="33" t="str">
        <f aca="false">IF(AND(Y3429=1,W3429&lt;1),IF(AND(C3430=C3429,W3430=W3429+1),IF(Y3430=1,"",INDEX(DATAS,W3429+1)),INDEX(DATAS,W3429+1)),"")</f>
        <v/>
      </c>
    </row>
    <row r="3430" customFormat="false" ht="15" hidden="false" customHeight="false" outlineLevel="0" collapsed="false">
      <c r="A3430" s="33" t="n">
        <v>46309</v>
      </c>
      <c r="B3430" s="0" t="n">
        <v>13</v>
      </c>
      <c r="C3430" s="0" t="n">
        <v>7870</v>
      </c>
      <c r="E3430" s="0" t="n">
        <v>0</v>
      </c>
      <c r="F3430" s="27" t="s">
        <v>1583</v>
      </c>
      <c r="I3430" s="27" t="s">
        <v>166</v>
      </c>
      <c r="U3430" s="0" t="n">
        <v>110</v>
      </c>
      <c r="V3430" s="0" t="n">
        <v>0</v>
      </c>
      <c r="W3430" s="27" t="n">
        <f aca="false">MATCH(A3430,DATAS,0)</f>
        <v>1</v>
      </c>
      <c r="X3430" s="27" t="n">
        <f aca="false">IF(AND(E3430&gt;0,OR(AND(B3430&gt;=1,B3430&lt;=6),B3430=10)),1,0)</f>
        <v>0</v>
      </c>
      <c r="Y3430" s="27" t="n">
        <f aca="false">IF(AND(E3430&gt;0,B3430=10),1,0)</f>
        <v>0</v>
      </c>
      <c r="Z3430" s="0" t="str">
        <f aca="false">IF(AND(C3429=C3430,W3429=W3430-1),X3429,"")</f>
        <v/>
      </c>
      <c r="AA3430" s="0" t="str">
        <f aca="false">IF(AND(C3429=C3430,W3429=W3430-1),Y3429,"")</f>
        <v/>
      </c>
      <c r="AB3430" s="0" t="str">
        <f aca="false">IF(W3430=1,"",IF(AND(X3430=1,Z3430&lt;&gt;1),1,0))</f>
        <v/>
      </c>
      <c r="AC3430" s="0" t="str">
        <f aca="false">IF(W3430=1,"",IF(AND(Y3430=1,AA3430&lt;&gt;1),1,0))</f>
        <v/>
      </c>
      <c r="AD3430" s="33" t="str">
        <f aca="false">IF(AND(E3430&gt;0,W3430&lt;1,NOT(AND(C3431=C3430,W3431=W3430+1))),INDEX(DATAS,W3430+1),"")</f>
        <v/>
      </c>
      <c r="AE3430" s="33" t="str">
        <f aca="false">IF(AND(Y3430=1,W3430&lt;1),IF(AND(C3431=C3430,W3431=W3430+1),IF(Y3431=1,"",INDEX(DATAS,W3430+1)),INDEX(DATAS,W3430+1)),"")</f>
        <v/>
      </c>
    </row>
    <row r="3431" customFormat="false" ht="15" hidden="false" customHeight="false" outlineLevel="0" collapsed="false">
      <c r="A3431" s="33" t="n">
        <v>46309</v>
      </c>
      <c r="B3431" s="0" t="n">
        <v>13</v>
      </c>
      <c r="C3431" s="0" t="n">
        <v>7871</v>
      </c>
      <c r="E3431" s="0" t="n">
        <v>0</v>
      </c>
      <c r="F3431" s="27" t="s">
        <v>1583</v>
      </c>
      <c r="I3431" s="27" t="s">
        <v>166</v>
      </c>
      <c r="U3431" s="0" t="n">
        <v>110</v>
      </c>
      <c r="V3431" s="0" t="n">
        <v>0</v>
      </c>
      <c r="W3431" s="27" t="n">
        <f aca="false">MATCH(A3431,DATAS,0)</f>
        <v>1</v>
      </c>
      <c r="X3431" s="27" t="n">
        <f aca="false">IF(AND(E3431&gt;0,OR(AND(B3431&gt;=1,B3431&lt;=6),B3431=10)),1,0)</f>
        <v>0</v>
      </c>
      <c r="Y3431" s="27" t="n">
        <f aca="false">IF(AND(E3431&gt;0,B3431=10),1,0)</f>
        <v>0</v>
      </c>
      <c r="Z3431" s="0" t="str">
        <f aca="false">IF(AND(C3430=C3431,W3430=W3431-1),X3430,"")</f>
        <v/>
      </c>
      <c r="AA3431" s="0" t="str">
        <f aca="false">IF(AND(C3430=C3431,W3430=W3431-1),Y3430,"")</f>
        <v/>
      </c>
      <c r="AB3431" s="0" t="str">
        <f aca="false">IF(W3431=1,"",IF(AND(X3431=1,Z3431&lt;&gt;1),1,0))</f>
        <v/>
      </c>
      <c r="AC3431" s="0" t="str">
        <f aca="false">IF(W3431=1,"",IF(AND(Y3431=1,AA3431&lt;&gt;1),1,0))</f>
        <v/>
      </c>
      <c r="AD3431" s="33" t="str">
        <f aca="false">IF(AND(E3431&gt;0,W3431&lt;1,NOT(AND(C3432=C3431,W3432=W3431+1))),INDEX(DATAS,W3431+1),"")</f>
        <v/>
      </c>
      <c r="AE3431" s="33" t="str">
        <f aca="false">IF(AND(Y3431=1,W3431&lt;1),IF(AND(C3432=C3431,W3432=W3431+1),IF(Y3432=1,"",INDEX(DATAS,W3431+1)),INDEX(DATAS,W3431+1)),"")</f>
        <v/>
      </c>
    </row>
    <row r="3432" customFormat="false" ht="15" hidden="false" customHeight="false" outlineLevel="0" collapsed="false">
      <c r="A3432" s="33" t="n">
        <v>46309</v>
      </c>
      <c r="B3432" s="0" t="n">
        <v>13</v>
      </c>
      <c r="C3432" s="0" t="n">
        <v>7872</v>
      </c>
      <c r="E3432" s="0" t="n">
        <v>0</v>
      </c>
      <c r="F3432" s="27" t="s">
        <v>1584</v>
      </c>
      <c r="I3432" s="27" t="s">
        <v>166</v>
      </c>
      <c r="U3432" s="0" t="n">
        <v>109</v>
      </c>
      <c r="V3432" s="0" t="n">
        <v>0</v>
      </c>
      <c r="W3432" s="27" t="n">
        <f aca="false">MATCH(A3432,DATAS,0)</f>
        <v>1</v>
      </c>
      <c r="X3432" s="27" t="n">
        <f aca="false">IF(AND(E3432&gt;0,OR(AND(B3432&gt;=1,B3432&lt;=6),B3432=10)),1,0)</f>
        <v>0</v>
      </c>
      <c r="Y3432" s="27" t="n">
        <f aca="false">IF(AND(E3432&gt;0,B3432=10),1,0)</f>
        <v>0</v>
      </c>
      <c r="Z3432" s="0" t="str">
        <f aca="false">IF(AND(C3431=C3432,W3431=W3432-1),X3431,"")</f>
        <v/>
      </c>
      <c r="AA3432" s="0" t="str">
        <f aca="false">IF(AND(C3431=C3432,W3431=W3432-1),Y3431,"")</f>
        <v/>
      </c>
      <c r="AB3432" s="0" t="str">
        <f aca="false">IF(W3432=1,"",IF(AND(X3432=1,Z3432&lt;&gt;1),1,0))</f>
        <v/>
      </c>
      <c r="AC3432" s="0" t="str">
        <f aca="false">IF(W3432=1,"",IF(AND(Y3432=1,AA3432&lt;&gt;1),1,0))</f>
        <v/>
      </c>
      <c r="AD3432" s="33" t="str">
        <f aca="false">IF(AND(E3432&gt;0,W3432&lt;1,NOT(AND(C3433=C3432,W3433=W3432+1))),INDEX(DATAS,W3432+1),"")</f>
        <v/>
      </c>
      <c r="AE3432" s="33" t="str">
        <f aca="false">IF(AND(Y3432=1,W3432&lt;1),IF(AND(C3433=C3432,W3433=W3432+1),IF(Y3433=1,"",INDEX(DATAS,W3432+1)),INDEX(DATAS,W3432+1)),"")</f>
        <v/>
      </c>
    </row>
    <row r="3433" customFormat="false" ht="15" hidden="false" customHeight="false" outlineLevel="0" collapsed="false">
      <c r="A3433" s="33" t="n">
        <v>46309</v>
      </c>
      <c r="B3433" s="0" t="n">
        <v>13</v>
      </c>
      <c r="C3433" s="0" t="n">
        <v>7873</v>
      </c>
      <c r="E3433" s="0" t="n">
        <v>0</v>
      </c>
      <c r="F3433" s="27" t="s">
        <v>1585</v>
      </c>
      <c r="I3433" s="27" t="s">
        <v>166</v>
      </c>
      <c r="U3433" s="0" t="n">
        <v>108</v>
      </c>
      <c r="V3433" s="0" t="n">
        <v>0</v>
      </c>
      <c r="W3433" s="27" t="n">
        <f aca="false">MATCH(A3433,DATAS,0)</f>
        <v>1</v>
      </c>
      <c r="X3433" s="27" t="n">
        <f aca="false">IF(AND(E3433&gt;0,OR(AND(B3433&gt;=1,B3433&lt;=6),B3433=10)),1,0)</f>
        <v>0</v>
      </c>
      <c r="Y3433" s="27" t="n">
        <f aca="false">IF(AND(E3433&gt;0,B3433=10),1,0)</f>
        <v>0</v>
      </c>
      <c r="Z3433" s="0" t="str">
        <f aca="false">IF(AND(C3432=C3433,W3432=W3433-1),X3432,"")</f>
        <v/>
      </c>
      <c r="AA3433" s="0" t="str">
        <f aca="false">IF(AND(C3432=C3433,W3432=W3433-1),Y3432,"")</f>
        <v/>
      </c>
      <c r="AB3433" s="0" t="str">
        <f aca="false">IF(W3433=1,"",IF(AND(X3433=1,Z3433&lt;&gt;1),1,0))</f>
        <v/>
      </c>
      <c r="AC3433" s="0" t="str">
        <f aca="false">IF(W3433=1,"",IF(AND(Y3433=1,AA3433&lt;&gt;1),1,0))</f>
        <v/>
      </c>
      <c r="AD3433" s="33" t="str">
        <f aca="false">IF(AND(E3433&gt;0,W3433&lt;1,NOT(AND(C3434=C3433,W3434=W3433+1))),INDEX(DATAS,W3433+1),"")</f>
        <v/>
      </c>
      <c r="AE3433" s="33" t="str">
        <f aca="false">IF(AND(Y3433=1,W3433&lt;1),IF(AND(C3434=C3433,W3434=W3433+1),IF(Y3434=1,"",INDEX(DATAS,W3433+1)),INDEX(DATAS,W3433+1)),"")</f>
        <v/>
      </c>
    </row>
    <row r="3434" customFormat="false" ht="15" hidden="false" customHeight="false" outlineLevel="0" collapsed="false">
      <c r="A3434" s="33" t="n">
        <v>46309</v>
      </c>
      <c r="B3434" s="0" t="n">
        <v>13</v>
      </c>
      <c r="C3434" s="0" t="n">
        <v>7874</v>
      </c>
      <c r="E3434" s="0" t="n">
        <v>0</v>
      </c>
      <c r="F3434" s="27" t="s">
        <v>1585</v>
      </c>
      <c r="I3434" s="27" t="s">
        <v>166</v>
      </c>
      <c r="U3434" s="0" t="n">
        <v>108</v>
      </c>
      <c r="V3434" s="0" t="n">
        <v>0</v>
      </c>
      <c r="W3434" s="27" t="n">
        <f aca="false">MATCH(A3434,DATAS,0)</f>
        <v>1</v>
      </c>
      <c r="X3434" s="27" t="n">
        <f aca="false">IF(AND(E3434&gt;0,OR(AND(B3434&gt;=1,B3434&lt;=6),B3434=10)),1,0)</f>
        <v>0</v>
      </c>
      <c r="Y3434" s="27" t="n">
        <f aca="false">IF(AND(E3434&gt;0,B3434=10),1,0)</f>
        <v>0</v>
      </c>
      <c r="Z3434" s="0" t="str">
        <f aca="false">IF(AND(C3433=C3434,W3433=W3434-1),X3433,"")</f>
        <v/>
      </c>
      <c r="AA3434" s="0" t="str">
        <f aca="false">IF(AND(C3433=C3434,W3433=W3434-1),Y3433,"")</f>
        <v/>
      </c>
      <c r="AB3434" s="0" t="str">
        <f aca="false">IF(W3434=1,"",IF(AND(X3434=1,Z3434&lt;&gt;1),1,0))</f>
        <v/>
      </c>
      <c r="AC3434" s="0" t="str">
        <f aca="false">IF(W3434=1,"",IF(AND(Y3434=1,AA3434&lt;&gt;1),1,0))</f>
        <v/>
      </c>
      <c r="AD3434" s="33" t="str">
        <f aca="false">IF(AND(E3434&gt;0,W3434&lt;1,NOT(AND(C3435=C3434,W3435=W3434+1))),INDEX(DATAS,W3434+1),"")</f>
        <v/>
      </c>
      <c r="AE3434" s="33" t="str">
        <f aca="false">IF(AND(Y3434=1,W3434&lt;1),IF(AND(C3435=C3434,W3435=W3434+1),IF(Y3435=1,"",INDEX(DATAS,W3434+1)),INDEX(DATAS,W3434+1)),"")</f>
        <v/>
      </c>
    </row>
    <row r="3435" customFormat="false" ht="15" hidden="false" customHeight="false" outlineLevel="0" collapsed="false">
      <c r="A3435" s="33" t="n">
        <v>46309</v>
      </c>
      <c r="B3435" s="0" t="n">
        <v>13</v>
      </c>
      <c r="C3435" s="0" t="n">
        <v>7875</v>
      </c>
      <c r="E3435" s="0" t="n">
        <v>0</v>
      </c>
      <c r="F3435" s="27" t="s">
        <v>1585</v>
      </c>
      <c r="I3435" s="27" t="s">
        <v>166</v>
      </c>
      <c r="U3435" s="0" t="n">
        <v>108</v>
      </c>
      <c r="V3435" s="0" t="n">
        <v>0</v>
      </c>
      <c r="W3435" s="27" t="n">
        <f aca="false">MATCH(A3435,DATAS,0)</f>
        <v>1</v>
      </c>
      <c r="X3435" s="27" t="n">
        <f aca="false">IF(AND(E3435&gt;0,OR(AND(B3435&gt;=1,B3435&lt;=6),B3435=10)),1,0)</f>
        <v>0</v>
      </c>
      <c r="Y3435" s="27" t="n">
        <f aca="false">IF(AND(E3435&gt;0,B3435=10),1,0)</f>
        <v>0</v>
      </c>
      <c r="Z3435" s="0" t="str">
        <f aca="false">IF(AND(C3434=C3435,W3434=W3435-1),X3434,"")</f>
        <v/>
      </c>
      <c r="AA3435" s="0" t="str">
        <f aca="false">IF(AND(C3434=C3435,W3434=W3435-1),Y3434,"")</f>
        <v/>
      </c>
      <c r="AB3435" s="0" t="str">
        <f aca="false">IF(W3435=1,"",IF(AND(X3435=1,Z3435&lt;&gt;1),1,0))</f>
        <v/>
      </c>
      <c r="AC3435" s="0" t="str">
        <f aca="false">IF(W3435=1,"",IF(AND(Y3435=1,AA3435&lt;&gt;1),1,0))</f>
        <v/>
      </c>
      <c r="AD3435" s="33" t="str">
        <f aca="false">IF(AND(E3435&gt;0,W3435&lt;1,NOT(AND(C3436=C3435,W3436=W3435+1))),INDEX(DATAS,W3435+1),"")</f>
        <v/>
      </c>
      <c r="AE3435" s="33" t="str">
        <f aca="false">IF(AND(Y3435=1,W3435&lt;1),IF(AND(C3436=C3435,W3436=W3435+1),IF(Y3436=1,"",INDEX(DATAS,W3435+1)),INDEX(DATAS,W3435+1)),"")</f>
        <v/>
      </c>
    </row>
    <row r="3436" customFormat="false" ht="15" hidden="false" customHeight="false" outlineLevel="0" collapsed="false">
      <c r="A3436" s="33" t="n">
        <v>46309</v>
      </c>
      <c r="B3436" s="0" t="n">
        <v>13</v>
      </c>
      <c r="C3436" s="0" t="n">
        <v>7877</v>
      </c>
      <c r="E3436" s="0" t="n">
        <v>0</v>
      </c>
      <c r="F3436" s="27" t="s">
        <v>1586</v>
      </c>
      <c r="I3436" s="27" t="s">
        <v>166</v>
      </c>
      <c r="U3436" s="0" t="n">
        <v>106</v>
      </c>
      <c r="V3436" s="0" t="n">
        <v>0</v>
      </c>
      <c r="W3436" s="27" t="n">
        <f aca="false">MATCH(A3436,DATAS,0)</f>
        <v>1</v>
      </c>
      <c r="X3436" s="27" t="n">
        <f aca="false">IF(AND(E3436&gt;0,OR(AND(B3436&gt;=1,B3436&lt;=6),B3436=10)),1,0)</f>
        <v>0</v>
      </c>
      <c r="Y3436" s="27" t="n">
        <f aca="false">IF(AND(E3436&gt;0,B3436=10),1,0)</f>
        <v>0</v>
      </c>
      <c r="Z3436" s="0" t="str">
        <f aca="false">IF(AND(C3435=C3436,W3435=W3436-1),X3435,"")</f>
        <v/>
      </c>
      <c r="AA3436" s="0" t="str">
        <f aca="false">IF(AND(C3435=C3436,W3435=W3436-1),Y3435,"")</f>
        <v/>
      </c>
      <c r="AB3436" s="0" t="str">
        <f aca="false">IF(W3436=1,"",IF(AND(X3436=1,Z3436&lt;&gt;1),1,0))</f>
        <v/>
      </c>
      <c r="AC3436" s="0" t="str">
        <f aca="false">IF(W3436=1,"",IF(AND(Y3436=1,AA3436&lt;&gt;1),1,0))</f>
        <v/>
      </c>
      <c r="AD3436" s="33" t="str">
        <f aca="false">IF(AND(E3436&gt;0,W3436&lt;1,NOT(AND(C3437=C3436,W3437=W3436+1))),INDEX(DATAS,W3436+1),"")</f>
        <v/>
      </c>
      <c r="AE3436" s="33" t="str">
        <f aca="false">IF(AND(Y3436=1,W3436&lt;1),IF(AND(C3437=C3436,W3437=W3436+1),IF(Y3437=1,"",INDEX(DATAS,W3436+1)),INDEX(DATAS,W3436+1)),"")</f>
        <v/>
      </c>
    </row>
    <row r="3437" customFormat="false" ht="15" hidden="false" customHeight="false" outlineLevel="0" collapsed="false">
      <c r="A3437" s="33" t="n">
        <v>46309</v>
      </c>
      <c r="B3437" s="0" t="n">
        <v>13</v>
      </c>
      <c r="C3437" s="0" t="n">
        <v>7878</v>
      </c>
      <c r="E3437" s="0" t="n">
        <v>0</v>
      </c>
      <c r="F3437" s="27" t="s">
        <v>1586</v>
      </c>
      <c r="I3437" s="27" t="s">
        <v>166</v>
      </c>
      <c r="U3437" s="0" t="n">
        <v>106</v>
      </c>
      <c r="V3437" s="0" t="n">
        <v>0</v>
      </c>
      <c r="W3437" s="27" t="n">
        <f aca="false">MATCH(A3437,DATAS,0)</f>
        <v>1</v>
      </c>
      <c r="X3437" s="27" t="n">
        <f aca="false">IF(AND(E3437&gt;0,OR(AND(B3437&gt;=1,B3437&lt;=6),B3437=10)),1,0)</f>
        <v>0</v>
      </c>
      <c r="Y3437" s="27" t="n">
        <f aca="false">IF(AND(E3437&gt;0,B3437=10),1,0)</f>
        <v>0</v>
      </c>
      <c r="Z3437" s="0" t="str">
        <f aca="false">IF(AND(C3436=C3437,W3436=W3437-1),X3436,"")</f>
        <v/>
      </c>
      <c r="AA3437" s="0" t="str">
        <f aca="false">IF(AND(C3436=C3437,W3436=W3437-1),Y3436,"")</f>
        <v/>
      </c>
      <c r="AB3437" s="0" t="str">
        <f aca="false">IF(W3437=1,"",IF(AND(X3437=1,Z3437&lt;&gt;1),1,0))</f>
        <v/>
      </c>
      <c r="AC3437" s="0" t="str">
        <f aca="false">IF(W3437=1,"",IF(AND(Y3437=1,AA3437&lt;&gt;1),1,0))</f>
        <v/>
      </c>
      <c r="AD3437" s="33" t="str">
        <f aca="false">IF(AND(E3437&gt;0,W3437&lt;1,NOT(AND(C3438=C3437,W3438=W3437+1))),INDEX(DATAS,W3437+1),"")</f>
        <v/>
      </c>
      <c r="AE3437" s="33" t="str">
        <f aca="false">IF(AND(Y3437=1,W3437&lt;1),IF(AND(C3438=C3437,W3438=W3437+1),IF(Y3438=1,"",INDEX(DATAS,W3437+1)),INDEX(DATAS,W3437+1)),"")</f>
        <v/>
      </c>
    </row>
    <row r="3438" customFormat="false" ht="15" hidden="false" customHeight="false" outlineLevel="0" collapsed="false">
      <c r="A3438" s="33" t="n">
        <v>46309</v>
      </c>
      <c r="B3438" s="0" t="n">
        <v>13</v>
      </c>
      <c r="C3438" s="0" t="n">
        <v>7879</v>
      </c>
      <c r="E3438" s="0" t="n">
        <v>0</v>
      </c>
      <c r="F3438" s="27" t="s">
        <v>1586</v>
      </c>
      <c r="I3438" s="27" t="s">
        <v>166</v>
      </c>
      <c r="U3438" s="0" t="n">
        <v>106</v>
      </c>
      <c r="V3438" s="0" t="n">
        <v>0</v>
      </c>
      <c r="W3438" s="27" t="n">
        <f aca="false">MATCH(A3438,DATAS,0)</f>
        <v>1</v>
      </c>
      <c r="X3438" s="27" t="n">
        <f aca="false">IF(AND(E3438&gt;0,OR(AND(B3438&gt;=1,B3438&lt;=6),B3438=10)),1,0)</f>
        <v>0</v>
      </c>
      <c r="Y3438" s="27" t="n">
        <f aca="false">IF(AND(E3438&gt;0,B3438=10),1,0)</f>
        <v>0</v>
      </c>
      <c r="Z3438" s="0" t="str">
        <f aca="false">IF(AND(C3437=C3438,W3437=W3438-1),X3437,"")</f>
        <v/>
      </c>
      <c r="AA3438" s="0" t="str">
        <f aca="false">IF(AND(C3437=C3438,W3437=W3438-1),Y3437,"")</f>
        <v/>
      </c>
      <c r="AB3438" s="0" t="str">
        <f aca="false">IF(W3438=1,"",IF(AND(X3438=1,Z3438&lt;&gt;1),1,0))</f>
        <v/>
      </c>
      <c r="AC3438" s="0" t="str">
        <f aca="false">IF(W3438=1,"",IF(AND(Y3438=1,AA3438&lt;&gt;1),1,0))</f>
        <v/>
      </c>
      <c r="AD3438" s="33" t="str">
        <f aca="false">IF(AND(E3438&gt;0,W3438&lt;1,NOT(AND(C3439=C3438,W3439=W3438+1))),INDEX(DATAS,W3438+1),"")</f>
        <v/>
      </c>
      <c r="AE3438" s="33" t="str">
        <f aca="false">IF(AND(Y3438=1,W3438&lt;1),IF(AND(C3439=C3438,W3439=W3438+1),IF(Y3439=1,"",INDEX(DATAS,W3438+1)),INDEX(DATAS,W3438+1)),"")</f>
        <v/>
      </c>
    </row>
    <row r="3439" customFormat="false" ht="15" hidden="false" customHeight="false" outlineLevel="0" collapsed="false">
      <c r="A3439" s="33" t="n">
        <v>46309</v>
      </c>
      <c r="B3439" s="0" t="n">
        <v>13</v>
      </c>
      <c r="C3439" s="0" t="n">
        <v>7880</v>
      </c>
      <c r="E3439" s="0" t="n">
        <v>0</v>
      </c>
      <c r="F3439" s="27" t="s">
        <v>1586</v>
      </c>
      <c r="I3439" s="27" t="s">
        <v>166</v>
      </c>
      <c r="U3439" s="0" t="n">
        <v>106</v>
      </c>
      <c r="V3439" s="0" t="n">
        <v>0</v>
      </c>
      <c r="W3439" s="27" t="n">
        <f aca="false">MATCH(A3439,DATAS,0)</f>
        <v>1</v>
      </c>
      <c r="X3439" s="27" t="n">
        <f aca="false">IF(AND(E3439&gt;0,OR(AND(B3439&gt;=1,B3439&lt;=6),B3439=10)),1,0)</f>
        <v>0</v>
      </c>
      <c r="Y3439" s="27" t="n">
        <f aca="false">IF(AND(E3439&gt;0,B3439=10),1,0)</f>
        <v>0</v>
      </c>
      <c r="Z3439" s="0" t="str">
        <f aca="false">IF(AND(C3438=C3439,W3438=W3439-1),X3438,"")</f>
        <v/>
      </c>
      <c r="AA3439" s="0" t="str">
        <f aca="false">IF(AND(C3438=C3439,W3438=W3439-1),Y3438,"")</f>
        <v/>
      </c>
      <c r="AB3439" s="0" t="str">
        <f aca="false">IF(W3439=1,"",IF(AND(X3439=1,Z3439&lt;&gt;1),1,0))</f>
        <v/>
      </c>
      <c r="AC3439" s="0" t="str">
        <f aca="false">IF(W3439=1,"",IF(AND(Y3439=1,AA3439&lt;&gt;1),1,0))</f>
        <v/>
      </c>
      <c r="AD3439" s="33" t="str">
        <f aca="false">IF(AND(E3439&gt;0,W3439&lt;1,NOT(AND(C3440=C3439,W3440=W3439+1))),INDEX(DATAS,W3439+1),"")</f>
        <v/>
      </c>
      <c r="AE3439" s="33" t="str">
        <f aca="false">IF(AND(Y3439=1,W3439&lt;1),IF(AND(C3440=C3439,W3440=W3439+1),IF(Y3440=1,"",INDEX(DATAS,W3439+1)),INDEX(DATAS,W3439+1)),"")</f>
        <v/>
      </c>
    </row>
    <row r="3440" customFormat="false" ht="15" hidden="false" customHeight="false" outlineLevel="0" collapsed="false">
      <c r="A3440" s="33" t="n">
        <v>46309</v>
      </c>
      <c r="B3440" s="0" t="n">
        <v>13</v>
      </c>
      <c r="C3440" s="0" t="n">
        <v>7881</v>
      </c>
      <c r="E3440" s="0" t="n">
        <v>0</v>
      </c>
      <c r="F3440" s="27" t="s">
        <v>1586</v>
      </c>
      <c r="I3440" s="27" t="s">
        <v>166</v>
      </c>
      <c r="U3440" s="0" t="n">
        <v>106</v>
      </c>
      <c r="V3440" s="0" t="n">
        <v>0</v>
      </c>
      <c r="W3440" s="27" t="n">
        <f aca="false">MATCH(A3440,DATAS,0)</f>
        <v>1</v>
      </c>
      <c r="X3440" s="27" t="n">
        <f aca="false">IF(AND(E3440&gt;0,OR(AND(B3440&gt;=1,B3440&lt;=6),B3440=10)),1,0)</f>
        <v>0</v>
      </c>
      <c r="Y3440" s="27" t="n">
        <f aca="false">IF(AND(E3440&gt;0,B3440=10),1,0)</f>
        <v>0</v>
      </c>
      <c r="Z3440" s="0" t="str">
        <f aca="false">IF(AND(C3439=C3440,W3439=W3440-1),X3439,"")</f>
        <v/>
      </c>
      <c r="AA3440" s="0" t="str">
        <f aca="false">IF(AND(C3439=C3440,W3439=W3440-1),Y3439,"")</f>
        <v/>
      </c>
      <c r="AB3440" s="0" t="str">
        <f aca="false">IF(W3440=1,"",IF(AND(X3440=1,Z3440&lt;&gt;1),1,0))</f>
        <v/>
      </c>
      <c r="AC3440" s="0" t="str">
        <f aca="false">IF(W3440=1,"",IF(AND(Y3440=1,AA3440&lt;&gt;1),1,0))</f>
        <v/>
      </c>
      <c r="AD3440" s="33" t="str">
        <f aca="false">IF(AND(E3440&gt;0,W3440&lt;1,NOT(AND(C3441=C3440,W3441=W3440+1))),INDEX(DATAS,W3440+1),"")</f>
        <v/>
      </c>
      <c r="AE3440" s="33" t="str">
        <f aca="false">IF(AND(Y3440=1,W3440&lt;1),IF(AND(C3441=C3440,W3441=W3440+1),IF(Y3441=1,"",INDEX(DATAS,W3440+1)),INDEX(DATAS,W3440+1)),"")</f>
        <v/>
      </c>
    </row>
    <row r="3441" customFormat="false" ht="15" hidden="false" customHeight="false" outlineLevel="0" collapsed="false">
      <c r="A3441" s="33" t="n">
        <v>46309</v>
      </c>
      <c r="B3441" s="0" t="n">
        <v>13</v>
      </c>
      <c r="C3441" s="0" t="n">
        <v>7882</v>
      </c>
      <c r="E3441" s="0" t="n">
        <v>0</v>
      </c>
      <c r="F3441" s="27" t="s">
        <v>1586</v>
      </c>
      <c r="I3441" s="27" t="s">
        <v>166</v>
      </c>
      <c r="U3441" s="0" t="n">
        <v>106</v>
      </c>
      <c r="V3441" s="0" t="n">
        <v>0</v>
      </c>
      <c r="W3441" s="27" t="n">
        <f aca="false">MATCH(A3441,DATAS,0)</f>
        <v>1</v>
      </c>
      <c r="X3441" s="27" t="n">
        <f aca="false">IF(AND(E3441&gt;0,OR(AND(B3441&gt;=1,B3441&lt;=6),B3441=10)),1,0)</f>
        <v>0</v>
      </c>
      <c r="Y3441" s="27" t="n">
        <f aca="false">IF(AND(E3441&gt;0,B3441=10),1,0)</f>
        <v>0</v>
      </c>
      <c r="Z3441" s="0" t="str">
        <f aca="false">IF(AND(C3440=C3441,W3440=W3441-1),X3440,"")</f>
        <v/>
      </c>
      <c r="AA3441" s="0" t="str">
        <f aca="false">IF(AND(C3440=C3441,W3440=W3441-1),Y3440,"")</f>
        <v/>
      </c>
      <c r="AB3441" s="0" t="str">
        <f aca="false">IF(W3441=1,"",IF(AND(X3441=1,Z3441&lt;&gt;1),1,0))</f>
        <v/>
      </c>
      <c r="AC3441" s="0" t="str">
        <f aca="false">IF(W3441=1,"",IF(AND(Y3441=1,AA3441&lt;&gt;1),1,0))</f>
        <v/>
      </c>
      <c r="AD3441" s="33" t="str">
        <f aca="false">IF(AND(E3441&gt;0,W3441&lt;1,NOT(AND(C3442=C3441,W3442=W3441+1))),INDEX(DATAS,W3441+1),"")</f>
        <v/>
      </c>
      <c r="AE3441" s="33" t="str">
        <f aca="false">IF(AND(Y3441=1,W3441&lt;1),IF(AND(C3442=C3441,W3442=W3441+1),IF(Y3442=1,"",INDEX(DATAS,W3441+1)),INDEX(DATAS,W3441+1)),"")</f>
        <v/>
      </c>
    </row>
    <row r="3442" customFormat="false" ht="15" hidden="false" customHeight="false" outlineLevel="0" collapsed="false">
      <c r="A3442" s="33" t="n">
        <v>46309</v>
      </c>
      <c r="B3442" s="0" t="n">
        <v>13</v>
      </c>
      <c r="C3442" s="0" t="n">
        <v>7883</v>
      </c>
      <c r="E3442" s="0" t="n">
        <v>0</v>
      </c>
      <c r="F3442" s="27" t="s">
        <v>1586</v>
      </c>
      <c r="I3442" s="27" t="s">
        <v>166</v>
      </c>
      <c r="U3442" s="0" t="n">
        <v>106</v>
      </c>
      <c r="V3442" s="0" t="n">
        <v>0</v>
      </c>
      <c r="W3442" s="27" t="n">
        <f aca="false">MATCH(A3442,DATAS,0)</f>
        <v>1</v>
      </c>
      <c r="X3442" s="27" t="n">
        <f aca="false">IF(AND(E3442&gt;0,OR(AND(B3442&gt;=1,B3442&lt;=6),B3442=10)),1,0)</f>
        <v>0</v>
      </c>
      <c r="Y3442" s="27" t="n">
        <f aca="false">IF(AND(E3442&gt;0,B3442=10),1,0)</f>
        <v>0</v>
      </c>
      <c r="Z3442" s="0" t="str">
        <f aca="false">IF(AND(C3441=C3442,W3441=W3442-1),X3441,"")</f>
        <v/>
      </c>
      <c r="AA3442" s="0" t="str">
        <f aca="false">IF(AND(C3441=C3442,W3441=W3442-1),Y3441,"")</f>
        <v/>
      </c>
      <c r="AB3442" s="0" t="str">
        <f aca="false">IF(W3442=1,"",IF(AND(X3442=1,Z3442&lt;&gt;1),1,0))</f>
        <v/>
      </c>
      <c r="AC3442" s="0" t="str">
        <f aca="false">IF(W3442=1,"",IF(AND(Y3442=1,AA3442&lt;&gt;1),1,0))</f>
        <v/>
      </c>
      <c r="AD3442" s="33" t="str">
        <f aca="false">IF(AND(E3442&gt;0,W3442&lt;1,NOT(AND(C3443=C3442,W3443=W3442+1))),INDEX(DATAS,W3442+1),"")</f>
        <v/>
      </c>
      <c r="AE3442" s="33" t="str">
        <f aca="false">IF(AND(Y3442=1,W3442&lt;1),IF(AND(C3443=C3442,W3443=W3442+1),IF(Y3443=1,"",INDEX(DATAS,W3442+1)),INDEX(DATAS,W3442+1)),"")</f>
        <v/>
      </c>
    </row>
    <row r="3443" customFormat="false" ht="15" hidden="false" customHeight="false" outlineLevel="0" collapsed="false">
      <c r="A3443" s="33" t="n">
        <v>46309</v>
      </c>
      <c r="B3443" s="0" t="n">
        <v>13</v>
      </c>
      <c r="C3443" s="0" t="n">
        <v>7884</v>
      </c>
      <c r="E3443" s="0" t="n">
        <v>0</v>
      </c>
      <c r="F3443" s="27" t="s">
        <v>1586</v>
      </c>
      <c r="I3443" s="27" t="s">
        <v>166</v>
      </c>
      <c r="U3443" s="0" t="n">
        <v>106</v>
      </c>
      <c r="V3443" s="0" t="n">
        <v>0</v>
      </c>
      <c r="W3443" s="27" t="n">
        <f aca="false">MATCH(A3443,DATAS,0)</f>
        <v>1</v>
      </c>
      <c r="X3443" s="27" t="n">
        <f aca="false">IF(AND(E3443&gt;0,OR(AND(B3443&gt;=1,B3443&lt;=6),B3443=10)),1,0)</f>
        <v>0</v>
      </c>
      <c r="Y3443" s="27" t="n">
        <f aca="false">IF(AND(E3443&gt;0,B3443=10),1,0)</f>
        <v>0</v>
      </c>
      <c r="Z3443" s="0" t="str">
        <f aca="false">IF(AND(C3442=C3443,W3442=W3443-1),X3442,"")</f>
        <v/>
      </c>
      <c r="AA3443" s="0" t="str">
        <f aca="false">IF(AND(C3442=C3443,W3442=W3443-1),Y3442,"")</f>
        <v/>
      </c>
      <c r="AB3443" s="0" t="str">
        <f aca="false">IF(W3443=1,"",IF(AND(X3443=1,Z3443&lt;&gt;1),1,0))</f>
        <v/>
      </c>
      <c r="AC3443" s="0" t="str">
        <f aca="false">IF(W3443=1,"",IF(AND(Y3443=1,AA3443&lt;&gt;1),1,0))</f>
        <v/>
      </c>
      <c r="AD3443" s="33" t="str">
        <f aca="false">IF(AND(E3443&gt;0,W3443&lt;1,NOT(AND(C3444=C3443,W3444=W3443+1))),INDEX(DATAS,W3443+1),"")</f>
        <v/>
      </c>
      <c r="AE3443" s="33" t="str">
        <f aca="false">IF(AND(Y3443=1,W3443&lt;1),IF(AND(C3444=C3443,W3444=W3443+1),IF(Y3444=1,"",INDEX(DATAS,W3443+1)),INDEX(DATAS,W3443+1)),"")</f>
        <v/>
      </c>
    </row>
    <row r="3444" customFormat="false" ht="15" hidden="false" customHeight="false" outlineLevel="0" collapsed="false">
      <c r="A3444" s="33" t="n">
        <v>46309</v>
      </c>
      <c r="B3444" s="0" t="n">
        <v>13</v>
      </c>
      <c r="C3444" s="0" t="n">
        <v>7885</v>
      </c>
      <c r="E3444" s="0" t="n">
        <v>0</v>
      </c>
      <c r="F3444" s="27" t="s">
        <v>1586</v>
      </c>
      <c r="I3444" s="27" t="s">
        <v>166</v>
      </c>
      <c r="U3444" s="0" t="n">
        <v>106</v>
      </c>
      <c r="V3444" s="0" t="n">
        <v>0</v>
      </c>
      <c r="W3444" s="27" t="n">
        <f aca="false">MATCH(A3444,DATAS,0)</f>
        <v>1</v>
      </c>
      <c r="X3444" s="27" t="n">
        <f aca="false">IF(AND(E3444&gt;0,OR(AND(B3444&gt;=1,B3444&lt;=6),B3444=10)),1,0)</f>
        <v>0</v>
      </c>
      <c r="Y3444" s="27" t="n">
        <f aca="false">IF(AND(E3444&gt;0,B3444=10),1,0)</f>
        <v>0</v>
      </c>
      <c r="Z3444" s="0" t="str">
        <f aca="false">IF(AND(C3443=C3444,W3443=W3444-1),X3443,"")</f>
        <v/>
      </c>
      <c r="AA3444" s="0" t="str">
        <f aca="false">IF(AND(C3443=C3444,W3443=W3444-1),Y3443,"")</f>
        <v/>
      </c>
      <c r="AB3444" s="0" t="str">
        <f aca="false">IF(W3444=1,"",IF(AND(X3444=1,Z3444&lt;&gt;1),1,0))</f>
        <v/>
      </c>
      <c r="AC3444" s="0" t="str">
        <f aca="false">IF(W3444=1,"",IF(AND(Y3444=1,AA3444&lt;&gt;1),1,0))</f>
        <v/>
      </c>
      <c r="AD3444" s="33" t="str">
        <f aca="false">IF(AND(E3444&gt;0,W3444&lt;1,NOT(AND(C3445=C3444,W3445=W3444+1))),INDEX(DATAS,W3444+1),"")</f>
        <v/>
      </c>
      <c r="AE3444" s="33" t="str">
        <f aca="false">IF(AND(Y3444=1,W3444&lt;1),IF(AND(C3445=C3444,W3445=W3444+1),IF(Y3445=1,"",INDEX(DATAS,W3444+1)),INDEX(DATAS,W3444+1)),"")</f>
        <v/>
      </c>
    </row>
    <row r="3445" customFormat="false" ht="15" hidden="false" customHeight="false" outlineLevel="0" collapsed="false">
      <c r="A3445" s="33" t="n">
        <v>46309</v>
      </c>
      <c r="B3445" s="0" t="n">
        <v>13</v>
      </c>
      <c r="C3445" s="0" t="n">
        <v>7886</v>
      </c>
      <c r="E3445" s="0" t="n">
        <v>0</v>
      </c>
      <c r="F3445" s="27" t="s">
        <v>1586</v>
      </c>
      <c r="I3445" s="27" t="s">
        <v>166</v>
      </c>
      <c r="U3445" s="0" t="n">
        <v>106</v>
      </c>
      <c r="V3445" s="0" t="n">
        <v>0</v>
      </c>
      <c r="W3445" s="27" t="n">
        <f aca="false">MATCH(A3445,DATAS,0)</f>
        <v>1</v>
      </c>
      <c r="X3445" s="27" t="n">
        <f aca="false">IF(AND(E3445&gt;0,OR(AND(B3445&gt;=1,B3445&lt;=6),B3445=10)),1,0)</f>
        <v>0</v>
      </c>
      <c r="Y3445" s="27" t="n">
        <f aca="false">IF(AND(E3445&gt;0,B3445=10),1,0)</f>
        <v>0</v>
      </c>
      <c r="Z3445" s="0" t="str">
        <f aca="false">IF(AND(C3444=C3445,W3444=W3445-1),X3444,"")</f>
        <v/>
      </c>
      <c r="AA3445" s="0" t="str">
        <f aca="false">IF(AND(C3444=C3445,W3444=W3445-1),Y3444,"")</f>
        <v/>
      </c>
      <c r="AB3445" s="0" t="str">
        <f aca="false">IF(W3445=1,"",IF(AND(X3445=1,Z3445&lt;&gt;1),1,0))</f>
        <v/>
      </c>
      <c r="AC3445" s="0" t="str">
        <f aca="false">IF(W3445=1,"",IF(AND(Y3445=1,AA3445&lt;&gt;1),1,0))</f>
        <v/>
      </c>
      <c r="AD3445" s="33" t="str">
        <f aca="false">IF(AND(E3445&gt;0,W3445&lt;1,NOT(AND(C3446=C3445,W3446=W3445+1))),INDEX(DATAS,W3445+1),"")</f>
        <v/>
      </c>
      <c r="AE3445" s="33" t="str">
        <f aca="false">IF(AND(Y3445=1,W3445&lt;1),IF(AND(C3446=C3445,W3446=W3445+1),IF(Y3446=1,"",INDEX(DATAS,W3445+1)),INDEX(DATAS,W3445+1)),"")</f>
        <v/>
      </c>
    </row>
    <row r="3446" customFormat="false" ht="15" hidden="false" customHeight="false" outlineLevel="0" collapsed="false">
      <c r="A3446" s="33" t="n">
        <v>46309</v>
      </c>
      <c r="B3446" s="0" t="n">
        <v>13</v>
      </c>
      <c r="C3446" s="0" t="n">
        <v>7887</v>
      </c>
      <c r="E3446" s="0" t="n">
        <v>0</v>
      </c>
      <c r="F3446" s="27" t="s">
        <v>1586</v>
      </c>
      <c r="I3446" s="27" t="s">
        <v>166</v>
      </c>
      <c r="U3446" s="0" t="n">
        <v>106</v>
      </c>
      <c r="V3446" s="0" t="n">
        <v>0</v>
      </c>
      <c r="W3446" s="27" t="n">
        <f aca="false">MATCH(A3446,DATAS,0)</f>
        <v>1</v>
      </c>
      <c r="X3446" s="27" t="n">
        <f aca="false">IF(AND(E3446&gt;0,OR(AND(B3446&gt;=1,B3446&lt;=6),B3446=10)),1,0)</f>
        <v>0</v>
      </c>
      <c r="Y3446" s="27" t="n">
        <f aca="false">IF(AND(E3446&gt;0,B3446=10),1,0)</f>
        <v>0</v>
      </c>
      <c r="Z3446" s="0" t="str">
        <f aca="false">IF(AND(C3445=C3446,W3445=W3446-1),X3445,"")</f>
        <v/>
      </c>
      <c r="AA3446" s="0" t="str">
        <f aca="false">IF(AND(C3445=C3446,W3445=W3446-1),Y3445,"")</f>
        <v/>
      </c>
      <c r="AB3446" s="0" t="str">
        <f aca="false">IF(W3446=1,"",IF(AND(X3446=1,Z3446&lt;&gt;1),1,0))</f>
        <v/>
      </c>
      <c r="AC3446" s="0" t="str">
        <f aca="false">IF(W3446=1,"",IF(AND(Y3446=1,AA3446&lt;&gt;1),1,0))</f>
        <v/>
      </c>
      <c r="AD3446" s="33" t="str">
        <f aca="false">IF(AND(E3446&gt;0,W3446&lt;1,NOT(AND(C3447=C3446,W3447=W3446+1))),INDEX(DATAS,W3446+1),"")</f>
        <v/>
      </c>
      <c r="AE3446" s="33" t="str">
        <f aca="false">IF(AND(Y3446=1,W3446&lt;1),IF(AND(C3447=C3446,W3447=W3446+1),IF(Y3447=1,"",INDEX(DATAS,W3446+1)),INDEX(DATAS,W3446+1)),"")</f>
        <v/>
      </c>
    </row>
    <row r="3447" customFormat="false" ht="15" hidden="false" customHeight="false" outlineLevel="0" collapsed="false">
      <c r="A3447" s="33" t="n">
        <v>46309</v>
      </c>
      <c r="B3447" s="0" t="n">
        <v>13</v>
      </c>
      <c r="C3447" s="0" t="n">
        <v>7888</v>
      </c>
      <c r="E3447" s="0" t="n">
        <v>0</v>
      </c>
      <c r="F3447" s="27" t="s">
        <v>1586</v>
      </c>
      <c r="I3447" s="27" t="s">
        <v>166</v>
      </c>
      <c r="U3447" s="0" t="n">
        <v>106</v>
      </c>
      <c r="V3447" s="0" t="n">
        <v>0</v>
      </c>
      <c r="W3447" s="27" t="n">
        <f aca="false">MATCH(A3447,DATAS,0)</f>
        <v>1</v>
      </c>
      <c r="X3447" s="27" t="n">
        <f aca="false">IF(AND(E3447&gt;0,OR(AND(B3447&gt;=1,B3447&lt;=6),B3447=10)),1,0)</f>
        <v>0</v>
      </c>
      <c r="Y3447" s="27" t="n">
        <f aca="false">IF(AND(E3447&gt;0,B3447=10),1,0)</f>
        <v>0</v>
      </c>
      <c r="Z3447" s="0" t="str">
        <f aca="false">IF(AND(C3446=C3447,W3446=W3447-1),X3446,"")</f>
        <v/>
      </c>
      <c r="AA3447" s="0" t="str">
        <f aca="false">IF(AND(C3446=C3447,W3446=W3447-1),Y3446,"")</f>
        <v/>
      </c>
      <c r="AB3447" s="0" t="str">
        <f aca="false">IF(W3447=1,"",IF(AND(X3447=1,Z3447&lt;&gt;1),1,0))</f>
        <v/>
      </c>
      <c r="AC3447" s="0" t="str">
        <f aca="false">IF(W3447=1,"",IF(AND(Y3447=1,AA3447&lt;&gt;1),1,0))</f>
        <v/>
      </c>
      <c r="AD3447" s="33" t="str">
        <f aca="false">IF(AND(E3447&gt;0,W3447&lt;1,NOT(AND(C3448=C3447,W3448=W3447+1))),INDEX(DATAS,W3447+1),"")</f>
        <v/>
      </c>
      <c r="AE3447" s="33" t="str">
        <f aca="false">IF(AND(Y3447=1,W3447&lt;1),IF(AND(C3448=C3447,W3448=W3447+1),IF(Y3448=1,"",INDEX(DATAS,W3447+1)),INDEX(DATAS,W3447+1)),"")</f>
        <v/>
      </c>
    </row>
    <row r="3448" customFormat="false" ht="15" hidden="false" customHeight="false" outlineLevel="0" collapsed="false">
      <c r="A3448" s="33" t="n">
        <v>46309</v>
      </c>
      <c r="B3448" s="0" t="n">
        <v>13</v>
      </c>
      <c r="C3448" s="0" t="n">
        <v>7890</v>
      </c>
      <c r="E3448" s="0" t="n">
        <v>0</v>
      </c>
      <c r="F3448" s="27" t="s">
        <v>1587</v>
      </c>
      <c r="I3448" s="27" t="s">
        <v>166</v>
      </c>
      <c r="U3448" s="0" t="n">
        <v>104</v>
      </c>
      <c r="V3448" s="0" t="n">
        <v>0</v>
      </c>
      <c r="W3448" s="27" t="n">
        <f aca="false">MATCH(A3448,DATAS,0)</f>
        <v>1</v>
      </c>
      <c r="X3448" s="27" t="n">
        <f aca="false">IF(AND(E3448&gt;0,OR(AND(B3448&gt;=1,B3448&lt;=6),B3448=10)),1,0)</f>
        <v>0</v>
      </c>
      <c r="Y3448" s="27" t="n">
        <f aca="false">IF(AND(E3448&gt;0,B3448=10),1,0)</f>
        <v>0</v>
      </c>
      <c r="Z3448" s="0" t="str">
        <f aca="false">IF(AND(C3447=C3448,W3447=W3448-1),X3447,"")</f>
        <v/>
      </c>
      <c r="AA3448" s="0" t="str">
        <f aca="false">IF(AND(C3447=C3448,W3447=W3448-1),Y3447,"")</f>
        <v/>
      </c>
      <c r="AB3448" s="0" t="str">
        <f aca="false">IF(W3448=1,"",IF(AND(X3448=1,Z3448&lt;&gt;1),1,0))</f>
        <v/>
      </c>
      <c r="AC3448" s="0" t="str">
        <f aca="false">IF(W3448=1,"",IF(AND(Y3448=1,AA3448&lt;&gt;1),1,0))</f>
        <v/>
      </c>
      <c r="AD3448" s="33" t="str">
        <f aca="false">IF(AND(E3448&gt;0,W3448&lt;1,NOT(AND(C3449=C3448,W3449=W3448+1))),INDEX(DATAS,W3448+1),"")</f>
        <v/>
      </c>
      <c r="AE3448" s="33" t="str">
        <f aca="false">IF(AND(Y3448=1,W3448&lt;1),IF(AND(C3449=C3448,W3449=W3448+1),IF(Y3449=1,"",INDEX(DATAS,W3448+1)),INDEX(DATAS,W3448+1)),"")</f>
        <v/>
      </c>
    </row>
    <row r="3449" customFormat="false" ht="15" hidden="false" customHeight="false" outlineLevel="0" collapsed="false">
      <c r="A3449" s="33" t="n">
        <v>46309</v>
      </c>
      <c r="B3449" s="0" t="n">
        <v>13</v>
      </c>
      <c r="C3449" s="0" t="n">
        <v>7891</v>
      </c>
      <c r="E3449" s="0" t="n">
        <v>0</v>
      </c>
      <c r="F3449" s="27" t="s">
        <v>1587</v>
      </c>
      <c r="I3449" s="27" t="s">
        <v>166</v>
      </c>
      <c r="U3449" s="0" t="n">
        <v>104</v>
      </c>
      <c r="V3449" s="0" t="n">
        <v>0</v>
      </c>
      <c r="W3449" s="27" t="n">
        <f aca="false">MATCH(A3449,DATAS,0)</f>
        <v>1</v>
      </c>
      <c r="X3449" s="27" t="n">
        <f aca="false">IF(AND(E3449&gt;0,OR(AND(B3449&gt;=1,B3449&lt;=6),B3449=10)),1,0)</f>
        <v>0</v>
      </c>
      <c r="Y3449" s="27" t="n">
        <f aca="false">IF(AND(E3449&gt;0,B3449=10),1,0)</f>
        <v>0</v>
      </c>
      <c r="Z3449" s="0" t="str">
        <f aca="false">IF(AND(C3448=C3449,W3448=W3449-1),X3448,"")</f>
        <v/>
      </c>
      <c r="AA3449" s="0" t="str">
        <f aca="false">IF(AND(C3448=C3449,W3448=W3449-1),Y3448,"")</f>
        <v/>
      </c>
      <c r="AB3449" s="0" t="str">
        <f aca="false">IF(W3449=1,"",IF(AND(X3449=1,Z3449&lt;&gt;1),1,0))</f>
        <v/>
      </c>
      <c r="AC3449" s="0" t="str">
        <f aca="false">IF(W3449=1,"",IF(AND(Y3449=1,AA3449&lt;&gt;1),1,0))</f>
        <v/>
      </c>
      <c r="AD3449" s="33" t="str">
        <f aca="false">IF(AND(E3449&gt;0,W3449&lt;1,NOT(AND(C3450=C3449,W3450=W3449+1))),INDEX(DATAS,W3449+1),"")</f>
        <v/>
      </c>
      <c r="AE3449" s="33" t="str">
        <f aca="false">IF(AND(Y3449=1,W3449&lt;1),IF(AND(C3450=C3449,W3450=W3449+1),IF(Y3450=1,"",INDEX(DATAS,W3449+1)),INDEX(DATAS,W3449+1)),"")</f>
        <v/>
      </c>
    </row>
    <row r="3450" customFormat="false" ht="15" hidden="false" customHeight="false" outlineLevel="0" collapsed="false">
      <c r="A3450" s="33" t="n">
        <v>46309</v>
      </c>
      <c r="B3450" s="0" t="n">
        <v>13</v>
      </c>
      <c r="C3450" s="0" t="n">
        <v>7892</v>
      </c>
      <c r="E3450" s="0" t="n">
        <v>0</v>
      </c>
      <c r="F3450" s="27" t="s">
        <v>1587</v>
      </c>
      <c r="I3450" s="27" t="s">
        <v>166</v>
      </c>
      <c r="U3450" s="0" t="n">
        <v>104</v>
      </c>
      <c r="V3450" s="0" t="n">
        <v>0</v>
      </c>
      <c r="W3450" s="27" t="n">
        <f aca="false">MATCH(A3450,DATAS,0)</f>
        <v>1</v>
      </c>
      <c r="X3450" s="27" t="n">
        <f aca="false">IF(AND(E3450&gt;0,OR(AND(B3450&gt;=1,B3450&lt;=6),B3450=10)),1,0)</f>
        <v>0</v>
      </c>
      <c r="Y3450" s="27" t="n">
        <f aca="false">IF(AND(E3450&gt;0,B3450=10),1,0)</f>
        <v>0</v>
      </c>
      <c r="Z3450" s="0" t="str">
        <f aca="false">IF(AND(C3449=C3450,W3449=W3450-1),X3449,"")</f>
        <v/>
      </c>
      <c r="AA3450" s="0" t="str">
        <f aca="false">IF(AND(C3449=C3450,W3449=W3450-1),Y3449,"")</f>
        <v/>
      </c>
      <c r="AB3450" s="0" t="str">
        <f aca="false">IF(W3450=1,"",IF(AND(X3450=1,Z3450&lt;&gt;1),1,0))</f>
        <v/>
      </c>
      <c r="AC3450" s="0" t="str">
        <f aca="false">IF(W3450=1,"",IF(AND(Y3450=1,AA3450&lt;&gt;1),1,0))</f>
        <v/>
      </c>
      <c r="AD3450" s="33" t="str">
        <f aca="false">IF(AND(E3450&gt;0,W3450&lt;1,NOT(AND(C3451=C3450,W3451=W3450+1))),INDEX(DATAS,W3450+1),"")</f>
        <v/>
      </c>
      <c r="AE3450" s="33" t="str">
        <f aca="false">IF(AND(Y3450=1,W3450&lt;1),IF(AND(C3451=C3450,W3451=W3450+1),IF(Y3451=1,"",INDEX(DATAS,W3450+1)),INDEX(DATAS,W3450+1)),"")</f>
        <v/>
      </c>
    </row>
    <row r="3451" customFormat="false" ht="15" hidden="false" customHeight="false" outlineLevel="0" collapsed="false">
      <c r="A3451" s="33" t="n">
        <v>46309</v>
      </c>
      <c r="B3451" s="0" t="n">
        <v>13</v>
      </c>
      <c r="C3451" s="0" t="n">
        <v>7893</v>
      </c>
      <c r="E3451" s="0" t="n">
        <v>0</v>
      </c>
      <c r="F3451" s="27" t="s">
        <v>1588</v>
      </c>
      <c r="I3451" s="27" t="s">
        <v>166</v>
      </c>
      <c r="U3451" s="0" t="n">
        <v>103</v>
      </c>
      <c r="V3451" s="0" t="n">
        <v>0</v>
      </c>
      <c r="W3451" s="27" t="n">
        <f aca="false">MATCH(A3451,DATAS,0)</f>
        <v>1</v>
      </c>
      <c r="X3451" s="27" t="n">
        <f aca="false">IF(AND(E3451&gt;0,OR(AND(B3451&gt;=1,B3451&lt;=6),B3451=10)),1,0)</f>
        <v>0</v>
      </c>
      <c r="Y3451" s="27" t="n">
        <f aca="false">IF(AND(E3451&gt;0,B3451=10),1,0)</f>
        <v>0</v>
      </c>
      <c r="Z3451" s="0" t="str">
        <f aca="false">IF(AND(C3450=C3451,W3450=W3451-1),X3450,"")</f>
        <v/>
      </c>
      <c r="AA3451" s="0" t="str">
        <f aca="false">IF(AND(C3450=C3451,W3450=W3451-1),Y3450,"")</f>
        <v/>
      </c>
      <c r="AB3451" s="0" t="str">
        <f aca="false">IF(W3451=1,"",IF(AND(X3451=1,Z3451&lt;&gt;1),1,0))</f>
        <v/>
      </c>
      <c r="AC3451" s="0" t="str">
        <f aca="false">IF(W3451=1,"",IF(AND(Y3451=1,AA3451&lt;&gt;1),1,0))</f>
        <v/>
      </c>
      <c r="AD3451" s="33" t="str">
        <f aca="false">IF(AND(E3451&gt;0,W3451&lt;1,NOT(AND(C3452=C3451,W3452=W3451+1))),INDEX(DATAS,W3451+1),"")</f>
        <v/>
      </c>
      <c r="AE3451" s="33" t="str">
        <f aca="false">IF(AND(Y3451=1,W3451&lt;1),IF(AND(C3452=C3451,W3452=W3451+1),IF(Y3452=1,"",INDEX(DATAS,W3451+1)),INDEX(DATAS,W3451+1)),"")</f>
        <v/>
      </c>
    </row>
    <row r="3452" customFormat="false" ht="15" hidden="false" customHeight="false" outlineLevel="0" collapsed="false">
      <c r="A3452" s="33" t="n">
        <v>46309</v>
      </c>
      <c r="B3452" s="0" t="n">
        <v>13</v>
      </c>
      <c r="C3452" s="0" t="n">
        <v>7894</v>
      </c>
      <c r="E3452" s="0" t="n">
        <v>0</v>
      </c>
      <c r="F3452" s="27" t="s">
        <v>1588</v>
      </c>
      <c r="I3452" s="27" t="s">
        <v>166</v>
      </c>
      <c r="U3452" s="0" t="n">
        <v>103</v>
      </c>
      <c r="V3452" s="0" t="n">
        <v>0</v>
      </c>
      <c r="W3452" s="27" t="n">
        <f aca="false">MATCH(A3452,DATAS,0)</f>
        <v>1</v>
      </c>
      <c r="X3452" s="27" t="n">
        <f aca="false">IF(AND(E3452&gt;0,OR(AND(B3452&gt;=1,B3452&lt;=6),B3452=10)),1,0)</f>
        <v>0</v>
      </c>
      <c r="Y3452" s="27" t="n">
        <f aca="false">IF(AND(E3452&gt;0,B3452=10),1,0)</f>
        <v>0</v>
      </c>
      <c r="Z3452" s="0" t="str">
        <f aca="false">IF(AND(C3451=C3452,W3451=W3452-1),X3451,"")</f>
        <v/>
      </c>
      <c r="AA3452" s="0" t="str">
        <f aca="false">IF(AND(C3451=C3452,W3451=W3452-1),Y3451,"")</f>
        <v/>
      </c>
      <c r="AB3452" s="0" t="str">
        <f aca="false">IF(W3452=1,"",IF(AND(X3452=1,Z3452&lt;&gt;1),1,0))</f>
        <v/>
      </c>
      <c r="AC3452" s="0" t="str">
        <f aca="false">IF(W3452=1,"",IF(AND(Y3452=1,AA3452&lt;&gt;1),1,0))</f>
        <v/>
      </c>
      <c r="AD3452" s="33" t="str">
        <f aca="false">IF(AND(E3452&gt;0,W3452&lt;1,NOT(AND(C3453=C3452,W3453=W3452+1))),INDEX(DATAS,W3452+1),"")</f>
        <v/>
      </c>
      <c r="AE3452" s="33" t="str">
        <f aca="false">IF(AND(Y3452=1,W3452&lt;1),IF(AND(C3453=C3452,W3453=W3452+1),IF(Y3453=1,"",INDEX(DATAS,W3452+1)),INDEX(DATAS,W3452+1)),"")</f>
        <v/>
      </c>
    </row>
    <row r="3453" customFormat="false" ht="15" hidden="false" customHeight="false" outlineLevel="0" collapsed="false">
      <c r="A3453" s="33" t="n">
        <v>46309</v>
      </c>
      <c r="B3453" s="0" t="n">
        <v>13</v>
      </c>
      <c r="C3453" s="0" t="n">
        <v>7895</v>
      </c>
      <c r="E3453" s="0" t="n">
        <v>0</v>
      </c>
      <c r="F3453" s="27" t="s">
        <v>1588</v>
      </c>
      <c r="I3453" s="27" t="s">
        <v>166</v>
      </c>
      <c r="U3453" s="0" t="n">
        <v>103</v>
      </c>
      <c r="V3453" s="0" t="n">
        <v>0</v>
      </c>
      <c r="W3453" s="27" t="n">
        <f aca="false">MATCH(A3453,DATAS,0)</f>
        <v>1</v>
      </c>
      <c r="X3453" s="27" t="n">
        <f aca="false">IF(AND(E3453&gt;0,OR(AND(B3453&gt;=1,B3453&lt;=6),B3453=10)),1,0)</f>
        <v>0</v>
      </c>
      <c r="Y3453" s="27" t="n">
        <f aca="false">IF(AND(E3453&gt;0,B3453=10),1,0)</f>
        <v>0</v>
      </c>
      <c r="Z3453" s="0" t="str">
        <f aca="false">IF(AND(C3452=C3453,W3452=W3453-1),X3452,"")</f>
        <v/>
      </c>
      <c r="AA3453" s="0" t="str">
        <f aca="false">IF(AND(C3452=C3453,W3452=W3453-1),Y3452,"")</f>
        <v/>
      </c>
      <c r="AB3453" s="0" t="str">
        <f aca="false">IF(W3453=1,"",IF(AND(X3453=1,Z3453&lt;&gt;1),1,0))</f>
        <v/>
      </c>
      <c r="AC3453" s="0" t="str">
        <f aca="false">IF(W3453=1,"",IF(AND(Y3453=1,AA3453&lt;&gt;1),1,0))</f>
        <v/>
      </c>
      <c r="AD3453" s="33" t="str">
        <f aca="false">IF(AND(E3453&gt;0,W3453&lt;1,NOT(AND(C3454=C3453,W3454=W3453+1))),INDEX(DATAS,W3453+1),"")</f>
        <v/>
      </c>
      <c r="AE3453" s="33" t="str">
        <f aca="false">IF(AND(Y3453=1,W3453&lt;1),IF(AND(C3454=C3453,W3454=W3453+1),IF(Y3454=1,"",INDEX(DATAS,W3453+1)),INDEX(DATAS,W3453+1)),"")</f>
        <v/>
      </c>
    </row>
    <row r="3454" customFormat="false" ht="15" hidden="false" customHeight="false" outlineLevel="0" collapsed="false">
      <c r="A3454" s="33" t="n">
        <v>46309</v>
      </c>
      <c r="B3454" s="0" t="n">
        <v>13</v>
      </c>
      <c r="C3454" s="0" t="n">
        <v>7896</v>
      </c>
      <c r="E3454" s="0" t="n">
        <v>0</v>
      </c>
      <c r="F3454" s="27" t="s">
        <v>1588</v>
      </c>
      <c r="I3454" s="27" t="s">
        <v>166</v>
      </c>
      <c r="U3454" s="0" t="n">
        <v>103</v>
      </c>
      <c r="V3454" s="0" t="n">
        <v>0</v>
      </c>
      <c r="W3454" s="27" t="n">
        <f aca="false">MATCH(A3454,DATAS,0)</f>
        <v>1</v>
      </c>
      <c r="X3454" s="27" t="n">
        <f aca="false">IF(AND(E3454&gt;0,OR(AND(B3454&gt;=1,B3454&lt;=6),B3454=10)),1,0)</f>
        <v>0</v>
      </c>
      <c r="Y3454" s="27" t="n">
        <f aca="false">IF(AND(E3454&gt;0,B3454=10),1,0)</f>
        <v>0</v>
      </c>
      <c r="Z3454" s="0" t="str">
        <f aca="false">IF(AND(C3453=C3454,W3453=W3454-1),X3453,"")</f>
        <v/>
      </c>
      <c r="AA3454" s="0" t="str">
        <f aca="false">IF(AND(C3453=C3454,W3453=W3454-1),Y3453,"")</f>
        <v/>
      </c>
      <c r="AB3454" s="0" t="str">
        <f aca="false">IF(W3454=1,"",IF(AND(X3454=1,Z3454&lt;&gt;1),1,0))</f>
        <v/>
      </c>
      <c r="AC3454" s="0" t="str">
        <f aca="false">IF(W3454=1,"",IF(AND(Y3454=1,AA3454&lt;&gt;1),1,0))</f>
        <v/>
      </c>
      <c r="AD3454" s="33" t="str">
        <f aca="false">IF(AND(E3454&gt;0,W3454&lt;1,NOT(AND(C3455=C3454,W3455=W3454+1))),INDEX(DATAS,W3454+1),"")</f>
        <v/>
      </c>
      <c r="AE3454" s="33" t="str">
        <f aca="false">IF(AND(Y3454=1,W3454&lt;1),IF(AND(C3455=C3454,W3455=W3454+1),IF(Y3455=1,"",INDEX(DATAS,W3454+1)),INDEX(DATAS,W3454+1)),"")</f>
        <v/>
      </c>
    </row>
    <row r="3455" customFormat="false" ht="15" hidden="false" customHeight="false" outlineLevel="0" collapsed="false">
      <c r="A3455" s="33" t="n">
        <v>46309</v>
      </c>
      <c r="B3455" s="0" t="n">
        <v>13</v>
      </c>
      <c r="C3455" s="0" t="n">
        <v>7897</v>
      </c>
      <c r="E3455" s="0" t="n">
        <v>0</v>
      </c>
      <c r="F3455" s="27" t="s">
        <v>1588</v>
      </c>
      <c r="I3455" s="27" t="s">
        <v>166</v>
      </c>
      <c r="U3455" s="0" t="n">
        <v>103</v>
      </c>
      <c r="V3455" s="0" t="n">
        <v>0</v>
      </c>
      <c r="W3455" s="27" t="n">
        <f aca="false">MATCH(A3455,DATAS,0)</f>
        <v>1</v>
      </c>
      <c r="X3455" s="27" t="n">
        <f aca="false">IF(AND(E3455&gt;0,OR(AND(B3455&gt;=1,B3455&lt;=6),B3455=10)),1,0)</f>
        <v>0</v>
      </c>
      <c r="Y3455" s="27" t="n">
        <f aca="false">IF(AND(E3455&gt;0,B3455=10),1,0)</f>
        <v>0</v>
      </c>
      <c r="Z3455" s="0" t="str">
        <f aca="false">IF(AND(C3454=C3455,W3454=W3455-1),X3454,"")</f>
        <v/>
      </c>
      <c r="AA3455" s="0" t="str">
        <f aca="false">IF(AND(C3454=C3455,W3454=W3455-1),Y3454,"")</f>
        <v/>
      </c>
      <c r="AB3455" s="0" t="str">
        <f aca="false">IF(W3455=1,"",IF(AND(X3455=1,Z3455&lt;&gt;1),1,0))</f>
        <v/>
      </c>
      <c r="AC3455" s="0" t="str">
        <f aca="false">IF(W3455=1,"",IF(AND(Y3455=1,AA3455&lt;&gt;1),1,0))</f>
        <v/>
      </c>
      <c r="AD3455" s="33" t="str">
        <f aca="false">IF(AND(E3455&gt;0,W3455&lt;1,NOT(AND(C3456=C3455,W3456=W3455+1))),INDEX(DATAS,W3455+1),"")</f>
        <v/>
      </c>
      <c r="AE3455" s="33" t="str">
        <f aca="false">IF(AND(Y3455=1,W3455&lt;1),IF(AND(C3456=C3455,W3456=W3455+1),IF(Y3456=1,"",INDEX(DATAS,W3455+1)),INDEX(DATAS,W3455+1)),"")</f>
        <v/>
      </c>
    </row>
    <row r="3456" customFormat="false" ht="15" hidden="false" customHeight="false" outlineLevel="0" collapsed="false">
      <c r="A3456" s="33" t="n">
        <v>46309</v>
      </c>
      <c r="B3456" s="0" t="n">
        <v>13</v>
      </c>
      <c r="C3456" s="0" t="n">
        <v>7898</v>
      </c>
      <c r="E3456" s="0" t="n">
        <v>0</v>
      </c>
      <c r="F3456" s="27" t="s">
        <v>1589</v>
      </c>
      <c r="I3456" s="27" t="s">
        <v>166</v>
      </c>
      <c r="U3456" s="0" t="n">
        <v>102</v>
      </c>
      <c r="V3456" s="0" t="n">
        <v>0</v>
      </c>
      <c r="W3456" s="27" t="n">
        <f aca="false">MATCH(A3456,DATAS,0)</f>
        <v>1</v>
      </c>
      <c r="X3456" s="27" t="n">
        <f aca="false">IF(AND(E3456&gt;0,OR(AND(B3456&gt;=1,B3456&lt;=6),B3456=10)),1,0)</f>
        <v>0</v>
      </c>
      <c r="Y3456" s="27" t="n">
        <f aca="false">IF(AND(E3456&gt;0,B3456=10),1,0)</f>
        <v>0</v>
      </c>
      <c r="Z3456" s="0" t="str">
        <f aca="false">IF(AND(C3455=C3456,W3455=W3456-1),X3455,"")</f>
        <v/>
      </c>
      <c r="AA3456" s="0" t="str">
        <f aca="false">IF(AND(C3455=C3456,W3455=W3456-1),Y3455,"")</f>
        <v/>
      </c>
      <c r="AB3456" s="0" t="str">
        <f aca="false">IF(W3456=1,"",IF(AND(X3456=1,Z3456&lt;&gt;1),1,0))</f>
        <v/>
      </c>
      <c r="AC3456" s="0" t="str">
        <f aca="false">IF(W3456=1,"",IF(AND(Y3456=1,AA3456&lt;&gt;1),1,0))</f>
        <v/>
      </c>
      <c r="AD3456" s="33" t="str">
        <f aca="false">IF(AND(E3456&gt;0,W3456&lt;1,NOT(AND(C3457=C3456,W3457=W3456+1))),INDEX(DATAS,W3456+1),"")</f>
        <v/>
      </c>
      <c r="AE3456" s="33" t="str">
        <f aca="false">IF(AND(Y3456=1,W3456&lt;1),IF(AND(C3457=C3456,W3457=W3456+1),IF(Y3457=1,"",INDEX(DATAS,W3456+1)),INDEX(DATAS,W3456+1)),"")</f>
        <v/>
      </c>
    </row>
    <row r="3457" customFormat="false" ht="15" hidden="false" customHeight="false" outlineLevel="0" collapsed="false">
      <c r="A3457" s="33" t="n">
        <v>46309</v>
      </c>
      <c r="B3457" s="0" t="n">
        <v>13</v>
      </c>
      <c r="C3457" s="0" t="n">
        <v>7899</v>
      </c>
      <c r="E3457" s="0" t="n">
        <v>0</v>
      </c>
      <c r="F3457" s="27" t="s">
        <v>1589</v>
      </c>
      <c r="I3457" s="27" t="s">
        <v>166</v>
      </c>
      <c r="U3457" s="0" t="n">
        <v>102</v>
      </c>
      <c r="V3457" s="0" t="n">
        <v>0</v>
      </c>
      <c r="W3457" s="27" t="n">
        <f aca="false">MATCH(A3457,DATAS,0)</f>
        <v>1</v>
      </c>
      <c r="X3457" s="27" t="n">
        <f aca="false">IF(AND(E3457&gt;0,OR(AND(B3457&gt;=1,B3457&lt;=6),B3457=10)),1,0)</f>
        <v>0</v>
      </c>
      <c r="Y3457" s="27" t="n">
        <f aca="false">IF(AND(E3457&gt;0,B3457=10),1,0)</f>
        <v>0</v>
      </c>
      <c r="Z3457" s="0" t="str">
        <f aca="false">IF(AND(C3456=C3457,W3456=W3457-1),X3456,"")</f>
        <v/>
      </c>
      <c r="AA3457" s="0" t="str">
        <f aca="false">IF(AND(C3456=C3457,W3456=W3457-1),Y3456,"")</f>
        <v/>
      </c>
      <c r="AB3457" s="0" t="str">
        <f aca="false">IF(W3457=1,"",IF(AND(X3457=1,Z3457&lt;&gt;1),1,0))</f>
        <v/>
      </c>
      <c r="AC3457" s="0" t="str">
        <f aca="false">IF(W3457=1,"",IF(AND(Y3457=1,AA3457&lt;&gt;1),1,0))</f>
        <v/>
      </c>
      <c r="AD3457" s="33" t="str">
        <f aca="false">IF(AND(E3457&gt;0,W3457&lt;1,NOT(AND(C3458=C3457,W3458=W3457+1))),INDEX(DATAS,W3457+1),"")</f>
        <v/>
      </c>
      <c r="AE3457" s="33" t="str">
        <f aca="false">IF(AND(Y3457=1,W3457&lt;1),IF(AND(C3458=C3457,W3458=W3457+1),IF(Y3458=1,"",INDEX(DATAS,W3457+1)),INDEX(DATAS,W3457+1)),"")</f>
        <v/>
      </c>
    </row>
    <row r="3458" customFormat="false" ht="15" hidden="false" customHeight="false" outlineLevel="0" collapsed="false">
      <c r="A3458" s="33" t="n">
        <v>46309</v>
      </c>
      <c r="B3458" s="0" t="n">
        <v>13</v>
      </c>
      <c r="C3458" s="0" t="n">
        <v>7900</v>
      </c>
      <c r="E3458" s="0" t="n">
        <v>0</v>
      </c>
      <c r="F3458" s="27" t="s">
        <v>1589</v>
      </c>
      <c r="I3458" s="27" t="s">
        <v>166</v>
      </c>
      <c r="U3458" s="0" t="n">
        <v>102</v>
      </c>
      <c r="V3458" s="0" t="n">
        <v>0</v>
      </c>
      <c r="W3458" s="27" t="n">
        <f aca="false">MATCH(A3458,DATAS,0)</f>
        <v>1</v>
      </c>
      <c r="X3458" s="27" t="n">
        <f aca="false">IF(AND(E3458&gt;0,OR(AND(B3458&gt;=1,B3458&lt;=6),B3458=10)),1,0)</f>
        <v>0</v>
      </c>
      <c r="Y3458" s="27" t="n">
        <f aca="false">IF(AND(E3458&gt;0,B3458=10),1,0)</f>
        <v>0</v>
      </c>
      <c r="Z3458" s="0" t="str">
        <f aca="false">IF(AND(C3457=C3458,W3457=W3458-1),X3457,"")</f>
        <v/>
      </c>
      <c r="AA3458" s="0" t="str">
        <f aca="false">IF(AND(C3457=C3458,W3457=W3458-1),Y3457,"")</f>
        <v/>
      </c>
      <c r="AB3458" s="0" t="str">
        <f aca="false">IF(W3458=1,"",IF(AND(X3458=1,Z3458&lt;&gt;1),1,0))</f>
        <v/>
      </c>
      <c r="AC3458" s="0" t="str">
        <f aca="false">IF(W3458=1,"",IF(AND(Y3458=1,AA3458&lt;&gt;1),1,0))</f>
        <v/>
      </c>
      <c r="AD3458" s="33" t="str">
        <f aca="false">IF(AND(E3458&gt;0,W3458&lt;1,NOT(AND(C3459=C3458,W3459=W3458+1))),INDEX(DATAS,W3458+1),"")</f>
        <v/>
      </c>
      <c r="AE3458" s="33" t="str">
        <f aca="false">IF(AND(Y3458=1,W3458&lt;1),IF(AND(C3459=C3458,W3459=W3458+1),IF(Y3459=1,"",INDEX(DATAS,W3458+1)),INDEX(DATAS,W3458+1)),"")</f>
        <v/>
      </c>
    </row>
    <row r="3459" customFormat="false" ht="15" hidden="false" customHeight="false" outlineLevel="0" collapsed="false">
      <c r="A3459" s="33" t="n">
        <v>46309</v>
      </c>
      <c r="B3459" s="0" t="n">
        <v>13</v>
      </c>
      <c r="C3459" s="0" t="n">
        <v>7901</v>
      </c>
      <c r="E3459" s="0" t="n">
        <v>0</v>
      </c>
      <c r="F3459" s="27" t="s">
        <v>1589</v>
      </c>
      <c r="I3459" s="27" t="s">
        <v>166</v>
      </c>
      <c r="U3459" s="0" t="n">
        <v>102</v>
      </c>
      <c r="V3459" s="0" t="n">
        <v>0</v>
      </c>
      <c r="W3459" s="27" t="n">
        <f aca="false">MATCH(A3459,DATAS,0)</f>
        <v>1</v>
      </c>
      <c r="X3459" s="27" t="n">
        <f aca="false">IF(AND(E3459&gt;0,OR(AND(B3459&gt;=1,B3459&lt;=6),B3459=10)),1,0)</f>
        <v>0</v>
      </c>
      <c r="Y3459" s="27" t="n">
        <f aca="false">IF(AND(E3459&gt;0,B3459=10),1,0)</f>
        <v>0</v>
      </c>
      <c r="Z3459" s="0" t="str">
        <f aca="false">IF(AND(C3458=C3459,W3458=W3459-1),X3458,"")</f>
        <v/>
      </c>
      <c r="AA3459" s="0" t="str">
        <f aca="false">IF(AND(C3458=C3459,W3458=W3459-1),Y3458,"")</f>
        <v/>
      </c>
      <c r="AB3459" s="0" t="str">
        <f aca="false">IF(W3459=1,"",IF(AND(X3459=1,Z3459&lt;&gt;1),1,0))</f>
        <v/>
      </c>
      <c r="AC3459" s="0" t="str">
        <f aca="false">IF(W3459=1,"",IF(AND(Y3459=1,AA3459&lt;&gt;1),1,0))</f>
        <v/>
      </c>
      <c r="AD3459" s="33" t="str">
        <f aca="false">IF(AND(E3459&gt;0,W3459&lt;1,NOT(AND(C3460=C3459,W3460=W3459+1))),INDEX(DATAS,W3459+1),"")</f>
        <v/>
      </c>
      <c r="AE3459" s="33" t="str">
        <f aca="false">IF(AND(Y3459=1,W3459&lt;1),IF(AND(C3460=C3459,W3460=W3459+1),IF(Y3460=1,"",INDEX(DATAS,W3459+1)),INDEX(DATAS,W3459+1)),"")</f>
        <v/>
      </c>
    </row>
    <row r="3460" customFormat="false" ht="15" hidden="false" customHeight="false" outlineLevel="0" collapsed="false">
      <c r="A3460" s="33" t="n">
        <v>46309</v>
      </c>
      <c r="B3460" s="0" t="n">
        <v>13</v>
      </c>
      <c r="C3460" s="0" t="n">
        <v>7902</v>
      </c>
      <c r="E3460" s="0" t="n">
        <v>0</v>
      </c>
      <c r="F3460" s="27" t="s">
        <v>1589</v>
      </c>
      <c r="I3460" s="27" t="s">
        <v>166</v>
      </c>
      <c r="U3460" s="0" t="n">
        <v>102</v>
      </c>
      <c r="V3460" s="0" t="n">
        <v>0</v>
      </c>
      <c r="W3460" s="27" t="n">
        <f aca="false">MATCH(A3460,DATAS,0)</f>
        <v>1</v>
      </c>
      <c r="X3460" s="27" t="n">
        <f aca="false">IF(AND(E3460&gt;0,OR(AND(B3460&gt;=1,B3460&lt;=6),B3460=10)),1,0)</f>
        <v>0</v>
      </c>
      <c r="Y3460" s="27" t="n">
        <f aca="false">IF(AND(E3460&gt;0,B3460=10),1,0)</f>
        <v>0</v>
      </c>
      <c r="Z3460" s="0" t="str">
        <f aca="false">IF(AND(C3459=C3460,W3459=W3460-1),X3459,"")</f>
        <v/>
      </c>
      <c r="AA3460" s="0" t="str">
        <f aca="false">IF(AND(C3459=C3460,W3459=W3460-1),Y3459,"")</f>
        <v/>
      </c>
      <c r="AB3460" s="0" t="str">
        <f aca="false">IF(W3460=1,"",IF(AND(X3460=1,Z3460&lt;&gt;1),1,0))</f>
        <v/>
      </c>
      <c r="AC3460" s="0" t="str">
        <f aca="false">IF(W3460=1,"",IF(AND(Y3460=1,AA3460&lt;&gt;1),1,0))</f>
        <v/>
      </c>
      <c r="AD3460" s="33" t="str">
        <f aca="false">IF(AND(E3460&gt;0,W3460&lt;1,NOT(AND(C3461=C3460,W3461=W3460+1))),INDEX(DATAS,W3460+1),"")</f>
        <v/>
      </c>
      <c r="AE3460" s="33" t="str">
        <f aca="false">IF(AND(Y3460=1,W3460&lt;1),IF(AND(C3461=C3460,W3461=W3460+1),IF(Y3461=1,"",INDEX(DATAS,W3460+1)),INDEX(DATAS,W3460+1)),"")</f>
        <v/>
      </c>
    </row>
    <row r="3461" customFormat="false" ht="15" hidden="false" customHeight="false" outlineLevel="0" collapsed="false">
      <c r="A3461" s="33" t="n">
        <v>46309</v>
      </c>
      <c r="B3461" s="0" t="n">
        <v>13</v>
      </c>
      <c r="C3461" s="0" t="n">
        <v>7903</v>
      </c>
      <c r="E3461" s="0" t="n">
        <v>0</v>
      </c>
      <c r="F3461" s="27" t="s">
        <v>1590</v>
      </c>
      <c r="I3461" s="27" t="s">
        <v>166</v>
      </c>
      <c r="U3461" s="0" t="n">
        <v>101</v>
      </c>
      <c r="V3461" s="0" t="n">
        <v>0</v>
      </c>
      <c r="W3461" s="27" t="n">
        <f aca="false">MATCH(A3461,DATAS,0)</f>
        <v>1</v>
      </c>
      <c r="X3461" s="27" t="n">
        <f aca="false">IF(AND(E3461&gt;0,OR(AND(B3461&gt;=1,B3461&lt;=6),B3461=10)),1,0)</f>
        <v>0</v>
      </c>
      <c r="Y3461" s="27" t="n">
        <f aca="false">IF(AND(E3461&gt;0,B3461=10),1,0)</f>
        <v>0</v>
      </c>
      <c r="Z3461" s="0" t="str">
        <f aca="false">IF(AND(C3460=C3461,W3460=W3461-1),X3460,"")</f>
        <v/>
      </c>
      <c r="AA3461" s="0" t="str">
        <f aca="false">IF(AND(C3460=C3461,W3460=W3461-1),Y3460,"")</f>
        <v/>
      </c>
      <c r="AB3461" s="0" t="str">
        <f aca="false">IF(W3461=1,"",IF(AND(X3461=1,Z3461&lt;&gt;1),1,0))</f>
        <v/>
      </c>
      <c r="AC3461" s="0" t="str">
        <f aca="false">IF(W3461=1,"",IF(AND(Y3461=1,AA3461&lt;&gt;1),1,0))</f>
        <v/>
      </c>
      <c r="AD3461" s="33" t="str">
        <f aca="false">IF(AND(E3461&gt;0,W3461&lt;1,NOT(AND(C3462=C3461,W3462=W3461+1))),INDEX(DATAS,W3461+1),"")</f>
        <v/>
      </c>
      <c r="AE3461" s="33" t="str">
        <f aca="false">IF(AND(Y3461=1,W3461&lt;1),IF(AND(C3462=C3461,W3462=W3461+1),IF(Y3462=1,"",INDEX(DATAS,W3461+1)),INDEX(DATAS,W3461+1)),"")</f>
        <v/>
      </c>
    </row>
    <row r="3462" customFormat="false" ht="15" hidden="false" customHeight="false" outlineLevel="0" collapsed="false">
      <c r="A3462" s="33" t="n">
        <v>46309</v>
      </c>
      <c r="B3462" s="0" t="n">
        <v>13</v>
      </c>
      <c r="C3462" s="0" t="n">
        <v>7904</v>
      </c>
      <c r="E3462" s="0" t="n">
        <v>0</v>
      </c>
      <c r="F3462" s="27" t="s">
        <v>1590</v>
      </c>
      <c r="I3462" s="27" t="s">
        <v>166</v>
      </c>
      <c r="U3462" s="0" t="n">
        <v>101</v>
      </c>
      <c r="V3462" s="0" t="n">
        <v>0</v>
      </c>
      <c r="W3462" s="27" t="n">
        <f aca="false">MATCH(A3462,DATAS,0)</f>
        <v>1</v>
      </c>
      <c r="X3462" s="27" t="n">
        <f aca="false">IF(AND(E3462&gt;0,OR(AND(B3462&gt;=1,B3462&lt;=6),B3462=10)),1,0)</f>
        <v>0</v>
      </c>
      <c r="Y3462" s="27" t="n">
        <f aca="false">IF(AND(E3462&gt;0,B3462=10),1,0)</f>
        <v>0</v>
      </c>
      <c r="Z3462" s="0" t="str">
        <f aca="false">IF(AND(C3461=C3462,W3461=W3462-1),X3461,"")</f>
        <v/>
      </c>
      <c r="AA3462" s="0" t="str">
        <f aca="false">IF(AND(C3461=C3462,W3461=W3462-1),Y3461,"")</f>
        <v/>
      </c>
      <c r="AB3462" s="0" t="str">
        <f aca="false">IF(W3462=1,"",IF(AND(X3462=1,Z3462&lt;&gt;1),1,0))</f>
        <v/>
      </c>
      <c r="AC3462" s="0" t="str">
        <f aca="false">IF(W3462=1,"",IF(AND(Y3462=1,AA3462&lt;&gt;1),1,0))</f>
        <v/>
      </c>
      <c r="AD3462" s="33" t="str">
        <f aca="false">IF(AND(E3462&gt;0,W3462&lt;1,NOT(AND(C3463=C3462,W3463=W3462+1))),INDEX(DATAS,W3462+1),"")</f>
        <v/>
      </c>
      <c r="AE3462" s="33" t="str">
        <f aca="false">IF(AND(Y3462=1,W3462&lt;1),IF(AND(C3463=C3462,W3463=W3462+1),IF(Y3463=1,"",INDEX(DATAS,W3462+1)),INDEX(DATAS,W3462+1)),"")</f>
        <v/>
      </c>
    </row>
    <row r="3463" customFormat="false" ht="15" hidden="false" customHeight="false" outlineLevel="0" collapsed="false">
      <c r="A3463" s="33" t="n">
        <v>46309</v>
      </c>
      <c r="B3463" s="0" t="n">
        <v>13</v>
      </c>
      <c r="C3463" s="0" t="n">
        <v>7905</v>
      </c>
      <c r="E3463" s="0" t="n">
        <v>0</v>
      </c>
      <c r="F3463" s="27" t="s">
        <v>1590</v>
      </c>
      <c r="I3463" s="27" t="s">
        <v>166</v>
      </c>
      <c r="U3463" s="0" t="n">
        <v>101</v>
      </c>
      <c r="V3463" s="0" t="n">
        <v>0</v>
      </c>
      <c r="W3463" s="27" t="n">
        <f aca="false">MATCH(A3463,DATAS,0)</f>
        <v>1</v>
      </c>
      <c r="X3463" s="27" t="n">
        <f aca="false">IF(AND(E3463&gt;0,OR(AND(B3463&gt;=1,B3463&lt;=6),B3463=10)),1,0)</f>
        <v>0</v>
      </c>
      <c r="Y3463" s="27" t="n">
        <f aca="false">IF(AND(E3463&gt;0,B3463=10),1,0)</f>
        <v>0</v>
      </c>
      <c r="Z3463" s="0" t="str">
        <f aca="false">IF(AND(C3462=C3463,W3462=W3463-1),X3462,"")</f>
        <v/>
      </c>
      <c r="AA3463" s="0" t="str">
        <f aca="false">IF(AND(C3462=C3463,W3462=W3463-1),Y3462,"")</f>
        <v/>
      </c>
      <c r="AB3463" s="0" t="str">
        <f aca="false">IF(W3463=1,"",IF(AND(X3463=1,Z3463&lt;&gt;1),1,0))</f>
        <v/>
      </c>
      <c r="AC3463" s="0" t="str">
        <f aca="false">IF(W3463=1,"",IF(AND(Y3463=1,AA3463&lt;&gt;1),1,0))</f>
        <v/>
      </c>
      <c r="AD3463" s="33" t="str">
        <f aca="false">IF(AND(E3463&gt;0,W3463&lt;1,NOT(AND(C3464=C3463,W3464=W3463+1))),INDEX(DATAS,W3463+1),"")</f>
        <v/>
      </c>
      <c r="AE3463" s="33" t="str">
        <f aca="false">IF(AND(Y3463=1,W3463&lt;1),IF(AND(C3464=C3463,W3464=W3463+1),IF(Y3464=1,"",INDEX(DATAS,W3463+1)),INDEX(DATAS,W3463+1)),"")</f>
        <v/>
      </c>
    </row>
    <row r="3464" customFormat="false" ht="15" hidden="false" customHeight="false" outlineLevel="0" collapsed="false">
      <c r="A3464" s="33" t="n">
        <v>46309</v>
      </c>
      <c r="B3464" s="0" t="n">
        <v>13</v>
      </c>
      <c r="C3464" s="0" t="n">
        <v>7906</v>
      </c>
      <c r="E3464" s="0" t="n">
        <v>0</v>
      </c>
      <c r="F3464" s="27" t="s">
        <v>1590</v>
      </c>
      <c r="I3464" s="27" t="s">
        <v>166</v>
      </c>
      <c r="U3464" s="0" t="n">
        <v>101</v>
      </c>
      <c r="V3464" s="0" t="n">
        <v>0</v>
      </c>
      <c r="W3464" s="27" t="n">
        <f aca="false">MATCH(A3464,DATAS,0)</f>
        <v>1</v>
      </c>
      <c r="X3464" s="27" t="n">
        <f aca="false">IF(AND(E3464&gt;0,OR(AND(B3464&gt;=1,B3464&lt;=6),B3464=10)),1,0)</f>
        <v>0</v>
      </c>
      <c r="Y3464" s="27" t="n">
        <f aca="false">IF(AND(E3464&gt;0,B3464=10),1,0)</f>
        <v>0</v>
      </c>
      <c r="Z3464" s="0" t="str">
        <f aca="false">IF(AND(C3463=C3464,W3463=W3464-1),X3463,"")</f>
        <v/>
      </c>
      <c r="AA3464" s="0" t="str">
        <f aca="false">IF(AND(C3463=C3464,W3463=W3464-1),Y3463,"")</f>
        <v/>
      </c>
      <c r="AB3464" s="0" t="str">
        <f aca="false">IF(W3464=1,"",IF(AND(X3464=1,Z3464&lt;&gt;1),1,0))</f>
        <v/>
      </c>
      <c r="AC3464" s="0" t="str">
        <f aca="false">IF(W3464=1,"",IF(AND(Y3464=1,AA3464&lt;&gt;1),1,0))</f>
        <v/>
      </c>
      <c r="AD3464" s="33" t="str">
        <f aca="false">IF(AND(E3464&gt;0,W3464&lt;1,NOT(AND(C3465=C3464,W3465=W3464+1))),INDEX(DATAS,W3464+1),"")</f>
        <v/>
      </c>
      <c r="AE3464" s="33" t="str">
        <f aca="false">IF(AND(Y3464=1,W3464&lt;1),IF(AND(C3465=C3464,W3465=W3464+1),IF(Y3465=1,"",INDEX(DATAS,W3464+1)),INDEX(DATAS,W3464+1)),"")</f>
        <v/>
      </c>
    </row>
    <row r="3465" customFormat="false" ht="15" hidden="false" customHeight="false" outlineLevel="0" collapsed="false">
      <c r="A3465" s="33" t="n">
        <v>46309</v>
      </c>
      <c r="B3465" s="0" t="n">
        <v>13</v>
      </c>
      <c r="C3465" s="0" t="n">
        <v>7909</v>
      </c>
      <c r="E3465" s="0" t="n">
        <v>0</v>
      </c>
      <c r="F3465" s="27" t="s">
        <v>1591</v>
      </c>
      <c r="I3465" s="27" t="s">
        <v>166</v>
      </c>
      <c r="U3465" s="0" t="n">
        <v>100</v>
      </c>
      <c r="V3465" s="0" t="n">
        <v>0</v>
      </c>
      <c r="W3465" s="27" t="n">
        <f aca="false">MATCH(A3465,DATAS,0)</f>
        <v>1</v>
      </c>
      <c r="X3465" s="27" t="n">
        <f aca="false">IF(AND(E3465&gt;0,OR(AND(B3465&gt;=1,B3465&lt;=6),B3465=10)),1,0)</f>
        <v>0</v>
      </c>
      <c r="Y3465" s="27" t="n">
        <f aca="false">IF(AND(E3465&gt;0,B3465=10),1,0)</f>
        <v>0</v>
      </c>
      <c r="Z3465" s="0" t="str">
        <f aca="false">IF(AND(C3464=C3465,W3464=W3465-1),X3464,"")</f>
        <v/>
      </c>
      <c r="AA3465" s="0" t="str">
        <f aca="false">IF(AND(C3464=C3465,W3464=W3465-1),Y3464,"")</f>
        <v/>
      </c>
      <c r="AB3465" s="0" t="str">
        <f aca="false">IF(W3465=1,"",IF(AND(X3465=1,Z3465&lt;&gt;1),1,0))</f>
        <v/>
      </c>
      <c r="AC3465" s="0" t="str">
        <f aca="false">IF(W3465=1,"",IF(AND(Y3465=1,AA3465&lt;&gt;1),1,0))</f>
        <v/>
      </c>
      <c r="AD3465" s="33" t="str">
        <f aca="false">IF(AND(E3465&gt;0,W3465&lt;1,NOT(AND(C3466=C3465,W3466=W3465+1))),INDEX(DATAS,W3465+1),"")</f>
        <v/>
      </c>
      <c r="AE3465" s="33" t="str">
        <f aca="false">IF(AND(Y3465=1,W3465&lt;1),IF(AND(C3466=C3465,W3466=W3465+1),IF(Y3466=1,"",INDEX(DATAS,W3465+1)),INDEX(DATAS,W3465+1)),"")</f>
        <v/>
      </c>
    </row>
    <row r="3466" customFormat="false" ht="15" hidden="false" customHeight="false" outlineLevel="0" collapsed="false">
      <c r="A3466" s="33" t="n">
        <v>46309</v>
      </c>
      <c r="B3466" s="0" t="n">
        <v>13</v>
      </c>
      <c r="C3466" s="0" t="n">
        <v>7910</v>
      </c>
      <c r="E3466" s="0" t="n">
        <v>0</v>
      </c>
      <c r="F3466" s="27" t="s">
        <v>1591</v>
      </c>
      <c r="I3466" s="27" t="s">
        <v>166</v>
      </c>
      <c r="U3466" s="0" t="n">
        <v>100</v>
      </c>
      <c r="V3466" s="0" t="n">
        <v>0</v>
      </c>
      <c r="W3466" s="27" t="n">
        <f aca="false">MATCH(A3466,DATAS,0)</f>
        <v>1</v>
      </c>
      <c r="X3466" s="27" t="n">
        <f aca="false">IF(AND(E3466&gt;0,OR(AND(B3466&gt;=1,B3466&lt;=6),B3466=10)),1,0)</f>
        <v>0</v>
      </c>
      <c r="Y3466" s="27" t="n">
        <f aca="false">IF(AND(E3466&gt;0,B3466=10),1,0)</f>
        <v>0</v>
      </c>
      <c r="Z3466" s="0" t="str">
        <f aca="false">IF(AND(C3465=C3466,W3465=W3466-1),X3465,"")</f>
        <v/>
      </c>
      <c r="AA3466" s="0" t="str">
        <f aca="false">IF(AND(C3465=C3466,W3465=W3466-1),Y3465,"")</f>
        <v/>
      </c>
      <c r="AB3466" s="0" t="str">
        <f aca="false">IF(W3466=1,"",IF(AND(X3466=1,Z3466&lt;&gt;1),1,0))</f>
        <v/>
      </c>
      <c r="AC3466" s="0" t="str">
        <f aca="false">IF(W3466=1,"",IF(AND(Y3466=1,AA3466&lt;&gt;1),1,0))</f>
        <v/>
      </c>
      <c r="AD3466" s="33" t="str">
        <f aca="false">IF(AND(E3466&gt;0,W3466&lt;1,NOT(AND(C3467=C3466,W3467=W3466+1))),INDEX(DATAS,W3466+1),"")</f>
        <v/>
      </c>
      <c r="AE3466" s="33" t="str">
        <f aca="false">IF(AND(Y3466=1,W3466&lt;1),IF(AND(C3467=C3466,W3467=W3466+1),IF(Y3467=1,"",INDEX(DATAS,W3466+1)),INDEX(DATAS,W3466+1)),"")</f>
        <v/>
      </c>
    </row>
    <row r="3467" customFormat="false" ht="15" hidden="false" customHeight="false" outlineLevel="0" collapsed="false">
      <c r="A3467" s="33" t="n">
        <v>46309</v>
      </c>
      <c r="B3467" s="0" t="n">
        <v>13</v>
      </c>
      <c r="C3467" s="0" t="n">
        <v>7911</v>
      </c>
      <c r="E3467" s="0" t="n">
        <v>0</v>
      </c>
      <c r="F3467" s="27" t="s">
        <v>1591</v>
      </c>
      <c r="I3467" s="27" t="s">
        <v>166</v>
      </c>
      <c r="U3467" s="0" t="n">
        <v>100</v>
      </c>
      <c r="V3467" s="0" t="n">
        <v>0</v>
      </c>
      <c r="W3467" s="27" t="n">
        <f aca="false">MATCH(A3467,DATAS,0)</f>
        <v>1</v>
      </c>
      <c r="X3467" s="27" t="n">
        <f aca="false">IF(AND(E3467&gt;0,OR(AND(B3467&gt;=1,B3467&lt;=6),B3467=10)),1,0)</f>
        <v>0</v>
      </c>
      <c r="Y3467" s="27" t="n">
        <f aca="false">IF(AND(E3467&gt;0,B3467=10),1,0)</f>
        <v>0</v>
      </c>
      <c r="Z3467" s="0" t="str">
        <f aca="false">IF(AND(C3466=C3467,W3466=W3467-1),X3466,"")</f>
        <v/>
      </c>
      <c r="AA3467" s="0" t="str">
        <f aca="false">IF(AND(C3466=C3467,W3466=W3467-1),Y3466,"")</f>
        <v/>
      </c>
      <c r="AB3467" s="0" t="str">
        <f aca="false">IF(W3467=1,"",IF(AND(X3467=1,Z3467&lt;&gt;1),1,0))</f>
        <v/>
      </c>
      <c r="AC3467" s="0" t="str">
        <f aca="false">IF(W3467=1,"",IF(AND(Y3467=1,AA3467&lt;&gt;1),1,0))</f>
        <v/>
      </c>
      <c r="AD3467" s="33" t="str">
        <f aca="false">IF(AND(E3467&gt;0,W3467&lt;1,NOT(AND(C3468=C3467,W3468=W3467+1))),INDEX(DATAS,W3467+1),"")</f>
        <v/>
      </c>
      <c r="AE3467" s="33" t="str">
        <f aca="false">IF(AND(Y3467=1,W3467&lt;1),IF(AND(C3468=C3467,W3468=W3467+1),IF(Y3468=1,"",INDEX(DATAS,W3467+1)),INDEX(DATAS,W3467+1)),"")</f>
        <v/>
      </c>
    </row>
    <row r="3468" customFormat="false" ht="15" hidden="false" customHeight="false" outlineLevel="0" collapsed="false">
      <c r="A3468" s="33" t="n">
        <v>46309</v>
      </c>
      <c r="B3468" s="0" t="n">
        <v>13</v>
      </c>
      <c r="C3468" s="0" t="n">
        <v>7912</v>
      </c>
      <c r="E3468" s="0" t="n">
        <v>0</v>
      </c>
      <c r="F3468" s="27" t="s">
        <v>1591</v>
      </c>
      <c r="I3468" s="27" t="s">
        <v>166</v>
      </c>
      <c r="U3468" s="0" t="n">
        <v>100</v>
      </c>
      <c r="V3468" s="0" t="n">
        <v>0</v>
      </c>
      <c r="W3468" s="27" t="n">
        <f aca="false">MATCH(A3468,DATAS,0)</f>
        <v>1</v>
      </c>
      <c r="X3468" s="27" t="n">
        <f aca="false">IF(AND(E3468&gt;0,OR(AND(B3468&gt;=1,B3468&lt;=6),B3468=10)),1,0)</f>
        <v>0</v>
      </c>
      <c r="Y3468" s="27" t="n">
        <f aca="false">IF(AND(E3468&gt;0,B3468=10),1,0)</f>
        <v>0</v>
      </c>
      <c r="Z3468" s="0" t="str">
        <f aca="false">IF(AND(C3467=C3468,W3467=W3468-1),X3467,"")</f>
        <v/>
      </c>
      <c r="AA3468" s="0" t="str">
        <f aca="false">IF(AND(C3467=C3468,W3467=W3468-1),Y3467,"")</f>
        <v/>
      </c>
      <c r="AB3468" s="0" t="str">
        <f aca="false">IF(W3468=1,"",IF(AND(X3468=1,Z3468&lt;&gt;1),1,0))</f>
        <v/>
      </c>
      <c r="AC3468" s="0" t="str">
        <f aca="false">IF(W3468=1,"",IF(AND(Y3468=1,AA3468&lt;&gt;1),1,0))</f>
        <v/>
      </c>
      <c r="AD3468" s="33" t="str">
        <f aca="false">IF(AND(E3468&gt;0,W3468&lt;1,NOT(AND(C3469=C3468,W3469=W3468+1))),INDEX(DATAS,W3468+1),"")</f>
        <v/>
      </c>
      <c r="AE3468" s="33" t="str">
        <f aca="false">IF(AND(Y3468=1,W3468&lt;1),IF(AND(C3469=C3468,W3469=W3468+1),IF(Y3469=1,"",INDEX(DATAS,W3468+1)),INDEX(DATAS,W3468+1)),"")</f>
        <v/>
      </c>
    </row>
    <row r="3469" customFormat="false" ht="15" hidden="false" customHeight="false" outlineLevel="0" collapsed="false">
      <c r="A3469" s="33" t="n">
        <v>46309</v>
      </c>
      <c r="B3469" s="0" t="n">
        <v>13</v>
      </c>
      <c r="C3469" s="0" t="n">
        <v>7913</v>
      </c>
      <c r="E3469" s="0" t="n">
        <v>0</v>
      </c>
      <c r="F3469" s="27" t="s">
        <v>1591</v>
      </c>
      <c r="I3469" s="27" t="s">
        <v>166</v>
      </c>
      <c r="U3469" s="0" t="n">
        <v>100</v>
      </c>
      <c r="V3469" s="0" t="n">
        <v>0</v>
      </c>
      <c r="W3469" s="27" t="n">
        <f aca="false">MATCH(A3469,DATAS,0)</f>
        <v>1</v>
      </c>
      <c r="X3469" s="27" t="n">
        <f aca="false">IF(AND(E3469&gt;0,OR(AND(B3469&gt;=1,B3469&lt;=6),B3469=10)),1,0)</f>
        <v>0</v>
      </c>
      <c r="Y3469" s="27" t="n">
        <f aca="false">IF(AND(E3469&gt;0,B3469=10),1,0)</f>
        <v>0</v>
      </c>
      <c r="Z3469" s="0" t="str">
        <f aca="false">IF(AND(C3468=C3469,W3468=W3469-1),X3468,"")</f>
        <v/>
      </c>
      <c r="AA3469" s="0" t="str">
        <f aca="false">IF(AND(C3468=C3469,W3468=W3469-1),Y3468,"")</f>
        <v/>
      </c>
      <c r="AB3469" s="0" t="str">
        <f aca="false">IF(W3469=1,"",IF(AND(X3469=1,Z3469&lt;&gt;1),1,0))</f>
        <v/>
      </c>
      <c r="AC3469" s="0" t="str">
        <f aca="false">IF(W3469=1,"",IF(AND(Y3469=1,AA3469&lt;&gt;1),1,0))</f>
        <v/>
      </c>
      <c r="AD3469" s="33" t="str">
        <f aca="false">IF(AND(E3469&gt;0,W3469&lt;1,NOT(AND(C3470=C3469,W3470=W3469+1))),INDEX(DATAS,W3469+1),"")</f>
        <v/>
      </c>
      <c r="AE3469" s="33" t="str">
        <f aca="false">IF(AND(Y3469=1,W3469&lt;1),IF(AND(C3470=C3469,W3470=W3469+1),IF(Y3470=1,"",INDEX(DATAS,W3469+1)),INDEX(DATAS,W3469+1)),"")</f>
        <v/>
      </c>
    </row>
    <row r="3470" customFormat="false" ht="15" hidden="false" customHeight="false" outlineLevel="0" collapsed="false">
      <c r="A3470" s="33" t="n">
        <v>46309</v>
      </c>
      <c r="B3470" s="0" t="n">
        <v>13</v>
      </c>
      <c r="C3470" s="0" t="n">
        <v>7914</v>
      </c>
      <c r="E3470" s="0" t="n">
        <v>0</v>
      </c>
      <c r="F3470" s="27" t="s">
        <v>1591</v>
      </c>
      <c r="I3470" s="27" t="s">
        <v>166</v>
      </c>
      <c r="U3470" s="0" t="n">
        <v>100</v>
      </c>
      <c r="V3470" s="0" t="n">
        <v>0</v>
      </c>
      <c r="W3470" s="27" t="n">
        <f aca="false">MATCH(A3470,DATAS,0)</f>
        <v>1</v>
      </c>
      <c r="X3470" s="27" t="n">
        <f aca="false">IF(AND(E3470&gt;0,OR(AND(B3470&gt;=1,B3470&lt;=6),B3470=10)),1,0)</f>
        <v>0</v>
      </c>
      <c r="Y3470" s="27" t="n">
        <f aca="false">IF(AND(E3470&gt;0,B3470=10),1,0)</f>
        <v>0</v>
      </c>
      <c r="Z3470" s="0" t="str">
        <f aca="false">IF(AND(C3469=C3470,W3469=W3470-1),X3469,"")</f>
        <v/>
      </c>
      <c r="AA3470" s="0" t="str">
        <f aca="false">IF(AND(C3469=C3470,W3469=W3470-1),Y3469,"")</f>
        <v/>
      </c>
      <c r="AB3470" s="0" t="str">
        <f aca="false">IF(W3470=1,"",IF(AND(X3470=1,Z3470&lt;&gt;1),1,0))</f>
        <v/>
      </c>
      <c r="AC3470" s="0" t="str">
        <f aca="false">IF(W3470=1,"",IF(AND(Y3470=1,AA3470&lt;&gt;1),1,0))</f>
        <v/>
      </c>
      <c r="AD3470" s="33" t="str">
        <f aca="false">IF(AND(E3470&gt;0,W3470&lt;1,NOT(AND(C3471=C3470,W3471=W3470+1))),INDEX(DATAS,W3470+1),"")</f>
        <v/>
      </c>
      <c r="AE3470" s="33" t="str">
        <f aca="false">IF(AND(Y3470=1,W3470&lt;1),IF(AND(C3471=C3470,W3471=W3470+1),IF(Y3471=1,"",INDEX(DATAS,W3470+1)),INDEX(DATAS,W3470+1)),"")</f>
        <v/>
      </c>
    </row>
    <row r="3471" customFormat="false" ht="15" hidden="false" customHeight="false" outlineLevel="0" collapsed="false">
      <c r="A3471" s="33" t="n">
        <v>46309</v>
      </c>
      <c r="B3471" s="0" t="n">
        <v>13</v>
      </c>
      <c r="C3471" s="0" t="n">
        <v>7915</v>
      </c>
      <c r="E3471" s="0" t="n">
        <v>0</v>
      </c>
      <c r="F3471" s="27" t="s">
        <v>1591</v>
      </c>
      <c r="I3471" s="27" t="s">
        <v>166</v>
      </c>
      <c r="U3471" s="0" t="n">
        <v>100</v>
      </c>
      <c r="V3471" s="0" t="n">
        <v>0</v>
      </c>
      <c r="W3471" s="27" t="n">
        <f aca="false">MATCH(A3471,DATAS,0)</f>
        <v>1</v>
      </c>
      <c r="X3471" s="27" t="n">
        <f aca="false">IF(AND(E3471&gt;0,OR(AND(B3471&gt;=1,B3471&lt;=6),B3471=10)),1,0)</f>
        <v>0</v>
      </c>
      <c r="Y3471" s="27" t="n">
        <f aca="false">IF(AND(E3471&gt;0,B3471=10),1,0)</f>
        <v>0</v>
      </c>
      <c r="Z3471" s="0" t="str">
        <f aca="false">IF(AND(C3470=C3471,W3470=W3471-1),X3470,"")</f>
        <v/>
      </c>
      <c r="AA3471" s="0" t="str">
        <f aca="false">IF(AND(C3470=C3471,W3470=W3471-1),Y3470,"")</f>
        <v/>
      </c>
      <c r="AB3471" s="0" t="str">
        <f aca="false">IF(W3471=1,"",IF(AND(X3471=1,Z3471&lt;&gt;1),1,0))</f>
        <v/>
      </c>
      <c r="AC3471" s="0" t="str">
        <f aca="false">IF(W3471=1,"",IF(AND(Y3471=1,AA3471&lt;&gt;1),1,0))</f>
        <v/>
      </c>
      <c r="AD3471" s="33" t="str">
        <f aca="false">IF(AND(E3471&gt;0,W3471&lt;1,NOT(AND(C3472=C3471,W3472=W3471+1))),INDEX(DATAS,W3471+1),"")</f>
        <v/>
      </c>
      <c r="AE3471" s="33" t="str">
        <f aca="false">IF(AND(Y3471=1,W3471&lt;1),IF(AND(C3472=C3471,W3472=W3471+1),IF(Y3472=1,"",INDEX(DATAS,W3471+1)),INDEX(DATAS,W3471+1)),"")</f>
        <v/>
      </c>
    </row>
    <row r="3472" customFormat="false" ht="15" hidden="false" customHeight="false" outlineLevel="0" collapsed="false">
      <c r="A3472" s="33" t="n">
        <v>46309</v>
      </c>
      <c r="B3472" s="0" t="n">
        <v>13</v>
      </c>
      <c r="C3472" s="0" t="n">
        <v>7916</v>
      </c>
      <c r="E3472" s="0" t="n">
        <v>0</v>
      </c>
      <c r="F3472" s="27" t="s">
        <v>1592</v>
      </c>
      <c r="I3472" s="27" t="s">
        <v>166</v>
      </c>
      <c r="U3472" s="0" t="n">
        <v>99</v>
      </c>
      <c r="V3472" s="0" t="n">
        <v>0</v>
      </c>
      <c r="W3472" s="27" t="n">
        <f aca="false">MATCH(A3472,DATAS,0)</f>
        <v>1</v>
      </c>
      <c r="X3472" s="27" t="n">
        <f aca="false">IF(AND(E3472&gt;0,OR(AND(B3472&gt;=1,B3472&lt;=6),B3472=10)),1,0)</f>
        <v>0</v>
      </c>
      <c r="Y3472" s="27" t="n">
        <f aca="false">IF(AND(E3472&gt;0,B3472=10),1,0)</f>
        <v>0</v>
      </c>
      <c r="Z3472" s="0" t="str">
        <f aca="false">IF(AND(C3471=C3472,W3471=W3472-1),X3471,"")</f>
        <v/>
      </c>
      <c r="AA3472" s="0" t="str">
        <f aca="false">IF(AND(C3471=C3472,W3471=W3472-1),Y3471,"")</f>
        <v/>
      </c>
      <c r="AB3472" s="0" t="str">
        <f aca="false">IF(W3472=1,"",IF(AND(X3472=1,Z3472&lt;&gt;1),1,0))</f>
        <v/>
      </c>
      <c r="AC3472" s="0" t="str">
        <f aca="false">IF(W3472=1,"",IF(AND(Y3472=1,AA3472&lt;&gt;1),1,0))</f>
        <v/>
      </c>
      <c r="AD3472" s="33" t="str">
        <f aca="false">IF(AND(E3472&gt;0,W3472&lt;1,NOT(AND(C3473=C3472,W3473=W3472+1))),INDEX(DATAS,W3472+1),"")</f>
        <v/>
      </c>
      <c r="AE3472" s="33" t="str">
        <f aca="false">IF(AND(Y3472=1,W3472&lt;1),IF(AND(C3473=C3472,W3473=W3472+1),IF(Y3473=1,"",INDEX(DATAS,W3472+1)),INDEX(DATAS,W3472+1)),"")</f>
        <v/>
      </c>
    </row>
    <row r="3473" customFormat="false" ht="15" hidden="false" customHeight="false" outlineLevel="0" collapsed="false">
      <c r="A3473" s="33" t="n">
        <v>46309</v>
      </c>
      <c r="B3473" s="0" t="n">
        <v>13</v>
      </c>
      <c r="C3473" s="0" t="n">
        <v>7917</v>
      </c>
      <c r="E3473" s="0" t="n">
        <v>0</v>
      </c>
      <c r="F3473" s="27" t="s">
        <v>1592</v>
      </c>
      <c r="I3473" s="27" t="s">
        <v>166</v>
      </c>
      <c r="U3473" s="0" t="n">
        <v>99</v>
      </c>
      <c r="V3473" s="0" t="n">
        <v>0</v>
      </c>
      <c r="W3473" s="27" t="n">
        <f aca="false">MATCH(A3473,DATAS,0)</f>
        <v>1</v>
      </c>
      <c r="X3473" s="27" t="n">
        <f aca="false">IF(AND(E3473&gt;0,OR(AND(B3473&gt;=1,B3473&lt;=6),B3473=10)),1,0)</f>
        <v>0</v>
      </c>
      <c r="Y3473" s="27" t="n">
        <f aca="false">IF(AND(E3473&gt;0,B3473=10),1,0)</f>
        <v>0</v>
      </c>
      <c r="Z3473" s="0" t="str">
        <f aca="false">IF(AND(C3472=C3473,W3472=W3473-1),X3472,"")</f>
        <v/>
      </c>
      <c r="AA3473" s="0" t="str">
        <f aca="false">IF(AND(C3472=C3473,W3472=W3473-1),Y3472,"")</f>
        <v/>
      </c>
      <c r="AB3473" s="0" t="str">
        <f aca="false">IF(W3473=1,"",IF(AND(X3473=1,Z3473&lt;&gt;1),1,0))</f>
        <v/>
      </c>
      <c r="AC3473" s="0" t="str">
        <f aca="false">IF(W3473=1,"",IF(AND(Y3473=1,AA3473&lt;&gt;1),1,0))</f>
        <v/>
      </c>
      <c r="AD3473" s="33" t="str">
        <f aca="false">IF(AND(E3473&gt;0,W3473&lt;1,NOT(AND(C3474=C3473,W3474=W3473+1))),INDEX(DATAS,W3473+1),"")</f>
        <v/>
      </c>
      <c r="AE3473" s="33" t="str">
        <f aca="false">IF(AND(Y3473=1,W3473&lt;1),IF(AND(C3474=C3473,W3474=W3473+1),IF(Y3474=1,"",INDEX(DATAS,W3473+1)),INDEX(DATAS,W3473+1)),"")</f>
        <v/>
      </c>
    </row>
    <row r="3474" customFormat="false" ht="15" hidden="false" customHeight="false" outlineLevel="0" collapsed="false">
      <c r="A3474" s="33" t="n">
        <v>46309</v>
      </c>
      <c r="B3474" s="0" t="n">
        <v>13</v>
      </c>
      <c r="C3474" s="0" t="n">
        <v>7918</v>
      </c>
      <c r="E3474" s="0" t="n">
        <v>0</v>
      </c>
      <c r="F3474" s="27" t="s">
        <v>1592</v>
      </c>
      <c r="I3474" s="27" t="s">
        <v>166</v>
      </c>
      <c r="U3474" s="0" t="n">
        <v>99</v>
      </c>
      <c r="V3474" s="0" t="n">
        <v>0</v>
      </c>
      <c r="W3474" s="27" t="n">
        <f aca="false">MATCH(A3474,DATAS,0)</f>
        <v>1</v>
      </c>
      <c r="X3474" s="27" t="n">
        <f aca="false">IF(AND(E3474&gt;0,OR(AND(B3474&gt;=1,B3474&lt;=6),B3474=10)),1,0)</f>
        <v>0</v>
      </c>
      <c r="Y3474" s="27" t="n">
        <f aca="false">IF(AND(E3474&gt;0,B3474=10),1,0)</f>
        <v>0</v>
      </c>
      <c r="Z3474" s="0" t="str">
        <f aca="false">IF(AND(C3473=C3474,W3473=W3474-1),X3473,"")</f>
        <v/>
      </c>
      <c r="AA3474" s="0" t="str">
        <f aca="false">IF(AND(C3473=C3474,W3473=W3474-1),Y3473,"")</f>
        <v/>
      </c>
      <c r="AB3474" s="0" t="str">
        <f aca="false">IF(W3474=1,"",IF(AND(X3474=1,Z3474&lt;&gt;1),1,0))</f>
        <v/>
      </c>
      <c r="AC3474" s="0" t="str">
        <f aca="false">IF(W3474=1,"",IF(AND(Y3474=1,AA3474&lt;&gt;1),1,0))</f>
        <v/>
      </c>
      <c r="AD3474" s="33" t="str">
        <f aca="false">IF(AND(E3474&gt;0,W3474&lt;1,NOT(AND(C3475=C3474,W3475=W3474+1))),INDEX(DATAS,W3474+1),"")</f>
        <v/>
      </c>
      <c r="AE3474" s="33" t="str">
        <f aca="false">IF(AND(Y3474=1,W3474&lt;1),IF(AND(C3475=C3474,W3475=W3474+1),IF(Y3475=1,"",INDEX(DATAS,W3474+1)),INDEX(DATAS,W3474+1)),"")</f>
        <v/>
      </c>
    </row>
    <row r="3475" customFormat="false" ht="15" hidden="false" customHeight="false" outlineLevel="0" collapsed="false">
      <c r="A3475" s="33" t="n">
        <v>46309</v>
      </c>
      <c r="B3475" s="0" t="n">
        <v>13</v>
      </c>
      <c r="C3475" s="0" t="n">
        <v>7919</v>
      </c>
      <c r="E3475" s="0" t="n">
        <v>0</v>
      </c>
      <c r="F3475" s="27" t="s">
        <v>1592</v>
      </c>
      <c r="I3475" s="27" t="s">
        <v>166</v>
      </c>
      <c r="U3475" s="0" t="n">
        <v>99</v>
      </c>
      <c r="V3475" s="0" t="n">
        <v>0</v>
      </c>
      <c r="W3475" s="27" t="n">
        <f aca="false">MATCH(A3475,DATAS,0)</f>
        <v>1</v>
      </c>
      <c r="X3475" s="27" t="n">
        <f aca="false">IF(AND(E3475&gt;0,OR(AND(B3475&gt;=1,B3475&lt;=6),B3475=10)),1,0)</f>
        <v>0</v>
      </c>
      <c r="Y3475" s="27" t="n">
        <f aca="false">IF(AND(E3475&gt;0,B3475=10),1,0)</f>
        <v>0</v>
      </c>
      <c r="Z3475" s="0" t="str">
        <f aca="false">IF(AND(C3474=C3475,W3474=W3475-1),X3474,"")</f>
        <v/>
      </c>
      <c r="AA3475" s="0" t="str">
        <f aca="false">IF(AND(C3474=C3475,W3474=W3475-1),Y3474,"")</f>
        <v/>
      </c>
      <c r="AB3475" s="0" t="str">
        <f aca="false">IF(W3475=1,"",IF(AND(X3475=1,Z3475&lt;&gt;1),1,0))</f>
        <v/>
      </c>
      <c r="AC3475" s="0" t="str">
        <f aca="false">IF(W3475=1,"",IF(AND(Y3475=1,AA3475&lt;&gt;1),1,0))</f>
        <v/>
      </c>
      <c r="AD3475" s="33" t="str">
        <f aca="false">IF(AND(E3475&gt;0,W3475&lt;1,NOT(AND(C3476=C3475,W3476=W3475+1))),INDEX(DATAS,W3475+1),"")</f>
        <v/>
      </c>
      <c r="AE3475" s="33" t="str">
        <f aca="false">IF(AND(Y3475=1,W3475&lt;1),IF(AND(C3476=C3475,W3476=W3475+1),IF(Y3476=1,"",INDEX(DATAS,W3475+1)),INDEX(DATAS,W3475+1)),"")</f>
        <v/>
      </c>
    </row>
    <row r="3476" customFormat="false" ht="15" hidden="false" customHeight="false" outlineLevel="0" collapsed="false">
      <c r="A3476" s="33" t="n">
        <v>46309</v>
      </c>
      <c r="B3476" s="0" t="n">
        <v>13</v>
      </c>
      <c r="C3476" s="0" t="n">
        <v>7920</v>
      </c>
      <c r="E3476" s="0" t="n">
        <v>0</v>
      </c>
      <c r="F3476" s="27" t="s">
        <v>1592</v>
      </c>
      <c r="I3476" s="27" t="s">
        <v>166</v>
      </c>
      <c r="U3476" s="0" t="n">
        <v>99</v>
      </c>
      <c r="V3476" s="0" t="n">
        <v>0</v>
      </c>
      <c r="W3476" s="27" t="n">
        <f aca="false">MATCH(A3476,DATAS,0)</f>
        <v>1</v>
      </c>
      <c r="X3476" s="27" t="n">
        <f aca="false">IF(AND(E3476&gt;0,OR(AND(B3476&gt;=1,B3476&lt;=6),B3476=10)),1,0)</f>
        <v>0</v>
      </c>
      <c r="Y3476" s="27" t="n">
        <f aca="false">IF(AND(E3476&gt;0,B3476=10),1,0)</f>
        <v>0</v>
      </c>
      <c r="Z3476" s="0" t="str">
        <f aca="false">IF(AND(C3475=C3476,W3475=W3476-1),X3475,"")</f>
        <v/>
      </c>
      <c r="AA3476" s="0" t="str">
        <f aca="false">IF(AND(C3475=C3476,W3475=W3476-1),Y3475,"")</f>
        <v/>
      </c>
      <c r="AB3476" s="0" t="str">
        <f aca="false">IF(W3476=1,"",IF(AND(X3476=1,Z3476&lt;&gt;1),1,0))</f>
        <v/>
      </c>
      <c r="AC3476" s="0" t="str">
        <f aca="false">IF(W3476=1,"",IF(AND(Y3476=1,AA3476&lt;&gt;1),1,0))</f>
        <v/>
      </c>
      <c r="AD3476" s="33" t="str">
        <f aca="false">IF(AND(E3476&gt;0,W3476&lt;1,NOT(AND(C3477=C3476,W3477=W3476+1))),INDEX(DATAS,W3476+1),"")</f>
        <v/>
      </c>
      <c r="AE3476" s="33" t="str">
        <f aca="false">IF(AND(Y3476=1,W3476&lt;1),IF(AND(C3477=C3476,W3477=W3476+1),IF(Y3477=1,"",INDEX(DATAS,W3476+1)),INDEX(DATAS,W3476+1)),"")</f>
        <v/>
      </c>
    </row>
    <row r="3477" customFormat="false" ht="15" hidden="false" customHeight="false" outlineLevel="0" collapsed="false">
      <c r="A3477" s="33" t="n">
        <v>46309</v>
      </c>
      <c r="B3477" s="0" t="n">
        <v>13</v>
      </c>
      <c r="C3477" s="0" t="n">
        <v>7921</v>
      </c>
      <c r="E3477" s="0" t="n">
        <v>0</v>
      </c>
      <c r="F3477" s="27" t="s">
        <v>1593</v>
      </c>
      <c r="I3477" s="27" t="s">
        <v>166</v>
      </c>
      <c r="U3477" s="0" t="n">
        <v>98</v>
      </c>
      <c r="V3477" s="0" t="n">
        <v>0</v>
      </c>
      <c r="W3477" s="27" t="n">
        <f aca="false">MATCH(A3477,DATAS,0)</f>
        <v>1</v>
      </c>
      <c r="X3477" s="27" t="n">
        <f aca="false">IF(AND(E3477&gt;0,OR(AND(B3477&gt;=1,B3477&lt;=6),B3477=10)),1,0)</f>
        <v>0</v>
      </c>
      <c r="Y3477" s="27" t="n">
        <f aca="false">IF(AND(E3477&gt;0,B3477=10),1,0)</f>
        <v>0</v>
      </c>
      <c r="Z3477" s="0" t="str">
        <f aca="false">IF(AND(C3476=C3477,W3476=W3477-1),X3476,"")</f>
        <v/>
      </c>
      <c r="AA3477" s="0" t="str">
        <f aca="false">IF(AND(C3476=C3477,W3476=W3477-1),Y3476,"")</f>
        <v/>
      </c>
      <c r="AB3477" s="0" t="str">
        <f aca="false">IF(W3477=1,"",IF(AND(X3477=1,Z3477&lt;&gt;1),1,0))</f>
        <v/>
      </c>
      <c r="AC3477" s="0" t="str">
        <f aca="false">IF(W3477=1,"",IF(AND(Y3477=1,AA3477&lt;&gt;1),1,0))</f>
        <v/>
      </c>
      <c r="AD3477" s="33" t="str">
        <f aca="false">IF(AND(E3477&gt;0,W3477&lt;1,NOT(AND(C3478=C3477,W3478=W3477+1))),INDEX(DATAS,W3477+1),"")</f>
        <v/>
      </c>
      <c r="AE3477" s="33" t="str">
        <f aca="false">IF(AND(Y3477=1,W3477&lt;1),IF(AND(C3478=C3477,W3478=W3477+1),IF(Y3478=1,"",INDEX(DATAS,W3477+1)),INDEX(DATAS,W3477+1)),"")</f>
        <v/>
      </c>
    </row>
    <row r="3478" customFormat="false" ht="15" hidden="false" customHeight="false" outlineLevel="0" collapsed="false">
      <c r="A3478" s="33" t="n">
        <v>46309</v>
      </c>
      <c r="B3478" s="0" t="n">
        <v>13</v>
      </c>
      <c r="C3478" s="0" t="n">
        <v>7922</v>
      </c>
      <c r="E3478" s="0" t="n">
        <v>0</v>
      </c>
      <c r="F3478" s="27" t="s">
        <v>1594</v>
      </c>
      <c r="I3478" s="27" t="s">
        <v>166</v>
      </c>
      <c r="U3478" s="0" t="n">
        <v>97</v>
      </c>
      <c r="V3478" s="0" t="n">
        <v>0</v>
      </c>
      <c r="W3478" s="27" t="n">
        <f aca="false">MATCH(A3478,DATAS,0)</f>
        <v>1</v>
      </c>
      <c r="X3478" s="27" t="n">
        <f aca="false">IF(AND(E3478&gt;0,OR(AND(B3478&gt;=1,B3478&lt;=6),B3478=10)),1,0)</f>
        <v>0</v>
      </c>
      <c r="Y3478" s="27" t="n">
        <f aca="false">IF(AND(E3478&gt;0,B3478=10),1,0)</f>
        <v>0</v>
      </c>
      <c r="Z3478" s="0" t="str">
        <f aca="false">IF(AND(C3477=C3478,W3477=W3478-1),X3477,"")</f>
        <v/>
      </c>
      <c r="AA3478" s="0" t="str">
        <f aca="false">IF(AND(C3477=C3478,W3477=W3478-1),Y3477,"")</f>
        <v/>
      </c>
      <c r="AB3478" s="0" t="str">
        <f aca="false">IF(W3478=1,"",IF(AND(X3478=1,Z3478&lt;&gt;1),1,0))</f>
        <v/>
      </c>
      <c r="AC3478" s="0" t="str">
        <f aca="false">IF(W3478=1,"",IF(AND(Y3478=1,AA3478&lt;&gt;1),1,0))</f>
        <v/>
      </c>
      <c r="AD3478" s="33" t="str">
        <f aca="false">IF(AND(E3478&gt;0,W3478&lt;1,NOT(AND(C3479=C3478,W3479=W3478+1))),INDEX(DATAS,W3478+1),"")</f>
        <v/>
      </c>
      <c r="AE3478" s="33" t="str">
        <f aca="false">IF(AND(Y3478=1,W3478&lt;1),IF(AND(C3479=C3478,W3479=W3478+1),IF(Y3479=1,"",INDEX(DATAS,W3478+1)),INDEX(DATAS,W3478+1)),"")</f>
        <v/>
      </c>
    </row>
    <row r="3479" customFormat="false" ht="15" hidden="false" customHeight="false" outlineLevel="0" collapsed="false">
      <c r="A3479" s="33" t="n">
        <v>46309</v>
      </c>
      <c r="B3479" s="0" t="n">
        <v>13</v>
      </c>
      <c r="C3479" s="0" t="n">
        <v>7923</v>
      </c>
      <c r="E3479" s="0" t="n">
        <v>0</v>
      </c>
      <c r="F3479" s="27" t="s">
        <v>1594</v>
      </c>
      <c r="I3479" s="27" t="s">
        <v>166</v>
      </c>
      <c r="U3479" s="0" t="n">
        <v>97</v>
      </c>
      <c r="V3479" s="0" t="n">
        <v>0</v>
      </c>
      <c r="W3479" s="27" t="n">
        <f aca="false">MATCH(A3479,DATAS,0)</f>
        <v>1</v>
      </c>
      <c r="X3479" s="27" t="n">
        <f aca="false">IF(AND(E3479&gt;0,OR(AND(B3479&gt;=1,B3479&lt;=6),B3479=10)),1,0)</f>
        <v>0</v>
      </c>
      <c r="Y3479" s="27" t="n">
        <f aca="false">IF(AND(E3479&gt;0,B3479=10),1,0)</f>
        <v>0</v>
      </c>
      <c r="Z3479" s="0" t="str">
        <f aca="false">IF(AND(C3478=C3479,W3478=W3479-1),X3478,"")</f>
        <v/>
      </c>
      <c r="AA3479" s="0" t="str">
        <f aca="false">IF(AND(C3478=C3479,W3478=W3479-1),Y3478,"")</f>
        <v/>
      </c>
      <c r="AB3479" s="0" t="str">
        <f aca="false">IF(W3479=1,"",IF(AND(X3479=1,Z3479&lt;&gt;1),1,0))</f>
        <v/>
      </c>
      <c r="AC3479" s="0" t="str">
        <f aca="false">IF(W3479=1,"",IF(AND(Y3479=1,AA3479&lt;&gt;1),1,0))</f>
        <v/>
      </c>
      <c r="AD3479" s="33" t="str">
        <f aca="false">IF(AND(E3479&gt;0,W3479&lt;1,NOT(AND(C3480=C3479,W3480=W3479+1))),INDEX(DATAS,W3479+1),"")</f>
        <v/>
      </c>
      <c r="AE3479" s="33" t="str">
        <f aca="false">IF(AND(Y3479=1,W3479&lt;1),IF(AND(C3480=C3479,W3480=W3479+1),IF(Y3480=1,"",INDEX(DATAS,W3479+1)),INDEX(DATAS,W3479+1)),"")</f>
        <v/>
      </c>
    </row>
    <row r="3480" customFormat="false" ht="15" hidden="false" customHeight="false" outlineLevel="0" collapsed="false">
      <c r="A3480" s="33" t="n">
        <v>46309</v>
      </c>
      <c r="B3480" s="0" t="n">
        <v>13</v>
      </c>
      <c r="C3480" s="0" t="n">
        <v>7924</v>
      </c>
      <c r="E3480" s="0" t="n">
        <v>0</v>
      </c>
      <c r="F3480" s="27" t="s">
        <v>1594</v>
      </c>
      <c r="I3480" s="27" t="s">
        <v>166</v>
      </c>
      <c r="U3480" s="0" t="n">
        <v>97</v>
      </c>
      <c r="V3480" s="0" t="n">
        <v>0</v>
      </c>
      <c r="W3480" s="27" t="n">
        <f aca="false">MATCH(A3480,DATAS,0)</f>
        <v>1</v>
      </c>
      <c r="X3480" s="27" t="n">
        <f aca="false">IF(AND(E3480&gt;0,OR(AND(B3480&gt;=1,B3480&lt;=6),B3480=10)),1,0)</f>
        <v>0</v>
      </c>
      <c r="Y3480" s="27" t="n">
        <f aca="false">IF(AND(E3480&gt;0,B3480=10),1,0)</f>
        <v>0</v>
      </c>
      <c r="Z3480" s="0" t="str">
        <f aca="false">IF(AND(C3479=C3480,W3479=W3480-1),X3479,"")</f>
        <v/>
      </c>
      <c r="AA3480" s="0" t="str">
        <f aca="false">IF(AND(C3479=C3480,W3479=W3480-1),Y3479,"")</f>
        <v/>
      </c>
      <c r="AB3480" s="0" t="str">
        <f aca="false">IF(W3480=1,"",IF(AND(X3480=1,Z3480&lt;&gt;1),1,0))</f>
        <v/>
      </c>
      <c r="AC3480" s="0" t="str">
        <f aca="false">IF(W3480=1,"",IF(AND(Y3480=1,AA3480&lt;&gt;1),1,0))</f>
        <v/>
      </c>
      <c r="AD3480" s="33" t="str">
        <f aca="false">IF(AND(E3480&gt;0,W3480&lt;1,NOT(AND(C3481=C3480,W3481=W3480+1))),INDEX(DATAS,W3480+1),"")</f>
        <v/>
      </c>
      <c r="AE3480" s="33" t="str">
        <f aca="false">IF(AND(Y3480=1,W3480&lt;1),IF(AND(C3481=C3480,W3481=W3480+1),IF(Y3481=1,"",INDEX(DATAS,W3480+1)),INDEX(DATAS,W3480+1)),"")</f>
        <v/>
      </c>
    </row>
    <row r="3481" customFormat="false" ht="15" hidden="false" customHeight="false" outlineLevel="0" collapsed="false">
      <c r="A3481" s="33" t="n">
        <v>46309</v>
      </c>
      <c r="B3481" s="0" t="n">
        <v>13</v>
      </c>
      <c r="C3481" s="0" t="n">
        <v>7925</v>
      </c>
      <c r="E3481" s="0" t="n">
        <v>0</v>
      </c>
      <c r="F3481" s="27" t="s">
        <v>1594</v>
      </c>
      <c r="I3481" s="27" t="s">
        <v>166</v>
      </c>
      <c r="U3481" s="0" t="n">
        <v>97</v>
      </c>
      <c r="V3481" s="0" t="n">
        <v>0</v>
      </c>
      <c r="W3481" s="27" t="n">
        <f aca="false">MATCH(A3481,DATAS,0)</f>
        <v>1</v>
      </c>
      <c r="X3481" s="27" t="n">
        <f aca="false">IF(AND(E3481&gt;0,OR(AND(B3481&gt;=1,B3481&lt;=6),B3481=10)),1,0)</f>
        <v>0</v>
      </c>
      <c r="Y3481" s="27" t="n">
        <f aca="false">IF(AND(E3481&gt;0,B3481=10),1,0)</f>
        <v>0</v>
      </c>
      <c r="Z3481" s="0" t="str">
        <f aca="false">IF(AND(C3480=C3481,W3480=W3481-1),X3480,"")</f>
        <v/>
      </c>
      <c r="AA3481" s="0" t="str">
        <f aca="false">IF(AND(C3480=C3481,W3480=W3481-1),Y3480,"")</f>
        <v/>
      </c>
      <c r="AB3481" s="0" t="str">
        <f aca="false">IF(W3481=1,"",IF(AND(X3481=1,Z3481&lt;&gt;1),1,0))</f>
        <v/>
      </c>
      <c r="AC3481" s="0" t="str">
        <f aca="false">IF(W3481=1,"",IF(AND(Y3481=1,AA3481&lt;&gt;1),1,0))</f>
        <v/>
      </c>
      <c r="AD3481" s="33" t="str">
        <f aca="false">IF(AND(E3481&gt;0,W3481&lt;1,NOT(AND(C3482=C3481,W3482=W3481+1))),INDEX(DATAS,W3481+1),"")</f>
        <v/>
      </c>
      <c r="AE3481" s="33" t="str">
        <f aca="false">IF(AND(Y3481=1,W3481&lt;1),IF(AND(C3482=C3481,W3482=W3481+1),IF(Y3482=1,"",INDEX(DATAS,W3481+1)),INDEX(DATAS,W3481+1)),"")</f>
        <v/>
      </c>
    </row>
    <row r="3482" customFormat="false" ht="15" hidden="false" customHeight="false" outlineLevel="0" collapsed="false">
      <c r="A3482" s="33" t="n">
        <v>46309</v>
      </c>
      <c r="B3482" s="0" t="n">
        <v>13</v>
      </c>
      <c r="C3482" s="0" t="n">
        <v>7926</v>
      </c>
      <c r="E3482" s="0" t="n">
        <v>0</v>
      </c>
      <c r="F3482" s="27" t="s">
        <v>1594</v>
      </c>
      <c r="I3482" s="27" t="s">
        <v>166</v>
      </c>
      <c r="U3482" s="0" t="n">
        <v>97</v>
      </c>
      <c r="V3482" s="0" t="n">
        <v>0</v>
      </c>
      <c r="W3482" s="27" t="n">
        <f aca="false">MATCH(A3482,DATAS,0)</f>
        <v>1</v>
      </c>
      <c r="X3482" s="27" t="n">
        <f aca="false">IF(AND(E3482&gt;0,OR(AND(B3482&gt;=1,B3482&lt;=6),B3482=10)),1,0)</f>
        <v>0</v>
      </c>
      <c r="Y3482" s="27" t="n">
        <f aca="false">IF(AND(E3482&gt;0,B3482=10),1,0)</f>
        <v>0</v>
      </c>
      <c r="Z3482" s="0" t="str">
        <f aca="false">IF(AND(C3481=C3482,W3481=W3482-1),X3481,"")</f>
        <v/>
      </c>
      <c r="AA3482" s="0" t="str">
        <f aca="false">IF(AND(C3481=C3482,W3481=W3482-1),Y3481,"")</f>
        <v/>
      </c>
      <c r="AB3482" s="0" t="str">
        <f aca="false">IF(W3482=1,"",IF(AND(X3482=1,Z3482&lt;&gt;1),1,0))</f>
        <v/>
      </c>
      <c r="AC3482" s="0" t="str">
        <f aca="false">IF(W3482=1,"",IF(AND(Y3482=1,AA3482&lt;&gt;1),1,0))</f>
        <v/>
      </c>
      <c r="AD3482" s="33" t="str">
        <f aca="false">IF(AND(E3482&gt;0,W3482&lt;1,NOT(AND(C3483=C3482,W3483=W3482+1))),INDEX(DATAS,W3482+1),"")</f>
        <v/>
      </c>
      <c r="AE3482" s="33" t="str">
        <f aca="false">IF(AND(Y3482=1,W3482&lt;1),IF(AND(C3483=C3482,W3483=W3482+1),IF(Y3483=1,"",INDEX(DATAS,W3482+1)),INDEX(DATAS,W3482+1)),"")</f>
        <v/>
      </c>
    </row>
    <row r="3483" customFormat="false" ht="15" hidden="false" customHeight="false" outlineLevel="0" collapsed="false">
      <c r="A3483" s="33" t="n">
        <v>46309</v>
      </c>
      <c r="B3483" s="0" t="n">
        <v>13</v>
      </c>
      <c r="C3483" s="0" t="n">
        <v>7927</v>
      </c>
      <c r="E3483" s="0" t="n">
        <v>0</v>
      </c>
      <c r="F3483" s="27" t="s">
        <v>1594</v>
      </c>
      <c r="I3483" s="27" t="s">
        <v>166</v>
      </c>
      <c r="U3483" s="0" t="n">
        <v>97</v>
      </c>
      <c r="V3483" s="0" t="n">
        <v>0</v>
      </c>
      <c r="W3483" s="27" t="n">
        <f aca="false">MATCH(A3483,DATAS,0)</f>
        <v>1</v>
      </c>
      <c r="X3483" s="27" t="n">
        <f aca="false">IF(AND(E3483&gt;0,OR(AND(B3483&gt;=1,B3483&lt;=6),B3483=10)),1,0)</f>
        <v>0</v>
      </c>
      <c r="Y3483" s="27" t="n">
        <f aca="false">IF(AND(E3483&gt;0,B3483=10),1,0)</f>
        <v>0</v>
      </c>
      <c r="Z3483" s="0" t="str">
        <f aca="false">IF(AND(C3482=C3483,W3482=W3483-1),X3482,"")</f>
        <v/>
      </c>
      <c r="AA3483" s="0" t="str">
        <f aca="false">IF(AND(C3482=C3483,W3482=W3483-1),Y3482,"")</f>
        <v/>
      </c>
      <c r="AB3483" s="0" t="str">
        <f aca="false">IF(W3483=1,"",IF(AND(X3483=1,Z3483&lt;&gt;1),1,0))</f>
        <v/>
      </c>
      <c r="AC3483" s="0" t="str">
        <f aca="false">IF(W3483=1,"",IF(AND(Y3483=1,AA3483&lt;&gt;1),1,0))</f>
        <v/>
      </c>
      <c r="AD3483" s="33" t="str">
        <f aca="false">IF(AND(E3483&gt;0,W3483&lt;1,NOT(AND(C3484=C3483,W3484=W3483+1))),INDEX(DATAS,W3483+1),"")</f>
        <v/>
      </c>
      <c r="AE3483" s="33" t="str">
        <f aca="false">IF(AND(Y3483=1,W3483&lt;1),IF(AND(C3484=C3483,W3484=W3483+1),IF(Y3484=1,"",INDEX(DATAS,W3483+1)),INDEX(DATAS,W3483+1)),"")</f>
        <v/>
      </c>
    </row>
    <row r="3484" customFormat="false" ht="15" hidden="false" customHeight="false" outlineLevel="0" collapsed="false">
      <c r="A3484" s="33" t="n">
        <v>46309</v>
      </c>
      <c r="B3484" s="0" t="n">
        <v>16</v>
      </c>
      <c r="C3484" s="0" t="n">
        <v>7928</v>
      </c>
      <c r="E3484" s="0" t="n">
        <v>0</v>
      </c>
      <c r="F3484" s="27" t="s">
        <v>1594</v>
      </c>
      <c r="I3484" s="27" t="s">
        <v>166</v>
      </c>
      <c r="U3484" s="0" t="n">
        <v>97</v>
      </c>
      <c r="V3484" s="0" t="n">
        <v>0</v>
      </c>
      <c r="W3484" s="27" t="n">
        <f aca="false">MATCH(A3484,DATAS,0)</f>
        <v>1</v>
      </c>
      <c r="X3484" s="27" t="n">
        <f aca="false">IF(AND(E3484&gt;0,OR(AND(B3484&gt;=1,B3484&lt;=6),B3484=10)),1,0)</f>
        <v>0</v>
      </c>
      <c r="Y3484" s="27" t="n">
        <f aca="false">IF(AND(E3484&gt;0,B3484=10),1,0)</f>
        <v>0</v>
      </c>
      <c r="Z3484" s="0" t="str">
        <f aca="false">IF(AND(C3483=C3484,W3483=W3484-1),X3483,"")</f>
        <v/>
      </c>
      <c r="AA3484" s="0" t="str">
        <f aca="false">IF(AND(C3483=C3484,W3483=W3484-1),Y3483,"")</f>
        <v/>
      </c>
      <c r="AB3484" s="0" t="str">
        <f aca="false">IF(W3484=1,"",IF(AND(X3484=1,Z3484&lt;&gt;1),1,0))</f>
        <v/>
      </c>
      <c r="AC3484" s="0" t="str">
        <f aca="false">IF(W3484=1,"",IF(AND(Y3484=1,AA3484&lt;&gt;1),1,0))</f>
        <v/>
      </c>
      <c r="AD3484" s="33" t="str">
        <f aca="false">IF(AND(E3484&gt;0,W3484&lt;1,NOT(AND(C3485=C3484,W3485=W3484+1))),INDEX(DATAS,W3484+1),"")</f>
        <v/>
      </c>
      <c r="AE3484" s="33" t="str">
        <f aca="false">IF(AND(Y3484=1,W3484&lt;1),IF(AND(C3485=C3484,W3485=W3484+1),IF(Y3485=1,"",INDEX(DATAS,W3484+1)),INDEX(DATAS,W3484+1)),"")</f>
        <v/>
      </c>
    </row>
    <row r="3485" customFormat="false" ht="15" hidden="false" customHeight="false" outlineLevel="0" collapsed="false">
      <c r="A3485" s="33" t="n">
        <v>46309</v>
      </c>
      <c r="B3485" s="0" t="n">
        <v>16</v>
      </c>
      <c r="C3485" s="0" t="n">
        <v>7929</v>
      </c>
      <c r="E3485" s="0" t="n">
        <v>0</v>
      </c>
      <c r="F3485" s="27" t="s">
        <v>1594</v>
      </c>
      <c r="I3485" s="27" t="s">
        <v>166</v>
      </c>
      <c r="U3485" s="0" t="n">
        <v>97</v>
      </c>
      <c r="V3485" s="0" t="n">
        <v>0</v>
      </c>
      <c r="W3485" s="27" t="n">
        <f aca="false">MATCH(A3485,DATAS,0)</f>
        <v>1</v>
      </c>
      <c r="X3485" s="27" t="n">
        <f aca="false">IF(AND(E3485&gt;0,OR(AND(B3485&gt;=1,B3485&lt;=6),B3485=10)),1,0)</f>
        <v>0</v>
      </c>
      <c r="Y3485" s="27" t="n">
        <f aca="false">IF(AND(E3485&gt;0,B3485=10),1,0)</f>
        <v>0</v>
      </c>
      <c r="Z3485" s="0" t="str">
        <f aca="false">IF(AND(C3484=C3485,W3484=W3485-1),X3484,"")</f>
        <v/>
      </c>
      <c r="AA3485" s="0" t="str">
        <f aca="false">IF(AND(C3484=C3485,W3484=W3485-1),Y3484,"")</f>
        <v/>
      </c>
      <c r="AB3485" s="0" t="str">
        <f aca="false">IF(W3485=1,"",IF(AND(X3485=1,Z3485&lt;&gt;1),1,0))</f>
        <v/>
      </c>
      <c r="AC3485" s="0" t="str">
        <f aca="false">IF(W3485=1,"",IF(AND(Y3485=1,AA3485&lt;&gt;1),1,0))</f>
        <v/>
      </c>
      <c r="AD3485" s="33" t="str">
        <f aca="false">IF(AND(E3485&gt;0,W3485&lt;1,NOT(AND(C3486=C3485,W3486=W3485+1))),INDEX(DATAS,W3485+1),"")</f>
        <v/>
      </c>
      <c r="AE3485" s="33" t="str">
        <f aca="false">IF(AND(Y3485=1,W3485&lt;1),IF(AND(C3486=C3485,W3486=W3485+1),IF(Y3486=1,"",INDEX(DATAS,W3485+1)),INDEX(DATAS,W3485+1)),"")</f>
        <v/>
      </c>
    </row>
    <row r="3486" customFormat="false" ht="15" hidden="false" customHeight="false" outlineLevel="0" collapsed="false">
      <c r="A3486" s="33" t="n">
        <v>46309</v>
      </c>
      <c r="B3486" s="0" t="n">
        <v>16</v>
      </c>
      <c r="C3486" s="0" t="n">
        <v>7930</v>
      </c>
      <c r="E3486" s="0" t="n">
        <v>0</v>
      </c>
      <c r="F3486" s="27" t="s">
        <v>1595</v>
      </c>
      <c r="I3486" s="27" t="s">
        <v>166</v>
      </c>
      <c r="U3486" s="0" t="n">
        <v>96</v>
      </c>
      <c r="V3486" s="0" t="n">
        <v>0</v>
      </c>
      <c r="W3486" s="27" t="n">
        <f aca="false">MATCH(A3486,DATAS,0)</f>
        <v>1</v>
      </c>
      <c r="X3486" s="27" t="n">
        <f aca="false">IF(AND(E3486&gt;0,OR(AND(B3486&gt;=1,B3486&lt;=6),B3486=10)),1,0)</f>
        <v>0</v>
      </c>
      <c r="Y3486" s="27" t="n">
        <f aca="false">IF(AND(E3486&gt;0,B3486=10),1,0)</f>
        <v>0</v>
      </c>
      <c r="Z3486" s="0" t="str">
        <f aca="false">IF(AND(C3485=C3486,W3485=W3486-1),X3485,"")</f>
        <v/>
      </c>
      <c r="AA3486" s="0" t="str">
        <f aca="false">IF(AND(C3485=C3486,W3485=W3486-1),Y3485,"")</f>
        <v/>
      </c>
      <c r="AB3486" s="0" t="str">
        <f aca="false">IF(W3486=1,"",IF(AND(X3486=1,Z3486&lt;&gt;1),1,0))</f>
        <v/>
      </c>
      <c r="AC3486" s="0" t="str">
        <f aca="false">IF(W3486=1,"",IF(AND(Y3486=1,AA3486&lt;&gt;1),1,0))</f>
        <v/>
      </c>
      <c r="AD3486" s="33" t="str">
        <f aca="false">IF(AND(E3486&gt;0,W3486&lt;1,NOT(AND(C3487=C3486,W3487=W3486+1))),INDEX(DATAS,W3486+1),"")</f>
        <v/>
      </c>
      <c r="AE3486" s="33" t="str">
        <f aca="false">IF(AND(Y3486=1,W3486&lt;1),IF(AND(C3487=C3486,W3487=W3486+1),IF(Y3487=1,"",INDEX(DATAS,W3486+1)),INDEX(DATAS,W3486+1)),"")</f>
        <v/>
      </c>
    </row>
    <row r="3487" customFormat="false" ht="15" hidden="false" customHeight="false" outlineLevel="0" collapsed="false">
      <c r="A3487" s="33" t="n">
        <v>46309</v>
      </c>
      <c r="B3487" s="0" t="n">
        <v>16</v>
      </c>
      <c r="C3487" s="0" t="n">
        <v>7931</v>
      </c>
      <c r="E3487" s="0" t="n">
        <v>0</v>
      </c>
      <c r="F3487" s="27" t="s">
        <v>1595</v>
      </c>
      <c r="I3487" s="27" t="s">
        <v>166</v>
      </c>
      <c r="U3487" s="0" t="n">
        <v>96</v>
      </c>
      <c r="V3487" s="0" t="n">
        <v>0</v>
      </c>
      <c r="W3487" s="27" t="n">
        <f aca="false">MATCH(A3487,DATAS,0)</f>
        <v>1</v>
      </c>
      <c r="X3487" s="27" t="n">
        <f aca="false">IF(AND(E3487&gt;0,OR(AND(B3487&gt;=1,B3487&lt;=6),B3487=10)),1,0)</f>
        <v>0</v>
      </c>
      <c r="Y3487" s="27" t="n">
        <f aca="false">IF(AND(E3487&gt;0,B3487=10),1,0)</f>
        <v>0</v>
      </c>
      <c r="Z3487" s="0" t="str">
        <f aca="false">IF(AND(C3486=C3487,W3486=W3487-1),X3486,"")</f>
        <v/>
      </c>
      <c r="AA3487" s="0" t="str">
        <f aca="false">IF(AND(C3486=C3487,W3486=W3487-1),Y3486,"")</f>
        <v/>
      </c>
      <c r="AB3487" s="0" t="str">
        <f aca="false">IF(W3487=1,"",IF(AND(X3487=1,Z3487&lt;&gt;1),1,0))</f>
        <v/>
      </c>
      <c r="AC3487" s="0" t="str">
        <f aca="false">IF(W3487=1,"",IF(AND(Y3487=1,AA3487&lt;&gt;1),1,0))</f>
        <v/>
      </c>
      <c r="AD3487" s="33" t="str">
        <f aca="false">IF(AND(E3487&gt;0,W3487&lt;1,NOT(AND(C3488=C3487,W3488=W3487+1))),INDEX(DATAS,W3487+1),"")</f>
        <v/>
      </c>
      <c r="AE3487" s="33" t="str">
        <f aca="false">IF(AND(Y3487=1,W3487&lt;1),IF(AND(C3488=C3487,W3488=W3487+1),IF(Y3488=1,"",INDEX(DATAS,W3487+1)),INDEX(DATAS,W3487+1)),"")</f>
        <v/>
      </c>
    </row>
    <row r="3488" customFormat="false" ht="15" hidden="false" customHeight="false" outlineLevel="0" collapsed="false">
      <c r="A3488" s="33" t="n">
        <v>46309</v>
      </c>
      <c r="B3488" s="0" t="n">
        <v>16</v>
      </c>
      <c r="C3488" s="0" t="n">
        <v>7932</v>
      </c>
      <c r="E3488" s="0" t="n">
        <v>0</v>
      </c>
      <c r="F3488" s="27" t="s">
        <v>1595</v>
      </c>
      <c r="I3488" s="27" t="s">
        <v>166</v>
      </c>
      <c r="U3488" s="0" t="n">
        <v>96</v>
      </c>
      <c r="V3488" s="0" t="n">
        <v>0</v>
      </c>
      <c r="W3488" s="27" t="n">
        <f aca="false">MATCH(A3488,DATAS,0)</f>
        <v>1</v>
      </c>
      <c r="X3488" s="27" t="n">
        <f aca="false">IF(AND(E3488&gt;0,OR(AND(B3488&gt;=1,B3488&lt;=6),B3488=10)),1,0)</f>
        <v>0</v>
      </c>
      <c r="Y3488" s="27" t="n">
        <f aca="false">IF(AND(E3488&gt;0,B3488=10),1,0)</f>
        <v>0</v>
      </c>
      <c r="Z3488" s="0" t="str">
        <f aca="false">IF(AND(C3487=C3488,W3487=W3488-1),X3487,"")</f>
        <v/>
      </c>
      <c r="AA3488" s="0" t="str">
        <f aca="false">IF(AND(C3487=C3488,W3487=W3488-1),Y3487,"")</f>
        <v/>
      </c>
      <c r="AB3488" s="0" t="str">
        <f aca="false">IF(W3488=1,"",IF(AND(X3488=1,Z3488&lt;&gt;1),1,0))</f>
        <v/>
      </c>
      <c r="AC3488" s="0" t="str">
        <f aca="false">IF(W3488=1,"",IF(AND(Y3488=1,AA3488&lt;&gt;1),1,0))</f>
        <v/>
      </c>
      <c r="AD3488" s="33" t="str">
        <f aca="false">IF(AND(E3488&gt;0,W3488&lt;1,NOT(AND(C3489=C3488,W3489=W3488+1))),INDEX(DATAS,W3488+1),"")</f>
        <v/>
      </c>
      <c r="AE3488" s="33" t="str">
        <f aca="false">IF(AND(Y3488=1,W3488&lt;1),IF(AND(C3489=C3488,W3489=W3488+1),IF(Y3489=1,"",INDEX(DATAS,W3488+1)),INDEX(DATAS,W3488+1)),"")</f>
        <v/>
      </c>
    </row>
    <row r="3489" customFormat="false" ht="15" hidden="false" customHeight="false" outlineLevel="0" collapsed="false">
      <c r="A3489" s="33" t="n">
        <v>46309</v>
      </c>
      <c r="B3489" s="0" t="n">
        <v>16</v>
      </c>
      <c r="C3489" s="0" t="n">
        <v>7933</v>
      </c>
      <c r="E3489" s="0" t="n">
        <v>0</v>
      </c>
      <c r="F3489" s="27" t="s">
        <v>1596</v>
      </c>
      <c r="I3489" s="27" t="s">
        <v>166</v>
      </c>
      <c r="U3489" s="0" t="n">
        <v>95</v>
      </c>
      <c r="V3489" s="0" t="n">
        <v>0</v>
      </c>
      <c r="W3489" s="27" t="n">
        <f aca="false">MATCH(A3489,DATAS,0)</f>
        <v>1</v>
      </c>
      <c r="X3489" s="27" t="n">
        <f aca="false">IF(AND(E3489&gt;0,OR(AND(B3489&gt;=1,B3489&lt;=6),B3489=10)),1,0)</f>
        <v>0</v>
      </c>
      <c r="Y3489" s="27" t="n">
        <f aca="false">IF(AND(E3489&gt;0,B3489=10),1,0)</f>
        <v>0</v>
      </c>
      <c r="Z3489" s="0" t="str">
        <f aca="false">IF(AND(C3488=C3489,W3488=W3489-1),X3488,"")</f>
        <v/>
      </c>
      <c r="AA3489" s="0" t="str">
        <f aca="false">IF(AND(C3488=C3489,W3488=W3489-1),Y3488,"")</f>
        <v/>
      </c>
      <c r="AB3489" s="0" t="str">
        <f aca="false">IF(W3489=1,"",IF(AND(X3489=1,Z3489&lt;&gt;1),1,0))</f>
        <v/>
      </c>
      <c r="AC3489" s="0" t="str">
        <f aca="false">IF(W3489=1,"",IF(AND(Y3489=1,AA3489&lt;&gt;1),1,0))</f>
        <v/>
      </c>
      <c r="AD3489" s="33" t="str">
        <f aca="false">IF(AND(E3489&gt;0,W3489&lt;1,NOT(AND(C3490=C3489,W3490=W3489+1))),INDEX(DATAS,W3489+1),"")</f>
        <v/>
      </c>
      <c r="AE3489" s="33" t="str">
        <f aca="false">IF(AND(Y3489=1,W3489&lt;1),IF(AND(C3490=C3489,W3490=W3489+1),IF(Y3490=1,"",INDEX(DATAS,W3489+1)),INDEX(DATAS,W3489+1)),"")</f>
        <v/>
      </c>
    </row>
    <row r="3490" customFormat="false" ht="15" hidden="false" customHeight="false" outlineLevel="0" collapsed="false">
      <c r="A3490" s="33" t="n">
        <v>46309</v>
      </c>
      <c r="B3490" s="0" t="n">
        <v>16</v>
      </c>
      <c r="C3490" s="0" t="n">
        <v>7934</v>
      </c>
      <c r="E3490" s="0" t="n">
        <v>0</v>
      </c>
      <c r="F3490" s="27" t="s">
        <v>1596</v>
      </c>
      <c r="I3490" s="27" t="s">
        <v>166</v>
      </c>
      <c r="U3490" s="0" t="n">
        <v>95</v>
      </c>
      <c r="V3490" s="0" t="n">
        <v>0</v>
      </c>
      <c r="W3490" s="27" t="n">
        <f aca="false">MATCH(A3490,DATAS,0)</f>
        <v>1</v>
      </c>
      <c r="X3490" s="27" t="n">
        <f aca="false">IF(AND(E3490&gt;0,OR(AND(B3490&gt;=1,B3490&lt;=6),B3490=10)),1,0)</f>
        <v>0</v>
      </c>
      <c r="Y3490" s="27" t="n">
        <f aca="false">IF(AND(E3490&gt;0,B3490=10),1,0)</f>
        <v>0</v>
      </c>
      <c r="Z3490" s="0" t="str">
        <f aca="false">IF(AND(C3489=C3490,W3489=W3490-1),X3489,"")</f>
        <v/>
      </c>
      <c r="AA3490" s="0" t="str">
        <f aca="false">IF(AND(C3489=C3490,W3489=W3490-1),Y3489,"")</f>
        <v/>
      </c>
      <c r="AB3490" s="0" t="str">
        <f aca="false">IF(W3490=1,"",IF(AND(X3490=1,Z3490&lt;&gt;1),1,0))</f>
        <v/>
      </c>
      <c r="AC3490" s="0" t="str">
        <f aca="false">IF(W3490=1,"",IF(AND(Y3490=1,AA3490&lt;&gt;1),1,0))</f>
        <v/>
      </c>
      <c r="AD3490" s="33" t="str">
        <f aca="false">IF(AND(E3490&gt;0,W3490&lt;1,NOT(AND(C3491=C3490,W3491=W3490+1))),INDEX(DATAS,W3490+1),"")</f>
        <v/>
      </c>
      <c r="AE3490" s="33" t="str">
        <f aca="false">IF(AND(Y3490=1,W3490&lt;1),IF(AND(C3491=C3490,W3491=W3490+1),IF(Y3491=1,"",INDEX(DATAS,W3490+1)),INDEX(DATAS,W3490+1)),"")</f>
        <v/>
      </c>
    </row>
    <row r="3491" customFormat="false" ht="15" hidden="false" customHeight="false" outlineLevel="0" collapsed="false">
      <c r="A3491" s="33" t="n">
        <v>46309</v>
      </c>
      <c r="B3491" s="0" t="n">
        <v>16</v>
      </c>
      <c r="C3491" s="0" t="n">
        <v>7935</v>
      </c>
      <c r="E3491" s="0" t="n">
        <v>0</v>
      </c>
      <c r="F3491" s="27" t="s">
        <v>1597</v>
      </c>
      <c r="I3491" s="27" t="s">
        <v>166</v>
      </c>
      <c r="U3491" s="0" t="n">
        <v>94</v>
      </c>
      <c r="V3491" s="0" t="n">
        <v>0</v>
      </c>
      <c r="W3491" s="27" t="n">
        <f aca="false">MATCH(A3491,DATAS,0)</f>
        <v>1</v>
      </c>
      <c r="X3491" s="27" t="n">
        <f aca="false">IF(AND(E3491&gt;0,OR(AND(B3491&gt;=1,B3491&lt;=6),B3491=10)),1,0)</f>
        <v>0</v>
      </c>
      <c r="Y3491" s="27" t="n">
        <f aca="false">IF(AND(E3491&gt;0,B3491=10),1,0)</f>
        <v>0</v>
      </c>
      <c r="Z3491" s="0" t="str">
        <f aca="false">IF(AND(C3490=C3491,W3490=W3491-1),X3490,"")</f>
        <v/>
      </c>
      <c r="AA3491" s="0" t="str">
        <f aca="false">IF(AND(C3490=C3491,W3490=W3491-1),Y3490,"")</f>
        <v/>
      </c>
      <c r="AB3491" s="0" t="str">
        <f aca="false">IF(W3491=1,"",IF(AND(X3491=1,Z3491&lt;&gt;1),1,0))</f>
        <v/>
      </c>
      <c r="AC3491" s="0" t="str">
        <f aca="false">IF(W3491=1,"",IF(AND(Y3491=1,AA3491&lt;&gt;1),1,0))</f>
        <v/>
      </c>
      <c r="AD3491" s="33" t="str">
        <f aca="false">IF(AND(E3491&gt;0,W3491&lt;1,NOT(AND(C3492=C3491,W3492=W3491+1))),INDEX(DATAS,W3491+1),"")</f>
        <v/>
      </c>
      <c r="AE3491" s="33" t="str">
        <f aca="false">IF(AND(Y3491=1,W3491&lt;1),IF(AND(C3492=C3491,W3492=W3491+1),IF(Y3492=1,"",INDEX(DATAS,W3491+1)),INDEX(DATAS,W3491+1)),"")</f>
        <v/>
      </c>
    </row>
    <row r="3492" customFormat="false" ht="15" hidden="false" customHeight="false" outlineLevel="0" collapsed="false">
      <c r="A3492" s="33" t="n">
        <v>46309</v>
      </c>
      <c r="B3492" s="0" t="n">
        <v>16</v>
      </c>
      <c r="C3492" s="0" t="n">
        <v>7936</v>
      </c>
      <c r="E3492" s="0" t="n">
        <v>0</v>
      </c>
      <c r="F3492" s="27" t="s">
        <v>1597</v>
      </c>
      <c r="I3492" s="27" t="s">
        <v>166</v>
      </c>
      <c r="U3492" s="0" t="n">
        <v>94</v>
      </c>
      <c r="V3492" s="0" t="n">
        <v>0</v>
      </c>
      <c r="W3492" s="27" t="n">
        <f aca="false">MATCH(A3492,DATAS,0)</f>
        <v>1</v>
      </c>
      <c r="X3492" s="27" t="n">
        <f aca="false">IF(AND(E3492&gt;0,OR(AND(B3492&gt;=1,B3492&lt;=6),B3492=10)),1,0)</f>
        <v>0</v>
      </c>
      <c r="Y3492" s="27" t="n">
        <f aca="false">IF(AND(E3492&gt;0,B3492=10),1,0)</f>
        <v>0</v>
      </c>
      <c r="Z3492" s="0" t="str">
        <f aca="false">IF(AND(C3491=C3492,W3491=W3492-1),X3491,"")</f>
        <v/>
      </c>
      <c r="AA3492" s="0" t="str">
        <f aca="false">IF(AND(C3491=C3492,W3491=W3492-1),Y3491,"")</f>
        <v/>
      </c>
      <c r="AB3492" s="0" t="str">
        <f aca="false">IF(W3492=1,"",IF(AND(X3492=1,Z3492&lt;&gt;1),1,0))</f>
        <v/>
      </c>
      <c r="AC3492" s="0" t="str">
        <f aca="false">IF(W3492=1,"",IF(AND(Y3492=1,AA3492&lt;&gt;1),1,0))</f>
        <v/>
      </c>
      <c r="AD3492" s="33" t="str">
        <f aca="false">IF(AND(E3492&gt;0,W3492&lt;1,NOT(AND(C3493=C3492,W3493=W3492+1))),INDEX(DATAS,W3492+1),"")</f>
        <v/>
      </c>
      <c r="AE3492" s="33" t="str">
        <f aca="false">IF(AND(Y3492=1,W3492&lt;1),IF(AND(C3493=C3492,W3493=W3492+1),IF(Y3493=1,"",INDEX(DATAS,W3492+1)),INDEX(DATAS,W3492+1)),"")</f>
        <v/>
      </c>
    </row>
    <row r="3493" customFormat="false" ht="15" hidden="false" customHeight="false" outlineLevel="0" collapsed="false">
      <c r="A3493" s="33" t="n">
        <v>46309</v>
      </c>
      <c r="B3493" s="0" t="n">
        <v>16</v>
      </c>
      <c r="C3493" s="0" t="n">
        <v>7937</v>
      </c>
      <c r="E3493" s="0" t="n">
        <v>0</v>
      </c>
      <c r="F3493" s="27" t="s">
        <v>1598</v>
      </c>
      <c r="I3493" s="27" t="s">
        <v>166</v>
      </c>
      <c r="U3493" s="0" t="n">
        <v>93</v>
      </c>
      <c r="V3493" s="0" t="n">
        <v>0</v>
      </c>
      <c r="W3493" s="27" t="n">
        <f aca="false">MATCH(A3493,DATAS,0)</f>
        <v>1</v>
      </c>
      <c r="X3493" s="27" t="n">
        <f aca="false">IF(AND(E3493&gt;0,OR(AND(B3493&gt;=1,B3493&lt;=6),B3493=10)),1,0)</f>
        <v>0</v>
      </c>
      <c r="Y3493" s="27" t="n">
        <f aca="false">IF(AND(E3493&gt;0,B3493=10),1,0)</f>
        <v>0</v>
      </c>
      <c r="Z3493" s="0" t="str">
        <f aca="false">IF(AND(C3492=C3493,W3492=W3493-1),X3492,"")</f>
        <v/>
      </c>
      <c r="AA3493" s="0" t="str">
        <f aca="false">IF(AND(C3492=C3493,W3492=W3493-1),Y3492,"")</f>
        <v/>
      </c>
      <c r="AB3493" s="0" t="str">
        <f aca="false">IF(W3493=1,"",IF(AND(X3493=1,Z3493&lt;&gt;1),1,0))</f>
        <v/>
      </c>
      <c r="AC3493" s="0" t="str">
        <f aca="false">IF(W3493=1,"",IF(AND(Y3493=1,AA3493&lt;&gt;1),1,0))</f>
        <v/>
      </c>
      <c r="AD3493" s="33" t="str">
        <f aca="false">IF(AND(E3493&gt;0,W3493&lt;1,NOT(AND(C3494=C3493,W3494=W3493+1))),INDEX(DATAS,W3493+1),"")</f>
        <v/>
      </c>
      <c r="AE3493" s="33" t="str">
        <f aca="false">IF(AND(Y3493=1,W3493&lt;1),IF(AND(C3494=C3493,W3494=W3493+1),IF(Y3494=1,"",INDEX(DATAS,W3493+1)),INDEX(DATAS,W3493+1)),"")</f>
        <v/>
      </c>
    </row>
    <row r="3494" customFormat="false" ht="15" hidden="false" customHeight="false" outlineLevel="0" collapsed="false">
      <c r="A3494" s="33" t="n">
        <v>46309</v>
      </c>
      <c r="B3494" s="0" t="n">
        <v>16</v>
      </c>
      <c r="C3494" s="0" t="n">
        <v>7938</v>
      </c>
      <c r="E3494" s="0" t="n">
        <v>0</v>
      </c>
      <c r="F3494" s="27" t="s">
        <v>1598</v>
      </c>
      <c r="I3494" s="27" t="s">
        <v>166</v>
      </c>
      <c r="U3494" s="0" t="n">
        <v>93</v>
      </c>
      <c r="V3494" s="0" t="n">
        <v>0</v>
      </c>
      <c r="W3494" s="27" t="n">
        <f aca="false">MATCH(A3494,DATAS,0)</f>
        <v>1</v>
      </c>
      <c r="X3494" s="27" t="n">
        <f aca="false">IF(AND(E3494&gt;0,OR(AND(B3494&gt;=1,B3494&lt;=6),B3494=10)),1,0)</f>
        <v>0</v>
      </c>
      <c r="Y3494" s="27" t="n">
        <f aca="false">IF(AND(E3494&gt;0,B3494=10),1,0)</f>
        <v>0</v>
      </c>
      <c r="Z3494" s="0" t="str">
        <f aca="false">IF(AND(C3493=C3494,W3493=W3494-1),X3493,"")</f>
        <v/>
      </c>
      <c r="AA3494" s="0" t="str">
        <f aca="false">IF(AND(C3493=C3494,W3493=W3494-1),Y3493,"")</f>
        <v/>
      </c>
      <c r="AB3494" s="0" t="str">
        <f aca="false">IF(W3494=1,"",IF(AND(X3494=1,Z3494&lt;&gt;1),1,0))</f>
        <v/>
      </c>
      <c r="AC3494" s="0" t="str">
        <f aca="false">IF(W3494=1,"",IF(AND(Y3494=1,AA3494&lt;&gt;1),1,0))</f>
        <v/>
      </c>
      <c r="AD3494" s="33" t="str">
        <f aca="false">IF(AND(E3494&gt;0,W3494&lt;1,NOT(AND(C3495=C3494,W3495=W3494+1))),INDEX(DATAS,W3494+1),"")</f>
        <v/>
      </c>
      <c r="AE3494" s="33" t="str">
        <f aca="false">IF(AND(Y3494=1,W3494&lt;1),IF(AND(C3495=C3494,W3495=W3494+1),IF(Y3495=1,"",INDEX(DATAS,W3494+1)),INDEX(DATAS,W3494+1)),"")</f>
        <v/>
      </c>
    </row>
    <row r="3495" customFormat="false" ht="15" hidden="false" customHeight="false" outlineLevel="0" collapsed="false">
      <c r="A3495" s="33" t="n">
        <v>46309</v>
      </c>
      <c r="B3495" s="0" t="n">
        <v>16</v>
      </c>
      <c r="C3495" s="0" t="n">
        <v>7939</v>
      </c>
      <c r="E3495" s="0" t="n">
        <v>0</v>
      </c>
      <c r="F3495" s="27" t="s">
        <v>1598</v>
      </c>
      <c r="I3495" s="27" t="s">
        <v>166</v>
      </c>
      <c r="U3495" s="0" t="n">
        <v>93</v>
      </c>
      <c r="V3495" s="0" t="n">
        <v>0</v>
      </c>
      <c r="W3495" s="27" t="n">
        <f aca="false">MATCH(A3495,DATAS,0)</f>
        <v>1</v>
      </c>
      <c r="X3495" s="27" t="n">
        <f aca="false">IF(AND(E3495&gt;0,OR(AND(B3495&gt;=1,B3495&lt;=6),B3495=10)),1,0)</f>
        <v>0</v>
      </c>
      <c r="Y3495" s="27" t="n">
        <f aca="false">IF(AND(E3495&gt;0,B3495=10),1,0)</f>
        <v>0</v>
      </c>
      <c r="Z3495" s="0" t="str">
        <f aca="false">IF(AND(C3494=C3495,W3494=W3495-1),X3494,"")</f>
        <v/>
      </c>
      <c r="AA3495" s="0" t="str">
        <f aca="false">IF(AND(C3494=C3495,W3494=W3495-1),Y3494,"")</f>
        <v/>
      </c>
      <c r="AB3495" s="0" t="str">
        <f aca="false">IF(W3495=1,"",IF(AND(X3495=1,Z3495&lt;&gt;1),1,0))</f>
        <v/>
      </c>
      <c r="AC3495" s="0" t="str">
        <f aca="false">IF(W3495=1,"",IF(AND(Y3495=1,AA3495&lt;&gt;1),1,0))</f>
        <v/>
      </c>
      <c r="AD3495" s="33" t="str">
        <f aca="false">IF(AND(E3495&gt;0,W3495&lt;1,NOT(AND(C3496=C3495,W3496=W3495+1))),INDEX(DATAS,W3495+1),"")</f>
        <v/>
      </c>
      <c r="AE3495" s="33" t="str">
        <f aca="false">IF(AND(Y3495=1,W3495&lt;1),IF(AND(C3496=C3495,W3496=W3495+1),IF(Y3496=1,"",INDEX(DATAS,W3495+1)),INDEX(DATAS,W3495+1)),"")</f>
        <v/>
      </c>
    </row>
    <row r="3496" customFormat="false" ht="15" hidden="false" customHeight="false" outlineLevel="0" collapsed="false">
      <c r="A3496" s="33" t="n">
        <v>46309</v>
      </c>
      <c r="B3496" s="0" t="n">
        <v>16</v>
      </c>
      <c r="C3496" s="0" t="n">
        <v>7940</v>
      </c>
      <c r="E3496" s="0" t="n">
        <v>0</v>
      </c>
      <c r="F3496" s="27" t="s">
        <v>1599</v>
      </c>
      <c r="I3496" s="27" t="s">
        <v>166</v>
      </c>
      <c r="U3496" s="0" t="n">
        <v>92</v>
      </c>
      <c r="V3496" s="0" t="n">
        <v>0</v>
      </c>
      <c r="W3496" s="27" t="n">
        <f aca="false">MATCH(A3496,DATAS,0)</f>
        <v>1</v>
      </c>
      <c r="X3496" s="27" t="n">
        <f aca="false">IF(AND(E3496&gt;0,OR(AND(B3496&gt;=1,B3496&lt;=6),B3496=10)),1,0)</f>
        <v>0</v>
      </c>
      <c r="Y3496" s="27" t="n">
        <f aca="false">IF(AND(E3496&gt;0,B3496=10),1,0)</f>
        <v>0</v>
      </c>
      <c r="Z3496" s="0" t="str">
        <f aca="false">IF(AND(C3495=C3496,W3495=W3496-1),X3495,"")</f>
        <v/>
      </c>
      <c r="AA3496" s="0" t="str">
        <f aca="false">IF(AND(C3495=C3496,W3495=W3496-1),Y3495,"")</f>
        <v/>
      </c>
      <c r="AB3496" s="0" t="str">
        <f aca="false">IF(W3496=1,"",IF(AND(X3496=1,Z3496&lt;&gt;1),1,0))</f>
        <v/>
      </c>
      <c r="AC3496" s="0" t="str">
        <f aca="false">IF(W3496=1,"",IF(AND(Y3496=1,AA3496&lt;&gt;1),1,0))</f>
        <v/>
      </c>
      <c r="AD3496" s="33" t="str">
        <f aca="false">IF(AND(E3496&gt;0,W3496&lt;1,NOT(AND(C3497=C3496,W3497=W3496+1))),INDEX(DATAS,W3496+1),"")</f>
        <v/>
      </c>
      <c r="AE3496" s="33" t="str">
        <f aca="false">IF(AND(Y3496=1,W3496&lt;1),IF(AND(C3497=C3496,W3497=W3496+1),IF(Y3497=1,"",INDEX(DATAS,W3496+1)),INDEX(DATAS,W3496+1)),"")</f>
        <v/>
      </c>
    </row>
    <row r="3497" customFormat="false" ht="15" hidden="false" customHeight="false" outlineLevel="0" collapsed="false">
      <c r="A3497" s="33" t="n">
        <v>46309</v>
      </c>
      <c r="B3497" s="0" t="n">
        <v>16</v>
      </c>
      <c r="C3497" s="0" t="n">
        <v>7941</v>
      </c>
      <c r="E3497" s="0" t="n">
        <v>0</v>
      </c>
      <c r="F3497" s="27" t="s">
        <v>1599</v>
      </c>
      <c r="I3497" s="27" t="s">
        <v>166</v>
      </c>
      <c r="U3497" s="0" t="n">
        <v>92</v>
      </c>
      <c r="V3497" s="0" t="n">
        <v>0</v>
      </c>
      <c r="W3497" s="27" t="n">
        <f aca="false">MATCH(A3497,DATAS,0)</f>
        <v>1</v>
      </c>
      <c r="X3497" s="27" t="n">
        <f aca="false">IF(AND(E3497&gt;0,OR(AND(B3497&gt;=1,B3497&lt;=6),B3497=10)),1,0)</f>
        <v>0</v>
      </c>
      <c r="Y3497" s="27" t="n">
        <f aca="false">IF(AND(E3497&gt;0,B3497=10),1,0)</f>
        <v>0</v>
      </c>
      <c r="Z3497" s="0" t="str">
        <f aca="false">IF(AND(C3496=C3497,W3496=W3497-1),X3496,"")</f>
        <v/>
      </c>
      <c r="AA3497" s="0" t="str">
        <f aca="false">IF(AND(C3496=C3497,W3496=W3497-1),Y3496,"")</f>
        <v/>
      </c>
      <c r="AB3497" s="0" t="str">
        <f aca="false">IF(W3497=1,"",IF(AND(X3497=1,Z3497&lt;&gt;1),1,0))</f>
        <v/>
      </c>
      <c r="AC3497" s="0" t="str">
        <f aca="false">IF(W3497=1,"",IF(AND(Y3497=1,AA3497&lt;&gt;1),1,0))</f>
        <v/>
      </c>
      <c r="AD3497" s="33" t="str">
        <f aca="false">IF(AND(E3497&gt;0,W3497&lt;1,NOT(AND(C3498=C3497,W3498=W3497+1))),INDEX(DATAS,W3497+1),"")</f>
        <v/>
      </c>
      <c r="AE3497" s="33" t="str">
        <f aca="false">IF(AND(Y3497=1,W3497&lt;1),IF(AND(C3498=C3497,W3498=W3497+1),IF(Y3498=1,"",INDEX(DATAS,W3497+1)),INDEX(DATAS,W3497+1)),"")</f>
        <v/>
      </c>
    </row>
    <row r="3498" customFormat="false" ht="15" hidden="false" customHeight="false" outlineLevel="0" collapsed="false">
      <c r="A3498" s="33" t="n">
        <v>46309</v>
      </c>
      <c r="B3498" s="0" t="n">
        <v>16</v>
      </c>
      <c r="C3498" s="0" t="n">
        <v>7942</v>
      </c>
      <c r="E3498" s="0" t="n">
        <v>0</v>
      </c>
      <c r="F3498" s="27" t="s">
        <v>1600</v>
      </c>
      <c r="I3498" s="27" t="s">
        <v>166</v>
      </c>
      <c r="U3498" s="0" t="n">
        <v>91</v>
      </c>
      <c r="V3498" s="0" t="n">
        <v>0</v>
      </c>
      <c r="W3498" s="27" t="n">
        <f aca="false">MATCH(A3498,DATAS,0)</f>
        <v>1</v>
      </c>
      <c r="X3498" s="27" t="n">
        <f aca="false">IF(AND(E3498&gt;0,OR(AND(B3498&gt;=1,B3498&lt;=6),B3498=10)),1,0)</f>
        <v>0</v>
      </c>
      <c r="Y3498" s="27" t="n">
        <f aca="false">IF(AND(E3498&gt;0,B3498=10),1,0)</f>
        <v>0</v>
      </c>
      <c r="Z3498" s="0" t="str">
        <f aca="false">IF(AND(C3497=C3498,W3497=W3498-1),X3497,"")</f>
        <v/>
      </c>
      <c r="AA3498" s="0" t="str">
        <f aca="false">IF(AND(C3497=C3498,W3497=W3498-1),Y3497,"")</f>
        <v/>
      </c>
      <c r="AB3498" s="0" t="str">
        <f aca="false">IF(W3498=1,"",IF(AND(X3498=1,Z3498&lt;&gt;1),1,0))</f>
        <v/>
      </c>
      <c r="AC3498" s="0" t="str">
        <f aca="false">IF(W3498=1,"",IF(AND(Y3498=1,AA3498&lt;&gt;1),1,0))</f>
        <v/>
      </c>
      <c r="AD3498" s="33" t="str">
        <f aca="false">IF(AND(E3498&gt;0,W3498&lt;1,NOT(AND(C3499=C3498,W3499=W3498+1))),INDEX(DATAS,W3498+1),"")</f>
        <v/>
      </c>
      <c r="AE3498" s="33" t="str">
        <f aca="false">IF(AND(Y3498=1,W3498&lt;1),IF(AND(C3499=C3498,W3499=W3498+1),IF(Y3499=1,"",INDEX(DATAS,W3498+1)),INDEX(DATAS,W3498+1)),"")</f>
        <v/>
      </c>
    </row>
    <row r="3499" customFormat="false" ht="15" hidden="false" customHeight="false" outlineLevel="0" collapsed="false">
      <c r="A3499" s="33" t="n">
        <v>46309</v>
      </c>
      <c r="B3499" s="0" t="n">
        <v>16</v>
      </c>
      <c r="C3499" s="0" t="n">
        <v>7943</v>
      </c>
      <c r="E3499" s="0" t="n">
        <v>0</v>
      </c>
      <c r="F3499" s="27" t="s">
        <v>1601</v>
      </c>
      <c r="I3499" s="27" t="s">
        <v>166</v>
      </c>
      <c r="U3499" s="0" t="n">
        <v>90</v>
      </c>
      <c r="V3499" s="0" t="n">
        <v>0</v>
      </c>
      <c r="W3499" s="27" t="n">
        <f aca="false">MATCH(A3499,DATAS,0)</f>
        <v>1</v>
      </c>
      <c r="X3499" s="27" t="n">
        <f aca="false">IF(AND(E3499&gt;0,OR(AND(B3499&gt;=1,B3499&lt;=6),B3499=10)),1,0)</f>
        <v>0</v>
      </c>
      <c r="Y3499" s="27" t="n">
        <f aca="false">IF(AND(E3499&gt;0,B3499=10),1,0)</f>
        <v>0</v>
      </c>
      <c r="Z3499" s="0" t="str">
        <f aca="false">IF(AND(C3498=C3499,W3498=W3499-1),X3498,"")</f>
        <v/>
      </c>
      <c r="AA3499" s="0" t="str">
        <f aca="false">IF(AND(C3498=C3499,W3498=W3499-1),Y3498,"")</f>
        <v/>
      </c>
      <c r="AB3499" s="0" t="str">
        <f aca="false">IF(W3499=1,"",IF(AND(X3499=1,Z3499&lt;&gt;1),1,0))</f>
        <v/>
      </c>
      <c r="AC3499" s="0" t="str">
        <f aca="false">IF(W3499=1,"",IF(AND(Y3499=1,AA3499&lt;&gt;1),1,0))</f>
        <v/>
      </c>
      <c r="AD3499" s="33" t="str">
        <f aca="false">IF(AND(E3499&gt;0,W3499&lt;1,NOT(AND(C3500=C3499,W3500=W3499+1))),INDEX(DATAS,W3499+1),"")</f>
        <v/>
      </c>
      <c r="AE3499" s="33" t="str">
        <f aca="false">IF(AND(Y3499=1,W3499&lt;1),IF(AND(C3500=C3499,W3500=W3499+1),IF(Y3500=1,"",INDEX(DATAS,W3499+1)),INDEX(DATAS,W3499+1)),"")</f>
        <v/>
      </c>
    </row>
    <row r="3500" customFormat="false" ht="15" hidden="false" customHeight="false" outlineLevel="0" collapsed="false">
      <c r="A3500" s="33" t="n">
        <v>46309</v>
      </c>
      <c r="B3500" s="0" t="n">
        <v>16</v>
      </c>
      <c r="C3500" s="0" t="n">
        <v>7944</v>
      </c>
      <c r="E3500" s="0" t="n">
        <v>0</v>
      </c>
      <c r="F3500" s="27" t="s">
        <v>1601</v>
      </c>
      <c r="I3500" s="27" t="s">
        <v>166</v>
      </c>
      <c r="U3500" s="0" t="n">
        <v>90</v>
      </c>
      <c r="V3500" s="0" t="n">
        <v>0</v>
      </c>
      <c r="W3500" s="27" t="n">
        <f aca="false">MATCH(A3500,DATAS,0)</f>
        <v>1</v>
      </c>
      <c r="X3500" s="27" t="n">
        <f aca="false">IF(AND(E3500&gt;0,OR(AND(B3500&gt;=1,B3500&lt;=6),B3500=10)),1,0)</f>
        <v>0</v>
      </c>
      <c r="Y3500" s="27" t="n">
        <f aca="false">IF(AND(E3500&gt;0,B3500=10),1,0)</f>
        <v>0</v>
      </c>
      <c r="Z3500" s="0" t="str">
        <f aca="false">IF(AND(C3499=C3500,W3499=W3500-1),X3499,"")</f>
        <v/>
      </c>
      <c r="AA3500" s="0" t="str">
        <f aca="false">IF(AND(C3499=C3500,W3499=W3500-1),Y3499,"")</f>
        <v/>
      </c>
      <c r="AB3500" s="0" t="str">
        <f aca="false">IF(W3500=1,"",IF(AND(X3500=1,Z3500&lt;&gt;1),1,0))</f>
        <v/>
      </c>
      <c r="AC3500" s="0" t="str">
        <f aca="false">IF(W3500=1,"",IF(AND(Y3500=1,AA3500&lt;&gt;1),1,0))</f>
        <v/>
      </c>
      <c r="AD3500" s="33" t="str">
        <f aca="false">IF(AND(E3500&gt;0,W3500&lt;1,NOT(AND(C3501=C3500,W3501=W3500+1))),INDEX(DATAS,W3500+1),"")</f>
        <v/>
      </c>
      <c r="AE3500" s="33" t="str">
        <f aca="false">IF(AND(Y3500=1,W3500&lt;1),IF(AND(C3501=C3500,W3501=W3500+1),IF(Y3501=1,"",INDEX(DATAS,W3500+1)),INDEX(DATAS,W3500+1)),"")</f>
        <v/>
      </c>
    </row>
    <row r="3501" customFormat="false" ht="15" hidden="false" customHeight="false" outlineLevel="0" collapsed="false">
      <c r="A3501" s="33" t="n">
        <v>46309</v>
      </c>
      <c r="B3501" s="0" t="n">
        <v>16</v>
      </c>
      <c r="C3501" s="0" t="n">
        <v>7945</v>
      </c>
      <c r="E3501" s="0" t="n">
        <v>0</v>
      </c>
      <c r="F3501" s="27" t="s">
        <v>1601</v>
      </c>
      <c r="I3501" s="27" t="s">
        <v>166</v>
      </c>
      <c r="U3501" s="0" t="n">
        <v>90</v>
      </c>
      <c r="V3501" s="0" t="n">
        <v>0</v>
      </c>
      <c r="W3501" s="27" t="n">
        <f aca="false">MATCH(A3501,DATAS,0)</f>
        <v>1</v>
      </c>
      <c r="X3501" s="27" t="n">
        <f aca="false">IF(AND(E3501&gt;0,OR(AND(B3501&gt;=1,B3501&lt;=6),B3501=10)),1,0)</f>
        <v>0</v>
      </c>
      <c r="Y3501" s="27" t="n">
        <f aca="false">IF(AND(E3501&gt;0,B3501=10),1,0)</f>
        <v>0</v>
      </c>
      <c r="Z3501" s="0" t="str">
        <f aca="false">IF(AND(C3500=C3501,W3500=W3501-1),X3500,"")</f>
        <v/>
      </c>
      <c r="AA3501" s="0" t="str">
        <f aca="false">IF(AND(C3500=C3501,W3500=W3501-1),Y3500,"")</f>
        <v/>
      </c>
      <c r="AB3501" s="0" t="str">
        <f aca="false">IF(W3501=1,"",IF(AND(X3501=1,Z3501&lt;&gt;1),1,0))</f>
        <v/>
      </c>
      <c r="AC3501" s="0" t="str">
        <f aca="false">IF(W3501=1,"",IF(AND(Y3501=1,AA3501&lt;&gt;1),1,0))</f>
        <v/>
      </c>
      <c r="AD3501" s="33" t="str">
        <f aca="false">IF(AND(E3501&gt;0,W3501&lt;1,NOT(AND(C3502=C3501,W3502=W3501+1))),INDEX(DATAS,W3501+1),"")</f>
        <v/>
      </c>
      <c r="AE3501" s="33" t="str">
        <f aca="false">IF(AND(Y3501=1,W3501&lt;1),IF(AND(C3502=C3501,W3502=W3501+1),IF(Y3502=1,"",INDEX(DATAS,W3501+1)),INDEX(DATAS,W3501+1)),"")</f>
        <v/>
      </c>
    </row>
    <row r="3502" customFormat="false" ht="15" hidden="false" customHeight="false" outlineLevel="0" collapsed="false">
      <c r="A3502" s="33" t="n">
        <v>46309</v>
      </c>
      <c r="B3502" s="0" t="n">
        <v>16</v>
      </c>
      <c r="C3502" s="0" t="n">
        <v>7946</v>
      </c>
      <c r="E3502" s="0" t="n">
        <v>0</v>
      </c>
      <c r="F3502" s="27" t="s">
        <v>1601</v>
      </c>
      <c r="I3502" s="27" t="s">
        <v>166</v>
      </c>
      <c r="U3502" s="0" t="n">
        <v>90</v>
      </c>
      <c r="V3502" s="0" t="n">
        <v>0</v>
      </c>
      <c r="W3502" s="27" t="n">
        <f aca="false">MATCH(A3502,DATAS,0)</f>
        <v>1</v>
      </c>
      <c r="X3502" s="27" t="n">
        <f aca="false">IF(AND(E3502&gt;0,OR(AND(B3502&gt;=1,B3502&lt;=6),B3502=10)),1,0)</f>
        <v>0</v>
      </c>
      <c r="Y3502" s="27" t="n">
        <f aca="false">IF(AND(E3502&gt;0,B3502=10),1,0)</f>
        <v>0</v>
      </c>
      <c r="Z3502" s="0" t="str">
        <f aca="false">IF(AND(C3501=C3502,W3501=W3502-1),X3501,"")</f>
        <v/>
      </c>
      <c r="AA3502" s="0" t="str">
        <f aca="false">IF(AND(C3501=C3502,W3501=W3502-1),Y3501,"")</f>
        <v/>
      </c>
      <c r="AB3502" s="0" t="str">
        <f aca="false">IF(W3502=1,"",IF(AND(X3502=1,Z3502&lt;&gt;1),1,0))</f>
        <v/>
      </c>
      <c r="AC3502" s="0" t="str">
        <f aca="false">IF(W3502=1,"",IF(AND(Y3502=1,AA3502&lt;&gt;1),1,0))</f>
        <v/>
      </c>
      <c r="AD3502" s="33" t="str">
        <f aca="false">IF(AND(E3502&gt;0,W3502&lt;1,NOT(AND(C3503=C3502,W3503=W3502+1))),INDEX(DATAS,W3502+1),"")</f>
        <v/>
      </c>
      <c r="AE3502" s="33" t="str">
        <f aca="false">IF(AND(Y3502=1,W3502&lt;1),IF(AND(C3503=C3502,W3503=W3502+1),IF(Y3503=1,"",INDEX(DATAS,W3502+1)),INDEX(DATAS,W3502+1)),"")</f>
        <v/>
      </c>
    </row>
    <row r="3503" customFormat="false" ht="15" hidden="false" customHeight="false" outlineLevel="0" collapsed="false">
      <c r="A3503" s="33" t="n">
        <v>46309</v>
      </c>
      <c r="B3503" s="0" t="n">
        <v>16</v>
      </c>
      <c r="C3503" s="0" t="n">
        <v>7947</v>
      </c>
      <c r="E3503" s="0" t="n">
        <v>0</v>
      </c>
      <c r="F3503" s="27" t="s">
        <v>1601</v>
      </c>
      <c r="I3503" s="27" t="s">
        <v>166</v>
      </c>
      <c r="U3503" s="0" t="n">
        <v>90</v>
      </c>
      <c r="V3503" s="0" t="n">
        <v>0</v>
      </c>
      <c r="W3503" s="27" t="n">
        <f aca="false">MATCH(A3503,DATAS,0)</f>
        <v>1</v>
      </c>
      <c r="X3503" s="27" t="n">
        <f aca="false">IF(AND(E3503&gt;0,OR(AND(B3503&gt;=1,B3503&lt;=6),B3503=10)),1,0)</f>
        <v>0</v>
      </c>
      <c r="Y3503" s="27" t="n">
        <f aca="false">IF(AND(E3503&gt;0,B3503=10),1,0)</f>
        <v>0</v>
      </c>
      <c r="Z3503" s="0" t="str">
        <f aca="false">IF(AND(C3502=C3503,W3502=W3503-1),X3502,"")</f>
        <v/>
      </c>
      <c r="AA3503" s="0" t="str">
        <f aca="false">IF(AND(C3502=C3503,W3502=W3503-1),Y3502,"")</f>
        <v/>
      </c>
      <c r="AB3503" s="0" t="str">
        <f aca="false">IF(W3503=1,"",IF(AND(X3503=1,Z3503&lt;&gt;1),1,0))</f>
        <v/>
      </c>
      <c r="AC3503" s="0" t="str">
        <f aca="false">IF(W3503=1,"",IF(AND(Y3503=1,AA3503&lt;&gt;1),1,0))</f>
        <v/>
      </c>
      <c r="AD3503" s="33" t="str">
        <f aca="false">IF(AND(E3503&gt;0,W3503&lt;1,NOT(AND(C3504=C3503,W3504=W3503+1))),INDEX(DATAS,W3503+1),"")</f>
        <v/>
      </c>
      <c r="AE3503" s="33" t="str">
        <f aca="false">IF(AND(Y3503=1,W3503&lt;1),IF(AND(C3504=C3503,W3504=W3503+1),IF(Y3504=1,"",INDEX(DATAS,W3503+1)),INDEX(DATAS,W3503+1)),"")</f>
        <v/>
      </c>
    </row>
    <row r="3504" customFormat="false" ht="15" hidden="false" customHeight="false" outlineLevel="0" collapsed="false">
      <c r="A3504" s="33" t="n">
        <v>46309</v>
      </c>
      <c r="B3504" s="0" t="n">
        <v>16</v>
      </c>
      <c r="C3504" s="0" t="n">
        <v>7948</v>
      </c>
      <c r="E3504" s="0" t="n">
        <v>0</v>
      </c>
      <c r="F3504" s="27" t="s">
        <v>1601</v>
      </c>
      <c r="I3504" s="27" t="s">
        <v>166</v>
      </c>
      <c r="U3504" s="0" t="n">
        <v>90</v>
      </c>
      <c r="V3504" s="0" t="n">
        <v>0</v>
      </c>
      <c r="W3504" s="27" t="n">
        <f aca="false">MATCH(A3504,DATAS,0)</f>
        <v>1</v>
      </c>
      <c r="X3504" s="27" t="n">
        <f aca="false">IF(AND(E3504&gt;0,OR(AND(B3504&gt;=1,B3504&lt;=6),B3504=10)),1,0)</f>
        <v>0</v>
      </c>
      <c r="Y3504" s="27" t="n">
        <f aca="false">IF(AND(E3504&gt;0,B3504=10),1,0)</f>
        <v>0</v>
      </c>
      <c r="Z3504" s="0" t="str">
        <f aca="false">IF(AND(C3503=C3504,W3503=W3504-1),X3503,"")</f>
        <v/>
      </c>
      <c r="AA3504" s="0" t="str">
        <f aca="false">IF(AND(C3503=C3504,W3503=W3504-1),Y3503,"")</f>
        <v/>
      </c>
      <c r="AB3504" s="0" t="str">
        <f aca="false">IF(W3504=1,"",IF(AND(X3504=1,Z3504&lt;&gt;1),1,0))</f>
        <v/>
      </c>
      <c r="AC3504" s="0" t="str">
        <f aca="false">IF(W3504=1,"",IF(AND(Y3504=1,AA3504&lt;&gt;1),1,0))</f>
        <v/>
      </c>
      <c r="AD3504" s="33" t="str">
        <f aca="false">IF(AND(E3504&gt;0,W3504&lt;1,NOT(AND(C3505=C3504,W3505=W3504+1))),INDEX(DATAS,W3504+1),"")</f>
        <v/>
      </c>
      <c r="AE3504" s="33" t="str">
        <f aca="false">IF(AND(Y3504=1,W3504&lt;1),IF(AND(C3505=C3504,W3505=W3504+1),IF(Y3505=1,"",INDEX(DATAS,W3504+1)),INDEX(DATAS,W3504+1)),"")</f>
        <v/>
      </c>
    </row>
    <row r="3505" customFormat="false" ht="15" hidden="false" customHeight="false" outlineLevel="0" collapsed="false">
      <c r="A3505" s="33" t="n">
        <v>46309</v>
      </c>
      <c r="B3505" s="0" t="n">
        <v>16</v>
      </c>
      <c r="C3505" s="0" t="n">
        <v>7949</v>
      </c>
      <c r="E3505" s="0" t="n">
        <v>0</v>
      </c>
      <c r="F3505" s="27" t="s">
        <v>1601</v>
      </c>
      <c r="I3505" s="27" t="s">
        <v>166</v>
      </c>
      <c r="U3505" s="0" t="n">
        <v>90</v>
      </c>
      <c r="V3505" s="0" t="n">
        <v>0</v>
      </c>
      <c r="W3505" s="27" t="n">
        <f aca="false">MATCH(A3505,DATAS,0)</f>
        <v>1</v>
      </c>
      <c r="X3505" s="27" t="n">
        <f aca="false">IF(AND(E3505&gt;0,OR(AND(B3505&gt;=1,B3505&lt;=6),B3505=10)),1,0)</f>
        <v>0</v>
      </c>
      <c r="Y3505" s="27" t="n">
        <f aca="false">IF(AND(E3505&gt;0,B3505=10),1,0)</f>
        <v>0</v>
      </c>
      <c r="Z3505" s="0" t="str">
        <f aca="false">IF(AND(C3504=C3505,W3504=W3505-1),X3504,"")</f>
        <v/>
      </c>
      <c r="AA3505" s="0" t="str">
        <f aca="false">IF(AND(C3504=C3505,W3504=W3505-1),Y3504,"")</f>
        <v/>
      </c>
      <c r="AB3505" s="0" t="str">
        <f aca="false">IF(W3505=1,"",IF(AND(X3505=1,Z3505&lt;&gt;1),1,0))</f>
        <v/>
      </c>
      <c r="AC3505" s="0" t="str">
        <f aca="false">IF(W3505=1,"",IF(AND(Y3505=1,AA3505&lt;&gt;1),1,0))</f>
        <v/>
      </c>
      <c r="AD3505" s="33" t="str">
        <f aca="false">IF(AND(E3505&gt;0,W3505&lt;1,NOT(AND(C3506=C3505,W3506=W3505+1))),INDEX(DATAS,W3505+1),"")</f>
        <v/>
      </c>
      <c r="AE3505" s="33" t="str">
        <f aca="false">IF(AND(Y3505=1,W3505&lt;1),IF(AND(C3506=C3505,W3506=W3505+1),IF(Y3506=1,"",INDEX(DATAS,W3505+1)),INDEX(DATAS,W3505+1)),"")</f>
        <v/>
      </c>
    </row>
    <row r="3506" customFormat="false" ht="15" hidden="false" customHeight="false" outlineLevel="0" collapsed="false">
      <c r="A3506" s="33" t="n">
        <v>46309</v>
      </c>
      <c r="B3506" s="0" t="n">
        <v>16</v>
      </c>
      <c r="C3506" s="0" t="n">
        <v>7951</v>
      </c>
      <c r="E3506" s="0" t="n">
        <v>0</v>
      </c>
      <c r="F3506" s="27" t="s">
        <v>1602</v>
      </c>
      <c r="I3506" s="27" t="s">
        <v>166</v>
      </c>
      <c r="U3506" s="0" t="n">
        <v>89</v>
      </c>
      <c r="V3506" s="0" t="n">
        <v>0</v>
      </c>
      <c r="W3506" s="27" t="n">
        <f aca="false">MATCH(A3506,DATAS,0)</f>
        <v>1</v>
      </c>
      <c r="X3506" s="27" t="n">
        <f aca="false">IF(AND(E3506&gt;0,OR(AND(B3506&gt;=1,B3506&lt;=6),B3506=10)),1,0)</f>
        <v>0</v>
      </c>
      <c r="Y3506" s="27" t="n">
        <f aca="false">IF(AND(E3506&gt;0,B3506=10),1,0)</f>
        <v>0</v>
      </c>
      <c r="Z3506" s="0" t="str">
        <f aca="false">IF(AND(C3505=C3506,W3505=W3506-1),X3505,"")</f>
        <v/>
      </c>
      <c r="AA3506" s="0" t="str">
        <f aca="false">IF(AND(C3505=C3506,W3505=W3506-1),Y3505,"")</f>
        <v/>
      </c>
      <c r="AB3506" s="0" t="str">
        <f aca="false">IF(W3506=1,"",IF(AND(X3506=1,Z3506&lt;&gt;1),1,0))</f>
        <v/>
      </c>
      <c r="AC3506" s="0" t="str">
        <f aca="false">IF(W3506=1,"",IF(AND(Y3506=1,AA3506&lt;&gt;1),1,0))</f>
        <v/>
      </c>
      <c r="AD3506" s="33" t="str">
        <f aca="false">IF(AND(E3506&gt;0,W3506&lt;1,NOT(AND(C3507=C3506,W3507=W3506+1))),INDEX(DATAS,W3506+1),"")</f>
        <v/>
      </c>
      <c r="AE3506" s="33" t="str">
        <f aca="false">IF(AND(Y3506=1,W3506&lt;1),IF(AND(C3507=C3506,W3507=W3506+1),IF(Y3507=1,"",INDEX(DATAS,W3506+1)),INDEX(DATAS,W3506+1)),"")</f>
        <v/>
      </c>
    </row>
    <row r="3507" customFormat="false" ht="15" hidden="false" customHeight="false" outlineLevel="0" collapsed="false">
      <c r="A3507" s="33" t="n">
        <v>46309</v>
      </c>
      <c r="B3507" s="0" t="n">
        <v>16</v>
      </c>
      <c r="C3507" s="0" t="n">
        <v>7953</v>
      </c>
      <c r="E3507" s="0" t="n">
        <v>0</v>
      </c>
      <c r="F3507" s="27" t="s">
        <v>1603</v>
      </c>
      <c r="I3507" s="27" t="s">
        <v>166</v>
      </c>
      <c r="U3507" s="0" t="n">
        <v>88</v>
      </c>
      <c r="V3507" s="0" t="n">
        <v>0</v>
      </c>
      <c r="W3507" s="27" t="n">
        <f aca="false">MATCH(A3507,DATAS,0)</f>
        <v>1</v>
      </c>
      <c r="X3507" s="27" t="n">
        <f aca="false">IF(AND(E3507&gt;0,OR(AND(B3507&gt;=1,B3507&lt;=6),B3507=10)),1,0)</f>
        <v>0</v>
      </c>
      <c r="Y3507" s="27" t="n">
        <f aca="false">IF(AND(E3507&gt;0,B3507=10),1,0)</f>
        <v>0</v>
      </c>
      <c r="Z3507" s="0" t="str">
        <f aca="false">IF(AND(C3506=C3507,W3506=W3507-1),X3506,"")</f>
        <v/>
      </c>
      <c r="AA3507" s="0" t="str">
        <f aca="false">IF(AND(C3506=C3507,W3506=W3507-1),Y3506,"")</f>
        <v/>
      </c>
      <c r="AB3507" s="0" t="str">
        <f aca="false">IF(W3507=1,"",IF(AND(X3507=1,Z3507&lt;&gt;1),1,0))</f>
        <v/>
      </c>
      <c r="AC3507" s="0" t="str">
        <f aca="false">IF(W3507=1,"",IF(AND(Y3507=1,AA3507&lt;&gt;1),1,0))</f>
        <v/>
      </c>
      <c r="AD3507" s="33" t="str">
        <f aca="false">IF(AND(E3507&gt;0,W3507&lt;1,NOT(AND(C3508=C3507,W3508=W3507+1))),INDEX(DATAS,W3507+1),"")</f>
        <v/>
      </c>
      <c r="AE3507" s="33" t="str">
        <f aca="false">IF(AND(Y3507=1,W3507&lt;1),IF(AND(C3508=C3507,W3508=W3507+1),IF(Y3508=1,"",INDEX(DATAS,W3507+1)),INDEX(DATAS,W3507+1)),"")</f>
        <v/>
      </c>
    </row>
    <row r="3508" customFormat="false" ht="15" hidden="false" customHeight="false" outlineLevel="0" collapsed="false">
      <c r="A3508" s="33" t="n">
        <v>46309</v>
      </c>
      <c r="B3508" s="0" t="n">
        <v>16</v>
      </c>
      <c r="C3508" s="0" t="n">
        <v>7954</v>
      </c>
      <c r="E3508" s="0" t="n">
        <v>0</v>
      </c>
      <c r="F3508" s="27" t="s">
        <v>1603</v>
      </c>
      <c r="I3508" s="27" t="s">
        <v>166</v>
      </c>
      <c r="U3508" s="0" t="n">
        <v>88</v>
      </c>
      <c r="V3508" s="0" t="n">
        <v>0</v>
      </c>
      <c r="W3508" s="27" t="n">
        <f aca="false">MATCH(A3508,DATAS,0)</f>
        <v>1</v>
      </c>
      <c r="X3508" s="27" t="n">
        <f aca="false">IF(AND(E3508&gt;0,OR(AND(B3508&gt;=1,B3508&lt;=6),B3508=10)),1,0)</f>
        <v>0</v>
      </c>
      <c r="Y3508" s="27" t="n">
        <f aca="false">IF(AND(E3508&gt;0,B3508=10),1,0)</f>
        <v>0</v>
      </c>
      <c r="Z3508" s="0" t="str">
        <f aca="false">IF(AND(C3507=C3508,W3507=W3508-1),X3507,"")</f>
        <v/>
      </c>
      <c r="AA3508" s="0" t="str">
        <f aca="false">IF(AND(C3507=C3508,W3507=W3508-1),Y3507,"")</f>
        <v/>
      </c>
      <c r="AB3508" s="0" t="str">
        <f aca="false">IF(W3508=1,"",IF(AND(X3508=1,Z3508&lt;&gt;1),1,0))</f>
        <v/>
      </c>
      <c r="AC3508" s="0" t="str">
        <f aca="false">IF(W3508=1,"",IF(AND(Y3508=1,AA3508&lt;&gt;1),1,0))</f>
        <v/>
      </c>
      <c r="AD3508" s="33" t="str">
        <f aca="false">IF(AND(E3508&gt;0,W3508&lt;1,NOT(AND(C3509=C3508,W3509=W3508+1))),INDEX(DATAS,W3508+1),"")</f>
        <v/>
      </c>
      <c r="AE3508" s="33" t="str">
        <f aca="false">IF(AND(Y3508=1,W3508&lt;1),IF(AND(C3509=C3508,W3509=W3508+1),IF(Y3509=1,"",INDEX(DATAS,W3508+1)),INDEX(DATAS,W3508+1)),"")</f>
        <v/>
      </c>
    </row>
    <row r="3509" customFormat="false" ht="15" hidden="false" customHeight="false" outlineLevel="0" collapsed="false">
      <c r="A3509" s="33" t="n">
        <v>46309</v>
      </c>
      <c r="B3509" s="0" t="n">
        <v>16</v>
      </c>
      <c r="C3509" s="0" t="n">
        <v>7955</v>
      </c>
      <c r="E3509" s="0" t="n">
        <v>0</v>
      </c>
      <c r="F3509" s="27" t="s">
        <v>1603</v>
      </c>
      <c r="I3509" s="27" t="s">
        <v>166</v>
      </c>
      <c r="U3509" s="0" t="n">
        <v>88</v>
      </c>
      <c r="V3509" s="0" t="n">
        <v>0</v>
      </c>
      <c r="W3509" s="27" t="n">
        <f aca="false">MATCH(A3509,DATAS,0)</f>
        <v>1</v>
      </c>
      <c r="X3509" s="27" t="n">
        <f aca="false">IF(AND(E3509&gt;0,OR(AND(B3509&gt;=1,B3509&lt;=6),B3509=10)),1,0)</f>
        <v>0</v>
      </c>
      <c r="Y3509" s="27" t="n">
        <f aca="false">IF(AND(E3509&gt;0,B3509=10),1,0)</f>
        <v>0</v>
      </c>
      <c r="Z3509" s="0" t="str">
        <f aca="false">IF(AND(C3508=C3509,W3508=W3509-1),X3508,"")</f>
        <v/>
      </c>
      <c r="AA3509" s="0" t="str">
        <f aca="false">IF(AND(C3508=C3509,W3508=W3509-1),Y3508,"")</f>
        <v/>
      </c>
      <c r="AB3509" s="0" t="str">
        <f aca="false">IF(W3509=1,"",IF(AND(X3509=1,Z3509&lt;&gt;1),1,0))</f>
        <v/>
      </c>
      <c r="AC3509" s="0" t="str">
        <f aca="false">IF(W3509=1,"",IF(AND(Y3509=1,AA3509&lt;&gt;1),1,0))</f>
        <v/>
      </c>
      <c r="AD3509" s="33" t="str">
        <f aca="false">IF(AND(E3509&gt;0,W3509&lt;1,NOT(AND(C3510=C3509,W3510=W3509+1))),INDEX(DATAS,W3509+1),"")</f>
        <v/>
      </c>
      <c r="AE3509" s="33" t="str">
        <f aca="false">IF(AND(Y3509=1,W3509&lt;1),IF(AND(C3510=C3509,W3510=W3509+1),IF(Y3510=1,"",INDEX(DATAS,W3509+1)),INDEX(DATAS,W3509+1)),"")</f>
        <v/>
      </c>
    </row>
    <row r="3510" customFormat="false" ht="15" hidden="false" customHeight="false" outlineLevel="0" collapsed="false">
      <c r="A3510" s="33" t="n">
        <v>46309</v>
      </c>
      <c r="B3510" s="0" t="n">
        <v>16</v>
      </c>
      <c r="C3510" s="0" t="n">
        <v>7956</v>
      </c>
      <c r="E3510" s="0" t="n">
        <v>0</v>
      </c>
      <c r="F3510" s="27" t="s">
        <v>1603</v>
      </c>
      <c r="I3510" s="27" t="s">
        <v>166</v>
      </c>
      <c r="U3510" s="0" t="n">
        <v>88</v>
      </c>
      <c r="V3510" s="0" t="n">
        <v>0</v>
      </c>
      <c r="W3510" s="27" t="n">
        <f aca="false">MATCH(A3510,DATAS,0)</f>
        <v>1</v>
      </c>
      <c r="X3510" s="27" t="n">
        <f aca="false">IF(AND(E3510&gt;0,OR(AND(B3510&gt;=1,B3510&lt;=6),B3510=10)),1,0)</f>
        <v>0</v>
      </c>
      <c r="Y3510" s="27" t="n">
        <f aca="false">IF(AND(E3510&gt;0,B3510=10),1,0)</f>
        <v>0</v>
      </c>
      <c r="Z3510" s="0" t="str">
        <f aca="false">IF(AND(C3509=C3510,W3509=W3510-1),X3509,"")</f>
        <v/>
      </c>
      <c r="AA3510" s="0" t="str">
        <f aca="false">IF(AND(C3509=C3510,W3509=W3510-1),Y3509,"")</f>
        <v/>
      </c>
      <c r="AB3510" s="0" t="str">
        <f aca="false">IF(W3510=1,"",IF(AND(X3510=1,Z3510&lt;&gt;1),1,0))</f>
        <v/>
      </c>
      <c r="AC3510" s="0" t="str">
        <f aca="false">IF(W3510=1,"",IF(AND(Y3510=1,AA3510&lt;&gt;1),1,0))</f>
        <v/>
      </c>
      <c r="AD3510" s="33" t="str">
        <f aca="false">IF(AND(E3510&gt;0,W3510&lt;1,NOT(AND(C3511=C3510,W3511=W3510+1))),INDEX(DATAS,W3510+1),"")</f>
        <v/>
      </c>
      <c r="AE3510" s="33" t="str">
        <f aca="false">IF(AND(Y3510=1,W3510&lt;1),IF(AND(C3511=C3510,W3511=W3510+1),IF(Y3511=1,"",INDEX(DATAS,W3510+1)),INDEX(DATAS,W3510+1)),"")</f>
        <v/>
      </c>
    </row>
    <row r="3511" customFormat="false" ht="15" hidden="false" customHeight="false" outlineLevel="0" collapsed="false">
      <c r="A3511" s="33" t="n">
        <v>46309</v>
      </c>
      <c r="B3511" s="0" t="n">
        <v>16</v>
      </c>
      <c r="C3511" s="0" t="n">
        <v>7957</v>
      </c>
      <c r="E3511" s="0" t="n">
        <v>0</v>
      </c>
      <c r="F3511" s="27" t="s">
        <v>1604</v>
      </c>
      <c r="I3511" s="27" t="s">
        <v>166</v>
      </c>
      <c r="U3511" s="0" t="n">
        <v>87</v>
      </c>
      <c r="V3511" s="0" t="n">
        <v>0</v>
      </c>
      <c r="W3511" s="27" t="n">
        <f aca="false">MATCH(A3511,DATAS,0)</f>
        <v>1</v>
      </c>
      <c r="X3511" s="27" t="n">
        <f aca="false">IF(AND(E3511&gt;0,OR(AND(B3511&gt;=1,B3511&lt;=6),B3511=10)),1,0)</f>
        <v>0</v>
      </c>
      <c r="Y3511" s="27" t="n">
        <f aca="false">IF(AND(E3511&gt;0,B3511=10),1,0)</f>
        <v>0</v>
      </c>
      <c r="Z3511" s="0" t="str">
        <f aca="false">IF(AND(C3510=C3511,W3510=W3511-1),X3510,"")</f>
        <v/>
      </c>
      <c r="AA3511" s="0" t="str">
        <f aca="false">IF(AND(C3510=C3511,W3510=W3511-1),Y3510,"")</f>
        <v/>
      </c>
      <c r="AB3511" s="0" t="str">
        <f aca="false">IF(W3511=1,"",IF(AND(X3511=1,Z3511&lt;&gt;1),1,0))</f>
        <v/>
      </c>
      <c r="AC3511" s="0" t="str">
        <f aca="false">IF(W3511=1,"",IF(AND(Y3511=1,AA3511&lt;&gt;1),1,0))</f>
        <v/>
      </c>
      <c r="AD3511" s="33" t="str">
        <f aca="false">IF(AND(E3511&gt;0,W3511&lt;1,NOT(AND(C3512=C3511,W3512=W3511+1))),INDEX(DATAS,W3511+1),"")</f>
        <v/>
      </c>
      <c r="AE3511" s="33" t="str">
        <f aca="false">IF(AND(Y3511=1,W3511&lt;1),IF(AND(C3512=C3511,W3512=W3511+1),IF(Y3512=1,"",INDEX(DATAS,W3511+1)),INDEX(DATAS,W3511+1)),"")</f>
        <v/>
      </c>
    </row>
    <row r="3512" customFormat="false" ht="15" hidden="false" customHeight="false" outlineLevel="0" collapsed="false">
      <c r="A3512" s="33" t="n">
        <v>46309</v>
      </c>
      <c r="B3512" s="0" t="n">
        <v>16</v>
      </c>
      <c r="C3512" s="0" t="n">
        <v>7958</v>
      </c>
      <c r="E3512" s="0" t="n">
        <v>0</v>
      </c>
      <c r="F3512" s="27" t="s">
        <v>1604</v>
      </c>
      <c r="I3512" s="27" t="s">
        <v>166</v>
      </c>
      <c r="U3512" s="0" t="n">
        <v>87</v>
      </c>
      <c r="V3512" s="0" t="n">
        <v>0</v>
      </c>
      <c r="W3512" s="27" t="n">
        <f aca="false">MATCH(A3512,DATAS,0)</f>
        <v>1</v>
      </c>
      <c r="X3512" s="27" t="n">
        <f aca="false">IF(AND(E3512&gt;0,OR(AND(B3512&gt;=1,B3512&lt;=6),B3512=10)),1,0)</f>
        <v>0</v>
      </c>
      <c r="Y3512" s="27" t="n">
        <f aca="false">IF(AND(E3512&gt;0,B3512=10),1,0)</f>
        <v>0</v>
      </c>
      <c r="Z3512" s="0" t="str">
        <f aca="false">IF(AND(C3511=C3512,W3511=W3512-1),X3511,"")</f>
        <v/>
      </c>
      <c r="AA3512" s="0" t="str">
        <f aca="false">IF(AND(C3511=C3512,W3511=W3512-1),Y3511,"")</f>
        <v/>
      </c>
      <c r="AB3512" s="0" t="str">
        <f aca="false">IF(W3512=1,"",IF(AND(X3512=1,Z3512&lt;&gt;1),1,0))</f>
        <v/>
      </c>
      <c r="AC3512" s="0" t="str">
        <f aca="false">IF(W3512=1,"",IF(AND(Y3512=1,AA3512&lt;&gt;1),1,0))</f>
        <v/>
      </c>
      <c r="AD3512" s="33" t="str">
        <f aca="false">IF(AND(E3512&gt;0,W3512&lt;1,NOT(AND(C3513=C3512,W3513=W3512+1))),INDEX(DATAS,W3512+1),"")</f>
        <v/>
      </c>
      <c r="AE3512" s="33" t="str">
        <f aca="false">IF(AND(Y3512=1,W3512&lt;1),IF(AND(C3513=C3512,W3513=W3512+1),IF(Y3513=1,"",INDEX(DATAS,W3512+1)),INDEX(DATAS,W3512+1)),"")</f>
        <v/>
      </c>
    </row>
    <row r="3513" customFormat="false" ht="15" hidden="false" customHeight="false" outlineLevel="0" collapsed="false">
      <c r="A3513" s="33" t="n">
        <v>46309</v>
      </c>
      <c r="B3513" s="0" t="n">
        <v>16</v>
      </c>
      <c r="C3513" s="0" t="n">
        <v>7959</v>
      </c>
      <c r="E3513" s="0" t="n">
        <v>0</v>
      </c>
      <c r="F3513" s="27" t="s">
        <v>1605</v>
      </c>
      <c r="I3513" s="27" t="s">
        <v>166</v>
      </c>
      <c r="U3513" s="0" t="n">
        <v>86</v>
      </c>
      <c r="V3513" s="0" t="n">
        <v>0</v>
      </c>
      <c r="W3513" s="27" t="n">
        <f aca="false">MATCH(A3513,DATAS,0)</f>
        <v>1</v>
      </c>
      <c r="X3513" s="27" t="n">
        <f aca="false">IF(AND(E3513&gt;0,OR(AND(B3513&gt;=1,B3513&lt;=6),B3513=10)),1,0)</f>
        <v>0</v>
      </c>
      <c r="Y3513" s="27" t="n">
        <f aca="false">IF(AND(E3513&gt;0,B3513=10),1,0)</f>
        <v>0</v>
      </c>
      <c r="Z3513" s="0" t="str">
        <f aca="false">IF(AND(C3512=C3513,W3512=W3513-1),X3512,"")</f>
        <v/>
      </c>
      <c r="AA3513" s="0" t="str">
        <f aca="false">IF(AND(C3512=C3513,W3512=W3513-1),Y3512,"")</f>
        <v/>
      </c>
      <c r="AB3513" s="0" t="str">
        <f aca="false">IF(W3513=1,"",IF(AND(X3513=1,Z3513&lt;&gt;1),1,0))</f>
        <v/>
      </c>
      <c r="AC3513" s="0" t="str">
        <f aca="false">IF(W3513=1,"",IF(AND(Y3513=1,AA3513&lt;&gt;1),1,0))</f>
        <v/>
      </c>
      <c r="AD3513" s="33" t="str">
        <f aca="false">IF(AND(E3513&gt;0,W3513&lt;1,NOT(AND(C3514=C3513,W3514=W3513+1))),INDEX(DATAS,W3513+1),"")</f>
        <v/>
      </c>
      <c r="AE3513" s="33" t="str">
        <f aca="false">IF(AND(Y3513=1,W3513&lt;1),IF(AND(C3514=C3513,W3514=W3513+1),IF(Y3514=1,"",INDEX(DATAS,W3513+1)),INDEX(DATAS,W3513+1)),"")</f>
        <v/>
      </c>
    </row>
    <row r="3514" customFormat="false" ht="15" hidden="false" customHeight="false" outlineLevel="0" collapsed="false">
      <c r="A3514" s="33" t="n">
        <v>46309</v>
      </c>
      <c r="B3514" s="0" t="n">
        <v>16</v>
      </c>
      <c r="C3514" s="0" t="n">
        <v>7960</v>
      </c>
      <c r="E3514" s="0" t="n">
        <v>0</v>
      </c>
      <c r="F3514" s="27" t="s">
        <v>1605</v>
      </c>
      <c r="I3514" s="27" t="s">
        <v>166</v>
      </c>
      <c r="U3514" s="0" t="n">
        <v>86</v>
      </c>
      <c r="V3514" s="0" t="n">
        <v>0</v>
      </c>
      <c r="W3514" s="27" t="n">
        <f aca="false">MATCH(A3514,DATAS,0)</f>
        <v>1</v>
      </c>
      <c r="X3514" s="27" t="n">
        <f aca="false">IF(AND(E3514&gt;0,OR(AND(B3514&gt;=1,B3514&lt;=6),B3514=10)),1,0)</f>
        <v>0</v>
      </c>
      <c r="Y3514" s="27" t="n">
        <f aca="false">IF(AND(E3514&gt;0,B3514=10),1,0)</f>
        <v>0</v>
      </c>
      <c r="Z3514" s="0" t="str">
        <f aca="false">IF(AND(C3513=C3514,W3513=W3514-1),X3513,"")</f>
        <v/>
      </c>
      <c r="AA3514" s="0" t="str">
        <f aca="false">IF(AND(C3513=C3514,W3513=W3514-1),Y3513,"")</f>
        <v/>
      </c>
      <c r="AB3514" s="0" t="str">
        <f aca="false">IF(W3514=1,"",IF(AND(X3514=1,Z3514&lt;&gt;1),1,0))</f>
        <v/>
      </c>
      <c r="AC3514" s="0" t="str">
        <f aca="false">IF(W3514=1,"",IF(AND(Y3514=1,AA3514&lt;&gt;1),1,0))</f>
        <v/>
      </c>
      <c r="AD3514" s="33" t="str">
        <f aca="false">IF(AND(E3514&gt;0,W3514&lt;1,NOT(AND(C3515=C3514,W3515=W3514+1))),INDEX(DATAS,W3514+1),"")</f>
        <v/>
      </c>
      <c r="AE3514" s="33" t="str">
        <f aca="false">IF(AND(Y3514=1,W3514&lt;1),IF(AND(C3515=C3514,W3515=W3514+1),IF(Y3515=1,"",INDEX(DATAS,W3514+1)),INDEX(DATAS,W3514+1)),"")</f>
        <v/>
      </c>
    </row>
    <row r="3515" customFormat="false" ht="15" hidden="false" customHeight="false" outlineLevel="0" collapsed="false">
      <c r="A3515" s="33" t="n">
        <v>46309</v>
      </c>
      <c r="B3515" s="0" t="n">
        <v>16</v>
      </c>
      <c r="C3515" s="0" t="n">
        <v>7962</v>
      </c>
      <c r="E3515" s="0" t="n">
        <v>0</v>
      </c>
      <c r="F3515" s="27" t="s">
        <v>1606</v>
      </c>
      <c r="I3515" s="27" t="s">
        <v>166</v>
      </c>
      <c r="U3515" s="0" t="n">
        <v>84</v>
      </c>
      <c r="V3515" s="0" t="n">
        <v>0</v>
      </c>
      <c r="W3515" s="27" t="n">
        <f aca="false">MATCH(A3515,DATAS,0)</f>
        <v>1</v>
      </c>
      <c r="X3515" s="27" t="n">
        <f aca="false">IF(AND(E3515&gt;0,OR(AND(B3515&gt;=1,B3515&lt;=6),B3515=10)),1,0)</f>
        <v>0</v>
      </c>
      <c r="Y3515" s="27" t="n">
        <f aca="false">IF(AND(E3515&gt;0,B3515=10),1,0)</f>
        <v>0</v>
      </c>
      <c r="Z3515" s="0" t="str">
        <f aca="false">IF(AND(C3514=C3515,W3514=W3515-1),X3514,"")</f>
        <v/>
      </c>
      <c r="AA3515" s="0" t="str">
        <f aca="false">IF(AND(C3514=C3515,W3514=W3515-1),Y3514,"")</f>
        <v/>
      </c>
      <c r="AB3515" s="0" t="str">
        <f aca="false">IF(W3515=1,"",IF(AND(X3515=1,Z3515&lt;&gt;1),1,0))</f>
        <v/>
      </c>
      <c r="AC3515" s="0" t="str">
        <f aca="false">IF(W3515=1,"",IF(AND(Y3515=1,AA3515&lt;&gt;1),1,0))</f>
        <v/>
      </c>
      <c r="AD3515" s="33" t="str">
        <f aca="false">IF(AND(E3515&gt;0,W3515&lt;1,NOT(AND(C3516=C3515,W3516=W3515+1))),INDEX(DATAS,W3515+1),"")</f>
        <v/>
      </c>
      <c r="AE3515" s="33" t="str">
        <f aca="false">IF(AND(Y3515=1,W3515&lt;1),IF(AND(C3516=C3515,W3516=W3515+1),IF(Y3516=1,"",INDEX(DATAS,W3515+1)),INDEX(DATAS,W3515+1)),"")</f>
        <v/>
      </c>
    </row>
    <row r="3516" customFormat="false" ht="15" hidden="false" customHeight="false" outlineLevel="0" collapsed="false">
      <c r="A3516" s="33" t="n">
        <v>46309</v>
      </c>
      <c r="B3516" s="0" t="n">
        <v>16</v>
      </c>
      <c r="C3516" s="0" t="n">
        <v>7963</v>
      </c>
      <c r="E3516" s="0" t="n">
        <v>0</v>
      </c>
      <c r="F3516" s="27" t="s">
        <v>1606</v>
      </c>
      <c r="I3516" s="27" t="s">
        <v>166</v>
      </c>
      <c r="U3516" s="0" t="n">
        <v>84</v>
      </c>
      <c r="V3516" s="0" t="n">
        <v>0</v>
      </c>
      <c r="W3516" s="27" t="n">
        <f aca="false">MATCH(A3516,DATAS,0)</f>
        <v>1</v>
      </c>
      <c r="X3516" s="27" t="n">
        <f aca="false">IF(AND(E3516&gt;0,OR(AND(B3516&gt;=1,B3516&lt;=6),B3516=10)),1,0)</f>
        <v>0</v>
      </c>
      <c r="Y3516" s="27" t="n">
        <f aca="false">IF(AND(E3516&gt;0,B3516=10),1,0)</f>
        <v>0</v>
      </c>
      <c r="Z3516" s="0" t="str">
        <f aca="false">IF(AND(C3515=C3516,W3515=W3516-1),X3515,"")</f>
        <v/>
      </c>
      <c r="AA3516" s="0" t="str">
        <f aca="false">IF(AND(C3515=C3516,W3515=W3516-1),Y3515,"")</f>
        <v/>
      </c>
      <c r="AB3516" s="0" t="str">
        <f aca="false">IF(W3516=1,"",IF(AND(X3516=1,Z3516&lt;&gt;1),1,0))</f>
        <v/>
      </c>
      <c r="AC3516" s="0" t="str">
        <f aca="false">IF(W3516=1,"",IF(AND(Y3516=1,AA3516&lt;&gt;1),1,0))</f>
        <v/>
      </c>
      <c r="AD3516" s="33" t="str">
        <f aca="false">IF(AND(E3516&gt;0,W3516&lt;1,NOT(AND(C3517=C3516,W3517=W3516+1))),INDEX(DATAS,W3516+1),"")</f>
        <v/>
      </c>
      <c r="AE3516" s="33" t="str">
        <f aca="false">IF(AND(Y3516=1,W3516&lt;1),IF(AND(C3517=C3516,W3517=W3516+1),IF(Y3517=1,"",INDEX(DATAS,W3516+1)),INDEX(DATAS,W3516+1)),"")</f>
        <v/>
      </c>
    </row>
    <row r="3517" customFormat="false" ht="15" hidden="false" customHeight="false" outlineLevel="0" collapsed="false">
      <c r="A3517" s="33" t="n">
        <v>46309</v>
      </c>
      <c r="B3517" s="0" t="n">
        <v>16</v>
      </c>
      <c r="C3517" s="0" t="n">
        <v>7964</v>
      </c>
      <c r="E3517" s="0" t="n">
        <v>0</v>
      </c>
      <c r="F3517" s="27" t="s">
        <v>1607</v>
      </c>
      <c r="I3517" s="27" t="s">
        <v>166</v>
      </c>
      <c r="U3517" s="0" t="n">
        <v>83</v>
      </c>
      <c r="V3517" s="0" t="n">
        <v>0</v>
      </c>
      <c r="W3517" s="27" t="n">
        <f aca="false">MATCH(A3517,DATAS,0)</f>
        <v>1</v>
      </c>
      <c r="X3517" s="27" t="n">
        <f aca="false">IF(AND(E3517&gt;0,OR(AND(B3517&gt;=1,B3517&lt;=6),B3517=10)),1,0)</f>
        <v>0</v>
      </c>
      <c r="Y3517" s="27" t="n">
        <f aca="false">IF(AND(E3517&gt;0,B3517=10),1,0)</f>
        <v>0</v>
      </c>
      <c r="Z3517" s="0" t="str">
        <f aca="false">IF(AND(C3516=C3517,W3516=W3517-1),X3516,"")</f>
        <v/>
      </c>
      <c r="AA3517" s="0" t="str">
        <f aca="false">IF(AND(C3516=C3517,W3516=W3517-1),Y3516,"")</f>
        <v/>
      </c>
      <c r="AB3517" s="0" t="str">
        <f aca="false">IF(W3517=1,"",IF(AND(X3517=1,Z3517&lt;&gt;1),1,0))</f>
        <v/>
      </c>
      <c r="AC3517" s="0" t="str">
        <f aca="false">IF(W3517=1,"",IF(AND(Y3517=1,AA3517&lt;&gt;1),1,0))</f>
        <v/>
      </c>
      <c r="AD3517" s="33" t="str">
        <f aca="false">IF(AND(E3517&gt;0,W3517&lt;1,NOT(AND(C3518=C3517,W3518=W3517+1))),INDEX(DATAS,W3517+1),"")</f>
        <v/>
      </c>
      <c r="AE3517" s="33" t="str">
        <f aca="false">IF(AND(Y3517=1,W3517&lt;1),IF(AND(C3518=C3517,W3518=W3517+1),IF(Y3518=1,"",INDEX(DATAS,W3517+1)),INDEX(DATAS,W3517+1)),"")</f>
        <v/>
      </c>
    </row>
    <row r="3518" customFormat="false" ht="15" hidden="false" customHeight="false" outlineLevel="0" collapsed="false">
      <c r="A3518" s="33" t="n">
        <v>46309</v>
      </c>
      <c r="B3518" s="0" t="n">
        <v>16</v>
      </c>
      <c r="C3518" s="0" t="n">
        <v>7965</v>
      </c>
      <c r="E3518" s="0" t="n">
        <v>0</v>
      </c>
      <c r="F3518" s="27" t="s">
        <v>1607</v>
      </c>
      <c r="I3518" s="27" t="s">
        <v>166</v>
      </c>
      <c r="U3518" s="0" t="n">
        <v>83</v>
      </c>
      <c r="V3518" s="0" t="n">
        <v>0</v>
      </c>
      <c r="W3518" s="27" t="n">
        <f aca="false">MATCH(A3518,DATAS,0)</f>
        <v>1</v>
      </c>
      <c r="X3518" s="27" t="n">
        <f aca="false">IF(AND(E3518&gt;0,OR(AND(B3518&gt;=1,B3518&lt;=6),B3518=10)),1,0)</f>
        <v>0</v>
      </c>
      <c r="Y3518" s="27" t="n">
        <f aca="false">IF(AND(E3518&gt;0,B3518=10),1,0)</f>
        <v>0</v>
      </c>
      <c r="Z3518" s="0" t="str">
        <f aca="false">IF(AND(C3517=C3518,W3517=W3518-1),X3517,"")</f>
        <v/>
      </c>
      <c r="AA3518" s="0" t="str">
        <f aca="false">IF(AND(C3517=C3518,W3517=W3518-1),Y3517,"")</f>
        <v/>
      </c>
      <c r="AB3518" s="0" t="str">
        <f aca="false">IF(W3518=1,"",IF(AND(X3518=1,Z3518&lt;&gt;1),1,0))</f>
        <v/>
      </c>
      <c r="AC3518" s="0" t="str">
        <f aca="false">IF(W3518=1,"",IF(AND(Y3518=1,AA3518&lt;&gt;1),1,0))</f>
        <v/>
      </c>
      <c r="AD3518" s="33" t="str">
        <f aca="false">IF(AND(E3518&gt;0,W3518&lt;1,NOT(AND(C3519=C3518,W3519=W3518+1))),INDEX(DATAS,W3518+1),"")</f>
        <v/>
      </c>
      <c r="AE3518" s="33" t="str">
        <f aca="false">IF(AND(Y3518=1,W3518&lt;1),IF(AND(C3519=C3518,W3519=W3518+1),IF(Y3519=1,"",INDEX(DATAS,W3518+1)),INDEX(DATAS,W3518+1)),"")</f>
        <v/>
      </c>
    </row>
    <row r="3519" customFormat="false" ht="15" hidden="false" customHeight="false" outlineLevel="0" collapsed="false">
      <c r="A3519" s="33" t="n">
        <v>46309</v>
      </c>
      <c r="B3519" s="0" t="n">
        <v>16</v>
      </c>
      <c r="C3519" s="0" t="n">
        <v>7966</v>
      </c>
      <c r="E3519" s="0" t="n">
        <v>0</v>
      </c>
      <c r="F3519" s="27" t="s">
        <v>1608</v>
      </c>
      <c r="I3519" s="27" t="s">
        <v>166</v>
      </c>
      <c r="U3519" s="0" t="n">
        <v>82</v>
      </c>
      <c r="V3519" s="0" t="n">
        <v>0</v>
      </c>
      <c r="W3519" s="27" t="n">
        <f aca="false">MATCH(A3519,DATAS,0)</f>
        <v>1</v>
      </c>
      <c r="X3519" s="27" t="n">
        <f aca="false">IF(AND(E3519&gt;0,OR(AND(B3519&gt;=1,B3519&lt;=6),B3519=10)),1,0)</f>
        <v>0</v>
      </c>
      <c r="Y3519" s="27" t="n">
        <f aca="false">IF(AND(E3519&gt;0,B3519=10),1,0)</f>
        <v>0</v>
      </c>
      <c r="Z3519" s="0" t="str">
        <f aca="false">IF(AND(C3518=C3519,W3518=W3519-1),X3518,"")</f>
        <v/>
      </c>
      <c r="AA3519" s="0" t="str">
        <f aca="false">IF(AND(C3518=C3519,W3518=W3519-1),Y3518,"")</f>
        <v/>
      </c>
      <c r="AB3519" s="0" t="str">
        <f aca="false">IF(W3519=1,"",IF(AND(X3519=1,Z3519&lt;&gt;1),1,0))</f>
        <v/>
      </c>
      <c r="AC3519" s="0" t="str">
        <f aca="false">IF(W3519=1,"",IF(AND(Y3519=1,AA3519&lt;&gt;1),1,0))</f>
        <v/>
      </c>
      <c r="AD3519" s="33" t="str">
        <f aca="false">IF(AND(E3519&gt;0,W3519&lt;1,NOT(AND(C3520=C3519,W3520=W3519+1))),INDEX(DATAS,W3519+1),"")</f>
        <v/>
      </c>
      <c r="AE3519" s="33" t="str">
        <f aca="false">IF(AND(Y3519=1,W3519&lt;1),IF(AND(C3520=C3519,W3520=W3519+1),IF(Y3520=1,"",INDEX(DATAS,W3519+1)),INDEX(DATAS,W3519+1)),"")</f>
        <v/>
      </c>
    </row>
    <row r="3520" customFormat="false" ht="15" hidden="false" customHeight="false" outlineLevel="0" collapsed="false">
      <c r="A3520" s="33" t="n">
        <v>46309</v>
      </c>
      <c r="B3520" s="0" t="n">
        <v>16</v>
      </c>
      <c r="C3520" s="0" t="n">
        <v>7967</v>
      </c>
      <c r="E3520" s="0" t="n">
        <v>0</v>
      </c>
      <c r="F3520" s="27" t="s">
        <v>1608</v>
      </c>
      <c r="I3520" s="27" t="s">
        <v>166</v>
      </c>
      <c r="U3520" s="0" t="n">
        <v>82</v>
      </c>
      <c r="V3520" s="0" t="n">
        <v>0</v>
      </c>
      <c r="W3520" s="27" t="n">
        <f aca="false">MATCH(A3520,DATAS,0)</f>
        <v>1</v>
      </c>
      <c r="X3520" s="27" t="n">
        <f aca="false">IF(AND(E3520&gt;0,OR(AND(B3520&gt;=1,B3520&lt;=6),B3520=10)),1,0)</f>
        <v>0</v>
      </c>
      <c r="Y3520" s="27" t="n">
        <f aca="false">IF(AND(E3520&gt;0,B3520=10),1,0)</f>
        <v>0</v>
      </c>
      <c r="Z3520" s="0" t="str">
        <f aca="false">IF(AND(C3519=C3520,W3519=W3520-1),X3519,"")</f>
        <v/>
      </c>
      <c r="AA3520" s="0" t="str">
        <f aca="false">IF(AND(C3519=C3520,W3519=W3520-1),Y3519,"")</f>
        <v/>
      </c>
      <c r="AB3520" s="0" t="str">
        <f aca="false">IF(W3520=1,"",IF(AND(X3520=1,Z3520&lt;&gt;1),1,0))</f>
        <v/>
      </c>
      <c r="AC3520" s="0" t="str">
        <f aca="false">IF(W3520=1,"",IF(AND(Y3520=1,AA3520&lt;&gt;1),1,0))</f>
        <v/>
      </c>
      <c r="AD3520" s="33" t="str">
        <f aca="false">IF(AND(E3520&gt;0,W3520&lt;1,NOT(AND(C3521=C3520,W3521=W3520+1))),INDEX(DATAS,W3520+1),"")</f>
        <v/>
      </c>
      <c r="AE3520" s="33" t="str">
        <f aca="false">IF(AND(Y3520=1,W3520&lt;1),IF(AND(C3521=C3520,W3521=W3520+1),IF(Y3521=1,"",INDEX(DATAS,W3520+1)),INDEX(DATAS,W3520+1)),"")</f>
        <v/>
      </c>
    </row>
    <row r="3521" customFormat="false" ht="15" hidden="false" customHeight="false" outlineLevel="0" collapsed="false">
      <c r="A3521" s="33" t="n">
        <v>46309</v>
      </c>
      <c r="B3521" s="0" t="n">
        <v>16</v>
      </c>
      <c r="C3521" s="0" t="n">
        <v>7968</v>
      </c>
      <c r="E3521" s="0" t="n">
        <v>0</v>
      </c>
      <c r="F3521" s="27" t="s">
        <v>1609</v>
      </c>
      <c r="I3521" s="27" t="s">
        <v>166</v>
      </c>
      <c r="U3521" s="0" t="n">
        <v>81</v>
      </c>
      <c r="V3521" s="0" t="n">
        <v>0</v>
      </c>
      <c r="W3521" s="27" t="n">
        <f aca="false">MATCH(A3521,DATAS,0)</f>
        <v>1</v>
      </c>
      <c r="X3521" s="27" t="n">
        <f aca="false">IF(AND(E3521&gt;0,OR(AND(B3521&gt;=1,B3521&lt;=6),B3521=10)),1,0)</f>
        <v>0</v>
      </c>
      <c r="Y3521" s="27" t="n">
        <f aca="false">IF(AND(E3521&gt;0,B3521=10),1,0)</f>
        <v>0</v>
      </c>
      <c r="Z3521" s="0" t="str">
        <f aca="false">IF(AND(C3520=C3521,W3520=W3521-1),X3520,"")</f>
        <v/>
      </c>
      <c r="AA3521" s="0" t="str">
        <f aca="false">IF(AND(C3520=C3521,W3520=W3521-1),Y3520,"")</f>
        <v/>
      </c>
      <c r="AB3521" s="0" t="str">
        <f aca="false">IF(W3521=1,"",IF(AND(X3521=1,Z3521&lt;&gt;1),1,0))</f>
        <v/>
      </c>
      <c r="AC3521" s="0" t="str">
        <f aca="false">IF(W3521=1,"",IF(AND(Y3521=1,AA3521&lt;&gt;1),1,0))</f>
        <v/>
      </c>
      <c r="AD3521" s="33" t="str">
        <f aca="false">IF(AND(E3521&gt;0,W3521&lt;1,NOT(AND(C3522=C3521,W3522=W3521+1))),INDEX(DATAS,W3521+1),"")</f>
        <v/>
      </c>
      <c r="AE3521" s="33" t="str">
        <f aca="false">IF(AND(Y3521=1,W3521&lt;1),IF(AND(C3522=C3521,W3522=W3521+1),IF(Y3522=1,"",INDEX(DATAS,W3521+1)),INDEX(DATAS,W3521+1)),"")</f>
        <v/>
      </c>
    </row>
    <row r="3522" customFormat="false" ht="15" hidden="false" customHeight="false" outlineLevel="0" collapsed="false">
      <c r="A3522" s="33" t="n">
        <v>46309</v>
      </c>
      <c r="B3522" s="0" t="n">
        <v>16</v>
      </c>
      <c r="C3522" s="0" t="n">
        <v>7970</v>
      </c>
      <c r="E3522" s="0" t="n">
        <v>0</v>
      </c>
      <c r="F3522" s="27" t="s">
        <v>1610</v>
      </c>
      <c r="I3522" s="27" t="s">
        <v>166</v>
      </c>
      <c r="U3522" s="0" t="n">
        <v>79</v>
      </c>
      <c r="V3522" s="0" t="n">
        <v>0</v>
      </c>
      <c r="W3522" s="27" t="n">
        <f aca="false">MATCH(A3522,DATAS,0)</f>
        <v>1</v>
      </c>
      <c r="X3522" s="27" t="n">
        <f aca="false">IF(AND(E3522&gt;0,OR(AND(B3522&gt;=1,B3522&lt;=6),B3522=10)),1,0)</f>
        <v>0</v>
      </c>
      <c r="Y3522" s="27" t="n">
        <f aca="false">IF(AND(E3522&gt;0,B3522=10),1,0)</f>
        <v>0</v>
      </c>
      <c r="Z3522" s="0" t="str">
        <f aca="false">IF(AND(C3521=C3522,W3521=W3522-1),X3521,"")</f>
        <v/>
      </c>
      <c r="AA3522" s="0" t="str">
        <f aca="false">IF(AND(C3521=C3522,W3521=W3522-1),Y3521,"")</f>
        <v/>
      </c>
      <c r="AB3522" s="0" t="str">
        <f aca="false">IF(W3522=1,"",IF(AND(X3522=1,Z3522&lt;&gt;1),1,0))</f>
        <v/>
      </c>
      <c r="AC3522" s="0" t="str">
        <f aca="false">IF(W3522=1,"",IF(AND(Y3522=1,AA3522&lt;&gt;1),1,0))</f>
        <v/>
      </c>
      <c r="AD3522" s="33" t="str">
        <f aca="false">IF(AND(E3522&gt;0,W3522&lt;1,NOT(AND(C3523=C3522,W3523=W3522+1))),INDEX(DATAS,W3522+1),"")</f>
        <v/>
      </c>
      <c r="AE3522" s="33" t="str">
        <f aca="false">IF(AND(Y3522=1,W3522&lt;1),IF(AND(C3523=C3522,W3523=W3522+1),IF(Y3523=1,"",INDEX(DATAS,W3522+1)),INDEX(DATAS,W3522+1)),"")</f>
        <v/>
      </c>
    </row>
    <row r="3523" customFormat="false" ht="15" hidden="false" customHeight="false" outlineLevel="0" collapsed="false">
      <c r="A3523" s="33" t="n">
        <v>46309</v>
      </c>
      <c r="B3523" s="0" t="n">
        <v>16</v>
      </c>
      <c r="C3523" s="0" t="n">
        <v>7971</v>
      </c>
      <c r="E3523" s="0" t="n">
        <v>0</v>
      </c>
      <c r="F3523" s="27" t="s">
        <v>1610</v>
      </c>
      <c r="I3523" s="27" t="s">
        <v>166</v>
      </c>
      <c r="U3523" s="0" t="n">
        <v>79</v>
      </c>
      <c r="V3523" s="0" t="n">
        <v>0</v>
      </c>
      <c r="W3523" s="27" t="n">
        <f aca="false">MATCH(A3523,DATAS,0)</f>
        <v>1</v>
      </c>
      <c r="X3523" s="27" t="n">
        <f aca="false">IF(AND(E3523&gt;0,OR(AND(B3523&gt;=1,B3523&lt;=6),B3523=10)),1,0)</f>
        <v>0</v>
      </c>
      <c r="Y3523" s="27" t="n">
        <f aca="false">IF(AND(E3523&gt;0,B3523=10),1,0)</f>
        <v>0</v>
      </c>
      <c r="Z3523" s="0" t="str">
        <f aca="false">IF(AND(C3522=C3523,W3522=W3523-1),X3522,"")</f>
        <v/>
      </c>
      <c r="AA3523" s="0" t="str">
        <f aca="false">IF(AND(C3522=C3523,W3522=W3523-1),Y3522,"")</f>
        <v/>
      </c>
      <c r="AB3523" s="0" t="str">
        <f aca="false">IF(W3523=1,"",IF(AND(X3523=1,Z3523&lt;&gt;1),1,0))</f>
        <v/>
      </c>
      <c r="AC3523" s="0" t="str">
        <f aca="false">IF(W3523=1,"",IF(AND(Y3523=1,AA3523&lt;&gt;1),1,0))</f>
        <v/>
      </c>
      <c r="AD3523" s="33" t="str">
        <f aca="false">IF(AND(E3523&gt;0,W3523&lt;1,NOT(AND(C3524=C3523,W3524=W3523+1))),INDEX(DATAS,W3523+1),"")</f>
        <v/>
      </c>
      <c r="AE3523" s="33" t="str">
        <f aca="false">IF(AND(Y3523=1,W3523&lt;1),IF(AND(C3524=C3523,W3524=W3523+1),IF(Y3524=1,"",INDEX(DATAS,W3523+1)),INDEX(DATAS,W3523+1)),"")</f>
        <v/>
      </c>
    </row>
    <row r="3524" customFormat="false" ht="15" hidden="false" customHeight="false" outlineLevel="0" collapsed="false">
      <c r="A3524" s="33" t="n">
        <v>46309</v>
      </c>
      <c r="B3524" s="0" t="n">
        <v>16</v>
      </c>
      <c r="C3524" s="0" t="n">
        <v>7973</v>
      </c>
      <c r="E3524" s="0" t="n">
        <v>0</v>
      </c>
      <c r="F3524" s="27" t="s">
        <v>1611</v>
      </c>
      <c r="I3524" s="27" t="s">
        <v>166</v>
      </c>
      <c r="U3524" s="0" t="n">
        <v>78</v>
      </c>
      <c r="V3524" s="0" t="n">
        <v>0</v>
      </c>
      <c r="W3524" s="27" t="n">
        <f aca="false">MATCH(A3524,DATAS,0)</f>
        <v>1</v>
      </c>
      <c r="X3524" s="27" t="n">
        <f aca="false">IF(AND(E3524&gt;0,OR(AND(B3524&gt;=1,B3524&lt;=6),B3524=10)),1,0)</f>
        <v>0</v>
      </c>
      <c r="Y3524" s="27" t="n">
        <f aca="false">IF(AND(E3524&gt;0,B3524=10),1,0)</f>
        <v>0</v>
      </c>
      <c r="Z3524" s="0" t="str">
        <f aca="false">IF(AND(C3523=C3524,W3523=W3524-1),X3523,"")</f>
        <v/>
      </c>
      <c r="AA3524" s="0" t="str">
        <f aca="false">IF(AND(C3523=C3524,W3523=W3524-1),Y3523,"")</f>
        <v/>
      </c>
      <c r="AB3524" s="0" t="str">
        <f aca="false">IF(W3524=1,"",IF(AND(X3524=1,Z3524&lt;&gt;1),1,0))</f>
        <v/>
      </c>
      <c r="AC3524" s="0" t="str">
        <f aca="false">IF(W3524=1,"",IF(AND(Y3524=1,AA3524&lt;&gt;1),1,0))</f>
        <v/>
      </c>
      <c r="AD3524" s="33" t="str">
        <f aca="false">IF(AND(E3524&gt;0,W3524&lt;1,NOT(AND(C3525=C3524,W3525=W3524+1))),INDEX(DATAS,W3524+1),"")</f>
        <v/>
      </c>
      <c r="AE3524" s="33" t="str">
        <f aca="false">IF(AND(Y3524=1,W3524&lt;1),IF(AND(C3525=C3524,W3525=W3524+1),IF(Y3525=1,"",INDEX(DATAS,W3524+1)),INDEX(DATAS,W3524+1)),"")</f>
        <v/>
      </c>
    </row>
    <row r="3525" customFormat="false" ht="15" hidden="false" customHeight="false" outlineLevel="0" collapsed="false">
      <c r="A3525" s="33" t="n">
        <v>46309</v>
      </c>
      <c r="B3525" s="0" t="n">
        <v>16</v>
      </c>
      <c r="C3525" s="0" t="n">
        <v>7974</v>
      </c>
      <c r="E3525" s="0" t="n">
        <v>0</v>
      </c>
      <c r="F3525" s="27" t="s">
        <v>1611</v>
      </c>
      <c r="I3525" s="27" t="s">
        <v>166</v>
      </c>
      <c r="U3525" s="0" t="n">
        <v>78</v>
      </c>
      <c r="V3525" s="0" t="n">
        <v>0</v>
      </c>
      <c r="W3525" s="27" t="n">
        <f aca="false">MATCH(A3525,DATAS,0)</f>
        <v>1</v>
      </c>
      <c r="X3525" s="27" t="n">
        <f aca="false">IF(AND(E3525&gt;0,OR(AND(B3525&gt;=1,B3525&lt;=6),B3525=10)),1,0)</f>
        <v>0</v>
      </c>
      <c r="Y3525" s="27" t="n">
        <f aca="false">IF(AND(E3525&gt;0,B3525=10),1,0)</f>
        <v>0</v>
      </c>
      <c r="Z3525" s="0" t="str">
        <f aca="false">IF(AND(C3524=C3525,W3524=W3525-1),X3524,"")</f>
        <v/>
      </c>
      <c r="AA3525" s="0" t="str">
        <f aca="false">IF(AND(C3524=C3525,W3524=W3525-1),Y3524,"")</f>
        <v/>
      </c>
      <c r="AB3525" s="0" t="str">
        <f aca="false">IF(W3525=1,"",IF(AND(X3525=1,Z3525&lt;&gt;1),1,0))</f>
        <v/>
      </c>
      <c r="AC3525" s="0" t="str">
        <f aca="false">IF(W3525=1,"",IF(AND(Y3525=1,AA3525&lt;&gt;1),1,0))</f>
        <v/>
      </c>
      <c r="AD3525" s="33" t="str">
        <f aca="false">IF(AND(E3525&gt;0,W3525&lt;1,NOT(AND(C3526=C3525,W3526=W3525+1))),INDEX(DATAS,W3525+1),"")</f>
        <v/>
      </c>
      <c r="AE3525" s="33" t="str">
        <f aca="false">IF(AND(Y3525=1,W3525&lt;1),IF(AND(C3526=C3525,W3526=W3525+1),IF(Y3526=1,"",INDEX(DATAS,W3525+1)),INDEX(DATAS,W3525+1)),"")</f>
        <v/>
      </c>
    </row>
    <row r="3526" customFormat="false" ht="15" hidden="false" customHeight="false" outlineLevel="0" collapsed="false">
      <c r="A3526" s="33" t="n">
        <v>46309</v>
      </c>
      <c r="B3526" s="0" t="n">
        <v>16</v>
      </c>
      <c r="C3526" s="0" t="n">
        <v>7975</v>
      </c>
      <c r="E3526" s="0" t="n">
        <v>0</v>
      </c>
      <c r="F3526" s="27" t="s">
        <v>1611</v>
      </c>
      <c r="I3526" s="27" t="s">
        <v>166</v>
      </c>
      <c r="U3526" s="0" t="n">
        <v>78</v>
      </c>
      <c r="V3526" s="0" t="n">
        <v>0</v>
      </c>
      <c r="W3526" s="27" t="n">
        <f aca="false">MATCH(A3526,DATAS,0)</f>
        <v>1</v>
      </c>
      <c r="X3526" s="27" t="n">
        <f aca="false">IF(AND(E3526&gt;0,OR(AND(B3526&gt;=1,B3526&lt;=6),B3526=10)),1,0)</f>
        <v>0</v>
      </c>
      <c r="Y3526" s="27" t="n">
        <f aca="false">IF(AND(E3526&gt;0,B3526=10),1,0)</f>
        <v>0</v>
      </c>
      <c r="Z3526" s="0" t="str">
        <f aca="false">IF(AND(C3525=C3526,W3525=W3526-1),X3525,"")</f>
        <v/>
      </c>
      <c r="AA3526" s="0" t="str">
        <f aca="false">IF(AND(C3525=C3526,W3525=W3526-1),Y3525,"")</f>
        <v/>
      </c>
      <c r="AB3526" s="0" t="str">
        <f aca="false">IF(W3526=1,"",IF(AND(X3526=1,Z3526&lt;&gt;1),1,0))</f>
        <v/>
      </c>
      <c r="AC3526" s="0" t="str">
        <f aca="false">IF(W3526=1,"",IF(AND(Y3526=1,AA3526&lt;&gt;1),1,0))</f>
        <v/>
      </c>
      <c r="AD3526" s="33" t="str">
        <f aca="false">IF(AND(E3526&gt;0,W3526&lt;1,NOT(AND(C3527=C3526,W3527=W3526+1))),INDEX(DATAS,W3526+1),"")</f>
        <v/>
      </c>
      <c r="AE3526" s="33" t="str">
        <f aca="false">IF(AND(Y3526=1,W3526&lt;1),IF(AND(C3527=C3526,W3527=W3526+1),IF(Y3527=1,"",INDEX(DATAS,W3526+1)),INDEX(DATAS,W3526+1)),"")</f>
        <v/>
      </c>
    </row>
    <row r="3527" customFormat="false" ht="15" hidden="false" customHeight="false" outlineLevel="0" collapsed="false">
      <c r="A3527" s="33" t="n">
        <v>46309</v>
      </c>
      <c r="B3527" s="0" t="n">
        <v>16</v>
      </c>
      <c r="C3527" s="0" t="n">
        <v>7977</v>
      </c>
      <c r="E3527" s="0" t="n">
        <v>0</v>
      </c>
      <c r="F3527" s="27" t="s">
        <v>1612</v>
      </c>
      <c r="I3527" s="27" t="s">
        <v>166</v>
      </c>
      <c r="U3527" s="0" t="n">
        <v>77</v>
      </c>
      <c r="V3527" s="0" t="n">
        <v>0</v>
      </c>
      <c r="W3527" s="27" t="n">
        <f aca="false">MATCH(A3527,DATAS,0)</f>
        <v>1</v>
      </c>
      <c r="X3527" s="27" t="n">
        <f aca="false">IF(AND(E3527&gt;0,OR(AND(B3527&gt;=1,B3527&lt;=6),B3527=10)),1,0)</f>
        <v>0</v>
      </c>
      <c r="Y3527" s="27" t="n">
        <f aca="false">IF(AND(E3527&gt;0,B3527=10),1,0)</f>
        <v>0</v>
      </c>
      <c r="Z3527" s="0" t="str">
        <f aca="false">IF(AND(C3526=C3527,W3526=W3527-1),X3526,"")</f>
        <v/>
      </c>
      <c r="AA3527" s="0" t="str">
        <f aca="false">IF(AND(C3526=C3527,W3526=W3527-1),Y3526,"")</f>
        <v/>
      </c>
      <c r="AB3527" s="0" t="str">
        <f aca="false">IF(W3527=1,"",IF(AND(X3527=1,Z3527&lt;&gt;1),1,0))</f>
        <v/>
      </c>
      <c r="AC3527" s="0" t="str">
        <f aca="false">IF(W3527=1,"",IF(AND(Y3527=1,AA3527&lt;&gt;1),1,0))</f>
        <v/>
      </c>
      <c r="AD3527" s="33" t="str">
        <f aca="false">IF(AND(E3527&gt;0,W3527&lt;1,NOT(AND(C3528=C3527,W3528=W3527+1))),INDEX(DATAS,W3527+1),"")</f>
        <v/>
      </c>
      <c r="AE3527" s="33" t="str">
        <f aca="false">IF(AND(Y3527=1,W3527&lt;1),IF(AND(C3528=C3527,W3528=W3527+1),IF(Y3528=1,"",INDEX(DATAS,W3527+1)),INDEX(DATAS,W3527+1)),"")</f>
        <v/>
      </c>
    </row>
    <row r="3528" customFormat="false" ht="15" hidden="false" customHeight="false" outlineLevel="0" collapsed="false">
      <c r="A3528" s="33" t="n">
        <v>46309</v>
      </c>
      <c r="B3528" s="0" t="n">
        <v>16</v>
      </c>
      <c r="C3528" s="0" t="n">
        <v>7979</v>
      </c>
      <c r="E3528" s="0" t="n">
        <v>0</v>
      </c>
      <c r="F3528" s="27" t="s">
        <v>1613</v>
      </c>
      <c r="I3528" s="27" t="s">
        <v>166</v>
      </c>
      <c r="U3528" s="0" t="n">
        <v>75</v>
      </c>
      <c r="V3528" s="0" t="n">
        <v>0</v>
      </c>
      <c r="W3528" s="27" t="n">
        <f aca="false">MATCH(A3528,DATAS,0)</f>
        <v>1</v>
      </c>
      <c r="X3528" s="27" t="n">
        <f aca="false">IF(AND(E3528&gt;0,OR(AND(B3528&gt;=1,B3528&lt;=6),B3528=10)),1,0)</f>
        <v>0</v>
      </c>
      <c r="Y3528" s="27" t="n">
        <f aca="false">IF(AND(E3528&gt;0,B3528=10),1,0)</f>
        <v>0</v>
      </c>
      <c r="Z3528" s="0" t="str">
        <f aca="false">IF(AND(C3527=C3528,W3527=W3528-1),X3527,"")</f>
        <v/>
      </c>
      <c r="AA3528" s="0" t="str">
        <f aca="false">IF(AND(C3527=C3528,W3527=W3528-1),Y3527,"")</f>
        <v/>
      </c>
      <c r="AB3528" s="0" t="str">
        <f aca="false">IF(W3528=1,"",IF(AND(X3528=1,Z3528&lt;&gt;1),1,0))</f>
        <v/>
      </c>
      <c r="AC3528" s="0" t="str">
        <f aca="false">IF(W3528=1,"",IF(AND(Y3528=1,AA3528&lt;&gt;1),1,0))</f>
        <v/>
      </c>
      <c r="AD3528" s="33" t="str">
        <f aca="false">IF(AND(E3528&gt;0,W3528&lt;1,NOT(AND(C3529=C3528,W3529=W3528+1))),INDEX(DATAS,W3528+1),"")</f>
        <v/>
      </c>
      <c r="AE3528" s="33" t="str">
        <f aca="false">IF(AND(Y3528=1,W3528&lt;1),IF(AND(C3529=C3528,W3529=W3528+1),IF(Y3529=1,"",INDEX(DATAS,W3528+1)),INDEX(DATAS,W3528+1)),"")</f>
        <v/>
      </c>
    </row>
    <row r="3529" customFormat="false" ht="15" hidden="false" customHeight="false" outlineLevel="0" collapsed="false">
      <c r="A3529" s="33" t="n">
        <v>46309</v>
      </c>
      <c r="B3529" s="0" t="n">
        <v>16</v>
      </c>
      <c r="C3529" s="0" t="n">
        <v>7980</v>
      </c>
      <c r="E3529" s="0" t="n">
        <v>0</v>
      </c>
      <c r="F3529" s="27" t="s">
        <v>1613</v>
      </c>
      <c r="I3529" s="27" t="s">
        <v>166</v>
      </c>
      <c r="U3529" s="0" t="n">
        <v>75</v>
      </c>
      <c r="V3529" s="0" t="n">
        <v>0</v>
      </c>
      <c r="W3529" s="27" t="n">
        <f aca="false">MATCH(A3529,DATAS,0)</f>
        <v>1</v>
      </c>
      <c r="X3529" s="27" t="n">
        <f aca="false">IF(AND(E3529&gt;0,OR(AND(B3529&gt;=1,B3529&lt;=6),B3529=10)),1,0)</f>
        <v>0</v>
      </c>
      <c r="Y3529" s="27" t="n">
        <f aca="false">IF(AND(E3529&gt;0,B3529=10),1,0)</f>
        <v>0</v>
      </c>
      <c r="Z3529" s="0" t="str">
        <f aca="false">IF(AND(C3528=C3529,W3528=W3529-1),X3528,"")</f>
        <v/>
      </c>
      <c r="AA3529" s="0" t="str">
        <f aca="false">IF(AND(C3528=C3529,W3528=W3529-1),Y3528,"")</f>
        <v/>
      </c>
      <c r="AB3529" s="0" t="str">
        <f aca="false">IF(W3529=1,"",IF(AND(X3529=1,Z3529&lt;&gt;1),1,0))</f>
        <v/>
      </c>
      <c r="AC3529" s="0" t="str">
        <f aca="false">IF(W3529=1,"",IF(AND(Y3529=1,AA3529&lt;&gt;1),1,0))</f>
        <v/>
      </c>
      <c r="AD3529" s="33" t="str">
        <f aca="false">IF(AND(E3529&gt;0,W3529&lt;1,NOT(AND(C3530=C3529,W3530=W3529+1))),INDEX(DATAS,W3529+1),"")</f>
        <v/>
      </c>
      <c r="AE3529" s="33" t="str">
        <f aca="false">IF(AND(Y3529=1,W3529&lt;1),IF(AND(C3530=C3529,W3530=W3529+1),IF(Y3530=1,"",INDEX(DATAS,W3529+1)),INDEX(DATAS,W3529+1)),"")</f>
        <v/>
      </c>
    </row>
    <row r="3530" customFormat="false" ht="15" hidden="false" customHeight="false" outlineLevel="0" collapsed="false">
      <c r="A3530" s="33" t="n">
        <v>46309</v>
      </c>
      <c r="B3530" s="0" t="n">
        <v>16</v>
      </c>
      <c r="C3530" s="0" t="n">
        <v>7981</v>
      </c>
      <c r="E3530" s="0" t="n">
        <v>0</v>
      </c>
      <c r="F3530" s="27" t="s">
        <v>1613</v>
      </c>
      <c r="I3530" s="27" t="s">
        <v>166</v>
      </c>
      <c r="U3530" s="0" t="n">
        <v>75</v>
      </c>
      <c r="V3530" s="0" t="n">
        <v>0</v>
      </c>
      <c r="W3530" s="27" t="n">
        <f aca="false">MATCH(A3530,DATAS,0)</f>
        <v>1</v>
      </c>
      <c r="X3530" s="27" t="n">
        <f aca="false">IF(AND(E3530&gt;0,OR(AND(B3530&gt;=1,B3530&lt;=6),B3530=10)),1,0)</f>
        <v>0</v>
      </c>
      <c r="Y3530" s="27" t="n">
        <f aca="false">IF(AND(E3530&gt;0,B3530=10),1,0)</f>
        <v>0</v>
      </c>
      <c r="Z3530" s="0" t="str">
        <f aca="false">IF(AND(C3529=C3530,W3529=W3530-1),X3529,"")</f>
        <v/>
      </c>
      <c r="AA3530" s="0" t="str">
        <f aca="false">IF(AND(C3529=C3530,W3529=W3530-1),Y3529,"")</f>
        <v/>
      </c>
      <c r="AB3530" s="0" t="str">
        <f aca="false">IF(W3530=1,"",IF(AND(X3530=1,Z3530&lt;&gt;1),1,0))</f>
        <v/>
      </c>
      <c r="AC3530" s="0" t="str">
        <f aca="false">IF(W3530=1,"",IF(AND(Y3530=1,AA3530&lt;&gt;1),1,0))</f>
        <v/>
      </c>
      <c r="AD3530" s="33" t="str">
        <f aca="false">IF(AND(E3530&gt;0,W3530&lt;1,NOT(AND(C3531=C3530,W3531=W3530+1))),INDEX(DATAS,W3530+1),"")</f>
        <v/>
      </c>
      <c r="AE3530" s="33" t="str">
        <f aca="false">IF(AND(Y3530=1,W3530&lt;1),IF(AND(C3531=C3530,W3531=W3530+1),IF(Y3531=1,"",INDEX(DATAS,W3530+1)),INDEX(DATAS,W3530+1)),"")</f>
        <v/>
      </c>
    </row>
    <row r="3531" customFormat="false" ht="15" hidden="false" customHeight="false" outlineLevel="0" collapsed="false">
      <c r="A3531" s="33" t="n">
        <v>46309</v>
      </c>
      <c r="B3531" s="0" t="n">
        <v>16</v>
      </c>
      <c r="C3531" s="0" t="n">
        <v>7982</v>
      </c>
      <c r="E3531" s="0" t="n">
        <v>0</v>
      </c>
      <c r="F3531" s="27" t="s">
        <v>1613</v>
      </c>
      <c r="I3531" s="27" t="s">
        <v>166</v>
      </c>
      <c r="U3531" s="0" t="n">
        <v>75</v>
      </c>
      <c r="V3531" s="0" t="n">
        <v>0</v>
      </c>
      <c r="W3531" s="27" t="n">
        <f aca="false">MATCH(A3531,DATAS,0)</f>
        <v>1</v>
      </c>
      <c r="X3531" s="27" t="n">
        <f aca="false">IF(AND(E3531&gt;0,OR(AND(B3531&gt;=1,B3531&lt;=6),B3531=10)),1,0)</f>
        <v>0</v>
      </c>
      <c r="Y3531" s="27" t="n">
        <f aca="false">IF(AND(E3531&gt;0,B3531=10),1,0)</f>
        <v>0</v>
      </c>
      <c r="Z3531" s="0" t="str">
        <f aca="false">IF(AND(C3530=C3531,W3530=W3531-1),X3530,"")</f>
        <v/>
      </c>
      <c r="AA3531" s="0" t="str">
        <f aca="false">IF(AND(C3530=C3531,W3530=W3531-1),Y3530,"")</f>
        <v/>
      </c>
      <c r="AB3531" s="0" t="str">
        <f aca="false">IF(W3531=1,"",IF(AND(X3531=1,Z3531&lt;&gt;1),1,0))</f>
        <v/>
      </c>
      <c r="AC3531" s="0" t="str">
        <f aca="false">IF(W3531=1,"",IF(AND(Y3531=1,AA3531&lt;&gt;1),1,0))</f>
        <v/>
      </c>
      <c r="AD3531" s="33" t="str">
        <f aca="false">IF(AND(E3531&gt;0,W3531&lt;1,NOT(AND(C3532=C3531,W3532=W3531+1))),INDEX(DATAS,W3531+1),"")</f>
        <v/>
      </c>
      <c r="AE3531" s="33" t="str">
        <f aca="false">IF(AND(Y3531=1,W3531&lt;1),IF(AND(C3532=C3531,W3532=W3531+1),IF(Y3532=1,"",INDEX(DATAS,W3531+1)),INDEX(DATAS,W3531+1)),"")</f>
        <v/>
      </c>
    </row>
    <row r="3532" customFormat="false" ht="15" hidden="false" customHeight="false" outlineLevel="0" collapsed="false">
      <c r="A3532" s="33" t="n">
        <v>46309</v>
      </c>
      <c r="B3532" s="0" t="n">
        <v>16</v>
      </c>
      <c r="C3532" s="0" t="n">
        <v>7983</v>
      </c>
      <c r="E3532" s="0" t="n">
        <v>0</v>
      </c>
      <c r="F3532" s="27" t="s">
        <v>1613</v>
      </c>
      <c r="I3532" s="27" t="s">
        <v>166</v>
      </c>
      <c r="U3532" s="0" t="n">
        <v>75</v>
      </c>
      <c r="V3532" s="0" t="n">
        <v>0</v>
      </c>
      <c r="W3532" s="27" t="n">
        <f aca="false">MATCH(A3532,DATAS,0)</f>
        <v>1</v>
      </c>
      <c r="X3532" s="27" t="n">
        <f aca="false">IF(AND(E3532&gt;0,OR(AND(B3532&gt;=1,B3532&lt;=6),B3532=10)),1,0)</f>
        <v>0</v>
      </c>
      <c r="Y3532" s="27" t="n">
        <f aca="false">IF(AND(E3532&gt;0,B3532=10),1,0)</f>
        <v>0</v>
      </c>
      <c r="Z3532" s="0" t="str">
        <f aca="false">IF(AND(C3531=C3532,W3531=W3532-1),X3531,"")</f>
        <v/>
      </c>
      <c r="AA3532" s="0" t="str">
        <f aca="false">IF(AND(C3531=C3532,W3531=W3532-1),Y3531,"")</f>
        <v/>
      </c>
      <c r="AB3532" s="0" t="str">
        <f aca="false">IF(W3532=1,"",IF(AND(X3532=1,Z3532&lt;&gt;1),1,0))</f>
        <v/>
      </c>
      <c r="AC3532" s="0" t="str">
        <f aca="false">IF(W3532=1,"",IF(AND(Y3532=1,AA3532&lt;&gt;1),1,0))</f>
        <v/>
      </c>
      <c r="AD3532" s="33" t="str">
        <f aca="false">IF(AND(E3532&gt;0,W3532&lt;1,NOT(AND(C3533=C3532,W3533=W3532+1))),INDEX(DATAS,W3532+1),"")</f>
        <v/>
      </c>
      <c r="AE3532" s="33" t="str">
        <f aca="false">IF(AND(Y3532=1,W3532&lt;1),IF(AND(C3533=C3532,W3533=W3532+1),IF(Y3533=1,"",INDEX(DATAS,W3532+1)),INDEX(DATAS,W3532+1)),"")</f>
        <v/>
      </c>
    </row>
    <row r="3533" customFormat="false" ht="15" hidden="false" customHeight="false" outlineLevel="0" collapsed="false">
      <c r="A3533" s="33" t="n">
        <v>46309</v>
      </c>
      <c r="B3533" s="0" t="n">
        <v>16</v>
      </c>
      <c r="C3533" s="0" t="n">
        <v>7984</v>
      </c>
      <c r="E3533" s="0" t="n">
        <v>0</v>
      </c>
      <c r="F3533" s="27" t="s">
        <v>1613</v>
      </c>
      <c r="I3533" s="27" t="s">
        <v>166</v>
      </c>
      <c r="U3533" s="0" t="n">
        <v>75</v>
      </c>
      <c r="V3533" s="0" t="n">
        <v>0</v>
      </c>
      <c r="W3533" s="27" t="n">
        <f aca="false">MATCH(A3533,DATAS,0)</f>
        <v>1</v>
      </c>
      <c r="X3533" s="27" t="n">
        <f aca="false">IF(AND(E3533&gt;0,OR(AND(B3533&gt;=1,B3533&lt;=6),B3533=10)),1,0)</f>
        <v>0</v>
      </c>
      <c r="Y3533" s="27" t="n">
        <f aca="false">IF(AND(E3533&gt;0,B3533=10),1,0)</f>
        <v>0</v>
      </c>
      <c r="Z3533" s="0" t="str">
        <f aca="false">IF(AND(C3532=C3533,W3532=W3533-1),X3532,"")</f>
        <v/>
      </c>
      <c r="AA3533" s="0" t="str">
        <f aca="false">IF(AND(C3532=C3533,W3532=W3533-1),Y3532,"")</f>
        <v/>
      </c>
      <c r="AB3533" s="0" t="str">
        <f aca="false">IF(W3533=1,"",IF(AND(X3533=1,Z3533&lt;&gt;1),1,0))</f>
        <v/>
      </c>
      <c r="AC3533" s="0" t="str">
        <f aca="false">IF(W3533=1,"",IF(AND(Y3533=1,AA3533&lt;&gt;1),1,0))</f>
        <v/>
      </c>
      <c r="AD3533" s="33" t="str">
        <f aca="false">IF(AND(E3533&gt;0,W3533&lt;1,NOT(AND(C3534=C3533,W3534=W3533+1))),INDEX(DATAS,W3533+1),"")</f>
        <v/>
      </c>
      <c r="AE3533" s="33" t="str">
        <f aca="false">IF(AND(Y3533=1,W3533&lt;1),IF(AND(C3534=C3533,W3534=W3533+1),IF(Y3534=1,"",INDEX(DATAS,W3533+1)),INDEX(DATAS,W3533+1)),"")</f>
        <v/>
      </c>
    </row>
    <row r="3534" customFormat="false" ht="15" hidden="false" customHeight="false" outlineLevel="0" collapsed="false">
      <c r="A3534" s="33" t="n">
        <v>46309</v>
      </c>
      <c r="B3534" s="0" t="n">
        <v>16</v>
      </c>
      <c r="C3534" s="0" t="n">
        <v>7985</v>
      </c>
      <c r="E3534" s="0" t="n">
        <v>0</v>
      </c>
      <c r="F3534" s="27" t="s">
        <v>1613</v>
      </c>
      <c r="I3534" s="27" t="s">
        <v>166</v>
      </c>
      <c r="U3534" s="0" t="n">
        <v>75</v>
      </c>
      <c r="V3534" s="0" t="n">
        <v>0</v>
      </c>
      <c r="W3534" s="27" t="n">
        <f aca="false">MATCH(A3534,DATAS,0)</f>
        <v>1</v>
      </c>
      <c r="X3534" s="27" t="n">
        <f aca="false">IF(AND(E3534&gt;0,OR(AND(B3534&gt;=1,B3534&lt;=6),B3534=10)),1,0)</f>
        <v>0</v>
      </c>
      <c r="Y3534" s="27" t="n">
        <f aca="false">IF(AND(E3534&gt;0,B3534=10),1,0)</f>
        <v>0</v>
      </c>
      <c r="Z3534" s="0" t="str">
        <f aca="false">IF(AND(C3533=C3534,W3533=W3534-1),X3533,"")</f>
        <v/>
      </c>
      <c r="AA3534" s="0" t="str">
        <f aca="false">IF(AND(C3533=C3534,W3533=W3534-1),Y3533,"")</f>
        <v/>
      </c>
      <c r="AB3534" s="0" t="str">
        <f aca="false">IF(W3534=1,"",IF(AND(X3534=1,Z3534&lt;&gt;1),1,0))</f>
        <v/>
      </c>
      <c r="AC3534" s="0" t="str">
        <f aca="false">IF(W3534=1,"",IF(AND(Y3534=1,AA3534&lt;&gt;1),1,0))</f>
        <v/>
      </c>
      <c r="AD3534" s="33" t="str">
        <f aca="false">IF(AND(E3534&gt;0,W3534&lt;1,NOT(AND(C3535=C3534,W3535=W3534+1))),INDEX(DATAS,W3534+1),"")</f>
        <v/>
      </c>
      <c r="AE3534" s="33" t="str">
        <f aca="false">IF(AND(Y3534=1,W3534&lt;1),IF(AND(C3535=C3534,W3535=W3534+1),IF(Y3535=1,"",INDEX(DATAS,W3534+1)),INDEX(DATAS,W3534+1)),"")</f>
        <v/>
      </c>
    </row>
    <row r="3535" customFormat="false" ht="15" hidden="false" customHeight="false" outlineLevel="0" collapsed="false">
      <c r="A3535" s="33" t="n">
        <v>46309</v>
      </c>
      <c r="B3535" s="0" t="n">
        <v>16</v>
      </c>
      <c r="C3535" s="0" t="n">
        <v>7986</v>
      </c>
      <c r="E3535" s="0" t="n">
        <v>0</v>
      </c>
      <c r="F3535" s="27" t="s">
        <v>1613</v>
      </c>
      <c r="I3535" s="27" t="s">
        <v>166</v>
      </c>
      <c r="U3535" s="0" t="n">
        <v>75</v>
      </c>
      <c r="V3535" s="0" t="n">
        <v>0</v>
      </c>
      <c r="W3535" s="27" t="n">
        <f aca="false">MATCH(A3535,DATAS,0)</f>
        <v>1</v>
      </c>
      <c r="X3535" s="27" t="n">
        <f aca="false">IF(AND(E3535&gt;0,OR(AND(B3535&gt;=1,B3535&lt;=6),B3535=10)),1,0)</f>
        <v>0</v>
      </c>
      <c r="Y3535" s="27" t="n">
        <f aca="false">IF(AND(E3535&gt;0,B3535=10),1,0)</f>
        <v>0</v>
      </c>
      <c r="Z3535" s="0" t="str">
        <f aca="false">IF(AND(C3534=C3535,W3534=W3535-1),X3534,"")</f>
        <v/>
      </c>
      <c r="AA3535" s="0" t="str">
        <f aca="false">IF(AND(C3534=C3535,W3534=W3535-1),Y3534,"")</f>
        <v/>
      </c>
      <c r="AB3535" s="0" t="str">
        <f aca="false">IF(W3535=1,"",IF(AND(X3535=1,Z3535&lt;&gt;1),1,0))</f>
        <v/>
      </c>
      <c r="AC3535" s="0" t="str">
        <f aca="false">IF(W3535=1,"",IF(AND(Y3535=1,AA3535&lt;&gt;1),1,0))</f>
        <v/>
      </c>
      <c r="AD3535" s="33" t="str">
        <f aca="false">IF(AND(E3535&gt;0,W3535&lt;1,NOT(AND(C3536=C3535,W3536=W3535+1))),INDEX(DATAS,W3535+1),"")</f>
        <v/>
      </c>
      <c r="AE3535" s="33" t="str">
        <f aca="false">IF(AND(Y3535=1,W3535&lt;1),IF(AND(C3536=C3535,W3536=W3535+1),IF(Y3536=1,"",INDEX(DATAS,W3535+1)),INDEX(DATAS,W3535+1)),"")</f>
        <v/>
      </c>
    </row>
    <row r="3536" customFormat="false" ht="15" hidden="false" customHeight="false" outlineLevel="0" collapsed="false">
      <c r="A3536" s="33" t="n">
        <v>46309</v>
      </c>
      <c r="B3536" s="0" t="n">
        <v>16</v>
      </c>
      <c r="C3536" s="0" t="n">
        <v>7987</v>
      </c>
      <c r="E3536" s="0" t="n">
        <v>0</v>
      </c>
      <c r="F3536" s="27" t="s">
        <v>1614</v>
      </c>
      <c r="I3536" s="27" t="s">
        <v>166</v>
      </c>
      <c r="U3536" s="0" t="n">
        <v>74</v>
      </c>
      <c r="V3536" s="0" t="n">
        <v>0</v>
      </c>
      <c r="W3536" s="27" t="n">
        <f aca="false">MATCH(A3536,DATAS,0)</f>
        <v>1</v>
      </c>
      <c r="X3536" s="27" t="n">
        <f aca="false">IF(AND(E3536&gt;0,OR(AND(B3536&gt;=1,B3536&lt;=6),B3536=10)),1,0)</f>
        <v>0</v>
      </c>
      <c r="Y3536" s="27" t="n">
        <f aca="false">IF(AND(E3536&gt;0,B3536=10),1,0)</f>
        <v>0</v>
      </c>
      <c r="Z3536" s="0" t="str">
        <f aca="false">IF(AND(C3535=C3536,W3535=W3536-1),X3535,"")</f>
        <v/>
      </c>
      <c r="AA3536" s="0" t="str">
        <f aca="false">IF(AND(C3535=C3536,W3535=W3536-1),Y3535,"")</f>
        <v/>
      </c>
      <c r="AB3536" s="0" t="str">
        <f aca="false">IF(W3536=1,"",IF(AND(X3536=1,Z3536&lt;&gt;1),1,0))</f>
        <v/>
      </c>
      <c r="AC3536" s="0" t="str">
        <f aca="false">IF(W3536=1,"",IF(AND(Y3536=1,AA3536&lt;&gt;1),1,0))</f>
        <v/>
      </c>
      <c r="AD3536" s="33" t="str">
        <f aca="false">IF(AND(E3536&gt;0,W3536&lt;1,NOT(AND(C3537=C3536,W3537=W3536+1))),INDEX(DATAS,W3536+1),"")</f>
        <v/>
      </c>
      <c r="AE3536" s="33" t="str">
        <f aca="false">IF(AND(Y3536=1,W3536&lt;1),IF(AND(C3537=C3536,W3537=W3536+1),IF(Y3537=1,"",INDEX(DATAS,W3536+1)),INDEX(DATAS,W3536+1)),"")</f>
        <v/>
      </c>
    </row>
    <row r="3537" customFormat="false" ht="15" hidden="false" customHeight="false" outlineLevel="0" collapsed="false">
      <c r="A3537" s="33" t="n">
        <v>46309</v>
      </c>
      <c r="B3537" s="0" t="n">
        <v>16</v>
      </c>
      <c r="C3537" s="0" t="n">
        <v>7988</v>
      </c>
      <c r="E3537" s="0" t="n">
        <v>0</v>
      </c>
      <c r="F3537" s="27" t="s">
        <v>1614</v>
      </c>
      <c r="I3537" s="27" t="s">
        <v>166</v>
      </c>
      <c r="U3537" s="0" t="n">
        <v>74</v>
      </c>
      <c r="V3537" s="0" t="n">
        <v>0</v>
      </c>
      <c r="W3537" s="27" t="n">
        <f aca="false">MATCH(A3537,DATAS,0)</f>
        <v>1</v>
      </c>
      <c r="X3537" s="27" t="n">
        <f aca="false">IF(AND(E3537&gt;0,OR(AND(B3537&gt;=1,B3537&lt;=6),B3537=10)),1,0)</f>
        <v>0</v>
      </c>
      <c r="Y3537" s="27" t="n">
        <f aca="false">IF(AND(E3537&gt;0,B3537=10),1,0)</f>
        <v>0</v>
      </c>
      <c r="Z3537" s="0" t="str">
        <f aca="false">IF(AND(C3536=C3537,W3536=W3537-1),X3536,"")</f>
        <v/>
      </c>
      <c r="AA3537" s="0" t="str">
        <f aca="false">IF(AND(C3536=C3537,W3536=W3537-1),Y3536,"")</f>
        <v/>
      </c>
      <c r="AB3537" s="0" t="str">
        <f aca="false">IF(W3537=1,"",IF(AND(X3537=1,Z3537&lt;&gt;1),1,0))</f>
        <v/>
      </c>
      <c r="AC3537" s="0" t="str">
        <f aca="false">IF(W3537=1,"",IF(AND(Y3537=1,AA3537&lt;&gt;1),1,0))</f>
        <v/>
      </c>
      <c r="AD3537" s="33" t="str">
        <f aca="false">IF(AND(E3537&gt;0,W3537&lt;1,NOT(AND(C3538=C3537,W3538=W3537+1))),INDEX(DATAS,W3537+1),"")</f>
        <v/>
      </c>
      <c r="AE3537" s="33" t="str">
        <f aca="false">IF(AND(Y3537=1,W3537&lt;1),IF(AND(C3538=C3537,W3538=W3537+1),IF(Y3538=1,"",INDEX(DATAS,W3537+1)),INDEX(DATAS,W3537+1)),"")</f>
        <v/>
      </c>
    </row>
    <row r="3538" customFormat="false" ht="15" hidden="false" customHeight="false" outlineLevel="0" collapsed="false">
      <c r="A3538" s="33" t="n">
        <v>46309</v>
      </c>
      <c r="B3538" s="0" t="n">
        <v>16</v>
      </c>
      <c r="C3538" s="0" t="n">
        <v>7989</v>
      </c>
      <c r="E3538" s="0" t="n">
        <v>0</v>
      </c>
      <c r="F3538" s="27" t="s">
        <v>1614</v>
      </c>
      <c r="I3538" s="27" t="s">
        <v>166</v>
      </c>
      <c r="U3538" s="0" t="n">
        <v>74</v>
      </c>
      <c r="V3538" s="0" t="n">
        <v>0</v>
      </c>
      <c r="W3538" s="27" t="n">
        <f aca="false">MATCH(A3538,DATAS,0)</f>
        <v>1</v>
      </c>
      <c r="X3538" s="27" t="n">
        <f aca="false">IF(AND(E3538&gt;0,OR(AND(B3538&gt;=1,B3538&lt;=6),B3538=10)),1,0)</f>
        <v>0</v>
      </c>
      <c r="Y3538" s="27" t="n">
        <f aca="false">IF(AND(E3538&gt;0,B3538=10),1,0)</f>
        <v>0</v>
      </c>
      <c r="Z3538" s="0" t="str">
        <f aca="false">IF(AND(C3537=C3538,W3537=W3538-1),X3537,"")</f>
        <v/>
      </c>
      <c r="AA3538" s="0" t="str">
        <f aca="false">IF(AND(C3537=C3538,W3537=W3538-1),Y3537,"")</f>
        <v/>
      </c>
      <c r="AB3538" s="0" t="str">
        <f aca="false">IF(W3538=1,"",IF(AND(X3538=1,Z3538&lt;&gt;1),1,0))</f>
        <v/>
      </c>
      <c r="AC3538" s="0" t="str">
        <f aca="false">IF(W3538=1,"",IF(AND(Y3538=1,AA3538&lt;&gt;1),1,0))</f>
        <v/>
      </c>
      <c r="AD3538" s="33" t="str">
        <f aca="false">IF(AND(E3538&gt;0,W3538&lt;1,NOT(AND(C3539=C3538,W3539=W3538+1))),INDEX(DATAS,W3538+1),"")</f>
        <v/>
      </c>
      <c r="AE3538" s="33" t="str">
        <f aca="false">IF(AND(Y3538=1,W3538&lt;1),IF(AND(C3539=C3538,W3539=W3538+1),IF(Y3539=1,"",INDEX(DATAS,W3538+1)),INDEX(DATAS,W3538+1)),"")</f>
        <v/>
      </c>
    </row>
    <row r="3539" customFormat="false" ht="15" hidden="false" customHeight="false" outlineLevel="0" collapsed="false">
      <c r="A3539" s="33" t="n">
        <v>46309</v>
      </c>
      <c r="B3539" s="0" t="n">
        <v>16</v>
      </c>
      <c r="C3539" s="0" t="n">
        <v>7990</v>
      </c>
      <c r="E3539" s="0" t="n">
        <v>0</v>
      </c>
      <c r="F3539" s="27" t="s">
        <v>1614</v>
      </c>
      <c r="I3539" s="27" t="s">
        <v>166</v>
      </c>
      <c r="U3539" s="0" t="n">
        <v>74</v>
      </c>
      <c r="V3539" s="0" t="n">
        <v>0</v>
      </c>
      <c r="W3539" s="27" t="n">
        <f aca="false">MATCH(A3539,DATAS,0)</f>
        <v>1</v>
      </c>
      <c r="X3539" s="27" t="n">
        <f aca="false">IF(AND(E3539&gt;0,OR(AND(B3539&gt;=1,B3539&lt;=6),B3539=10)),1,0)</f>
        <v>0</v>
      </c>
      <c r="Y3539" s="27" t="n">
        <f aca="false">IF(AND(E3539&gt;0,B3539=10),1,0)</f>
        <v>0</v>
      </c>
      <c r="Z3539" s="0" t="str">
        <f aca="false">IF(AND(C3538=C3539,W3538=W3539-1),X3538,"")</f>
        <v/>
      </c>
      <c r="AA3539" s="0" t="str">
        <f aca="false">IF(AND(C3538=C3539,W3538=W3539-1),Y3538,"")</f>
        <v/>
      </c>
      <c r="AB3539" s="0" t="str">
        <f aca="false">IF(W3539=1,"",IF(AND(X3539=1,Z3539&lt;&gt;1),1,0))</f>
        <v/>
      </c>
      <c r="AC3539" s="0" t="str">
        <f aca="false">IF(W3539=1,"",IF(AND(Y3539=1,AA3539&lt;&gt;1),1,0))</f>
        <v/>
      </c>
      <c r="AD3539" s="33" t="str">
        <f aca="false">IF(AND(E3539&gt;0,W3539&lt;1,NOT(AND(C3540=C3539,W3540=W3539+1))),INDEX(DATAS,W3539+1),"")</f>
        <v/>
      </c>
      <c r="AE3539" s="33" t="str">
        <f aca="false">IF(AND(Y3539=1,W3539&lt;1),IF(AND(C3540=C3539,W3540=W3539+1),IF(Y3540=1,"",INDEX(DATAS,W3539+1)),INDEX(DATAS,W3539+1)),"")</f>
        <v/>
      </c>
    </row>
    <row r="3540" customFormat="false" ht="15" hidden="false" customHeight="false" outlineLevel="0" collapsed="false">
      <c r="A3540" s="33" t="n">
        <v>46309</v>
      </c>
      <c r="B3540" s="0" t="n">
        <v>16</v>
      </c>
      <c r="C3540" s="0" t="n">
        <v>7991</v>
      </c>
      <c r="E3540" s="0" t="n">
        <v>0</v>
      </c>
      <c r="F3540" s="27" t="s">
        <v>1614</v>
      </c>
      <c r="I3540" s="27" t="s">
        <v>166</v>
      </c>
      <c r="U3540" s="0" t="n">
        <v>74</v>
      </c>
      <c r="V3540" s="0" t="n">
        <v>0</v>
      </c>
      <c r="W3540" s="27" t="n">
        <f aca="false">MATCH(A3540,DATAS,0)</f>
        <v>1</v>
      </c>
      <c r="X3540" s="27" t="n">
        <f aca="false">IF(AND(E3540&gt;0,OR(AND(B3540&gt;=1,B3540&lt;=6),B3540=10)),1,0)</f>
        <v>0</v>
      </c>
      <c r="Y3540" s="27" t="n">
        <f aca="false">IF(AND(E3540&gt;0,B3540=10),1,0)</f>
        <v>0</v>
      </c>
      <c r="Z3540" s="0" t="str">
        <f aca="false">IF(AND(C3539=C3540,W3539=W3540-1),X3539,"")</f>
        <v/>
      </c>
      <c r="AA3540" s="0" t="str">
        <f aca="false">IF(AND(C3539=C3540,W3539=W3540-1),Y3539,"")</f>
        <v/>
      </c>
      <c r="AB3540" s="0" t="str">
        <f aca="false">IF(W3540=1,"",IF(AND(X3540=1,Z3540&lt;&gt;1),1,0))</f>
        <v/>
      </c>
      <c r="AC3540" s="0" t="str">
        <f aca="false">IF(W3540=1,"",IF(AND(Y3540=1,AA3540&lt;&gt;1),1,0))</f>
        <v/>
      </c>
      <c r="AD3540" s="33" t="str">
        <f aca="false">IF(AND(E3540&gt;0,W3540&lt;1,NOT(AND(C3541=C3540,W3541=W3540+1))),INDEX(DATAS,W3540+1),"")</f>
        <v/>
      </c>
      <c r="AE3540" s="33" t="str">
        <f aca="false">IF(AND(Y3540=1,W3540&lt;1),IF(AND(C3541=C3540,W3541=W3540+1),IF(Y3541=1,"",INDEX(DATAS,W3540+1)),INDEX(DATAS,W3540+1)),"")</f>
        <v/>
      </c>
    </row>
    <row r="3541" customFormat="false" ht="15" hidden="false" customHeight="false" outlineLevel="0" collapsed="false">
      <c r="A3541" s="33" t="n">
        <v>46309</v>
      </c>
      <c r="B3541" s="0" t="n">
        <v>16</v>
      </c>
      <c r="C3541" s="0" t="n">
        <v>7992</v>
      </c>
      <c r="E3541" s="0" t="n">
        <v>0</v>
      </c>
      <c r="F3541" s="27" t="s">
        <v>1615</v>
      </c>
      <c r="I3541" s="27" t="s">
        <v>166</v>
      </c>
      <c r="U3541" s="0" t="n">
        <v>73</v>
      </c>
      <c r="V3541" s="0" t="n">
        <v>0</v>
      </c>
      <c r="W3541" s="27" t="n">
        <f aca="false">MATCH(A3541,DATAS,0)</f>
        <v>1</v>
      </c>
      <c r="X3541" s="27" t="n">
        <f aca="false">IF(AND(E3541&gt;0,OR(AND(B3541&gt;=1,B3541&lt;=6),B3541=10)),1,0)</f>
        <v>0</v>
      </c>
      <c r="Y3541" s="27" t="n">
        <f aca="false">IF(AND(E3541&gt;0,B3541=10),1,0)</f>
        <v>0</v>
      </c>
      <c r="Z3541" s="0" t="str">
        <f aca="false">IF(AND(C3540=C3541,W3540=W3541-1),X3540,"")</f>
        <v/>
      </c>
      <c r="AA3541" s="0" t="str">
        <f aca="false">IF(AND(C3540=C3541,W3540=W3541-1),Y3540,"")</f>
        <v/>
      </c>
      <c r="AB3541" s="0" t="str">
        <f aca="false">IF(W3541=1,"",IF(AND(X3541=1,Z3541&lt;&gt;1),1,0))</f>
        <v/>
      </c>
      <c r="AC3541" s="0" t="str">
        <f aca="false">IF(W3541=1,"",IF(AND(Y3541=1,AA3541&lt;&gt;1),1,0))</f>
        <v/>
      </c>
      <c r="AD3541" s="33" t="str">
        <f aca="false">IF(AND(E3541&gt;0,W3541&lt;1,NOT(AND(C3542=C3541,W3542=W3541+1))),INDEX(DATAS,W3541+1),"")</f>
        <v/>
      </c>
      <c r="AE3541" s="33" t="str">
        <f aca="false">IF(AND(Y3541=1,W3541&lt;1),IF(AND(C3542=C3541,W3542=W3541+1),IF(Y3542=1,"",INDEX(DATAS,W3541+1)),INDEX(DATAS,W3541+1)),"")</f>
        <v/>
      </c>
    </row>
    <row r="3542" customFormat="false" ht="15" hidden="false" customHeight="false" outlineLevel="0" collapsed="false">
      <c r="A3542" s="33" t="n">
        <v>46309</v>
      </c>
      <c r="B3542" s="0" t="n">
        <v>16</v>
      </c>
      <c r="C3542" s="0" t="n">
        <v>7993</v>
      </c>
      <c r="E3542" s="0" t="n">
        <v>0</v>
      </c>
      <c r="F3542" s="27" t="s">
        <v>1615</v>
      </c>
      <c r="I3542" s="27" t="s">
        <v>166</v>
      </c>
      <c r="U3542" s="0" t="n">
        <v>73</v>
      </c>
      <c r="V3542" s="0" t="n">
        <v>0</v>
      </c>
      <c r="W3542" s="27" t="n">
        <f aca="false">MATCH(A3542,DATAS,0)</f>
        <v>1</v>
      </c>
      <c r="X3542" s="27" t="n">
        <f aca="false">IF(AND(E3542&gt;0,OR(AND(B3542&gt;=1,B3542&lt;=6),B3542=10)),1,0)</f>
        <v>0</v>
      </c>
      <c r="Y3542" s="27" t="n">
        <f aca="false">IF(AND(E3542&gt;0,B3542=10),1,0)</f>
        <v>0</v>
      </c>
      <c r="Z3542" s="0" t="str">
        <f aca="false">IF(AND(C3541=C3542,W3541=W3542-1),X3541,"")</f>
        <v/>
      </c>
      <c r="AA3542" s="0" t="str">
        <f aca="false">IF(AND(C3541=C3542,W3541=W3542-1),Y3541,"")</f>
        <v/>
      </c>
      <c r="AB3542" s="0" t="str">
        <f aca="false">IF(W3542=1,"",IF(AND(X3542=1,Z3542&lt;&gt;1),1,0))</f>
        <v/>
      </c>
      <c r="AC3542" s="0" t="str">
        <f aca="false">IF(W3542=1,"",IF(AND(Y3542=1,AA3542&lt;&gt;1),1,0))</f>
        <v/>
      </c>
      <c r="AD3542" s="33" t="str">
        <f aca="false">IF(AND(E3542&gt;0,W3542&lt;1,NOT(AND(C3543=C3542,W3543=W3542+1))),INDEX(DATAS,W3542+1),"")</f>
        <v/>
      </c>
      <c r="AE3542" s="33" t="str">
        <f aca="false">IF(AND(Y3542=1,W3542&lt;1),IF(AND(C3543=C3542,W3543=W3542+1),IF(Y3543=1,"",INDEX(DATAS,W3542+1)),INDEX(DATAS,W3542+1)),"")</f>
        <v/>
      </c>
    </row>
    <row r="3543" customFormat="false" ht="15" hidden="false" customHeight="false" outlineLevel="0" collapsed="false">
      <c r="A3543" s="33" t="n">
        <v>46309</v>
      </c>
      <c r="B3543" s="0" t="n">
        <v>16</v>
      </c>
      <c r="C3543" s="0" t="n">
        <v>7994</v>
      </c>
      <c r="E3543" s="0" t="n">
        <v>0</v>
      </c>
      <c r="F3543" s="27" t="s">
        <v>1616</v>
      </c>
      <c r="I3543" s="27" t="s">
        <v>166</v>
      </c>
      <c r="U3543" s="0" t="n">
        <v>72</v>
      </c>
      <c r="V3543" s="0" t="n">
        <v>0</v>
      </c>
      <c r="W3543" s="27" t="n">
        <f aca="false">MATCH(A3543,DATAS,0)</f>
        <v>1</v>
      </c>
      <c r="X3543" s="27" t="n">
        <f aca="false">IF(AND(E3543&gt;0,OR(AND(B3543&gt;=1,B3543&lt;=6),B3543=10)),1,0)</f>
        <v>0</v>
      </c>
      <c r="Y3543" s="27" t="n">
        <f aca="false">IF(AND(E3543&gt;0,B3543=10),1,0)</f>
        <v>0</v>
      </c>
      <c r="Z3543" s="0" t="str">
        <f aca="false">IF(AND(C3542=C3543,W3542=W3543-1),X3542,"")</f>
        <v/>
      </c>
      <c r="AA3543" s="0" t="str">
        <f aca="false">IF(AND(C3542=C3543,W3542=W3543-1),Y3542,"")</f>
        <v/>
      </c>
      <c r="AB3543" s="0" t="str">
        <f aca="false">IF(W3543=1,"",IF(AND(X3543=1,Z3543&lt;&gt;1),1,0))</f>
        <v/>
      </c>
      <c r="AC3543" s="0" t="str">
        <f aca="false">IF(W3543=1,"",IF(AND(Y3543=1,AA3543&lt;&gt;1),1,0))</f>
        <v/>
      </c>
      <c r="AD3543" s="33" t="str">
        <f aca="false">IF(AND(E3543&gt;0,W3543&lt;1,NOT(AND(C3544=C3543,W3544=W3543+1))),INDEX(DATAS,W3543+1),"")</f>
        <v/>
      </c>
      <c r="AE3543" s="33" t="str">
        <f aca="false">IF(AND(Y3543=1,W3543&lt;1),IF(AND(C3544=C3543,W3544=W3543+1),IF(Y3544=1,"",INDEX(DATAS,W3543+1)),INDEX(DATAS,W3543+1)),"")</f>
        <v/>
      </c>
    </row>
    <row r="3544" customFormat="false" ht="15" hidden="false" customHeight="false" outlineLevel="0" collapsed="false">
      <c r="A3544" s="33" t="n">
        <v>46309</v>
      </c>
      <c r="B3544" s="0" t="n">
        <v>16</v>
      </c>
      <c r="C3544" s="0" t="n">
        <v>7995</v>
      </c>
      <c r="E3544" s="0" t="n">
        <v>0</v>
      </c>
      <c r="F3544" s="27" t="s">
        <v>1616</v>
      </c>
      <c r="I3544" s="27" t="s">
        <v>166</v>
      </c>
      <c r="U3544" s="0" t="n">
        <v>72</v>
      </c>
      <c r="V3544" s="0" t="n">
        <v>0</v>
      </c>
      <c r="W3544" s="27" t="n">
        <f aca="false">MATCH(A3544,DATAS,0)</f>
        <v>1</v>
      </c>
      <c r="X3544" s="27" t="n">
        <f aca="false">IF(AND(E3544&gt;0,OR(AND(B3544&gt;=1,B3544&lt;=6),B3544=10)),1,0)</f>
        <v>0</v>
      </c>
      <c r="Y3544" s="27" t="n">
        <f aca="false">IF(AND(E3544&gt;0,B3544=10),1,0)</f>
        <v>0</v>
      </c>
      <c r="Z3544" s="0" t="str">
        <f aca="false">IF(AND(C3543=C3544,W3543=W3544-1),X3543,"")</f>
        <v/>
      </c>
      <c r="AA3544" s="0" t="str">
        <f aca="false">IF(AND(C3543=C3544,W3543=W3544-1),Y3543,"")</f>
        <v/>
      </c>
      <c r="AB3544" s="0" t="str">
        <f aca="false">IF(W3544=1,"",IF(AND(X3544=1,Z3544&lt;&gt;1),1,0))</f>
        <v/>
      </c>
      <c r="AC3544" s="0" t="str">
        <f aca="false">IF(W3544=1,"",IF(AND(Y3544=1,AA3544&lt;&gt;1),1,0))</f>
        <v/>
      </c>
      <c r="AD3544" s="33" t="str">
        <f aca="false">IF(AND(E3544&gt;0,W3544&lt;1,NOT(AND(C3545=C3544,W3545=W3544+1))),INDEX(DATAS,W3544+1),"")</f>
        <v/>
      </c>
      <c r="AE3544" s="33" t="str">
        <f aca="false">IF(AND(Y3544=1,W3544&lt;1),IF(AND(C3545=C3544,W3545=W3544+1),IF(Y3545=1,"",INDEX(DATAS,W3544+1)),INDEX(DATAS,W3544+1)),"")</f>
        <v/>
      </c>
    </row>
    <row r="3545" customFormat="false" ht="15" hidden="false" customHeight="false" outlineLevel="0" collapsed="false">
      <c r="A3545" s="33" t="n">
        <v>46309</v>
      </c>
      <c r="B3545" s="0" t="n">
        <v>16</v>
      </c>
      <c r="C3545" s="0" t="n">
        <v>7996</v>
      </c>
      <c r="E3545" s="0" t="n">
        <v>0</v>
      </c>
      <c r="F3545" s="27" t="s">
        <v>1616</v>
      </c>
      <c r="I3545" s="27" t="s">
        <v>166</v>
      </c>
      <c r="U3545" s="0" t="n">
        <v>72</v>
      </c>
      <c r="V3545" s="0" t="n">
        <v>0</v>
      </c>
      <c r="W3545" s="27" t="n">
        <f aca="false">MATCH(A3545,DATAS,0)</f>
        <v>1</v>
      </c>
      <c r="X3545" s="27" t="n">
        <f aca="false">IF(AND(E3545&gt;0,OR(AND(B3545&gt;=1,B3545&lt;=6),B3545=10)),1,0)</f>
        <v>0</v>
      </c>
      <c r="Y3545" s="27" t="n">
        <f aca="false">IF(AND(E3545&gt;0,B3545=10),1,0)</f>
        <v>0</v>
      </c>
      <c r="Z3545" s="0" t="str">
        <f aca="false">IF(AND(C3544=C3545,W3544=W3545-1),X3544,"")</f>
        <v/>
      </c>
      <c r="AA3545" s="0" t="str">
        <f aca="false">IF(AND(C3544=C3545,W3544=W3545-1),Y3544,"")</f>
        <v/>
      </c>
      <c r="AB3545" s="0" t="str">
        <f aca="false">IF(W3545=1,"",IF(AND(X3545=1,Z3545&lt;&gt;1),1,0))</f>
        <v/>
      </c>
      <c r="AC3545" s="0" t="str">
        <f aca="false">IF(W3545=1,"",IF(AND(Y3545=1,AA3545&lt;&gt;1),1,0))</f>
        <v/>
      </c>
      <c r="AD3545" s="33" t="str">
        <f aca="false">IF(AND(E3545&gt;0,W3545&lt;1,NOT(AND(C3546=C3545,W3546=W3545+1))),INDEX(DATAS,W3545+1),"")</f>
        <v/>
      </c>
      <c r="AE3545" s="33" t="str">
        <f aca="false">IF(AND(Y3545=1,W3545&lt;1),IF(AND(C3546=C3545,W3546=W3545+1),IF(Y3546=1,"",INDEX(DATAS,W3545+1)),INDEX(DATAS,W3545+1)),"")</f>
        <v/>
      </c>
    </row>
    <row r="3546" customFormat="false" ht="15" hidden="false" customHeight="false" outlineLevel="0" collapsed="false">
      <c r="A3546" s="33" t="n">
        <v>46309</v>
      </c>
      <c r="B3546" s="0" t="n">
        <v>16</v>
      </c>
      <c r="C3546" s="0" t="n">
        <v>7997</v>
      </c>
      <c r="E3546" s="0" t="n">
        <v>0</v>
      </c>
      <c r="F3546" s="27" t="s">
        <v>1617</v>
      </c>
      <c r="I3546" s="27" t="s">
        <v>166</v>
      </c>
      <c r="U3546" s="0" t="n">
        <v>71</v>
      </c>
      <c r="V3546" s="0" t="n">
        <v>0</v>
      </c>
      <c r="W3546" s="27" t="n">
        <f aca="false">MATCH(A3546,DATAS,0)</f>
        <v>1</v>
      </c>
      <c r="X3546" s="27" t="n">
        <f aca="false">IF(AND(E3546&gt;0,OR(AND(B3546&gt;=1,B3546&lt;=6),B3546=10)),1,0)</f>
        <v>0</v>
      </c>
      <c r="Y3546" s="27" t="n">
        <f aca="false">IF(AND(E3546&gt;0,B3546=10),1,0)</f>
        <v>0</v>
      </c>
      <c r="Z3546" s="0" t="str">
        <f aca="false">IF(AND(C3545=C3546,W3545=W3546-1),X3545,"")</f>
        <v/>
      </c>
      <c r="AA3546" s="0" t="str">
        <f aca="false">IF(AND(C3545=C3546,W3545=W3546-1),Y3545,"")</f>
        <v/>
      </c>
      <c r="AB3546" s="0" t="str">
        <f aca="false">IF(W3546=1,"",IF(AND(X3546=1,Z3546&lt;&gt;1),1,0))</f>
        <v/>
      </c>
      <c r="AC3546" s="0" t="str">
        <f aca="false">IF(W3546=1,"",IF(AND(Y3546=1,AA3546&lt;&gt;1),1,0))</f>
        <v/>
      </c>
      <c r="AD3546" s="33" t="str">
        <f aca="false">IF(AND(E3546&gt;0,W3546&lt;1,NOT(AND(C3547=C3546,W3547=W3546+1))),INDEX(DATAS,W3546+1),"")</f>
        <v/>
      </c>
      <c r="AE3546" s="33" t="str">
        <f aca="false">IF(AND(Y3546=1,W3546&lt;1),IF(AND(C3547=C3546,W3547=W3546+1),IF(Y3547=1,"",INDEX(DATAS,W3546+1)),INDEX(DATAS,W3546+1)),"")</f>
        <v/>
      </c>
    </row>
    <row r="3547" customFormat="false" ht="15" hidden="false" customHeight="false" outlineLevel="0" collapsed="false">
      <c r="A3547" s="33" t="n">
        <v>46309</v>
      </c>
      <c r="B3547" s="0" t="n">
        <v>16</v>
      </c>
      <c r="C3547" s="0" t="n">
        <v>7998</v>
      </c>
      <c r="E3547" s="0" t="n">
        <v>0</v>
      </c>
      <c r="F3547" s="27" t="s">
        <v>1617</v>
      </c>
      <c r="I3547" s="27" t="s">
        <v>166</v>
      </c>
      <c r="U3547" s="0" t="n">
        <v>71</v>
      </c>
      <c r="V3547" s="0" t="n">
        <v>0</v>
      </c>
      <c r="W3547" s="27" t="n">
        <f aca="false">MATCH(A3547,DATAS,0)</f>
        <v>1</v>
      </c>
      <c r="X3547" s="27" t="n">
        <f aca="false">IF(AND(E3547&gt;0,OR(AND(B3547&gt;=1,B3547&lt;=6),B3547=10)),1,0)</f>
        <v>0</v>
      </c>
      <c r="Y3547" s="27" t="n">
        <f aca="false">IF(AND(E3547&gt;0,B3547=10),1,0)</f>
        <v>0</v>
      </c>
      <c r="Z3547" s="0" t="str">
        <f aca="false">IF(AND(C3546=C3547,W3546=W3547-1),X3546,"")</f>
        <v/>
      </c>
      <c r="AA3547" s="0" t="str">
        <f aca="false">IF(AND(C3546=C3547,W3546=W3547-1),Y3546,"")</f>
        <v/>
      </c>
      <c r="AB3547" s="0" t="str">
        <f aca="false">IF(W3547=1,"",IF(AND(X3547=1,Z3547&lt;&gt;1),1,0))</f>
        <v/>
      </c>
      <c r="AC3547" s="0" t="str">
        <f aca="false">IF(W3547=1,"",IF(AND(Y3547=1,AA3547&lt;&gt;1),1,0))</f>
        <v/>
      </c>
      <c r="AD3547" s="33" t="str">
        <f aca="false">IF(AND(E3547&gt;0,W3547&lt;1,NOT(AND(C3548=C3547,W3548=W3547+1))),INDEX(DATAS,W3547+1),"")</f>
        <v/>
      </c>
      <c r="AE3547" s="33" t="str">
        <f aca="false">IF(AND(Y3547=1,W3547&lt;1),IF(AND(C3548=C3547,W3548=W3547+1),IF(Y3548=1,"",INDEX(DATAS,W3547+1)),INDEX(DATAS,W3547+1)),"")</f>
        <v/>
      </c>
    </row>
    <row r="3548" customFormat="false" ht="15" hidden="false" customHeight="false" outlineLevel="0" collapsed="false">
      <c r="A3548" s="33" t="n">
        <v>46309</v>
      </c>
      <c r="B3548" s="0" t="n">
        <v>16</v>
      </c>
      <c r="C3548" s="0" t="n">
        <v>8000</v>
      </c>
      <c r="E3548" s="0" t="n">
        <v>0</v>
      </c>
      <c r="F3548" s="27" t="s">
        <v>1618</v>
      </c>
      <c r="I3548" s="27" t="s">
        <v>166</v>
      </c>
      <c r="U3548" s="0" t="n">
        <v>70</v>
      </c>
      <c r="V3548" s="0" t="n">
        <v>0</v>
      </c>
      <c r="W3548" s="27" t="n">
        <f aca="false">MATCH(A3548,DATAS,0)</f>
        <v>1</v>
      </c>
      <c r="X3548" s="27" t="n">
        <f aca="false">IF(AND(E3548&gt;0,OR(AND(B3548&gt;=1,B3548&lt;=6),B3548=10)),1,0)</f>
        <v>0</v>
      </c>
      <c r="Y3548" s="27" t="n">
        <f aca="false">IF(AND(E3548&gt;0,B3548=10),1,0)</f>
        <v>0</v>
      </c>
      <c r="Z3548" s="0" t="str">
        <f aca="false">IF(AND(C3547=C3548,W3547=W3548-1),X3547,"")</f>
        <v/>
      </c>
      <c r="AA3548" s="0" t="str">
        <f aca="false">IF(AND(C3547=C3548,W3547=W3548-1),Y3547,"")</f>
        <v/>
      </c>
      <c r="AB3548" s="0" t="str">
        <f aca="false">IF(W3548=1,"",IF(AND(X3548=1,Z3548&lt;&gt;1),1,0))</f>
        <v/>
      </c>
      <c r="AC3548" s="0" t="str">
        <f aca="false">IF(W3548=1,"",IF(AND(Y3548=1,AA3548&lt;&gt;1),1,0))</f>
        <v/>
      </c>
      <c r="AD3548" s="33" t="str">
        <f aca="false">IF(AND(E3548&gt;0,W3548&lt;1,NOT(AND(C3549=C3548,W3549=W3548+1))),INDEX(DATAS,W3548+1),"")</f>
        <v/>
      </c>
      <c r="AE3548" s="33" t="str">
        <f aca="false">IF(AND(Y3548=1,W3548&lt;1),IF(AND(C3549=C3548,W3549=W3548+1),IF(Y3549=1,"",INDEX(DATAS,W3548+1)),INDEX(DATAS,W3548+1)),"")</f>
        <v/>
      </c>
    </row>
    <row r="3549" customFormat="false" ht="15" hidden="false" customHeight="false" outlineLevel="0" collapsed="false">
      <c r="A3549" s="33" t="n">
        <v>46309</v>
      </c>
      <c r="B3549" s="0" t="n">
        <v>16</v>
      </c>
      <c r="C3549" s="0" t="n">
        <v>8001</v>
      </c>
      <c r="E3549" s="0" t="n">
        <v>0</v>
      </c>
      <c r="F3549" s="27" t="s">
        <v>1618</v>
      </c>
      <c r="I3549" s="27" t="s">
        <v>166</v>
      </c>
      <c r="U3549" s="0" t="n">
        <v>70</v>
      </c>
      <c r="V3549" s="0" t="n">
        <v>0</v>
      </c>
      <c r="W3549" s="27" t="n">
        <f aca="false">MATCH(A3549,DATAS,0)</f>
        <v>1</v>
      </c>
      <c r="X3549" s="27" t="n">
        <f aca="false">IF(AND(E3549&gt;0,OR(AND(B3549&gt;=1,B3549&lt;=6),B3549=10)),1,0)</f>
        <v>0</v>
      </c>
      <c r="Y3549" s="27" t="n">
        <f aca="false">IF(AND(E3549&gt;0,B3549=10),1,0)</f>
        <v>0</v>
      </c>
      <c r="Z3549" s="0" t="str">
        <f aca="false">IF(AND(C3548=C3549,W3548=W3549-1),X3548,"")</f>
        <v/>
      </c>
      <c r="AA3549" s="0" t="str">
        <f aca="false">IF(AND(C3548=C3549,W3548=W3549-1),Y3548,"")</f>
        <v/>
      </c>
      <c r="AB3549" s="0" t="str">
        <f aca="false">IF(W3549=1,"",IF(AND(X3549=1,Z3549&lt;&gt;1),1,0))</f>
        <v/>
      </c>
      <c r="AC3549" s="0" t="str">
        <f aca="false">IF(W3549=1,"",IF(AND(Y3549=1,AA3549&lt;&gt;1),1,0))</f>
        <v/>
      </c>
      <c r="AD3549" s="33" t="str">
        <f aca="false">IF(AND(E3549&gt;0,W3549&lt;1,NOT(AND(C3550=C3549,W3550=W3549+1))),INDEX(DATAS,W3549+1),"")</f>
        <v/>
      </c>
      <c r="AE3549" s="33" t="str">
        <f aca="false">IF(AND(Y3549=1,W3549&lt;1),IF(AND(C3550=C3549,W3550=W3549+1),IF(Y3550=1,"",INDEX(DATAS,W3549+1)),INDEX(DATAS,W3549+1)),"")</f>
        <v/>
      </c>
    </row>
    <row r="3550" customFormat="false" ht="15" hidden="false" customHeight="false" outlineLevel="0" collapsed="false">
      <c r="A3550" s="33" t="n">
        <v>46309</v>
      </c>
      <c r="B3550" s="0" t="n">
        <v>16</v>
      </c>
      <c r="C3550" s="0" t="n">
        <v>8002</v>
      </c>
      <c r="E3550" s="0" t="n">
        <v>0</v>
      </c>
      <c r="F3550" s="27" t="s">
        <v>1618</v>
      </c>
      <c r="I3550" s="27" t="s">
        <v>166</v>
      </c>
      <c r="U3550" s="0" t="n">
        <v>70</v>
      </c>
      <c r="V3550" s="0" t="n">
        <v>0</v>
      </c>
      <c r="W3550" s="27" t="n">
        <f aca="false">MATCH(A3550,DATAS,0)</f>
        <v>1</v>
      </c>
      <c r="X3550" s="27" t="n">
        <f aca="false">IF(AND(E3550&gt;0,OR(AND(B3550&gt;=1,B3550&lt;=6),B3550=10)),1,0)</f>
        <v>0</v>
      </c>
      <c r="Y3550" s="27" t="n">
        <f aca="false">IF(AND(E3550&gt;0,B3550=10),1,0)</f>
        <v>0</v>
      </c>
      <c r="Z3550" s="0" t="str">
        <f aca="false">IF(AND(C3549=C3550,W3549=W3550-1),X3549,"")</f>
        <v/>
      </c>
      <c r="AA3550" s="0" t="str">
        <f aca="false">IF(AND(C3549=C3550,W3549=W3550-1),Y3549,"")</f>
        <v/>
      </c>
      <c r="AB3550" s="0" t="str">
        <f aca="false">IF(W3550=1,"",IF(AND(X3550=1,Z3550&lt;&gt;1),1,0))</f>
        <v/>
      </c>
      <c r="AC3550" s="0" t="str">
        <f aca="false">IF(W3550=1,"",IF(AND(Y3550=1,AA3550&lt;&gt;1),1,0))</f>
        <v/>
      </c>
      <c r="AD3550" s="33" t="str">
        <f aca="false">IF(AND(E3550&gt;0,W3550&lt;1,NOT(AND(C3551=C3550,W3551=W3550+1))),INDEX(DATAS,W3550+1),"")</f>
        <v/>
      </c>
      <c r="AE3550" s="33" t="str">
        <f aca="false">IF(AND(Y3550=1,W3550&lt;1),IF(AND(C3551=C3550,W3551=W3550+1),IF(Y3551=1,"",INDEX(DATAS,W3550+1)),INDEX(DATAS,W3550+1)),"")</f>
        <v/>
      </c>
    </row>
    <row r="3551" customFormat="false" ht="15" hidden="false" customHeight="false" outlineLevel="0" collapsed="false">
      <c r="A3551" s="33" t="n">
        <v>46309</v>
      </c>
      <c r="B3551" s="0" t="n">
        <v>16</v>
      </c>
      <c r="C3551" s="0" t="n">
        <v>8003</v>
      </c>
      <c r="E3551" s="0" t="n">
        <v>0</v>
      </c>
      <c r="F3551" s="27" t="s">
        <v>1619</v>
      </c>
      <c r="I3551" s="27" t="s">
        <v>166</v>
      </c>
      <c r="U3551" s="0" t="n">
        <v>69</v>
      </c>
      <c r="V3551" s="0" t="n">
        <v>0</v>
      </c>
      <c r="W3551" s="27" t="n">
        <f aca="false">MATCH(A3551,DATAS,0)</f>
        <v>1</v>
      </c>
      <c r="X3551" s="27" t="n">
        <f aca="false">IF(AND(E3551&gt;0,OR(AND(B3551&gt;=1,B3551&lt;=6),B3551=10)),1,0)</f>
        <v>0</v>
      </c>
      <c r="Y3551" s="27" t="n">
        <f aca="false">IF(AND(E3551&gt;0,B3551=10),1,0)</f>
        <v>0</v>
      </c>
      <c r="Z3551" s="0" t="str">
        <f aca="false">IF(AND(C3550=C3551,W3550=W3551-1),X3550,"")</f>
        <v/>
      </c>
      <c r="AA3551" s="0" t="str">
        <f aca="false">IF(AND(C3550=C3551,W3550=W3551-1),Y3550,"")</f>
        <v/>
      </c>
      <c r="AB3551" s="0" t="str">
        <f aca="false">IF(W3551=1,"",IF(AND(X3551=1,Z3551&lt;&gt;1),1,0))</f>
        <v/>
      </c>
      <c r="AC3551" s="0" t="str">
        <f aca="false">IF(W3551=1,"",IF(AND(Y3551=1,AA3551&lt;&gt;1),1,0))</f>
        <v/>
      </c>
      <c r="AD3551" s="33" t="str">
        <f aca="false">IF(AND(E3551&gt;0,W3551&lt;1,NOT(AND(C3552=C3551,W3552=W3551+1))),INDEX(DATAS,W3551+1),"")</f>
        <v/>
      </c>
      <c r="AE3551" s="33" t="str">
        <f aca="false">IF(AND(Y3551=1,W3551&lt;1),IF(AND(C3552=C3551,W3552=W3551+1),IF(Y3552=1,"",INDEX(DATAS,W3551+1)),INDEX(DATAS,W3551+1)),"")</f>
        <v/>
      </c>
    </row>
    <row r="3552" customFormat="false" ht="15" hidden="false" customHeight="false" outlineLevel="0" collapsed="false">
      <c r="A3552" s="33" t="n">
        <v>46309</v>
      </c>
      <c r="B3552" s="0" t="n">
        <v>16</v>
      </c>
      <c r="C3552" s="0" t="n">
        <v>8004</v>
      </c>
      <c r="E3552" s="0" t="n">
        <v>0</v>
      </c>
      <c r="F3552" s="27" t="s">
        <v>1619</v>
      </c>
      <c r="I3552" s="27" t="s">
        <v>166</v>
      </c>
      <c r="U3552" s="0" t="n">
        <v>69</v>
      </c>
      <c r="V3552" s="0" t="n">
        <v>0</v>
      </c>
      <c r="W3552" s="27" t="n">
        <f aca="false">MATCH(A3552,DATAS,0)</f>
        <v>1</v>
      </c>
      <c r="X3552" s="27" t="n">
        <f aca="false">IF(AND(E3552&gt;0,OR(AND(B3552&gt;=1,B3552&lt;=6),B3552=10)),1,0)</f>
        <v>0</v>
      </c>
      <c r="Y3552" s="27" t="n">
        <f aca="false">IF(AND(E3552&gt;0,B3552=10),1,0)</f>
        <v>0</v>
      </c>
      <c r="Z3552" s="0" t="str">
        <f aca="false">IF(AND(C3551=C3552,W3551=W3552-1),X3551,"")</f>
        <v/>
      </c>
      <c r="AA3552" s="0" t="str">
        <f aca="false">IF(AND(C3551=C3552,W3551=W3552-1),Y3551,"")</f>
        <v/>
      </c>
      <c r="AB3552" s="0" t="str">
        <f aca="false">IF(W3552=1,"",IF(AND(X3552=1,Z3552&lt;&gt;1),1,0))</f>
        <v/>
      </c>
      <c r="AC3552" s="0" t="str">
        <f aca="false">IF(W3552=1,"",IF(AND(Y3552=1,AA3552&lt;&gt;1),1,0))</f>
        <v/>
      </c>
      <c r="AD3552" s="33" t="str">
        <f aca="false">IF(AND(E3552&gt;0,W3552&lt;1,NOT(AND(C3553=C3552,W3553=W3552+1))),INDEX(DATAS,W3552+1),"")</f>
        <v/>
      </c>
      <c r="AE3552" s="33" t="str">
        <f aca="false">IF(AND(Y3552=1,W3552&lt;1),IF(AND(C3553=C3552,W3553=W3552+1),IF(Y3553=1,"",INDEX(DATAS,W3552+1)),INDEX(DATAS,W3552+1)),"")</f>
        <v/>
      </c>
    </row>
    <row r="3553" customFormat="false" ht="15" hidden="false" customHeight="false" outlineLevel="0" collapsed="false">
      <c r="A3553" s="33" t="n">
        <v>46309</v>
      </c>
      <c r="B3553" s="0" t="n">
        <v>16</v>
      </c>
      <c r="C3553" s="0" t="n">
        <v>8005</v>
      </c>
      <c r="E3553" s="0" t="n">
        <v>0</v>
      </c>
      <c r="F3553" s="27" t="s">
        <v>1620</v>
      </c>
      <c r="I3553" s="27" t="s">
        <v>166</v>
      </c>
      <c r="U3553" s="0" t="n">
        <v>68</v>
      </c>
      <c r="V3553" s="0" t="n">
        <v>0</v>
      </c>
      <c r="W3553" s="27" t="n">
        <f aca="false">MATCH(A3553,DATAS,0)</f>
        <v>1</v>
      </c>
      <c r="X3553" s="27" t="n">
        <f aca="false">IF(AND(E3553&gt;0,OR(AND(B3553&gt;=1,B3553&lt;=6),B3553=10)),1,0)</f>
        <v>0</v>
      </c>
      <c r="Y3553" s="27" t="n">
        <f aca="false">IF(AND(E3553&gt;0,B3553=10),1,0)</f>
        <v>0</v>
      </c>
      <c r="Z3553" s="0" t="str">
        <f aca="false">IF(AND(C3552=C3553,W3552=W3553-1),X3552,"")</f>
        <v/>
      </c>
      <c r="AA3553" s="0" t="str">
        <f aca="false">IF(AND(C3552=C3553,W3552=W3553-1),Y3552,"")</f>
        <v/>
      </c>
      <c r="AB3553" s="0" t="str">
        <f aca="false">IF(W3553=1,"",IF(AND(X3553=1,Z3553&lt;&gt;1),1,0))</f>
        <v/>
      </c>
      <c r="AC3553" s="0" t="str">
        <f aca="false">IF(W3553=1,"",IF(AND(Y3553=1,AA3553&lt;&gt;1),1,0))</f>
        <v/>
      </c>
      <c r="AD3553" s="33" t="str">
        <f aca="false">IF(AND(E3553&gt;0,W3553&lt;1,NOT(AND(C3554=C3553,W3554=W3553+1))),INDEX(DATAS,W3553+1),"")</f>
        <v/>
      </c>
      <c r="AE3553" s="33" t="str">
        <f aca="false">IF(AND(Y3553=1,W3553&lt;1),IF(AND(C3554=C3553,W3554=W3553+1),IF(Y3554=1,"",INDEX(DATAS,W3553+1)),INDEX(DATAS,W3553+1)),"")</f>
        <v/>
      </c>
    </row>
    <row r="3554" customFormat="false" ht="15" hidden="false" customHeight="false" outlineLevel="0" collapsed="false">
      <c r="A3554" s="33" t="n">
        <v>46309</v>
      </c>
      <c r="B3554" s="0" t="n">
        <v>16</v>
      </c>
      <c r="C3554" s="0" t="n">
        <v>8006</v>
      </c>
      <c r="E3554" s="0" t="n">
        <v>0</v>
      </c>
      <c r="F3554" s="27" t="s">
        <v>1620</v>
      </c>
      <c r="I3554" s="27" t="s">
        <v>166</v>
      </c>
      <c r="U3554" s="0" t="n">
        <v>68</v>
      </c>
      <c r="V3554" s="0" t="n">
        <v>0</v>
      </c>
      <c r="W3554" s="27" t="n">
        <f aca="false">MATCH(A3554,DATAS,0)</f>
        <v>1</v>
      </c>
      <c r="X3554" s="27" t="n">
        <f aca="false">IF(AND(E3554&gt;0,OR(AND(B3554&gt;=1,B3554&lt;=6),B3554=10)),1,0)</f>
        <v>0</v>
      </c>
      <c r="Y3554" s="27" t="n">
        <f aca="false">IF(AND(E3554&gt;0,B3554=10),1,0)</f>
        <v>0</v>
      </c>
      <c r="Z3554" s="0" t="str">
        <f aca="false">IF(AND(C3553=C3554,W3553=W3554-1),X3553,"")</f>
        <v/>
      </c>
      <c r="AA3554" s="0" t="str">
        <f aca="false">IF(AND(C3553=C3554,W3553=W3554-1),Y3553,"")</f>
        <v/>
      </c>
      <c r="AB3554" s="0" t="str">
        <f aca="false">IF(W3554=1,"",IF(AND(X3554=1,Z3554&lt;&gt;1),1,0))</f>
        <v/>
      </c>
      <c r="AC3554" s="0" t="str">
        <f aca="false">IF(W3554=1,"",IF(AND(Y3554=1,AA3554&lt;&gt;1),1,0))</f>
        <v/>
      </c>
      <c r="AD3554" s="33" t="str">
        <f aca="false">IF(AND(E3554&gt;0,W3554&lt;1,NOT(AND(C3555=C3554,W3555=W3554+1))),INDEX(DATAS,W3554+1),"")</f>
        <v/>
      </c>
      <c r="AE3554" s="33" t="str">
        <f aca="false">IF(AND(Y3554=1,W3554&lt;1),IF(AND(C3555=C3554,W3555=W3554+1),IF(Y3555=1,"",INDEX(DATAS,W3554+1)),INDEX(DATAS,W3554+1)),"")</f>
        <v/>
      </c>
    </row>
    <row r="3555" customFormat="false" ht="15" hidden="false" customHeight="false" outlineLevel="0" collapsed="false">
      <c r="A3555" s="33" t="n">
        <v>46309</v>
      </c>
      <c r="B3555" s="0" t="n">
        <v>16</v>
      </c>
      <c r="C3555" s="0" t="n">
        <v>8007</v>
      </c>
      <c r="E3555" s="0" t="n">
        <v>0</v>
      </c>
      <c r="F3555" s="27" t="s">
        <v>1620</v>
      </c>
      <c r="I3555" s="27" t="s">
        <v>166</v>
      </c>
      <c r="U3555" s="0" t="n">
        <v>68</v>
      </c>
      <c r="V3555" s="0" t="n">
        <v>0</v>
      </c>
      <c r="W3555" s="27" t="n">
        <f aca="false">MATCH(A3555,DATAS,0)</f>
        <v>1</v>
      </c>
      <c r="X3555" s="27" t="n">
        <f aca="false">IF(AND(E3555&gt;0,OR(AND(B3555&gt;=1,B3555&lt;=6),B3555=10)),1,0)</f>
        <v>0</v>
      </c>
      <c r="Y3555" s="27" t="n">
        <f aca="false">IF(AND(E3555&gt;0,B3555=10),1,0)</f>
        <v>0</v>
      </c>
      <c r="Z3555" s="0" t="str">
        <f aca="false">IF(AND(C3554=C3555,W3554=W3555-1),X3554,"")</f>
        <v/>
      </c>
      <c r="AA3555" s="0" t="str">
        <f aca="false">IF(AND(C3554=C3555,W3554=W3555-1),Y3554,"")</f>
        <v/>
      </c>
      <c r="AB3555" s="0" t="str">
        <f aca="false">IF(W3555=1,"",IF(AND(X3555=1,Z3555&lt;&gt;1),1,0))</f>
        <v/>
      </c>
      <c r="AC3555" s="0" t="str">
        <f aca="false">IF(W3555=1,"",IF(AND(Y3555=1,AA3555&lt;&gt;1),1,0))</f>
        <v/>
      </c>
      <c r="AD3555" s="33" t="str">
        <f aca="false">IF(AND(E3555&gt;0,W3555&lt;1,NOT(AND(C3556=C3555,W3556=W3555+1))),INDEX(DATAS,W3555+1),"")</f>
        <v/>
      </c>
      <c r="AE3555" s="33" t="str">
        <f aca="false">IF(AND(Y3555=1,W3555&lt;1),IF(AND(C3556=C3555,W3556=W3555+1),IF(Y3556=1,"",INDEX(DATAS,W3555+1)),INDEX(DATAS,W3555+1)),"")</f>
        <v/>
      </c>
    </row>
    <row r="3556" customFormat="false" ht="15" hidden="false" customHeight="false" outlineLevel="0" collapsed="false">
      <c r="A3556" s="33" t="n">
        <v>46309</v>
      </c>
      <c r="B3556" s="0" t="n">
        <v>16</v>
      </c>
      <c r="C3556" s="0" t="n">
        <v>8008</v>
      </c>
      <c r="E3556" s="0" t="n">
        <v>0</v>
      </c>
      <c r="F3556" s="27" t="s">
        <v>1620</v>
      </c>
      <c r="I3556" s="27" t="s">
        <v>166</v>
      </c>
      <c r="U3556" s="0" t="n">
        <v>68</v>
      </c>
      <c r="V3556" s="0" t="n">
        <v>0</v>
      </c>
      <c r="W3556" s="27" t="n">
        <f aca="false">MATCH(A3556,DATAS,0)</f>
        <v>1</v>
      </c>
      <c r="X3556" s="27" t="n">
        <f aca="false">IF(AND(E3556&gt;0,OR(AND(B3556&gt;=1,B3556&lt;=6),B3556=10)),1,0)</f>
        <v>0</v>
      </c>
      <c r="Y3556" s="27" t="n">
        <f aca="false">IF(AND(E3556&gt;0,B3556=10),1,0)</f>
        <v>0</v>
      </c>
      <c r="Z3556" s="0" t="str">
        <f aca="false">IF(AND(C3555=C3556,W3555=W3556-1),X3555,"")</f>
        <v/>
      </c>
      <c r="AA3556" s="0" t="str">
        <f aca="false">IF(AND(C3555=C3556,W3555=W3556-1),Y3555,"")</f>
        <v/>
      </c>
      <c r="AB3556" s="0" t="str">
        <f aca="false">IF(W3556=1,"",IF(AND(X3556=1,Z3556&lt;&gt;1),1,0))</f>
        <v/>
      </c>
      <c r="AC3556" s="0" t="str">
        <f aca="false">IF(W3556=1,"",IF(AND(Y3556=1,AA3556&lt;&gt;1),1,0))</f>
        <v/>
      </c>
      <c r="AD3556" s="33" t="str">
        <f aca="false">IF(AND(E3556&gt;0,W3556&lt;1,NOT(AND(C3557=C3556,W3557=W3556+1))),INDEX(DATAS,W3556+1),"")</f>
        <v/>
      </c>
      <c r="AE3556" s="33" t="str">
        <f aca="false">IF(AND(Y3556=1,W3556&lt;1),IF(AND(C3557=C3556,W3557=W3556+1),IF(Y3557=1,"",INDEX(DATAS,W3556+1)),INDEX(DATAS,W3556+1)),"")</f>
        <v/>
      </c>
    </row>
    <row r="3557" customFormat="false" ht="15" hidden="false" customHeight="false" outlineLevel="0" collapsed="false">
      <c r="A3557" s="33" t="n">
        <v>46309</v>
      </c>
      <c r="B3557" s="0" t="n">
        <v>16</v>
      </c>
      <c r="C3557" s="0" t="n">
        <v>8009</v>
      </c>
      <c r="E3557" s="0" t="n">
        <v>0</v>
      </c>
      <c r="F3557" s="27" t="s">
        <v>1620</v>
      </c>
      <c r="I3557" s="27" t="s">
        <v>166</v>
      </c>
      <c r="U3557" s="0" t="n">
        <v>68</v>
      </c>
      <c r="V3557" s="0" t="n">
        <v>0</v>
      </c>
      <c r="W3557" s="27" t="n">
        <f aca="false">MATCH(A3557,DATAS,0)</f>
        <v>1</v>
      </c>
      <c r="X3557" s="27" t="n">
        <f aca="false">IF(AND(E3557&gt;0,OR(AND(B3557&gt;=1,B3557&lt;=6),B3557=10)),1,0)</f>
        <v>0</v>
      </c>
      <c r="Y3557" s="27" t="n">
        <f aca="false">IF(AND(E3557&gt;0,B3557=10),1,0)</f>
        <v>0</v>
      </c>
      <c r="Z3557" s="0" t="str">
        <f aca="false">IF(AND(C3556=C3557,W3556=W3557-1),X3556,"")</f>
        <v/>
      </c>
      <c r="AA3557" s="0" t="str">
        <f aca="false">IF(AND(C3556=C3557,W3556=W3557-1),Y3556,"")</f>
        <v/>
      </c>
      <c r="AB3557" s="0" t="str">
        <f aca="false">IF(W3557=1,"",IF(AND(X3557=1,Z3557&lt;&gt;1),1,0))</f>
        <v/>
      </c>
      <c r="AC3557" s="0" t="str">
        <f aca="false">IF(W3557=1,"",IF(AND(Y3557=1,AA3557&lt;&gt;1),1,0))</f>
        <v/>
      </c>
      <c r="AD3557" s="33" t="str">
        <f aca="false">IF(AND(E3557&gt;0,W3557&lt;1,NOT(AND(C3558=C3557,W3558=W3557+1))),INDEX(DATAS,W3557+1),"")</f>
        <v/>
      </c>
      <c r="AE3557" s="33" t="str">
        <f aca="false">IF(AND(Y3557=1,W3557&lt;1),IF(AND(C3558=C3557,W3558=W3557+1),IF(Y3558=1,"",INDEX(DATAS,W3557+1)),INDEX(DATAS,W3557+1)),"")</f>
        <v/>
      </c>
    </row>
    <row r="3558" customFormat="false" ht="15" hidden="false" customHeight="false" outlineLevel="0" collapsed="false">
      <c r="A3558" s="33" t="n">
        <v>46309</v>
      </c>
      <c r="B3558" s="0" t="n">
        <v>16</v>
      </c>
      <c r="C3558" s="0" t="n">
        <v>8010</v>
      </c>
      <c r="E3558" s="0" t="n">
        <v>0</v>
      </c>
      <c r="F3558" s="27" t="s">
        <v>1620</v>
      </c>
      <c r="I3558" s="27" t="s">
        <v>166</v>
      </c>
      <c r="U3558" s="0" t="n">
        <v>68</v>
      </c>
      <c r="V3558" s="0" t="n">
        <v>0</v>
      </c>
      <c r="W3558" s="27" t="n">
        <f aca="false">MATCH(A3558,DATAS,0)</f>
        <v>1</v>
      </c>
      <c r="X3558" s="27" t="n">
        <f aca="false">IF(AND(E3558&gt;0,OR(AND(B3558&gt;=1,B3558&lt;=6),B3558=10)),1,0)</f>
        <v>0</v>
      </c>
      <c r="Y3558" s="27" t="n">
        <f aca="false">IF(AND(E3558&gt;0,B3558=10),1,0)</f>
        <v>0</v>
      </c>
      <c r="Z3558" s="0" t="str">
        <f aca="false">IF(AND(C3557=C3558,W3557=W3558-1),X3557,"")</f>
        <v/>
      </c>
      <c r="AA3558" s="0" t="str">
        <f aca="false">IF(AND(C3557=C3558,W3557=W3558-1),Y3557,"")</f>
        <v/>
      </c>
      <c r="AB3558" s="0" t="str">
        <f aca="false">IF(W3558=1,"",IF(AND(X3558=1,Z3558&lt;&gt;1),1,0))</f>
        <v/>
      </c>
      <c r="AC3558" s="0" t="str">
        <f aca="false">IF(W3558=1,"",IF(AND(Y3558=1,AA3558&lt;&gt;1),1,0))</f>
        <v/>
      </c>
      <c r="AD3558" s="33" t="str">
        <f aca="false">IF(AND(E3558&gt;0,W3558&lt;1,NOT(AND(C3559=C3558,W3559=W3558+1))),INDEX(DATAS,W3558+1),"")</f>
        <v/>
      </c>
      <c r="AE3558" s="33" t="str">
        <f aca="false">IF(AND(Y3558=1,W3558&lt;1),IF(AND(C3559=C3558,W3559=W3558+1),IF(Y3559=1,"",INDEX(DATAS,W3558+1)),INDEX(DATAS,W3558+1)),"")</f>
        <v/>
      </c>
    </row>
    <row r="3559" customFormat="false" ht="15" hidden="false" customHeight="false" outlineLevel="0" collapsed="false">
      <c r="A3559" s="33" t="n">
        <v>46309</v>
      </c>
      <c r="B3559" s="0" t="n">
        <v>16</v>
      </c>
      <c r="C3559" s="0" t="n">
        <v>8011</v>
      </c>
      <c r="E3559" s="0" t="n">
        <v>0</v>
      </c>
      <c r="F3559" s="27" t="s">
        <v>1621</v>
      </c>
      <c r="I3559" s="27" t="s">
        <v>166</v>
      </c>
      <c r="U3559" s="0" t="n">
        <v>67</v>
      </c>
      <c r="V3559" s="0" t="n">
        <v>0</v>
      </c>
      <c r="W3559" s="27" t="n">
        <f aca="false">MATCH(A3559,DATAS,0)</f>
        <v>1</v>
      </c>
      <c r="X3559" s="27" t="n">
        <f aca="false">IF(AND(E3559&gt;0,OR(AND(B3559&gt;=1,B3559&lt;=6),B3559=10)),1,0)</f>
        <v>0</v>
      </c>
      <c r="Y3559" s="27" t="n">
        <f aca="false">IF(AND(E3559&gt;0,B3559=10),1,0)</f>
        <v>0</v>
      </c>
      <c r="Z3559" s="0" t="str">
        <f aca="false">IF(AND(C3558=C3559,W3558=W3559-1),X3558,"")</f>
        <v/>
      </c>
      <c r="AA3559" s="0" t="str">
        <f aca="false">IF(AND(C3558=C3559,W3558=W3559-1),Y3558,"")</f>
        <v/>
      </c>
      <c r="AB3559" s="0" t="str">
        <f aca="false">IF(W3559=1,"",IF(AND(X3559=1,Z3559&lt;&gt;1),1,0))</f>
        <v/>
      </c>
      <c r="AC3559" s="0" t="str">
        <f aca="false">IF(W3559=1,"",IF(AND(Y3559=1,AA3559&lt;&gt;1),1,0))</f>
        <v/>
      </c>
      <c r="AD3559" s="33" t="str">
        <f aca="false">IF(AND(E3559&gt;0,W3559&lt;1,NOT(AND(C3560=C3559,W3560=W3559+1))),INDEX(DATAS,W3559+1),"")</f>
        <v/>
      </c>
      <c r="AE3559" s="33" t="str">
        <f aca="false">IF(AND(Y3559=1,W3559&lt;1),IF(AND(C3560=C3559,W3560=W3559+1),IF(Y3560=1,"",INDEX(DATAS,W3559+1)),INDEX(DATAS,W3559+1)),"")</f>
        <v/>
      </c>
    </row>
    <row r="3560" customFormat="false" ht="15" hidden="false" customHeight="false" outlineLevel="0" collapsed="false">
      <c r="A3560" s="33" t="n">
        <v>46309</v>
      </c>
      <c r="B3560" s="0" t="n">
        <v>16</v>
      </c>
      <c r="C3560" s="0" t="n">
        <v>8012</v>
      </c>
      <c r="E3560" s="0" t="n">
        <v>0</v>
      </c>
      <c r="F3560" s="27" t="s">
        <v>1622</v>
      </c>
      <c r="I3560" s="27" t="s">
        <v>166</v>
      </c>
      <c r="U3560" s="0" t="n">
        <v>66</v>
      </c>
      <c r="V3560" s="0" t="n">
        <v>0</v>
      </c>
      <c r="W3560" s="27" t="n">
        <f aca="false">MATCH(A3560,DATAS,0)</f>
        <v>1</v>
      </c>
      <c r="X3560" s="27" t="n">
        <f aca="false">IF(AND(E3560&gt;0,OR(AND(B3560&gt;=1,B3560&lt;=6),B3560=10)),1,0)</f>
        <v>0</v>
      </c>
      <c r="Y3560" s="27" t="n">
        <f aca="false">IF(AND(E3560&gt;0,B3560=10),1,0)</f>
        <v>0</v>
      </c>
      <c r="Z3560" s="0" t="str">
        <f aca="false">IF(AND(C3559=C3560,W3559=W3560-1),X3559,"")</f>
        <v/>
      </c>
      <c r="AA3560" s="0" t="str">
        <f aca="false">IF(AND(C3559=C3560,W3559=W3560-1),Y3559,"")</f>
        <v/>
      </c>
      <c r="AB3560" s="0" t="str">
        <f aca="false">IF(W3560=1,"",IF(AND(X3560=1,Z3560&lt;&gt;1),1,0))</f>
        <v/>
      </c>
      <c r="AC3560" s="0" t="str">
        <f aca="false">IF(W3560=1,"",IF(AND(Y3560=1,AA3560&lt;&gt;1),1,0))</f>
        <v/>
      </c>
      <c r="AD3560" s="33" t="str">
        <f aca="false">IF(AND(E3560&gt;0,W3560&lt;1,NOT(AND(C3561=C3560,W3561=W3560+1))),INDEX(DATAS,W3560+1),"")</f>
        <v/>
      </c>
      <c r="AE3560" s="33" t="str">
        <f aca="false">IF(AND(Y3560=1,W3560&lt;1),IF(AND(C3561=C3560,W3561=W3560+1),IF(Y3561=1,"",INDEX(DATAS,W3560+1)),INDEX(DATAS,W3560+1)),"")</f>
        <v/>
      </c>
    </row>
    <row r="3561" customFormat="false" ht="15" hidden="false" customHeight="false" outlineLevel="0" collapsed="false">
      <c r="A3561" s="33" t="n">
        <v>46309</v>
      </c>
      <c r="B3561" s="0" t="n">
        <v>16</v>
      </c>
      <c r="C3561" s="0" t="n">
        <v>8013</v>
      </c>
      <c r="E3561" s="0" t="n">
        <v>0</v>
      </c>
      <c r="F3561" s="27" t="s">
        <v>1622</v>
      </c>
      <c r="I3561" s="27" t="s">
        <v>166</v>
      </c>
      <c r="U3561" s="0" t="n">
        <v>66</v>
      </c>
      <c r="V3561" s="0" t="n">
        <v>0</v>
      </c>
      <c r="W3561" s="27" t="n">
        <f aca="false">MATCH(A3561,DATAS,0)</f>
        <v>1</v>
      </c>
      <c r="X3561" s="27" t="n">
        <f aca="false">IF(AND(E3561&gt;0,OR(AND(B3561&gt;=1,B3561&lt;=6),B3561=10)),1,0)</f>
        <v>0</v>
      </c>
      <c r="Y3561" s="27" t="n">
        <f aca="false">IF(AND(E3561&gt;0,B3561=10),1,0)</f>
        <v>0</v>
      </c>
      <c r="Z3561" s="0" t="str">
        <f aca="false">IF(AND(C3560=C3561,W3560=W3561-1),X3560,"")</f>
        <v/>
      </c>
      <c r="AA3561" s="0" t="str">
        <f aca="false">IF(AND(C3560=C3561,W3560=W3561-1),Y3560,"")</f>
        <v/>
      </c>
      <c r="AB3561" s="0" t="str">
        <f aca="false">IF(W3561=1,"",IF(AND(X3561=1,Z3561&lt;&gt;1),1,0))</f>
        <v/>
      </c>
      <c r="AC3561" s="0" t="str">
        <f aca="false">IF(W3561=1,"",IF(AND(Y3561=1,AA3561&lt;&gt;1),1,0))</f>
        <v/>
      </c>
      <c r="AD3561" s="33" t="str">
        <f aca="false">IF(AND(E3561&gt;0,W3561&lt;1,NOT(AND(C3562=C3561,W3562=W3561+1))),INDEX(DATAS,W3561+1),"")</f>
        <v/>
      </c>
      <c r="AE3561" s="33" t="str">
        <f aca="false">IF(AND(Y3561=1,W3561&lt;1),IF(AND(C3562=C3561,W3562=W3561+1),IF(Y3562=1,"",INDEX(DATAS,W3561+1)),INDEX(DATAS,W3561+1)),"")</f>
        <v/>
      </c>
    </row>
    <row r="3562" customFormat="false" ht="15" hidden="false" customHeight="false" outlineLevel="0" collapsed="false">
      <c r="A3562" s="33" t="n">
        <v>46309</v>
      </c>
      <c r="B3562" s="0" t="n">
        <v>16</v>
      </c>
      <c r="C3562" s="0" t="n">
        <v>8014</v>
      </c>
      <c r="E3562" s="0" t="n">
        <v>0</v>
      </c>
      <c r="F3562" s="27" t="s">
        <v>1622</v>
      </c>
      <c r="I3562" s="27" t="s">
        <v>166</v>
      </c>
      <c r="U3562" s="0" t="n">
        <v>66</v>
      </c>
      <c r="V3562" s="0" t="n">
        <v>0</v>
      </c>
      <c r="W3562" s="27" t="n">
        <f aca="false">MATCH(A3562,DATAS,0)</f>
        <v>1</v>
      </c>
      <c r="X3562" s="27" t="n">
        <f aca="false">IF(AND(E3562&gt;0,OR(AND(B3562&gt;=1,B3562&lt;=6),B3562=10)),1,0)</f>
        <v>0</v>
      </c>
      <c r="Y3562" s="27" t="n">
        <f aca="false">IF(AND(E3562&gt;0,B3562=10),1,0)</f>
        <v>0</v>
      </c>
      <c r="Z3562" s="0" t="str">
        <f aca="false">IF(AND(C3561=C3562,W3561=W3562-1),X3561,"")</f>
        <v/>
      </c>
      <c r="AA3562" s="0" t="str">
        <f aca="false">IF(AND(C3561=C3562,W3561=W3562-1),Y3561,"")</f>
        <v/>
      </c>
      <c r="AB3562" s="0" t="str">
        <f aca="false">IF(W3562=1,"",IF(AND(X3562=1,Z3562&lt;&gt;1),1,0))</f>
        <v/>
      </c>
      <c r="AC3562" s="0" t="str">
        <f aca="false">IF(W3562=1,"",IF(AND(Y3562=1,AA3562&lt;&gt;1),1,0))</f>
        <v/>
      </c>
      <c r="AD3562" s="33" t="str">
        <f aca="false">IF(AND(E3562&gt;0,W3562&lt;1,NOT(AND(C3563=C3562,W3563=W3562+1))),INDEX(DATAS,W3562+1),"")</f>
        <v/>
      </c>
      <c r="AE3562" s="33" t="str">
        <f aca="false">IF(AND(Y3562=1,W3562&lt;1),IF(AND(C3563=C3562,W3563=W3562+1),IF(Y3563=1,"",INDEX(DATAS,W3562+1)),INDEX(DATAS,W3562+1)),"")</f>
        <v/>
      </c>
    </row>
    <row r="3563" customFormat="false" ht="15" hidden="false" customHeight="false" outlineLevel="0" collapsed="false">
      <c r="A3563" s="33" t="n">
        <v>46309</v>
      </c>
      <c r="B3563" s="0" t="n">
        <v>16</v>
      </c>
      <c r="C3563" s="0" t="n">
        <v>8015</v>
      </c>
      <c r="E3563" s="0" t="n">
        <v>0</v>
      </c>
      <c r="F3563" s="27" t="s">
        <v>1622</v>
      </c>
      <c r="I3563" s="27" t="s">
        <v>166</v>
      </c>
      <c r="U3563" s="0" t="n">
        <v>66</v>
      </c>
      <c r="V3563" s="0" t="n">
        <v>0</v>
      </c>
      <c r="W3563" s="27" t="n">
        <f aca="false">MATCH(A3563,DATAS,0)</f>
        <v>1</v>
      </c>
      <c r="X3563" s="27" t="n">
        <f aca="false">IF(AND(E3563&gt;0,OR(AND(B3563&gt;=1,B3563&lt;=6),B3563=10)),1,0)</f>
        <v>0</v>
      </c>
      <c r="Y3563" s="27" t="n">
        <f aca="false">IF(AND(E3563&gt;0,B3563=10),1,0)</f>
        <v>0</v>
      </c>
      <c r="Z3563" s="0" t="str">
        <f aca="false">IF(AND(C3562=C3563,W3562=W3563-1),X3562,"")</f>
        <v/>
      </c>
      <c r="AA3563" s="0" t="str">
        <f aca="false">IF(AND(C3562=C3563,W3562=W3563-1),Y3562,"")</f>
        <v/>
      </c>
      <c r="AB3563" s="0" t="str">
        <f aca="false">IF(W3563=1,"",IF(AND(X3563=1,Z3563&lt;&gt;1),1,0))</f>
        <v/>
      </c>
      <c r="AC3563" s="0" t="str">
        <f aca="false">IF(W3563=1,"",IF(AND(Y3563=1,AA3563&lt;&gt;1),1,0))</f>
        <v/>
      </c>
      <c r="AD3563" s="33" t="str">
        <f aca="false">IF(AND(E3563&gt;0,W3563&lt;1,NOT(AND(C3564=C3563,W3564=W3563+1))),INDEX(DATAS,W3563+1),"")</f>
        <v/>
      </c>
      <c r="AE3563" s="33" t="str">
        <f aca="false">IF(AND(Y3563=1,W3563&lt;1),IF(AND(C3564=C3563,W3564=W3563+1),IF(Y3564=1,"",INDEX(DATAS,W3563+1)),INDEX(DATAS,W3563+1)),"")</f>
        <v/>
      </c>
    </row>
    <row r="3564" customFormat="false" ht="15" hidden="false" customHeight="false" outlineLevel="0" collapsed="false">
      <c r="A3564" s="33" t="n">
        <v>46309</v>
      </c>
      <c r="B3564" s="0" t="n">
        <v>16</v>
      </c>
      <c r="C3564" s="0" t="n">
        <v>8018</v>
      </c>
      <c r="E3564" s="0" t="n">
        <v>0</v>
      </c>
      <c r="F3564" s="27" t="s">
        <v>1623</v>
      </c>
      <c r="I3564" s="27" t="s">
        <v>166</v>
      </c>
      <c r="U3564" s="0" t="n">
        <v>65</v>
      </c>
      <c r="V3564" s="0" t="n">
        <v>0</v>
      </c>
      <c r="W3564" s="27" t="n">
        <f aca="false">MATCH(A3564,DATAS,0)</f>
        <v>1</v>
      </c>
      <c r="X3564" s="27" t="n">
        <f aca="false">IF(AND(E3564&gt;0,OR(AND(B3564&gt;=1,B3564&lt;=6),B3564=10)),1,0)</f>
        <v>0</v>
      </c>
      <c r="Y3564" s="27" t="n">
        <f aca="false">IF(AND(E3564&gt;0,B3564=10),1,0)</f>
        <v>0</v>
      </c>
      <c r="Z3564" s="0" t="str">
        <f aca="false">IF(AND(C3563=C3564,W3563=W3564-1),X3563,"")</f>
        <v/>
      </c>
      <c r="AA3564" s="0" t="str">
        <f aca="false">IF(AND(C3563=C3564,W3563=W3564-1),Y3563,"")</f>
        <v/>
      </c>
      <c r="AB3564" s="0" t="str">
        <f aca="false">IF(W3564=1,"",IF(AND(X3564=1,Z3564&lt;&gt;1),1,0))</f>
        <v/>
      </c>
      <c r="AC3564" s="0" t="str">
        <f aca="false">IF(W3564=1,"",IF(AND(Y3564=1,AA3564&lt;&gt;1),1,0))</f>
        <v/>
      </c>
      <c r="AD3564" s="33" t="str">
        <f aca="false">IF(AND(E3564&gt;0,W3564&lt;1,NOT(AND(C3565=C3564,W3565=W3564+1))),INDEX(DATAS,W3564+1),"")</f>
        <v/>
      </c>
      <c r="AE3564" s="33" t="str">
        <f aca="false">IF(AND(Y3564=1,W3564&lt;1),IF(AND(C3565=C3564,W3565=W3564+1),IF(Y3565=1,"",INDEX(DATAS,W3564+1)),INDEX(DATAS,W3564+1)),"")</f>
        <v/>
      </c>
    </row>
    <row r="3565" customFormat="false" ht="15" hidden="false" customHeight="false" outlineLevel="0" collapsed="false">
      <c r="A3565" s="33" t="n">
        <v>46309</v>
      </c>
      <c r="B3565" s="0" t="n">
        <v>16</v>
      </c>
      <c r="C3565" s="0" t="n">
        <v>8019</v>
      </c>
      <c r="E3565" s="0" t="n">
        <v>0</v>
      </c>
      <c r="F3565" s="27" t="s">
        <v>1623</v>
      </c>
      <c r="I3565" s="27" t="s">
        <v>166</v>
      </c>
      <c r="U3565" s="0" t="n">
        <v>65</v>
      </c>
      <c r="V3565" s="0" t="n">
        <v>0</v>
      </c>
      <c r="W3565" s="27" t="n">
        <f aca="false">MATCH(A3565,DATAS,0)</f>
        <v>1</v>
      </c>
      <c r="X3565" s="27" t="n">
        <f aca="false">IF(AND(E3565&gt;0,OR(AND(B3565&gt;=1,B3565&lt;=6),B3565=10)),1,0)</f>
        <v>0</v>
      </c>
      <c r="Y3565" s="27" t="n">
        <f aca="false">IF(AND(E3565&gt;0,B3565=10),1,0)</f>
        <v>0</v>
      </c>
      <c r="Z3565" s="0" t="str">
        <f aca="false">IF(AND(C3564=C3565,W3564=W3565-1),X3564,"")</f>
        <v/>
      </c>
      <c r="AA3565" s="0" t="str">
        <f aca="false">IF(AND(C3564=C3565,W3564=W3565-1),Y3564,"")</f>
        <v/>
      </c>
      <c r="AB3565" s="0" t="str">
        <f aca="false">IF(W3565=1,"",IF(AND(X3565=1,Z3565&lt;&gt;1),1,0))</f>
        <v/>
      </c>
      <c r="AC3565" s="0" t="str">
        <f aca="false">IF(W3565=1,"",IF(AND(Y3565=1,AA3565&lt;&gt;1),1,0))</f>
        <v/>
      </c>
      <c r="AD3565" s="33" t="str">
        <f aca="false">IF(AND(E3565&gt;0,W3565&lt;1,NOT(AND(C3566=C3565,W3566=W3565+1))),INDEX(DATAS,W3565+1),"")</f>
        <v/>
      </c>
      <c r="AE3565" s="33" t="str">
        <f aca="false">IF(AND(Y3565=1,W3565&lt;1),IF(AND(C3566=C3565,W3566=W3565+1),IF(Y3566=1,"",INDEX(DATAS,W3565+1)),INDEX(DATAS,W3565+1)),"")</f>
        <v/>
      </c>
    </row>
    <row r="3566" customFormat="false" ht="15" hidden="false" customHeight="false" outlineLevel="0" collapsed="false">
      <c r="A3566" s="33" t="n">
        <v>46309</v>
      </c>
      <c r="B3566" s="0" t="n">
        <v>16</v>
      </c>
      <c r="C3566" s="0" t="n">
        <v>8020</v>
      </c>
      <c r="E3566" s="0" t="n">
        <v>0</v>
      </c>
      <c r="F3566" s="27" t="s">
        <v>1623</v>
      </c>
      <c r="I3566" s="27" t="s">
        <v>166</v>
      </c>
      <c r="U3566" s="0" t="n">
        <v>65</v>
      </c>
      <c r="V3566" s="0" t="n">
        <v>0</v>
      </c>
      <c r="W3566" s="27" t="n">
        <f aca="false">MATCH(A3566,DATAS,0)</f>
        <v>1</v>
      </c>
      <c r="X3566" s="27" t="n">
        <f aca="false">IF(AND(E3566&gt;0,OR(AND(B3566&gt;=1,B3566&lt;=6),B3566=10)),1,0)</f>
        <v>0</v>
      </c>
      <c r="Y3566" s="27" t="n">
        <f aca="false">IF(AND(E3566&gt;0,B3566=10),1,0)</f>
        <v>0</v>
      </c>
      <c r="Z3566" s="0" t="str">
        <f aca="false">IF(AND(C3565=C3566,W3565=W3566-1),X3565,"")</f>
        <v/>
      </c>
      <c r="AA3566" s="0" t="str">
        <f aca="false">IF(AND(C3565=C3566,W3565=W3566-1),Y3565,"")</f>
        <v/>
      </c>
      <c r="AB3566" s="0" t="str">
        <f aca="false">IF(W3566=1,"",IF(AND(X3566=1,Z3566&lt;&gt;1),1,0))</f>
        <v/>
      </c>
      <c r="AC3566" s="0" t="str">
        <f aca="false">IF(W3566=1,"",IF(AND(Y3566=1,AA3566&lt;&gt;1),1,0))</f>
        <v/>
      </c>
      <c r="AD3566" s="33" t="str">
        <f aca="false">IF(AND(E3566&gt;0,W3566&lt;1,NOT(AND(C3567=C3566,W3567=W3566+1))),INDEX(DATAS,W3566+1),"")</f>
        <v/>
      </c>
      <c r="AE3566" s="33" t="str">
        <f aca="false">IF(AND(Y3566=1,W3566&lt;1),IF(AND(C3567=C3566,W3567=W3566+1),IF(Y3567=1,"",INDEX(DATAS,W3566+1)),INDEX(DATAS,W3566+1)),"")</f>
        <v/>
      </c>
    </row>
    <row r="3567" customFormat="false" ht="15" hidden="false" customHeight="false" outlineLevel="0" collapsed="false">
      <c r="A3567" s="33" t="n">
        <v>46309</v>
      </c>
      <c r="B3567" s="0" t="n">
        <v>16</v>
      </c>
      <c r="C3567" s="0" t="n">
        <v>8021</v>
      </c>
      <c r="E3567" s="0" t="n">
        <v>0</v>
      </c>
      <c r="F3567" s="27" t="s">
        <v>1623</v>
      </c>
      <c r="I3567" s="27" t="s">
        <v>166</v>
      </c>
      <c r="U3567" s="0" t="n">
        <v>65</v>
      </c>
      <c r="V3567" s="0" t="n">
        <v>0</v>
      </c>
      <c r="W3567" s="27" t="n">
        <f aca="false">MATCH(A3567,DATAS,0)</f>
        <v>1</v>
      </c>
      <c r="X3567" s="27" t="n">
        <f aca="false">IF(AND(E3567&gt;0,OR(AND(B3567&gt;=1,B3567&lt;=6),B3567=10)),1,0)</f>
        <v>0</v>
      </c>
      <c r="Y3567" s="27" t="n">
        <f aca="false">IF(AND(E3567&gt;0,B3567=10),1,0)</f>
        <v>0</v>
      </c>
      <c r="Z3567" s="0" t="str">
        <f aca="false">IF(AND(C3566=C3567,W3566=W3567-1),X3566,"")</f>
        <v/>
      </c>
      <c r="AA3567" s="0" t="str">
        <f aca="false">IF(AND(C3566=C3567,W3566=W3567-1),Y3566,"")</f>
        <v/>
      </c>
      <c r="AB3567" s="0" t="str">
        <f aca="false">IF(W3567=1,"",IF(AND(X3567=1,Z3567&lt;&gt;1),1,0))</f>
        <v/>
      </c>
      <c r="AC3567" s="0" t="str">
        <f aca="false">IF(W3567=1,"",IF(AND(Y3567=1,AA3567&lt;&gt;1),1,0))</f>
        <v/>
      </c>
      <c r="AD3567" s="33" t="str">
        <f aca="false">IF(AND(E3567&gt;0,W3567&lt;1,NOT(AND(C3568=C3567,W3568=W3567+1))),INDEX(DATAS,W3567+1),"")</f>
        <v/>
      </c>
      <c r="AE3567" s="33" t="str">
        <f aca="false">IF(AND(Y3567=1,W3567&lt;1),IF(AND(C3568=C3567,W3568=W3567+1),IF(Y3568=1,"",INDEX(DATAS,W3567+1)),INDEX(DATAS,W3567+1)),"")</f>
        <v/>
      </c>
    </row>
    <row r="3568" customFormat="false" ht="15" hidden="false" customHeight="false" outlineLevel="0" collapsed="false">
      <c r="A3568" s="33" t="n">
        <v>46309</v>
      </c>
      <c r="B3568" s="0" t="n">
        <v>16</v>
      </c>
      <c r="C3568" s="0" t="n">
        <v>8023</v>
      </c>
      <c r="E3568" s="0" t="n">
        <v>0</v>
      </c>
      <c r="F3568" s="27" t="s">
        <v>1623</v>
      </c>
      <c r="I3568" s="27" t="s">
        <v>166</v>
      </c>
      <c r="U3568" s="0" t="n">
        <v>65</v>
      </c>
      <c r="V3568" s="0" t="n">
        <v>0</v>
      </c>
      <c r="W3568" s="27" t="n">
        <f aca="false">MATCH(A3568,DATAS,0)</f>
        <v>1</v>
      </c>
      <c r="X3568" s="27" t="n">
        <f aca="false">IF(AND(E3568&gt;0,OR(AND(B3568&gt;=1,B3568&lt;=6),B3568=10)),1,0)</f>
        <v>0</v>
      </c>
      <c r="Y3568" s="27" t="n">
        <f aca="false">IF(AND(E3568&gt;0,B3568=10),1,0)</f>
        <v>0</v>
      </c>
      <c r="Z3568" s="0" t="str">
        <f aca="false">IF(AND(C3567=C3568,W3567=W3568-1),X3567,"")</f>
        <v/>
      </c>
      <c r="AA3568" s="0" t="str">
        <f aca="false">IF(AND(C3567=C3568,W3567=W3568-1),Y3567,"")</f>
        <v/>
      </c>
      <c r="AB3568" s="0" t="str">
        <f aca="false">IF(W3568=1,"",IF(AND(X3568=1,Z3568&lt;&gt;1),1,0))</f>
        <v/>
      </c>
      <c r="AC3568" s="0" t="str">
        <f aca="false">IF(W3568=1,"",IF(AND(Y3568=1,AA3568&lt;&gt;1),1,0))</f>
        <v/>
      </c>
      <c r="AD3568" s="33" t="str">
        <f aca="false">IF(AND(E3568&gt;0,W3568&lt;1,NOT(AND(C3569=C3568,W3569=W3568+1))),INDEX(DATAS,W3568+1),"")</f>
        <v/>
      </c>
      <c r="AE3568" s="33" t="str">
        <f aca="false">IF(AND(Y3568=1,W3568&lt;1),IF(AND(C3569=C3568,W3569=W3568+1),IF(Y3569=1,"",INDEX(DATAS,W3568+1)),INDEX(DATAS,W3568+1)),"")</f>
        <v/>
      </c>
    </row>
    <row r="3569" customFormat="false" ht="15" hidden="false" customHeight="false" outlineLevel="0" collapsed="false">
      <c r="A3569" s="33" t="n">
        <v>46309</v>
      </c>
      <c r="B3569" s="0" t="n">
        <v>16</v>
      </c>
      <c r="C3569" s="0" t="n">
        <v>8025</v>
      </c>
      <c r="E3569" s="0" t="n">
        <v>0</v>
      </c>
      <c r="F3569" s="27" t="s">
        <v>1624</v>
      </c>
      <c r="I3569" s="27" t="s">
        <v>166</v>
      </c>
      <c r="U3569" s="0" t="n">
        <v>64</v>
      </c>
      <c r="V3569" s="0" t="n">
        <v>0</v>
      </c>
      <c r="W3569" s="27" t="n">
        <f aca="false">MATCH(A3569,DATAS,0)</f>
        <v>1</v>
      </c>
      <c r="X3569" s="27" t="n">
        <f aca="false">IF(AND(E3569&gt;0,OR(AND(B3569&gt;=1,B3569&lt;=6),B3569=10)),1,0)</f>
        <v>0</v>
      </c>
      <c r="Y3569" s="27" t="n">
        <f aca="false">IF(AND(E3569&gt;0,B3569=10),1,0)</f>
        <v>0</v>
      </c>
      <c r="Z3569" s="0" t="str">
        <f aca="false">IF(AND(C3568=C3569,W3568=W3569-1),X3568,"")</f>
        <v/>
      </c>
      <c r="AA3569" s="0" t="str">
        <f aca="false">IF(AND(C3568=C3569,W3568=W3569-1),Y3568,"")</f>
        <v/>
      </c>
      <c r="AB3569" s="0" t="str">
        <f aca="false">IF(W3569=1,"",IF(AND(X3569=1,Z3569&lt;&gt;1),1,0))</f>
        <v/>
      </c>
      <c r="AC3569" s="0" t="str">
        <f aca="false">IF(W3569=1,"",IF(AND(Y3569=1,AA3569&lt;&gt;1),1,0))</f>
        <v/>
      </c>
      <c r="AD3569" s="33" t="str">
        <f aca="false">IF(AND(E3569&gt;0,W3569&lt;1,NOT(AND(C3570=C3569,W3570=W3569+1))),INDEX(DATAS,W3569+1),"")</f>
        <v/>
      </c>
      <c r="AE3569" s="33" t="str">
        <f aca="false">IF(AND(Y3569=1,W3569&lt;1),IF(AND(C3570=C3569,W3570=W3569+1),IF(Y3570=1,"",INDEX(DATAS,W3569+1)),INDEX(DATAS,W3569+1)),"")</f>
        <v/>
      </c>
    </row>
    <row r="3570" customFormat="false" ht="15" hidden="false" customHeight="false" outlineLevel="0" collapsed="false">
      <c r="A3570" s="33" t="n">
        <v>46309</v>
      </c>
      <c r="B3570" s="0" t="n">
        <v>16</v>
      </c>
      <c r="C3570" s="0" t="n">
        <v>8026</v>
      </c>
      <c r="E3570" s="0" t="n">
        <v>0</v>
      </c>
      <c r="F3570" s="27" t="s">
        <v>1624</v>
      </c>
      <c r="I3570" s="27" t="s">
        <v>166</v>
      </c>
      <c r="U3570" s="0" t="n">
        <v>64</v>
      </c>
      <c r="V3570" s="0" t="n">
        <v>0</v>
      </c>
      <c r="W3570" s="27" t="n">
        <f aca="false">MATCH(A3570,DATAS,0)</f>
        <v>1</v>
      </c>
      <c r="X3570" s="27" t="n">
        <f aca="false">IF(AND(E3570&gt;0,OR(AND(B3570&gt;=1,B3570&lt;=6),B3570=10)),1,0)</f>
        <v>0</v>
      </c>
      <c r="Y3570" s="27" t="n">
        <f aca="false">IF(AND(E3570&gt;0,B3570=10),1,0)</f>
        <v>0</v>
      </c>
      <c r="Z3570" s="0" t="str">
        <f aca="false">IF(AND(C3569=C3570,W3569=W3570-1),X3569,"")</f>
        <v/>
      </c>
      <c r="AA3570" s="0" t="str">
        <f aca="false">IF(AND(C3569=C3570,W3569=W3570-1),Y3569,"")</f>
        <v/>
      </c>
      <c r="AB3570" s="0" t="str">
        <f aca="false">IF(W3570=1,"",IF(AND(X3570=1,Z3570&lt;&gt;1),1,0))</f>
        <v/>
      </c>
      <c r="AC3570" s="0" t="str">
        <f aca="false">IF(W3570=1,"",IF(AND(Y3570=1,AA3570&lt;&gt;1),1,0))</f>
        <v/>
      </c>
      <c r="AD3570" s="33" t="str">
        <f aca="false">IF(AND(E3570&gt;0,W3570&lt;1,NOT(AND(C3571=C3570,W3571=W3570+1))),INDEX(DATAS,W3570+1),"")</f>
        <v/>
      </c>
      <c r="AE3570" s="33" t="str">
        <f aca="false">IF(AND(Y3570=1,W3570&lt;1),IF(AND(C3571=C3570,W3571=W3570+1),IF(Y3571=1,"",INDEX(DATAS,W3570+1)),INDEX(DATAS,W3570+1)),"")</f>
        <v/>
      </c>
    </row>
    <row r="3571" customFormat="false" ht="15" hidden="false" customHeight="false" outlineLevel="0" collapsed="false">
      <c r="A3571" s="33" t="n">
        <v>46309</v>
      </c>
      <c r="B3571" s="0" t="n">
        <v>16</v>
      </c>
      <c r="C3571" s="0" t="n">
        <v>8027</v>
      </c>
      <c r="E3571" s="0" t="n">
        <v>0</v>
      </c>
      <c r="F3571" s="27" t="s">
        <v>1624</v>
      </c>
      <c r="I3571" s="27" t="s">
        <v>166</v>
      </c>
      <c r="U3571" s="0" t="n">
        <v>64</v>
      </c>
      <c r="V3571" s="0" t="n">
        <v>0</v>
      </c>
      <c r="W3571" s="27" t="n">
        <f aca="false">MATCH(A3571,DATAS,0)</f>
        <v>1</v>
      </c>
      <c r="X3571" s="27" t="n">
        <f aca="false">IF(AND(E3571&gt;0,OR(AND(B3571&gt;=1,B3571&lt;=6),B3571=10)),1,0)</f>
        <v>0</v>
      </c>
      <c r="Y3571" s="27" t="n">
        <f aca="false">IF(AND(E3571&gt;0,B3571=10),1,0)</f>
        <v>0</v>
      </c>
      <c r="Z3571" s="0" t="str">
        <f aca="false">IF(AND(C3570=C3571,W3570=W3571-1),X3570,"")</f>
        <v/>
      </c>
      <c r="AA3571" s="0" t="str">
        <f aca="false">IF(AND(C3570=C3571,W3570=W3571-1),Y3570,"")</f>
        <v/>
      </c>
      <c r="AB3571" s="0" t="str">
        <f aca="false">IF(W3571=1,"",IF(AND(X3571=1,Z3571&lt;&gt;1),1,0))</f>
        <v/>
      </c>
      <c r="AC3571" s="0" t="str">
        <f aca="false">IF(W3571=1,"",IF(AND(Y3571=1,AA3571&lt;&gt;1),1,0))</f>
        <v/>
      </c>
      <c r="AD3571" s="33" t="str">
        <f aca="false">IF(AND(E3571&gt;0,W3571&lt;1,NOT(AND(C3572=C3571,W3572=W3571+1))),INDEX(DATAS,W3571+1),"")</f>
        <v/>
      </c>
      <c r="AE3571" s="33" t="str">
        <f aca="false">IF(AND(Y3571=1,W3571&lt;1),IF(AND(C3572=C3571,W3572=W3571+1),IF(Y3572=1,"",INDEX(DATAS,W3571+1)),INDEX(DATAS,W3571+1)),"")</f>
        <v/>
      </c>
    </row>
    <row r="3572" customFormat="false" ht="15" hidden="false" customHeight="false" outlineLevel="0" collapsed="false">
      <c r="A3572" s="33" t="n">
        <v>46309</v>
      </c>
      <c r="B3572" s="0" t="n">
        <v>16</v>
      </c>
      <c r="C3572" s="0" t="n">
        <v>8028</v>
      </c>
      <c r="E3572" s="0" t="n">
        <v>0</v>
      </c>
      <c r="F3572" s="27" t="s">
        <v>1625</v>
      </c>
      <c r="I3572" s="27" t="s">
        <v>166</v>
      </c>
      <c r="U3572" s="0" t="n">
        <v>63</v>
      </c>
      <c r="V3572" s="0" t="n">
        <v>0</v>
      </c>
      <c r="W3572" s="27" t="n">
        <f aca="false">MATCH(A3572,DATAS,0)</f>
        <v>1</v>
      </c>
      <c r="X3572" s="27" t="n">
        <f aca="false">IF(AND(E3572&gt;0,OR(AND(B3572&gt;=1,B3572&lt;=6),B3572=10)),1,0)</f>
        <v>0</v>
      </c>
      <c r="Y3572" s="27" t="n">
        <f aca="false">IF(AND(E3572&gt;0,B3572=10),1,0)</f>
        <v>0</v>
      </c>
      <c r="Z3572" s="0" t="str">
        <f aca="false">IF(AND(C3571=C3572,W3571=W3572-1),X3571,"")</f>
        <v/>
      </c>
      <c r="AA3572" s="0" t="str">
        <f aca="false">IF(AND(C3571=C3572,W3571=W3572-1),Y3571,"")</f>
        <v/>
      </c>
      <c r="AB3572" s="0" t="str">
        <f aca="false">IF(W3572=1,"",IF(AND(X3572=1,Z3572&lt;&gt;1),1,0))</f>
        <v/>
      </c>
      <c r="AC3572" s="0" t="str">
        <f aca="false">IF(W3572=1,"",IF(AND(Y3572=1,AA3572&lt;&gt;1),1,0))</f>
        <v/>
      </c>
      <c r="AD3572" s="33" t="str">
        <f aca="false">IF(AND(E3572&gt;0,W3572&lt;1,NOT(AND(C3573=C3572,W3573=W3572+1))),INDEX(DATAS,W3572+1),"")</f>
        <v/>
      </c>
      <c r="AE3572" s="33" t="str">
        <f aca="false">IF(AND(Y3572=1,W3572&lt;1),IF(AND(C3573=C3572,W3573=W3572+1),IF(Y3573=1,"",INDEX(DATAS,W3572+1)),INDEX(DATAS,W3572+1)),"")</f>
        <v/>
      </c>
    </row>
    <row r="3573" customFormat="false" ht="15" hidden="false" customHeight="false" outlineLevel="0" collapsed="false">
      <c r="A3573" s="33" t="n">
        <v>46309</v>
      </c>
      <c r="B3573" s="0" t="n">
        <v>16</v>
      </c>
      <c r="C3573" s="0" t="n">
        <v>8030</v>
      </c>
      <c r="E3573" s="0" t="n">
        <v>0</v>
      </c>
      <c r="F3573" s="27" t="s">
        <v>1626</v>
      </c>
      <c r="I3573" s="27" t="s">
        <v>166</v>
      </c>
      <c r="U3573" s="0" t="n">
        <v>62</v>
      </c>
      <c r="V3573" s="0" t="n">
        <v>0</v>
      </c>
      <c r="W3573" s="27" t="n">
        <f aca="false">MATCH(A3573,DATAS,0)</f>
        <v>1</v>
      </c>
      <c r="X3573" s="27" t="n">
        <f aca="false">IF(AND(E3573&gt;0,OR(AND(B3573&gt;=1,B3573&lt;=6),B3573=10)),1,0)</f>
        <v>0</v>
      </c>
      <c r="Y3573" s="27" t="n">
        <f aca="false">IF(AND(E3573&gt;0,B3573=10),1,0)</f>
        <v>0</v>
      </c>
      <c r="Z3573" s="0" t="str">
        <f aca="false">IF(AND(C3572=C3573,W3572=W3573-1),X3572,"")</f>
        <v/>
      </c>
      <c r="AA3573" s="0" t="str">
        <f aca="false">IF(AND(C3572=C3573,W3572=W3573-1),Y3572,"")</f>
        <v/>
      </c>
      <c r="AB3573" s="0" t="str">
        <f aca="false">IF(W3573=1,"",IF(AND(X3573=1,Z3573&lt;&gt;1),1,0))</f>
        <v/>
      </c>
      <c r="AC3573" s="0" t="str">
        <f aca="false">IF(W3573=1,"",IF(AND(Y3573=1,AA3573&lt;&gt;1),1,0))</f>
        <v/>
      </c>
      <c r="AD3573" s="33" t="str">
        <f aca="false">IF(AND(E3573&gt;0,W3573&lt;1,NOT(AND(C3574=C3573,W3574=W3573+1))),INDEX(DATAS,W3573+1),"")</f>
        <v/>
      </c>
      <c r="AE3573" s="33" t="str">
        <f aca="false">IF(AND(Y3573=1,W3573&lt;1),IF(AND(C3574=C3573,W3574=W3573+1),IF(Y3574=1,"",INDEX(DATAS,W3573+1)),INDEX(DATAS,W3573+1)),"")</f>
        <v/>
      </c>
    </row>
    <row r="3574" customFormat="false" ht="15" hidden="false" customHeight="false" outlineLevel="0" collapsed="false">
      <c r="A3574" s="33" t="n">
        <v>46309</v>
      </c>
      <c r="B3574" s="0" t="n">
        <v>16</v>
      </c>
      <c r="C3574" s="0" t="n">
        <v>8031</v>
      </c>
      <c r="E3574" s="0" t="n">
        <v>0</v>
      </c>
      <c r="F3574" s="27" t="s">
        <v>1626</v>
      </c>
      <c r="I3574" s="27" t="s">
        <v>166</v>
      </c>
      <c r="U3574" s="0" t="n">
        <v>62</v>
      </c>
      <c r="V3574" s="0" t="n">
        <v>0</v>
      </c>
      <c r="W3574" s="27" t="n">
        <f aca="false">MATCH(A3574,DATAS,0)</f>
        <v>1</v>
      </c>
      <c r="X3574" s="27" t="n">
        <f aca="false">IF(AND(E3574&gt;0,OR(AND(B3574&gt;=1,B3574&lt;=6),B3574=10)),1,0)</f>
        <v>0</v>
      </c>
      <c r="Y3574" s="27" t="n">
        <f aca="false">IF(AND(E3574&gt;0,B3574=10),1,0)</f>
        <v>0</v>
      </c>
      <c r="Z3574" s="0" t="str">
        <f aca="false">IF(AND(C3573=C3574,W3573=W3574-1),X3573,"")</f>
        <v/>
      </c>
      <c r="AA3574" s="0" t="str">
        <f aca="false">IF(AND(C3573=C3574,W3573=W3574-1),Y3573,"")</f>
        <v/>
      </c>
      <c r="AB3574" s="0" t="str">
        <f aca="false">IF(W3574=1,"",IF(AND(X3574=1,Z3574&lt;&gt;1),1,0))</f>
        <v/>
      </c>
      <c r="AC3574" s="0" t="str">
        <f aca="false">IF(W3574=1,"",IF(AND(Y3574=1,AA3574&lt;&gt;1),1,0))</f>
        <v/>
      </c>
      <c r="AD3574" s="33" t="str">
        <f aca="false">IF(AND(E3574&gt;0,W3574&lt;1,NOT(AND(C3575=C3574,W3575=W3574+1))),INDEX(DATAS,W3574+1),"")</f>
        <v/>
      </c>
      <c r="AE3574" s="33" t="str">
        <f aca="false">IF(AND(Y3574=1,W3574&lt;1),IF(AND(C3575=C3574,W3575=W3574+1),IF(Y3575=1,"",INDEX(DATAS,W3574+1)),INDEX(DATAS,W3574+1)),"")</f>
        <v/>
      </c>
    </row>
    <row r="3575" customFormat="false" ht="15" hidden="false" customHeight="false" outlineLevel="0" collapsed="false">
      <c r="A3575" s="33" t="n">
        <v>46309</v>
      </c>
      <c r="B3575" s="0" t="n">
        <v>16</v>
      </c>
      <c r="C3575" s="0" t="n">
        <v>8032</v>
      </c>
      <c r="E3575" s="0" t="n">
        <v>0</v>
      </c>
      <c r="F3575" s="27" t="s">
        <v>1626</v>
      </c>
      <c r="I3575" s="27" t="s">
        <v>166</v>
      </c>
      <c r="U3575" s="0" t="n">
        <v>62</v>
      </c>
      <c r="V3575" s="0" t="n">
        <v>0</v>
      </c>
      <c r="W3575" s="27" t="n">
        <f aca="false">MATCH(A3575,DATAS,0)</f>
        <v>1</v>
      </c>
      <c r="X3575" s="27" t="n">
        <f aca="false">IF(AND(E3575&gt;0,OR(AND(B3575&gt;=1,B3575&lt;=6),B3575=10)),1,0)</f>
        <v>0</v>
      </c>
      <c r="Y3575" s="27" t="n">
        <f aca="false">IF(AND(E3575&gt;0,B3575=10),1,0)</f>
        <v>0</v>
      </c>
      <c r="Z3575" s="0" t="str">
        <f aca="false">IF(AND(C3574=C3575,W3574=W3575-1),X3574,"")</f>
        <v/>
      </c>
      <c r="AA3575" s="0" t="str">
        <f aca="false">IF(AND(C3574=C3575,W3574=W3575-1),Y3574,"")</f>
        <v/>
      </c>
      <c r="AB3575" s="0" t="str">
        <f aca="false">IF(W3575=1,"",IF(AND(X3575=1,Z3575&lt;&gt;1),1,0))</f>
        <v/>
      </c>
      <c r="AC3575" s="0" t="str">
        <f aca="false">IF(W3575=1,"",IF(AND(Y3575=1,AA3575&lt;&gt;1),1,0))</f>
        <v/>
      </c>
      <c r="AD3575" s="33" t="str">
        <f aca="false">IF(AND(E3575&gt;0,W3575&lt;1,NOT(AND(C3576=C3575,W3576=W3575+1))),INDEX(DATAS,W3575+1),"")</f>
        <v/>
      </c>
      <c r="AE3575" s="33" t="str">
        <f aca="false">IF(AND(Y3575=1,W3575&lt;1),IF(AND(C3576=C3575,W3576=W3575+1),IF(Y3576=1,"",INDEX(DATAS,W3575+1)),INDEX(DATAS,W3575+1)),"")</f>
        <v/>
      </c>
    </row>
    <row r="3576" customFormat="false" ht="15" hidden="false" customHeight="false" outlineLevel="0" collapsed="false">
      <c r="A3576" s="33" t="n">
        <v>46309</v>
      </c>
      <c r="B3576" s="0" t="n">
        <v>16</v>
      </c>
      <c r="C3576" s="0" t="n">
        <v>8034</v>
      </c>
      <c r="E3576" s="0" t="n">
        <v>0</v>
      </c>
      <c r="F3576" s="27" t="s">
        <v>1627</v>
      </c>
      <c r="I3576" s="27" t="s">
        <v>166</v>
      </c>
      <c r="U3576" s="0" t="n">
        <v>61</v>
      </c>
      <c r="V3576" s="0" t="n">
        <v>0</v>
      </c>
      <c r="W3576" s="27" t="n">
        <f aca="false">MATCH(A3576,DATAS,0)</f>
        <v>1</v>
      </c>
      <c r="X3576" s="27" t="n">
        <f aca="false">IF(AND(E3576&gt;0,OR(AND(B3576&gt;=1,B3576&lt;=6),B3576=10)),1,0)</f>
        <v>0</v>
      </c>
      <c r="Y3576" s="27" t="n">
        <f aca="false">IF(AND(E3576&gt;0,B3576=10),1,0)</f>
        <v>0</v>
      </c>
      <c r="Z3576" s="0" t="str">
        <f aca="false">IF(AND(C3575=C3576,W3575=W3576-1),X3575,"")</f>
        <v/>
      </c>
      <c r="AA3576" s="0" t="str">
        <f aca="false">IF(AND(C3575=C3576,W3575=W3576-1),Y3575,"")</f>
        <v/>
      </c>
      <c r="AB3576" s="0" t="str">
        <f aca="false">IF(W3576=1,"",IF(AND(X3576=1,Z3576&lt;&gt;1),1,0))</f>
        <v/>
      </c>
      <c r="AC3576" s="0" t="str">
        <f aca="false">IF(W3576=1,"",IF(AND(Y3576=1,AA3576&lt;&gt;1),1,0))</f>
        <v/>
      </c>
      <c r="AD3576" s="33" t="str">
        <f aca="false">IF(AND(E3576&gt;0,W3576&lt;1,NOT(AND(C3577=C3576,W3577=W3576+1))),INDEX(DATAS,W3576+1),"")</f>
        <v/>
      </c>
      <c r="AE3576" s="33" t="str">
        <f aca="false">IF(AND(Y3576=1,W3576&lt;1),IF(AND(C3577=C3576,W3577=W3576+1),IF(Y3577=1,"",INDEX(DATAS,W3576+1)),INDEX(DATAS,W3576+1)),"")</f>
        <v/>
      </c>
    </row>
    <row r="3577" customFormat="false" ht="15" hidden="false" customHeight="false" outlineLevel="0" collapsed="false">
      <c r="A3577" s="33" t="n">
        <v>46309</v>
      </c>
      <c r="B3577" s="0" t="n">
        <v>16</v>
      </c>
      <c r="C3577" s="0" t="n">
        <v>8035</v>
      </c>
      <c r="E3577" s="0" t="n">
        <v>0</v>
      </c>
      <c r="F3577" s="27" t="s">
        <v>1628</v>
      </c>
      <c r="I3577" s="27" t="s">
        <v>166</v>
      </c>
      <c r="U3577" s="0" t="n">
        <v>60</v>
      </c>
      <c r="V3577" s="0" t="n">
        <v>0</v>
      </c>
      <c r="W3577" s="27" t="n">
        <f aca="false">MATCH(A3577,DATAS,0)</f>
        <v>1</v>
      </c>
      <c r="X3577" s="27" t="n">
        <f aca="false">IF(AND(E3577&gt;0,OR(AND(B3577&gt;=1,B3577&lt;=6),B3577=10)),1,0)</f>
        <v>0</v>
      </c>
      <c r="Y3577" s="27" t="n">
        <f aca="false">IF(AND(E3577&gt;0,B3577=10),1,0)</f>
        <v>0</v>
      </c>
      <c r="Z3577" s="0" t="str">
        <f aca="false">IF(AND(C3576=C3577,W3576=W3577-1),X3576,"")</f>
        <v/>
      </c>
      <c r="AA3577" s="0" t="str">
        <f aca="false">IF(AND(C3576=C3577,W3576=W3577-1),Y3576,"")</f>
        <v/>
      </c>
      <c r="AB3577" s="0" t="str">
        <f aca="false">IF(W3577=1,"",IF(AND(X3577=1,Z3577&lt;&gt;1),1,0))</f>
        <v/>
      </c>
      <c r="AC3577" s="0" t="str">
        <f aca="false">IF(W3577=1,"",IF(AND(Y3577=1,AA3577&lt;&gt;1),1,0))</f>
        <v/>
      </c>
      <c r="AD3577" s="33" t="str">
        <f aca="false">IF(AND(E3577&gt;0,W3577&lt;1,NOT(AND(C3578=C3577,W3578=W3577+1))),INDEX(DATAS,W3577+1),"")</f>
        <v/>
      </c>
      <c r="AE3577" s="33" t="str">
        <f aca="false">IF(AND(Y3577=1,W3577&lt;1),IF(AND(C3578=C3577,W3578=W3577+1),IF(Y3578=1,"",INDEX(DATAS,W3577+1)),INDEX(DATAS,W3577+1)),"")</f>
        <v/>
      </c>
    </row>
    <row r="3578" customFormat="false" ht="15" hidden="false" customHeight="false" outlineLevel="0" collapsed="false">
      <c r="A3578" s="33" t="n">
        <v>46309</v>
      </c>
      <c r="B3578" s="0" t="n">
        <v>16</v>
      </c>
      <c r="C3578" s="0" t="n">
        <v>8036</v>
      </c>
      <c r="E3578" s="0" t="n">
        <v>0</v>
      </c>
      <c r="F3578" s="27" t="s">
        <v>1628</v>
      </c>
      <c r="I3578" s="27" t="s">
        <v>166</v>
      </c>
      <c r="U3578" s="0" t="n">
        <v>60</v>
      </c>
      <c r="V3578" s="0" t="n">
        <v>0</v>
      </c>
      <c r="W3578" s="27" t="n">
        <f aca="false">MATCH(A3578,DATAS,0)</f>
        <v>1</v>
      </c>
      <c r="X3578" s="27" t="n">
        <f aca="false">IF(AND(E3578&gt;0,OR(AND(B3578&gt;=1,B3578&lt;=6),B3578=10)),1,0)</f>
        <v>0</v>
      </c>
      <c r="Y3578" s="27" t="n">
        <f aca="false">IF(AND(E3578&gt;0,B3578=10),1,0)</f>
        <v>0</v>
      </c>
      <c r="Z3578" s="0" t="str">
        <f aca="false">IF(AND(C3577=C3578,W3577=W3578-1),X3577,"")</f>
        <v/>
      </c>
      <c r="AA3578" s="0" t="str">
        <f aca="false">IF(AND(C3577=C3578,W3577=W3578-1),Y3577,"")</f>
        <v/>
      </c>
      <c r="AB3578" s="0" t="str">
        <f aca="false">IF(W3578=1,"",IF(AND(X3578=1,Z3578&lt;&gt;1),1,0))</f>
        <v/>
      </c>
      <c r="AC3578" s="0" t="str">
        <f aca="false">IF(W3578=1,"",IF(AND(Y3578=1,AA3578&lt;&gt;1),1,0))</f>
        <v/>
      </c>
      <c r="AD3578" s="33" t="str">
        <f aca="false">IF(AND(E3578&gt;0,W3578&lt;1,NOT(AND(C3579=C3578,W3579=W3578+1))),INDEX(DATAS,W3578+1),"")</f>
        <v/>
      </c>
      <c r="AE3578" s="33" t="str">
        <f aca="false">IF(AND(Y3578=1,W3578&lt;1),IF(AND(C3579=C3578,W3579=W3578+1),IF(Y3579=1,"",INDEX(DATAS,W3578+1)),INDEX(DATAS,W3578+1)),"")</f>
        <v/>
      </c>
    </row>
    <row r="3579" customFormat="false" ht="15" hidden="false" customHeight="false" outlineLevel="0" collapsed="false">
      <c r="A3579" s="33" t="n">
        <v>46309</v>
      </c>
      <c r="B3579" s="0" t="n">
        <v>16</v>
      </c>
      <c r="C3579" s="0" t="n">
        <v>8037</v>
      </c>
      <c r="E3579" s="0" t="n">
        <v>0</v>
      </c>
      <c r="F3579" s="27" t="s">
        <v>1628</v>
      </c>
      <c r="I3579" s="27" t="s">
        <v>166</v>
      </c>
      <c r="U3579" s="0" t="n">
        <v>60</v>
      </c>
      <c r="V3579" s="0" t="n">
        <v>0</v>
      </c>
      <c r="W3579" s="27" t="n">
        <f aca="false">MATCH(A3579,DATAS,0)</f>
        <v>1</v>
      </c>
      <c r="X3579" s="27" t="n">
        <f aca="false">IF(AND(E3579&gt;0,OR(AND(B3579&gt;=1,B3579&lt;=6),B3579=10)),1,0)</f>
        <v>0</v>
      </c>
      <c r="Y3579" s="27" t="n">
        <f aca="false">IF(AND(E3579&gt;0,B3579=10),1,0)</f>
        <v>0</v>
      </c>
      <c r="Z3579" s="0" t="str">
        <f aca="false">IF(AND(C3578=C3579,W3578=W3579-1),X3578,"")</f>
        <v/>
      </c>
      <c r="AA3579" s="0" t="str">
        <f aca="false">IF(AND(C3578=C3579,W3578=W3579-1),Y3578,"")</f>
        <v/>
      </c>
      <c r="AB3579" s="0" t="str">
        <f aca="false">IF(W3579=1,"",IF(AND(X3579=1,Z3579&lt;&gt;1),1,0))</f>
        <v/>
      </c>
      <c r="AC3579" s="0" t="str">
        <f aca="false">IF(W3579=1,"",IF(AND(Y3579=1,AA3579&lt;&gt;1),1,0))</f>
        <v/>
      </c>
      <c r="AD3579" s="33" t="str">
        <f aca="false">IF(AND(E3579&gt;0,W3579&lt;1,NOT(AND(C3580=C3579,W3580=W3579+1))),INDEX(DATAS,W3579+1),"")</f>
        <v/>
      </c>
      <c r="AE3579" s="33" t="str">
        <f aca="false">IF(AND(Y3579=1,W3579&lt;1),IF(AND(C3580=C3579,W3580=W3579+1),IF(Y3580=1,"",INDEX(DATAS,W3579+1)),INDEX(DATAS,W3579+1)),"")</f>
        <v/>
      </c>
    </row>
    <row r="3580" customFormat="false" ht="15" hidden="false" customHeight="false" outlineLevel="0" collapsed="false">
      <c r="A3580" s="33" t="n">
        <v>46309</v>
      </c>
      <c r="B3580" s="0" t="n">
        <v>16</v>
      </c>
      <c r="C3580" s="0" t="n">
        <v>8038</v>
      </c>
      <c r="E3580" s="0" t="n">
        <v>0</v>
      </c>
      <c r="F3580" s="27" t="s">
        <v>1628</v>
      </c>
      <c r="I3580" s="27" t="s">
        <v>166</v>
      </c>
      <c r="U3580" s="0" t="n">
        <v>60</v>
      </c>
      <c r="V3580" s="0" t="n">
        <v>0</v>
      </c>
      <c r="W3580" s="27" t="n">
        <f aca="false">MATCH(A3580,DATAS,0)</f>
        <v>1</v>
      </c>
      <c r="X3580" s="27" t="n">
        <f aca="false">IF(AND(E3580&gt;0,OR(AND(B3580&gt;=1,B3580&lt;=6),B3580=10)),1,0)</f>
        <v>0</v>
      </c>
      <c r="Y3580" s="27" t="n">
        <f aca="false">IF(AND(E3580&gt;0,B3580=10),1,0)</f>
        <v>0</v>
      </c>
      <c r="Z3580" s="0" t="str">
        <f aca="false">IF(AND(C3579=C3580,W3579=W3580-1),X3579,"")</f>
        <v/>
      </c>
      <c r="AA3580" s="0" t="str">
        <f aca="false">IF(AND(C3579=C3580,W3579=W3580-1),Y3579,"")</f>
        <v/>
      </c>
      <c r="AB3580" s="0" t="str">
        <f aca="false">IF(W3580=1,"",IF(AND(X3580=1,Z3580&lt;&gt;1),1,0))</f>
        <v/>
      </c>
      <c r="AC3580" s="0" t="str">
        <f aca="false">IF(W3580=1,"",IF(AND(Y3580=1,AA3580&lt;&gt;1),1,0))</f>
        <v/>
      </c>
      <c r="AD3580" s="33" t="str">
        <f aca="false">IF(AND(E3580&gt;0,W3580&lt;1,NOT(AND(C3581=C3580,W3581=W3580+1))),INDEX(DATAS,W3580+1),"")</f>
        <v/>
      </c>
      <c r="AE3580" s="33" t="str">
        <f aca="false">IF(AND(Y3580=1,W3580&lt;1),IF(AND(C3581=C3580,W3581=W3580+1),IF(Y3581=1,"",INDEX(DATAS,W3580+1)),INDEX(DATAS,W3580+1)),"")</f>
        <v/>
      </c>
    </row>
    <row r="3581" customFormat="false" ht="15" hidden="false" customHeight="false" outlineLevel="0" collapsed="false">
      <c r="A3581" s="33" t="n">
        <v>46309</v>
      </c>
      <c r="B3581" s="0" t="n">
        <v>16</v>
      </c>
      <c r="C3581" s="0" t="n">
        <v>8039</v>
      </c>
      <c r="E3581" s="0" t="n">
        <v>0</v>
      </c>
      <c r="F3581" s="27" t="s">
        <v>1629</v>
      </c>
      <c r="I3581" s="27" t="s">
        <v>166</v>
      </c>
      <c r="U3581" s="0" t="n">
        <v>59</v>
      </c>
      <c r="V3581" s="0" t="n">
        <v>0</v>
      </c>
      <c r="W3581" s="27" t="n">
        <f aca="false">MATCH(A3581,DATAS,0)</f>
        <v>1</v>
      </c>
      <c r="X3581" s="27" t="n">
        <f aca="false">IF(AND(E3581&gt;0,OR(AND(B3581&gt;=1,B3581&lt;=6),B3581=10)),1,0)</f>
        <v>0</v>
      </c>
      <c r="Y3581" s="27" t="n">
        <f aca="false">IF(AND(E3581&gt;0,B3581=10),1,0)</f>
        <v>0</v>
      </c>
      <c r="Z3581" s="0" t="str">
        <f aca="false">IF(AND(C3580=C3581,W3580=W3581-1),X3580,"")</f>
        <v/>
      </c>
      <c r="AA3581" s="0" t="str">
        <f aca="false">IF(AND(C3580=C3581,W3580=W3581-1),Y3580,"")</f>
        <v/>
      </c>
      <c r="AB3581" s="0" t="str">
        <f aca="false">IF(W3581=1,"",IF(AND(X3581=1,Z3581&lt;&gt;1),1,0))</f>
        <v/>
      </c>
      <c r="AC3581" s="0" t="str">
        <f aca="false">IF(W3581=1,"",IF(AND(Y3581=1,AA3581&lt;&gt;1),1,0))</f>
        <v/>
      </c>
      <c r="AD3581" s="33" t="str">
        <f aca="false">IF(AND(E3581&gt;0,W3581&lt;1,NOT(AND(C3582=C3581,W3582=W3581+1))),INDEX(DATAS,W3581+1),"")</f>
        <v/>
      </c>
      <c r="AE3581" s="33" t="str">
        <f aca="false">IF(AND(Y3581=1,W3581&lt;1),IF(AND(C3582=C3581,W3582=W3581+1),IF(Y3582=1,"",INDEX(DATAS,W3581+1)),INDEX(DATAS,W3581+1)),"")</f>
        <v/>
      </c>
    </row>
    <row r="3582" customFormat="false" ht="15" hidden="false" customHeight="false" outlineLevel="0" collapsed="false">
      <c r="A3582" s="33" t="n">
        <v>46309</v>
      </c>
      <c r="B3582" s="0" t="n">
        <v>16</v>
      </c>
      <c r="C3582" s="0" t="n">
        <v>8040</v>
      </c>
      <c r="E3582" s="0" t="n">
        <v>0</v>
      </c>
      <c r="F3582" s="27" t="s">
        <v>1629</v>
      </c>
      <c r="I3582" s="27" t="s">
        <v>166</v>
      </c>
      <c r="U3582" s="0" t="n">
        <v>59</v>
      </c>
      <c r="V3582" s="0" t="n">
        <v>0</v>
      </c>
      <c r="W3582" s="27" t="n">
        <f aca="false">MATCH(A3582,DATAS,0)</f>
        <v>1</v>
      </c>
      <c r="X3582" s="27" t="n">
        <f aca="false">IF(AND(E3582&gt;0,OR(AND(B3582&gt;=1,B3582&lt;=6),B3582=10)),1,0)</f>
        <v>0</v>
      </c>
      <c r="Y3582" s="27" t="n">
        <f aca="false">IF(AND(E3582&gt;0,B3582=10),1,0)</f>
        <v>0</v>
      </c>
      <c r="Z3582" s="0" t="str">
        <f aca="false">IF(AND(C3581=C3582,W3581=W3582-1),X3581,"")</f>
        <v/>
      </c>
      <c r="AA3582" s="0" t="str">
        <f aca="false">IF(AND(C3581=C3582,W3581=W3582-1),Y3581,"")</f>
        <v/>
      </c>
      <c r="AB3582" s="0" t="str">
        <f aca="false">IF(W3582=1,"",IF(AND(X3582=1,Z3582&lt;&gt;1),1,0))</f>
        <v/>
      </c>
      <c r="AC3582" s="0" t="str">
        <f aca="false">IF(W3582=1,"",IF(AND(Y3582=1,AA3582&lt;&gt;1),1,0))</f>
        <v/>
      </c>
      <c r="AD3582" s="33" t="str">
        <f aca="false">IF(AND(E3582&gt;0,W3582&lt;1,NOT(AND(C3583=C3582,W3583=W3582+1))),INDEX(DATAS,W3582+1),"")</f>
        <v/>
      </c>
      <c r="AE3582" s="33" t="str">
        <f aca="false">IF(AND(Y3582=1,W3582&lt;1),IF(AND(C3583=C3582,W3583=W3582+1),IF(Y3583=1,"",INDEX(DATAS,W3582+1)),INDEX(DATAS,W3582+1)),"")</f>
        <v/>
      </c>
    </row>
    <row r="3583" customFormat="false" ht="15" hidden="false" customHeight="false" outlineLevel="0" collapsed="false">
      <c r="A3583" s="33" t="n">
        <v>46309</v>
      </c>
      <c r="B3583" s="0" t="n">
        <v>16</v>
      </c>
      <c r="C3583" s="0" t="n">
        <v>8041</v>
      </c>
      <c r="E3583" s="0" t="n">
        <v>0</v>
      </c>
      <c r="F3583" s="27" t="s">
        <v>1629</v>
      </c>
      <c r="I3583" s="27" t="s">
        <v>166</v>
      </c>
      <c r="U3583" s="0" t="n">
        <v>59</v>
      </c>
      <c r="V3583" s="0" t="n">
        <v>0</v>
      </c>
      <c r="W3583" s="27" t="n">
        <f aca="false">MATCH(A3583,DATAS,0)</f>
        <v>1</v>
      </c>
      <c r="X3583" s="27" t="n">
        <f aca="false">IF(AND(E3583&gt;0,OR(AND(B3583&gt;=1,B3583&lt;=6),B3583=10)),1,0)</f>
        <v>0</v>
      </c>
      <c r="Y3583" s="27" t="n">
        <f aca="false">IF(AND(E3583&gt;0,B3583=10),1,0)</f>
        <v>0</v>
      </c>
      <c r="Z3583" s="0" t="str">
        <f aca="false">IF(AND(C3582=C3583,W3582=W3583-1),X3582,"")</f>
        <v/>
      </c>
      <c r="AA3583" s="0" t="str">
        <f aca="false">IF(AND(C3582=C3583,W3582=W3583-1),Y3582,"")</f>
        <v/>
      </c>
      <c r="AB3583" s="0" t="str">
        <f aca="false">IF(W3583=1,"",IF(AND(X3583=1,Z3583&lt;&gt;1),1,0))</f>
        <v/>
      </c>
      <c r="AC3583" s="0" t="str">
        <f aca="false">IF(W3583=1,"",IF(AND(Y3583=1,AA3583&lt;&gt;1),1,0))</f>
        <v/>
      </c>
      <c r="AD3583" s="33" t="str">
        <f aca="false">IF(AND(E3583&gt;0,W3583&lt;1,NOT(AND(C3584=C3583,W3584=W3583+1))),INDEX(DATAS,W3583+1),"")</f>
        <v/>
      </c>
      <c r="AE3583" s="33" t="str">
        <f aca="false">IF(AND(Y3583=1,W3583&lt;1),IF(AND(C3584=C3583,W3584=W3583+1),IF(Y3584=1,"",INDEX(DATAS,W3583+1)),INDEX(DATAS,W3583+1)),"")</f>
        <v/>
      </c>
    </row>
    <row r="3584" customFormat="false" ht="15" hidden="false" customHeight="false" outlineLevel="0" collapsed="false">
      <c r="A3584" s="33" t="n">
        <v>46309</v>
      </c>
      <c r="B3584" s="0" t="n">
        <v>16</v>
      </c>
      <c r="C3584" s="0" t="n">
        <v>8042</v>
      </c>
      <c r="E3584" s="0" t="n">
        <v>0</v>
      </c>
      <c r="F3584" s="27" t="s">
        <v>1629</v>
      </c>
      <c r="I3584" s="27" t="s">
        <v>166</v>
      </c>
      <c r="U3584" s="0" t="n">
        <v>59</v>
      </c>
      <c r="V3584" s="0" t="n">
        <v>0</v>
      </c>
      <c r="W3584" s="27" t="n">
        <f aca="false">MATCH(A3584,DATAS,0)</f>
        <v>1</v>
      </c>
      <c r="X3584" s="27" t="n">
        <f aca="false">IF(AND(E3584&gt;0,OR(AND(B3584&gt;=1,B3584&lt;=6),B3584=10)),1,0)</f>
        <v>0</v>
      </c>
      <c r="Y3584" s="27" t="n">
        <f aca="false">IF(AND(E3584&gt;0,B3584=10),1,0)</f>
        <v>0</v>
      </c>
      <c r="Z3584" s="0" t="str">
        <f aca="false">IF(AND(C3583=C3584,W3583=W3584-1),X3583,"")</f>
        <v/>
      </c>
      <c r="AA3584" s="0" t="str">
        <f aca="false">IF(AND(C3583=C3584,W3583=W3584-1),Y3583,"")</f>
        <v/>
      </c>
      <c r="AB3584" s="0" t="str">
        <f aca="false">IF(W3584=1,"",IF(AND(X3584=1,Z3584&lt;&gt;1),1,0))</f>
        <v/>
      </c>
      <c r="AC3584" s="0" t="str">
        <f aca="false">IF(W3584=1,"",IF(AND(Y3584=1,AA3584&lt;&gt;1),1,0))</f>
        <v/>
      </c>
      <c r="AD3584" s="33" t="str">
        <f aca="false">IF(AND(E3584&gt;0,W3584&lt;1,NOT(AND(C3585=C3584,W3585=W3584+1))),INDEX(DATAS,W3584+1),"")</f>
        <v/>
      </c>
      <c r="AE3584" s="33" t="str">
        <f aca="false">IF(AND(Y3584=1,W3584&lt;1),IF(AND(C3585=C3584,W3585=W3584+1),IF(Y3585=1,"",INDEX(DATAS,W3584+1)),INDEX(DATAS,W3584+1)),"")</f>
        <v/>
      </c>
    </row>
    <row r="3585" customFormat="false" ht="15" hidden="false" customHeight="false" outlineLevel="0" collapsed="false">
      <c r="A3585" s="33" t="n">
        <v>46309</v>
      </c>
      <c r="B3585" s="0" t="n">
        <v>16</v>
      </c>
      <c r="C3585" s="0" t="n">
        <v>8043</v>
      </c>
      <c r="E3585" s="0" t="n">
        <v>0</v>
      </c>
      <c r="F3585" s="27" t="s">
        <v>1629</v>
      </c>
      <c r="I3585" s="27" t="s">
        <v>166</v>
      </c>
      <c r="U3585" s="0" t="n">
        <v>59</v>
      </c>
      <c r="V3585" s="0" t="n">
        <v>0</v>
      </c>
      <c r="W3585" s="27" t="n">
        <f aca="false">MATCH(A3585,DATAS,0)</f>
        <v>1</v>
      </c>
      <c r="X3585" s="27" t="n">
        <f aca="false">IF(AND(E3585&gt;0,OR(AND(B3585&gt;=1,B3585&lt;=6),B3585=10)),1,0)</f>
        <v>0</v>
      </c>
      <c r="Y3585" s="27" t="n">
        <f aca="false">IF(AND(E3585&gt;0,B3585=10),1,0)</f>
        <v>0</v>
      </c>
      <c r="Z3585" s="0" t="str">
        <f aca="false">IF(AND(C3584=C3585,W3584=W3585-1),X3584,"")</f>
        <v/>
      </c>
      <c r="AA3585" s="0" t="str">
        <f aca="false">IF(AND(C3584=C3585,W3584=W3585-1),Y3584,"")</f>
        <v/>
      </c>
      <c r="AB3585" s="0" t="str">
        <f aca="false">IF(W3585=1,"",IF(AND(X3585=1,Z3585&lt;&gt;1),1,0))</f>
        <v/>
      </c>
      <c r="AC3585" s="0" t="str">
        <f aca="false">IF(W3585=1,"",IF(AND(Y3585=1,AA3585&lt;&gt;1),1,0))</f>
        <v/>
      </c>
      <c r="AD3585" s="33" t="str">
        <f aca="false">IF(AND(E3585&gt;0,W3585&lt;1,NOT(AND(C3586=C3585,W3586=W3585+1))),INDEX(DATAS,W3585+1),"")</f>
        <v/>
      </c>
      <c r="AE3585" s="33" t="str">
        <f aca="false">IF(AND(Y3585=1,W3585&lt;1),IF(AND(C3586=C3585,W3586=W3585+1),IF(Y3586=1,"",INDEX(DATAS,W3585+1)),INDEX(DATAS,W3585+1)),"")</f>
        <v/>
      </c>
    </row>
    <row r="3586" customFormat="false" ht="15" hidden="false" customHeight="false" outlineLevel="0" collapsed="false">
      <c r="A3586" s="33" t="n">
        <v>46309</v>
      </c>
      <c r="B3586" s="0" t="n">
        <v>16</v>
      </c>
      <c r="C3586" s="0" t="n">
        <v>8045</v>
      </c>
      <c r="E3586" s="0" t="n">
        <v>0</v>
      </c>
      <c r="F3586" s="27" t="s">
        <v>1630</v>
      </c>
      <c r="I3586" s="27" t="s">
        <v>166</v>
      </c>
      <c r="U3586" s="0" t="n">
        <v>58</v>
      </c>
      <c r="V3586" s="0" t="n">
        <v>0</v>
      </c>
      <c r="W3586" s="27" t="n">
        <f aca="false">MATCH(A3586,DATAS,0)</f>
        <v>1</v>
      </c>
      <c r="X3586" s="27" t="n">
        <f aca="false">IF(AND(E3586&gt;0,OR(AND(B3586&gt;=1,B3586&lt;=6),B3586=10)),1,0)</f>
        <v>0</v>
      </c>
      <c r="Y3586" s="27" t="n">
        <f aca="false">IF(AND(E3586&gt;0,B3586=10),1,0)</f>
        <v>0</v>
      </c>
      <c r="Z3586" s="0" t="str">
        <f aca="false">IF(AND(C3585=C3586,W3585=W3586-1),X3585,"")</f>
        <v/>
      </c>
      <c r="AA3586" s="0" t="str">
        <f aca="false">IF(AND(C3585=C3586,W3585=W3586-1),Y3585,"")</f>
        <v/>
      </c>
      <c r="AB3586" s="0" t="str">
        <f aca="false">IF(W3586=1,"",IF(AND(X3586=1,Z3586&lt;&gt;1),1,0))</f>
        <v/>
      </c>
      <c r="AC3586" s="0" t="str">
        <f aca="false">IF(W3586=1,"",IF(AND(Y3586=1,AA3586&lt;&gt;1),1,0))</f>
        <v/>
      </c>
      <c r="AD3586" s="33" t="str">
        <f aca="false">IF(AND(E3586&gt;0,W3586&lt;1,NOT(AND(C3587=C3586,W3587=W3586+1))),INDEX(DATAS,W3586+1),"")</f>
        <v/>
      </c>
      <c r="AE3586" s="33" t="str">
        <f aca="false">IF(AND(Y3586=1,W3586&lt;1),IF(AND(C3587=C3586,W3587=W3586+1),IF(Y3587=1,"",INDEX(DATAS,W3586+1)),INDEX(DATAS,W3586+1)),"")</f>
        <v/>
      </c>
    </row>
    <row r="3587" customFormat="false" ht="15" hidden="false" customHeight="false" outlineLevel="0" collapsed="false">
      <c r="A3587" s="33" t="n">
        <v>46309</v>
      </c>
      <c r="B3587" s="0" t="n">
        <v>16</v>
      </c>
      <c r="C3587" s="0" t="n">
        <v>8046</v>
      </c>
      <c r="E3587" s="0" t="n">
        <v>0</v>
      </c>
      <c r="F3587" s="27" t="s">
        <v>1630</v>
      </c>
      <c r="I3587" s="27" t="s">
        <v>166</v>
      </c>
      <c r="U3587" s="0" t="n">
        <v>58</v>
      </c>
      <c r="V3587" s="0" t="n">
        <v>0</v>
      </c>
      <c r="W3587" s="27" t="n">
        <f aca="false">MATCH(A3587,DATAS,0)</f>
        <v>1</v>
      </c>
      <c r="X3587" s="27" t="n">
        <f aca="false">IF(AND(E3587&gt;0,OR(AND(B3587&gt;=1,B3587&lt;=6),B3587=10)),1,0)</f>
        <v>0</v>
      </c>
      <c r="Y3587" s="27" t="n">
        <f aca="false">IF(AND(E3587&gt;0,B3587=10),1,0)</f>
        <v>0</v>
      </c>
      <c r="Z3587" s="0" t="str">
        <f aca="false">IF(AND(C3586=C3587,W3586=W3587-1),X3586,"")</f>
        <v/>
      </c>
      <c r="AA3587" s="0" t="str">
        <f aca="false">IF(AND(C3586=C3587,W3586=W3587-1),Y3586,"")</f>
        <v/>
      </c>
      <c r="AB3587" s="0" t="str">
        <f aca="false">IF(W3587=1,"",IF(AND(X3587=1,Z3587&lt;&gt;1),1,0))</f>
        <v/>
      </c>
      <c r="AC3587" s="0" t="str">
        <f aca="false">IF(W3587=1,"",IF(AND(Y3587=1,AA3587&lt;&gt;1),1,0))</f>
        <v/>
      </c>
      <c r="AD3587" s="33" t="str">
        <f aca="false">IF(AND(E3587&gt;0,W3587&lt;1,NOT(AND(C3588=C3587,W3588=W3587+1))),INDEX(DATAS,W3587+1),"")</f>
        <v/>
      </c>
      <c r="AE3587" s="33" t="str">
        <f aca="false">IF(AND(Y3587=1,W3587&lt;1),IF(AND(C3588=C3587,W3588=W3587+1),IF(Y3588=1,"",INDEX(DATAS,W3587+1)),INDEX(DATAS,W3587+1)),"")</f>
        <v/>
      </c>
    </row>
    <row r="3588" customFormat="false" ht="15" hidden="false" customHeight="false" outlineLevel="0" collapsed="false">
      <c r="A3588" s="33" t="n">
        <v>46309</v>
      </c>
      <c r="B3588" s="0" t="n">
        <v>16</v>
      </c>
      <c r="C3588" s="0" t="n">
        <v>8047</v>
      </c>
      <c r="E3588" s="0" t="n">
        <v>0</v>
      </c>
      <c r="F3588" s="27" t="s">
        <v>1630</v>
      </c>
      <c r="I3588" s="27" t="s">
        <v>166</v>
      </c>
      <c r="U3588" s="0" t="n">
        <v>58</v>
      </c>
      <c r="V3588" s="0" t="n">
        <v>0</v>
      </c>
      <c r="W3588" s="27" t="n">
        <f aca="false">MATCH(A3588,DATAS,0)</f>
        <v>1</v>
      </c>
      <c r="X3588" s="27" t="n">
        <f aca="false">IF(AND(E3588&gt;0,OR(AND(B3588&gt;=1,B3588&lt;=6),B3588=10)),1,0)</f>
        <v>0</v>
      </c>
      <c r="Y3588" s="27" t="n">
        <f aca="false">IF(AND(E3588&gt;0,B3588=10),1,0)</f>
        <v>0</v>
      </c>
      <c r="Z3588" s="0" t="str">
        <f aca="false">IF(AND(C3587=C3588,W3587=W3588-1),X3587,"")</f>
        <v/>
      </c>
      <c r="AA3588" s="0" t="str">
        <f aca="false">IF(AND(C3587=C3588,W3587=W3588-1),Y3587,"")</f>
        <v/>
      </c>
      <c r="AB3588" s="0" t="str">
        <f aca="false">IF(W3588=1,"",IF(AND(X3588=1,Z3588&lt;&gt;1),1,0))</f>
        <v/>
      </c>
      <c r="AC3588" s="0" t="str">
        <f aca="false">IF(W3588=1,"",IF(AND(Y3588=1,AA3588&lt;&gt;1),1,0))</f>
        <v/>
      </c>
      <c r="AD3588" s="33" t="str">
        <f aca="false">IF(AND(E3588&gt;0,W3588&lt;1,NOT(AND(C3589=C3588,W3589=W3588+1))),INDEX(DATAS,W3588+1),"")</f>
        <v/>
      </c>
      <c r="AE3588" s="33" t="str">
        <f aca="false">IF(AND(Y3588=1,W3588&lt;1),IF(AND(C3589=C3588,W3589=W3588+1),IF(Y3589=1,"",INDEX(DATAS,W3588+1)),INDEX(DATAS,W3588+1)),"")</f>
        <v/>
      </c>
    </row>
    <row r="3589" customFormat="false" ht="15" hidden="false" customHeight="false" outlineLevel="0" collapsed="false">
      <c r="A3589" s="33" t="n">
        <v>46309</v>
      </c>
      <c r="B3589" s="0" t="n">
        <v>16</v>
      </c>
      <c r="C3589" s="0" t="n">
        <v>8048</v>
      </c>
      <c r="E3589" s="0" t="n">
        <v>0</v>
      </c>
      <c r="F3589" s="27" t="s">
        <v>1630</v>
      </c>
      <c r="I3589" s="27" t="s">
        <v>166</v>
      </c>
      <c r="U3589" s="0" t="n">
        <v>58</v>
      </c>
      <c r="V3589" s="0" t="n">
        <v>0</v>
      </c>
      <c r="W3589" s="27" t="n">
        <f aca="false">MATCH(A3589,DATAS,0)</f>
        <v>1</v>
      </c>
      <c r="X3589" s="27" t="n">
        <f aca="false">IF(AND(E3589&gt;0,OR(AND(B3589&gt;=1,B3589&lt;=6),B3589=10)),1,0)</f>
        <v>0</v>
      </c>
      <c r="Y3589" s="27" t="n">
        <f aca="false">IF(AND(E3589&gt;0,B3589=10),1,0)</f>
        <v>0</v>
      </c>
      <c r="Z3589" s="0" t="str">
        <f aca="false">IF(AND(C3588=C3589,W3588=W3589-1),X3588,"")</f>
        <v/>
      </c>
      <c r="AA3589" s="0" t="str">
        <f aca="false">IF(AND(C3588=C3589,W3588=W3589-1),Y3588,"")</f>
        <v/>
      </c>
      <c r="AB3589" s="0" t="str">
        <f aca="false">IF(W3589=1,"",IF(AND(X3589=1,Z3589&lt;&gt;1),1,0))</f>
        <v/>
      </c>
      <c r="AC3589" s="0" t="str">
        <f aca="false">IF(W3589=1,"",IF(AND(Y3589=1,AA3589&lt;&gt;1),1,0))</f>
        <v/>
      </c>
      <c r="AD3589" s="33" t="str">
        <f aca="false">IF(AND(E3589&gt;0,W3589&lt;1,NOT(AND(C3590=C3589,W3590=W3589+1))),INDEX(DATAS,W3589+1),"")</f>
        <v/>
      </c>
      <c r="AE3589" s="33" t="str">
        <f aca="false">IF(AND(Y3589=1,W3589&lt;1),IF(AND(C3590=C3589,W3590=W3589+1),IF(Y3590=1,"",INDEX(DATAS,W3589+1)),INDEX(DATAS,W3589+1)),"")</f>
        <v/>
      </c>
    </row>
    <row r="3590" customFormat="false" ht="15" hidden="false" customHeight="false" outlineLevel="0" collapsed="false">
      <c r="A3590" s="33" t="n">
        <v>46309</v>
      </c>
      <c r="B3590" s="0" t="n">
        <v>16</v>
      </c>
      <c r="C3590" s="0" t="n">
        <v>8049</v>
      </c>
      <c r="E3590" s="0" t="n">
        <v>0</v>
      </c>
      <c r="F3590" s="27" t="s">
        <v>1631</v>
      </c>
      <c r="I3590" s="27" t="s">
        <v>166</v>
      </c>
      <c r="U3590" s="0" t="n">
        <v>57</v>
      </c>
      <c r="V3590" s="0" t="n">
        <v>0</v>
      </c>
      <c r="W3590" s="27" t="n">
        <f aca="false">MATCH(A3590,DATAS,0)</f>
        <v>1</v>
      </c>
      <c r="X3590" s="27" t="n">
        <f aca="false">IF(AND(E3590&gt;0,OR(AND(B3590&gt;=1,B3590&lt;=6),B3590=10)),1,0)</f>
        <v>0</v>
      </c>
      <c r="Y3590" s="27" t="n">
        <f aca="false">IF(AND(E3590&gt;0,B3590=10),1,0)</f>
        <v>0</v>
      </c>
      <c r="Z3590" s="0" t="str">
        <f aca="false">IF(AND(C3589=C3590,W3589=W3590-1),X3589,"")</f>
        <v/>
      </c>
      <c r="AA3590" s="0" t="str">
        <f aca="false">IF(AND(C3589=C3590,W3589=W3590-1),Y3589,"")</f>
        <v/>
      </c>
      <c r="AB3590" s="0" t="str">
        <f aca="false">IF(W3590=1,"",IF(AND(X3590=1,Z3590&lt;&gt;1),1,0))</f>
        <v/>
      </c>
      <c r="AC3590" s="0" t="str">
        <f aca="false">IF(W3590=1,"",IF(AND(Y3590=1,AA3590&lt;&gt;1),1,0))</f>
        <v/>
      </c>
      <c r="AD3590" s="33" t="str">
        <f aca="false">IF(AND(E3590&gt;0,W3590&lt;1,NOT(AND(C3591=C3590,W3591=W3590+1))),INDEX(DATAS,W3590+1),"")</f>
        <v/>
      </c>
      <c r="AE3590" s="33" t="str">
        <f aca="false">IF(AND(Y3590=1,W3590&lt;1),IF(AND(C3591=C3590,W3591=W3590+1),IF(Y3591=1,"",INDEX(DATAS,W3590+1)),INDEX(DATAS,W3590+1)),"")</f>
        <v/>
      </c>
    </row>
    <row r="3591" customFormat="false" ht="15" hidden="false" customHeight="false" outlineLevel="0" collapsed="false">
      <c r="A3591" s="33" t="n">
        <v>46309</v>
      </c>
      <c r="B3591" s="0" t="n">
        <v>16</v>
      </c>
      <c r="C3591" s="0" t="n">
        <v>8050</v>
      </c>
      <c r="E3591" s="0" t="n">
        <v>0</v>
      </c>
      <c r="F3591" s="27" t="s">
        <v>1631</v>
      </c>
      <c r="I3591" s="27" t="s">
        <v>166</v>
      </c>
      <c r="U3591" s="0" t="n">
        <v>57</v>
      </c>
      <c r="V3591" s="0" t="n">
        <v>0</v>
      </c>
      <c r="W3591" s="27" t="n">
        <f aca="false">MATCH(A3591,DATAS,0)</f>
        <v>1</v>
      </c>
      <c r="X3591" s="27" t="n">
        <f aca="false">IF(AND(E3591&gt;0,OR(AND(B3591&gt;=1,B3591&lt;=6),B3591=10)),1,0)</f>
        <v>0</v>
      </c>
      <c r="Y3591" s="27" t="n">
        <f aca="false">IF(AND(E3591&gt;0,B3591=10),1,0)</f>
        <v>0</v>
      </c>
      <c r="Z3591" s="0" t="str">
        <f aca="false">IF(AND(C3590=C3591,W3590=W3591-1),X3590,"")</f>
        <v/>
      </c>
      <c r="AA3591" s="0" t="str">
        <f aca="false">IF(AND(C3590=C3591,W3590=W3591-1),Y3590,"")</f>
        <v/>
      </c>
      <c r="AB3591" s="0" t="str">
        <f aca="false">IF(W3591=1,"",IF(AND(X3591=1,Z3591&lt;&gt;1),1,0))</f>
        <v/>
      </c>
      <c r="AC3591" s="0" t="str">
        <f aca="false">IF(W3591=1,"",IF(AND(Y3591=1,AA3591&lt;&gt;1),1,0))</f>
        <v/>
      </c>
      <c r="AD3591" s="33" t="str">
        <f aca="false">IF(AND(E3591&gt;0,W3591&lt;1,NOT(AND(C3592=C3591,W3592=W3591+1))),INDEX(DATAS,W3591+1),"")</f>
        <v/>
      </c>
      <c r="AE3591" s="33" t="str">
        <f aca="false">IF(AND(Y3591=1,W3591&lt;1),IF(AND(C3592=C3591,W3592=W3591+1),IF(Y3592=1,"",INDEX(DATAS,W3591+1)),INDEX(DATAS,W3591+1)),"")</f>
        <v/>
      </c>
    </row>
    <row r="3592" customFormat="false" ht="15" hidden="false" customHeight="false" outlineLevel="0" collapsed="false">
      <c r="A3592" s="33" t="n">
        <v>46309</v>
      </c>
      <c r="B3592" s="0" t="n">
        <v>16</v>
      </c>
      <c r="C3592" s="0" t="n">
        <v>8051</v>
      </c>
      <c r="E3592" s="0" t="n">
        <v>0</v>
      </c>
      <c r="F3592" s="27" t="s">
        <v>1631</v>
      </c>
      <c r="I3592" s="27" t="s">
        <v>166</v>
      </c>
      <c r="U3592" s="0" t="n">
        <v>57</v>
      </c>
      <c r="V3592" s="0" t="n">
        <v>0</v>
      </c>
      <c r="W3592" s="27" t="n">
        <f aca="false">MATCH(A3592,DATAS,0)</f>
        <v>1</v>
      </c>
      <c r="X3592" s="27" t="n">
        <f aca="false">IF(AND(E3592&gt;0,OR(AND(B3592&gt;=1,B3592&lt;=6),B3592=10)),1,0)</f>
        <v>0</v>
      </c>
      <c r="Y3592" s="27" t="n">
        <f aca="false">IF(AND(E3592&gt;0,B3592=10),1,0)</f>
        <v>0</v>
      </c>
      <c r="Z3592" s="0" t="str">
        <f aca="false">IF(AND(C3591=C3592,W3591=W3592-1),X3591,"")</f>
        <v/>
      </c>
      <c r="AA3592" s="0" t="str">
        <f aca="false">IF(AND(C3591=C3592,W3591=W3592-1),Y3591,"")</f>
        <v/>
      </c>
      <c r="AB3592" s="0" t="str">
        <f aca="false">IF(W3592=1,"",IF(AND(X3592=1,Z3592&lt;&gt;1),1,0))</f>
        <v/>
      </c>
      <c r="AC3592" s="0" t="str">
        <f aca="false">IF(W3592=1,"",IF(AND(Y3592=1,AA3592&lt;&gt;1),1,0))</f>
        <v/>
      </c>
      <c r="AD3592" s="33" t="str">
        <f aca="false">IF(AND(E3592&gt;0,W3592&lt;1,NOT(AND(C3593=C3592,W3593=W3592+1))),INDEX(DATAS,W3592+1),"")</f>
        <v/>
      </c>
      <c r="AE3592" s="33" t="str">
        <f aca="false">IF(AND(Y3592=1,W3592&lt;1),IF(AND(C3593=C3592,W3593=W3592+1),IF(Y3593=1,"",INDEX(DATAS,W3592+1)),INDEX(DATAS,W3592+1)),"")</f>
        <v/>
      </c>
    </row>
    <row r="3593" customFormat="false" ht="15" hidden="false" customHeight="false" outlineLevel="0" collapsed="false">
      <c r="A3593" s="33" t="n">
        <v>46309</v>
      </c>
      <c r="B3593" s="0" t="n">
        <v>16</v>
      </c>
      <c r="C3593" s="0" t="n">
        <v>8054</v>
      </c>
      <c r="E3593" s="0" t="n">
        <v>0</v>
      </c>
      <c r="F3593" s="27" t="s">
        <v>1632</v>
      </c>
      <c r="I3593" s="27" t="s">
        <v>166</v>
      </c>
      <c r="U3593" s="0" t="n">
        <v>56</v>
      </c>
      <c r="V3593" s="0" t="n">
        <v>0</v>
      </c>
      <c r="W3593" s="27" t="n">
        <f aca="false">MATCH(A3593,DATAS,0)</f>
        <v>1</v>
      </c>
      <c r="X3593" s="27" t="n">
        <f aca="false">IF(AND(E3593&gt;0,OR(AND(B3593&gt;=1,B3593&lt;=6),B3593=10)),1,0)</f>
        <v>0</v>
      </c>
      <c r="Y3593" s="27" t="n">
        <f aca="false">IF(AND(E3593&gt;0,B3593=10),1,0)</f>
        <v>0</v>
      </c>
      <c r="Z3593" s="0" t="str">
        <f aca="false">IF(AND(C3592=C3593,W3592=W3593-1),X3592,"")</f>
        <v/>
      </c>
      <c r="AA3593" s="0" t="str">
        <f aca="false">IF(AND(C3592=C3593,W3592=W3593-1),Y3592,"")</f>
        <v/>
      </c>
      <c r="AB3593" s="0" t="str">
        <f aca="false">IF(W3593=1,"",IF(AND(X3593=1,Z3593&lt;&gt;1),1,0))</f>
        <v/>
      </c>
      <c r="AC3593" s="0" t="str">
        <f aca="false">IF(W3593=1,"",IF(AND(Y3593=1,AA3593&lt;&gt;1),1,0))</f>
        <v/>
      </c>
      <c r="AD3593" s="33" t="str">
        <f aca="false">IF(AND(E3593&gt;0,W3593&lt;1,NOT(AND(C3594=C3593,W3594=W3593+1))),INDEX(DATAS,W3593+1),"")</f>
        <v/>
      </c>
      <c r="AE3593" s="33" t="str">
        <f aca="false">IF(AND(Y3593=1,W3593&lt;1),IF(AND(C3594=C3593,W3594=W3593+1),IF(Y3594=1,"",INDEX(DATAS,W3593+1)),INDEX(DATAS,W3593+1)),"")</f>
        <v/>
      </c>
    </row>
    <row r="3594" customFormat="false" ht="15" hidden="false" customHeight="false" outlineLevel="0" collapsed="false">
      <c r="A3594" s="33" t="n">
        <v>46309</v>
      </c>
      <c r="B3594" s="0" t="n">
        <v>16</v>
      </c>
      <c r="C3594" s="0" t="n">
        <v>8055</v>
      </c>
      <c r="E3594" s="0" t="n">
        <v>0</v>
      </c>
      <c r="F3594" s="27" t="s">
        <v>1633</v>
      </c>
      <c r="I3594" s="27" t="s">
        <v>166</v>
      </c>
      <c r="U3594" s="0" t="n">
        <v>55</v>
      </c>
      <c r="V3594" s="0" t="n">
        <v>0</v>
      </c>
      <c r="W3594" s="27" t="n">
        <f aca="false">MATCH(A3594,DATAS,0)</f>
        <v>1</v>
      </c>
      <c r="X3594" s="27" t="n">
        <f aca="false">IF(AND(E3594&gt;0,OR(AND(B3594&gt;=1,B3594&lt;=6),B3594=10)),1,0)</f>
        <v>0</v>
      </c>
      <c r="Y3594" s="27" t="n">
        <f aca="false">IF(AND(E3594&gt;0,B3594=10),1,0)</f>
        <v>0</v>
      </c>
      <c r="Z3594" s="0" t="str">
        <f aca="false">IF(AND(C3593=C3594,W3593=W3594-1),X3593,"")</f>
        <v/>
      </c>
      <c r="AA3594" s="0" t="str">
        <f aca="false">IF(AND(C3593=C3594,W3593=W3594-1),Y3593,"")</f>
        <v/>
      </c>
      <c r="AB3594" s="0" t="str">
        <f aca="false">IF(W3594=1,"",IF(AND(X3594=1,Z3594&lt;&gt;1),1,0))</f>
        <v/>
      </c>
      <c r="AC3594" s="0" t="str">
        <f aca="false">IF(W3594=1,"",IF(AND(Y3594=1,AA3594&lt;&gt;1),1,0))</f>
        <v/>
      </c>
      <c r="AD3594" s="33" t="str">
        <f aca="false">IF(AND(E3594&gt;0,W3594&lt;1,NOT(AND(C3595=C3594,W3595=W3594+1))),INDEX(DATAS,W3594+1),"")</f>
        <v/>
      </c>
      <c r="AE3594" s="33" t="str">
        <f aca="false">IF(AND(Y3594=1,W3594&lt;1),IF(AND(C3595=C3594,W3595=W3594+1),IF(Y3595=1,"",INDEX(DATAS,W3594+1)),INDEX(DATAS,W3594+1)),"")</f>
        <v/>
      </c>
    </row>
    <row r="3595" customFormat="false" ht="15" hidden="false" customHeight="false" outlineLevel="0" collapsed="false">
      <c r="A3595" s="33" t="n">
        <v>46309</v>
      </c>
      <c r="B3595" s="0" t="n">
        <v>16</v>
      </c>
      <c r="C3595" s="0" t="n">
        <v>8056</v>
      </c>
      <c r="E3595" s="0" t="n">
        <v>0</v>
      </c>
      <c r="F3595" s="27" t="s">
        <v>1633</v>
      </c>
      <c r="I3595" s="27" t="s">
        <v>166</v>
      </c>
      <c r="U3595" s="0" t="n">
        <v>55</v>
      </c>
      <c r="V3595" s="0" t="n">
        <v>0</v>
      </c>
      <c r="W3595" s="27" t="n">
        <f aca="false">MATCH(A3595,DATAS,0)</f>
        <v>1</v>
      </c>
      <c r="X3595" s="27" t="n">
        <f aca="false">IF(AND(E3595&gt;0,OR(AND(B3595&gt;=1,B3595&lt;=6),B3595=10)),1,0)</f>
        <v>0</v>
      </c>
      <c r="Y3595" s="27" t="n">
        <f aca="false">IF(AND(E3595&gt;0,B3595=10),1,0)</f>
        <v>0</v>
      </c>
      <c r="Z3595" s="0" t="str">
        <f aca="false">IF(AND(C3594=C3595,W3594=W3595-1),X3594,"")</f>
        <v/>
      </c>
      <c r="AA3595" s="0" t="str">
        <f aca="false">IF(AND(C3594=C3595,W3594=W3595-1),Y3594,"")</f>
        <v/>
      </c>
      <c r="AB3595" s="0" t="str">
        <f aca="false">IF(W3595=1,"",IF(AND(X3595=1,Z3595&lt;&gt;1),1,0))</f>
        <v/>
      </c>
      <c r="AC3595" s="0" t="str">
        <f aca="false">IF(W3595=1,"",IF(AND(Y3595=1,AA3595&lt;&gt;1),1,0))</f>
        <v/>
      </c>
      <c r="AD3595" s="33" t="str">
        <f aca="false">IF(AND(E3595&gt;0,W3595&lt;1,NOT(AND(C3596=C3595,W3596=W3595+1))),INDEX(DATAS,W3595+1),"")</f>
        <v/>
      </c>
      <c r="AE3595" s="33" t="str">
        <f aca="false">IF(AND(Y3595=1,W3595&lt;1),IF(AND(C3596=C3595,W3596=W3595+1),IF(Y3596=1,"",INDEX(DATAS,W3595+1)),INDEX(DATAS,W3595+1)),"")</f>
        <v/>
      </c>
    </row>
    <row r="3596" customFormat="false" ht="15" hidden="false" customHeight="false" outlineLevel="0" collapsed="false">
      <c r="A3596" s="33" t="n">
        <v>46309</v>
      </c>
      <c r="B3596" s="0" t="n">
        <v>16</v>
      </c>
      <c r="C3596" s="0" t="n">
        <v>8058</v>
      </c>
      <c r="E3596" s="0" t="n">
        <v>0</v>
      </c>
      <c r="F3596" s="27" t="s">
        <v>1634</v>
      </c>
      <c r="I3596" s="27" t="s">
        <v>166</v>
      </c>
      <c r="U3596" s="0" t="n">
        <v>54</v>
      </c>
      <c r="V3596" s="0" t="n">
        <v>0</v>
      </c>
      <c r="W3596" s="27" t="n">
        <f aca="false">MATCH(A3596,DATAS,0)</f>
        <v>1</v>
      </c>
      <c r="X3596" s="27" t="n">
        <f aca="false">IF(AND(E3596&gt;0,OR(AND(B3596&gt;=1,B3596&lt;=6),B3596=10)),1,0)</f>
        <v>0</v>
      </c>
      <c r="Y3596" s="27" t="n">
        <f aca="false">IF(AND(E3596&gt;0,B3596=10),1,0)</f>
        <v>0</v>
      </c>
      <c r="Z3596" s="0" t="str">
        <f aca="false">IF(AND(C3595=C3596,W3595=W3596-1),X3595,"")</f>
        <v/>
      </c>
      <c r="AA3596" s="0" t="str">
        <f aca="false">IF(AND(C3595=C3596,W3595=W3596-1),Y3595,"")</f>
        <v/>
      </c>
      <c r="AB3596" s="0" t="str">
        <f aca="false">IF(W3596=1,"",IF(AND(X3596=1,Z3596&lt;&gt;1),1,0))</f>
        <v/>
      </c>
      <c r="AC3596" s="0" t="str">
        <f aca="false">IF(W3596=1,"",IF(AND(Y3596=1,AA3596&lt;&gt;1),1,0))</f>
        <v/>
      </c>
      <c r="AD3596" s="33" t="str">
        <f aca="false">IF(AND(E3596&gt;0,W3596&lt;1,NOT(AND(C3597=C3596,W3597=W3596+1))),INDEX(DATAS,W3596+1),"")</f>
        <v/>
      </c>
      <c r="AE3596" s="33" t="str">
        <f aca="false">IF(AND(Y3596=1,W3596&lt;1),IF(AND(C3597=C3596,W3597=W3596+1),IF(Y3597=1,"",INDEX(DATAS,W3596+1)),INDEX(DATAS,W3596+1)),"")</f>
        <v/>
      </c>
    </row>
    <row r="3597" customFormat="false" ht="15" hidden="false" customHeight="false" outlineLevel="0" collapsed="false">
      <c r="A3597" s="33" t="n">
        <v>46309</v>
      </c>
      <c r="B3597" s="0" t="n">
        <v>16</v>
      </c>
      <c r="C3597" s="0" t="n">
        <v>8060</v>
      </c>
      <c r="E3597" s="0" t="n">
        <v>0</v>
      </c>
      <c r="F3597" s="27" t="s">
        <v>1635</v>
      </c>
      <c r="I3597" s="27" t="s">
        <v>166</v>
      </c>
      <c r="U3597" s="0" t="n">
        <v>53</v>
      </c>
      <c r="V3597" s="0" t="n">
        <v>0</v>
      </c>
      <c r="W3597" s="27" t="n">
        <f aca="false">MATCH(A3597,DATAS,0)</f>
        <v>1</v>
      </c>
      <c r="X3597" s="27" t="n">
        <f aca="false">IF(AND(E3597&gt;0,OR(AND(B3597&gt;=1,B3597&lt;=6),B3597=10)),1,0)</f>
        <v>0</v>
      </c>
      <c r="Y3597" s="27" t="n">
        <f aca="false">IF(AND(E3597&gt;0,B3597=10),1,0)</f>
        <v>0</v>
      </c>
      <c r="Z3597" s="0" t="str">
        <f aca="false">IF(AND(C3596=C3597,W3596=W3597-1),X3596,"")</f>
        <v/>
      </c>
      <c r="AA3597" s="0" t="str">
        <f aca="false">IF(AND(C3596=C3597,W3596=W3597-1),Y3596,"")</f>
        <v/>
      </c>
      <c r="AB3597" s="0" t="str">
        <f aca="false">IF(W3597=1,"",IF(AND(X3597=1,Z3597&lt;&gt;1),1,0))</f>
        <v/>
      </c>
      <c r="AC3597" s="0" t="str">
        <f aca="false">IF(W3597=1,"",IF(AND(Y3597=1,AA3597&lt;&gt;1),1,0))</f>
        <v/>
      </c>
      <c r="AD3597" s="33" t="str">
        <f aca="false">IF(AND(E3597&gt;0,W3597&lt;1,NOT(AND(C3598=C3597,W3598=W3597+1))),INDEX(DATAS,W3597+1),"")</f>
        <v/>
      </c>
      <c r="AE3597" s="33" t="str">
        <f aca="false">IF(AND(Y3597=1,W3597&lt;1),IF(AND(C3598=C3597,W3598=W3597+1),IF(Y3598=1,"",INDEX(DATAS,W3597+1)),INDEX(DATAS,W3597+1)),"")</f>
        <v/>
      </c>
    </row>
    <row r="3598" customFormat="false" ht="15" hidden="false" customHeight="false" outlineLevel="0" collapsed="false">
      <c r="A3598" s="33" t="n">
        <v>46309</v>
      </c>
      <c r="B3598" s="0" t="n">
        <v>16</v>
      </c>
      <c r="C3598" s="0" t="n">
        <v>8061</v>
      </c>
      <c r="E3598" s="0" t="n">
        <v>0</v>
      </c>
      <c r="F3598" s="27" t="s">
        <v>1635</v>
      </c>
      <c r="I3598" s="27" t="s">
        <v>166</v>
      </c>
      <c r="U3598" s="0" t="n">
        <v>53</v>
      </c>
      <c r="V3598" s="0" t="n">
        <v>0</v>
      </c>
      <c r="W3598" s="27" t="n">
        <f aca="false">MATCH(A3598,DATAS,0)</f>
        <v>1</v>
      </c>
      <c r="X3598" s="27" t="n">
        <f aca="false">IF(AND(E3598&gt;0,OR(AND(B3598&gt;=1,B3598&lt;=6),B3598=10)),1,0)</f>
        <v>0</v>
      </c>
      <c r="Y3598" s="27" t="n">
        <f aca="false">IF(AND(E3598&gt;0,B3598=10),1,0)</f>
        <v>0</v>
      </c>
      <c r="Z3598" s="0" t="str">
        <f aca="false">IF(AND(C3597=C3598,W3597=W3598-1),X3597,"")</f>
        <v/>
      </c>
      <c r="AA3598" s="0" t="str">
        <f aca="false">IF(AND(C3597=C3598,W3597=W3598-1),Y3597,"")</f>
        <v/>
      </c>
      <c r="AB3598" s="0" t="str">
        <f aca="false">IF(W3598=1,"",IF(AND(X3598=1,Z3598&lt;&gt;1),1,0))</f>
        <v/>
      </c>
      <c r="AC3598" s="0" t="str">
        <f aca="false">IF(W3598=1,"",IF(AND(Y3598=1,AA3598&lt;&gt;1),1,0))</f>
        <v/>
      </c>
      <c r="AD3598" s="33" t="str">
        <f aca="false">IF(AND(E3598&gt;0,W3598&lt;1,NOT(AND(C3599=C3598,W3599=W3598+1))),INDEX(DATAS,W3598+1),"")</f>
        <v/>
      </c>
      <c r="AE3598" s="33" t="str">
        <f aca="false">IF(AND(Y3598=1,W3598&lt;1),IF(AND(C3599=C3598,W3599=W3598+1),IF(Y3599=1,"",INDEX(DATAS,W3598+1)),INDEX(DATAS,W3598+1)),"")</f>
        <v/>
      </c>
    </row>
    <row r="3599" customFormat="false" ht="15" hidden="false" customHeight="false" outlineLevel="0" collapsed="false">
      <c r="A3599" s="33" t="n">
        <v>46309</v>
      </c>
      <c r="B3599" s="0" t="n">
        <v>16</v>
      </c>
      <c r="C3599" s="0" t="n">
        <v>8062</v>
      </c>
      <c r="E3599" s="0" t="n">
        <v>0</v>
      </c>
      <c r="F3599" s="27" t="s">
        <v>1635</v>
      </c>
      <c r="I3599" s="27" t="s">
        <v>166</v>
      </c>
      <c r="U3599" s="0" t="n">
        <v>53</v>
      </c>
      <c r="V3599" s="0" t="n">
        <v>0</v>
      </c>
      <c r="W3599" s="27" t="n">
        <f aca="false">MATCH(A3599,DATAS,0)</f>
        <v>1</v>
      </c>
      <c r="X3599" s="27" t="n">
        <f aca="false">IF(AND(E3599&gt;0,OR(AND(B3599&gt;=1,B3599&lt;=6),B3599=10)),1,0)</f>
        <v>0</v>
      </c>
      <c r="Y3599" s="27" t="n">
        <f aca="false">IF(AND(E3599&gt;0,B3599=10),1,0)</f>
        <v>0</v>
      </c>
      <c r="Z3599" s="0" t="str">
        <f aca="false">IF(AND(C3598=C3599,W3598=W3599-1),X3598,"")</f>
        <v/>
      </c>
      <c r="AA3599" s="0" t="str">
        <f aca="false">IF(AND(C3598=C3599,W3598=W3599-1),Y3598,"")</f>
        <v/>
      </c>
      <c r="AB3599" s="0" t="str">
        <f aca="false">IF(W3599=1,"",IF(AND(X3599=1,Z3599&lt;&gt;1),1,0))</f>
        <v/>
      </c>
      <c r="AC3599" s="0" t="str">
        <f aca="false">IF(W3599=1,"",IF(AND(Y3599=1,AA3599&lt;&gt;1),1,0))</f>
        <v/>
      </c>
      <c r="AD3599" s="33" t="str">
        <f aca="false">IF(AND(E3599&gt;0,W3599&lt;1,NOT(AND(C3600=C3599,W3600=W3599+1))),INDEX(DATAS,W3599+1),"")</f>
        <v/>
      </c>
      <c r="AE3599" s="33" t="str">
        <f aca="false">IF(AND(Y3599=1,W3599&lt;1),IF(AND(C3600=C3599,W3600=W3599+1),IF(Y3600=1,"",INDEX(DATAS,W3599+1)),INDEX(DATAS,W3599+1)),"")</f>
        <v/>
      </c>
    </row>
    <row r="3600" customFormat="false" ht="15" hidden="false" customHeight="false" outlineLevel="0" collapsed="false">
      <c r="A3600" s="33" t="n">
        <v>46309</v>
      </c>
      <c r="B3600" s="0" t="n">
        <v>16</v>
      </c>
      <c r="C3600" s="0" t="n">
        <v>8063</v>
      </c>
      <c r="E3600" s="0" t="n">
        <v>0</v>
      </c>
      <c r="F3600" s="27" t="s">
        <v>1635</v>
      </c>
      <c r="I3600" s="27" t="s">
        <v>166</v>
      </c>
      <c r="U3600" s="0" t="n">
        <v>53</v>
      </c>
      <c r="V3600" s="0" t="n">
        <v>0</v>
      </c>
      <c r="W3600" s="27" t="n">
        <f aca="false">MATCH(A3600,DATAS,0)</f>
        <v>1</v>
      </c>
      <c r="X3600" s="27" t="n">
        <f aca="false">IF(AND(E3600&gt;0,OR(AND(B3600&gt;=1,B3600&lt;=6),B3600=10)),1,0)</f>
        <v>0</v>
      </c>
      <c r="Y3600" s="27" t="n">
        <f aca="false">IF(AND(E3600&gt;0,B3600=10),1,0)</f>
        <v>0</v>
      </c>
      <c r="Z3600" s="0" t="str">
        <f aca="false">IF(AND(C3599=C3600,W3599=W3600-1),X3599,"")</f>
        <v/>
      </c>
      <c r="AA3600" s="0" t="str">
        <f aca="false">IF(AND(C3599=C3600,W3599=W3600-1),Y3599,"")</f>
        <v/>
      </c>
      <c r="AB3600" s="0" t="str">
        <f aca="false">IF(W3600=1,"",IF(AND(X3600=1,Z3600&lt;&gt;1),1,0))</f>
        <v/>
      </c>
      <c r="AC3600" s="0" t="str">
        <f aca="false">IF(W3600=1,"",IF(AND(Y3600=1,AA3600&lt;&gt;1),1,0))</f>
        <v/>
      </c>
      <c r="AD3600" s="33" t="str">
        <f aca="false">IF(AND(E3600&gt;0,W3600&lt;1,NOT(AND(C3601=C3600,W3601=W3600+1))),INDEX(DATAS,W3600+1),"")</f>
        <v/>
      </c>
      <c r="AE3600" s="33" t="str">
        <f aca="false">IF(AND(Y3600=1,W3600&lt;1),IF(AND(C3601=C3600,W3601=W3600+1),IF(Y3601=1,"",INDEX(DATAS,W3600+1)),INDEX(DATAS,W3600+1)),"")</f>
        <v/>
      </c>
    </row>
    <row r="3601" customFormat="false" ht="15" hidden="false" customHeight="false" outlineLevel="0" collapsed="false">
      <c r="A3601" s="33" t="n">
        <v>46309</v>
      </c>
      <c r="B3601" s="0" t="n">
        <v>16</v>
      </c>
      <c r="C3601" s="0" t="n">
        <v>8064</v>
      </c>
      <c r="E3601" s="0" t="n">
        <v>0</v>
      </c>
      <c r="F3601" s="27" t="s">
        <v>1635</v>
      </c>
      <c r="I3601" s="27" t="s">
        <v>166</v>
      </c>
      <c r="U3601" s="0" t="n">
        <v>53</v>
      </c>
      <c r="V3601" s="0" t="n">
        <v>0</v>
      </c>
      <c r="W3601" s="27" t="n">
        <f aca="false">MATCH(A3601,DATAS,0)</f>
        <v>1</v>
      </c>
      <c r="X3601" s="27" t="n">
        <f aca="false">IF(AND(E3601&gt;0,OR(AND(B3601&gt;=1,B3601&lt;=6),B3601=10)),1,0)</f>
        <v>0</v>
      </c>
      <c r="Y3601" s="27" t="n">
        <f aca="false">IF(AND(E3601&gt;0,B3601=10),1,0)</f>
        <v>0</v>
      </c>
      <c r="Z3601" s="0" t="str">
        <f aca="false">IF(AND(C3600=C3601,W3600=W3601-1),X3600,"")</f>
        <v/>
      </c>
      <c r="AA3601" s="0" t="str">
        <f aca="false">IF(AND(C3600=C3601,W3600=W3601-1),Y3600,"")</f>
        <v/>
      </c>
      <c r="AB3601" s="0" t="str">
        <f aca="false">IF(W3601=1,"",IF(AND(X3601=1,Z3601&lt;&gt;1),1,0))</f>
        <v/>
      </c>
      <c r="AC3601" s="0" t="str">
        <f aca="false">IF(W3601=1,"",IF(AND(Y3601=1,AA3601&lt;&gt;1),1,0))</f>
        <v/>
      </c>
      <c r="AD3601" s="33" t="str">
        <f aca="false">IF(AND(E3601&gt;0,W3601&lt;1,NOT(AND(C3602=C3601,W3602=W3601+1))),INDEX(DATAS,W3601+1),"")</f>
        <v/>
      </c>
      <c r="AE3601" s="33" t="str">
        <f aca="false">IF(AND(Y3601=1,W3601&lt;1),IF(AND(C3602=C3601,W3602=W3601+1),IF(Y3602=1,"",INDEX(DATAS,W3601+1)),INDEX(DATAS,W3601+1)),"")</f>
        <v/>
      </c>
    </row>
    <row r="3602" customFormat="false" ht="15" hidden="false" customHeight="false" outlineLevel="0" collapsed="false">
      <c r="A3602" s="33" t="n">
        <v>46309</v>
      </c>
      <c r="B3602" s="0" t="n">
        <v>16</v>
      </c>
      <c r="C3602" s="0" t="n">
        <v>8065</v>
      </c>
      <c r="E3602" s="0" t="n">
        <v>0</v>
      </c>
      <c r="F3602" s="27" t="s">
        <v>1635</v>
      </c>
      <c r="I3602" s="27" t="s">
        <v>166</v>
      </c>
      <c r="U3602" s="0" t="n">
        <v>53</v>
      </c>
      <c r="V3602" s="0" t="n">
        <v>0</v>
      </c>
      <c r="W3602" s="27" t="n">
        <f aca="false">MATCH(A3602,DATAS,0)</f>
        <v>1</v>
      </c>
      <c r="X3602" s="27" t="n">
        <f aca="false">IF(AND(E3602&gt;0,OR(AND(B3602&gt;=1,B3602&lt;=6),B3602=10)),1,0)</f>
        <v>0</v>
      </c>
      <c r="Y3602" s="27" t="n">
        <f aca="false">IF(AND(E3602&gt;0,B3602=10),1,0)</f>
        <v>0</v>
      </c>
      <c r="Z3602" s="0" t="str">
        <f aca="false">IF(AND(C3601=C3602,W3601=W3602-1),X3601,"")</f>
        <v/>
      </c>
      <c r="AA3602" s="0" t="str">
        <f aca="false">IF(AND(C3601=C3602,W3601=W3602-1),Y3601,"")</f>
        <v/>
      </c>
      <c r="AB3602" s="0" t="str">
        <f aca="false">IF(W3602=1,"",IF(AND(X3602=1,Z3602&lt;&gt;1),1,0))</f>
        <v/>
      </c>
      <c r="AC3602" s="0" t="str">
        <f aca="false">IF(W3602=1,"",IF(AND(Y3602=1,AA3602&lt;&gt;1),1,0))</f>
        <v/>
      </c>
      <c r="AD3602" s="33" t="str">
        <f aca="false">IF(AND(E3602&gt;0,W3602&lt;1,NOT(AND(C3603=C3602,W3603=W3602+1))),INDEX(DATAS,W3602+1),"")</f>
        <v/>
      </c>
      <c r="AE3602" s="33" t="str">
        <f aca="false">IF(AND(Y3602=1,W3602&lt;1),IF(AND(C3603=C3602,W3603=W3602+1),IF(Y3603=1,"",INDEX(DATAS,W3602+1)),INDEX(DATAS,W3602+1)),"")</f>
        <v/>
      </c>
    </row>
    <row r="3603" customFormat="false" ht="15" hidden="false" customHeight="false" outlineLevel="0" collapsed="false">
      <c r="A3603" s="33" t="n">
        <v>46309</v>
      </c>
      <c r="B3603" s="0" t="n">
        <v>16</v>
      </c>
      <c r="C3603" s="0" t="n">
        <v>8066</v>
      </c>
      <c r="E3603" s="0" t="n">
        <v>0</v>
      </c>
      <c r="F3603" s="27" t="s">
        <v>1636</v>
      </c>
      <c r="I3603" s="27" t="s">
        <v>166</v>
      </c>
      <c r="U3603" s="0" t="n">
        <v>52</v>
      </c>
      <c r="V3603" s="0" t="n">
        <v>0</v>
      </c>
      <c r="W3603" s="27" t="n">
        <f aca="false">MATCH(A3603,DATAS,0)</f>
        <v>1</v>
      </c>
      <c r="X3603" s="27" t="n">
        <f aca="false">IF(AND(E3603&gt;0,OR(AND(B3603&gt;=1,B3603&lt;=6),B3603=10)),1,0)</f>
        <v>0</v>
      </c>
      <c r="Y3603" s="27" t="n">
        <f aca="false">IF(AND(E3603&gt;0,B3603=10),1,0)</f>
        <v>0</v>
      </c>
      <c r="Z3603" s="0" t="str">
        <f aca="false">IF(AND(C3602=C3603,W3602=W3603-1),X3602,"")</f>
        <v/>
      </c>
      <c r="AA3603" s="0" t="str">
        <f aca="false">IF(AND(C3602=C3603,W3602=W3603-1),Y3602,"")</f>
        <v/>
      </c>
      <c r="AB3603" s="0" t="str">
        <f aca="false">IF(W3603=1,"",IF(AND(X3603=1,Z3603&lt;&gt;1),1,0))</f>
        <v/>
      </c>
      <c r="AC3603" s="0" t="str">
        <f aca="false">IF(W3603=1,"",IF(AND(Y3603=1,AA3603&lt;&gt;1),1,0))</f>
        <v/>
      </c>
      <c r="AD3603" s="33" t="str">
        <f aca="false">IF(AND(E3603&gt;0,W3603&lt;1,NOT(AND(C3604=C3603,W3604=W3603+1))),INDEX(DATAS,W3603+1),"")</f>
        <v/>
      </c>
      <c r="AE3603" s="33" t="str">
        <f aca="false">IF(AND(Y3603=1,W3603&lt;1),IF(AND(C3604=C3603,W3604=W3603+1),IF(Y3604=1,"",INDEX(DATAS,W3603+1)),INDEX(DATAS,W3603+1)),"")</f>
        <v/>
      </c>
    </row>
    <row r="3604" customFormat="false" ht="15" hidden="false" customHeight="false" outlineLevel="0" collapsed="false">
      <c r="A3604" s="33" t="n">
        <v>46309</v>
      </c>
      <c r="B3604" s="0" t="n">
        <v>16</v>
      </c>
      <c r="C3604" s="0" t="n">
        <v>8067</v>
      </c>
      <c r="E3604" s="0" t="n">
        <v>0</v>
      </c>
      <c r="F3604" s="27" t="s">
        <v>1637</v>
      </c>
      <c r="I3604" s="27" t="s">
        <v>166</v>
      </c>
      <c r="U3604" s="0" t="n">
        <v>51</v>
      </c>
      <c r="V3604" s="0" t="n">
        <v>0</v>
      </c>
      <c r="W3604" s="27" t="n">
        <f aca="false">MATCH(A3604,DATAS,0)</f>
        <v>1</v>
      </c>
      <c r="X3604" s="27" t="n">
        <f aca="false">IF(AND(E3604&gt;0,OR(AND(B3604&gt;=1,B3604&lt;=6),B3604=10)),1,0)</f>
        <v>0</v>
      </c>
      <c r="Y3604" s="27" t="n">
        <f aca="false">IF(AND(E3604&gt;0,B3604=10),1,0)</f>
        <v>0</v>
      </c>
      <c r="Z3604" s="0" t="str">
        <f aca="false">IF(AND(C3603=C3604,W3603=W3604-1),X3603,"")</f>
        <v/>
      </c>
      <c r="AA3604" s="0" t="str">
        <f aca="false">IF(AND(C3603=C3604,W3603=W3604-1),Y3603,"")</f>
        <v/>
      </c>
      <c r="AB3604" s="0" t="str">
        <f aca="false">IF(W3604=1,"",IF(AND(X3604=1,Z3604&lt;&gt;1),1,0))</f>
        <v/>
      </c>
      <c r="AC3604" s="0" t="str">
        <f aca="false">IF(W3604=1,"",IF(AND(Y3604=1,AA3604&lt;&gt;1),1,0))</f>
        <v/>
      </c>
      <c r="AD3604" s="33" t="str">
        <f aca="false">IF(AND(E3604&gt;0,W3604&lt;1,NOT(AND(C3605=C3604,W3605=W3604+1))),INDEX(DATAS,W3604+1),"")</f>
        <v/>
      </c>
      <c r="AE3604" s="33" t="str">
        <f aca="false">IF(AND(Y3604=1,W3604&lt;1),IF(AND(C3605=C3604,W3605=W3604+1),IF(Y3605=1,"",INDEX(DATAS,W3604+1)),INDEX(DATAS,W3604+1)),"")</f>
        <v/>
      </c>
    </row>
    <row r="3605" customFormat="false" ht="15" hidden="false" customHeight="false" outlineLevel="0" collapsed="false">
      <c r="A3605" s="33" t="n">
        <v>46309</v>
      </c>
      <c r="B3605" s="0" t="n">
        <v>16</v>
      </c>
      <c r="C3605" s="0" t="n">
        <v>8068</v>
      </c>
      <c r="E3605" s="0" t="n">
        <v>0</v>
      </c>
      <c r="F3605" s="27" t="s">
        <v>1637</v>
      </c>
      <c r="I3605" s="27" t="s">
        <v>166</v>
      </c>
      <c r="U3605" s="0" t="n">
        <v>51</v>
      </c>
      <c r="V3605" s="0" t="n">
        <v>0</v>
      </c>
      <c r="W3605" s="27" t="n">
        <f aca="false">MATCH(A3605,DATAS,0)</f>
        <v>1</v>
      </c>
      <c r="X3605" s="27" t="n">
        <f aca="false">IF(AND(E3605&gt;0,OR(AND(B3605&gt;=1,B3605&lt;=6),B3605=10)),1,0)</f>
        <v>0</v>
      </c>
      <c r="Y3605" s="27" t="n">
        <f aca="false">IF(AND(E3605&gt;0,B3605=10),1,0)</f>
        <v>0</v>
      </c>
      <c r="Z3605" s="0" t="str">
        <f aca="false">IF(AND(C3604=C3605,W3604=W3605-1),X3604,"")</f>
        <v/>
      </c>
      <c r="AA3605" s="0" t="str">
        <f aca="false">IF(AND(C3604=C3605,W3604=W3605-1),Y3604,"")</f>
        <v/>
      </c>
      <c r="AB3605" s="0" t="str">
        <f aca="false">IF(W3605=1,"",IF(AND(X3605=1,Z3605&lt;&gt;1),1,0))</f>
        <v/>
      </c>
      <c r="AC3605" s="0" t="str">
        <f aca="false">IF(W3605=1,"",IF(AND(Y3605=1,AA3605&lt;&gt;1),1,0))</f>
        <v/>
      </c>
      <c r="AD3605" s="33" t="str">
        <f aca="false">IF(AND(E3605&gt;0,W3605&lt;1,NOT(AND(C3606=C3605,W3606=W3605+1))),INDEX(DATAS,W3605+1),"")</f>
        <v/>
      </c>
      <c r="AE3605" s="33" t="str">
        <f aca="false">IF(AND(Y3605=1,W3605&lt;1),IF(AND(C3606=C3605,W3606=W3605+1),IF(Y3606=1,"",INDEX(DATAS,W3605+1)),INDEX(DATAS,W3605+1)),"")</f>
        <v/>
      </c>
    </row>
    <row r="3606" customFormat="false" ht="15" hidden="false" customHeight="false" outlineLevel="0" collapsed="false">
      <c r="A3606" s="33" t="n">
        <v>46309</v>
      </c>
      <c r="B3606" s="0" t="n">
        <v>16</v>
      </c>
      <c r="C3606" s="0" t="n">
        <v>8069</v>
      </c>
      <c r="E3606" s="0" t="n">
        <v>0</v>
      </c>
      <c r="F3606" s="27" t="s">
        <v>1631</v>
      </c>
      <c r="I3606" s="27" t="s">
        <v>166</v>
      </c>
      <c r="U3606" s="0" t="n">
        <v>57</v>
      </c>
      <c r="V3606" s="0" t="n">
        <v>0</v>
      </c>
      <c r="W3606" s="27" t="n">
        <f aca="false">MATCH(A3606,DATAS,0)</f>
        <v>1</v>
      </c>
      <c r="X3606" s="27" t="n">
        <f aca="false">IF(AND(E3606&gt;0,OR(AND(B3606&gt;=1,B3606&lt;=6),B3606=10)),1,0)</f>
        <v>0</v>
      </c>
      <c r="Y3606" s="27" t="n">
        <f aca="false">IF(AND(E3606&gt;0,B3606=10),1,0)</f>
        <v>0</v>
      </c>
      <c r="Z3606" s="0" t="str">
        <f aca="false">IF(AND(C3605=C3606,W3605=W3606-1),X3605,"")</f>
        <v/>
      </c>
      <c r="AA3606" s="0" t="str">
        <f aca="false">IF(AND(C3605=C3606,W3605=W3606-1),Y3605,"")</f>
        <v/>
      </c>
      <c r="AB3606" s="0" t="str">
        <f aca="false">IF(W3606=1,"",IF(AND(X3606=1,Z3606&lt;&gt;1),1,0))</f>
        <v/>
      </c>
      <c r="AC3606" s="0" t="str">
        <f aca="false">IF(W3606=1,"",IF(AND(Y3606=1,AA3606&lt;&gt;1),1,0))</f>
        <v/>
      </c>
      <c r="AD3606" s="33" t="str">
        <f aca="false">IF(AND(E3606&gt;0,W3606&lt;1,NOT(AND(C3607=C3606,W3607=W3606+1))),INDEX(DATAS,W3606+1),"")</f>
        <v/>
      </c>
      <c r="AE3606" s="33" t="str">
        <f aca="false">IF(AND(Y3606=1,W3606&lt;1),IF(AND(C3607=C3606,W3607=W3606+1),IF(Y3607=1,"",INDEX(DATAS,W3606+1)),INDEX(DATAS,W3606+1)),"")</f>
        <v/>
      </c>
    </row>
    <row r="3607" customFormat="false" ht="15" hidden="false" customHeight="false" outlineLevel="0" collapsed="false">
      <c r="A3607" s="33" t="n">
        <v>46309</v>
      </c>
      <c r="B3607" s="0" t="n">
        <v>16</v>
      </c>
      <c r="C3607" s="0" t="n">
        <v>8070</v>
      </c>
      <c r="E3607" s="0" t="n">
        <v>0</v>
      </c>
      <c r="F3607" s="27" t="s">
        <v>1637</v>
      </c>
      <c r="I3607" s="27" t="s">
        <v>166</v>
      </c>
      <c r="U3607" s="0" t="n">
        <v>51</v>
      </c>
      <c r="V3607" s="0" t="n">
        <v>0</v>
      </c>
      <c r="W3607" s="27" t="n">
        <f aca="false">MATCH(A3607,DATAS,0)</f>
        <v>1</v>
      </c>
      <c r="X3607" s="27" t="n">
        <f aca="false">IF(AND(E3607&gt;0,OR(AND(B3607&gt;=1,B3607&lt;=6),B3607=10)),1,0)</f>
        <v>0</v>
      </c>
      <c r="Y3607" s="27" t="n">
        <f aca="false">IF(AND(E3607&gt;0,B3607=10),1,0)</f>
        <v>0</v>
      </c>
      <c r="Z3607" s="0" t="str">
        <f aca="false">IF(AND(C3606=C3607,W3606=W3607-1),X3606,"")</f>
        <v/>
      </c>
      <c r="AA3607" s="0" t="str">
        <f aca="false">IF(AND(C3606=C3607,W3606=W3607-1),Y3606,"")</f>
        <v/>
      </c>
      <c r="AB3607" s="0" t="str">
        <f aca="false">IF(W3607=1,"",IF(AND(X3607=1,Z3607&lt;&gt;1),1,0))</f>
        <v/>
      </c>
      <c r="AC3607" s="0" t="str">
        <f aca="false">IF(W3607=1,"",IF(AND(Y3607=1,AA3607&lt;&gt;1),1,0))</f>
        <v/>
      </c>
      <c r="AD3607" s="33" t="str">
        <f aca="false">IF(AND(E3607&gt;0,W3607&lt;1,NOT(AND(C3608=C3607,W3608=W3607+1))),INDEX(DATAS,W3607+1),"")</f>
        <v/>
      </c>
      <c r="AE3607" s="33" t="str">
        <f aca="false">IF(AND(Y3607=1,W3607&lt;1),IF(AND(C3608=C3607,W3608=W3607+1),IF(Y3608=1,"",INDEX(DATAS,W3607+1)),INDEX(DATAS,W3607+1)),"")</f>
        <v/>
      </c>
    </row>
    <row r="3608" customFormat="false" ht="15" hidden="false" customHeight="false" outlineLevel="0" collapsed="false">
      <c r="A3608" s="33" t="n">
        <v>46309</v>
      </c>
      <c r="B3608" s="0" t="n">
        <v>16</v>
      </c>
      <c r="C3608" s="0" t="n">
        <v>8071</v>
      </c>
      <c r="E3608" s="0" t="n">
        <v>0</v>
      </c>
      <c r="F3608" s="27" t="s">
        <v>1637</v>
      </c>
      <c r="I3608" s="27" t="s">
        <v>166</v>
      </c>
      <c r="U3608" s="0" t="n">
        <v>51</v>
      </c>
      <c r="V3608" s="0" t="n">
        <v>0</v>
      </c>
      <c r="W3608" s="27" t="n">
        <f aca="false">MATCH(A3608,DATAS,0)</f>
        <v>1</v>
      </c>
      <c r="X3608" s="27" t="n">
        <f aca="false">IF(AND(E3608&gt;0,OR(AND(B3608&gt;=1,B3608&lt;=6),B3608=10)),1,0)</f>
        <v>0</v>
      </c>
      <c r="Y3608" s="27" t="n">
        <f aca="false">IF(AND(E3608&gt;0,B3608=10),1,0)</f>
        <v>0</v>
      </c>
      <c r="Z3608" s="0" t="str">
        <f aca="false">IF(AND(C3607=C3608,W3607=W3608-1),X3607,"")</f>
        <v/>
      </c>
      <c r="AA3608" s="0" t="str">
        <f aca="false">IF(AND(C3607=C3608,W3607=W3608-1),Y3607,"")</f>
        <v/>
      </c>
      <c r="AB3608" s="0" t="str">
        <f aca="false">IF(W3608=1,"",IF(AND(X3608=1,Z3608&lt;&gt;1),1,0))</f>
        <v/>
      </c>
      <c r="AC3608" s="0" t="str">
        <f aca="false">IF(W3608=1,"",IF(AND(Y3608=1,AA3608&lt;&gt;1),1,0))</f>
        <v/>
      </c>
      <c r="AD3608" s="33" t="str">
        <f aca="false">IF(AND(E3608&gt;0,W3608&lt;1,NOT(AND(C3609=C3608,W3609=W3608+1))),INDEX(DATAS,W3608+1),"")</f>
        <v/>
      </c>
      <c r="AE3608" s="33" t="str">
        <f aca="false">IF(AND(Y3608=1,W3608&lt;1),IF(AND(C3609=C3608,W3609=W3608+1),IF(Y3609=1,"",INDEX(DATAS,W3608+1)),INDEX(DATAS,W3608+1)),"")</f>
        <v/>
      </c>
    </row>
    <row r="3609" customFormat="false" ht="15" hidden="false" customHeight="false" outlineLevel="0" collapsed="false">
      <c r="A3609" s="33" t="n">
        <v>46309</v>
      </c>
      <c r="B3609" s="0" t="n">
        <v>16</v>
      </c>
      <c r="C3609" s="0" t="n">
        <v>8072</v>
      </c>
      <c r="E3609" s="0" t="n">
        <v>0</v>
      </c>
      <c r="F3609" s="27" t="s">
        <v>1637</v>
      </c>
      <c r="I3609" s="27" t="s">
        <v>166</v>
      </c>
      <c r="U3609" s="0" t="n">
        <v>51</v>
      </c>
      <c r="V3609" s="0" t="n">
        <v>0</v>
      </c>
      <c r="W3609" s="27" t="n">
        <f aca="false">MATCH(A3609,DATAS,0)</f>
        <v>1</v>
      </c>
      <c r="X3609" s="27" t="n">
        <f aca="false">IF(AND(E3609&gt;0,OR(AND(B3609&gt;=1,B3609&lt;=6),B3609=10)),1,0)</f>
        <v>0</v>
      </c>
      <c r="Y3609" s="27" t="n">
        <f aca="false">IF(AND(E3609&gt;0,B3609=10),1,0)</f>
        <v>0</v>
      </c>
      <c r="Z3609" s="0" t="str">
        <f aca="false">IF(AND(C3608=C3609,W3608=W3609-1),X3608,"")</f>
        <v/>
      </c>
      <c r="AA3609" s="0" t="str">
        <f aca="false">IF(AND(C3608=C3609,W3608=W3609-1),Y3608,"")</f>
        <v/>
      </c>
      <c r="AB3609" s="0" t="str">
        <f aca="false">IF(W3609=1,"",IF(AND(X3609=1,Z3609&lt;&gt;1),1,0))</f>
        <v/>
      </c>
      <c r="AC3609" s="0" t="str">
        <f aca="false">IF(W3609=1,"",IF(AND(Y3609=1,AA3609&lt;&gt;1),1,0))</f>
        <v/>
      </c>
      <c r="AD3609" s="33" t="str">
        <f aca="false">IF(AND(E3609&gt;0,W3609&lt;1,NOT(AND(C3610=C3609,W3610=W3609+1))),INDEX(DATAS,W3609+1),"")</f>
        <v/>
      </c>
      <c r="AE3609" s="33" t="str">
        <f aca="false">IF(AND(Y3609=1,W3609&lt;1),IF(AND(C3610=C3609,W3610=W3609+1),IF(Y3610=1,"",INDEX(DATAS,W3609+1)),INDEX(DATAS,W3609+1)),"")</f>
        <v/>
      </c>
    </row>
    <row r="3610" customFormat="false" ht="15" hidden="false" customHeight="false" outlineLevel="0" collapsed="false">
      <c r="A3610" s="33" t="n">
        <v>46309</v>
      </c>
      <c r="B3610" s="0" t="n">
        <v>16</v>
      </c>
      <c r="C3610" s="0" t="n">
        <v>8073</v>
      </c>
      <c r="E3610" s="0" t="n">
        <v>0</v>
      </c>
      <c r="F3610" s="27" t="s">
        <v>1637</v>
      </c>
      <c r="I3610" s="27" t="s">
        <v>166</v>
      </c>
      <c r="U3610" s="0" t="n">
        <v>51</v>
      </c>
      <c r="V3610" s="0" t="n">
        <v>0</v>
      </c>
      <c r="W3610" s="27" t="n">
        <f aca="false">MATCH(A3610,DATAS,0)</f>
        <v>1</v>
      </c>
      <c r="X3610" s="27" t="n">
        <f aca="false">IF(AND(E3610&gt;0,OR(AND(B3610&gt;=1,B3610&lt;=6),B3610=10)),1,0)</f>
        <v>0</v>
      </c>
      <c r="Y3610" s="27" t="n">
        <f aca="false">IF(AND(E3610&gt;0,B3610=10),1,0)</f>
        <v>0</v>
      </c>
      <c r="Z3610" s="0" t="str">
        <f aca="false">IF(AND(C3609=C3610,W3609=W3610-1),X3609,"")</f>
        <v/>
      </c>
      <c r="AA3610" s="0" t="str">
        <f aca="false">IF(AND(C3609=C3610,W3609=W3610-1),Y3609,"")</f>
        <v/>
      </c>
      <c r="AB3610" s="0" t="str">
        <f aca="false">IF(W3610=1,"",IF(AND(X3610=1,Z3610&lt;&gt;1),1,0))</f>
        <v/>
      </c>
      <c r="AC3610" s="0" t="str">
        <f aca="false">IF(W3610=1,"",IF(AND(Y3610=1,AA3610&lt;&gt;1),1,0))</f>
        <v/>
      </c>
      <c r="AD3610" s="33" t="str">
        <f aca="false">IF(AND(E3610&gt;0,W3610&lt;1,NOT(AND(C3611=C3610,W3611=W3610+1))),INDEX(DATAS,W3610+1),"")</f>
        <v/>
      </c>
      <c r="AE3610" s="33" t="str">
        <f aca="false">IF(AND(Y3610=1,W3610&lt;1),IF(AND(C3611=C3610,W3611=W3610+1),IF(Y3611=1,"",INDEX(DATAS,W3610+1)),INDEX(DATAS,W3610+1)),"")</f>
        <v/>
      </c>
    </row>
    <row r="3611" customFormat="false" ht="15" hidden="false" customHeight="false" outlineLevel="0" collapsed="false">
      <c r="A3611" s="33" t="n">
        <v>46309</v>
      </c>
      <c r="B3611" s="0" t="n">
        <v>16</v>
      </c>
      <c r="C3611" s="0" t="n">
        <v>8074</v>
      </c>
      <c r="E3611" s="0" t="n">
        <v>0</v>
      </c>
      <c r="F3611" s="27" t="s">
        <v>1638</v>
      </c>
      <c r="I3611" s="27" t="s">
        <v>166</v>
      </c>
      <c r="U3611" s="0" t="n">
        <v>50</v>
      </c>
      <c r="V3611" s="0" t="n">
        <v>0</v>
      </c>
      <c r="W3611" s="27" t="n">
        <f aca="false">MATCH(A3611,DATAS,0)</f>
        <v>1</v>
      </c>
      <c r="X3611" s="27" t="n">
        <f aca="false">IF(AND(E3611&gt;0,OR(AND(B3611&gt;=1,B3611&lt;=6),B3611=10)),1,0)</f>
        <v>0</v>
      </c>
      <c r="Y3611" s="27" t="n">
        <f aca="false">IF(AND(E3611&gt;0,B3611=10),1,0)</f>
        <v>0</v>
      </c>
      <c r="Z3611" s="0" t="str">
        <f aca="false">IF(AND(C3610=C3611,W3610=W3611-1),X3610,"")</f>
        <v/>
      </c>
      <c r="AA3611" s="0" t="str">
        <f aca="false">IF(AND(C3610=C3611,W3610=W3611-1),Y3610,"")</f>
        <v/>
      </c>
      <c r="AB3611" s="0" t="str">
        <f aca="false">IF(W3611=1,"",IF(AND(X3611=1,Z3611&lt;&gt;1),1,0))</f>
        <v/>
      </c>
      <c r="AC3611" s="0" t="str">
        <f aca="false">IF(W3611=1,"",IF(AND(Y3611=1,AA3611&lt;&gt;1),1,0))</f>
        <v/>
      </c>
      <c r="AD3611" s="33" t="str">
        <f aca="false">IF(AND(E3611&gt;0,W3611&lt;1,NOT(AND(C3612=C3611,W3612=W3611+1))),INDEX(DATAS,W3611+1),"")</f>
        <v/>
      </c>
      <c r="AE3611" s="33" t="str">
        <f aca="false">IF(AND(Y3611=1,W3611&lt;1),IF(AND(C3612=C3611,W3612=W3611+1),IF(Y3612=1,"",INDEX(DATAS,W3611+1)),INDEX(DATAS,W3611+1)),"")</f>
        <v/>
      </c>
    </row>
    <row r="3612" customFormat="false" ht="15" hidden="false" customHeight="false" outlineLevel="0" collapsed="false">
      <c r="A3612" s="33" t="n">
        <v>46309</v>
      </c>
      <c r="B3612" s="0" t="n">
        <v>16</v>
      </c>
      <c r="C3612" s="0" t="n">
        <v>8076</v>
      </c>
      <c r="E3612" s="0" t="n">
        <v>0</v>
      </c>
      <c r="F3612" s="27" t="s">
        <v>1638</v>
      </c>
      <c r="I3612" s="27" t="s">
        <v>166</v>
      </c>
      <c r="U3612" s="0" t="n">
        <v>50</v>
      </c>
      <c r="V3612" s="0" t="n">
        <v>0</v>
      </c>
      <c r="W3612" s="27" t="n">
        <f aca="false">MATCH(A3612,DATAS,0)</f>
        <v>1</v>
      </c>
      <c r="X3612" s="27" t="n">
        <f aca="false">IF(AND(E3612&gt;0,OR(AND(B3612&gt;=1,B3612&lt;=6),B3612=10)),1,0)</f>
        <v>0</v>
      </c>
      <c r="Y3612" s="27" t="n">
        <f aca="false">IF(AND(E3612&gt;0,B3612=10),1,0)</f>
        <v>0</v>
      </c>
      <c r="Z3612" s="0" t="str">
        <f aca="false">IF(AND(C3611=C3612,W3611=W3612-1),X3611,"")</f>
        <v/>
      </c>
      <c r="AA3612" s="0" t="str">
        <f aca="false">IF(AND(C3611=C3612,W3611=W3612-1),Y3611,"")</f>
        <v/>
      </c>
      <c r="AB3612" s="0" t="str">
        <f aca="false">IF(W3612=1,"",IF(AND(X3612=1,Z3612&lt;&gt;1),1,0))</f>
        <v/>
      </c>
      <c r="AC3612" s="0" t="str">
        <f aca="false">IF(W3612=1,"",IF(AND(Y3612=1,AA3612&lt;&gt;1),1,0))</f>
        <v/>
      </c>
      <c r="AD3612" s="33" t="str">
        <f aca="false">IF(AND(E3612&gt;0,W3612&lt;1,NOT(AND(C3613=C3612,W3613=W3612+1))),INDEX(DATAS,W3612+1),"")</f>
        <v/>
      </c>
      <c r="AE3612" s="33" t="str">
        <f aca="false">IF(AND(Y3612=1,W3612&lt;1),IF(AND(C3613=C3612,W3613=W3612+1),IF(Y3613=1,"",INDEX(DATAS,W3612+1)),INDEX(DATAS,W3612+1)),"")</f>
        <v/>
      </c>
    </row>
    <row r="3613" customFormat="false" ht="15" hidden="false" customHeight="false" outlineLevel="0" collapsed="false">
      <c r="A3613" s="33" t="n">
        <v>46309</v>
      </c>
      <c r="B3613" s="0" t="n">
        <v>16</v>
      </c>
      <c r="C3613" s="0" t="n">
        <v>8077</v>
      </c>
      <c r="E3613" s="0" t="n">
        <v>0</v>
      </c>
      <c r="F3613" s="27" t="s">
        <v>1639</v>
      </c>
      <c r="I3613" s="27" t="s">
        <v>166</v>
      </c>
      <c r="U3613" s="0" t="n">
        <v>49</v>
      </c>
      <c r="V3613" s="0" t="n">
        <v>0</v>
      </c>
      <c r="W3613" s="27" t="n">
        <f aca="false">MATCH(A3613,DATAS,0)</f>
        <v>1</v>
      </c>
      <c r="X3613" s="27" t="n">
        <f aca="false">IF(AND(E3613&gt;0,OR(AND(B3613&gt;=1,B3613&lt;=6),B3613=10)),1,0)</f>
        <v>0</v>
      </c>
      <c r="Y3613" s="27" t="n">
        <f aca="false">IF(AND(E3613&gt;0,B3613=10),1,0)</f>
        <v>0</v>
      </c>
      <c r="Z3613" s="0" t="str">
        <f aca="false">IF(AND(C3612=C3613,W3612=W3613-1),X3612,"")</f>
        <v/>
      </c>
      <c r="AA3613" s="0" t="str">
        <f aca="false">IF(AND(C3612=C3613,W3612=W3613-1),Y3612,"")</f>
        <v/>
      </c>
      <c r="AB3613" s="0" t="str">
        <f aca="false">IF(W3613=1,"",IF(AND(X3613=1,Z3613&lt;&gt;1),1,0))</f>
        <v/>
      </c>
      <c r="AC3613" s="0" t="str">
        <f aca="false">IF(W3613=1,"",IF(AND(Y3613=1,AA3613&lt;&gt;1),1,0))</f>
        <v/>
      </c>
      <c r="AD3613" s="33" t="str">
        <f aca="false">IF(AND(E3613&gt;0,W3613&lt;1,NOT(AND(C3614=C3613,W3614=W3613+1))),INDEX(DATAS,W3613+1),"")</f>
        <v/>
      </c>
      <c r="AE3613" s="33" t="str">
        <f aca="false">IF(AND(Y3613=1,W3613&lt;1),IF(AND(C3614=C3613,W3614=W3613+1),IF(Y3614=1,"",INDEX(DATAS,W3613+1)),INDEX(DATAS,W3613+1)),"")</f>
        <v/>
      </c>
    </row>
    <row r="3614" customFormat="false" ht="15" hidden="false" customHeight="false" outlineLevel="0" collapsed="false">
      <c r="A3614" s="33" t="n">
        <v>46309</v>
      </c>
      <c r="B3614" s="0" t="n">
        <v>16</v>
      </c>
      <c r="C3614" s="0" t="n">
        <v>8078</v>
      </c>
      <c r="E3614" s="0" t="n">
        <v>0</v>
      </c>
      <c r="F3614" s="27" t="s">
        <v>1639</v>
      </c>
      <c r="I3614" s="27" t="s">
        <v>166</v>
      </c>
      <c r="U3614" s="0" t="n">
        <v>49</v>
      </c>
      <c r="V3614" s="0" t="n">
        <v>0</v>
      </c>
      <c r="W3614" s="27" t="n">
        <f aca="false">MATCH(A3614,DATAS,0)</f>
        <v>1</v>
      </c>
      <c r="X3614" s="27" t="n">
        <f aca="false">IF(AND(E3614&gt;0,OR(AND(B3614&gt;=1,B3614&lt;=6),B3614=10)),1,0)</f>
        <v>0</v>
      </c>
      <c r="Y3614" s="27" t="n">
        <f aca="false">IF(AND(E3614&gt;0,B3614=10),1,0)</f>
        <v>0</v>
      </c>
      <c r="Z3614" s="0" t="str">
        <f aca="false">IF(AND(C3613=C3614,W3613=W3614-1),X3613,"")</f>
        <v/>
      </c>
      <c r="AA3614" s="0" t="str">
        <f aca="false">IF(AND(C3613=C3614,W3613=W3614-1),Y3613,"")</f>
        <v/>
      </c>
      <c r="AB3614" s="0" t="str">
        <f aca="false">IF(W3614=1,"",IF(AND(X3614=1,Z3614&lt;&gt;1),1,0))</f>
        <v/>
      </c>
      <c r="AC3614" s="0" t="str">
        <f aca="false">IF(W3614=1,"",IF(AND(Y3614=1,AA3614&lt;&gt;1),1,0))</f>
        <v/>
      </c>
      <c r="AD3614" s="33" t="str">
        <f aca="false">IF(AND(E3614&gt;0,W3614&lt;1,NOT(AND(C3615=C3614,W3615=W3614+1))),INDEX(DATAS,W3614+1),"")</f>
        <v/>
      </c>
      <c r="AE3614" s="33" t="str">
        <f aca="false">IF(AND(Y3614=1,W3614&lt;1),IF(AND(C3615=C3614,W3615=W3614+1),IF(Y3615=1,"",INDEX(DATAS,W3614+1)),INDEX(DATAS,W3614+1)),"")</f>
        <v/>
      </c>
    </row>
    <row r="3615" customFormat="false" ht="15" hidden="false" customHeight="false" outlineLevel="0" collapsed="false">
      <c r="A3615" s="33" t="n">
        <v>46309</v>
      </c>
      <c r="B3615" s="0" t="n">
        <v>16</v>
      </c>
      <c r="C3615" s="0" t="n">
        <v>8079</v>
      </c>
      <c r="E3615" s="0" t="n">
        <v>0</v>
      </c>
      <c r="F3615" s="27" t="s">
        <v>1639</v>
      </c>
      <c r="I3615" s="27" t="s">
        <v>166</v>
      </c>
      <c r="U3615" s="0" t="n">
        <v>49</v>
      </c>
      <c r="V3615" s="0" t="n">
        <v>0</v>
      </c>
      <c r="W3615" s="27" t="n">
        <f aca="false">MATCH(A3615,DATAS,0)</f>
        <v>1</v>
      </c>
      <c r="X3615" s="27" t="n">
        <f aca="false">IF(AND(E3615&gt;0,OR(AND(B3615&gt;=1,B3615&lt;=6),B3615=10)),1,0)</f>
        <v>0</v>
      </c>
      <c r="Y3615" s="27" t="n">
        <f aca="false">IF(AND(E3615&gt;0,B3615=10),1,0)</f>
        <v>0</v>
      </c>
      <c r="Z3615" s="0" t="str">
        <f aca="false">IF(AND(C3614=C3615,W3614=W3615-1),X3614,"")</f>
        <v/>
      </c>
      <c r="AA3615" s="0" t="str">
        <f aca="false">IF(AND(C3614=C3615,W3614=W3615-1),Y3614,"")</f>
        <v/>
      </c>
      <c r="AB3615" s="0" t="str">
        <f aca="false">IF(W3615=1,"",IF(AND(X3615=1,Z3615&lt;&gt;1),1,0))</f>
        <v/>
      </c>
      <c r="AC3615" s="0" t="str">
        <f aca="false">IF(W3615=1,"",IF(AND(Y3615=1,AA3615&lt;&gt;1),1,0))</f>
        <v/>
      </c>
      <c r="AD3615" s="33" t="str">
        <f aca="false">IF(AND(E3615&gt;0,W3615&lt;1,NOT(AND(C3616=C3615,W3616=W3615+1))),INDEX(DATAS,W3615+1),"")</f>
        <v/>
      </c>
      <c r="AE3615" s="33" t="str">
        <f aca="false">IF(AND(Y3615=1,W3615&lt;1),IF(AND(C3616=C3615,W3616=W3615+1),IF(Y3616=1,"",INDEX(DATAS,W3615+1)),INDEX(DATAS,W3615+1)),"")</f>
        <v/>
      </c>
    </row>
    <row r="3616" customFormat="false" ht="15" hidden="false" customHeight="false" outlineLevel="0" collapsed="false">
      <c r="A3616" s="33" t="n">
        <v>46309</v>
      </c>
      <c r="B3616" s="0" t="n">
        <v>16</v>
      </c>
      <c r="C3616" s="0" t="n">
        <v>8080</v>
      </c>
      <c r="E3616" s="0" t="n">
        <v>0</v>
      </c>
      <c r="F3616" s="27" t="s">
        <v>1639</v>
      </c>
      <c r="I3616" s="27" t="s">
        <v>166</v>
      </c>
      <c r="U3616" s="0" t="n">
        <v>49</v>
      </c>
      <c r="V3616" s="0" t="n">
        <v>0</v>
      </c>
      <c r="W3616" s="27" t="n">
        <f aca="false">MATCH(A3616,DATAS,0)</f>
        <v>1</v>
      </c>
      <c r="X3616" s="27" t="n">
        <f aca="false">IF(AND(E3616&gt;0,OR(AND(B3616&gt;=1,B3616&lt;=6),B3616=10)),1,0)</f>
        <v>0</v>
      </c>
      <c r="Y3616" s="27" t="n">
        <f aca="false">IF(AND(E3616&gt;0,B3616=10),1,0)</f>
        <v>0</v>
      </c>
      <c r="Z3616" s="0" t="str">
        <f aca="false">IF(AND(C3615=C3616,W3615=W3616-1),X3615,"")</f>
        <v/>
      </c>
      <c r="AA3616" s="0" t="str">
        <f aca="false">IF(AND(C3615=C3616,W3615=W3616-1),Y3615,"")</f>
        <v/>
      </c>
      <c r="AB3616" s="0" t="str">
        <f aca="false">IF(W3616=1,"",IF(AND(X3616=1,Z3616&lt;&gt;1),1,0))</f>
        <v/>
      </c>
      <c r="AC3616" s="0" t="str">
        <f aca="false">IF(W3616=1,"",IF(AND(Y3616=1,AA3616&lt;&gt;1),1,0))</f>
        <v/>
      </c>
      <c r="AD3616" s="33" t="str">
        <f aca="false">IF(AND(E3616&gt;0,W3616&lt;1,NOT(AND(C3617=C3616,W3617=W3616+1))),INDEX(DATAS,W3616+1),"")</f>
        <v/>
      </c>
      <c r="AE3616" s="33" t="str">
        <f aca="false">IF(AND(Y3616=1,W3616&lt;1),IF(AND(C3617=C3616,W3617=W3616+1),IF(Y3617=1,"",INDEX(DATAS,W3616+1)),INDEX(DATAS,W3616+1)),"")</f>
        <v/>
      </c>
    </row>
    <row r="3617" customFormat="false" ht="15" hidden="false" customHeight="false" outlineLevel="0" collapsed="false">
      <c r="A3617" s="33" t="n">
        <v>46309</v>
      </c>
      <c r="B3617" s="0" t="n">
        <v>16</v>
      </c>
      <c r="C3617" s="0" t="n">
        <v>8081</v>
      </c>
      <c r="E3617" s="0" t="n">
        <v>0</v>
      </c>
      <c r="F3617" s="27" t="s">
        <v>1640</v>
      </c>
      <c r="I3617" s="27" t="s">
        <v>166</v>
      </c>
      <c r="U3617" s="0" t="n">
        <v>48</v>
      </c>
      <c r="V3617" s="0" t="n">
        <v>0</v>
      </c>
      <c r="W3617" s="27" t="n">
        <f aca="false">MATCH(A3617,DATAS,0)</f>
        <v>1</v>
      </c>
      <c r="X3617" s="27" t="n">
        <f aca="false">IF(AND(E3617&gt;0,OR(AND(B3617&gt;=1,B3617&lt;=6),B3617=10)),1,0)</f>
        <v>0</v>
      </c>
      <c r="Y3617" s="27" t="n">
        <f aca="false">IF(AND(E3617&gt;0,B3617=10),1,0)</f>
        <v>0</v>
      </c>
      <c r="Z3617" s="0" t="str">
        <f aca="false">IF(AND(C3616=C3617,W3616=W3617-1),X3616,"")</f>
        <v/>
      </c>
      <c r="AA3617" s="0" t="str">
        <f aca="false">IF(AND(C3616=C3617,W3616=W3617-1),Y3616,"")</f>
        <v/>
      </c>
      <c r="AB3617" s="0" t="str">
        <f aca="false">IF(W3617=1,"",IF(AND(X3617=1,Z3617&lt;&gt;1),1,0))</f>
        <v/>
      </c>
      <c r="AC3617" s="0" t="str">
        <f aca="false">IF(W3617=1,"",IF(AND(Y3617=1,AA3617&lt;&gt;1),1,0))</f>
        <v/>
      </c>
      <c r="AD3617" s="33" t="str">
        <f aca="false">IF(AND(E3617&gt;0,W3617&lt;1,NOT(AND(C3618=C3617,W3618=W3617+1))),INDEX(DATAS,W3617+1),"")</f>
        <v/>
      </c>
      <c r="AE3617" s="33" t="str">
        <f aca="false">IF(AND(Y3617=1,W3617&lt;1),IF(AND(C3618=C3617,W3618=W3617+1),IF(Y3618=1,"",INDEX(DATAS,W3617+1)),INDEX(DATAS,W3617+1)),"")</f>
        <v/>
      </c>
    </row>
    <row r="3618" customFormat="false" ht="15" hidden="false" customHeight="false" outlineLevel="0" collapsed="false">
      <c r="A3618" s="33" t="n">
        <v>46309</v>
      </c>
      <c r="B3618" s="0" t="n">
        <v>16</v>
      </c>
      <c r="C3618" s="0" t="n">
        <v>8082</v>
      </c>
      <c r="E3618" s="0" t="n">
        <v>0</v>
      </c>
      <c r="F3618" s="27" t="s">
        <v>1640</v>
      </c>
      <c r="I3618" s="27" t="s">
        <v>166</v>
      </c>
      <c r="U3618" s="0" t="n">
        <v>48</v>
      </c>
      <c r="V3618" s="0" t="n">
        <v>0</v>
      </c>
      <c r="W3618" s="27" t="n">
        <f aca="false">MATCH(A3618,DATAS,0)</f>
        <v>1</v>
      </c>
      <c r="X3618" s="27" t="n">
        <f aca="false">IF(AND(E3618&gt;0,OR(AND(B3618&gt;=1,B3618&lt;=6),B3618=10)),1,0)</f>
        <v>0</v>
      </c>
      <c r="Y3618" s="27" t="n">
        <f aca="false">IF(AND(E3618&gt;0,B3618=10),1,0)</f>
        <v>0</v>
      </c>
      <c r="Z3618" s="0" t="str">
        <f aca="false">IF(AND(C3617=C3618,W3617=W3618-1),X3617,"")</f>
        <v/>
      </c>
      <c r="AA3618" s="0" t="str">
        <f aca="false">IF(AND(C3617=C3618,W3617=W3618-1),Y3617,"")</f>
        <v/>
      </c>
      <c r="AB3618" s="0" t="str">
        <f aca="false">IF(W3618=1,"",IF(AND(X3618=1,Z3618&lt;&gt;1),1,0))</f>
        <v/>
      </c>
      <c r="AC3618" s="0" t="str">
        <f aca="false">IF(W3618=1,"",IF(AND(Y3618=1,AA3618&lt;&gt;1),1,0))</f>
        <v/>
      </c>
      <c r="AD3618" s="33" t="str">
        <f aca="false">IF(AND(E3618&gt;0,W3618&lt;1,NOT(AND(C3619=C3618,W3619=W3618+1))),INDEX(DATAS,W3618+1),"")</f>
        <v/>
      </c>
      <c r="AE3618" s="33" t="str">
        <f aca="false">IF(AND(Y3618=1,W3618&lt;1),IF(AND(C3619=C3618,W3619=W3618+1),IF(Y3619=1,"",INDEX(DATAS,W3618+1)),INDEX(DATAS,W3618+1)),"")</f>
        <v/>
      </c>
    </row>
    <row r="3619" customFormat="false" ht="15" hidden="false" customHeight="false" outlineLevel="0" collapsed="false">
      <c r="A3619" s="33" t="n">
        <v>46309</v>
      </c>
      <c r="B3619" s="0" t="n">
        <v>16</v>
      </c>
      <c r="C3619" s="0" t="n">
        <v>8083</v>
      </c>
      <c r="E3619" s="0" t="n">
        <v>0</v>
      </c>
      <c r="F3619" s="27" t="s">
        <v>1640</v>
      </c>
      <c r="I3619" s="27" t="s">
        <v>166</v>
      </c>
      <c r="U3619" s="0" t="n">
        <v>48</v>
      </c>
      <c r="V3619" s="0" t="n">
        <v>0</v>
      </c>
      <c r="W3619" s="27" t="n">
        <f aca="false">MATCH(A3619,DATAS,0)</f>
        <v>1</v>
      </c>
      <c r="X3619" s="27" t="n">
        <f aca="false">IF(AND(E3619&gt;0,OR(AND(B3619&gt;=1,B3619&lt;=6),B3619=10)),1,0)</f>
        <v>0</v>
      </c>
      <c r="Y3619" s="27" t="n">
        <f aca="false">IF(AND(E3619&gt;0,B3619=10),1,0)</f>
        <v>0</v>
      </c>
      <c r="Z3619" s="0" t="str">
        <f aca="false">IF(AND(C3618=C3619,W3618=W3619-1),X3618,"")</f>
        <v/>
      </c>
      <c r="AA3619" s="0" t="str">
        <f aca="false">IF(AND(C3618=C3619,W3618=W3619-1),Y3618,"")</f>
        <v/>
      </c>
      <c r="AB3619" s="0" t="str">
        <f aca="false">IF(W3619=1,"",IF(AND(X3619=1,Z3619&lt;&gt;1),1,0))</f>
        <v/>
      </c>
      <c r="AC3619" s="0" t="str">
        <f aca="false">IF(W3619=1,"",IF(AND(Y3619=1,AA3619&lt;&gt;1),1,0))</f>
        <v/>
      </c>
      <c r="AD3619" s="33" t="str">
        <f aca="false">IF(AND(E3619&gt;0,W3619&lt;1,NOT(AND(C3620=C3619,W3620=W3619+1))),INDEX(DATAS,W3619+1),"")</f>
        <v/>
      </c>
      <c r="AE3619" s="33" t="str">
        <f aca="false">IF(AND(Y3619=1,W3619&lt;1),IF(AND(C3620=C3619,W3620=W3619+1),IF(Y3620=1,"",INDEX(DATAS,W3619+1)),INDEX(DATAS,W3619+1)),"")</f>
        <v/>
      </c>
    </row>
    <row r="3620" customFormat="false" ht="15" hidden="false" customHeight="false" outlineLevel="0" collapsed="false">
      <c r="A3620" s="33" t="n">
        <v>46309</v>
      </c>
      <c r="B3620" s="0" t="n">
        <v>16</v>
      </c>
      <c r="C3620" s="0" t="n">
        <v>8084</v>
      </c>
      <c r="E3620" s="0" t="n">
        <v>0</v>
      </c>
      <c r="F3620" s="27" t="s">
        <v>1641</v>
      </c>
      <c r="I3620" s="27" t="s">
        <v>166</v>
      </c>
      <c r="U3620" s="0" t="n">
        <v>46</v>
      </c>
      <c r="V3620" s="0" t="n">
        <v>0</v>
      </c>
      <c r="W3620" s="27" t="n">
        <f aca="false">MATCH(A3620,DATAS,0)</f>
        <v>1</v>
      </c>
      <c r="X3620" s="27" t="n">
        <f aca="false">IF(AND(E3620&gt;0,OR(AND(B3620&gt;=1,B3620&lt;=6),B3620=10)),1,0)</f>
        <v>0</v>
      </c>
      <c r="Y3620" s="27" t="n">
        <f aca="false">IF(AND(E3620&gt;0,B3620=10),1,0)</f>
        <v>0</v>
      </c>
      <c r="Z3620" s="0" t="str">
        <f aca="false">IF(AND(C3619=C3620,W3619=W3620-1),X3619,"")</f>
        <v/>
      </c>
      <c r="AA3620" s="0" t="str">
        <f aca="false">IF(AND(C3619=C3620,W3619=W3620-1),Y3619,"")</f>
        <v/>
      </c>
      <c r="AB3620" s="0" t="str">
        <f aca="false">IF(W3620=1,"",IF(AND(X3620=1,Z3620&lt;&gt;1),1,0))</f>
        <v/>
      </c>
      <c r="AC3620" s="0" t="str">
        <f aca="false">IF(W3620=1,"",IF(AND(Y3620=1,AA3620&lt;&gt;1),1,0))</f>
        <v/>
      </c>
      <c r="AD3620" s="33" t="str">
        <f aca="false">IF(AND(E3620&gt;0,W3620&lt;1,NOT(AND(C3621=C3620,W3621=W3620+1))),INDEX(DATAS,W3620+1),"")</f>
        <v/>
      </c>
      <c r="AE3620" s="33" t="str">
        <f aca="false">IF(AND(Y3620=1,W3620&lt;1),IF(AND(C3621=C3620,W3621=W3620+1),IF(Y3621=1,"",INDEX(DATAS,W3620+1)),INDEX(DATAS,W3620+1)),"")</f>
        <v/>
      </c>
    </row>
    <row r="3621" customFormat="false" ht="15" hidden="false" customHeight="false" outlineLevel="0" collapsed="false">
      <c r="A3621" s="33" t="n">
        <v>46309</v>
      </c>
      <c r="B3621" s="0" t="n">
        <v>16</v>
      </c>
      <c r="C3621" s="0" t="n">
        <v>8085</v>
      </c>
      <c r="E3621" s="0" t="n">
        <v>0</v>
      </c>
      <c r="F3621" s="27" t="s">
        <v>1641</v>
      </c>
      <c r="I3621" s="27" t="s">
        <v>166</v>
      </c>
      <c r="U3621" s="0" t="n">
        <v>46</v>
      </c>
      <c r="V3621" s="0" t="n">
        <v>0</v>
      </c>
      <c r="W3621" s="27" t="n">
        <f aca="false">MATCH(A3621,DATAS,0)</f>
        <v>1</v>
      </c>
      <c r="X3621" s="27" t="n">
        <f aca="false">IF(AND(E3621&gt;0,OR(AND(B3621&gt;=1,B3621&lt;=6),B3621=10)),1,0)</f>
        <v>0</v>
      </c>
      <c r="Y3621" s="27" t="n">
        <f aca="false">IF(AND(E3621&gt;0,B3621=10),1,0)</f>
        <v>0</v>
      </c>
      <c r="Z3621" s="0" t="str">
        <f aca="false">IF(AND(C3620=C3621,W3620=W3621-1),X3620,"")</f>
        <v/>
      </c>
      <c r="AA3621" s="0" t="str">
        <f aca="false">IF(AND(C3620=C3621,W3620=W3621-1),Y3620,"")</f>
        <v/>
      </c>
      <c r="AB3621" s="0" t="str">
        <f aca="false">IF(W3621=1,"",IF(AND(X3621=1,Z3621&lt;&gt;1),1,0))</f>
        <v/>
      </c>
      <c r="AC3621" s="0" t="str">
        <f aca="false">IF(W3621=1,"",IF(AND(Y3621=1,AA3621&lt;&gt;1),1,0))</f>
        <v/>
      </c>
      <c r="AD3621" s="33" t="str">
        <f aca="false">IF(AND(E3621&gt;0,W3621&lt;1,NOT(AND(C3622=C3621,W3622=W3621+1))),INDEX(DATAS,W3621+1),"")</f>
        <v/>
      </c>
      <c r="AE3621" s="33" t="str">
        <f aca="false">IF(AND(Y3621=1,W3621&lt;1),IF(AND(C3622=C3621,W3622=W3621+1),IF(Y3622=1,"",INDEX(DATAS,W3621+1)),INDEX(DATAS,W3621+1)),"")</f>
        <v/>
      </c>
    </row>
    <row r="3622" customFormat="false" ht="15" hidden="false" customHeight="false" outlineLevel="0" collapsed="false">
      <c r="A3622" s="33" t="n">
        <v>46309</v>
      </c>
      <c r="B3622" s="0" t="n">
        <v>16</v>
      </c>
      <c r="C3622" s="0" t="n">
        <v>8086</v>
      </c>
      <c r="E3622" s="0" t="n">
        <v>0</v>
      </c>
      <c r="F3622" s="27" t="s">
        <v>1642</v>
      </c>
      <c r="I3622" s="27" t="s">
        <v>166</v>
      </c>
      <c r="U3622" s="0" t="n">
        <v>44</v>
      </c>
      <c r="V3622" s="0" t="n">
        <v>0</v>
      </c>
      <c r="W3622" s="27" t="n">
        <f aca="false">MATCH(A3622,DATAS,0)</f>
        <v>1</v>
      </c>
      <c r="X3622" s="27" t="n">
        <f aca="false">IF(AND(E3622&gt;0,OR(AND(B3622&gt;=1,B3622&lt;=6),B3622=10)),1,0)</f>
        <v>0</v>
      </c>
      <c r="Y3622" s="27" t="n">
        <f aca="false">IF(AND(E3622&gt;0,B3622=10),1,0)</f>
        <v>0</v>
      </c>
      <c r="Z3622" s="0" t="str">
        <f aca="false">IF(AND(C3621=C3622,W3621=W3622-1),X3621,"")</f>
        <v/>
      </c>
      <c r="AA3622" s="0" t="str">
        <f aca="false">IF(AND(C3621=C3622,W3621=W3622-1),Y3621,"")</f>
        <v/>
      </c>
      <c r="AB3622" s="0" t="str">
        <f aca="false">IF(W3622=1,"",IF(AND(X3622=1,Z3622&lt;&gt;1),1,0))</f>
        <v/>
      </c>
      <c r="AC3622" s="0" t="str">
        <f aca="false">IF(W3622=1,"",IF(AND(Y3622=1,AA3622&lt;&gt;1),1,0))</f>
        <v/>
      </c>
      <c r="AD3622" s="33" t="str">
        <f aca="false">IF(AND(E3622&gt;0,W3622&lt;1,NOT(AND(C3623=C3622,W3623=W3622+1))),INDEX(DATAS,W3622+1),"")</f>
        <v/>
      </c>
      <c r="AE3622" s="33" t="str">
        <f aca="false">IF(AND(Y3622=1,W3622&lt;1),IF(AND(C3623=C3622,W3623=W3622+1),IF(Y3623=1,"",INDEX(DATAS,W3622+1)),INDEX(DATAS,W3622+1)),"")</f>
        <v/>
      </c>
    </row>
    <row r="3623" customFormat="false" ht="15" hidden="false" customHeight="false" outlineLevel="0" collapsed="false">
      <c r="A3623" s="33" t="n">
        <v>46309</v>
      </c>
      <c r="B3623" s="0" t="n">
        <v>16</v>
      </c>
      <c r="C3623" s="0" t="n">
        <v>8087</v>
      </c>
      <c r="E3623" s="0" t="n">
        <v>0</v>
      </c>
      <c r="F3623" s="27" t="s">
        <v>1641</v>
      </c>
      <c r="I3623" s="27" t="s">
        <v>166</v>
      </c>
      <c r="U3623" s="0" t="n">
        <v>46</v>
      </c>
      <c r="V3623" s="0" t="n">
        <v>0</v>
      </c>
      <c r="W3623" s="27" t="n">
        <f aca="false">MATCH(A3623,DATAS,0)</f>
        <v>1</v>
      </c>
      <c r="X3623" s="27" t="n">
        <f aca="false">IF(AND(E3623&gt;0,OR(AND(B3623&gt;=1,B3623&lt;=6),B3623=10)),1,0)</f>
        <v>0</v>
      </c>
      <c r="Y3623" s="27" t="n">
        <f aca="false">IF(AND(E3623&gt;0,B3623=10),1,0)</f>
        <v>0</v>
      </c>
      <c r="Z3623" s="0" t="str">
        <f aca="false">IF(AND(C3622=C3623,W3622=W3623-1),X3622,"")</f>
        <v/>
      </c>
      <c r="AA3623" s="0" t="str">
        <f aca="false">IF(AND(C3622=C3623,W3622=W3623-1),Y3622,"")</f>
        <v/>
      </c>
      <c r="AB3623" s="0" t="str">
        <f aca="false">IF(W3623=1,"",IF(AND(X3623=1,Z3623&lt;&gt;1),1,0))</f>
        <v/>
      </c>
      <c r="AC3623" s="0" t="str">
        <f aca="false">IF(W3623=1,"",IF(AND(Y3623=1,AA3623&lt;&gt;1),1,0))</f>
        <v/>
      </c>
      <c r="AD3623" s="33" t="str">
        <f aca="false">IF(AND(E3623&gt;0,W3623&lt;1,NOT(AND(C3624=C3623,W3624=W3623+1))),INDEX(DATAS,W3623+1),"")</f>
        <v/>
      </c>
      <c r="AE3623" s="33" t="str">
        <f aca="false">IF(AND(Y3623=1,W3623&lt;1),IF(AND(C3624=C3623,W3624=W3623+1),IF(Y3624=1,"",INDEX(DATAS,W3623+1)),INDEX(DATAS,W3623+1)),"")</f>
        <v/>
      </c>
    </row>
    <row r="3624" customFormat="false" ht="15" hidden="false" customHeight="false" outlineLevel="0" collapsed="false">
      <c r="A3624" s="33" t="n">
        <v>46309</v>
      </c>
      <c r="B3624" s="0" t="n">
        <v>16</v>
      </c>
      <c r="C3624" s="0" t="n">
        <v>8088</v>
      </c>
      <c r="E3624" s="0" t="n">
        <v>0</v>
      </c>
      <c r="F3624" s="27" t="s">
        <v>1641</v>
      </c>
      <c r="I3624" s="27" t="s">
        <v>166</v>
      </c>
      <c r="U3624" s="0" t="n">
        <v>46</v>
      </c>
      <c r="V3624" s="0" t="n">
        <v>0</v>
      </c>
      <c r="W3624" s="27" t="n">
        <f aca="false">MATCH(A3624,DATAS,0)</f>
        <v>1</v>
      </c>
      <c r="X3624" s="27" t="n">
        <f aca="false">IF(AND(E3624&gt;0,OR(AND(B3624&gt;=1,B3624&lt;=6),B3624=10)),1,0)</f>
        <v>0</v>
      </c>
      <c r="Y3624" s="27" t="n">
        <f aca="false">IF(AND(E3624&gt;0,B3624=10),1,0)</f>
        <v>0</v>
      </c>
      <c r="Z3624" s="0" t="str">
        <f aca="false">IF(AND(C3623=C3624,W3623=W3624-1),X3623,"")</f>
        <v/>
      </c>
      <c r="AA3624" s="0" t="str">
        <f aca="false">IF(AND(C3623=C3624,W3623=W3624-1),Y3623,"")</f>
        <v/>
      </c>
      <c r="AB3624" s="0" t="str">
        <f aca="false">IF(W3624=1,"",IF(AND(X3624=1,Z3624&lt;&gt;1),1,0))</f>
        <v/>
      </c>
      <c r="AC3624" s="0" t="str">
        <f aca="false">IF(W3624=1,"",IF(AND(Y3624=1,AA3624&lt;&gt;1),1,0))</f>
        <v/>
      </c>
      <c r="AD3624" s="33" t="str">
        <f aca="false">IF(AND(E3624&gt;0,W3624&lt;1,NOT(AND(C3625=C3624,W3625=W3624+1))),INDEX(DATAS,W3624+1),"")</f>
        <v/>
      </c>
      <c r="AE3624" s="33" t="str">
        <f aca="false">IF(AND(Y3624=1,W3624&lt;1),IF(AND(C3625=C3624,W3625=W3624+1),IF(Y3625=1,"",INDEX(DATAS,W3624+1)),INDEX(DATAS,W3624+1)),"")</f>
        <v/>
      </c>
    </row>
    <row r="3625" customFormat="false" ht="15" hidden="false" customHeight="false" outlineLevel="0" collapsed="false">
      <c r="A3625" s="33" t="n">
        <v>46309</v>
      </c>
      <c r="B3625" s="0" t="n">
        <v>16</v>
      </c>
      <c r="C3625" s="0" t="n">
        <v>8089</v>
      </c>
      <c r="E3625" s="0" t="n">
        <v>0</v>
      </c>
      <c r="F3625" s="27" t="s">
        <v>1643</v>
      </c>
      <c r="I3625" s="27" t="s">
        <v>166</v>
      </c>
      <c r="U3625" s="0" t="n">
        <v>45</v>
      </c>
      <c r="V3625" s="0" t="n">
        <v>0</v>
      </c>
      <c r="W3625" s="27" t="n">
        <f aca="false">MATCH(A3625,DATAS,0)</f>
        <v>1</v>
      </c>
      <c r="X3625" s="27" t="n">
        <f aca="false">IF(AND(E3625&gt;0,OR(AND(B3625&gt;=1,B3625&lt;=6),B3625=10)),1,0)</f>
        <v>0</v>
      </c>
      <c r="Y3625" s="27" t="n">
        <f aca="false">IF(AND(E3625&gt;0,B3625=10),1,0)</f>
        <v>0</v>
      </c>
      <c r="Z3625" s="0" t="str">
        <f aca="false">IF(AND(C3624=C3625,W3624=W3625-1),X3624,"")</f>
        <v/>
      </c>
      <c r="AA3625" s="0" t="str">
        <f aca="false">IF(AND(C3624=C3625,W3624=W3625-1),Y3624,"")</f>
        <v/>
      </c>
      <c r="AB3625" s="0" t="str">
        <f aca="false">IF(W3625=1,"",IF(AND(X3625=1,Z3625&lt;&gt;1),1,0))</f>
        <v/>
      </c>
      <c r="AC3625" s="0" t="str">
        <f aca="false">IF(W3625=1,"",IF(AND(Y3625=1,AA3625&lt;&gt;1),1,0))</f>
        <v/>
      </c>
      <c r="AD3625" s="33" t="str">
        <f aca="false">IF(AND(E3625&gt;0,W3625&lt;1,NOT(AND(C3626=C3625,W3626=W3625+1))),INDEX(DATAS,W3625+1),"")</f>
        <v/>
      </c>
      <c r="AE3625" s="33" t="str">
        <f aca="false">IF(AND(Y3625=1,W3625&lt;1),IF(AND(C3626=C3625,W3626=W3625+1),IF(Y3626=1,"",INDEX(DATAS,W3625+1)),INDEX(DATAS,W3625+1)),"")</f>
        <v/>
      </c>
    </row>
    <row r="3626" customFormat="false" ht="15" hidden="false" customHeight="false" outlineLevel="0" collapsed="false">
      <c r="A3626" s="33" t="n">
        <v>46309</v>
      </c>
      <c r="B3626" s="0" t="n">
        <v>16</v>
      </c>
      <c r="C3626" s="0" t="n">
        <v>8090</v>
      </c>
      <c r="E3626" s="0" t="n">
        <v>0</v>
      </c>
      <c r="F3626" s="27" t="s">
        <v>1643</v>
      </c>
      <c r="I3626" s="27" t="s">
        <v>166</v>
      </c>
      <c r="U3626" s="0" t="n">
        <v>45</v>
      </c>
      <c r="V3626" s="0" t="n">
        <v>0</v>
      </c>
      <c r="W3626" s="27" t="n">
        <f aca="false">MATCH(A3626,DATAS,0)</f>
        <v>1</v>
      </c>
      <c r="X3626" s="27" t="n">
        <f aca="false">IF(AND(E3626&gt;0,OR(AND(B3626&gt;=1,B3626&lt;=6),B3626=10)),1,0)</f>
        <v>0</v>
      </c>
      <c r="Y3626" s="27" t="n">
        <f aca="false">IF(AND(E3626&gt;0,B3626=10),1,0)</f>
        <v>0</v>
      </c>
      <c r="Z3626" s="0" t="str">
        <f aca="false">IF(AND(C3625=C3626,W3625=W3626-1),X3625,"")</f>
        <v/>
      </c>
      <c r="AA3626" s="0" t="str">
        <f aca="false">IF(AND(C3625=C3626,W3625=W3626-1),Y3625,"")</f>
        <v/>
      </c>
      <c r="AB3626" s="0" t="str">
        <f aca="false">IF(W3626=1,"",IF(AND(X3626=1,Z3626&lt;&gt;1),1,0))</f>
        <v/>
      </c>
      <c r="AC3626" s="0" t="str">
        <f aca="false">IF(W3626=1,"",IF(AND(Y3626=1,AA3626&lt;&gt;1),1,0))</f>
        <v/>
      </c>
      <c r="AD3626" s="33" t="str">
        <f aca="false">IF(AND(E3626&gt;0,W3626&lt;1,NOT(AND(C3627=C3626,W3627=W3626+1))),INDEX(DATAS,W3626+1),"")</f>
        <v/>
      </c>
      <c r="AE3626" s="33" t="str">
        <f aca="false">IF(AND(Y3626=1,W3626&lt;1),IF(AND(C3627=C3626,W3627=W3626+1),IF(Y3627=1,"",INDEX(DATAS,W3626+1)),INDEX(DATAS,W3626+1)),"")</f>
        <v/>
      </c>
    </row>
    <row r="3627" customFormat="false" ht="15" hidden="false" customHeight="false" outlineLevel="0" collapsed="false">
      <c r="A3627" s="33" t="n">
        <v>46309</v>
      </c>
      <c r="B3627" s="0" t="n">
        <v>16</v>
      </c>
      <c r="C3627" s="0" t="n">
        <v>8091</v>
      </c>
      <c r="E3627" s="0" t="n">
        <v>0</v>
      </c>
      <c r="F3627" s="27" t="s">
        <v>1642</v>
      </c>
      <c r="I3627" s="27" t="s">
        <v>166</v>
      </c>
      <c r="U3627" s="0" t="n">
        <v>44</v>
      </c>
      <c r="V3627" s="0" t="n">
        <v>0</v>
      </c>
      <c r="W3627" s="27" t="n">
        <f aca="false">MATCH(A3627,DATAS,0)</f>
        <v>1</v>
      </c>
      <c r="X3627" s="27" t="n">
        <f aca="false">IF(AND(E3627&gt;0,OR(AND(B3627&gt;=1,B3627&lt;=6),B3627=10)),1,0)</f>
        <v>0</v>
      </c>
      <c r="Y3627" s="27" t="n">
        <f aca="false">IF(AND(E3627&gt;0,B3627=10),1,0)</f>
        <v>0</v>
      </c>
      <c r="Z3627" s="0" t="str">
        <f aca="false">IF(AND(C3626=C3627,W3626=W3627-1),X3626,"")</f>
        <v/>
      </c>
      <c r="AA3627" s="0" t="str">
        <f aca="false">IF(AND(C3626=C3627,W3626=W3627-1),Y3626,"")</f>
        <v/>
      </c>
      <c r="AB3627" s="0" t="str">
        <f aca="false">IF(W3627=1,"",IF(AND(X3627=1,Z3627&lt;&gt;1),1,0))</f>
        <v/>
      </c>
      <c r="AC3627" s="0" t="str">
        <f aca="false">IF(W3627=1,"",IF(AND(Y3627=1,AA3627&lt;&gt;1),1,0))</f>
        <v/>
      </c>
      <c r="AD3627" s="33" t="str">
        <f aca="false">IF(AND(E3627&gt;0,W3627&lt;1,NOT(AND(C3628=C3627,W3628=W3627+1))),INDEX(DATAS,W3627+1),"")</f>
        <v/>
      </c>
      <c r="AE3627" s="33" t="str">
        <f aca="false">IF(AND(Y3627=1,W3627&lt;1),IF(AND(C3628=C3627,W3628=W3627+1),IF(Y3628=1,"",INDEX(DATAS,W3627+1)),INDEX(DATAS,W3627+1)),"")</f>
        <v/>
      </c>
    </row>
    <row r="3628" customFormat="false" ht="15" hidden="false" customHeight="false" outlineLevel="0" collapsed="false">
      <c r="A3628" s="33" t="n">
        <v>46309</v>
      </c>
      <c r="B3628" s="0" t="n">
        <v>16</v>
      </c>
      <c r="C3628" s="0" t="n">
        <v>8092</v>
      </c>
      <c r="E3628" s="0" t="n">
        <v>0</v>
      </c>
      <c r="F3628" s="27" t="s">
        <v>1642</v>
      </c>
      <c r="I3628" s="27" t="s">
        <v>166</v>
      </c>
      <c r="U3628" s="0" t="n">
        <v>44</v>
      </c>
      <c r="V3628" s="0" t="n">
        <v>0</v>
      </c>
      <c r="W3628" s="27" t="n">
        <f aca="false">MATCH(A3628,DATAS,0)</f>
        <v>1</v>
      </c>
      <c r="X3628" s="27" t="n">
        <f aca="false">IF(AND(E3628&gt;0,OR(AND(B3628&gt;=1,B3628&lt;=6),B3628=10)),1,0)</f>
        <v>0</v>
      </c>
      <c r="Y3628" s="27" t="n">
        <f aca="false">IF(AND(E3628&gt;0,B3628=10),1,0)</f>
        <v>0</v>
      </c>
      <c r="Z3628" s="0" t="str">
        <f aca="false">IF(AND(C3627=C3628,W3627=W3628-1),X3627,"")</f>
        <v/>
      </c>
      <c r="AA3628" s="0" t="str">
        <f aca="false">IF(AND(C3627=C3628,W3627=W3628-1),Y3627,"")</f>
        <v/>
      </c>
      <c r="AB3628" s="0" t="str">
        <f aca="false">IF(W3628=1,"",IF(AND(X3628=1,Z3628&lt;&gt;1),1,0))</f>
        <v/>
      </c>
      <c r="AC3628" s="0" t="str">
        <f aca="false">IF(W3628=1,"",IF(AND(Y3628=1,AA3628&lt;&gt;1),1,0))</f>
        <v/>
      </c>
      <c r="AD3628" s="33" t="str">
        <f aca="false">IF(AND(E3628&gt;0,W3628&lt;1,NOT(AND(C3629=C3628,W3629=W3628+1))),INDEX(DATAS,W3628+1),"")</f>
        <v/>
      </c>
      <c r="AE3628" s="33" t="str">
        <f aca="false">IF(AND(Y3628=1,W3628&lt;1),IF(AND(C3629=C3628,W3629=W3628+1),IF(Y3629=1,"",INDEX(DATAS,W3628+1)),INDEX(DATAS,W3628+1)),"")</f>
        <v/>
      </c>
    </row>
    <row r="3629" customFormat="false" ht="15" hidden="false" customHeight="false" outlineLevel="0" collapsed="false">
      <c r="A3629" s="33" t="n">
        <v>46309</v>
      </c>
      <c r="B3629" s="0" t="n">
        <v>16</v>
      </c>
      <c r="C3629" s="0" t="n">
        <v>8093</v>
      </c>
      <c r="E3629" s="0" t="n">
        <v>0</v>
      </c>
      <c r="F3629" s="27" t="s">
        <v>1642</v>
      </c>
      <c r="I3629" s="27" t="s">
        <v>166</v>
      </c>
      <c r="U3629" s="0" t="n">
        <v>44</v>
      </c>
      <c r="V3629" s="0" t="n">
        <v>0</v>
      </c>
      <c r="W3629" s="27" t="n">
        <f aca="false">MATCH(A3629,DATAS,0)</f>
        <v>1</v>
      </c>
      <c r="X3629" s="27" t="n">
        <f aca="false">IF(AND(E3629&gt;0,OR(AND(B3629&gt;=1,B3629&lt;=6),B3629=10)),1,0)</f>
        <v>0</v>
      </c>
      <c r="Y3629" s="27" t="n">
        <f aca="false">IF(AND(E3629&gt;0,B3629=10),1,0)</f>
        <v>0</v>
      </c>
      <c r="Z3629" s="0" t="str">
        <f aca="false">IF(AND(C3628=C3629,W3628=W3629-1),X3628,"")</f>
        <v/>
      </c>
      <c r="AA3629" s="0" t="str">
        <f aca="false">IF(AND(C3628=C3629,W3628=W3629-1),Y3628,"")</f>
        <v/>
      </c>
      <c r="AB3629" s="0" t="str">
        <f aca="false">IF(W3629=1,"",IF(AND(X3629=1,Z3629&lt;&gt;1),1,0))</f>
        <v/>
      </c>
      <c r="AC3629" s="0" t="str">
        <f aca="false">IF(W3629=1,"",IF(AND(Y3629=1,AA3629&lt;&gt;1),1,0))</f>
        <v/>
      </c>
      <c r="AD3629" s="33" t="str">
        <f aca="false">IF(AND(E3629&gt;0,W3629&lt;1,NOT(AND(C3630=C3629,W3630=W3629+1))),INDEX(DATAS,W3629+1),"")</f>
        <v/>
      </c>
      <c r="AE3629" s="33" t="str">
        <f aca="false">IF(AND(Y3629=1,W3629&lt;1),IF(AND(C3630=C3629,W3630=W3629+1),IF(Y3630=1,"",INDEX(DATAS,W3629+1)),INDEX(DATAS,W3629+1)),"")</f>
        <v/>
      </c>
    </row>
    <row r="3630" customFormat="false" ht="15" hidden="false" customHeight="false" outlineLevel="0" collapsed="false">
      <c r="A3630" s="33" t="n">
        <v>46309</v>
      </c>
      <c r="B3630" s="0" t="n">
        <v>16</v>
      </c>
      <c r="C3630" s="0" t="n">
        <v>8094</v>
      </c>
      <c r="E3630" s="0" t="n">
        <v>0</v>
      </c>
      <c r="F3630" s="27" t="s">
        <v>1644</v>
      </c>
      <c r="I3630" s="27" t="s">
        <v>166</v>
      </c>
      <c r="U3630" s="0" t="n">
        <v>43</v>
      </c>
      <c r="V3630" s="0" t="n">
        <v>0</v>
      </c>
      <c r="W3630" s="27" t="n">
        <f aca="false">MATCH(A3630,DATAS,0)</f>
        <v>1</v>
      </c>
      <c r="X3630" s="27" t="n">
        <f aca="false">IF(AND(E3630&gt;0,OR(AND(B3630&gt;=1,B3630&lt;=6),B3630=10)),1,0)</f>
        <v>0</v>
      </c>
      <c r="Y3630" s="27" t="n">
        <f aca="false">IF(AND(E3630&gt;0,B3630=10),1,0)</f>
        <v>0</v>
      </c>
      <c r="Z3630" s="0" t="str">
        <f aca="false">IF(AND(C3629=C3630,W3629=W3630-1),X3629,"")</f>
        <v/>
      </c>
      <c r="AA3630" s="0" t="str">
        <f aca="false">IF(AND(C3629=C3630,W3629=W3630-1),Y3629,"")</f>
        <v/>
      </c>
      <c r="AB3630" s="0" t="str">
        <f aca="false">IF(W3630=1,"",IF(AND(X3630=1,Z3630&lt;&gt;1),1,0))</f>
        <v/>
      </c>
      <c r="AC3630" s="0" t="str">
        <f aca="false">IF(W3630=1,"",IF(AND(Y3630=1,AA3630&lt;&gt;1),1,0))</f>
        <v/>
      </c>
      <c r="AD3630" s="33" t="str">
        <f aca="false">IF(AND(E3630&gt;0,W3630&lt;1,NOT(AND(C3631=C3630,W3631=W3630+1))),INDEX(DATAS,W3630+1),"")</f>
        <v/>
      </c>
      <c r="AE3630" s="33" t="str">
        <f aca="false">IF(AND(Y3630=1,W3630&lt;1),IF(AND(C3631=C3630,W3631=W3630+1),IF(Y3631=1,"",INDEX(DATAS,W3630+1)),INDEX(DATAS,W3630+1)),"")</f>
        <v/>
      </c>
    </row>
    <row r="3631" customFormat="false" ht="15" hidden="false" customHeight="false" outlineLevel="0" collapsed="false">
      <c r="A3631" s="33" t="n">
        <v>46309</v>
      </c>
      <c r="B3631" s="0" t="n">
        <v>16</v>
      </c>
      <c r="C3631" s="0" t="n">
        <v>8095</v>
      </c>
      <c r="E3631" s="0" t="n">
        <v>0</v>
      </c>
      <c r="F3631" s="27" t="s">
        <v>1645</v>
      </c>
      <c r="I3631" s="27" t="s">
        <v>166</v>
      </c>
      <c r="U3631" s="0" t="n">
        <v>42</v>
      </c>
      <c r="V3631" s="0" t="n">
        <v>0</v>
      </c>
      <c r="W3631" s="27" t="n">
        <f aca="false">MATCH(A3631,DATAS,0)</f>
        <v>1</v>
      </c>
      <c r="X3631" s="27" t="n">
        <f aca="false">IF(AND(E3631&gt;0,OR(AND(B3631&gt;=1,B3631&lt;=6),B3631=10)),1,0)</f>
        <v>0</v>
      </c>
      <c r="Y3631" s="27" t="n">
        <f aca="false">IF(AND(E3631&gt;0,B3631=10),1,0)</f>
        <v>0</v>
      </c>
      <c r="Z3631" s="0" t="str">
        <f aca="false">IF(AND(C3630=C3631,W3630=W3631-1),X3630,"")</f>
        <v/>
      </c>
      <c r="AA3631" s="0" t="str">
        <f aca="false">IF(AND(C3630=C3631,W3630=W3631-1),Y3630,"")</f>
        <v/>
      </c>
      <c r="AB3631" s="0" t="str">
        <f aca="false">IF(W3631=1,"",IF(AND(X3631=1,Z3631&lt;&gt;1),1,0))</f>
        <v/>
      </c>
      <c r="AC3631" s="0" t="str">
        <f aca="false">IF(W3631=1,"",IF(AND(Y3631=1,AA3631&lt;&gt;1),1,0))</f>
        <v/>
      </c>
      <c r="AD3631" s="33" t="str">
        <f aca="false">IF(AND(E3631&gt;0,W3631&lt;1,NOT(AND(C3632=C3631,W3632=W3631+1))),INDEX(DATAS,W3631+1),"")</f>
        <v/>
      </c>
      <c r="AE3631" s="33" t="str">
        <f aca="false">IF(AND(Y3631=1,W3631&lt;1),IF(AND(C3632=C3631,W3632=W3631+1),IF(Y3632=1,"",INDEX(DATAS,W3631+1)),INDEX(DATAS,W3631+1)),"")</f>
        <v/>
      </c>
    </row>
    <row r="3632" customFormat="false" ht="15" hidden="false" customHeight="false" outlineLevel="0" collapsed="false">
      <c r="A3632" s="33" t="n">
        <v>46309</v>
      </c>
      <c r="B3632" s="0" t="n">
        <v>16</v>
      </c>
      <c r="C3632" s="0" t="n">
        <v>8096</v>
      </c>
      <c r="E3632" s="0" t="n">
        <v>0</v>
      </c>
      <c r="F3632" s="27" t="s">
        <v>1645</v>
      </c>
      <c r="I3632" s="27" t="s">
        <v>166</v>
      </c>
      <c r="U3632" s="0" t="n">
        <v>42</v>
      </c>
      <c r="V3632" s="0" t="n">
        <v>0</v>
      </c>
      <c r="W3632" s="27" t="n">
        <f aca="false">MATCH(A3632,DATAS,0)</f>
        <v>1</v>
      </c>
      <c r="X3632" s="27" t="n">
        <f aca="false">IF(AND(E3632&gt;0,OR(AND(B3632&gt;=1,B3632&lt;=6),B3632=10)),1,0)</f>
        <v>0</v>
      </c>
      <c r="Y3632" s="27" t="n">
        <f aca="false">IF(AND(E3632&gt;0,B3632=10),1,0)</f>
        <v>0</v>
      </c>
      <c r="Z3632" s="0" t="str">
        <f aca="false">IF(AND(C3631=C3632,W3631=W3632-1),X3631,"")</f>
        <v/>
      </c>
      <c r="AA3632" s="0" t="str">
        <f aca="false">IF(AND(C3631=C3632,W3631=W3632-1),Y3631,"")</f>
        <v/>
      </c>
      <c r="AB3632" s="0" t="str">
        <f aca="false">IF(W3632=1,"",IF(AND(X3632=1,Z3632&lt;&gt;1),1,0))</f>
        <v/>
      </c>
      <c r="AC3632" s="0" t="str">
        <f aca="false">IF(W3632=1,"",IF(AND(Y3632=1,AA3632&lt;&gt;1),1,0))</f>
        <v/>
      </c>
      <c r="AD3632" s="33" t="str">
        <f aca="false">IF(AND(E3632&gt;0,W3632&lt;1,NOT(AND(C3633=C3632,W3633=W3632+1))),INDEX(DATAS,W3632+1),"")</f>
        <v/>
      </c>
      <c r="AE3632" s="33" t="str">
        <f aca="false">IF(AND(Y3632=1,W3632&lt;1),IF(AND(C3633=C3632,W3633=W3632+1),IF(Y3633=1,"",INDEX(DATAS,W3632+1)),INDEX(DATAS,W3632+1)),"")</f>
        <v/>
      </c>
    </row>
    <row r="3633" customFormat="false" ht="15" hidden="false" customHeight="false" outlineLevel="0" collapsed="false">
      <c r="A3633" s="33" t="n">
        <v>46309</v>
      </c>
      <c r="B3633" s="0" t="n">
        <v>16</v>
      </c>
      <c r="C3633" s="0" t="n">
        <v>8097</v>
      </c>
      <c r="E3633" s="0" t="n">
        <v>0</v>
      </c>
      <c r="F3633" s="27" t="s">
        <v>1645</v>
      </c>
      <c r="I3633" s="27" t="s">
        <v>166</v>
      </c>
      <c r="U3633" s="0" t="n">
        <v>42</v>
      </c>
      <c r="V3633" s="0" t="n">
        <v>0</v>
      </c>
      <c r="W3633" s="27" t="n">
        <f aca="false">MATCH(A3633,DATAS,0)</f>
        <v>1</v>
      </c>
      <c r="X3633" s="27" t="n">
        <f aca="false">IF(AND(E3633&gt;0,OR(AND(B3633&gt;=1,B3633&lt;=6),B3633=10)),1,0)</f>
        <v>0</v>
      </c>
      <c r="Y3633" s="27" t="n">
        <f aca="false">IF(AND(E3633&gt;0,B3633=10),1,0)</f>
        <v>0</v>
      </c>
      <c r="Z3633" s="0" t="str">
        <f aca="false">IF(AND(C3632=C3633,W3632=W3633-1),X3632,"")</f>
        <v/>
      </c>
      <c r="AA3633" s="0" t="str">
        <f aca="false">IF(AND(C3632=C3633,W3632=W3633-1),Y3632,"")</f>
        <v/>
      </c>
      <c r="AB3633" s="0" t="str">
        <f aca="false">IF(W3633=1,"",IF(AND(X3633=1,Z3633&lt;&gt;1),1,0))</f>
        <v/>
      </c>
      <c r="AC3633" s="0" t="str">
        <f aca="false">IF(W3633=1,"",IF(AND(Y3633=1,AA3633&lt;&gt;1),1,0))</f>
        <v/>
      </c>
      <c r="AD3633" s="33" t="str">
        <f aca="false">IF(AND(E3633&gt;0,W3633&lt;1,NOT(AND(C3634=C3633,W3634=W3633+1))),INDEX(DATAS,W3633+1),"")</f>
        <v/>
      </c>
      <c r="AE3633" s="33" t="str">
        <f aca="false">IF(AND(Y3633=1,W3633&lt;1),IF(AND(C3634=C3633,W3634=W3633+1),IF(Y3634=1,"",INDEX(DATAS,W3633+1)),INDEX(DATAS,W3633+1)),"")</f>
        <v/>
      </c>
    </row>
    <row r="3634" customFormat="false" ht="15" hidden="false" customHeight="false" outlineLevel="0" collapsed="false">
      <c r="A3634" s="33" t="n">
        <v>46309</v>
      </c>
      <c r="B3634" s="0" t="n">
        <v>16</v>
      </c>
      <c r="C3634" s="0" t="n">
        <v>8098</v>
      </c>
      <c r="E3634" s="0" t="n">
        <v>0</v>
      </c>
      <c r="F3634" s="27" t="s">
        <v>1645</v>
      </c>
      <c r="I3634" s="27" t="s">
        <v>166</v>
      </c>
      <c r="U3634" s="0" t="n">
        <v>42</v>
      </c>
      <c r="V3634" s="0" t="n">
        <v>0</v>
      </c>
      <c r="W3634" s="27" t="n">
        <f aca="false">MATCH(A3634,DATAS,0)</f>
        <v>1</v>
      </c>
      <c r="X3634" s="27" t="n">
        <f aca="false">IF(AND(E3634&gt;0,OR(AND(B3634&gt;=1,B3634&lt;=6),B3634=10)),1,0)</f>
        <v>0</v>
      </c>
      <c r="Y3634" s="27" t="n">
        <f aca="false">IF(AND(E3634&gt;0,B3634=10),1,0)</f>
        <v>0</v>
      </c>
      <c r="Z3634" s="0" t="str">
        <f aca="false">IF(AND(C3633=C3634,W3633=W3634-1),X3633,"")</f>
        <v/>
      </c>
      <c r="AA3634" s="0" t="str">
        <f aca="false">IF(AND(C3633=C3634,W3633=W3634-1),Y3633,"")</f>
        <v/>
      </c>
      <c r="AB3634" s="0" t="str">
        <f aca="false">IF(W3634=1,"",IF(AND(X3634=1,Z3634&lt;&gt;1),1,0))</f>
        <v/>
      </c>
      <c r="AC3634" s="0" t="str">
        <f aca="false">IF(W3634=1,"",IF(AND(Y3634=1,AA3634&lt;&gt;1),1,0))</f>
        <v/>
      </c>
      <c r="AD3634" s="33" t="str">
        <f aca="false">IF(AND(E3634&gt;0,W3634&lt;1,NOT(AND(C3635=C3634,W3635=W3634+1))),INDEX(DATAS,W3634+1),"")</f>
        <v/>
      </c>
      <c r="AE3634" s="33" t="str">
        <f aca="false">IF(AND(Y3634=1,W3634&lt;1),IF(AND(C3635=C3634,W3635=W3634+1),IF(Y3635=1,"",INDEX(DATAS,W3634+1)),INDEX(DATAS,W3634+1)),"")</f>
        <v/>
      </c>
    </row>
    <row r="3635" customFormat="false" ht="15" hidden="false" customHeight="false" outlineLevel="0" collapsed="false">
      <c r="A3635" s="33" t="n">
        <v>46309</v>
      </c>
      <c r="B3635" s="0" t="n">
        <v>16</v>
      </c>
      <c r="C3635" s="0" t="n">
        <v>8099</v>
      </c>
      <c r="E3635" s="0" t="n">
        <v>0</v>
      </c>
      <c r="F3635" s="27" t="s">
        <v>1646</v>
      </c>
      <c r="I3635" s="27" t="s">
        <v>166</v>
      </c>
      <c r="U3635" s="0" t="n">
        <v>41</v>
      </c>
      <c r="V3635" s="0" t="n">
        <v>0</v>
      </c>
      <c r="W3635" s="27" t="n">
        <f aca="false">MATCH(A3635,DATAS,0)</f>
        <v>1</v>
      </c>
      <c r="X3635" s="27" t="n">
        <f aca="false">IF(AND(E3635&gt;0,OR(AND(B3635&gt;=1,B3635&lt;=6),B3635=10)),1,0)</f>
        <v>0</v>
      </c>
      <c r="Y3635" s="27" t="n">
        <f aca="false">IF(AND(E3635&gt;0,B3635=10),1,0)</f>
        <v>0</v>
      </c>
      <c r="Z3635" s="0" t="str">
        <f aca="false">IF(AND(C3634=C3635,W3634=W3635-1),X3634,"")</f>
        <v/>
      </c>
      <c r="AA3635" s="0" t="str">
        <f aca="false">IF(AND(C3634=C3635,W3634=W3635-1),Y3634,"")</f>
        <v/>
      </c>
      <c r="AB3635" s="0" t="str">
        <f aca="false">IF(W3635=1,"",IF(AND(X3635=1,Z3635&lt;&gt;1),1,0))</f>
        <v/>
      </c>
      <c r="AC3635" s="0" t="str">
        <f aca="false">IF(W3635=1,"",IF(AND(Y3635=1,AA3635&lt;&gt;1),1,0))</f>
        <v/>
      </c>
      <c r="AD3635" s="33" t="str">
        <f aca="false">IF(AND(E3635&gt;0,W3635&lt;1,NOT(AND(C3636=C3635,W3636=W3635+1))),INDEX(DATAS,W3635+1),"")</f>
        <v/>
      </c>
      <c r="AE3635" s="33" t="str">
        <f aca="false">IF(AND(Y3635=1,W3635&lt;1),IF(AND(C3636=C3635,W3636=W3635+1),IF(Y3636=1,"",INDEX(DATAS,W3635+1)),INDEX(DATAS,W3635+1)),"")</f>
        <v/>
      </c>
    </row>
    <row r="3636" customFormat="false" ht="15" hidden="false" customHeight="false" outlineLevel="0" collapsed="false">
      <c r="A3636" s="33" t="n">
        <v>46309</v>
      </c>
      <c r="B3636" s="0" t="n">
        <v>16</v>
      </c>
      <c r="C3636" s="0" t="n">
        <v>8100</v>
      </c>
      <c r="E3636" s="0" t="n">
        <v>0</v>
      </c>
      <c r="F3636" s="27" t="s">
        <v>1646</v>
      </c>
      <c r="I3636" s="27" t="s">
        <v>166</v>
      </c>
      <c r="U3636" s="0" t="n">
        <v>41</v>
      </c>
      <c r="V3636" s="0" t="n">
        <v>0</v>
      </c>
      <c r="W3636" s="27" t="n">
        <f aca="false">MATCH(A3636,DATAS,0)</f>
        <v>1</v>
      </c>
      <c r="X3636" s="27" t="n">
        <f aca="false">IF(AND(E3636&gt;0,OR(AND(B3636&gt;=1,B3636&lt;=6),B3636=10)),1,0)</f>
        <v>0</v>
      </c>
      <c r="Y3636" s="27" t="n">
        <f aca="false">IF(AND(E3636&gt;0,B3636=10),1,0)</f>
        <v>0</v>
      </c>
      <c r="Z3636" s="0" t="str">
        <f aca="false">IF(AND(C3635=C3636,W3635=W3636-1),X3635,"")</f>
        <v/>
      </c>
      <c r="AA3636" s="0" t="str">
        <f aca="false">IF(AND(C3635=C3636,W3635=W3636-1),Y3635,"")</f>
        <v/>
      </c>
      <c r="AB3636" s="0" t="str">
        <f aca="false">IF(W3636=1,"",IF(AND(X3636=1,Z3636&lt;&gt;1),1,0))</f>
        <v/>
      </c>
      <c r="AC3636" s="0" t="str">
        <f aca="false">IF(W3636=1,"",IF(AND(Y3636=1,AA3636&lt;&gt;1),1,0))</f>
        <v/>
      </c>
      <c r="AD3636" s="33" t="str">
        <f aca="false">IF(AND(E3636&gt;0,W3636&lt;1,NOT(AND(C3637=C3636,W3637=W3636+1))),INDEX(DATAS,W3636+1),"")</f>
        <v/>
      </c>
      <c r="AE3636" s="33" t="str">
        <f aca="false">IF(AND(Y3636=1,W3636&lt;1),IF(AND(C3637=C3636,W3637=W3636+1),IF(Y3637=1,"",INDEX(DATAS,W3636+1)),INDEX(DATAS,W3636+1)),"")</f>
        <v/>
      </c>
    </row>
    <row r="3637" customFormat="false" ht="15" hidden="false" customHeight="false" outlineLevel="0" collapsed="false">
      <c r="A3637" s="33" t="n">
        <v>46309</v>
      </c>
      <c r="B3637" s="0" t="n">
        <v>16</v>
      </c>
      <c r="C3637" s="0" t="n">
        <v>8101</v>
      </c>
      <c r="E3637" s="0" t="n">
        <v>0</v>
      </c>
      <c r="F3637" s="27" t="s">
        <v>1647</v>
      </c>
      <c r="I3637" s="27" t="s">
        <v>166</v>
      </c>
      <c r="U3637" s="0" t="n">
        <v>40</v>
      </c>
      <c r="V3637" s="0" t="n">
        <v>0</v>
      </c>
      <c r="W3637" s="27" t="n">
        <f aca="false">MATCH(A3637,DATAS,0)</f>
        <v>1</v>
      </c>
      <c r="X3637" s="27" t="n">
        <f aca="false">IF(AND(E3637&gt;0,OR(AND(B3637&gt;=1,B3637&lt;=6),B3637=10)),1,0)</f>
        <v>0</v>
      </c>
      <c r="Y3637" s="27" t="n">
        <f aca="false">IF(AND(E3637&gt;0,B3637=10),1,0)</f>
        <v>0</v>
      </c>
      <c r="Z3637" s="0" t="str">
        <f aca="false">IF(AND(C3636=C3637,W3636=W3637-1),X3636,"")</f>
        <v/>
      </c>
      <c r="AA3637" s="0" t="str">
        <f aca="false">IF(AND(C3636=C3637,W3636=W3637-1),Y3636,"")</f>
        <v/>
      </c>
      <c r="AB3637" s="0" t="str">
        <f aca="false">IF(W3637=1,"",IF(AND(X3637=1,Z3637&lt;&gt;1),1,0))</f>
        <v/>
      </c>
      <c r="AC3637" s="0" t="str">
        <f aca="false">IF(W3637=1,"",IF(AND(Y3637=1,AA3637&lt;&gt;1),1,0))</f>
        <v/>
      </c>
      <c r="AD3637" s="33" t="str">
        <f aca="false">IF(AND(E3637&gt;0,W3637&lt;1,NOT(AND(C3638=C3637,W3638=W3637+1))),INDEX(DATAS,W3637+1),"")</f>
        <v/>
      </c>
      <c r="AE3637" s="33" t="str">
        <f aca="false">IF(AND(Y3637=1,W3637&lt;1),IF(AND(C3638=C3637,W3638=W3637+1),IF(Y3638=1,"",INDEX(DATAS,W3637+1)),INDEX(DATAS,W3637+1)),"")</f>
        <v/>
      </c>
    </row>
    <row r="3638" customFormat="false" ht="15" hidden="false" customHeight="false" outlineLevel="0" collapsed="false">
      <c r="A3638" s="33" t="n">
        <v>46309</v>
      </c>
      <c r="B3638" s="0" t="n">
        <v>16</v>
      </c>
      <c r="C3638" s="0" t="n">
        <v>8102</v>
      </c>
      <c r="E3638" s="0" t="n">
        <v>0</v>
      </c>
      <c r="F3638" s="27" t="s">
        <v>1648</v>
      </c>
      <c r="I3638" s="27" t="s">
        <v>166</v>
      </c>
      <c r="U3638" s="0" t="n">
        <v>39</v>
      </c>
      <c r="V3638" s="0" t="n">
        <v>0</v>
      </c>
      <c r="W3638" s="27" t="n">
        <f aca="false">MATCH(A3638,DATAS,0)</f>
        <v>1</v>
      </c>
      <c r="X3638" s="27" t="n">
        <f aca="false">IF(AND(E3638&gt;0,OR(AND(B3638&gt;=1,B3638&lt;=6),B3638=10)),1,0)</f>
        <v>0</v>
      </c>
      <c r="Y3638" s="27" t="n">
        <f aca="false">IF(AND(E3638&gt;0,B3638=10),1,0)</f>
        <v>0</v>
      </c>
      <c r="Z3638" s="0" t="str">
        <f aca="false">IF(AND(C3637=C3638,W3637=W3638-1),X3637,"")</f>
        <v/>
      </c>
      <c r="AA3638" s="0" t="str">
        <f aca="false">IF(AND(C3637=C3638,W3637=W3638-1),Y3637,"")</f>
        <v/>
      </c>
      <c r="AB3638" s="0" t="str">
        <f aca="false">IF(W3638=1,"",IF(AND(X3638=1,Z3638&lt;&gt;1),1,0))</f>
        <v/>
      </c>
      <c r="AC3638" s="0" t="str">
        <f aca="false">IF(W3638=1,"",IF(AND(Y3638=1,AA3638&lt;&gt;1),1,0))</f>
        <v/>
      </c>
      <c r="AD3638" s="33" t="str">
        <f aca="false">IF(AND(E3638&gt;0,W3638&lt;1,NOT(AND(C3639=C3638,W3639=W3638+1))),INDEX(DATAS,W3638+1),"")</f>
        <v/>
      </c>
      <c r="AE3638" s="33" t="str">
        <f aca="false">IF(AND(Y3638=1,W3638&lt;1),IF(AND(C3639=C3638,W3639=W3638+1),IF(Y3639=1,"",INDEX(DATAS,W3638+1)),INDEX(DATAS,W3638+1)),"")</f>
        <v/>
      </c>
    </row>
    <row r="3639" customFormat="false" ht="15" hidden="false" customHeight="false" outlineLevel="0" collapsed="false">
      <c r="A3639" s="33" t="n">
        <v>46309</v>
      </c>
      <c r="B3639" s="0" t="n">
        <v>16</v>
      </c>
      <c r="C3639" s="0" t="n">
        <v>8103</v>
      </c>
      <c r="E3639" s="0" t="n">
        <v>0</v>
      </c>
      <c r="F3639" s="27" t="s">
        <v>1649</v>
      </c>
      <c r="I3639" s="27" t="s">
        <v>166</v>
      </c>
      <c r="U3639" s="0" t="n">
        <v>38</v>
      </c>
      <c r="V3639" s="0" t="n">
        <v>0</v>
      </c>
      <c r="W3639" s="27" t="n">
        <f aca="false">MATCH(A3639,DATAS,0)</f>
        <v>1</v>
      </c>
      <c r="X3639" s="27" t="n">
        <f aca="false">IF(AND(E3639&gt;0,OR(AND(B3639&gt;=1,B3639&lt;=6),B3639=10)),1,0)</f>
        <v>0</v>
      </c>
      <c r="Y3639" s="27" t="n">
        <f aca="false">IF(AND(E3639&gt;0,B3639=10),1,0)</f>
        <v>0</v>
      </c>
      <c r="Z3639" s="0" t="str">
        <f aca="false">IF(AND(C3638=C3639,W3638=W3639-1),X3638,"")</f>
        <v/>
      </c>
      <c r="AA3639" s="0" t="str">
        <f aca="false">IF(AND(C3638=C3639,W3638=W3639-1),Y3638,"")</f>
        <v/>
      </c>
      <c r="AB3639" s="0" t="str">
        <f aca="false">IF(W3639=1,"",IF(AND(X3639=1,Z3639&lt;&gt;1),1,0))</f>
        <v/>
      </c>
      <c r="AC3639" s="0" t="str">
        <f aca="false">IF(W3639=1,"",IF(AND(Y3639=1,AA3639&lt;&gt;1),1,0))</f>
        <v/>
      </c>
      <c r="AD3639" s="33" t="str">
        <f aca="false">IF(AND(E3639&gt;0,W3639&lt;1,NOT(AND(C3640=C3639,W3640=W3639+1))),INDEX(DATAS,W3639+1),"")</f>
        <v/>
      </c>
      <c r="AE3639" s="33" t="str">
        <f aca="false">IF(AND(Y3639=1,W3639&lt;1),IF(AND(C3640=C3639,W3640=W3639+1),IF(Y3640=1,"",INDEX(DATAS,W3639+1)),INDEX(DATAS,W3639+1)),"")</f>
        <v/>
      </c>
    </row>
    <row r="3640" customFormat="false" ht="15" hidden="false" customHeight="false" outlineLevel="0" collapsed="false">
      <c r="A3640" s="33" t="n">
        <v>46309</v>
      </c>
      <c r="B3640" s="0" t="n">
        <v>16</v>
      </c>
      <c r="C3640" s="0" t="n">
        <v>8104</v>
      </c>
      <c r="E3640" s="0" t="n">
        <v>0</v>
      </c>
      <c r="F3640" s="27" t="s">
        <v>1649</v>
      </c>
      <c r="I3640" s="27" t="s">
        <v>166</v>
      </c>
      <c r="U3640" s="0" t="n">
        <v>38</v>
      </c>
      <c r="V3640" s="0" t="n">
        <v>0</v>
      </c>
      <c r="W3640" s="27" t="n">
        <f aca="false">MATCH(A3640,DATAS,0)</f>
        <v>1</v>
      </c>
      <c r="X3640" s="27" t="n">
        <f aca="false">IF(AND(E3640&gt;0,OR(AND(B3640&gt;=1,B3640&lt;=6),B3640=10)),1,0)</f>
        <v>0</v>
      </c>
      <c r="Y3640" s="27" t="n">
        <f aca="false">IF(AND(E3640&gt;0,B3640=10),1,0)</f>
        <v>0</v>
      </c>
      <c r="Z3640" s="0" t="str">
        <f aca="false">IF(AND(C3639=C3640,W3639=W3640-1),X3639,"")</f>
        <v/>
      </c>
      <c r="AA3640" s="0" t="str">
        <f aca="false">IF(AND(C3639=C3640,W3639=W3640-1),Y3639,"")</f>
        <v/>
      </c>
      <c r="AB3640" s="0" t="str">
        <f aca="false">IF(W3640=1,"",IF(AND(X3640=1,Z3640&lt;&gt;1),1,0))</f>
        <v/>
      </c>
      <c r="AC3640" s="0" t="str">
        <f aca="false">IF(W3640=1,"",IF(AND(Y3640=1,AA3640&lt;&gt;1),1,0))</f>
        <v/>
      </c>
      <c r="AD3640" s="33" t="str">
        <f aca="false">IF(AND(E3640&gt;0,W3640&lt;1,NOT(AND(C3641=C3640,W3641=W3640+1))),INDEX(DATAS,W3640+1),"")</f>
        <v/>
      </c>
      <c r="AE3640" s="33" t="str">
        <f aca="false">IF(AND(Y3640=1,W3640&lt;1),IF(AND(C3641=C3640,W3641=W3640+1),IF(Y3641=1,"",INDEX(DATAS,W3640+1)),INDEX(DATAS,W3640+1)),"")</f>
        <v/>
      </c>
    </row>
    <row r="3641" customFormat="false" ht="15" hidden="false" customHeight="false" outlineLevel="0" collapsed="false">
      <c r="A3641" s="33" t="n">
        <v>46309</v>
      </c>
      <c r="B3641" s="0" t="n">
        <v>16</v>
      </c>
      <c r="C3641" s="0" t="n">
        <v>8105</v>
      </c>
      <c r="E3641" s="0" t="n">
        <v>0</v>
      </c>
      <c r="F3641" s="27" t="s">
        <v>1650</v>
      </c>
      <c r="I3641" s="27" t="s">
        <v>166</v>
      </c>
      <c r="U3641" s="0" t="n">
        <v>37</v>
      </c>
      <c r="V3641" s="0" t="n">
        <v>0</v>
      </c>
      <c r="W3641" s="27" t="n">
        <f aca="false">MATCH(A3641,DATAS,0)</f>
        <v>1</v>
      </c>
      <c r="X3641" s="27" t="n">
        <f aca="false">IF(AND(E3641&gt;0,OR(AND(B3641&gt;=1,B3641&lt;=6),B3641=10)),1,0)</f>
        <v>0</v>
      </c>
      <c r="Y3641" s="27" t="n">
        <f aca="false">IF(AND(E3641&gt;0,B3641=10),1,0)</f>
        <v>0</v>
      </c>
      <c r="Z3641" s="0" t="str">
        <f aca="false">IF(AND(C3640=C3641,W3640=W3641-1),X3640,"")</f>
        <v/>
      </c>
      <c r="AA3641" s="0" t="str">
        <f aca="false">IF(AND(C3640=C3641,W3640=W3641-1),Y3640,"")</f>
        <v/>
      </c>
      <c r="AB3641" s="0" t="str">
        <f aca="false">IF(W3641=1,"",IF(AND(X3641=1,Z3641&lt;&gt;1),1,0))</f>
        <v/>
      </c>
      <c r="AC3641" s="0" t="str">
        <f aca="false">IF(W3641=1,"",IF(AND(Y3641=1,AA3641&lt;&gt;1),1,0))</f>
        <v/>
      </c>
      <c r="AD3641" s="33" t="str">
        <f aca="false">IF(AND(E3641&gt;0,W3641&lt;1,NOT(AND(C3642=C3641,W3642=W3641+1))),INDEX(DATAS,W3641+1),"")</f>
        <v/>
      </c>
      <c r="AE3641" s="33" t="str">
        <f aca="false">IF(AND(Y3641=1,W3641&lt;1),IF(AND(C3642=C3641,W3642=W3641+1),IF(Y3642=1,"",INDEX(DATAS,W3641+1)),INDEX(DATAS,W3641+1)),"")</f>
        <v/>
      </c>
    </row>
    <row r="3642" customFormat="false" ht="15" hidden="false" customHeight="false" outlineLevel="0" collapsed="false">
      <c r="A3642" s="33" t="n">
        <v>46309</v>
      </c>
      <c r="B3642" s="0" t="n">
        <v>16</v>
      </c>
      <c r="C3642" s="0" t="n">
        <v>8106</v>
      </c>
      <c r="E3642" s="0" t="n">
        <v>0</v>
      </c>
      <c r="F3642" s="27" t="s">
        <v>1650</v>
      </c>
      <c r="I3642" s="27" t="s">
        <v>166</v>
      </c>
      <c r="U3642" s="0" t="n">
        <v>37</v>
      </c>
      <c r="V3642" s="0" t="n">
        <v>0</v>
      </c>
      <c r="W3642" s="27" t="n">
        <f aca="false">MATCH(A3642,DATAS,0)</f>
        <v>1</v>
      </c>
      <c r="X3642" s="27" t="n">
        <f aca="false">IF(AND(E3642&gt;0,OR(AND(B3642&gt;=1,B3642&lt;=6),B3642=10)),1,0)</f>
        <v>0</v>
      </c>
      <c r="Y3642" s="27" t="n">
        <f aca="false">IF(AND(E3642&gt;0,B3642=10),1,0)</f>
        <v>0</v>
      </c>
      <c r="Z3642" s="0" t="str">
        <f aca="false">IF(AND(C3641=C3642,W3641=W3642-1),X3641,"")</f>
        <v/>
      </c>
      <c r="AA3642" s="0" t="str">
        <f aca="false">IF(AND(C3641=C3642,W3641=W3642-1),Y3641,"")</f>
        <v/>
      </c>
      <c r="AB3642" s="0" t="str">
        <f aca="false">IF(W3642=1,"",IF(AND(X3642=1,Z3642&lt;&gt;1),1,0))</f>
        <v/>
      </c>
      <c r="AC3642" s="0" t="str">
        <f aca="false">IF(W3642=1,"",IF(AND(Y3642=1,AA3642&lt;&gt;1),1,0))</f>
        <v/>
      </c>
      <c r="AD3642" s="33" t="str">
        <f aca="false">IF(AND(E3642&gt;0,W3642&lt;1,NOT(AND(C3643=C3642,W3643=W3642+1))),INDEX(DATAS,W3642+1),"")</f>
        <v/>
      </c>
      <c r="AE3642" s="33" t="str">
        <f aca="false">IF(AND(Y3642=1,W3642&lt;1),IF(AND(C3643=C3642,W3643=W3642+1),IF(Y3643=1,"",INDEX(DATAS,W3642+1)),INDEX(DATAS,W3642+1)),"")</f>
        <v/>
      </c>
    </row>
    <row r="3643" customFormat="false" ht="15" hidden="false" customHeight="false" outlineLevel="0" collapsed="false">
      <c r="A3643" s="33" t="n">
        <v>46309</v>
      </c>
      <c r="B3643" s="0" t="n">
        <v>16</v>
      </c>
      <c r="C3643" s="0" t="n">
        <v>8107</v>
      </c>
      <c r="E3643" s="0" t="n">
        <v>0</v>
      </c>
      <c r="F3643" s="27" t="s">
        <v>1650</v>
      </c>
      <c r="I3643" s="27" t="s">
        <v>166</v>
      </c>
      <c r="U3643" s="0" t="n">
        <v>37</v>
      </c>
      <c r="V3643" s="0" t="n">
        <v>0</v>
      </c>
      <c r="W3643" s="27" t="n">
        <f aca="false">MATCH(A3643,DATAS,0)</f>
        <v>1</v>
      </c>
      <c r="X3643" s="27" t="n">
        <f aca="false">IF(AND(E3643&gt;0,OR(AND(B3643&gt;=1,B3643&lt;=6),B3643=10)),1,0)</f>
        <v>0</v>
      </c>
      <c r="Y3643" s="27" t="n">
        <f aca="false">IF(AND(E3643&gt;0,B3643=10),1,0)</f>
        <v>0</v>
      </c>
      <c r="Z3643" s="0" t="str">
        <f aca="false">IF(AND(C3642=C3643,W3642=W3643-1),X3642,"")</f>
        <v/>
      </c>
      <c r="AA3643" s="0" t="str">
        <f aca="false">IF(AND(C3642=C3643,W3642=W3643-1),Y3642,"")</f>
        <v/>
      </c>
      <c r="AB3643" s="0" t="str">
        <f aca="false">IF(W3643=1,"",IF(AND(X3643=1,Z3643&lt;&gt;1),1,0))</f>
        <v/>
      </c>
      <c r="AC3643" s="0" t="str">
        <f aca="false">IF(W3643=1,"",IF(AND(Y3643=1,AA3643&lt;&gt;1),1,0))</f>
        <v/>
      </c>
      <c r="AD3643" s="33" t="str">
        <f aca="false">IF(AND(E3643&gt;0,W3643&lt;1,NOT(AND(C3644=C3643,W3644=W3643+1))),INDEX(DATAS,W3643+1),"")</f>
        <v/>
      </c>
      <c r="AE3643" s="33" t="str">
        <f aca="false">IF(AND(Y3643=1,W3643&lt;1),IF(AND(C3644=C3643,W3644=W3643+1),IF(Y3644=1,"",INDEX(DATAS,W3643+1)),INDEX(DATAS,W3643+1)),"")</f>
        <v/>
      </c>
    </row>
    <row r="3644" customFormat="false" ht="15" hidden="false" customHeight="false" outlineLevel="0" collapsed="false">
      <c r="A3644" s="33" t="n">
        <v>46309</v>
      </c>
      <c r="B3644" s="0" t="n">
        <v>16</v>
      </c>
      <c r="C3644" s="0" t="n">
        <v>8108</v>
      </c>
      <c r="E3644" s="0" t="n">
        <v>0</v>
      </c>
      <c r="F3644" s="27" t="s">
        <v>1650</v>
      </c>
      <c r="I3644" s="27" t="s">
        <v>166</v>
      </c>
      <c r="U3644" s="0" t="n">
        <v>37</v>
      </c>
      <c r="V3644" s="0" t="n">
        <v>0</v>
      </c>
      <c r="W3644" s="27" t="n">
        <f aca="false">MATCH(A3644,DATAS,0)</f>
        <v>1</v>
      </c>
      <c r="X3644" s="27" t="n">
        <f aca="false">IF(AND(E3644&gt;0,OR(AND(B3644&gt;=1,B3644&lt;=6),B3644=10)),1,0)</f>
        <v>0</v>
      </c>
      <c r="Y3644" s="27" t="n">
        <f aca="false">IF(AND(E3644&gt;0,B3644=10),1,0)</f>
        <v>0</v>
      </c>
      <c r="Z3644" s="0" t="str">
        <f aca="false">IF(AND(C3643=C3644,W3643=W3644-1),X3643,"")</f>
        <v/>
      </c>
      <c r="AA3644" s="0" t="str">
        <f aca="false">IF(AND(C3643=C3644,W3643=W3644-1),Y3643,"")</f>
        <v/>
      </c>
      <c r="AB3644" s="0" t="str">
        <f aca="false">IF(W3644=1,"",IF(AND(X3644=1,Z3644&lt;&gt;1),1,0))</f>
        <v/>
      </c>
      <c r="AC3644" s="0" t="str">
        <f aca="false">IF(W3644=1,"",IF(AND(Y3644=1,AA3644&lt;&gt;1),1,0))</f>
        <v/>
      </c>
      <c r="AD3644" s="33" t="str">
        <f aca="false">IF(AND(E3644&gt;0,W3644&lt;1,NOT(AND(C3645=C3644,W3645=W3644+1))),INDEX(DATAS,W3644+1),"")</f>
        <v/>
      </c>
      <c r="AE3644" s="33" t="str">
        <f aca="false">IF(AND(Y3644=1,W3644&lt;1),IF(AND(C3645=C3644,W3645=W3644+1),IF(Y3645=1,"",INDEX(DATAS,W3644+1)),INDEX(DATAS,W3644+1)),"")</f>
        <v/>
      </c>
    </row>
    <row r="3645" customFormat="false" ht="15" hidden="false" customHeight="false" outlineLevel="0" collapsed="false">
      <c r="A3645" s="33" t="n">
        <v>46309</v>
      </c>
      <c r="B3645" s="0" t="n">
        <v>16</v>
      </c>
      <c r="C3645" s="0" t="n">
        <v>8109</v>
      </c>
      <c r="E3645" s="0" t="n">
        <v>0</v>
      </c>
      <c r="F3645" s="27" t="s">
        <v>1651</v>
      </c>
      <c r="I3645" s="27" t="s">
        <v>166</v>
      </c>
      <c r="U3645" s="0" t="n">
        <v>36</v>
      </c>
      <c r="V3645" s="0" t="n">
        <v>0</v>
      </c>
      <c r="W3645" s="27" t="n">
        <f aca="false">MATCH(A3645,DATAS,0)</f>
        <v>1</v>
      </c>
      <c r="X3645" s="27" t="n">
        <f aca="false">IF(AND(E3645&gt;0,OR(AND(B3645&gt;=1,B3645&lt;=6),B3645=10)),1,0)</f>
        <v>0</v>
      </c>
      <c r="Y3645" s="27" t="n">
        <f aca="false">IF(AND(E3645&gt;0,B3645=10),1,0)</f>
        <v>0</v>
      </c>
      <c r="Z3645" s="0" t="str">
        <f aca="false">IF(AND(C3644=C3645,W3644=W3645-1),X3644,"")</f>
        <v/>
      </c>
      <c r="AA3645" s="0" t="str">
        <f aca="false">IF(AND(C3644=C3645,W3644=W3645-1),Y3644,"")</f>
        <v/>
      </c>
      <c r="AB3645" s="0" t="str">
        <f aca="false">IF(W3645=1,"",IF(AND(X3645=1,Z3645&lt;&gt;1),1,0))</f>
        <v/>
      </c>
      <c r="AC3645" s="0" t="str">
        <f aca="false">IF(W3645=1,"",IF(AND(Y3645=1,AA3645&lt;&gt;1),1,0))</f>
        <v/>
      </c>
      <c r="AD3645" s="33" t="str">
        <f aca="false">IF(AND(E3645&gt;0,W3645&lt;1,NOT(AND(C3646=C3645,W3646=W3645+1))),INDEX(DATAS,W3645+1),"")</f>
        <v/>
      </c>
      <c r="AE3645" s="33" t="str">
        <f aca="false">IF(AND(Y3645=1,W3645&lt;1),IF(AND(C3646=C3645,W3646=W3645+1),IF(Y3646=1,"",INDEX(DATAS,W3645+1)),INDEX(DATAS,W3645+1)),"")</f>
        <v/>
      </c>
    </row>
    <row r="3646" customFormat="false" ht="15" hidden="false" customHeight="false" outlineLevel="0" collapsed="false">
      <c r="A3646" s="33" t="n">
        <v>46309</v>
      </c>
      <c r="B3646" s="0" t="n">
        <v>16</v>
      </c>
      <c r="C3646" s="0" t="n">
        <v>8110</v>
      </c>
      <c r="E3646" s="0" t="n">
        <v>0</v>
      </c>
      <c r="F3646" s="27" t="s">
        <v>1651</v>
      </c>
      <c r="I3646" s="27" t="s">
        <v>166</v>
      </c>
      <c r="U3646" s="0" t="n">
        <v>36</v>
      </c>
      <c r="V3646" s="0" t="n">
        <v>0</v>
      </c>
      <c r="W3646" s="27" t="n">
        <f aca="false">MATCH(A3646,DATAS,0)</f>
        <v>1</v>
      </c>
      <c r="X3646" s="27" t="n">
        <f aca="false">IF(AND(E3646&gt;0,OR(AND(B3646&gt;=1,B3646&lt;=6),B3646=10)),1,0)</f>
        <v>0</v>
      </c>
      <c r="Y3646" s="27" t="n">
        <f aca="false">IF(AND(E3646&gt;0,B3646=10),1,0)</f>
        <v>0</v>
      </c>
      <c r="Z3646" s="0" t="str">
        <f aca="false">IF(AND(C3645=C3646,W3645=W3646-1),X3645,"")</f>
        <v/>
      </c>
      <c r="AA3646" s="0" t="str">
        <f aca="false">IF(AND(C3645=C3646,W3645=W3646-1),Y3645,"")</f>
        <v/>
      </c>
      <c r="AB3646" s="0" t="str">
        <f aca="false">IF(W3646=1,"",IF(AND(X3646=1,Z3646&lt;&gt;1),1,0))</f>
        <v/>
      </c>
      <c r="AC3646" s="0" t="str">
        <f aca="false">IF(W3646=1,"",IF(AND(Y3646=1,AA3646&lt;&gt;1),1,0))</f>
        <v/>
      </c>
      <c r="AD3646" s="33" t="str">
        <f aca="false">IF(AND(E3646&gt;0,W3646&lt;1,NOT(AND(C3647=C3646,W3647=W3646+1))),INDEX(DATAS,W3646+1),"")</f>
        <v/>
      </c>
      <c r="AE3646" s="33" t="str">
        <f aca="false">IF(AND(Y3646=1,W3646&lt;1),IF(AND(C3647=C3646,W3647=W3646+1),IF(Y3647=1,"",INDEX(DATAS,W3646+1)),INDEX(DATAS,W3646+1)),"")</f>
        <v/>
      </c>
    </row>
    <row r="3647" customFormat="false" ht="15" hidden="false" customHeight="false" outlineLevel="0" collapsed="false">
      <c r="A3647" s="33" t="n">
        <v>46309</v>
      </c>
      <c r="B3647" s="0" t="n">
        <v>16</v>
      </c>
      <c r="C3647" s="0" t="n">
        <v>8111</v>
      </c>
      <c r="E3647" s="0" t="n">
        <v>0</v>
      </c>
      <c r="F3647" s="27" t="s">
        <v>1651</v>
      </c>
      <c r="I3647" s="27" t="s">
        <v>166</v>
      </c>
      <c r="U3647" s="0" t="n">
        <v>36</v>
      </c>
      <c r="V3647" s="0" t="n">
        <v>0</v>
      </c>
      <c r="W3647" s="27" t="n">
        <f aca="false">MATCH(A3647,DATAS,0)</f>
        <v>1</v>
      </c>
      <c r="X3647" s="27" t="n">
        <f aca="false">IF(AND(E3647&gt;0,OR(AND(B3647&gt;=1,B3647&lt;=6),B3647=10)),1,0)</f>
        <v>0</v>
      </c>
      <c r="Y3647" s="27" t="n">
        <f aca="false">IF(AND(E3647&gt;0,B3647=10),1,0)</f>
        <v>0</v>
      </c>
      <c r="Z3647" s="0" t="str">
        <f aca="false">IF(AND(C3646=C3647,W3646=W3647-1),X3646,"")</f>
        <v/>
      </c>
      <c r="AA3647" s="0" t="str">
        <f aca="false">IF(AND(C3646=C3647,W3646=W3647-1),Y3646,"")</f>
        <v/>
      </c>
      <c r="AB3647" s="0" t="str">
        <f aca="false">IF(W3647=1,"",IF(AND(X3647=1,Z3647&lt;&gt;1),1,0))</f>
        <v/>
      </c>
      <c r="AC3647" s="0" t="str">
        <f aca="false">IF(W3647=1,"",IF(AND(Y3647=1,AA3647&lt;&gt;1),1,0))</f>
        <v/>
      </c>
      <c r="AD3647" s="33" t="str">
        <f aca="false">IF(AND(E3647&gt;0,W3647&lt;1,NOT(AND(C3648=C3647,W3648=W3647+1))),INDEX(DATAS,W3647+1),"")</f>
        <v/>
      </c>
      <c r="AE3647" s="33" t="str">
        <f aca="false">IF(AND(Y3647=1,W3647&lt;1),IF(AND(C3648=C3647,W3648=W3647+1),IF(Y3648=1,"",INDEX(DATAS,W3647+1)),INDEX(DATAS,W3647+1)),"")</f>
        <v/>
      </c>
    </row>
    <row r="3648" customFormat="false" ht="15" hidden="false" customHeight="false" outlineLevel="0" collapsed="false">
      <c r="A3648" s="33" t="n">
        <v>46309</v>
      </c>
      <c r="B3648" s="0" t="n">
        <v>16</v>
      </c>
      <c r="C3648" s="0" t="n">
        <v>8112</v>
      </c>
      <c r="E3648" s="0" t="n">
        <v>0</v>
      </c>
      <c r="F3648" s="27" t="s">
        <v>1652</v>
      </c>
      <c r="I3648" s="27" t="s">
        <v>166</v>
      </c>
      <c r="U3648" s="0" t="n">
        <v>35</v>
      </c>
      <c r="V3648" s="0" t="n">
        <v>0</v>
      </c>
      <c r="W3648" s="27" t="n">
        <f aca="false">MATCH(A3648,DATAS,0)</f>
        <v>1</v>
      </c>
      <c r="X3648" s="27" t="n">
        <f aca="false">IF(AND(E3648&gt;0,OR(AND(B3648&gt;=1,B3648&lt;=6),B3648=10)),1,0)</f>
        <v>0</v>
      </c>
      <c r="Y3648" s="27" t="n">
        <f aca="false">IF(AND(E3648&gt;0,B3648=10),1,0)</f>
        <v>0</v>
      </c>
      <c r="Z3648" s="0" t="str">
        <f aca="false">IF(AND(C3647=C3648,W3647=W3648-1),X3647,"")</f>
        <v/>
      </c>
      <c r="AA3648" s="0" t="str">
        <f aca="false">IF(AND(C3647=C3648,W3647=W3648-1),Y3647,"")</f>
        <v/>
      </c>
      <c r="AB3648" s="0" t="str">
        <f aca="false">IF(W3648=1,"",IF(AND(X3648=1,Z3648&lt;&gt;1),1,0))</f>
        <v/>
      </c>
      <c r="AC3648" s="0" t="str">
        <f aca="false">IF(W3648=1,"",IF(AND(Y3648=1,AA3648&lt;&gt;1),1,0))</f>
        <v/>
      </c>
      <c r="AD3648" s="33" t="str">
        <f aca="false">IF(AND(E3648&gt;0,W3648&lt;1,NOT(AND(C3649=C3648,W3649=W3648+1))),INDEX(DATAS,W3648+1),"")</f>
        <v/>
      </c>
      <c r="AE3648" s="33" t="str">
        <f aca="false">IF(AND(Y3648=1,W3648&lt;1),IF(AND(C3649=C3648,W3649=W3648+1),IF(Y3649=1,"",INDEX(DATAS,W3648+1)),INDEX(DATAS,W3648+1)),"")</f>
        <v/>
      </c>
    </row>
    <row r="3649" customFormat="false" ht="15" hidden="false" customHeight="false" outlineLevel="0" collapsed="false">
      <c r="A3649" s="33" t="n">
        <v>46309</v>
      </c>
      <c r="B3649" s="0" t="n">
        <v>16</v>
      </c>
      <c r="C3649" s="0" t="n">
        <v>8113</v>
      </c>
      <c r="E3649" s="0" t="n">
        <v>0</v>
      </c>
      <c r="F3649" s="27" t="s">
        <v>1652</v>
      </c>
      <c r="I3649" s="27" t="s">
        <v>166</v>
      </c>
      <c r="U3649" s="0" t="n">
        <v>35</v>
      </c>
      <c r="V3649" s="0" t="n">
        <v>0</v>
      </c>
      <c r="W3649" s="27" t="n">
        <f aca="false">MATCH(A3649,DATAS,0)</f>
        <v>1</v>
      </c>
      <c r="X3649" s="27" t="n">
        <f aca="false">IF(AND(E3649&gt;0,OR(AND(B3649&gt;=1,B3649&lt;=6),B3649=10)),1,0)</f>
        <v>0</v>
      </c>
      <c r="Y3649" s="27" t="n">
        <f aca="false">IF(AND(E3649&gt;0,B3649=10),1,0)</f>
        <v>0</v>
      </c>
      <c r="Z3649" s="0" t="str">
        <f aca="false">IF(AND(C3648=C3649,W3648=W3649-1),X3648,"")</f>
        <v/>
      </c>
      <c r="AA3649" s="0" t="str">
        <f aca="false">IF(AND(C3648=C3649,W3648=W3649-1),Y3648,"")</f>
        <v/>
      </c>
      <c r="AB3649" s="0" t="str">
        <f aca="false">IF(W3649=1,"",IF(AND(X3649=1,Z3649&lt;&gt;1),1,0))</f>
        <v/>
      </c>
      <c r="AC3649" s="0" t="str">
        <f aca="false">IF(W3649=1,"",IF(AND(Y3649=1,AA3649&lt;&gt;1),1,0))</f>
        <v/>
      </c>
      <c r="AD3649" s="33" t="str">
        <f aca="false">IF(AND(E3649&gt;0,W3649&lt;1,NOT(AND(C3650=C3649,W3650=W3649+1))),INDEX(DATAS,W3649+1),"")</f>
        <v/>
      </c>
      <c r="AE3649" s="33" t="str">
        <f aca="false">IF(AND(Y3649=1,W3649&lt;1),IF(AND(C3650=C3649,W3650=W3649+1),IF(Y3650=1,"",INDEX(DATAS,W3649+1)),INDEX(DATAS,W3649+1)),"")</f>
        <v/>
      </c>
    </row>
    <row r="3650" customFormat="false" ht="15" hidden="false" customHeight="false" outlineLevel="0" collapsed="false">
      <c r="A3650" s="33" t="n">
        <v>46309</v>
      </c>
      <c r="B3650" s="0" t="n">
        <v>16</v>
      </c>
      <c r="C3650" s="0" t="n">
        <v>8114</v>
      </c>
      <c r="E3650" s="0" t="n">
        <v>0</v>
      </c>
      <c r="F3650" s="27" t="s">
        <v>1652</v>
      </c>
      <c r="I3650" s="27" t="s">
        <v>166</v>
      </c>
      <c r="U3650" s="0" t="n">
        <v>35</v>
      </c>
      <c r="V3650" s="0" t="n">
        <v>0</v>
      </c>
      <c r="W3650" s="27" t="n">
        <f aca="false">MATCH(A3650,DATAS,0)</f>
        <v>1</v>
      </c>
      <c r="X3650" s="27" t="n">
        <f aca="false">IF(AND(E3650&gt;0,OR(AND(B3650&gt;=1,B3650&lt;=6),B3650=10)),1,0)</f>
        <v>0</v>
      </c>
      <c r="Y3650" s="27" t="n">
        <f aca="false">IF(AND(E3650&gt;0,B3650=10),1,0)</f>
        <v>0</v>
      </c>
      <c r="Z3650" s="0" t="str">
        <f aca="false">IF(AND(C3649=C3650,W3649=W3650-1),X3649,"")</f>
        <v/>
      </c>
      <c r="AA3650" s="0" t="str">
        <f aca="false">IF(AND(C3649=C3650,W3649=W3650-1),Y3649,"")</f>
        <v/>
      </c>
      <c r="AB3650" s="0" t="str">
        <f aca="false">IF(W3650=1,"",IF(AND(X3650=1,Z3650&lt;&gt;1),1,0))</f>
        <v/>
      </c>
      <c r="AC3650" s="0" t="str">
        <f aca="false">IF(W3650=1,"",IF(AND(Y3650=1,AA3650&lt;&gt;1),1,0))</f>
        <v/>
      </c>
      <c r="AD3650" s="33" t="str">
        <f aca="false">IF(AND(E3650&gt;0,W3650&lt;1,NOT(AND(C3651=C3650,W3651=W3650+1))),INDEX(DATAS,W3650+1),"")</f>
        <v/>
      </c>
      <c r="AE3650" s="33" t="str">
        <f aca="false">IF(AND(Y3650=1,W3650&lt;1),IF(AND(C3651=C3650,W3651=W3650+1),IF(Y3651=1,"",INDEX(DATAS,W3650+1)),INDEX(DATAS,W3650+1)),"")</f>
        <v/>
      </c>
    </row>
    <row r="3651" customFormat="false" ht="15" hidden="false" customHeight="false" outlineLevel="0" collapsed="false">
      <c r="A3651" s="33" t="n">
        <v>46309</v>
      </c>
      <c r="B3651" s="0" t="n">
        <v>16</v>
      </c>
      <c r="C3651" s="0" t="n">
        <v>8115</v>
      </c>
      <c r="E3651" s="0" t="n">
        <v>0</v>
      </c>
      <c r="F3651" s="27" t="s">
        <v>1653</v>
      </c>
      <c r="I3651" s="27" t="s">
        <v>166</v>
      </c>
      <c r="U3651" s="0" t="n">
        <v>34</v>
      </c>
      <c r="V3651" s="0" t="n">
        <v>0</v>
      </c>
      <c r="W3651" s="27" t="n">
        <f aca="false">MATCH(A3651,DATAS,0)</f>
        <v>1</v>
      </c>
      <c r="X3651" s="27" t="n">
        <f aca="false">IF(AND(E3651&gt;0,OR(AND(B3651&gt;=1,B3651&lt;=6),B3651=10)),1,0)</f>
        <v>0</v>
      </c>
      <c r="Y3651" s="27" t="n">
        <f aca="false">IF(AND(E3651&gt;0,B3651=10),1,0)</f>
        <v>0</v>
      </c>
      <c r="Z3651" s="0" t="str">
        <f aca="false">IF(AND(C3650=C3651,W3650=W3651-1),X3650,"")</f>
        <v/>
      </c>
      <c r="AA3651" s="0" t="str">
        <f aca="false">IF(AND(C3650=C3651,W3650=W3651-1),Y3650,"")</f>
        <v/>
      </c>
      <c r="AB3651" s="0" t="str">
        <f aca="false">IF(W3651=1,"",IF(AND(X3651=1,Z3651&lt;&gt;1),1,0))</f>
        <v/>
      </c>
      <c r="AC3651" s="0" t="str">
        <f aca="false">IF(W3651=1,"",IF(AND(Y3651=1,AA3651&lt;&gt;1),1,0))</f>
        <v/>
      </c>
      <c r="AD3651" s="33" t="str">
        <f aca="false">IF(AND(E3651&gt;0,W3651&lt;1,NOT(AND(C3652=C3651,W3652=W3651+1))),INDEX(DATAS,W3651+1),"")</f>
        <v/>
      </c>
      <c r="AE3651" s="33" t="str">
        <f aca="false">IF(AND(Y3651=1,W3651&lt;1),IF(AND(C3652=C3651,W3652=W3651+1),IF(Y3652=1,"",INDEX(DATAS,W3651+1)),INDEX(DATAS,W3651+1)),"")</f>
        <v/>
      </c>
    </row>
    <row r="3652" customFormat="false" ht="15" hidden="false" customHeight="false" outlineLevel="0" collapsed="false">
      <c r="A3652" s="33" t="n">
        <v>46309</v>
      </c>
      <c r="B3652" s="0" t="n">
        <v>16</v>
      </c>
      <c r="C3652" s="0" t="n">
        <v>8116</v>
      </c>
      <c r="E3652" s="0" t="n">
        <v>0</v>
      </c>
      <c r="F3652" s="27" t="s">
        <v>1653</v>
      </c>
      <c r="I3652" s="27" t="s">
        <v>166</v>
      </c>
      <c r="U3652" s="0" t="n">
        <v>34</v>
      </c>
      <c r="V3652" s="0" t="n">
        <v>0</v>
      </c>
      <c r="W3652" s="27" t="n">
        <f aca="false">MATCH(A3652,DATAS,0)</f>
        <v>1</v>
      </c>
      <c r="X3652" s="27" t="n">
        <f aca="false">IF(AND(E3652&gt;0,OR(AND(B3652&gt;=1,B3652&lt;=6),B3652=10)),1,0)</f>
        <v>0</v>
      </c>
      <c r="Y3652" s="27" t="n">
        <f aca="false">IF(AND(E3652&gt;0,B3652=10),1,0)</f>
        <v>0</v>
      </c>
      <c r="Z3652" s="0" t="str">
        <f aca="false">IF(AND(C3651=C3652,W3651=W3652-1),X3651,"")</f>
        <v/>
      </c>
      <c r="AA3652" s="0" t="str">
        <f aca="false">IF(AND(C3651=C3652,W3651=W3652-1),Y3651,"")</f>
        <v/>
      </c>
      <c r="AB3652" s="0" t="str">
        <f aca="false">IF(W3652=1,"",IF(AND(X3652=1,Z3652&lt;&gt;1),1,0))</f>
        <v/>
      </c>
      <c r="AC3652" s="0" t="str">
        <f aca="false">IF(W3652=1,"",IF(AND(Y3652=1,AA3652&lt;&gt;1),1,0))</f>
        <v/>
      </c>
      <c r="AD3652" s="33" t="str">
        <f aca="false">IF(AND(E3652&gt;0,W3652&lt;1,NOT(AND(C3653=C3652,W3653=W3652+1))),INDEX(DATAS,W3652+1),"")</f>
        <v/>
      </c>
      <c r="AE3652" s="33" t="str">
        <f aca="false">IF(AND(Y3652=1,W3652&lt;1),IF(AND(C3653=C3652,W3653=W3652+1),IF(Y3653=1,"",INDEX(DATAS,W3652+1)),INDEX(DATAS,W3652+1)),"")</f>
        <v/>
      </c>
    </row>
    <row r="3653" customFormat="false" ht="15" hidden="false" customHeight="false" outlineLevel="0" collapsed="false">
      <c r="A3653" s="33" t="n">
        <v>46309</v>
      </c>
      <c r="B3653" s="0" t="n">
        <v>16</v>
      </c>
      <c r="C3653" s="0" t="n">
        <v>8117</v>
      </c>
      <c r="E3653" s="0" t="n">
        <v>0</v>
      </c>
      <c r="F3653" s="27" t="s">
        <v>1654</v>
      </c>
      <c r="I3653" s="27" t="s">
        <v>166</v>
      </c>
      <c r="U3653" s="0" t="n">
        <v>33</v>
      </c>
      <c r="V3653" s="0" t="n">
        <v>0</v>
      </c>
      <c r="W3653" s="27" t="n">
        <f aca="false">MATCH(A3653,DATAS,0)</f>
        <v>1</v>
      </c>
      <c r="X3653" s="27" t="n">
        <f aca="false">IF(AND(E3653&gt;0,OR(AND(B3653&gt;=1,B3653&lt;=6),B3653=10)),1,0)</f>
        <v>0</v>
      </c>
      <c r="Y3653" s="27" t="n">
        <f aca="false">IF(AND(E3653&gt;0,B3653=10),1,0)</f>
        <v>0</v>
      </c>
      <c r="Z3653" s="0" t="str">
        <f aca="false">IF(AND(C3652=C3653,W3652=W3653-1),X3652,"")</f>
        <v/>
      </c>
      <c r="AA3653" s="0" t="str">
        <f aca="false">IF(AND(C3652=C3653,W3652=W3653-1),Y3652,"")</f>
        <v/>
      </c>
      <c r="AB3653" s="0" t="str">
        <f aca="false">IF(W3653=1,"",IF(AND(X3653=1,Z3653&lt;&gt;1),1,0))</f>
        <v/>
      </c>
      <c r="AC3653" s="0" t="str">
        <f aca="false">IF(W3653=1,"",IF(AND(Y3653=1,AA3653&lt;&gt;1),1,0))</f>
        <v/>
      </c>
      <c r="AD3653" s="33" t="str">
        <f aca="false">IF(AND(E3653&gt;0,W3653&lt;1,NOT(AND(C3654=C3653,W3654=W3653+1))),INDEX(DATAS,W3653+1),"")</f>
        <v/>
      </c>
      <c r="AE3653" s="33" t="str">
        <f aca="false">IF(AND(Y3653=1,W3653&lt;1),IF(AND(C3654=C3653,W3654=W3653+1),IF(Y3654=1,"",INDEX(DATAS,W3653+1)),INDEX(DATAS,W3653+1)),"")</f>
        <v/>
      </c>
    </row>
    <row r="3654" customFormat="false" ht="15" hidden="false" customHeight="false" outlineLevel="0" collapsed="false">
      <c r="A3654" s="33" t="n">
        <v>46309</v>
      </c>
      <c r="B3654" s="0" t="n">
        <v>16</v>
      </c>
      <c r="C3654" s="0" t="n">
        <v>8118</v>
      </c>
      <c r="E3654" s="0" t="n">
        <v>0</v>
      </c>
      <c r="F3654" s="27" t="s">
        <v>1654</v>
      </c>
      <c r="I3654" s="27" t="s">
        <v>166</v>
      </c>
      <c r="U3654" s="0" t="n">
        <v>33</v>
      </c>
      <c r="V3654" s="0" t="n">
        <v>0</v>
      </c>
      <c r="W3654" s="27" t="n">
        <f aca="false">MATCH(A3654,DATAS,0)</f>
        <v>1</v>
      </c>
      <c r="X3654" s="27" t="n">
        <f aca="false">IF(AND(E3654&gt;0,OR(AND(B3654&gt;=1,B3654&lt;=6),B3654=10)),1,0)</f>
        <v>0</v>
      </c>
      <c r="Y3654" s="27" t="n">
        <f aca="false">IF(AND(E3654&gt;0,B3654=10),1,0)</f>
        <v>0</v>
      </c>
      <c r="Z3654" s="0" t="str">
        <f aca="false">IF(AND(C3653=C3654,W3653=W3654-1),X3653,"")</f>
        <v/>
      </c>
      <c r="AA3654" s="0" t="str">
        <f aca="false">IF(AND(C3653=C3654,W3653=W3654-1),Y3653,"")</f>
        <v/>
      </c>
      <c r="AB3654" s="0" t="str">
        <f aca="false">IF(W3654=1,"",IF(AND(X3654=1,Z3654&lt;&gt;1),1,0))</f>
        <v/>
      </c>
      <c r="AC3654" s="0" t="str">
        <f aca="false">IF(W3654=1,"",IF(AND(Y3654=1,AA3654&lt;&gt;1),1,0))</f>
        <v/>
      </c>
      <c r="AD3654" s="33" t="str">
        <f aca="false">IF(AND(E3654&gt;0,W3654&lt;1,NOT(AND(C3655=C3654,W3655=W3654+1))),INDEX(DATAS,W3654+1),"")</f>
        <v/>
      </c>
      <c r="AE3654" s="33" t="str">
        <f aca="false">IF(AND(Y3654=1,W3654&lt;1),IF(AND(C3655=C3654,W3655=W3654+1),IF(Y3655=1,"",INDEX(DATAS,W3654+1)),INDEX(DATAS,W3654+1)),"")</f>
        <v/>
      </c>
    </row>
    <row r="3655" customFormat="false" ht="15" hidden="false" customHeight="false" outlineLevel="0" collapsed="false">
      <c r="A3655" s="33" t="n">
        <v>46309</v>
      </c>
      <c r="B3655" s="0" t="n">
        <v>16</v>
      </c>
      <c r="C3655" s="0" t="n">
        <v>8119</v>
      </c>
      <c r="E3655" s="0" t="n">
        <v>0</v>
      </c>
      <c r="F3655" s="27" t="s">
        <v>1654</v>
      </c>
      <c r="I3655" s="27" t="s">
        <v>166</v>
      </c>
      <c r="U3655" s="0" t="n">
        <v>33</v>
      </c>
      <c r="V3655" s="0" t="n">
        <v>0</v>
      </c>
      <c r="W3655" s="27" t="n">
        <f aca="false">MATCH(A3655,DATAS,0)</f>
        <v>1</v>
      </c>
      <c r="X3655" s="27" t="n">
        <f aca="false">IF(AND(E3655&gt;0,OR(AND(B3655&gt;=1,B3655&lt;=6),B3655=10)),1,0)</f>
        <v>0</v>
      </c>
      <c r="Y3655" s="27" t="n">
        <f aca="false">IF(AND(E3655&gt;0,B3655=10),1,0)</f>
        <v>0</v>
      </c>
      <c r="Z3655" s="0" t="str">
        <f aca="false">IF(AND(C3654=C3655,W3654=W3655-1),X3654,"")</f>
        <v/>
      </c>
      <c r="AA3655" s="0" t="str">
        <f aca="false">IF(AND(C3654=C3655,W3654=W3655-1),Y3654,"")</f>
        <v/>
      </c>
      <c r="AB3655" s="0" t="str">
        <f aca="false">IF(W3655=1,"",IF(AND(X3655=1,Z3655&lt;&gt;1),1,0))</f>
        <v/>
      </c>
      <c r="AC3655" s="0" t="str">
        <f aca="false">IF(W3655=1,"",IF(AND(Y3655=1,AA3655&lt;&gt;1),1,0))</f>
        <v/>
      </c>
      <c r="AD3655" s="33" t="str">
        <f aca="false">IF(AND(E3655&gt;0,W3655&lt;1,NOT(AND(C3656=C3655,W3656=W3655+1))),INDEX(DATAS,W3655+1),"")</f>
        <v/>
      </c>
      <c r="AE3655" s="33" t="str">
        <f aca="false">IF(AND(Y3655=1,W3655&lt;1),IF(AND(C3656=C3655,W3656=W3655+1),IF(Y3656=1,"",INDEX(DATAS,W3655+1)),INDEX(DATAS,W3655+1)),"")</f>
        <v/>
      </c>
    </row>
    <row r="3656" customFormat="false" ht="15" hidden="false" customHeight="false" outlineLevel="0" collapsed="false">
      <c r="A3656" s="33" t="n">
        <v>46309</v>
      </c>
      <c r="B3656" s="0" t="n">
        <v>16</v>
      </c>
      <c r="C3656" s="0" t="n">
        <v>8120</v>
      </c>
      <c r="E3656" s="0" t="n">
        <v>0</v>
      </c>
      <c r="F3656" s="27" t="s">
        <v>1654</v>
      </c>
      <c r="I3656" s="27" t="s">
        <v>166</v>
      </c>
      <c r="U3656" s="0" t="n">
        <v>33</v>
      </c>
      <c r="V3656" s="0" t="n">
        <v>0</v>
      </c>
      <c r="W3656" s="27" t="n">
        <f aca="false">MATCH(A3656,DATAS,0)</f>
        <v>1</v>
      </c>
      <c r="X3656" s="27" t="n">
        <f aca="false">IF(AND(E3656&gt;0,OR(AND(B3656&gt;=1,B3656&lt;=6),B3656=10)),1,0)</f>
        <v>0</v>
      </c>
      <c r="Y3656" s="27" t="n">
        <f aca="false">IF(AND(E3656&gt;0,B3656=10),1,0)</f>
        <v>0</v>
      </c>
      <c r="Z3656" s="0" t="str">
        <f aca="false">IF(AND(C3655=C3656,W3655=W3656-1),X3655,"")</f>
        <v/>
      </c>
      <c r="AA3656" s="0" t="str">
        <f aca="false">IF(AND(C3655=C3656,W3655=W3656-1),Y3655,"")</f>
        <v/>
      </c>
      <c r="AB3656" s="0" t="str">
        <f aca="false">IF(W3656=1,"",IF(AND(X3656=1,Z3656&lt;&gt;1),1,0))</f>
        <v/>
      </c>
      <c r="AC3656" s="0" t="str">
        <f aca="false">IF(W3656=1,"",IF(AND(Y3656=1,AA3656&lt;&gt;1),1,0))</f>
        <v/>
      </c>
      <c r="AD3656" s="33" t="str">
        <f aca="false">IF(AND(E3656&gt;0,W3656&lt;1,NOT(AND(C3657=C3656,W3657=W3656+1))),INDEX(DATAS,W3656+1),"")</f>
        <v/>
      </c>
      <c r="AE3656" s="33" t="str">
        <f aca="false">IF(AND(Y3656=1,W3656&lt;1),IF(AND(C3657=C3656,W3657=W3656+1),IF(Y3657=1,"",INDEX(DATAS,W3656+1)),INDEX(DATAS,W3656+1)),"")</f>
        <v/>
      </c>
    </row>
    <row r="3657" customFormat="false" ht="15" hidden="false" customHeight="false" outlineLevel="0" collapsed="false">
      <c r="A3657" s="33" t="n">
        <v>46309</v>
      </c>
      <c r="B3657" s="0" t="n">
        <v>16</v>
      </c>
      <c r="C3657" s="0" t="n">
        <v>8121</v>
      </c>
      <c r="E3657" s="0" t="n">
        <v>0</v>
      </c>
      <c r="F3657" s="27" t="s">
        <v>1655</v>
      </c>
      <c r="I3657" s="27" t="s">
        <v>166</v>
      </c>
      <c r="U3657" s="0" t="n">
        <v>32</v>
      </c>
      <c r="V3657" s="0" t="n">
        <v>0</v>
      </c>
      <c r="W3657" s="27" t="n">
        <f aca="false">MATCH(A3657,DATAS,0)</f>
        <v>1</v>
      </c>
      <c r="X3657" s="27" t="n">
        <f aca="false">IF(AND(E3657&gt;0,OR(AND(B3657&gt;=1,B3657&lt;=6),B3657=10)),1,0)</f>
        <v>0</v>
      </c>
      <c r="Y3657" s="27" t="n">
        <f aca="false">IF(AND(E3657&gt;0,B3657=10),1,0)</f>
        <v>0</v>
      </c>
      <c r="Z3657" s="0" t="str">
        <f aca="false">IF(AND(C3656=C3657,W3656=W3657-1),X3656,"")</f>
        <v/>
      </c>
      <c r="AA3657" s="0" t="str">
        <f aca="false">IF(AND(C3656=C3657,W3656=W3657-1),Y3656,"")</f>
        <v/>
      </c>
      <c r="AB3657" s="0" t="str">
        <f aca="false">IF(W3657=1,"",IF(AND(X3657=1,Z3657&lt;&gt;1),1,0))</f>
        <v/>
      </c>
      <c r="AC3657" s="0" t="str">
        <f aca="false">IF(W3657=1,"",IF(AND(Y3657=1,AA3657&lt;&gt;1),1,0))</f>
        <v/>
      </c>
      <c r="AD3657" s="33" t="str">
        <f aca="false">IF(AND(E3657&gt;0,W3657&lt;1,NOT(AND(C3658=C3657,W3658=W3657+1))),INDEX(DATAS,W3657+1),"")</f>
        <v/>
      </c>
      <c r="AE3657" s="33" t="str">
        <f aca="false">IF(AND(Y3657=1,W3657&lt;1),IF(AND(C3658=C3657,W3658=W3657+1),IF(Y3658=1,"",INDEX(DATAS,W3657+1)),INDEX(DATAS,W3657+1)),"")</f>
        <v/>
      </c>
    </row>
    <row r="3658" customFormat="false" ht="15" hidden="false" customHeight="false" outlineLevel="0" collapsed="false">
      <c r="A3658" s="33" t="n">
        <v>46309</v>
      </c>
      <c r="B3658" s="0" t="n">
        <v>16</v>
      </c>
      <c r="C3658" s="0" t="n">
        <v>8122</v>
      </c>
      <c r="E3658" s="0" t="n">
        <v>0</v>
      </c>
      <c r="F3658" s="27" t="s">
        <v>1655</v>
      </c>
      <c r="I3658" s="27" t="s">
        <v>166</v>
      </c>
      <c r="U3658" s="0" t="n">
        <v>32</v>
      </c>
      <c r="V3658" s="0" t="n">
        <v>0</v>
      </c>
      <c r="W3658" s="27" t="n">
        <f aca="false">MATCH(A3658,DATAS,0)</f>
        <v>1</v>
      </c>
      <c r="X3658" s="27" t="n">
        <f aca="false">IF(AND(E3658&gt;0,OR(AND(B3658&gt;=1,B3658&lt;=6),B3658=10)),1,0)</f>
        <v>0</v>
      </c>
      <c r="Y3658" s="27" t="n">
        <f aca="false">IF(AND(E3658&gt;0,B3658=10),1,0)</f>
        <v>0</v>
      </c>
      <c r="Z3658" s="0" t="str">
        <f aca="false">IF(AND(C3657=C3658,W3657=W3658-1),X3657,"")</f>
        <v/>
      </c>
      <c r="AA3658" s="0" t="str">
        <f aca="false">IF(AND(C3657=C3658,W3657=W3658-1),Y3657,"")</f>
        <v/>
      </c>
      <c r="AB3658" s="0" t="str">
        <f aca="false">IF(W3658=1,"",IF(AND(X3658=1,Z3658&lt;&gt;1),1,0))</f>
        <v/>
      </c>
      <c r="AC3658" s="0" t="str">
        <f aca="false">IF(W3658=1,"",IF(AND(Y3658=1,AA3658&lt;&gt;1),1,0))</f>
        <v/>
      </c>
      <c r="AD3658" s="33" t="str">
        <f aca="false">IF(AND(E3658&gt;0,W3658&lt;1,NOT(AND(C3659=C3658,W3659=W3658+1))),INDEX(DATAS,W3658+1),"")</f>
        <v/>
      </c>
      <c r="AE3658" s="33" t="str">
        <f aca="false">IF(AND(Y3658=1,W3658&lt;1),IF(AND(C3659=C3658,W3659=W3658+1),IF(Y3659=1,"",INDEX(DATAS,W3658+1)),INDEX(DATAS,W3658+1)),"")</f>
        <v/>
      </c>
    </row>
    <row r="3659" customFormat="false" ht="15" hidden="false" customHeight="false" outlineLevel="0" collapsed="false">
      <c r="A3659" s="33" t="n">
        <v>46309</v>
      </c>
      <c r="B3659" s="0" t="n">
        <v>16</v>
      </c>
      <c r="C3659" s="0" t="n">
        <v>8124</v>
      </c>
      <c r="E3659" s="0" t="n">
        <v>0</v>
      </c>
      <c r="F3659" s="27" t="s">
        <v>1656</v>
      </c>
      <c r="I3659" s="27" t="s">
        <v>166</v>
      </c>
      <c r="U3659" s="0" t="n">
        <v>31</v>
      </c>
      <c r="V3659" s="0" t="n">
        <v>0</v>
      </c>
      <c r="W3659" s="27" t="n">
        <f aca="false">MATCH(A3659,DATAS,0)</f>
        <v>1</v>
      </c>
      <c r="X3659" s="27" t="n">
        <f aca="false">IF(AND(E3659&gt;0,OR(AND(B3659&gt;=1,B3659&lt;=6),B3659=10)),1,0)</f>
        <v>0</v>
      </c>
      <c r="Y3659" s="27" t="n">
        <f aca="false">IF(AND(E3659&gt;0,B3659=10),1,0)</f>
        <v>0</v>
      </c>
      <c r="Z3659" s="0" t="str">
        <f aca="false">IF(AND(C3658=C3659,W3658=W3659-1),X3658,"")</f>
        <v/>
      </c>
      <c r="AA3659" s="0" t="str">
        <f aca="false">IF(AND(C3658=C3659,W3658=W3659-1),Y3658,"")</f>
        <v/>
      </c>
      <c r="AB3659" s="0" t="str">
        <f aca="false">IF(W3659=1,"",IF(AND(X3659=1,Z3659&lt;&gt;1),1,0))</f>
        <v/>
      </c>
      <c r="AC3659" s="0" t="str">
        <f aca="false">IF(W3659=1,"",IF(AND(Y3659=1,AA3659&lt;&gt;1),1,0))</f>
        <v/>
      </c>
      <c r="AD3659" s="33" t="str">
        <f aca="false">IF(AND(E3659&gt;0,W3659&lt;1,NOT(AND(C3660=C3659,W3660=W3659+1))),INDEX(DATAS,W3659+1),"")</f>
        <v/>
      </c>
      <c r="AE3659" s="33" t="str">
        <f aca="false">IF(AND(Y3659=1,W3659&lt;1),IF(AND(C3660=C3659,W3660=W3659+1),IF(Y3660=1,"",INDEX(DATAS,W3659+1)),INDEX(DATAS,W3659+1)),"")</f>
        <v/>
      </c>
    </row>
    <row r="3660" customFormat="false" ht="15" hidden="false" customHeight="false" outlineLevel="0" collapsed="false">
      <c r="A3660" s="33" t="n">
        <v>46309</v>
      </c>
      <c r="B3660" s="0" t="n">
        <v>16</v>
      </c>
      <c r="C3660" s="0" t="n">
        <v>8125</v>
      </c>
      <c r="E3660" s="0" t="n">
        <v>0</v>
      </c>
      <c r="F3660" s="27" t="s">
        <v>1656</v>
      </c>
      <c r="I3660" s="27" t="s">
        <v>166</v>
      </c>
      <c r="U3660" s="0" t="n">
        <v>31</v>
      </c>
      <c r="V3660" s="0" t="n">
        <v>0</v>
      </c>
      <c r="W3660" s="27" t="n">
        <f aca="false">MATCH(A3660,DATAS,0)</f>
        <v>1</v>
      </c>
      <c r="X3660" s="27" t="n">
        <f aca="false">IF(AND(E3660&gt;0,OR(AND(B3660&gt;=1,B3660&lt;=6),B3660=10)),1,0)</f>
        <v>0</v>
      </c>
      <c r="Y3660" s="27" t="n">
        <f aca="false">IF(AND(E3660&gt;0,B3660=10),1,0)</f>
        <v>0</v>
      </c>
      <c r="Z3660" s="0" t="str">
        <f aca="false">IF(AND(C3659=C3660,W3659=W3660-1),X3659,"")</f>
        <v/>
      </c>
      <c r="AA3660" s="0" t="str">
        <f aca="false">IF(AND(C3659=C3660,W3659=W3660-1),Y3659,"")</f>
        <v/>
      </c>
      <c r="AB3660" s="0" t="str">
        <f aca="false">IF(W3660=1,"",IF(AND(X3660=1,Z3660&lt;&gt;1),1,0))</f>
        <v/>
      </c>
      <c r="AC3660" s="0" t="str">
        <f aca="false">IF(W3660=1,"",IF(AND(Y3660=1,AA3660&lt;&gt;1),1,0))</f>
        <v/>
      </c>
      <c r="AD3660" s="33" t="str">
        <f aca="false">IF(AND(E3660&gt;0,W3660&lt;1,NOT(AND(C3661=C3660,W3661=W3660+1))),INDEX(DATAS,W3660+1),"")</f>
        <v/>
      </c>
      <c r="AE3660" s="33" t="str">
        <f aca="false">IF(AND(Y3660=1,W3660&lt;1),IF(AND(C3661=C3660,W3661=W3660+1),IF(Y3661=1,"",INDEX(DATAS,W3660+1)),INDEX(DATAS,W3660+1)),"")</f>
        <v/>
      </c>
    </row>
    <row r="3661" customFormat="false" ht="15" hidden="false" customHeight="false" outlineLevel="0" collapsed="false">
      <c r="A3661" s="33" t="n">
        <v>46309</v>
      </c>
      <c r="B3661" s="0" t="n">
        <v>16</v>
      </c>
      <c r="C3661" s="0" t="n">
        <v>8126</v>
      </c>
      <c r="E3661" s="0" t="n">
        <v>0</v>
      </c>
      <c r="F3661" s="27" t="s">
        <v>1656</v>
      </c>
      <c r="I3661" s="27" t="s">
        <v>166</v>
      </c>
      <c r="U3661" s="0" t="n">
        <v>31</v>
      </c>
      <c r="V3661" s="0" t="n">
        <v>0</v>
      </c>
      <c r="W3661" s="27" t="n">
        <f aca="false">MATCH(A3661,DATAS,0)</f>
        <v>1</v>
      </c>
      <c r="X3661" s="27" t="n">
        <f aca="false">IF(AND(E3661&gt;0,OR(AND(B3661&gt;=1,B3661&lt;=6),B3661=10)),1,0)</f>
        <v>0</v>
      </c>
      <c r="Y3661" s="27" t="n">
        <f aca="false">IF(AND(E3661&gt;0,B3661=10),1,0)</f>
        <v>0</v>
      </c>
      <c r="Z3661" s="0" t="str">
        <f aca="false">IF(AND(C3660=C3661,W3660=W3661-1),X3660,"")</f>
        <v/>
      </c>
      <c r="AA3661" s="0" t="str">
        <f aca="false">IF(AND(C3660=C3661,W3660=W3661-1),Y3660,"")</f>
        <v/>
      </c>
      <c r="AB3661" s="0" t="str">
        <f aca="false">IF(W3661=1,"",IF(AND(X3661=1,Z3661&lt;&gt;1),1,0))</f>
        <v/>
      </c>
      <c r="AC3661" s="0" t="str">
        <f aca="false">IF(W3661=1,"",IF(AND(Y3661=1,AA3661&lt;&gt;1),1,0))</f>
        <v/>
      </c>
      <c r="AD3661" s="33" t="str">
        <f aca="false">IF(AND(E3661&gt;0,W3661&lt;1,NOT(AND(C3662=C3661,W3662=W3661+1))),INDEX(DATAS,W3661+1),"")</f>
        <v/>
      </c>
      <c r="AE3661" s="33" t="str">
        <f aca="false">IF(AND(Y3661=1,W3661&lt;1),IF(AND(C3662=C3661,W3662=W3661+1),IF(Y3662=1,"",INDEX(DATAS,W3661+1)),INDEX(DATAS,W3661+1)),"")</f>
        <v/>
      </c>
    </row>
    <row r="3662" customFormat="false" ht="15" hidden="false" customHeight="false" outlineLevel="0" collapsed="false">
      <c r="A3662" s="33" t="n">
        <v>46309</v>
      </c>
      <c r="B3662" s="0" t="n">
        <v>16</v>
      </c>
      <c r="C3662" s="0" t="n">
        <v>8127</v>
      </c>
      <c r="E3662" s="0" t="n">
        <v>0</v>
      </c>
      <c r="F3662" s="27" t="s">
        <v>1657</v>
      </c>
      <c r="I3662" s="27" t="s">
        <v>166</v>
      </c>
      <c r="U3662" s="0" t="n">
        <v>30</v>
      </c>
      <c r="V3662" s="0" t="n">
        <v>0</v>
      </c>
      <c r="W3662" s="27" t="n">
        <f aca="false">MATCH(A3662,DATAS,0)</f>
        <v>1</v>
      </c>
      <c r="X3662" s="27" t="n">
        <f aca="false">IF(AND(E3662&gt;0,OR(AND(B3662&gt;=1,B3662&lt;=6),B3662=10)),1,0)</f>
        <v>0</v>
      </c>
      <c r="Y3662" s="27" t="n">
        <f aca="false">IF(AND(E3662&gt;0,B3662=10),1,0)</f>
        <v>0</v>
      </c>
      <c r="Z3662" s="0" t="str">
        <f aca="false">IF(AND(C3661=C3662,W3661=W3662-1),X3661,"")</f>
        <v/>
      </c>
      <c r="AA3662" s="0" t="str">
        <f aca="false">IF(AND(C3661=C3662,W3661=W3662-1),Y3661,"")</f>
        <v/>
      </c>
      <c r="AB3662" s="0" t="str">
        <f aca="false">IF(W3662=1,"",IF(AND(X3662=1,Z3662&lt;&gt;1),1,0))</f>
        <v/>
      </c>
      <c r="AC3662" s="0" t="str">
        <f aca="false">IF(W3662=1,"",IF(AND(Y3662=1,AA3662&lt;&gt;1),1,0))</f>
        <v/>
      </c>
      <c r="AD3662" s="33" t="str">
        <f aca="false">IF(AND(E3662&gt;0,W3662&lt;1,NOT(AND(C3663=C3662,W3663=W3662+1))),INDEX(DATAS,W3662+1),"")</f>
        <v/>
      </c>
      <c r="AE3662" s="33" t="str">
        <f aca="false">IF(AND(Y3662=1,W3662&lt;1),IF(AND(C3663=C3662,W3663=W3662+1),IF(Y3663=1,"",INDEX(DATAS,W3662+1)),INDEX(DATAS,W3662+1)),"")</f>
        <v/>
      </c>
    </row>
    <row r="3663" customFormat="false" ht="15" hidden="false" customHeight="false" outlineLevel="0" collapsed="false">
      <c r="A3663" s="33" t="n">
        <v>46309</v>
      </c>
      <c r="B3663" s="0" t="n">
        <v>16</v>
      </c>
      <c r="C3663" s="0" t="n">
        <v>8128</v>
      </c>
      <c r="E3663" s="0" t="n">
        <v>0</v>
      </c>
      <c r="F3663" s="27" t="s">
        <v>1657</v>
      </c>
      <c r="I3663" s="27" t="s">
        <v>166</v>
      </c>
      <c r="U3663" s="0" t="n">
        <v>30</v>
      </c>
      <c r="V3663" s="0" t="n">
        <v>0</v>
      </c>
      <c r="W3663" s="27" t="n">
        <f aca="false">MATCH(A3663,DATAS,0)</f>
        <v>1</v>
      </c>
      <c r="X3663" s="27" t="n">
        <f aca="false">IF(AND(E3663&gt;0,OR(AND(B3663&gt;=1,B3663&lt;=6),B3663=10)),1,0)</f>
        <v>0</v>
      </c>
      <c r="Y3663" s="27" t="n">
        <f aca="false">IF(AND(E3663&gt;0,B3663=10),1,0)</f>
        <v>0</v>
      </c>
      <c r="Z3663" s="0" t="str">
        <f aca="false">IF(AND(C3662=C3663,W3662=W3663-1),X3662,"")</f>
        <v/>
      </c>
      <c r="AA3663" s="0" t="str">
        <f aca="false">IF(AND(C3662=C3663,W3662=W3663-1),Y3662,"")</f>
        <v/>
      </c>
      <c r="AB3663" s="0" t="str">
        <f aca="false">IF(W3663=1,"",IF(AND(X3663=1,Z3663&lt;&gt;1),1,0))</f>
        <v/>
      </c>
      <c r="AC3663" s="0" t="str">
        <f aca="false">IF(W3663=1,"",IF(AND(Y3663=1,AA3663&lt;&gt;1),1,0))</f>
        <v/>
      </c>
      <c r="AD3663" s="33" t="str">
        <f aca="false">IF(AND(E3663&gt;0,W3663&lt;1,NOT(AND(C3664=C3663,W3664=W3663+1))),INDEX(DATAS,W3663+1),"")</f>
        <v/>
      </c>
      <c r="AE3663" s="33" t="str">
        <f aca="false">IF(AND(Y3663=1,W3663&lt;1),IF(AND(C3664=C3663,W3664=W3663+1),IF(Y3664=1,"",INDEX(DATAS,W3663+1)),INDEX(DATAS,W3663+1)),"")</f>
        <v/>
      </c>
    </row>
    <row r="3664" customFormat="false" ht="15" hidden="false" customHeight="false" outlineLevel="0" collapsed="false">
      <c r="A3664" s="33" t="n">
        <v>46309</v>
      </c>
      <c r="B3664" s="0" t="n">
        <v>16</v>
      </c>
      <c r="C3664" s="0" t="n">
        <v>8129</v>
      </c>
      <c r="E3664" s="0" t="n">
        <v>0</v>
      </c>
      <c r="F3664" s="27" t="s">
        <v>1657</v>
      </c>
      <c r="I3664" s="27" t="s">
        <v>166</v>
      </c>
      <c r="U3664" s="0" t="n">
        <v>30</v>
      </c>
      <c r="V3664" s="0" t="n">
        <v>0</v>
      </c>
      <c r="W3664" s="27" t="n">
        <f aca="false">MATCH(A3664,DATAS,0)</f>
        <v>1</v>
      </c>
      <c r="X3664" s="27" t="n">
        <f aca="false">IF(AND(E3664&gt;0,OR(AND(B3664&gt;=1,B3664&lt;=6),B3664=10)),1,0)</f>
        <v>0</v>
      </c>
      <c r="Y3664" s="27" t="n">
        <f aca="false">IF(AND(E3664&gt;0,B3664=10),1,0)</f>
        <v>0</v>
      </c>
      <c r="Z3664" s="0" t="str">
        <f aca="false">IF(AND(C3663=C3664,W3663=W3664-1),X3663,"")</f>
        <v/>
      </c>
      <c r="AA3664" s="0" t="str">
        <f aca="false">IF(AND(C3663=C3664,W3663=W3664-1),Y3663,"")</f>
        <v/>
      </c>
      <c r="AB3664" s="0" t="str">
        <f aca="false">IF(W3664=1,"",IF(AND(X3664=1,Z3664&lt;&gt;1),1,0))</f>
        <v/>
      </c>
      <c r="AC3664" s="0" t="str">
        <f aca="false">IF(W3664=1,"",IF(AND(Y3664=1,AA3664&lt;&gt;1),1,0))</f>
        <v/>
      </c>
      <c r="AD3664" s="33" t="str">
        <f aca="false">IF(AND(E3664&gt;0,W3664&lt;1,NOT(AND(C3665=C3664,W3665=W3664+1))),INDEX(DATAS,W3664+1),"")</f>
        <v/>
      </c>
      <c r="AE3664" s="33" t="str">
        <f aca="false">IF(AND(Y3664=1,W3664&lt;1),IF(AND(C3665=C3664,W3665=W3664+1),IF(Y3665=1,"",INDEX(DATAS,W3664+1)),INDEX(DATAS,W3664+1)),"")</f>
        <v/>
      </c>
    </row>
    <row r="3665" customFormat="false" ht="15" hidden="false" customHeight="false" outlineLevel="0" collapsed="false">
      <c r="A3665" s="33" t="n">
        <v>46309</v>
      </c>
      <c r="B3665" s="0" t="n">
        <v>16</v>
      </c>
      <c r="C3665" s="0" t="n">
        <v>8130</v>
      </c>
      <c r="E3665" s="0" t="n">
        <v>0</v>
      </c>
      <c r="F3665" s="27" t="s">
        <v>1657</v>
      </c>
      <c r="I3665" s="27" t="s">
        <v>166</v>
      </c>
      <c r="U3665" s="0" t="n">
        <v>30</v>
      </c>
      <c r="V3665" s="0" t="n">
        <v>0</v>
      </c>
      <c r="W3665" s="27" t="n">
        <f aca="false">MATCH(A3665,DATAS,0)</f>
        <v>1</v>
      </c>
      <c r="X3665" s="27" t="n">
        <f aca="false">IF(AND(E3665&gt;0,OR(AND(B3665&gt;=1,B3665&lt;=6),B3665=10)),1,0)</f>
        <v>0</v>
      </c>
      <c r="Y3665" s="27" t="n">
        <f aca="false">IF(AND(E3665&gt;0,B3665=10),1,0)</f>
        <v>0</v>
      </c>
      <c r="Z3665" s="0" t="str">
        <f aca="false">IF(AND(C3664=C3665,W3664=W3665-1),X3664,"")</f>
        <v/>
      </c>
      <c r="AA3665" s="0" t="str">
        <f aca="false">IF(AND(C3664=C3665,W3664=W3665-1),Y3664,"")</f>
        <v/>
      </c>
      <c r="AB3665" s="0" t="str">
        <f aca="false">IF(W3665=1,"",IF(AND(X3665=1,Z3665&lt;&gt;1),1,0))</f>
        <v/>
      </c>
      <c r="AC3665" s="0" t="str">
        <f aca="false">IF(W3665=1,"",IF(AND(Y3665=1,AA3665&lt;&gt;1),1,0))</f>
        <v/>
      </c>
      <c r="AD3665" s="33" t="str">
        <f aca="false">IF(AND(E3665&gt;0,W3665&lt;1,NOT(AND(C3666=C3665,W3666=W3665+1))),INDEX(DATAS,W3665+1),"")</f>
        <v/>
      </c>
      <c r="AE3665" s="33" t="str">
        <f aca="false">IF(AND(Y3665=1,W3665&lt;1),IF(AND(C3666=C3665,W3666=W3665+1),IF(Y3666=1,"",INDEX(DATAS,W3665+1)),INDEX(DATAS,W3665+1)),"")</f>
        <v/>
      </c>
    </row>
    <row r="3666" customFormat="false" ht="15" hidden="false" customHeight="false" outlineLevel="0" collapsed="false">
      <c r="A3666" s="33" t="n">
        <v>46309</v>
      </c>
      <c r="B3666" s="0" t="n">
        <v>16</v>
      </c>
      <c r="C3666" s="0" t="n">
        <v>8131</v>
      </c>
      <c r="E3666" s="0" t="n">
        <v>0</v>
      </c>
      <c r="F3666" s="27" t="s">
        <v>1658</v>
      </c>
      <c r="I3666" s="27" t="s">
        <v>166</v>
      </c>
      <c r="U3666" s="0" t="n">
        <v>29</v>
      </c>
      <c r="V3666" s="0" t="n">
        <v>0</v>
      </c>
      <c r="W3666" s="27" t="n">
        <f aca="false">MATCH(A3666,DATAS,0)</f>
        <v>1</v>
      </c>
      <c r="X3666" s="27" t="n">
        <f aca="false">IF(AND(E3666&gt;0,OR(AND(B3666&gt;=1,B3666&lt;=6),B3666=10)),1,0)</f>
        <v>0</v>
      </c>
      <c r="Y3666" s="27" t="n">
        <f aca="false">IF(AND(E3666&gt;0,B3666=10),1,0)</f>
        <v>0</v>
      </c>
      <c r="Z3666" s="0" t="str">
        <f aca="false">IF(AND(C3665=C3666,W3665=W3666-1),X3665,"")</f>
        <v/>
      </c>
      <c r="AA3666" s="0" t="str">
        <f aca="false">IF(AND(C3665=C3666,W3665=W3666-1),Y3665,"")</f>
        <v/>
      </c>
      <c r="AB3666" s="0" t="str">
        <f aca="false">IF(W3666=1,"",IF(AND(X3666=1,Z3666&lt;&gt;1),1,0))</f>
        <v/>
      </c>
      <c r="AC3666" s="0" t="str">
        <f aca="false">IF(W3666=1,"",IF(AND(Y3666=1,AA3666&lt;&gt;1),1,0))</f>
        <v/>
      </c>
      <c r="AD3666" s="33" t="str">
        <f aca="false">IF(AND(E3666&gt;0,W3666&lt;1,NOT(AND(C3667=C3666,W3667=W3666+1))),INDEX(DATAS,W3666+1),"")</f>
        <v/>
      </c>
      <c r="AE3666" s="33" t="str">
        <f aca="false">IF(AND(Y3666=1,W3666&lt;1),IF(AND(C3667=C3666,W3667=W3666+1),IF(Y3667=1,"",INDEX(DATAS,W3666+1)),INDEX(DATAS,W3666+1)),"")</f>
        <v/>
      </c>
    </row>
    <row r="3667" customFormat="false" ht="15" hidden="false" customHeight="false" outlineLevel="0" collapsed="false">
      <c r="A3667" s="33" t="n">
        <v>46309</v>
      </c>
      <c r="B3667" s="0" t="n">
        <v>16</v>
      </c>
      <c r="C3667" s="0" t="n">
        <v>8132</v>
      </c>
      <c r="E3667" s="0" t="n">
        <v>0</v>
      </c>
      <c r="F3667" s="27" t="s">
        <v>1658</v>
      </c>
      <c r="I3667" s="27" t="s">
        <v>166</v>
      </c>
      <c r="U3667" s="0" t="n">
        <v>29</v>
      </c>
      <c r="V3667" s="0" t="n">
        <v>0</v>
      </c>
      <c r="W3667" s="27" t="n">
        <f aca="false">MATCH(A3667,DATAS,0)</f>
        <v>1</v>
      </c>
      <c r="X3667" s="27" t="n">
        <f aca="false">IF(AND(E3667&gt;0,OR(AND(B3667&gt;=1,B3667&lt;=6),B3667=10)),1,0)</f>
        <v>0</v>
      </c>
      <c r="Y3667" s="27" t="n">
        <f aca="false">IF(AND(E3667&gt;0,B3667=10),1,0)</f>
        <v>0</v>
      </c>
      <c r="Z3667" s="0" t="str">
        <f aca="false">IF(AND(C3666=C3667,W3666=W3667-1),X3666,"")</f>
        <v/>
      </c>
      <c r="AA3667" s="0" t="str">
        <f aca="false">IF(AND(C3666=C3667,W3666=W3667-1),Y3666,"")</f>
        <v/>
      </c>
      <c r="AB3667" s="0" t="str">
        <f aca="false">IF(W3667=1,"",IF(AND(X3667=1,Z3667&lt;&gt;1),1,0))</f>
        <v/>
      </c>
      <c r="AC3667" s="0" t="str">
        <f aca="false">IF(W3667=1,"",IF(AND(Y3667=1,AA3667&lt;&gt;1),1,0))</f>
        <v/>
      </c>
      <c r="AD3667" s="33" t="str">
        <f aca="false">IF(AND(E3667&gt;0,W3667&lt;1,NOT(AND(C3668=C3667,W3668=W3667+1))),INDEX(DATAS,W3667+1),"")</f>
        <v/>
      </c>
      <c r="AE3667" s="33" t="str">
        <f aca="false">IF(AND(Y3667=1,W3667&lt;1),IF(AND(C3668=C3667,W3668=W3667+1),IF(Y3668=1,"",INDEX(DATAS,W3667+1)),INDEX(DATAS,W3667+1)),"")</f>
        <v/>
      </c>
    </row>
    <row r="3668" customFormat="false" ht="15" hidden="false" customHeight="false" outlineLevel="0" collapsed="false">
      <c r="A3668" s="33" t="n">
        <v>46309</v>
      </c>
      <c r="B3668" s="0" t="n">
        <v>16</v>
      </c>
      <c r="C3668" s="0" t="n">
        <v>8133</v>
      </c>
      <c r="E3668" s="0" t="n">
        <v>0</v>
      </c>
      <c r="F3668" s="27" t="s">
        <v>1659</v>
      </c>
      <c r="I3668" s="27" t="s">
        <v>166</v>
      </c>
      <c r="U3668" s="0" t="n">
        <v>28</v>
      </c>
      <c r="V3668" s="0" t="n">
        <v>0</v>
      </c>
      <c r="W3668" s="27" t="n">
        <f aca="false">MATCH(A3668,DATAS,0)</f>
        <v>1</v>
      </c>
      <c r="X3668" s="27" t="n">
        <f aca="false">IF(AND(E3668&gt;0,OR(AND(B3668&gt;=1,B3668&lt;=6),B3668=10)),1,0)</f>
        <v>0</v>
      </c>
      <c r="Y3668" s="27" t="n">
        <f aca="false">IF(AND(E3668&gt;0,B3668=10),1,0)</f>
        <v>0</v>
      </c>
      <c r="Z3668" s="0" t="str">
        <f aca="false">IF(AND(C3667=C3668,W3667=W3668-1),X3667,"")</f>
        <v/>
      </c>
      <c r="AA3668" s="0" t="str">
        <f aca="false">IF(AND(C3667=C3668,W3667=W3668-1),Y3667,"")</f>
        <v/>
      </c>
      <c r="AB3668" s="0" t="str">
        <f aca="false">IF(W3668=1,"",IF(AND(X3668=1,Z3668&lt;&gt;1),1,0))</f>
        <v/>
      </c>
      <c r="AC3668" s="0" t="str">
        <f aca="false">IF(W3668=1,"",IF(AND(Y3668=1,AA3668&lt;&gt;1),1,0))</f>
        <v/>
      </c>
      <c r="AD3668" s="33" t="str">
        <f aca="false">IF(AND(E3668&gt;0,W3668&lt;1,NOT(AND(C3669=C3668,W3669=W3668+1))),INDEX(DATAS,W3668+1),"")</f>
        <v/>
      </c>
      <c r="AE3668" s="33" t="str">
        <f aca="false">IF(AND(Y3668=1,W3668&lt;1),IF(AND(C3669=C3668,W3669=W3668+1),IF(Y3669=1,"",INDEX(DATAS,W3668+1)),INDEX(DATAS,W3668+1)),"")</f>
        <v/>
      </c>
    </row>
    <row r="3669" customFormat="false" ht="15" hidden="false" customHeight="false" outlineLevel="0" collapsed="false">
      <c r="A3669" s="33" t="n">
        <v>46309</v>
      </c>
      <c r="B3669" s="0" t="n">
        <v>16</v>
      </c>
      <c r="C3669" s="0" t="n">
        <v>8134</v>
      </c>
      <c r="E3669" s="0" t="n">
        <v>0</v>
      </c>
      <c r="F3669" s="27" t="s">
        <v>1660</v>
      </c>
      <c r="I3669" s="27" t="s">
        <v>166</v>
      </c>
      <c r="U3669" s="0" t="n">
        <v>26</v>
      </c>
      <c r="V3669" s="0" t="n">
        <v>0</v>
      </c>
      <c r="W3669" s="27" t="n">
        <f aca="false">MATCH(A3669,DATAS,0)</f>
        <v>1</v>
      </c>
      <c r="X3669" s="27" t="n">
        <f aca="false">IF(AND(E3669&gt;0,OR(AND(B3669&gt;=1,B3669&lt;=6),B3669=10)),1,0)</f>
        <v>0</v>
      </c>
      <c r="Y3669" s="27" t="n">
        <f aca="false">IF(AND(E3669&gt;0,B3669=10),1,0)</f>
        <v>0</v>
      </c>
      <c r="Z3669" s="0" t="str">
        <f aca="false">IF(AND(C3668=C3669,W3668=W3669-1),X3668,"")</f>
        <v/>
      </c>
      <c r="AA3669" s="0" t="str">
        <f aca="false">IF(AND(C3668=C3669,W3668=W3669-1),Y3668,"")</f>
        <v/>
      </c>
      <c r="AB3669" s="0" t="str">
        <f aca="false">IF(W3669=1,"",IF(AND(X3669=1,Z3669&lt;&gt;1),1,0))</f>
        <v/>
      </c>
      <c r="AC3669" s="0" t="str">
        <f aca="false">IF(W3669=1,"",IF(AND(Y3669=1,AA3669&lt;&gt;1),1,0))</f>
        <v/>
      </c>
      <c r="AD3669" s="33" t="str">
        <f aca="false">IF(AND(E3669&gt;0,W3669&lt;1,NOT(AND(C3670=C3669,W3670=W3669+1))),INDEX(DATAS,W3669+1),"")</f>
        <v/>
      </c>
      <c r="AE3669" s="33" t="str">
        <f aca="false">IF(AND(Y3669=1,W3669&lt;1),IF(AND(C3670=C3669,W3670=W3669+1),IF(Y3670=1,"",INDEX(DATAS,W3669+1)),INDEX(DATAS,W3669+1)),"")</f>
        <v/>
      </c>
    </row>
    <row r="3670" customFormat="false" ht="15" hidden="false" customHeight="false" outlineLevel="0" collapsed="false">
      <c r="A3670" s="33" t="n">
        <v>46309</v>
      </c>
      <c r="B3670" s="0" t="n">
        <v>16</v>
      </c>
      <c r="C3670" s="0" t="n">
        <v>8135</v>
      </c>
      <c r="E3670" s="0" t="n">
        <v>0</v>
      </c>
      <c r="F3670" s="27" t="s">
        <v>1660</v>
      </c>
      <c r="I3670" s="27" t="s">
        <v>166</v>
      </c>
      <c r="U3670" s="0" t="n">
        <v>26</v>
      </c>
      <c r="V3670" s="0" t="n">
        <v>0</v>
      </c>
      <c r="W3670" s="27" t="n">
        <f aca="false">MATCH(A3670,DATAS,0)</f>
        <v>1</v>
      </c>
      <c r="X3670" s="27" t="n">
        <f aca="false">IF(AND(E3670&gt;0,OR(AND(B3670&gt;=1,B3670&lt;=6),B3670=10)),1,0)</f>
        <v>0</v>
      </c>
      <c r="Y3670" s="27" t="n">
        <f aca="false">IF(AND(E3670&gt;0,B3670=10),1,0)</f>
        <v>0</v>
      </c>
      <c r="Z3670" s="0" t="str">
        <f aca="false">IF(AND(C3669=C3670,W3669=W3670-1),X3669,"")</f>
        <v/>
      </c>
      <c r="AA3670" s="0" t="str">
        <f aca="false">IF(AND(C3669=C3670,W3669=W3670-1),Y3669,"")</f>
        <v/>
      </c>
      <c r="AB3670" s="0" t="str">
        <f aca="false">IF(W3670=1,"",IF(AND(X3670=1,Z3670&lt;&gt;1),1,0))</f>
        <v/>
      </c>
      <c r="AC3670" s="0" t="str">
        <f aca="false">IF(W3670=1,"",IF(AND(Y3670=1,AA3670&lt;&gt;1),1,0))</f>
        <v/>
      </c>
      <c r="AD3670" s="33" t="str">
        <f aca="false">IF(AND(E3670&gt;0,W3670&lt;1,NOT(AND(C3671=C3670,W3671=W3670+1))),INDEX(DATAS,W3670+1),"")</f>
        <v/>
      </c>
      <c r="AE3670" s="33" t="str">
        <f aca="false">IF(AND(Y3670=1,W3670&lt;1),IF(AND(C3671=C3670,W3671=W3670+1),IF(Y3671=1,"",INDEX(DATAS,W3670+1)),INDEX(DATAS,W3670+1)),"")</f>
        <v/>
      </c>
    </row>
    <row r="3671" customFormat="false" ht="15" hidden="false" customHeight="false" outlineLevel="0" collapsed="false">
      <c r="A3671" s="33" t="n">
        <v>46309</v>
      </c>
      <c r="B3671" s="0" t="n">
        <v>16</v>
      </c>
      <c r="C3671" s="0" t="n">
        <v>8136</v>
      </c>
      <c r="E3671" s="0" t="n">
        <v>0</v>
      </c>
      <c r="F3671" s="27" t="s">
        <v>1660</v>
      </c>
      <c r="I3671" s="27" t="s">
        <v>166</v>
      </c>
      <c r="U3671" s="0" t="n">
        <v>26</v>
      </c>
      <c r="V3671" s="0" t="n">
        <v>0</v>
      </c>
      <c r="W3671" s="27" t="n">
        <f aca="false">MATCH(A3671,DATAS,0)</f>
        <v>1</v>
      </c>
      <c r="X3671" s="27" t="n">
        <f aca="false">IF(AND(E3671&gt;0,OR(AND(B3671&gt;=1,B3671&lt;=6),B3671=10)),1,0)</f>
        <v>0</v>
      </c>
      <c r="Y3671" s="27" t="n">
        <f aca="false">IF(AND(E3671&gt;0,B3671=10),1,0)</f>
        <v>0</v>
      </c>
      <c r="Z3671" s="0" t="str">
        <f aca="false">IF(AND(C3670=C3671,W3670=W3671-1),X3670,"")</f>
        <v/>
      </c>
      <c r="AA3671" s="0" t="str">
        <f aca="false">IF(AND(C3670=C3671,W3670=W3671-1),Y3670,"")</f>
        <v/>
      </c>
      <c r="AB3671" s="0" t="str">
        <f aca="false">IF(W3671=1,"",IF(AND(X3671=1,Z3671&lt;&gt;1),1,0))</f>
        <v/>
      </c>
      <c r="AC3671" s="0" t="str">
        <f aca="false">IF(W3671=1,"",IF(AND(Y3671=1,AA3671&lt;&gt;1),1,0))</f>
        <v/>
      </c>
      <c r="AD3671" s="33" t="str">
        <f aca="false">IF(AND(E3671&gt;0,W3671&lt;1,NOT(AND(C3672=C3671,W3672=W3671+1))),INDEX(DATAS,W3671+1),"")</f>
        <v/>
      </c>
      <c r="AE3671" s="33" t="str">
        <f aca="false">IF(AND(Y3671=1,W3671&lt;1),IF(AND(C3672=C3671,W3672=W3671+1),IF(Y3672=1,"",INDEX(DATAS,W3671+1)),INDEX(DATAS,W3671+1)),"")</f>
        <v/>
      </c>
    </row>
    <row r="3672" customFormat="false" ht="15" hidden="false" customHeight="false" outlineLevel="0" collapsed="false">
      <c r="A3672" s="33" t="n">
        <v>46309</v>
      </c>
      <c r="B3672" s="0" t="n">
        <v>16</v>
      </c>
      <c r="C3672" s="0" t="n">
        <v>8137</v>
      </c>
      <c r="E3672" s="0" t="n">
        <v>0</v>
      </c>
      <c r="F3672" s="27" t="s">
        <v>1660</v>
      </c>
      <c r="I3672" s="27" t="s">
        <v>166</v>
      </c>
      <c r="U3672" s="0" t="n">
        <v>26</v>
      </c>
      <c r="V3672" s="0" t="n">
        <v>0</v>
      </c>
      <c r="W3672" s="27" t="n">
        <f aca="false">MATCH(A3672,DATAS,0)</f>
        <v>1</v>
      </c>
      <c r="X3672" s="27" t="n">
        <f aca="false">IF(AND(E3672&gt;0,OR(AND(B3672&gt;=1,B3672&lt;=6),B3672=10)),1,0)</f>
        <v>0</v>
      </c>
      <c r="Y3672" s="27" t="n">
        <f aca="false">IF(AND(E3672&gt;0,B3672=10),1,0)</f>
        <v>0</v>
      </c>
      <c r="Z3672" s="0" t="str">
        <f aca="false">IF(AND(C3671=C3672,W3671=W3672-1),X3671,"")</f>
        <v/>
      </c>
      <c r="AA3672" s="0" t="str">
        <f aca="false">IF(AND(C3671=C3672,W3671=W3672-1),Y3671,"")</f>
        <v/>
      </c>
      <c r="AB3672" s="0" t="str">
        <f aca="false">IF(W3672=1,"",IF(AND(X3672=1,Z3672&lt;&gt;1),1,0))</f>
        <v/>
      </c>
      <c r="AC3672" s="0" t="str">
        <f aca="false">IF(W3672=1,"",IF(AND(Y3672=1,AA3672&lt;&gt;1),1,0))</f>
        <v/>
      </c>
      <c r="AD3672" s="33" t="str">
        <f aca="false">IF(AND(E3672&gt;0,W3672&lt;1,NOT(AND(C3673=C3672,W3673=W3672+1))),INDEX(DATAS,W3672+1),"")</f>
        <v/>
      </c>
      <c r="AE3672" s="33" t="str">
        <f aca="false">IF(AND(Y3672=1,W3672&lt;1),IF(AND(C3673=C3672,W3673=W3672+1),IF(Y3673=1,"",INDEX(DATAS,W3672+1)),INDEX(DATAS,W3672+1)),"")</f>
        <v/>
      </c>
    </row>
    <row r="3673" customFormat="false" ht="15" hidden="false" customHeight="false" outlineLevel="0" collapsed="false">
      <c r="A3673" s="33" t="n">
        <v>46309</v>
      </c>
      <c r="B3673" s="0" t="n">
        <v>16</v>
      </c>
      <c r="C3673" s="0" t="n">
        <v>8138</v>
      </c>
      <c r="E3673" s="0" t="n">
        <v>0</v>
      </c>
      <c r="F3673" s="27" t="s">
        <v>1660</v>
      </c>
      <c r="I3673" s="27" t="s">
        <v>166</v>
      </c>
      <c r="U3673" s="0" t="n">
        <v>26</v>
      </c>
      <c r="V3673" s="0" t="n">
        <v>0</v>
      </c>
      <c r="W3673" s="27" t="n">
        <f aca="false">MATCH(A3673,DATAS,0)</f>
        <v>1</v>
      </c>
      <c r="X3673" s="27" t="n">
        <f aca="false">IF(AND(E3673&gt;0,OR(AND(B3673&gt;=1,B3673&lt;=6),B3673=10)),1,0)</f>
        <v>0</v>
      </c>
      <c r="Y3673" s="27" t="n">
        <f aca="false">IF(AND(E3673&gt;0,B3673=10),1,0)</f>
        <v>0</v>
      </c>
      <c r="Z3673" s="0" t="str">
        <f aca="false">IF(AND(C3672=C3673,W3672=W3673-1),X3672,"")</f>
        <v/>
      </c>
      <c r="AA3673" s="0" t="str">
        <f aca="false">IF(AND(C3672=C3673,W3672=W3673-1),Y3672,"")</f>
        <v/>
      </c>
      <c r="AB3673" s="0" t="str">
        <f aca="false">IF(W3673=1,"",IF(AND(X3673=1,Z3673&lt;&gt;1),1,0))</f>
        <v/>
      </c>
      <c r="AC3673" s="0" t="str">
        <f aca="false">IF(W3673=1,"",IF(AND(Y3673=1,AA3673&lt;&gt;1),1,0))</f>
        <v/>
      </c>
      <c r="AD3673" s="33" t="str">
        <f aca="false">IF(AND(E3673&gt;0,W3673&lt;1,NOT(AND(C3674=C3673,W3674=W3673+1))),INDEX(DATAS,W3673+1),"")</f>
        <v/>
      </c>
      <c r="AE3673" s="33" t="str">
        <f aca="false">IF(AND(Y3673=1,W3673&lt;1),IF(AND(C3674=C3673,W3674=W3673+1),IF(Y3674=1,"",INDEX(DATAS,W3673+1)),INDEX(DATAS,W3673+1)),"")</f>
        <v/>
      </c>
    </row>
    <row r="3674" customFormat="false" ht="15" hidden="false" customHeight="false" outlineLevel="0" collapsed="false">
      <c r="A3674" s="33" t="n">
        <v>46309</v>
      </c>
      <c r="B3674" s="0" t="n">
        <v>16</v>
      </c>
      <c r="C3674" s="0" t="n">
        <v>8139</v>
      </c>
      <c r="E3674" s="0" t="n">
        <v>0</v>
      </c>
      <c r="F3674" s="27" t="s">
        <v>1661</v>
      </c>
      <c r="I3674" s="27" t="s">
        <v>166</v>
      </c>
      <c r="U3674" s="0" t="n">
        <v>25</v>
      </c>
      <c r="V3674" s="0" t="n">
        <v>0</v>
      </c>
      <c r="W3674" s="27" t="n">
        <f aca="false">MATCH(A3674,DATAS,0)</f>
        <v>1</v>
      </c>
      <c r="X3674" s="27" t="n">
        <f aca="false">IF(AND(E3674&gt;0,OR(AND(B3674&gt;=1,B3674&lt;=6),B3674=10)),1,0)</f>
        <v>0</v>
      </c>
      <c r="Y3674" s="27" t="n">
        <f aca="false">IF(AND(E3674&gt;0,B3674=10),1,0)</f>
        <v>0</v>
      </c>
      <c r="Z3674" s="0" t="str">
        <f aca="false">IF(AND(C3673=C3674,W3673=W3674-1),X3673,"")</f>
        <v/>
      </c>
      <c r="AA3674" s="0" t="str">
        <f aca="false">IF(AND(C3673=C3674,W3673=W3674-1),Y3673,"")</f>
        <v/>
      </c>
      <c r="AB3674" s="0" t="str">
        <f aca="false">IF(W3674=1,"",IF(AND(X3674=1,Z3674&lt;&gt;1),1,0))</f>
        <v/>
      </c>
      <c r="AC3674" s="0" t="str">
        <f aca="false">IF(W3674=1,"",IF(AND(Y3674=1,AA3674&lt;&gt;1),1,0))</f>
        <v/>
      </c>
      <c r="AD3674" s="33" t="str">
        <f aca="false">IF(AND(E3674&gt;0,W3674&lt;1,NOT(AND(C3675=C3674,W3675=W3674+1))),INDEX(DATAS,W3674+1),"")</f>
        <v/>
      </c>
      <c r="AE3674" s="33" t="str">
        <f aca="false">IF(AND(Y3674=1,W3674&lt;1),IF(AND(C3675=C3674,W3675=W3674+1),IF(Y3675=1,"",INDEX(DATAS,W3674+1)),INDEX(DATAS,W3674+1)),"")</f>
        <v/>
      </c>
    </row>
    <row r="3675" customFormat="false" ht="15" hidden="false" customHeight="false" outlineLevel="0" collapsed="false">
      <c r="A3675" s="33" t="n">
        <v>46309</v>
      </c>
      <c r="B3675" s="0" t="n">
        <v>16</v>
      </c>
      <c r="C3675" s="0" t="n">
        <v>8140</v>
      </c>
      <c r="E3675" s="0" t="n">
        <v>0</v>
      </c>
      <c r="F3675" s="27" t="s">
        <v>1661</v>
      </c>
      <c r="I3675" s="27" t="s">
        <v>166</v>
      </c>
      <c r="U3675" s="0" t="n">
        <v>25</v>
      </c>
      <c r="V3675" s="0" t="n">
        <v>0</v>
      </c>
      <c r="W3675" s="27" t="n">
        <f aca="false">MATCH(A3675,DATAS,0)</f>
        <v>1</v>
      </c>
      <c r="X3675" s="27" t="n">
        <f aca="false">IF(AND(E3675&gt;0,OR(AND(B3675&gt;=1,B3675&lt;=6),B3675=10)),1,0)</f>
        <v>0</v>
      </c>
      <c r="Y3675" s="27" t="n">
        <f aca="false">IF(AND(E3675&gt;0,B3675=10),1,0)</f>
        <v>0</v>
      </c>
      <c r="Z3675" s="0" t="str">
        <f aca="false">IF(AND(C3674=C3675,W3674=W3675-1),X3674,"")</f>
        <v/>
      </c>
      <c r="AA3675" s="0" t="str">
        <f aca="false">IF(AND(C3674=C3675,W3674=W3675-1),Y3674,"")</f>
        <v/>
      </c>
      <c r="AB3675" s="0" t="str">
        <f aca="false">IF(W3675=1,"",IF(AND(X3675=1,Z3675&lt;&gt;1),1,0))</f>
        <v/>
      </c>
      <c r="AC3675" s="0" t="str">
        <f aca="false">IF(W3675=1,"",IF(AND(Y3675=1,AA3675&lt;&gt;1),1,0))</f>
        <v/>
      </c>
      <c r="AD3675" s="33" t="str">
        <f aca="false">IF(AND(E3675&gt;0,W3675&lt;1,NOT(AND(C3676=C3675,W3676=W3675+1))),INDEX(DATAS,W3675+1),"")</f>
        <v/>
      </c>
      <c r="AE3675" s="33" t="str">
        <f aca="false">IF(AND(Y3675=1,W3675&lt;1),IF(AND(C3676=C3675,W3676=W3675+1),IF(Y3676=1,"",INDEX(DATAS,W3675+1)),INDEX(DATAS,W3675+1)),"")</f>
        <v/>
      </c>
    </row>
    <row r="3676" customFormat="false" ht="15" hidden="false" customHeight="false" outlineLevel="0" collapsed="false">
      <c r="A3676" s="33" t="n">
        <v>46309</v>
      </c>
      <c r="B3676" s="0" t="n">
        <v>16</v>
      </c>
      <c r="C3676" s="0" t="n">
        <v>8141</v>
      </c>
      <c r="E3676" s="0" t="n">
        <v>0</v>
      </c>
      <c r="F3676" s="27" t="s">
        <v>1661</v>
      </c>
      <c r="I3676" s="27" t="s">
        <v>166</v>
      </c>
      <c r="U3676" s="0" t="n">
        <v>25</v>
      </c>
      <c r="V3676" s="0" t="n">
        <v>0</v>
      </c>
      <c r="W3676" s="27" t="n">
        <f aca="false">MATCH(A3676,DATAS,0)</f>
        <v>1</v>
      </c>
      <c r="X3676" s="27" t="n">
        <f aca="false">IF(AND(E3676&gt;0,OR(AND(B3676&gt;=1,B3676&lt;=6),B3676=10)),1,0)</f>
        <v>0</v>
      </c>
      <c r="Y3676" s="27" t="n">
        <f aca="false">IF(AND(E3676&gt;0,B3676=10),1,0)</f>
        <v>0</v>
      </c>
      <c r="Z3676" s="0" t="str">
        <f aca="false">IF(AND(C3675=C3676,W3675=W3676-1),X3675,"")</f>
        <v/>
      </c>
      <c r="AA3676" s="0" t="str">
        <f aca="false">IF(AND(C3675=C3676,W3675=W3676-1),Y3675,"")</f>
        <v/>
      </c>
      <c r="AB3676" s="0" t="str">
        <f aca="false">IF(W3676=1,"",IF(AND(X3676=1,Z3676&lt;&gt;1),1,0))</f>
        <v/>
      </c>
      <c r="AC3676" s="0" t="str">
        <f aca="false">IF(W3676=1,"",IF(AND(Y3676=1,AA3676&lt;&gt;1),1,0))</f>
        <v/>
      </c>
      <c r="AD3676" s="33" t="str">
        <f aca="false">IF(AND(E3676&gt;0,W3676&lt;1,NOT(AND(C3677=C3676,W3677=W3676+1))),INDEX(DATAS,W3676+1),"")</f>
        <v/>
      </c>
      <c r="AE3676" s="33" t="str">
        <f aca="false">IF(AND(Y3676=1,W3676&lt;1),IF(AND(C3677=C3676,W3677=W3676+1),IF(Y3677=1,"",INDEX(DATAS,W3676+1)),INDEX(DATAS,W3676+1)),"")</f>
        <v/>
      </c>
    </row>
    <row r="3677" customFormat="false" ht="15" hidden="false" customHeight="false" outlineLevel="0" collapsed="false">
      <c r="A3677" s="33" t="n">
        <v>46309</v>
      </c>
      <c r="B3677" s="0" t="n">
        <v>16</v>
      </c>
      <c r="C3677" s="0" t="n">
        <v>8142</v>
      </c>
      <c r="E3677" s="0" t="n">
        <v>0</v>
      </c>
      <c r="F3677" s="27" t="s">
        <v>1661</v>
      </c>
      <c r="I3677" s="27" t="s">
        <v>166</v>
      </c>
      <c r="U3677" s="0" t="n">
        <v>25</v>
      </c>
      <c r="V3677" s="0" t="n">
        <v>0</v>
      </c>
      <c r="W3677" s="27" t="n">
        <f aca="false">MATCH(A3677,DATAS,0)</f>
        <v>1</v>
      </c>
      <c r="X3677" s="27" t="n">
        <f aca="false">IF(AND(E3677&gt;0,OR(AND(B3677&gt;=1,B3677&lt;=6),B3677=10)),1,0)</f>
        <v>0</v>
      </c>
      <c r="Y3677" s="27" t="n">
        <f aca="false">IF(AND(E3677&gt;0,B3677=10),1,0)</f>
        <v>0</v>
      </c>
      <c r="Z3677" s="0" t="str">
        <f aca="false">IF(AND(C3676=C3677,W3676=W3677-1),X3676,"")</f>
        <v/>
      </c>
      <c r="AA3677" s="0" t="str">
        <f aca="false">IF(AND(C3676=C3677,W3676=W3677-1),Y3676,"")</f>
        <v/>
      </c>
      <c r="AB3677" s="0" t="str">
        <f aca="false">IF(W3677=1,"",IF(AND(X3677=1,Z3677&lt;&gt;1),1,0))</f>
        <v/>
      </c>
      <c r="AC3677" s="0" t="str">
        <f aca="false">IF(W3677=1,"",IF(AND(Y3677=1,AA3677&lt;&gt;1),1,0))</f>
        <v/>
      </c>
      <c r="AD3677" s="33" t="str">
        <f aca="false">IF(AND(E3677&gt;0,W3677&lt;1,NOT(AND(C3678=C3677,W3678=W3677+1))),INDEX(DATAS,W3677+1),"")</f>
        <v/>
      </c>
      <c r="AE3677" s="33" t="str">
        <f aca="false">IF(AND(Y3677=1,W3677&lt;1),IF(AND(C3678=C3677,W3678=W3677+1),IF(Y3678=1,"",INDEX(DATAS,W3677+1)),INDEX(DATAS,W3677+1)),"")</f>
        <v/>
      </c>
    </row>
    <row r="3678" customFormat="false" ht="15" hidden="false" customHeight="false" outlineLevel="0" collapsed="false">
      <c r="A3678" s="33" t="n">
        <v>46309</v>
      </c>
      <c r="B3678" s="0" t="n">
        <v>16</v>
      </c>
      <c r="C3678" s="0" t="n">
        <v>8143</v>
      </c>
      <c r="E3678" s="0" t="n">
        <v>0</v>
      </c>
      <c r="F3678" s="27" t="s">
        <v>1661</v>
      </c>
      <c r="I3678" s="27" t="s">
        <v>166</v>
      </c>
      <c r="U3678" s="0" t="n">
        <v>25</v>
      </c>
      <c r="V3678" s="0" t="n">
        <v>0</v>
      </c>
      <c r="W3678" s="27" t="n">
        <f aca="false">MATCH(A3678,DATAS,0)</f>
        <v>1</v>
      </c>
      <c r="X3678" s="27" t="n">
        <f aca="false">IF(AND(E3678&gt;0,OR(AND(B3678&gt;=1,B3678&lt;=6),B3678=10)),1,0)</f>
        <v>0</v>
      </c>
      <c r="Y3678" s="27" t="n">
        <f aca="false">IF(AND(E3678&gt;0,B3678=10),1,0)</f>
        <v>0</v>
      </c>
      <c r="Z3678" s="0" t="str">
        <f aca="false">IF(AND(C3677=C3678,W3677=W3678-1),X3677,"")</f>
        <v/>
      </c>
      <c r="AA3678" s="0" t="str">
        <f aca="false">IF(AND(C3677=C3678,W3677=W3678-1),Y3677,"")</f>
        <v/>
      </c>
      <c r="AB3678" s="0" t="str">
        <f aca="false">IF(W3678=1,"",IF(AND(X3678=1,Z3678&lt;&gt;1),1,0))</f>
        <v/>
      </c>
      <c r="AC3678" s="0" t="str">
        <f aca="false">IF(W3678=1,"",IF(AND(Y3678=1,AA3678&lt;&gt;1),1,0))</f>
        <v/>
      </c>
      <c r="AD3678" s="33" t="str">
        <f aca="false">IF(AND(E3678&gt;0,W3678&lt;1,NOT(AND(C3679=C3678,W3679=W3678+1))),INDEX(DATAS,W3678+1),"")</f>
        <v/>
      </c>
      <c r="AE3678" s="33" t="str">
        <f aca="false">IF(AND(Y3678=1,W3678&lt;1),IF(AND(C3679=C3678,W3679=W3678+1),IF(Y3679=1,"",INDEX(DATAS,W3678+1)),INDEX(DATAS,W3678+1)),"")</f>
        <v/>
      </c>
    </row>
    <row r="3679" customFormat="false" ht="15" hidden="false" customHeight="false" outlineLevel="0" collapsed="false">
      <c r="A3679" s="33" t="n">
        <v>46309</v>
      </c>
      <c r="B3679" s="0" t="n">
        <v>16</v>
      </c>
      <c r="C3679" s="0" t="n">
        <v>8144</v>
      </c>
      <c r="E3679" s="0" t="n">
        <v>0</v>
      </c>
      <c r="F3679" s="27" t="s">
        <v>1661</v>
      </c>
      <c r="I3679" s="27" t="s">
        <v>166</v>
      </c>
      <c r="U3679" s="0" t="n">
        <v>25</v>
      </c>
      <c r="V3679" s="0" t="n">
        <v>0</v>
      </c>
      <c r="W3679" s="27" t="n">
        <f aca="false">MATCH(A3679,DATAS,0)</f>
        <v>1</v>
      </c>
      <c r="X3679" s="27" t="n">
        <f aca="false">IF(AND(E3679&gt;0,OR(AND(B3679&gt;=1,B3679&lt;=6),B3679=10)),1,0)</f>
        <v>0</v>
      </c>
      <c r="Y3679" s="27" t="n">
        <f aca="false">IF(AND(E3679&gt;0,B3679=10),1,0)</f>
        <v>0</v>
      </c>
      <c r="Z3679" s="0" t="str">
        <f aca="false">IF(AND(C3678=C3679,W3678=W3679-1),X3678,"")</f>
        <v/>
      </c>
      <c r="AA3679" s="0" t="str">
        <f aca="false">IF(AND(C3678=C3679,W3678=W3679-1),Y3678,"")</f>
        <v/>
      </c>
      <c r="AB3679" s="0" t="str">
        <f aca="false">IF(W3679=1,"",IF(AND(X3679=1,Z3679&lt;&gt;1),1,0))</f>
        <v/>
      </c>
      <c r="AC3679" s="0" t="str">
        <f aca="false">IF(W3679=1,"",IF(AND(Y3679=1,AA3679&lt;&gt;1),1,0))</f>
        <v/>
      </c>
      <c r="AD3679" s="33" t="str">
        <f aca="false">IF(AND(E3679&gt;0,W3679&lt;1,NOT(AND(C3680=C3679,W3680=W3679+1))),INDEX(DATAS,W3679+1),"")</f>
        <v/>
      </c>
      <c r="AE3679" s="33" t="str">
        <f aca="false">IF(AND(Y3679=1,W3679&lt;1),IF(AND(C3680=C3679,W3680=W3679+1),IF(Y3680=1,"",INDEX(DATAS,W3679+1)),INDEX(DATAS,W3679+1)),"")</f>
        <v/>
      </c>
    </row>
    <row r="3680" customFormat="false" ht="15" hidden="false" customHeight="false" outlineLevel="0" collapsed="false">
      <c r="A3680" s="33" t="n">
        <v>46309</v>
      </c>
      <c r="B3680" s="0" t="n">
        <v>16</v>
      </c>
      <c r="C3680" s="0" t="n">
        <v>8145</v>
      </c>
      <c r="E3680" s="0" t="n">
        <v>0</v>
      </c>
      <c r="F3680" s="27" t="s">
        <v>1661</v>
      </c>
      <c r="I3680" s="27" t="s">
        <v>166</v>
      </c>
      <c r="U3680" s="0" t="n">
        <v>25</v>
      </c>
      <c r="V3680" s="0" t="n">
        <v>0</v>
      </c>
      <c r="W3680" s="27" t="n">
        <f aca="false">MATCH(A3680,DATAS,0)</f>
        <v>1</v>
      </c>
      <c r="X3680" s="27" t="n">
        <f aca="false">IF(AND(E3680&gt;0,OR(AND(B3680&gt;=1,B3680&lt;=6),B3680=10)),1,0)</f>
        <v>0</v>
      </c>
      <c r="Y3680" s="27" t="n">
        <f aca="false">IF(AND(E3680&gt;0,B3680=10),1,0)</f>
        <v>0</v>
      </c>
      <c r="Z3680" s="0" t="str">
        <f aca="false">IF(AND(C3679=C3680,W3679=W3680-1),X3679,"")</f>
        <v/>
      </c>
      <c r="AA3680" s="0" t="str">
        <f aca="false">IF(AND(C3679=C3680,W3679=W3680-1),Y3679,"")</f>
        <v/>
      </c>
      <c r="AB3680" s="0" t="str">
        <f aca="false">IF(W3680=1,"",IF(AND(X3680=1,Z3680&lt;&gt;1),1,0))</f>
        <v/>
      </c>
      <c r="AC3680" s="0" t="str">
        <f aca="false">IF(W3680=1,"",IF(AND(Y3680=1,AA3680&lt;&gt;1),1,0))</f>
        <v/>
      </c>
      <c r="AD3680" s="33" t="str">
        <f aca="false">IF(AND(E3680&gt;0,W3680&lt;1,NOT(AND(C3681=C3680,W3681=W3680+1))),INDEX(DATAS,W3680+1),"")</f>
        <v/>
      </c>
      <c r="AE3680" s="33" t="str">
        <f aca="false">IF(AND(Y3680=1,W3680&lt;1),IF(AND(C3681=C3680,W3681=W3680+1),IF(Y3681=1,"",INDEX(DATAS,W3680+1)),INDEX(DATAS,W3680+1)),"")</f>
        <v/>
      </c>
    </row>
    <row r="3681" customFormat="false" ht="15" hidden="false" customHeight="false" outlineLevel="0" collapsed="false">
      <c r="A3681" s="33" t="n">
        <v>46309</v>
      </c>
      <c r="B3681" s="0" t="n">
        <v>16</v>
      </c>
      <c r="C3681" s="0" t="n">
        <v>8146</v>
      </c>
      <c r="E3681" s="0" t="n">
        <v>0</v>
      </c>
      <c r="F3681" s="27" t="s">
        <v>1662</v>
      </c>
      <c r="I3681" s="27" t="s">
        <v>166</v>
      </c>
      <c r="U3681" s="0" t="n">
        <v>24</v>
      </c>
      <c r="V3681" s="0" t="n">
        <v>0</v>
      </c>
      <c r="W3681" s="27" t="n">
        <f aca="false">MATCH(A3681,DATAS,0)</f>
        <v>1</v>
      </c>
      <c r="X3681" s="27" t="n">
        <f aca="false">IF(AND(E3681&gt;0,OR(AND(B3681&gt;=1,B3681&lt;=6),B3681=10)),1,0)</f>
        <v>0</v>
      </c>
      <c r="Y3681" s="27" t="n">
        <f aca="false">IF(AND(E3681&gt;0,B3681=10),1,0)</f>
        <v>0</v>
      </c>
      <c r="Z3681" s="0" t="str">
        <f aca="false">IF(AND(C3680=C3681,W3680=W3681-1),X3680,"")</f>
        <v/>
      </c>
      <c r="AA3681" s="0" t="str">
        <f aca="false">IF(AND(C3680=C3681,W3680=W3681-1),Y3680,"")</f>
        <v/>
      </c>
      <c r="AB3681" s="0" t="str">
        <f aca="false">IF(W3681=1,"",IF(AND(X3681=1,Z3681&lt;&gt;1),1,0))</f>
        <v/>
      </c>
      <c r="AC3681" s="0" t="str">
        <f aca="false">IF(W3681=1,"",IF(AND(Y3681=1,AA3681&lt;&gt;1),1,0))</f>
        <v/>
      </c>
      <c r="AD3681" s="33" t="str">
        <f aca="false">IF(AND(E3681&gt;0,W3681&lt;1,NOT(AND(C3682=C3681,W3682=W3681+1))),INDEX(DATAS,W3681+1),"")</f>
        <v/>
      </c>
      <c r="AE3681" s="33" t="str">
        <f aca="false">IF(AND(Y3681=1,W3681&lt;1),IF(AND(C3682=C3681,W3682=W3681+1),IF(Y3682=1,"",INDEX(DATAS,W3681+1)),INDEX(DATAS,W3681+1)),"")</f>
        <v/>
      </c>
    </row>
    <row r="3682" customFormat="false" ht="15" hidden="false" customHeight="false" outlineLevel="0" collapsed="false">
      <c r="A3682" s="33" t="n">
        <v>46309</v>
      </c>
      <c r="B3682" s="0" t="n">
        <v>16</v>
      </c>
      <c r="C3682" s="0" t="n">
        <v>8147</v>
      </c>
      <c r="E3682" s="0" t="n">
        <v>0</v>
      </c>
      <c r="F3682" s="27" t="s">
        <v>1662</v>
      </c>
      <c r="I3682" s="27" t="s">
        <v>166</v>
      </c>
      <c r="U3682" s="0" t="n">
        <v>24</v>
      </c>
      <c r="V3682" s="0" t="n">
        <v>0</v>
      </c>
      <c r="W3682" s="27" t="n">
        <f aca="false">MATCH(A3682,DATAS,0)</f>
        <v>1</v>
      </c>
      <c r="X3682" s="27" t="n">
        <f aca="false">IF(AND(E3682&gt;0,OR(AND(B3682&gt;=1,B3682&lt;=6),B3682=10)),1,0)</f>
        <v>0</v>
      </c>
      <c r="Y3682" s="27" t="n">
        <f aca="false">IF(AND(E3682&gt;0,B3682=10),1,0)</f>
        <v>0</v>
      </c>
      <c r="Z3682" s="0" t="str">
        <f aca="false">IF(AND(C3681=C3682,W3681=W3682-1),X3681,"")</f>
        <v/>
      </c>
      <c r="AA3682" s="0" t="str">
        <f aca="false">IF(AND(C3681=C3682,W3681=W3682-1),Y3681,"")</f>
        <v/>
      </c>
      <c r="AB3682" s="0" t="str">
        <f aca="false">IF(W3682=1,"",IF(AND(X3682=1,Z3682&lt;&gt;1),1,0))</f>
        <v/>
      </c>
      <c r="AC3682" s="0" t="str">
        <f aca="false">IF(W3682=1,"",IF(AND(Y3682=1,AA3682&lt;&gt;1),1,0))</f>
        <v/>
      </c>
      <c r="AD3682" s="33" t="str">
        <f aca="false">IF(AND(E3682&gt;0,W3682&lt;1,NOT(AND(C3683=C3682,W3683=W3682+1))),INDEX(DATAS,W3682+1),"")</f>
        <v/>
      </c>
      <c r="AE3682" s="33" t="str">
        <f aca="false">IF(AND(Y3682=1,W3682&lt;1),IF(AND(C3683=C3682,W3683=W3682+1),IF(Y3683=1,"",INDEX(DATAS,W3682+1)),INDEX(DATAS,W3682+1)),"")</f>
        <v/>
      </c>
    </row>
    <row r="3683" customFormat="false" ht="15" hidden="false" customHeight="false" outlineLevel="0" collapsed="false">
      <c r="A3683" s="33" t="n">
        <v>46309</v>
      </c>
      <c r="B3683" s="0" t="n">
        <v>16</v>
      </c>
      <c r="C3683" s="0" t="n">
        <v>8148</v>
      </c>
      <c r="E3683" s="0" t="n">
        <v>0</v>
      </c>
      <c r="F3683" s="27" t="s">
        <v>1662</v>
      </c>
      <c r="I3683" s="27" t="s">
        <v>166</v>
      </c>
      <c r="U3683" s="0" t="n">
        <v>24</v>
      </c>
      <c r="V3683" s="0" t="n">
        <v>0</v>
      </c>
      <c r="W3683" s="27" t="n">
        <f aca="false">MATCH(A3683,DATAS,0)</f>
        <v>1</v>
      </c>
      <c r="X3683" s="27" t="n">
        <f aca="false">IF(AND(E3683&gt;0,OR(AND(B3683&gt;=1,B3683&lt;=6),B3683=10)),1,0)</f>
        <v>0</v>
      </c>
      <c r="Y3683" s="27" t="n">
        <f aca="false">IF(AND(E3683&gt;0,B3683=10),1,0)</f>
        <v>0</v>
      </c>
      <c r="Z3683" s="0" t="str">
        <f aca="false">IF(AND(C3682=C3683,W3682=W3683-1),X3682,"")</f>
        <v/>
      </c>
      <c r="AA3683" s="0" t="str">
        <f aca="false">IF(AND(C3682=C3683,W3682=W3683-1),Y3682,"")</f>
        <v/>
      </c>
      <c r="AB3683" s="0" t="str">
        <f aca="false">IF(W3683=1,"",IF(AND(X3683=1,Z3683&lt;&gt;1),1,0))</f>
        <v/>
      </c>
      <c r="AC3683" s="0" t="str">
        <f aca="false">IF(W3683=1,"",IF(AND(Y3683=1,AA3683&lt;&gt;1),1,0))</f>
        <v/>
      </c>
      <c r="AD3683" s="33" t="str">
        <f aca="false">IF(AND(E3683&gt;0,W3683&lt;1,NOT(AND(C3684=C3683,W3684=W3683+1))),INDEX(DATAS,W3683+1),"")</f>
        <v/>
      </c>
      <c r="AE3683" s="33" t="str">
        <f aca="false">IF(AND(Y3683=1,W3683&lt;1),IF(AND(C3684=C3683,W3684=W3683+1),IF(Y3684=1,"",INDEX(DATAS,W3683+1)),INDEX(DATAS,W3683+1)),"")</f>
        <v/>
      </c>
    </row>
    <row r="3684" customFormat="false" ht="15" hidden="false" customHeight="false" outlineLevel="0" collapsed="false">
      <c r="A3684" s="33" t="n">
        <v>46309</v>
      </c>
      <c r="B3684" s="0" t="n">
        <v>16</v>
      </c>
      <c r="C3684" s="0" t="n">
        <v>8149</v>
      </c>
      <c r="E3684" s="0" t="n">
        <v>0</v>
      </c>
      <c r="F3684" s="27" t="s">
        <v>1662</v>
      </c>
      <c r="I3684" s="27" t="s">
        <v>166</v>
      </c>
      <c r="U3684" s="0" t="n">
        <v>24</v>
      </c>
      <c r="V3684" s="0" t="n">
        <v>0</v>
      </c>
      <c r="W3684" s="27" t="n">
        <f aca="false">MATCH(A3684,DATAS,0)</f>
        <v>1</v>
      </c>
      <c r="X3684" s="27" t="n">
        <f aca="false">IF(AND(E3684&gt;0,OR(AND(B3684&gt;=1,B3684&lt;=6),B3684=10)),1,0)</f>
        <v>0</v>
      </c>
      <c r="Y3684" s="27" t="n">
        <f aca="false">IF(AND(E3684&gt;0,B3684=10),1,0)</f>
        <v>0</v>
      </c>
      <c r="Z3684" s="0" t="str">
        <f aca="false">IF(AND(C3683=C3684,W3683=W3684-1),X3683,"")</f>
        <v/>
      </c>
      <c r="AA3684" s="0" t="str">
        <f aca="false">IF(AND(C3683=C3684,W3683=W3684-1),Y3683,"")</f>
        <v/>
      </c>
      <c r="AB3684" s="0" t="str">
        <f aca="false">IF(W3684=1,"",IF(AND(X3684=1,Z3684&lt;&gt;1),1,0))</f>
        <v/>
      </c>
      <c r="AC3684" s="0" t="str">
        <f aca="false">IF(W3684=1,"",IF(AND(Y3684=1,AA3684&lt;&gt;1),1,0))</f>
        <v/>
      </c>
      <c r="AD3684" s="33" t="str">
        <f aca="false">IF(AND(E3684&gt;0,W3684&lt;1,NOT(AND(C3685=C3684,W3685=W3684+1))),INDEX(DATAS,W3684+1),"")</f>
        <v/>
      </c>
      <c r="AE3684" s="33" t="str">
        <f aca="false">IF(AND(Y3684=1,W3684&lt;1),IF(AND(C3685=C3684,W3685=W3684+1),IF(Y3685=1,"",INDEX(DATAS,W3684+1)),INDEX(DATAS,W3684+1)),"")</f>
        <v/>
      </c>
    </row>
    <row r="3685" customFormat="false" ht="15" hidden="false" customHeight="false" outlineLevel="0" collapsed="false">
      <c r="A3685" s="33" t="n">
        <v>46309</v>
      </c>
      <c r="B3685" s="0" t="n">
        <v>16</v>
      </c>
      <c r="C3685" s="0" t="n">
        <v>8150</v>
      </c>
      <c r="E3685" s="0" t="n">
        <v>0</v>
      </c>
      <c r="F3685" s="27" t="s">
        <v>1663</v>
      </c>
      <c r="I3685" s="27" t="s">
        <v>166</v>
      </c>
      <c r="U3685" s="0" t="n">
        <v>22</v>
      </c>
      <c r="V3685" s="0" t="n">
        <v>0</v>
      </c>
      <c r="W3685" s="27" t="n">
        <f aca="false">MATCH(A3685,DATAS,0)</f>
        <v>1</v>
      </c>
      <c r="X3685" s="27" t="n">
        <f aca="false">IF(AND(E3685&gt;0,OR(AND(B3685&gt;=1,B3685&lt;=6),B3685=10)),1,0)</f>
        <v>0</v>
      </c>
      <c r="Y3685" s="27" t="n">
        <f aca="false">IF(AND(E3685&gt;0,B3685=10),1,0)</f>
        <v>0</v>
      </c>
      <c r="Z3685" s="0" t="str">
        <f aca="false">IF(AND(C3684=C3685,W3684=W3685-1),X3684,"")</f>
        <v/>
      </c>
      <c r="AA3685" s="0" t="str">
        <f aca="false">IF(AND(C3684=C3685,W3684=W3685-1),Y3684,"")</f>
        <v/>
      </c>
      <c r="AB3685" s="0" t="str">
        <f aca="false">IF(W3685=1,"",IF(AND(X3685=1,Z3685&lt;&gt;1),1,0))</f>
        <v/>
      </c>
      <c r="AC3685" s="0" t="str">
        <f aca="false">IF(W3685=1,"",IF(AND(Y3685=1,AA3685&lt;&gt;1),1,0))</f>
        <v/>
      </c>
      <c r="AD3685" s="33" t="str">
        <f aca="false">IF(AND(E3685&gt;0,W3685&lt;1,NOT(AND(C3686=C3685,W3686=W3685+1))),INDEX(DATAS,W3685+1),"")</f>
        <v/>
      </c>
      <c r="AE3685" s="33" t="str">
        <f aca="false">IF(AND(Y3685=1,W3685&lt;1),IF(AND(C3686=C3685,W3686=W3685+1),IF(Y3686=1,"",INDEX(DATAS,W3685+1)),INDEX(DATAS,W3685+1)),"")</f>
        <v/>
      </c>
    </row>
    <row r="3686" customFormat="false" ht="15" hidden="false" customHeight="false" outlineLevel="0" collapsed="false">
      <c r="A3686" s="33" t="n">
        <v>46309</v>
      </c>
      <c r="B3686" s="0" t="n">
        <v>16</v>
      </c>
      <c r="C3686" s="0" t="n">
        <v>8151</v>
      </c>
      <c r="E3686" s="0" t="n">
        <v>0</v>
      </c>
      <c r="F3686" s="27" t="s">
        <v>1663</v>
      </c>
      <c r="I3686" s="27" t="s">
        <v>166</v>
      </c>
      <c r="U3686" s="0" t="n">
        <v>22</v>
      </c>
      <c r="V3686" s="0" t="n">
        <v>0</v>
      </c>
      <c r="W3686" s="27" t="n">
        <f aca="false">MATCH(A3686,DATAS,0)</f>
        <v>1</v>
      </c>
      <c r="X3686" s="27" t="n">
        <f aca="false">IF(AND(E3686&gt;0,OR(AND(B3686&gt;=1,B3686&lt;=6),B3686=10)),1,0)</f>
        <v>0</v>
      </c>
      <c r="Y3686" s="27" t="n">
        <f aca="false">IF(AND(E3686&gt;0,B3686=10),1,0)</f>
        <v>0</v>
      </c>
      <c r="Z3686" s="0" t="str">
        <f aca="false">IF(AND(C3685=C3686,W3685=W3686-1),X3685,"")</f>
        <v/>
      </c>
      <c r="AA3686" s="0" t="str">
        <f aca="false">IF(AND(C3685=C3686,W3685=W3686-1),Y3685,"")</f>
        <v/>
      </c>
      <c r="AB3686" s="0" t="str">
        <f aca="false">IF(W3686=1,"",IF(AND(X3686=1,Z3686&lt;&gt;1),1,0))</f>
        <v/>
      </c>
      <c r="AC3686" s="0" t="str">
        <f aca="false">IF(W3686=1,"",IF(AND(Y3686=1,AA3686&lt;&gt;1),1,0))</f>
        <v/>
      </c>
      <c r="AD3686" s="33" t="str">
        <f aca="false">IF(AND(E3686&gt;0,W3686&lt;1,NOT(AND(C3687=C3686,W3687=W3686+1))),INDEX(DATAS,W3686+1),"")</f>
        <v/>
      </c>
      <c r="AE3686" s="33" t="str">
        <f aca="false">IF(AND(Y3686=1,W3686&lt;1),IF(AND(C3687=C3686,W3687=W3686+1),IF(Y3687=1,"",INDEX(DATAS,W3686+1)),INDEX(DATAS,W3686+1)),"")</f>
        <v/>
      </c>
    </row>
    <row r="3687" customFormat="false" ht="15" hidden="false" customHeight="false" outlineLevel="0" collapsed="false">
      <c r="A3687" s="33" t="n">
        <v>46309</v>
      </c>
      <c r="B3687" s="0" t="n">
        <v>16</v>
      </c>
      <c r="C3687" s="0" t="n">
        <v>8152</v>
      </c>
      <c r="E3687" s="0" t="n">
        <v>0</v>
      </c>
      <c r="F3687" s="27" t="s">
        <v>1664</v>
      </c>
      <c r="I3687" s="27" t="s">
        <v>166</v>
      </c>
      <c r="U3687" s="0" t="n">
        <v>21</v>
      </c>
      <c r="V3687" s="0" t="n">
        <v>0</v>
      </c>
      <c r="W3687" s="27" t="n">
        <f aca="false">MATCH(A3687,DATAS,0)</f>
        <v>1</v>
      </c>
      <c r="X3687" s="27" t="n">
        <f aca="false">IF(AND(E3687&gt;0,OR(AND(B3687&gt;=1,B3687&lt;=6),B3687=10)),1,0)</f>
        <v>0</v>
      </c>
      <c r="Y3687" s="27" t="n">
        <f aca="false">IF(AND(E3687&gt;0,B3687=10),1,0)</f>
        <v>0</v>
      </c>
      <c r="Z3687" s="0" t="str">
        <f aca="false">IF(AND(C3686=C3687,W3686=W3687-1),X3686,"")</f>
        <v/>
      </c>
      <c r="AA3687" s="0" t="str">
        <f aca="false">IF(AND(C3686=C3687,W3686=W3687-1),Y3686,"")</f>
        <v/>
      </c>
      <c r="AB3687" s="0" t="str">
        <f aca="false">IF(W3687=1,"",IF(AND(X3687=1,Z3687&lt;&gt;1),1,0))</f>
        <v/>
      </c>
      <c r="AC3687" s="0" t="str">
        <f aca="false">IF(W3687=1,"",IF(AND(Y3687=1,AA3687&lt;&gt;1),1,0))</f>
        <v/>
      </c>
      <c r="AD3687" s="33" t="str">
        <f aca="false">IF(AND(E3687&gt;0,W3687&lt;1,NOT(AND(C3688=C3687,W3688=W3687+1))),INDEX(DATAS,W3687+1),"")</f>
        <v/>
      </c>
      <c r="AE3687" s="33" t="str">
        <f aca="false">IF(AND(Y3687=1,W3687&lt;1),IF(AND(C3688=C3687,W3688=W3687+1),IF(Y3688=1,"",INDEX(DATAS,W3687+1)),INDEX(DATAS,W3687+1)),"")</f>
        <v/>
      </c>
    </row>
    <row r="3688" customFormat="false" ht="15" hidden="false" customHeight="false" outlineLevel="0" collapsed="false">
      <c r="A3688" s="33" t="n">
        <v>46309</v>
      </c>
      <c r="B3688" s="0" t="n">
        <v>16</v>
      </c>
      <c r="C3688" s="0" t="n">
        <v>8153</v>
      </c>
      <c r="E3688" s="0" t="n">
        <v>0</v>
      </c>
      <c r="F3688" s="27" t="s">
        <v>1664</v>
      </c>
      <c r="I3688" s="27" t="s">
        <v>166</v>
      </c>
      <c r="U3688" s="0" t="n">
        <v>21</v>
      </c>
      <c r="V3688" s="0" t="n">
        <v>0</v>
      </c>
      <c r="W3688" s="27" t="n">
        <f aca="false">MATCH(A3688,DATAS,0)</f>
        <v>1</v>
      </c>
      <c r="X3688" s="27" t="n">
        <f aca="false">IF(AND(E3688&gt;0,OR(AND(B3688&gt;=1,B3688&lt;=6),B3688=10)),1,0)</f>
        <v>0</v>
      </c>
      <c r="Y3688" s="27" t="n">
        <f aca="false">IF(AND(E3688&gt;0,B3688=10),1,0)</f>
        <v>0</v>
      </c>
      <c r="Z3688" s="0" t="str">
        <f aca="false">IF(AND(C3687=C3688,W3687=W3688-1),X3687,"")</f>
        <v/>
      </c>
      <c r="AA3688" s="0" t="str">
        <f aca="false">IF(AND(C3687=C3688,W3687=W3688-1),Y3687,"")</f>
        <v/>
      </c>
      <c r="AB3688" s="0" t="str">
        <f aca="false">IF(W3688=1,"",IF(AND(X3688=1,Z3688&lt;&gt;1),1,0))</f>
        <v/>
      </c>
      <c r="AC3688" s="0" t="str">
        <f aca="false">IF(W3688=1,"",IF(AND(Y3688=1,AA3688&lt;&gt;1),1,0))</f>
        <v/>
      </c>
      <c r="AD3688" s="33" t="str">
        <f aca="false">IF(AND(E3688&gt;0,W3688&lt;1,NOT(AND(C3689=C3688,W3689=W3688+1))),INDEX(DATAS,W3688+1),"")</f>
        <v/>
      </c>
      <c r="AE3688" s="33" t="str">
        <f aca="false">IF(AND(Y3688=1,W3688&lt;1),IF(AND(C3689=C3688,W3689=W3688+1),IF(Y3689=1,"",INDEX(DATAS,W3688+1)),INDEX(DATAS,W3688+1)),"")</f>
        <v/>
      </c>
    </row>
    <row r="3689" customFormat="false" ht="15" hidden="false" customHeight="false" outlineLevel="0" collapsed="false">
      <c r="A3689" s="33" t="n">
        <v>46309</v>
      </c>
      <c r="B3689" s="0" t="n">
        <v>16</v>
      </c>
      <c r="C3689" s="0" t="n">
        <v>8154</v>
      </c>
      <c r="E3689" s="0" t="n">
        <v>0</v>
      </c>
      <c r="F3689" s="27" t="s">
        <v>1664</v>
      </c>
      <c r="I3689" s="27" t="s">
        <v>166</v>
      </c>
      <c r="U3689" s="0" t="n">
        <v>21</v>
      </c>
      <c r="V3689" s="0" t="n">
        <v>0</v>
      </c>
      <c r="W3689" s="27" t="n">
        <f aca="false">MATCH(A3689,DATAS,0)</f>
        <v>1</v>
      </c>
      <c r="X3689" s="27" t="n">
        <f aca="false">IF(AND(E3689&gt;0,OR(AND(B3689&gt;=1,B3689&lt;=6),B3689=10)),1,0)</f>
        <v>0</v>
      </c>
      <c r="Y3689" s="27" t="n">
        <f aca="false">IF(AND(E3689&gt;0,B3689=10),1,0)</f>
        <v>0</v>
      </c>
      <c r="Z3689" s="0" t="str">
        <f aca="false">IF(AND(C3688=C3689,W3688=W3689-1),X3688,"")</f>
        <v/>
      </c>
      <c r="AA3689" s="0" t="str">
        <f aca="false">IF(AND(C3688=C3689,W3688=W3689-1),Y3688,"")</f>
        <v/>
      </c>
      <c r="AB3689" s="0" t="str">
        <f aca="false">IF(W3689=1,"",IF(AND(X3689=1,Z3689&lt;&gt;1),1,0))</f>
        <v/>
      </c>
      <c r="AC3689" s="0" t="str">
        <f aca="false">IF(W3689=1,"",IF(AND(Y3689=1,AA3689&lt;&gt;1),1,0))</f>
        <v/>
      </c>
      <c r="AD3689" s="33" t="str">
        <f aca="false">IF(AND(E3689&gt;0,W3689&lt;1,NOT(AND(C3690=C3689,W3690=W3689+1))),INDEX(DATAS,W3689+1),"")</f>
        <v/>
      </c>
      <c r="AE3689" s="33" t="str">
        <f aca="false">IF(AND(Y3689=1,W3689&lt;1),IF(AND(C3690=C3689,W3690=W3689+1),IF(Y3690=1,"",INDEX(DATAS,W3689+1)),INDEX(DATAS,W3689+1)),"")</f>
        <v/>
      </c>
    </row>
    <row r="3690" customFormat="false" ht="15" hidden="false" customHeight="false" outlineLevel="0" collapsed="false">
      <c r="A3690" s="33" t="n">
        <v>46309</v>
      </c>
      <c r="B3690" s="0" t="n">
        <v>16</v>
      </c>
      <c r="C3690" s="0" t="n">
        <v>8155</v>
      </c>
      <c r="E3690" s="0" t="n">
        <v>0</v>
      </c>
      <c r="F3690" s="27" t="s">
        <v>1665</v>
      </c>
      <c r="I3690" s="27" t="s">
        <v>166</v>
      </c>
      <c r="U3690" s="0" t="n">
        <v>20</v>
      </c>
      <c r="V3690" s="0" t="n">
        <v>0</v>
      </c>
      <c r="W3690" s="27" t="n">
        <f aca="false">MATCH(A3690,DATAS,0)</f>
        <v>1</v>
      </c>
      <c r="X3690" s="27" t="n">
        <f aca="false">IF(AND(E3690&gt;0,OR(AND(B3690&gt;=1,B3690&lt;=6),B3690=10)),1,0)</f>
        <v>0</v>
      </c>
      <c r="Y3690" s="27" t="n">
        <f aca="false">IF(AND(E3690&gt;0,B3690=10),1,0)</f>
        <v>0</v>
      </c>
      <c r="Z3690" s="0" t="str">
        <f aca="false">IF(AND(C3689=C3690,W3689=W3690-1),X3689,"")</f>
        <v/>
      </c>
      <c r="AA3690" s="0" t="str">
        <f aca="false">IF(AND(C3689=C3690,W3689=W3690-1),Y3689,"")</f>
        <v/>
      </c>
      <c r="AB3690" s="0" t="str">
        <f aca="false">IF(W3690=1,"",IF(AND(X3690=1,Z3690&lt;&gt;1),1,0))</f>
        <v/>
      </c>
      <c r="AC3690" s="0" t="str">
        <f aca="false">IF(W3690=1,"",IF(AND(Y3690=1,AA3690&lt;&gt;1),1,0))</f>
        <v/>
      </c>
      <c r="AD3690" s="33" t="str">
        <f aca="false">IF(AND(E3690&gt;0,W3690&lt;1,NOT(AND(C3691=C3690,W3691=W3690+1))),INDEX(DATAS,W3690+1),"")</f>
        <v/>
      </c>
      <c r="AE3690" s="33" t="str">
        <f aca="false">IF(AND(Y3690=1,W3690&lt;1),IF(AND(C3691=C3690,W3691=W3690+1),IF(Y3691=1,"",INDEX(DATAS,W3690+1)),INDEX(DATAS,W3690+1)),"")</f>
        <v/>
      </c>
    </row>
    <row r="3691" customFormat="false" ht="15" hidden="false" customHeight="false" outlineLevel="0" collapsed="false">
      <c r="A3691" s="33" t="n">
        <v>46309</v>
      </c>
      <c r="B3691" s="0" t="n">
        <v>16</v>
      </c>
      <c r="C3691" s="0" t="n">
        <v>8156</v>
      </c>
      <c r="E3691" s="0" t="n">
        <v>0</v>
      </c>
      <c r="F3691" s="27" t="s">
        <v>1665</v>
      </c>
      <c r="I3691" s="27" t="s">
        <v>166</v>
      </c>
      <c r="U3691" s="0" t="n">
        <v>20</v>
      </c>
      <c r="V3691" s="0" t="n">
        <v>0</v>
      </c>
      <c r="W3691" s="27" t="n">
        <f aca="false">MATCH(A3691,DATAS,0)</f>
        <v>1</v>
      </c>
      <c r="X3691" s="27" t="n">
        <f aca="false">IF(AND(E3691&gt;0,OR(AND(B3691&gt;=1,B3691&lt;=6),B3691=10)),1,0)</f>
        <v>0</v>
      </c>
      <c r="Y3691" s="27" t="n">
        <f aca="false">IF(AND(E3691&gt;0,B3691=10),1,0)</f>
        <v>0</v>
      </c>
      <c r="Z3691" s="0" t="str">
        <f aca="false">IF(AND(C3690=C3691,W3690=W3691-1),X3690,"")</f>
        <v/>
      </c>
      <c r="AA3691" s="0" t="str">
        <f aca="false">IF(AND(C3690=C3691,W3690=W3691-1),Y3690,"")</f>
        <v/>
      </c>
      <c r="AB3691" s="0" t="str">
        <f aca="false">IF(W3691=1,"",IF(AND(X3691=1,Z3691&lt;&gt;1),1,0))</f>
        <v/>
      </c>
      <c r="AC3691" s="0" t="str">
        <f aca="false">IF(W3691=1,"",IF(AND(Y3691=1,AA3691&lt;&gt;1),1,0))</f>
        <v/>
      </c>
      <c r="AD3691" s="33" t="str">
        <f aca="false">IF(AND(E3691&gt;0,W3691&lt;1,NOT(AND(C3692=C3691,W3692=W3691+1))),INDEX(DATAS,W3691+1),"")</f>
        <v/>
      </c>
      <c r="AE3691" s="33" t="str">
        <f aca="false">IF(AND(Y3691=1,W3691&lt;1),IF(AND(C3692=C3691,W3692=W3691+1),IF(Y3692=1,"",INDEX(DATAS,W3691+1)),INDEX(DATAS,W3691+1)),"")</f>
        <v/>
      </c>
    </row>
    <row r="3692" customFormat="false" ht="15" hidden="false" customHeight="false" outlineLevel="0" collapsed="false">
      <c r="A3692" s="33" t="n">
        <v>46309</v>
      </c>
      <c r="B3692" s="0" t="n">
        <v>16</v>
      </c>
      <c r="C3692" s="0" t="n">
        <v>8157</v>
      </c>
      <c r="E3692" s="0" t="n">
        <v>0</v>
      </c>
      <c r="F3692" s="27" t="s">
        <v>1665</v>
      </c>
      <c r="I3692" s="27" t="s">
        <v>166</v>
      </c>
      <c r="U3692" s="0" t="n">
        <v>20</v>
      </c>
      <c r="V3692" s="0" t="n">
        <v>0</v>
      </c>
      <c r="W3692" s="27" t="n">
        <f aca="false">MATCH(A3692,DATAS,0)</f>
        <v>1</v>
      </c>
      <c r="X3692" s="27" t="n">
        <f aca="false">IF(AND(E3692&gt;0,OR(AND(B3692&gt;=1,B3692&lt;=6),B3692=10)),1,0)</f>
        <v>0</v>
      </c>
      <c r="Y3692" s="27" t="n">
        <f aca="false">IF(AND(E3692&gt;0,B3692=10),1,0)</f>
        <v>0</v>
      </c>
      <c r="Z3692" s="0" t="str">
        <f aca="false">IF(AND(C3691=C3692,W3691=W3692-1),X3691,"")</f>
        <v/>
      </c>
      <c r="AA3692" s="0" t="str">
        <f aca="false">IF(AND(C3691=C3692,W3691=W3692-1),Y3691,"")</f>
        <v/>
      </c>
      <c r="AB3692" s="0" t="str">
        <f aca="false">IF(W3692=1,"",IF(AND(X3692=1,Z3692&lt;&gt;1),1,0))</f>
        <v/>
      </c>
      <c r="AC3692" s="0" t="str">
        <f aca="false">IF(W3692=1,"",IF(AND(Y3692=1,AA3692&lt;&gt;1),1,0))</f>
        <v/>
      </c>
      <c r="AD3692" s="33" t="str">
        <f aca="false">IF(AND(E3692&gt;0,W3692&lt;1,NOT(AND(C3693=C3692,W3693=W3692+1))),INDEX(DATAS,W3692+1),"")</f>
        <v/>
      </c>
      <c r="AE3692" s="33" t="str">
        <f aca="false">IF(AND(Y3692=1,W3692&lt;1),IF(AND(C3693=C3692,W3693=W3692+1),IF(Y3693=1,"",INDEX(DATAS,W3692+1)),INDEX(DATAS,W3692+1)),"")</f>
        <v/>
      </c>
    </row>
    <row r="3693" customFormat="false" ht="15" hidden="false" customHeight="false" outlineLevel="0" collapsed="false">
      <c r="A3693" s="33" t="n">
        <v>46309</v>
      </c>
      <c r="B3693" s="0" t="n">
        <v>16</v>
      </c>
      <c r="C3693" s="0" t="n">
        <v>8158</v>
      </c>
      <c r="E3693" s="0" t="n">
        <v>0</v>
      </c>
      <c r="F3693" s="27" t="s">
        <v>1666</v>
      </c>
      <c r="I3693" s="27" t="s">
        <v>166</v>
      </c>
      <c r="U3693" s="0" t="n">
        <v>19</v>
      </c>
      <c r="V3693" s="0" t="n">
        <v>0</v>
      </c>
      <c r="W3693" s="27" t="n">
        <f aca="false">MATCH(A3693,DATAS,0)</f>
        <v>1</v>
      </c>
      <c r="X3693" s="27" t="n">
        <f aca="false">IF(AND(E3693&gt;0,OR(AND(B3693&gt;=1,B3693&lt;=6),B3693=10)),1,0)</f>
        <v>0</v>
      </c>
      <c r="Y3693" s="27" t="n">
        <f aca="false">IF(AND(E3693&gt;0,B3693=10),1,0)</f>
        <v>0</v>
      </c>
      <c r="Z3693" s="0" t="str">
        <f aca="false">IF(AND(C3692=C3693,W3692=W3693-1),X3692,"")</f>
        <v/>
      </c>
      <c r="AA3693" s="0" t="str">
        <f aca="false">IF(AND(C3692=C3693,W3692=W3693-1),Y3692,"")</f>
        <v/>
      </c>
      <c r="AB3693" s="0" t="str">
        <f aca="false">IF(W3693=1,"",IF(AND(X3693=1,Z3693&lt;&gt;1),1,0))</f>
        <v/>
      </c>
      <c r="AC3693" s="0" t="str">
        <f aca="false">IF(W3693=1,"",IF(AND(Y3693=1,AA3693&lt;&gt;1),1,0))</f>
        <v/>
      </c>
      <c r="AD3693" s="33" t="str">
        <f aca="false">IF(AND(E3693&gt;0,W3693&lt;1,NOT(AND(C3694=C3693,W3694=W3693+1))),INDEX(DATAS,W3693+1),"")</f>
        <v/>
      </c>
      <c r="AE3693" s="33" t="str">
        <f aca="false">IF(AND(Y3693=1,W3693&lt;1),IF(AND(C3694=C3693,W3694=W3693+1),IF(Y3694=1,"",INDEX(DATAS,W3693+1)),INDEX(DATAS,W3693+1)),"")</f>
        <v/>
      </c>
    </row>
    <row r="3694" customFormat="false" ht="15" hidden="false" customHeight="false" outlineLevel="0" collapsed="false">
      <c r="A3694" s="33" t="n">
        <v>46309</v>
      </c>
      <c r="B3694" s="0" t="n">
        <v>16</v>
      </c>
      <c r="C3694" s="0" t="n">
        <v>8159</v>
      </c>
      <c r="E3694" s="0" t="n">
        <v>0</v>
      </c>
      <c r="F3694" s="27" t="s">
        <v>1666</v>
      </c>
      <c r="I3694" s="27" t="s">
        <v>166</v>
      </c>
      <c r="U3694" s="0" t="n">
        <v>19</v>
      </c>
      <c r="V3694" s="0" t="n">
        <v>0</v>
      </c>
      <c r="W3694" s="27" t="n">
        <f aca="false">MATCH(A3694,DATAS,0)</f>
        <v>1</v>
      </c>
      <c r="X3694" s="27" t="n">
        <f aca="false">IF(AND(E3694&gt;0,OR(AND(B3694&gt;=1,B3694&lt;=6),B3694=10)),1,0)</f>
        <v>0</v>
      </c>
      <c r="Y3694" s="27" t="n">
        <f aca="false">IF(AND(E3694&gt;0,B3694=10),1,0)</f>
        <v>0</v>
      </c>
      <c r="Z3694" s="0" t="str">
        <f aca="false">IF(AND(C3693=C3694,W3693=W3694-1),X3693,"")</f>
        <v/>
      </c>
      <c r="AA3694" s="0" t="str">
        <f aca="false">IF(AND(C3693=C3694,W3693=W3694-1),Y3693,"")</f>
        <v/>
      </c>
      <c r="AB3694" s="0" t="str">
        <f aca="false">IF(W3694=1,"",IF(AND(X3694=1,Z3694&lt;&gt;1),1,0))</f>
        <v/>
      </c>
      <c r="AC3694" s="0" t="str">
        <f aca="false">IF(W3694=1,"",IF(AND(Y3694=1,AA3694&lt;&gt;1),1,0))</f>
        <v/>
      </c>
      <c r="AD3694" s="33" t="str">
        <f aca="false">IF(AND(E3694&gt;0,W3694&lt;1,NOT(AND(C3695=C3694,W3695=W3694+1))),INDEX(DATAS,W3694+1),"")</f>
        <v/>
      </c>
      <c r="AE3694" s="33" t="str">
        <f aca="false">IF(AND(Y3694=1,W3694&lt;1),IF(AND(C3695=C3694,W3695=W3694+1),IF(Y3695=1,"",INDEX(DATAS,W3694+1)),INDEX(DATAS,W3694+1)),"")</f>
        <v/>
      </c>
    </row>
    <row r="3695" customFormat="false" ht="15" hidden="false" customHeight="false" outlineLevel="0" collapsed="false">
      <c r="A3695" s="33" t="n">
        <v>46309</v>
      </c>
      <c r="B3695" s="0" t="n">
        <v>16</v>
      </c>
      <c r="C3695" s="0" t="n">
        <v>8160</v>
      </c>
      <c r="E3695" s="0" t="n">
        <v>0</v>
      </c>
      <c r="F3695" s="27" t="s">
        <v>1666</v>
      </c>
      <c r="I3695" s="27" t="s">
        <v>166</v>
      </c>
      <c r="U3695" s="0" t="n">
        <v>19</v>
      </c>
      <c r="V3695" s="0" t="n">
        <v>0</v>
      </c>
      <c r="W3695" s="27" t="n">
        <f aca="false">MATCH(A3695,DATAS,0)</f>
        <v>1</v>
      </c>
      <c r="X3695" s="27" t="n">
        <f aca="false">IF(AND(E3695&gt;0,OR(AND(B3695&gt;=1,B3695&lt;=6),B3695=10)),1,0)</f>
        <v>0</v>
      </c>
      <c r="Y3695" s="27" t="n">
        <f aca="false">IF(AND(E3695&gt;0,B3695=10),1,0)</f>
        <v>0</v>
      </c>
      <c r="Z3695" s="0" t="str">
        <f aca="false">IF(AND(C3694=C3695,W3694=W3695-1),X3694,"")</f>
        <v/>
      </c>
      <c r="AA3695" s="0" t="str">
        <f aca="false">IF(AND(C3694=C3695,W3694=W3695-1),Y3694,"")</f>
        <v/>
      </c>
      <c r="AB3695" s="0" t="str">
        <f aca="false">IF(W3695=1,"",IF(AND(X3695=1,Z3695&lt;&gt;1),1,0))</f>
        <v/>
      </c>
      <c r="AC3695" s="0" t="str">
        <f aca="false">IF(W3695=1,"",IF(AND(Y3695=1,AA3695&lt;&gt;1),1,0))</f>
        <v/>
      </c>
      <c r="AD3695" s="33" t="str">
        <f aca="false">IF(AND(E3695&gt;0,W3695&lt;1,NOT(AND(C3696=C3695,W3696=W3695+1))),INDEX(DATAS,W3695+1),"")</f>
        <v/>
      </c>
      <c r="AE3695" s="33" t="str">
        <f aca="false">IF(AND(Y3695=1,W3695&lt;1),IF(AND(C3696=C3695,W3696=W3695+1),IF(Y3696=1,"",INDEX(DATAS,W3695+1)),INDEX(DATAS,W3695+1)),"")</f>
        <v/>
      </c>
    </row>
    <row r="3696" customFormat="false" ht="15" hidden="false" customHeight="false" outlineLevel="0" collapsed="false">
      <c r="A3696" s="33" t="n">
        <v>46309</v>
      </c>
      <c r="B3696" s="0" t="n">
        <v>16</v>
      </c>
      <c r="C3696" s="0" t="n">
        <v>8161</v>
      </c>
      <c r="E3696" s="0" t="n">
        <v>0</v>
      </c>
      <c r="F3696" s="27" t="s">
        <v>1666</v>
      </c>
      <c r="I3696" s="27" t="s">
        <v>166</v>
      </c>
      <c r="U3696" s="0" t="n">
        <v>19</v>
      </c>
      <c r="V3696" s="0" t="n">
        <v>0</v>
      </c>
      <c r="W3696" s="27" t="n">
        <f aca="false">MATCH(A3696,DATAS,0)</f>
        <v>1</v>
      </c>
      <c r="X3696" s="27" t="n">
        <f aca="false">IF(AND(E3696&gt;0,OR(AND(B3696&gt;=1,B3696&lt;=6),B3696=10)),1,0)</f>
        <v>0</v>
      </c>
      <c r="Y3696" s="27" t="n">
        <f aca="false">IF(AND(E3696&gt;0,B3696=10),1,0)</f>
        <v>0</v>
      </c>
      <c r="Z3696" s="0" t="str">
        <f aca="false">IF(AND(C3695=C3696,W3695=W3696-1),X3695,"")</f>
        <v/>
      </c>
      <c r="AA3696" s="0" t="str">
        <f aca="false">IF(AND(C3695=C3696,W3695=W3696-1),Y3695,"")</f>
        <v/>
      </c>
      <c r="AB3696" s="0" t="str">
        <f aca="false">IF(W3696=1,"",IF(AND(X3696=1,Z3696&lt;&gt;1),1,0))</f>
        <v/>
      </c>
      <c r="AC3696" s="0" t="str">
        <f aca="false">IF(W3696=1,"",IF(AND(Y3696=1,AA3696&lt;&gt;1),1,0))</f>
        <v/>
      </c>
      <c r="AD3696" s="33" t="str">
        <f aca="false">IF(AND(E3696&gt;0,W3696&lt;1,NOT(AND(C3697=C3696,W3697=W3696+1))),INDEX(DATAS,W3696+1),"")</f>
        <v/>
      </c>
      <c r="AE3696" s="33" t="str">
        <f aca="false">IF(AND(Y3696=1,W3696&lt;1),IF(AND(C3697=C3696,W3697=W3696+1),IF(Y3697=1,"",INDEX(DATAS,W3696+1)),INDEX(DATAS,W3696+1)),"")</f>
        <v/>
      </c>
    </row>
    <row r="3697" customFormat="false" ht="15" hidden="false" customHeight="false" outlineLevel="0" collapsed="false">
      <c r="A3697" s="33" t="n">
        <v>46309</v>
      </c>
      <c r="B3697" s="0" t="n">
        <v>16</v>
      </c>
      <c r="C3697" s="0" t="n">
        <v>8162</v>
      </c>
      <c r="E3697" s="0" t="n">
        <v>0</v>
      </c>
      <c r="F3697" s="27" t="s">
        <v>1667</v>
      </c>
      <c r="I3697" s="27" t="s">
        <v>166</v>
      </c>
      <c r="U3697" s="0" t="n">
        <v>18</v>
      </c>
      <c r="V3697" s="0" t="n">
        <v>0</v>
      </c>
      <c r="W3697" s="27" t="n">
        <f aca="false">MATCH(A3697,DATAS,0)</f>
        <v>1</v>
      </c>
      <c r="X3697" s="27" t="n">
        <f aca="false">IF(AND(E3697&gt;0,OR(AND(B3697&gt;=1,B3697&lt;=6),B3697=10)),1,0)</f>
        <v>0</v>
      </c>
      <c r="Y3697" s="27" t="n">
        <f aca="false">IF(AND(E3697&gt;0,B3697=10),1,0)</f>
        <v>0</v>
      </c>
      <c r="Z3697" s="0" t="str">
        <f aca="false">IF(AND(C3696=C3697,W3696=W3697-1),X3696,"")</f>
        <v/>
      </c>
      <c r="AA3697" s="0" t="str">
        <f aca="false">IF(AND(C3696=C3697,W3696=W3697-1),Y3696,"")</f>
        <v/>
      </c>
      <c r="AB3697" s="0" t="str">
        <f aca="false">IF(W3697=1,"",IF(AND(X3697=1,Z3697&lt;&gt;1),1,0))</f>
        <v/>
      </c>
      <c r="AC3697" s="0" t="str">
        <f aca="false">IF(W3697=1,"",IF(AND(Y3697=1,AA3697&lt;&gt;1),1,0))</f>
        <v/>
      </c>
      <c r="AD3697" s="33" t="str">
        <f aca="false">IF(AND(E3697&gt;0,W3697&lt;1,NOT(AND(C3698=C3697,W3698=W3697+1))),INDEX(DATAS,W3697+1),"")</f>
        <v/>
      </c>
      <c r="AE3697" s="33" t="str">
        <f aca="false">IF(AND(Y3697=1,W3697&lt;1),IF(AND(C3698=C3697,W3698=W3697+1),IF(Y3698=1,"",INDEX(DATAS,W3697+1)),INDEX(DATAS,W3697+1)),"")</f>
        <v/>
      </c>
    </row>
    <row r="3698" customFormat="false" ht="15" hidden="false" customHeight="false" outlineLevel="0" collapsed="false">
      <c r="A3698" s="33" t="n">
        <v>46309</v>
      </c>
      <c r="B3698" s="0" t="n">
        <v>16</v>
      </c>
      <c r="C3698" s="0" t="n">
        <v>8164</v>
      </c>
      <c r="E3698" s="0" t="n">
        <v>0</v>
      </c>
      <c r="F3698" s="27" t="s">
        <v>1667</v>
      </c>
      <c r="I3698" s="27" t="s">
        <v>166</v>
      </c>
      <c r="U3698" s="0" t="n">
        <v>18</v>
      </c>
      <c r="V3698" s="0" t="n">
        <v>0</v>
      </c>
      <c r="W3698" s="27" t="n">
        <f aca="false">MATCH(A3698,DATAS,0)</f>
        <v>1</v>
      </c>
      <c r="X3698" s="27" t="n">
        <f aca="false">IF(AND(E3698&gt;0,OR(AND(B3698&gt;=1,B3698&lt;=6),B3698=10)),1,0)</f>
        <v>0</v>
      </c>
      <c r="Y3698" s="27" t="n">
        <f aca="false">IF(AND(E3698&gt;0,B3698=10),1,0)</f>
        <v>0</v>
      </c>
      <c r="Z3698" s="0" t="str">
        <f aca="false">IF(AND(C3697=C3698,W3697=W3698-1),X3697,"")</f>
        <v/>
      </c>
      <c r="AA3698" s="0" t="str">
        <f aca="false">IF(AND(C3697=C3698,W3697=W3698-1),Y3697,"")</f>
        <v/>
      </c>
      <c r="AB3698" s="0" t="str">
        <f aca="false">IF(W3698=1,"",IF(AND(X3698=1,Z3698&lt;&gt;1),1,0))</f>
        <v/>
      </c>
      <c r="AC3698" s="0" t="str">
        <f aca="false">IF(W3698=1,"",IF(AND(Y3698=1,AA3698&lt;&gt;1),1,0))</f>
        <v/>
      </c>
      <c r="AD3698" s="33" t="str">
        <f aca="false">IF(AND(E3698&gt;0,W3698&lt;1,NOT(AND(C3699=C3698,W3699=W3698+1))),INDEX(DATAS,W3698+1),"")</f>
        <v/>
      </c>
      <c r="AE3698" s="33" t="str">
        <f aca="false">IF(AND(Y3698=1,W3698&lt;1),IF(AND(C3699=C3698,W3699=W3698+1),IF(Y3699=1,"",INDEX(DATAS,W3698+1)),INDEX(DATAS,W3698+1)),"")</f>
        <v/>
      </c>
    </row>
    <row r="3699" customFormat="false" ht="15" hidden="false" customHeight="false" outlineLevel="0" collapsed="false">
      <c r="A3699" s="33" t="n">
        <v>46309</v>
      </c>
      <c r="B3699" s="0" t="n">
        <v>16</v>
      </c>
      <c r="C3699" s="0" t="n">
        <v>8165</v>
      </c>
      <c r="E3699" s="0" t="n">
        <v>0</v>
      </c>
      <c r="F3699" s="27" t="s">
        <v>1667</v>
      </c>
      <c r="I3699" s="27" t="s">
        <v>166</v>
      </c>
      <c r="U3699" s="0" t="n">
        <v>18</v>
      </c>
      <c r="V3699" s="0" t="n">
        <v>0</v>
      </c>
      <c r="W3699" s="27" t="n">
        <f aca="false">MATCH(A3699,DATAS,0)</f>
        <v>1</v>
      </c>
      <c r="X3699" s="27" t="n">
        <f aca="false">IF(AND(E3699&gt;0,OR(AND(B3699&gt;=1,B3699&lt;=6),B3699=10)),1,0)</f>
        <v>0</v>
      </c>
      <c r="Y3699" s="27" t="n">
        <f aca="false">IF(AND(E3699&gt;0,B3699=10),1,0)</f>
        <v>0</v>
      </c>
      <c r="Z3699" s="0" t="str">
        <f aca="false">IF(AND(C3698=C3699,W3698=W3699-1),X3698,"")</f>
        <v/>
      </c>
      <c r="AA3699" s="0" t="str">
        <f aca="false">IF(AND(C3698=C3699,W3698=W3699-1),Y3698,"")</f>
        <v/>
      </c>
      <c r="AB3699" s="0" t="str">
        <f aca="false">IF(W3699=1,"",IF(AND(X3699=1,Z3699&lt;&gt;1),1,0))</f>
        <v/>
      </c>
      <c r="AC3699" s="0" t="str">
        <f aca="false">IF(W3699=1,"",IF(AND(Y3699=1,AA3699&lt;&gt;1),1,0))</f>
        <v/>
      </c>
      <c r="AD3699" s="33" t="str">
        <f aca="false">IF(AND(E3699&gt;0,W3699&lt;1,NOT(AND(C3700=C3699,W3700=W3699+1))),INDEX(DATAS,W3699+1),"")</f>
        <v/>
      </c>
      <c r="AE3699" s="33" t="str">
        <f aca="false">IF(AND(Y3699=1,W3699&lt;1),IF(AND(C3700=C3699,W3700=W3699+1),IF(Y3700=1,"",INDEX(DATAS,W3699+1)),INDEX(DATAS,W3699+1)),"")</f>
        <v/>
      </c>
    </row>
    <row r="3700" customFormat="false" ht="15" hidden="false" customHeight="false" outlineLevel="0" collapsed="false">
      <c r="A3700" s="33" t="n">
        <v>46309</v>
      </c>
      <c r="B3700" s="0" t="n">
        <v>16</v>
      </c>
      <c r="C3700" s="0" t="n">
        <v>8166</v>
      </c>
      <c r="E3700" s="0" t="n">
        <v>0</v>
      </c>
      <c r="F3700" s="27" t="s">
        <v>1668</v>
      </c>
      <c r="I3700" s="27" t="s">
        <v>166</v>
      </c>
      <c r="U3700" s="0" t="n">
        <v>17</v>
      </c>
      <c r="V3700" s="0" t="n">
        <v>0</v>
      </c>
      <c r="W3700" s="27" t="n">
        <f aca="false">MATCH(A3700,DATAS,0)</f>
        <v>1</v>
      </c>
      <c r="X3700" s="27" t="n">
        <f aca="false">IF(AND(E3700&gt;0,OR(AND(B3700&gt;=1,B3700&lt;=6),B3700=10)),1,0)</f>
        <v>0</v>
      </c>
      <c r="Y3700" s="27" t="n">
        <f aca="false">IF(AND(E3700&gt;0,B3700=10),1,0)</f>
        <v>0</v>
      </c>
      <c r="Z3700" s="0" t="str">
        <f aca="false">IF(AND(C3699=C3700,W3699=W3700-1),X3699,"")</f>
        <v/>
      </c>
      <c r="AA3700" s="0" t="str">
        <f aca="false">IF(AND(C3699=C3700,W3699=W3700-1),Y3699,"")</f>
        <v/>
      </c>
      <c r="AB3700" s="0" t="str">
        <f aca="false">IF(W3700=1,"",IF(AND(X3700=1,Z3700&lt;&gt;1),1,0))</f>
        <v/>
      </c>
      <c r="AC3700" s="0" t="str">
        <f aca="false">IF(W3700=1,"",IF(AND(Y3700=1,AA3700&lt;&gt;1),1,0))</f>
        <v/>
      </c>
      <c r="AD3700" s="33" t="str">
        <f aca="false">IF(AND(E3700&gt;0,W3700&lt;1,NOT(AND(C3701=C3700,W3701=W3700+1))),INDEX(DATAS,W3700+1),"")</f>
        <v/>
      </c>
      <c r="AE3700" s="33" t="str">
        <f aca="false">IF(AND(Y3700=1,W3700&lt;1),IF(AND(C3701=C3700,W3701=W3700+1),IF(Y3701=1,"",INDEX(DATAS,W3700+1)),INDEX(DATAS,W3700+1)),"")</f>
        <v/>
      </c>
    </row>
    <row r="3701" customFormat="false" ht="15" hidden="false" customHeight="false" outlineLevel="0" collapsed="false">
      <c r="A3701" s="33" t="n">
        <v>46309</v>
      </c>
      <c r="B3701" s="0" t="n">
        <v>16</v>
      </c>
      <c r="C3701" s="0" t="n">
        <v>8167</v>
      </c>
      <c r="E3701" s="0" t="n">
        <v>0</v>
      </c>
      <c r="F3701" s="27" t="s">
        <v>1668</v>
      </c>
      <c r="I3701" s="27" t="s">
        <v>166</v>
      </c>
      <c r="U3701" s="0" t="n">
        <v>17</v>
      </c>
      <c r="V3701" s="0" t="n">
        <v>0</v>
      </c>
      <c r="W3701" s="27" t="n">
        <f aca="false">MATCH(A3701,DATAS,0)</f>
        <v>1</v>
      </c>
      <c r="X3701" s="27" t="n">
        <f aca="false">IF(AND(E3701&gt;0,OR(AND(B3701&gt;=1,B3701&lt;=6),B3701=10)),1,0)</f>
        <v>0</v>
      </c>
      <c r="Y3701" s="27" t="n">
        <f aca="false">IF(AND(E3701&gt;0,B3701=10),1,0)</f>
        <v>0</v>
      </c>
      <c r="Z3701" s="0" t="str">
        <f aca="false">IF(AND(C3700=C3701,W3700=W3701-1),X3700,"")</f>
        <v/>
      </c>
      <c r="AA3701" s="0" t="str">
        <f aca="false">IF(AND(C3700=C3701,W3700=W3701-1),Y3700,"")</f>
        <v/>
      </c>
      <c r="AB3701" s="0" t="str">
        <f aca="false">IF(W3701=1,"",IF(AND(X3701=1,Z3701&lt;&gt;1),1,0))</f>
        <v/>
      </c>
      <c r="AC3701" s="0" t="str">
        <f aca="false">IF(W3701=1,"",IF(AND(Y3701=1,AA3701&lt;&gt;1),1,0))</f>
        <v/>
      </c>
      <c r="AD3701" s="33" t="str">
        <f aca="false">IF(AND(E3701&gt;0,W3701&lt;1,NOT(AND(C3702=C3701,W3702=W3701+1))),INDEX(DATAS,W3701+1),"")</f>
        <v/>
      </c>
      <c r="AE3701" s="33" t="str">
        <f aca="false">IF(AND(Y3701=1,W3701&lt;1),IF(AND(C3702=C3701,W3702=W3701+1),IF(Y3702=1,"",INDEX(DATAS,W3701+1)),INDEX(DATAS,W3701+1)),"")</f>
        <v/>
      </c>
    </row>
    <row r="3702" customFormat="false" ht="15" hidden="false" customHeight="false" outlineLevel="0" collapsed="false">
      <c r="A3702" s="33" t="n">
        <v>46309</v>
      </c>
      <c r="B3702" s="0" t="n">
        <v>16</v>
      </c>
      <c r="C3702" s="0" t="n">
        <v>8170</v>
      </c>
      <c r="E3702" s="0" t="n">
        <v>0</v>
      </c>
      <c r="F3702" s="27" t="s">
        <v>1669</v>
      </c>
      <c r="I3702" s="27" t="s">
        <v>166</v>
      </c>
      <c r="U3702" s="0" t="n">
        <v>15</v>
      </c>
      <c r="V3702" s="0" t="n">
        <v>0</v>
      </c>
      <c r="W3702" s="27" t="n">
        <f aca="false">MATCH(A3702,DATAS,0)</f>
        <v>1</v>
      </c>
      <c r="X3702" s="27" t="n">
        <f aca="false">IF(AND(E3702&gt;0,OR(AND(B3702&gt;=1,B3702&lt;=6),B3702=10)),1,0)</f>
        <v>0</v>
      </c>
      <c r="Y3702" s="27" t="n">
        <f aca="false">IF(AND(E3702&gt;0,B3702=10),1,0)</f>
        <v>0</v>
      </c>
      <c r="Z3702" s="0" t="str">
        <f aca="false">IF(AND(C3701=C3702,W3701=W3702-1),X3701,"")</f>
        <v/>
      </c>
      <c r="AA3702" s="0" t="str">
        <f aca="false">IF(AND(C3701=C3702,W3701=W3702-1),Y3701,"")</f>
        <v/>
      </c>
      <c r="AB3702" s="0" t="str">
        <f aca="false">IF(W3702=1,"",IF(AND(X3702=1,Z3702&lt;&gt;1),1,0))</f>
        <v/>
      </c>
      <c r="AC3702" s="0" t="str">
        <f aca="false">IF(W3702=1,"",IF(AND(Y3702=1,AA3702&lt;&gt;1),1,0))</f>
        <v/>
      </c>
      <c r="AD3702" s="33" t="str">
        <f aca="false">IF(AND(E3702&gt;0,W3702&lt;1,NOT(AND(C3703=C3702,W3703=W3702+1))),INDEX(DATAS,W3702+1),"")</f>
        <v/>
      </c>
      <c r="AE3702" s="33" t="str">
        <f aca="false">IF(AND(Y3702=1,W3702&lt;1),IF(AND(C3703=C3702,W3703=W3702+1),IF(Y3703=1,"",INDEX(DATAS,W3702+1)),INDEX(DATAS,W3702+1)),"")</f>
        <v/>
      </c>
    </row>
    <row r="3703" customFormat="false" ht="15" hidden="false" customHeight="false" outlineLevel="0" collapsed="false">
      <c r="A3703" s="33" t="n">
        <v>46309</v>
      </c>
      <c r="B3703" s="0" t="n">
        <v>16</v>
      </c>
      <c r="C3703" s="0" t="n">
        <v>8173</v>
      </c>
      <c r="E3703" s="0" t="n">
        <v>0</v>
      </c>
      <c r="F3703" s="27" t="s">
        <v>1669</v>
      </c>
      <c r="I3703" s="27" t="s">
        <v>166</v>
      </c>
      <c r="U3703" s="0" t="n">
        <v>15</v>
      </c>
      <c r="V3703" s="0" t="n">
        <v>0</v>
      </c>
      <c r="W3703" s="27" t="n">
        <f aca="false">MATCH(A3703,DATAS,0)</f>
        <v>1</v>
      </c>
      <c r="X3703" s="27" t="n">
        <f aca="false">IF(AND(E3703&gt;0,OR(AND(B3703&gt;=1,B3703&lt;=6),B3703=10)),1,0)</f>
        <v>0</v>
      </c>
      <c r="Y3703" s="27" t="n">
        <f aca="false">IF(AND(E3703&gt;0,B3703=10),1,0)</f>
        <v>0</v>
      </c>
      <c r="Z3703" s="0" t="str">
        <f aca="false">IF(AND(C3702=C3703,W3702=W3703-1),X3702,"")</f>
        <v/>
      </c>
      <c r="AA3703" s="0" t="str">
        <f aca="false">IF(AND(C3702=C3703,W3702=W3703-1),Y3702,"")</f>
        <v/>
      </c>
      <c r="AB3703" s="0" t="str">
        <f aca="false">IF(W3703=1,"",IF(AND(X3703=1,Z3703&lt;&gt;1),1,0))</f>
        <v/>
      </c>
      <c r="AC3703" s="0" t="str">
        <f aca="false">IF(W3703=1,"",IF(AND(Y3703=1,AA3703&lt;&gt;1),1,0))</f>
        <v/>
      </c>
      <c r="AD3703" s="33" t="str">
        <f aca="false">IF(AND(E3703&gt;0,W3703&lt;1,NOT(AND(C3704=C3703,W3704=W3703+1))),INDEX(DATAS,W3703+1),"")</f>
        <v/>
      </c>
      <c r="AE3703" s="33" t="str">
        <f aca="false">IF(AND(Y3703=1,W3703&lt;1),IF(AND(C3704=C3703,W3704=W3703+1),IF(Y3704=1,"",INDEX(DATAS,W3703+1)),INDEX(DATAS,W3703+1)),"")</f>
        <v/>
      </c>
    </row>
    <row r="3704" customFormat="false" ht="15" hidden="false" customHeight="false" outlineLevel="0" collapsed="false">
      <c r="A3704" s="33" t="n">
        <v>46309</v>
      </c>
      <c r="B3704" s="0" t="n">
        <v>16</v>
      </c>
      <c r="C3704" s="0" t="n">
        <v>8174</v>
      </c>
      <c r="E3704" s="0" t="n">
        <v>0</v>
      </c>
      <c r="F3704" s="27" t="s">
        <v>1669</v>
      </c>
      <c r="I3704" s="27" t="s">
        <v>166</v>
      </c>
      <c r="U3704" s="0" t="n">
        <v>15</v>
      </c>
      <c r="V3704" s="0" t="n">
        <v>0</v>
      </c>
      <c r="W3704" s="27" t="n">
        <f aca="false">MATCH(A3704,DATAS,0)</f>
        <v>1</v>
      </c>
      <c r="X3704" s="27" t="n">
        <f aca="false">IF(AND(E3704&gt;0,OR(AND(B3704&gt;=1,B3704&lt;=6),B3704=10)),1,0)</f>
        <v>0</v>
      </c>
      <c r="Y3704" s="27" t="n">
        <f aca="false">IF(AND(E3704&gt;0,B3704=10),1,0)</f>
        <v>0</v>
      </c>
      <c r="Z3704" s="0" t="str">
        <f aca="false">IF(AND(C3703=C3704,W3703=W3704-1),X3703,"")</f>
        <v/>
      </c>
      <c r="AA3704" s="0" t="str">
        <f aca="false">IF(AND(C3703=C3704,W3703=W3704-1),Y3703,"")</f>
        <v/>
      </c>
      <c r="AB3704" s="0" t="str">
        <f aca="false">IF(W3704=1,"",IF(AND(X3704=1,Z3704&lt;&gt;1),1,0))</f>
        <v/>
      </c>
      <c r="AC3704" s="0" t="str">
        <f aca="false">IF(W3704=1,"",IF(AND(Y3704=1,AA3704&lt;&gt;1),1,0))</f>
        <v/>
      </c>
      <c r="AD3704" s="33" t="str">
        <f aca="false">IF(AND(E3704&gt;0,W3704&lt;1,NOT(AND(C3705=C3704,W3705=W3704+1))),INDEX(DATAS,W3704+1),"")</f>
        <v/>
      </c>
      <c r="AE3704" s="33" t="str">
        <f aca="false">IF(AND(Y3704=1,W3704&lt;1),IF(AND(C3705=C3704,W3705=W3704+1),IF(Y3705=1,"",INDEX(DATAS,W3704+1)),INDEX(DATAS,W3704+1)),"")</f>
        <v/>
      </c>
    </row>
    <row r="3705" customFormat="false" ht="15" hidden="false" customHeight="false" outlineLevel="0" collapsed="false">
      <c r="A3705" s="33" t="n">
        <v>46309</v>
      </c>
      <c r="B3705" s="0" t="n">
        <v>16</v>
      </c>
      <c r="C3705" s="0" t="n">
        <v>8175</v>
      </c>
      <c r="E3705" s="0" t="n">
        <v>0</v>
      </c>
      <c r="F3705" s="27" t="s">
        <v>1669</v>
      </c>
      <c r="I3705" s="27" t="s">
        <v>166</v>
      </c>
      <c r="U3705" s="0" t="n">
        <v>15</v>
      </c>
      <c r="V3705" s="0" t="n">
        <v>0</v>
      </c>
      <c r="W3705" s="27" t="n">
        <f aca="false">MATCH(A3705,DATAS,0)</f>
        <v>1</v>
      </c>
      <c r="X3705" s="27" t="n">
        <f aca="false">IF(AND(E3705&gt;0,OR(AND(B3705&gt;=1,B3705&lt;=6),B3705=10)),1,0)</f>
        <v>0</v>
      </c>
      <c r="Y3705" s="27" t="n">
        <f aca="false">IF(AND(E3705&gt;0,B3705=10),1,0)</f>
        <v>0</v>
      </c>
      <c r="Z3705" s="0" t="str">
        <f aca="false">IF(AND(C3704=C3705,W3704=W3705-1),X3704,"")</f>
        <v/>
      </c>
      <c r="AA3705" s="0" t="str">
        <f aca="false">IF(AND(C3704=C3705,W3704=W3705-1),Y3704,"")</f>
        <v/>
      </c>
      <c r="AB3705" s="0" t="str">
        <f aca="false">IF(W3705=1,"",IF(AND(X3705=1,Z3705&lt;&gt;1),1,0))</f>
        <v/>
      </c>
      <c r="AC3705" s="0" t="str">
        <f aca="false">IF(W3705=1,"",IF(AND(Y3705=1,AA3705&lt;&gt;1),1,0))</f>
        <v/>
      </c>
      <c r="AD3705" s="33" t="str">
        <f aca="false">IF(AND(E3705&gt;0,W3705&lt;1,NOT(AND(C3706=C3705,W3706=W3705+1))),INDEX(DATAS,W3705+1),"")</f>
        <v/>
      </c>
      <c r="AE3705" s="33" t="str">
        <f aca="false">IF(AND(Y3705=1,W3705&lt;1),IF(AND(C3706=C3705,W3706=W3705+1),IF(Y3706=1,"",INDEX(DATAS,W3705+1)),INDEX(DATAS,W3705+1)),"")</f>
        <v/>
      </c>
    </row>
    <row r="3706" customFormat="false" ht="15" hidden="false" customHeight="false" outlineLevel="0" collapsed="false">
      <c r="A3706" s="33" t="n">
        <v>46309</v>
      </c>
      <c r="B3706" s="0" t="n">
        <v>16</v>
      </c>
      <c r="C3706" s="0" t="n">
        <v>8176</v>
      </c>
      <c r="E3706" s="0" t="n">
        <v>0</v>
      </c>
      <c r="F3706" s="27" t="s">
        <v>1669</v>
      </c>
      <c r="I3706" s="27" t="s">
        <v>166</v>
      </c>
      <c r="U3706" s="0" t="n">
        <v>15</v>
      </c>
      <c r="V3706" s="0" t="n">
        <v>0</v>
      </c>
      <c r="W3706" s="27" t="n">
        <f aca="false">MATCH(A3706,DATAS,0)</f>
        <v>1</v>
      </c>
      <c r="X3706" s="27" t="n">
        <f aca="false">IF(AND(E3706&gt;0,OR(AND(B3706&gt;=1,B3706&lt;=6),B3706=10)),1,0)</f>
        <v>0</v>
      </c>
      <c r="Y3706" s="27" t="n">
        <f aca="false">IF(AND(E3706&gt;0,B3706=10),1,0)</f>
        <v>0</v>
      </c>
      <c r="Z3706" s="0" t="str">
        <f aca="false">IF(AND(C3705=C3706,W3705=W3706-1),X3705,"")</f>
        <v/>
      </c>
      <c r="AA3706" s="0" t="str">
        <f aca="false">IF(AND(C3705=C3706,W3705=W3706-1),Y3705,"")</f>
        <v/>
      </c>
      <c r="AB3706" s="0" t="str">
        <f aca="false">IF(W3706=1,"",IF(AND(X3706=1,Z3706&lt;&gt;1),1,0))</f>
        <v/>
      </c>
      <c r="AC3706" s="0" t="str">
        <f aca="false">IF(W3706=1,"",IF(AND(Y3706=1,AA3706&lt;&gt;1),1,0))</f>
        <v/>
      </c>
      <c r="AD3706" s="33" t="str">
        <f aca="false">IF(AND(E3706&gt;0,W3706&lt;1,NOT(AND(C3707=C3706,W3707=W3706+1))),INDEX(DATAS,W3706+1),"")</f>
        <v/>
      </c>
      <c r="AE3706" s="33" t="str">
        <f aca="false">IF(AND(Y3706=1,W3706&lt;1),IF(AND(C3707=C3706,W3707=W3706+1),IF(Y3707=1,"",INDEX(DATAS,W3706+1)),INDEX(DATAS,W3706+1)),"")</f>
        <v/>
      </c>
    </row>
    <row r="3707" customFormat="false" ht="15" hidden="false" customHeight="false" outlineLevel="0" collapsed="false">
      <c r="A3707" s="33" t="n">
        <v>46309</v>
      </c>
      <c r="B3707" s="0" t="n">
        <v>16</v>
      </c>
      <c r="C3707" s="0" t="n">
        <v>8177</v>
      </c>
      <c r="E3707" s="0" t="n">
        <v>0</v>
      </c>
      <c r="F3707" s="27" t="s">
        <v>1670</v>
      </c>
      <c r="I3707" s="27" t="s">
        <v>166</v>
      </c>
      <c r="U3707" s="0" t="n">
        <v>14</v>
      </c>
      <c r="V3707" s="0" t="n">
        <v>0</v>
      </c>
      <c r="W3707" s="27" t="n">
        <f aca="false">MATCH(A3707,DATAS,0)</f>
        <v>1</v>
      </c>
      <c r="X3707" s="27" t="n">
        <f aca="false">IF(AND(E3707&gt;0,OR(AND(B3707&gt;=1,B3707&lt;=6),B3707=10)),1,0)</f>
        <v>0</v>
      </c>
      <c r="Y3707" s="27" t="n">
        <f aca="false">IF(AND(E3707&gt;0,B3707=10),1,0)</f>
        <v>0</v>
      </c>
      <c r="Z3707" s="0" t="str">
        <f aca="false">IF(AND(C3706=C3707,W3706=W3707-1),X3706,"")</f>
        <v/>
      </c>
      <c r="AA3707" s="0" t="str">
        <f aca="false">IF(AND(C3706=C3707,W3706=W3707-1),Y3706,"")</f>
        <v/>
      </c>
      <c r="AB3707" s="0" t="str">
        <f aca="false">IF(W3707=1,"",IF(AND(X3707=1,Z3707&lt;&gt;1),1,0))</f>
        <v/>
      </c>
      <c r="AC3707" s="0" t="str">
        <f aca="false">IF(W3707=1,"",IF(AND(Y3707=1,AA3707&lt;&gt;1),1,0))</f>
        <v/>
      </c>
      <c r="AD3707" s="33" t="str">
        <f aca="false">IF(AND(E3707&gt;0,W3707&lt;1,NOT(AND(C3708=C3707,W3708=W3707+1))),INDEX(DATAS,W3707+1),"")</f>
        <v/>
      </c>
      <c r="AE3707" s="33" t="str">
        <f aca="false">IF(AND(Y3707=1,W3707&lt;1),IF(AND(C3708=C3707,W3708=W3707+1),IF(Y3708=1,"",INDEX(DATAS,W3707+1)),INDEX(DATAS,W3707+1)),"")</f>
        <v/>
      </c>
    </row>
    <row r="3708" customFormat="false" ht="15" hidden="false" customHeight="false" outlineLevel="0" collapsed="false">
      <c r="A3708" s="33" t="n">
        <v>46309</v>
      </c>
      <c r="B3708" s="0" t="n">
        <v>16</v>
      </c>
      <c r="C3708" s="0" t="n">
        <v>8178</v>
      </c>
      <c r="E3708" s="0" t="n">
        <v>0</v>
      </c>
      <c r="F3708" s="27" t="s">
        <v>1670</v>
      </c>
      <c r="I3708" s="27" t="s">
        <v>166</v>
      </c>
      <c r="U3708" s="0" t="n">
        <v>14</v>
      </c>
      <c r="V3708" s="0" t="n">
        <v>0</v>
      </c>
      <c r="W3708" s="27" t="n">
        <f aca="false">MATCH(A3708,DATAS,0)</f>
        <v>1</v>
      </c>
      <c r="X3708" s="27" t="n">
        <f aca="false">IF(AND(E3708&gt;0,OR(AND(B3708&gt;=1,B3708&lt;=6),B3708=10)),1,0)</f>
        <v>0</v>
      </c>
      <c r="Y3708" s="27" t="n">
        <f aca="false">IF(AND(E3708&gt;0,B3708=10),1,0)</f>
        <v>0</v>
      </c>
      <c r="Z3708" s="0" t="str">
        <f aca="false">IF(AND(C3707=C3708,W3707=W3708-1),X3707,"")</f>
        <v/>
      </c>
      <c r="AA3708" s="0" t="str">
        <f aca="false">IF(AND(C3707=C3708,W3707=W3708-1),Y3707,"")</f>
        <v/>
      </c>
      <c r="AB3708" s="0" t="str">
        <f aca="false">IF(W3708=1,"",IF(AND(X3708=1,Z3708&lt;&gt;1),1,0))</f>
        <v/>
      </c>
      <c r="AC3708" s="0" t="str">
        <f aca="false">IF(W3708=1,"",IF(AND(Y3708=1,AA3708&lt;&gt;1),1,0))</f>
        <v/>
      </c>
      <c r="AD3708" s="33" t="str">
        <f aca="false">IF(AND(E3708&gt;0,W3708&lt;1,NOT(AND(C3709=C3708,W3709=W3708+1))),INDEX(DATAS,W3708+1),"")</f>
        <v/>
      </c>
      <c r="AE3708" s="33" t="str">
        <f aca="false">IF(AND(Y3708=1,W3708&lt;1),IF(AND(C3709=C3708,W3709=W3708+1),IF(Y3709=1,"",INDEX(DATAS,W3708+1)),INDEX(DATAS,W3708+1)),"")</f>
        <v/>
      </c>
    </row>
    <row r="3709" customFormat="false" ht="15" hidden="false" customHeight="false" outlineLevel="0" collapsed="false">
      <c r="A3709" s="33" t="n">
        <v>46309</v>
      </c>
      <c r="B3709" s="0" t="n">
        <v>16</v>
      </c>
      <c r="C3709" s="0" t="n">
        <v>8179</v>
      </c>
      <c r="E3709" s="0" t="n">
        <v>0</v>
      </c>
      <c r="F3709" s="27" t="s">
        <v>1670</v>
      </c>
      <c r="I3709" s="27" t="s">
        <v>166</v>
      </c>
      <c r="U3709" s="0" t="n">
        <v>14</v>
      </c>
      <c r="V3709" s="0" t="n">
        <v>0</v>
      </c>
      <c r="W3709" s="27" t="n">
        <f aca="false">MATCH(A3709,DATAS,0)</f>
        <v>1</v>
      </c>
      <c r="X3709" s="27" t="n">
        <f aca="false">IF(AND(E3709&gt;0,OR(AND(B3709&gt;=1,B3709&lt;=6),B3709=10)),1,0)</f>
        <v>0</v>
      </c>
      <c r="Y3709" s="27" t="n">
        <f aca="false">IF(AND(E3709&gt;0,B3709=10),1,0)</f>
        <v>0</v>
      </c>
      <c r="Z3709" s="0" t="str">
        <f aca="false">IF(AND(C3708=C3709,W3708=W3709-1),X3708,"")</f>
        <v/>
      </c>
      <c r="AA3709" s="0" t="str">
        <f aca="false">IF(AND(C3708=C3709,W3708=W3709-1),Y3708,"")</f>
        <v/>
      </c>
      <c r="AB3709" s="0" t="str">
        <f aca="false">IF(W3709=1,"",IF(AND(X3709=1,Z3709&lt;&gt;1),1,0))</f>
        <v/>
      </c>
      <c r="AC3709" s="0" t="str">
        <f aca="false">IF(W3709=1,"",IF(AND(Y3709=1,AA3709&lt;&gt;1),1,0))</f>
        <v/>
      </c>
      <c r="AD3709" s="33" t="str">
        <f aca="false">IF(AND(E3709&gt;0,W3709&lt;1,NOT(AND(C3710=C3709,W3710=W3709+1))),INDEX(DATAS,W3709+1),"")</f>
        <v/>
      </c>
      <c r="AE3709" s="33" t="str">
        <f aca="false">IF(AND(Y3709=1,W3709&lt;1),IF(AND(C3710=C3709,W3710=W3709+1),IF(Y3710=1,"",INDEX(DATAS,W3709+1)),INDEX(DATAS,W3709+1)),"")</f>
        <v/>
      </c>
    </row>
    <row r="3710" customFormat="false" ht="15" hidden="false" customHeight="false" outlineLevel="0" collapsed="false">
      <c r="A3710" s="33" t="n">
        <v>46309</v>
      </c>
      <c r="B3710" s="0" t="n">
        <v>16</v>
      </c>
      <c r="C3710" s="0" t="n">
        <v>8180</v>
      </c>
      <c r="E3710" s="0" t="n">
        <v>0</v>
      </c>
      <c r="F3710" s="27" t="s">
        <v>1671</v>
      </c>
      <c r="I3710" s="27" t="s">
        <v>166</v>
      </c>
      <c r="U3710" s="0" t="n">
        <v>13</v>
      </c>
      <c r="V3710" s="0" t="n">
        <v>0</v>
      </c>
      <c r="W3710" s="27" t="n">
        <f aca="false">MATCH(A3710,DATAS,0)</f>
        <v>1</v>
      </c>
      <c r="X3710" s="27" t="n">
        <f aca="false">IF(AND(E3710&gt;0,OR(AND(B3710&gt;=1,B3710&lt;=6),B3710=10)),1,0)</f>
        <v>0</v>
      </c>
      <c r="Y3710" s="27" t="n">
        <f aca="false">IF(AND(E3710&gt;0,B3710=10),1,0)</f>
        <v>0</v>
      </c>
      <c r="Z3710" s="0" t="str">
        <f aca="false">IF(AND(C3709=C3710,W3709=W3710-1),X3709,"")</f>
        <v/>
      </c>
      <c r="AA3710" s="0" t="str">
        <f aca="false">IF(AND(C3709=C3710,W3709=W3710-1),Y3709,"")</f>
        <v/>
      </c>
      <c r="AB3710" s="0" t="str">
        <f aca="false">IF(W3710=1,"",IF(AND(X3710=1,Z3710&lt;&gt;1),1,0))</f>
        <v/>
      </c>
      <c r="AC3710" s="0" t="str">
        <f aca="false">IF(W3710=1,"",IF(AND(Y3710=1,AA3710&lt;&gt;1),1,0))</f>
        <v/>
      </c>
      <c r="AD3710" s="33" t="str">
        <f aca="false">IF(AND(E3710&gt;0,W3710&lt;1,NOT(AND(C3711=C3710,W3711=W3710+1))),INDEX(DATAS,W3710+1),"")</f>
        <v/>
      </c>
      <c r="AE3710" s="33" t="str">
        <f aca="false">IF(AND(Y3710=1,W3710&lt;1),IF(AND(C3711=C3710,W3711=W3710+1),IF(Y3711=1,"",INDEX(DATAS,W3710+1)),INDEX(DATAS,W3710+1)),"")</f>
        <v/>
      </c>
    </row>
    <row r="3711" customFormat="false" ht="15" hidden="false" customHeight="false" outlineLevel="0" collapsed="false">
      <c r="A3711" s="33" t="n">
        <v>46309</v>
      </c>
      <c r="B3711" s="0" t="n">
        <v>16</v>
      </c>
      <c r="C3711" s="0" t="n">
        <v>8181</v>
      </c>
      <c r="E3711" s="0" t="n">
        <v>0</v>
      </c>
      <c r="F3711" s="27" t="s">
        <v>1671</v>
      </c>
      <c r="I3711" s="27" t="s">
        <v>166</v>
      </c>
      <c r="U3711" s="0" t="n">
        <v>13</v>
      </c>
      <c r="V3711" s="0" t="n">
        <v>0</v>
      </c>
      <c r="W3711" s="27" t="n">
        <f aca="false">MATCH(A3711,DATAS,0)</f>
        <v>1</v>
      </c>
      <c r="X3711" s="27" t="n">
        <f aca="false">IF(AND(E3711&gt;0,OR(AND(B3711&gt;=1,B3711&lt;=6),B3711=10)),1,0)</f>
        <v>0</v>
      </c>
      <c r="Y3711" s="27" t="n">
        <f aca="false">IF(AND(E3711&gt;0,B3711=10),1,0)</f>
        <v>0</v>
      </c>
      <c r="Z3711" s="0" t="str">
        <f aca="false">IF(AND(C3710=C3711,W3710=W3711-1),X3710,"")</f>
        <v/>
      </c>
      <c r="AA3711" s="0" t="str">
        <f aca="false">IF(AND(C3710=C3711,W3710=W3711-1),Y3710,"")</f>
        <v/>
      </c>
      <c r="AB3711" s="0" t="str">
        <f aca="false">IF(W3711=1,"",IF(AND(X3711=1,Z3711&lt;&gt;1),1,0))</f>
        <v/>
      </c>
      <c r="AC3711" s="0" t="str">
        <f aca="false">IF(W3711=1,"",IF(AND(Y3711=1,AA3711&lt;&gt;1),1,0))</f>
        <v/>
      </c>
      <c r="AD3711" s="33" t="str">
        <f aca="false">IF(AND(E3711&gt;0,W3711&lt;1,NOT(AND(C3712=C3711,W3712=W3711+1))),INDEX(DATAS,W3711+1),"")</f>
        <v/>
      </c>
      <c r="AE3711" s="33" t="str">
        <f aca="false">IF(AND(Y3711=1,W3711&lt;1),IF(AND(C3712=C3711,W3712=W3711+1),IF(Y3712=1,"",INDEX(DATAS,W3711+1)),INDEX(DATAS,W3711+1)),"")</f>
        <v/>
      </c>
    </row>
    <row r="3712" customFormat="false" ht="15" hidden="false" customHeight="false" outlineLevel="0" collapsed="false">
      <c r="A3712" s="33" t="n">
        <v>46309</v>
      </c>
      <c r="B3712" s="0" t="n">
        <v>16</v>
      </c>
      <c r="C3712" s="0" t="n">
        <v>8182</v>
      </c>
      <c r="E3712" s="0" t="n">
        <v>0</v>
      </c>
      <c r="F3712" s="27" t="s">
        <v>1671</v>
      </c>
      <c r="I3712" s="27" t="s">
        <v>166</v>
      </c>
      <c r="U3712" s="0" t="n">
        <v>13</v>
      </c>
      <c r="V3712" s="0" t="n">
        <v>0</v>
      </c>
      <c r="W3712" s="27" t="n">
        <f aca="false">MATCH(A3712,DATAS,0)</f>
        <v>1</v>
      </c>
      <c r="X3712" s="27" t="n">
        <f aca="false">IF(AND(E3712&gt;0,OR(AND(B3712&gt;=1,B3712&lt;=6),B3712=10)),1,0)</f>
        <v>0</v>
      </c>
      <c r="Y3712" s="27" t="n">
        <f aca="false">IF(AND(E3712&gt;0,B3712=10),1,0)</f>
        <v>0</v>
      </c>
      <c r="Z3712" s="0" t="str">
        <f aca="false">IF(AND(C3711=C3712,W3711=W3712-1),X3711,"")</f>
        <v/>
      </c>
      <c r="AA3712" s="0" t="str">
        <f aca="false">IF(AND(C3711=C3712,W3711=W3712-1),Y3711,"")</f>
        <v/>
      </c>
      <c r="AB3712" s="0" t="str">
        <f aca="false">IF(W3712=1,"",IF(AND(X3712=1,Z3712&lt;&gt;1),1,0))</f>
        <v/>
      </c>
      <c r="AC3712" s="0" t="str">
        <f aca="false">IF(W3712=1,"",IF(AND(Y3712=1,AA3712&lt;&gt;1),1,0))</f>
        <v/>
      </c>
      <c r="AD3712" s="33" t="str">
        <f aca="false">IF(AND(E3712&gt;0,W3712&lt;1,NOT(AND(C3713=C3712,W3713=W3712+1))),INDEX(DATAS,W3712+1),"")</f>
        <v/>
      </c>
      <c r="AE3712" s="33" t="str">
        <f aca="false">IF(AND(Y3712=1,W3712&lt;1),IF(AND(C3713=C3712,W3713=W3712+1),IF(Y3713=1,"",INDEX(DATAS,W3712+1)),INDEX(DATAS,W3712+1)),"")</f>
        <v/>
      </c>
    </row>
    <row r="3713" customFormat="false" ht="15" hidden="false" customHeight="false" outlineLevel="0" collapsed="false">
      <c r="A3713" s="33" t="n">
        <v>46309</v>
      </c>
      <c r="B3713" s="0" t="n">
        <v>16</v>
      </c>
      <c r="C3713" s="0" t="n">
        <v>8183</v>
      </c>
      <c r="E3713" s="0" t="n">
        <v>0</v>
      </c>
      <c r="F3713" s="27" t="s">
        <v>1672</v>
      </c>
      <c r="I3713" s="27" t="s">
        <v>166</v>
      </c>
      <c r="U3713" s="0" t="n">
        <v>12</v>
      </c>
      <c r="V3713" s="0" t="n">
        <v>0</v>
      </c>
      <c r="W3713" s="27" t="n">
        <f aca="false">MATCH(A3713,DATAS,0)</f>
        <v>1</v>
      </c>
      <c r="X3713" s="27" t="n">
        <f aca="false">IF(AND(E3713&gt;0,OR(AND(B3713&gt;=1,B3713&lt;=6),B3713=10)),1,0)</f>
        <v>0</v>
      </c>
      <c r="Y3713" s="27" t="n">
        <f aca="false">IF(AND(E3713&gt;0,B3713=10),1,0)</f>
        <v>0</v>
      </c>
      <c r="Z3713" s="0" t="str">
        <f aca="false">IF(AND(C3712=C3713,W3712=W3713-1),X3712,"")</f>
        <v/>
      </c>
      <c r="AA3713" s="0" t="str">
        <f aca="false">IF(AND(C3712=C3713,W3712=W3713-1),Y3712,"")</f>
        <v/>
      </c>
      <c r="AB3713" s="0" t="str">
        <f aca="false">IF(W3713=1,"",IF(AND(X3713=1,Z3713&lt;&gt;1),1,0))</f>
        <v/>
      </c>
      <c r="AC3713" s="0" t="str">
        <f aca="false">IF(W3713=1,"",IF(AND(Y3713=1,AA3713&lt;&gt;1),1,0))</f>
        <v/>
      </c>
      <c r="AD3713" s="33" t="str">
        <f aca="false">IF(AND(E3713&gt;0,W3713&lt;1,NOT(AND(C3714=C3713,W3714=W3713+1))),INDEX(DATAS,W3713+1),"")</f>
        <v/>
      </c>
      <c r="AE3713" s="33" t="str">
        <f aca="false">IF(AND(Y3713=1,W3713&lt;1),IF(AND(C3714=C3713,W3714=W3713+1),IF(Y3714=1,"",INDEX(DATAS,W3713+1)),INDEX(DATAS,W3713+1)),"")</f>
        <v/>
      </c>
    </row>
    <row r="3714" customFormat="false" ht="15" hidden="false" customHeight="false" outlineLevel="0" collapsed="false">
      <c r="A3714" s="33" t="n">
        <v>46309</v>
      </c>
      <c r="B3714" s="0" t="n">
        <v>16</v>
      </c>
      <c r="C3714" s="0" t="n">
        <v>8184</v>
      </c>
      <c r="E3714" s="0" t="n">
        <v>0</v>
      </c>
      <c r="F3714" s="27" t="s">
        <v>1672</v>
      </c>
      <c r="I3714" s="27" t="s">
        <v>166</v>
      </c>
      <c r="U3714" s="0" t="n">
        <v>12</v>
      </c>
      <c r="V3714" s="0" t="n">
        <v>0</v>
      </c>
      <c r="W3714" s="27" t="n">
        <f aca="false">MATCH(A3714,DATAS,0)</f>
        <v>1</v>
      </c>
      <c r="X3714" s="27" t="n">
        <f aca="false">IF(AND(E3714&gt;0,OR(AND(B3714&gt;=1,B3714&lt;=6),B3714=10)),1,0)</f>
        <v>0</v>
      </c>
      <c r="Y3714" s="27" t="n">
        <f aca="false">IF(AND(E3714&gt;0,B3714=10),1,0)</f>
        <v>0</v>
      </c>
      <c r="Z3714" s="0" t="str">
        <f aca="false">IF(AND(C3713=C3714,W3713=W3714-1),X3713,"")</f>
        <v/>
      </c>
      <c r="AA3714" s="0" t="str">
        <f aca="false">IF(AND(C3713=C3714,W3713=W3714-1),Y3713,"")</f>
        <v/>
      </c>
      <c r="AB3714" s="0" t="str">
        <f aca="false">IF(W3714=1,"",IF(AND(X3714=1,Z3714&lt;&gt;1),1,0))</f>
        <v/>
      </c>
      <c r="AC3714" s="0" t="str">
        <f aca="false">IF(W3714=1,"",IF(AND(Y3714=1,AA3714&lt;&gt;1),1,0))</f>
        <v/>
      </c>
      <c r="AD3714" s="33" t="str">
        <f aca="false">IF(AND(E3714&gt;0,W3714&lt;1,NOT(AND(C3715=C3714,W3715=W3714+1))),INDEX(DATAS,W3714+1),"")</f>
        <v/>
      </c>
      <c r="AE3714" s="33" t="str">
        <f aca="false">IF(AND(Y3714=1,W3714&lt;1),IF(AND(C3715=C3714,W3715=W3714+1),IF(Y3715=1,"",INDEX(DATAS,W3714+1)),INDEX(DATAS,W3714+1)),"")</f>
        <v/>
      </c>
    </row>
    <row r="3715" customFormat="false" ht="15" hidden="false" customHeight="false" outlineLevel="0" collapsed="false">
      <c r="A3715" s="33" t="n">
        <v>46309</v>
      </c>
      <c r="B3715" s="0" t="n">
        <v>16</v>
      </c>
      <c r="C3715" s="0" t="n">
        <v>8185</v>
      </c>
      <c r="E3715" s="0" t="n">
        <v>0</v>
      </c>
      <c r="F3715" s="27" t="s">
        <v>1672</v>
      </c>
      <c r="I3715" s="27" t="s">
        <v>166</v>
      </c>
      <c r="U3715" s="0" t="n">
        <v>12</v>
      </c>
      <c r="V3715" s="0" t="n">
        <v>0</v>
      </c>
      <c r="W3715" s="27" t="n">
        <f aca="false">MATCH(A3715,DATAS,0)</f>
        <v>1</v>
      </c>
      <c r="X3715" s="27" t="n">
        <f aca="false">IF(AND(E3715&gt;0,OR(AND(B3715&gt;=1,B3715&lt;=6),B3715=10)),1,0)</f>
        <v>0</v>
      </c>
      <c r="Y3715" s="27" t="n">
        <f aca="false">IF(AND(E3715&gt;0,B3715=10),1,0)</f>
        <v>0</v>
      </c>
      <c r="Z3715" s="0" t="str">
        <f aca="false">IF(AND(C3714=C3715,W3714=W3715-1),X3714,"")</f>
        <v/>
      </c>
      <c r="AA3715" s="0" t="str">
        <f aca="false">IF(AND(C3714=C3715,W3714=W3715-1),Y3714,"")</f>
        <v/>
      </c>
      <c r="AB3715" s="0" t="str">
        <f aca="false">IF(W3715=1,"",IF(AND(X3715=1,Z3715&lt;&gt;1),1,0))</f>
        <v/>
      </c>
      <c r="AC3715" s="0" t="str">
        <f aca="false">IF(W3715=1,"",IF(AND(Y3715=1,AA3715&lt;&gt;1),1,0))</f>
        <v/>
      </c>
      <c r="AD3715" s="33" t="str">
        <f aca="false">IF(AND(E3715&gt;0,W3715&lt;1,NOT(AND(C3716=C3715,W3716=W3715+1))),INDEX(DATAS,W3715+1),"")</f>
        <v/>
      </c>
      <c r="AE3715" s="33" t="str">
        <f aca="false">IF(AND(Y3715=1,W3715&lt;1),IF(AND(C3716=C3715,W3716=W3715+1),IF(Y3716=1,"",INDEX(DATAS,W3715+1)),INDEX(DATAS,W3715+1)),"")</f>
        <v/>
      </c>
    </row>
    <row r="3716" customFormat="false" ht="15" hidden="false" customHeight="false" outlineLevel="0" collapsed="false">
      <c r="A3716" s="33" t="n">
        <v>46309</v>
      </c>
      <c r="B3716" s="0" t="n">
        <v>16</v>
      </c>
      <c r="C3716" s="0" t="n">
        <v>8186</v>
      </c>
      <c r="E3716" s="0" t="n">
        <v>0</v>
      </c>
      <c r="F3716" s="27" t="s">
        <v>1673</v>
      </c>
      <c r="I3716" s="27" t="s">
        <v>166</v>
      </c>
      <c r="U3716" s="0" t="n">
        <v>11</v>
      </c>
      <c r="V3716" s="0" t="n">
        <v>0</v>
      </c>
      <c r="W3716" s="27" t="n">
        <f aca="false">MATCH(A3716,DATAS,0)</f>
        <v>1</v>
      </c>
      <c r="X3716" s="27" t="n">
        <f aca="false">IF(AND(E3716&gt;0,OR(AND(B3716&gt;=1,B3716&lt;=6),B3716=10)),1,0)</f>
        <v>0</v>
      </c>
      <c r="Y3716" s="27" t="n">
        <f aca="false">IF(AND(E3716&gt;0,B3716=10),1,0)</f>
        <v>0</v>
      </c>
      <c r="Z3716" s="0" t="str">
        <f aca="false">IF(AND(C3715=C3716,W3715=W3716-1),X3715,"")</f>
        <v/>
      </c>
      <c r="AA3716" s="0" t="str">
        <f aca="false">IF(AND(C3715=C3716,W3715=W3716-1),Y3715,"")</f>
        <v/>
      </c>
      <c r="AB3716" s="0" t="str">
        <f aca="false">IF(W3716=1,"",IF(AND(X3716=1,Z3716&lt;&gt;1),1,0))</f>
        <v/>
      </c>
      <c r="AC3716" s="0" t="str">
        <f aca="false">IF(W3716=1,"",IF(AND(Y3716=1,AA3716&lt;&gt;1),1,0))</f>
        <v/>
      </c>
      <c r="AD3716" s="33" t="str">
        <f aca="false">IF(AND(E3716&gt;0,W3716&lt;1,NOT(AND(C3717=C3716,W3717=W3716+1))),INDEX(DATAS,W3716+1),"")</f>
        <v/>
      </c>
      <c r="AE3716" s="33" t="str">
        <f aca="false">IF(AND(Y3716=1,W3716&lt;1),IF(AND(C3717=C3716,W3717=W3716+1),IF(Y3717=1,"",INDEX(DATAS,W3716+1)),INDEX(DATAS,W3716+1)),"")</f>
        <v/>
      </c>
    </row>
    <row r="3717" customFormat="false" ht="15" hidden="false" customHeight="false" outlineLevel="0" collapsed="false">
      <c r="A3717" s="33" t="n">
        <v>46309</v>
      </c>
      <c r="B3717" s="0" t="n">
        <v>16</v>
      </c>
      <c r="C3717" s="0" t="n">
        <v>8187</v>
      </c>
      <c r="E3717" s="0" t="n">
        <v>0</v>
      </c>
      <c r="F3717" s="27" t="s">
        <v>1673</v>
      </c>
      <c r="I3717" s="27" t="s">
        <v>166</v>
      </c>
      <c r="U3717" s="0" t="n">
        <v>11</v>
      </c>
      <c r="V3717" s="0" t="n">
        <v>0</v>
      </c>
      <c r="W3717" s="27" t="n">
        <f aca="false">MATCH(A3717,DATAS,0)</f>
        <v>1</v>
      </c>
      <c r="X3717" s="27" t="n">
        <f aca="false">IF(AND(E3717&gt;0,OR(AND(B3717&gt;=1,B3717&lt;=6),B3717=10)),1,0)</f>
        <v>0</v>
      </c>
      <c r="Y3717" s="27" t="n">
        <f aca="false">IF(AND(E3717&gt;0,B3717=10),1,0)</f>
        <v>0</v>
      </c>
      <c r="Z3717" s="0" t="str">
        <f aca="false">IF(AND(C3716=C3717,W3716=W3717-1),X3716,"")</f>
        <v/>
      </c>
      <c r="AA3717" s="0" t="str">
        <f aca="false">IF(AND(C3716=C3717,W3716=W3717-1),Y3716,"")</f>
        <v/>
      </c>
      <c r="AB3717" s="0" t="str">
        <f aca="false">IF(W3717=1,"",IF(AND(X3717=1,Z3717&lt;&gt;1),1,0))</f>
        <v/>
      </c>
      <c r="AC3717" s="0" t="str">
        <f aca="false">IF(W3717=1,"",IF(AND(Y3717=1,AA3717&lt;&gt;1),1,0))</f>
        <v/>
      </c>
      <c r="AD3717" s="33" t="str">
        <f aca="false">IF(AND(E3717&gt;0,W3717&lt;1,NOT(AND(C3718=C3717,W3718=W3717+1))),INDEX(DATAS,W3717+1),"")</f>
        <v/>
      </c>
      <c r="AE3717" s="33" t="str">
        <f aca="false">IF(AND(Y3717=1,W3717&lt;1),IF(AND(C3718=C3717,W3718=W3717+1),IF(Y3718=1,"",INDEX(DATAS,W3717+1)),INDEX(DATAS,W3717+1)),"")</f>
        <v/>
      </c>
    </row>
    <row r="3718" customFormat="false" ht="15" hidden="false" customHeight="false" outlineLevel="0" collapsed="false">
      <c r="A3718" s="33" t="n">
        <v>46309</v>
      </c>
      <c r="B3718" s="0" t="n">
        <v>16</v>
      </c>
      <c r="C3718" s="0" t="n">
        <v>8188</v>
      </c>
      <c r="E3718" s="0" t="n">
        <v>0</v>
      </c>
      <c r="F3718" s="27" t="s">
        <v>1673</v>
      </c>
      <c r="I3718" s="27" t="s">
        <v>166</v>
      </c>
      <c r="U3718" s="0" t="n">
        <v>11</v>
      </c>
      <c r="V3718" s="0" t="n">
        <v>0</v>
      </c>
      <c r="W3718" s="27" t="n">
        <f aca="false">MATCH(A3718,DATAS,0)</f>
        <v>1</v>
      </c>
      <c r="X3718" s="27" t="n">
        <f aca="false">IF(AND(E3718&gt;0,OR(AND(B3718&gt;=1,B3718&lt;=6),B3718=10)),1,0)</f>
        <v>0</v>
      </c>
      <c r="Y3718" s="27" t="n">
        <f aca="false">IF(AND(E3718&gt;0,B3718=10),1,0)</f>
        <v>0</v>
      </c>
      <c r="Z3718" s="0" t="str">
        <f aca="false">IF(AND(C3717=C3718,W3717=W3718-1),X3717,"")</f>
        <v/>
      </c>
      <c r="AA3718" s="0" t="str">
        <f aca="false">IF(AND(C3717=C3718,W3717=W3718-1),Y3717,"")</f>
        <v/>
      </c>
      <c r="AB3718" s="0" t="str">
        <f aca="false">IF(W3718=1,"",IF(AND(X3718=1,Z3718&lt;&gt;1),1,0))</f>
        <v/>
      </c>
      <c r="AC3718" s="0" t="str">
        <f aca="false">IF(W3718=1,"",IF(AND(Y3718=1,AA3718&lt;&gt;1),1,0))</f>
        <v/>
      </c>
      <c r="AD3718" s="33" t="str">
        <f aca="false">IF(AND(E3718&gt;0,W3718&lt;1,NOT(AND(C3719=C3718,W3719=W3718+1))),INDEX(DATAS,W3718+1),"")</f>
        <v/>
      </c>
      <c r="AE3718" s="33" t="str">
        <f aca="false">IF(AND(Y3718=1,W3718&lt;1),IF(AND(C3719=C3718,W3719=W3718+1),IF(Y3719=1,"",INDEX(DATAS,W3718+1)),INDEX(DATAS,W3718+1)),"")</f>
        <v/>
      </c>
    </row>
    <row r="3719" customFormat="false" ht="15" hidden="false" customHeight="false" outlineLevel="0" collapsed="false">
      <c r="A3719" s="33" t="n">
        <v>46309</v>
      </c>
      <c r="B3719" s="0" t="n">
        <v>16</v>
      </c>
      <c r="C3719" s="0" t="n">
        <v>8189</v>
      </c>
      <c r="E3719" s="0" t="n">
        <v>0</v>
      </c>
      <c r="F3719" s="27" t="s">
        <v>1673</v>
      </c>
      <c r="I3719" s="27" t="s">
        <v>166</v>
      </c>
      <c r="U3719" s="0" t="n">
        <v>11</v>
      </c>
      <c r="V3719" s="0" t="n">
        <v>0</v>
      </c>
      <c r="W3719" s="27" t="n">
        <f aca="false">MATCH(A3719,DATAS,0)</f>
        <v>1</v>
      </c>
      <c r="X3719" s="27" t="n">
        <f aca="false">IF(AND(E3719&gt;0,OR(AND(B3719&gt;=1,B3719&lt;=6),B3719=10)),1,0)</f>
        <v>0</v>
      </c>
      <c r="Y3719" s="27" t="n">
        <f aca="false">IF(AND(E3719&gt;0,B3719=10),1,0)</f>
        <v>0</v>
      </c>
      <c r="Z3719" s="0" t="str">
        <f aca="false">IF(AND(C3718=C3719,W3718=W3719-1),X3718,"")</f>
        <v/>
      </c>
      <c r="AA3719" s="0" t="str">
        <f aca="false">IF(AND(C3718=C3719,W3718=W3719-1),Y3718,"")</f>
        <v/>
      </c>
      <c r="AB3719" s="0" t="str">
        <f aca="false">IF(W3719=1,"",IF(AND(X3719=1,Z3719&lt;&gt;1),1,0))</f>
        <v/>
      </c>
      <c r="AC3719" s="0" t="str">
        <f aca="false">IF(W3719=1,"",IF(AND(Y3719=1,AA3719&lt;&gt;1),1,0))</f>
        <v/>
      </c>
      <c r="AD3719" s="33" t="str">
        <f aca="false">IF(AND(E3719&gt;0,W3719&lt;1,NOT(AND(C3720=C3719,W3720=W3719+1))),INDEX(DATAS,W3719+1),"")</f>
        <v/>
      </c>
      <c r="AE3719" s="33" t="str">
        <f aca="false">IF(AND(Y3719=1,W3719&lt;1),IF(AND(C3720=C3719,W3720=W3719+1),IF(Y3720=1,"",INDEX(DATAS,W3719+1)),INDEX(DATAS,W3719+1)),"")</f>
        <v/>
      </c>
    </row>
    <row r="3720" customFormat="false" ht="15" hidden="false" customHeight="false" outlineLevel="0" collapsed="false">
      <c r="A3720" s="33" t="n">
        <v>46309</v>
      </c>
      <c r="B3720" s="0" t="n">
        <v>16</v>
      </c>
      <c r="C3720" s="0" t="n">
        <v>8190</v>
      </c>
      <c r="E3720" s="0" t="n">
        <v>0</v>
      </c>
      <c r="F3720" s="27" t="s">
        <v>1673</v>
      </c>
      <c r="I3720" s="27" t="s">
        <v>166</v>
      </c>
      <c r="U3720" s="0" t="n">
        <v>11</v>
      </c>
      <c r="V3720" s="0" t="n">
        <v>0</v>
      </c>
      <c r="W3720" s="27" t="n">
        <f aca="false">MATCH(A3720,DATAS,0)</f>
        <v>1</v>
      </c>
      <c r="X3720" s="27" t="n">
        <f aca="false">IF(AND(E3720&gt;0,OR(AND(B3720&gt;=1,B3720&lt;=6),B3720=10)),1,0)</f>
        <v>0</v>
      </c>
      <c r="Y3720" s="27" t="n">
        <f aca="false">IF(AND(E3720&gt;0,B3720=10),1,0)</f>
        <v>0</v>
      </c>
      <c r="Z3720" s="0" t="str">
        <f aca="false">IF(AND(C3719=C3720,W3719=W3720-1),X3719,"")</f>
        <v/>
      </c>
      <c r="AA3720" s="0" t="str">
        <f aca="false">IF(AND(C3719=C3720,W3719=W3720-1),Y3719,"")</f>
        <v/>
      </c>
      <c r="AB3720" s="0" t="str">
        <f aca="false">IF(W3720=1,"",IF(AND(X3720=1,Z3720&lt;&gt;1),1,0))</f>
        <v/>
      </c>
      <c r="AC3720" s="0" t="str">
        <f aca="false">IF(W3720=1,"",IF(AND(Y3720=1,AA3720&lt;&gt;1),1,0))</f>
        <v/>
      </c>
      <c r="AD3720" s="33" t="str">
        <f aca="false">IF(AND(E3720&gt;0,W3720&lt;1,NOT(AND(C3721=C3720,W3721=W3720+1))),INDEX(DATAS,W3720+1),"")</f>
        <v/>
      </c>
      <c r="AE3720" s="33" t="str">
        <f aca="false">IF(AND(Y3720=1,W3720&lt;1),IF(AND(C3721=C3720,W3721=W3720+1),IF(Y3721=1,"",INDEX(DATAS,W3720+1)),INDEX(DATAS,W3720+1)),"")</f>
        <v/>
      </c>
    </row>
    <row r="3721" customFormat="false" ht="15" hidden="false" customHeight="false" outlineLevel="0" collapsed="false">
      <c r="A3721" s="33" t="n">
        <v>46309</v>
      </c>
      <c r="B3721" s="0" t="n">
        <v>16</v>
      </c>
      <c r="C3721" s="0" t="n">
        <v>8191</v>
      </c>
      <c r="E3721" s="0" t="n">
        <v>0</v>
      </c>
      <c r="F3721" s="27" t="s">
        <v>1673</v>
      </c>
      <c r="I3721" s="27" t="s">
        <v>166</v>
      </c>
      <c r="U3721" s="0" t="n">
        <v>11</v>
      </c>
      <c r="V3721" s="0" t="n">
        <v>0</v>
      </c>
      <c r="W3721" s="27" t="n">
        <f aca="false">MATCH(A3721,DATAS,0)</f>
        <v>1</v>
      </c>
      <c r="X3721" s="27" t="n">
        <f aca="false">IF(AND(E3721&gt;0,OR(AND(B3721&gt;=1,B3721&lt;=6),B3721=10)),1,0)</f>
        <v>0</v>
      </c>
      <c r="Y3721" s="27" t="n">
        <f aca="false">IF(AND(E3721&gt;0,B3721=10),1,0)</f>
        <v>0</v>
      </c>
      <c r="Z3721" s="0" t="str">
        <f aca="false">IF(AND(C3720=C3721,W3720=W3721-1),X3720,"")</f>
        <v/>
      </c>
      <c r="AA3721" s="0" t="str">
        <f aca="false">IF(AND(C3720=C3721,W3720=W3721-1),Y3720,"")</f>
        <v/>
      </c>
      <c r="AB3721" s="0" t="str">
        <f aca="false">IF(W3721=1,"",IF(AND(X3721=1,Z3721&lt;&gt;1),1,0))</f>
        <v/>
      </c>
      <c r="AC3721" s="0" t="str">
        <f aca="false">IF(W3721=1,"",IF(AND(Y3721=1,AA3721&lt;&gt;1),1,0))</f>
        <v/>
      </c>
      <c r="AD3721" s="33" t="str">
        <f aca="false">IF(AND(E3721&gt;0,W3721&lt;1,NOT(AND(C3722=C3721,W3722=W3721+1))),INDEX(DATAS,W3721+1),"")</f>
        <v/>
      </c>
      <c r="AE3721" s="33" t="str">
        <f aca="false">IF(AND(Y3721=1,W3721&lt;1),IF(AND(C3722=C3721,W3722=W3721+1),IF(Y3722=1,"",INDEX(DATAS,W3721+1)),INDEX(DATAS,W3721+1)),"")</f>
        <v/>
      </c>
    </row>
    <row r="3722" customFormat="false" ht="15" hidden="false" customHeight="false" outlineLevel="0" collapsed="false">
      <c r="A3722" s="33" t="n">
        <v>46309</v>
      </c>
      <c r="B3722" s="0" t="n">
        <v>16</v>
      </c>
      <c r="C3722" s="0" t="n">
        <v>8192</v>
      </c>
      <c r="E3722" s="0" t="n">
        <v>0</v>
      </c>
      <c r="F3722" s="27" t="s">
        <v>1673</v>
      </c>
      <c r="I3722" s="27" t="s">
        <v>166</v>
      </c>
      <c r="U3722" s="0" t="n">
        <v>11</v>
      </c>
      <c r="V3722" s="0" t="n">
        <v>0</v>
      </c>
      <c r="W3722" s="27" t="n">
        <f aca="false">MATCH(A3722,DATAS,0)</f>
        <v>1</v>
      </c>
      <c r="X3722" s="27" t="n">
        <f aca="false">IF(AND(E3722&gt;0,OR(AND(B3722&gt;=1,B3722&lt;=6),B3722=10)),1,0)</f>
        <v>0</v>
      </c>
      <c r="Y3722" s="27" t="n">
        <f aca="false">IF(AND(E3722&gt;0,B3722=10),1,0)</f>
        <v>0</v>
      </c>
      <c r="Z3722" s="0" t="str">
        <f aca="false">IF(AND(C3721=C3722,W3721=W3722-1),X3721,"")</f>
        <v/>
      </c>
      <c r="AA3722" s="0" t="str">
        <f aca="false">IF(AND(C3721=C3722,W3721=W3722-1),Y3721,"")</f>
        <v/>
      </c>
      <c r="AB3722" s="0" t="str">
        <f aca="false">IF(W3722=1,"",IF(AND(X3722=1,Z3722&lt;&gt;1),1,0))</f>
        <v/>
      </c>
      <c r="AC3722" s="0" t="str">
        <f aca="false">IF(W3722=1,"",IF(AND(Y3722=1,AA3722&lt;&gt;1),1,0))</f>
        <v/>
      </c>
      <c r="AD3722" s="33" t="str">
        <f aca="false">IF(AND(E3722&gt;0,W3722&lt;1,NOT(AND(C3723=C3722,W3723=W3722+1))),INDEX(DATAS,W3722+1),"")</f>
        <v/>
      </c>
      <c r="AE3722" s="33" t="str">
        <f aca="false">IF(AND(Y3722=1,W3722&lt;1),IF(AND(C3723=C3722,W3723=W3722+1),IF(Y3723=1,"",INDEX(DATAS,W3722+1)),INDEX(DATAS,W3722+1)),"")</f>
        <v/>
      </c>
    </row>
    <row r="3723" customFormat="false" ht="15" hidden="false" customHeight="false" outlineLevel="0" collapsed="false">
      <c r="A3723" s="33" t="n">
        <v>46309</v>
      </c>
      <c r="B3723" s="0" t="n">
        <v>16</v>
      </c>
      <c r="C3723" s="0" t="n">
        <v>8193</v>
      </c>
      <c r="E3723" s="0" t="n">
        <v>0</v>
      </c>
      <c r="F3723" s="27" t="s">
        <v>1674</v>
      </c>
      <c r="I3723" s="27" t="s">
        <v>166</v>
      </c>
      <c r="U3723" s="0" t="n">
        <v>10</v>
      </c>
      <c r="V3723" s="0" t="n">
        <v>0</v>
      </c>
      <c r="W3723" s="27" t="n">
        <f aca="false">MATCH(A3723,DATAS,0)</f>
        <v>1</v>
      </c>
      <c r="X3723" s="27" t="n">
        <f aca="false">IF(AND(E3723&gt;0,OR(AND(B3723&gt;=1,B3723&lt;=6),B3723=10)),1,0)</f>
        <v>0</v>
      </c>
      <c r="Y3723" s="27" t="n">
        <f aca="false">IF(AND(E3723&gt;0,B3723=10),1,0)</f>
        <v>0</v>
      </c>
      <c r="Z3723" s="0" t="str">
        <f aca="false">IF(AND(C3722=C3723,W3722=W3723-1),X3722,"")</f>
        <v/>
      </c>
      <c r="AA3723" s="0" t="str">
        <f aca="false">IF(AND(C3722=C3723,W3722=W3723-1),Y3722,"")</f>
        <v/>
      </c>
      <c r="AB3723" s="0" t="str">
        <f aca="false">IF(W3723=1,"",IF(AND(X3723=1,Z3723&lt;&gt;1),1,0))</f>
        <v/>
      </c>
      <c r="AC3723" s="0" t="str">
        <f aca="false">IF(W3723=1,"",IF(AND(Y3723=1,AA3723&lt;&gt;1),1,0))</f>
        <v/>
      </c>
      <c r="AD3723" s="33" t="str">
        <f aca="false">IF(AND(E3723&gt;0,W3723&lt;1,NOT(AND(C3724=C3723,W3724=W3723+1))),INDEX(DATAS,W3723+1),"")</f>
        <v/>
      </c>
      <c r="AE3723" s="33" t="str">
        <f aca="false">IF(AND(Y3723=1,W3723&lt;1),IF(AND(C3724=C3723,W3724=W3723+1),IF(Y3724=1,"",INDEX(DATAS,W3723+1)),INDEX(DATAS,W3723+1)),"")</f>
        <v/>
      </c>
    </row>
    <row r="3724" customFormat="false" ht="15" hidden="false" customHeight="false" outlineLevel="0" collapsed="false">
      <c r="A3724" s="33" t="n">
        <v>46309</v>
      </c>
      <c r="B3724" s="0" t="n">
        <v>16</v>
      </c>
      <c r="C3724" s="0" t="n">
        <v>8194</v>
      </c>
      <c r="E3724" s="0" t="n">
        <v>0</v>
      </c>
      <c r="F3724" s="27" t="s">
        <v>1674</v>
      </c>
      <c r="I3724" s="27" t="s">
        <v>166</v>
      </c>
      <c r="U3724" s="0" t="n">
        <v>10</v>
      </c>
      <c r="V3724" s="0" t="n">
        <v>0</v>
      </c>
      <c r="W3724" s="27" t="n">
        <f aca="false">MATCH(A3724,DATAS,0)</f>
        <v>1</v>
      </c>
      <c r="X3724" s="27" t="n">
        <f aca="false">IF(AND(E3724&gt;0,OR(AND(B3724&gt;=1,B3724&lt;=6),B3724=10)),1,0)</f>
        <v>0</v>
      </c>
      <c r="Y3724" s="27" t="n">
        <f aca="false">IF(AND(E3724&gt;0,B3724=10),1,0)</f>
        <v>0</v>
      </c>
      <c r="Z3724" s="0" t="str">
        <f aca="false">IF(AND(C3723=C3724,W3723=W3724-1),X3723,"")</f>
        <v/>
      </c>
      <c r="AA3724" s="0" t="str">
        <f aca="false">IF(AND(C3723=C3724,W3723=W3724-1),Y3723,"")</f>
        <v/>
      </c>
      <c r="AB3724" s="0" t="str">
        <f aca="false">IF(W3724=1,"",IF(AND(X3724=1,Z3724&lt;&gt;1),1,0))</f>
        <v/>
      </c>
      <c r="AC3724" s="0" t="str">
        <f aca="false">IF(W3724=1,"",IF(AND(Y3724=1,AA3724&lt;&gt;1),1,0))</f>
        <v/>
      </c>
      <c r="AD3724" s="33" t="str">
        <f aca="false">IF(AND(E3724&gt;0,W3724&lt;1,NOT(AND(C3725=C3724,W3725=W3724+1))),INDEX(DATAS,W3724+1),"")</f>
        <v/>
      </c>
      <c r="AE3724" s="33" t="str">
        <f aca="false">IF(AND(Y3724=1,W3724&lt;1),IF(AND(C3725=C3724,W3725=W3724+1),IF(Y3725=1,"",INDEX(DATAS,W3724+1)),INDEX(DATAS,W3724+1)),"")</f>
        <v/>
      </c>
    </row>
    <row r="3725" customFormat="false" ht="15" hidden="false" customHeight="false" outlineLevel="0" collapsed="false">
      <c r="A3725" s="33" t="n">
        <v>46309</v>
      </c>
      <c r="B3725" s="0" t="n">
        <v>16</v>
      </c>
      <c r="C3725" s="0" t="n">
        <v>8195</v>
      </c>
      <c r="E3725" s="0" t="n">
        <v>0</v>
      </c>
      <c r="F3725" s="27" t="s">
        <v>1674</v>
      </c>
      <c r="I3725" s="27" t="s">
        <v>166</v>
      </c>
      <c r="U3725" s="0" t="n">
        <v>10</v>
      </c>
      <c r="V3725" s="0" t="n">
        <v>0</v>
      </c>
      <c r="W3725" s="27" t="n">
        <f aca="false">MATCH(A3725,DATAS,0)</f>
        <v>1</v>
      </c>
      <c r="X3725" s="27" t="n">
        <f aca="false">IF(AND(E3725&gt;0,OR(AND(B3725&gt;=1,B3725&lt;=6),B3725=10)),1,0)</f>
        <v>0</v>
      </c>
      <c r="Y3725" s="27" t="n">
        <f aca="false">IF(AND(E3725&gt;0,B3725=10),1,0)</f>
        <v>0</v>
      </c>
      <c r="Z3725" s="0" t="str">
        <f aca="false">IF(AND(C3724=C3725,W3724=W3725-1),X3724,"")</f>
        <v/>
      </c>
      <c r="AA3725" s="0" t="str">
        <f aca="false">IF(AND(C3724=C3725,W3724=W3725-1),Y3724,"")</f>
        <v/>
      </c>
      <c r="AB3725" s="0" t="str">
        <f aca="false">IF(W3725=1,"",IF(AND(X3725=1,Z3725&lt;&gt;1),1,0))</f>
        <v/>
      </c>
      <c r="AC3725" s="0" t="str">
        <f aca="false">IF(W3725=1,"",IF(AND(Y3725=1,AA3725&lt;&gt;1),1,0))</f>
        <v/>
      </c>
      <c r="AD3725" s="33" t="str">
        <f aca="false">IF(AND(E3725&gt;0,W3725&lt;1,NOT(AND(C3726=C3725,W3726=W3725+1))),INDEX(DATAS,W3725+1),"")</f>
        <v/>
      </c>
      <c r="AE3725" s="33" t="str">
        <f aca="false">IF(AND(Y3725=1,W3725&lt;1),IF(AND(C3726=C3725,W3726=W3725+1),IF(Y3726=1,"",INDEX(DATAS,W3725+1)),INDEX(DATAS,W3725+1)),"")</f>
        <v/>
      </c>
    </row>
    <row r="3726" customFormat="false" ht="15" hidden="false" customHeight="false" outlineLevel="0" collapsed="false">
      <c r="A3726" s="33" t="n">
        <v>46309</v>
      </c>
      <c r="B3726" s="0" t="n">
        <v>16</v>
      </c>
      <c r="C3726" s="0" t="n">
        <v>8196</v>
      </c>
      <c r="E3726" s="0" t="n">
        <v>0</v>
      </c>
      <c r="F3726" s="27" t="s">
        <v>1674</v>
      </c>
      <c r="I3726" s="27" t="s">
        <v>166</v>
      </c>
      <c r="U3726" s="0" t="n">
        <v>10</v>
      </c>
      <c r="V3726" s="0" t="n">
        <v>0</v>
      </c>
      <c r="W3726" s="27" t="n">
        <f aca="false">MATCH(A3726,DATAS,0)</f>
        <v>1</v>
      </c>
      <c r="X3726" s="27" t="n">
        <f aca="false">IF(AND(E3726&gt;0,OR(AND(B3726&gt;=1,B3726&lt;=6),B3726=10)),1,0)</f>
        <v>0</v>
      </c>
      <c r="Y3726" s="27" t="n">
        <f aca="false">IF(AND(E3726&gt;0,B3726=10),1,0)</f>
        <v>0</v>
      </c>
      <c r="Z3726" s="0" t="str">
        <f aca="false">IF(AND(C3725=C3726,W3725=W3726-1),X3725,"")</f>
        <v/>
      </c>
      <c r="AA3726" s="0" t="str">
        <f aca="false">IF(AND(C3725=C3726,W3725=W3726-1),Y3725,"")</f>
        <v/>
      </c>
      <c r="AB3726" s="0" t="str">
        <f aca="false">IF(W3726=1,"",IF(AND(X3726=1,Z3726&lt;&gt;1),1,0))</f>
        <v/>
      </c>
      <c r="AC3726" s="0" t="str">
        <f aca="false">IF(W3726=1,"",IF(AND(Y3726=1,AA3726&lt;&gt;1),1,0))</f>
        <v/>
      </c>
      <c r="AD3726" s="33" t="str">
        <f aca="false">IF(AND(E3726&gt;0,W3726&lt;1,NOT(AND(C3727=C3726,W3727=W3726+1))),INDEX(DATAS,W3726+1),"")</f>
        <v/>
      </c>
      <c r="AE3726" s="33" t="str">
        <f aca="false">IF(AND(Y3726=1,W3726&lt;1),IF(AND(C3727=C3726,W3727=W3726+1),IF(Y3727=1,"",INDEX(DATAS,W3726+1)),INDEX(DATAS,W3726+1)),"")</f>
        <v/>
      </c>
    </row>
    <row r="3727" customFormat="false" ht="15" hidden="false" customHeight="false" outlineLevel="0" collapsed="false">
      <c r="A3727" s="33" t="n">
        <v>46309</v>
      </c>
      <c r="B3727" s="0" t="n">
        <v>16</v>
      </c>
      <c r="C3727" s="0" t="n">
        <v>8198</v>
      </c>
      <c r="E3727" s="0" t="n">
        <v>0</v>
      </c>
      <c r="F3727" s="27" t="s">
        <v>1674</v>
      </c>
      <c r="I3727" s="27" t="s">
        <v>166</v>
      </c>
      <c r="U3727" s="0" t="n">
        <v>10</v>
      </c>
      <c r="V3727" s="0" t="n">
        <v>0</v>
      </c>
      <c r="W3727" s="27" t="n">
        <f aca="false">MATCH(A3727,DATAS,0)</f>
        <v>1</v>
      </c>
      <c r="X3727" s="27" t="n">
        <f aca="false">IF(AND(E3727&gt;0,OR(AND(B3727&gt;=1,B3727&lt;=6),B3727=10)),1,0)</f>
        <v>0</v>
      </c>
      <c r="Y3727" s="27" t="n">
        <f aca="false">IF(AND(E3727&gt;0,B3727=10),1,0)</f>
        <v>0</v>
      </c>
      <c r="Z3727" s="0" t="str">
        <f aca="false">IF(AND(C3726=C3727,W3726=W3727-1),X3726,"")</f>
        <v/>
      </c>
      <c r="AA3727" s="0" t="str">
        <f aca="false">IF(AND(C3726=C3727,W3726=W3727-1),Y3726,"")</f>
        <v/>
      </c>
      <c r="AB3727" s="0" t="str">
        <f aca="false">IF(W3727=1,"",IF(AND(X3727=1,Z3727&lt;&gt;1),1,0))</f>
        <v/>
      </c>
      <c r="AC3727" s="0" t="str">
        <f aca="false">IF(W3727=1,"",IF(AND(Y3727=1,AA3727&lt;&gt;1),1,0))</f>
        <v/>
      </c>
      <c r="AD3727" s="33" t="str">
        <f aca="false">IF(AND(E3727&gt;0,W3727&lt;1,NOT(AND(C3728=C3727,W3728=W3727+1))),INDEX(DATAS,W3727+1),"")</f>
        <v/>
      </c>
      <c r="AE3727" s="33" t="str">
        <f aca="false">IF(AND(Y3727=1,W3727&lt;1),IF(AND(C3728=C3727,W3728=W3727+1),IF(Y3728=1,"",INDEX(DATAS,W3727+1)),INDEX(DATAS,W3727+1)),"")</f>
        <v/>
      </c>
    </row>
    <row r="3728" customFormat="false" ht="15" hidden="false" customHeight="false" outlineLevel="0" collapsed="false">
      <c r="A3728" s="33" t="n">
        <v>46309</v>
      </c>
      <c r="B3728" s="0" t="n">
        <v>16</v>
      </c>
      <c r="C3728" s="0" t="n">
        <v>8199</v>
      </c>
      <c r="E3728" s="0" t="n">
        <v>0</v>
      </c>
      <c r="F3728" s="27" t="s">
        <v>1675</v>
      </c>
      <c r="I3728" s="27" t="s">
        <v>166</v>
      </c>
      <c r="U3728" s="0" t="n">
        <v>9</v>
      </c>
      <c r="V3728" s="0" t="n">
        <v>0</v>
      </c>
      <c r="W3728" s="27" t="n">
        <f aca="false">MATCH(A3728,DATAS,0)</f>
        <v>1</v>
      </c>
      <c r="X3728" s="27" t="n">
        <f aca="false">IF(AND(E3728&gt;0,OR(AND(B3728&gt;=1,B3728&lt;=6),B3728=10)),1,0)</f>
        <v>0</v>
      </c>
      <c r="Y3728" s="27" t="n">
        <f aca="false">IF(AND(E3728&gt;0,B3728=10),1,0)</f>
        <v>0</v>
      </c>
      <c r="Z3728" s="0" t="str">
        <f aca="false">IF(AND(C3727=C3728,W3727=W3728-1),X3727,"")</f>
        <v/>
      </c>
      <c r="AA3728" s="0" t="str">
        <f aca="false">IF(AND(C3727=C3728,W3727=W3728-1),Y3727,"")</f>
        <v/>
      </c>
      <c r="AB3728" s="0" t="str">
        <f aca="false">IF(W3728=1,"",IF(AND(X3728=1,Z3728&lt;&gt;1),1,0))</f>
        <v/>
      </c>
      <c r="AC3728" s="0" t="str">
        <f aca="false">IF(W3728=1,"",IF(AND(Y3728=1,AA3728&lt;&gt;1),1,0))</f>
        <v/>
      </c>
      <c r="AD3728" s="33" t="str">
        <f aca="false">IF(AND(E3728&gt;0,W3728&lt;1,NOT(AND(C3729=C3728,W3729=W3728+1))),INDEX(DATAS,W3728+1),"")</f>
        <v/>
      </c>
      <c r="AE3728" s="33" t="str">
        <f aca="false">IF(AND(Y3728=1,W3728&lt;1),IF(AND(C3729=C3728,W3729=W3728+1),IF(Y3729=1,"",INDEX(DATAS,W3728+1)),INDEX(DATAS,W3728+1)),"")</f>
        <v/>
      </c>
    </row>
    <row r="3729" customFormat="false" ht="15" hidden="false" customHeight="false" outlineLevel="0" collapsed="false">
      <c r="A3729" s="33" t="n">
        <v>46309</v>
      </c>
      <c r="B3729" s="0" t="n">
        <v>16</v>
      </c>
      <c r="C3729" s="0" t="n">
        <v>8200</v>
      </c>
      <c r="E3729" s="0" t="n">
        <v>0</v>
      </c>
      <c r="F3729" s="27" t="s">
        <v>1675</v>
      </c>
      <c r="I3729" s="27" t="s">
        <v>166</v>
      </c>
      <c r="U3729" s="0" t="n">
        <v>9</v>
      </c>
      <c r="V3729" s="0" t="n">
        <v>0</v>
      </c>
      <c r="W3729" s="27" t="n">
        <f aca="false">MATCH(A3729,DATAS,0)</f>
        <v>1</v>
      </c>
      <c r="X3729" s="27" t="n">
        <f aca="false">IF(AND(E3729&gt;0,OR(AND(B3729&gt;=1,B3729&lt;=6),B3729=10)),1,0)</f>
        <v>0</v>
      </c>
      <c r="Y3729" s="27" t="n">
        <f aca="false">IF(AND(E3729&gt;0,B3729=10),1,0)</f>
        <v>0</v>
      </c>
      <c r="Z3729" s="0" t="str">
        <f aca="false">IF(AND(C3728=C3729,W3728=W3729-1),X3728,"")</f>
        <v/>
      </c>
      <c r="AA3729" s="0" t="str">
        <f aca="false">IF(AND(C3728=C3729,W3728=W3729-1),Y3728,"")</f>
        <v/>
      </c>
      <c r="AB3729" s="0" t="str">
        <f aca="false">IF(W3729=1,"",IF(AND(X3729=1,Z3729&lt;&gt;1),1,0))</f>
        <v/>
      </c>
      <c r="AC3729" s="0" t="str">
        <f aca="false">IF(W3729=1,"",IF(AND(Y3729=1,AA3729&lt;&gt;1),1,0))</f>
        <v/>
      </c>
      <c r="AD3729" s="33" t="str">
        <f aca="false">IF(AND(E3729&gt;0,W3729&lt;1,NOT(AND(C3730=C3729,W3730=W3729+1))),INDEX(DATAS,W3729+1),"")</f>
        <v/>
      </c>
      <c r="AE3729" s="33" t="str">
        <f aca="false">IF(AND(Y3729=1,W3729&lt;1),IF(AND(C3730=C3729,W3730=W3729+1),IF(Y3730=1,"",INDEX(DATAS,W3729+1)),INDEX(DATAS,W3729+1)),"")</f>
        <v/>
      </c>
    </row>
    <row r="3730" customFormat="false" ht="15" hidden="false" customHeight="false" outlineLevel="0" collapsed="false">
      <c r="A3730" s="33" t="n">
        <v>46309</v>
      </c>
      <c r="B3730" s="0" t="n">
        <v>16</v>
      </c>
      <c r="C3730" s="0" t="n">
        <v>8201</v>
      </c>
      <c r="E3730" s="0" t="n">
        <v>0</v>
      </c>
      <c r="F3730" s="27" t="s">
        <v>1675</v>
      </c>
      <c r="I3730" s="27" t="s">
        <v>166</v>
      </c>
      <c r="U3730" s="0" t="n">
        <v>9</v>
      </c>
      <c r="V3730" s="0" t="n">
        <v>0</v>
      </c>
      <c r="W3730" s="27" t="n">
        <f aca="false">MATCH(A3730,DATAS,0)</f>
        <v>1</v>
      </c>
      <c r="X3730" s="27" t="n">
        <f aca="false">IF(AND(E3730&gt;0,OR(AND(B3730&gt;=1,B3730&lt;=6),B3730=10)),1,0)</f>
        <v>0</v>
      </c>
      <c r="Y3730" s="27" t="n">
        <f aca="false">IF(AND(E3730&gt;0,B3730=10),1,0)</f>
        <v>0</v>
      </c>
      <c r="Z3730" s="0" t="str">
        <f aca="false">IF(AND(C3729=C3730,W3729=W3730-1),X3729,"")</f>
        <v/>
      </c>
      <c r="AA3730" s="0" t="str">
        <f aca="false">IF(AND(C3729=C3730,W3729=W3730-1),Y3729,"")</f>
        <v/>
      </c>
      <c r="AB3730" s="0" t="str">
        <f aca="false">IF(W3730=1,"",IF(AND(X3730=1,Z3730&lt;&gt;1),1,0))</f>
        <v/>
      </c>
      <c r="AC3730" s="0" t="str">
        <f aca="false">IF(W3730=1,"",IF(AND(Y3730=1,AA3730&lt;&gt;1),1,0))</f>
        <v/>
      </c>
      <c r="AD3730" s="33" t="str">
        <f aca="false">IF(AND(E3730&gt;0,W3730&lt;1,NOT(AND(C3731=C3730,W3731=W3730+1))),INDEX(DATAS,W3730+1),"")</f>
        <v/>
      </c>
      <c r="AE3730" s="33" t="str">
        <f aca="false">IF(AND(Y3730=1,W3730&lt;1),IF(AND(C3731=C3730,W3731=W3730+1),IF(Y3731=1,"",INDEX(DATAS,W3730+1)),INDEX(DATAS,W3730+1)),"")</f>
        <v/>
      </c>
    </row>
    <row r="3731" customFormat="false" ht="15" hidden="false" customHeight="false" outlineLevel="0" collapsed="false">
      <c r="A3731" s="33" t="n">
        <v>46309</v>
      </c>
      <c r="B3731" s="0" t="n">
        <v>16</v>
      </c>
      <c r="C3731" s="0" t="n">
        <v>8202</v>
      </c>
      <c r="E3731" s="0" t="n">
        <v>0</v>
      </c>
      <c r="F3731" s="27" t="s">
        <v>1676</v>
      </c>
      <c r="I3731" s="27" t="s">
        <v>166</v>
      </c>
      <c r="U3731" s="0" t="n">
        <v>8</v>
      </c>
      <c r="V3731" s="0" t="n">
        <v>0</v>
      </c>
      <c r="W3731" s="27" t="n">
        <f aca="false">MATCH(A3731,DATAS,0)</f>
        <v>1</v>
      </c>
      <c r="X3731" s="27" t="n">
        <f aca="false">IF(AND(E3731&gt;0,OR(AND(B3731&gt;=1,B3731&lt;=6),B3731=10)),1,0)</f>
        <v>0</v>
      </c>
      <c r="Y3731" s="27" t="n">
        <f aca="false">IF(AND(E3731&gt;0,B3731=10),1,0)</f>
        <v>0</v>
      </c>
      <c r="Z3731" s="0" t="str">
        <f aca="false">IF(AND(C3730=C3731,W3730=W3731-1),X3730,"")</f>
        <v/>
      </c>
      <c r="AA3731" s="0" t="str">
        <f aca="false">IF(AND(C3730=C3731,W3730=W3731-1),Y3730,"")</f>
        <v/>
      </c>
      <c r="AB3731" s="0" t="str">
        <f aca="false">IF(W3731=1,"",IF(AND(X3731=1,Z3731&lt;&gt;1),1,0))</f>
        <v/>
      </c>
      <c r="AC3731" s="0" t="str">
        <f aca="false">IF(W3731=1,"",IF(AND(Y3731=1,AA3731&lt;&gt;1),1,0))</f>
        <v/>
      </c>
      <c r="AD3731" s="33" t="str">
        <f aca="false">IF(AND(E3731&gt;0,W3731&lt;1,NOT(AND(C3732=C3731,W3732=W3731+1))),INDEX(DATAS,W3731+1),"")</f>
        <v/>
      </c>
      <c r="AE3731" s="33" t="str">
        <f aca="false">IF(AND(Y3731=1,W3731&lt;1),IF(AND(C3732=C3731,W3732=W3731+1),IF(Y3732=1,"",INDEX(DATAS,W3731+1)),INDEX(DATAS,W3731+1)),"")</f>
        <v/>
      </c>
    </row>
    <row r="3732" customFormat="false" ht="15" hidden="false" customHeight="false" outlineLevel="0" collapsed="false">
      <c r="A3732" s="33" t="n">
        <v>46309</v>
      </c>
      <c r="B3732" s="0" t="n">
        <v>16</v>
      </c>
      <c r="C3732" s="0" t="n">
        <v>8203</v>
      </c>
      <c r="E3732" s="0" t="n">
        <v>0</v>
      </c>
      <c r="F3732" s="27" t="s">
        <v>1676</v>
      </c>
      <c r="I3732" s="27" t="s">
        <v>166</v>
      </c>
      <c r="U3732" s="0" t="n">
        <v>8</v>
      </c>
      <c r="V3732" s="0" t="n">
        <v>0</v>
      </c>
      <c r="W3732" s="27" t="n">
        <f aca="false">MATCH(A3732,DATAS,0)</f>
        <v>1</v>
      </c>
      <c r="X3732" s="27" t="n">
        <f aca="false">IF(AND(E3732&gt;0,OR(AND(B3732&gt;=1,B3732&lt;=6),B3732=10)),1,0)</f>
        <v>0</v>
      </c>
      <c r="Y3732" s="27" t="n">
        <f aca="false">IF(AND(E3732&gt;0,B3732=10),1,0)</f>
        <v>0</v>
      </c>
      <c r="Z3732" s="0" t="str">
        <f aca="false">IF(AND(C3731=C3732,W3731=W3732-1),X3731,"")</f>
        <v/>
      </c>
      <c r="AA3732" s="0" t="str">
        <f aca="false">IF(AND(C3731=C3732,W3731=W3732-1),Y3731,"")</f>
        <v/>
      </c>
      <c r="AB3732" s="0" t="str">
        <f aca="false">IF(W3732=1,"",IF(AND(X3732=1,Z3732&lt;&gt;1),1,0))</f>
        <v/>
      </c>
      <c r="AC3732" s="0" t="str">
        <f aca="false">IF(W3732=1,"",IF(AND(Y3732=1,AA3732&lt;&gt;1),1,0))</f>
        <v/>
      </c>
      <c r="AD3732" s="33" t="str">
        <f aca="false">IF(AND(E3732&gt;0,W3732&lt;1,NOT(AND(C3733=C3732,W3733=W3732+1))),INDEX(DATAS,W3732+1),"")</f>
        <v/>
      </c>
      <c r="AE3732" s="33" t="str">
        <f aca="false">IF(AND(Y3732=1,W3732&lt;1),IF(AND(C3733=C3732,W3733=W3732+1),IF(Y3733=1,"",INDEX(DATAS,W3732+1)),INDEX(DATAS,W3732+1)),"")</f>
        <v/>
      </c>
    </row>
    <row r="3733" customFormat="false" ht="15" hidden="false" customHeight="false" outlineLevel="0" collapsed="false">
      <c r="A3733" s="33" t="n">
        <v>46309</v>
      </c>
      <c r="B3733" s="0" t="n">
        <v>16</v>
      </c>
      <c r="C3733" s="0" t="n">
        <v>8204</v>
      </c>
      <c r="E3733" s="0" t="n">
        <v>0</v>
      </c>
      <c r="F3733" s="27" t="s">
        <v>1676</v>
      </c>
      <c r="I3733" s="27" t="s">
        <v>166</v>
      </c>
      <c r="U3733" s="0" t="n">
        <v>8</v>
      </c>
      <c r="V3733" s="0" t="n">
        <v>0</v>
      </c>
      <c r="W3733" s="27" t="n">
        <f aca="false">MATCH(A3733,DATAS,0)</f>
        <v>1</v>
      </c>
      <c r="X3733" s="27" t="n">
        <f aca="false">IF(AND(E3733&gt;0,OR(AND(B3733&gt;=1,B3733&lt;=6),B3733=10)),1,0)</f>
        <v>0</v>
      </c>
      <c r="Y3733" s="27" t="n">
        <f aca="false">IF(AND(E3733&gt;0,B3733=10),1,0)</f>
        <v>0</v>
      </c>
      <c r="Z3733" s="0" t="str">
        <f aca="false">IF(AND(C3732=C3733,W3732=W3733-1),X3732,"")</f>
        <v/>
      </c>
      <c r="AA3733" s="0" t="str">
        <f aca="false">IF(AND(C3732=C3733,W3732=W3733-1),Y3732,"")</f>
        <v/>
      </c>
      <c r="AB3733" s="0" t="str">
        <f aca="false">IF(W3733=1,"",IF(AND(X3733=1,Z3733&lt;&gt;1),1,0))</f>
        <v/>
      </c>
      <c r="AC3733" s="0" t="str">
        <f aca="false">IF(W3733=1,"",IF(AND(Y3733=1,AA3733&lt;&gt;1),1,0))</f>
        <v/>
      </c>
      <c r="AD3733" s="33" t="str">
        <f aca="false">IF(AND(E3733&gt;0,W3733&lt;1,NOT(AND(C3734=C3733,W3734=W3733+1))),INDEX(DATAS,W3733+1),"")</f>
        <v/>
      </c>
      <c r="AE3733" s="33" t="str">
        <f aca="false">IF(AND(Y3733=1,W3733&lt;1),IF(AND(C3734=C3733,W3734=W3733+1),IF(Y3734=1,"",INDEX(DATAS,W3733+1)),INDEX(DATAS,W3733+1)),"")</f>
        <v/>
      </c>
    </row>
    <row r="3734" customFormat="false" ht="15" hidden="false" customHeight="false" outlineLevel="0" collapsed="false">
      <c r="A3734" s="33" t="n">
        <v>46309</v>
      </c>
      <c r="B3734" s="0" t="n">
        <v>16</v>
      </c>
      <c r="C3734" s="0" t="n">
        <v>8205</v>
      </c>
      <c r="E3734" s="0" t="n">
        <v>0</v>
      </c>
      <c r="F3734" s="27" t="s">
        <v>1676</v>
      </c>
      <c r="I3734" s="27" t="s">
        <v>166</v>
      </c>
      <c r="U3734" s="0" t="n">
        <v>8</v>
      </c>
      <c r="V3734" s="0" t="n">
        <v>0</v>
      </c>
      <c r="W3734" s="27" t="n">
        <f aca="false">MATCH(A3734,DATAS,0)</f>
        <v>1</v>
      </c>
      <c r="X3734" s="27" t="n">
        <f aca="false">IF(AND(E3734&gt;0,OR(AND(B3734&gt;=1,B3734&lt;=6),B3734=10)),1,0)</f>
        <v>0</v>
      </c>
      <c r="Y3734" s="27" t="n">
        <f aca="false">IF(AND(E3734&gt;0,B3734=10),1,0)</f>
        <v>0</v>
      </c>
      <c r="Z3734" s="0" t="str">
        <f aca="false">IF(AND(C3733=C3734,W3733=W3734-1),X3733,"")</f>
        <v/>
      </c>
      <c r="AA3734" s="0" t="str">
        <f aca="false">IF(AND(C3733=C3734,W3733=W3734-1),Y3733,"")</f>
        <v/>
      </c>
      <c r="AB3734" s="0" t="str">
        <f aca="false">IF(W3734=1,"",IF(AND(X3734=1,Z3734&lt;&gt;1),1,0))</f>
        <v/>
      </c>
      <c r="AC3734" s="0" t="str">
        <f aca="false">IF(W3734=1,"",IF(AND(Y3734=1,AA3734&lt;&gt;1),1,0))</f>
        <v/>
      </c>
      <c r="AD3734" s="33" t="str">
        <f aca="false">IF(AND(E3734&gt;0,W3734&lt;1,NOT(AND(C3735=C3734,W3735=W3734+1))),INDEX(DATAS,W3734+1),"")</f>
        <v/>
      </c>
      <c r="AE3734" s="33" t="str">
        <f aca="false">IF(AND(Y3734=1,W3734&lt;1),IF(AND(C3735=C3734,W3735=W3734+1),IF(Y3735=1,"",INDEX(DATAS,W3734+1)),INDEX(DATAS,W3734+1)),"")</f>
        <v/>
      </c>
    </row>
    <row r="3735" customFormat="false" ht="15" hidden="false" customHeight="false" outlineLevel="0" collapsed="false">
      <c r="A3735" s="33" t="n">
        <v>46309</v>
      </c>
      <c r="B3735" s="0" t="n">
        <v>16</v>
      </c>
      <c r="C3735" s="0" t="n">
        <v>8206</v>
      </c>
      <c r="E3735" s="0" t="n">
        <v>0</v>
      </c>
      <c r="F3735" s="27" t="s">
        <v>1676</v>
      </c>
      <c r="I3735" s="27" t="s">
        <v>166</v>
      </c>
      <c r="U3735" s="0" t="n">
        <v>8</v>
      </c>
      <c r="V3735" s="0" t="n">
        <v>0</v>
      </c>
      <c r="W3735" s="27" t="n">
        <f aca="false">MATCH(A3735,DATAS,0)</f>
        <v>1</v>
      </c>
      <c r="X3735" s="27" t="n">
        <f aca="false">IF(AND(E3735&gt;0,OR(AND(B3735&gt;=1,B3735&lt;=6),B3735=10)),1,0)</f>
        <v>0</v>
      </c>
      <c r="Y3735" s="27" t="n">
        <f aca="false">IF(AND(E3735&gt;0,B3735=10),1,0)</f>
        <v>0</v>
      </c>
      <c r="Z3735" s="0" t="str">
        <f aca="false">IF(AND(C3734=C3735,W3734=W3735-1),X3734,"")</f>
        <v/>
      </c>
      <c r="AA3735" s="0" t="str">
        <f aca="false">IF(AND(C3734=C3735,W3734=W3735-1),Y3734,"")</f>
        <v/>
      </c>
      <c r="AB3735" s="0" t="str">
        <f aca="false">IF(W3735=1,"",IF(AND(X3735=1,Z3735&lt;&gt;1),1,0))</f>
        <v/>
      </c>
      <c r="AC3735" s="0" t="str">
        <f aca="false">IF(W3735=1,"",IF(AND(Y3735=1,AA3735&lt;&gt;1),1,0))</f>
        <v/>
      </c>
      <c r="AD3735" s="33" t="str">
        <f aca="false">IF(AND(E3735&gt;0,W3735&lt;1,NOT(AND(C3736=C3735,W3736=W3735+1))),INDEX(DATAS,W3735+1),"")</f>
        <v/>
      </c>
      <c r="AE3735" s="33" t="str">
        <f aca="false">IF(AND(Y3735=1,W3735&lt;1),IF(AND(C3736=C3735,W3736=W3735+1),IF(Y3736=1,"",INDEX(DATAS,W3735+1)),INDEX(DATAS,W3735+1)),"")</f>
        <v/>
      </c>
    </row>
    <row r="3736" customFormat="false" ht="15" hidden="false" customHeight="false" outlineLevel="0" collapsed="false">
      <c r="A3736" s="33" t="n">
        <v>46309</v>
      </c>
      <c r="B3736" s="0" t="n">
        <v>16</v>
      </c>
      <c r="C3736" s="0" t="n">
        <v>8207</v>
      </c>
      <c r="E3736" s="0" t="n">
        <v>0</v>
      </c>
      <c r="F3736" s="27" t="s">
        <v>1677</v>
      </c>
      <c r="I3736" s="27" t="s">
        <v>166</v>
      </c>
      <c r="U3736" s="0" t="n">
        <v>7</v>
      </c>
      <c r="V3736" s="0" t="n">
        <v>0</v>
      </c>
      <c r="W3736" s="27" t="n">
        <f aca="false">MATCH(A3736,DATAS,0)</f>
        <v>1</v>
      </c>
      <c r="X3736" s="27" t="n">
        <f aca="false">IF(AND(E3736&gt;0,OR(AND(B3736&gt;=1,B3736&lt;=6),B3736=10)),1,0)</f>
        <v>0</v>
      </c>
      <c r="Y3736" s="27" t="n">
        <f aca="false">IF(AND(E3736&gt;0,B3736=10),1,0)</f>
        <v>0</v>
      </c>
      <c r="Z3736" s="0" t="str">
        <f aca="false">IF(AND(C3735=C3736,W3735=W3736-1),X3735,"")</f>
        <v/>
      </c>
      <c r="AA3736" s="0" t="str">
        <f aca="false">IF(AND(C3735=C3736,W3735=W3736-1),Y3735,"")</f>
        <v/>
      </c>
      <c r="AB3736" s="0" t="str">
        <f aca="false">IF(W3736=1,"",IF(AND(X3736=1,Z3736&lt;&gt;1),1,0))</f>
        <v/>
      </c>
      <c r="AC3736" s="0" t="str">
        <f aca="false">IF(W3736=1,"",IF(AND(Y3736=1,AA3736&lt;&gt;1),1,0))</f>
        <v/>
      </c>
      <c r="AD3736" s="33" t="str">
        <f aca="false">IF(AND(E3736&gt;0,W3736&lt;1,NOT(AND(C3737=C3736,W3737=W3736+1))),INDEX(DATAS,W3736+1),"")</f>
        <v/>
      </c>
      <c r="AE3736" s="33" t="str">
        <f aca="false">IF(AND(Y3736=1,W3736&lt;1),IF(AND(C3737=C3736,W3737=W3736+1),IF(Y3737=1,"",INDEX(DATAS,W3736+1)),INDEX(DATAS,W3736+1)),"")</f>
        <v/>
      </c>
    </row>
    <row r="3737" customFormat="false" ht="15" hidden="false" customHeight="false" outlineLevel="0" collapsed="false">
      <c r="A3737" s="33" t="n">
        <v>46309</v>
      </c>
      <c r="B3737" s="0" t="n">
        <v>16</v>
      </c>
      <c r="C3737" s="0" t="n">
        <v>8208</v>
      </c>
      <c r="E3737" s="0" t="n">
        <v>0</v>
      </c>
      <c r="F3737" s="27" t="s">
        <v>1678</v>
      </c>
      <c r="I3737" s="27" t="s">
        <v>166</v>
      </c>
      <c r="U3737" s="0" t="n">
        <v>6</v>
      </c>
      <c r="V3737" s="0" t="n">
        <v>0</v>
      </c>
      <c r="W3737" s="27" t="n">
        <f aca="false">MATCH(A3737,DATAS,0)</f>
        <v>1</v>
      </c>
      <c r="X3737" s="27" t="n">
        <f aca="false">IF(AND(E3737&gt;0,OR(AND(B3737&gt;=1,B3737&lt;=6),B3737=10)),1,0)</f>
        <v>0</v>
      </c>
      <c r="Y3737" s="27" t="n">
        <f aca="false">IF(AND(E3737&gt;0,B3737=10),1,0)</f>
        <v>0</v>
      </c>
      <c r="Z3737" s="0" t="str">
        <f aca="false">IF(AND(C3736=C3737,W3736=W3737-1),X3736,"")</f>
        <v/>
      </c>
      <c r="AA3737" s="0" t="str">
        <f aca="false">IF(AND(C3736=C3737,W3736=W3737-1),Y3736,"")</f>
        <v/>
      </c>
      <c r="AB3737" s="0" t="str">
        <f aca="false">IF(W3737=1,"",IF(AND(X3737=1,Z3737&lt;&gt;1),1,0))</f>
        <v/>
      </c>
      <c r="AC3737" s="0" t="str">
        <f aca="false">IF(W3737=1,"",IF(AND(Y3737=1,AA3737&lt;&gt;1),1,0))</f>
        <v/>
      </c>
      <c r="AD3737" s="33" t="str">
        <f aca="false">IF(AND(E3737&gt;0,W3737&lt;1,NOT(AND(C3738=C3737,W3738=W3737+1))),INDEX(DATAS,W3737+1),"")</f>
        <v/>
      </c>
      <c r="AE3737" s="33" t="str">
        <f aca="false">IF(AND(Y3737=1,W3737&lt;1),IF(AND(C3738=C3737,W3738=W3737+1),IF(Y3738=1,"",INDEX(DATAS,W3737+1)),INDEX(DATAS,W3737+1)),"")</f>
        <v/>
      </c>
    </row>
    <row r="3738" customFormat="false" ht="15" hidden="false" customHeight="false" outlineLevel="0" collapsed="false">
      <c r="A3738" s="33" t="n">
        <v>46309</v>
      </c>
      <c r="B3738" s="0" t="n">
        <v>16</v>
      </c>
      <c r="C3738" s="0" t="n">
        <v>8209</v>
      </c>
      <c r="E3738" s="0" t="n">
        <v>0</v>
      </c>
      <c r="F3738" s="27" t="s">
        <v>1678</v>
      </c>
      <c r="I3738" s="27" t="s">
        <v>166</v>
      </c>
      <c r="U3738" s="0" t="n">
        <v>6</v>
      </c>
      <c r="V3738" s="0" t="n">
        <v>0</v>
      </c>
      <c r="W3738" s="27" t="n">
        <f aca="false">MATCH(A3738,DATAS,0)</f>
        <v>1</v>
      </c>
      <c r="X3738" s="27" t="n">
        <f aca="false">IF(AND(E3738&gt;0,OR(AND(B3738&gt;=1,B3738&lt;=6),B3738=10)),1,0)</f>
        <v>0</v>
      </c>
      <c r="Y3738" s="27" t="n">
        <f aca="false">IF(AND(E3738&gt;0,B3738=10),1,0)</f>
        <v>0</v>
      </c>
      <c r="Z3738" s="0" t="str">
        <f aca="false">IF(AND(C3737=C3738,W3737=W3738-1),X3737,"")</f>
        <v/>
      </c>
      <c r="AA3738" s="0" t="str">
        <f aca="false">IF(AND(C3737=C3738,W3737=W3738-1),Y3737,"")</f>
        <v/>
      </c>
      <c r="AB3738" s="0" t="str">
        <f aca="false">IF(W3738=1,"",IF(AND(X3738=1,Z3738&lt;&gt;1),1,0))</f>
        <v/>
      </c>
      <c r="AC3738" s="0" t="str">
        <f aca="false">IF(W3738=1,"",IF(AND(Y3738=1,AA3738&lt;&gt;1),1,0))</f>
        <v/>
      </c>
      <c r="AD3738" s="33" t="str">
        <f aca="false">IF(AND(E3738&gt;0,W3738&lt;1,NOT(AND(C3739=C3738,W3739=W3738+1))),INDEX(DATAS,W3738+1),"")</f>
        <v/>
      </c>
      <c r="AE3738" s="33" t="str">
        <f aca="false">IF(AND(Y3738=1,W3738&lt;1),IF(AND(C3739=C3738,W3739=W3738+1),IF(Y3739=1,"",INDEX(DATAS,W3738+1)),INDEX(DATAS,W3738+1)),"")</f>
        <v/>
      </c>
    </row>
    <row r="3739" customFormat="false" ht="15" hidden="false" customHeight="false" outlineLevel="0" collapsed="false">
      <c r="A3739" s="33" t="n">
        <v>46309</v>
      </c>
      <c r="B3739" s="0" t="n">
        <v>16</v>
      </c>
      <c r="C3739" s="0" t="n">
        <v>8210</v>
      </c>
      <c r="E3739" s="0" t="n">
        <v>0</v>
      </c>
      <c r="F3739" s="27" t="s">
        <v>1679</v>
      </c>
      <c r="I3739" s="27" t="s">
        <v>166</v>
      </c>
      <c r="U3739" s="0" t="n">
        <v>5</v>
      </c>
      <c r="V3739" s="0" t="n">
        <v>0</v>
      </c>
      <c r="W3739" s="27" t="n">
        <f aca="false">MATCH(A3739,DATAS,0)</f>
        <v>1</v>
      </c>
      <c r="X3739" s="27" t="n">
        <f aca="false">IF(AND(E3739&gt;0,OR(AND(B3739&gt;=1,B3739&lt;=6),B3739=10)),1,0)</f>
        <v>0</v>
      </c>
      <c r="Y3739" s="27" t="n">
        <f aca="false">IF(AND(E3739&gt;0,B3739=10),1,0)</f>
        <v>0</v>
      </c>
      <c r="Z3739" s="0" t="str">
        <f aca="false">IF(AND(C3738=C3739,W3738=W3739-1),X3738,"")</f>
        <v/>
      </c>
      <c r="AA3739" s="0" t="str">
        <f aca="false">IF(AND(C3738=C3739,W3738=W3739-1),Y3738,"")</f>
        <v/>
      </c>
      <c r="AB3739" s="0" t="str">
        <f aca="false">IF(W3739=1,"",IF(AND(X3739=1,Z3739&lt;&gt;1),1,0))</f>
        <v/>
      </c>
      <c r="AC3739" s="0" t="str">
        <f aca="false">IF(W3739=1,"",IF(AND(Y3739=1,AA3739&lt;&gt;1),1,0))</f>
        <v/>
      </c>
      <c r="AD3739" s="33" t="str">
        <f aca="false">IF(AND(E3739&gt;0,W3739&lt;1,NOT(AND(C3740=C3739,W3740=W3739+1))),INDEX(DATAS,W3739+1),"")</f>
        <v/>
      </c>
      <c r="AE3739" s="33" t="str">
        <f aca="false">IF(AND(Y3739=1,W3739&lt;1),IF(AND(C3740=C3739,W3740=W3739+1),IF(Y3740=1,"",INDEX(DATAS,W3739+1)),INDEX(DATAS,W3739+1)),"")</f>
        <v/>
      </c>
    </row>
    <row r="3740" customFormat="false" ht="15" hidden="false" customHeight="false" outlineLevel="0" collapsed="false">
      <c r="A3740" s="33" t="n">
        <v>46309</v>
      </c>
      <c r="B3740" s="0" t="n">
        <v>16</v>
      </c>
      <c r="C3740" s="0" t="n">
        <v>8211</v>
      </c>
      <c r="E3740" s="0" t="n">
        <v>0</v>
      </c>
      <c r="F3740" s="27" t="s">
        <v>1679</v>
      </c>
      <c r="I3740" s="27" t="s">
        <v>166</v>
      </c>
      <c r="U3740" s="0" t="n">
        <v>5</v>
      </c>
      <c r="V3740" s="0" t="n">
        <v>0</v>
      </c>
      <c r="W3740" s="27" t="n">
        <f aca="false">MATCH(A3740,DATAS,0)</f>
        <v>1</v>
      </c>
      <c r="X3740" s="27" t="n">
        <f aca="false">IF(AND(E3740&gt;0,OR(AND(B3740&gt;=1,B3740&lt;=6),B3740=10)),1,0)</f>
        <v>0</v>
      </c>
      <c r="Y3740" s="27" t="n">
        <f aca="false">IF(AND(E3740&gt;0,B3740=10),1,0)</f>
        <v>0</v>
      </c>
      <c r="Z3740" s="0" t="str">
        <f aca="false">IF(AND(C3739=C3740,W3739=W3740-1),X3739,"")</f>
        <v/>
      </c>
      <c r="AA3740" s="0" t="str">
        <f aca="false">IF(AND(C3739=C3740,W3739=W3740-1),Y3739,"")</f>
        <v/>
      </c>
      <c r="AB3740" s="0" t="str">
        <f aca="false">IF(W3740=1,"",IF(AND(X3740=1,Z3740&lt;&gt;1),1,0))</f>
        <v/>
      </c>
      <c r="AC3740" s="0" t="str">
        <f aca="false">IF(W3740=1,"",IF(AND(Y3740=1,AA3740&lt;&gt;1),1,0))</f>
        <v/>
      </c>
      <c r="AD3740" s="33" t="str">
        <f aca="false">IF(AND(E3740&gt;0,W3740&lt;1,NOT(AND(C3741=C3740,W3741=W3740+1))),INDEX(DATAS,W3740+1),"")</f>
        <v/>
      </c>
      <c r="AE3740" s="33" t="str">
        <f aca="false">IF(AND(Y3740=1,W3740&lt;1),IF(AND(C3741=C3740,W3741=W3740+1),IF(Y3741=1,"",INDEX(DATAS,W3740+1)),INDEX(DATAS,W3740+1)),"")</f>
        <v/>
      </c>
    </row>
    <row r="3741" customFormat="false" ht="15" hidden="false" customHeight="false" outlineLevel="0" collapsed="false">
      <c r="A3741" s="33" t="n">
        <v>46309</v>
      </c>
      <c r="B3741" s="0" t="n">
        <v>16</v>
      </c>
      <c r="C3741" s="0" t="n">
        <v>8212</v>
      </c>
      <c r="E3741" s="0" t="n">
        <v>0</v>
      </c>
      <c r="F3741" s="27" t="s">
        <v>1679</v>
      </c>
      <c r="I3741" s="27" t="s">
        <v>166</v>
      </c>
      <c r="U3741" s="0" t="n">
        <v>5</v>
      </c>
      <c r="V3741" s="0" t="n">
        <v>0</v>
      </c>
      <c r="W3741" s="27" t="n">
        <f aca="false">MATCH(A3741,DATAS,0)</f>
        <v>1</v>
      </c>
      <c r="X3741" s="27" t="n">
        <f aca="false">IF(AND(E3741&gt;0,OR(AND(B3741&gt;=1,B3741&lt;=6),B3741=10)),1,0)</f>
        <v>0</v>
      </c>
      <c r="Y3741" s="27" t="n">
        <f aca="false">IF(AND(E3741&gt;0,B3741=10),1,0)</f>
        <v>0</v>
      </c>
      <c r="Z3741" s="0" t="str">
        <f aca="false">IF(AND(C3740=C3741,W3740=W3741-1),X3740,"")</f>
        <v/>
      </c>
      <c r="AA3741" s="0" t="str">
        <f aca="false">IF(AND(C3740=C3741,W3740=W3741-1),Y3740,"")</f>
        <v/>
      </c>
      <c r="AB3741" s="0" t="str">
        <f aca="false">IF(W3741=1,"",IF(AND(X3741=1,Z3741&lt;&gt;1),1,0))</f>
        <v/>
      </c>
      <c r="AC3741" s="0" t="str">
        <f aca="false">IF(W3741=1,"",IF(AND(Y3741=1,AA3741&lt;&gt;1),1,0))</f>
        <v/>
      </c>
      <c r="AD3741" s="33" t="str">
        <f aca="false">IF(AND(E3741&gt;0,W3741&lt;1,NOT(AND(C3742=C3741,W3742=W3741+1))),INDEX(DATAS,W3741+1),"")</f>
        <v/>
      </c>
      <c r="AE3741" s="33" t="str">
        <f aca="false">IF(AND(Y3741=1,W3741&lt;1),IF(AND(C3742=C3741,W3742=W3741+1),IF(Y3742=1,"",INDEX(DATAS,W3741+1)),INDEX(DATAS,W3741+1)),"")</f>
        <v/>
      </c>
    </row>
    <row r="3742" customFormat="false" ht="15" hidden="false" customHeight="false" outlineLevel="0" collapsed="false">
      <c r="A3742" s="33" t="n">
        <v>46309</v>
      </c>
      <c r="B3742" s="0" t="n">
        <v>16</v>
      </c>
      <c r="C3742" s="0" t="n">
        <v>8213</v>
      </c>
      <c r="E3742" s="0" t="n">
        <v>0</v>
      </c>
      <c r="F3742" s="27" t="s">
        <v>1679</v>
      </c>
      <c r="I3742" s="27" t="s">
        <v>166</v>
      </c>
      <c r="U3742" s="0" t="n">
        <v>5</v>
      </c>
      <c r="V3742" s="0" t="n">
        <v>0</v>
      </c>
      <c r="W3742" s="27" t="n">
        <f aca="false">MATCH(A3742,DATAS,0)</f>
        <v>1</v>
      </c>
      <c r="X3742" s="27" t="n">
        <f aca="false">IF(AND(E3742&gt;0,OR(AND(B3742&gt;=1,B3742&lt;=6),B3742=10)),1,0)</f>
        <v>0</v>
      </c>
      <c r="Y3742" s="27" t="n">
        <f aca="false">IF(AND(E3742&gt;0,B3742=10),1,0)</f>
        <v>0</v>
      </c>
      <c r="Z3742" s="0" t="str">
        <f aca="false">IF(AND(C3741=C3742,W3741=W3742-1),X3741,"")</f>
        <v/>
      </c>
      <c r="AA3742" s="0" t="str">
        <f aca="false">IF(AND(C3741=C3742,W3741=W3742-1),Y3741,"")</f>
        <v/>
      </c>
      <c r="AB3742" s="0" t="str">
        <f aca="false">IF(W3742=1,"",IF(AND(X3742=1,Z3742&lt;&gt;1),1,0))</f>
        <v/>
      </c>
      <c r="AC3742" s="0" t="str">
        <f aca="false">IF(W3742=1,"",IF(AND(Y3742=1,AA3742&lt;&gt;1),1,0))</f>
        <v/>
      </c>
      <c r="AD3742" s="33" t="str">
        <f aca="false">IF(AND(E3742&gt;0,W3742&lt;1,NOT(AND(C3743=C3742,W3743=W3742+1))),INDEX(DATAS,W3742+1),"")</f>
        <v/>
      </c>
      <c r="AE3742" s="33" t="str">
        <f aca="false">IF(AND(Y3742=1,W3742&lt;1),IF(AND(C3743=C3742,W3743=W3742+1),IF(Y3743=1,"",INDEX(DATAS,W3742+1)),INDEX(DATAS,W3742+1)),"")</f>
        <v/>
      </c>
    </row>
    <row r="3743" customFormat="false" ht="15" hidden="false" customHeight="false" outlineLevel="0" collapsed="false">
      <c r="A3743" s="33" t="n">
        <v>46309</v>
      </c>
      <c r="B3743" s="0" t="n">
        <v>16</v>
      </c>
      <c r="C3743" s="0" t="n">
        <v>8214</v>
      </c>
      <c r="E3743" s="0" t="n">
        <v>0</v>
      </c>
      <c r="F3743" s="27" t="s">
        <v>135</v>
      </c>
      <c r="I3743" s="27" t="s">
        <v>166</v>
      </c>
      <c r="U3743" s="0" t="n">
        <v>4</v>
      </c>
      <c r="V3743" s="0" t="n">
        <v>0</v>
      </c>
      <c r="W3743" s="27" t="n">
        <f aca="false">MATCH(A3743,DATAS,0)</f>
        <v>1</v>
      </c>
      <c r="X3743" s="27" t="n">
        <f aca="false">IF(AND(E3743&gt;0,OR(AND(B3743&gt;=1,B3743&lt;=6),B3743=10)),1,0)</f>
        <v>0</v>
      </c>
      <c r="Y3743" s="27" t="n">
        <f aca="false">IF(AND(E3743&gt;0,B3743=10),1,0)</f>
        <v>0</v>
      </c>
      <c r="Z3743" s="0" t="str">
        <f aca="false">IF(AND(C3742=C3743,W3742=W3743-1),X3742,"")</f>
        <v/>
      </c>
      <c r="AA3743" s="0" t="str">
        <f aca="false">IF(AND(C3742=C3743,W3742=W3743-1),Y3742,"")</f>
        <v/>
      </c>
      <c r="AB3743" s="0" t="str">
        <f aca="false">IF(W3743=1,"",IF(AND(X3743=1,Z3743&lt;&gt;1),1,0))</f>
        <v/>
      </c>
      <c r="AC3743" s="0" t="str">
        <f aca="false">IF(W3743=1,"",IF(AND(Y3743=1,AA3743&lt;&gt;1),1,0))</f>
        <v/>
      </c>
      <c r="AD3743" s="33" t="str">
        <f aca="false">IF(AND(E3743&gt;0,W3743&lt;1,NOT(AND(C3744=C3743,W3744=W3743+1))),INDEX(DATAS,W3743+1),"")</f>
        <v/>
      </c>
      <c r="AE3743" s="33" t="str">
        <f aca="false">IF(AND(Y3743=1,W3743&lt;1),IF(AND(C3744=C3743,W3744=W3743+1),IF(Y3744=1,"",INDEX(DATAS,W3743+1)),INDEX(DATAS,W3743+1)),"")</f>
        <v/>
      </c>
    </row>
    <row r="3744" customFormat="false" ht="15" hidden="false" customHeight="false" outlineLevel="0" collapsed="false">
      <c r="A3744" s="33" t="n">
        <v>46309</v>
      </c>
      <c r="B3744" s="0" t="n">
        <v>16</v>
      </c>
      <c r="C3744" s="0" t="n">
        <v>8215</v>
      </c>
      <c r="E3744" s="0" t="n">
        <v>0</v>
      </c>
      <c r="F3744" s="27" t="s">
        <v>135</v>
      </c>
      <c r="I3744" s="27" t="s">
        <v>166</v>
      </c>
      <c r="U3744" s="0" t="n">
        <v>4</v>
      </c>
      <c r="V3744" s="0" t="n">
        <v>0</v>
      </c>
      <c r="W3744" s="27" t="n">
        <f aca="false">MATCH(A3744,DATAS,0)</f>
        <v>1</v>
      </c>
      <c r="X3744" s="27" t="n">
        <f aca="false">IF(AND(E3744&gt;0,OR(AND(B3744&gt;=1,B3744&lt;=6),B3744=10)),1,0)</f>
        <v>0</v>
      </c>
      <c r="Y3744" s="27" t="n">
        <f aca="false">IF(AND(E3744&gt;0,B3744=10),1,0)</f>
        <v>0</v>
      </c>
      <c r="Z3744" s="0" t="str">
        <f aca="false">IF(AND(C3743=C3744,W3743=W3744-1),X3743,"")</f>
        <v/>
      </c>
      <c r="AA3744" s="0" t="str">
        <f aca="false">IF(AND(C3743=C3744,W3743=W3744-1),Y3743,"")</f>
        <v/>
      </c>
      <c r="AB3744" s="0" t="str">
        <f aca="false">IF(W3744=1,"",IF(AND(X3744=1,Z3744&lt;&gt;1),1,0))</f>
        <v/>
      </c>
      <c r="AC3744" s="0" t="str">
        <f aca="false">IF(W3744=1,"",IF(AND(Y3744=1,AA3744&lt;&gt;1),1,0))</f>
        <v/>
      </c>
      <c r="AD3744" s="33" t="str">
        <f aca="false">IF(AND(E3744&gt;0,W3744&lt;1,NOT(AND(C3745=C3744,W3745=W3744+1))),INDEX(DATAS,W3744+1),"")</f>
        <v/>
      </c>
      <c r="AE3744" s="33" t="str">
        <f aca="false">IF(AND(Y3744=1,W3744&lt;1),IF(AND(C3745=C3744,W3745=W3744+1),IF(Y3745=1,"",INDEX(DATAS,W3744+1)),INDEX(DATAS,W3744+1)),"")</f>
        <v/>
      </c>
    </row>
    <row r="3745" customFormat="false" ht="15" hidden="false" customHeight="false" outlineLevel="0" collapsed="false">
      <c r="A3745" s="33" t="n">
        <v>46309</v>
      </c>
      <c r="B3745" s="0" t="n">
        <v>16</v>
      </c>
      <c r="C3745" s="0" t="n">
        <v>8216</v>
      </c>
      <c r="E3745" s="0" t="n">
        <v>0</v>
      </c>
      <c r="F3745" s="27" t="s">
        <v>1680</v>
      </c>
      <c r="I3745" s="27" t="s">
        <v>166</v>
      </c>
      <c r="U3745" s="0" t="n">
        <v>3</v>
      </c>
      <c r="V3745" s="0" t="n">
        <v>0</v>
      </c>
      <c r="W3745" s="27" t="n">
        <f aca="false">MATCH(A3745,DATAS,0)</f>
        <v>1</v>
      </c>
      <c r="X3745" s="27" t="n">
        <f aca="false">IF(AND(E3745&gt;0,OR(AND(B3745&gt;=1,B3745&lt;=6),B3745=10)),1,0)</f>
        <v>0</v>
      </c>
      <c r="Y3745" s="27" t="n">
        <f aca="false">IF(AND(E3745&gt;0,B3745=10),1,0)</f>
        <v>0</v>
      </c>
      <c r="Z3745" s="0" t="str">
        <f aca="false">IF(AND(C3744=C3745,W3744=W3745-1),X3744,"")</f>
        <v/>
      </c>
      <c r="AA3745" s="0" t="str">
        <f aca="false">IF(AND(C3744=C3745,W3744=W3745-1),Y3744,"")</f>
        <v/>
      </c>
      <c r="AB3745" s="0" t="str">
        <f aca="false">IF(W3745=1,"",IF(AND(X3745=1,Z3745&lt;&gt;1),1,0))</f>
        <v/>
      </c>
      <c r="AC3745" s="0" t="str">
        <f aca="false">IF(W3745=1,"",IF(AND(Y3745=1,AA3745&lt;&gt;1),1,0))</f>
        <v/>
      </c>
      <c r="AD3745" s="33" t="str">
        <f aca="false">IF(AND(E3745&gt;0,W3745&lt;1,NOT(AND(C3746=C3745,W3746=W3745+1))),INDEX(DATAS,W3745+1),"")</f>
        <v/>
      </c>
      <c r="AE3745" s="33" t="str">
        <f aca="false">IF(AND(Y3745=1,W3745&lt;1),IF(AND(C3746=C3745,W3746=W3745+1),IF(Y3746=1,"",INDEX(DATAS,W3745+1)),INDEX(DATAS,W3745+1)),"")</f>
        <v/>
      </c>
    </row>
    <row r="3746" customFormat="false" ht="15" hidden="false" customHeight="false" outlineLevel="0" collapsed="false">
      <c r="A3746" s="33" t="n">
        <v>46309</v>
      </c>
      <c r="B3746" s="0" t="n">
        <v>16</v>
      </c>
      <c r="C3746" s="0" t="n">
        <v>8217</v>
      </c>
      <c r="E3746" s="0" t="n">
        <v>0</v>
      </c>
      <c r="F3746" s="27" t="s">
        <v>1680</v>
      </c>
      <c r="I3746" s="27" t="s">
        <v>166</v>
      </c>
      <c r="U3746" s="0" t="n">
        <v>3</v>
      </c>
      <c r="V3746" s="0" t="n">
        <v>0</v>
      </c>
      <c r="W3746" s="27" t="n">
        <f aca="false">MATCH(A3746,DATAS,0)</f>
        <v>1</v>
      </c>
      <c r="X3746" s="27" t="n">
        <f aca="false">IF(AND(E3746&gt;0,OR(AND(B3746&gt;=1,B3746&lt;=6),B3746=10)),1,0)</f>
        <v>0</v>
      </c>
      <c r="Y3746" s="27" t="n">
        <f aca="false">IF(AND(E3746&gt;0,B3746=10),1,0)</f>
        <v>0</v>
      </c>
      <c r="Z3746" s="0" t="str">
        <f aca="false">IF(AND(C3745=C3746,W3745=W3746-1),X3745,"")</f>
        <v/>
      </c>
      <c r="AA3746" s="0" t="str">
        <f aca="false">IF(AND(C3745=C3746,W3745=W3746-1),Y3745,"")</f>
        <v/>
      </c>
      <c r="AB3746" s="0" t="str">
        <f aca="false">IF(W3746=1,"",IF(AND(X3746=1,Z3746&lt;&gt;1),1,0))</f>
        <v/>
      </c>
      <c r="AC3746" s="0" t="str">
        <f aca="false">IF(W3746=1,"",IF(AND(Y3746=1,AA3746&lt;&gt;1),1,0))</f>
        <v/>
      </c>
      <c r="AD3746" s="33" t="str">
        <f aca="false">IF(AND(E3746&gt;0,W3746&lt;1,NOT(AND(C3747=C3746,W3747=W3746+1))),INDEX(DATAS,W3746+1),"")</f>
        <v/>
      </c>
      <c r="AE3746" s="33" t="str">
        <f aca="false">IF(AND(Y3746=1,W3746&lt;1),IF(AND(C3747=C3746,W3747=W3746+1),IF(Y3747=1,"",INDEX(DATAS,W3746+1)),INDEX(DATAS,W3746+1)),"")</f>
        <v/>
      </c>
    </row>
    <row r="3747" customFormat="false" ht="15" hidden="false" customHeight="false" outlineLevel="0" collapsed="false">
      <c r="A3747" s="33" t="n">
        <v>46309</v>
      </c>
      <c r="B3747" s="0" t="n">
        <v>16</v>
      </c>
      <c r="C3747" s="0" t="n">
        <v>8218</v>
      </c>
      <c r="E3747" s="0" t="n">
        <v>0</v>
      </c>
      <c r="F3747" s="27" t="s">
        <v>1681</v>
      </c>
      <c r="I3747" s="27" t="s">
        <v>166</v>
      </c>
      <c r="U3747" s="0" t="n">
        <v>2</v>
      </c>
      <c r="V3747" s="0" t="n">
        <v>0</v>
      </c>
      <c r="W3747" s="27" t="n">
        <f aca="false">MATCH(A3747,DATAS,0)</f>
        <v>1</v>
      </c>
      <c r="X3747" s="27" t="n">
        <f aca="false">IF(AND(E3747&gt;0,OR(AND(B3747&gt;=1,B3747&lt;=6),B3747=10)),1,0)</f>
        <v>0</v>
      </c>
      <c r="Y3747" s="27" t="n">
        <f aca="false">IF(AND(E3747&gt;0,B3747=10),1,0)</f>
        <v>0</v>
      </c>
      <c r="Z3747" s="0" t="str">
        <f aca="false">IF(AND(C3746=C3747,W3746=W3747-1),X3746,"")</f>
        <v/>
      </c>
      <c r="AA3747" s="0" t="str">
        <f aca="false">IF(AND(C3746=C3747,W3746=W3747-1),Y3746,"")</f>
        <v/>
      </c>
      <c r="AB3747" s="0" t="str">
        <f aca="false">IF(W3747=1,"",IF(AND(X3747=1,Z3747&lt;&gt;1),1,0))</f>
        <v/>
      </c>
      <c r="AC3747" s="0" t="str">
        <f aca="false">IF(W3747=1,"",IF(AND(Y3747=1,AA3747&lt;&gt;1),1,0))</f>
        <v/>
      </c>
      <c r="AD3747" s="33" t="str">
        <f aca="false">IF(AND(E3747&gt;0,W3747&lt;1,NOT(AND(C3748=C3747,W3748=W3747+1))),INDEX(DATAS,W3747+1),"")</f>
        <v/>
      </c>
      <c r="AE3747" s="33" t="str">
        <f aca="false">IF(AND(Y3747=1,W3747&lt;1),IF(AND(C3748=C3747,W3748=W3747+1),IF(Y3748=1,"",INDEX(DATAS,W3747+1)),INDEX(DATAS,W3747+1)),"")</f>
        <v/>
      </c>
    </row>
    <row r="3748" customFormat="false" ht="15" hidden="false" customHeight="false" outlineLevel="0" collapsed="false">
      <c r="A3748" s="33" t="n">
        <v>46309</v>
      </c>
      <c r="B3748" s="0" t="n">
        <v>16</v>
      </c>
      <c r="C3748" s="0" t="n">
        <v>8219</v>
      </c>
      <c r="E3748" s="0" t="n">
        <v>0</v>
      </c>
      <c r="F3748" s="27" t="s">
        <v>1681</v>
      </c>
      <c r="I3748" s="27" t="s">
        <v>166</v>
      </c>
      <c r="U3748" s="0" t="n">
        <v>2</v>
      </c>
      <c r="V3748" s="0" t="n">
        <v>0</v>
      </c>
      <c r="W3748" s="27" t="n">
        <f aca="false">MATCH(A3748,DATAS,0)</f>
        <v>1</v>
      </c>
      <c r="X3748" s="27" t="n">
        <f aca="false">IF(AND(E3748&gt;0,OR(AND(B3748&gt;=1,B3748&lt;=6),B3748=10)),1,0)</f>
        <v>0</v>
      </c>
      <c r="Y3748" s="27" t="n">
        <f aca="false">IF(AND(E3748&gt;0,B3748=10),1,0)</f>
        <v>0</v>
      </c>
      <c r="Z3748" s="0" t="str">
        <f aca="false">IF(AND(C3747=C3748,W3747=W3748-1),X3747,"")</f>
        <v/>
      </c>
      <c r="AA3748" s="0" t="str">
        <f aca="false">IF(AND(C3747=C3748,W3747=W3748-1),Y3747,"")</f>
        <v/>
      </c>
      <c r="AB3748" s="0" t="str">
        <f aca="false">IF(W3748=1,"",IF(AND(X3748=1,Z3748&lt;&gt;1),1,0))</f>
        <v/>
      </c>
      <c r="AC3748" s="0" t="str">
        <f aca="false">IF(W3748=1,"",IF(AND(Y3748=1,AA3748&lt;&gt;1),1,0))</f>
        <v/>
      </c>
      <c r="AD3748" s="33" t="str">
        <f aca="false">IF(AND(E3748&gt;0,W3748&lt;1,NOT(AND(C3749=C3748,W3749=W3748+1))),INDEX(DATAS,W3748+1),"")</f>
        <v/>
      </c>
      <c r="AE3748" s="33" t="str">
        <f aca="false">IF(AND(Y3748=1,W3748&lt;1),IF(AND(C3749=C3748,W3749=W3748+1),IF(Y3749=1,"",INDEX(DATAS,W3748+1)),INDEX(DATAS,W3748+1)),"")</f>
        <v/>
      </c>
    </row>
    <row r="3749" customFormat="false" ht="15" hidden="false" customHeight="false" outlineLevel="0" collapsed="false">
      <c r="A3749" s="33" t="n">
        <v>46309</v>
      </c>
      <c r="B3749" s="0" t="n">
        <v>16</v>
      </c>
      <c r="C3749" s="0" t="n">
        <v>8220</v>
      </c>
      <c r="E3749" s="0" t="n">
        <v>0</v>
      </c>
      <c r="F3749" s="27" t="s">
        <v>1682</v>
      </c>
      <c r="I3749" s="27" t="s">
        <v>166</v>
      </c>
      <c r="U3749" s="0" t="n">
        <v>1</v>
      </c>
      <c r="V3749" s="0" t="n">
        <v>0</v>
      </c>
      <c r="W3749" s="27" t="n">
        <f aca="false">MATCH(A3749,DATAS,0)</f>
        <v>1</v>
      </c>
      <c r="X3749" s="27" t="n">
        <f aca="false">IF(AND(E3749&gt;0,OR(AND(B3749&gt;=1,B3749&lt;=6),B3749=10)),1,0)</f>
        <v>0</v>
      </c>
      <c r="Y3749" s="27" t="n">
        <f aca="false">IF(AND(E3749&gt;0,B3749=10),1,0)</f>
        <v>0</v>
      </c>
      <c r="Z3749" s="0" t="str">
        <f aca="false">IF(AND(C3748=C3749,W3748=W3749-1),X3748,"")</f>
        <v/>
      </c>
      <c r="AA3749" s="0" t="str">
        <f aca="false">IF(AND(C3748=C3749,W3748=W3749-1),Y3748,"")</f>
        <v/>
      </c>
      <c r="AB3749" s="0" t="str">
        <f aca="false">IF(W3749=1,"",IF(AND(X3749=1,Z3749&lt;&gt;1),1,0))</f>
        <v/>
      </c>
      <c r="AC3749" s="0" t="str">
        <f aca="false">IF(W3749=1,"",IF(AND(Y3749=1,AA3749&lt;&gt;1),1,0))</f>
        <v/>
      </c>
      <c r="AD3749" s="33" t="str">
        <f aca="false">IF(AND(E3749&gt;0,W3749&lt;1,NOT(AND(C3750=C3749,W3750=W3749+1))),INDEX(DATAS,W3749+1),"")</f>
        <v/>
      </c>
      <c r="AE3749" s="33" t="str">
        <f aca="false">IF(AND(Y3749=1,W3749&lt;1),IF(AND(C3750=C3749,W3750=W3749+1),IF(Y3750=1,"",INDEX(DATAS,W3749+1)),INDEX(DATAS,W3749+1)),"")</f>
        <v/>
      </c>
    </row>
    <row r="3750" customFormat="false" ht="15" hidden="false" customHeight="false" outlineLevel="0" collapsed="false">
      <c r="A3750" s="33" t="n">
        <v>46309</v>
      </c>
      <c r="B3750" s="0" t="n">
        <v>16</v>
      </c>
      <c r="C3750" s="0" t="n">
        <v>8221</v>
      </c>
      <c r="E3750" s="0" t="n">
        <v>0</v>
      </c>
      <c r="F3750" s="27" t="s">
        <v>1682</v>
      </c>
      <c r="I3750" s="27" t="s">
        <v>166</v>
      </c>
      <c r="U3750" s="0" t="n">
        <v>1</v>
      </c>
      <c r="V3750" s="0" t="n">
        <v>0</v>
      </c>
      <c r="W3750" s="27" t="n">
        <f aca="false">MATCH(A3750,DATAS,0)</f>
        <v>1</v>
      </c>
      <c r="X3750" s="27" t="n">
        <f aca="false">IF(AND(E3750&gt;0,OR(AND(B3750&gt;=1,B3750&lt;=6),B3750=10)),1,0)</f>
        <v>0</v>
      </c>
      <c r="Y3750" s="27" t="n">
        <f aca="false">IF(AND(E3750&gt;0,B3750=10),1,0)</f>
        <v>0</v>
      </c>
      <c r="Z3750" s="0" t="str">
        <f aca="false">IF(AND(C3749=C3750,W3749=W3750-1),X3749,"")</f>
        <v/>
      </c>
      <c r="AA3750" s="0" t="str">
        <f aca="false">IF(AND(C3749=C3750,W3749=W3750-1),Y3749,"")</f>
        <v/>
      </c>
      <c r="AB3750" s="0" t="str">
        <f aca="false">IF(W3750=1,"",IF(AND(X3750=1,Z3750&lt;&gt;1),1,0))</f>
        <v/>
      </c>
      <c r="AC3750" s="0" t="str">
        <f aca="false">IF(W3750=1,"",IF(AND(Y3750=1,AA3750&lt;&gt;1),1,0))</f>
        <v/>
      </c>
      <c r="AD3750" s="33" t="str">
        <f aca="false">IF(AND(E3750&gt;0,W3750&lt;1,NOT(AND(C3751=C3750,W3751=W3750+1))),INDEX(DATAS,W3750+1),"")</f>
        <v/>
      </c>
      <c r="AE3750" s="33" t="str">
        <f aca="false">IF(AND(Y3750=1,W3750&lt;1),IF(AND(C3751=C3750,W3751=W3750+1),IF(Y3751=1,"",INDEX(DATAS,W3750+1)),INDEX(DATAS,W3750+1)),"")</f>
        <v/>
      </c>
    </row>
    <row r="3751" customFormat="false" ht="15" hidden="false" customHeight="false" outlineLevel="0" collapsed="false">
      <c r="A3751" s="33" t="n">
        <v>46309</v>
      </c>
      <c r="B3751" s="0" t="n">
        <v>15</v>
      </c>
      <c r="C3751" s="0" t="n">
        <v>20632</v>
      </c>
      <c r="E3751" s="0" t="n">
        <v>0</v>
      </c>
      <c r="F3751" s="27" t="s">
        <v>939</v>
      </c>
      <c r="I3751" s="27" t="s">
        <v>136</v>
      </c>
      <c r="U3751" s="0" t="n">
        <v>870</v>
      </c>
      <c r="V3751" s="0" t="n">
        <v>0</v>
      </c>
      <c r="W3751" s="27" t="n">
        <f aca="false">MATCH(A3751,DATAS,0)</f>
        <v>1</v>
      </c>
      <c r="X3751" s="27" t="n">
        <f aca="false">IF(AND(E3751&gt;0,OR(AND(B3751&gt;=1,B3751&lt;=6),B3751=10)),1,0)</f>
        <v>0</v>
      </c>
      <c r="Y3751" s="27" t="n">
        <f aca="false">IF(AND(E3751&gt;0,B3751=10),1,0)</f>
        <v>0</v>
      </c>
      <c r="Z3751" s="0" t="str">
        <f aca="false">IF(AND(C3750=C3751,W3750=W3751-1),X3750,"")</f>
        <v/>
      </c>
      <c r="AA3751" s="0" t="str">
        <f aca="false">IF(AND(C3750=C3751,W3750=W3751-1),Y3750,"")</f>
        <v/>
      </c>
      <c r="AB3751" s="0" t="str">
        <f aca="false">IF(W3751=1,"",IF(AND(X3751=1,Z3751&lt;&gt;1),1,0))</f>
        <v/>
      </c>
      <c r="AC3751" s="0" t="str">
        <f aca="false">IF(W3751=1,"",IF(AND(Y3751=1,AA3751&lt;&gt;1),1,0))</f>
        <v/>
      </c>
      <c r="AD3751" s="33" t="str">
        <f aca="false">IF(AND(E3751&gt;0,W3751&lt;1,NOT(AND(C3752=C3751,W3752=W3751+1))),INDEX(DATAS,W3751+1),"")</f>
        <v/>
      </c>
      <c r="AE3751" s="33" t="str">
        <f aca="false">IF(AND(Y3751=1,W3751&lt;1),IF(AND(C3752=C3751,W3752=W3751+1),IF(Y3752=1,"",INDEX(DATAS,W3751+1)),INDEX(DATAS,W3751+1)),"")</f>
        <v/>
      </c>
    </row>
    <row r="3752" customFormat="false" ht="15" hidden="false" customHeight="false" outlineLevel="0" collapsed="false">
      <c r="A3752" s="33" t="n">
        <v>46309</v>
      </c>
      <c r="B3752" s="0" t="n">
        <v>15</v>
      </c>
      <c r="C3752" s="0" t="n">
        <v>20708</v>
      </c>
      <c r="E3752" s="0" t="n">
        <v>0</v>
      </c>
      <c r="F3752" s="27" t="s">
        <v>997</v>
      </c>
      <c r="I3752" s="27" t="s">
        <v>136</v>
      </c>
      <c r="U3752" s="0" t="n">
        <v>798</v>
      </c>
      <c r="V3752" s="0" t="n">
        <v>0</v>
      </c>
      <c r="W3752" s="27" t="n">
        <f aca="false">MATCH(A3752,DATAS,0)</f>
        <v>1</v>
      </c>
      <c r="X3752" s="27" t="n">
        <f aca="false">IF(AND(E3752&gt;0,OR(AND(B3752&gt;=1,B3752&lt;=6),B3752=10)),1,0)</f>
        <v>0</v>
      </c>
      <c r="Y3752" s="27" t="n">
        <f aca="false">IF(AND(E3752&gt;0,B3752=10),1,0)</f>
        <v>0</v>
      </c>
      <c r="Z3752" s="0" t="str">
        <f aca="false">IF(AND(C3751=C3752,W3751=W3752-1),X3751,"")</f>
        <v/>
      </c>
      <c r="AA3752" s="0" t="str">
        <f aca="false">IF(AND(C3751=C3752,W3751=W3752-1),Y3751,"")</f>
        <v/>
      </c>
      <c r="AB3752" s="0" t="str">
        <f aca="false">IF(W3752=1,"",IF(AND(X3752=1,Z3752&lt;&gt;1),1,0))</f>
        <v/>
      </c>
      <c r="AC3752" s="0" t="str">
        <f aca="false">IF(W3752=1,"",IF(AND(Y3752=1,AA3752&lt;&gt;1),1,0))</f>
        <v/>
      </c>
      <c r="AD3752" s="33" t="str">
        <f aca="false">IF(AND(E3752&gt;0,W3752&lt;1,NOT(AND(C3753=C3752,W3753=W3752+1))),INDEX(DATAS,W3752+1),"")</f>
        <v/>
      </c>
      <c r="AE3752" s="33" t="str">
        <f aca="false">IF(AND(Y3752=1,W3752&lt;1),IF(AND(C3753=C3752,W3753=W3752+1),IF(Y3753=1,"",INDEX(DATAS,W3752+1)),INDEX(DATAS,W3752+1)),"")</f>
        <v/>
      </c>
    </row>
    <row r="3753" customFormat="false" ht="15" hidden="false" customHeight="false" outlineLevel="0" collapsed="false">
      <c r="A3753" s="33" t="n">
        <v>46309</v>
      </c>
      <c r="B3753" s="0" t="n">
        <v>15</v>
      </c>
      <c r="C3753" s="0" t="n">
        <v>20910</v>
      </c>
      <c r="E3753" s="0" t="n">
        <v>0</v>
      </c>
      <c r="F3753" s="27" t="s">
        <v>1106</v>
      </c>
      <c r="I3753" s="27" t="s">
        <v>136</v>
      </c>
      <c r="U3753" s="0" t="n">
        <v>663</v>
      </c>
      <c r="V3753" s="0" t="n">
        <v>0</v>
      </c>
      <c r="W3753" s="27" t="n">
        <f aca="false">MATCH(A3753,DATAS,0)</f>
        <v>1</v>
      </c>
      <c r="X3753" s="27" t="n">
        <f aca="false">IF(AND(E3753&gt;0,OR(AND(B3753&gt;=1,B3753&lt;=6),B3753=10)),1,0)</f>
        <v>0</v>
      </c>
      <c r="Y3753" s="27" t="n">
        <f aca="false">IF(AND(E3753&gt;0,B3753=10),1,0)</f>
        <v>0</v>
      </c>
      <c r="Z3753" s="0" t="str">
        <f aca="false">IF(AND(C3752=C3753,W3752=W3753-1),X3752,"")</f>
        <v/>
      </c>
      <c r="AA3753" s="0" t="str">
        <f aca="false">IF(AND(C3752=C3753,W3752=W3753-1),Y3752,"")</f>
        <v/>
      </c>
      <c r="AB3753" s="0" t="str">
        <f aca="false">IF(W3753=1,"",IF(AND(X3753=1,Z3753&lt;&gt;1),1,0))</f>
        <v/>
      </c>
      <c r="AC3753" s="0" t="str">
        <f aca="false">IF(W3753=1,"",IF(AND(Y3753=1,AA3753&lt;&gt;1),1,0))</f>
        <v/>
      </c>
      <c r="AD3753" s="33" t="str">
        <f aca="false">IF(AND(E3753&gt;0,W3753&lt;1,NOT(AND(C3754=C3753,W3754=W3753+1))),INDEX(DATAS,W3753+1),"")</f>
        <v/>
      </c>
      <c r="AE3753" s="33" t="str">
        <f aca="false">IF(AND(Y3753=1,W3753&lt;1),IF(AND(C3754=C3753,W3754=W3753+1),IF(Y3754=1,"",INDEX(DATAS,W3753+1)),INDEX(DATAS,W3753+1)),"")</f>
        <v/>
      </c>
    </row>
    <row r="3754" customFormat="false" ht="15" hidden="false" customHeight="false" outlineLevel="0" collapsed="false">
      <c r="A3754" s="33" t="n">
        <v>46309</v>
      </c>
      <c r="B3754" s="0" t="n">
        <v>15</v>
      </c>
      <c r="C3754" s="0" t="n">
        <v>20971</v>
      </c>
      <c r="E3754" s="0" t="n">
        <v>0</v>
      </c>
      <c r="F3754" s="27" t="s">
        <v>1140</v>
      </c>
      <c r="I3754" s="27" t="s">
        <v>136</v>
      </c>
      <c r="U3754" s="0" t="n">
        <v>622</v>
      </c>
      <c r="V3754" s="0" t="n">
        <v>0</v>
      </c>
      <c r="W3754" s="27" t="n">
        <f aca="false">MATCH(A3754,DATAS,0)</f>
        <v>1</v>
      </c>
      <c r="X3754" s="27" t="n">
        <f aca="false">IF(AND(E3754&gt;0,OR(AND(B3754&gt;=1,B3754&lt;=6),B3754=10)),1,0)</f>
        <v>0</v>
      </c>
      <c r="Y3754" s="27" t="n">
        <f aca="false">IF(AND(E3754&gt;0,B3754=10),1,0)</f>
        <v>0</v>
      </c>
      <c r="Z3754" s="0" t="str">
        <f aca="false">IF(AND(C3753=C3754,W3753=W3754-1),X3753,"")</f>
        <v/>
      </c>
      <c r="AA3754" s="0" t="str">
        <f aca="false">IF(AND(C3753=C3754,W3753=W3754-1),Y3753,"")</f>
        <v/>
      </c>
      <c r="AB3754" s="0" t="str">
        <f aca="false">IF(W3754=1,"",IF(AND(X3754=1,Z3754&lt;&gt;1),1,0))</f>
        <v/>
      </c>
      <c r="AC3754" s="0" t="str">
        <f aca="false">IF(W3754=1,"",IF(AND(Y3754=1,AA3754&lt;&gt;1),1,0))</f>
        <v/>
      </c>
      <c r="AD3754" s="33" t="str">
        <f aca="false">IF(AND(E3754&gt;0,W3754&lt;1,NOT(AND(C3755=C3754,W3755=W3754+1))),INDEX(DATAS,W3754+1),"")</f>
        <v/>
      </c>
      <c r="AE3754" s="33" t="str">
        <f aca="false">IF(AND(Y3754=1,W3754&lt;1),IF(AND(C3755=C3754,W3755=W3754+1),IF(Y3755=1,"",INDEX(DATAS,W3754+1)),INDEX(DATAS,W3754+1)),"")</f>
        <v/>
      </c>
    </row>
    <row r="3755" customFormat="false" ht="15" hidden="false" customHeight="false" outlineLevel="0" collapsed="false">
      <c r="A3755" s="33" t="n">
        <v>46309</v>
      </c>
      <c r="B3755" s="0" t="n">
        <v>15</v>
      </c>
      <c r="C3755" s="0" t="n">
        <v>30014</v>
      </c>
      <c r="E3755" s="0" t="n">
        <v>0</v>
      </c>
      <c r="F3755" s="27" t="s">
        <v>1158</v>
      </c>
      <c r="I3755" s="27" t="s">
        <v>136</v>
      </c>
      <c r="U3755" s="0" t="n">
        <v>600</v>
      </c>
      <c r="V3755" s="0" t="n">
        <v>0</v>
      </c>
      <c r="W3755" s="27" t="n">
        <f aca="false">MATCH(A3755,DATAS,0)</f>
        <v>1</v>
      </c>
      <c r="X3755" s="27" t="n">
        <f aca="false">IF(AND(E3755&gt;0,OR(AND(B3755&gt;=1,B3755&lt;=6),B3755=10)),1,0)</f>
        <v>0</v>
      </c>
      <c r="Y3755" s="27" t="n">
        <f aca="false">IF(AND(E3755&gt;0,B3755=10),1,0)</f>
        <v>0</v>
      </c>
      <c r="Z3755" s="0" t="str">
        <f aca="false">IF(AND(C3754=C3755,W3754=W3755-1),X3754,"")</f>
        <v/>
      </c>
      <c r="AA3755" s="0" t="str">
        <f aca="false">IF(AND(C3754=C3755,W3754=W3755-1),Y3754,"")</f>
        <v/>
      </c>
      <c r="AB3755" s="0" t="str">
        <f aca="false">IF(W3755=1,"",IF(AND(X3755=1,Z3755&lt;&gt;1),1,0))</f>
        <v/>
      </c>
      <c r="AC3755" s="0" t="str">
        <f aca="false">IF(W3755=1,"",IF(AND(Y3755=1,AA3755&lt;&gt;1),1,0))</f>
        <v/>
      </c>
      <c r="AD3755" s="33" t="str">
        <f aca="false">IF(AND(E3755&gt;0,W3755&lt;1,NOT(AND(C3756=C3755,W3756=W3755+1))),INDEX(DATAS,W3755+1),"")</f>
        <v/>
      </c>
      <c r="AE3755" s="33" t="str">
        <f aca="false">IF(AND(Y3755=1,W3755&lt;1),IF(AND(C3756=C3755,W3756=W3755+1),IF(Y3756=1,"",INDEX(DATAS,W3755+1)),INDEX(DATAS,W3755+1)),"")</f>
        <v/>
      </c>
    </row>
    <row r="3756" customFormat="false" ht="15" hidden="false" customHeight="false" outlineLevel="0" collapsed="false">
      <c r="A3756" s="33" t="n">
        <v>46309</v>
      </c>
      <c r="B3756" s="0" t="n">
        <v>15</v>
      </c>
      <c r="C3756" s="0" t="n">
        <v>30220</v>
      </c>
      <c r="E3756" s="0" t="n">
        <v>0</v>
      </c>
      <c r="F3756" s="27" t="s">
        <v>1260</v>
      </c>
      <c r="I3756" s="27" t="s">
        <v>136</v>
      </c>
      <c r="U3756" s="0" t="n">
        <v>467</v>
      </c>
      <c r="V3756" s="0" t="n">
        <v>0</v>
      </c>
      <c r="W3756" s="27" t="n">
        <f aca="false">MATCH(A3756,DATAS,0)</f>
        <v>1</v>
      </c>
      <c r="X3756" s="27" t="n">
        <f aca="false">IF(AND(E3756&gt;0,OR(AND(B3756&gt;=1,B3756&lt;=6),B3756=10)),1,0)</f>
        <v>0</v>
      </c>
      <c r="Y3756" s="27" t="n">
        <f aca="false">IF(AND(E3756&gt;0,B3756=10),1,0)</f>
        <v>0</v>
      </c>
      <c r="Z3756" s="0" t="str">
        <f aca="false">IF(AND(C3755=C3756,W3755=W3756-1),X3755,"")</f>
        <v/>
      </c>
      <c r="AA3756" s="0" t="str">
        <f aca="false">IF(AND(C3755=C3756,W3755=W3756-1),Y3755,"")</f>
        <v/>
      </c>
      <c r="AB3756" s="0" t="str">
        <f aca="false">IF(W3756=1,"",IF(AND(X3756=1,Z3756&lt;&gt;1),1,0))</f>
        <v/>
      </c>
      <c r="AC3756" s="0" t="str">
        <f aca="false">IF(W3756=1,"",IF(AND(Y3756=1,AA3756&lt;&gt;1),1,0))</f>
        <v/>
      </c>
      <c r="AD3756" s="33" t="str">
        <f aca="false">IF(AND(E3756&gt;0,W3756&lt;1,NOT(AND(C3757=C3756,W3757=W3756+1))),INDEX(DATAS,W3756+1),"")</f>
        <v/>
      </c>
      <c r="AE3756" s="33" t="str">
        <f aca="false">IF(AND(Y3756=1,W3756&lt;1),IF(AND(C3757=C3756,W3757=W3756+1),IF(Y3757=1,"",INDEX(DATAS,W3756+1)),INDEX(DATAS,W3756+1)),"")</f>
        <v/>
      </c>
    </row>
    <row r="3757" customFormat="false" ht="15" hidden="false" customHeight="false" outlineLevel="0" collapsed="false">
      <c r="A3757" s="33" t="n">
        <v>46309</v>
      </c>
      <c r="B3757" s="0" t="n">
        <v>15</v>
      </c>
      <c r="C3757" s="0" t="n">
        <v>30267</v>
      </c>
      <c r="E3757" s="0" t="n">
        <v>0</v>
      </c>
      <c r="F3757" s="27" t="s">
        <v>1288</v>
      </c>
      <c r="I3757" s="27" t="s">
        <v>136</v>
      </c>
      <c r="U3757" s="0" t="n">
        <v>430</v>
      </c>
      <c r="V3757" s="0" t="n">
        <v>0</v>
      </c>
      <c r="W3757" s="27" t="n">
        <f aca="false">MATCH(A3757,DATAS,0)</f>
        <v>1</v>
      </c>
      <c r="X3757" s="27" t="n">
        <f aca="false">IF(AND(E3757&gt;0,OR(AND(B3757&gt;=1,B3757&lt;=6),B3757=10)),1,0)</f>
        <v>0</v>
      </c>
      <c r="Y3757" s="27" t="n">
        <f aca="false">IF(AND(E3757&gt;0,B3757=10),1,0)</f>
        <v>0</v>
      </c>
      <c r="Z3757" s="0" t="str">
        <f aca="false">IF(AND(C3756=C3757,W3756=W3757-1),X3756,"")</f>
        <v/>
      </c>
      <c r="AA3757" s="0" t="str">
        <f aca="false">IF(AND(C3756=C3757,W3756=W3757-1),Y3756,"")</f>
        <v/>
      </c>
      <c r="AB3757" s="0" t="str">
        <f aca="false">IF(W3757=1,"",IF(AND(X3757=1,Z3757&lt;&gt;1),1,0))</f>
        <v/>
      </c>
      <c r="AC3757" s="0" t="str">
        <f aca="false">IF(W3757=1,"",IF(AND(Y3757=1,AA3757&lt;&gt;1),1,0))</f>
        <v/>
      </c>
      <c r="AD3757" s="33" t="str">
        <f aca="false">IF(AND(E3757&gt;0,W3757&lt;1,NOT(AND(C3758=C3757,W3758=W3757+1))),INDEX(DATAS,W3757+1),"")</f>
        <v/>
      </c>
      <c r="AE3757" s="33" t="str">
        <f aca="false">IF(AND(Y3757=1,W3757&lt;1),IF(AND(C3758=C3757,W3758=W3757+1),IF(Y3758=1,"",INDEX(DATAS,W3757+1)),INDEX(DATAS,W3757+1)),"")</f>
        <v/>
      </c>
    </row>
    <row r="3758" customFormat="false" ht="15" hidden="false" customHeight="false" outlineLevel="0" collapsed="false">
      <c r="A3758" s="33" t="n">
        <v>46309</v>
      </c>
      <c r="B3758" s="0" t="n">
        <v>15</v>
      </c>
      <c r="C3758" s="0" t="n">
        <v>30300</v>
      </c>
      <c r="E3758" s="0" t="n">
        <v>0</v>
      </c>
      <c r="F3758" s="27" t="s">
        <v>1683</v>
      </c>
      <c r="I3758" s="27" t="s">
        <v>1684</v>
      </c>
      <c r="U3758" s="0" t="n">
        <v>407</v>
      </c>
      <c r="V3758" s="0" t="n">
        <v>0</v>
      </c>
      <c r="W3758" s="27" t="n">
        <f aca="false">MATCH(A3758,DATAS,0)</f>
        <v>1</v>
      </c>
      <c r="X3758" s="27" t="n">
        <f aca="false">IF(AND(E3758&gt;0,OR(AND(B3758&gt;=1,B3758&lt;=6),B3758=10)),1,0)</f>
        <v>0</v>
      </c>
      <c r="Y3758" s="27" t="n">
        <f aca="false">IF(AND(E3758&gt;0,B3758=10),1,0)</f>
        <v>0</v>
      </c>
      <c r="Z3758" s="0" t="str">
        <f aca="false">IF(AND(C3757=C3758,W3757=W3758-1),X3757,"")</f>
        <v/>
      </c>
      <c r="AA3758" s="0" t="str">
        <f aca="false">IF(AND(C3757=C3758,W3757=W3758-1),Y3757,"")</f>
        <v/>
      </c>
      <c r="AB3758" s="0" t="str">
        <f aca="false">IF(W3758=1,"",IF(AND(X3758=1,Z3758&lt;&gt;1),1,0))</f>
        <v/>
      </c>
      <c r="AC3758" s="0" t="str">
        <f aca="false">IF(W3758=1,"",IF(AND(Y3758=1,AA3758&lt;&gt;1),1,0))</f>
        <v/>
      </c>
      <c r="AD3758" s="33" t="str">
        <f aca="false">IF(AND(E3758&gt;0,W3758&lt;1,NOT(AND(C3759=C3758,W3759=W3758+1))),INDEX(DATAS,W3758+1),"")</f>
        <v/>
      </c>
      <c r="AE3758" s="33" t="str">
        <f aca="false">IF(AND(Y3758=1,W3758&lt;1),IF(AND(C3759=C3758,W3759=W3758+1),IF(Y3759=1,"",INDEX(DATAS,W3758+1)),INDEX(DATAS,W3758+1)),"")</f>
        <v/>
      </c>
    </row>
    <row r="3759" customFormat="false" ht="15" hidden="false" customHeight="false" outlineLevel="0" collapsed="false">
      <c r="A3759" s="33" t="n">
        <v>46309</v>
      </c>
      <c r="B3759" s="0" t="n">
        <v>15</v>
      </c>
      <c r="C3759" s="0" t="n">
        <v>30351</v>
      </c>
      <c r="E3759" s="0" t="n">
        <v>0</v>
      </c>
      <c r="F3759" s="27" t="s">
        <v>1355</v>
      </c>
      <c r="I3759" s="27" t="s">
        <v>136</v>
      </c>
      <c r="U3759" s="0" t="n">
        <v>356</v>
      </c>
      <c r="V3759" s="0" t="n">
        <v>0</v>
      </c>
      <c r="W3759" s="27" t="n">
        <f aca="false">MATCH(A3759,DATAS,0)</f>
        <v>1</v>
      </c>
      <c r="X3759" s="27" t="n">
        <f aca="false">IF(AND(E3759&gt;0,OR(AND(B3759&gt;=1,B3759&lt;=6),B3759=10)),1,0)</f>
        <v>0</v>
      </c>
      <c r="Y3759" s="27" t="n">
        <f aca="false">IF(AND(E3759&gt;0,B3759=10),1,0)</f>
        <v>0</v>
      </c>
      <c r="Z3759" s="0" t="str">
        <f aca="false">IF(AND(C3758=C3759,W3758=W3759-1),X3758,"")</f>
        <v/>
      </c>
      <c r="AA3759" s="0" t="str">
        <f aca="false">IF(AND(C3758=C3759,W3758=W3759-1),Y3758,"")</f>
        <v/>
      </c>
      <c r="AB3759" s="0" t="str">
        <f aca="false">IF(W3759=1,"",IF(AND(X3759=1,Z3759&lt;&gt;1),1,0))</f>
        <v/>
      </c>
      <c r="AC3759" s="0" t="str">
        <f aca="false">IF(W3759=1,"",IF(AND(Y3759=1,AA3759&lt;&gt;1),1,0))</f>
        <v/>
      </c>
      <c r="AD3759" s="33" t="str">
        <f aca="false">IF(AND(E3759&gt;0,W3759&lt;1,NOT(AND(C3760=C3759,W3760=W3759+1))),INDEX(DATAS,W3759+1),"")</f>
        <v/>
      </c>
      <c r="AE3759" s="33" t="str">
        <f aca="false">IF(AND(Y3759=1,W3759&lt;1),IF(AND(C3760=C3759,W3760=W3759+1),IF(Y3760=1,"",INDEX(DATAS,W3759+1)),INDEX(DATAS,W3759+1)),"")</f>
        <v/>
      </c>
    </row>
    <row r="3760" customFormat="false" ht="15" hidden="false" customHeight="false" outlineLevel="0" collapsed="false">
      <c r="A3760" s="33" t="n">
        <v>46309</v>
      </c>
      <c r="B3760" s="0" t="n">
        <v>15</v>
      </c>
      <c r="C3760" s="0" t="n">
        <v>30371</v>
      </c>
      <c r="E3760" s="0" t="n">
        <v>0</v>
      </c>
      <c r="F3760" s="27" t="s">
        <v>1373</v>
      </c>
      <c r="I3760" s="27" t="s">
        <v>136</v>
      </c>
      <c r="U3760" s="0" t="n">
        <v>338</v>
      </c>
      <c r="V3760" s="0" t="n">
        <v>0</v>
      </c>
      <c r="W3760" s="27" t="n">
        <f aca="false">MATCH(A3760,DATAS,0)</f>
        <v>1</v>
      </c>
      <c r="X3760" s="27" t="n">
        <f aca="false">IF(AND(E3760&gt;0,OR(AND(B3760&gt;=1,B3760&lt;=6),B3760=10)),1,0)</f>
        <v>0</v>
      </c>
      <c r="Y3760" s="27" t="n">
        <f aca="false">IF(AND(E3760&gt;0,B3760=10),1,0)</f>
        <v>0</v>
      </c>
      <c r="Z3760" s="0" t="str">
        <f aca="false">IF(AND(C3759=C3760,W3759=W3760-1),X3759,"")</f>
        <v/>
      </c>
      <c r="AA3760" s="0" t="str">
        <f aca="false">IF(AND(C3759=C3760,W3759=W3760-1),Y3759,"")</f>
        <v/>
      </c>
      <c r="AB3760" s="0" t="str">
        <f aca="false">IF(W3760=1,"",IF(AND(X3760=1,Z3760&lt;&gt;1),1,0))</f>
        <v/>
      </c>
      <c r="AC3760" s="0" t="str">
        <f aca="false">IF(W3760=1,"",IF(AND(Y3760=1,AA3760&lt;&gt;1),1,0))</f>
        <v/>
      </c>
      <c r="AD3760" s="33" t="str">
        <f aca="false">IF(AND(E3760&gt;0,W3760&lt;1,NOT(AND(C3761=C3760,W3761=W3760+1))),INDEX(DATAS,W3760+1),"")</f>
        <v/>
      </c>
      <c r="AE3760" s="33" t="str">
        <f aca="false">IF(AND(Y3760=1,W3760&lt;1),IF(AND(C3761=C3760,W3761=W3760+1),IF(Y3761=1,"",INDEX(DATAS,W3760+1)),INDEX(DATAS,W3760+1)),"")</f>
        <v/>
      </c>
    </row>
    <row r="3761" customFormat="false" ht="15" hidden="false" customHeight="false" outlineLevel="0" collapsed="false">
      <c r="A3761" s="33" t="n">
        <v>46309</v>
      </c>
      <c r="B3761" s="0" t="n">
        <v>15</v>
      </c>
      <c r="C3761" s="0" t="n">
        <v>30390</v>
      </c>
      <c r="E3761" s="0" t="n">
        <v>0</v>
      </c>
      <c r="F3761" s="27" t="s">
        <v>1388</v>
      </c>
      <c r="I3761" s="27" t="s">
        <v>136</v>
      </c>
      <c r="U3761" s="0" t="n">
        <v>320</v>
      </c>
      <c r="V3761" s="0" t="n">
        <v>0</v>
      </c>
      <c r="W3761" s="27" t="n">
        <f aca="false">MATCH(A3761,DATAS,0)</f>
        <v>1</v>
      </c>
      <c r="X3761" s="27" t="n">
        <f aca="false">IF(AND(E3761&gt;0,OR(AND(B3761&gt;=1,B3761&lt;=6),B3761=10)),1,0)</f>
        <v>0</v>
      </c>
      <c r="Y3761" s="27" t="n">
        <f aca="false">IF(AND(E3761&gt;0,B3761=10),1,0)</f>
        <v>0</v>
      </c>
      <c r="Z3761" s="0" t="str">
        <f aca="false">IF(AND(C3760=C3761,W3760=W3761-1),X3760,"")</f>
        <v/>
      </c>
      <c r="AA3761" s="0" t="str">
        <f aca="false">IF(AND(C3760=C3761,W3760=W3761-1),Y3760,"")</f>
        <v/>
      </c>
      <c r="AB3761" s="0" t="str">
        <f aca="false">IF(W3761=1,"",IF(AND(X3761=1,Z3761&lt;&gt;1),1,0))</f>
        <v/>
      </c>
      <c r="AC3761" s="0" t="str">
        <f aca="false">IF(W3761=1,"",IF(AND(Y3761=1,AA3761&lt;&gt;1),1,0))</f>
        <v/>
      </c>
      <c r="AD3761" s="33" t="str">
        <f aca="false">IF(AND(E3761&gt;0,W3761&lt;1,NOT(AND(C3762=C3761,W3762=W3761+1))),INDEX(DATAS,W3761+1),"")</f>
        <v/>
      </c>
      <c r="AE3761" s="33" t="str">
        <f aca="false">IF(AND(Y3761=1,W3761&lt;1),IF(AND(C3762=C3761,W3762=W3761+1),IF(Y3762=1,"",INDEX(DATAS,W3761+1)),INDEX(DATAS,W3761+1)),"")</f>
        <v/>
      </c>
    </row>
    <row r="3762" customFormat="false" ht="15" hidden="false" customHeight="false" outlineLevel="0" collapsed="false">
      <c r="A3762" s="33" t="n">
        <v>46309</v>
      </c>
      <c r="B3762" s="0" t="n">
        <v>15</v>
      </c>
      <c r="C3762" s="0" t="n">
        <v>30391</v>
      </c>
      <c r="E3762" s="0" t="n">
        <v>0</v>
      </c>
      <c r="F3762" s="27" t="s">
        <v>1388</v>
      </c>
      <c r="I3762" s="27" t="s">
        <v>136</v>
      </c>
      <c r="U3762" s="0" t="n">
        <v>320</v>
      </c>
      <c r="V3762" s="0" t="n">
        <v>0</v>
      </c>
      <c r="W3762" s="27" t="n">
        <f aca="false">MATCH(A3762,DATAS,0)</f>
        <v>1</v>
      </c>
      <c r="X3762" s="27" t="n">
        <f aca="false">IF(AND(E3762&gt;0,OR(AND(B3762&gt;=1,B3762&lt;=6),B3762=10)),1,0)</f>
        <v>0</v>
      </c>
      <c r="Y3762" s="27" t="n">
        <f aca="false">IF(AND(E3762&gt;0,B3762=10),1,0)</f>
        <v>0</v>
      </c>
      <c r="Z3762" s="0" t="str">
        <f aca="false">IF(AND(C3761=C3762,W3761=W3762-1),X3761,"")</f>
        <v/>
      </c>
      <c r="AA3762" s="0" t="str">
        <f aca="false">IF(AND(C3761=C3762,W3761=W3762-1),Y3761,"")</f>
        <v/>
      </c>
      <c r="AB3762" s="0" t="str">
        <f aca="false">IF(W3762=1,"",IF(AND(X3762=1,Z3762&lt;&gt;1),1,0))</f>
        <v/>
      </c>
      <c r="AC3762" s="0" t="str">
        <f aca="false">IF(W3762=1,"",IF(AND(Y3762=1,AA3762&lt;&gt;1),1,0))</f>
        <v/>
      </c>
      <c r="AD3762" s="33" t="str">
        <f aca="false">IF(AND(E3762&gt;0,W3762&lt;1,NOT(AND(C3763=C3762,W3763=W3762+1))),INDEX(DATAS,W3762+1),"")</f>
        <v/>
      </c>
      <c r="AE3762" s="33" t="str">
        <f aca="false">IF(AND(Y3762=1,W3762&lt;1),IF(AND(C3763=C3762,W3763=W3762+1),IF(Y3763=1,"",INDEX(DATAS,W3762+1)),INDEX(DATAS,W3762+1)),"")</f>
        <v/>
      </c>
    </row>
    <row r="3763" customFormat="false" ht="15" hidden="false" customHeight="false" outlineLevel="0" collapsed="false">
      <c r="A3763" s="33" t="n">
        <v>46309</v>
      </c>
      <c r="B3763" s="0" t="n">
        <v>15</v>
      </c>
      <c r="C3763" s="0" t="n">
        <v>30394</v>
      </c>
      <c r="E3763" s="0" t="n">
        <v>0</v>
      </c>
      <c r="F3763" s="27" t="s">
        <v>1389</v>
      </c>
      <c r="I3763" s="27" t="s">
        <v>136</v>
      </c>
      <c r="U3763" s="0" t="n">
        <v>319</v>
      </c>
      <c r="V3763" s="0" t="n">
        <v>0</v>
      </c>
      <c r="W3763" s="27" t="n">
        <f aca="false">MATCH(A3763,DATAS,0)</f>
        <v>1</v>
      </c>
      <c r="X3763" s="27" t="n">
        <f aca="false">IF(AND(E3763&gt;0,OR(AND(B3763&gt;=1,B3763&lt;=6),B3763=10)),1,0)</f>
        <v>0</v>
      </c>
      <c r="Y3763" s="27" t="n">
        <f aca="false">IF(AND(E3763&gt;0,B3763=10),1,0)</f>
        <v>0</v>
      </c>
      <c r="Z3763" s="0" t="str">
        <f aca="false">IF(AND(C3762=C3763,W3762=W3763-1),X3762,"")</f>
        <v/>
      </c>
      <c r="AA3763" s="0" t="str">
        <f aca="false">IF(AND(C3762=C3763,W3762=W3763-1),Y3762,"")</f>
        <v/>
      </c>
      <c r="AB3763" s="0" t="str">
        <f aca="false">IF(W3763=1,"",IF(AND(X3763=1,Z3763&lt;&gt;1),1,0))</f>
        <v/>
      </c>
      <c r="AC3763" s="0" t="str">
        <f aca="false">IF(W3763=1,"",IF(AND(Y3763=1,AA3763&lt;&gt;1),1,0))</f>
        <v/>
      </c>
      <c r="AD3763" s="33" t="str">
        <f aca="false">IF(AND(E3763&gt;0,W3763&lt;1,NOT(AND(C3764=C3763,W3764=W3763+1))),INDEX(DATAS,W3763+1),"")</f>
        <v/>
      </c>
      <c r="AE3763" s="33" t="str">
        <f aca="false">IF(AND(Y3763=1,W3763&lt;1),IF(AND(C3764=C3763,W3764=W3763+1),IF(Y3764=1,"",INDEX(DATAS,W3763+1)),INDEX(DATAS,W3763+1)),"")</f>
        <v/>
      </c>
    </row>
    <row r="3764" customFormat="false" ht="15" hidden="false" customHeight="false" outlineLevel="0" collapsed="false">
      <c r="A3764" s="33" t="n">
        <v>46309</v>
      </c>
      <c r="B3764" s="0" t="n">
        <v>15</v>
      </c>
      <c r="C3764" s="0" t="n">
        <v>30397</v>
      </c>
      <c r="E3764" s="0" t="n">
        <v>0</v>
      </c>
      <c r="F3764" s="27" t="s">
        <v>1390</v>
      </c>
      <c r="I3764" s="27" t="s">
        <v>136</v>
      </c>
      <c r="U3764" s="0" t="n">
        <v>318</v>
      </c>
      <c r="V3764" s="0" t="n">
        <v>0</v>
      </c>
      <c r="W3764" s="27" t="n">
        <f aca="false">MATCH(A3764,DATAS,0)</f>
        <v>1</v>
      </c>
      <c r="X3764" s="27" t="n">
        <f aca="false">IF(AND(E3764&gt;0,OR(AND(B3764&gt;=1,B3764&lt;=6),B3764=10)),1,0)</f>
        <v>0</v>
      </c>
      <c r="Y3764" s="27" t="n">
        <f aca="false">IF(AND(E3764&gt;0,B3764=10),1,0)</f>
        <v>0</v>
      </c>
      <c r="Z3764" s="0" t="str">
        <f aca="false">IF(AND(C3763=C3764,W3763=W3764-1),X3763,"")</f>
        <v/>
      </c>
      <c r="AA3764" s="0" t="str">
        <f aca="false">IF(AND(C3763=C3764,W3763=W3764-1),Y3763,"")</f>
        <v/>
      </c>
      <c r="AB3764" s="0" t="str">
        <f aca="false">IF(W3764=1,"",IF(AND(X3764=1,Z3764&lt;&gt;1),1,0))</f>
        <v/>
      </c>
      <c r="AC3764" s="0" t="str">
        <f aca="false">IF(W3764=1,"",IF(AND(Y3764=1,AA3764&lt;&gt;1),1,0))</f>
        <v/>
      </c>
      <c r="AD3764" s="33" t="str">
        <f aca="false">IF(AND(E3764&gt;0,W3764&lt;1,NOT(AND(C3765=C3764,W3765=W3764+1))),INDEX(DATAS,W3764+1),"")</f>
        <v/>
      </c>
      <c r="AE3764" s="33" t="str">
        <f aca="false">IF(AND(Y3764=1,W3764&lt;1),IF(AND(C3765=C3764,W3765=W3764+1),IF(Y3765=1,"",INDEX(DATAS,W3764+1)),INDEX(DATAS,W3764+1)),"")</f>
        <v/>
      </c>
    </row>
    <row r="3765" customFormat="false" ht="15" hidden="false" customHeight="false" outlineLevel="0" collapsed="false">
      <c r="A3765" s="33" t="n">
        <v>46309</v>
      </c>
      <c r="B3765" s="0" t="n">
        <v>15</v>
      </c>
      <c r="C3765" s="0" t="n">
        <v>30399</v>
      </c>
      <c r="E3765" s="0" t="n">
        <v>0</v>
      </c>
      <c r="F3765" s="27" t="s">
        <v>1392</v>
      </c>
      <c r="I3765" s="27" t="s">
        <v>136</v>
      </c>
      <c r="U3765" s="0" t="n">
        <v>316</v>
      </c>
      <c r="V3765" s="0" t="n">
        <v>0</v>
      </c>
      <c r="W3765" s="27" t="n">
        <f aca="false">MATCH(A3765,DATAS,0)</f>
        <v>1</v>
      </c>
      <c r="X3765" s="27" t="n">
        <f aca="false">IF(AND(E3765&gt;0,OR(AND(B3765&gt;=1,B3765&lt;=6),B3765=10)),1,0)</f>
        <v>0</v>
      </c>
      <c r="Y3765" s="27" t="n">
        <f aca="false">IF(AND(E3765&gt;0,B3765=10),1,0)</f>
        <v>0</v>
      </c>
      <c r="Z3765" s="0" t="str">
        <f aca="false">IF(AND(C3764=C3765,W3764=W3765-1),X3764,"")</f>
        <v/>
      </c>
      <c r="AA3765" s="0" t="str">
        <f aca="false">IF(AND(C3764=C3765,W3764=W3765-1),Y3764,"")</f>
        <v/>
      </c>
      <c r="AB3765" s="0" t="str">
        <f aca="false">IF(W3765=1,"",IF(AND(X3765=1,Z3765&lt;&gt;1),1,0))</f>
        <v/>
      </c>
      <c r="AC3765" s="0" t="str">
        <f aca="false">IF(W3765=1,"",IF(AND(Y3765=1,AA3765&lt;&gt;1),1,0))</f>
        <v/>
      </c>
      <c r="AD3765" s="33" t="str">
        <f aca="false">IF(AND(E3765&gt;0,W3765&lt;1,NOT(AND(C3766=C3765,W3766=W3765+1))),INDEX(DATAS,W3765+1),"")</f>
        <v/>
      </c>
      <c r="AE3765" s="33" t="str">
        <f aca="false">IF(AND(Y3765=1,W3765&lt;1),IF(AND(C3766=C3765,W3766=W3765+1),IF(Y3766=1,"",INDEX(DATAS,W3765+1)),INDEX(DATAS,W3765+1)),"")</f>
        <v/>
      </c>
    </row>
    <row r="3766" customFormat="false" ht="15" hidden="false" customHeight="false" outlineLevel="0" collapsed="false">
      <c r="A3766" s="33" t="n">
        <v>46309</v>
      </c>
      <c r="B3766" s="0" t="n">
        <v>10</v>
      </c>
      <c r="C3766" s="0" t="n">
        <v>30400</v>
      </c>
      <c r="E3766" s="0" t="n">
        <v>0</v>
      </c>
      <c r="F3766" s="27" t="s">
        <v>1391</v>
      </c>
      <c r="I3766" s="27" t="s">
        <v>136</v>
      </c>
      <c r="U3766" s="0" t="n">
        <v>317</v>
      </c>
      <c r="V3766" s="0" t="n">
        <v>0</v>
      </c>
      <c r="W3766" s="27" t="n">
        <f aca="false">MATCH(A3766,DATAS,0)</f>
        <v>1</v>
      </c>
      <c r="X3766" s="27" t="n">
        <f aca="false">IF(AND(E3766&gt;0,OR(AND(B3766&gt;=1,B3766&lt;=6),B3766=10)),1,0)</f>
        <v>0</v>
      </c>
      <c r="Y3766" s="27" t="n">
        <f aca="false">IF(AND(E3766&gt;0,B3766=10),1,0)</f>
        <v>0</v>
      </c>
      <c r="Z3766" s="0" t="str">
        <f aca="false">IF(AND(C3765=C3766,W3765=W3766-1),X3765,"")</f>
        <v/>
      </c>
      <c r="AA3766" s="0" t="str">
        <f aca="false">IF(AND(C3765=C3766,W3765=W3766-1),Y3765,"")</f>
        <v/>
      </c>
      <c r="AB3766" s="0" t="str">
        <f aca="false">IF(W3766=1,"",IF(AND(X3766=1,Z3766&lt;&gt;1),1,0))</f>
        <v/>
      </c>
      <c r="AC3766" s="0" t="str">
        <f aca="false">IF(W3766=1,"",IF(AND(Y3766=1,AA3766&lt;&gt;1),1,0))</f>
        <v/>
      </c>
      <c r="AD3766" s="33" t="str">
        <f aca="false">IF(AND(E3766&gt;0,W3766&lt;1,NOT(AND(C3767=C3766,W3767=W3766+1))),INDEX(DATAS,W3766+1),"")</f>
        <v/>
      </c>
      <c r="AE3766" s="33" t="str">
        <f aca="false">IF(AND(Y3766=1,W3766&lt;1),IF(AND(C3767=C3766,W3767=W3766+1),IF(Y3767=1,"",INDEX(DATAS,W3766+1)),INDEX(DATAS,W3766+1)),"")</f>
        <v/>
      </c>
    </row>
    <row r="3767" customFormat="false" ht="15" hidden="false" customHeight="false" outlineLevel="0" collapsed="false">
      <c r="A3767" s="33" t="n">
        <v>46309</v>
      </c>
      <c r="B3767" s="0" t="n">
        <v>15</v>
      </c>
      <c r="C3767" s="0" t="n">
        <v>30402</v>
      </c>
      <c r="E3767" s="0" t="n">
        <v>0</v>
      </c>
      <c r="F3767" s="27" t="s">
        <v>1394</v>
      </c>
      <c r="I3767" s="27" t="s">
        <v>136</v>
      </c>
      <c r="U3767" s="0" t="n">
        <v>314</v>
      </c>
      <c r="V3767" s="0" t="n">
        <v>0</v>
      </c>
      <c r="W3767" s="27" t="n">
        <f aca="false">MATCH(A3767,DATAS,0)</f>
        <v>1</v>
      </c>
      <c r="X3767" s="27" t="n">
        <f aca="false">IF(AND(E3767&gt;0,OR(AND(B3767&gt;=1,B3767&lt;=6),B3767=10)),1,0)</f>
        <v>0</v>
      </c>
      <c r="Y3767" s="27" t="n">
        <f aca="false">IF(AND(E3767&gt;0,B3767=10),1,0)</f>
        <v>0</v>
      </c>
      <c r="Z3767" s="0" t="str">
        <f aca="false">IF(AND(C3766=C3767,W3766=W3767-1),X3766,"")</f>
        <v/>
      </c>
      <c r="AA3767" s="0" t="str">
        <f aca="false">IF(AND(C3766=C3767,W3766=W3767-1),Y3766,"")</f>
        <v/>
      </c>
      <c r="AB3767" s="0" t="str">
        <f aca="false">IF(W3767=1,"",IF(AND(X3767=1,Z3767&lt;&gt;1),1,0))</f>
        <v/>
      </c>
      <c r="AC3767" s="0" t="str">
        <f aca="false">IF(W3767=1,"",IF(AND(Y3767=1,AA3767&lt;&gt;1),1,0))</f>
        <v/>
      </c>
      <c r="AD3767" s="33" t="str">
        <f aca="false">IF(AND(E3767&gt;0,W3767&lt;1,NOT(AND(C3768=C3767,W3768=W3767+1))),INDEX(DATAS,W3767+1),"")</f>
        <v/>
      </c>
      <c r="AE3767" s="33" t="str">
        <f aca="false">IF(AND(Y3767=1,W3767&lt;1),IF(AND(C3768=C3767,W3768=W3767+1),IF(Y3768=1,"",INDEX(DATAS,W3767+1)),INDEX(DATAS,W3767+1)),"")</f>
        <v/>
      </c>
    </row>
    <row r="3768" customFormat="false" ht="15" hidden="false" customHeight="false" outlineLevel="0" collapsed="false">
      <c r="A3768" s="33" t="n">
        <v>46309</v>
      </c>
      <c r="B3768" s="0" t="n">
        <v>15</v>
      </c>
      <c r="C3768" s="0" t="n">
        <v>30404</v>
      </c>
      <c r="E3768" s="0" t="n">
        <v>0</v>
      </c>
      <c r="F3768" s="27" t="s">
        <v>1395</v>
      </c>
      <c r="I3768" s="27" t="s">
        <v>136</v>
      </c>
      <c r="U3768" s="0" t="n">
        <v>313</v>
      </c>
      <c r="V3768" s="0" t="n">
        <v>0</v>
      </c>
      <c r="W3768" s="27" t="n">
        <f aca="false">MATCH(A3768,DATAS,0)</f>
        <v>1</v>
      </c>
      <c r="X3768" s="27" t="n">
        <f aca="false">IF(AND(E3768&gt;0,OR(AND(B3768&gt;=1,B3768&lt;=6),B3768=10)),1,0)</f>
        <v>0</v>
      </c>
      <c r="Y3768" s="27" t="n">
        <f aca="false">IF(AND(E3768&gt;0,B3768=10),1,0)</f>
        <v>0</v>
      </c>
      <c r="Z3768" s="0" t="str">
        <f aca="false">IF(AND(C3767=C3768,W3767=W3768-1),X3767,"")</f>
        <v/>
      </c>
      <c r="AA3768" s="0" t="str">
        <f aca="false">IF(AND(C3767=C3768,W3767=W3768-1),Y3767,"")</f>
        <v/>
      </c>
      <c r="AB3768" s="0" t="str">
        <f aca="false">IF(W3768=1,"",IF(AND(X3768=1,Z3768&lt;&gt;1),1,0))</f>
        <v/>
      </c>
      <c r="AC3768" s="0" t="str">
        <f aca="false">IF(W3768=1,"",IF(AND(Y3768=1,AA3768&lt;&gt;1),1,0))</f>
        <v/>
      </c>
      <c r="AD3768" s="33" t="str">
        <f aca="false">IF(AND(E3768&gt;0,W3768&lt;1,NOT(AND(C3769=C3768,W3769=W3768+1))),INDEX(DATAS,W3768+1),"")</f>
        <v/>
      </c>
      <c r="AE3768" s="33" t="str">
        <f aca="false">IF(AND(Y3768=1,W3768&lt;1),IF(AND(C3769=C3768,W3769=W3768+1),IF(Y3769=1,"",INDEX(DATAS,W3768+1)),INDEX(DATAS,W3768+1)),"")</f>
        <v/>
      </c>
    </row>
    <row r="3769" customFormat="false" ht="15" hidden="false" customHeight="false" outlineLevel="0" collapsed="false">
      <c r="A3769" s="33" t="n">
        <v>46309</v>
      </c>
      <c r="B3769" s="0" t="n">
        <v>15</v>
      </c>
      <c r="C3769" s="0" t="n">
        <v>30405</v>
      </c>
      <c r="E3769" s="0" t="n">
        <v>0</v>
      </c>
      <c r="F3769" s="27" t="s">
        <v>1395</v>
      </c>
      <c r="I3769" s="27" t="s">
        <v>136</v>
      </c>
      <c r="U3769" s="0" t="n">
        <v>313</v>
      </c>
      <c r="V3769" s="0" t="n">
        <v>0</v>
      </c>
      <c r="W3769" s="27" t="n">
        <f aca="false">MATCH(A3769,DATAS,0)</f>
        <v>1</v>
      </c>
      <c r="X3769" s="27" t="n">
        <f aca="false">IF(AND(E3769&gt;0,OR(AND(B3769&gt;=1,B3769&lt;=6),B3769=10)),1,0)</f>
        <v>0</v>
      </c>
      <c r="Y3769" s="27" t="n">
        <f aca="false">IF(AND(E3769&gt;0,B3769=10),1,0)</f>
        <v>0</v>
      </c>
      <c r="Z3769" s="0" t="str">
        <f aca="false">IF(AND(C3768=C3769,W3768=W3769-1),X3768,"")</f>
        <v/>
      </c>
      <c r="AA3769" s="0" t="str">
        <f aca="false">IF(AND(C3768=C3769,W3768=W3769-1),Y3768,"")</f>
        <v/>
      </c>
      <c r="AB3769" s="0" t="str">
        <f aca="false">IF(W3769=1,"",IF(AND(X3769=1,Z3769&lt;&gt;1),1,0))</f>
        <v/>
      </c>
      <c r="AC3769" s="0" t="str">
        <f aca="false">IF(W3769=1,"",IF(AND(Y3769=1,AA3769&lt;&gt;1),1,0))</f>
        <v/>
      </c>
      <c r="AD3769" s="33" t="str">
        <f aca="false">IF(AND(E3769&gt;0,W3769&lt;1,NOT(AND(C3770=C3769,W3770=W3769+1))),INDEX(DATAS,W3769+1),"")</f>
        <v/>
      </c>
      <c r="AE3769" s="33" t="str">
        <f aca="false">IF(AND(Y3769=1,W3769&lt;1),IF(AND(C3770=C3769,W3770=W3769+1),IF(Y3770=1,"",INDEX(DATAS,W3769+1)),INDEX(DATAS,W3769+1)),"")</f>
        <v/>
      </c>
    </row>
    <row r="3770" customFormat="false" ht="15" hidden="false" customHeight="false" outlineLevel="0" collapsed="false">
      <c r="A3770" s="33" t="n">
        <v>46309</v>
      </c>
      <c r="B3770" s="0" t="n">
        <v>15</v>
      </c>
      <c r="C3770" s="0" t="n">
        <v>30415</v>
      </c>
      <c r="E3770" s="0" t="n">
        <v>0</v>
      </c>
      <c r="F3770" s="27" t="s">
        <v>1400</v>
      </c>
      <c r="I3770" s="27" t="s">
        <v>136</v>
      </c>
      <c r="U3770" s="0" t="n">
        <v>307</v>
      </c>
      <c r="V3770" s="0" t="n">
        <v>0</v>
      </c>
      <c r="W3770" s="27" t="n">
        <f aca="false">MATCH(A3770,DATAS,0)</f>
        <v>1</v>
      </c>
      <c r="X3770" s="27" t="n">
        <f aca="false">IF(AND(E3770&gt;0,OR(AND(B3770&gt;=1,B3770&lt;=6),B3770=10)),1,0)</f>
        <v>0</v>
      </c>
      <c r="Y3770" s="27" t="n">
        <f aca="false">IF(AND(E3770&gt;0,B3770=10),1,0)</f>
        <v>0</v>
      </c>
      <c r="Z3770" s="0" t="str">
        <f aca="false">IF(AND(C3769=C3770,W3769=W3770-1),X3769,"")</f>
        <v/>
      </c>
      <c r="AA3770" s="0" t="str">
        <f aca="false">IF(AND(C3769=C3770,W3769=W3770-1),Y3769,"")</f>
        <v/>
      </c>
      <c r="AB3770" s="0" t="str">
        <f aca="false">IF(W3770=1,"",IF(AND(X3770=1,Z3770&lt;&gt;1),1,0))</f>
        <v/>
      </c>
      <c r="AC3770" s="0" t="str">
        <f aca="false">IF(W3770=1,"",IF(AND(Y3770=1,AA3770&lt;&gt;1),1,0))</f>
        <v/>
      </c>
      <c r="AD3770" s="33" t="str">
        <f aca="false">IF(AND(E3770&gt;0,W3770&lt;1,NOT(AND(C3771=C3770,W3771=W3770+1))),INDEX(DATAS,W3770+1),"")</f>
        <v/>
      </c>
      <c r="AE3770" s="33" t="str">
        <f aca="false">IF(AND(Y3770=1,W3770&lt;1),IF(AND(C3771=C3770,W3771=W3770+1),IF(Y3771=1,"",INDEX(DATAS,W3770+1)),INDEX(DATAS,W3770+1)),"")</f>
        <v/>
      </c>
    </row>
    <row r="3771" customFormat="false" ht="15" hidden="false" customHeight="false" outlineLevel="0" collapsed="false">
      <c r="A3771" s="33" t="n">
        <v>46309</v>
      </c>
      <c r="B3771" s="0" t="n">
        <v>15</v>
      </c>
      <c r="C3771" s="0" t="n">
        <v>30416</v>
      </c>
      <c r="E3771" s="0" t="n">
        <v>0</v>
      </c>
      <c r="F3771" s="27" t="s">
        <v>1402</v>
      </c>
      <c r="I3771" s="27" t="s">
        <v>136</v>
      </c>
      <c r="U3771" s="0" t="n">
        <v>305</v>
      </c>
      <c r="V3771" s="0" t="n">
        <v>0</v>
      </c>
      <c r="W3771" s="27" t="n">
        <f aca="false">MATCH(A3771,DATAS,0)</f>
        <v>1</v>
      </c>
      <c r="X3771" s="27" t="n">
        <f aca="false">IF(AND(E3771&gt;0,OR(AND(B3771&gt;=1,B3771&lt;=6),B3771=10)),1,0)</f>
        <v>0</v>
      </c>
      <c r="Y3771" s="27" t="n">
        <f aca="false">IF(AND(E3771&gt;0,B3771=10),1,0)</f>
        <v>0</v>
      </c>
      <c r="Z3771" s="0" t="str">
        <f aca="false">IF(AND(C3770=C3771,W3770=W3771-1),X3770,"")</f>
        <v/>
      </c>
      <c r="AA3771" s="0" t="str">
        <f aca="false">IF(AND(C3770=C3771,W3770=W3771-1),Y3770,"")</f>
        <v/>
      </c>
      <c r="AB3771" s="0" t="str">
        <f aca="false">IF(W3771=1,"",IF(AND(X3771=1,Z3771&lt;&gt;1),1,0))</f>
        <v/>
      </c>
      <c r="AC3771" s="0" t="str">
        <f aca="false">IF(W3771=1,"",IF(AND(Y3771=1,AA3771&lt;&gt;1),1,0))</f>
        <v/>
      </c>
      <c r="AD3771" s="33" t="str">
        <f aca="false">IF(AND(E3771&gt;0,W3771&lt;1,NOT(AND(C3772=C3771,W3772=W3771+1))),INDEX(DATAS,W3771+1),"")</f>
        <v/>
      </c>
      <c r="AE3771" s="33" t="str">
        <f aca="false">IF(AND(Y3771=1,W3771&lt;1),IF(AND(C3772=C3771,W3772=W3771+1),IF(Y3772=1,"",INDEX(DATAS,W3771+1)),INDEX(DATAS,W3771+1)),"")</f>
        <v/>
      </c>
    </row>
    <row r="3772" customFormat="false" ht="15" hidden="false" customHeight="false" outlineLevel="0" collapsed="false">
      <c r="A3772" s="33" t="n">
        <v>46309</v>
      </c>
      <c r="B3772" s="0" t="n">
        <v>15</v>
      </c>
      <c r="C3772" s="0" t="n">
        <v>30419</v>
      </c>
      <c r="E3772" s="0" t="n">
        <v>0</v>
      </c>
      <c r="F3772" s="27" t="s">
        <v>1404</v>
      </c>
      <c r="I3772" s="27" t="s">
        <v>136</v>
      </c>
      <c r="U3772" s="0" t="n">
        <v>303</v>
      </c>
      <c r="V3772" s="0" t="n">
        <v>0</v>
      </c>
      <c r="W3772" s="27" t="n">
        <f aca="false">MATCH(A3772,DATAS,0)</f>
        <v>1</v>
      </c>
      <c r="X3772" s="27" t="n">
        <f aca="false">IF(AND(E3772&gt;0,OR(AND(B3772&gt;=1,B3772&lt;=6),B3772=10)),1,0)</f>
        <v>0</v>
      </c>
      <c r="Y3772" s="27" t="n">
        <f aca="false">IF(AND(E3772&gt;0,B3772=10),1,0)</f>
        <v>0</v>
      </c>
      <c r="Z3772" s="0" t="str">
        <f aca="false">IF(AND(C3771=C3772,W3771=W3772-1),X3771,"")</f>
        <v/>
      </c>
      <c r="AA3772" s="0" t="str">
        <f aca="false">IF(AND(C3771=C3772,W3771=W3772-1),Y3771,"")</f>
        <v/>
      </c>
      <c r="AB3772" s="0" t="str">
        <f aca="false">IF(W3772=1,"",IF(AND(X3772=1,Z3772&lt;&gt;1),1,0))</f>
        <v/>
      </c>
      <c r="AC3772" s="0" t="str">
        <f aca="false">IF(W3772=1,"",IF(AND(Y3772=1,AA3772&lt;&gt;1),1,0))</f>
        <v/>
      </c>
      <c r="AD3772" s="33" t="str">
        <f aca="false">IF(AND(E3772&gt;0,W3772&lt;1,NOT(AND(C3773=C3772,W3773=W3772+1))),INDEX(DATAS,W3772+1),"")</f>
        <v/>
      </c>
      <c r="AE3772" s="33" t="str">
        <f aca="false">IF(AND(Y3772=1,W3772&lt;1),IF(AND(C3773=C3772,W3773=W3772+1),IF(Y3773=1,"",INDEX(DATAS,W3772+1)),INDEX(DATAS,W3772+1)),"")</f>
        <v/>
      </c>
    </row>
    <row r="3773" customFormat="false" ht="15" hidden="false" customHeight="false" outlineLevel="0" collapsed="false">
      <c r="A3773" s="33" t="n">
        <v>46309</v>
      </c>
      <c r="B3773" s="0" t="n">
        <v>15</v>
      </c>
      <c r="C3773" s="0" t="n">
        <v>30420</v>
      </c>
      <c r="E3773" s="0" t="n">
        <v>0</v>
      </c>
      <c r="F3773" s="27" t="s">
        <v>1404</v>
      </c>
      <c r="I3773" s="27" t="s">
        <v>136</v>
      </c>
      <c r="U3773" s="0" t="n">
        <v>303</v>
      </c>
      <c r="V3773" s="0" t="n">
        <v>0</v>
      </c>
      <c r="W3773" s="27" t="n">
        <f aca="false">MATCH(A3773,DATAS,0)</f>
        <v>1</v>
      </c>
      <c r="X3773" s="27" t="n">
        <f aca="false">IF(AND(E3773&gt;0,OR(AND(B3773&gt;=1,B3773&lt;=6),B3773=10)),1,0)</f>
        <v>0</v>
      </c>
      <c r="Y3773" s="27" t="n">
        <f aca="false">IF(AND(E3773&gt;0,B3773=10),1,0)</f>
        <v>0</v>
      </c>
      <c r="Z3773" s="0" t="str">
        <f aca="false">IF(AND(C3772=C3773,W3772=W3773-1),X3772,"")</f>
        <v/>
      </c>
      <c r="AA3773" s="0" t="str">
        <f aca="false">IF(AND(C3772=C3773,W3772=W3773-1),Y3772,"")</f>
        <v/>
      </c>
      <c r="AB3773" s="0" t="str">
        <f aca="false">IF(W3773=1,"",IF(AND(X3773=1,Z3773&lt;&gt;1),1,0))</f>
        <v/>
      </c>
      <c r="AC3773" s="0" t="str">
        <f aca="false">IF(W3773=1,"",IF(AND(Y3773=1,AA3773&lt;&gt;1),1,0))</f>
        <v/>
      </c>
      <c r="AD3773" s="33" t="str">
        <f aca="false">IF(AND(E3773&gt;0,W3773&lt;1,NOT(AND(C3774=C3773,W3774=W3773+1))),INDEX(DATAS,W3773+1),"")</f>
        <v/>
      </c>
      <c r="AE3773" s="33" t="str">
        <f aca="false">IF(AND(Y3773=1,W3773&lt;1),IF(AND(C3774=C3773,W3774=W3773+1),IF(Y3774=1,"",INDEX(DATAS,W3773+1)),INDEX(DATAS,W3773+1)),"")</f>
        <v/>
      </c>
    </row>
    <row r="3774" customFormat="false" ht="15" hidden="false" customHeight="false" outlineLevel="0" collapsed="false">
      <c r="A3774" s="33" t="n">
        <v>46309</v>
      </c>
      <c r="B3774" s="0" t="n">
        <v>15</v>
      </c>
      <c r="C3774" s="0" t="n">
        <v>30422</v>
      </c>
      <c r="E3774" s="0" t="n">
        <v>0</v>
      </c>
      <c r="F3774" s="27" t="s">
        <v>1405</v>
      </c>
      <c r="I3774" s="27" t="s">
        <v>136</v>
      </c>
      <c r="U3774" s="0" t="n">
        <v>302</v>
      </c>
      <c r="V3774" s="0" t="n">
        <v>0</v>
      </c>
      <c r="W3774" s="27" t="n">
        <f aca="false">MATCH(A3774,DATAS,0)</f>
        <v>1</v>
      </c>
      <c r="X3774" s="27" t="n">
        <f aca="false">IF(AND(E3774&gt;0,OR(AND(B3774&gt;=1,B3774&lt;=6),B3774=10)),1,0)</f>
        <v>0</v>
      </c>
      <c r="Y3774" s="27" t="n">
        <f aca="false">IF(AND(E3774&gt;0,B3774=10),1,0)</f>
        <v>0</v>
      </c>
      <c r="Z3774" s="0" t="str">
        <f aca="false">IF(AND(C3773=C3774,W3773=W3774-1),X3773,"")</f>
        <v/>
      </c>
      <c r="AA3774" s="0" t="str">
        <f aca="false">IF(AND(C3773=C3774,W3773=W3774-1),Y3773,"")</f>
        <v/>
      </c>
      <c r="AB3774" s="0" t="str">
        <f aca="false">IF(W3774=1,"",IF(AND(X3774=1,Z3774&lt;&gt;1),1,0))</f>
        <v/>
      </c>
      <c r="AC3774" s="0" t="str">
        <f aca="false">IF(W3774=1,"",IF(AND(Y3774=1,AA3774&lt;&gt;1),1,0))</f>
        <v/>
      </c>
      <c r="AD3774" s="33" t="str">
        <f aca="false">IF(AND(E3774&gt;0,W3774&lt;1,NOT(AND(C3775=C3774,W3775=W3774+1))),INDEX(DATAS,W3774+1),"")</f>
        <v/>
      </c>
      <c r="AE3774" s="33" t="str">
        <f aca="false">IF(AND(Y3774=1,W3774&lt;1),IF(AND(C3775=C3774,W3775=W3774+1),IF(Y3775=1,"",INDEX(DATAS,W3774+1)),INDEX(DATAS,W3774+1)),"")</f>
        <v/>
      </c>
    </row>
    <row r="3775" customFormat="false" ht="15" hidden="false" customHeight="false" outlineLevel="0" collapsed="false">
      <c r="A3775" s="33" t="n">
        <v>46309</v>
      </c>
      <c r="B3775" s="0" t="n">
        <v>10</v>
      </c>
      <c r="C3775" s="0" t="n">
        <v>30424</v>
      </c>
      <c r="D3775" s="0" t="n">
        <v>152</v>
      </c>
      <c r="E3775" s="0" t="n">
        <v>1</v>
      </c>
      <c r="F3775" s="27" t="s">
        <v>321</v>
      </c>
      <c r="G3775" s="0" t="n">
        <v>30.5</v>
      </c>
      <c r="H3775" s="0" t="n">
        <v>41</v>
      </c>
      <c r="I3775" s="27" t="s">
        <v>168</v>
      </c>
      <c r="J3775" s="0" t="n">
        <v>152</v>
      </c>
      <c r="K3775" s="0" t="n">
        <v>64</v>
      </c>
      <c r="P3775" s="0" t="n">
        <v>0</v>
      </c>
      <c r="Q3775" s="0" t="n">
        <v>0</v>
      </c>
      <c r="S3775" s="0" t="n">
        <v>10808</v>
      </c>
      <c r="U3775" s="0" t="n">
        <v>1841</v>
      </c>
      <c r="V3775" s="0" t="n">
        <v>3</v>
      </c>
      <c r="W3775" s="27" t="n">
        <f aca="false">MATCH(A3775,DATAS,0)</f>
        <v>1</v>
      </c>
      <c r="X3775" s="27" t="n">
        <f aca="false">IF(AND(E3775&gt;0,OR(AND(B3775&gt;=1,B3775&lt;=6),B3775=10)),1,0)</f>
        <v>1</v>
      </c>
      <c r="Y3775" s="27" t="n">
        <f aca="false">IF(AND(E3775&gt;0,B3775=10),1,0)</f>
        <v>1</v>
      </c>
      <c r="Z3775" s="0" t="str">
        <f aca="false">IF(AND(C3774=C3775,W3774=W3775-1),X3774,"")</f>
        <v/>
      </c>
      <c r="AA3775" s="0" t="str">
        <f aca="false">IF(AND(C3774=C3775,W3774=W3775-1),Y3774,"")</f>
        <v/>
      </c>
      <c r="AB3775" s="0" t="str">
        <f aca="false">IF(W3775=1,"",IF(AND(X3775=1,Z3775&lt;&gt;1),1,0))</f>
        <v/>
      </c>
      <c r="AC3775" s="0" t="str">
        <f aca="false">IF(W3775=1,"",IF(AND(Y3775=1,AA3775&lt;&gt;1),1,0))</f>
        <v/>
      </c>
      <c r="AD3775" s="33" t="str">
        <f aca="false">IF(AND(E3775&gt;0,W3775&lt;1,NOT(AND(C3776=C3775,W3776=W3775+1))),INDEX(DATAS,W3775+1),"")</f>
        <v/>
      </c>
      <c r="AE3775" s="33" t="str">
        <f aca="false">IF(AND(Y3775=1,W3775&lt;1),IF(AND(C3776=C3775,W3776=W3775+1),IF(Y3776=1,"",INDEX(DATAS,W3775+1)),INDEX(DATAS,W3775+1)),"")</f>
        <v/>
      </c>
    </row>
    <row r="3776" customFormat="false" ht="15" hidden="false" customHeight="false" outlineLevel="0" collapsed="false">
      <c r="A3776" s="33" t="n">
        <v>46309</v>
      </c>
      <c r="B3776" s="0" t="n">
        <v>15</v>
      </c>
      <c r="C3776" s="0" t="n">
        <v>30425</v>
      </c>
      <c r="E3776" s="0" t="n">
        <v>0</v>
      </c>
      <c r="F3776" s="27" t="s">
        <v>1409</v>
      </c>
      <c r="I3776" s="27" t="s">
        <v>136</v>
      </c>
      <c r="U3776" s="0" t="n">
        <v>297</v>
      </c>
      <c r="V3776" s="0" t="n">
        <v>0</v>
      </c>
      <c r="W3776" s="27" t="n">
        <f aca="false">MATCH(A3776,DATAS,0)</f>
        <v>1</v>
      </c>
      <c r="X3776" s="27" t="n">
        <f aca="false">IF(AND(E3776&gt;0,OR(AND(B3776&gt;=1,B3776&lt;=6),B3776=10)),1,0)</f>
        <v>0</v>
      </c>
      <c r="Y3776" s="27" t="n">
        <f aca="false">IF(AND(E3776&gt;0,B3776=10),1,0)</f>
        <v>0</v>
      </c>
      <c r="Z3776" s="0" t="str">
        <f aca="false">IF(AND(C3775=C3776,W3775=W3776-1),X3775,"")</f>
        <v/>
      </c>
      <c r="AA3776" s="0" t="str">
        <f aca="false">IF(AND(C3775=C3776,W3775=W3776-1),Y3775,"")</f>
        <v/>
      </c>
      <c r="AB3776" s="0" t="str">
        <f aca="false">IF(W3776=1,"",IF(AND(X3776=1,Z3776&lt;&gt;1),1,0))</f>
        <v/>
      </c>
      <c r="AC3776" s="0" t="str">
        <f aca="false">IF(W3776=1,"",IF(AND(Y3776=1,AA3776&lt;&gt;1),1,0))</f>
        <v/>
      </c>
      <c r="AD3776" s="33" t="str">
        <f aca="false">IF(AND(E3776&gt;0,W3776&lt;1,NOT(AND(C3777=C3776,W3777=W3776+1))),INDEX(DATAS,W3776+1),"")</f>
        <v/>
      </c>
      <c r="AE3776" s="33" t="str">
        <f aca="false">IF(AND(Y3776=1,W3776&lt;1),IF(AND(C3777=C3776,W3777=W3776+1),IF(Y3777=1,"",INDEX(DATAS,W3776+1)),INDEX(DATAS,W3776+1)),"")</f>
        <v/>
      </c>
    </row>
    <row r="3777" customFormat="false" ht="15" hidden="false" customHeight="false" outlineLevel="0" collapsed="false">
      <c r="A3777" s="33" t="n">
        <v>46309</v>
      </c>
      <c r="B3777" s="0" t="n">
        <v>15</v>
      </c>
      <c r="C3777" s="0" t="n">
        <v>30430</v>
      </c>
      <c r="E3777" s="0" t="n">
        <v>0</v>
      </c>
      <c r="F3777" s="27" t="s">
        <v>1410</v>
      </c>
      <c r="I3777" s="27" t="s">
        <v>1684</v>
      </c>
      <c r="U3777" s="0" t="n">
        <v>296</v>
      </c>
      <c r="V3777" s="0" t="n">
        <v>0</v>
      </c>
      <c r="W3777" s="27" t="n">
        <f aca="false">MATCH(A3777,DATAS,0)</f>
        <v>1</v>
      </c>
      <c r="X3777" s="27" t="n">
        <f aca="false">IF(AND(E3777&gt;0,OR(AND(B3777&gt;=1,B3777&lt;=6),B3777=10)),1,0)</f>
        <v>0</v>
      </c>
      <c r="Y3777" s="27" t="n">
        <f aca="false">IF(AND(E3777&gt;0,B3777=10),1,0)</f>
        <v>0</v>
      </c>
      <c r="Z3777" s="0" t="str">
        <f aca="false">IF(AND(C3776=C3777,W3776=W3777-1),X3776,"")</f>
        <v/>
      </c>
      <c r="AA3777" s="0" t="str">
        <f aca="false">IF(AND(C3776=C3777,W3776=W3777-1),Y3776,"")</f>
        <v/>
      </c>
      <c r="AB3777" s="0" t="str">
        <f aca="false">IF(W3777=1,"",IF(AND(X3777=1,Z3777&lt;&gt;1),1,0))</f>
        <v/>
      </c>
      <c r="AC3777" s="0" t="str">
        <f aca="false">IF(W3777=1,"",IF(AND(Y3777=1,AA3777&lt;&gt;1),1,0))</f>
        <v/>
      </c>
      <c r="AD3777" s="33" t="str">
        <f aca="false">IF(AND(E3777&gt;0,W3777&lt;1,NOT(AND(C3778=C3777,W3778=W3777+1))),INDEX(DATAS,W3777+1),"")</f>
        <v/>
      </c>
      <c r="AE3777" s="33" t="str">
        <f aca="false">IF(AND(Y3777=1,W3777&lt;1),IF(AND(C3778=C3777,W3778=W3777+1),IF(Y3778=1,"",INDEX(DATAS,W3777+1)),INDEX(DATAS,W3777+1)),"")</f>
        <v/>
      </c>
    </row>
    <row r="3778" customFormat="false" ht="15" hidden="false" customHeight="false" outlineLevel="0" collapsed="false">
      <c r="A3778" s="33" t="n">
        <v>46309</v>
      </c>
      <c r="B3778" s="0" t="n">
        <v>15</v>
      </c>
      <c r="C3778" s="0" t="n">
        <v>30432</v>
      </c>
      <c r="E3778" s="0" t="n">
        <v>0</v>
      </c>
      <c r="F3778" s="27" t="s">
        <v>1410</v>
      </c>
      <c r="I3778" s="27" t="s">
        <v>136</v>
      </c>
      <c r="U3778" s="0" t="n">
        <v>296</v>
      </c>
      <c r="V3778" s="0" t="n">
        <v>0</v>
      </c>
      <c r="W3778" s="27" t="n">
        <f aca="false">MATCH(A3778,DATAS,0)</f>
        <v>1</v>
      </c>
      <c r="X3778" s="27" t="n">
        <f aca="false">IF(AND(E3778&gt;0,OR(AND(B3778&gt;=1,B3778&lt;=6),B3778=10)),1,0)</f>
        <v>0</v>
      </c>
      <c r="Y3778" s="27" t="n">
        <f aca="false">IF(AND(E3778&gt;0,B3778=10),1,0)</f>
        <v>0</v>
      </c>
      <c r="Z3778" s="0" t="str">
        <f aca="false">IF(AND(C3777=C3778,W3777=W3778-1),X3777,"")</f>
        <v/>
      </c>
      <c r="AA3778" s="0" t="str">
        <f aca="false">IF(AND(C3777=C3778,W3777=W3778-1),Y3777,"")</f>
        <v/>
      </c>
      <c r="AB3778" s="0" t="str">
        <f aca="false">IF(W3778=1,"",IF(AND(X3778=1,Z3778&lt;&gt;1),1,0))</f>
        <v/>
      </c>
      <c r="AC3778" s="0" t="str">
        <f aca="false">IF(W3778=1,"",IF(AND(Y3778=1,AA3778&lt;&gt;1),1,0))</f>
        <v/>
      </c>
      <c r="AD3778" s="33" t="str">
        <f aca="false">IF(AND(E3778&gt;0,W3778&lt;1,NOT(AND(C3779=C3778,W3779=W3778+1))),INDEX(DATAS,W3778+1),"")</f>
        <v/>
      </c>
      <c r="AE3778" s="33" t="str">
        <f aca="false">IF(AND(Y3778=1,W3778&lt;1),IF(AND(C3779=C3778,W3779=W3778+1),IF(Y3779=1,"",INDEX(DATAS,W3778+1)),INDEX(DATAS,W3778+1)),"")</f>
        <v/>
      </c>
    </row>
    <row r="3779" customFormat="false" ht="15" hidden="false" customHeight="false" outlineLevel="0" collapsed="false">
      <c r="A3779" s="33" t="n">
        <v>46309</v>
      </c>
      <c r="B3779" s="0" t="n">
        <v>15</v>
      </c>
      <c r="C3779" s="0" t="n">
        <v>30434</v>
      </c>
      <c r="E3779" s="0" t="n">
        <v>0</v>
      </c>
      <c r="F3779" s="27" t="s">
        <v>1412</v>
      </c>
      <c r="I3779" s="27" t="s">
        <v>1684</v>
      </c>
      <c r="U3779" s="0" t="n">
        <v>294</v>
      </c>
      <c r="V3779" s="0" t="n">
        <v>0</v>
      </c>
      <c r="W3779" s="27" t="n">
        <f aca="false">MATCH(A3779,DATAS,0)</f>
        <v>1</v>
      </c>
      <c r="X3779" s="27" t="n">
        <f aca="false">IF(AND(E3779&gt;0,OR(AND(B3779&gt;=1,B3779&lt;=6),B3779=10)),1,0)</f>
        <v>0</v>
      </c>
      <c r="Y3779" s="27" t="n">
        <f aca="false">IF(AND(E3779&gt;0,B3779=10),1,0)</f>
        <v>0</v>
      </c>
      <c r="Z3779" s="0" t="str">
        <f aca="false">IF(AND(C3778=C3779,W3778=W3779-1),X3778,"")</f>
        <v/>
      </c>
      <c r="AA3779" s="0" t="str">
        <f aca="false">IF(AND(C3778=C3779,W3778=W3779-1),Y3778,"")</f>
        <v/>
      </c>
      <c r="AB3779" s="0" t="str">
        <f aca="false">IF(W3779=1,"",IF(AND(X3779=1,Z3779&lt;&gt;1),1,0))</f>
        <v/>
      </c>
      <c r="AC3779" s="0" t="str">
        <f aca="false">IF(W3779=1,"",IF(AND(Y3779=1,AA3779&lt;&gt;1),1,0))</f>
        <v/>
      </c>
      <c r="AD3779" s="33" t="str">
        <f aca="false">IF(AND(E3779&gt;0,W3779&lt;1,NOT(AND(C3780=C3779,W3780=W3779+1))),INDEX(DATAS,W3779+1),"")</f>
        <v/>
      </c>
      <c r="AE3779" s="33" t="str">
        <f aca="false">IF(AND(Y3779=1,W3779&lt;1),IF(AND(C3780=C3779,W3780=W3779+1),IF(Y3780=1,"",INDEX(DATAS,W3779+1)),INDEX(DATAS,W3779+1)),"")</f>
        <v/>
      </c>
    </row>
    <row r="3780" customFormat="false" ht="15" hidden="false" customHeight="false" outlineLevel="0" collapsed="false">
      <c r="A3780" s="33" t="n">
        <v>46309</v>
      </c>
      <c r="B3780" s="0" t="n">
        <v>15</v>
      </c>
      <c r="C3780" s="0" t="n">
        <v>30437</v>
      </c>
      <c r="E3780" s="0" t="n">
        <v>0</v>
      </c>
      <c r="F3780" s="27" t="s">
        <v>1685</v>
      </c>
      <c r="I3780" s="27" t="s">
        <v>136</v>
      </c>
      <c r="U3780" s="0" t="n">
        <v>293</v>
      </c>
      <c r="V3780" s="0" t="n">
        <v>0</v>
      </c>
      <c r="W3780" s="27" t="n">
        <f aca="false">MATCH(A3780,DATAS,0)</f>
        <v>1</v>
      </c>
      <c r="X3780" s="27" t="n">
        <f aca="false">IF(AND(E3780&gt;0,OR(AND(B3780&gt;=1,B3780&lt;=6),B3780=10)),1,0)</f>
        <v>0</v>
      </c>
      <c r="Y3780" s="27" t="n">
        <f aca="false">IF(AND(E3780&gt;0,B3780=10),1,0)</f>
        <v>0</v>
      </c>
      <c r="Z3780" s="0" t="str">
        <f aca="false">IF(AND(C3779=C3780,W3779=W3780-1),X3779,"")</f>
        <v/>
      </c>
      <c r="AA3780" s="0" t="str">
        <f aca="false">IF(AND(C3779=C3780,W3779=W3780-1),Y3779,"")</f>
        <v/>
      </c>
      <c r="AB3780" s="0" t="str">
        <f aca="false">IF(W3780=1,"",IF(AND(X3780=1,Z3780&lt;&gt;1),1,0))</f>
        <v/>
      </c>
      <c r="AC3780" s="0" t="str">
        <f aca="false">IF(W3780=1,"",IF(AND(Y3780=1,AA3780&lt;&gt;1),1,0))</f>
        <v/>
      </c>
      <c r="AD3780" s="33" t="str">
        <f aca="false">IF(AND(E3780&gt;0,W3780&lt;1,NOT(AND(C3781=C3780,W3781=W3780+1))),INDEX(DATAS,W3780+1),"")</f>
        <v/>
      </c>
      <c r="AE3780" s="33" t="str">
        <f aca="false">IF(AND(Y3780=1,W3780&lt;1),IF(AND(C3781=C3780,W3781=W3780+1),IF(Y3781=1,"",INDEX(DATAS,W3780+1)),INDEX(DATAS,W3780+1)),"")</f>
        <v/>
      </c>
    </row>
    <row r="3781" customFormat="false" ht="15" hidden="false" customHeight="false" outlineLevel="0" collapsed="false">
      <c r="A3781" s="33" t="n">
        <v>46309</v>
      </c>
      <c r="B3781" s="0" t="n">
        <v>15</v>
      </c>
      <c r="C3781" s="0" t="n">
        <v>30441</v>
      </c>
      <c r="E3781" s="0" t="n">
        <v>0</v>
      </c>
      <c r="F3781" s="27" t="s">
        <v>1686</v>
      </c>
      <c r="I3781" s="27" t="s">
        <v>136</v>
      </c>
      <c r="U3781" s="0" t="n">
        <v>290</v>
      </c>
      <c r="V3781" s="0" t="n">
        <v>0</v>
      </c>
      <c r="W3781" s="27" t="n">
        <f aca="false">MATCH(A3781,DATAS,0)</f>
        <v>1</v>
      </c>
      <c r="X3781" s="27" t="n">
        <f aca="false">IF(AND(E3781&gt;0,OR(AND(B3781&gt;=1,B3781&lt;=6),B3781=10)),1,0)</f>
        <v>0</v>
      </c>
      <c r="Y3781" s="27" t="n">
        <f aca="false">IF(AND(E3781&gt;0,B3781=10),1,0)</f>
        <v>0</v>
      </c>
      <c r="Z3781" s="0" t="str">
        <f aca="false">IF(AND(C3780=C3781,W3780=W3781-1),X3780,"")</f>
        <v/>
      </c>
      <c r="AA3781" s="0" t="str">
        <f aca="false">IF(AND(C3780=C3781,W3780=W3781-1),Y3780,"")</f>
        <v/>
      </c>
      <c r="AB3781" s="0" t="str">
        <f aca="false">IF(W3781=1,"",IF(AND(X3781=1,Z3781&lt;&gt;1),1,0))</f>
        <v/>
      </c>
      <c r="AC3781" s="0" t="str">
        <f aca="false">IF(W3781=1,"",IF(AND(Y3781=1,AA3781&lt;&gt;1),1,0))</f>
        <v/>
      </c>
      <c r="AD3781" s="33" t="str">
        <f aca="false">IF(AND(E3781&gt;0,W3781&lt;1,NOT(AND(C3782=C3781,W3782=W3781+1))),INDEX(DATAS,W3781+1),"")</f>
        <v/>
      </c>
      <c r="AE3781" s="33" t="str">
        <f aca="false">IF(AND(Y3781=1,W3781&lt;1),IF(AND(C3782=C3781,W3782=W3781+1),IF(Y3782=1,"",INDEX(DATAS,W3781+1)),INDEX(DATAS,W3781+1)),"")</f>
        <v/>
      </c>
    </row>
    <row r="3782" customFormat="false" ht="15" hidden="false" customHeight="false" outlineLevel="0" collapsed="false">
      <c r="A3782" s="33" t="n">
        <v>46309</v>
      </c>
      <c r="B3782" s="0" t="n">
        <v>15</v>
      </c>
      <c r="C3782" s="0" t="n">
        <v>30443</v>
      </c>
      <c r="E3782" s="0" t="n">
        <v>0</v>
      </c>
      <c r="F3782" s="27" t="s">
        <v>1415</v>
      </c>
      <c r="I3782" s="27" t="s">
        <v>136</v>
      </c>
      <c r="U3782" s="0" t="n">
        <v>289</v>
      </c>
      <c r="V3782" s="0" t="n">
        <v>0</v>
      </c>
      <c r="W3782" s="27" t="n">
        <f aca="false">MATCH(A3782,DATAS,0)</f>
        <v>1</v>
      </c>
      <c r="X3782" s="27" t="n">
        <f aca="false">IF(AND(E3782&gt;0,OR(AND(B3782&gt;=1,B3782&lt;=6),B3782=10)),1,0)</f>
        <v>0</v>
      </c>
      <c r="Y3782" s="27" t="n">
        <f aca="false">IF(AND(E3782&gt;0,B3782=10),1,0)</f>
        <v>0</v>
      </c>
      <c r="Z3782" s="0" t="str">
        <f aca="false">IF(AND(C3781=C3782,W3781=W3782-1),X3781,"")</f>
        <v/>
      </c>
      <c r="AA3782" s="0" t="str">
        <f aca="false">IF(AND(C3781=C3782,W3781=W3782-1),Y3781,"")</f>
        <v/>
      </c>
      <c r="AB3782" s="0" t="str">
        <f aca="false">IF(W3782=1,"",IF(AND(X3782=1,Z3782&lt;&gt;1),1,0))</f>
        <v/>
      </c>
      <c r="AC3782" s="0" t="str">
        <f aca="false">IF(W3782=1,"",IF(AND(Y3782=1,AA3782&lt;&gt;1),1,0))</f>
        <v/>
      </c>
      <c r="AD3782" s="33" t="str">
        <f aca="false">IF(AND(E3782&gt;0,W3782&lt;1,NOT(AND(C3783=C3782,W3783=W3782+1))),INDEX(DATAS,W3782+1),"")</f>
        <v/>
      </c>
      <c r="AE3782" s="33" t="str">
        <f aca="false">IF(AND(Y3782=1,W3782&lt;1),IF(AND(C3783=C3782,W3783=W3782+1),IF(Y3783=1,"",INDEX(DATAS,W3782+1)),INDEX(DATAS,W3782+1)),"")</f>
        <v/>
      </c>
    </row>
    <row r="3783" customFormat="false" ht="15" hidden="false" customHeight="false" outlineLevel="0" collapsed="false">
      <c r="A3783" s="33" t="n">
        <v>46309</v>
      </c>
      <c r="B3783" s="0" t="n">
        <v>15</v>
      </c>
      <c r="C3783" s="0" t="n">
        <v>30445</v>
      </c>
      <c r="E3783" s="0" t="n">
        <v>0</v>
      </c>
      <c r="F3783" s="27" t="s">
        <v>1417</v>
      </c>
      <c r="I3783" s="27" t="s">
        <v>136</v>
      </c>
      <c r="U3783" s="0" t="n">
        <v>287</v>
      </c>
      <c r="V3783" s="0" t="n">
        <v>0</v>
      </c>
      <c r="W3783" s="27" t="n">
        <f aca="false">MATCH(A3783,DATAS,0)</f>
        <v>1</v>
      </c>
      <c r="X3783" s="27" t="n">
        <f aca="false">IF(AND(E3783&gt;0,OR(AND(B3783&gt;=1,B3783&lt;=6),B3783=10)),1,0)</f>
        <v>0</v>
      </c>
      <c r="Y3783" s="27" t="n">
        <f aca="false">IF(AND(E3783&gt;0,B3783=10),1,0)</f>
        <v>0</v>
      </c>
      <c r="Z3783" s="0" t="str">
        <f aca="false">IF(AND(C3782=C3783,W3782=W3783-1),X3782,"")</f>
        <v/>
      </c>
      <c r="AA3783" s="0" t="str">
        <f aca="false">IF(AND(C3782=C3783,W3782=W3783-1),Y3782,"")</f>
        <v/>
      </c>
      <c r="AB3783" s="0" t="str">
        <f aca="false">IF(W3783=1,"",IF(AND(X3783=1,Z3783&lt;&gt;1),1,0))</f>
        <v/>
      </c>
      <c r="AC3783" s="0" t="str">
        <f aca="false">IF(W3783=1,"",IF(AND(Y3783=1,AA3783&lt;&gt;1),1,0))</f>
        <v/>
      </c>
      <c r="AD3783" s="33" t="str">
        <f aca="false">IF(AND(E3783&gt;0,W3783&lt;1,NOT(AND(C3784=C3783,W3784=W3783+1))),INDEX(DATAS,W3783+1),"")</f>
        <v/>
      </c>
      <c r="AE3783" s="33" t="str">
        <f aca="false">IF(AND(Y3783=1,W3783&lt;1),IF(AND(C3784=C3783,W3784=W3783+1),IF(Y3784=1,"",INDEX(DATAS,W3783+1)),INDEX(DATAS,W3783+1)),"")</f>
        <v/>
      </c>
    </row>
    <row r="3784" customFormat="false" ht="15" hidden="false" customHeight="false" outlineLevel="0" collapsed="false">
      <c r="A3784" s="33" t="n">
        <v>46309</v>
      </c>
      <c r="B3784" s="0" t="n">
        <v>15</v>
      </c>
      <c r="C3784" s="0" t="n">
        <v>30446</v>
      </c>
      <c r="E3784" s="0" t="n">
        <v>0</v>
      </c>
      <c r="F3784" s="27" t="s">
        <v>1417</v>
      </c>
      <c r="I3784" s="27" t="s">
        <v>136</v>
      </c>
      <c r="U3784" s="0" t="n">
        <v>287</v>
      </c>
      <c r="V3784" s="0" t="n">
        <v>0</v>
      </c>
      <c r="W3784" s="27" t="n">
        <f aca="false">MATCH(A3784,DATAS,0)</f>
        <v>1</v>
      </c>
      <c r="X3784" s="27" t="n">
        <f aca="false">IF(AND(E3784&gt;0,OR(AND(B3784&gt;=1,B3784&lt;=6),B3784=10)),1,0)</f>
        <v>0</v>
      </c>
      <c r="Y3784" s="27" t="n">
        <f aca="false">IF(AND(E3784&gt;0,B3784=10),1,0)</f>
        <v>0</v>
      </c>
      <c r="Z3784" s="0" t="str">
        <f aca="false">IF(AND(C3783=C3784,W3783=W3784-1),X3783,"")</f>
        <v/>
      </c>
      <c r="AA3784" s="0" t="str">
        <f aca="false">IF(AND(C3783=C3784,W3783=W3784-1),Y3783,"")</f>
        <v/>
      </c>
      <c r="AB3784" s="0" t="str">
        <f aca="false">IF(W3784=1,"",IF(AND(X3784=1,Z3784&lt;&gt;1),1,0))</f>
        <v/>
      </c>
      <c r="AC3784" s="0" t="str">
        <f aca="false">IF(W3784=1,"",IF(AND(Y3784=1,AA3784&lt;&gt;1),1,0))</f>
        <v/>
      </c>
      <c r="AD3784" s="33" t="str">
        <f aca="false">IF(AND(E3784&gt;0,W3784&lt;1,NOT(AND(C3785=C3784,W3785=W3784+1))),INDEX(DATAS,W3784+1),"")</f>
        <v/>
      </c>
      <c r="AE3784" s="33" t="str">
        <f aca="false">IF(AND(Y3784=1,W3784&lt;1),IF(AND(C3785=C3784,W3785=W3784+1),IF(Y3785=1,"",INDEX(DATAS,W3784+1)),INDEX(DATAS,W3784+1)),"")</f>
        <v/>
      </c>
    </row>
    <row r="3785" customFormat="false" ht="15" hidden="false" customHeight="false" outlineLevel="0" collapsed="false">
      <c r="A3785" s="33" t="n">
        <v>46309</v>
      </c>
      <c r="B3785" s="0" t="n">
        <v>15</v>
      </c>
      <c r="C3785" s="0" t="n">
        <v>30447</v>
      </c>
      <c r="E3785" s="0" t="n">
        <v>0</v>
      </c>
      <c r="F3785" s="27" t="s">
        <v>1419</v>
      </c>
      <c r="I3785" s="27" t="s">
        <v>136</v>
      </c>
      <c r="U3785" s="0" t="n">
        <v>285</v>
      </c>
      <c r="V3785" s="0" t="n">
        <v>0</v>
      </c>
      <c r="W3785" s="27" t="n">
        <f aca="false">MATCH(A3785,DATAS,0)</f>
        <v>1</v>
      </c>
      <c r="X3785" s="27" t="n">
        <f aca="false">IF(AND(E3785&gt;0,OR(AND(B3785&gt;=1,B3785&lt;=6),B3785=10)),1,0)</f>
        <v>0</v>
      </c>
      <c r="Y3785" s="27" t="n">
        <f aca="false">IF(AND(E3785&gt;0,B3785=10),1,0)</f>
        <v>0</v>
      </c>
      <c r="Z3785" s="0" t="str">
        <f aca="false">IF(AND(C3784=C3785,W3784=W3785-1),X3784,"")</f>
        <v/>
      </c>
      <c r="AA3785" s="0" t="str">
        <f aca="false">IF(AND(C3784=C3785,W3784=W3785-1),Y3784,"")</f>
        <v/>
      </c>
      <c r="AB3785" s="0" t="str">
        <f aca="false">IF(W3785=1,"",IF(AND(X3785=1,Z3785&lt;&gt;1),1,0))</f>
        <v/>
      </c>
      <c r="AC3785" s="0" t="str">
        <f aca="false">IF(W3785=1,"",IF(AND(Y3785=1,AA3785&lt;&gt;1),1,0))</f>
        <v/>
      </c>
      <c r="AD3785" s="33" t="str">
        <f aca="false">IF(AND(E3785&gt;0,W3785&lt;1,NOT(AND(C3786=C3785,W3786=W3785+1))),INDEX(DATAS,W3785+1),"")</f>
        <v/>
      </c>
      <c r="AE3785" s="33" t="str">
        <f aca="false">IF(AND(Y3785=1,W3785&lt;1),IF(AND(C3786=C3785,W3786=W3785+1),IF(Y3786=1,"",INDEX(DATAS,W3785+1)),INDEX(DATAS,W3785+1)),"")</f>
        <v/>
      </c>
    </row>
    <row r="3786" customFormat="false" ht="15" hidden="false" customHeight="false" outlineLevel="0" collapsed="false">
      <c r="A3786" s="33" t="n">
        <v>46309</v>
      </c>
      <c r="B3786" s="0" t="n">
        <v>15</v>
      </c>
      <c r="C3786" s="0" t="n">
        <v>30448</v>
      </c>
      <c r="E3786" s="0" t="n">
        <v>0</v>
      </c>
      <c r="F3786" s="27" t="s">
        <v>1420</v>
      </c>
      <c r="I3786" s="27" t="s">
        <v>136</v>
      </c>
      <c r="U3786" s="0" t="n">
        <v>284</v>
      </c>
      <c r="V3786" s="0" t="n">
        <v>0</v>
      </c>
      <c r="W3786" s="27" t="n">
        <f aca="false">MATCH(A3786,DATAS,0)</f>
        <v>1</v>
      </c>
      <c r="X3786" s="27" t="n">
        <f aca="false">IF(AND(E3786&gt;0,OR(AND(B3786&gt;=1,B3786&lt;=6),B3786=10)),1,0)</f>
        <v>0</v>
      </c>
      <c r="Y3786" s="27" t="n">
        <f aca="false">IF(AND(E3786&gt;0,B3786=10),1,0)</f>
        <v>0</v>
      </c>
      <c r="Z3786" s="0" t="str">
        <f aca="false">IF(AND(C3785=C3786,W3785=W3786-1),X3785,"")</f>
        <v/>
      </c>
      <c r="AA3786" s="0" t="str">
        <f aca="false">IF(AND(C3785=C3786,W3785=W3786-1),Y3785,"")</f>
        <v/>
      </c>
      <c r="AB3786" s="0" t="str">
        <f aca="false">IF(W3786=1,"",IF(AND(X3786=1,Z3786&lt;&gt;1),1,0))</f>
        <v/>
      </c>
      <c r="AC3786" s="0" t="str">
        <f aca="false">IF(W3786=1,"",IF(AND(Y3786=1,AA3786&lt;&gt;1),1,0))</f>
        <v/>
      </c>
      <c r="AD3786" s="33" t="str">
        <f aca="false">IF(AND(E3786&gt;0,W3786&lt;1,NOT(AND(C3787=C3786,W3787=W3786+1))),INDEX(DATAS,W3786+1),"")</f>
        <v/>
      </c>
      <c r="AE3786" s="33" t="str">
        <f aca="false">IF(AND(Y3786=1,W3786&lt;1),IF(AND(C3787=C3786,W3787=W3786+1),IF(Y3787=1,"",INDEX(DATAS,W3786+1)),INDEX(DATAS,W3786+1)),"")</f>
        <v/>
      </c>
    </row>
    <row r="3787" customFormat="false" ht="15" hidden="false" customHeight="false" outlineLevel="0" collapsed="false">
      <c r="A3787" s="33" t="n">
        <v>46309</v>
      </c>
      <c r="B3787" s="0" t="n">
        <v>15</v>
      </c>
      <c r="C3787" s="0" t="n">
        <v>30450</v>
      </c>
      <c r="E3787" s="0" t="n">
        <v>0</v>
      </c>
      <c r="F3787" s="27" t="s">
        <v>1422</v>
      </c>
      <c r="I3787" s="27" t="s">
        <v>136</v>
      </c>
      <c r="U3787" s="0" t="n">
        <v>282</v>
      </c>
      <c r="V3787" s="0" t="n">
        <v>0</v>
      </c>
      <c r="W3787" s="27" t="n">
        <f aca="false">MATCH(A3787,DATAS,0)</f>
        <v>1</v>
      </c>
      <c r="X3787" s="27" t="n">
        <f aca="false">IF(AND(E3787&gt;0,OR(AND(B3787&gt;=1,B3787&lt;=6),B3787=10)),1,0)</f>
        <v>0</v>
      </c>
      <c r="Y3787" s="27" t="n">
        <f aca="false">IF(AND(E3787&gt;0,B3787=10),1,0)</f>
        <v>0</v>
      </c>
      <c r="Z3787" s="0" t="str">
        <f aca="false">IF(AND(C3786=C3787,W3786=W3787-1),X3786,"")</f>
        <v/>
      </c>
      <c r="AA3787" s="0" t="str">
        <f aca="false">IF(AND(C3786=C3787,W3786=W3787-1),Y3786,"")</f>
        <v/>
      </c>
      <c r="AB3787" s="0" t="str">
        <f aca="false">IF(W3787=1,"",IF(AND(X3787=1,Z3787&lt;&gt;1),1,0))</f>
        <v/>
      </c>
      <c r="AC3787" s="0" t="str">
        <f aca="false">IF(W3787=1,"",IF(AND(Y3787=1,AA3787&lt;&gt;1),1,0))</f>
        <v/>
      </c>
      <c r="AD3787" s="33" t="str">
        <f aca="false">IF(AND(E3787&gt;0,W3787&lt;1,NOT(AND(C3788=C3787,W3788=W3787+1))),INDEX(DATAS,W3787+1),"")</f>
        <v/>
      </c>
      <c r="AE3787" s="33" t="str">
        <f aca="false">IF(AND(Y3787=1,W3787&lt;1),IF(AND(C3788=C3787,W3788=W3787+1),IF(Y3788=1,"",INDEX(DATAS,W3787+1)),INDEX(DATAS,W3787+1)),"")</f>
        <v/>
      </c>
    </row>
    <row r="3788" customFormat="false" ht="15" hidden="false" customHeight="false" outlineLevel="0" collapsed="false">
      <c r="A3788" s="33" t="n">
        <v>46309</v>
      </c>
      <c r="B3788" s="0" t="n">
        <v>15</v>
      </c>
      <c r="C3788" s="0" t="n">
        <v>30452</v>
      </c>
      <c r="E3788" s="0" t="n">
        <v>0</v>
      </c>
      <c r="F3788" s="27" t="s">
        <v>1423</v>
      </c>
      <c r="I3788" s="27" t="s">
        <v>136</v>
      </c>
      <c r="U3788" s="0" t="n">
        <v>281</v>
      </c>
      <c r="V3788" s="0" t="n">
        <v>0</v>
      </c>
      <c r="W3788" s="27" t="n">
        <f aca="false">MATCH(A3788,DATAS,0)</f>
        <v>1</v>
      </c>
      <c r="X3788" s="27" t="n">
        <f aca="false">IF(AND(E3788&gt;0,OR(AND(B3788&gt;=1,B3788&lt;=6),B3788=10)),1,0)</f>
        <v>0</v>
      </c>
      <c r="Y3788" s="27" t="n">
        <f aca="false">IF(AND(E3788&gt;0,B3788=10),1,0)</f>
        <v>0</v>
      </c>
      <c r="Z3788" s="0" t="str">
        <f aca="false">IF(AND(C3787=C3788,W3787=W3788-1),X3787,"")</f>
        <v/>
      </c>
      <c r="AA3788" s="0" t="str">
        <f aca="false">IF(AND(C3787=C3788,W3787=W3788-1),Y3787,"")</f>
        <v/>
      </c>
      <c r="AB3788" s="0" t="str">
        <f aca="false">IF(W3788=1,"",IF(AND(X3788=1,Z3788&lt;&gt;1),1,0))</f>
        <v/>
      </c>
      <c r="AC3788" s="0" t="str">
        <f aca="false">IF(W3788=1,"",IF(AND(Y3788=1,AA3788&lt;&gt;1),1,0))</f>
        <v/>
      </c>
      <c r="AD3788" s="33" t="str">
        <f aca="false">IF(AND(E3788&gt;0,W3788&lt;1,NOT(AND(C3789=C3788,W3789=W3788+1))),INDEX(DATAS,W3788+1),"")</f>
        <v/>
      </c>
      <c r="AE3788" s="33" t="str">
        <f aca="false">IF(AND(Y3788=1,W3788&lt;1),IF(AND(C3789=C3788,W3789=W3788+1),IF(Y3789=1,"",INDEX(DATAS,W3788+1)),INDEX(DATAS,W3788+1)),"")</f>
        <v/>
      </c>
    </row>
    <row r="3789" customFormat="false" ht="15" hidden="false" customHeight="false" outlineLevel="0" collapsed="false">
      <c r="A3789" s="33" t="n">
        <v>46309</v>
      </c>
      <c r="B3789" s="0" t="n">
        <v>15</v>
      </c>
      <c r="C3789" s="0" t="n">
        <v>30453</v>
      </c>
      <c r="E3789" s="0" t="n">
        <v>0</v>
      </c>
      <c r="F3789" s="27" t="s">
        <v>1424</v>
      </c>
      <c r="I3789" s="27" t="s">
        <v>136</v>
      </c>
      <c r="U3789" s="0" t="n">
        <v>280</v>
      </c>
      <c r="V3789" s="0" t="n">
        <v>0</v>
      </c>
      <c r="W3789" s="27" t="n">
        <f aca="false">MATCH(A3789,DATAS,0)</f>
        <v>1</v>
      </c>
      <c r="X3789" s="27" t="n">
        <f aca="false">IF(AND(E3789&gt;0,OR(AND(B3789&gt;=1,B3789&lt;=6),B3789=10)),1,0)</f>
        <v>0</v>
      </c>
      <c r="Y3789" s="27" t="n">
        <f aca="false">IF(AND(E3789&gt;0,B3789=10),1,0)</f>
        <v>0</v>
      </c>
      <c r="Z3789" s="0" t="str">
        <f aca="false">IF(AND(C3788=C3789,W3788=W3789-1),X3788,"")</f>
        <v/>
      </c>
      <c r="AA3789" s="0" t="str">
        <f aca="false">IF(AND(C3788=C3789,W3788=W3789-1),Y3788,"")</f>
        <v/>
      </c>
      <c r="AB3789" s="0" t="str">
        <f aca="false">IF(W3789=1,"",IF(AND(X3789=1,Z3789&lt;&gt;1),1,0))</f>
        <v/>
      </c>
      <c r="AC3789" s="0" t="str">
        <f aca="false">IF(W3789=1,"",IF(AND(Y3789=1,AA3789&lt;&gt;1),1,0))</f>
        <v/>
      </c>
      <c r="AD3789" s="33" t="str">
        <f aca="false">IF(AND(E3789&gt;0,W3789&lt;1,NOT(AND(C3790=C3789,W3790=W3789+1))),INDEX(DATAS,W3789+1),"")</f>
        <v/>
      </c>
      <c r="AE3789" s="33" t="str">
        <f aca="false">IF(AND(Y3789=1,W3789&lt;1),IF(AND(C3790=C3789,W3790=W3789+1),IF(Y3790=1,"",INDEX(DATAS,W3789+1)),INDEX(DATAS,W3789+1)),"")</f>
        <v/>
      </c>
    </row>
    <row r="3790" customFormat="false" ht="15" hidden="false" customHeight="false" outlineLevel="0" collapsed="false">
      <c r="A3790" s="33" t="n">
        <v>46309</v>
      </c>
      <c r="B3790" s="0" t="n">
        <v>15</v>
      </c>
      <c r="C3790" s="0" t="n">
        <v>30456</v>
      </c>
      <c r="E3790" s="0" t="n">
        <v>0</v>
      </c>
      <c r="F3790" s="27" t="s">
        <v>1424</v>
      </c>
      <c r="I3790" s="27" t="s">
        <v>1684</v>
      </c>
      <c r="U3790" s="0" t="n">
        <v>280</v>
      </c>
      <c r="V3790" s="0" t="n">
        <v>0</v>
      </c>
      <c r="W3790" s="27" t="n">
        <f aca="false">MATCH(A3790,DATAS,0)</f>
        <v>1</v>
      </c>
      <c r="X3790" s="27" t="n">
        <f aca="false">IF(AND(E3790&gt;0,OR(AND(B3790&gt;=1,B3790&lt;=6),B3790=10)),1,0)</f>
        <v>0</v>
      </c>
      <c r="Y3790" s="27" t="n">
        <f aca="false">IF(AND(E3790&gt;0,B3790=10),1,0)</f>
        <v>0</v>
      </c>
      <c r="Z3790" s="0" t="str">
        <f aca="false">IF(AND(C3789=C3790,W3789=W3790-1),X3789,"")</f>
        <v/>
      </c>
      <c r="AA3790" s="0" t="str">
        <f aca="false">IF(AND(C3789=C3790,W3789=W3790-1),Y3789,"")</f>
        <v/>
      </c>
      <c r="AB3790" s="0" t="str">
        <f aca="false">IF(W3790=1,"",IF(AND(X3790=1,Z3790&lt;&gt;1),1,0))</f>
        <v/>
      </c>
      <c r="AC3790" s="0" t="str">
        <f aca="false">IF(W3790=1,"",IF(AND(Y3790=1,AA3790&lt;&gt;1),1,0))</f>
        <v/>
      </c>
      <c r="AD3790" s="33" t="str">
        <f aca="false">IF(AND(E3790&gt;0,W3790&lt;1,NOT(AND(C3791=C3790,W3791=W3790+1))),INDEX(DATAS,W3790+1),"")</f>
        <v/>
      </c>
      <c r="AE3790" s="33" t="str">
        <f aca="false">IF(AND(Y3790=1,W3790&lt;1),IF(AND(C3791=C3790,W3791=W3790+1),IF(Y3791=1,"",INDEX(DATAS,W3790+1)),INDEX(DATAS,W3790+1)),"")</f>
        <v/>
      </c>
    </row>
    <row r="3791" customFormat="false" ht="15" hidden="false" customHeight="false" outlineLevel="0" collapsed="false">
      <c r="A3791" s="33" t="n">
        <v>46309</v>
      </c>
      <c r="B3791" s="0" t="n">
        <v>15</v>
      </c>
      <c r="C3791" s="0" t="n">
        <v>30457</v>
      </c>
      <c r="E3791" s="0" t="n">
        <v>0</v>
      </c>
      <c r="F3791" s="27" t="s">
        <v>1426</v>
      </c>
      <c r="I3791" s="27" t="s">
        <v>136</v>
      </c>
      <c r="U3791" s="0" t="n">
        <v>278</v>
      </c>
      <c r="V3791" s="0" t="n">
        <v>0</v>
      </c>
      <c r="W3791" s="27" t="n">
        <f aca="false">MATCH(A3791,DATAS,0)</f>
        <v>1</v>
      </c>
      <c r="X3791" s="27" t="n">
        <f aca="false">IF(AND(E3791&gt;0,OR(AND(B3791&gt;=1,B3791&lt;=6),B3791=10)),1,0)</f>
        <v>0</v>
      </c>
      <c r="Y3791" s="27" t="n">
        <f aca="false">IF(AND(E3791&gt;0,B3791=10),1,0)</f>
        <v>0</v>
      </c>
      <c r="Z3791" s="0" t="str">
        <f aca="false">IF(AND(C3790=C3791,W3790=W3791-1),X3790,"")</f>
        <v/>
      </c>
      <c r="AA3791" s="0" t="str">
        <f aca="false">IF(AND(C3790=C3791,W3790=W3791-1),Y3790,"")</f>
        <v/>
      </c>
      <c r="AB3791" s="0" t="str">
        <f aca="false">IF(W3791=1,"",IF(AND(X3791=1,Z3791&lt;&gt;1),1,0))</f>
        <v/>
      </c>
      <c r="AC3791" s="0" t="str">
        <f aca="false">IF(W3791=1,"",IF(AND(Y3791=1,AA3791&lt;&gt;1),1,0))</f>
        <v/>
      </c>
      <c r="AD3791" s="33" t="str">
        <f aca="false">IF(AND(E3791&gt;0,W3791&lt;1,NOT(AND(C3792=C3791,W3792=W3791+1))),INDEX(DATAS,W3791+1),"")</f>
        <v/>
      </c>
      <c r="AE3791" s="33" t="str">
        <f aca="false">IF(AND(Y3791=1,W3791&lt;1),IF(AND(C3792=C3791,W3792=W3791+1),IF(Y3792=1,"",INDEX(DATAS,W3791+1)),INDEX(DATAS,W3791+1)),"")</f>
        <v/>
      </c>
    </row>
    <row r="3792" customFormat="false" ht="15" hidden="false" customHeight="false" outlineLevel="0" collapsed="false">
      <c r="A3792" s="33" t="n">
        <v>46309</v>
      </c>
      <c r="B3792" s="0" t="n">
        <v>15</v>
      </c>
      <c r="C3792" s="0" t="n">
        <v>30461</v>
      </c>
      <c r="E3792" s="0" t="n">
        <v>0</v>
      </c>
      <c r="F3792" s="27" t="s">
        <v>1428</v>
      </c>
      <c r="I3792" s="27" t="s">
        <v>136</v>
      </c>
      <c r="U3792" s="0" t="n">
        <v>276</v>
      </c>
      <c r="V3792" s="0" t="n">
        <v>0</v>
      </c>
      <c r="W3792" s="27" t="n">
        <f aca="false">MATCH(A3792,DATAS,0)</f>
        <v>1</v>
      </c>
      <c r="X3792" s="27" t="n">
        <f aca="false">IF(AND(E3792&gt;0,OR(AND(B3792&gt;=1,B3792&lt;=6),B3792=10)),1,0)</f>
        <v>0</v>
      </c>
      <c r="Y3792" s="27" t="n">
        <f aca="false">IF(AND(E3792&gt;0,B3792=10),1,0)</f>
        <v>0</v>
      </c>
      <c r="Z3792" s="0" t="str">
        <f aca="false">IF(AND(C3791=C3792,W3791=W3792-1),X3791,"")</f>
        <v/>
      </c>
      <c r="AA3792" s="0" t="str">
        <f aca="false">IF(AND(C3791=C3792,W3791=W3792-1),Y3791,"")</f>
        <v/>
      </c>
      <c r="AB3792" s="0" t="str">
        <f aca="false">IF(W3792=1,"",IF(AND(X3792=1,Z3792&lt;&gt;1),1,0))</f>
        <v/>
      </c>
      <c r="AC3792" s="0" t="str">
        <f aca="false">IF(W3792=1,"",IF(AND(Y3792=1,AA3792&lt;&gt;1),1,0))</f>
        <v/>
      </c>
      <c r="AD3792" s="33" t="str">
        <f aca="false">IF(AND(E3792&gt;0,W3792&lt;1,NOT(AND(C3793=C3792,W3793=W3792+1))),INDEX(DATAS,W3792+1),"")</f>
        <v/>
      </c>
      <c r="AE3792" s="33" t="str">
        <f aca="false">IF(AND(Y3792=1,W3792&lt;1),IF(AND(C3793=C3792,W3793=W3792+1),IF(Y3793=1,"",INDEX(DATAS,W3792+1)),INDEX(DATAS,W3792+1)),"")</f>
        <v/>
      </c>
    </row>
    <row r="3793" customFormat="false" ht="15" hidden="false" customHeight="false" outlineLevel="0" collapsed="false">
      <c r="A3793" s="33" t="n">
        <v>46309</v>
      </c>
      <c r="B3793" s="0" t="n">
        <v>15</v>
      </c>
      <c r="C3793" s="0" t="n">
        <v>30462</v>
      </c>
      <c r="E3793" s="0" t="n">
        <v>0</v>
      </c>
      <c r="F3793" s="27" t="s">
        <v>1429</v>
      </c>
      <c r="I3793" s="27" t="s">
        <v>136</v>
      </c>
      <c r="U3793" s="0" t="n">
        <v>275</v>
      </c>
      <c r="V3793" s="0" t="n">
        <v>0</v>
      </c>
      <c r="W3793" s="27" t="n">
        <f aca="false">MATCH(A3793,DATAS,0)</f>
        <v>1</v>
      </c>
      <c r="X3793" s="27" t="n">
        <f aca="false">IF(AND(E3793&gt;0,OR(AND(B3793&gt;=1,B3793&lt;=6),B3793=10)),1,0)</f>
        <v>0</v>
      </c>
      <c r="Y3793" s="27" t="n">
        <f aca="false">IF(AND(E3793&gt;0,B3793=10),1,0)</f>
        <v>0</v>
      </c>
      <c r="Z3793" s="0" t="str">
        <f aca="false">IF(AND(C3792=C3793,W3792=W3793-1),X3792,"")</f>
        <v/>
      </c>
      <c r="AA3793" s="0" t="str">
        <f aca="false">IF(AND(C3792=C3793,W3792=W3793-1),Y3792,"")</f>
        <v/>
      </c>
      <c r="AB3793" s="0" t="str">
        <f aca="false">IF(W3793=1,"",IF(AND(X3793=1,Z3793&lt;&gt;1),1,0))</f>
        <v/>
      </c>
      <c r="AC3793" s="0" t="str">
        <f aca="false">IF(W3793=1,"",IF(AND(Y3793=1,AA3793&lt;&gt;1),1,0))</f>
        <v/>
      </c>
      <c r="AD3793" s="33" t="str">
        <f aca="false">IF(AND(E3793&gt;0,W3793&lt;1,NOT(AND(C3794=C3793,W3794=W3793+1))),INDEX(DATAS,W3793+1),"")</f>
        <v/>
      </c>
      <c r="AE3793" s="33" t="str">
        <f aca="false">IF(AND(Y3793=1,W3793&lt;1),IF(AND(C3794=C3793,W3794=W3793+1),IF(Y3794=1,"",INDEX(DATAS,W3793+1)),INDEX(DATAS,W3793+1)),"")</f>
        <v/>
      </c>
    </row>
    <row r="3794" customFormat="false" ht="15" hidden="false" customHeight="false" outlineLevel="0" collapsed="false">
      <c r="A3794" s="33" t="n">
        <v>46309</v>
      </c>
      <c r="B3794" s="0" t="n">
        <v>15</v>
      </c>
      <c r="C3794" s="0" t="n">
        <v>30463</v>
      </c>
      <c r="E3794" s="0" t="n">
        <v>0</v>
      </c>
      <c r="F3794" s="27" t="s">
        <v>1429</v>
      </c>
      <c r="I3794" s="27" t="s">
        <v>1684</v>
      </c>
      <c r="U3794" s="0" t="n">
        <v>275</v>
      </c>
      <c r="V3794" s="0" t="n">
        <v>0</v>
      </c>
      <c r="W3794" s="27" t="n">
        <f aca="false">MATCH(A3794,DATAS,0)</f>
        <v>1</v>
      </c>
      <c r="X3794" s="27" t="n">
        <f aca="false">IF(AND(E3794&gt;0,OR(AND(B3794&gt;=1,B3794&lt;=6),B3794=10)),1,0)</f>
        <v>0</v>
      </c>
      <c r="Y3794" s="27" t="n">
        <f aca="false">IF(AND(E3794&gt;0,B3794=10),1,0)</f>
        <v>0</v>
      </c>
      <c r="Z3794" s="0" t="str">
        <f aca="false">IF(AND(C3793=C3794,W3793=W3794-1),X3793,"")</f>
        <v/>
      </c>
      <c r="AA3794" s="0" t="str">
        <f aca="false">IF(AND(C3793=C3794,W3793=W3794-1),Y3793,"")</f>
        <v/>
      </c>
      <c r="AB3794" s="0" t="str">
        <f aca="false">IF(W3794=1,"",IF(AND(X3794=1,Z3794&lt;&gt;1),1,0))</f>
        <v/>
      </c>
      <c r="AC3794" s="0" t="str">
        <f aca="false">IF(W3794=1,"",IF(AND(Y3794=1,AA3794&lt;&gt;1),1,0))</f>
        <v/>
      </c>
      <c r="AD3794" s="33" t="str">
        <f aca="false">IF(AND(E3794&gt;0,W3794&lt;1,NOT(AND(C3795=C3794,W3795=W3794+1))),INDEX(DATAS,W3794+1),"")</f>
        <v/>
      </c>
      <c r="AE3794" s="33" t="str">
        <f aca="false">IF(AND(Y3794=1,W3794&lt;1),IF(AND(C3795=C3794,W3795=W3794+1),IF(Y3795=1,"",INDEX(DATAS,W3794+1)),INDEX(DATAS,W3794+1)),"")</f>
        <v/>
      </c>
    </row>
    <row r="3795" customFormat="false" ht="15" hidden="false" customHeight="false" outlineLevel="0" collapsed="false">
      <c r="A3795" s="33" t="n">
        <v>46309</v>
      </c>
      <c r="B3795" s="0" t="n">
        <v>15</v>
      </c>
      <c r="C3795" s="0" t="n">
        <v>30465</v>
      </c>
      <c r="E3795" s="0" t="n">
        <v>0</v>
      </c>
      <c r="F3795" s="27" t="s">
        <v>1430</v>
      </c>
      <c r="I3795" s="27" t="s">
        <v>1684</v>
      </c>
      <c r="U3795" s="0" t="n">
        <v>274</v>
      </c>
      <c r="V3795" s="0" t="n">
        <v>0</v>
      </c>
      <c r="W3795" s="27" t="n">
        <f aca="false">MATCH(A3795,DATAS,0)</f>
        <v>1</v>
      </c>
      <c r="X3795" s="27" t="n">
        <f aca="false">IF(AND(E3795&gt;0,OR(AND(B3795&gt;=1,B3795&lt;=6),B3795=10)),1,0)</f>
        <v>0</v>
      </c>
      <c r="Y3795" s="27" t="n">
        <f aca="false">IF(AND(E3795&gt;0,B3795=10),1,0)</f>
        <v>0</v>
      </c>
      <c r="Z3795" s="0" t="str">
        <f aca="false">IF(AND(C3794=C3795,W3794=W3795-1),X3794,"")</f>
        <v/>
      </c>
      <c r="AA3795" s="0" t="str">
        <f aca="false">IF(AND(C3794=C3795,W3794=W3795-1),Y3794,"")</f>
        <v/>
      </c>
      <c r="AB3795" s="0" t="str">
        <f aca="false">IF(W3795=1,"",IF(AND(X3795=1,Z3795&lt;&gt;1),1,0))</f>
        <v/>
      </c>
      <c r="AC3795" s="0" t="str">
        <f aca="false">IF(W3795=1,"",IF(AND(Y3795=1,AA3795&lt;&gt;1),1,0))</f>
        <v/>
      </c>
      <c r="AD3795" s="33" t="str">
        <f aca="false">IF(AND(E3795&gt;0,W3795&lt;1,NOT(AND(C3796=C3795,W3796=W3795+1))),INDEX(DATAS,W3795+1),"")</f>
        <v/>
      </c>
      <c r="AE3795" s="33" t="str">
        <f aca="false">IF(AND(Y3795=1,W3795&lt;1),IF(AND(C3796=C3795,W3796=W3795+1),IF(Y3796=1,"",INDEX(DATAS,W3795+1)),INDEX(DATAS,W3795+1)),"")</f>
        <v/>
      </c>
    </row>
    <row r="3796" customFormat="false" ht="15" hidden="false" customHeight="false" outlineLevel="0" collapsed="false">
      <c r="A3796" s="33" t="n">
        <v>46309</v>
      </c>
      <c r="B3796" s="0" t="n">
        <v>15</v>
      </c>
      <c r="C3796" s="0" t="n">
        <v>30466</v>
      </c>
      <c r="E3796" s="0" t="n">
        <v>0</v>
      </c>
      <c r="F3796" s="27" t="s">
        <v>1430</v>
      </c>
      <c r="I3796" s="27" t="s">
        <v>136</v>
      </c>
      <c r="U3796" s="0" t="n">
        <v>274</v>
      </c>
      <c r="V3796" s="0" t="n">
        <v>0</v>
      </c>
      <c r="W3796" s="27" t="n">
        <f aca="false">MATCH(A3796,DATAS,0)</f>
        <v>1</v>
      </c>
      <c r="X3796" s="27" t="n">
        <f aca="false">IF(AND(E3796&gt;0,OR(AND(B3796&gt;=1,B3796&lt;=6),B3796=10)),1,0)</f>
        <v>0</v>
      </c>
      <c r="Y3796" s="27" t="n">
        <f aca="false">IF(AND(E3796&gt;0,B3796=10),1,0)</f>
        <v>0</v>
      </c>
      <c r="Z3796" s="0" t="str">
        <f aca="false">IF(AND(C3795=C3796,W3795=W3796-1),X3795,"")</f>
        <v/>
      </c>
      <c r="AA3796" s="0" t="str">
        <f aca="false">IF(AND(C3795=C3796,W3795=W3796-1),Y3795,"")</f>
        <v/>
      </c>
      <c r="AB3796" s="0" t="str">
        <f aca="false">IF(W3796=1,"",IF(AND(X3796=1,Z3796&lt;&gt;1),1,0))</f>
        <v/>
      </c>
      <c r="AC3796" s="0" t="str">
        <f aca="false">IF(W3796=1,"",IF(AND(Y3796=1,AA3796&lt;&gt;1),1,0))</f>
        <v/>
      </c>
      <c r="AD3796" s="33" t="str">
        <f aca="false">IF(AND(E3796&gt;0,W3796&lt;1,NOT(AND(C3797=C3796,W3797=W3796+1))),INDEX(DATAS,W3796+1),"")</f>
        <v/>
      </c>
      <c r="AE3796" s="33" t="str">
        <f aca="false">IF(AND(Y3796=1,W3796&lt;1),IF(AND(C3797=C3796,W3797=W3796+1),IF(Y3797=1,"",INDEX(DATAS,W3796+1)),INDEX(DATAS,W3796+1)),"")</f>
        <v/>
      </c>
    </row>
    <row r="3797" customFormat="false" ht="15" hidden="false" customHeight="false" outlineLevel="0" collapsed="false">
      <c r="A3797" s="33" t="n">
        <v>46309</v>
      </c>
      <c r="B3797" s="0" t="n">
        <v>15</v>
      </c>
      <c r="C3797" s="0" t="n">
        <v>30467</v>
      </c>
      <c r="E3797" s="0" t="n">
        <v>0</v>
      </c>
      <c r="F3797" s="27" t="s">
        <v>1430</v>
      </c>
      <c r="I3797" s="27" t="s">
        <v>136</v>
      </c>
      <c r="U3797" s="0" t="n">
        <v>274</v>
      </c>
      <c r="V3797" s="0" t="n">
        <v>0</v>
      </c>
      <c r="W3797" s="27" t="n">
        <f aca="false">MATCH(A3797,DATAS,0)</f>
        <v>1</v>
      </c>
      <c r="X3797" s="27" t="n">
        <f aca="false">IF(AND(E3797&gt;0,OR(AND(B3797&gt;=1,B3797&lt;=6),B3797=10)),1,0)</f>
        <v>0</v>
      </c>
      <c r="Y3797" s="27" t="n">
        <f aca="false">IF(AND(E3797&gt;0,B3797=10),1,0)</f>
        <v>0</v>
      </c>
      <c r="Z3797" s="0" t="str">
        <f aca="false">IF(AND(C3796=C3797,W3796=W3797-1),X3796,"")</f>
        <v/>
      </c>
      <c r="AA3797" s="0" t="str">
        <f aca="false">IF(AND(C3796=C3797,W3796=W3797-1),Y3796,"")</f>
        <v/>
      </c>
      <c r="AB3797" s="0" t="str">
        <f aca="false">IF(W3797=1,"",IF(AND(X3797=1,Z3797&lt;&gt;1),1,0))</f>
        <v/>
      </c>
      <c r="AC3797" s="0" t="str">
        <f aca="false">IF(W3797=1,"",IF(AND(Y3797=1,AA3797&lt;&gt;1),1,0))</f>
        <v/>
      </c>
      <c r="AD3797" s="33" t="str">
        <f aca="false">IF(AND(E3797&gt;0,W3797&lt;1,NOT(AND(C3798=C3797,W3798=W3797+1))),INDEX(DATAS,W3797+1),"")</f>
        <v/>
      </c>
      <c r="AE3797" s="33" t="str">
        <f aca="false">IF(AND(Y3797=1,W3797&lt;1),IF(AND(C3798=C3797,W3798=W3797+1),IF(Y3798=1,"",INDEX(DATAS,W3797+1)),INDEX(DATAS,W3797+1)),"")</f>
        <v/>
      </c>
    </row>
    <row r="3798" customFormat="false" ht="15" hidden="false" customHeight="false" outlineLevel="0" collapsed="false">
      <c r="A3798" s="33" t="n">
        <v>46309</v>
      </c>
      <c r="B3798" s="0" t="n">
        <v>15</v>
      </c>
      <c r="C3798" s="0" t="n">
        <v>30468</v>
      </c>
      <c r="E3798" s="0" t="n">
        <v>0</v>
      </c>
      <c r="F3798" s="27" t="s">
        <v>1431</v>
      </c>
      <c r="I3798" s="27" t="s">
        <v>136</v>
      </c>
      <c r="U3798" s="0" t="n">
        <v>273</v>
      </c>
      <c r="V3798" s="0" t="n">
        <v>0</v>
      </c>
      <c r="W3798" s="27" t="n">
        <f aca="false">MATCH(A3798,DATAS,0)</f>
        <v>1</v>
      </c>
      <c r="X3798" s="27" t="n">
        <f aca="false">IF(AND(E3798&gt;0,OR(AND(B3798&gt;=1,B3798&lt;=6),B3798=10)),1,0)</f>
        <v>0</v>
      </c>
      <c r="Y3798" s="27" t="n">
        <f aca="false">IF(AND(E3798&gt;0,B3798=10),1,0)</f>
        <v>0</v>
      </c>
      <c r="Z3798" s="0" t="str">
        <f aca="false">IF(AND(C3797=C3798,W3797=W3798-1),X3797,"")</f>
        <v/>
      </c>
      <c r="AA3798" s="0" t="str">
        <f aca="false">IF(AND(C3797=C3798,W3797=W3798-1),Y3797,"")</f>
        <v/>
      </c>
      <c r="AB3798" s="0" t="str">
        <f aca="false">IF(W3798=1,"",IF(AND(X3798=1,Z3798&lt;&gt;1),1,0))</f>
        <v/>
      </c>
      <c r="AC3798" s="0" t="str">
        <f aca="false">IF(W3798=1,"",IF(AND(Y3798=1,AA3798&lt;&gt;1),1,0))</f>
        <v/>
      </c>
      <c r="AD3798" s="33" t="str">
        <f aca="false">IF(AND(E3798&gt;0,W3798&lt;1,NOT(AND(C3799=C3798,W3799=W3798+1))),INDEX(DATAS,W3798+1),"")</f>
        <v/>
      </c>
      <c r="AE3798" s="33" t="str">
        <f aca="false">IF(AND(Y3798=1,W3798&lt;1),IF(AND(C3799=C3798,W3799=W3798+1),IF(Y3799=1,"",INDEX(DATAS,W3798+1)),INDEX(DATAS,W3798+1)),"")</f>
        <v/>
      </c>
    </row>
    <row r="3799" customFormat="false" ht="15" hidden="false" customHeight="false" outlineLevel="0" collapsed="false">
      <c r="A3799" s="33" t="n">
        <v>46309</v>
      </c>
      <c r="B3799" s="0" t="n">
        <v>15</v>
      </c>
      <c r="C3799" s="0" t="n">
        <v>30469</v>
      </c>
      <c r="E3799" s="0" t="n">
        <v>0</v>
      </c>
      <c r="F3799" s="27" t="s">
        <v>1433</v>
      </c>
      <c r="I3799" s="27" t="s">
        <v>136</v>
      </c>
      <c r="U3799" s="0" t="n">
        <v>271</v>
      </c>
      <c r="V3799" s="0" t="n">
        <v>0</v>
      </c>
      <c r="W3799" s="27" t="n">
        <f aca="false">MATCH(A3799,DATAS,0)</f>
        <v>1</v>
      </c>
      <c r="X3799" s="27" t="n">
        <f aca="false">IF(AND(E3799&gt;0,OR(AND(B3799&gt;=1,B3799&lt;=6),B3799=10)),1,0)</f>
        <v>0</v>
      </c>
      <c r="Y3799" s="27" t="n">
        <f aca="false">IF(AND(E3799&gt;0,B3799=10),1,0)</f>
        <v>0</v>
      </c>
      <c r="Z3799" s="0" t="str">
        <f aca="false">IF(AND(C3798=C3799,W3798=W3799-1),X3798,"")</f>
        <v/>
      </c>
      <c r="AA3799" s="0" t="str">
        <f aca="false">IF(AND(C3798=C3799,W3798=W3799-1),Y3798,"")</f>
        <v/>
      </c>
      <c r="AB3799" s="0" t="str">
        <f aca="false">IF(W3799=1,"",IF(AND(X3799=1,Z3799&lt;&gt;1),1,0))</f>
        <v/>
      </c>
      <c r="AC3799" s="0" t="str">
        <f aca="false">IF(W3799=1,"",IF(AND(Y3799=1,AA3799&lt;&gt;1),1,0))</f>
        <v/>
      </c>
      <c r="AD3799" s="33" t="str">
        <f aca="false">IF(AND(E3799&gt;0,W3799&lt;1,NOT(AND(C3800=C3799,W3800=W3799+1))),INDEX(DATAS,W3799+1),"")</f>
        <v/>
      </c>
      <c r="AE3799" s="33" t="str">
        <f aca="false">IF(AND(Y3799=1,W3799&lt;1),IF(AND(C3800=C3799,W3800=W3799+1),IF(Y3800=1,"",INDEX(DATAS,W3799+1)),INDEX(DATAS,W3799+1)),"")</f>
        <v/>
      </c>
    </row>
    <row r="3800" customFormat="false" ht="15" hidden="false" customHeight="false" outlineLevel="0" collapsed="false">
      <c r="A3800" s="33" t="n">
        <v>46309</v>
      </c>
      <c r="B3800" s="0" t="n">
        <v>15</v>
      </c>
      <c r="C3800" s="0" t="n">
        <v>30471</v>
      </c>
      <c r="E3800" s="0" t="n">
        <v>0</v>
      </c>
      <c r="F3800" s="27" t="s">
        <v>1433</v>
      </c>
      <c r="I3800" s="27" t="s">
        <v>136</v>
      </c>
      <c r="U3800" s="0" t="n">
        <v>271</v>
      </c>
      <c r="V3800" s="0" t="n">
        <v>0</v>
      </c>
      <c r="W3800" s="27" t="n">
        <f aca="false">MATCH(A3800,DATAS,0)</f>
        <v>1</v>
      </c>
      <c r="X3800" s="27" t="n">
        <f aca="false">IF(AND(E3800&gt;0,OR(AND(B3800&gt;=1,B3800&lt;=6),B3800=10)),1,0)</f>
        <v>0</v>
      </c>
      <c r="Y3800" s="27" t="n">
        <f aca="false">IF(AND(E3800&gt;0,B3800=10),1,0)</f>
        <v>0</v>
      </c>
      <c r="Z3800" s="0" t="str">
        <f aca="false">IF(AND(C3799=C3800,W3799=W3800-1),X3799,"")</f>
        <v/>
      </c>
      <c r="AA3800" s="0" t="str">
        <f aca="false">IF(AND(C3799=C3800,W3799=W3800-1),Y3799,"")</f>
        <v/>
      </c>
      <c r="AB3800" s="0" t="str">
        <f aca="false">IF(W3800=1,"",IF(AND(X3800=1,Z3800&lt;&gt;1),1,0))</f>
        <v/>
      </c>
      <c r="AC3800" s="0" t="str">
        <f aca="false">IF(W3800=1,"",IF(AND(Y3800=1,AA3800&lt;&gt;1),1,0))</f>
        <v/>
      </c>
      <c r="AD3800" s="33" t="str">
        <f aca="false">IF(AND(E3800&gt;0,W3800&lt;1,NOT(AND(C3801=C3800,W3801=W3800+1))),INDEX(DATAS,W3800+1),"")</f>
        <v/>
      </c>
      <c r="AE3800" s="33" t="str">
        <f aca="false">IF(AND(Y3800=1,W3800&lt;1),IF(AND(C3801=C3800,W3801=W3800+1),IF(Y3801=1,"",INDEX(DATAS,W3800+1)),INDEX(DATAS,W3800+1)),"")</f>
        <v/>
      </c>
    </row>
    <row r="3801" customFormat="false" ht="15" hidden="false" customHeight="false" outlineLevel="0" collapsed="false">
      <c r="A3801" s="33" t="n">
        <v>46309</v>
      </c>
      <c r="B3801" s="0" t="n">
        <v>15</v>
      </c>
      <c r="C3801" s="0" t="n">
        <v>30472</v>
      </c>
      <c r="E3801" s="0" t="n">
        <v>0</v>
      </c>
      <c r="F3801" s="27" t="s">
        <v>1434</v>
      </c>
      <c r="I3801" s="27" t="s">
        <v>136</v>
      </c>
      <c r="U3801" s="0" t="n">
        <v>270</v>
      </c>
      <c r="V3801" s="0" t="n">
        <v>0</v>
      </c>
      <c r="W3801" s="27" t="n">
        <f aca="false">MATCH(A3801,DATAS,0)</f>
        <v>1</v>
      </c>
      <c r="X3801" s="27" t="n">
        <f aca="false">IF(AND(E3801&gt;0,OR(AND(B3801&gt;=1,B3801&lt;=6),B3801=10)),1,0)</f>
        <v>0</v>
      </c>
      <c r="Y3801" s="27" t="n">
        <f aca="false">IF(AND(E3801&gt;0,B3801=10),1,0)</f>
        <v>0</v>
      </c>
      <c r="Z3801" s="0" t="str">
        <f aca="false">IF(AND(C3800=C3801,W3800=W3801-1),X3800,"")</f>
        <v/>
      </c>
      <c r="AA3801" s="0" t="str">
        <f aca="false">IF(AND(C3800=C3801,W3800=W3801-1),Y3800,"")</f>
        <v/>
      </c>
      <c r="AB3801" s="0" t="str">
        <f aca="false">IF(W3801=1,"",IF(AND(X3801=1,Z3801&lt;&gt;1),1,0))</f>
        <v/>
      </c>
      <c r="AC3801" s="0" t="str">
        <f aca="false">IF(W3801=1,"",IF(AND(Y3801=1,AA3801&lt;&gt;1),1,0))</f>
        <v/>
      </c>
      <c r="AD3801" s="33" t="str">
        <f aca="false">IF(AND(E3801&gt;0,W3801&lt;1,NOT(AND(C3802=C3801,W3802=W3801+1))),INDEX(DATAS,W3801+1),"")</f>
        <v/>
      </c>
      <c r="AE3801" s="33" t="str">
        <f aca="false">IF(AND(Y3801=1,W3801&lt;1),IF(AND(C3802=C3801,W3802=W3801+1),IF(Y3802=1,"",INDEX(DATAS,W3801+1)),INDEX(DATAS,W3801+1)),"")</f>
        <v/>
      </c>
    </row>
    <row r="3802" customFormat="false" ht="15" hidden="false" customHeight="false" outlineLevel="0" collapsed="false">
      <c r="A3802" s="33" t="n">
        <v>46309</v>
      </c>
      <c r="B3802" s="0" t="n">
        <v>15</v>
      </c>
      <c r="C3802" s="0" t="n">
        <v>30474</v>
      </c>
      <c r="E3802" s="0" t="n">
        <v>0</v>
      </c>
      <c r="F3802" s="27" t="s">
        <v>1434</v>
      </c>
      <c r="I3802" s="27" t="s">
        <v>136</v>
      </c>
      <c r="U3802" s="0" t="n">
        <v>270</v>
      </c>
      <c r="V3802" s="0" t="n">
        <v>0</v>
      </c>
      <c r="W3802" s="27" t="n">
        <f aca="false">MATCH(A3802,DATAS,0)</f>
        <v>1</v>
      </c>
      <c r="X3802" s="27" t="n">
        <f aca="false">IF(AND(E3802&gt;0,OR(AND(B3802&gt;=1,B3802&lt;=6),B3802=10)),1,0)</f>
        <v>0</v>
      </c>
      <c r="Y3802" s="27" t="n">
        <f aca="false">IF(AND(E3802&gt;0,B3802=10),1,0)</f>
        <v>0</v>
      </c>
      <c r="Z3802" s="0" t="str">
        <f aca="false">IF(AND(C3801=C3802,W3801=W3802-1),X3801,"")</f>
        <v/>
      </c>
      <c r="AA3802" s="0" t="str">
        <f aca="false">IF(AND(C3801=C3802,W3801=W3802-1),Y3801,"")</f>
        <v/>
      </c>
      <c r="AB3802" s="0" t="str">
        <f aca="false">IF(W3802=1,"",IF(AND(X3802=1,Z3802&lt;&gt;1),1,0))</f>
        <v/>
      </c>
      <c r="AC3802" s="0" t="str">
        <f aca="false">IF(W3802=1,"",IF(AND(Y3802=1,AA3802&lt;&gt;1),1,0))</f>
        <v/>
      </c>
      <c r="AD3802" s="33" t="str">
        <f aca="false">IF(AND(E3802&gt;0,W3802&lt;1,NOT(AND(C3803=C3802,W3803=W3802+1))),INDEX(DATAS,W3802+1),"")</f>
        <v/>
      </c>
      <c r="AE3802" s="33" t="str">
        <f aca="false">IF(AND(Y3802=1,W3802&lt;1),IF(AND(C3803=C3802,W3803=W3802+1),IF(Y3803=1,"",INDEX(DATAS,W3802+1)),INDEX(DATAS,W3802+1)),"")</f>
        <v/>
      </c>
    </row>
    <row r="3803" customFormat="false" ht="15" hidden="false" customHeight="false" outlineLevel="0" collapsed="false">
      <c r="A3803" s="33" t="n">
        <v>46309</v>
      </c>
      <c r="B3803" s="0" t="n">
        <v>15</v>
      </c>
      <c r="C3803" s="0" t="n">
        <v>30477</v>
      </c>
      <c r="E3803" s="0" t="n">
        <v>0</v>
      </c>
      <c r="F3803" s="27" t="s">
        <v>1435</v>
      </c>
      <c r="I3803" s="27" t="s">
        <v>136</v>
      </c>
      <c r="U3803" s="0" t="n">
        <v>268</v>
      </c>
      <c r="V3803" s="0" t="n">
        <v>0</v>
      </c>
      <c r="W3803" s="27" t="n">
        <f aca="false">MATCH(A3803,DATAS,0)</f>
        <v>1</v>
      </c>
      <c r="X3803" s="27" t="n">
        <f aca="false">IF(AND(E3803&gt;0,OR(AND(B3803&gt;=1,B3803&lt;=6),B3803=10)),1,0)</f>
        <v>0</v>
      </c>
      <c r="Y3803" s="27" t="n">
        <f aca="false">IF(AND(E3803&gt;0,B3803=10),1,0)</f>
        <v>0</v>
      </c>
      <c r="Z3803" s="0" t="str">
        <f aca="false">IF(AND(C3802=C3803,W3802=W3803-1),X3802,"")</f>
        <v/>
      </c>
      <c r="AA3803" s="0" t="str">
        <f aca="false">IF(AND(C3802=C3803,W3802=W3803-1),Y3802,"")</f>
        <v/>
      </c>
      <c r="AB3803" s="0" t="str">
        <f aca="false">IF(W3803=1,"",IF(AND(X3803=1,Z3803&lt;&gt;1),1,0))</f>
        <v/>
      </c>
      <c r="AC3803" s="0" t="str">
        <f aca="false">IF(W3803=1,"",IF(AND(Y3803=1,AA3803&lt;&gt;1),1,0))</f>
        <v/>
      </c>
      <c r="AD3803" s="33" t="str">
        <f aca="false">IF(AND(E3803&gt;0,W3803&lt;1,NOT(AND(C3804=C3803,W3804=W3803+1))),INDEX(DATAS,W3803+1),"")</f>
        <v/>
      </c>
      <c r="AE3803" s="33" t="str">
        <f aca="false">IF(AND(Y3803=1,W3803&lt;1),IF(AND(C3804=C3803,W3804=W3803+1),IF(Y3804=1,"",INDEX(DATAS,W3803+1)),INDEX(DATAS,W3803+1)),"")</f>
        <v/>
      </c>
    </row>
    <row r="3804" customFormat="false" ht="15" hidden="false" customHeight="false" outlineLevel="0" collapsed="false">
      <c r="A3804" s="33" t="n">
        <v>46309</v>
      </c>
      <c r="B3804" s="0" t="n">
        <v>15</v>
      </c>
      <c r="C3804" s="0" t="n">
        <v>30479</v>
      </c>
      <c r="E3804" s="0" t="n">
        <v>0</v>
      </c>
      <c r="F3804" s="27" t="s">
        <v>1437</v>
      </c>
      <c r="I3804" s="27" t="s">
        <v>136</v>
      </c>
      <c r="U3804" s="0" t="n">
        <v>266</v>
      </c>
      <c r="V3804" s="0" t="n">
        <v>0</v>
      </c>
      <c r="W3804" s="27" t="n">
        <f aca="false">MATCH(A3804,DATAS,0)</f>
        <v>1</v>
      </c>
      <c r="X3804" s="27" t="n">
        <f aca="false">IF(AND(E3804&gt;0,OR(AND(B3804&gt;=1,B3804&lt;=6),B3804=10)),1,0)</f>
        <v>0</v>
      </c>
      <c r="Y3804" s="27" t="n">
        <f aca="false">IF(AND(E3804&gt;0,B3804=10),1,0)</f>
        <v>0</v>
      </c>
      <c r="Z3804" s="0" t="str">
        <f aca="false">IF(AND(C3803=C3804,W3803=W3804-1),X3803,"")</f>
        <v/>
      </c>
      <c r="AA3804" s="0" t="str">
        <f aca="false">IF(AND(C3803=C3804,W3803=W3804-1),Y3803,"")</f>
        <v/>
      </c>
      <c r="AB3804" s="0" t="str">
        <f aca="false">IF(W3804=1,"",IF(AND(X3804=1,Z3804&lt;&gt;1),1,0))</f>
        <v/>
      </c>
      <c r="AC3804" s="0" t="str">
        <f aca="false">IF(W3804=1,"",IF(AND(Y3804=1,AA3804&lt;&gt;1),1,0))</f>
        <v/>
      </c>
      <c r="AD3804" s="33" t="str">
        <f aca="false">IF(AND(E3804&gt;0,W3804&lt;1,NOT(AND(C3805=C3804,W3805=W3804+1))),INDEX(DATAS,W3804+1),"")</f>
        <v/>
      </c>
      <c r="AE3804" s="33" t="str">
        <f aca="false">IF(AND(Y3804=1,W3804&lt;1),IF(AND(C3805=C3804,W3805=W3804+1),IF(Y3805=1,"",INDEX(DATAS,W3804+1)),INDEX(DATAS,W3804+1)),"")</f>
        <v/>
      </c>
    </row>
    <row r="3805" customFormat="false" ht="15" hidden="false" customHeight="false" outlineLevel="0" collapsed="false">
      <c r="A3805" s="33" t="n">
        <v>46309</v>
      </c>
      <c r="B3805" s="0" t="n">
        <v>15</v>
      </c>
      <c r="C3805" s="0" t="n">
        <v>30481</v>
      </c>
      <c r="E3805" s="0" t="n">
        <v>0</v>
      </c>
      <c r="F3805" s="27" t="s">
        <v>1687</v>
      </c>
      <c r="I3805" s="27" t="s">
        <v>136</v>
      </c>
      <c r="U3805" s="0" t="n">
        <v>265</v>
      </c>
      <c r="V3805" s="0" t="n">
        <v>0</v>
      </c>
      <c r="W3805" s="27" t="n">
        <f aca="false">MATCH(A3805,DATAS,0)</f>
        <v>1</v>
      </c>
      <c r="X3805" s="27" t="n">
        <f aca="false">IF(AND(E3805&gt;0,OR(AND(B3805&gt;=1,B3805&lt;=6),B3805=10)),1,0)</f>
        <v>0</v>
      </c>
      <c r="Y3805" s="27" t="n">
        <f aca="false">IF(AND(E3805&gt;0,B3805=10),1,0)</f>
        <v>0</v>
      </c>
      <c r="Z3805" s="0" t="str">
        <f aca="false">IF(AND(C3804=C3805,W3804=W3805-1),X3804,"")</f>
        <v/>
      </c>
      <c r="AA3805" s="0" t="str">
        <f aca="false">IF(AND(C3804=C3805,W3804=W3805-1),Y3804,"")</f>
        <v/>
      </c>
      <c r="AB3805" s="0" t="str">
        <f aca="false">IF(W3805=1,"",IF(AND(X3805=1,Z3805&lt;&gt;1),1,0))</f>
        <v/>
      </c>
      <c r="AC3805" s="0" t="str">
        <f aca="false">IF(W3805=1,"",IF(AND(Y3805=1,AA3805&lt;&gt;1),1,0))</f>
        <v/>
      </c>
      <c r="AD3805" s="33" t="str">
        <f aca="false">IF(AND(E3805&gt;0,W3805&lt;1,NOT(AND(C3806=C3805,W3806=W3805+1))),INDEX(DATAS,W3805+1),"")</f>
        <v/>
      </c>
      <c r="AE3805" s="33" t="str">
        <f aca="false">IF(AND(Y3805=1,W3805&lt;1),IF(AND(C3806=C3805,W3806=W3805+1),IF(Y3806=1,"",INDEX(DATAS,W3805+1)),INDEX(DATAS,W3805+1)),"")</f>
        <v/>
      </c>
    </row>
    <row r="3806" customFormat="false" ht="15" hidden="false" customHeight="false" outlineLevel="0" collapsed="false">
      <c r="A3806" s="33" t="n">
        <v>46309</v>
      </c>
      <c r="B3806" s="0" t="n">
        <v>15</v>
      </c>
      <c r="C3806" s="0" t="n">
        <v>30484</v>
      </c>
      <c r="E3806" s="0" t="n">
        <v>0</v>
      </c>
      <c r="F3806" s="27" t="s">
        <v>1438</v>
      </c>
      <c r="I3806" s="27" t="s">
        <v>136</v>
      </c>
      <c r="U3806" s="0" t="n">
        <v>264</v>
      </c>
      <c r="V3806" s="0" t="n">
        <v>0</v>
      </c>
      <c r="W3806" s="27" t="n">
        <f aca="false">MATCH(A3806,DATAS,0)</f>
        <v>1</v>
      </c>
      <c r="X3806" s="27" t="n">
        <f aca="false">IF(AND(E3806&gt;0,OR(AND(B3806&gt;=1,B3806&lt;=6),B3806=10)),1,0)</f>
        <v>0</v>
      </c>
      <c r="Y3806" s="27" t="n">
        <f aca="false">IF(AND(E3806&gt;0,B3806=10),1,0)</f>
        <v>0</v>
      </c>
      <c r="Z3806" s="0" t="str">
        <f aca="false">IF(AND(C3805=C3806,W3805=W3806-1),X3805,"")</f>
        <v/>
      </c>
      <c r="AA3806" s="0" t="str">
        <f aca="false">IF(AND(C3805=C3806,W3805=W3806-1),Y3805,"")</f>
        <v/>
      </c>
      <c r="AB3806" s="0" t="str">
        <f aca="false">IF(W3806=1,"",IF(AND(X3806=1,Z3806&lt;&gt;1),1,0))</f>
        <v/>
      </c>
      <c r="AC3806" s="0" t="str">
        <f aca="false">IF(W3806=1,"",IF(AND(Y3806=1,AA3806&lt;&gt;1),1,0))</f>
        <v/>
      </c>
      <c r="AD3806" s="33" t="str">
        <f aca="false">IF(AND(E3806&gt;0,W3806&lt;1,NOT(AND(C3807=C3806,W3807=W3806+1))),INDEX(DATAS,W3806+1),"")</f>
        <v/>
      </c>
      <c r="AE3806" s="33" t="str">
        <f aca="false">IF(AND(Y3806=1,W3806&lt;1),IF(AND(C3807=C3806,W3807=W3806+1),IF(Y3807=1,"",INDEX(DATAS,W3806+1)),INDEX(DATAS,W3806+1)),"")</f>
        <v/>
      </c>
    </row>
    <row r="3807" customFormat="false" ht="15" hidden="false" customHeight="false" outlineLevel="0" collapsed="false">
      <c r="A3807" s="33" t="n">
        <v>46309</v>
      </c>
      <c r="B3807" s="0" t="n">
        <v>15</v>
      </c>
      <c r="C3807" s="0" t="n">
        <v>30485</v>
      </c>
      <c r="E3807" s="0" t="n">
        <v>0</v>
      </c>
      <c r="F3807" s="27" t="s">
        <v>1440</v>
      </c>
      <c r="I3807" s="27" t="s">
        <v>136</v>
      </c>
      <c r="U3807" s="0" t="n">
        <v>262</v>
      </c>
      <c r="V3807" s="0" t="n">
        <v>0</v>
      </c>
      <c r="W3807" s="27" t="n">
        <f aca="false">MATCH(A3807,DATAS,0)</f>
        <v>1</v>
      </c>
      <c r="X3807" s="27" t="n">
        <f aca="false">IF(AND(E3807&gt;0,OR(AND(B3807&gt;=1,B3807&lt;=6),B3807=10)),1,0)</f>
        <v>0</v>
      </c>
      <c r="Y3807" s="27" t="n">
        <f aca="false">IF(AND(E3807&gt;0,B3807=10),1,0)</f>
        <v>0</v>
      </c>
      <c r="Z3807" s="0" t="str">
        <f aca="false">IF(AND(C3806=C3807,W3806=W3807-1),X3806,"")</f>
        <v/>
      </c>
      <c r="AA3807" s="0" t="str">
        <f aca="false">IF(AND(C3806=C3807,W3806=W3807-1),Y3806,"")</f>
        <v/>
      </c>
      <c r="AB3807" s="0" t="str">
        <f aca="false">IF(W3807=1,"",IF(AND(X3807=1,Z3807&lt;&gt;1),1,0))</f>
        <v/>
      </c>
      <c r="AC3807" s="0" t="str">
        <f aca="false">IF(W3807=1,"",IF(AND(Y3807=1,AA3807&lt;&gt;1),1,0))</f>
        <v/>
      </c>
      <c r="AD3807" s="33" t="str">
        <f aca="false">IF(AND(E3807&gt;0,W3807&lt;1,NOT(AND(C3808=C3807,W3808=W3807+1))),INDEX(DATAS,W3807+1),"")</f>
        <v/>
      </c>
      <c r="AE3807" s="33" t="str">
        <f aca="false">IF(AND(Y3807=1,W3807&lt;1),IF(AND(C3808=C3807,W3808=W3807+1),IF(Y3808=1,"",INDEX(DATAS,W3807+1)),INDEX(DATAS,W3807+1)),"")</f>
        <v/>
      </c>
    </row>
    <row r="3808" customFormat="false" ht="15" hidden="false" customHeight="false" outlineLevel="0" collapsed="false">
      <c r="A3808" s="33" t="n">
        <v>46309</v>
      </c>
      <c r="B3808" s="0" t="n">
        <v>15</v>
      </c>
      <c r="C3808" s="0" t="n">
        <v>30488</v>
      </c>
      <c r="E3808" s="0" t="n">
        <v>0</v>
      </c>
      <c r="F3808" s="27" t="s">
        <v>1442</v>
      </c>
      <c r="I3808" s="27" t="s">
        <v>136</v>
      </c>
      <c r="U3808" s="0" t="n">
        <v>260</v>
      </c>
      <c r="V3808" s="0" t="n">
        <v>0</v>
      </c>
      <c r="W3808" s="27" t="n">
        <f aca="false">MATCH(A3808,DATAS,0)</f>
        <v>1</v>
      </c>
      <c r="X3808" s="27" t="n">
        <f aca="false">IF(AND(E3808&gt;0,OR(AND(B3808&gt;=1,B3808&lt;=6),B3808=10)),1,0)</f>
        <v>0</v>
      </c>
      <c r="Y3808" s="27" t="n">
        <f aca="false">IF(AND(E3808&gt;0,B3808=10),1,0)</f>
        <v>0</v>
      </c>
      <c r="Z3808" s="0" t="str">
        <f aca="false">IF(AND(C3807=C3808,W3807=W3808-1),X3807,"")</f>
        <v/>
      </c>
      <c r="AA3808" s="0" t="str">
        <f aca="false">IF(AND(C3807=C3808,W3807=W3808-1),Y3807,"")</f>
        <v/>
      </c>
      <c r="AB3808" s="0" t="str">
        <f aca="false">IF(W3808=1,"",IF(AND(X3808=1,Z3808&lt;&gt;1),1,0))</f>
        <v/>
      </c>
      <c r="AC3808" s="0" t="str">
        <f aca="false">IF(W3808=1,"",IF(AND(Y3808=1,AA3808&lt;&gt;1),1,0))</f>
        <v/>
      </c>
      <c r="AD3808" s="33" t="str">
        <f aca="false">IF(AND(E3808&gt;0,W3808&lt;1,NOT(AND(C3809=C3808,W3809=W3808+1))),INDEX(DATAS,W3808+1),"")</f>
        <v/>
      </c>
      <c r="AE3808" s="33" t="str">
        <f aca="false">IF(AND(Y3808=1,W3808&lt;1),IF(AND(C3809=C3808,W3809=W3808+1),IF(Y3809=1,"",INDEX(DATAS,W3808+1)),INDEX(DATAS,W3808+1)),"")</f>
        <v/>
      </c>
    </row>
    <row r="3809" customFormat="false" ht="15" hidden="false" customHeight="false" outlineLevel="0" collapsed="false">
      <c r="A3809" s="33" t="n">
        <v>46309</v>
      </c>
      <c r="B3809" s="0" t="n">
        <v>15</v>
      </c>
      <c r="C3809" s="0" t="n">
        <v>30496</v>
      </c>
      <c r="E3809" s="0" t="n">
        <v>0</v>
      </c>
      <c r="F3809" s="27" t="s">
        <v>1446</v>
      </c>
      <c r="I3809" s="27" t="s">
        <v>136</v>
      </c>
      <c r="U3809" s="0" t="n">
        <v>256</v>
      </c>
      <c r="V3809" s="0" t="n">
        <v>0</v>
      </c>
      <c r="W3809" s="27" t="n">
        <f aca="false">MATCH(A3809,DATAS,0)</f>
        <v>1</v>
      </c>
      <c r="X3809" s="27" t="n">
        <f aca="false">IF(AND(E3809&gt;0,OR(AND(B3809&gt;=1,B3809&lt;=6),B3809=10)),1,0)</f>
        <v>0</v>
      </c>
      <c r="Y3809" s="27" t="n">
        <f aca="false">IF(AND(E3809&gt;0,B3809=10),1,0)</f>
        <v>0</v>
      </c>
      <c r="Z3809" s="0" t="str">
        <f aca="false">IF(AND(C3808=C3809,W3808=W3809-1),X3808,"")</f>
        <v/>
      </c>
      <c r="AA3809" s="0" t="str">
        <f aca="false">IF(AND(C3808=C3809,W3808=W3809-1),Y3808,"")</f>
        <v/>
      </c>
      <c r="AB3809" s="0" t="str">
        <f aca="false">IF(W3809=1,"",IF(AND(X3809=1,Z3809&lt;&gt;1),1,0))</f>
        <v/>
      </c>
      <c r="AC3809" s="0" t="str">
        <f aca="false">IF(W3809=1,"",IF(AND(Y3809=1,AA3809&lt;&gt;1),1,0))</f>
        <v/>
      </c>
      <c r="AD3809" s="33" t="str">
        <f aca="false">IF(AND(E3809&gt;0,W3809&lt;1,NOT(AND(C3810=C3809,W3810=W3809+1))),INDEX(DATAS,W3809+1),"")</f>
        <v/>
      </c>
      <c r="AE3809" s="33" t="str">
        <f aca="false">IF(AND(Y3809=1,W3809&lt;1),IF(AND(C3810=C3809,W3810=W3809+1),IF(Y3810=1,"",INDEX(DATAS,W3809+1)),INDEX(DATAS,W3809+1)),"")</f>
        <v/>
      </c>
    </row>
    <row r="3810" customFormat="false" ht="15" hidden="false" customHeight="false" outlineLevel="0" collapsed="false">
      <c r="A3810" s="33" t="n">
        <v>46309</v>
      </c>
      <c r="B3810" s="0" t="n">
        <v>15</v>
      </c>
      <c r="C3810" s="0" t="n">
        <v>30498</v>
      </c>
      <c r="E3810" s="0" t="n">
        <v>0</v>
      </c>
      <c r="F3810" s="27" t="s">
        <v>1449</v>
      </c>
      <c r="I3810" s="27" t="s">
        <v>136</v>
      </c>
      <c r="U3810" s="0" t="n">
        <v>253</v>
      </c>
      <c r="V3810" s="0" t="n">
        <v>0</v>
      </c>
      <c r="W3810" s="27" t="n">
        <f aca="false">MATCH(A3810,DATAS,0)</f>
        <v>1</v>
      </c>
      <c r="X3810" s="27" t="n">
        <f aca="false">IF(AND(E3810&gt;0,OR(AND(B3810&gt;=1,B3810&lt;=6),B3810=10)),1,0)</f>
        <v>0</v>
      </c>
      <c r="Y3810" s="27" t="n">
        <f aca="false">IF(AND(E3810&gt;0,B3810=10),1,0)</f>
        <v>0</v>
      </c>
      <c r="Z3810" s="0" t="str">
        <f aca="false">IF(AND(C3809=C3810,W3809=W3810-1),X3809,"")</f>
        <v/>
      </c>
      <c r="AA3810" s="0" t="str">
        <f aca="false">IF(AND(C3809=C3810,W3809=W3810-1),Y3809,"")</f>
        <v/>
      </c>
      <c r="AB3810" s="0" t="str">
        <f aca="false">IF(W3810=1,"",IF(AND(X3810=1,Z3810&lt;&gt;1),1,0))</f>
        <v/>
      </c>
      <c r="AC3810" s="0" t="str">
        <f aca="false">IF(W3810=1,"",IF(AND(Y3810=1,AA3810&lt;&gt;1),1,0))</f>
        <v/>
      </c>
      <c r="AD3810" s="33" t="str">
        <f aca="false">IF(AND(E3810&gt;0,W3810&lt;1,NOT(AND(C3811=C3810,W3811=W3810+1))),INDEX(DATAS,W3810+1),"")</f>
        <v/>
      </c>
      <c r="AE3810" s="33" t="str">
        <f aca="false">IF(AND(Y3810=1,W3810&lt;1),IF(AND(C3811=C3810,W3811=W3810+1),IF(Y3811=1,"",INDEX(DATAS,W3810+1)),INDEX(DATAS,W3810+1)),"")</f>
        <v/>
      </c>
    </row>
    <row r="3811" customFormat="false" ht="15" hidden="false" customHeight="false" outlineLevel="0" collapsed="false">
      <c r="A3811" s="33" t="n">
        <v>46309</v>
      </c>
      <c r="B3811" s="0" t="n">
        <v>15</v>
      </c>
      <c r="C3811" s="0" t="n">
        <v>30499</v>
      </c>
      <c r="E3811" s="0" t="n">
        <v>0</v>
      </c>
      <c r="F3811" s="27" t="s">
        <v>1450</v>
      </c>
      <c r="I3811" s="27" t="s">
        <v>1684</v>
      </c>
      <c r="U3811" s="0" t="n">
        <v>252</v>
      </c>
      <c r="V3811" s="0" t="n">
        <v>0</v>
      </c>
      <c r="W3811" s="27" t="n">
        <f aca="false">MATCH(A3811,DATAS,0)</f>
        <v>1</v>
      </c>
      <c r="X3811" s="27" t="n">
        <f aca="false">IF(AND(E3811&gt;0,OR(AND(B3811&gt;=1,B3811&lt;=6),B3811=10)),1,0)</f>
        <v>0</v>
      </c>
      <c r="Y3811" s="27" t="n">
        <f aca="false">IF(AND(E3811&gt;0,B3811=10),1,0)</f>
        <v>0</v>
      </c>
      <c r="Z3811" s="0" t="str">
        <f aca="false">IF(AND(C3810=C3811,W3810=W3811-1),X3810,"")</f>
        <v/>
      </c>
      <c r="AA3811" s="0" t="str">
        <f aca="false">IF(AND(C3810=C3811,W3810=W3811-1),Y3810,"")</f>
        <v/>
      </c>
      <c r="AB3811" s="0" t="str">
        <f aca="false">IF(W3811=1,"",IF(AND(X3811=1,Z3811&lt;&gt;1),1,0))</f>
        <v/>
      </c>
      <c r="AC3811" s="0" t="str">
        <f aca="false">IF(W3811=1,"",IF(AND(Y3811=1,AA3811&lt;&gt;1),1,0))</f>
        <v/>
      </c>
      <c r="AD3811" s="33" t="str">
        <f aca="false">IF(AND(E3811&gt;0,W3811&lt;1,NOT(AND(C3812=C3811,W3812=W3811+1))),INDEX(DATAS,W3811+1),"")</f>
        <v/>
      </c>
      <c r="AE3811" s="33" t="str">
        <f aca="false">IF(AND(Y3811=1,W3811&lt;1),IF(AND(C3812=C3811,W3812=W3811+1),IF(Y3812=1,"",INDEX(DATAS,W3811+1)),INDEX(DATAS,W3811+1)),"")</f>
        <v/>
      </c>
    </row>
    <row r="3812" customFormat="false" ht="15" hidden="false" customHeight="false" outlineLevel="0" collapsed="false">
      <c r="A3812" s="33" t="n">
        <v>46309</v>
      </c>
      <c r="B3812" s="0" t="n">
        <v>15</v>
      </c>
      <c r="C3812" s="0" t="n">
        <v>30501</v>
      </c>
      <c r="E3812" s="0" t="n">
        <v>0</v>
      </c>
      <c r="F3812" s="27" t="s">
        <v>1450</v>
      </c>
      <c r="I3812" s="27" t="s">
        <v>136</v>
      </c>
      <c r="U3812" s="0" t="n">
        <v>252</v>
      </c>
      <c r="V3812" s="0" t="n">
        <v>0</v>
      </c>
      <c r="W3812" s="27" t="n">
        <f aca="false">MATCH(A3812,DATAS,0)</f>
        <v>1</v>
      </c>
      <c r="X3812" s="27" t="n">
        <f aca="false">IF(AND(E3812&gt;0,OR(AND(B3812&gt;=1,B3812&lt;=6),B3812=10)),1,0)</f>
        <v>0</v>
      </c>
      <c r="Y3812" s="27" t="n">
        <f aca="false">IF(AND(E3812&gt;0,B3812=10),1,0)</f>
        <v>0</v>
      </c>
      <c r="Z3812" s="0" t="str">
        <f aca="false">IF(AND(C3811=C3812,W3811=W3812-1),X3811,"")</f>
        <v/>
      </c>
      <c r="AA3812" s="0" t="str">
        <f aca="false">IF(AND(C3811=C3812,W3811=W3812-1),Y3811,"")</f>
        <v/>
      </c>
      <c r="AB3812" s="0" t="str">
        <f aca="false">IF(W3812=1,"",IF(AND(X3812=1,Z3812&lt;&gt;1),1,0))</f>
        <v/>
      </c>
      <c r="AC3812" s="0" t="str">
        <f aca="false">IF(W3812=1,"",IF(AND(Y3812=1,AA3812&lt;&gt;1),1,0))</f>
        <v/>
      </c>
      <c r="AD3812" s="33" t="str">
        <f aca="false">IF(AND(E3812&gt;0,W3812&lt;1,NOT(AND(C3813=C3812,W3813=W3812+1))),INDEX(DATAS,W3812+1),"")</f>
        <v/>
      </c>
      <c r="AE3812" s="33" t="str">
        <f aca="false">IF(AND(Y3812=1,W3812&lt;1),IF(AND(C3813=C3812,W3813=W3812+1),IF(Y3813=1,"",INDEX(DATAS,W3812+1)),INDEX(DATAS,W3812+1)),"")</f>
        <v/>
      </c>
    </row>
    <row r="3813" customFormat="false" ht="15" hidden="false" customHeight="false" outlineLevel="0" collapsed="false">
      <c r="A3813" s="33" t="n">
        <v>46309</v>
      </c>
      <c r="B3813" s="0" t="n">
        <v>15</v>
      </c>
      <c r="C3813" s="0" t="n">
        <v>30502</v>
      </c>
      <c r="E3813" s="0" t="n">
        <v>0</v>
      </c>
      <c r="F3813" s="27" t="s">
        <v>1450</v>
      </c>
      <c r="I3813" s="27" t="s">
        <v>136</v>
      </c>
      <c r="U3813" s="0" t="n">
        <v>252</v>
      </c>
      <c r="V3813" s="0" t="n">
        <v>0</v>
      </c>
      <c r="W3813" s="27" t="n">
        <f aca="false">MATCH(A3813,DATAS,0)</f>
        <v>1</v>
      </c>
      <c r="X3813" s="27" t="n">
        <f aca="false">IF(AND(E3813&gt;0,OR(AND(B3813&gt;=1,B3813&lt;=6),B3813=10)),1,0)</f>
        <v>0</v>
      </c>
      <c r="Y3813" s="27" t="n">
        <f aca="false">IF(AND(E3813&gt;0,B3813=10),1,0)</f>
        <v>0</v>
      </c>
      <c r="Z3813" s="0" t="str">
        <f aca="false">IF(AND(C3812=C3813,W3812=W3813-1),X3812,"")</f>
        <v/>
      </c>
      <c r="AA3813" s="0" t="str">
        <f aca="false">IF(AND(C3812=C3813,W3812=W3813-1),Y3812,"")</f>
        <v/>
      </c>
      <c r="AB3813" s="0" t="str">
        <f aca="false">IF(W3813=1,"",IF(AND(X3813=1,Z3813&lt;&gt;1),1,0))</f>
        <v/>
      </c>
      <c r="AC3813" s="0" t="str">
        <f aca="false">IF(W3813=1,"",IF(AND(Y3813=1,AA3813&lt;&gt;1),1,0))</f>
        <v/>
      </c>
      <c r="AD3813" s="33" t="str">
        <f aca="false">IF(AND(E3813&gt;0,W3813&lt;1,NOT(AND(C3814=C3813,W3814=W3813+1))),INDEX(DATAS,W3813+1),"")</f>
        <v/>
      </c>
      <c r="AE3813" s="33" t="str">
        <f aca="false">IF(AND(Y3813=1,W3813&lt;1),IF(AND(C3814=C3813,W3814=W3813+1),IF(Y3814=1,"",INDEX(DATAS,W3813+1)),INDEX(DATAS,W3813+1)),"")</f>
        <v/>
      </c>
    </row>
    <row r="3814" customFormat="false" ht="15" hidden="false" customHeight="false" outlineLevel="0" collapsed="false">
      <c r="A3814" s="33" t="n">
        <v>46309</v>
      </c>
      <c r="B3814" s="0" t="n">
        <v>15</v>
      </c>
      <c r="C3814" s="0" t="n">
        <v>30503</v>
      </c>
      <c r="E3814" s="0" t="n">
        <v>0</v>
      </c>
      <c r="F3814" s="27" t="s">
        <v>1452</v>
      </c>
      <c r="I3814" s="27" t="s">
        <v>136</v>
      </c>
      <c r="U3814" s="0" t="n">
        <v>250</v>
      </c>
      <c r="V3814" s="0" t="n">
        <v>0</v>
      </c>
      <c r="W3814" s="27" t="n">
        <f aca="false">MATCH(A3814,DATAS,0)</f>
        <v>1</v>
      </c>
      <c r="X3814" s="27" t="n">
        <f aca="false">IF(AND(E3814&gt;0,OR(AND(B3814&gt;=1,B3814&lt;=6),B3814=10)),1,0)</f>
        <v>0</v>
      </c>
      <c r="Y3814" s="27" t="n">
        <f aca="false">IF(AND(E3814&gt;0,B3814=10),1,0)</f>
        <v>0</v>
      </c>
      <c r="Z3814" s="0" t="str">
        <f aca="false">IF(AND(C3813=C3814,W3813=W3814-1),X3813,"")</f>
        <v/>
      </c>
      <c r="AA3814" s="0" t="str">
        <f aca="false">IF(AND(C3813=C3814,W3813=W3814-1),Y3813,"")</f>
        <v/>
      </c>
      <c r="AB3814" s="0" t="str">
        <f aca="false">IF(W3814=1,"",IF(AND(X3814=1,Z3814&lt;&gt;1),1,0))</f>
        <v/>
      </c>
      <c r="AC3814" s="0" t="str">
        <f aca="false">IF(W3814=1,"",IF(AND(Y3814=1,AA3814&lt;&gt;1),1,0))</f>
        <v/>
      </c>
      <c r="AD3814" s="33" t="str">
        <f aca="false">IF(AND(E3814&gt;0,W3814&lt;1,NOT(AND(C3815=C3814,W3815=W3814+1))),INDEX(DATAS,W3814+1),"")</f>
        <v/>
      </c>
      <c r="AE3814" s="33" t="str">
        <f aca="false">IF(AND(Y3814=1,W3814&lt;1),IF(AND(C3815=C3814,W3815=W3814+1),IF(Y3815=1,"",INDEX(DATAS,W3814+1)),INDEX(DATAS,W3814+1)),"")</f>
        <v/>
      </c>
    </row>
    <row r="3815" customFormat="false" ht="15" hidden="false" customHeight="false" outlineLevel="0" collapsed="false">
      <c r="A3815" s="33" t="n">
        <v>46309</v>
      </c>
      <c r="B3815" s="0" t="n">
        <v>15</v>
      </c>
      <c r="C3815" s="0" t="n">
        <v>30504</v>
      </c>
      <c r="E3815" s="0" t="n">
        <v>0</v>
      </c>
      <c r="F3815" s="27" t="s">
        <v>1454</v>
      </c>
      <c r="I3815" s="27" t="s">
        <v>136</v>
      </c>
      <c r="U3815" s="0" t="n">
        <v>248</v>
      </c>
      <c r="V3815" s="0" t="n">
        <v>0</v>
      </c>
      <c r="W3815" s="27" t="n">
        <f aca="false">MATCH(A3815,DATAS,0)</f>
        <v>1</v>
      </c>
      <c r="X3815" s="27" t="n">
        <f aca="false">IF(AND(E3815&gt;0,OR(AND(B3815&gt;=1,B3815&lt;=6),B3815=10)),1,0)</f>
        <v>0</v>
      </c>
      <c r="Y3815" s="27" t="n">
        <f aca="false">IF(AND(E3815&gt;0,B3815=10),1,0)</f>
        <v>0</v>
      </c>
      <c r="Z3815" s="0" t="str">
        <f aca="false">IF(AND(C3814=C3815,W3814=W3815-1),X3814,"")</f>
        <v/>
      </c>
      <c r="AA3815" s="0" t="str">
        <f aca="false">IF(AND(C3814=C3815,W3814=W3815-1),Y3814,"")</f>
        <v/>
      </c>
      <c r="AB3815" s="0" t="str">
        <f aca="false">IF(W3815=1,"",IF(AND(X3815=1,Z3815&lt;&gt;1),1,0))</f>
        <v/>
      </c>
      <c r="AC3815" s="0" t="str">
        <f aca="false">IF(W3815=1,"",IF(AND(Y3815=1,AA3815&lt;&gt;1),1,0))</f>
        <v/>
      </c>
      <c r="AD3815" s="33" t="str">
        <f aca="false">IF(AND(E3815&gt;0,W3815&lt;1,NOT(AND(C3816=C3815,W3816=W3815+1))),INDEX(DATAS,W3815+1),"")</f>
        <v/>
      </c>
      <c r="AE3815" s="33" t="str">
        <f aca="false">IF(AND(Y3815=1,W3815&lt;1),IF(AND(C3816=C3815,W3816=W3815+1),IF(Y3816=1,"",INDEX(DATAS,W3815+1)),INDEX(DATAS,W3815+1)),"")</f>
        <v/>
      </c>
    </row>
    <row r="3816" customFormat="false" ht="15" hidden="false" customHeight="false" outlineLevel="0" collapsed="false">
      <c r="A3816" s="33" t="n">
        <v>46309</v>
      </c>
      <c r="B3816" s="0" t="n">
        <v>15</v>
      </c>
      <c r="C3816" s="0" t="n">
        <v>30507</v>
      </c>
      <c r="E3816" s="0" t="n">
        <v>0</v>
      </c>
      <c r="F3816" s="27" t="s">
        <v>1454</v>
      </c>
      <c r="I3816" s="27" t="s">
        <v>136</v>
      </c>
      <c r="U3816" s="0" t="n">
        <v>248</v>
      </c>
      <c r="V3816" s="0" t="n">
        <v>0</v>
      </c>
      <c r="W3816" s="27" t="n">
        <f aca="false">MATCH(A3816,DATAS,0)</f>
        <v>1</v>
      </c>
      <c r="X3816" s="27" t="n">
        <f aca="false">IF(AND(E3816&gt;0,OR(AND(B3816&gt;=1,B3816&lt;=6),B3816=10)),1,0)</f>
        <v>0</v>
      </c>
      <c r="Y3816" s="27" t="n">
        <f aca="false">IF(AND(E3816&gt;0,B3816=10),1,0)</f>
        <v>0</v>
      </c>
      <c r="Z3816" s="0" t="str">
        <f aca="false">IF(AND(C3815=C3816,W3815=W3816-1),X3815,"")</f>
        <v/>
      </c>
      <c r="AA3816" s="0" t="str">
        <f aca="false">IF(AND(C3815=C3816,W3815=W3816-1),Y3815,"")</f>
        <v/>
      </c>
      <c r="AB3816" s="0" t="str">
        <f aca="false">IF(W3816=1,"",IF(AND(X3816=1,Z3816&lt;&gt;1),1,0))</f>
        <v/>
      </c>
      <c r="AC3816" s="0" t="str">
        <f aca="false">IF(W3816=1,"",IF(AND(Y3816=1,AA3816&lt;&gt;1),1,0))</f>
        <v/>
      </c>
      <c r="AD3816" s="33" t="str">
        <f aca="false">IF(AND(E3816&gt;0,W3816&lt;1,NOT(AND(C3817=C3816,W3817=W3816+1))),INDEX(DATAS,W3816+1),"")</f>
        <v/>
      </c>
      <c r="AE3816" s="33" t="str">
        <f aca="false">IF(AND(Y3816=1,W3816&lt;1),IF(AND(C3817=C3816,W3817=W3816+1),IF(Y3817=1,"",INDEX(DATAS,W3816+1)),INDEX(DATAS,W3816+1)),"")</f>
        <v/>
      </c>
    </row>
    <row r="3817" customFormat="false" ht="15" hidden="false" customHeight="false" outlineLevel="0" collapsed="false">
      <c r="A3817" s="33" t="n">
        <v>46309</v>
      </c>
      <c r="B3817" s="0" t="n">
        <v>15</v>
      </c>
      <c r="C3817" s="0" t="n">
        <v>30514</v>
      </c>
      <c r="E3817" s="0" t="n">
        <v>0</v>
      </c>
      <c r="F3817" s="27" t="s">
        <v>1456</v>
      </c>
      <c r="I3817" s="27" t="s">
        <v>136</v>
      </c>
      <c r="U3817" s="0" t="n">
        <v>246</v>
      </c>
      <c r="V3817" s="0" t="n">
        <v>0</v>
      </c>
      <c r="W3817" s="27" t="n">
        <f aca="false">MATCH(A3817,DATAS,0)</f>
        <v>1</v>
      </c>
      <c r="X3817" s="27" t="n">
        <f aca="false">IF(AND(E3817&gt;0,OR(AND(B3817&gt;=1,B3817&lt;=6),B3817=10)),1,0)</f>
        <v>0</v>
      </c>
      <c r="Y3817" s="27" t="n">
        <f aca="false">IF(AND(E3817&gt;0,B3817=10),1,0)</f>
        <v>0</v>
      </c>
      <c r="Z3817" s="0" t="str">
        <f aca="false">IF(AND(C3816=C3817,W3816=W3817-1),X3816,"")</f>
        <v/>
      </c>
      <c r="AA3817" s="0" t="str">
        <f aca="false">IF(AND(C3816=C3817,W3816=W3817-1),Y3816,"")</f>
        <v/>
      </c>
      <c r="AB3817" s="0" t="str">
        <f aca="false">IF(W3817=1,"",IF(AND(X3817=1,Z3817&lt;&gt;1),1,0))</f>
        <v/>
      </c>
      <c r="AC3817" s="0" t="str">
        <f aca="false">IF(W3817=1,"",IF(AND(Y3817=1,AA3817&lt;&gt;1),1,0))</f>
        <v/>
      </c>
      <c r="AD3817" s="33" t="str">
        <f aca="false">IF(AND(E3817&gt;0,W3817&lt;1,NOT(AND(C3818=C3817,W3818=W3817+1))),INDEX(DATAS,W3817+1),"")</f>
        <v/>
      </c>
      <c r="AE3817" s="33" t="str">
        <f aca="false">IF(AND(Y3817=1,W3817&lt;1),IF(AND(C3818=C3817,W3818=W3817+1),IF(Y3818=1,"",INDEX(DATAS,W3817+1)),INDEX(DATAS,W3817+1)),"")</f>
        <v/>
      </c>
    </row>
    <row r="3818" customFormat="false" ht="15" hidden="false" customHeight="false" outlineLevel="0" collapsed="false">
      <c r="A3818" s="33" t="n">
        <v>46309</v>
      </c>
      <c r="B3818" s="0" t="n">
        <v>15</v>
      </c>
      <c r="C3818" s="0" t="n">
        <v>30523</v>
      </c>
      <c r="E3818" s="0" t="n">
        <v>0</v>
      </c>
      <c r="F3818" s="27" t="s">
        <v>1688</v>
      </c>
      <c r="I3818" s="27" t="s">
        <v>136</v>
      </c>
      <c r="U3818" s="0" t="n">
        <v>243</v>
      </c>
      <c r="V3818" s="0" t="n">
        <v>0</v>
      </c>
      <c r="W3818" s="27" t="n">
        <f aca="false">MATCH(A3818,DATAS,0)</f>
        <v>1</v>
      </c>
      <c r="X3818" s="27" t="n">
        <f aca="false">IF(AND(E3818&gt;0,OR(AND(B3818&gt;=1,B3818&lt;=6),B3818=10)),1,0)</f>
        <v>0</v>
      </c>
      <c r="Y3818" s="27" t="n">
        <f aca="false">IF(AND(E3818&gt;0,B3818=10),1,0)</f>
        <v>0</v>
      </c>
      <c r="Z3818" s="0" t="str">
        <f aca="false">IF(AND(C3817=C3818,W3817=W3818-1),X3817,"")</f>
        <v/>
      </c>
      <c r="AA3818" s="0" t="str">
        <f aca="false">IF(AND(C3817=C3818,W3817=W3818-1),Y3817,"")</f>
        <v/>
      </c>
      <c r="AB3818" s="0" t="str">
        <f aca="false">IF(W3818=1,"",IF(AND(X3818=1,Z3818&lt;&gt;1),1,0))</f>
        <v/>
      </c>
      <c r="AC3818" s="0" t="str">
        <f aca="false">IF(W3818=1,"",IF(AND(Y3818=1,AA3818&lt;&gt;1),1,0))</f>
        <v/>
      </c>
      <c r="AD3818" s="33" t="str">
        <f aca="false">IF(AND(E3818&gt;0,W3818&lt;1,NOT(AND(C3819=C3818,W3819=W3818+1))),INDEX(DATAS,W3818+1),"")</f>
        <v/>
      </c>
      <c r="AE3818" s="33" t="str">
        <f aca="false">IF(AND(Y3818=1,W3818&lt;1),IF(AND(C3819=C3818,W3819=W3818+1),IF(Y3819=1,"",INDEX(DATAS,W3818+1)),INDEX(DATAS,W3818+1)),"")</f>
        <v/>
      </c>
    </row>
    <row r="3819" customFormat="false" ht="15" hidden="false" customHeight="false" outlineLevel="0" collapsed="false">
      <c r="A3819" s="33" t="n">
        <v>46309</v>
      </c>
      <c r="B3819" s="0" t="n">
        <v>15</v>
      </c>
      <c r="C3819" s="0" t="n">
        <v>30529</v>
      </c>
      <c r="E3819" s="0" t="n">
        <v>0</v>
      </c>
      <c r="F3819" s="27" t="s">
        <v>1459</v>
      </c>
      <c r="I3819" s="27" t="s">
        <v>136</v>
      </c>
      <c r="U3819" s="0" t="n">
        <v>242</v>
      </c>
      <c r="V3819" s="0" t="n">
        <v>0</v>
      </c>
      <c r="W3819" s="27" t="n">
        <f aca="false">MATCH(A3819,DATAS,0)</f>
        <v>1</v>
      </c>
      <c r="X3819" s="27" t="n">
        <f aca="false">IF(AND(E3819&gt;0,OR(AND(B3819&gt;=1,B3819&lt;=6),B3819=10)),1,0)</f>
        <v>0</v>
      </c>
      <c r="Y3819" s="27" t="n">
        <f aca="false">IF(AND(E3819&gt;0,B3819=10),1,0)</f>
        <v>0</v>
      </c>
      <c r="Z3819" s="0" t="str">
        <f aca="false">IF(AND(C3818=C3819,W3818=W3819-1),X3818,"")</f>
        <v/>
      </c>
      <c r="AA3819" s="0" t="str">
        <f aca="false">IF(AND(C3818=C3819,W3818=W3819-1),Y3818,"")</f>
        <v/>
      </c>
      <c r="AB3819" s="0" t="str">
        <f aca="false">IF(W3819=1,"",IF(AND(X3819=1,Z3819&lt;&gt;1),1,0))</f>
        <v/>
      </c>
      <c r="AC3819" s="0" t="str">
        <f aca="false">IF(W3819=1,"",IF(AND(Y3819=1,AA3819&lt;&gt;1),1,0))</f>
        <v/>
      </c>
      <c r="AD3819" s="33" t="str">
        <f aca="false">IF(AND(E3819&gt;0,W3819&lt;1,NOT(AND(C3820=C3819,W3820=W3819+1))),INDEX(DATAS,W3819+1),"")</f>
        <v/>
      </c>
      <c r="AE3819" s="33" t="str">
        <f aca="false">IF(AND(Y3819=1,W3819&lt;1),IF(AND(C3820=C3819,W3820=W3819+1),IF(Y3820=1,"",INDEX(DATAS,W3819+1)),INDEX(DATAS,W3819+1)),"")</f>
        <v/>
      </c>
    </row>
    <row r="3820" customFormat="false" ht="15" hidden="false" customHeight="false" outlineLevel="0" collapsed="false">
      <c r="A3820" s="33" t="n">
        <v>46309</v>
      </c>
      <c r="B3820" s="0" t="n">
        <v>15</v>
      </c>
      <c r="C3820" s="0" t="n">
        <v>30531</v>
      </c>
      <c r="E3820" s="0" t="n">
        <v>0</v>
      </c>
      <c r="F3820" s="27" t="s">
        <v>1460</v>
      </c>
      <c r="I3820" s="27" t="s">
        <v>136</v>
      </c>
      <c r="U3820" s="0" t="n">
        <v>241</v>
      </c>
      <c r="V3820" s="0" t="n">
        <v>0</v>
      </c>
      <c r="W3820" s="27" t="n">
        <f aca="false">MATCH(A3820,DATAS,0)</f>
        <v>1</v>
      </c>
      <c r="X3820" s="27" t="n">
        <f aca="false">IF(AND(E3820&gt;0,OR(AND(B3820&gt;=1,B3820&lt;=6),B3820=10)),1,0)</f>
        <v>0</v>
      </c>
      <c r="Y3820" s="27" t="n">
        <f aca="false">IF(AND(E3820&gt;0,B3820=10),1,0)</f>
        <v>0</v>
      </c>
      <c r="Z3820" s="0" t="str">
        <f aca="false">IF(AND(C3819=C3820,W3819=W3820-1),X3819,"")</f>
        <v/>
      </c>
      <c r="AA3820" s="0" t="str">
        <f aca="false">IF(AND(C3819=C3820,W3819=W3820-1),Y3819,"")</f>
        <v/>
      </c>
      <c r="AB3820" s="0" t="str">
        <f aca="false">IF(W3820=1,"",IF(AND(X3820=1,Z3820&lt;&gt;1),1,0))</f>
        <v/>
      </c>
      <c r="AC3820" s="0" t="str">
        <f aca="false">IF(W3820=1,"",IF(AND(Y3820=1,AA3820&lt;&gt;1),1,0))</f>
        <v/>
      </c>
      <c r="AD3820" s="33" t="str">
        <f aca="false">IF(AND(E3820&gt;0,W3820&lt;1,NOT(AND(C3821=C3820,W3821=W3820+1))),INDEX(DATAS,W3820+1),"")</f>
        <v/>
      </c>
      <c r="AE3820" s="33" t="str">
        <f aca="false">IF(AND(Y3820=1,W3820&lt;1),IF(AND(C3821=C3820,W3821=W3820+1),IF(Y3821=1,"",INDEX(DATAS,W3820+1)),INDEX(DATAS,W3820+1)),"")</f>
        <v/>
      </c>
    </row>
    <row r="3821" customFormat="false" ht="15" hidden="false" customHeight="false" outlineLevel="0" collapsed="false">
      <c r="A3821" s="33" t="n">
        <v>46309</v>
      </c>
      <c r="B3821" s="0" t="n">
        <v>15</v>
      </c>
      <c r="C3821" s="0" t="n">
        <v>30532</v>
      </c>
      <c r="E3821" s="0" t="n">
        <v>0</v>
      </c>
      <c r="F3821" s="27" t="s">
        <v>1460</v>
      </c>
      <c r="I3821" s="27" t="s">
        <v>136</v>
      </c>
      <c r="U3821" s="0" t="n">
        <v>241</v>
      </c>
      <c r="V3821" s="0" t="n">
        <v>0</v>
      </c>
      <c r="W3821" s="27" t="n">
        <f aca="false">MATCH(A3821,DATAS,0)</f>
        <v>1</v>
      </c>
      <c r="X3821" s="27" t="n">
        <f aca="false">IF(AND(E3821&gt;0,OR(AND(B3821&gt;=1,B3821&lt;=6),B3821=10)),1,0)</f>
        <v>0</v>
      </c>
      <c r="Y3821" s="27" t="n">
        <f aca="false">IF(AND(E3821&gt;0,B3821=10),1,0)</f>
        <v>0</v>
      </c>
      <c r="Z3821" s="0" t="str">
        <f aca="false">IF(AND(C3820=C3821,W3820=W3821-1),X3820,"")</f>
        <v/>
      </c>
      <c r="AA3821" s="0" t="str">
        <f aca="false">IF(AND(C3820=C3821,W3820=W3821-1),Y3820,"")</f>
        <v/>
      </c>
      <c r="AB3821" s="0" t="str">
        <f aca="false">IF(W3821=1,"",IF(AND(X3821=1,Z3821&lt;&gt;1),1,0))</f>
        <v/>
      </c>
      <c r="AC3821" s="0" t="str">
        <f aca="false">IF(W3821=1,"",IF(AND(Y3821=1,AA3821&lt;&gt;1),1,0))</f>
        <v/>
      </c>
      <c r="AD3821" s="33" t="str">
        <f aca="false">IF(AND(E3821&gt;0,W3821&lt;1,NOT(AND(C3822=C3821,W3822=W3821+1))),INDEX(DATAS,W3821+1),"")</f>
        <v/>
      </c>
      <c r="AE3821" s="33" t="str">
        <f aca="false">IF(AND(Y3821=1,W3821&lt;1),IF(AND(C3822=C3821,W3822=W3821+1),IF(Y3822=1,"",INDEX(DATAS,W3821+1)),INDEX(DATAS,W3821+1)),"")</f>
        <v/>
      </c>
    </row>
    <row r="3822" customFormat="false" ht="15" hidden="false" customHeight="false" outlineLevel="0" collapsed="false">
      <c r="A3822" s="33" t="n">
        <v>46309</v>
      </c>
      <c r="B3822" s="0" t="n">
        <v>15</v>
      </c>
      <c r="C3822" s="0" t="n">
        <v>30536</v>
      </c>
      <c r="E3822" s="0" t="n">
        <v>0</v>
      </c>
      <c r="F3822" s="27" t="s">
        <v>1462</v>
      </c>
      <c r="I3822" s="27" t="s">
        <v>136</v>
      </c>
      <c r="U3822" s="0" t="n">
        <v>239</v>
      </c>
      <c r="V3822" s="0" t="n">
        <v>0</v>
      </c>
      <c r="W3822" s="27" t="n">
        <f aca="false">MATCH(A3822,DATAS,0)</f>
        <v>1</v>
      </c>
      <c r="X3822" s="27" t="n">
        <f aca="false">IF(AND(E3822&gt;0,OR(AND(B3822&gt;=1,B3822&lt;=6),B3822=10)),1,0)</f>
        <v>0</v>
      </c>
      <c r="Y3822" s="27" t="n">
        <f aca="false">IF(AND(E3822&gt;0,B3822=10),1,0)</f>
        <v>0</v>
      </c>
      <c r="Z3822" s="0" t="str">
        <f aca="false">IF(AND(C3821=C3822,W3821=W3822-1),X3821,"")</f>
        <v/>
      </c>
      <c r="AA3822" s="0" t="str">
        <f aca="false">IF(AND(C3821=C3822,W3821=W3822-1),Y3821,"")</f>
        <v/>
      </c>
      <c r="AB3822" s="0" t="str">
        <f aca="false">IF(W3822=1,"",IF(AND(X3822=1,Z3822&lt;&gt;1),1,0))</f>
        <v/>
      </c>
      <c r="AC3822" s="0" t="str">
        <f aca="false">IF(W3822=1,"",IF(AND(Y3822=1,AA3822&lt;&gt;1),1,0))</f>
        <v/>
      </c>
      <c r="AD3822" s="33" t="str">
        <f aca="false">IF(AND(E3822&gt;0,W3822&lt;1,NOT(AND(C3823=C3822,W3823=W3822+1))),INDEX(DATAS,W3822+1),"")</f>
        <v/>
      </c>
      <c r="AE3822" s="33" t="str">
        <f aca="false">IF(AND(Y3822=1,W3822&lt;1),IF(AND(C3823=C3822,W3823=W3822+1),IF(Y3823=1,"",INDEX(DATAS,W3822+1)),INDEX(DATAS,W3822+1)),"")</f>
        <v/>
      </c>
    </row>
    <row r="3823" customFormat="false" ht="15" hidden="false" customHeight="false" outlineLevel="0" collapsed="false">
      <c r="A3823" s="33" t="n">
        <v>46309</v>
      </c>
      <c r="B3823" s="0" t="n">
        <v>15</v>
      </c>
      <c r="C3823" s="0" t="n">
        <v>30539</v>
      </c>
      <c r="E3823" s="0" t="n">
        <v>0</v>
      </c>
      <c r="F3823" s="27" t="s">
        <v>1463</v>
      </c>
      <c r="I3823" s="27" t="s">
        <v>136</v>
      </c>
      <c r="U3823" s="0" t="n">
        <v>238</v>
      </c>
      <c r="V3823" s="0" t="n">
        <v>0</v>
      </c>
      <c r="W3823" s="27" t="n">
        <f aca="false">MATCH(A3823,DATAS,0)</f>
        <v>1</v>
      </c>
      <c r="X3823" s="27" t="n">
        <f aca="false">IF(AND(E3823&gt;0,OR(AND(B3823&gt;=1,B3823&lt;=6),B3823=10)),1,0)</f>
        <v>0</v>
      </c>
      <c r="Y3823" s="27" t="n">
        <f aca="false">IF(AND(E3823&gt;0,B3823=10),1,0)</f>
        <v>0</v>
      </c>
      <c r="Z3823" s="0" t="str">
        <f aca="false">IF(AND(C3822=C3823,W3822=W3823-1),X3822,"")</f>
        <v/>
      </c>
      <c r="AA3823" s="0" t="str">
        <f aca="false">IF(AND(C3822=C3823,W3822=W3823-1),Y3822,"")</f>
        <v/>
      </c>
      <c r="AB3823" s="0" t="str">
        <f aca="false">IF(W3823=1,"",IF(AND(X3823=1,Z3823&lt;&gt;1),1,0))</f>
        <v/>
      </c>
      <c r="AC3823" s="0" t="str">
        <f aca="false">IF(W3823=1,"",IF(AND(Y3823=1,AA3823&lt;&gt;1),1,0))</f>
        <v/>
      </c>
      <c r="AD3823" s="33" t="str">
        <f aca="false">IF(AND(E3823&gt;0,W3823&lt;1,NOT(AND(C3824=C3823,W3824=W3823+1))),INDEX(DATAS,W3823+1),"")</f>
        <v/>
      </c>
      <c r="AE3823" s="33" t="str">
        <f aca="false">IF(AND(Y3823=1,W3823&lt;1),IF(AND(C3824=C3823,W3824=W3823+1),IF(Y3824=1,"",INDEX(DATAS,W3823+1)),INDEX(DATAS,W3823+1)),"")</f>
        <v/>
      </c>
    </row>
    <row r="3824" customFormat="false" ht="15" hidden="false" customHeight="false" outlineLevel="0" collapsed="false">
      <c r="A3824" s="33" t="n">
        <v>46309</v>
      </c>
      <c r="B3824" s="0" t="n">
        <v>15</v>
      </c>
      <c r="C3824" s="0" t="n">
        <v>30552</v>
      </c>
      <c r="E3824" s="0" t="n">
        <v>0</v>
      </c>
      <c r="F3824" s="27" t="s">
        <v>1468</v>
      </c>
      <c r="I3824" s="27" t="s">
        <v>136</v>
      </c>
      <c r="U3824" s="0" t="n">
        <v>232</v>
      </c>
      <c r="V3824" s="0" t="n">
        <v>0</v>
      </c>
      <c r="W3824" s="27" t="n">
        <f aca="false">MATCH(A3824,DATAS,0)</f>
        <v>1</v>
      </c>
      <c r="X3824" s="27" t="n">
        <f aca="false">IF(AND(E3824&gt;0,OR(AND(B3824&gt;=1,B3824&lt;=6),B3824=10)),1,0)</f>
        <v>0</v>
      </c>
      <c r="Y3824" s="27" t="n">
        <f aca="false">IF(AND(E3824&gt;0,B3824=10),1,0)</f>
        <v>0</v>
      </c>
      <c r="Z3824" s="0" t="str">
        <f aca="false">IF(AND(C3823=C3824,W3823=W3824-1),X3823,"")</f>
        <v/>
      </c>
      <c r="AA3824" s="0" t="str">
        <f aca="false">IF(AND(C3823=C3824,W3823=W3824-1),Y3823,"")</f>
        <v/>
      </c>
      <c r="AB3824" s="0" t="str">
        <f aca="false">IF(W3824=1,"",IF(AND(X3824=1,Z3824&lt;&gt;1),1,0))</f>
        <v/>
      </c>
      <c r="AC3824" s="0" t="str">
        <f aca="false">IF(W3824=1,"",IF(AND(Y3824=1,AA3824&lt;&gt;1),1,0))</f>
        <v/>
      </c>
      <c r="AD3824" s="33" t="str">
        <f aca="false">IF(AND(E3824&gt;0,W3824&lt;1,NOT(AND(C3825=C3824,W3825=W3824+1))),INDEX(DATAS,W3824+1),"")</f>
        <v/>
      </c>
      <c r="AE3824" s="33" t="str">
        <f aca="false">IF(AND(Y3824=1,W3824&lt;1),IF(AND(C3825=C3824,W3825=W3824+1),IF(Y3825=1,"",INDEX(DATAS,W3824+1)),INDEX(DATAS,W3824+1)),"")</f>
        <v/>
      </c>
    </row>
    <row r="3825" customFormat="false" ht="15" hidden="false" customHeight="false" outlineLevel="0" collapsed="false">
      <c r="A3825" s="33" t="n">
        <v>46309</v>
      </c>
      <c r="B3825" s="0" t="n">
        <v>15</v>
      </c>
      <c r="C3825" s="0" t="n">
        <v>30553</v>
      </c>
      <c r="E3825" s="0" t="n">
        <v>0</v>
      </c>
      <c r="F3825" s="27" t="s">
        <v>1468</v>
      </c>
      <c r="I3825" s="27" t="s">
        <v>136</v>
      </c>
      <c r="U3825" s="0" t="n">
        <v>232</v>
      </c>
      <c r="V3825" s="0" t="n">
        <v>0</v>
      </c>
      <c r="W3825" s="27" t="n">
        <f aca="false">MATCH(A3825,DATAS,0)</f>
        <v>1</v>
      </c>
      <c r="X3825" s="27" t="n">
        <f aca="false">IF(AND(E3825&gt;0,OR(AND(B3825&gt;=1,B3825&lt;=6),B3825=10)),1,0)</f>
        <v>0</v>
      </c>
      <c r="Y3825" s="27" t="n">
        <f aca="false">IF(AND(E3825&gt;0,B3825=10),1,0)</f>
        <v>0</v>
      </c>
      <c r="Z3825" s="0" t="str">
        <f aca="false">IF(AND(C3824=C3825,W3824=W3825-1),X3824,"")</f>
        <v/>
      </c>
      <c r="AA3825" s="0" t="str">
        <f aca="false">IF(AND(C3824=C3825,W3824=W3825-1),Y3824,"")</f>
        <v/>
      </c>
      <c r="AB3825" s="0" t="str">
        <f aca="false">IF(W3825=1,"",IF(AND(X3825=1,Z3825&lt;&gt;1),1,0))</f>
        <v/>
      </c>
      <c r="AC3825" s="0" t="str">
        <f aca="false">IF(W3825=1,"",IF(AND(Y3825=1,AA3825&lt;&gt;1),1,0))</f>
        <v/>
      </c>
      <c r="AD3825" s="33" t="str">
        <f aca="false">IF(AND(E3825&gt;0,W3825&lt;1,NOT(AND(C3826=C3825,W3826=W3825+1))),INDEX(DATAS,W3825+1),"")</f>
        <v/>
      </c>
      <c r="AE3825" s="33" t="str">
        <f aca="false">IF(AND(Y3825=1,W3825&lt;1),IF(AND(C3826=C3825,W3826=W3825+1),IF(Y3826=1,"",INDEX(DATAS,W3825+1)),INDEX(DATAS,W3825+1)),"")</f>
        <v/>
      </c>
    </row>
    <row r="3826" customFormat="false" ht="15" hidden="false" customHeight="false" outlineLevel="0" collapsed="false">
      <c r="A3826" s="33" t="n">
        <v>46309</v>
      </c>
      <c r="B3826" s="0" t="n">
        <v>15</v>
      </c>
      <c r="C3826" s="0" t="n">
        <v>30559</v>
      </c>
      <c r="E3826" s="0" t="n">
        <v>0</v>
      </c>
      <c r="F3826" s="27" t="s">
        <v>1470</v>
      </c>
      <c r="I3826" s="27" t="s">
        <v>136</v>
      </c>
      <c r="U3826" s="0" t="n">
        <v>230</v>
      </c>
      <c r="V3826" s="0" t="n">
        <v>0</v>
      </c>
      <c r="W3826" s="27" t="n">
        <f aca="false">MATCH(A3826,DATAS,0)</f>
        <v>1</v>
      </c>
      <c r="X3826" s="27" t="n">
        <f aca="false">IF(AND(E3826&gt;0,OR(AND(B3826&gt;=1,B3826&lt;=6),B3826=10)),1,0)</f>
        <v>0</v>
      </c>
      <c r="Y3826" s="27" t="n">
        <f aca="false">IF(AND(E3826&gt;0,B3826=10),1,0)</f>
        <v>0</v>
      </c>
      <c r="Z3826" s="0" t="str">
        <f aca="false">IF(AND(C3825=C3826,W3825=W3826-1),X3825,"")</f>
        <v/>
      </c>
      <c r="AA3826" s="0" t="str">
        <f aca="false">IF(AND(C3825=C3826,W3825=W3826-1),Y3825,"")</f>
        <v/>
      </c>
      <c r="AB3826" s="0" t="str">
        <f aca="false">IF(W3826=1,"",IF(AND(X3826=1,Z3826&lt;&gt;1),1,0))</f>
        <v/>
      </c>
      <c r="AC3826" s="0" t="str">
        <f aca="false">IF(W3826=1,"",IF(AND(Y3826=1,AA3826&lt;&gt;1),1,0))</f>
        <v/>
      </c>
      <c r="AD3826" s="33" t="str">
        <f aca="false">IF(AND(E3826&gt;0,W3826&lt;1,NOT(AND(C3827=C3826,W3827=W3826+1))),INDEX(DATAS,W3826+1),"")</f>
        <v/>
      </c>
      <c r="AE3826" s="33" t="str">
        <f aca="false">IF(AND(Y3826=1,W3826&lt;1),IF(AND(C3827=C3826,W3827=W3826+1),IF(Y3827=1,"",INDEX(DATAS,W3826+1)),INDEX(DATAS,W3826+1)),"")</f>
        <v/>
      </c>
    </row>
    <row r="3827" customFormat="false" ht="15" hidden="false" customHeight="false" outlineLevel="0" collapsed="false">
      <c r="A3827" s="33" t="n">
        <v>46309</v>
      </c>
      <c r="B3827" s="0" t="n">
        <v>15</v>
      </c>
      <c r="C3827" s="0" t="n">
        <v>30564</v>
      </c>
      <c r="E3827" s="0" t="n">
        <v>0</v>
      </c>
      <c r="F3827" s="27" t="s">
        <v>1472</v>
      </c>
      <c r="I3827" s="27" t="s">
        <v>136</v>
      </c>
      <c r="U3827" s="0" t="n">
        <v>228</v>
      </c>
      <c r="V3827" s="0" t="n">
        <v>0</v>
      </c>
      <c r="W3827" s="27" t="n">
        <f aca="false">MATCH(A3827,DATAS,0)</f>
        <v>1</v>
      </c>
      <c r="X3827" s="27" t="n">
        <f aca="false">IF(AND(E3827&gt;0,OR(AND(B3827&gt;=1,B3827&lt;=6),B3827=10)),1,0)</f>
        <v>0</v>
      </c>
      <c r="Y3827" s="27" t="n">
        <f aca="false">IF(AND(E3827&gt;0,B3827=10),1,0)</f>
        <v>0</v>
      </c>
      <c r="Z3827" s="0" t="str">
        <f aca="false">IF(AND(C3826=C3827,W3826=W3827-1),X3826,"")</f>
        <v/>
      </c>
      <c r="AA3827" s="0" t="str">
        <f aca="false">IF(AND(C3826=C3827,W3826=W3827-1),Y3826,"")</f>
        <v/>
      </c>
      <c r="AB3827" s="0" t="str">
        <f aca="false">IF(W3827=1,"",IF(AND(X3827=1,Z3827&lt;&gt;1),1,0))</f>
        <v/>
      </c>
      <c r="AC3827" s="0" t="str">
        <f aca="false">IF(W3827=1,"",IF(AND(Y3827=1,AA3827&lt;&gt;1),1,0))</f>
        <v/>
      </c>
      <c r="AD3827" s="33" t="str">
        <f aca="false">IF(AND(E3827&gt;0,W3827&lt;1,NOT(AND(C3828=C3827,W3828=W3827+1))),INDEX(DATAS,W3827+1),"")</f>
        <v/>
      </c>
      <c r="AE3827" s="33" t="str">
        <f aca="false">IF(AND(Y3827=1,W3827&lt;1),IF(AND(C3828=C3827,W3828=W3827+1),IF(Y3828=1,"",INDEX(DATAS,W3827+1)),INDEX(DATAS,W3827+1)),"")</f>
        <v/>
      </c>
    </row>
    <row r="3828" customFormat="false" ht="15" hidden="false" customHeight="false" outlineLevel="0" collapsed="false">
      <c r="A3828" s="33" t="n">
        <v>46309</v>
      </c>
      <c r="B3828" s="0" t="n">
        <v>15</v>
      </c>
      <c r="C3828" s="0" t="n">
        <v>30565</v>
      </c>
      <c r="E3828" s="0" t="n">
        <v>0</v>
      </c>
      <c r="F3828" s="27" t="s">
        <v>1474</v>
      </c>
      <c r="I3828" s="27" t="s">
        <v>136</v>
      </c>
      <c r="U3828" s="0" t="n">
        <v>226</v>
      </c>
      <c r="V3828" s="0" t="n">
        <v>0</v>
      </c>
      <c r="W3828" s="27" t="n">
        <f aca="false">MATCH(A3828,DATAS,0)</f>
        <v>1</v>
      </c>
      <c r="X3828" s="27" t="n">
        <f aca="false">IF(AND(E3828&gt;0,OR(AND(B3828&gt;=1,B3828&lt;=6),B3828=10)),1,0)</f>
        <v>0</v>
      </c>
      <c r="Y3828" s="27" t="n">
        <f aca="false">IF(AND(E3828&gt;0,B3828=10),1,0)</f>
        <v>0</v>
      </c>
      <c r="Z3828" s="0" t="str">
        <f aca="false">IF(AND(C3827=C3828,W3827=W3828-1),X3827,"")</f>
        <v/>
      </c>
      <c r="AA3828" s="0" t="str">
        <f aca="false">IF(AND(C3827=C3828,W3827=W3828-1),Y3827,"")</f>
        <v/>
      </c>
      <c r="AB3828" s="0" t="str">
        <f aca="false">IF(W3828=1,"",IF(AND(X3828=1,Z3828&lt;&gt;1),1,0))</f>
        <v/>
      </c>
      <c r="AC3828" s="0" t="str">
        <f aca="false">IF(W3828=1,"",IF(AND(Y3828=1,AA3828&lt;&gt;1),1,0))</f>
        <v/>
      </c>
      <c r="AD3828" s="33" t="str">
        <f aca="false">IF(AND(E3828&gt;0,W3828&lt;1,NOT(AND(C3829=C3828,W3829=W3828+1))),INDEX(DATAS,W3828+1),"")</f>
        <v/>
      </c>
      <c r="AE3828" s="33" t="str">
        <f aca="false">IF(AND(Y3828=1,W3828&lt;1),IF(AND(C3829=C3828,W3829=W3828+1),IF(Y3829=1,"",INDEX(DATAS,W3828+1)),INDEX(DATAS,W3828+1)),"")</f>
        <v/>
      </c>
    </row>
    <row r="3829" customFormat="false" ht="15" hidden="false" customHeight="false" outlineLevel="0" collapsed="false">
      <c r="A3829" s="33" t="n">
        <v>46309</v>
      </c>
      <c r="B3829" s="0" t="n">
        <v>15</v>
      </c>
      <c r="C3829" s="0" t="n">
        <v>30572</v>
      </c>
      <c r="E3829" s="0" t="n">
        <v>0</v>
      </c>
      <c r="F3829" s="27" t="s">
        <v>1477</v>
      </c>
      <c r="I3829" s="27" t="s">
        <v>136</v>
      </c>
      <c r="U3829" s="0" t="n">
        <v>223</v>
      </c>
      <c r="V3829" s="0" t="n">
        <v>0</v>
      </c>
      <c r="W3829" s="27" t="n">
        <f aca="false">MATCH(A3829,DATAS,0)</f>
        <v>1</v>
      </c>
      <c r="X3829" s="27" t="n">
        <f aca="false">IF(AND(E3829&gt;0,OR(AND(B3829&gt;=1,B3829&lt;=6),B3829=10)),1,0)</f>
        <v>0</v>
      </c>
      <c r="Y3829" s="27" t="n">
        <f aca="false">IF(AND(E3829&gt;0,B3829=10),1,0)</f>
        <v>0</v>
      </c>
      <c r="Z3829" s="0" t="str">
        <f aca="false">IF(AND(C3828=C3829,W3828=W3829-1),X3828,"")</f>
        <v/>
      </c>
      <c r="AA3829" s="0" t="str">
        <f aca="false">IF(AND(C3828=C3829,W3828=W3829-1),Y3828,"")</f>
        <v/>
      </c>
      <c r="AB3829" s="0" t="str">
        <f aca="false">IF(W3829=1,"",IF(AND(X3829=1,Z3829&lt;&gt;1),1,0))</f>
        <v/>
      </c>
      <c r="AC3829" s="0" t="str">
        <f aca="false">IF(W3829=1,"",IF(AND(Y3829=1,AA3829&lt;&gt;1),1,0))</f>
        <v/>
      </c>
      <c r="AD3829" s="33" t="str">
        <f aca="false">IF(AND(E3829&gt;0,W3829&lt;1,NOT(AND(C3830=C3829,W3830=W3829+1))),INDEX(DATAS,W3829+1),"")</f>
        <v/>
      </c>
      <c r="AE3829" s="33" t="str">
        <f aca="false">IF(AND(Y3829=1,W3829&lt;1),IF(AND(C3830=C3829,W3830=W3829+1),IF(Y3830=1,"",INDEX(DATAS,W3829+1)),INDEX(DATAS,W3829+1)),"")</f>
        <v/>
      </c>
    </row>
    <row r="3830" customFormat="false" ht="15" hidden="false" customHeight="false" outlineLevel="0" collapsed="false">
      <c r="A3830" s="33" t="n">
        <v>46309</v>
      </c>
      <c r="B3830" s="0" t="n">
        <v>15</v>
      </c>
      <c r="C3830" s="0" t="n">
        <v>30573</v>
      </c>
      <c r="E3830" s="0" t="n">
        <v>0</v>
      </c>
      <c r="F3830" s="27" t="s">
        <v>1477</v>
      </c>
      <c r="I3830" s="27" t="s">
        <v>1684</v>
      </c>
      <c r="U3830" s="0" t="n">
        <v>223</v>
      </c>
      <c r="V3830" s="0" t="n">
        <v>0</v>
      </c>
      <c r="W3830" s="27" t="n">
        <f aca="false">MATCH(A3830,DATAS,0)</f>
        <v>1</v>
      </c>
      <c r="X3830" s="27" t="n">
        <f aca="false">IF(AND(E3830&gt;0,OR(AND(B3830&gt;=1,B3830&lt;=6),B3830=10)),1,0)</f>
        <v>0</v>
      </c>
      <c r="Y3830" s="27" t="n">
        <f aca="false">IF(AND(E3830&gt;0,B3830=10),1,0)</f>
        <v>0</v>
      </c>
      <c r="Z3830" s="0" t="str">
        <f aca="false">IF(AND(C3829=C3830,W3829=W3830-1),X3829,"")</f>
        <v/>
      </c>
      <c r="AA3830" s="0" t="str">
        <f aca="false">IF(AND(C3829=C3830,W3829=W3830-1),Y3829,"")</f>
        <v/>
      </c>
      <c r="AB3830" s="0" t="str">
        <f aca="false">IF(W3830=1,"",IF(AND(X3830=1,Z3830&lt;&gt;1),1,0))</f>
        <v/>
      </c>
      <c r="AC3830" s="0" t="str">
        <f aca="false">IF(W3830=1,"",IF(AND(Y3830=1,AA3830&lt;&gt;1),1,0))</f>
        <v/>
      </c>
      <c r="AD3830" s="33" t="str">
        <f aca="false">IF(AND(E3830&gt;0,W3830&lt;1,NOT(AND(C3831=C3830,W3831=W3830+1))),INDEX(DATAS,W3830+1),"")</f>
        <v/>
      </c>
      <c r="AE3830" s="33" t="str">
        <f aca="false">IF(AND(Y3830=1,W3830&lt;1),IF(AND(C3831=C3830,W3831=W3830+1),IF(Y3831=1,"",INDEX(DATAS,W3830+1)),INDEX(DATAS,W3830+1)),"")</f>
        <v/>
      </c>
    </row>
    <row r="3831" customFormat="false" ht="15" hidden="false" customHeight="false" outlineLevel="0" collapsed="false">
      <c r="A3831" s="33" t="n">
        <v>46309</v>
      </c>
      <c r="B3831" s="0" t="n">
        <v>15</v>
      </c>
      <c r="C3831" s="0" t="n">
        <v>30585</v>
      </c>
      <c r="E3831" s="0" t="n">
        <v>0</v>
      </c>
      <c r="F3831" s="27" t="s">
        <v>1483</v>
      </c>
      <c r="I3831" s="27" t="s">
        <v>136</v>
      </c>
      <c r="U3831" s="0" t="n">
        <v>215</v>
      </c>
      <c r="V3831" s="0" t="n">
        <v>0</v>
      </c>
      <c r="W3831" s="27" t="n">
        <f aca="false">MATCH(A3831,DATAS,0)</f>
        <v>1</v>
      </c>
      <c r="X3831" s="27" t="n">
        <f aca="false">IF(AND(E3831&gt;0,OR(AND(B3831&gt;=1,B3831&lt;=6),B3831=10)),1,0)</f>
        <v>0</v>
      </c>
      <c r="Y3831" s="27" t="n">
        <f aca="false">IF(AND(E3831&gt;0,B3831=10),1,0)</f>
        <v>0</v>
      </c>
      <c r="Z3831" s="0" t="str">
        <f aca="false">IF(AND(C3830=C3831,W3830=W3831-1),X3830,"")</f>
        <v/>
      </c>
      <c r="AA3831" s="0" t="str">
        <f aca="false">IF(AND(C3830=C3831,W3830=W3831-1),Y3830,"")</f>
        <v/>
      </c>
      <c r="AB3831" s="0" t="str">
        <f aca="false">IF(W3831=1,"",IF(AND(X3831=1,Z3831&lt;&gt;1),1,0))</f>
        <v/>
      </c>
      <c r="AC3831" s="0" t="str">
        <f aca="false">IF(W3831=1,"",IF(AND(Y3831=1,AA3831&lt;&gt;1),1,0))</f>
        <v/>
      </c>
      <c r="AD3831" s="33" t="str">
        <f aca="false">IF(AND(E3831&gt;0,W3831&lt;1,NOT(AND(C3832=C3831,W3832=W3831+1))),INDEX(DATAS,W3831+1),"")</f>
        <v/>
      </c>
      <c r="AE3831" s="33" t="str">
        <f aca="false">IF(AND(Y3831=1,W3831&lt;1),IF(AND(C3832=C3831,W3832=W3831+1),IF(Y3832=1,"",INDEX(DATAS,W3831+1)),INDEX(DATAS,W3831+1)),"")</f>
        <v/>
      </c>
    </row>
    <row r="3832" customFormat="false" ht="15" hidden="false" customHeight="false" outlineLevel="0" collapsed="false">
      <c r="A3832" s="33" t="n">
        <v>46309</v>
      </c>
      <c r="B3832" s="0" t="n">
        <v>15</v>
      </c>
      <c r="C3832" s="0" t="n">
        <v>30586</v>
      </c>
      <c r="E3832" s="0" t="n">
        <v>0</v>
      </c>
      <c r="F3832" s="27" t="s">
        <v>1689</v>
      </c>
      <c r="I3832" s="27" t="s">
        <v>1684</v>
      </c>
      <c r="U3832" s="0" t="n">
        <v>214</v>
      </c>
      <c r="V3832" s="0" t="n">
        <v>0</v>
      </c>
      <c r="W3832" s="27" t="n">
        <f aca="false">MATCH(A3832,DATAS,0)</f>
        <v>1</v>
      </c>
      <c r="X3832" s="27" t="n">
        <f aca="false">IF(AND(E3832&gt;0,OR(AND(B3832&gt;=1,B3832&lt;=6),B3832=10)),1,0)</f>
        <v>0</v>
      </c>
      <c r="Y3832" s="27" t="n">
        <f aca="false">IF(AND(E3832&gt;0,B3832=10),1,0)</f>
        <v>0</v>
      </c>
      <c r="Z3832" s="0" t="str">
        <f aca="false">IF(AND(C3831=C3832,W3831=W3832-1),X3831,"")</f>
        <v/>
      </c>
      <c r="AA3832" s="0" t="str">
        <f aca="false">IF(AND(C3831=C3832,W3831=W3832-1),Y3831,"")</f>
        <v/>
      </c>
      <c r="AB3832" s="0" t="str">
        <f aca="false">IF(W3832=1,"",IF(AND(X3832=1,Z3832&lt;&gt;1),1,0))</f>
        <v/>
      </c>
      <c r="AC3832" s="0" t="str">
        <f aca="false">IF(W3832=1,"",IF(AND(Y3832=1,AA3832&lt;&gt;1),1,0))</f>
        <v/>
      </c>
      <c r="AD3832" s="33" t="str">
        <f aca="false">IF(AND(E3832&gt;0,W3832&lt;1,NOT(AND(C3833=C3832,W3833=W3832+1))),INDEX(DATAS,W3832+1),"")</f>
        <v/>
      </c>
      <c r="AE3832" s="33" t="str">
        <f aca="false">IF(AND(Y3832=1,W3832&lt;1),IF(AND(C3833=C3832,W3833=W3832+1),IF(Y3833=1,"",INDEX(DATAS,W3832+1)),INDEX(DATAS,W3832+1)),"")</f>
        <v/>
      </c>
    </row>
    <row r="3833" customFormat="false" ht="15" hidden="false" customHeight="false" outlineLevel="0" collapsed="false">
      <c r="A3833" s="33" t="n">
        <v>46309</v>
      </c>
      <c r="B3833" s="0" t="n">
        <v>15</v>
      </c>
      <c r="C3833" s="0" t="n">
        <v>30587</v>
      </c>
      <c r="E3833" s="0" t="n">
        <v>0</v>
      </c>
      <c r="F3833" s="27" t="s">
        <v>1484</v>
      </c>
      <c r="I3833" s="27" t="s">
        <v>1684</v>
      </c>
      <c r="U3833" s="0" t="n">
        <v>213</v>
      </c>
      <c r="V3833" s="0" t="n">
        <v>0</v>
      </c>
      <c r="W3833" s="27" t="n">
        <f aca="false">MATCH(A3833,DATAS,0)</f>
        <v>1</v>
      </c>
      <c r="X3833" s="27" t="n">
        <f aca="false">IF(AND(E3833&gt;0,OR(AND(B3833&gt;=1,B3833&lt;=6),B3833=10)),1,0)</f>
        <v>0</v>
      </c>
      <c r="Y3833" s="27" t="n">
        <f aca="false">IF(AND(E3833&gt;0,B3833=10),1,0)</f>
        <v>0</v>
      </c>
      <c r="Z3833" s="0" t="str">
        <f aca="false">IF(AND(C3832=C3833,W3832=W3833-1),X3832,"")</f>
        <v/>
      </c>
      <c r="AA3833" s="0" t="str">
        <f aca="false">IF(AND(C3832=C3833,W3832=W3833-1),Y3832,"")</f>
        <v/>
      </c>
      <c r="AB3833" s="0" t="str">
        <f aca="false">IF(W3833=1,"",IF(AND(X3833=1,Z3833&lt;&gt;1),1,0))</f>
        <v/>
      </c>
      <c r="AC3833" s="0" t="str">
        <f aca="false">IF(W3833=1,"",IF(AND(Y3833=1,AA3833&lt;&gt;1),1,0))</f>
        <v/>
      </c>
      <c r="AD3833" s="33" t="str">
        <f aca="false">IF(AND(E3833&gt;0,W3833&lt;1,NOT(AND(C3834=C3833,W3834=W3833+1))),INDEX(DATAS,W3833+1),"")</f>
        <v/>
      </c>
      <c r="AE3833" s="33" t="str">
        <f aca="false">IF(AND(Y3833=1,W3833&lt;1),IF(AND(C3834=C3833,W3834=W3833+1),IF(Y3834=1,"",INDEX(DATAS,W3833+1)),INDEX(DATAS,W3833+1)),"")</f>
        <v/>
      </c>
    </row>
    <row r="3834" customFormat="false" ht="15" hidden="false" customHeight="false" outlineLevel="0" collapsed="false">
      <c r="A3834" s="33" t="n">
        <v>46309</v>
      </c>
      <c r="B3834" s="0" t="n">
        <v>15</v>
      </c>
      <c r="C3834" s="0" t="n">
        <v>30589</v>
      </c>
      <c r="E3834" s="0" t="n">
        <v>0</v>
      </c>
      <c r="F3834" s="27" t="s">
        <v>1484</v>
      </c>
      <c r="I3834" s="27" t="s">
        <v>136</v>
      </c>
      <c r="U3834" s="0" t="n">
        <v>213</v>
      </c>
      <c r="V3834" s="0" t="n">
        <v>0</v>
      </c>
      <c r="W3834" s="27" t="n">
        <f aca="false">MATCH(A3834,DATAS,0)</f>
        <v>1</v>
      </c>
      <c r="X3834" s="27" t="n">
        <f aca="false">IF(AND(E3834&gt;0,OR(AND(B3834&gt;=1,B3834&lt;=6),B3834=10)),1,0)</f>
        <v>0</v>
      </c>
      <c r="Y3834" s="27" t="n">
        <f aca="false">IF(AND(E3834&gt;0,B3834=10),1,0)</f>
        <v>0</v>
      </c>
      <c r="Z3834" s="0" t="str">
        <f aca="false">IF(AND(C3833=C3834,W3833=W3834-1),X3833,"")</f>
        <v/>
      </c>
      <c r="AA3834" s="0" t="str">
        <f aca="false">IF(AND(C3833=C3834,W3833=W3834-1),Y3833,"")</f>
        <v/>
      </c>
      <c r="AB3834" s="0" t="str">
        <f aca="false">IF(W3834=1,"",IF(AND(X3834=1,Z3834&lt;&gt;1),1,0))</f>
        <v/>
      </c>
      <c r="AC3834" s="0" t="str">
        <f aca="false">IF(W3834=1,"",IF(AND(Y3834=1,AA3834&lt;&gt;1),1,0))</f>
        <v/>
      </c>
      <c r="AD3834" s="33" t="str">
        <f aca="false">IF(AND(E3834&gt;0,W3834&lt;1,NOT(AND(C3835=C3834,W3835=W3834+1))),INDEX(DATAS,W3834+1),"")</f>
        <v/>
      </c>
      <c r="AE3834" s="33" t="str">
        <f aca="false">IF(AND(Y3834=1,W3834&lt;1),IF(AND(C3835=C3834,W3835=W3834+1),IF(Y3835=1,"",INDEX(DATAS,W3834+1)),INDEX(DATAS,W3834+1)),"")</f>
        <v/>
      </c>
    </row>
    <row r="3835" customFormat="false" ht="15" hidden="false" customHeight="false" outlineLevel="0" collapsed="false">
      <c r="A3835" s="33" t="n">
        <v>46309</v>
      </c>
      <c r="B3835" s="0" t="n">
        <v>15</v>
      </c>
      <c r="C3835" s="0" t="n">
        <v>30590</v>
      </c>
      <c r="E3835" s="0" t="n">
        <v>0</v>
      </c>
      <c r="F3835" s="27" t="s">
        <v>1484</v>
      </c>
      <c r="I3835" s="27" t="s">
        <v>136</v>
      </c>
      <c r="U3835" s="0" t="n">
        <v>213</v>
      </c>
      <c r="V3835" s="0" t="n">
        <v>0</v>
      </c>
      <c r="W3835" s="27" t="n">
        <f aca="false">MATCH(A3835,DATAS,0)</f>
        <v>1</v>
      </c>
      <c r="X3835" s="27" t="n">
        <f aca="false">IF(AND(E3835&gt;0,OR(AND(B3835&gt;=1,B3835&lt;=6),B3835=10)),1,0)</f>
        <v>0</v>
      </c>
      <c r="Y3835" s="27" t="n">
        <f aca="false">IF(AND(E3835&gt;0,B3835=10),1,0)</f>
        <v>0</v>
      </c>
      <c r="Z3835" s="0" t="str">
        <f aca="false">IF(AND(C3834=C3835,W3834=W3835-1),X3834,"")</f>
        <v/>
      </c>
      <c r="AA3835" s="0" t="str">
        <f aca="false">IF(AND(C3834=C3835,W3834=W3835-1),Y3834,"")</f>
        <v/>
      </c>
      <c r="AB3835" s="0" t="str">
        <f aca="false">IF(W3835=1,"",IF(AND(X3835=1,Z3835&lt;&gt;1),1,0))</f>
        <v/>
      </c>
      <c r="AC3835" s="0" t="str">
        <f aca="false">IF(W3835=1,"",IF(AND(Y3835=1,AA3835&lt;&gt;1),1,0))</f>
        <v/>
      </c>
      <c r="AD3835" s="33" t="str">
        <f aca="false">IF(AND(E3835&gt;0,W3835&lt;1,NOT(AND(C3836=C3835,W3836=W3835+1))),INDEX(DATAS,W3835+1),"")</f>
        <v/>
      </c>
      <c r="AE3835" s="33" t="str">
        <f aca="false">IF(AND(Y3835=1,W3835&lt;1),IF(AND(C3836=C3835,W3836=W3835+1),IF(Y3836=1,"",INDEX(DATAS,W3835+1)),INDEX(DATAS,W3835+1)),"")</f>
        <v/>
      </c>
    </row>
    <row r="3836" customFormat="false" ht="15" hidden="false" customHeight="false" outlineLevel="0" collapsed="false">
      <c r="A3836" s="33" t="n">
        <v>46309</v>
      </c>
      <c r="B3836" s="0" t="n">
        <v>15</v>
      </c>
      <c r="C3836" s="0" t="n">
        <v>30594</v>
      </c>
      <c r="E3836" s="0" t="n">
        <v>0</v>
      </c>
      <c r="F3836" s="27" t="s">
        <v>1485</v>
      </c>
      <c r="I3836" s="27" t="s">
        <v>136</v>
      </c>
      <c r="U3836" s="0" t="n">
        <v>212</v>
      </c>
      <c r="V3836" s="0" t="n">
        <v>0</v>
      </c>
      <c r="W3836" s="27" t="n">
        <f aca="false">MATCH(A3836,DATAS,0)</f>
        <v>1</v>
      </c>
      <c r="X3836" s="27" t="n">
        <f aca="false">IF(AND(E3836&gt;0,OR(AND(B3836&gt;=1,B3836&lt;=6),B3836=10)),1,0)</f>
        <v>0</v>
      </c>
      <c r="Y3836" s="27" t="n">
        <f aca="false">IF(AND(E3836&gt;0,B3836=10),1,0)</f>
        <v>0</v>
      </c>
      <c r="Z3836" s="0" t="str">
        <f aca="false">IF(AND(C3835=C3836,W3835=W3836-1),X3835,"")</f>
        <v/>
      </c>
      <c r="AA3836" s="0" t="str">
        <f aca="false">IF(AND(C3835=C3836,W3835=W3836-1),Y3835,"")</f>
        <v/>
      </c>
      <c r="AB3836" s="0" t="str">
        <f aca="false">IF(W3836=1,"",IF(AND(X3836=1,Z3836&lt;&gt;1),1,0))</f>
        <v/>
      </c>
      <c r="AC3836" s="0" t="str">
        <f aca="false">IF(W3836=1,"",IF(AND(Y3836=1,AA3836&lt;&gt;1),1,0))</f>
        <v/>
      </c>
      <c r="AD3836" s="33" t="str">
        <f aca="false">IF(AND(E3836&gt;0,W3836&lt;1,NOT(AND(C3837=C3836,W3837=W3836+1))),INDEX(DATAS,W3836+1),"")</f>
        <v/>
      </c>
      <c r="AE3836" s="33" t="str">
        <f aca="false">IF(AND(Y3836=1,W3836&lt;1),IF(AND(C3837=C3836,W3837=W3836+1),IF(Y3837=1,"",INDEX(DATAS,W3836+1)),INDEX(DATAS,W3836+1)),"")</f>
        <v/>
      </c>
    </row>
    <row r="3837" customFormat="false" ht="15" hidden="false" customHeight="false" outlineLevel="0" collapsed="false">
      <c r="A3837" s="33" t="n">
        <v>46309</v>
      </c>
      <c r="B3837" s="0" t="n">
        <v>15</v>
      </c>
      <c r="C3837" s="0" t="n">
        <v>30595</v>
      </c>
      <c r="E3837" s="0" t="n">
        <v>0</v>
      </c>
      <c r="F3837" s="27" t="s">
        <v>1486</v>
      </c>
      <c r="I3837" s="27" t="s">
        <v>136</v>
      </c>
      <c r="U3837" s="0" t="n">
        <v>211</v>
      </c>
      <c r="V3837" s="0" t="n">
        <v>0</v>
      </c>
      <c r="W3837" s="27" t="n">
        <f aca="false">MATCH(A3837,DATAS,0)</f>
        <v>1</v>
      </c>
      <c r="X3837" s="27" t="n">
        <f aca="false">IF(AND(E3837&gt;0,OR(AND(B3837&gt;=1,B3837&lt;=6),B3837=10)),1,0)</f>
        <v>0</v>
      </c>
      <c r="Y3837" s="27" t="n">
        <f aca="false">IF(AND(E3837&gt;0,B3837=10),1,0)</f>
        <v>0</v>
      </c>
      <c r="Z3837" s="0" t="str">
        <f aca="false">IF(AND(C3836=C3837,W3836=W3837-1),X3836,"")</f>
        <v/>
      </c>
      <c r="AA3837" s="0" t="str">
        <f aca="false">IF(AND(C3836=C3837,W3836=W3837-1),Y3836,"")</f>
        <v/>
      </c>
      <c r="AB3837" s="0" t="str">
        <f aca="false">IF(W3837=1,"",IF(AND(X3837=1,Z3837&lt;&gt;1),1,0))</f>
        <v/>
      </c>
      <c r="AC3837" s="0" t="str">
        <f aca="false">IF(W3837=1,"",IF(AND(Y3837=1,AA3837&lt;&gt;1),1,0))</f>
        <v/>
      </c>
      <c r="AD3837" s="33" t="str">
        <f aca="false">IF(AND(E3837&gt;0,W3837&lt;1,NOT(AND(C3838=C3837,W3838=W3837+1))),INDEX(DATAS,W3837+1),"")</f>
        <v/>
      </c>
      <c r="AE3837" s="33" t="str">
        <f aca="false">IF(AND(Y3837=1,W3837&lt;1),IF(AND(C3838=C3837,W3838=W3837+1),IF(Y3838=1,"",INDEX(DATAS,W3837+1)),INDEX(DATAS,W3837+1)),"")</f>
        <v/>
      </c>
    </row>
    <row r="3838" customFormat="false" ht="15" hidden="false" customHeight="false" outlineLevel="0" collapsed="false">
      <c r="A3838" s="33" t="n">
        <v>46309</v>
      </c>
      <c r="B3838" s="0" t="n">
        <v>15</v>
      </c>
      <c r="C3838" s="0" t="n">
        <v>30597</v>
      </c>
      <c r="E3838" s="0" t="n">
        <v>0</v>
      </c>
      <c r="F3838" s="27" t="s">
        <v>1486</v>
      </c>
      <c r="I3838" s="27" t="s">
        <v>136</v>
      </c>
      <c r="U3838" s="0" t="n">
        <v>211</v>
      </c>
      <c r="V3838" s="0" t="n">
        <v>0</v>
      </c>
      <c r="W3838" s="27" t="n">
        <f aca="false">MATCH(A3838,DATAS,0)</f>
        <v>1</v>
      </c>
      <c r="X3838" s="27" t="n">
        <f aca="false">IF(AND(E3838&gt;0,OR(AND(B3838&gt;=1,B3838&lt;=6),B3838=10)),1,0)</f>
        <v>0</v>
      </c>
      <c r="Y3838" s="27" t="n">
        <f aca="false">IF(AND(E3838&gt;0,B3838=10),1,0)</f>
        <v>0</v>
      </c>
      <c r="Z3838" s="0" t="str">
        <f aca="false">IF(AND(C3837=C3838,W3837=W3838-1),X3837,"")</f>
        <v/>
      </c>
      <c r="AA3838" s="0" t="str">
        <f aca="false">IF(AND(C3837=C3838,W3837=W3838-1),Y3837,"")</f>
        <v/>
      </c>
      <c r="AB3838" s="0" t="str">
        <f aca="false">IF(W3838=1,"",IF(AND(X3838=1,Z3838&lt;&gt;1),1,0))</f>
        <v/>
      </c>
      <c r="AC3838" s="0" t="str">
        <f aca="false">IF(W3838=1,"",IF(AND(Y3838=1,AA3838&lt;&gt;1),1,0))</f>
        <v/>
      </c>
      <c r="AD3838" s="33" t="str">
        <f aca="false">IF(AND(E3838&gt;0,W3838&lt;1,NOT(AND(C3839=C3838,W3839=W3838+1))),INDEX(DATAS,W3838+1),"")</f>
        <v/>
      </c>
      <c r="AE3838" s="33" t="str">
        <f aca="false">IF(AND(Y3838=1,W3838&lt;1),IF(AND(C3839=C3838,W3839=W3838+1),IF(Y3839=1,"",INDEX(DATAS,W3838+1)),INDEX(DATAS,W3838+1)),"")</f>
        <v/>
      </c>
    </row>
    <row r="3839" customFormat="false" ht="15" hidden="false" customHeight="false" outlineLevel="0" collapsed="false">
      <c r="A3839" s="33" t="n">
        <v>46309</v>
      </c>
      <c r="B3839" s="0" t="n">
        <v>15</v>
      </c>
      <c r="C3839" s="0" t="n">
        <v>30604</v>
      </c>
      <c r="E3839" s="0" t="n">
        <v>0</v>
      </c>
      <c r="F3839" s="27" t="s">
        <v>1488</v>
      </c>
      <c r="I3839" s="27" t="s">
        <v>1684</v>
      </c>
      <c r="U3839" s="0" t="n">
        <v>209</v>
      </c>
      <c r="V3839" s="0" t="n">
        <v>0</v>
      </c>
      <c r="W3839" s="27" t="n">
        <f aca="false">MATCH(A3839,DATAS,0)</f>
        <v>1</v>
      </c>
      <c r="X3839" s="27" t="n">
        <f aca="false">IF(AND(E3839&gt;0,OR(AND(B3839&gt;=1,B3839&lt;=6),B3839=10)),1,0)</f>
        <v>0</v>
      </c>
      <c r="Y3839" s="27" t="n">
        <f aca="false">IF(AND(E3839&gt;0,B3839=10),1,0)</f>
        <v>0</v>
      </c>
      <c r="Z3839" s="0" t="str">
        <f aca="false">IF(AND(C3838=C3839,W3838=W3839-1),X3838,"")</f>
        <v/>
      </c>
      <c r="AA3839" s="0" t="str">
        <f aca="false">IF(AND(C3838=C3839,W3838=W3839-1),Y3838,"")</f>
        <v/>
      </c>
      <c r="AB3839" s="0" t="str">
        <f aca="false">IF(W3839=1,"",IF(AND(X3839=1,Z3839&lt;&gt;1),1,0))</f>
        <v/>
      </c>
      <c r="AC3839" s="0" t="str">
        <f aca="false">IF(W3839=1,"",IF(AND(Y3839=1,AA3839&lt;&gt;1),1,0))</f>
        <v/>
      </c>
      <c r="AD3839" s="33" t="str">
        <f aca="false">IF(AND(E3839&gt;0,W3839&lt;1,NOT(AND(C3840=C3839,W3840=W3839+1))),INDEX(DATAS,W3839+1),"")</f>
        <v/>
      </c>
      <c r="AE3839" s="33" t="str">
        <f aca="false">IF(AND(Y3839=1,W3839&lt;1),IF(AND(C3840=C3839,W3840=W3839+1),IF(Y3840=1,"",INDEX(DATAS,W3839+1)),INDEX(DATAS,W3839+1)),"")</f>
        <v/>
      </c>
    </row>
    <row r="3840" customFormat="false" ht="15" hidden="false" customHeight="false" outlineLevel="0" collapsed="false">
      <c r="A3840" s="33" t="n">
        <v>46309</v>
      </c>
      <c r="B3840" s="0" t="n">
        <v>15</v>
      </c>
      <c r="C3840" s="0" t="n">
        <v>30605</v>
      </c>
      <c r="E3840" s="0" t="n">
        <v>0</v>
      </c>
      <c r="F3840" s="27" t="s">
        <v>1489</v>
      </c>
      <c r="I3840" s="27" t="s">
        <v>136</v>
      </c>
      <c r="U3840" s="0" t="n">
        <v>208</v>
      </c>
      <c r="V3840" s="0" t="n">
        <v>0</v>
      </c>
      <c r="W3840" s="27" t="n">
        <f aca="false">MATCH(A3840,DATAS,0)</f>
        <v>1</v>
      </c>
      <c r="X3840" s="27" t="n">
        <f aca="false">IF(AND(E3840&gt;0,OR(AND(B3840&gt;=1,B3840&lt;=6),B3840=10)),1,0)</f>
        <v>0</v>
      </c>
      <c r="Y3840" s="27" t="n">
        <f aca="false">IF(AND(E3840&gt;0,B3840=10),1,0)</f>
        <v>0</v>
      </c>
      <c r="Z3840" s="0" t="str">
        <f aca="false">IF(AND(C3839=C3840,W3839=W3840-1),X3839,"")</f>
        <v/>
      </c>
      <c r="AA3840" s="0" t="str">
        <f aca="false">IF(AND(C3839=C3840,W3839=W3840-1),Y3839,"")</f>
        <v/>
      </c>
      <c r="AB3840" s="0" t="str">
        <f aca="false">IF(W3840=1,"",IF(AND(X3840=1,Z3840&lt;&gt;1),1,0))</f>
        <v/>
      </c>
      <c r="AC3840" s="0" t="str">
        <f aca="false">IF(W3840=1,"",IF(AND(Y3840=1,AA3840&lt;&gt;1),1,0))</f>
        <v/>
      </c>
      <c r="AD3840" s="33" t="str">
        <f aca="false">IF(AND(E3840&gt;0,W3840&lt;1,NOT(AND(C3841=C3840,W3841=W3840+1))),INDEX(DATAS,W3840+1),"")</f>
        <v/>
      </c>
      <c r="AE3840" s="33" t="str">
        <f aca="false">IF(AND(Y3840=1,W3840&lt;1),IF(AND(C3841=C3840,W3841=W3840+1),IF(Y3841=1,"",INDEX(DATAS,W3840+1)),INDEX(DATAS,W3840+1)),"")</f>
        <v/>
      </c>
    </row>
    <row r="3841" customFormat="false" ht="15" hidden="false" customHeight="false" outlineLevel="0" collapsed="false">
      <c r="A3841" s="33" t="n">
        <v>46309</v>
      </c>
      <c r="B3841" s="0" t="n">
        <v>15</v>
      </c>
      <c r="C3841" s="0" t="n">
        <v>30607</v>
      </c>
      <c r="E3841" s="0" t="n">
        <v>0</v>
      </c>
      <c r="F3841" s="27" t="s">
        <v>1490</v>
      </c>
      <c r="I3841" s="27" t="s">
        <v>1684</v>
      </c>
      <c r="U3841" s="0" t="n">
        <v>207</v>
      </c>
      <c r="V3841" s="0" t="n">
        <v>0</v>
      </c>
      <c r="W3841" s="27" t="n">
        <f aca="false">MATCH(A3841,DATAS,0)</f>
        <v>1</v>
      </c>
      <c r="X3841" s="27" t="n">
        <f aca="false">IF(AND(E3841&gt;0,OR(AND(B3841&gt;=1,B3841&lt;=6),B3841=10)),1,0)</f>
        <v>0</v>
      </c>
      <c r="Y3841" s="27" t="n">
        <f aca="false">IF(AND(E3841&gt;0,B3841=10),1,0)</f>
        <v>0</v>
      </c>
      <c r="Z3841" s="0" t="str">
        <f aca="false">IF(AND(C3840=C3841,W3840=W3841-1),X3840,"")</f>
        <v/>
      </c>
      <c r="AA3841" s="0" t="str">
        <f aca="false">IF(AND(C3840=C3841,W3840=W3841-1),Y3840,"")</f>
        <v/>
      </c>
      <c r="AB3841" s="0" t="str">
        <f aca="false">IF(W3841=1,"",IF(AND(X3841=1,Z3841&lt;&gt;1),1,0))</f>
        <v/>
      </c>
      <c r="AC3841" s="0" t="str">
        <f aca="false">IF(W3841=1,"",IF(AND(Y3841=1,AA3841&lt;&gt;1),1,0))</f>
        <v/>
      </c>
      <c r="AD3841" s="33" t="str">
        <f aca="false">IF(AND(E3841&gt;0,W3841&lt;1,NOT(AND(C3842=C3841,W3842=W3841+1))),INDEX(DATAS,W3841+1),"")</f>
        <v/>
      </c>
      <c r="AE3841" s="33" t="str">
        <f aca="false">IF(AND(Y3841=1,W3841&lt;1),IF(AND(C3842=C3841,W3842=W3841+1),IF(Y3842=1,"",INDEX(DATAS,W3841+1)),INDEX(DATAS,W3841+1)),"")</f>
        <v/>
      </c>
    </row>
    <row r="3842" customFormat="false" ht="15" hidden="false" customHeight="false" outlineLevel="0" collapsed="false">
      <c r="A3842" s="33" t="n">
        <v>46309</v>
      </c>
      <c r="B3842" s="0" t="n">
        <v>15</v>
      </c>
      <c r="C3842" s="0" t="n">
        <v>30609</v>
      </c>
      <c r="E3842" s="0" t="n">
        <v>0</v>
      </c>
      <c r="F3842" s="27" t="s">
        <v>1492</v>
      </c>
      <c r="I3842" s="27" t="s">
        <v>1684</v>
      </c>
      <c r="U3842" s="0" t="n">
        <v>205</v>
      </c>
      <c r="V3842" s="0" t="n">
        <v>0</v>
      </c>
      <c r="W3842" s="27" t="n">
        <f aca="false">MATCH(A3842,DATAS,0)</f>
        <v>1</v>
      </c>
      <c r="X3842" s="27" t="n">
        <f aca="false">IF(AND(E3842&gt;0,OR(AND(B3842&gt;=1,B3842&lt;=6),B3842=10)),1,0)</f>
        <v>0</v>
      </c>
      <c r="Y3842" s="27" t="n">
        <f aca="false">IF(AND(E3842&gt;0,B3842=10),1,0)</f>
        <v>0</v>
      </c>
      <c r="Z3842" s="0" t="str">
        <f aca="false">IF(AND(C3841=C3842,W3841=W3842-1),X3841,"")</f>
        <v/>
      </c>
      <c r="AA3842" s="0" t="str">
        <f aca="false">IF(AND(C3841=C3842,W3841=W3842-1),Y3841,"")</f>
        <v/>
      </c>
      <c r="AB3842" s="0" t="str">
        <f aca="false">IF(W3842=1,"",IF(AND(X3842=1,Z3842&lt;&gt;1),1,0))</f>
        <v/>
      </c>
      <c r="AC3842" s="0" t="str">
        <f aca="false">IF(W3842=1,"",IF(AND(Y3842=1,AA3842&lt;&gt;1),1,0))</f>
        <v/>
      </c>
      <c r="AD3842" s="33" t="str">
        <f aca="false">IF(AND(E3842&gt;0,W3842&lt;1,NOT(AND(C3843=C3842,W3843=W3842+1))),INDEX(DATAS,W3842+1),"")</f>
        <v/>
      </c>
      <c r="AE3842" s="33" t="str">
        <f aca="false">IF(AND(Y3842=1,W3842&lt;1),IF(AND(C3843=C3842,W3843=W3842+1),IF(Y3843=1,"",INDEX(DATAS,W3842+1)),INDEX(DATAS,W3842+1)),"")</f>
        <v/>
      </c>
    </row>
    <row r="3843" customFormat="false" ht="15" hidden="false" customHeight="false" outlineLevel="0" collapsed="false">
      <c r="A3843" s="33" t="n">
        <v>46309</v>
      </c>
      <c r="B3843" s="0" t="n">
        <v>15</v>
      </c>
      <c r="C3843" s="0" t="n">
        <v>30610</v>
      </c>
      <c r="E3843" s="0" t="n">
        <v>0</v>
      </c>
      <c r="F3843" s="27" t="s">
        <v>1493</v>
      </c>
      <c r="I3843" s="27" t="s">
        <v>136</v>
      </c>
      <c r="U3843" s="0" t="n">
        <v>204</v>
      </c>
      <c r="V3843" s="0" t="n">
        <v>0</v>
      </c>
      <c r="W3843" s="27" t="n">
        <f aca="false">MATCH(A3843,DATAS,0)</f>
        <v>1</v>
      </c>
      <c r="X3843" s="27" t="n">
        <f aca="false">IF(AND(E3843&gt;0,OR(AND(B3843&gt;=1,B3843&lt;=6),B3843=10)),1,0)</f>
        <v>0</v>
      </c>
      <c r="Y3843" s="27" t="n">
        <f aca="false">IF(AND(E3843&gt;0,B3843=10),1,0)</f>
        <v>0</v>
      </c>
      <c r="Z3843" s="0" t="str">
        <f aca="false">IF(AND(C3842=C3843,W3842=W3843-1),X3842,"")</f>
        <v/>
      </c>
      <c r="AA3843" s="0" t="str">
        <f aca="false">IF(AND(C3842=C3843,W3842=W3843-1),Y3842,"")</f>
        <v/>
      </c>
      <c r="AB3843" s="0" t="str">
        <f aca="false">IF(W3843=1,"",IF(AND(X3843=1,Z3843&lt;&gt;1),1,0))</f>
        <v/>
      </c>
      <c r="AC3843" s="0" t="str">
        <f aca="false">IF(W3843=1,"",IF(AND(Y3843=1,AA3843&lt;&gt;1),1,0))</f>
        <v/>
      </c>
      <c r="AD3843" s="33" t="str">
        <f aca="false">IF(AND(E3843&gt;0,W3843&lt;1,NOT(AND(C3844=C3843,W3844=W3843+1))),INDEX(DATAS,W3843+1),"")</f>
        <v/>
      </c>
      <c r="AE3843" s="33" t="str">
        <f aca="false">IF(AND(Y3843=1,W3843&lt;1),IF(AND(C3844=C3843,W3844=W3843+1),IF(Y3844=1,"",INDEX(DATAS,W3843+1)),INDEX(DATAS,W3843+1)),"")</f>
        <v/>
      </c>
    </row>
    <row r="3844" customFormat="false" ht="15" hidden="false" customHeight="false" outlineLevel="0" collapsed="false">
      <c r="A3844" s="33" t="n">
        <v>46309</v>
      </c>
      <c r="B3844" s="0" t="n">
        <v>15</v>
      </c>
      <c r="C3844" s="0" t="n">
        <v>30611</v>
      </c>
      <c r="E3844" s="0" t="n">
        <v>0</v>
      </c>
      <c r="F3844" s="27" t="s">
        <v>1493</v>
      </c>
      <c r="I3844" s="27" t="s">
        <v>136</v>
      </c>
      <c r="U3844" s="0" t="n">
        <v>204</v>
      </c>
      <c r="V3844" s="0" t="n">
        <v>0</v>
      </c>
      <c r="W3844" s="27" t="n">
        <f aca="false">MATCH(A3844,DATAS,0)</f>
        <v>1</v>
      </c>
      <c r="X3844" s="27" t="n">
        <f aca="false">IF(AND(E3844&gt;0,OR(AND(B3844&gt;=1,B3844&lt;=6),B3844=10)),1,0)</f>
        <v>0</v>
      </c>
      <c r="Y3844" s="27" t="n">
        <f aca="false">IF(AND(E3844&gt;0,B3844=10),1,0)</f>
        <v>0</v>
      </c>
      <c r="Z3844" s="0" t="str">
        <f aca="false">IF(AND(C3843=C3844,W3843=W3844-1),X3843,"")</f>
        <v/>
      </c>
      <c r="AA3844" s="0" t="str">
        <f aca="false">IF(AND(C3843=C3844,W3843=W3844-1),Y3843,"")</f>
        <v/>
      </c>
      <c r="AB3844" s="0" t="str">
        <f aca="false">IF(W3844=1,"",IF(AND(X3844=1,Z3844&lt;&gt;1),1,0))</f>
        <v/>
      </c>
      <c r="AC3844" s="0" t="str">
        <f aca="false">IF(W3844=1,"",IF(AND(Y3844=1,AA3844&lt;&gt;1),1,0))</f>
        <v/>
      </c>
      <c r="AD3844" s="33" t="str">
        <f aca="false">IF(AND(E3844&gt;0,W3844&lt;1,NOT(AND(C3845=C3844,W3845=W3844+1))),INDEX(DATAS,W3844+1),"")</f>
        <v/>
      </c>
      <c r="AE3844" s="33" t="str">
        <f aca="false">IF(AND(Y3844=1,W3844&lt;1),IF(AND(C3845=C3844,W3845=W3844+1),IF(Y3845=1,"",INDEX(DATAS,W3844+1)),INDEX(DATAS,W3844+1)),"")</f>
        <v/>
      </c>
    </row>
    <row r="3845" customFormat="false" ht="15" hidden="false" customHeight="false" outlineLevel="0" collapsed="false">
      <c r="A3845" s="33" t="n">
        <v>46309</v>
      </c>
      <c r="B3845" s="0" t="n">
        <v>15</v>
      </c>
      <c r="C3845" s="0" t="n">
        <v>30614</v>
      </c>
      <c r="E3845" s="0" t="n">
        <v>0</v>
      </c>
      <c r="F3845" s="27" t="s">
        <v>1494</v>
      </c>
      <c r="I3845" s="27" t="s">
        <v>136</v>
      </c>
      <c r="U3845" s="0" t="n">
        <v>203</v>
      </c>
      <c r="V3845" s="0" t="n">
        <v>0</v>
      </c>
      <c r="W3845" s="27" t="n">
        <f aca="false">MATCH(A3845,DATAS,0)</f>
        <v>1</v>
      </c>
      <c r="X3845" s="27" t="n">
        <f aca="false">IF(AND(E3845&gt;0,OR(AND(B3845&gt;=1,B3845&lt;=6),B3845=10)),1,0)</f>
        <v>0</v>
      </c>
      <c r="Y3845" s="27" t="n">
        <f aca="false">IF(AND(E3845&gt;0,B3845=10),1,0)</f>
        <v>0</v>
      </c>
      <c r="Z3845" s="0" t="str">
        <f aca="false">IF(AND(C3844=C3845,W3844=W3845-1),X3844,"")</f>
        <v/>
      </c>
      <c r="AA3845" s="0" t="str">
        <f aca="false">IF(AND(C3844=C3845,W3844=W3845-1),Y3844,"")</f>
        <v/>
      </c>
      <c r="AB3845" s="0" t="str">
        <f aca="false">IF(W3845=1,"",IF(AND(X3845=1,Z3845&lt;&gt;1),1,0))</f>
        <v/>
      </c>
      <c r="AC3845" s="0" t="str">
        <f aca="false">IF(W3845=1,"",IF(AND(Y3845=1,AA3845&lt;&gt;1),1,0))</f>
        <v/>
      </c>
      <c r="AD3845" s="33" t="str">
        <f aca="false">IF(AND(E3845&gt;0,W3845&lt;1,NOT(AND(C3846=C3845,W3846=W3845+1))),INDEX(DATAS,W3845+1),"")</f>
        <v/>
      </c>
      <c r="AE3845" s="33" t="str">
        <f aca="false">IF(AND(Y3845=1,W3845&lt;1),IF(AND(C3846=C3845,W3846=W3845+1),IF(Y3846=1,"",INDEX(DATAS,W3845+1)),INDEX(DATAS,W3845+1)),"")</f>
        <v/>
      </c>
    </row>
    <row r="3846" customFormat="false" ht="15" hidden="false" customHeight="false" outlineLevel="0" collapsed="false">
      <c r="A3846" s="33" t="n">
        <v>46309</v>
      </c>
      <c r="B3846" s="0" t="n">
        <v>15</v>
      </c>
      <c r="C3846" s="0" t="n">
        <v>30620</v>
      </c>
      <c r="E3846" s="0" t="n">
        <v>0</v>
      </c>
      <c r="F3846" s="27" t="s">
        <v>1496</v>
      </c>
      <c r="I3846" s="27" t="s">
        <v>136</v>
      </c>
      <c r="U3846" s="0" t="n">
        <v>201</v>
      </c>
      <c r="V3846" s="0" t="n">
        <v>0</v>
      </c>
      <c r="W3846" s="27" t="n">
        <f aca="false">MATCH(A3846,DATAS,0)</f>
        <v>1</v>
      </c>
      <c r="X3846" s="27" t="n">
        <f aca="false">IF(AND(E3846&gt;0,OR(AND(B3846&gt;=1,B3846&lt;=6),B3846=10)),1,0)</f>
        <v>0</v>
      </c>
      <c r="Y3846" s="27" t="n">
        <f aca="false">IF(AND(E3846&gt;0,B3846=10),1,0)</f>
        <v>0</v>
      </c>
      <c r="Z3846" s="0" t="str">
        <f aca="false">IF(AND(C3845=C3846,W3845=W3846-1),X3845,"")</f>
        <v/>
      </c>
      <c r="AA3846" s="0" t="str">
        <f aca="false">IF(AND(C3845=C3846,W3845=W3846-1),Y3845,"")</f>
        <v/>
      </c>
      <c r="AB3846" s="0" t="str">
        <f aca="false">IF(W3846=1,"",IF(AND(X3846=1,Z3846&lt;&gt;1),1,0))</f>
        <v/>
      </c>
      <c r="AC3846" s="0" t="str">
        <f aca="false">IF(W3846=1,"",IF(AND(Y3846=1,AA3846&lt;&gt;1),1,0))</f>
        <v/>
      </c>
      <c r="AD3846" s="33" t="str">
        <f aca="false">IF(AND(E3846&gt;0,W3846&lt;1,NOT(AND(C3847=C3846,W3847=W3846+1))),INDEX(DATAS,W3846+1),"")</f>
        <v/>
      </c>
      <c r="AE3846" s="33" t="str">
        <f aca="false">IF(AND(Y3846=1,W3846&lt;1),IF(AND(C3847=C3846,W3847=W3846+1),IF(Y3847=1,"",INDEX(DATAS,W3846+1)),INDEX(DATAS,W3846+1)),"")</f>
        <v/>
      </c>
    </row>
    <row r="3847" customFormat="false" ht="15" hidden="false" customHeight="false" outlineLevel="0" collapsed="false">
      <c r="A3847" s="33" t="n">
        <v>46309</v>
      </c>
      <c r="B3847" s="0" t="n">
        <v>15</v>
      </c>
      <c r="C3847" s="0" t="n">
        <v>30621</v>
      </c>
      <c r="E3847" s="0" t="n">
        <v>0</v>
      </c>
      <c r="F3847" s="27" t="s">
        <v>1497</v>
      </c>
      <c r="I3847" s="27" t="s">
        <v>136</v>
      </c>
      <c r="U3847" s="0" t="n">
        <v>200</v>
      </c>
      <c r="V3847" s="0" t="n">
        <v>0</v>
      </c>
      <c r="W3847" s="27" t="n">
        <f aca="false">MATCH(A3847,DATAS,0)</f>
        <v>1</v>
      </c>
      <c r="X3847" s="27" t="n">
        <f aca="false">IF(AND(E3847&gt;0,OR(AND(B3847&gt;=1,B3847&lt;=6),B3847=10)),1,0)</f>
        <v>0</v>
      </c>
      <c r="Y3847" s="27" t="n">
        <f aca="false">IF(AND(E3847&gt;0,B3847=10),1,0)</f>
        <v>0</v>
      </c>
      <c r="Z3847" s="0" t="str">
        <f aca="false">IF(AND(C3846=C3847,W3846=W3847-1),X3846,"")</f>
        <v/>
      </c>
      <c r="AA3847" s="0" t="str">
        <f aca="false">IF(AND(C3846=C3847,W3846=W3847-1),Y3846,"")</f>
        <v/>
      </c>
      <c r="AB3847" s="0" t="str">
        <f aca="false">IF(W3847=1,"",IF(AND(X3847=1,Z3847&lt;&gt;1),1,0))</f>
        <v/>
      </c>
      <c r="AC3847" s="0" t="str">
        <f aca="false">IF(W3847=1,"",IF(AND(Y3847=1,AA3847&lt;&gt;1),1,0))</f>
        <v/>
      </c>
      <c r="AD3847" s="33" t="str">
        <f aca="false">IF(AND(E3847&gt;0,W3847&lt;1,NOT(AND(C3848=C3847,W3848=W3847+1))),INDEX(DATAS,W3847+1),"")</f>
        <v/>
      </c>
      <c r="AE3847" s="33" t="str">
        <f aca="false">IF(AND(Y3847=1,W3847&lt;1),IF(AND(C3848=C3847,W3848=W3847+1),IF(Y3848=1,"",INDEX(DATAS,W3847+1)),INDEX(DATAS,W3847+1)),"")</f>
        <v/>
      </c>
    </row>
    <row r="3848" customFormat="false" ht="15" hidden="false" customHeight="false" outlineLevel="0" collapsed="false">
      <c r="A3848" s="33" t="n">
        <v>46309</v>
      </c>
      <c r="B3848" s="0" t="n">
        <v>15</v>
      </c>
      <c r="C3848" s="0" t="n">
        <v>30626</v>
      </c>
      <c r="E3848" s="0" t="n">
        <v>0</v>
      </c>
      <c r="F3848" s="27" t="s">
        <v>1501</v>
      </c>
      <c r="I3848" s="27" t="s">
        <v>136</v>
      </c>
      <c r="U3848" s="0" t="n">
        <v>196</v>
      </c>
      <c r="V3848" s="0" t="n">
        <v>0</v>
      </c>
      <c r="W3848" s="27" t="n">
        <f aca="false">MATCH(A3848,DATAS,0)</f>
        <v>1</v>
      </c>
      <c r="X3848" s="27" t="n">
        <f aca="false">IF(AND(E3848&gt;0,OR(AND(B3848&gt;=1,B3848&lt;=6),B3848=10)),1,0)</f>
        <v>0</v>
      </c>
      <c r="Y3848" s="27" t="n">
        <f aca="false">IF(AND(E3848&gt;0,B3848=10),1,0)</f>
        <v>0</v>
      </c>
      <c r="Z3848" s="0" t="str">
        <f aca="false">IF(AND(C3847=C3848,W3847=W3848-1),X3847,"")</f>
        <v/>
      </c>
      <c r="AA3848" s="0" t="str">
        <f aca="false">IF(AND(C3847=C3848,W3847=W3848-1),Y3847,"")</f>
        <v/>
      </c>
      <c r="AB3848" s="0" t="str">
        <f aca="false">IF(W3848=1,"",IF(AND(X3848=1,Z3848&lt;&gt;1),1,0))</f>
        <v/>
      </c>
      <c r="AC3848" s="0" t="str">
        <f aca="false">IF(W3848=1,"",IF(AND(Y3848=1,AA3848&lt;&gt;1),1,0))</f>
        <v/>
      </c>
      <c r="AD3848" s="33" t="str">
        <f aca="false">IF(AND(E3848&gt;0,W3848&lt;1,NOT(AND(C3849=C3848,W3849=W3848+1))),INDEX(DATAS,W3848+1),"")</f>
        <v/>
      </c>
      <c r="AE3848" s="33" t="str">
        <f aca="false">IF(AND(Y3848=1,W3848&lt;1),IF(AND(C3849=C3848,W3849=W3848+1),IF(Y3849=1,"",INDEX(DATAS,W3848+1)),INDEX(DATAS,W3848+1)),"")</f>
        <v/>
      </c>
    </row>
    <row r="3849" customFormat="false" ht="15" hidden="false" customHeight="false" outlineLevel="0" collapsed="false">
      <c r="A3849" s="33" t="n">
        <v>46309</v>
      </c>
      <c r="B3849" s="0" t="n">
        <v>15</v>
      </c>
      <c r="C3849" s="0" t="n">
        <v>30630</v>
      </c>
      <c r="E3849" s="0" t="n">
        <v>0</v>
      </c>
      <c r="F3849" s="27" t="s">
        <v>1502</v>
      </c>
      <c r="I3849" s="27" t="s">
        <v>136</v>
      </c>
      <c r="U3849" s="0" t="n">
        <v>195</v>
      </c>
      <c r="V3849" s="0" t="n">
        <v>0</v>
      </c>
      <c r="W3849" s="27" t="n">
        <f aca="false">MATCH(A3849,DATAS,0)</f>
        <v>1</v>
      </c>
      <c r="X3849" s="27" t="n">
        <f aca="false">IF(AND(E3849&gt;0,OR(AND(B3849&gt;=1,B3849&lt;=6),B3849=10)),1,0)</f>
        <v>0</v>
      </c>
      <c r="Y3849" s="27" t="n">
        <f aca="false">IF(AND(E3849&gt;0,B3849=10),1,0)</f>
        <v>0</v>
      </c>
      <c r="Z3849" s="0" t="str">
        <f aca="false">IF(AND(C3848=C3849,W3848=W3849-1),X3848,"")</f>
        <v/>
      </c>
      <c r="AA3849" s="0" t="str">
        <f aca="false">IF(AND(C3848=C3849,W3848=W3849-1),Y3848,"")</f>
        <v/>
      </c>
      <c r="AB3849" s="0" t="str">
        <f aca="false">IF(W3849=1,"",IF(AND(X3849=1,Z3849&lt;&gt;1),1,0))</f>
        <v/>
      </c>
      <c r="AC3849" s="0" t="str">
        <f aca="false">IF(W3849=1,"",IF(AND(Y3849=1,AA3849&lt;&gt;1),1,0))</f>
        <v/>
      </c>
      <c r="AD3849" s="33" t="str">
        <f aca="false">IF(AND(E3849&gt;0,W3849&lt;1,NOT(AND(C3850=C3849,W3850=W3849+1))),INDEX(DATAS,W3849+1),"")</f>
        <v/>
      </c>
      <c r="AE3849" s="33" t="str">
        <f aca="false">IF(AND(Y3849=1,W3849&lt;1),IF(AND(C3850=C3849,W3850=W3849+1),IF(Y3850=1,"",INDEX(DATAS,W3849+1)),INDEX(DATAS,W3849+1)),"")</f>
        <v/>
      </c>
    </row>
    <row r="3850" customFormat="false" ht="15" hidden="false" customHeight="false" outlineLevel="0" collapsed="false">
      <c r="A3850" s="33" t="n">
        <v>46309</v>
      </c>
      <c r="B3850" s="0" t="n">
        <v>15</v>
      </c>
      <c r="C3850" s="0" t="n">
        <v>30643</v>
      </c>
      <c r="E3850" s="0" t="n">
        <v>0</v>
      </c>
      <c r="F3850" s="27" t="s">
        <v>1506</v>
      </c>
      <c r="I3850" s="27" t="s">
        <v>136</v>
      </c>
      <c r="U3850" s="0" t="n">
        <v>191</v>
      </c>
      <c r="V3850" s="0" t="n">
        <v>0</v>
      </c>
      <c r="W3850" s="27" t="n">
        <f aca="false">MATCH(A3850,DATAS,0)</f>
        <v>1</v>
      </c>
      <c r="X3850" s="27" t="n">
        <f aca="false">IF(AND(E3850&gt;0,OR(AND(B3850&gt;=1,B3850&lt;=6),B3850=10)),1,0)</f>
        <v>0</v>
      </c>
      <c r="Y3850" s="27" t="n">
        <f aca="false">IF(AND(E3850&gt;0,B3850=10),1,0)</f>
        <v>0</v>
      </c>
      <c r="Z3850" s="0" t="str">
        <f aca="false">IF(AND(C3849=C3850,W3849=W3850-1),X3849,"")</f>
        <v/>
      </c>
      <c r="AA3850" s="0" t="str">
        <f aca="false">IF(AND(C3849=C3850,W3849=W3850-1),Y3849,"")</f>
        <v/>
      </c>
      <c r="AB3850" s="0" t="str">
        <f aca="false">IF(W3850=1,"",IF(AND(X3850=1,Z3850&lt;&gt;1),1,0))</f>
        <v/>
      </c>
      <c r="AC3850" s="0" t="str">
        <f aca="false">IF(W3850=1,"",IF(AND(Y3850=1,AA3850&lt;&gt;1),1,0))</f>
        <v/>
      </c>
      <c r="AD3850" s="33" t="str">
        <f aca="false">IF(AND(E3850&gt;0,W3850&lt;1,NOT(AND(C3851=C3850,W3851=W3850+1))),INDEX(DATAS,W3850+1),"")</f>
        <v/>
      </c>
      <c r="AE3850" s="33" t="str">
        <f aca="false">IF(AND(Y3850=1,W3850&lt;1),IF(AND(C3851=C3850,W3851=W3850+1),IF(Y3851=1,"",INDEX(DATAS,W3850+1)),INDEX(DATAS,W3850+1)),"")</f>
        <v/>
      </c>
    </row>
    <row r="3851" customFormat="false" ht="15" hidden="false" customHeight="false" outlineLevel="0" collapsed="false">
      <c r="A3851" s="33" t="n">
        <v>46309</v>
      </c>
      <c r="B3851" s="0" t="n">
        <v>15</v>
      </c>
      <c r="C3851" s="0" t="n">
        <v>30644</v>
      </c>
      <c r="E3851" s="0" t="n">
        <v>0</v>
      </c>
      <c r="F3851" s="27" t="s">
        <v>1507</v>
      </c>
      <c r="I3851" s="27" t="s">
        <v>136</v>
      </c>
      <c r="U3851" s="0" t="n">
        <v>190</v>
      </c>
      <c r="V3851" s="0" t="n">
        <v>0</v>
      </c>
      <c r="W3851" s="27" t="n">
        <f aca="false">MATCH(A3851,DATAS,0)</f>
        <v>1</v>
      </c>
      <c r="X3851" s="27" t="n">
        <f aca="false">IF(AND(E3851&gt;0,OR(AND(B3851&gt;=1,B3851&lt;=6),B3851=10)),1,0)</f>
        <v>0</v>
      </c>
      <c r="Y3851" s="27" t="n">
        <f aca="false">IF(AND(E3851&gt;0,B3851=10),1,0)</f>
        <v>0</v>
      </c>
      <c r="Z3851" s="0" t="str">
        <f aca="false">IF(AND(C3850=C3851,W3850=W3851-1),X3850,"")</f>
        <v/>
      </c>
      <c r="AA3851" s="0" t="str">
        <f aca="false">IF(AND(C3850=C3851,W3850=W3851-1),Y3850,"")</f>
        <v/>
      </c>
      <c r="AB3851" s="0" t="str">
        <f aca="false">IF(W3851=1,"",IF(AND(X3851=1,Z3851&lt;&gt;1),1,0))</f>
        <v/>
      </c>
      <c r="AC3851" s="0" t="str">
        <f aca="false">IF(W3851=1,"",IF(AND(Y3851=1,AA3851&lt;&gt;1),1,0))</f>
        <v/>
      </c>
      <c r="AD3851" s="33" t="str">
        <f aca="false">IF(AND(E3851&gt;0,W3851&lt;1,NOT(AND(C3852=C3851,W3852=W3851+1))),INDEX(DATAS,W3851+1),"")</f>
        <v/>
      </c>
      <c r="AE3851" s="33" t="str">
        <f aca="false">IF(AND(Y3851=1,W3851&lt;1),IF(AND(C3852=C3851,W3852=W3851+1),IF(Y3852=1,"",INDEX(DATAS,W3851+1)),INDEX(DATAS,W3851+1)),"")</f>
        <v/>
      </c>
    </row>
    <row r="3852" customFormat="false" ht="15" hidden="false" customHeight="false" outlineLevel="0" collapsed="false">
      <c r="A3852" s="33" t="n">
        <v>46309</v>
      </c>
      <c r="B3852" s="0" t="n">
        <v>15</v>
      </c>
      <c r="C3852" s="0" t="n">
        <v>30645</v>
      </c>
      <c r="E3852" s="0" t="n">
        <v>0</v>
      </c>
      <c r="F3852" s="27" t="s">
        <v>1507</v>
      </c>
      <c r="I3852" s="27" t="s">
        <v>136</v>
      </c>
      <c r="U3852" s="0" t="n">
        <v>190</v>
      </c>
      <c r="V3852" s="0" t="n">
        <v>0</v>
      </c>
      <c r="W3852" s="27" t="n">
        <f aca="false">MATCH(A3852,DATAS,0)</f>
        <v>1</v>
      </c>
      <c r="X3852" s="27" t="n">
        <f aca="false">IF(AND(E3852&gt;0,OR(AND(B3852&gt;=1,B3852&lt;=6),B3852=10)),1,0)</f>
        <v>0</v>
      </c>
      <c r="Y3852" s="27" t="n">
        <f aca="false">IF(AND(E3852&gt;0,B3852=10),1,0)</f>
        <v>0</v>
      </c>
      <c r="Z3852" s="0" t="str">
        <f aca="false">IF(AND(C3851=C3852,W3851=W3852-1),X3851,"")</f>
        <v/>
      </c>
      <c r="AA3852" s="0" t="str">
        <f aca="false">IF(AND(C3851=C3852,W3851=W3852-1),Y3851,"")</f>
        <v/>
      </c>
      <c r="AB3852" s="0" t="str">
        <f aca="false">IF(W3852=1,"",IF(AND(X3852=1,Z3852&lt;&gt;1),1,0))</f>
        <v/>
      </c>
      <c r="AC3852" s="0" t="str">
        <f aca="false">IF(W3852=1,"",IF(AND(Y3852=1,AA3852&lt;&gt;1),1,0))</f>
        <v/>
      </c>
      <c r="AD3852" s="33" t="str">
        <f aca="false">IF(AND(E3852&gt;0,W3852&lt;1,NOT(AND(C3853=C3852,W3853=W3852+1))),INDEX(DATAS,W3852+1),"")</f>
        <v/>
      </c>
      <c r="AE3852" s="33" t="str">
        <f aca="false">IF(AND(Y3852=1,W3852&lt;1),IF(AND(C3853=C3852,W3853=W3852+1),IF(Y3853=1,"",INDEX(DATAS,W3852+1)),INDEX(DATAS,W3852+1)),"")</f>
        <v/>
      </c>
    </row>
    <row r="3853" customFormat="false" ht="15" hidden="false" customHeight="false" outlineLevel="0" collapsed="false">
      <c r="A3853" s="33" t="n">
        <v>46309</v>
      </c>
      <c r="B3853" s="0" t="n">
        <v>15</v>
      </c>
      <c r="C3853" s="0" t="n">
        <v>30647</v>
      </c>
      <c r="E3853" s="0" t="n">
        <v>0</v>
      </c>
      <c r="F3853" s="27" t="s">
        <v>1509</v>
      </c>
      <c r="I3853" s="27" t="s">
        <v>136</v>
      </c>
      <c r="U3853" s="0" t="n">
        <v>188</v>
      </c>
      <c r="V3853" s="0" t="n">
        <v>0</v>
      </c>
      <c r="W3853" s="27" t="n">
        <f aca="false">MATCH(A3853,DATAS,0)</f>
        <v>1</v>
      </c>
      <c r="X3853" s="27" t="n">
        <f aca="false">IF(AND(E3853&gt;0,OR(AND(B3853&gt;=1,B3853&lt;=6),B3853=10)),1,0)</f>
        <v>0</v>
      </c>
      <c r="Y3853" s="27" t="n">
        <f aca="false">IF(AND(E3853&gt;0,B3853=10),1,0)</f>
        <v>0</v>
      </c>
      <c r="Z3853" s="0" t="str">
        <f aca="false">IF(AND(C3852=C3853,W3852=W3853-1),X3852,"")</f>
        <v/>
      </c>
      <c r="AA3853" s="0" t="str">
        <f aca="false">IF(AND(C3852=C3853,W3852=W3853-1),Y3852,"")</f>
        <v/>
      </c>
      <c r="AB3853" s="0" t="str">
        <f aca="false">IF(W3853=1,"",IF(AND(X3853=1,Z3853&lt;&gt;1),1,0))</f>
        <v/>
      </c>
      <c r="AC3853" s="0" t="str">
        <f aca="false">IF(W3853=1,"",IF(AND(Y3853=1,AA3853&lt;&gt;1),1,0))</f>
        <v/>
      </c>
      <c r="AD3853" s="33" t="str">
        <f aca="false">IF(AND(E3853&gt;0,W3853&lt;1,NOT(AND(C3854=C3853,W3854=W3853+1))),INDEX(DATAS,W3853+1),"")</f>
        <v/>
      </c>
      <c r="AE3853" s="33" t="str">
        <f aca="false">IF(AND(Y3853=1,W3853&lt;1),IF(AND(C3854=C3853,W3854=W3853+1),IF(Y3854=1,"",INDEX(DATAS,W3853+1)),INDEX(DATAS,W3853+1)),"")</f>
        <v/>
      </c>
    </row>
    <row r="3854" customFormat="false" ht="15" hidden="false" customHeight="false" outlineLevel="0" collapsed="false">
      <c r="A3854" s="33" t="n">
        <v>46309</v>
      </c>
      <c r="B3854" s="0" t="n">
        <v>15</v>
      </c>
      <c r="C3854" s="0" t="n">
        <v>30653</v>
      </c>
      <c r="E3854" s="0" t="n">
        <v>0</v>
      </c>
      <c r="F3854" s="27" t="s">
        <v>1512</v>
      </c>
      <c r="I3854" s="27" t="s">
        <v>136</v>
      </c>
      <c r="U3854" s="0" t="n">
        <v>185</v>
      </c>
      <c r="V3854" s="0" t="n">
        <v>0</v>
      </c>
      <c r="W3854" s="27" t="n">
        <f aca="false">MATCH(A3854,DATAS,0)</f>
        <v>1</v>
      </c>
      <c r="X3854" s="27" t="n">
        <f aca="false">IF(AND(E3854&gt;0,OR(AND(B3854&gt;=1,B3854&lt;=6),B3854=10)),1,0)</f>
        <v>0</v>
      </c>
      <c r="Y3854" s="27" t="n">
        <f aca="false">IF(AND(E3854&gt;0,B3854=10),1,0)</f>
        <v>0</v>
      </c>
      <c r="Z3854" s="0" t="str">
        <f aca="false">IF(AND(C3853=C3854,W3853=W3854-1),X3853,"")</f>
        <v/>
      </c>
      <c r="AA3854" s="0" t="str">
        <f aca="false">IF(AND(C3853=C3854,W3853=W3854-1),Y3853,"")</f>
        <v/>
      </c>
      <c r="AB3854" s="0" t="str">
        <f aca="false">IF(W3854=1,"",IF(AND(X3854=1,Z3854&lt;&gt;1),1,0))</f>
        <v/>
      </c>
      <c r="AC3854" s="0" t="str">
        <f aca="false">IF(W3854=1,"",IF(AND(Y3854=1,AA3854&lt;&gt;1),1,0))</f>
        <v/>
      </c>
      <c r="AD3854" s="33" t="str">
        <f aca="false">IF(AND(E3854&gt;0,W3854&lt;1,NOT(AND(C3855=C3854,W3855=W3854+1))),INDEX(DATAS,W3854+1),"")</f>
        <v/>
      </c>
      <c r="AE3854" s="33" t="str">
        <f aca="false">IF(AND(Y3854=1,W3854&lt;1),IF(AND(C3855=C3854,W3855=W3854+1),IF(Y3855=1,"",INDEX(DATAS,W3854+1)),INDEX(DATAS,W3854+1)),"")</f>
        <v/>
      </c>
    </row>
    <row r="3855" customFormat="false" ht="15" hidden="false" customHeight="false" outlineLevel="0" collapsed="false">
      <c r="A3855" s="33" t="n">
        <v>46309</v>
      </c>
      <c r="B3855" s="0" t="n">
        <v>15</v>
      </c>
      <c r="C3855" s="0" t="n">
        <v>30655</v>
      </c>
      <c r="E3855" s="0" t="n">
        <v>0</v>
      </c>
      <c r="F3855" s="27" t="s">
        <v>1512</v>
      </c>
      <c r="I3855" s="27" t="s">
        <v>136</v>
      </c>
      <c r="U3855" s="0" t="n">
        <v>185</v>
      </c>
      <c r="V3855" s="0" t="n">
        <v>0</v>
      </c>
      <c r="W3855" s="27" t="n">
        <f aca="false">MATCH(A3855,DATAS,0)</f>
        <v>1</v>
      </c>
      <c r="X3855" s="27" t="n">
        <f aca="false">IF(AND(E3855&gt;0,OR(AND(B3855&gt;=1,B3855&lt;=6),B3855=10)),1,0)</f>
        <v>0</v>
      </c>
      <c r="Y3855" s="27" t="n">
        <f aca="false">IF(AND(E3855&gt;0,B3855=10),1,0)</f>
        <v>0</v>
      </c>
      <c r="Z3855" s="0" t="str">
        <f aca="false">IF(AND(C3854=C3855,W3854=W3855-1),X3854,"")</f>
        <v/>
      </c>
      <c r="AA3855" s="0" t="str">
        <f aca="false">IF(AND(C3854=C3855,W3854=W3855-1),Y3854,"")</f>
        <v/>
      </c>
      <c r="AB3855" s="0" t="str">
        <f aca="false">IF(W3855=1,"",IF(AND(X3855=1,Z3855&lt;&gt;1),1,0))</f>
        <v/>
      </c>
      <c r="AC3855" s="0" t="str">
        <f aca="false">IF(W3855=1,"",IF(AND(Y3855=1,AA3855&lt;&gt;1),1,0))</f>
        <v/>
      </c>
      <c r="AD3855" s="33" t="str">
        <f aca="false">IF(AND(E3855&gt;0,W3855&lt;1,NOT(AND(C3856=C3855,W3856=W3855+1))),INDEX(DATAS,W3855+1),"")</f>
        <v/>
      </c>
      <c r="AE3855" s="33" t="str">
        <f aca="false">IF(AND(Y3855=1,W3855&lt;1),IF(AND(C3856=C3855,W3856=W3855+1),IF(Y3856=1,"",INDEX(DATAS,W3855+1)),INDEX(DATAS,W3855+1)),"")</f>
        <v/>
      </c>
    </row>
    <row r="3856" customFormat="false" ht="15" hidden="false" customHeight="false" outlineLevel="0" collapsed="false">
      <c r="A3856" s="33" t="n">
        <v>46309</v>
      </c>
      <c r="B3856" s="0" t="n">
        <v>15</v>
      </c>
      <c r="C3856" s="0" t="n">
        <v>30659</v>
      </c>
      <c r="E3856" s="0" t="n">
        <v>0</v>
      </c>
      <c r="F3856" s="27" t="s">
        <v>1513</v>
      </c>
      <c r="I3856" s="27" t="s">
        <v>136</v>
      </c>
      <c r="U3856" s="0" t="n">
        <v>184</v>
      </c>
      <c r="V3856" s="0" t="n">
        <v>0</v>
      </c>
      <c r="W3856" s="27" t="n">
        <f aca="false">MATCH(A3856,DATAS,0)</f>
        <v>1</v>
      </c>
      <c r="X3856" s="27" t="n">
        <f aca="false">IF(AND(E3856&gt;0,OR(AND(B3856&gt;=1,B3856&lt;=6),B3856=10)),1,0)</f>
        <v>0</v>
      </c>
      <c r="Y3856" s="27" t="n">
        <f aca="false">IF(AND(E3856&gt;0,B3856=10),1,0)</f>
        <v>0</v>
      </c>
      <c r="Z3856" s="0" t="str">
        <f aca="false">IF(AND(C3855=C3856,W3855=W3856-1),X3855,"")</f>
        <v/>
      </c>
      <c r="AA3856" s="0" t="str">
        <f aca="false">IF(AND(C3855=C3856,W3855=W3856-1),Y3855,"")</f>
        <v/>
      </c>
      <c r="AB3856" s="0" t="str">
        <f aca="false">IF(W3856=1,"",IF(AND(X3856=1,Z3856&lt;&gt;1),1,0))</f>
        <v/>
      </c>
      <c r="AC3856" s="0" t="str">
        <f aca="false">IF(W3856=1,"",IF(AND(Y3856=1,AA3856&lt;&gt;1),1,0))</f>
        <v/>
      </c>
      <c r="AD3856" s="33" t="str">
        <f aca="false">IF(AND(E3856&gt;0,W3856&lt;1,NOT(AND(C3857=C3856,W3857=W3856+1))),INDEX(DATAS,W3856+1),"")</f>
        <v/>
      </c>
      <c r="AE3856" s="33" t="str">
        <f aca="false">IF(AND(Y3856=1,W3856&lt;1),IF(AND(C3857=C3856,W3857=W3856+1),IF(Y3857=1,"",INDEX(DATAS,W3856+1)),INDEX(DATAS,W3856+1)),"")</f>
        <v/>
      </c>
    </row>
    <row r="3857" customFormat="false" ht="15" hidden="false" customHeight="false" outlineLevel="0" collapsed="false">
      <c r="A3857" s="33" t="n">
        <v>46309</v>
      </c>
      <c r="B3857" s="0" t="n">
        <v>15</v>
      </c>
      <c r="C3857" s="0" t="n">
        <v>30669</v>
      </c>
      <c r="E3857" s="0" t="n">
        <v>0</v>
      </c>
      <c r="F3857" s="27" t="s">
        <v>1515</v>
      </c>
      <c r="I3857" s="27" t="s">
        <v>136</v>
      </c>
      <c r="U3857" s="0" t="n">
        <v>182</v>
      </c>
      <c r="V3857" s="0" t="n">
        <v>0</v>
      </c>
      <c r="W3857" s="27" t="n">
        <f aca="false">MATCH(A3857,DATAS,0)</f>
        <v>1</v>
      </c>
      <c r="X3857" s="27" t="n">
        <f aca="false">IF(AND(E3857&gt;0,OR(AND(B3857&gt;=1,B3857&lt;=6),B3857=10)),1,0)</f>
        <v>0</v>
      </c>
      <c r="Y3857" s="27" t="n">
        <f aca="false">IF(AND(E3857&gt;0,B3857=10),1,0)</f>
        <v>0</v>
      </c>
      <c r="Z3857" s="0" t="str">
        <f aca="false">IF(AND(C3856=C3857,W3856=W3857-1),X3856,"")</f>
        <v/>
      </c>
      <c r="AA3857" s="0" t="str">
        <f aca="false">IF(AND(C3856=C3857,W3856=W3857-1),Y3856,"")</f>
        <v/>
      </c>
      <c r="AB3857" s="0" t="str">
        <f aca="false">IF(W3857=1,"",IF(AND(X3857=1,Z3857&lt;&gt;1),1,0))</f>
        <v/>
      </c>
      <c r="AC3857" s="0" t="str">
        <f aca="false">IF(W3857=1,"",IF(AND(Y3857=1,AA3857&lt;&gt;1),1,0))</f>
        <v/>
      </c>
      <c r="AD3857" s="33" t="str">
        <f aca="false">IF(AND(E3857&gt;0,W3857&lt;1,NOT(AND(C3858=C3857,W3858=W3857+1))),INDEX(DATAS,W3857+1),"")</f>
        <v/>
      </c>
      <c r="AE3857" s="33" t="str">
        <f aca="false">IF(AND(Y3857=1,W3857&lt;1),IF(AND(C3858=C3857,W3858=W3857+1),IF(Y3858=1,"",INDEX(DATAS,W3857+1)),INDEX(DATAS,W3857+1)),"")</f>
        <v/>
      </c>
    </row>
    <row r="3858" customFormat="false" ht="15" hidden="false" customHeight="false" outlineLevel="0" collapsed="false">
      <c r="A3858" s="33" t="n">
        <v>46309</v>
      </c>
      <c r="B3858" s="0" t="n">
        <v>15</v>
      </c>
      <c r="C3858" s="0" t="n">
        <v>30672</v>
      </c>
      <c r="E3858" s="0" t="n">
        <v>0</v>
      </c>
      <c r="F3858" s="27" t="s">
        <v>1519</v>
      </c>
      <c r="I3858" s="27" t="s">
        <v>136</v>
      </c>
      <c r="U3858" s="0" t="n">
        <v>178</v>
      </c>
      <c r="V3858" s="0" t="n">
        <v>0</v>
      </c>
      <c r="W3858" s="27" t="n">
        <f aca="false">MATCH(A3858,DATAS,0)</f>
        <v>1</v>
      </c>
      <c r="X3858" s="27" t="n">
        <f aca="false">IF(AND(E3858&gt;0,OR(AND(B3858&gt;=1,B3858&lt;=6),B3858=10)),1,0)</f>
        <v>0</v>
      </c>
      <c r="Y3858" s="27" t="n">
        <f aca="false">IF(AND(E3858&gt;0,B3858=10),1,0)</f>
        <v>0</v>
      </c>
      <c r="Z3858" s="0" t="str">
        <f aca="false">IF(AND(C3857=C3858,W3857=W3858-1),X3857,"")</f>
        <v/>
      </c>
      <c r="AA3858" s="0" t="str">
        <f aca="false">IF(AND(C3857=C3858,W3857=W3858-1),Y3857,"")</f>
        <v/>
      </c>
      <c r="AB3858" s="0" t="str">
        <f aca="false">IF(W3858=1,"",IF(AND(X3858=1,Z3858&lt;&gt;1),1,0))</f>
        <v/>
      </c>
      <c r="AC3858" s="0" t="str">
        <f aca="false">IF(W3858=1,"",IF(AND(Y3858=1,AA3858&lt;&gt;1),1,0))</f>
        <v/>
      </c>
      <c r="AD3858" s="33" t="str">
        <f aca="false">IF(AND(E3858&gt;0,W3858&lt;1,NOT(AND(C3859=C3858,W3859=W3858+1))),INDEX(DATAS,W3858+1),"")</f>
        <v/>
      </c>
      <c r="AE3858" s="33" t="str">
        <f aca="false">IF(AND(Y3858=1,W3858&lt;1),IF(AND(C3859=C3858,W3859=W3858+1),IF(Y3859=1,"",INDEX(DATAS,W3858+1)),INDEX(DATAS,W3858+1)),"")</f>
        <v/>
      </c>
    </row>
    <row r="3859" customFormat="false" ht="15" hidden="false" customHeight="false" outlineLevel="0" collapsed="false">
      <c r="A3859" s="33" t="n">
        <v>46309</v>
      </c>
      <c r="B3859" s="0" t="n">
        <v>15</v>
      </c>
      <c r="C3859" s="0" t="n">
        <v>30682</v>
      </c>
      <c r="E3859" s="0" t="n">
        <v>0</v>
      </c>
      <c r="F3859" s="27" t="s">
        <v>1519</v>
      </c>
      <c r="I3859" s="27" t="s">
        <v>136</v>
      </c>
      <c r="U3859" s="0" t="n">
        <v>178</v>
      </c>
      <c r="V3859" s="0" t="n">
        <v>0</v>
      </c>
      <c r="W3859" s="27" t="n">
        <f aca="false">MATCH(A3859,DATAS,0)</f>
        <v>1</v>
      </c>
      <c r="X3859" s="27" t="n">
        <f aca="false">IF(AND(E3859&gt;0,OR(AND(B3859&gt;=1,B3859&lt;=6),B3859=10)),1,0)</f>
        <v>0</v>
      </c>
      <c r="Y3859" s="27" t="n">
        <f aca="false">IF(AND(E3859&gt;0,B3859=10),1,0)</f>
        <v>0</v>
      </c>
      <c r="Z3859" s="0" t="str">
        <f aca="false">IF(AND(C3858=C3859,W3858=W3859-1),X3858,"")</f>
        <v/>
      </c>
      <c r="AA3859" s="0" t="str">
        <f aca="false">IF(AND(C3858=C3859,W3858=W3859-1),Y3858,"")</f>
        <v/>
      </c>
      <c r="AB3859" s="0" t="str">
        <f aca="false">IF(W3859=1,"",IF(AND(X3859=1,Z3859&lt;&gt;1),1,0))</f>
        <v/>
      </c>
      <c r="AC3859" s="0" t="str">
        <f aca="false">IF(W3859=1,"",IF(AND(Y3859=1,AA3859&lt;&gt;1),1,0))</f>
        <v/>
      </c>
      <c r="AD3859" s="33" t="str">
        <f aca="false">IF(AND(E3859&gt;0,W3859&lt;1,NOT(AND(C3860=C3859,W3860=W3859+1))),INDEX(DATAS,W3859+1),"")</f>
        <v/>
      </c>
      <c r="AE3859" s="33" t="str">
        <f aca="false">IF(AND(Y3859=1,W3859&lt;1),IF(AND(C3860=C3859,W3860=W3859+1),IF(Y3860=1,"",INDEX(DATAS,W3859+1)),INDEX(DATAS,W3859+1)),"")</f>
        <v/>
      </c>
    </row>
    <row r="3860" customFormat="false" ht="15" hidden="false" customHeight="false" outlineLevel="0" collapsed="false">
      <c r="A3860" s="33" t="n">
        <v>46309</v>
      </c>
      <c r="B3860" s="0" t="n">
        <v>15</v>
      </c>
      <c r="C3860" s="0" t="n">
        <v>30684</v>
      </c>
      <c r="E3860" s="0" t="n">
        <v>0</v>
      </c>
      <c r="F3860" s="27" t="s">
        <v>1520</v>
      </c>
      <c r="I3860" s="27" t="s">
        <v>136</v>
      </c>
      <c r="U3860" s="0" t="n">
        <v>177</v>
      </c>
      <c r="V3860" s="0" t="n">
        <v>0</v>
      </c>
      <c r="W3860" s="27" t="n">
        <f aca="false">MATCH(A3860,DATAS,0)</f>
        <v>1</v>
      </c>
      <c r="X3860" s="27" t="n">
        <f aca="false">IF(AND(E3860&gt;0,OR(AND(B3860&gt;=1,B3860&lt;=6),B3860=10)),1,0)</f>
        <v>0</v>
      </c>
      <c r="Y3860" s="27" t="n">
        <f aca="false">IF(AND(E3860&gt;0,B3860=10),1,0)</f>
        <v>0</v>
      </c>
      <c r="Z3860" s="0" t="str">
        <f aca="false">IF(AND(C3859=C3860,W3859=W3860-1),X3859,"")</f>
        <v/>
      </c>
      <c r="AA3860" s="0" t="str">
        <f aca="false">IF(AND(C3859=C3860,W3859=W3860-1),Y3859,"")</f>
        <v/>
      </c>
      <c r="AB3860" s="0" t="str">
        <f aca="false">IF(W3860=1,"",IF(AND(X3860=1,Z3860&lt;&gt;1),1,0))</f>
        <v/>
      </c>
      <c r="AC3860" s="0" t="str">
        <f aca="false">IF(W3860=1,"",IF(AND(Y3860=1,AA3860&lt;&gt;1),1,0))</f>
        <v/>
      </c>
      <c r="AD3860" s="33" t="str">
        <f aca="false">IF(AND(E3860&gt;0,W3860&lt;1,NOT(AND(C3861=C3860,W3861=W3860+1))),INDEX(DATAS,W3860+1),"")</f>
        <v/>
      </c>
      <c r="AE3860" s="33" t="str">
        <f aca="false">IF(AND(Y3860=1,W3860&lt;1),IF(AND(C3861=C3860,W3861=W3860+1),IF(Y3861=1,"",INDEX(DATAS,W3860+1)),INDEX(DATAS,W3860+1)),"")</f>
        <v/>
      </c>
    </row>
    <row r="3861" customFormat="false" ht="15" hidden="false" customHeight="false" outlineLevel="0" collapsed="false">
      <c r="A3861" s="33" t="n">
        <v>46309</v>
      </c>
      <c r="B3861" s="0" t="n">
        <v>15</v>
      </c>
      <c r="C3861" s="0" t="n">
        <v>30688</v>
      </c>
      <c r="E3861" s="0" t="n">
        <v>0</v>
      </c>
      <c r="F3861" s="27" t="s">
        <v>1523</v>
      </c>
      <c r="I3861" s="27" t="s">
        <v>136</v>
      </c>
      <c r="U3861" s="0" t="n">
        <v>174</v>
      </c>
      <c r="V3861" s="0" t="n">
        <v>0</v>
      </c>
      <c r="W3861" s="27" t="n">
        <f aca="false">MATCH(A3861,DATAS,0)</f>
        <v>1</v>
      </c>
      <c r="X3861" s="27" t="n">
        <f aca="false">IF(AND(E3861&gt;0,OR(AND(B3861&gt;=1,B3861&lt;=6),B3861=10)),1,0)</f>
        <v>0</v>
      </c>
      <c r="Y3861" s="27" t="n">
        <f aca="false">IF(AND(E3861&gt;0,B3861=10),1,0)</f>
        <v>0</v>
      </c>
      <c r="Z3861" s="0" t="str">
        <f aca="false">IF(AND(C3860=C3861,W3860=W3861-1),X3860,"")</f>
        <v/>
      </c>
      <c r="AA3861" s="0" t="str">
        <f aca="false">IF(AND(C3860=C3861,W3860=W3861-1),Y3860,"")</f>
        <v/>
      </c>
      <c r="AB3861" s="0" t="str">
        <f aca="false">IF(W3861=1,"",IF(AND(X3861=1,Z3861&lt;&gt;1),1,0))</f>
        <v/>
      </c>
      <c r="AC3861" s="0" t="str">
        <f aca="false">IF(W3861=1,"",IF(AND(Y3861=1,AA3861&lt;&gt;1),1,0))</f>
        <v/>
      </c>
      <c r="AD3861" s="33" t="str">
        <f aca="false">IF(AND(E3861&gt;0,W3861&lt;1,NOT(AND(C3862=C3861,W3862=W3861+1))),INDEX(DATAS,W3861+1),"")</f>
        <v/>
      </c>
      <c r="AE3861" s="33" t="str">
        <f aca="false">IF(AND(Y3861=1,W3861&lt;1),IF(AND(C3862=C3861,W3862=W3861+1),IF(Y3862=1,"",INDEX(DATAS,W3861+1)),INDEX(DATAS,W3861+1)),"")</f>
        <v/>
      </c>
    </row>
    <row r="3862" customFormat="false" ht="15" hidden="false" customHeight="false" outlineLevel="0" collapsed="false">
      <c r="A3862" s="33" t="n">
        <v>46309</v>
      </c>
      <c r="B3862" s="0" t="n">
        <v>15</v>
      </c>
      <c r="C3862" s="0" t="n">
        <v>30699</v>
      </c>
      <c r="E3862" s="0" t="n">
        <v>0</v>
      </c>
      <c r="F3862" s="27" t="s">
        <v>1525</v>
      </c>
      <c r="I3862" s="27" t="s">
        <v>136</v>
      </c>
      <c r="U3862" s="0" t="n">
        <v>171</v>
      </c>
      <c r="V3862" s="0" t="n">
        <v>0</v>
      </c>
      <c r="W3862" s="27" t="n">
        <f aca="false">MATCH(A3862,DATAS,0)</f>
        <v>1</v>
      </c>
      <c r="X3862" s="27" t="n">
        <f aca="false">IF(AND(E3862&gt;0,OR(AND(B3862&gt;=1,B3862&lt;=6),B3862=10)),1,0)</f>
        <v>0</v>
      </c>
      <c r="Y3862" s="27" t="n">
        <f aca="false">IF(AND(E3862&gt;0,B3862=10),1,0)</f>
        <v>0</v>
      </c>
      <c r="Z3862" s="0" t="str">
        <f aca="false">IF(AND(C3861=C3862,W3861=W3862-1),X3861,"")</f>
        <v/>
      </c>
      <c r="AA3862" s="0" t="str">
        <f aca="false">IF(AND(C3861=C3862,W3861=W3862-1),Y3861,"")</f>
        <v/>
      </c>
      <c r="AB3862" s="0" t="str">
        <f aca="false">IF(W3862=1,"",IF(AND(X3862=1,Z3862&lt;&gt;1),1,0))</f>
        <v/>
      </c>
      <c r="AC3862" s="0" t="str">
        <f aca="false">IF(W3862=1,"",IF(AND(Y3862=1,AA3862&lt;&gt;1),1,0))</f>
        <v/>
      </c>
      <c r="AD3862" s="33" t="str">
        <f aca="false">IF(AND(E3862&gt;0,W3862&lt;1,NOT(AND(C3863=C3862,W3863=W3862+1))),INDEX(DATAS,W3862+1),"")</f>
        <v/>
      </c>
      <c r="AE3862" s="33" t="str">
        <f aca="false">IF(AND(Y3862=1,W3862&lt;1),IF(AND(C3863=C3862,W3863=W3862+1),IF(Y3863=1,"",INDEX(DATAS,W3862+1)),INDEX(DATAS,W3862+1)),"")</f>
        <v/>
      </c>
    </row>
    <row r="3863" customFormat="false" ht="15" hidden="false" customHeight="false" outlineLevel="0" collapsed="false">
      <c r="A3863" s="33" t="n">
        <v>46309</v>
      </c>
      <c r="B3863" s="0" t="n">
        <v>15</v>
      </c>
      <c r="C3863" s="0" t="n">
        <v>30706</v>
      </c>
      <c r="E3863" s="0" t="n">
        <v>0</v>
      </c>
      <c r="F3863" s="27" t="s">
        <v>1529</v>
      </c>
      <c r="I3863" s="27" t="s">
        <v>136</v>
      </c>
      <c r="U3863" s="0" t="n">
        <v>167</v>
      </c>
      <c r="V3863" s="0" t="n">
        <v>0</v>
      </c>
      <c r="W3863" s="27" t="n">
        <f aca="false">MATCH(A3863,DATAS,0)</f>
        <v>1</v>
      </c>
      <c r="X3863" s="27" t="n">
        <f aca="false">IF(AND(E3863&gt;0,OR(AND(B3863&gt;=1,B3863&lt;=6),B3863=10)),1,0)</f>
        <v>0</v>
      </c>
      <c r="Y3863" s="27" t="n">
        <f aca="false">IF(AND(E3863&gt;0,B3863=10),1,0)</f>
        <v>0</v>
      </c>
      <c r="Z3863" s="0" t="str">
        <f aca="false">IF(AND(C3862=C3863,W3862=W3863-1),X3862,"")</f>
        <v/>
      </c>
      <c r="AA3863" s="0" t="str">
        <f aca="false">IF(AND(C3862=C3863,W3862=W3863-1),Y3862,"")</f>
        <v/>
      </c>
      <c r="AB3863" s="0" t="str">
        <f aca="false">IF(W3863=1,"",IF(AND(X3863=1,Z3863&lt;&gt;1),1,0))</f>
        <v/>
      </c>
      <c r="AC3863" s="0" t="str">
        <f aca="false">IF(W3863=1,"",IF(AND(Y3863=1,AA3863&lt;&gt;1),1,0))</f>
        <v/>
      </c>
      <c r="AD3863" s="33" t="str">
        <f aca="false">IF(AND(E3863&gt;0,W3863&lt;1,NOT(AND(C3864=C3863,W3864=W3863+1))),INDEX(DATAS,W3863+1),"")</f>
        <v/>
      </c>
      <c r="AE3863" s="33" t="str">
        <f aca="false">IF(AND(Y3863=1,W3863&lt;1),IF(AND(C3864=C3863,W3864=W3863+1),IF(Y3864=1,"",INDEX(DATAS,W3863+1)),INDEX(DATAS,W3863+1)),"")</f>
        <v/>
      </c>
    </row>
    <row r="3864" customFormat="false" ht="15" hidden="false" customHeight="false" outlineLevel="0" collapsed="false">
      <c r="A3864" s="33" t="n">
        <v>46309</v>
      </c>
      <c r="B3864" s="0" t="n">
        <v>15</v>
      </c>
      <c r="C3864" s="0" t="n">
        <v>30709</v>
      </c>
      <c r="E3864" s="0" t="n">
        <v>0</v>
      </c>
      <c r="F3864" s="27" t="s">
        <v>1531</v>
      </c>
      <c r="I3864" s="27" t="s">
        <v>136</v>
      </c>
      <c r="U3864" s="0" t="n">
        <v>165</v>
      </c>
      <c r="V3864" s="0" t="n">
        <v>0</v>
      </c>
      <c r="W3864" s="27" t="n">
        <f aca="false">MATCH(A3864,DATAS,0)</f>
        <v>1</v>
      </c>
      <c r="X3864" s="27" t="n">
        <f aca="false">IF(AND(E3864&gt;0,OR(AND(B3864&gt;=1,B3864&lt;=6),B3864=10)),1,0)</f>
        <v>0</v>
      </c>
      <c r="Y3864" s="27" t="n">
        <f aca="false">IF(AND(E3864&gt;0,B3864=10),1,0)</f>
        <v>0</v>
      </c>
      <c r="Z3864" s="0" t="str">
        <f aca="false">IF(AND(C3863=C3864,W3863=W3864-1),X3863,"")</f>
        <v/>
      </c>
      <c r="AA3864" s="0" t="str">
        <f aca="false">IF(AND(C3863=C3864,W3863=W3864-1),Y3863,"")</f>
        <v/>
      </c>
      <c r="AB3864" s="0" t="str">
        <f aca="false">IF(W3864=1,"",IF(AND(X3864=1,Z3864&lt;&gt;1),1,0))</f>
        <v/>
      </c>
      <c r="AC3864" s="0" t="str">
        <f aca="false">IF(W3864=1,"",IF(AND(Y3864=1,AA3864&lt;&gt;1),1,0))</f>
        <v/>
      </c>
      <c r="AD3864" s="33" t="str">
        <f aca="false">IF(AND(E3864&gt;0,W3864&lt;1,NOT(AND(C3865=C3864,W3865=W3864+1))),INDEX(DATAS,W3864+1),"")</f>
        <v/>
      </c>
      <c r="AE3864" s="33" t="str">
        <f aca="false">IF(AND(Y3864=1,W3864&lt;1),IF(AND(C3865=C3864,W3865=W3864+1),IF(Y3865=1,"",INDEX(DATAS,W3864+1)),INDEX(DATAS,W3864+1)),"")</f>
        <v/>
      </c>
    </row>
    <row r="3865" customFormat="false" ht="15" hidden="false" customHeight="false" outlineLevel="0" collapsed="false">
      <c r="A3865" s="33" t="n">
        <v>46309</v>
      </c>
      <c r="B3865" s="0" t="n">
        <v>15</v>
      </c>
      <c r="C3865" s="0" t="n">
        <v>30711</v>
      </c>
      <c r="E3865" s="0" t="n">
        <v>0</v>
      </c>
      <c r="F3865" s="27" t="s">
        <v>1532</v>
      </c>
      <c r="I3865" s="27" t="s">
        <v>136</v>
      </c>
      <c r="U3865" s="0" t="n">
        <v>164</v>
      </c>
      <c r="V3865" s="0" t="n">
        <v>0</v>
      </c>
      <c r="W3865" s="27" t="n">
        <f aca="false">MATCH(A3865,DATAS,0)</f>
        <v>1</v>
      </c>
      <c r="X3865" s="27" t="n">
        <f aca="false">IF(AND(E3865&gt;0,OR(AND(B3865&gt;=1,B3865&lt;=6),B3865=10)),1,0)</f>
        <v>0</v>
      </c>
      <c r="Y3865" s="27" t="n">
        <f aca="false">IF(AND(E3865&gt;0,B3865=10),1,0)</f>
        <v>0</v>
      </c>
      <c r="Z3865" s="0" t="str">
        <f aca="false">IF(AND(C3864=C3865,W3864=W3865-1),X3864,"")</f>
        <v/>
      </c>
      <c r="AA3865" s="0" t="str">
        <f aca="false">IF(AND(C3864=C3865,W3864=W3865-1),Y3864,"")</f>
        <v/>
      </c>
      <c r="AB3865" s="0" t="str">
        <f aca="false">IF(W3865=1,"",IF(AND(X3865=1,Z3865&lt;&gt;1),1,0))</f>
        <v/>
      </c>
      <c r="AC3865" s="0" t="str">
        <f aca="false">IF(W3865=1,"",IF(AND(Y3865=1,AA3865&lt;&gt;1),1,0))</f>
        <v/>
      </c>
      <c r="AD3865" s="33" t="str">
        <f aca="false">IF(AND(E3865&gt;0,W3865&lt;1,NOT(AND(C3866=C3865,W3866=W3865+1))),INDEX(DATAS,W3865+1),"")</f>
        <v/>
      </c>
      <c r="AE3865" s="33" t="str">
        <f aca="false">IF(AND(Y3865=1,W3865&lt;1),IF(AND(C3866=C3865,W3866=W3865+1),IF(Y3866=1,"",INDEX(DATAS,W3865+1)),INDEX(DATAS,W3865+1)),"")</f>
        <v/>
      </c>
    </row>
    <row r="3866" customFormat="false" ht="15" hidden="false" customHeight="false" outlineLevel="0" collapsed="false">
      <c r="A3866" s="33" t="n">
        <v>46309</v>
      </c>
      <c r="B3866" s="0" t="n">
        <v>15</v>
      </c>
      <c r="C3866" s="0" t="n">
        <v>30716</v>
      </c>
      <c r="E3866" s="0" t="n">
        <v>0</v>
      </c>
      <c r="F3866" s="27" t="s">
        <v>1533</v>
      </c>
      <c r="I3866" s="27" t="s">
        <v>136</v>
      </c>
      <c r="U3866" s="0" t="n">
        <v>163</v>
      </c>
      <c r="V3866" s="0" t="n">
        <v>0</v>
      </c>
      <c r="W3866" s="27" t="n">
        <f aca="false">MATCH(A3866,DATAS,0)</f>
        <v>1</v>
      </c>
      <c r="X3866" s="27" t="n">
        <f aca="false">IF(AND(E3866&gt;0,OR(AND(B3866&gt;=1,B3866&lt;=6),B3866=10)),1,0)</f>
        <v>0</v>
      </c>
      <c r="Y3866" s="27" t="n">
        <f aca="false">IF(AND(E3866&gt;0,B3866=10),1,0)</f>
        <v>0</v>
      </c>
      <c r="Z3866" s="0" t="str">
        <f aca="false">IF(AND(C3865=C3866,W3865=W3866-1),X3865,"")</f>
        <v/>
      </c>
      <c r="AA3866" s="0" t="str">
        <f aca="false">IF(AND(C3865=C3866,W3865=W3866-1),Y3865,"")</f>
        <v/>
      </c>
      <c r="AB3866" s="0" t="str">
        <f aca="false">IF(W3866=1,"",IF(AND(X3866=1,Z3866&lt;&gt;1),1,0))</f>
        <v/>
      </c>
      <c r="AC3866" s="0" t="str">
        <f aca="false">IF(W3866=1,"",IF(AND(Y3866=1,AA3866&lt;&gt;1),1,0))</f>
        <v/>
      </c>
      <c r="AD3866" s="33" t="str">
        <f aca="false">IF(AND(E3866&gt;0,W3866&lt;1,NOT(AND(C3867=C3866,W3867=W3866+1))),INDEX(DATAS,W3866+1),"")</f>
        <v/>
      </c>
      <c r="AE3866" s="33" t="str">
        <f aca="false">IF(AND(Y3866=1,W3866&lt;1),IF(AND(C3867=C3866,W3867=W3866+1),IF(Y3867=1,"",INDEX(DATAS,W3866+1)),INDEX(DATAS,W3866+1)),"")</f>
        <v/>
      </c>
    </row>
    <row r="3867" customFormat="false" ht="15" hidden="false" customHeight="false" outlineLevel="0" collapsed="false">
      <c r="A3867" s="33" t="n">
        <v>46309</v>
      </c>
      <c r="B3867" s="0" t="n">
        <v>15</v>
      </c>
      <c r="C3867" s="0" t="n">
        <v>30718</v>
      </c>
      <c r="E3867" s="0" t="n">
        <v>0</v>
      </c>
      <c r="F3867" s="27" t="s">
        <v>1533</v>
      </c>
      <c r="I3867" s="27" t="s">
        <v>136</v>
      </c>
      <c r="U3867" s="0" t="n">
        <v>163</v>
      </c>
      <c r="V3867" s="0" t="n">
        <v>0</v>
      </c>
      <c r="W3867" s="27" t="n">
        <f aca="false">MATCH(A3867,DATAS,0)</f>
        <v>1</v>
      </c>
      <c r="X3867" s="27" t="n">
        <f aca="false">IF(AND(E3867&gt;0,OR(AND(B3867&gt;=1,B3867&lt;=6),B3867=10)),1,0)</f>
        <v>0</v>
      </c>
      <c r="Y3867" s="27" t="n">
        <f aca="false">IF(AND(E3867&gt;0,B3867=10),1,0)</f>
        <v>0</v>
      </c>
      <c r="Z3867" s="0" t="str">
        <f aca="false">IF(AND(C3866=C3867,W3866=W3867-1),X3866,"")</f>
        <v/>
      </c>
      <c r="AA3867" s="0" t="str">
        <f aca="false">IF(AND(C3866=C3867,W3866=W3867-1),Y3866,"")</f>
        <v/>
      </c>
      <c r="AB3867" s="0" t="str">
        <f aca="false">IF(W3867=1,"",IF(AND(X3867=1,Z3867&lt;&gt;1),1,0))</f>
        <v/>
      </c>
      <c r="AC3867" s="0" t="str">
        <f aca="false">IF(W3867=1,"",IF(AND(Y3867=1,AA3867&lt;&gt;1),1,0))</f>
        <v/>
      </c>
      <c r="AD3867" s="33" t="str">
        <f aca="false">IF(AND(E3867&gt;0,W3867&lt;1,NOT(AND(C3868=C3867,W3868=W3867+1))),INDEX(DATAS,W3867+1),"")</f>
        <v/>
      </c>
      <c r="AE3867" s="33" t="str">
        <f aca="false">IF(AND(Y3867=1,W3867&lt;1),IF(AND(C3868=C3867,W3868=W3867+1),IF(Y3868=1,"",INDEX(DATAS,W3867+1)),INDEX(DATAS,W3867+1)),"")</f>
        <v/>
      </c>
    </row>
    <row r="3868" customFormat="false" ht="15" hidden="false" customHeight="false" outlineLevel="0" collapsed="false">
      <c r="A3868" s="33" t="n">
        <v>46309</v>
      </c>
      <c r="B3868" s="0" t="n">
        <v>15</v>
      </c>
      <c r="C3868" s="0" t="n">
        <v>30726</v>
      </c>
      <c r="E3868" s="0" t="n">
        <v>0</v>
      </c>
      <c r="F3868" s="27" t="s">
        <v>1537</v>
      </c>
      <c r="I3868" s="27" t="s">
        <v>136</v>
      </c>
      <c r="U3868" s="0" t="n">
        <v>159</v>
      </c>
      <c r="V3868" s="0" t="n">
        <v>0</v>
      </c>
      <c r="W3868" s="27" t="n">
        <f aca="false">MATCH(A3868,DATAS,0)</f>
        <v>1</v>
      </c>
      <c r="X3868" s="27" t="n">
        <f aca="false">IF(AND(E3868&gt;0,OR(AND(B3868&gt;=1,B3868&lt;=6),B3868=10)),1,0)</f>
        <v>0</v>
      </c>
      <c r="Y3868" s="27" t="n">
        <f aca="false">IF(AND(E3868&gt;0,B3868=10),1,0)</f>
        <v>0</v>
      </c>
      <c r="Z3868" s="0" t="str">
        <f aca="false">IF(AND(C3867=C3868,W3867=W3868-1),X3867,"")</f>
        <v/>
      </c>
      <c r="AA3868" s="0" t="str">
        <f aca="false">IF(AND(C3867=C3868,W3867=W3868-1),Y3867,"")</f>
        <v/>
      </c>
      <c r="AB3868" s="0" t="str">
        <f aca="false">IF(W3868=1,"",IF(AND(X3868=1,Z3868&lt;&gt;1),1,0))</f>
        <v/>
      </c>
      <c r="AC3868" s="0" t="str">
        <f aca="false">IF(W3868=1,"",IF(AND(Y3868=1,AA3868&lt;&gt;1),1,0))</f>
        <v/>
      </c>
      <c r="AD3868" s="33" t="str">
        <f aca="false">IF(AND(E3868&gt;0,W3868&lt;1,NOT(AND(C3869=C3868,W3869=W3868+1))),INDEX(DATAS,W3868+1),"")</f>
        <v/>
      </c>
      <c r="AE3868" s="33" t="str">
        <f aca="false">IF(AND(Y3868=1,W3868&lt;1),IF(AND(C3869=C3868,W3869=W3868+1),IF(Y3869=1,"",INDEX(DATAS,W3868+1)),INDEX(DATAS,W3868+1)),"")</f>
        <v/>
      </c>
    </row>
    <row r="3869" customFormat="false" ht="15" hidden="false" customHeight="false" outlineLevel="0" collapsed="false">
      <c r="A3869" s="33" t="n">
        <v>46309</v>
      </c>
      <c r="B3869" s="0" t="n">
        <v>15</v>
      </c>
      <c r="C3869" s="0" t="n">
        <v>30728</v>
      </c>
      <c r="E3869" s="0" t="n">
        <v>0</v>
      </c>
      <c r="F3869" s="27" t="s">
        <v>1538</v>
      </c>
      <c r="I3869" s="27" t="s">
        <v>136</v>
      </c>
      <c r="U3869" s="0" t="n">
        <v>158</v>
      </c>
      <c r="V3869" s="0" t="n">
        <v>0</v>
      </c>
      <c r="W3869" s="27" t="n">
        <f aca="false">MATCH(A3869,DATAS,0)</f>
        <v>1</v>
      </c>
      <c r="X3869" s="27" t="n">
        <f aca="false">IF(AND(E3869&gt;0,OR(AND(B3869&gt;=1,B3869&lt;=6),B3869=10)),1,0)</f>
        <v>0</v>
      </c>
      <c r="Y3869" s="27" t="n">
        <f aca="false">IF(AND(E3869&gt;0,B3869=10),1,0)</f>
        <v>0</v>
      </c>
      <c r="Z3869" s="0" t="str">
        <f aca="false">IF(AND(C3868=C3869,W3868=W3869-1),X3868,"")</f>
        <v/>
      </c>
      <c r="AA3869" s="0" t="str">
        <f aca="false">IF(AND(C3868=C3869,W3868=W3869-1),Y3868,"")</f>
        <v/>
      </c>
      <c r="AB3869" s="0" t="str">
        <f aca="false">IF(W3869=1,"",IF(AND(X3869=1,Z3869&lt;&gt;1),1,0))</f>
        <v/>
      </c>
      <c r="AC3869" s="0" t="str">
        <f aca="false">IF(W3869=1,"",IF(AND(Y3869=1,AA3869&lt;&gt;1),1,0))</f>
        <v/>
      </c>
      <c r="AD3869" s="33" t="str">
        <f aca="false">IF(AND(E3869&gt;0,W3869&lt;1,NOT(AND(C3870=C3869,W3870=W3869+1))),INDEX(DATAS,W3869+1),"")</f>
        <v/>
      </c>
      <c r="AE3869" s="33" t="str">
        <f aca="false">IF(AND(Y3869=1,W3869&lt;1),IF(AND(C3870=C3869,W3870=W3869+1),IF(Y3870=1,"",INDEX(DATAS,W3869+1)),INDEX(DATAS,W3869+1)),"")</f>
        <v/>
      </c>
    </row>
    <row r="3870" customFormat="false" ht="15" hidden="false" customHeight="false" outlineLevel="0" collapsed="false">
      <c r="A3870" s="33" t="n">
        <v>46309</v>
      </c>
      <c r="B3870" s="0" t="n">
        <v>15</v>
      </c>
      <c r="C3870" s="0" t="n">
        <v>30729</v>
      </c>
      <c r="E3870" s="0" t="n">
        <v>0</v>
      </c>
      <c r="F3870" s="27" t="s">
        <v>1539</v>
      </c>
      <c r="I3870" s="27" t="s">
        <v>136</v>
      </c>
      <c r="U3870" s="0" t="n">
        <v>157</v>
      </c>
      <c r="V3870" s="0" t="n">
        <v>0</v>
      </c>
      <c r="W3870" s="27" t="n">
        <f aca="false">MATCH(A3870,DATAS,0)</f>
        <v>1</v>
      </c>
      <c r="X3870" s="27" t="n">
        <f aca="false">IF(AND(E3870&gt;0,OR(AND(B3870&gt;=1,B3870&lt;=6),B3870=10)),1,0)</f>
        <v>0</v>
      </c>
      <c r="Y3870" s="27" t="n">
        <f aca="false">IF(AND(E3870&gt;0,B3870=10),1,0)</f>
        <v>0</v>
      </c>
      <c r="Z3870" s="0" t="str">
        <f aca="false">IF(AND(C3869=C3870,W3869=W3870-1),X3869,"")</f>
        <v/>
      </c>
      <c r="AA3870" s="0" t="str">
        <f aca="false">IF(AND(C3869=C3870,W3869=W3870-1),Y3869,"")</f>
        <v/>
      </c>
      <c r="AB3870" s="0" t="str">
        <f aca="false">IF(W3870=1,"",IF(AND(X3870=1,Z3870&lt;&gt;1),1,0))</f>
        <v/>
      </c>
      <c r="AC3870" s="0" t="str">
        <f aca="false">IF(W3870=1,"",IF(AND(Y3870=1,AA3870&lt;&gt;1),1,0))</f>
        <v/>
      </c>
      <c r="AD3870" s="33" t="str">
        <f aca="false">IF(AND(E3870&gt;0,W3870&lt;1,NOT(AND(C3871=C3870,W3871=W3870+1))),INDEX(DATAS,W3870+1),"")</f>
        <v/>
      </c>
      <c r="AE3870" s="33" t="str">
        <f aca="false">IF(AND(Y3870=1,W3870&lt;1),IF(AND(C3871=C3870,W3871=W3870+1),IF(Y3871=1,"",INDEX(DATAS,W3870+1)),INDEX(DATAS,W3870+1)),"")</f>
        <v/>
      </c>
    </row>
    <row r="3871" customFormat="false" ht="15" hidden="false" customHeight="false" outlineLevel="0" collapsed="false">
      <c r="A3871" s="33" t="n">
        <v>46309</v>
      </c>
      <c r="B3871" s="0" t="n">
        <v>15</v>
      </c>
      <c r="C3871" s="0" t="n">
        <v>30732</v>
      </c>
      <c r="E3871" s="0" t="n">
        <v>0</v>
      </c>
      <c r="F3871" s="27" t="s">
        <v>1540</v>
      </c>
      <c r="I3871" s="27" t="s">
        <v>136</v>
      </c>
      <c r="U3871" s="0" t="n">
        <v>156</v>
      </c>
      <c r="V3871" s="0" t="n">
        <v>0</v>
      </c>
      <c r="W3871" s="27" t="n">
        <f aca="false">MATCH(A3871,DATAS,0)</f>
        <v>1</v>
      </c>
      <c r="X3871" s="27" t="n">
        <f aca="false">IF(AND(E3871&gt;0,OR(AND(B3871&gt;=1,B3871&lt;=6),B3871=10)),1,0)</f>
        <v>0</v>
      </c>
      <c r="Y3871" s="27" t="n">
        <f aca="false">IF(AND(E3871&gt;0,B3871=10),1,0)</f>
        <v>0</v>
      </c>
      <c r="Z3871" s="0" t="str">
        <f aca="false">IF(AND(C3870=C3871,W3870=W3871-1),X3870,"")</f>
        <v/>
      </c>
      <c r="AA3871" s="0" t="str">
        <f aca="false">IF(AND(C3870=C3871,W3870=W3871-1),Y3870,"")</f>
        <v/>
      </c>
      <c r="AB3871" s="0" t="str">
        <f aca="false">IF(W3871=1,"",IF(AND(X3871=1,Z3871&lt;&gt;1),1,0))</f>
        <v/>
      </c>
      <c r="AC3871" s="0" t="str">
        <f aca="false">IF(W3871=1,"",IF(AND(Y3871=1,AA3871&lt;&gt;1),1,0))</f>
        <v/>
      </c>
      <c r="AD3871" s="33" t="str">
        <f aca="false">IF(AND(E3871&gt;0,W3871&lt;1,NOT(AND(C3872=C3871,W3872=W3871+1))),INDEX(DATAS,W3871+1),"")</f>
        <v/>
      </c>
      <c r="AE3871" s="33" t="str">
        <f aca="false">IF(AND(Y3871=1,W3871&lt;1),IF(AND(C3872=C3871,W3872=W3871+1),IF(Y3872=1,"",INDEX(DATAS,W3871+1)),INDEX(DATAS,W3871+1)),"")</f>
        <v/>
      </c>
    </row>
    <row r="3872" customFormat="false" ht="15" hidden="false" customHeight="false" outlineLevel="0" collapsed="false">
      <c r="A3872" s="33" t="n">
        <v>46309</v>
      </c>
      <c r="B3872" s="0" t="n">
        <v>15</v>
      </c>
      <c r="C3872" s="0" t="n">
        <v>30733</v>
      </c>
      <c r="E3872" s="0" t="n">
        <v>0</v>
      </c>
      <c r="F3872" s="27" t="s">
        <v>1540</v>
      </c>
      <c r="I3872" s="27" t="s">
        <v>136</v>
      </c>
      <c r="U3872" s="0" t="n">
        <v>156</v>
      </c>
      <c r="V3872" s="0" t="n">
        <v>0</v>
      </c>
      <c r="W3872" s="27" t="n">
        <f aca="false">MATCH(A3872,DATAS,0)</f>
        <v>1</v>
      </c>
      <c r="X3872" s="27" t="n">
        <f aca="false">IF(AND(E3872&gt;0,OR(AND(B3872&gt;=1,B3872&lt;=6),B3872=10)),1,0)</f>
        <v>0</v>
      </c>
      <c r="Y3872" s="27" t="n">
        <f aca="false">IF(AND(E3872&gt;0,B3872=10),1,0)</f>
        <v>0</v>
      </c>
      <c r="Z3872" s="0" t="str">
        <f aca="false">IF(AND(C3871=C3872,W3871=W3872-1),X3871,"")</f>
        <v/>
      </c>
      <c r="AA3872" s="0" t="str">
        <f aca="false">IF(AND(C3871=C3872,W3871=W3872-1),Y3871,"")</f>
        <v/>
      </c>
      <c r="AB3872" s="0" t="str">
        <f aca="false">IF(W3872=1,"",IF(AND(X3872=1,Z3872&lt;&gt;1),1,0))</f>
        <v/>
      </c>
      <c r="AC3872" s="0" t="str">
        <f aca="false">IF(W3872=1,"",IF(AND(Y3872=1,AA3872&lt;&gt;1),1,0))</f>
        <v/>
      </c>
      <c r="AD3872" s="33" t="str">
        <f aca="false">IF(AND(E3872&gt;0,W3872&lt;1,NOT(AND(C3873=C3872,W3873=W3872+1))),INDEX(DATAS,W3872+1),"")</f>
        <v/>
      </c>
      <c r="AE3872" s="33" t="str">
        <f aca="false">IF(AND(Y3872=1,W3872&lt;1),IF(AND(C3873=C3872,W3873=W3872+1),IF(Y3873=1,"",INDEX(DATAS,W3872+1)),INDEX(DATAS,W3872+1)),"")</f>
        <v/>
      </c>
    </row>
    <row r="3873" customFormat="false" ht="15" hidden="false" customHeight="false" outlineLevel="0" collapsed="false">
      <c r="A3873" s="33" t="n">
        <v>46309</v>
      </c>
      <c r="B3873" s="0" t="n">
        <v>15</v>
      </c>
      <c r="C3873" s="0" t="n">
        <v>30734</v>
      </c>
      <c r="E3873" s="0" t="n">
        <v>0</v>
      </c>
      <c r="F3873" s="27" t="s">
        <v>1541</v>
      </c>
      <c r="I3873" s="27" t="s">
        <v>136</v>
      </c>
      <c r="U3873" s="0" t="n">
        <v>155</v>
      </c>
      <c r="V3873" s="0" t="n">
        <v>0</v>
      </c>
      <c r="W3873" s="27" t="n">
        <f aca="false">MATCH(A3873,DATAS,0)</f>
        <v>1</v>
      </c>
      <c r="X3873" s="27" t="n">
        <f aca="false">IF(AND(E3873&gt;0,OR(AND(B3873&gt;=1,B3873&lt;=6),B3873=10)),1,0)</f>
        <v>0</v>
      </c>
      <c r="Y3873" s="27" t="n">
        <f aca="false">IF(AND(E3873&gt;0,B3873=10),1,0)</f>
        <v>0</v>
      </c>
      <c r="Z3873" s="0" t="str">
        <f aca="false">IF(AND(C3872=C3873,W3872=W3873-1),X3872,"")</f>
        <v/>
      </c>
      <c r="AA3873" s="0" t="str">
        <f aca="false">IF(AND(C3872=C3873,W3872=W3873-1),Y3872,"")</f>
        <v/>
      </c>
      <c r="AB3873" s="0" t="str">
        <f aca="false">IF(W3873=1,"",IF(AND(X3873=1,Z3873&lt;&gt;1),1,0))</f>
        <v/>
      </c>
      <c r="AC3873" s="0" t="str">
        <f aca="false">IF(W3873=1,"",IF(AND(Y3873=1,AA3873&lt;&gt;1),1,0))</f>
        <v/>
      </c>
      <c r="AD3873" s="33" t="str">
        <f aca="false">IF(AND(E3873&gt;0,W3873&lt;1,NOT(AND(C3874=C3873,W3874=W3873+1))),INDEX(DATAS,W3873+1),"")</f>
        <v/>
      </c>
      <c r="AE3873" s="33" t="str">
        <f aca="false">IF(AND(Y3873=1,W3873&lt;1),IF(AND(C3874=C3873,W3874=W3873+1),IF(Y3874=1,"",INDEX(DATAS,W3873+1)),INDEX(DATAS,W3873+1)),"")</f>
        <v/>
      </c>
    </row>
    <row r="3874" customFormat="false" ht="15" hidden="false" customHeight="false" outlineLevel="0" collapsed="false">
      <c r="A3874" s="33" t="n">
        <v>46309</v>
      </c>
      <c r="B3874" s="0" t="n">
        <v>15</v>
      </c>
      <c r="C3874" s="0" t="n">
        <v>30739</v>
      </c>
      <c r="E3874" s="0" t="n">
        <v>0</v>
      </c>
      <c r="F3874" s="27" t="s">
        <v>1543</v>
      </c>
      <c r="I3874" s="27" t="s">
        <v>136</v>
      </c>
      <c r="U3874" s="0" t="n">
        <v>153</v>
      </c>
      <c r="V3874" s="0" t="n">
        <v>0</v>
      </c>
      <c r="W3874" s="27" t="n">
        <f aca="false">MATCH(A3874,DATAS,0)</f>
        <v>1</v>
      </c>
      <c r="X3874" s="27" t="n">
        <f aca="false">IF(AND(E3874&gt;0,OR(AND(B3874&gt;=1,B3874&lt;=6),B3874=10)),1,0)</f>
        <v>0</v>
      </c>
      <c r="Y3874" s="27" t="n">
        <f aca="false">IF(AND(E3874&gt;0,B3874=10),1,0)</f>
        <v>0</v>
      </c>
      <c r="Z3874" s="0" t="str">
        <f aca="false">IF(AND(C3873=C3874,W3873=W3874-1),X3873,"")</f>
        <v/>
      </c>
      <c r="AA3874" s="0" t="str">
        <f aca="false">IF(AND(C3873=C3874,W3873=W3874-1),Y3873,"")</f>
        <v/>
      </c>
      <c r="AB3874" s="0" t="str">
        <f aca="false">IF(W3874=1,"",IF(AND(X3874=1,Z3874&lt;&gt;1),1,0))</f>
        <v/>
      </c>
      <c r="AC3874" s="0" t="str">
        <f aca="false">IF(W3874=1,"",IF(AND(Y3874=1,AA3874&lt;&gt;1),1,0))</f>
        <v/>
      </c>
      <c r="AD3874" s="33" t="str">
        <f aca="false">IF(AND(E3874&gt;0,W3874&lt;1,NOT(AND(C3875=C3874,W3875=W3874+1))),INDEX(DATAS,W3874+1),"")</f>
        <v/>
      </c>
      <c r="AE3874" s="33" t="str">
        <f aca="false">IF(AND(Y3874=1,W3874&lt;1),IF(AND(C3875=C3874,W3875=W3874+1),IF(Y3875=1,"",INDEX(DATAS,W3874+1)),INDEX(DATAS,W3874+1)),"")</f>
        <v/>
      </c>
    </row>
    <row r="3875" customFormat="false" ht="15" hidden="false" customHeight="false" outlineLevel="0" collapsed="false">
      <c r="A3875" s="33" t="n">
        <v>46309</v>
      </c>
      <c r="B3875" s="0" t="n">
        <v>15</v>
      </c>
      <c r="C3875" s="0" t="n">
        <v>30741</v>
      </c>
      <c r="E3875" s="0" t="n">
        <v>0</v>
      </c>
      <c r="F3875" s="27" t="s">
        <v>1544</v>
      </c>
      <c r="I3875" s="27" t="s">
        <v>136</v>
      </c>
      <c r="U3875" s="0" t="n">
        <v>152</v>
      </c>
      <c r="V3875" s="0" t="n">
        <v>0</v>
      </c>
      <c r="W3875" s="27" t="n">
        <f aca="false">MATCH(A3875,DATAS,0)</f>
        <v>1</v>
      </c>
      <c r="X3875" s="27" t="n">
        <f aca="false">IF(AND(E3875&gt;0,OR(AND(B3875&gt;=1,B3875&lt;=6),B3875=10)),1,0)</f>
        <v>0</v>
      </c>
      <c r="Y3875" s="27" t="n">
        <f aca="false">IF(AND(E3875&gt;0,B3875=10),1,0)</f>
        <v>0</v>
      </c>
      <c r="Z3875" s="0" t="str">
        <f aca="false">IF(AND(C3874=C3875,W3874=W3875-1),X3874,"")</f>
        <v/>
      </c>
      <c r="AA3875" s="0" t="str">
        <f aca="false">IF(AND(C3874=C3875,W3874=W3875-1),Y3874,"")</f>
        <v/>
      </c>
      <c r="AB3875" s="0" t="str">
        <f aca="false">IF(W3875=1,"",IF(AND(X3875=1,Z3875&lt;&gt;1),1,0))</f>
        <v/>
      </c>
      <c r="AC3875" s="0" t="str">
        <f aca="false">IF(W3875=1,"",IF(AND(Y3875=1,AA3875&lt;&gt;1),1,0))</f>
        <v/>
      </c>
      <c r="AD3875" s="33" t="str">
        <f aca="false">IF(AND(E3875&gt;0,W3875&lt;1,NOT(AND(C3876=C3875,W3876=W3875+1))),INDEX(DATAS,W3875+1),"")</f>
        <v/>
      </c>
      <c r="AE3875" s="33" t="str">
        <f aca="false">IF(AND(Y3875=1,W3875&lt;1),IF(AND(C3876=C3875,W3876=W3875+1),IF(Y3876=1,"",INDEX(DATAS,W3875+1)),INDEX(DATAS,W3875+1)),"")</f>
        <v/>
      </c>
    </row>
    <row r="3876" customFormat="false" ht="15" hidden="false" customHeight="false" outlineLevel="0" collapsed="false">
      <c r="A3876" s="33" t="n">
        <v>46309</v>
      </c>
      <c r="B3876" s="0" t="n">
        <v>15</v>
      </c>
      <c r="C3876" s="0" t="n">
        <v>30743</v>
      </c>
      <c r="E3876" s="0" t="n">
        <v>0</v>
      </c>
      <c r="F3876" s="27" t="s">
        <v>1546</v>
      </c>
      <c r="I3876" s="27" t="s">
        <v>136</v>
      </c>
      <c r="U3876" s="0" t="n">
        <v>151</v>
      </c>
      <c r="V3876" s="0" t="n">
        <v>0</v>
      </c>
      <c r="W3876" s="27" t="n">
        <f aca="false">MATCH(A3876,DATAS,0)</f>
        <v>1</v>
      </c>
      <c r="X3876" s="27" t="n">
        <f aca="false">IF(AND(E3876&gt;0,OR(AND(B3876&gt;=1,B3876&lt;=6),B3876=10)),1,0)</f>
        <v>0</v>
      </c>
      <c r="Y3876" s="27" t="n">
        <f aca="false">IF(AND(E3876&gt;0,B3876=10),1,0)</f>
        <v>0</v>
      </c>
      <c r="Z3876" s="0" t="str">
        <f aca="false">IF(AND(C3875=C3876,W3875=W3876-1),X3875,"")</f>
        <v/>
      </c>
      <c r="AA3876" s="0" t="str">
        <f aca="false">IF(AND(C3875=C3876,W3875=W3876-1),Y3875,"")</f>
        <v/>
      </c>
      <c r="AB3876" s="0" t="str">
        <f aca="false">IF(W3876=1,"",IF(AND(X3876=1,Z3876&lt;&gt;1),1,0))</f>
        <v/>
      </c>
      <c r="AC3876" s="0" t="str">
        <f aca="false">IF(W3876=1,"",IF(AND(Y3876=1,AA3876&lt;&gt;1),1,0))</f>
        <v/>
      </c>
      <c r="AD3876" s="33" t="str">
        <f aca="false">IF(AND(E3876&gt;0,W3876&lt;1,NOT(AND(C3877=C3876,W3877=W3876+1))),INDEX(DATAS,W3876+1),"")</f>
        <v/>
      </c>
      <c r="AE3876" s="33" t="str">
        <f aca="false">IF(AND(Y3876=1,W3876&lt;1),IF(AND(C3877=C3876,W3877=W3876+1),IF(Y3877=1,"",INDEX(DATAS,W3876+1)),INDEX(DATAS,W3876+1)),"")</f>
        <v/>
      </c>
    </row>
    <row r="3877" customFormat="false" ht="15" hidden="false" customHeight="false" outlineLevel="0" collapsed="false">
      <c r="A3877" s="33" t="n">
        <v>46309</v>
      </c>
      <c r="B3877" s="0" t="n">
        <v>15</v>
      </c>
      <c r="C3877" s="0" t="n">
        <v>30744</v>
      </c>
      <c r="E3877" s="0" t="n">
        <v>0</v>
      </c>
      <c r="F3877" s="27" t="s">
        <v>1547</v>
      </c>
      <c r="I3877" s="27" t="s">
        <v>136</v>
      </c>
      <c r="U3877" s="0" t="n">
        <v>149</v>
      </c>
      <c r="V3877" s="0" t="n">
        <v>0</v>
      </c>
      <c r="W3877" s="27" t="n">
        <f aca="false">MATCH(A3877,DATAS,0)</f>
        <v>1</v>
      </c>
      <c r="X3877" s="27" t="n">
        <f aca="false">IF(AND(E3877&gt;0,OR(AND(B3877&gt;=1,B3877&lt;=6),B3877=10)),1,0)</f>
        <v>0</v>
      </c>
      <c r="Y3877" s="27" t="n">
        <f aca="false">IF(AND(E3877&gt;0,B3877=10),1,0)</f>
        <v>0</v>
      </c>
      <c r="Z3877" s="0" t="str">
        <f aca="false">IF(AND(C3876=C3877,W3876=W3877-1),X3876,"")</f>
        <v/>
      </c>
      <c r="AA3877" s="0" t="str">
        <f aca="false">IF(AND(C3876=C3877,W3876=W3877-1),Y3876,"")</f>
        <v/>
      </c>
      <c r="AB3877" s="0" t="str">
        <f aca="false">IF(W3877=1,"",IF(AND(X3877=1,Z3877&lt;&gt;1),1,0))</f>
        <v/>
      </c>
      <c r="AC3877" s="0" t="str">
        <f aca="false">IF(W3877=1,"",IF(AND(Y3877=1,AA3877&lt;&gt;1),1,0))</f>
        <v/>
      </c>
      <c r="AD3877" s="33" t="str">
        <f aca="false">IF(AND(E3877&gt;0,W3877&lt;1,NOT(AND(C3878=C3877,W3878=W3877+1))),INDEX(DATAS,W3877+1),"")</f>
        <v/>
      </c>
      <c r="AE3877" s="33" t="str">
        <f aca="false">IF(AND(Y3877=1,W3877&lt;1),IF(AND(C3878=C3877,W3878=W3877+1),IF(Y3878=1,"",INDEX(DATAS,W3877+1)),INDEX(DATAS,W3877+1)),"")</f>
        <v/>
      </c>
    </row>
    <row r="3878" customFormat="false" ht="15" hidden="false" customHeight="false" outlineLevel="0" collapsed="false">
      <c r="A3878" s="33" t="n">
        <v>46309</v>
      </c>
      <c r="B3878" s="0" t="n">
        <v>15</v>
      </c>
      <c r="C3878" s="0" t="n">
        <v>30752</v>
      </c>
      <c r="E3878" s="0" t="n">
        <v>0</v>
      </c>
      <c r="F3878" s="27" t="s">
        <v>1550</v>
      </c>
      <c r="I3878" s="27" t="s">
        <v>136</v>
      </c>
      <c r="U3878" s="0" t="n">
        <v>146</v>
      </c>
      <c r="V3878" s="0" t="n">
        <v>0</v>
      </c>
      <c r="W3878" s="27" t="n">
        <f aca="false">MATCH(A3878,DATAS,0)</f>
        <v>1</v>
      </c>
      <c r="X3878" s="27" t="n">
        <f aca="false">IF(AND(E3878&gt;0,OR(AND(B3878&gt;=1,B3878&lt;=6),B3878=10)),1,0)</f>
        <v>0</v>
      </c>
      <c r="Y3878" s="27" t="n">
        <f aca="false">IF(AND(E3878&gt;0,B3878=10),1,0)</f>
        <v>0</v>
      </c>
      <c r="Z3878" s="0" t="str">
        <f aca="false">IF(AND(C3877=C3878,W3877=W3878-1),X3877,"")</f>
        <v/>
      </c>
      <c r="AA3878" s="0" t="str">
        <f aca="false">IF(AND(C3877=C3878,W3877=W3878-1),Y3877,"")</f>
        <v/>
      </c>
      <c r="AB3878" s="0" t="str">
        <f aca="false">IF(W3878=1,"",IF(AND(X3878=1,Z3878&lt;&gt;1),1,0))</f>
        <v/>
      </c>
      <c r="AC3878" s="0" t="str">
        <f aca="false">IF(W3878=1,"",IF(AND(Y3878=1,AA3878&lt;&gt;1),1,0))</f>
        <v/>
      </c>
      <c r="AD3878" s="33" t="str">
        <f aca="false">IF(AND(E3878&gt;0,W3878&lt;1,NOT(AND(C3879=C3878,W3879=W3878+1))),INDEX(DATAS,W3878+1),"")</f>
        <v/>
      </c>
      <c r="AE3878" s="33" t="str">
        <f aca="false">IF(AND(Y3878=1,W3878&lt;1),IF(AND(C3879=C3878,W3879=W3878+1),IF(Y3879=1,"",INDEX(DATAS,W3878+1)),INDEX(DATAS,W3878+1)),"")</f>
        <v/>
      </c>
    </row>
    <row r="3879" customFormat="false" ht="15" hidden="false" customHeight="false" outlineLevel="0" collapsed="false">
      <c r="A3879" s="33" t="n">
        <v>46309</v>
      </c>
      <c r="B3879" s="0" t="n">
        <v>15</v>
      </c>
      <c r="C3879" s="0" t="n">
        <v>30757</v>
      </c>
      <c r="E3879" s="0" t="n">
        <v>0</v>
      </c>
      <c r="F3879" s="27" t="s">
        <v>1553</v>
      </c>
      <c r="I3879" s="27" t="s">
        <v>136</v>
      </c>
      <c r="U3879" s="0" t="n">
        <v>143</v>
      </c>
      <c r="V3879" s="0" t="n">
        <v>0</v>
      </c>
      <c r="W3879" s="27" t="n">
        <f aca="false">MATCH(A3879,DATAS,0)</f>
        <v>1</v>
      </c>
      <c r="X3879" s="27" t="n">
        <f aca="false">IF(AND(E3879&gt;0,OR(AND(B3879&gt;=1,B3879&lt;=6),B3879=10)),1,0)</f>
        <v>0</v>
      </c>
      <c r="Y3879" s="27" t="n">
        <f aca="false">IF(AND(E3879&gt;0,B3879=10),1,0)</f>
        <v>0</v>
      </c>
      <c r="Z3879" s="0" t="str">
        <f aca="false">IF(AND(C3878=C3879,W3878=W3879-1),X3878,"")</f>
        <v/>
      </c>
      <c r="AA3879" s="0" t="str">
        <f aca="false">IF(AND(C3878=C3879,W3878=W3879-1),Y3878,"")</f>
        <v/>
      </c>
      <c r="AB3879" s="0" t="str">
        <f aca="false">IF(W3879=1,"",IF(AND(X3879=1,Z3879&lt;&gt;1),1,0))</f>
        <v/>
      </c>
      <c r="AC3879" s="0" t="str">
        <f aca="false">IF(W3879=1,"",IF(AND(Y3879=1,AA3879&lt;&gt;1),1,0))</f>
        <v/>
      </c>
      <c r="AD3879" s="33" t="str">
        <f aca="false">IF(AND(E3879&gt;0,W3879&lt;1,NOT(AND(C3880=C3879,W3880=W3879+1))),INDEX(DATAS,W3879+1),"")</f>
        <v/>
      </c>
      <c r="AE3879" s="33" t="str">
        <f aca="false">IF(AND(Y3879=1,W3879&lt;1),IF(AND(C3880=C3879,W3880=W3879+1),IF(Y3880=1,"",INDEX(DATAS,W3879+1)),INDEX(DATAS,W3879+1)),"")</f>
        <v/>
      </c>
    </row>
    <row r="3880" customFormat="false" ht="15" hidden="false" customHeight="false" outlineLevel="0" collapsed="false">
      <c r="A3880" s="33" t="n">
        <v>46309</v>
      </c>
      <c r="B3880" s="0" t="n">
        <v>15</v>
      </c>
      <c r="C3880" s="0" t="n">
        <v>30762</v>
      </c>
      <c r="E3880" s="0" t="n">
        <v>0</v>
      </c>
      <c r="F3880" s="27" t="s">
        <v>1690</v>
      </c>
      <c r="I3880" s="27" t="s">
        <v>136</v>
      </c>
      <c r="U3880" s="0" t="n">
        <v>139</v>
      </c>
      <c r="V3880" s="0" t="n">
        <v>0</v>
      </c>
      <c r="W3880" s="27" t="n">
        <f aca="false">MATCH(A3880,DATAS,0)</f>
        <v>1</v>
      </c>
      <c r="X3880" s="27" t="n">
        <f aca="false">IF(AND(E3880&gt;0,OR(AND(B3880&gt;=1,B3880&lt;=6),B3880=10)),1,0)</f>
        <v>0</v>
      </c>
      <c r="Y3880" s="27" t="n">
        <f aca="false">IF(AND(E3880&gt;0,B3880=10),1,0)</f>
        <v>0</v>
      </c>
      <c r="Z3880" s="0" t="str">
        <f aca="false">IF(AND(C3879=C3880,W3879=W3880-1),X3879,"")</f>
        <v/>
      </c>
      <c r="AA3880" s="0" t="str">
        <f aca="false">IF(AND(C3879=C3880,W3879=W3880-1),Y3879,"")</f>
        <v/>
      </c>
      <c r="AB3880" s="0" t="str">
        <f aca="false">IF(W3880=1,"",IF(AND(X3880=1,Z3880&lt;&gt;1),1,0))</f>
        <v/>
      </c>
      <c r="AC3880" s="0" t="str">
        <f aca="false">IF(W3880=1,"",IF(AND(Y3880=1,AA3880&lt;&gt;1),1,0))</f>
        <v/>
      </c>
      <c r="AD3880" s="33" t="str">
        <f aca="false">IF(AND(E3880&gt;0,W3880&lt;1,NOT(AND(C3881=C3880,W3881=W3880+1))),INDEX(DATAS,W3880+1),"")</f>
        <v/>
      </c>
      <c r="AE3880" s="33" t="str">
        <f aca="false">IF(AND(Y3880=1,W3880&lt;1),IF(AND(C3881=C3880,W3881=W3880+1),IF(Y3881=1,"",INDEX(DATAS,W3880+1)),INDEX(DATAS,W3880+1)),"")</f>
        <v/>
      </c>
    </row>
    <row r="3881" customFormat="false" ht="15" hidden="false" customHeight="false" outlineLevel="0" collapsed="false">
      <c r="A3881" s="33" t="n">
        <v>46309</v>
      </c>
      <c r="B3881" s="0" t="n">
        <v>15</v>
      </c>
      <c r="C3881" s="0" t="n">
        <v>30765</v>
      </c>
      <c r="E3881" s="0" t="n">
        <v>0</v>
      </c>
      <c r="F3881" s="27" t="s">
        <v>1557</v>
      </c>
      <c r="I3881" s="27" t="s">
        <v>136</v>
      </c>
      <c r="U3881" s="0" t="n">
        <v>138</v>
      </c>
      <c r="V3881" s="0" t="n">
        <v>0</v>
      </c>
      <c r="W3881" s="27" t="n">
        <f aca="false">MATCH(A3881,DATAS,0)</f>
        <v>1</v>
      </c>
      <c r="X3881" s="27" t="n">
        <f aca="false">IF(AND(E3881&gt;0,OR(AND(B3881&gt;=1,B3881&lt;=6),B3881=10)),1,0)</f>
        <v>0</v>
      </c>
      <c r="Y3881" s="27" t="n">
        <f aca="false">IF(AND(E3881&gt;0,B3881=10),1,0)</f>
        <v>0</v>
      </c>
      <c r="Z3881" s="0" t="str">
        <f aca="false">IF(AND(C3880=C3881,W3880=W3881-1),X3880,"")</f>
        <v/>
      </c>
      <c r="AA3881" s="0" t="str">
        <f aca="false">IF(AND(C3880=C3881,W3880=W3881-1),Y3880,"")</f>
        <v/>
      </c>
      <c r="AB3881" s="0" t="str">
        <f aca="false">IF(W3881=1,"",IF(AND(X3881=1,Z3881&lt;&gt;1),1,0))</f>
        <v/>
      </c>
      <c r="AC3881" s="0" t="str">
        <f aca="false">IF(W3881=1,"",IF(AND(Y3881=1,AA3881&lt;&gt;1),1,0))</f>
        <v/>
      </c>
      <c r="AD3881" s="33" t="str">
        <f aca="false">IF(AND(E3881&gt;0,W3881&lt;1,NOT(AND(C3882=C3881,W3882=W3881+1))),INDEX(DATAS,W3881+1),"")</f>
        <v/>
      </c>
      <c r="AE3881" s="33" t="str">
        <f aca="false">IF(AND(Y3881=1,W3881&lt;1),IF(AND(C3882=C3881,W3882=W3881+1),IF(Y3882=1,"",INDEX(DATAS,W3881+1)),INDEX(DATAS,W3881+1)),"")</f>
        <v/>
      </c>
    </row>
    <row r="3882" customFormat="false" ht="15" hidden="false" customHeight="false" outlineLevel="0" collapsed="false">
      <c r="A3882" s="33" t="n">
        <v>46309</v>
      </c>
      <c r="B3882" s="0" t="n">
        <v>15</v>
      </c>
      <c r="C3882" s="0" t="n">
        <v>30768</v>
      </c>
      <c r="E3882" s="0" t="n">
        <v>0</v>
      </c>
      <c r="F3882" s="27" t="s">
        <v>1559</v>
      </c>
      <c r="I3882" s="27" t="s">
        <v>136</v>
      </c>
      <c r="U3882" s="0" t="n">
        <v>136</v>
      </c>
      <c r="V3882" s="0" t="n">
        <v>0</v>
      </c>
      <c r="W3882" s="27" t="n">
        <f aca="false">MATCH(A3882,DATAS,0)</f>
        <v>1</v>
      </c>
      <c r="X3882" s="27" t="n">
        <f aca="false">IF(AND(E3882&gt;0,OR(AND(B3882&gt;=1,B3882&lt;=6),B3882=10)),1,0)</f>
        <v>0</v>
      </c>
      <c r="Y3882" s="27" t="n">
        <f aca="false">IF(AND(E3882&gt;0,B3882=10),1,0)</f>
        <v>0</v>
      </c>
      <c r="Z3882" s="0" t="str">
        <f aca="false">IF(AND(C3881=C3882,W3881=W3882-1),X3881,"")</f>
        <v/>
      </c>
      <c r="AA3882" s="0" t="str">
        <f aca="false">IF(AND(C3881=C3882,W3881=W3882-1),Y3881,"")</f>
        <v/>
      </c>
      <c r="AB3882" s="0" t="str">
        <f aca="false">IF(W3882=1,"",IF(AND(X3882=1,Z3882&lt;&gt;1),1,0))</f>
        <v/>
      </c>
      <c r="AC3882" s="0" t="str">
        <f aca="false">IF(W3882=1,"",IF(AND(Y3882=1,AA3882&lt;&gt;1),1,0))</f>
        <v/>
      </c>
      <c r="AD3882" s="33" t="str">
        <f aca="false">IF(AND(E3882&gt;0,W3882&lt;1,NOT(AND(C3883=C3882,W3883=W3882+1))),INDEX(DATAS,W3882+1),"")</f>
        <v/>
      </c>
      <c r="AE3882" s="33" t="str">
        <f aca="false">IF(AND(Y3882=1,W3882&lt;1),IF(AND(C3883=C3882,W3883=W3882+1),IF(Y3883=1,"",INDEX(DATAS,W3882+1)),INDEX(DATAS,W3882+1)),"")</f>
        <v/>
      </c>
    </row>
    <row r="3883" customFormat="false" ht="15" hidden="false" customHeight="false" outlineLevel="0" collapsed="false">
      <c r="A3883" s="33" t="n">
        <v>46309</v>
      </c>
      <c r="B3883" s="0" t="n">
        <v>15</v>
      </c>
      <c r="C3883" s="0" t="n">
        <v>30773</v>
      </c>
      <c r="E3883" s="0" t="n">
        <v>0</v>
      </c>
      <c r="F3883" s="27" t="s">
        <v>1562</v>
      </c>
      <c r="I3883" s="27" t="s">
        <v>136</v>
      </c>
      <c r="U3883" s="0" t="n">
        <v>133</v>
      </c>
      <c r="V3883" s="0" t="n">
        <v>0</v>
      </c>
      <c r="W3883" s="27" t="n">
        <f aca="false">MATCH(A3883,DATAS,0)</f>
        <v>1</v>
      </c>
      <c r="X3883" s="27" t="n">
        <f aca="false">IF(AND(E3883&gt;0,OR(AND(B3883&gt;=1,B3883&lt;=6),B3883=10)),1,0)</f>
        <v>0</v>
      </c>
      <c r="Y3883" s="27" t="n">
        <f aca="false">IF(AND(E3883&gt;0,B3883=10),1,0)</f>
        <v>0</v>
      </c>
      <c r="Z3883" s="0" t="str">
        <f aca="false">IF(AND(C3882=C3883,W3882=W3883-1),X3882,"")</f>
        <v/>
      </c>
      <c r="AA3883" s="0" t="str">
        <f aca="false">IF(AND(C3882=C3883,W3882=W3883-1),Y3882,"")</f>
        <v/>
      </c>
      <c r="AB3883" s="0" t="str">
        <f aca="false">IF(W3883=1,"",IF(AND(X3883=1,Z3883&lt;&gt;1),1,0))</f>
        <v/>
      </c>
      <c r="AC3883" s="0" t="str">
        <f aca="false">IF(W3883=1,"",IF(AND(Y3883=1,AA3883&lt;&gt;1),1,0))</f>
        <v/>
      </c>
      <c r="AD3883" s="33" t="str">
        <f aca="false">IF(AND(E3883&gt;0,W3883&lt;1,NOT(AND(C3884=C3883,W3884=W3883+1))),INDEX(DATAS,W3883+1),"")</f>
        <v/>
      </c>
      <c r="AE3883" s="33" t="str">
        <f aca="false">IF(AND(Y3883=1,W3883&lt;1),IF(AND(C3884=C3883,W3884=W3883+1),IF(Y3884=1,"",INDEX(DATAS,W3883+1)),INDEX(DATAS,W3883+1)),"")</f>
        <v/>
      </c>
    </row>
    <row r="3884" customFormat="false" ht="15" hidden="false" customHeight="false" outlineLevel="0" collapsed="false">
      <c r="A3884" s="33" t="n">
        <v>46309</v>
      </c>
      <c r="B3884" s="0" t="n">
        <v>15</v>
      </c>
      <c r="C3884" s="0" t="n">
        <v>30775</v>
      </c>
      <c r="E3884" s="0" t="n">
        <v>0</v>
      </c>
      <c r="F3884" s="27" t="s">
        <v>1563</v>
      </c>
      <c r="I3884" s="27" t="s">
        <v>136</v>
      </c>
      <c r="U3884" s="0" t="n">
        <v>132</v>
      </c>
      <c r="V3884" s="0" t="n">
        <v>0</v>
      </c>
      <c r="W3884" s="27" t="n">
        <f aca="false">MATCH(A3884,DATAS,0)</f>
        <v>1</v>
      </c>
      <c r="X3884" s="27" t="n">
        <f aca="false">IF(AND(E3884&gt;0,OR(AND(B3884&gt;=1,B3884&lt;=6),B3884=10)),1,0)</f>
        <v>0</v>
      </c>
      <c r="Y3884" s="27" t="n">
        <f aca="false">IF(AND(E3884&gt;0,B3884=10),1,0)</f>
        <v>0</v>
      </c>
      <c r="Z3884" s="0" t="str">
        <f aca="false">IF(AND(C3883=C3884,W3883=W3884-1),X3883,"")</f>
        <v/>
      </c>
      <c r="AA3884" s="0" t="str">
        <f aca="false">IF(AND(C3883=C3884,W3883=W3884-1),Y3883,"")</f>
        <v/>
      </c>
      <c r="AB3884" s="0" t="str">
        <f aca="false">IF(W3884=1,"",IF(AND(X3884=1,Z3884&lt;&gt;1),1,0))</f>
        <v/>
      </c>
      <c r="AC3884" s="0" t="str">
        <f aca="false">IF(W3884=1,"",IF(AND(Y3884=1,AA3884&lt;&gt;1),1,0))</f>
        <v/>
      </c>
      <c r="AD3884" s="33" t="str">
        <f aca="false">IF(AND(E3884&gt;0,W3884&lt;1,NOT(AND(C3885=C3884,W3885=W3884+1))),INDEX(DATAS,W3884+1),"")</f>
        <v/>
      </c>
      <c r="AE3884" s="33" t="str">
        <f aca="false">IF(AND(Y3884=1,W3884&lt;1),IF(AND(C3885=C3884,W3885=W3884+1),IF(Y3885=1,"",INDEX(DATAS,W3884+1)),INDEX(DATAS,W3884+1)),"")</f>
        <v/>
      </c>
    </row>
    <row r="3885" customFormat="false" ht="15" hidden="false" customHeight="false" outlineLevel="0" collapsed="false">
      <c r="A3885" s="33" t="n">
        <v>46309</v>
      </c>
      <c r="B3885" s="0" t="n">
        <v>15</v>
      </c>
      <c r="C3885" s="0" t="n">
        <v>30777</v>
      </c>
      <c r="E3885" s="0" t="n">
        <v>0</v>
      </c>
      <c r="F3885" s="27" t="s">
        <v>1563</v>
      </c>
      <c r="I3885" s="27" t="s">
        <v>136</v>
      </c>
      <c r="U3885" s="0" t="n">
        <v>132</v>
      </c>
      <c r="V3885" s="0" t="n">
        <v>0</v>
      </c>
      <c r="W3885" s="27" t="n">
        <f aca="false">MATCH(A3885,DATAS,0)</f>
        <v>1</v>
      </c>
      <c r="X3885" s="27" t="n">
        <f aca="false">IF(AND(E3885&gt;0,OR(AND(B3885&gt;=1,B3885&lt;=6),B3885=10)),1,0)</f>
        <v>0</v>
      </c>
      <c r="Y3885" s="27" t="n">
        <f aca="false">IF(AND(E3885&gt;0,B3885=10),1,0)</f>
        <v>0</v>
      </c>
      <c r="Z3885" s="0" t="str">
        <f aca="false">IF(AND(C3884=C3885,W3884=W3885-1),X3884,"")</f>
        <v/>
      </c>
      <c r="AA3885" s="0" t="str">
        <f aca="false">IF(AND(C3884=C3885,W3884=W3885-1),Y3884,"")</f>
        <v/>
      </c>
      <c r="AB3885" s="0" t="str">
        <f aca="false">IF(W3885=1,"",IF(AND(X3885=1,Z3885&lt;&gt;1),1,0))</f>
        <v/>
      </c>
      <c r="AC3885" s="0" t="str">
        <f aca="false">IF(W3885=1,"",IF(AND(Y3885=1,AA3885&lt;&gt;1),1,0))</f>
        <v/>
      </c>
      <c r="AD3885" s="33" t="str">
        <f aca="false">IF(AND(E3885&gt;0,W3885&lt;1,NOT(AND(C3886=C3885,W3886=W3885+1))),INDEX(DATAS,W3885+1),"")</f>
        <v/>
      </c>
      <c r="AE3885" s="33" t="str">
        <f aca="false">IF(AND(Y3885=1,W3885&lt;1),IF(AND(C3886=C3885,W3886=W3885+1),IF(Y3886=1,"",INDEX(DATAS,W3885+1)),INDEX(DATAS,W3885+1)),"")</f>
        <v/>
      </c>
    </row>
    <row r="3886" customFormat="false" ht="15" hidden="false" customHeight="false" outlineLevel="0" collapsed="false">
      <c r="A3886" s="33" t="n">
        <v>46309</v>
      </c>
      <c r="B3886" s="0" t="n">
        <v>15</v>
      </c>
      <c r="C3886" s="0" t="n">
        <v>30783</v>
      </c>
      <c r="E3886" s="0" t="n">
        <v>0</v>
      </c>
      <c r="F3886" s="27" t="s">
        <v>1568</v>
      </c>
      <c r="I3886" s="27" t="s">
        <v>136</v>
      </c>
      <c r="U3886" s="0" t="n">
        <v>127</v>
      </c>
      <c r="V3886" s="0" t="n">
        <v>0</v>
      </c>
      <c r="W3886" s="27" t="n">
        <f aca="false">MATCH(A3886,DATAS,0)</f>
        <v>1</v>
      </c>
      <c r="X3886" s="27" t="n">
        <f aca="false">IF(AND(E3886&gt;0,OR(AND(B3886&gt;=1,B3886&lt;=6),B3886=10)),1,0)</f>
        <v>0</v>
      </c>
      <c r="Y3886" s="27" t="n">
        <f aca="false">IF(AND(E3886&gt;0,B3886=10),1,0)</f>
        <v>0</v>
      </c>
      <c r="Z3886" s="0" t="str">
        <f aca="false">IF(AND(C3885=C3886,W3885=W3886-1),X3885,"")</f>
        <v/>
      </c>
      <c r="AA3886" s="0" t="str">
        <f aca="false">IF(AND(C3885=C3886,W3885=W3886-1),Y3885,"")</f>
        <v/>
      </c>
      <c r="AB3886" s="0" t="str">
        <f aca="false">IF(W3886=1,"",IF(AND(X3886=1,Z3886&lt;&gt;1),1,0))</f>
        <v/>
      </c>
      <c r="AC3886" s="0" t="str">
        <f aca="false">IF(W3886=1,"",IF(AND(Y3886=1,AA3886&lt;&gt;1),1,0))</f>
        <v/>
      </c>
      <c r="AD3886" s="33" t="str">
        <f aca="false">IF(AND(E3886&gt;0,W3886&lt;1,NOT(AND(C3887=C3886,W3887=W3886+1))),INDEX(DATAS,W3886+1),"")</f>
        <v/>
      </c>
      <c r="AE3886" s="33" t="str">
        <f aca="false">IF(AND(Y3886=1,W3886&lt;1),IF(AND(C3887=C3886,W3887=W3886+1),IF(Y3887=1,"",INDEX(DATAS,W3886+1)),INDEX(DATAS,W3886+1)),"")</f>
        <v/>
      </c>
    </row>
    <row r="3887" customFormat="false" ht="15" hidden="false" customHeight="false" outlineLevel="0" collapsed="false">
      <c r="A3887" s="33" t="n">
        <v>46309</v>
      </c>
      <c r="B3887" s="0" t="n">
        <v>15</v>
      </c>
      <c r="C3887" s="0" t="n">
        <v>30784</v>
      </c>
      <c r="E3887" s="0" t="n">
        <v>0</v>
      </c>
      <c r="F3887" s="27" t="s">
        <v>1568</v>
      </c>
      <c r="I3887" s="27" t="s">
        <v>136</v>
      </c>
      <c r="U3887" s="0" t="n">
        <v>127</v>
      </c>
      <c r="V3887" s="0" t="n">
        <v>0</v>
      </c>
      <c r="W3887" s="27" t="n">
        <f aca="false">MATCH(A3887,DATAS,0)</f>
        <v>1</v>
      </c>
      <c r="X3887" s="27" t="n">
        <f aca="false">IF(AND(E3887&gt;0,OR(AND(B3887&gt;=1,B3887&lt;=6),B3887=10)),1,0)</f>
        <v>0</v>
      </c>
      <c r="Y3887" s="27" t="n">
        <f aca="false">IF(AND(E3887&gt;0,B3887=10),1,0)</f>
        <v>0</v>
      </c>
      <c r="Z3887" s="0" t="str">
        <f aca="false">IF(AND(C3886=C3887,W3886=W3887-1),X3886,"")</f>
        <v/>
      </c>
      <c r="AA3887" s="0" t="str">
        <f aca="false">IF(AND(C3886=C3887,W3886=W3887-1),Y3886,"")</f>
        <v/>
      </c>
      <c r="AB3887" s="0" t="str">
        <f aca="false">IF(W3887=1,"",IF(AND(X3887=1,Z3887&lt;&gt;1),1,0))</f>
        <v/>
      </c>
      <c r="AC3887" s="0" t="str">
        <f aca="false">IF(W3887=1,"",IF(AND(Y3887=1,AA3887&lt;&gt;1),1,0))</f>
        <v/>
      </c>
      <c r="AD3887" s="33" t="str">
        <f aca="false">IF(AND(E3887&gt;0,W3887&lt;1,NOT(AND(C3888=C3887,W3888=W3887+1))),INDEX(DATAS,W3887+1),"")</f>
        <v/>
      </c>
      <c r="AE3887" s="33" t="str">
        <f aca="false">IF(AND(Y3887=1,W3887&lt;1),IF(AND(C3888=C3887,W3888=W3887+1),IF(Y3888=1,"",INDEX(DATAS,W3887+1)),INDEX(DATAS,W3887+1)),"")</f>
        <v/>
      </c>
    </row>
    <row r="3888" customFormat="false" ht="15" hidden="false" customHeight="false" outlineLevel="0" collapsed="false">
      <c r="A3888" s="33" t="n">
        <v>46309</v>
      </c>
      <c r="B3888" s="0" t="n">
        <v>15</v>
      </c>
      <c r="C3888" s="0" t="n">
        <v>30785</v>
      </c>
      <c r="E3888" s="0" t="n">
        <v>0</v>
      </c>
      <c r="F3888" s="27" t="s">
        <v>1568</v>
      </c>
      <c r="I3888" s="27" t="s">
        <v>136</v>
      </c>
      <c r="U3888" s="0" t="n">
        <v>127</v>
      </c>
      <c r="V3888" s="0" t="n">
        <v>0</v>
      </c>
      <c r="W3888" s="27" t="n">
        <f aca="false">MATCH(A3888,DATAS,0)</f>
        <v>1</v>
      </c>
      <c r="X3888" s="27" t="n">
        <f aca="false">IF(AND(E3888&gt;0,OR(AND(B3888&gt;=1,B3888&lt;=6),B3888=10)),1,0)</f>
        <v>0</v>
      </c>
      <c r="Y3888" s="27" t="n">
        <f aca="false">IF(AND(E3888&gt;0,B3888=10),1,0)</f>
        <v>0</v>
      </c>
      <c r="Z3888" s="0" t="str">
        <f aca="false">IF(AND(C3887=C3888,W3887=W3888-1),X3887,"")</f>
        <v/>
      </c>
      <c r="AA3888" s="0" t="str">
        <f aca="false">IF(AND(C3887=C3888,W3887=W3888-1),Y3887,"")</f>
        <v/>
      </c>
      <c r="AB3888" s="0" t="str">
        <f aca="false">IF(W3888=1,"",IF(AND(X3888=1,Z3888&lt;&gt;1),1,0))</f>
        <v/>
      </c>
      <c r="AC3888" s="0" t="str">
        <f aca="false">IF(W3888=1,"",IF(AND(Y3888=1,AA3888&lt;&gt;1),1,0))</f>
        <v/>
      </c>
      <c r="AD3888" s="33" t="str">
        <f aca="false">IF(AND(E3888&gt;0,W3888&lt;1,NOT(AND(C3889=C3888,W3889=W3888+1))),INDEX(DATAS,W3888+1),"")</f>
        <v/>
      </c>
      <c r="AE3888" s="33" t="str">
        <f aca="false">IF(AND(Y3888=1,W3888&lt;1),IF(AND(C3889=C3888,W3889=W3888+1),IF(Y3889=1,"",INDEX(DATAS,W3888+1)),INDEX(DATAS,W3888+1)),"")</f>
        <v/>
      </c>
    </row>
    <row r="3889" customFormat="false" ht="15" hidden="false" customHeight="false" outlineLevel="0" collapsed="false">
      <c r="A3889" s="33" t="n">
        <v>46309</v>
      </c>
      <c r="B3889" s="0" t="n">
        <v>15</v>
      </c>
      <c r="C3889" s="0" t="n">
        <v>30787</v>
      </c>
      <c r="E3889" s="0" t="n">
        <v>0</v>
      </c>
      <c r="F3889" s="27" t="s">
        <v>1570</v>
      </c>
      <c r="I3889" s="27" t="s">
        <v>136</v>
      </c>
      <c r="U3889" s="0" t="n">
        <v>125</v>
      </c>
      <c r="V3889" s="0" t="n">
        <v>0</v>
      </c>
      <c r="W3889" s="27" t="n">
        <f aca="false">MATCH(A3889,DATAS,0)</f>
        <v>1</v>
      </c>
      <c r="X3889" s="27" t="n">
        <f aca="false">IF(AND(E3889&gt;0,OR(AND(B3889&gt;=1,B3889&lt;=6),B3889=10)),1,0)</f>
        <v>0</v>
      </c>
      <c r="Y3889" s="27" t="n">
        <f aca="false">IF(AND(E3889&gt;0,B3889=10),1,0)</f>
        <v>0</v>
      </c>
      <c r="Z3889" s="0" t="str">
        <f aca="false">IF(AND(C3888=C3889,W3888=W3889-1),X3888,"")</f>
        <v/>
      </c>
      <c r="AA3889" s="0" t="str">
        <f aca="false">IF(AND(C3888=C3889,W3888=W3889-1),Y3888,"")</f>
        <v/>
      </c>
      <c r="AB3889" s="0" t="str">
        <f aca="false">IF(W3889=1,"",IF(AND(X3889=1,Z3889&lt;&gt;1),1,0))</f>
        <v/>
      </c>
      <c r="AC3889" s="0" t="str">
        <f aca="false">IF(W3889=1,"",IF(AND(Y3889=1,AA3889&lt;&gt;1),1,0))</f>
        <v/>
      </c>
      <c r="AD3889" s="33" t="str">
        <f aca="false">IF(AND(E3889&gt;0,W3889&lt;1,NOT(AND(C3890=C3889,W3890=W3889+1))),INDEX(DATAS,W3889+1),"")</f>
        <v/>
      </c>
      <c r="AE3889" s="33" t="str">
        <f aca="false">IF(AND(Y3889=1,W3889&lt;1),IF(AND(C3890=C3889,W3890=W3889+1),IF(Y3890=1,"",INDEX(DATAS,W3889+1)),INDEX(DATAS,W3889+1)),"")</f>
        <v/>
      </c>
    </row>
    <row r="3890" customFormat="false" ht="15" hidden="false" customHeight="false" outlineLevel="0" collapsed="false">
      <c r="A3890" s="33" t="n">
        <v>46309</v>
      </c>
      <c r="B3890" s="0" t="n">
        <v>15</v>
      </c>
      <c r="C3890" s="0" t="n">
        <v>30790</v>
      </c>
      <c r="E3890" s="0" t="n">
        <v>0</v>
      </c>
      <c r="F3890" s="27" t="s">
        <v>1691</v>
      </c>
      <c r="I3890" s="27" t="s">
        <v>136</v>
      </c>
      <c r="U3890" s="0" t="n">
        <v>124</v>
      </c>
      <c r="V3890" s="0" t="n">
        <v>0</v>
      </c>
      <c r="W3890" s="27" t="n">
        <f aca="false">MATCH(A3890,DATAS,0)</f>
        <v>1</v>
      </c>
      <c r="X3890" s="27" t="n">
        <f aca="false">IF(AND(E3890&gt;0,OR(AND(B3890&gt;=1,B3890&lt;=6),B3890=10)),1,0)</f>
        <v>0</v>
      </c>
      <c r="Y3890" s="27" t="n">
        <f aca="false">IF(AND(E3890&gt;0,B3890=10),1,0)</f>
        <v>0</v>
      </c>
      <c r="Z3890" s="0" t="str">
        <f aca="false">IF(AND(C3889=C3890,W3889=W3890-1),X3889,"")</f>
        <v/>
      </c>
      <c r="AA3890" s="0" t="str">
        <f aca="false">IF(AND(C3889=C3890,W3889=W3890-1),Y3889,"")</f>
        <v/>
      </c>
      <c r="AB3890" s="0" t="str">
        <f aca="false">IF(W3890=1,"",IF(AND(X3890=1,Z3890&lt;&gt;1),1,0))</f>
        <v/>
      </c>
      <c r="AC3890" s="0" t="str">
        <f aca="false">IF(W3890=1,"",IF(AND(Y3890=1,AA3890&lt;&gt;1),1,0))</f>
        <v/>
      </c>
      <c r="AD3890" s="33" t="str">
        <f aca="false">IF(AND(E3890&gt;0,W3890&lt;1,NOT(AND(C3891=C3890,W3891=W3890+1))),INDEX(DATAS,W3890+1),"")</f>
        <v/>
      </c>
      <c r="AE3890" s="33" t="str">
        <f aca="false">IF(AND(Y3890=1,W3890&lt;1),IF(AND(C3891=C3890,W3891=W3890+1),IF(Y3891=1,"",INDEX(DATAS,W3890+1)),INDEX(DATAS,W3890+1)),"")</f>
        <v/>
      </c>
    </row>
    <row r="3891" customFormat="false" ht="15" hidden="false" customHeight="false" outlineLevel="0" collapsed="false">
      <c r="A3891" s="33" t="n">
        <v>46309</v>
      </c>
      <c r="B3891" s="0" t="n">
        <v>15</v>
      </c>
      <c r="C3891" s="0" t="n">
        <v>30791</v>
      </c>
      <c r="E3891" s="0" t="n">
        <v>0</v>
      </c>
      <c r="F3891" s="27" t="s">
        <v>1691</v>
      </c>
      <c r="I3891" s="27" t="s">
        <v>136</v>
      </c>
      <c r="U3891" s="0" t="n">
        <v>124</v>
      </c>
      <c r="V3891" s="0" t="n">
        <v>0</v>
      </c>
      <c r="W3891" s="27" t="n">
        <f aca="false">MATCH(A3891,DATAS,0)</f>
        <v>1</v>
      </c>
      <c r="X3891" s="27" t="n">
        <f aca="false">IF(AND(E3891&gt;0,OR(AND(B3891&gt;=1,B3891&lt;=6),B3891=10)),1,0)</f>
        <v>0</v>
      </c>
      <c r="Y3891" s="27" t="n">
        <f aca="false">IF(AND(E3891&gt;0,B3891=10),1,0)</f>
        <v>0</v>
      </c>
      <c r="Z3891" s="0" t="str">
        <f aca="false">IF(AND(C3890=C3891,W3890=W3891-1),X3890,"")</f>
        <v/>
      </c>
      <c r="AA3891" s="0" t="str">
        <f aca="false">IF(AND(C3890=C3891,W3890=W3891-1),Y3890,"")</f>
        <v/>
      </c>
      <c r="AB3891" s="0" t="str">
        <f aca="false">IF(W3891=1,"",IF(AND(X3891=1,Z3891&lt;&gt;1),1,0))</f>
        <v/>
      </c>
      <c r="AC3891" s="0" t="str">
        <f aca="false">IF(W3891=1,"",IF(AND(Y3891=1,AA3891&lt;&gt;1),1,0))</f>
        <v/>
      </c>
      <c r="AD3891" s="33" t="str">
        <f aca="false">IF(AND(E3891&gt;0,W3891&lt;1,NOT(AND(C3892=C3891,W3892=W3891+1))),INDEX(DATAS,W3891+1),"")</f>
        <v/>
      </c>
      <c r="AE3891" s="33" t="str">
        <f aca="false">IF(AND(Y3891=1,W3891&lt;1),IF(AND(C3892=C3891,W3892=W3891+1),IF(Y3892=1,"",INDEX(DATAS,W3891+1)),INDEX(DATAS,W3891+1)),"")</f>
        <v/>
      </c>
    </row>
    <row r="3892" customFormat="false" ht="15" hidden="false" customHeight="false" outlineLevel="0" collapsed="false">
      <c r="A3892" s="33" t="n">
        <v>46309</v>
      </c>
      <c r="B3892" s="0" t="n">
        <v>15</v>
      </c>
      <c r="C3892" s="0" t="n">
        <v>30797</v>
      </c>
      <c r="E3892" s="0" t="n">
        <v>0</v>
      </c>
      <c r="F3892" s="27" t="s">
        <v>1573</v>
      </c>
      <c r="I3892" s="27" t="s">
        <v>136</v>
      </c>
      <c r="U3892" s="0" t="n">
        <v>121</v>
      </c>
      <c r="V3892" s="0" t="n">
        <v>0</v>
      </c>
      <c r="W3892" s="27" t="n">
        <f aca="false">MATCH(A3892,DATAS,0)</f>
        <v>1</v>
      </c>
      <c r="X3892" s="27" t="n">
        <f aca="false">IF(AND(E3892&gt;0,OR(AND(B3892&gt;=1,B3892&lt;=6),B3892=10)),1,0)</f>
        <v>0</v>
      </c>
      <c r="Y3892" s="27" t="n">
        <f aca="false">IF(AND(E3892&gt;0,B3892=10),1,0)</f>
        <v>0</v>
      </c>
      <c r="Z3892" s="0" t="str">
        <f aca="false">IF(AND(C3891=C3892,W3891=W3892-1),X3891,"")</f>
        <v/>
      </c>
      <c r="AA3892" s="0" t="str">
        <f aca="false">IF(AND(C3891=C3892,W3891=W3892-1),Y3891,"")</f>
        <v/>
      </c>
      <c r="AB3892" s="0" t="str">
        <f aca="false">IF(W3892=1,"",IF(AND(X3892=1,Z3892&lt;&gt;1),1,0))</f>
        <v/>
      </c>
      <c r="AC3892" s="0" t="str">
        <f aca="false">IF(W3892=1,"",IF(AND(Y3892=1,AA3892&lt;&gt;1),1,0))</f>
        <v/>
      </c>
      <c r="AD3892" s="33" t="str">
        <f aca="false">IF(AND(E3892&gt;0,W3892&lt;1,NOT(AND(C3893=C3892,W3893=W3892+1))),INDEX(DATAS,W3892+1),"")</f>
        <v/>
      </c>
      <c r="AE3892" s="33" t="str">
        <f aca="false">IF(AND(Y3892=1,W3892&lt;1),IF(AND(C3893=C3892,W3893=W3892+1),IF(Y3893=1,"",INDEX(DATAS,W3892+1)),INDEX(DATAS,W3892+1)),"")</f>
        <v/>
      </c>
    </row>
    <row r="3893" customFormat="false" ht="15" hidden="false" customHeight="false" outlineLevel="0" collapsed="false">
      <c r="A3893" s="33" t="n">
        <v>46309</v>
      </c>
      <c r="B3893" s="0" t="n">
        <v>15</v>
      </c>
      <c r="C3893" s="0" t="n">
        <v>30798</v>
      </c>
      <c r="E3893" s="0" t="n">
        <v>0</v>
      </c>
      <c r="F3893" s="27" t="s">
        <v>1573</v>
      </c>
      <c r="I3893" s="27" t="s">
        <v>136</v>
      </c>
      <c r="U3893" s="0" t="n">
        <v>121</v>
      </c>
      <c r="V3893" s="0" t="n">
        <v>0</v>
      </c>
      <c r="W3893" s="27" t="n">
        <f aca="false">MATCH(A3893,DATAS,0)</f>
        <v>1</v>
      </c>
      <c r="X3893" s="27" t="n">
        <f aca="false">IF(AND(E3893&gt;0,OR(AND(B3893&gt;=1,B3893&lt;=6),B3893=10)),1,0)</f>
        <v>0</v>
      </c>
      <c r="Y3893" s="27" t="n">
        <f aca="false">IF(AND(E3893&gt;0,B3893=10),1,0)</f>
        <v>0</v>
      </c>
      <c r="Z3893" s="0" t="str">
        <f aca="false">IF(AND(C3892=C3893,W3892=W3893-1),X3892,"")</f>
        <v/>
      </c>
      <c r="AA3893" s="0" t="str">
        <f aca="false">IF(AND(C3892=C3893,W3892=W3893-1),Y3892,"")</f>
        <v/>
      </c>
      <c r="AB3893" s="0" t="str">
        <f aca="false">IF(W3893=1,"",IF(AND(X3893=1,Z3893&lt;&gt;1),1,0))</f>
        <v/>
      </c>
      <c r="AC3893" s="0" t="str">
        <f aca="false">IF(W3893=1,"",IF(AND(Y3893=1,AA3893&lt;&gt;1),1,0))</f>
        <v/>
      </c>
      <c r="AD3893" s="33" t="str">
        <f aca="false">IF(AND(E3893&gt;0,W3893&lt;1,NOT(AND(C3894=C3893,W3894=W3893+1))),INDEX(DATAS,W3893+1),"")</f>
        <v/>
      </c>
      <c r="AE3893" s="33" t="str">
        <f aca="false">IF(AND(Y3893=1,W3893&lt;1),IF(AND(C3894=C3893,W3894=W3893+1),IF(Y3894=1,"",INDEX(DATAS,W3893+1)),INDEX(DATAS,W3893+1)),"")</f>
        <v/>
      </c>
    </row>
    <row r="3894" customFormat="false" ht="15" hidden="false" customHeight="false" outlineLevel="0" collapsed="false">
      <c r="A3894" s="33" t="n">
        <v>46309</v>
      </c>
      <c r="B3894" s="0" t="n">
        <v>15</v>
      </c>
      <c r="C3894" s="0" t="n">
        <v>30801</v>
      </c>
      <c r="E3894" s="0" t="n">
        <v>0</v>
      </c>
      <c r="F3894" s="27" t="s">
        <v>1576</v>
      </c>
      <c r="I3894" s="27" t="s">
        <v>136</v>
      </c>
      <c r="U3894" s="0" t="n">
        <v>119</v>
      </c>
      <c r="V3894" s="0" t="n">
        <v>0</v>
      </c>
      <c r="W3894" s="27" t="n">
        <f aca="false">MATCH(A3894,DATAS,0)</f>
        <v>1</v>
      </c>
      <c r="X3894" s="27" t="n">
        <f aca="false">IF(AND(E3894&gt;0,OR(AND(B3894&gt;=1,B3894&lt;=6),B3894=10)),1,0)</f>
        <v>0</v>
      </c>
      <c r="Y3894" s="27" t="n">
        <f aca="false">IF(AND(E3894&gt;0,B3894=10),1,0)</f>
        <v>0</v>
      </c>
      <c r="Z3894" s="0" t="str">
        <f aca="false">IF(AND(C3893=C3894,W3893=W3894-1),X3893,"")</f>
        <v/>
      </c>
      <c r="AA3894" s="0" t="str">
        <f aca="false">IF(AND(C3893=C3894,W3893=W3894-1),Y3893,"")</f>
        <v/>
      </c>
      <c r="AB3894" s="0" t="str">
        <f aca="false">IF(W3894=1,"",IF(AND(X3894=1,Z3894&lt;&gt;1),1,0))</f>
        <v/>
      </c>
      <c r="AC3894" s="0" t="str">
        <f aca="false">IF(W3894=1,"",IF(AND(Y3894=1,AA3894&lt;&gt;1),1,0))</f>
        <v/>
      </c>
      <c r="AD3894" s="33" t="str">
        <f aca="false">IF(AND(E3894&gt;0,W3894&lt;1,NOT(AND(C3895=C3894,W3895=W3894+1))),INDEX(DATAS,W3894+1),"")</f>
        <v/>
      </c>
      <c r="AE3894" s="33" t="str">
        <f aca="false">IF(AND(Y3894=1,W3894&lt;1),IF(AND(C3895=C3894,W3895=W3894+1),IF(Y3895=1,"",INDEX(DATAS,W3894+1)),INDEX(DATAS,W3894+1)),"")</f>
        <v/>
      </c>
    </row>
    <row r="3895" customFormat="false" ht="15" hidden="false" customHeight="false" outlineLevel="0" collapsed="false">
      <c r="A3895" s="33" t="n">
        <v>46309</v>
      </c>
      <c r="B3895" s="0" t="n">
        <v>15</v>
      </c>
      <c r="C3895" s="0" t="n">
        <v>30803</v>
      </c>
      <c r="E3895" s="0" t="n">
        <v>0</v>
      </c>
      <c r="F3895" s="27" t="s">
        <v>1578</v>
      </c>
      <c r="I3895" s="27" t="s">
        <v>136</v>
      </c>
      <c r="U3895" s="0" t="n">
        <v>117</v>
      </c>
      <c r="V3895" s="0" t="n">
        <v>0</v>
      </c>
      <c r="W3895" s="27" t="n">
        <f aca="false">MATCH(A3895,DATAS,0)</f>
        <v>1</v>
      </c>
      <c r="X3895" s="27" t="n">
        <f aca="false">IF(AND(E3895&gt;0,OR(AND(B3895&gt;=1,B3895&lt;=6),B3895=10)),1,0)</f>
        <v>0</v>
      </c>
      <c r="Y3895" s="27" t="n">
        <f aca="false">IF(AND(E3895&gt;0,B3895=10),1,0)</f>
        <v>0</v>
      </c>
      <c r="Z3895" s="0" t="str">
        <f aca="false">IF(AND(C3894=C3895,W3894=W3895-1),X3894,"")</f>
        <v/>
      </c>
      <c r="AA3895" s="0" t="str">
        <f aca="false">IF(AND(C3894=C3895,W3894=W3895-1),Y3894,"")</f>
        <v/>
      </c>
      <c r="AB3895" s="0" t="str">
        <f aca="false">IF(W3895=1,"",IF(AND(X3895=1,Z3895&lt;&gt;1),1,0))</f>
        <v/>
      </c>
      <c r="AC3895" s="0" t="str">
        <f aca="false">IF(W3895=1,"",IF(AND(Y3895=1,AA3895&lt;&gt;1),1,0))</f>
        <v/>
      </c>
      <c r="AD3895" s="33" t="str">
        <f aca="false">IF(AND(E3895&gt;0,W3895&lt;1,NOT(AND(C3896=C3895,W3896=W3895+1))),INDEX(DATAS,W3895+1),"")</f>
        <v/>
      </c>
      <c r="AE3895" s="33" t="str">
        <f aca="false">IF(AND(Y3895=1,W3895&lt;1),IF(AND(C3896=C3895,W3896=W3895+1),IF(Y3896=1,"",INDEX(DATAS,W3895+1)),INDEX(DATAS,W3895+1)),"")</f>
        <v/>
      </c>
    </row>
    <row r="3896" customFormat="false" ht="15" hidden="false" customHeight="false" outlineLevel="0" collapsed="false">
      <c r="A3896" s="33" t="n">
        <v>46309</v>
      </c>
      <c r="B3896" s="0" t="n">
        <v>15</v>
      </c>
      <c r="C3896" s="0" t="n">
        <v>30805</v>
      </c>
      <c r="E3896" s="0" t="n">
        <v>0</v>
      </c>
      <c r="F3896" s="27" t="s">
        <v>1579</v>
      </c>
      <c r="I3896" s="27" t="s">
        <v>136</v>
      </c>
      <c r="U3896" s="0" t="n">
        <v>116</v>
      </c>
      <c r="V3896" s="0" t="n">
        <v>0</v>
      </c>
      <c r="W3896" s="27" t="n">
        <f aca="false">MATCH(A3896,DATAS,0)</f>
        <v>1</v>
      </c>
      <c r="X3896" s="27" t="n">
        <f aca="false">IF(AND(E3896&gt;0,OR(AND(B3896&gt;=1,B3896&lt;=6),B3896=10)),1,0)</f>
        <v>0</v>
      </c>
      <c r="Y3896" s="27" t="n">
        <f aca="false">IF(AND(E3896&gt;0,B3896=10),1,0)</f>
        <v>0</v>
      </c>
      <c r="Z3896" s="0" t="str">
        <f aca="false">IF(AND(C3895=C3896,W3895=W3896-1),X3895,"")</f>
        <v/>
      </c>
      <c r="AA3896" s="0" t="str">
        <f aca="false">IF(AND(C3895=C3896,W3895=W3896-1),Y3895,"")</f>
        <v/>
      </c>
      <c r="AB3896" s="0" t="str">
        <f aca="false">IF(W3896=1,"",IF(AND(X3896=1,Z3896&lt;&gt;1),1,0))</f>
        <v/>
      </c>
      <c r="AC3896" s="0" t="str">
        <f aca="false">IF(W3896=1,"",IF(AND(Y3896=1,AA3896&lt;&gt;1),1,0))</f>
        <v/>
      </c>
      <c r="AD3896" s="33" t="str">
        <f aca="false">IF(AND(E3896&gt;0,W3896&lt;1,NOT(AND(C3897=C3896,W3897=W3896+1))),INDEX(DATAS,W3896+1),"")</f>
        <v/>
      </c>
      <c r="AE3896" s="33" t="str">
        <f aca="false">IF(AND(Y3896=1,W3896&lt;1),IF(AND(C3897=C3896,W3897=W3896+1),IF(Y3897=1,"",INDEX(DATAS,W3896+1)),INDEX(DATAS,W3896+1)),"")</f>
        <v/>
      </c>
    </row>
    <row r="3897" customFormat="false" ht="15" hidden="false" customHeight="false" outlineLevel="0" collapsed="false">
      <c r="A3897" s="33" t="n">
        <v>46309</v>
      </c>
      <c r="B3897" s="0" t="n">
        <v>15</v>
      </c>
      <c r="C3897" s="0" t="n">
        <v>30809</v>
      </c>
      <c r="E3897" s="0" t="n">
        <v>0</v>
      </c>
      <c r="F3897" s="27" t="s">
        <v>1692</v>
      </c>
      <c r="I3897" s="27" t="s">
        <v>136</v>
      </c>
      <c r="U3897" s="0" t="n">
        <v>115</v>
      </c>
      <c r="V3897" s="0" t="n">
        <v>0</v>
      </c>
      <c r="W3897" s="27" t="n">
        <f aca="false">MATCH(A3897,DATAS,0)</f>
        <v>1</v>
      </c>
      <c r="X3897" s="27" t="n">
        <f aca="false">IF(AND(E3897&gt;0,OR(AND(B3897&gt;=1,B3897&lt;=6),B3897=10)),1,0)</f>
        <v>0</v>
      </c>
      <c r="Y3897" s="27" t="n">
        <f aca="false">IF(AND(E3897&gt;0,B3897=10),1,0)</f>
        <v>0</v>
      </c>
      <c r="Z3897" s="0" t="str">
        <f aca="false">IF(AND(C3896=C3897,W3896=W3897-1),X3896,"")</f>
        <v/>
      </c>
      <c r="AA3897" s="0" t="str">
        <f aca="false">IF(AND(C3896=C3897,W3896=W3897-1),Y3896,"")</f>
        <v/>
      </c>
      <c r="AB3897" s="0" t="str">
        <f aca="false">IF(W3897=1,"",IF(AND(X3897=1,Z3897&lt;&gt;1),1,0))</f>
        <v/>
      </c>
      <c r="AC3897" s="0" t="str">
        <f aca="false">IF(W3897=1,"",IF(AND(Y3897=1,AA3897&lt;&gt;1),1,0))</f>
        <v/>
      </c>
      <c r="AD3897" s="33" t="str">
        <f aca="false">IF(AND(E3897&gt;0,W3897&lt;1,NOT(AND(C3898=C3897,W3898=W3897+1))),INDEX(DATAS,W3897+1),"")</f>
        <v/>
      </c>
      <c r="AE3897" s="33" t="str">
        <f aca="false">IF(AND(Y3897=1,W3897&lt;1),IF(AND(C3898=C3897,W3898=W3897+1),IF(Y3898=1,"",INDEX(DATAS,W3897+1)),INDEX(DATAS,W3897+1)),"")</f>
        <v/>
      </c>
    </row>
    <row r="3898" customFormat="false" ht="15" hidden="false" customHeight="false" outlineLevel="0" collapsed="false">
      <c r="A3898" s="33" t="n">
        <v>46309</v>
      </c>
      <c r="B3898" s="0" t="n">
        <v>15</v>
      </c>
      <c r="C3898" s="0" t="n">
        <v>30810</v>
      </c>
      <c r="E3898" s="0" t="n">
        <v>0</v>
      </c>
      <c r="F3898" s="27" t="s">
        <v>1580</v>
      </c>
      <c r="I3898" s="27" t="s">
        <v>136</v>
      </c>
      <c r="U3898" s="0" t="n">
        <v>113</v>
      </c>
      <c r="V3898" s="0" t="n">
        <v>0</v>
      </c>
      <c r="W3898" s="27" t="n">
        <f aca="false">MATCH(A3898,DATAS,0)</f>
        <v>1</v>
      </c>
      <c r="X3898" s="27" t="n">
        <f aca="false">IF(AND(E3898&gt;0,OR(AND(B3898&gt;=1,B3898&lt;=6),B3898=10)),1,0)</f>
        <v>0</v>
      </c>
      <c r="Y3898" s="27" t="n">
        <f aca="false">IF(AND(E3898&gt;0,B3898=10),1,0)</f>
        <v>0</v>
      </c>
      <c r="Z3898" s="0" t="str">
        <f aca="false">IF(AND(C3897=C3898,W3897=W3898-1),X3897,"")</f>
        <v/>
      </c>
      <c r="AA3898" s="0" t="str">
        <f aca="false">IF(AND(C3897=C3898,W3897=W3898-1),Y3897,"")</f>
        <v/>
      </c>
      <c r="AB3898" s="0" t="str">
        <f aca="false">IF(W3898=1,"",IF(AND(X3898=1,Z3898&lt;&gt;1),1,0))</f>
        <v/>
      </c>
      <c r="AC3898" s="0" t="str">
        <f aca="false">IF(W3898=1,"",IF(AND(Y3898=1,AA3898&lt;&gt;1),1,0))</f>
        <v/>
      </c>
      <c r="AD3898" s="33" t="str">
        <f aca="false">IF(AND(E3898&gt;0,W3898&lt;1,NOT(AND(C3899=C3898,W3899=W3898+1))),INDEX(DATAS,W3898+1),"")</f>
        <v/>
      </c>
      <c r="AE3898" s="33" t="str">
        <f aca="false">IF(AND(Y3898=1,W3898&lt;1),IF(AND(C3899=C3898,W3899=W3898+1),IF(Y3899=1,"",INDEX(DATAS,W3898+1)),INDEX(DATAS,W3898+1)),"")</f>
        <v/>
      </c>
    </row>
    <row r="3899" customFormat="false" ht="15" hidden="false" customHeight="false" outlineLevel="0" collapsed="false">
      <c r="A3899" s="33" t="n">
        <v>46309</v>
      </c>
      <c r="B3899" s="0" t="n">
        <v>15</v>
      </c>
      <c r="C3899" s="0" t="n">
        <v>30815</v>
      </c>
      <c r="E3899" s="0" t="n">
        <v>0</v>
      </c>
      <c r="F3899" s="27" t="s">
        <v>1582</v>
      </c>
      <c r="I3899" s="27" t="s">
        <v>136</v>
      </c>
      <c r="U3899" s="0" t="n">
        <v>111</v>
      </c>
      <c r="V3899" s="0" t="n">
        <v>0</v>
      </c>
      <c r="W3899" s="27" t="n">
        <f aca="false">MATCH(A3899,DATAS,0)</f>
        <v>1</v>
      </c>
      <c r="X3899" s="27" t="n">
        <f aca="false">IF(AND(E3899&gt;0,OR(AND(B3899&gt;=1,B3899&lt;=6),B3899=10)),1,0)</f>
        <v>0</v>
      </c>
      <c r="Y3899" s="27" t="n">
        <f aca="false">IF(AND(E3899&gt;0,B3899=10),1,0)</f>
        <v>0</v>
      </c>
      <c r="Z3899" s="0" t="str">
        <f aca="false">IF(AND(C3898=C3899,W3898=W3899-1),X3898,"")</f>
        <v/>
      </c>
      <c r="AA3899" s="0" t="str">
        <f aca="false">IF(AND(C3898=C3899,W3898=W3899-1),Y3898,"")</f>
        <v/>
      </c>
      <c r="AB3899" s="0" t="str">
        <f aca="false">IF(W3899=1,"",IF(AND(X3899=1,Z3899&lt;&gt;1),1,0))</f>
        <v/>
      </c>
      <c r="AC3899" s="0" t="str">
        <f aca="false">IF(W3899=1,"",IF(AND(Y3899=1,AA3899&lt;&gt;1),1,0))</f>
        <v/>
      </c>
      <c r="AD3899" s="33" t="str">
        <f aca="false">IF(AND(E3899&gt;0,W3899&lt;1,NOT(AND(C3900=C3899,W3900=W3899+1))),INDEX(DATAS,W3899+1),"")</f>
        <v/>
      </c>
      <c r="AE3899" s="33" t="str">
        <f aca="false">IF(AND(Y3899=1,W3899&lt;1),IF(AND(C3900=C3899,W3900=W3899+1),IF(Y3900=1,"",INDEX(DATAS,W3899+1)),INDEX(DATAS,W3899+1)),"")</f>
        <v/>
      </c>
    </row>
    <row r="3900" customFormat="false" ht="15" hidden="false" customHeight="false" outlineLevel="0" collapsed="false">
      <c r="A3900" s="33" t="n">
        <v>46309</v>
      </c>
      <c r="B3900" s="0" t="n">
        <v>15</v>
      </c>
      <c r="C3900" s="0" t="n">
        <v>30818</v>
      </c>
      <c r="E3900" s="0" t="n">
        <v>0</v>
      </c>
      <c r="F3900" s="27" t="s">
        <v>1584</v>
      </c>
      <c r="I3900" s="27" t="s">
        <v>136</v>
      </c>
      <c r="U3900" s="0" t="n">
        <v>109</v>
      </c>
      <c r="V3900" s="0" t="n">
        <v>0</v>
      </c>
      <c r="W3900" s="27" t="n">
        <f aca="false">MATCH(A3900,DATAS,0)</f>
        <v>1</v>
      </c>
      <c r="X3900" s="27" t="n">
        <f aca="false">IF(AND(E3900&gt;0,OR(AND(B3900&gt;=1,B3900&lt;=6),B3900=10)),1,0)</f>
        <v>0</v>
      </c>
      <c r="Y3900" s="27" t="n">
        <f aca="false">IF(AND(E3900&gt;0,B3900=10),1,0)</f>
        <v>0</v>
      </c>
      <c r="Z3900" s="0" t="str">
        <f aca="false">IF(AND(C3899=C3900,W3899=W3900-1),X3899,"")</f>
        <v/>
      </c>
      <c r="AA3900" s="0" t="str">
        <f aca="false">IF(AND(C3899=C3900,W3899=W3900-1),Y3899,"")</f>
        <v/>
      </c>
      <c r="AB3900" s="0" t="str">
        <f aca="false">IF(W3900=1,"",IF(AND(X3900=1,Z3900&lt;&gt;1),1,0))</f>
        <v/>
      </c>
      <c r="AC3900" s="0" t="str">
        <f aca="false">IF(W3900=1,"",IF(AND(Y3900=1,AA3900&lt;&gt;1),1,0))</f>
        <v/>
      </c>
      <c r="AD3900" s="33" t="str">
        <f aca="false">IF(AND(E3900&gt;0,W3900&lt;1,NOT(AND(C3901=C3900,W3901=W3900+1))),INDEX(DATAS,W3900+1),"")</f>
        <v/>
      </c>
      <c r="AE3900" s="33" t="str">
        <f aca="false">IF(AND(Y3900=1,W3900&lt;1),IF(AND(C3901=C3900,W3901=W3900+1),IF(Y3901=1,"",INDEX(DATAS,W3900+1)),INDEX(DATAS,W3900+1)),"")</f>
        <v/>
      </c>
    </row>
    <row r="3901" customFormat="false" ht="15" hidden="false" customHeight="false" outlineLevel="0" collapsed="false">
      <c r="A3901" s="33" t="n">
        <v>46309</v>
      </c>
      <c r="B3901" s="0" t="n">
        <v>15</v>
      </c>
      <c r="C3901" s="0" t="n">
        <v>30819</v>
      </c>
      <c r="E3901" s="0" t="n">
        <v>0</v>
      </c>
      <c r="F3901" s="27" t="s">
        <v>1584</v>
      </c>
      <c r="I3901" s="27" t="s">
        <v>136</v>
      </c>
      <c r="U3901" s="0" t="n">
        <v>109</v>
      </c>
      <c r="V3901" s="0" t="n">
        <v>0</v>
      </c>
      <c r="W3901" s="27" t="n">
        <f aca="false">MATCH(A3901,DATAS,0)</f>
        <v>1</v>
      </c>
      <c r="X3901" s="27" t="n">
        <f aca="false">IF(AND(E3901&gt;0,OR(AND(B3901&gt;=1,B3901&lt;=6),B3901=10)),1,0)</f>
        <v>0</v>
      </c>
      <c r="Y3901" s="27" t="n">
        <f aca="false">IF(AND(E3901&gt;0,B3901=10),1,0)</f>
        <v>0</v>
      </c>
      <c r="Z3901" s="0" t="str">
        <f aca="false">IF(AND(C3900=C3901,W3900=W3901-1),X3900,"")</f>
        <v/>
      </c>
      <c r="AA3901" s="0" t="str">
        <f aca="false">IF(AND(C3900=C3901,W3900=W3901-1),Y3900,"")</f>
        <v/>
      </c>
      <c r="AB3901" s="0" t="str">
        <f aca="false">IF(W3901=1,"",IF(AND(X3901=1,Z3901&lt;&gt;1),1,0))</f>
        <v/>
      </c>
      <c r="AC3901" s="0" t="str">
        <f aca="false">IF(W3901=1,"",IF(AND(Y3901=1,AA3901&lt;&gt;1),1,0))</f>
        <v/>
      </c>
      <c r="AD3901" s="33" t="str">
        <f aca="false">IF(AND(E3901&gt;0,W3901&lt;1,NOT(AND(C3902=C3901,W3902=W3901+1))),INDEX(DATAS,W3901+1),"")</f>
        <v/>
      </c>
      <c r="AE3901" s="33" t="str">
        <f aca="false">IF(AND(Y3901=1,W3901&lt;1),IF(AND(C3902=C3901,W3902=W3901+1),IF(Y3902=1,"",INDEX(DATAS,W3901+1)),INDEX(DATAS,W3901+1)),"")</f>
        <v/>
      </c>
    </row>
    <row r="3902" customFormat="false" ht="15" hidden="false" customHeight="false" outlineLevel="0" collapsed="false">
      <c r="A3902" s="33" t="n">
        <v>46309</v>
      </c>
      <c r="B3902" s="0" t="n">
        <v>15</v>
      </c>
      <c r="C3902" s="0" t="n">
        <v>30820</v>
      </c>
      <c r="E3902" s="0" t="n">
        <v>0</v>
      </c>
      <c r="F3902" s="27" t="s">
        <v>1584</v>
      </c>
      <c r="I3902" s="27" t="s">
        <v>136</v>
      </c>
      <c r="U3902" s="0" t="n">
        <v>109</v>
      </c>
      <c r="V3902" s="0" t="n">
        <v>0</v>
      </c>
      <c r="W3902" s="27" t="n">
        <f aca="false">MATCH(A3902,DATAS,0)</f>
        <v>1</v>
      </c>
      <c r="X3902" s="27" t="n">
        <f aca="false">IF(AND(E3902&gt;0,OR(AND(B3902&gt;=1,B3902&lt;=6),B3902=10)),1,0)</f>
        <v>0</v>
      </c>
      <c r="Y3902" s="27" t="n">
        <f aca="false">IF(AND(E3902&gt;0,B3902=10),1,0)</f>
        <v>0</v>
      </c>
      <c r="Z3902" s="0" t="str">
        <f aca="false">IF(AND(C3901=C3902,W3901=W3902-1),X3901,"")</f>
        <v/>
      </c>
      <c r="AA3902" s="0" t="str">
        <f aca="false">IF(AND(C3901=C3902,W3901=W3902-1),Y3901,"")</f>
        <v/>
      </c>
      <c r="AB3902" s="0" t="str">
        <f aca="false">IF(W3902=1,"",IF(AND(X3902=1,Z3902&lt;&gt;1),1,0))</f>
        <v/>
      </c>
      <c r="AC3902" s="0" t="str">
        <f aca="false">IF(W3902=1,"",IF(AND(Y3902=1,AA3902&lt;&gt;1),1,0))</f>
        <v/>
      </c>
      <c r="AD3902" s="33" t="str">
        <f aca="false">IF(AND(E3902&gt;0,W3902&lt;1,NOT(AND(C3903=C3902,W3903=W3902+1))),INDEX(DATAS,W3902+1),"")</f>
        <v/>
      </c>
      <c r="AE3902" s="33" t="str">
        <f aca="false">IF(AND(Y3902=1,W3902&lt;1),IF(AND(C3903=C3902,W3903=W3902+1),IF(Y3903=1,"",INDEX(DATAS,W3902+1)),INDEX(DATAS,W3902+1)),"")</f>
        <v/>
      </c>
    </row>
    <row r="3903" customFormat="false" ht="15" hidden="false" customHeight="false" outlineLevel="0" collapsed="false">
      <c r="A3903" s="33" t="n">
        <v>46309</v>
      </c>
      <c r="B3903" s="0" t="n">
        <v>15</v>
      </c>
      <c r="C3903" s="0" t="n">
        <v>30821</v>
      </c>
      <c r="E3903" s="0" t="n">
        <v>0</v>
      </c>
      <c r="F3903" s="27" t="s">
        <v>1586</v>
      </c>
      <c r="I3903" s="27" t="s">
        <v>136</v>
      </c>
      <c r="U3903" s="0" t="n">
        <v>106</v>
      </c>
      <c r="V3903" s="0" t="n">
        <v>0</v>
      </c>
      <c r="W3903" s="27" t="n">
        <f aca="false">MATCH(A3903,DATAS,0)</f>
        <v>1</v>
      </c>
      <c r="X3903" s="27" t="n">
        <f aca="false">IF(AND(E3903&gt;0,OR(AND(B3903&gt;=1,B3903&lt;=6),B3903=10)),1,0)</f>
        <v>0</v>
      </c>
      <c r="Y3903" s="27" t="n">
        <f aca="false">IF(AND(E3903&gt;0,B3903=10),1,0)</f>
        <v>0</v>
      </c>
      <c r="Z3903" s="0" t="str">
        <f aca="false">IF(AND(C3902=C3903,W3902=W3903-1),X3902,"")</f>
        <v/>
      </c>
      <c r="AA3903" s="0" t="str">
        <f aca="false">IF(AND(C3902=C3903,W3902=W3903-1),Y3902,"")</f>
        <v/>
      </c>
      <c r="AB3903" s="0" t="str">
        <f aca="false">IF(W3903=1,"",IF(AND(X3903=1,Z3903&lt;&gt;1),1,0))</f>
        <v/>
      </c>
      <c r="AC3903" s="0" t="str">
        <f aca="false">IF(W3903=1,"",IF(AND(Y3903=1,AA3903&lt;&gt;1),1,0))</f>
        <v/>
      </c>
      <c r="AD3903" s="33" t="str">
        <f aca="false">IF(AND(E3903&gt;0,W3903&lt;1,NOT(AND(C3904=C3903,W3904=W3903+1))),INDEX(DATAS,W3903+1),"")</f>
        <v/>
      </c>
      <c r="AE3903" s="33" t="str">
        <f aca="false">IF(AND(Y3903=1,W3903&lt;1),IF(AND(C3904=C3903,W3904=W3903+1),IF(Y3904=1,"",INDEX(DATAS,W3903+1)),INDEX(DATAS,W3903+1)),"")</f>
        <v/>
      </c>
    </row>
    <row r="3904" customFormat="false" ht="15" hidden="false" customHeight="false" outlineLevel="0" collapsed="false">
      <c r="A3904" s="33" t="n">
        <v>46309</v>
      </c>
      <c r="B3904" s="0" t="n">
        <v>15</v>
      </c>
      <c r="C3904" s="0" t="n">
        <v>30822</v>
      </c>
      <c r="E3904" s="0" t="n">
        <v>0</v>
      </c>
      <c r="F3904" s="27" t="s">
        <v>1586</v>
      </c>
      <c r="I3904" s="27" t="s">
        <v>136</v>
      </c>
      <c r="U3904" s="0" t="n">
        <v>106</v>
      </c>
      <c r="V3904" s="0" t="n">
        <v>0</v>
      </c>
      <c r="W3904" s="27" t="n">
        <f aca="false">MATCH(A3904,DATAS,0)</f>
        <v>1</v>
      </c>
      <c r="X3904" s="27" t="n">
        <f aca="false">IF(AND(E3904&gt;0,OR(AND(B3904&gt;=1,B3904&lt;=6),B3904=10)),1,0)</f>
        <v>0</v>
      </c>
      <c r="Y3904" s="27" t="n">
        <f aca="false">IF(AND(E3904&gt;0,B3904=10),1,0)</f>
        <v>0</v>
      </c>
      <c r="Z3904" s="0" t="str">
        <f aca="false">IF(AND(C3903=C3904,W3903=W3904-1),X3903,"")</f>
        <v/>
      </c>
      <c r="AA3904" s="0" t="str">
        <f aca="false">IF(AND(C3903=C3904,W3903=W3904-1),Y3903,"")</f>
        <v/>
      </c>
      <c r="AB3904" s="0" t="str">
        <f aca="false">IF(W3904=1,"",IF(AND(X3904=1,Z3904&lt;&gt;1),1,0))</f>
        <v/>
      </c>
      <c r="AC3904" s="0" t="str">
        <f aca="false">IF(W3904=1,"",IF(AND(Y3904=1,AA3904&lt;&gt;1),1,0))</f>
        <v/>
      </c>
      <c r="AD3904" s="33" t="str">
        <f aca="false">IF(AND(E3904&gt;0,W3904&lt;1,NOT(AND(C3905=C3904,W3905=W3904+1))),INDEX(DATAS,W3904+1),"")</f>
        <v/>
      </c>
      <c r="AE3904" s="33" t="str">
        <f aca="false">IF(AND(Y3904=1,W3904&lt;1),IF(AND(C3905=C3904,W3905=W3904+1),IF(Y3905=1,"",INDEX(DATAS,W3904+1)),INDEX(DATAS,W3904+1)),"")</f>
        <v/>
      </c>
    </row>
    <row r="3905" customFormat="false" ht="15" hidden="false" customHeight="false" outlineLevel="0" collapsed="false">
      <c r="A3905" s="33" t="n">
        <v>46309</v>
      </c>
      <c r="B3905" s="0" t="n">
        <v>15</v>
      </c>
      <c r="C3905" s="0" t="n">
        <v>30823</v>
      </c>
      <c r="E3905" s="0" t="n">
        <v>0</v>
      </c>
      <c r="F3905" s="27" t="s">
        <v>1586</v>
      </c>
      <c r="I3905" s="27" t="s">
        <v>136</v>
      </c>
      <c r="U3905" s="0" t="n">
        <v>106</v>
      </c>
      <c r="V3905" s="0" t="n">
        <v>0</v>
      </c>
      <c r="W3905" s="27" t="n">
        <f aca="false">MATCH(A3905,DATAS,0)</f>
        <v>1</v>
      </c>
      <c r="X3905" s="27" t="n">
        <f aca="false">IF(AND(E3905&gt;0,OR(AND(B3905&gt;=1,B3905&lt;=6),B3905=10)),1,0)</f>
        <v>0</v>
      </c>
      <c r="Y3905" s="27" t="n">
        <f aca="false">IF(AND(E3905&gt;0,B3905=10),1,0)</f>
        <v>0</v>
      </c>
      <c r="Z3905" s="0" t="str">
        <f aca="false">IF(AND(C3904=C3905,W3904=W3905-1),X3904,"")</f>
        <v/>
      </c>
      <c r="AA3905" s="0" t="str">
        <f aca="false">IF(AND(C3904=C3905,W3904=W3905-1),Y3904,"")</f>
        <v/>
      </c>
      <c r="AB3905" s="0" t="str">
        <f aca="false">IF(W3905=1,"",IF(AND(X3905=1,Z3905&lt;&gt;1),1,0))</f>
        <v/>
      </c>
      <c r="AC3905" s="0" t="str">
        <f aca="false">IF(W3905=1,"",IF(AND(Y3905=1,AA3905&lt;&gt;1),1,0))</f>
        <v/>
      </c>
      <c r="AD3905" s="33" t="str">
        <f aca="false">IF(AND(E3905&gt;0,W3905&lt;1,NOT(AND(C3906=C3905,W3906=W3905+1))),INDEX(DATAS,W3905+1),"")</f>
        <v/>
      </c>
      <c r="AE3905" s="33" t="str">
        <f aca="false">IF(AND(Y3905=1,W3905&lt;1),IF(AND(C3906=C3905,W3906=W3905+1),IF(Y3906=1,"",INDEX(DATAS,W3905+1)),INDEX(DATAS,W3905+1)),"")</f>
        <v/>
      </c>
    </row>
    <row r="3906" customFormat="false" ht="15" hidden="false" customHeight="false" outlineLevel="0" collapsed="false">
      <c r="A3906" s="33" t="n">
        <v>46309</v>
      </c>
      <c r="B3906" s="0" t="n">
        <v>15</v>
      </c>
      <c r="C3906" s="0" t="n">
        <v>30827</v>
      </c>
      <c r="E3906" s="0" t="n">
        <v>0</v>
      </c>
      <c r="F3906" s="27" t="s">
        <v>1693</v>
      </c>
      <c r="I3906" s="27" t="s">
        <v>136</v>
      </c>
      <c r="U3906" s="0" t="n">
        <v>105</v>
      </c>
      <c r="V3906" s="0" t="n">
        <v>0</v>
      </c>
      <c r="W3906" s="27" t="n">
        <f aca="false">MATCH(A3906,DATAS,0)</f>
        <v>1</v>
      </c>
      <c r="X3906" s="27" t="n">
        <f aca="false">IF(AND(E3906&gt;0,OR(AND(B3906&gt;=1,B3906&lt;=6),B3906=10)),1,0)</f>
        <v>0</v>
      </c>
      <c r="Y3906" s="27" t="n">
        <f aca="false">IF(AND(E3906&gt;0,B3906=10),1,0)</f>
        <v>0</v>
      </c>
      <c r="Z3906" s="0" t="str">
        <f aca="false">IF(AND(C3905=C3906,W3905=W3906-1),X3905,"")</f>
        <v/>
      </c>
      <c r="AA3906" s="0" t="str">
        <f aca="false">IF(AND(C3905=C3906,W3905=W3906-1),Y3905,"")</f>
        <v/>
      </c>
      <c r="AB3906" s="0" t="str">
        <f aca="false">IF(W3906=1,"",IF(AND(X3906=1,Z3906&lt;&gt;1),1,0))</f>
        <v/>
      </c>
      <c r="AC3906" s="0" t="str">
        <f aca="false">IF(W3906=1,"",IF(AND(Y3906=1,AA3906&lt;&gt;1),1,0))</f>
        <v/>
      </c>
      <c r="AD3906" s="33" t="str">
        <f aca="false">IF(AND(E3906&gt;0,W3906&lt;1,NOT(AND(C3907=C3906,W3907=W3906+1))),INDEX(DATAS,W3906+1),"")</f>
        <v/>
      </c>
      <c r="AE3906" s="33" t="str">
        <f aca="false">IF(AND(Y3906=1,W3906&lt;1),IF(AND(C3907=C3906,W3907=W3906+1),IF(Y3907=1,"",INDEX(DATAS,W3906+1)),INDEX(DATAS,W3906+1)),"")</f>
        <v/>
      </c>
    </row>
    <row r="3907" customFormat="false" ht="15" hidden="false" customHeight="false" outlineLevel="0" collapsed="false">
      <c r="A3907" s="33" t="n">
        <v>46309</v>
      </c>
      <c r="B3907" s="0" t="n">
        <v>15</v>
      </c>
      <c r="C3907" s="0" t="n">
        <v>30830</v>
      </c>
      <c r="E3907" s="0" t="n">
        <v>0</v>
      </c>
      <c r="F3907" s="27" t="s">
        <v>1587</v>
      </c>
      <c r="I3907" s="27" t="s">
        <v>136</v>
      </c>
      <c r="U3907" s="0" t="n">
        <v>104</v>
      </c>
      <c r="V3907" s="0" t="n">
        <v>0</v>
      </c>
      <c r="W3907" s="27" t="n">
        <f aca="false">MATCH(A3907,DATAS,0)</f>
        <v>1</v>
      </c>
      <c r="X3907" s="27" t="n">
        <f aca="false">IF(AND(E3907&gt;0,OR(AND(B3907&gt;=1,B3907&lt;=6),B3907=10)),1,0)</f>
        <v>0</v>
      </c>
      <c r="Y3907" s="27" t="n">
        <f aca="false">IF(AND(E3907&gt;0,B3907=10),1,0)</f>
        <v>0</v>
      </c>
      <c r="Z3907" s="0" t="str">
        <f aca="false">IF(AND(C3906=C3907,W3906=W3907-1),X3906,"")</f>
        <v/>
      </c>
      <c r="AA3907" s="0" t="str">
        <f aca="false">IF(AND(C3906=C3907,W3906=W3907-1),Y3906,"")</f>
        <v/>
      </c>
      <c r="AB3907" s="0" t="str">
        <f aca="false">IF(W3907=1,"",IF(AND(X3907=1,Z3907&lt;&gt;1),1,0))</f>
        <v/>
      </c>
      <c r="AC3907" s="0" t="str">
        <f aca="false">IF(W3907=1,"",IF(AND(Y3907=1,AA3907&lt;&gt;1),1,0))</f>
        <v/>
      </c>
      <c r="AD3907" s="33" t="str">
        <f aca="false">IF(AND(E3907&gt;0,W3907&lt;1,NOT(AND(C3908=C3907,W3908=W3907+1))),INDEX(DATAS,W3907+1),"")</f>
        <v/>
      </c>
      <c r="AE3907" s="33" t="str">
        <f aca="false">IF(AND(Y3907=1,W3907&lt;1),IF(AND(C3908=C3907,W3908=W3907+1),IF(Y3908=1,"",INDEX(DATAS,W3907+1)),INDEX(DATAS,W3907+1)),"")</f>
        <v/>
      </c>
    </row>
    <row r="3908" customFormat="false" ht="15" hidden="false" customHeight="false" outlineLevel="0" collapsed="false">
      <c r="A3908" s="33" t="n">
        <v>46309</v>
      </c>
      <c r="B3908" s="0" t="n">
        <v>15</v>
      </c>
      <c r="C3908" s="0" t="n">
        <v>30831</v>
      </c>
      <c r="E3908" s="0" t="n">
        <v>0</v>
      </c>
      <c r="F3908" s="27" t="s">
        <v>1587</v>
      </c>
      <c r="I3908" s="27" t="s">
        <v>136</v>
      </c>
      <c r="U3908" s="0" t="n">
        <v>104</v>
      </c>
      <c r="V3908" s="0" t="n">
        <v>0</v>
      </c>
      <c r="W3908" s="27" t="n">
        <f aca="false">MATCH(A3908,DATAS,0)</f>
        <v>1</v>
      </c>
      <c r="X3908" s="27" t="n">
        <f aca="false">IF(AND(E3908&gt;0,OR(AND(B3908&gt;=1,B3908&lt;=6),B3908=10)),1,0)</f>
        <v>0</v>
      </c>
      <c r="Y3908" s="27" t="n">
        <f aca="false">IF(AND(E3908&gt;0,B3908=10),1,0)</f>
        <v>0</v>
      </c>
      <c r="Z3908" s="0" t="str">
        <f aca="false">IF(AND(C3907=C3908,W3907=W3908-1),X3907,"")</f>
        <v/>
      </c>
      <c r="AA3908" s="0" t="str">
        <f aca="false">IF(AND(C3907=C3908,W3907=W3908-1),Y3907,"")</f>
        <v/>
      </c>
      <c r="AB3908" s="0" t="str">
        <f aca="false">IF(W3908=1,"",IF(AND(X3908=1,Z3908&lt;&gt;1),1,0))</f>
        <v/>
      </c>
      <c r="AC3908" s="0" t="str">
        <f aca="false">IF(W3908=1,"",IF(AND(Y3908=1,AA3908&lt;&gt;1),1,0))</f>
        <v/>
      </c>
      <c r="AD3908" s="33" t="str">
        <f aca="false">IF(AND(E3908&gt;0,W3908&lt;1,NOT(AND(C3909=C3908,W3909=W3908+1))),INDEX(DATAS,W3908+1),"")</f>
        <v/>
      </c>
      <c r="AE3908" s="33" t="str">
        <f aca="false">IF(AND(Y3908=1,W3908&lt;1),IF(AND(C3909=C3908,W3909=W3908+1),IF(Y3909=1,"",INDEX(DATAS,W3908+1)),INDEX(DATAS,W3908+1)),"")</f>
        <v/>
      </c>
    </row>
    <row r="3909" customFormat="false" ht="15" hidden="false" customHeight="false" outlineLevel="0" collapsed="false">
      <c r="A3909" s="33" t="n">
        <v>46309</v>
      </c>
      <c r="B3909" s="0" t="n">
        <v>15</v>
      </c>
      <c r="C3909" s="0" t="n">
        <v>30837</v>
      </c>
      <c r="E3909" s="0" t="n">
        <v>0</v>
      </c>
      <c r="F3909" s="27" t="s">
        <v>1591</v>
      </c>
      <c r="I3909" s="27" t="s">
        <v>136</v>
      </c>
      <c r="U3909" s="0" t="n">
        <v>100</v>
      </c>
      <c r="V3909" s="0" t="n">
        <v>0</v>
      </c>
      <c r="W3909" s="27" t="n">
        <f aca="false">MATCH(A3909,DATAS,0)</f>
        <v>1</v>
      </c>
      <c r="X3909" s="27" t="n">
        <f aca="false">IF(AND(E3909&gt;0,OR(AND(B3909&gt;=1,B3909&lt;=6),B3909=10)),1,0)</f>
        <v>0</v>
      </c>
      <c r="Y3909" s="27" t="n">
        <f aca="false">IF(AND(E3909&gt;0,B3909=10),1,0)</f>
        <v>0</v>
      </c>
      <c r="Z3909" s="0" t="str">
        <f aca="false">IF(AND(C3908=C3909,W3908=W3909-1),X3908,"")</f>
        <v/>
      </c>
      <c r="AA3909" s="0" t="str">
        <f aca="false">IF(AND(C3908=C3909,W3908=W3909-1),Y3908,"")</f>
        <v/>
      </c>
      <c r="AB3909" s="0" t="str">
        <f aca="false">IF(W3909=1,"",IF(AND(X3909=1,Z3909&lt;&gt;1),1,0))</f>
        <v/>
      </c>
      <c r="AC3909" s="0" t="str">
        <f aca="false">IF(W3909=1,"",IF(AND(Y3909=1,AA3909&lt;&gt;1),1,0))</f>
        <v/>
      </c>
      <c r="AD3909" s="33" t="str">
        <f aca="false">IF(AND(E3909&gt;0,W3909&lt;1,NOT(AND(C3910=C3909,W3910=W3909+1))),INDEX(DATAS,W3909+1),"")</f>
        <v/>
      </c>
      <c r="AE3909" s="33" t="str">
        <f aca="false">IF(AND(Y3909=1,W3909&lt;1),IF(AND(C3910=C3909,W3910=W3909+1),IF(Y3910=1,"",INDEX(DATAS,W3909+1)),INDEX(DATAS,W3909+1)),"")</f>
        <v/>
      </c>
    </row>
    <row r="3910" customFormat="false" ht="15" hidden="false" customHeight="false" outlineLevel="0" collapsed="false">
      <c r="A3910" s="33" t="n">
        <v>46309</v>
      </c>
      <c r="B3910" s="0" t="n">
        <v>15</v>
      </c>
      <c r="C3910" s="0" t="n">
        <v>30838</v>
      </c>
      <c r="E3910" s="0" t="n">
        <v>0</v>
      </c>
      <c r="F3910" s="27" t="s">
        <v>1591</v>
      </c>
      <c r="I3910" s="27" t="s">
        <v>136</v>
      </c>
      <c r="U3910" s="0" t="n">
        <v>100</v>
      </c>
      <c r="V3910" s="0" t="n">
        <v>0</v>
      </c>
      <c r="W3910" s="27" t="n">
        <f aca="false">MATCH(A3910,DATAS,0)</f>
        <v>1</v>
      </c>
      <c r="X3910" s="27" t="n">
        <f aca="false">IF(AND(E3910&gt;0,OR(AND(B3910&gt;=1,B3910&lt;=6),B3910=10)),1,0)</f>
        <v>0</v>
      </c>
      <c r="Y3910" s="27" t="n">
        <f aca="false">IF(AND(E3910&gt;0,B3910=10),1,0)</f>
        <v>0</v>
      </c>
      <c r="Z3910" s="0" t="str">
        <f aca="false">IF(AND(C3909=C3910,W3909=W3910-1),X3909,"")</f>
        <v/>
      </c>
      <c r="AA3910" s="0" t="str">
        <f aca="false">IF(AND(C3909=C3910,W3909=W3910-1),Y3909,"")</f>
        <v/>
      </c>
      <c r="AB3910" s="0" t="str">
        <f aca="false">IF(W3910=1,"",IF(AND(X3910=1,Z3910&lt;&gt;1),1,0))</f>
        <v/>
      </c>
      <c r="AC3910" s="0" t="str">
        <f aca="false">IF(W3910=1,"",IF(AND(Y3910=1,AA3910&lt;&gt;1),1,0))</f>
        <v/>
      </c>
      <c r="AD3910" s="33" t="str">
        <f aca="false">IF(AND(E3910&gt;0,W3910&lt;1,NOT(AND(C3911=C3910,W3911=W3910+1))),INDEX(DATAS,W3910+1),"")</f>
        <v/>
      </c>
      <c r="AE3910" s="33" t="str">
        <f aca="false">IF(AND(Y3910=1,W3910&lt;1),IF(AND(C3911=C3910,W3911=W3910+1),IF(Y3911=1,"",INDEX(DATAS,W3910+1)),INDEX(DATAS,W3910+1)),"")</f>
        <v/>
      </c>
    </row>
    <row r="3911" customFormat="false" ht="15" hidden="false" customHeight="false" outlineLevel="0" collapsed="false">
      <c r="A3911" s="33" t="n">
        <v>46309</v>
      </c>
      <c r="B3911" s="0" t="n">
        <v>15</v>
      </c>
      <c r="C3911" s="0" t="n">
        <v>30841</v>
      </c>
      <c r="E3911" s="0" t="n">
        <v>0</v>
      </c>
      <c r="F3911" s="27" t="s">
        <v>1619</v>
      </c>
      <c r="I3911" s="27" t="s">
        <v>136</v>
      </c>
      <c r="U3911" s="0" t="n">
        <v>69</v>
      </c>
      <c r="V3911" s="0" t="n">
        <v>0</v>
      </c>
      <c r="W3911" s="27" t="n">
        <f aca="false">MATCH(A3911,DATAS,0)</f>
        <v>1</v>
      </c>
      <c r="X3911" s="27" t="n">
        <f aca="false">IF(AND(E3911&gt;0,OR(AND(B3911&gt;=1,B3911&lt;=6),B3911=10)),1,0)</f>
        <v>0</v>
      </c>
      <c r="Y3911" s="27" t="n">
        <f aca="false">IF(AND(E3911&gt;0,B3911=10),1,0)</f>
        <v>0</v>
      </c>
      <c r="Z3911" s="0" t="str">
        <f aca="false">IF(AND(C3910=C3911,W3910=W3911-1),X3910,"")</f>
        <v/>
      </c>
      <c r="AA3911" s="0" t="str">
        <f aca="false">IF(AND(C3910=C3911,W3910=W3911-1),Y3910,"")</f>
        <v/>
      </c>
      <c r="AB3911" s="0" t="str">
        <f aca="false">IF(W3911=1,"",IF(AND(X3911=1,Z3911&lt;&gt;1),1,0))</f>
        <v/>
      </c>
      <c r="AC3911" s="0" t="str">
        <f aca="false">IF(W3911=1,"",IF(AND(Y3911=1,AA3911&lt;&gt;1),1,0))</f>
        <v/>
      </c>
      <c r="AD3911" s="33" t="str">
        <f aca="false">IF(AND(E3911&gt;0,W3911&lt;1,NOT(AND(C3912=C3911,W3912=W3911+1))),INDEX(DATAS,W3911+1),"")</f>
        <v/>
      </c>
      <c r="AE3911" s="33" t="str">
        <f aca="false">IF(AND(Y3911=1,W3911&lt;1),IF(AND(C3912=C3911,W3912=W3911+1),IF(Y3912=1,"",INDEX(DATAS,W3911+1)),INDEX(DATAS,W3911+1)),"")</f>
        <v/>
      </c>
    </row>
    <row r="3912" customFormat="false" ht="15" hidden="false" customHeight="false" outlineLevel="0" collapsed="false">
      <c r="A3912" s="33" t="n">
        <v>46309</v>
      </c>
      <c r="B3912" s="0" t="n">
        <v>15</v>
      </c>
      <c r="C3912" s="0" t="n">
        <v>30842</v>
      </c>
      <c r="E3912" s="0" t="n">
        <v>0</v>
      </c>
      <c r="F3912" s="27" t="s">
        <v>1593</v>
      </c>
      <c r="I3912" s="27" t="s">
        <v>136</v>
      </c>
      <c r="U3912" s="0" t="n">
        <v>98</v>
      </c>
      <c r="V3912" s="0" t="n">
        <v>0</v>
      </c>
      <c r="W3912" s="27" t="n">
        <f aca="false">MATCH(A3912,DATAS,0)</f>
        <v>1</v>
      </c>
      <c r="X3912" s="27" t="n">
        <f aca="false">IF(AND(E3912&gt;0,OR(AND(B3912&gt;=1,B3912&lt;=6),B3912=10)),1,0)</f>
        <v>0</v>
      </c>
      <c r="Y3912" s="27" t="n">
        <f aca="false">IF(AND(E3912&gt;0,B3912=10),1,0)</f>
        <v>0</v>
      </c>
      <c r="Z3912" s="0" t="str">
        <f aca="false">IF(AND(C3911=C3912,W3911=W3912-1),X3911,"")</f>
        <v/>
      </c>
      <c r="AA3912" s="0" t="str">
        <f aca="false">IF(AND(C3911=C3912,W3911=W3912-1),Y3911,"")</f>
        <v/>
      </c>
      <c r="AB3912" s="0" t="str">
        <f aca="false">IF(W3912=1,"",IF(AND(X3912=1,Z3912&lt;&gt;1),1,0))</f>
        <v/>
      </c>
      <c r="AC3912" s="0" t="str">
        <f aca="false">IF(W3912=1,"",IF(AND(Y3912=1,AA3912&lt;&gt;1),1,0))</f>
        <v/>
      </c>
      <c r="AD3912" s="33" t="str">
        <f aca="false">IF(AND(E3912&gt;0,W3912&lt;1,NOT(AND(C3913=C3912,W3913=W3912+1))),INDEX(DATAS,W3912+1),"")</f>
        <v/>
      </c>
      <c r="AE3912" s="33" t="str">
        <f aca="false">IF(AND(Y3912=1,W3912&lt;1),IF(AND(C3913=C3912,W3913=W3912+1),IF(Y3913=1,"",INDEX(DATAS,W3912+1)),INDEX(DATAS,W3912+1)),"")</f>
        <v/>
      </c>
    </row>
    <row r="3913" customFormat="false" ht="15" hidden="false" customHeight="false" outlineLevel="0" collapsed="false">
      <c r="A3913" s="33" t="n">
        <v>46309</v>
      </c>
      <c r="B3913" s="0" t="n">
        <v>15</v>
      </c>
      <c r="C3913" s="0" t="n">
        <v>30845</v>
      </c>
      <c r="E3913" s="0" t="n">
        <v>0</v>
      </c>
      <c r="F3913" s="27" t="s">
        <v>1595</v>
      </c>
      <c r="I3913" s="27" t="s">
        <v>136</v>
      </c>
      <c r="U3913" s="0" t="n">
        <v>96</v>
      </c>
      <c r="V3913" s="0" t="n">
        <v>0</v>
      </c>
      <c r="W3913" s="27" t="n">
        <f aca="false">MATCH(A3913,DATAS,0)</f>
        <v>1</v>
      </c>
      <c r="X3913" s="27" t="n">
        <f aca="false">IF(AND(E3913&gt;0,OR(AND(B3913&gt;=1,B3913&lt;=6),B3913=10)),1,0)</f>
        <v>0</v>
      </c>
      <c r="Y3913" s="27" t="n">
        <f aca="false">IF(AND(E3913&gt;0,B3913=10),1,0)</f>
        <v>0</v>
      </c>
      <c r="Z3913" s="0" t="str">
        <f aca="false">IF(AND(C3912=C3913,W3912=W3913-1),X3912,"")</f>
        <v/>
      </c>
      <c r="AA3913" s="0" t="str">
        <f aca="false">IF(AND(C3912=C3913,W3912=W3913-1),Y3912,"")</f>
        <v/>
      </c>
      <c r="AB3913" s="0" t="str">
        <f aca="false">IF(W3913=1,"",IF(AND(X3913=1,Z3913&lt;&gt;1),1,0))</f>
        <v/>
      </c>
      <c r="AC3913" s="0" t="str">
        <f aca="false">IF(W3913=1,"",IF(AND(Y3913=1,AA3913&lt;&gt;1),1,0))</f>
        <v/>
      </c>
      <c r="AD3913" s="33" t="str">
        <f aca="false">IF(AND(E3913&gt;0,W3913&lt;1,NOT(AND(C3914=C3913,W3914=W3913+1))),INDEX(DATAS,W3913+1),"")</f>
        <v/>
      </c>
      <c r="AE3913" s="33" t="str">
        <f aca="false">IF(AND(Y3913=1,W3913&lt;1),IF(AND(C3914=C3913,W3914=W3913+1),IF(Y3914=1,"",INDEX(DATAS,W3913+1)),INDEX(DATAS,W3913+1)),"")</f>
        <v/>
      </c>
    </row>
    <row r="3914" customFormat="false" ht="15" hidden="false" customHeight="false" outlineLevel="0" collapsed="false">
      <c r="A3914" s="33" t="n">
        <v>46309</v>
      </c>
      <c r="B3914" s="0" t="n">
        <v>15</v>
      </c>
      <c r="C3914" s="0" t="n">
        <v>30847</v>
      </c>
      <c r="E3914" s="0" t="n">
        <v>0</v>
      </c>
      <c r="F3914" s="27" t="s">
        <v>1595</v>
      </c>
      <c r="I3914" s="27" t="s">
        <v>136</v>
      </c>
      <c r="U3914" s="0" t="n">
        <v>96</v>
      </c>
      <c r="V3914" s="0" t="n">
        <v>0</v>
      </c>
      <c r="W3914" s="27" t="n">
        <f aca="false">MATCH(A3914,DATAS,0)</f>
        <v>1</v>
      </c>
      <c r="X3914" s="27" t="n">
        <f aca="false">IF(AND(E3914&gt;0,OR(AND(B3914&gt;=1,B3914&lt;=6),B3914=10)),1,0)</f>
        <v>0</v>
      </c>
      <c r="Y3914" s="27" t="n">
        <f aca="false">IF(AND(E3914&gt;0,B3914=10),1,0)</f>
        <v>0</v>
      </c>
      <c r="Z3914" s="0" t="str">
        <f aca="false">IF(AND(C3913=C3914,W3913=W3914-1),X3913,"")</f>
        <v/>
      </c>
      <c r="AA3914" s="0" t="str">
        <f aca="false">IF(AND(C3913=C3914,W3913=W3914-1),Y3913,"")</f>
        <v/>
      </c>
      <c r="AB3914" s="0" t="str">
        <f aca="false">IF(W3914=1,"",IF(AND(X3914=1,Z3914&lt;&gt;1),1,0))</f>
        <v/>
      </c>
      <c r="AC3914" s="0" t="str">
        <f aca="false">IF(W3914=1,"",IF(AND(Y3914=1,AA3914&lt;&gt;1),1,0))</f>
        <v/>
      </c>
      <c r="AD3914" s="33" t="str">
        <f aca="false">IF(AND(E3914&gt;0,W3914&lt;1,NOT(AND(C3915=C3914,W3915=W3914+1))),INDEX(DATAS,W3914+1),"")</f>
        <v/>
      </c>
      <c r="AE3914" s="33" t="str">
        <f aca="false">IF(AND(Y3914=1,W3914&lt;1),IF(AND(C3915=C3914,W3915=W3914+1),IF(Y3915=1,"",INDEX(DATAS,W3914+1)),INDEX(DATAS,W3914+1)),"")</f>
        <v/>
      </c>
    </row>
    <row r="3915" customFormat="false" ht="15" hidden="false" customHeight="false" outlineLevel="0" collapsed="false">
      <c r="A3915" s="33" t="n">
        <v>46309</v>
      </c>
      <c r="B3915" s="0" t="n">
        <v>15</v>
      </c>
      <c r="C3915" s="0" t="n">
        <v>30848</v>
      </c>
      <c r="E3915" s="0" t="n">
        <v>0</v>
      </c>
      <c r="F3915" s="27" t="s">
        <v>1596</v>
      </c>
      <c r="I3915" s="27" t="s">
        <v>136</v>
      </c>
      <c r="U3915" s="0" t="n">
        <v>95</v>
      </c>
      <c r="V3915" s="0" t="n">
        <v>0</v>
      </c>
      <c r="W3915" s="27" t="n">
        <f aca="false">MATCH(A3915,DATAS,0)</f>
        <v>1</v>
      </c>
      <c r="X3915" s="27" t="n">
        <f aca="false">IF(AND(E3915&gt;0,OR(AND(B3915&gt;=1,B3915&lt;=6),B3915=10)),1,0)</f>
        <v>0</v>
      </c>
      <c r="Y3915" s="27" t="n">
        <f aca="false">IF(AND(E3915&gt;0,B3915=10),1,0)</f>
        <v>0</v>
      </c>
      <c r="Z3915" s="0" t="str">
        <f aca="false">IF(AND(C3914=C3915,W3914=W3915-1),X3914,"")</f>
        <v/>
      </c>
      <c r="AA3915" s="0" t="str">
        <f aca="false">IF(AND(C3914=C3915,W3914=W3915-1),Y3914,"")</f>
        <v/>
      </c>
      <c r="AB3915" s="0" t="str">
        <f aca="false">IF(W3915=1,"",IF(AND(X3915=1,Z3915&lt;&gt;1),1,0))</f>
        <v/>
      </c>
      <c r="AC3915" s="0" t="str">
        <f aca="false">IF(W3915=1,"",IF(AND(Y3915=1,AA3915&lt;&gt;1),1,0))</f>
        <v/>
      </c>
      <c r="AD3915" s="33" t="str">
        <f aca="false">IF(AND(E3915&gt;0,W3915&lt;1,NOT(AND(C3916=C3915,W3916=W3915+1))),INDEX(DATAS,W3915+1),"")</f>
        <v/>
      </c>
      <c r="AE3915" s="33" t="str">
        <f aca="false">IF(AND(Y3915=1,W3915&lt;1),IF(AND(C3916=C3915,W3916=W3915+1),IF(Y3916=1,"",INDEX(DATAS,W3915+1)),INDEX(DATAS,W3915+1)),"")</f>
        <v/>
      </c>
    </row>
    <row r="3916" customFormat="false" ht="15" hidden="false" customHeight="false" outlineLevel="0" collapsed="false">
      <c r="A3916" s="33" t="n">
        <v>46309</v>
      </c>
      <c r="B3916" s="0" t="n">
        <v>15</v>
      </c>
      <c r="C3916" s="0" t="n">
        <v>30850</v>
      </c>
      <c r="E3916" s="0" t="n">
        <v>0</v>
      </c>
      <c r="F3916" s="27" t="s">
        <v>1599</v>
      </c>
      <c r="I3916" s="27" t="s">
        <v>136</v>
      </c>
      <c r="U3916" s="0" t="n">
        <v>92</v>
      </c>
      <c r="V3916" s="0" t="n">
        <v>0</v>
      </c>
      <c r="W3916" s="27" t="n">
        <f aca="false">MATCH(A3916,DATAS,0)</f>
        <v>1</v>
      </c>
      <c r="X3916" s="27" t="n">
        <f aca="false">IF(AND(E3916&gt;0,OR(AND(B3916&gt;=1,B3916&lt;=6),B3916=10)),1,0)</f>
        <v>0</v>
      </c>
      <c r="Y3916" s="27" t="n">
        <f aca="false">IF(AND(E3916&gt;0,B3916=10),1,0)</f>
        <v>0</v>
      </c>
      <c r="Z3916" s="0" t="str">
        <f aca="false">IF(AND(C3915=C3916,W3915=W3916-1),X3915,"")</f>
        <v/>
      </c>
      <c r="AA3916" s="0" t="str">
        <f aca="false">IF(AND(C3915=C3916,W3915=W3916-1),Y3915,"")</f>
        <v/>
      </c>
      <c r="AB3916" s="0" t="str">
        <f aca="false">IF(W3916=1,"",IF(AND(X3916=1,Z3916&lt;&gt;1),1,0))</f>
        <v/>
      </c>
      <c r="AC3916" s="0" t="str">
        <f aca="false">IF(W3916=1,"",IF(AND(Y3916=1,AA3916&lt;&gt;1),1,0))</f>
        <v/>
      </c>
      <c r="AD3916" s="33" t="str">
        <f aca="false">IF(AND(E3916&gt;0,W3916&lt;1,NOT(AND(C3917=C3916,W3917=W3916+1))),INDEX(DATAS,W3916+1),"")</f>
        <v/>
      </c>
      <c r="AE3916" s="33" t="str">
        <f aca="false">IF(AND(Y3916=1,W3916&lt;1),IF(AND(C3917=C3916,W3917=W3916+1),IF(Y3917=1,"",INDEX(DATAS,W3916+1)),INDEX(DATAS,W3916+1)),"")</f>
        <v/>
      </c>
    </row>
    <row r="3917" customFormat="false" ht="15" hidden="false" customHeight="false" outlineLevel="0" collapsed="false">
      <c r="A3917" s="33" t="n">
        <v>46309</v>
      </c>
      <c r="B3917" s="0" t="n">
        <v>15</v>
      </c>
      <c r="C3917" s="0" t="n">
        <v>30851</v>
      </c>
      <c r="E3917" s="0" t="n">
        <v>0</v>
      </c>
      <c r="F3917" s="27" t="s">
        <v>1599</v>
      </c>
      <c r="I3917" s="27" t="s">
        <v>136</v>
      </c>
      <c r="U3917" s="0" t="n">
        <v>92</v>
      </c>
      <c r="V3917" s="0" t="n">
        <v>0</v>
      </c>
      <c r="W3917" s="27" t="n">
        <f aca="false">MATCH(A3917,DATAS,0)</f>
        <v>1</v>
      </c>
      <c r="X3917" s="27" t="n">
        <f aca="false">IF(AND(E3917&gt;0,OR(AND(B3917&gt;=1,B3917&lt;=6),B3917=10)),1,0)</f>
        <v>0</v>
      </c>
      <c r="Y3917" s="27" t="n">
        <f aca="false">IF(AND(E3917&gt;0,B3917=10),1,0)</f>
        <v>0</v>
      </c>
      <c r="Z3917" s="0" t="str">
        <f aca="false">IF(AND(C3916=C3917,W3916=W3917-1),X3916,"")</f>
        <v/>
      </c>
      <c r="AA3917" s="0" t="str">
        <f aca="false">IF(AND(C3916=C3917,W3916=W3917-1),Y3916,"")</f>
        <v/>
      </c>
      <c r="AB3917" s="0" t="str">
        <f aca="false">IF(W3917=1,"",IF(AND(X3917=1,Z3917&lt;&gt;1),1,0))</f>
        <v/>
      </c>
      <c r="AC3917" s="0" t="str">
        <f aca="false">IF(W3917=1,"",IF(AND(Y3917=1,AA3917&lt;&gt;1),1,0))</f>
        <v/>
      </c>
      <c r="AD3917" s="33" t="str">
        <f aca="false">IF(AND(E3917&gt;0,W3917&lt;1,NOT(AND(C3918=C3917,W3918=W3917+1))),INDEX(DATAS,W3917+1),"")</f>
        <v/>
      </c>
      <c r="AE3917" s="33" t="str">
        <f aca="false">IF(AND(Y3917=1,W3917&lt;1),IF(AND(C3918=C3917,W3918=W3917+1),IF(Y3918=1,"",INDEX(DATAS,W3917+1)),INDEX(DATAS,W3917+1)),"")</f>
        <v/>
      </c>
    </row>
    <row r="3918" customFormat="false" ht="15" hidden="false" customHeight="false" outlineLevel="0" collapsed="false">
      <c r="A3918" s="33" t="n">
        <v>46309</v>
      </c>
      <c r="B3918" s="0" t="n">
        <v>15</v>
      </c>
      <c r="C3918" s="0" t="n">
        <v>30855</v>
      </c>
      <c r="E3918" s="0" t="n">
        <v>0</v>
      </c>
      <c r="F3918" s="27" t="s">
        <v>1600</v>
      </c>
      <c r="I3918" s="27" t="s">
        <v>136</v>
      </c>
      <c r="U3918" s="0" t="n">
        <v>91</v>
      </c>
      <c r="V3918" s="0" t="n">
        <v>0</v>
      </c>
      <c r="W3918" s="27" t="n">
        <f aca="false">MATCH(A3918,DATAS,0)</f>
        <v>1</v>
      </c>
      <c r="X3918" s="27" t="n">
        <f aca="false">IF(AND(E3918&gt;0,OR(AND(B3918&gt;=1,B3918&lt;=6),B3918=10)),1,0)</f>
        <v>0</v>
      </c>
      <c r="Y3918" s="27" t="n">
        <f aca="false">IF(AND(E3918&gt;0,B3918=10),1,0)</f>
        <v>0</v>
      </c>
      <c r="Z3918" s="0" t="str">
        <f aca="false">IF(AND(C3917=C3918,W3917=W3918-1),X3917,"")</f>
        <v/>
      </c>
      <c r="AA3918" s="0" t="str">
        <f aca="false">IF(AND(C3917=C3918,W3917=W3918-1),Y3917,"")</f>
        <v/>
      </c>
      <c r="AB3918" s="0" t="str">
        <f aca="false">IF(W3918=1,"",IF(AND(X3918=1,Z3918&lt;&gt;1),1,0))</f>
        <v/>
      </c>
      <c r="AC3918" s="0" t="str">
        <f aca="false">IF(W3918=1,"",IF(AND(Y3918=1,AA3918&lt;&gt;1),1,0))</f>
        <v/>
      </c>
      <c r="AD3918" s="33" t="str">
        <f aca="false">IF(AND(E3918&gt;0,W3918&lt;1,NOT(AND(C3919=C3918,W3919=W3918+1))),INDEX(DATAS,W3918+1),"")</f>
        <v/>
      </c>
      <c r="AE3918" s="33" t="str">
        <f aca="false">IF(AND(Y3918=1,W3918&lt;1),IF(AND(C3919=C3918,W3919=W3918+1),IF(Y3919=1,"",INDEX(DATAS,W3918+1)),INDEX(DATAS,W3918+1)),"")</f>
        <v/>
      </c>
    </row>
    <row r="3919" customFormat="false" ht="15" hidden="false" customHeight="false" outlineLevel="0" collapsed="false">
      <c r="A3919" s="33" t="n">
        <v>46309</v>
      </c>
      <c r="B3919" s="0" t="n">
        <v>15</v>
      </c>
      <c r="C3919" s="0" t="n">
        <v>30859</v>
      </c>
      <c r="E3919" s="0" t="n">
        <v>0</v>
      </c>
      <c r="F3919" s="27" t="s">
        <v>1605</v>
      </c>
      <c r="I3919" s="27" t="s">
        <v>136</v>
      </c>
      <c r="U3919" s="0" t="n">
        <v>86</v>
      </c>
      <c r="V3919" s="0" t="n">
        <v>0</v>
      </c>
      <c r="W3919" s="27" t="n">
        <f aca="false">MATCH(A3919,DATAS,0)</f>
        <v>1</v>
      </c>
      <c r="X3919" s="27" t="n">
        <f aca="false">IF(AND(E3919&gt;0,OR(AND(B3919&gt;=1,B3919&lt;=6),B3919=10)),1,0)</f>
        <v>0</v>
      </c>
      <c r="Y3919" s="27" t="n">
        <f aca="false">IF(AND(E3919&gt;0,B3919=10),1,0)</f>
        <v>0</v>
      </c>
      <c r="Z3919" s="0" t="str">
        <f aca="false">IF(AND(C3918=C3919,W3918=W3919-1),X3918,"")</f>
        <v/>
      </c>
      <c r="AA3919" s="0" t="str">
        <f aca="false">IF(AND(C3918=C3919,W3918=W3919-1),Y3918,"")</f>
        <v/>
      </c>
      <c r="AB3919" s="0" t="str">
        <f aca="false">IF(W3919=1,"",IF(AND(X3919=1,Z3919&lt;&gt;1),1,0))</f>
        <v/>
      </c>
      <c r="AC3919" s="0" t="str">
        <f aca="false">IF(W3919=1,"",IF(AND(Y3919=1,AA3919&lt;&gt;1),1,0))</f>
        <v/>
      </c>
      <c r="AD3919" s="33" t="str">
        <f aca="false">IF(AND(E3919&gt;0,W3919&lt;1,NOT(AND(C3920=C3919,W3920=W3919+1))),INDEX(DATAS,W3919+1),"")</f>
        <v/>
      </c>
      <c r="AE3919" s="33" t="str">
        <f aca="false">IF(AND(Y3919=1,W3919&lt;1),IF(AND(C3920=C3919,W3920=W3919+1),IF(Y3920=1,"",INDEX(DATAS,W3919+1)),INDEX(DATAS,W3919+1)),"")</f>
        <v/>
      </c>
    </row>
    <row r="3920" customFormat="false" ht="15" hidden="false" customHeight="false" outlineLevel="0" collapsed="false">
      <c r="A3920" s="33" t="n">
        <v>46309</v>
      </c>
      <c r="B3920" s="0" t="n">
        <v>15</v>
      </c>
      <c r="C3920" s="0" t="n">
        <v>30860</v>
      </c>
      <c r="E3920" s="0" t="n">
        <v>0</v>
      </c>
      <c r="F3920" s="27" t="s">
        <v>1605</v>
      </c>
      <c r="I3920" s="27" t="s">
        <v>136</v>
      </c>
      <c r="U3920" s="0" t="n">
        <v>86</v>
      </c>
      <c r="V3920" s="0" t="n">
        <v>0</v>
      </c>
      <c r="W3920" s="27" t="n">
        <f aca="false">MATCH(A3920,DATAS,0)</f>
        <v>1</v>
      </c>
      <c r="X3920" s="27" t="n">
        <f aca="false">IF(AND(E3920&gt;0,OR(AND(B3920&gt;=1,B3920&lt;=6),B3920=10)),1,0)</f>
        <v>0</v>
      </c>
      <c r="Y3920" s="27" t="n">
        <f aca="false">IF(AND(E3920&gt;0,B3920=10),1,0)</f>
        <v>0</v>
      </c>
      <c r="Z3920" s="0" t="str">
        <f aca="false">IF(AND(C3919=C3920,W3919=W3920-1),X3919,"")</f>
        <v/>
      </c>
      <c r="AA3920" s="0" t="str">
        <f aca="false">IF(AND(C3919=C3920,W3919=W3920-1),Y3919,"")</f>
        <v/>
      </c>
      <c r="AB3920" s="0" t="str">
        <f aca="false">IF(W3920=1,"",IF(AND(X3920=1,Z3920&lt;&gt;1),1,0))</f>
        <v/>
      </c>
      <c r="AC3920" s="0" t="str">
        <f aca="false">IF(W3920=1,"",IF(AND(Y3920=1,AA3920&lt;&gt;1),1,0))</f>
        <v/>
      </c>
      <c r="AD3920" s="33" t="str">
        <f aca="false">IF(AND(E3920&gt;0,W3920&lt;1,NOT(AND(C3921=C3920,W3921=W3920+1))),INDEX(DATAS,W3920+1),"")</f>
        <v/>
      </c>
      <c r="AE3920" s="33" t="str">
        <f aca="false">IF(AND(Y3920=1,W3920&lt;1),IF(AND(C3921=C3920,W3921=W3920+1),IF(Y3921=1,"",INDEX(DATAS,W3920+1)),INDEX(DATAS,W3920+1)),"")</f>
        <v/>
      </c>
    </row>
    <row r="3921" customFormat="false" ht="15" hidden="false" customHeight="false" outlineLevel="0" collapsed="false">
      <c r="A3921" s="33" t="n">
        <v>46309</v>
      </c>
      <c r="B3921" s="0" t="n">
        <v>15</v>
      </c>
      <c r="C3921" s="0" t="n">
        <v>30861</v>
      </c>
      <c r="E3921" s="0" t="n">
        <v>0</v>
      </c>
      <c r="F3921" s="27" t="s">
        <v>1694</v>
      </c>
      <c r="I3921" s="27" t="s">
        <v>136</v>
      </c>
      <c r="U3921" s="0" t="n">
        <v>85</v>
      </c>
      <c r="V3921" s="0" t="n">
        <v>0</v>
      </c>
      <c r="W3921" s="27" t="n">
        <f aca="false">MATCH(A3921,DATAS,0)</f>
        <v>1</v>
      </c>
      <c r="X3921" s="27" t="n">
        <f aca="false">IF(AND(E3921&gt;0,OR(AND(B3921&gt;=1,B3921&lt;=6),B3921=10)),1,0)</f>
        <v>0</v>
      </c>
      <c r="Y3921" s="27" t="n">
        <f aca="false">IF(AND(E3921&gt;0,B3921=10),1,0)</f>
        <v>0</v>
      </c>
      <c r="Z3921" s="0" t="str">
        <f aca="false">IF(AND(C3920=C3921,W3920=W3921-1),X3920,"")</f>
        <v/>
      </c>
      <c r="AA3921" s="0" t="str">
        <f aca="false">IF(AND(C3920=C3921,W3920=W3921-1),Y3920,"")</f>
        <v/>
      </c>
      <c r="AB3921" s="0" t="str">
        <f aca="false">IF(W3921=1,"",IF(AND(X3921=1,Z3921&lt;&gt;1),1,0))</f>
        <v/>
      </c>
      <c r="AC3921" s="0" t="str">
        <f aca="false">IF(W3921=1,"",IF(AND(Y3921=1,AA3921&lt;&gt;1),1,0))</f>
        <v/>
      </c>
      <c r="AD3921" s="33" t="str">
        <f aca="false">IF(AND(E3921&gt;0,W3921&lt;1,NOT(AND(C3922=C3921,W3922=W3921+1))),INDEX(DATAS,W3921+1),"")</f>
        <v/>
      </c>
      <c r="AE3921" s="33" t="str">
        <f aca="false">IF(AND(Y3921=1,W3921&lt;1),IF(AND(C3922=C3921,W3922=W3921+1),IF(Y3922=1,"",INDEX(DATAS,W3921+1)),INDEX(DATAS,W3921+1)),"")</f>
        <v/>
      </c>
    </row>
    <row r="3922" customFormat="false" ht="15" hidden="false" customHeight="false" outlineLevel="0" collapsed="false">
      <c r="A3922" s="33" t="n">
        <v>46309</v>
      </c>
      <c r="B3922" s="0" t="n">
        <v>15</v>
      </c>
      <c r="C3922" s="0" t="n">
        <v>30864</v>
      </c>
      <c r="E3922" s="0" t="n">
        <v>0</v>
      </c>
      <c r="F3922" s="27" t="s">
        <v>1606</v>
      </c>
      <c r="I3922" s="27" t="s">
        <v>136</v>
      </c>
      <c r="U3922" s="0" t="n">
        <v>84</v>
      </c>
      <c r="V3922" s="0" t="n">
        <v>0</v>
      </c>
      <c r="W3922" s="27" t="n">
        <f aca="false">MATCH(A3922,DATAS,0)</f>
        <v>1</v>
      </c>
      <c r="X3922" s="27" t="n">
        <f aca="false">IF(AND(E3922&gt;0,OR(AND(B3922&gt;=1,B3922&lt;=6),B3922=10)),1,0)</f>
        <v>0</v>
      </c>
      <c r="Y3922" s="27" t="n">
        <f aca="false">IF(AND(E3922&gt;0,B3922=10),1,0)</f>
        <v>0</v>
      </c>
      <c r="Z3922" s="0" t="str">
        <f aca="false">IF(AND(C3921=C3922,W3921=W3922-1),X3921,"")</f>
        <v/>
      </c>
      <c r="AA3922" s="0" t="str">
        <f aca="false">IF(AND(C3921=C3922,W3921=W3922-1),Y3921,"")</f>
        <v/>
      </c>
      <c r="AB3922" s="0" t="str">
        <f aca="false">IF(W3922=1,"",IF(AND(X3922=1,Z3922&lt;&gt;1),1,0))</f>
        <v/>
      </c>
      <c r="AC3922" s="0" t="str">
        <f aca="false">IF(W3922=1,"",IF(AND(Y3922=1,AA3922&lt;&gt;1),1,0))</f>
        <v/>
      </c>
      <c r="AD3922" s="33" t="str">
        <f aca="false">IF(AND(E3922&gt;0,W3922&lt;1,NOT(AND(C3923=C3922,W3923=W3922+1))),INDEX(DATAS,W3922+1),"")</f>
        <v/>
      </c>
      <c r="AE3922" s="33" t="str">
        <f aca="false">IF(AND(Y3922=1,W3922&lt;1),IF(AND(C3923=C3922,W3923=W3922+1),IF(Y3923=1,"",INDEX(DATAS,W3922+1)),INDEX(DATAS,W3922+1)),"")</f>
        <v/>
      </c>
    </row>
    <row r="3923" customFormat="false" ht="15" hidden="false" customHeight="false" outlineLevel="0" collapsed="false">
      <c r="A3923" s="33" t="n">
        <v>46309</v>
      </c>
      <c r="B3923" s="0" t="n">
        <v>15</v>
      </c>
      <c r="C3923" s="0" t="n">
        <v>30865</v>
      </c>
      <c r="E3923" s="0" t="n">
        <v>0</v>
      </c>
      <c r="F3923" s="27" t="s">
        <v>1607</v>
      </c>
      <c r="I3923" s="27" t="s">
        <v>136</v>
      </c>
      <c r="U3923" s="0" t="n">
        <v>83</v>
      </c>
      <c r="V3923" s="0" t="n">
        <v>0</v>
      </c>
      <c r="W3923" s="27" t="n">
        <f aca="false">MATCH(A3923,DATAS,0)</f>
        <v>1</v>
      </c>
      <c r="X3923" s="27" t="n">
        <f aca="false">IF(AND(E3923&gt;0,OR(AND(B3923&gt;=1,B3923&lt;=6),B3923=10)),1,0)</f>
        <v>0</v>
      </c>
      <c r="Y3923" s="27" t="n">
        <f aca="false">IF(AND(E3923&gt;0,B3923=10),1,0)</f>
        <v>0</v>
      </c>
      <c r="Z3923" s="0" t="str">
        <f aca="false">IF(AND(C3922=C3923,W3922=W3923-1),X3922,"")</f>
        <v/>
      </c>
      <c r="AA3923" s="0" t="str">
        <f aca="false">IF(AND(C3922=C3923,W3922=W3923-1),Y3922,"")</f>
        <v/>
      </c>
      <c r="AB3923" s="0" t="str">
        <f aca="false">IF(W3923=1,"",IF(AND(X3923=1,Z3923&lt;&gt;1),1,0))</f>
        <v/>
      </c>
      <c r="AC3923" s="0" t="str">
        <f aca="false">IF(W3923=1,"",IF(AND(Y3923=1,AA3923&lt;&gt;1),1,0))</f>
        <v/>
      </c>
      <c r="AD3923" s="33" t="str">
        <f aca="false">IF(AND(E3923&gt;0,W3923&lt;1,NOT(AND(C3924=C3923,W3924=W3923+1))),INDEX(DATAS,W3923+1),"")</f>
        <v/>
      </c>
      <c r="AE3923" s="33" t="str">
        <f aca="false">IF(AND(Y3923=1,W3923&lt;1),IF(AND(C3924=C3923,W3924=W3923+1),IF(Y3924=1,"",INDEX(DATAS,W3923+1)),INDEX(DATAS,W3923+1)),"")</f>
        <v/>
      </c>
    </row>
    <row r="3924" customFormat="false" ht="15" hidden="false" customHeight="false" outlineLevel="0" collapsed="false">
      <c r="A3924" s="33" t="n">
        <v>46309</v>
      </c>
      <c r="B3924" s="0" t="n">
        <v>15</v>
      </c>
      <c r="C3924" s="0" t="n">
        <v>30866</v>
      </c>
      <c r="E3924" s="0" t="n">
        <v>0</v>
      </c>
      <c r="F3924" s="27" t="s">
        <v>1607</v>
      </c>
      <c r="I3924" s="27" t="s">
        <v>136</v>
      </c>
      <c r="U3924" s="0" t="n">
        <v>83</v>
      </c>
      <c r="V3924" s="0" t="n">
        <v>0</v>
      </c>
      <c r="W3924" s="27" t="n">
        <f aca="false">MATCH(A3924,DATAS,0)</f>
        <v>1</v>
      </c>
      <c r="X3924" s="27" t="n">
        <f aca="false">IF(AND(E3924&gt;0,OR(AND(B3924&gt;=1,B3924&lt;=6),B3924=10)),1,0)</f>
        <v>0</v>
      </c>
      <c r="Y3924" s="27" t="n">
        <f aca="false">IF(AND(E3924&gt;0,B3924=10),1,0)</f>
        <v>0</v>
      </c>
      <c r="Z3924" s="0" t="str">
        <f aca="false">IF(AND(C3923=C3924,W3923=W3924-1),X3923,"")</f>
        <v/>
      </c>
      <c r="AA3924" s="0" t="str">
        <f aca="false">IF(AND(C3923=C3924,W3923=W3924-1),Y3923,"")</f>
        <v/>
      </c>
      <c r="AB3924" s="0" t="str">
        <f aca="false">IF(W3924=1,"",IF(AND(X3924=1,Z3924&lt;&gt;1),1,0))</f>
        <v/>
      </c>
      <c r="AC3924" s="0" t="str">
        <f aca="false">IF(W3924=1,"",IF(AND(Y3924=1,AA3924&lt;&gt;1),1,0))</f>
        <v/>
      </c>
      <c r="AD3924" s="33" t="str">
        <f aca="false">IF(AND(E3924&gt;0,W3924&lt;1,NOT(AND(C3925=C3924,W3925=W3924+1))),INDEX(DATAS,W3924+1),"")</f>
        <v/>
      </c>
      <c r="AE3924" s="33" t="str">
        <f aca="false">IF(AND(Y3924=1,W3924&lt;1),IF(AND(C3925=C3924,W3925=W3924+1),IF(Y3925=1,"",INDEX(DATAS,W3924+1)),INDEX(DATAS,W3924+1)),"")</f>
        <v/>
      </c>
    </row>
    <row r="3925" customFormat="false" ht="15" hidden="false" customHeight="false" outlineLevel="0" collapsed="false">
      <c r="A3925" s="33" t="n">
        <v>46309</v>
      </c>
      <c r="B3925" s="0" t="n">
        <v>15</v>
      </c>
      <c r="C3925" s="0" t="n">
        <v>30867</v>
      </c>
      <c r="E3925" s="0" t="n">
        <v>0</v>
      </c>
      <c r="F3925" s="27" t="s">
        <v>1608</v>
      </c>
      <c r="I3925" s="27" t="s">
        <v>136</v>
      </c>
      <c r="U3925" s="0" t="n">
        <v>82</v>
      </c>
      <c r="V3925" s="0" t="n">
        <v>0</v>
      </c>
      <c r="W3925" s="27" t="n">
        <f aca="false">MATCH(A3925,DATAS,0)</f>
        <v>1</v>
      </c>
      <c r="X3925" s="27" t="n">
        <f aca="false">IF(AND(E3925&gt;0,OR(AND(B3925&gt;=1,B3925&lt;=6),B3925=10)),1,0)</f>
        <v>0</v>
      </c>
      <c r="Y3925" s="27" t="n">
        <f aca="false">IF(AND(E3925&gt;0,B3925=10),1,0)</f>
        <v>0</v>
      </c>
      <c r="Z3925" s="0" t="str">
        <f aca="false">IF(AND(C3924=C3925,W3924=W3925-1),X3924,"")</f>
        <v/>
      </c>
      <c r="AA3925" s="0" t="str">
        <f aca="false">IF(AND(C3924=C3925,W3924=W3925-1),Y3924,"")</f>
        <v/>
      </c>
      <c r="AB3925" s="0" t="str">
        <f aca="false">IF(W3925=1,"",IF(AND(X3925=1,Z3925&lt;&gt;1),1,0))</f>
        <v/>
      </c>
      <c r="AC3925" s="0" t="str">
        <f aca="false">IF(W3925=1,"",IF(AND(Y3925=1,AA3925&lt;&gt;1),1,0))</f>
        <v/>
      </c>
      <c r="AD3925" s="33" t="str">
        <f aca="false">IF(AND(E3925&gt;0,W3925&lt;1,NOT(AND(C3926=C3925,W3926=W3925+1))),INDEX(DATAS,W3925+1),"")</f>
        <v/>
      </c>
      <c r="AE3925" s="33" t="str">
        <f aca="false">IF(AND(Y3925=1,W3925&lt;1),IF(AND(C3926=C3925,W3926=W3925+1),IF(Y3926=1,"",INDEX(DATAS,W3925+1)),INDEX(DATAS,W3925+1)),"")</f>
        <v/>
      </c>
    </row>
    <row r="3926" customFormat="false" ht="15" hidden="false" customHeight="false" outlineLevel="0" collapsed="false">
      <c r="A3926" s="33" t="n">
        <v>46309</v>
      </c>
      <c r="B3926" s="0" t="n">
        <v>15</v>
      </c>
      <c r="C3926" s="0" t="n">
        <v>30868</v>
      </c>
      <c r="E3926" s="0" t="n">
        <v>0</v>
      </c>
      <c r="F3926" s="27" t="s">
        <v>1608</v>
      </c>
      <c r="I3926" s="27" t="s">
        <v>136</v>
      </c>
      <c r="U3926" s="0" t="n">
        <v>82</v>
      </c>
      <c r="V3926" s="0" t="n">
        <v>0</v>
      </c>
      <c r="W3926" s="27" t="n">
        <f aca="false">MATCH(A3926,DATAS,0)</f>
        <v>1</v>
      </c>
      <c r="X3926" s="27" t="n">
        <f aca="false">IF(AND(E3926&gt;0,OR(AND(B3926&gt;=1,B3926&lt;=6),B3926=10)),1,0)</f>
        <v>0</v>
      </c>
      <c r="Y3926" s="27" t="n">
        <f aca="false">IF(AND(E3926&gt;0,B3926=10),1,0)</f>
        <v>0</v>
      </c>
      <c r="Z3926" s="0" t="str">
        <f aca="false">IF(AND(C3925=C3926,W3925=W3926-1),X3925,"")</f>
        <v/>
      </c>
      <c r="AA3926" s="0" t="str">
        <f aca="false">IF(AND(C3925=C3926,W3925=W3926-1),Y3925,"")</f>
        <v/>
      </c>
      <c r="AB3926" s="0" t="str">
        <f aca="false">IF(W3926=1,"",IF(AND(X3926=1,Z3926&lt;&gt;1),1,0))</f>
        <v/>
      </c>
      <c r="AC3926" s="0" t="str">
        <f aca="false">IF(W3926=1,"",IF(AND(Y3926=1,AA3926&lt;&gt;1),1,0))</f>
        <v/>
      </c>
      <c r="AD3926" s="33" t="str">
        <f aca="false">IF(AND(E3926&gt;0,W3926&lt;1,NOT(AND(C3927=C3926,W3927=W3926+1))),INDEX(DATAS,W3926+1),"")</f>
        <v/>
      </c>
      <c r="AE3926" s="33" t="str">
        <f aca="false">IF(AND(Y3926=1,W3926&lt;1),IF(AND(C3927=C3926,W3927=W3926+1),IF(Y3927=1,"",INDEX(DATAS,W3926+1)),INDEX(DATAS,W3926+1)),"")</f>
        <v/>
      </c>
    </row>
    <row r="3927" customFormat="false" ht="15" hidden="false" customHeight="false" outlineLevel="0" collapsed="false">
      <c r="A3927" s="33" t="n">
        <v>46309</v>
      </c>
      <c r="B3927" s="0" t="n">
        <v>15</v>
      </c>
      <c r="C3927" s="0" t="n">
        <v>30872</v>
      </c>
      <c r="E3927" s="0" t="n">
        <v>0</v>
      </c>
      <c r="F3927" s="27" t="s">
        <v>1610</v>
      </c>
      <c r="I3927" s="27" t="s">
        <v>136</v>
      </c>
      <c r="U3927" s="0" t="n">
        <v>79</v>
      </c>
      <c r="V3927" s="0" t="n">
        <v>0</v>
      </c>
      <c r="W3927" s="27" t="n">
        <f aca="false">MATCH(A3927,DATAS,0)</f>
        <v>1</v>
      </c>
      <c r="X3927" s="27" t="n">
        <f aca="false">IF(AND(E3927&gt;0,OR(AND(B3927&gt;=1,B3927&lt;=6),B3927=10)),1,0)</f>
        <v>0</v>
      </c>
      <c r="Y3927" s="27" t="n">
        <f aca="false">IF(AND(E3927&gt;0,B3927=10),1,0)</f>
        <v>0</v>
      </c>
      <c r="Z3927" s="0" t="str">
        <f aca="false">IF(AND(C3926=C3927,W3926=W3927-1),X3926,"")</f>
        <v/>
      </c>
      <c r="AA3927" s="0" t="str">
        <f aca="false">IF(AND(C3926=C3927,W3926=W3927-1),Y3926,"")</f>
        <v/>
      </c>
      <c r="AB3927" s="0" t="str">
        <f aca="false">IF(W3927=1,"",IF(AND(X3927=1,Z3927&lt;&gt;1),1,0))</f>
        <v/>
      </c>
      <c r="AC3927" s="0" t="str">
        <f aca="false">IF(W3927=1,"",IF(AND(Y3927=1,AA3927&lt;&gt;1),1,0))</f>
        <v/>
      </c>
      <c r="AD3927" s="33" t="str">
        <f aca="false">IF(AND(E3927&gt;0,W3927&lt;1,NOT(AND(C3928=C3927,W3928=W3927+1))),INDEX(DATAS,W3927+1),"")</f>
        <v/>
      </c>
      <c r="AE3927" s="33" t="str">
        <f aca="false">IF(AND(Y3927=1,W3927&lt;1),IF(AND(C3928=C3927,W3928=W3927+1),IF(Y3928=1,"",INDEX(DATAS,W3927+1)),INDEX(DATAS,W3927+1)),"")</f>
        <v/>
      </c>
    </row>
    <row r="3928" customFormat="false" ht="15" hidden="false" customHeight="false" outlineLevel="0" collapsed="false">
      <c r="A3928" s="33" t="n">
        <v>46309</v>
      </c>
      <c r="B3928" s="0" t="n">
        <v>15</v>
      </c>
      <c r="C3928" s="0" t="n">
        <v>30874</v>
      </c>
      <c r="E3928" s="0" t="n">
        <v>0</v>
      </c>
      <c r="F3928" s="27" t="s">
        <v>1613</v>
      </c>
      <c r="I3928" s="27" t="s">
        <v>136</v>
      </c>
      <c r="U3928" s="0" t="n">
        <v>75</v>
      </c>
      <c r="V3928" s="0" t="n">
        <v>0</v>
      </c>
      <c r="W3928" s="27" t="n">
        <f aca="false">MATCH(A3928,DATAS,0)</f>
        <v>1</v>
      </c>
      <c r="X3928" s="27" t="n">
        <f aca="false">IF(AND(E3928&gt;0,OR(AND(B3928&gt;=1,B3928&lt;=6),B3928=10)),1,0)</f>
        <v>0</v>
      </c>
      <c r="Y3928" s="27" t="n">
        <f aca="false">IF(AND(E3928&gt;0,B3928=10),1,0)</f>
        <v>0</v>
      </c>
      <c r="Z3928" s="0" t="str">
        <f aca="false">IF(AND(C3927=C3928,W3927=W3928-1),X3927,"")</f>
        <v/>
      </c>
      <c r="AA3928" s="0" t="str">
        <f aca="false">IF(AND(C3927=C3928,W3927=W3928-1),Y3927,"")</f>
        <v/>
      </c>
      <c r="AB3928" s="0" t="str">
        <f aca="false">IF(W3928=1,"",IF(AND(X3928=1,Z3928&lt;&gt;1),1,0))</f>
        <v/>
      </c>
      <c r="AC3928" s="0" t="str">
        <f aca="false">IF(W3928=1,"",IF(AND(Y3928=1,AA3928&lt;&gt;1),1,0))</f>
        <v/>
      </c>
      <c r="AD3928" s="33" t="str">
        <f aca="false">IF(AND(E3928&gt;0,W3928&lt;1,NOT(AND(C3929=C3928,W3929=W3928+1))),INDEX(DATAS,W3928+1),"")</f>
        <v/>
      </c>
      <c r="AE3928" s="33" t="str">
        <f aca="false">IF(AND(Y3928=1,W3928&lt;1),IF(AND(C3929=C3928,W3929=W3928+1),IF(Y3929=1,"",INDEX(DATAS,W3928+1)),INDEX(DATAS,W3928+1)),"")</f>
        <v/>
      </c>
    </row>
    <row r="3929" customFormat="false" ht="15" hidden="false" customHeight="false" outlineLevel="0" collapsed="false">
      <c r="A3929" s="33" t="n">
        <v>46309</v>
      </c>
      <c r="B3929" s="0" t="n">
        <v>15</v>
      </c>
      <c r="C3929" s="0" t="n">
        <v>30875</v>
      </c>
      <c r="E3929" s="0" t="n">
        <v>0</v>
      </c>
      <c r="F3929" s="27" t="s">
        <v>1613</v>
      </c>
      <c r="I3929" s="27" t="s">
        <v>136</v>
      </c>
      <c r="U3929" s="0" t="n">
        <v>75</v>
      </c>
      <c r="V3929" s="0" t="n">
        <v>0</v>
      </c>
      <c r="W3929" s="27" t="n">
        <f aca="false">MATCH(A3929,DATAS,0)</f>
        <v>1</v>
      </c>
      <c r="X3929" s="27" t="n">
        <f aca="false">IF(AND(E3929&gt;0,OR(AND(B3929&gt;=1,B3929&lt;=6),B3929=10)),1,0)</f>
        <v>0</v>
      </c>
      <c r="Y3929" s="27" t="n">
        <f aca="false">IF(AND(E3929&gt;0,B3929=10),1,0)</f>
        <v>0</v>
      </c>
      <c r="Z3929" s="0" t="str">
        <f aca="false">IF(AND(C3928=C3929,W3928=W3929-1),X3928,"")</f>
        <v/>
      </c>
      <c r="AA3929" s="0" t="str">
        <f aca="false">IF(AND(C3928=C3929,W3928=W3929-1),Y3928,"")</f>
        <v/>
      </c>
      <c r="AB3929" s="0" t="str">
        <f aca="false">IF(W3929=1,"",IF(AND(X3929=1,Z3929&lt;&gt;1),1,0))</f>
        <v/>
      </c>
      <c r="AC3929" s="0" t="str">
        <f aca="false">IF(W3929=1,"",IF(AND(Y3929=1,AA3929&lt;&gt;1),1,0))</f>
        <v/>
      </c>
      <c r="AD3929" s="33" t="str">
        <f aca="false">IF(AND(E3929&gt;0,W3929&lt;1,NOT(AND(C3930=C3929,W3930=W3929+1))),INDEX(DATAS,W3929+1),"")</f>
        <v/>
      </c>
      <c r="AE3929" s="33" t="str">
        <f aca="false">IF(AND(Y3929=1,W3929&lt;1),IF(AND(C3930=C3929,W3930=W3929+1),IF(Y3930=1,"",INDEX(DATAS,W3929+1)),INDEX(DATAS,W3929+1)),"")</f>
        <v/>
      </c>
    </row>
    <row r="3930" customFormat="false" ht="15" hidden="false" customHeight="false" outlineLevel="0" collapsed="false">
      <c r="A3930" s="33" t="n">
        <v>46309</v>
      </c>
      <c r="B3930" s="0" t="n">
        <v>15</v>
      </c>
      <c r="C3930" s="0" t="n">
        <v>30877</v>
      </c>
      <c r="E3930" s="0" t="n">
        <v>0</v>
      </c>
      <c r="F3930" s="27" t="s">
        <v>1614</v>
      </c>
      <c r="I3930" s="27" t="s">
        <v>136</v>
      </c>
      <c r="U3930" s="0" t="n">
        <v>74</v>
      </c>
      <c r="V3930" s="0" t="n">
        <v>0</v>
      </c>
      <c r="W3930" s="27" t="n">
        <f aca="false">MATCH(A3930,DATAS,0)</f>
        <v>1</v>
      </c>
      <c r="X3930" s="27" t="n">
        <f aca="false">IF(AND(E3930&gt;0,OR(AND(B3930&gt;=1,B3930&lt;=6),B3930=10)),1,0)</f>
        <v>0</v>
      </c>
      <c r="Y3930" s="27" t="n">
        <f aca="false">IF(AND(E3930&gt;0,B3930=10),1,0)</f>
        <v>0</v>
      </c>
      <c r="Z3930" s="0" t="str">
        <f aca="false">IF(AND(C3929=C3930,W3929=W3930-1),X3929,"")</f>
        <v/>
      </c>
      <c r="AA3930" s="0" t="str">
        <f aca="false">IF(AND(C3929=C3930,W3929=W3930-1),Y3929,"")</f>
        <v/>
      </c>
      <c r="AB3930" s="0" t="str">
        <f aca="false">IF(W3930=1,"",IF(AND(X3930=1,Z3930&lt;&gt;1),1,0))</f>
        <v/>
      </c>
      <c r="AC3930" s="0" t="str">
        <f aca="false">IF(W3930=1,"",IF(AND(Y3930=1,AA3930&lt;&gt;1),1,0))</f>
        <v/>
      </c>
      <c r="AD3930" s="33" t="str">
        <f aca="false">IF(AND(E3930&gt;0,W3930&lt;1,NOT(AND(C3931=C3930,W3931=W3930+1))),INDEX(DATAS,W3930+1),"")</f>
        <v/>
      </c>
      <c r="AE3930" s="33" t="str">
        <f aca="false">IF(AND(Y3930=1,W3930&lt;1),IF(AND(C3931=C3930,W3931=W3930+1),IF(Y3931=1,"",INDEX(DATAS,W3930+1)),INDEX(DATAS,W3930+1)),"")</f>
        <v/>
      </c>
    </row>
    <row r="3931" customFormat="false" ht="15" hidden="false" customHeight="false" outlineLevel="0" collapsed="false">
      <c r="A3931" s="33" t="n">
        <v>46309</v>
      </c>
      <c r="B3931" s="0" t="n">
        <v>15</v>
      </c>
      <c r="C3931" s="0" t="n">
        <v>30878</v>
      </c>
      <c r="E3931" s="0" t="n">
        <v>0</v>
      </c>
      <c r="F3931" s="27" t="s">
        <v>1614</v>
      </c>
      <c r="I3931" s="27" t="s">
        <v>136</v>
      </c>
      <c r="U3931" s="0" t="n">
        <v>74</v>
      </c>
      <c r="V3931" s="0" t="n">
        <v>0</v>
      </c>
      <c r="W3931" s="27" t="n">
        <f aca="false">MATCH(A3931,DATAS,0)</f>
        <v>1</v>
      </c>
      <c r="X3931" s="27" t="n">
        <f aca="false">IF(AND(E3931&gt;0,OR(AND(B3931&gt;=1,B3931&lt;=6),B3931=10)),1,0)</f>
        <v>0</v>
      </c>
      <c r="Y3931" s="27" t="n">
        <f aca="false">IF(AND(E3931&gt;0,B3931=10),1,0)</f>
        <v>0</v>
      </c>
      <c r="Z3931" s="0" t="str">
        <f aca="false">IF(AND(C3930=C3931,W3930=W3931-1),X3930,"")</f>
        <v/>
      </c>
      <c r="AA3931" s="0" t="str">
        <f aca="false">IF(AND(C3930=C3931,W3930=W3931-1),Y3930,"")</f>
        <v/>
      </c>
      <c r="AB3931" s="0" t="str">
        <f aca="false">IF(W3931=1,"",IF(AND(X3931=1,Z3931&lt;&gt;1),1,0))</f>
        <v/>
      </c>
      <c r="AC3931" s="0" t="str">
        <f aca="false">IF(W3931=1,"",IF(AND(Y3931=1,AA3931&lt;&gt;1),1,0))</f>
        <v/>
      </c>
      <c r="AD3931" s="33" t="str">
        <f aca="false">IF(AND(E3931&gt;0,W3931&lt;1,NOT(AND(C3932=C3931,W3932=W3931+1))),INDEX(DATAS,W3931+1),"")</f>
        <v/>
      </c>
      <c r="AE3931" s="33" t="str">
        <f aca="false">IF(AND(Y3931=1,W3931&lt;1),IF(AND(C3932=C3931,W3932=W3931+1),IF(Y3932=1,"",INDEX(DATAS,W3931+1)),INDEX(DATAS,W3931+1)),"")</f>
        <v/>
      </c>
    </row>
    <row r="3932" customFormat="false" ht="15" hidden="false" customHeight="false" outlineLevel="0" collapsed="false">
      <c r="A3932" s="33" t="n">
        <v>46309</v>
      </c>
      <c r="B3932" s="0" t="n">
        <v>15</v>
      </c>
      <c r="C3932" s="0" t="n">
        <v>30879</v>
      </c>
      <c r="E3932" s="0" t="n">
        <v>0</v>
      </c>
      <c r="F3932" s="27" t="s">
        <v>1614</v>
      </c>
      <c r="I3932" s="27" t="s">
        <v>136</v>
      </c>
      <c r="U3932" s="0" t="n">
        <v>74</v>
      </c>
      <c r="V3932" s="0" t="n">
        <v>0</v>
      </c>
      <c r="W3932" s="27" t="n">
        <f aca="false">MATCH(A3932,DATAS,0)</f>
        <v>1</v>
      </c>
      <c r="X3932" s="27" t="n">
        <f aca="false">IF(AND(E3932&gt;0,OR(AND(B3932&gt;=1,B3932&lt;=6),B3932=10)),1,0)</f>
        <v>0</v>
      </c>
      <c r="Y3932" s="27" t="n">
        <f aca="false">IF(AND(E3932&gt;0,B3932=10),1,0)</f>
        <v>0</v>
      </c>
      <c r="Z3932" s="0" t="str">
        <f aca="false">IF(AND(C3931=C3932,W3931=W3932-1),X3931,"")</f>
        <v/>
      </c>
      <c r="AA3932" s="0" t="str">
        <f aca="false">IF(AND(C3931=C3932,W3931=W3932-1),Y3931,"")</f>
        <v/>
      </c>
      <c r="AB3932" s="0" t="str">
        <f aca="false">IF(W3932=1,"",IF(AND(X3932=1,Z3932&lt;&gt;1),1,0))</f>
        <v/>
      </c>
      <c r="AC3932" s="0" t="str">
        <f aca="false">IF(W3932=1,"",IF(AND(Y3932=1,AA3932&lt;&gt;1),1,0))</f>
        <v/>
      </c>
      <c r="AD3932" s="33" t="str">
        <f aca="false">IF(AND(E3932&gt;0,W3932&lt;1,NOT(AND(C3933=C3932,W3933=W3932+1))),INDEX(DATAS,W3932+1),"")</f>
        <v/>
      </c>
      <c r="AE3932" s="33" t="str">
        <f aca="false">IF(AND(Y3932=1,W3932&lt;1),IF(AND(C3933=C3932,W3933=W3932+1),IF(Y3933=1,"",INDEX(DATAS,W3932+1)),INDEX(DATAS,W3932+1)),"")</f>
        <v/>
      </c>
    </row>
    <row r="3933" customFormat="false" ht="15" hidden="false" customHeight="false" outlineLevel="0" collapsed="false">
      <c r="A3933" s="33" t="n">
        <v>46309</v>
      </c>
      <c r="B3933" s="0" t="n">
        <v>15</v>
      </c>
      <c r="C3933" s="0" t="n">
        <v>30881</v>
      </c>
      <c r="E3933" s="0" t="n">
        <v>0</v>
      </c>
      <c r="F3933" s="27" t="s">
        <v>1622</v>
      </c>
      <c r="I3933" s="27" t="s">
        <v>136</v>
      </c>
      <c r="U3933" s="0" t="n">
        <v>66</v>
      </c>
      <c r="V3933" s="0" t="n">
        <v>0</v>
      </c>
      <c r="W3933" s="27" t="n">
        <f aca="false">MATCH(A3933,DATAS,0)</f>
        <v>1</v>
      </c>
      <c r="X3933" s="27" t="n">
        <f aca="false">IF(AND(E3933&gt;0,OR(AND(B3933&gt;=1,B3933&lt;=6),B3933=10)),1,0)</f>
        <v>0</v>
      </c>
      <c r="Y3933" s="27" t="n">
        <f aca="false">IF(AND(E3933&gt;0,B3933=10),1,0)</f>
        <v>0</v>
      </c>
      <c r="Z3933" s="0" t="str">
        <f aca="false">IF(AND(C3932=C3933,W3932=W3933-1),X3932,"")</f>
        <v/>
      </c>
      <c r="AA3933" s="0" t="str">
        <f aca="false">IF(AND(C3932=C3933,W3932=W3933-1),Y3932,"")</f>
        <v/>
      </c>
      <c r="AB3933" s="0" t="str">
        <f aca="false">IF(W3933=1,"",IF(AND(X3933=1,Z3933&lt;&gt;1),1,0))</f>
        <v/>
      </c>
      <c r="AC3933" s="0" t="str">
        <f aca="false">IF(W3933=1,"",IF(AND(Y3933=1,AA3933&lt;&gt;1),1,0))</f>
        <v/>
      </c>
      <c r="AD3933" s="33" t="str">
        <f aca="false">IF(AND(E3933&gt;0,W3933&lt;1,NOT(AND(C3934=C3933,W3934=W3933+1))),INDEX(DATAS,W3933+1),"")</f>
        <v/>
      </c>
      <c r="AE3933" s="33" t="str">
        <f aca="false">IF(AND(Y3933=1,W3933&lt;1),IF(AND(C3934=C3933,W3934=W3933+1),IF(Y3934=1,"",INDEX(DATAS,W3933+1)),INDEX(DATAS,W3933+1)),"")</f>
        <v/>
      </c>
    </row>
    <row r="3934" customFormat="false" ht="15" hidden="false" customHeight="false" outlineLevel="0" collapsed="false">
      <c r="A3934" s="33" t="n">
        <v>46309</v>
      </c>
      <c r="B3934" s="0" t="n">
        <v>15</v>
      </c>
      <c r="C3934" s="0" t="n">
        <v>30883</v>
      </c>
      <c r="E3934" s="0" t="n">
        <v>0</v>
      </c>
      <c r="F3934" s="27" t="s">
        <v>1622</v>
      </c>
      <c r="I3934" s="27" t="s">
        <v>136</v>
      </c>
      <c r="U3934" s="0" t="n">
        <v>66</v>
      </c>
      <c r="V3934" s="0" t="n">
        <v>0</v>
      </c>
      <c r="W3934" s="27" t="n">
        <f aca="false">MATCH(A3934,DATAS,0)</f>
        <v>1</v>
      </c>
      <c r="X3934" s="27" t="n">
        <f aca="false">IF(AND(E3934&gt;0,OR(AND(B3934&gt;=1,B3934&lt;=6),B3934=10)),1,0)</f>
        <v>0</v>
      </c>
      <c r="Y3934" s="27" t="n">
        <f aca="false">IF(AND(E3934&gt;0,B3934=10),1,0)</f>
        <v>0</v>
      </c>
      <c r="Z3934" s="0" t="str">
        <f aca="false">IF(AND(C3933=C3934,W3933=W3934-1),X3933,"")</f>
        <v/>
      </c>
      <c r="AA3934" s="0" t="str">
        <f aca="false">IF(AND(C3933=C3934,W3933=W3934-1),Y3933,"")</f>
        <v/>
      </c>
      <c r="AB3934" s="0" t="str">
        <f aca="false">IF(W3934=1,"",IF(AND(X3934=1,Z3934&lt;&gt;1),1,0))</f>
        <v/>
      </c>
      <c r="AC3934" s="0" t="str">
        <f aca="false">IF(W3934=1,"",IF(AND(Y3934=1,AA3934&lt;&gt;1),1,0))</f>
        <v/>
      </c>
      <c r="AD3934" s="33" t="str">
        <f aca="false">IF(AND(E3934&gt;0,W3934&lt;1,NOT(AND(C3935=C3934,W3935=W3934+1))),INDEX(DATAS,W3934+1),"")</f>
        <v/>
      </c>
      <c r="AE3934" s="33" t="str">
        <f aca="false">IF(AND(Y3934=1,W3934&lt;1),IF(AND(C3935=C3934,W3935=W3934+1),IF(Y3935=1,"",INDEX(DATAS,W3934+1)),INDEX(DATAS,W3934+1)),"")</f>
        <v/>
      </c>
    </row>
    <row r="3935" customFormat="false" ht="15" hidden="false" customHeight="false" outlineLevel="0" collapsed="false">
      <c r="A3935" s="33" t="n">
        <v>46309</v>
      </c>
      <c r="B3935" s="0" t="n">
        <v>15</v>
      </c>
      <c r="C3935" s="0" t="n">
        <v>30884</v>
      </c>
      <c r="E3935" s="0" t="n">
        <v>0</v>
      </c>
      <c r="F3935" s="27" t="s">
        <v>1622</v>
      </c>
      <c r="I3935" s="27" t="s">
        <v>136</v>
      </c>
      <c r="U3935" s="0" t="n">
        <v>66</v>
      </c>
      <c r="V3935" s="0" t="n">
        <v>0</v>
      </c>
      <c r="W3935" s="27" t="n">
        <f aca="false">MATCH(A3935,DATAS,0)</f>
        <v>1</v>
      </c>
      <c r="X3935" s="27" t="n">
        <f aca="false">IF(AND(E3935&gt;0,OR(AND(B3935&gt;=1,B3935&lt;=6),B3935=10)),1,0)</f>
        <v>0</v>
      </c>
      <c r="Y3935" s="27" t="n">
        <f aca="false">IF(AND(E3935&gt;0,B3935=10),1,0)</f>
        <v>0</v>
      </c>
      <c r="Z3935" s="0" t="str">
        <f aca="false">IF(AND(C3934=C3935,W3934=W3935-1),X3934,"")</f>
        <v/>
      </c>
      <c r="AA3935" s="0" t="str">
        <f aca="false">IF(AND(C3934=C3935,W3934=W3935-1),Y3934,"")</f>
        <v/>
      </c>
      <c r="AB3935" s="0" t="str">
        <f aca="false">IF(W3935=1,"",IF(AND(X3935=1,Z3935&lt;&gt;1),1,0))</f>
        <v/>
      </c>
      <c r="AC3935" s="0" t="str">
        <f aca="false">IF(W3935=1,"",IF(AND(Y3935=1,AA3935&lt;&gt;1),1,0))</f>
        <v/>
      </c>
      <c r="AD3935" s="33" t="str">
        <f aca="false">IF(AND(E3935&gt;0,W3935&lt;1,NOT(AND(C3936=C3935,W3936=W3935+1))),INDEX(DATAS,W3935+1),"")</f>
        <v/>
      </c>
      <c r="AE3935" s="33" t="str">
        <f aca="false">IF(AND(Y3935=1,W3935&lt;1),IF(AND(C3936=C3935,W3936=W3935+1),IF(Y3936=1,"",INDEX(DATAS,W3935+1)),INDEX(DATAS,W3935+1)),"")</f>
        <v/>
      </c>
    </row>
    <row r="3936" customFormat="false" ht="15" hidden="false" customHeight="false" outlineLevel="0" collapsed="false">
      <c r="A3936" s="33" t="n">
        <v>46309</v>
      </c>
      <c r="B3936" s="0" t="n">
        <v>15</v>
      </c>
      <c r="C3936" s="0" t="n">
        <v>30885</v>
      </c>
      <c r="E3936" s="0" t="n">
        <v>0</v>
      </c>
      <c r="F3936" s="27" t="s">
        <v>1623</v>
      </c>
      <c r="I3936" s="27" t="s">
        <v>136</v>
      </c>
      <c r="U3936" s="0" t="n">
        <v>65</v>
      </c>
      <c r="V3936" s="0" t="n">
        <v>0</v>
      </c>
      <c r="W3936" s="27" t="n">
        <f aca="false">MATCH(A3936,DATAS,0)</f>
        <v>1</v>
      </c>
      <c r="X3936" s="27" t="n">
        <f aca="false">IF(AND(E3936&gt;0,OR(AND(B3936&gt;=1,B3936&lt;=6),B3936=10)),1,0)</f>
        <v>0</v>
      </c>
      <c r="Y3936" s="27" t="n">
        <f aca="false">IF(AND(E3936&gt;0,B3936=10),1,0)</f>
        <v>0</v>
      </c>
      <c r="Z3936" s="0" t="str">
        <f aca="false">IF(AND(C3935=C3936,W3935=W3936-1),X3935,"")</f>
        <v/>
      </c>
      <c r="AA3936" s="0" t="str">
        <f aca="false">IF(AND(C3935=C3936,W3935=W3936-1),Y3935,"")</f>
        <v/>
      </c>
      <c r="AB3936" s="0" t="str">
        <f aca="false">IF(W3936=1,"",IF(AND(X3936=1,Z3936&lt;&gt;1),1,0))</f>
        <v/>
      </c>
      <c r="AC3936" s="0" t="str">
        <f aca="false">IF(W3936=1,"",IF(AND(Y3936=1,AA3936&lt;&gt;1),1,0))</f>
        <v/>
      </c>
      <c r="AD3936" s="33" t="str">
        <f aca="false">IF(AND(E3936&gt;0,W3936&lt;1,NOT(AND(C3937=C3936,W3937=W3936+1))),INDEX(DATAS,W3936+1),"")</f>
        <v/>
      </c>
      <c r="AE3936" s="33" t="str">
        <f aca="false">IF(AND(Y3936=1,W3936&lt;1),IF(AND(C3937=C3936,W3937=W3936+1),IF(Y3937=1,"",INDEX(DATAS,W3936+1)),INDEX(DATAS,W3936+1)),"")</f>
        <v/>
      </c>
    </row>
    <row r="3937" customFormat="false" ht="15" hidden="false" customHeight="false" outlineLevel="0" collapsed="false">
      <c r="A3937" s="33" t="n">
        <v>46309</v>
      </c>
      <c r="B3937" s="0" t="n">
        <v>15</v>
      </c>
      <c r="C3937" s="0" t="n">
        <v>30888</v>
      </c>
      <c r="E3937" s="0" t="n">
        <v>0</v>
      </c>
      <c r="F3937" s="27" t="s">
        <v>1625</v>
      </c>
      <c r="I3937" s="27" t="s">
        <v>136</v>
      </c>
      <c r="U3937" s="0" t="n">
        <v>63</v>
      </c>
      <c r="V3937" s="0" t="n">
        <v>0</v>
      </c>
      <c r="W3937" s="27" t="n">
        <f aca="false">MATCH(A3937,DATAS,0)</f>
        <v>1</v>
      </c>
      <c r="X3937" s="27" t="n">
        <f aca="false">IF(AND(E3937&gt;0,OR(AND(B3937&gt;=1,B3937&lt;=6),B3937=10)),1,0)</f>
        <v>0</v>
      </c>
      <c r="Y3937" s="27" t="n">
        <f aca="false">IF(AND(E3937&gt;0,B3937=10),1,0)</f>
        <v>0</v>
      </c>
      <c r="Z3937" s="0" t="str">
        <f aca="false">IF(AND(C3936=C3937,W3936=W3937-1),X3936,"")</f>
        <v/>
      </c>
      <c r="AA3937" s="0" t="str">
        <f aca="false">IF(AND(C3936=C3937,W3936=W3937-1),Y3936,"")</f>
        <v/>
      </c>
      <c r="AB3937" s="0" t="str">
        <f aca="false">IF(W3937=1,"",IF(AND(X3937=1,Z3937&lt;&gt;1),1,0))</f>
        <v/>
      </c>
      <c r="AC3937" s="0" t="str">
        <f aca="false">IF(W3937=1,"",IF(AND(Y3937=1,AA3937&lt;&gt;1),1,0))</f>
        <v/>
      </c>
      <c r="AD3937" s="33" t="str">
        <f aca="false">IF(AND(E3937&gt;0,W3937&lt;1,NOT(AND(C3938=C3937,W3938=W3937+1))),INDEX(DATAS,W3937+1),"")</f>
        <v/>
      </c>
      <c r="AE3937" s="33" t="str">
        <f aca="false">IF(AND(Y3937=1,W3937&lt;1),IF(AND(C3938=C3937,W3938=W3937+1),IF(Y3938=1,"",INDEX(DATAS,W3937+1)),INDEX(DATAS,W3937+1)),"")</f>
        <v/>
      </c>
    </row>
    <row r="3938" customFormat="false" ht="15" hidden="false" customHeight="false" outlineLevel="0" collapsed="false">
      <c r="A3938" s="33" t="n">
        <v>46309</v>
      </c>
      <c r="B3938" s="0" t="n">
        <v>15</v>
      </c>
      <c r="C3938" s="0" t="n">
        <v>30889</v>
      </c>
      <c r="E3938" s="0" t="n">
        <v>0</v>
      </c>
      <c r="F3938" s="27" t="s">
        <v>1625</v>
      </c>
      <c r="I3938" s="27" t="s">
        <v>136</v>
      </c>
      <c r="U3938" s="0" t="n">
        <v>63</v>
      </c>
      <c r="V3938" s="0" t="n">
        <v>0</v>
      </c>
      <c r="W3938" s="27" t="n">
        <f aca="false">MATCH(A3938,DATAS,0)</f>
        <v>1</v>
      </c>
      <c r="X3938" s="27" t="n">
        <f aca="false">IF(AND(E3938&gt;0,OR(AND(B3938&gt;=1,B3938&lt;=6),B3938=10)),1,0)</f>
        <v>0</v>
      </c>
      <c r="Y3938" s="27" t="n">
        <f aca="false">IF(AND(E3938&gt;0,B3938=10),1,0)</f>
        <v>0</v>
      </c>
      <c r="Z3938" s="0" t="str">
        <f aca="false">IF(AND(C3937=C3938,W3937=W3938-1),X3937,"")</f>
        <v/>
      </c>
      <c r="AA3938" s="0" t="str">
        <f aca="false">IF(AND(C3937=C3938,W3937=W3938-1),Y3937,"")</f>
        <v/>
      </c>
      <c r="AB3938" s="0" t="str">
        <f aca="false">IF(W3938=1,"",IF(AND(X3938=1,Z3938&lt;&gt;1),1,0))</f>
        <v/>
      </c>
      <c r="AC3938" s="0" t="str">
        <f aca="false">IF(W3938=1,"",IF(AND(Y3938=1,AA3938&lt;&gt;1),1,0))</f>
        <v/>
      </c>
      <c r="AD3938" s="33" t="str">
        <f aca="false">IF(AND(E3938&gt;0,W3938&lt;1,NOT(AND(C3939=C3938,W3939=W3938+1))),INDEX(DATAS,W3938+1),"")</f>
        <v/>
      </c>
      <c r="AE3938" s="33" t="str">
        <f aca="false">IF(AND(Y3938=1,W3938&lt;1),IF(AND(C3939=C3938,W3939=W3938+1),IF(Y3939=1,"",INDEX(DATAS,W3938+1)),INDEX(DATAS,W3938+1)),"")</f>
        <v/>
      </c>
    </row>
    <row r="3939" customFormat="false" ht="15" hidden="false" customHeight="false" outlineLevel="0" collapsed="false">
      <c r="A3939" s="33" t="n">
        <v>46309</v>
      </c>
      <c r="B3939" s="0" t="n">
        <v>15</v>
      </c>
      <c r="C3939" s="0" t="n">
        <v>30890</v>
      </c>
      <c r="E3939" s="0" t="n">
        <v>0</v>
      </c>
      <c r="F3939" s="27" t="s">
        <v>1626</v>
      </c>
      <c r="I3939" s="27" t="s">
        <v>136</v>
      </c>
      <c r="U3939" s="0" t="n">
        <v>62</v>
      </c>
      <c r="V3939" s="0" t="n">
        <v>0</v>
      </c>
      <c r="W3939" s="27" t="n">
        <f aca="false">MATCH(A3939,DATAS,0)</f>
        <v>1</v>
      </c>
      <c r="X3939" s="27" t="n">
        <f aca="false">IF(AND(E3939&gt;0,OR(AND(B3939&gt;=1,B3939&lt;=6),B3939=10)),1,0)</f>
        <v>0</v>
      </c>
      <c r="Y3939" s="27" t="n">
        <f aca="false">IF(AND(E3939&gt;0,B3939=10),1,0)</f>
        <v>0</v>
      </c>
      <c r="Z3939" s="0" t="str">
        <f aca="false">IF(AND(C3938=C3939,W3938=W3939-1),X3938,"")</f>
        <v/>
      </c>
      <c r="AA3939" s="0" t="str">
        <f aca="false">IF(AND(C3938=C3939,W3938=W3939-1),Y3938,"")</f>
        <v/>
      </c>
      <c r="AB3939" s="0" t="str">
        <f aca="false">IF(W3939=1,"",IF(AND(X3939=1,Z3939&lt;&gt;1),1,0))</f>
        <v/>
      </c>
      <c r="AC3939" s="0" t="str">
        <f aca="false">IF(W3939=1,"",IF(AND(Y3939=1,AA3939&lt;&gt;1),1,0))</f>
        <v/>
      </c>
      <c r="AD3939" s="33" t="str">
        <f aca="false">IF(AND(E3939&gt;0,W3939&lt;1,NOT(AND(C3940=C3939,W3940=W3939+1))),INDEX(DATAS,W3939+1),"")</f>
        <v/>
      </c>
      <c r="AE3939" s="33" t="str">
        <f aca="false">IF(AND(Y3939=1,W3939&lt;1),IF(AND(C3940=C3939,W3940=W3939+1),IF(Y3940=1,"",INDEX(DATAS,W3939+1)),INDEX(DATAS,W3939+1)),"")</f>
        <v/>
      </c>
    </row>
    <row r="3940" customFormat="false" ht="15" hidden="false" customHeight="false" outlineLevel="0" collapsed="false">
      <c r="A3940" s="33" t="n">
        <v>46309</v>
      </c>
      <c r="B3940" s="0" t="n">
        <v>15</v>
      </c>
      <c r="C3940" s="0" t="n">
        <v>30891</v>
      </c>
      <c r="E3940" s="0" t="n">
        <v>0</v>
      </c>
      <c r="F3940" s="27" t="s">
        <v>1626</v>
      </c>
      <c r="I3940" s="27" t="s">
        <v>136</v>
      </c>
      <c r="U3940" s="0" t="n">
        <v>62</v>
      </c>
      <c r="V3940" s="0" t="n">
        <v>0</v>
      </c>
      <c r="W3940" s="27" t="n">
        <f aca="false">MATCH(A3940,DATAS,0)</f>
        <v>1</v>
      </c>
      <c r="X3940" s="27" t="n">
        <f aca="false">IF(AND(E3940&gt;0,OR(AND(B3940&gt;=1,B3940&lt;=6),B3940=10)),1,0)</f>
        <v>0</v>
      </c>
      <c r="Y3940" s="27" t="n">
        <f aca="false">IF(AND(E3940&gt;0,B3940=10),1,0)</f>
        <v>0</v>
      </c>
      <c r="Z3940" s="0" t="str">
        <f aca="false">IF(AND(C3939=C3940,W3939=W3940-1),X3939,"")</f>
        <v/>
      </c>
      <c r="AA3940" s="0" t="str">
        <f aca="false">IF(AND(C3939=C3940,W3939=W3940-1),Y3939,"")</f>
        <v/>
      </c>
      <c r="AB3940" s="0" t="str">
        <f aca="false">IF(W3940=1,"",IF(AND(X3940=1,Z3940&lt;&gt;1),1,0))</f>
        <v/>
      </c>
      <c r="AC3940" s="0" t="str">
        <f aca="false">IF(W3940=1,"",IF(AND(Y3940=1,AA3940&lt;&gt;1),1,0))</f>
        <v/>
      </c>
      <c r="AD3940" s="33" t="str">
        <f aca="false">IF(AND(E3940&gt;0,W3940&lt;1,NOT(AND(C3941=C3940,W3941=W3940+1))),INDEX(DATAS,W3940+1),"")</f>
        <v/>
      </c>
      <c r="AE3940" s="33" t="str">
        <f aca="false">IF(AND(Y3940=1,W3940&lt;1),IF(AND(C3941=C3940,W3941=W3940+1),IF(Y3941=1,"",INDEX(DATAS,W3940+1)),INDEX(DATAS,W3940+1)),"")</f>
        <v/>
      </c>
    </row>
    <row r="3941" customFormat="false" ht="15" hidden="false" customHeight="false" outlineLevel="0" collapsed="false">
      <c r="A3941" s="33" t="n">
        <v>46309</v>
      </c>
      <c r="B3941" s="0" t="n">
        <v>15</v>
      </c>
      <c r="C3941" s="0" t="n">
        <v>30894</v>
      </c>
      <c r="E3941" s="0" t="n">
        <v>0</v>
      </c>
      <c r="F3941" s="27" t="s">
        <v>1631</v>
      </c>
      <c r="I3941" s="27" t="s">
        <v>136</v>
      </c>
      <c r="U3941" s="0" t="n">
        <v>57</v>
      </c>
      <c r="V3941" s="0" t="n">
        <v>0</v>
      </c>
      <c r="W3941" s="27" t="n">
        <f aca="false">MATCH(A3941,DATAS,0)</f>
        <v>1</v>
      </c>
      <c r="X3941" s="27" t="n">
        <f aca="false">IF(AND(E3941&gt;0,OR(AND(B3941&gt;=1,B3941&lt;=6),B3941=10)),1,0)</f>
        <v>0</v>
      </c>
      <c r="Y3941" s="27" t="n">
        <f aca="false">IF(AND(E3941&gt;0,B3941=10),1,0)</f>
        <v>0</v>
      </c>
      <c r="Z3941" s="0" t="str">
        <f aca="false">IF(AND(C3940=C3941,W3940=W3941-1),X3940,"")</f>
        <v/>
      </c>
      <c r="AA3941" s="0" t="str">
        <f aca="false">IF(AND(C3940=C3941,W3940=W3941-1),Y3940,"")</f>
        <v/>
      </c>
      <c r="AB3941" s="0" t="str">
        <f aca="false">IF(W3941=1,"",IF(AND(X3941=1,Z3941&lt;&gt;1),1,0))</f>
        <v/>
      </c>
      <c r="AC3941" s="0" t="str">
        <f aca="false">IF(W3941=1,"",IF(AND(Y3941=1,AA3941&lt;&gt;1),1,0))</f>
        <v/>
      </c>
      <c r="AD3941" s="33" t="str">
        <f aca="false">IF(AND(E3941&gt;0,W3941&lt;1,NOT(AND(C3942=C3941,W3942=W3941+1))),INDEX(DATAS,W3941+1),"")</f>
        <v/>
      </c>
      <c r="AE3941" s="33" t="str">
        <f aca="false">IF(AND(Y3941=1,W3941&lt;1),IF(AND(C3942=C3941,W3942=W3941+1),IF(Y3942=1,"",INDEX(DATAS,W3941+1)),INDEX(DATAS,W3941+1)),"")</f>
        <v/>
      </c>
    </row>
    <row r="3942" customFormat="false" ht="15" hidden="false" customHeight="false" outlineLevel="0" collapsed="false">
      <c r="A3942" s="33" t="n">
        <v>46309</v>
      </c>
      <c r="B3942" s="0" t="n">
        <v>15</v>
      </c>
      <c r="C3942" s="0" t="n">
        <v>30895</v>
      </c>
      <c r="E3942" s="0" t="n">
        <v>0</v>
      </c>
      <c r="F3942" s="27" t="s">
        <v>1633</v>
      </c>
      <c r="I3942" s="27" t="s">
        <v>136</v>
      </c>
      <c r="U3942" s="0" t="n">
        <v>55</v>
      </c>
      <c r="V3942" s="0" t="n">
        <v>0</v>
      </c>
      <c r="W3942" s="27" t="n">
        <f aca="false">MATCH(A3942,DATAS,0)</f>
        <v>1</v>
      </c>
      <c r="X3942" s="27" t="n">
        <f aca="false">IF(AND(E3942&gt;0,OR(AND(B3942&gt;=1,B3942&lt;=6),B3942=10)),1,0)</f>
        <v>0</v>
      </c>
      <c r="Y3942" s="27" t="n">
        <f aca="false">IF(AND(E3942&gt;0,B3942=10),1,0)</f>
        <v>0</v>
      </c>
      <c r="Z3942" s="0" t="str">
        <f aca="false">IF(AND(C3941=C3942,W3941=W3942-1),X3941,"")</f>
        <v/>
      </c>
      <c r="AA3942" s="0" t="str">
        <f aca="false">IF(AND(C3941=C3942,W3941=W3942-1),Y3941,"")</f>
        <v/>
      </c>
      <c r="AB3942" s="0" t="str">
        <f aca="false">IF(W3942=1,"",IF(AND(X3942=1,Z3942&lt;&gt;1),1,0))</f>
        <v/>
      </c>
      <c r="AC3942" s="0" t="str">
        <f aca="false">IF(W3942=1,"",IF(AND(Y3942=1,AA3942&lt;&gt;1),1,0))</f>
        <v/>
      </c>
      <c r="AD3942" s="33" t="str">
        <f aca="false">IF(AND(E3942&gt;0,W3942&lt;1,NOT(AND(C3943=C3942,W3943=W3942+1))),INDEX(DATAS,W3942+1),"")</f>
        <v/>
      </c>
      <c r="AE3942" s="33" t="str">
        <f aca="false">IF(AND(Y3942=1,W3942&lt;1),IF(AND(C3943=C3942,W3943=W3942+1),IF(Y3943=1,"",INDEX(DATAS,W3942+1)),INDEX(DATAS,W3942+1)),"")</f>
        <v/>
      </c>
    </row>
    <row r="3943" customFormat="false" ht="15" hidden="false" customHeight="false" outlineLevel="0" collapsed="false">
      <c r="A3943" s="33" t="n">
        <v>46309</v>
      </c>
      <c r="B3943" s="0" t="n">
        <v>15</v>
      </c>
      <c r="C3943" s="0" t="n">
        <v>30896</v>
      </c>
      <c r="E3943" s="0" t="n">
        <v>0</v>
      </c>
      <c r="F3943" s="27" t="s">
        <v>1633</v>
      </c>
      <c r="I3943" s="27" t="s">
        <v>136</v>
      </c>
      <c r="U3943" s="0" t="n">
        <v>55</v>
      </c>
      <c r="V3943" s="0" t="n">
        <v>0</v>
      </c>
      <c r="W3943" s="27" t="n">
        <f aca="false">MATCH(A3943,DATAS,0)</f>
        <v>1</v>
      </c>
      <c r="X3943" s="27" t="n">
        <f aca="false">IF(AND(E3943&gt;0,OR(AND(B3943&gt;=1,B3943&lt;=6),B3943=10)),1,0)</f>
        <v>0</v>
      </c>
      <c r="Y3943" s="27" t="n">
        <f aca="false">IF(AND(E3943&gt;0,B3943=10),1,0)</f>
        <v>0</v>
      </c>
      <c r="Z3943" s="0" t="str">
        <f aca="false">IF(AND(C3942=C3943,W3942=W3943-1),X3942,"")</f>
        <v/>
      </c>
      <c r="AA3943" s="0" t="str">
        <f aca="false">IF(AND(C3942=C3943,W3942=W3943-1),Y3942,"")</f>
        <v/>
      </c>
      <c r="AB3943" s="0" t="str">
        <f aca="false">IF(W3943=1,"",IF(AND(X3943=1,Z3943&lt;&gt;1),1,0))</f>
        <v/>
      </c>
      <c r="AC3943" s="0" t="str">
        <f aca="false">IF(W3943=1,"",IF(AND(Y3943=1,AA3943&lt;&gt;1),1,0))</f>
        <v/>
      </c>
      <c r="AD3943" s="33" t="str">
        <f aca="false">IF(AND(E3943&gt;0,W3943&lt;1,NOT(AND(C3944=C3943,W3944=W3943+1))),INDEX(DATAS,W3943+1),"")</f>
        <v/>
      </c>
      <c r="AE3943" s="33" t="str">
        <f aca="false">IF(AND(Y3943=1,W3943&lt;1),IF(AND(C3944=C3943,W3944=W3943+1),IF(Y3944=1,"",INDEX(DATAS,W3943+1)),INDEX(DATAS,W3943+1)),"")</f>
        <v/>
      </c>
    </row>
    <row r="3944" customFormat="false" ht="15" hidden="false" customHeight="false" outlineLevel="0" collapsed="false">
      <c r="A3944" s="33" t="n">
        <v>46309</v>
      </c>
      <c r="B3944" s="0" t="n">
        <v>15</v>
      </c>
      <c r="C3944" s="0" t="n">
        <v>30897</v>
      </c>
      <c r="E3944" s="0" t="n">
        <v>0</v>
      </c>
      <c r="F3944" s="27" t="s">
        <v>1634</v>
      </c>
      <c r="I3944" s="27" t="s">
        <v>136</v>
      </c>
      <c r="U3944" s="0" t="n">
        <v>54</v>
      </c>
      <c r="V3944" s="0" t="n">
        <v>0</v>
      </c>
      <c r="W3944" s="27" t="n">
        <f aca="false">MATCH(A3944,DATAS,0)</f>
        <v>1</v>
      </c>
      <c r="X3944" s="27" t="n">
        <f aca="false">IF(AND(E3944&gt;0,OR(AND(B3944&gt;=1,B3944&lt;=6),B3944=10)),1,0)</f>
        <v>0</v>
      </c>
      <c r="Y3944" s="27" t="n">
        <f aca="false">IF(AND(E3944&gt;0,B3944=10),1,0)</f>
        <v>0</v>
      </c>
      <c r="Z3944" s="0" t="str">
        <f aca="false">IF(AND(C3943=C3944,W3943=W3944-1),X3943,"")</f>
        <v/>
      </c>
      <c r="AA3944" s="0" t="str">
        <f aca="false">IF(AND(C3943=C3944,W3943=W3944-1),Y3943,"")</f>
        <v/>
      </c>
      <c r="AB3944" s="0" t="str">
        <f aca="false">IF(W3944=1,"",IF(AND(X3944=1,Z3944&lt;&gt;1),1,0))</f>
        <v/>
      </c>
      <c r="AC3944" s="0" t="str">
        <f aca="false">IF(W3944=1,"",IF(AND(Y3944=1,AA3944&lt;&gt;1),1,0))</f>
        <v/>
      </c>
      <c r="AD3944" s="33" t="str">
        <f aca="false">IF(AND(E3944&gt;0,W3944&lt;1,NOT(AND(C3945=C3944,W3945=W3944+1))),INDEX(DATAS,W3944+1),"")</f>
        <v/>
      </c>
      <c r="AE3944" s="33" t="str">
        <f aca="false">IF(AND(Y3944=1,W3944&lt;1),IF(AND(C3945=C3944,W3945=W3944+1),IF(Y3945=1,"",INDEX(DATAS,W3944+1)),INDEX(DATAS,W3944+1)),"")</f>
        <v/>
      </c>
    </row>
    <row r="3945" customFormat="false" ht="15" hidden="false" customHeight="false" outlineLevel="0" collapsed="false">
      <c r="A3945" s="33" t="n">
        <v>46309</v>
      </c>
      <c r="B3945" s="0" t="n">
        <v>15</v>
      </c>
      <c r="C3945" s="0" t="n">
        <v>30901</v>
      </c>
      <c r="E3945" s="0" t="n">
        <v>0</v>
      </c>
      <c r="F3945" s="27" t="s">
        <v>1641</v>
      </c>
      <c r="I3945" s="27" t="s">
        <v>136</v>
      </c>
      <c r="U3945" s="0" t="n">
        <v>46</v>
      </c>
      <c r="V3945" s="0" t="n">
        <v>0</v>
      </c>
      <c r="W3945" s="27" t="n">
        <f aca="false">MATCH(A3945,DATAS,0)</f>
        <v>1</v>
      </c>
      <c r="X3945" s="27" t="n">
        <f aca="false">IF(AND(E3945&gt;0,OR(AND(B3945&gt;=1,B3945&lt;=6),B3945=10)),1,0)</f>
        <v>0</v>
      </c>
      <c r="Y3945" s="27" t="n">
        <f aca="false">IF(AND(E3945&gt;0,B3945=10),1,0)</f>
        <v>0</v>
      </c>
      <c r="Z3945" s="0" t="str">
        <f aca="false">IF(AND(C3944=C3945,W3944=W3945-1),X3944,"")</f>
        <v/>
      </c>
      <c r="AA3945" s="0" t="str">
        <f aca="false">IF(AND(C3944=C3945,W3944=W3945-1),Y3944,"")</f>
        <v/>
      </c>
      <c r="AB3945" s="0" t="str">
        <f aca="false">IF(W3945=1,"",IF(AND(X3945=1,Z3945&lt;&gt;1),1,0))</f>
        <v/>
      </c>
      <c r="AC3945" s="0" t="str">
        <f aca="false">IF(W3945=1,"",IF(AND(Y3945=1,AA3945&lt;&gt;1),1,0))</f>
        <v/>
      </c>
      <c r="AD3945" s="33" t="str">
        <f aca="false">IF(AND(E3945&gt;0,W3945&lt;1,NOT(AND(C3946=C3945,W3946=W3945+1))),INDEX(DATAS,W3945+1),"")</f>
        <v/>
      </c>
      <c r="AE3945" s="33" t="str">
        <f aca="false">IF(AND(Y3945=1,W3945&lt;1),IF(AND(C3946=C3945,W3946=W3945+1),IF(Y3946=1,"",INDEX(DATAS,W3945+1)),INDEX(DATAS,W3945+1)),"")</f>
        <v/>
      </c>
    </row>
    <row r="3946" customFormat="false" ht="15" hidden="false" customHeight="false" outlineLevel="0" collapsed="false">
      <c r="A3946" s="33" t="n">
        <v>46309</v>
      </c>
      <c r="B3946" s="0" t="n">
        <v>15</v>
      </c>
      <c r="C3946" s="0" t="n">
        <v>30904</v>
      </c>
      <c r="E3946" s="0" t="n">
        <v>0</v>
      </c>
      <c r="F3946" s="27" t="s">
        <v>1643</v>
      </c>
      <c r="I3946" s="27" t="s">
        <v>136</v>
      </c>
      <c r="U3946" s="0" t="n">
        <v>45</v>
      </c>
      <c r="V3946" s="0" t="n">
        <v>0</v>
      </c>
      <c r="W3946" s="27" t="n">
        <f aca="false">MATCH(A3946,DATAS,0)</f>
        <v>1</v>
      </c>
      <c r="X3946" s="27" t="n">
        <f aca="false">IF(AND(E3946&gt;0,OR(AND(B3946&gt;=1,B3946&lt;=6),B3946=10)),1,0)</f>
        <v>0</v>
      </c>
      <c r="Y3946" s="27" t="n">
        <f aca="false">IF(AND(E3946&gt;0,B3946=10),1,0)</f>
        <v>0</v>
      </c>
      <c r="Z3946" s="0" t="str">
        <f aca="false">IF(AND(C3945=C3946,W3945=W3946-1),X3945,"")</f>
        <v/>
      </c>
      <c r="AA3946" s="0" t="str">
        <f aca="false">IF(AND(C3945=C3946,W3945=W3946-1),Y3945,"")</f>
        <v/>
      </c>
      <c r="AB3946" s="0" t="str">
        <f aca="false">IF(W3946=1,"",IF(AND(X3946=1,Z3946&lt;&gt;1),1,0))</f>
        <v/>
      </c>
      <c r="AC3946" s="0" t="str">
        <f aca="false">IF(W3946=1,"",IF(AND(Y3946=1,AA3946&lt;&gt;1),1,0))</f>
        <v/>
      </c>
      <c r="AD3946" s="33" t="str">
        <f aca="false">IF(AND(E3946&gt;0,W3946&lt;1,NOT(AND(C3947=C3946,W3947=W3946+1))),INDEX(DATAS,W3946+1),"")</f>
        <v/>
      </c>
      <c r="AE3946" s="33" t="str">
        <f aca="false">IF(AND(Y3946=1,W3946&lt;1),IF(AND(C3947=C3946,W3947=W3946+1),IF(Y3947=1,"",INDEX(DATAS,W3946+1)),INDEX(DATAS,W3946+1)),"")</f>
        <v/>
      </c>
    </row>
    <row r="3947" customFormat="false" ht="15" hidden="false" customHeight="false" outlineLevel="0" collapsed="false">
      <c r="A3947" s="33" t="n">
        <v>46309</v>
      </c>
      <c r="B3947" s="0" t="n">
        <v>15</v>
      </c>
      <c r="C3947" s="0" t="n">
        <v>30905</v>
      </c>
      <c r="E3947" s="0" t="n">
        <v>0</v>
      </c>
      <c r="F3947" s="27" t="s">
        <v>1644</v>
      </c>
      <c r="I3947" s="27" t="s">
        <v>136</v>
      </c>
      <c r="U3947" s="0" t="n">
        <v>43</v>
      </c>
      <c r="V3947" s="0" t="n">
        <v>0</v>
      </c>
      <c r="W3947" s="27" t="n">
        <f aca="false">MATCH(A3947,DATAS,0)</f>
        <v>1</v>
      </c>
      <c r="X3947" s="27" t="n">
        <f aca="false">IF(AND(E3947&gt;0,OR(AND(B3947&gt;=1,B3947&lt;=6),B3947=10)),1,0)</f>
        <v>0</v>
      </c>
      <c r="Y3947" s="27" t="n">
        <f aca="false">IF(AND(E3947&gt;0,B3947=10),1,0)</f>
        <v>0</v>
      </c>
      <c r="Z3947" s="0" t="str">
        <f aca="false">IF(AND(C3946=C3947,W3946=W3947-1),X3946,"")</f>
        <v/>
      </c>
      <c r="AA3947" s="0" t="str">
        <f aca="false">IF(AND(C3946=C3947,W3946=W3947-1),Y3946,"")</f>
        <v/>
      </c>
      <c r="AB3947" s="0" t="str">
        <f aca="false">IF(W3947=1,"",IF(AND(X3947=1,Z3947&lt;&gt;1),1,0))</f>
        <v/>
      </c>
      <c r="AC3947" s="0" t="str">
        <f aca="false">IF(W3947=1,"",IF(AND(Y3947=1,AA3947&lt;&gt;1),1,0))</f>
        <v/>
      </c>
      <c r="AD3947" s="33" t="str">
        <f aca="false">IF(AND(E3947&gt;0,W3947&lt;1,NOT(AND(C3948=C3947,W3948=W3947+1))),INDEX(DATAS,W3947+1),"")</f>
        <v/>
      </c>
      <c r="AE3947" s="33" t="str">
        <f aca="false">IF(AND(Y3947=1,W3947&lt;1),IF(AND(C3948=C3947,W3948=W3947+1),IF(Y3948=1,"",INDEX(DATAS,W3947+1)),INDEX(DATAS,W3947+1)),"")</f>
        <v/>
      </c>
    </row>
    <row r="3948" customFormat="false" ht="15" hidden="false" customHeight="false" outlineLevel="0" collapsed="false">
      <c r="A3948" s="33" t="n">
        <v>46309</v>
      </c>
      <c r="B3948" s="0" t="n">
        <v>15</v>
      </c>
      <c r="C3948" s="0" t="n">
        <v>30906</v>
      </c>
      <c r="E3948" s="0" t="n">
        <v>0</v>
      </c>
      <c r="F3948" s="27" t="s">
        <v>1645</v>
      </c>
      <c r="I3948" s="27" t="s">
        <v>136</v>
      </c>
      <c r="U3948" s="0" t="n">
        <v>42</v>
      </c>
      <c r="V3948" s="0" t="n">
        <v>0</v>
      </c>
      <c r="W3948" s="27" t="n">
        <f aca="false">MATCH(A3948,DATAS,0)</f>
        <v>1</v>
      </c>
      <c r="X3948" s="27" t="n">
        <f aca="false">IF(AND(E3948&gt;0,OR(AND(B3948&gt;=1,B3948&lt;=6),B3948=10)),1,0)</f>
        <v>0</v>
      </c>
      <c r="Y3948" s="27" t="n">
        <f aca="false">IF(AND(E3948&gt;0,B3948=10),1,0)</f>
        <v>0</v>
      </c>
      <c r="Z3948" s="0" t="str">
        <f aca="false">IF(AND(C3947=C3948,W3947=W3948-1),X3947,"")</f>
        <v/>
      </c>
      <c r="AA3948" s="0" t="str">
        <f aca="false">IF(AND(C3947=C3948,W3947=W3948-1),Y3947,"")</f>
        <v/>
      </c>
      <c r="AB3948" s="0" t="str">
        <f aca="false">IF(W3948=1,"",IF(AND(X3948=1,Z3948&lt;&gt;1),1,0))</f>
        <v/>
      </c>
      <c r="AC3948" s="0" t="str">
        <f aca="false">IF(W3948=1,"",IF(AND(Y3948=1,AA3948&lt;&gt;1),1,0))</f>
        <v/>
      </c>
      <c r="AD3948" s="33" t="str">
        <f aca="false">IF(AND(E3948&gt;0,W3948&lt;1,NOT(AND(C3949=C3948,W3949=W3948+1))),INDEX(DATAS,W3948+1),"")</f>
        <v/>
      </c>
      <c r="AE3948" s="33" t="str">
        <f aca="false">IF(AND(Y3948=1,W3948&lt;1),IF(AND(C3949=C3948,W3949=W3948+1),IF(Y3949=1,"",INDEX(DATAS,W3948+1)),INDEX(DATAS,W3948+1)),"")</f>
        <v/>
      </c>
    </row>
    <row r="3949" customFormat="false" ht="15" hidden="false" customHeight="false" outlineLevel="0" collapsed="false">
      <c r="A3949" s="33" t="n">
        <v>46309</v>
      </c>
      <c r="B3949" s="0" t="n">
        <v>15</v>
      </c>
      <c r="C3949" s="0" t="n">
        <v>30907</v>
      </c>
      <c r="E3949" s="0" t="n">
        <v>0</v>
      </c>
      <c r="F3949" s="27" t="s">
        <v>1645</v>
      </c>
      <c r="I3949" s="27" t="s">
        <v>136</v>
      </c>
      <c r="U3949" s="0" t="n">
        <v>42</v>
      </c>
      <c r="V3949" s="0" t="n">
        <v>0</v>
      </c>
      <c r="W3949" s="27" t="n">
        <f aca="false">MATCH(A3949,DATAS,0)</f>
        <v>1</v>
      </c>
      <c r="X3949" s="27" t="n">
        <f aca="false">IF(AND(E3949&gt;0,OR(AND(B3949&gt;=1,B3949&lt;=6),B3949=10)),1,0)</f>
        <v>0</v>
      </c>
      <c r="Y3949" s="27" t="n">
        <f aca="false">IF(AND(E3949&gt;0,B3949=10),1,0)</f>
        <v>0</v>
      </c>
      <c r="Z3949" s="0" t="str">
        <f aca="false">IF(AND(C3948=C3949,W3948=W3949-1),X3948,"")</f>
        <v/>
      </c>
      <c r="AA3949" s="0" t="str">
        <f aca="false">IF(AND(C3948=C3949,W3948=W3949-1),Y3948,"")</f>
        <v/>
      </c>
      <c r="AB3949" s="0" t="str">
        <f aca="false">IF(W3949=1,"",IF(AND(X3949=1,Z3949&lt;&gt;1),1,0))</f>
        <v/>
      </c>
      <c r="AC3949" s="0" t="str">
        <f aca="false">IF(W3949=1,"",IF(AND(Y3949=1,AA3949&lt;&gt;1),1,0))</f>
        <v/>
      </c>
      <c r="AD3949" s="33" t="str">
        <f aca="false">IF(AND(E3949&gt;0,W3949&lt;1,NOT(AND(C3950=C3949,W3950=W3949+1))),INDEX(DATAS,W3949+1),"")</f>
        <v/>
      </c>
      <c r="AE3949" s="33" t="str">
        <f aca="false">IF(AND(Y3949=1,W3949&lt;1),IF(AND(C3950=C3949,W3950=W3949+1),IF(Y3950=1,"",INDEX(DATAS,W3949+1)),INDEX(DATAS,W3949+1)),"")</f>
        <v/>
      </c>
    </row>
    <row r="3950" customFormat="false" ht="15" hidden="false" customHeight="false" outlineLevel="0" collapsed="false">
      <c r="A3950" s="33" t="n">
        <v>46309</v>
      </c>
      <c r="B3950" s="0" t="n">
        <v>15</v>
      </c>
      <c r="C3950" s="0" t="n">
        <v>30909</v>
      </c>
      <c r="E3950" s="0" t="n">
        <v>0</v>
      </c>
      <c r="F3950" s="27" t="s">
        <v>1647</v>
      </c>
      <c r="I3950" s="27" t="s">
        <v>136</v>
      </c>
      <c r="U3950" s="0" t="n">
        <v>40</v>
      </c>
      <c r="V3950" s="0" t="n">
        <v>0</v>
      </c>
      <c r="W3950" s="27" t="n">
        <f aca="false">MATCH(A3950,DATAS,0)</f>
        <v>1</v>
      </c>
      <c r="X3950" s="27" t="n">
        <f aca="false">IF(AND(E3950&gt;0,OR(AND(B3950&gt;=1,B3950&lt;=6),B3950=10)),1,0)</f>
        <v>0</v>
      </c>
      <c r="Y3950" s="27" t="n">
        <f aca="false">IF(AND(E3950&gt;0,B3950=10),1,0)</f>
        <v>0</v>
      </c>
      <c r="Z3950" s="0" t="str">
        <f aca="false">IF(AND(C3949=C3950,W3949=W3950-1),X3949,"")</f>
        <v/>
      </c>
      <c r="AA3950" s="0" t="str">
        <f aca="false">IF(AND(C3949=C3950,W3949=W3950-1),Y3949,"")</f>
        <v/>
      </c>
      <c r="AB3950" s="0" t="str">
        <f aca="false">IF(W3950=1,"",IF(AND(X3950=1,Z3950&lt;&gt;1),1,0))</f>
        <v/>
      </c>
      <c r="AC3950" s="0" t="str">
        <f aca="false">IF(W3950=1,"",IF(AND(Y3950=1,AA3950&lt;&gt;1),1,0))</f>
        <v/>
      </c>
      <c r="AD3950" s="33" t="str">
        <f aca="false">IF(AND(E3950&gt;0,W3950&lt;1,NOT(AND(C3951=C3950,W3951=W3950+1))),INDEX(DATAS,W3950+1),"")</f>
        <v/>
      </c>
      <c r="AE3950" s="33" t="str">
        <f aca="false">IF(AND(Y3950=1,W3950&lt;1),IF(AND(C3951=C3950,W3951=W3950+1),IF(Y3951=1,"",INDEX(DATAS,W3950+1)),INDEX(DATAS,W3950+1)),"")</f>
        <v/>
      </c>
    </row>
    <row r="3951" customFormat="false" ht="15" hidden="false" customHeight="false" outlineLevel="0" collapsed="false">
      <c r="A3951" s="33" t="n">
        <v>46309</v>
      </c>
      <c r="B3951" s="0" t="n">
        <v>15</v>
      </c>
      <c r="C3951" s="0" t="n">
        <v>30912</v>
      </c>
      <c r="E3951" s="0" t="n">
        <v>0</v>
      </c>
      <c r="F3951" s="27" t="s">
        <v>1651</v>
      </c>
      <c r="I3951" s="27" t="s">
        <v>136</v>
      </c>
      <c r="U3951" s="0" t="n">
        <v>36</v>
      </c>
      <c r="V3951" s="0" t="n">
        <v>0</v>
      </c>
      <c r="W3951" s="27" t="n">
        <f aca="false">MATCH(A3951,DATAS,0)</f>
        <v>1</v>
      </c>
      <c r="X3951" s="27" t="n">
        <f aca="false">IF(AND(E3951&gt;0,OR(AND(B3951&gt;=1,B3951&lt;=6),B3951=10)),1,0)</f>
        <v>0</v>
      </c>
      <c r="Y3951" s="27" t="n">
        <f aca="false">IF(AND(E3951&gt;0,B3951=10),1,0)</f>
        <v>0</v>
      </c>
      <c r="Z3951" s="0" t="str">
        <f aca="false">IF(AND(C3950=C3951,W3950=W3951-1),X3950,"")</f>
        <v/>
      </c>
      <c r="AA3951" s="0" t="str">
        <f aca="false">IF(AND(C3950=C3951,W3950=W3951-1),Y3950,"")</f>
        <v/>
      </c>
      <c r="AB3951" s="0" t="str">
        <f aca="false">IF(W3951=1,"",IF(AND(X3951=1,Z3951&lt;&gt;1),1,0))</f>
        <v/>
      </c>
      <c r="AC3951" s="0" t="str">
        <f aca="false">IF(W3951=1,"",IF(AND(Y3951=1,AA3951&lt;&gt;1),1,0))</f>
        <v/>
      </c>
      <c r="AD3951" s="33" t="str">
        <f aca="false">IF(AND(E3951&gt;0,W3951&lt;1,NOT(AND(C3952=C3951,W3952=W3951+1))),INDEX(DATAS,W3951+1),"")</f>
        <v/>
      </c>
      <c r="AE3951" s="33" t="str">
        <f aca="false">IF(AND(Y3951=1,W3951&lt;1),IF(AND(C3952=C3951,W3952=W3951+1),IF(Y3952=1,"",INDEX(DATAS,W3951+1)),INDEX(DATAS,W3951+1)),"")</f>
        <v/>
      </c>
    </row>
    <row r="3952" customFormat="false" ht="15" hidden="false" customHeight="false" outlineLevel="0" collapsed="false">
      <c r="A3952" s="33" t="n">
        <v>46309</v>
      </c>
      <c r="B3952" s="0" t="n">
        <v>15</v>
      </c>
      <c r="C3952" s="0" t="n">
        <v>30913</v>
      </c>
      <c r="E3952" s="0" t="n">
        <v>0</v>
      </c>
      <c r="F3952" s="27" t="s">
        <v>1652</v>
      </c>
      <c r="I3952" s="27" t="s">
        <v>136</v>
      </c>
      <c r="U3952" s="0" t="n">
        <v>35</v>
      </c>
      <c r="V3952" s="0" t="n">
        <v>0</v>
      </c>
      <c r="W3952" s="27" t="n">
        <f aca="false">MATCH(A3952,DATAS,0)</f>
        <v>1</v>
      </c>
      <c r="X3952" s="27" t="n">
        <f aca="false">IF(AND(E3952&gt;0,OR(AND(B3952&gt;=1,B3952&lt;=6),B3952=10)),1,0)</f>
        <v>0</v>
      </c>
      <c r="Y3952" s="27" t="n">
        <f aca="false">IF(AND(E3952&gt;0,B3952=10),1,0)</f>
        <v>0</v>
      </c>
      <c r="Z3952" s="0" t="str">
        <f aca="false">IF(AND(C3951=C3952,W3951=W3952-1),X3951,"")</f>
        <v/>
      </c>
      <c r="AA3952" s="0" t="str">
        <f aca="false">IF(AND(C3951=C3952,W3951=W3952-1),Y3951,"")</f>
        <v/>
      </c>
      <c r="AB3952" s="0" t="str">
        <f aca="false">IF(W3952=1,"",IF(AND(X3952=1,Z3952&lt;&gt;1),1,0))</f>
        <v/>
      </c>
      <c r="AC3952" s="0" t="str">
        <f aca="false">IF(W3952=1,"",IF(AND(Y3952=1,AA3952&lt;&gt;1),1,0))</f>
        <v/>
      </c>
      <c r="AD3952" s="33" t="str">
        <f aca="false">IF(AND(E3952&gt;0,W3952&lt;1,NOT(AND(C3953=C3952,W3953=W3952+1))),INDEX(DATAS,W3952+1),"")</f>
        <v/>
      </c>
      <c r="AE3952" s="33" t="str">
        <f aca="false">IF(AND(Y3952=1,W3952&lt;1),IF(AND(C3953=C3952,W3953=W3952+1),IF(Y3953=1,"",INDEX(DATAS,W3952+1)),INDEX(DATAS,W3952+1)),"")</f>
        <v/>
      </c>
    </row>
    <row r="3953" customFormat="false" ht="15" hidden="false" customHeight="false" outlineLevel="0" collapsed="false">
      <c r="A3953" s="33" t="n">
        <v>46309</v>
      </c>
      <c r="B3953" s="0" t="n">
        <v>15</v>
      </c>
      <c r="C3953" s="0" t="n">
        <v>30914</v>
      </c>
      <c r="E3953" s="0" t="n">
        <v>0</v>
      </c>
      <c r="F3953" s="27" t="s">
        <v>1653</v>
      </c>
      <c r="I3953" s="27" t="s">
        <v>136</v>
      </c>
      <c r="U3953" s="0" t="n">
        <v>34</v>
      </c>
      <c r="V3953" s="0" t="n">
        <v>0</v>
      </c>
      <c r="W3953" s="27" t="n">
        <f aca="false">MATCH(A3953,DATAS,0)</f>
        <v>1</v>
      </c>
      <c r="X3953" s="27" t="n">
        <f aca="false">IF(AND(E3953&gt;0,OR(AND(B3953&gt;=1,B3953&lt;=6),B3953=10)),1,0)</f>
        <v>0</v>
      </c>
      <c r="Y3953" s="27" t="n">
        <f aca="false">IF(AND(E3953&gt;0,B3953=10),1,0)</f>
        <v>0</v>
      </c>
      <c r="Z3953" s="0" t="str">
        <f aca="false">IF(AND(C3952=C3953,W3952=W3953-1),X3952,"")</f>
        <v/>
      </c>
      <c r="AA3953" s="0" t="str">
        <f aca="false">IF(AND(C3952=C3953,W3952=W3953-1),Y3952,"")</f>
        <v/>
      </c>
      <c r="AB3953" s="0" t="str">
        <f aca="false">IF(W3953=1,"",IF(AND(X3953=1,Z3953&lt;&gt;1),1,0))</f>
        <v/>
      </c>
      <c r="AC3953" s="0" t="str">
        <f aca="false">IF(W3953=1,"",IF(AND(Y3953=1,AA3953&lt;&gt;1),1,0))</f>
        <v/>
      </c>
      <c r="AD3953" s="33" t="str">
        <f aca="false">IF(AND(E3953&gt;0,W3953&lt;1,NOT(AND(C3954=C3953,W3954=W3953+1))),INDEX(DATAS,W3953+1),"")</f>
        <v/>
      </c>
      <c r="AE3953" s="33" t="str">
        <f aca="false">IF(AND(Y3953=1,W3953&lt;1),IF(AND(C3954=C3953,W3954=W3953+1),IF(Y3954=1,"",INDEX(DATAS,W3953+1)),INDEX(DATAS,W3953+1)),"")</f>
        <v/>
      </c>
    </row>
    <row r="3954" customFormat="false" ht="15" hidden="false" customHeight="false" outlineLevel="0" collapsed="false">
      <c r="A3954" s="33" t="n">
        <v>46309</v>
      </c>
      <c r="B3954" s="0" t="n">
        <v>15</v>
      </c>
      <c r="C3954" s="0" t="n">
        <v>30917</v>
      </c>
      <c r="E3954" s="0" t="n">
        <v>0</v>
      </c>
      <c r="F3954" s="27" t="s">
        <v>1657</v>
      </c>
      <c r="I3954" s="27" t="s">
        <v>136</v>
      </c>
      <c r="U3954" s="0" t="n">
        <v>30</v>
      </c>
      <c r="V3954" s="0" t="n">
        <v>0</v>
      </c>
      <c r="W3954" s="27" t="n">
        <f aca="false">MATCH(A3954,DATAS,0)</f>
        <v>1</v>
      </c>
      <c r="X3954" s="27" t="n">
        <f aca="false">IF(AND(E3954&gt;0,OR(AND(B3954&gt;=1,B3954&lt;=6),B3954=10)),1,0)</f>
        <v>0</v>
      </c>
      <c r="Y3954" s="27" t="n">
        <f aca="false">IF(AND(E3954&gt;0,B3954=10),1,0)</f>
        <v>0</v>
      </c>
      <c r="Z3954" s="0" t="str">
        <f aca="false">IF(AND(C3953=C3954,W3953=W3954-1),X3953,"")</f>
        <v/>
      </c>
      <c r="AA3954" s="0" t="str">
        <f aca="false">IF(AND(C3953=C3954,W3953=W3954-1),Y3953,"")</f>
        <v/>
      </c>
      <c r="AB3954" s="0" t="str">
        <f aca="false">IF(W3954=1,"",IF(AND(X3954=1,Z3954&lt;&gt;1),1,0))</f>
        <v/>
      </c>
      <c r="AC3954" s="0" t="str">
        <f aca="false">IF(W3954=1,"",IF(AND(Y3954=1,AA3954&lt;&gt;1),1,0))</f>
        <v/>
      </c>
      <c r="AD3954" s="33" t="str">
        <f aca="false">IF(AND(E3954&gt;0,W3954&lt;1,NOT(AND(C3955=C3954,W3955=W3954+1))),INDEX(DATAS,W3954+1),"")</f>
        <v/>
      </c>
      <c r="AE3954" s="33" t="str">
        <f aca="false">IF(AND(Y3954=1,W3954&lt;1),IF(AND(C3955=C3954,W3955=W3954+1),IF(Y3955=1,"",INDEX(DATAS,W3954+1)),INDEX(DATAS,W3954+1)),"")</f>
        <v/>
      </c>
    </row>
    <row r="3955" customFormat="false" ht="15" hidden="false" customHeight="false" outlineLevel="0" collapsed="false">
      <c r="A3955" s="33" t="n">
        <v>46309</v>
      </c>
      <c r="B3955" s="0" t="n">
        <v>15</v>
      </c>
      <c r="C3955" s="0" t="n">
        <v>30919</v>
      </c>
      <c r="E3955" s="0" t="n">
        <v>0</v>
      </c>
      <c r="F3955" s="27" t="s">
        <v>1661</v>
      </c>
      <c r="I3955" s="27" t="s">
        <v>136</v>
      </c>
      <c r="U3955" s="0" t="n">
        <v>25</v>
      </c>
      <c r="V3955" s="0" t="n">
        <v>0</v>
      </c>
      <c r="W3955" s="27" t="n">
        <f aca="false">MATCH(A3955,DATAS,0)</f>
        <v>1</v>
      </c>
      <c r="X3955" s="27" t="n">
        <f aca="false">IF(AND(E3955&gt;0,OR(AND(B3955&gt;=1,B3955&lt;=6),B3955=10)),1,0)</f>
        <v>0</v>
      </c>
      <c r="Y3955" s="27" t="n">
        <f aca="false">IF(AND(E3955&gt;0,B3955=10),1,0)</f>
        <v>0</v>
      </c>
      <c r="Z3955" s="0" t="str">
        <f aca="false">IF(AND(C3954=C3955,W3954=W3955-1),X3954,"")</f>
        <v/>
      </c>
      <c r="AA3955" s="0" t="str">
        <f aca="false">IF(AND(C3954=C3955,W3954=W3955-1),Y3954,"")</f>
        <v/>
      </c>
      <c r="AB3955" s="0" t="str">
        <f aca="false">IF(W3955=1,"",IF(AND(X3955=1,Z3955&lt;&gt;1),1,0))</f>
        <v/>
      </c>
      <c r="AC3955" s="0" t="str">
        <f aca="false">IF(W3955=1,"",IF(AND(Y3955=1,AA3955&lt;&gt;1),1,0))</f>
        <v/>
      </c>
      <c r="AD3955" s="33" t="str">
        <f aca="false">IF(AND(E3955&gt;0,W3955&lt;1,NOT(AND(C3956=C3955,W3956=W3955+1))),INDEX(DATAS,W3955+1),"")</f>
        <v/>
      </c>
      <c r="AE3955" s="33" t="str">
        <f aca="false">IF(AND(Y3955=1,W3955&lt;1),IF(AND(C3956=C3955,W3956=W3955+1),IF(Y3956=1,"",INDEX(DATAS,W3955+1)),INDEX(DATAS,W3955+1)),"")</f>
        <v/>
      </c>
    </row>
    <row r="3956" customFormat="false" ht="15" hidden="false" customHeight="false" outlineLevel="0" collapsed="false">
      <c r="A3956" s="33" t="n">
        <v>46309</v>
      </c>
      <c r="B3956" s="0" t="n">
        <v>15</v>
      </c>
      <c r="C3956" s="0" t="n">
        <v>30922</v>
      </c>
      <c r="E3956" s="0" t="n">
        <v>0</v>
      </c>
      <c r="F3956" s="27" t="s">
        <v>1695</v>
      </c>
      <c r="I3956" s="27" t="s">
        <v>136</v>
      </c>
      <c r="U3956" s="0" t="n">
        <v>23</v>
      </c>
      <c r="V3956" s="0" t="n">
        <v>0</v>
      </c>
      <c r="W3956" s="27" t="n">
        <f aca="false">MATCH(A3956,DATAS,0)</f>
        <v>1</v>
      </c>
      <c r="X3956" s="27" t="n">
        <f aca="false">IF(AND(E3956&gt;0,OR(AND(B3956&gt;=1,B3956&lt;=6),B3956=10)),1,0)</f>
        <v>0</v>
      </c>
      <c r="Y3956" s="27" t="n">
        <f aca="false">IF(AND(E3956&gt;0,B3956=10),1,0)</f>
        <v>0</v>
      </c>
      <c r="Z3956" s="0" t="str">
        <f aca="false">IF(AND(C3955=C3956,W3955=W3956-1),X3955,"")</f>
        <v/>
      </c>
      <c r="AA3956" s="0" t="str">
        <f aca="false">IF(AND(C3955=C3956,W3955=W3956-1),Y3955,"")</f>
        <v/>
      </c>
      <c r="AB3956" s="0" t="str">
        <f aca="false">IF(W3956=1,"",IF(AND(X3956=1,Z3956&lt;&gt;1),1,0))</f>
        <v/>
      </c>
      <c r="AC3956" s="0" t="str">
        <f aca="false">IF(W3956=1,"",IF(AND(Y3956=1,AA3956&lt;&gt;1),1,0))</f>
        <v/>
      </c>
      <c r="AD3956" s="33" t="str">
        <f aca="false">IF(AND(E3956&gt;0,W3956&lt;1,NOT(AND(C3957=C3956,W3957=W3956+1))),INDEX(DATAS,W3956+1),"")</f>
        <v/>
      </c>
      <c r="AE3956" s="33" t="str">
        <f aca="false">IF(AND(Y3956=1,W3956&lt;1),IF(AND(C3957=C3956,W3957=W3956+1),IF(Y3957=1,"",INDEX(DATAS,W3956+1)),INDEX(DATAS,W3956+1)),"")</f>
        <v/>
      </c>
    </row>
    <row r="3957" customFormat="false" ht="15" hidden="false" customHeight="false" outlineLevel="0" collapsed="false">
      <c r="A3957" s="33" t="n">
        <v>46309</v>
      </c>
      <c r="B3957" s="0" t="n">
        <v>15</v>
      </c>
      <c r="C3957" s="0" t="n">
        <v>30925</v>
      </c>
      <c r="E3957" s="0" t="n">
        <v>0</v>
      </c>
      <c r="F3957" s="27" t="s">
        <v>1668</v>
      </c>
      <c r="I3957" s="27" t="s">
        <v>136</v>
      </c>
      <c r="U3957" s="0" t="n">
        <v>17</v>
      </c>
      <c r="V3957" s="0" t="n">
        <v>0</v>
      </c>
      <c r="W3957" s="27" t="n">
        <f aca="false">MATCH(A3957,DATAS,0)</f>
        <v>1</v>
      </c>
      <c r="X3957" s="27" t="n">
        <f aca="false">IF(AND(E3957&gt;0,OR(AND(B3957&gt;=1,B3957&lt;=6),B3957=10)),1,0)</f>
        <v>0</v>
      </c>
      <c r="Y3957" s="27" t="n">
        <f aca="false">IF(AND(E3957&gt;0,B3957=10),1,0)</f>
        <v>0</v>
      </c>
      <c r="Z3957" s="0" t="str">
        <f aca="false">IF(AND(C3956=C3957,W3956=W3957-1),X3956,"")</f>
        <v/>
      </c>
      <c r="AA3957" s="0" t="str">
        <f aca="false">IF(AND(C3956=C3957,W3956=W3957-1),Y3956,"")</f>
        <v/>
      </c>
      <c r="AB3957" s="0" t="str">
        <f aca="false">IF(W3957=1,"",IF(AND(X3957=1,Z3957&lt;&gt;1),1,0))</f>
        <v/>
      </c>
      <c r="AC3957" s="0" t="str">
        <f aca="false">IF(W3957=1,"",IF(AND(Y3957=1,AA3957&lt;&gt;1),1,0))</f>
        <v/>
      </c>
      <c r="AD3957" s="33" t="str">
        <f aca="false">IF(AND(E3957&gt;0,W3957&lt;1,NOT(AND(C3958=C3957,W3958=W3957+1))),INDEX(DATAS,W3957+1),"")</f>
        <v/>
      </c>
      <c r="AE3957" s="33" t="str">
        <f aca="false">IF(AND(Y3957=1,W3957&lt;1),IF(AND(C3958=C3957,W3958=W3957+1),IF(Y3958=1,"",INDEX(DATAS,W3957+1)),INDEX(DATAS,W3957+1)),"")</f>
        <v/>
      </c>
    </row>
    <row r="3958" customFormat="false" ht="15" hidden="false" customHeight="false" outlineLevel="0" collapsed="false">
      <c r="A3958" s="33" t="n">
        <v>46309</v>
      </c>
      <c r="B3958" s="0" t="n">
        <v>15</v>
      </c>
      <c r="C3958" s="0" t="n">
        <v>30927</v>
      </c>
      <c r="E3958" s="0" t="n">
        <v>0</v>
      </c>
      <c r="F3958" s="27" t="s">
        <v>1668</v>
      </c>
      <c r="I3958" s="27" t="s">
        <v>136</v>
      </c>
      <c r="U3958" s="0" t="n">
        <v>17</v>
      </c>
      <c r="V3958" s="0" t="n">
        <v>0</v>
      </c>
      <c r="W3958" s="27" t="n">
        <f aca="false">MATCH(A3958,DATAS,0)</f>
        <v>1</v>
      </c>
      <c r="X3958" s="27" t="n">
        <f aca="false">IF(AND(E3958&gt;0,OR(AND(B3958&gt;=1,B3958&lt;=6),B3958=10)),1,0)</f>
        <v>0</v>
      </c>
      <c r="Y3958" s="27" t="n">
        <f aca="false">IF(AND(E3958&gt;0,B3958=10),1,0)</f>
        <v>0</v>
      </c>
      <c r="Z3958" s="0" t="str">
        <f aca="false">IF(AND(C3957=C3958,W3957=W3958-1),X3957,"")</f>
        <v/>
      </c>
      <c r="AA3958" s="0" t="str">
        <f aca="false">IF(AND(C3957=C3958,W3957=W3958-1),Y3957,"")</f>
        <v/>
      </c>
      <c r="AB3958" s="0" t="str">
        <f aca="false">IF(W3958=1,"",IF(AND(X3958=1,Z3958&lt;&gt;1),1,0))</f>
        <v/>
      </c>
      <c r="AC3958" s="0" t="str">
        <f aca="false">IF(W3958=1,"",IF(AND(Y3958=1,AA3958&lt;&gt;1),1,0))</f>
        <v/>
      </c>
      <c r="AD3958" s="33" t="str">
        <f aca="false">IF(AND(E3958&gt;0,W3958&lt;1,NOT(AND(C3959=C3958,W3959=W3958+1))),INDEX(DATAS,W3958+1),"")</f>
        <v/>
      </c>
      <c r="AE3958" s="33" t="str">
        <f aca="false">IF(AND(Y3958=1,W3958&lt;1),IF(AND(C3959=C3958,W3959=W3958+1),IF(Y3959=1,"",INDEX(DATAS,W3958+1)),INDEX(DATAS,W3958+1)),"")</f>
        <v/>
      </c>
    </row>
    <row r="3959" customFormat="false" ht="15" hidden="false" customHeight="false" outlineLevel="0" collapsed="false">
      <c r="A3959" s="33" t="n">
        <v>46309</v>
      </c>
      <c r="B3959" s="0" t="n">
        <v>15</v>
      </c>
      <c r="C3959" s="0" t="n">
        <v>30929</v>
      </c>
      <c r="E3959" s="0" t="n">
        <v>0</v>
      </c>
      <c r="F3959" s="27" t="s">
        <v>1696</v>
      </c>
      <c r="I3959" s="27" t="s">
        <v>136</v>
      </c>
      <c r="U3959" s="0" t="n">
        <v>16</v>
      </c>
      <c r="V3959" s="0" t="n">
        <v>0</v>
      </c>
      <c r="W3959" s="27" t="n">
        <f aca="false">MATCH(A3959,DATAS,0)</f>
        <v>1</v>
      </c>
      <c r="X3959" s="27" t="n">
        <f aca="false">IF(AND(E3959&gt;0,OR(AND(B3959&gt;=1,B3959&lt;=6),B3959=10)),1,0)</f>
        <v>0</v>
      </c>
      <c r="Y3959" s="27" t="n">
        <f aca="false">IF(AND(E3959&gt;0,B3959=10),1,0)</f>
        <v>0</v>
      </c>
      <c r="Z3959" s="0" t="str">
        <f aca="false">IF(AND(C3958=C3959,W3958=W3959-1),X3958,"")</f>
        <v/>
      </c>
      <c r="AA3959" s="0" t="str">
        <f aca="false">IF(AND(C3958=C3959,W3958=W3959-1),Y3958,"")</f>
        <v/>
      </c>
      <c r="AB3959" s="0" t="str">
        <f aca="false">IF(W3959=1,"",IF(AND(X3959=1,Z3959&lt;&gt;1),1,0))</f>
        <v/>
      </c>
      <c r="AC3959" s="0" t="str">
        <f aca="false">IF(W3959=1,"",IF(AND(Y3959=1,AA3959&lt;&gt;1),1,0))</f>
        <v/>
      </c>
      <c r="AD3959" s="33" t="str">
        <f aca="false">IF(AND(E3959&gt;0,W3959&lt;1,NOT(AND(C3960=C3959,W3960=W3959+1))),INDEX(DATAS,W3959+1),"")</f>
        <v/>
      </c>
      <c r="AE3959" s="33" t="str">
        <f aca="false">IF(AND(Y3959=1,W3959&lt;1),IF(AND(C3960=C3959,W3960=W3959+1),IF(Y3960=1,"",INDEX(DATAS,W3959+1)),INDEX(DATAS,W3959+1)),"")</f>
        <v/>
      </c>
    </row>
    <row r="3960" customFormat="false" ht="15" hidden="false" customHeight="false" outlineLevel="0" collapsed="false">
      <c r="A3960" s="33" t="n">
        <v>46309</v>
      </c>
      <c r="B3960" s="0" t="n">
        <v>15</v>
      </c>
      <c r="C3960" s="0" t="n">
        <v>30933</v>
      </c>
      <c r="E3960" s="0" t="n">
        <v>0</v>
      </c>
      <c r="F3960" s="27" t="s">
        <v>1672</v>
      </c>
      <c r="I3960" s="27" t="s">
        <v>136</v>
      </c>
      <c r="U3960" s="0" t="n">
        <v>12</v>
      </c>
      <c r="V3960" s="0" t="n">
        <v>0</v>
      </c>
      <c r="W3960" s="27" t="n">
        <f aca="false">MATCH(A3960,DATAS,0)</f>
        <v>1</v>
      </c>
      <c r="X3960" s="27" t="n">
        <f aca="false">IF(AND(E3960&gt;0,OR(AND(B3960&gt;=1,B3960&lt;=6),B3960=10)),1,0)</f>
        <v>0</v>
      </c>
      <c r="Y3960" s="27" t="n">
        <f aca="false">IF(AND(E3960&gt;0,B3960=10),1,0)</f>
        <v>0</v>
      </c>
      <c r="Z3960" s="0" t="str">
        <f aca="false">IF(AND(C3959=C3960,W3959=W3960-1),X3959,"")</f>
        <v/>
      </c>
      <c r="AA3960" s="0" t="str">
        <f aca="false">IF(AND(C3959=C3960,W3959=W3960-1),Y3959,"")</f>
        <v/>
      </c>
      <c r="AB3960" s="0" t="str">
        <f aca="false">IF(W3960=1,"",IF(AND(X3960=1,Z3960&lt;&gt;1),1,0))</f>
        <v/>
      </c>
      <c r="AC3960" s="0" t="str">
        <f aca="false">IF(W3960=1,"",IF(AND(Y3960=1,AA3960&lt;&gt;1),1,0))</f>
        <v/>
      </c>
      <c r="AD3960" s="33" t="str">
        <f aca="false">IF(AND(E3960&gt;0,W3960&lt;1,NOT(AND(C3961=C3960,W3961=W3960+1))),INDEX(DATAS,W3960+1),"")</f>
        <v/>
      </c>
      <c r="AE3960" s="33" t="str">
        <f aca="false">IF(AND(Y3960=1,W3960&lt;1),IF(AND(C3961=C3960,W3961=W3960+1),IF(Y3961=1,"",INDEX(DATAS,W3960+1)),INDEX(DATAS,W3960+1)),"")</f>
        <v/>
      </c>
    </row>
    <row r="3961" customFormat="false" ht="15" hidden="false" customHeight="false" outlineLevel="0" collapsed="false">
      <c r="A3961" s="33" t="n">
        <v>46309</v>
      </c>
      <c r="B3961" s="0" t="n">
        <v>15</v>
      </c>
      <c r="C3961" s="0" t="n">
        <v>30934</v>
      </c>
      <c r="E3961" s="0" t="n">
        <v>0</v>
      </c>
      <c r="F3961" s="27" t="s">
        <v>1672</v>
      </c>
      <c r="I3961" s="27" t="s">
        <v>136</v>
      </c>
      <c r="U3961" s="0" t="n">
        <v>12</v>
      </c>
      <c r="V3961" s="0" t="n">
        <v>0</v>
      </c>
      <c r="W3961" s="27" t="n">
        <f aca="false">MATCH(A3961,DATAS,0)</f>
        <v>1</v>
      </c>
      <c r="X3961" s="27" t="n">
        <f aca="false">IF(AND(E3961&gt;0,OR(AND(B3961&gt;=1,B3961&lt;=6),B3961=10)),1,0)</f>
        <v>0</v>
      </c>
      <c r="Y3961" s="27" t="n">
        <f aca="false">IF(AND(E3961&gt;0,B3961=10),1,0)</f>
        <v>0</v>
      </c>
      <c r="Z3961" s="0" t="str">
        <f aca="false">IF(AND(C3960=C3961,W3960=W3961-1),X3960,"")</f>
        <v/>
      </c>
      <c r="AA3961" s="0" t="str">
        <f aca="false">IF(AND(C3960=C3961,W3960=W3961-1),Y3960,"")</f>
        <v/>
      </c>
      <c r="AB3961" s="0" t="str">
        <f aca="false">IF(W3961=1,"",IF(AND(X3961=1,Z3961&lt;&gt;1),1,0))</f>
        <v/>
      </c>
      <c r="AC3961" s="0" t="str">
        <f aca="false">IF(W3961=1,"",IF(AND(Y3961=1,AA3961&lt;&gt;1),1,0))</f>
        <v/>
      </c>
      <c r="AD3961" s="33" t="str">
        <f aca="false">IF(AND(E3961&gt;0,W3961&lt;1,NOT(AND(C3962=C3961,W3962=W3961+1))),INDEX(DATAS,W3961+1),"")</f>
        <v/>
      </c>
      <c r="AE3961" s="33" t="str">
        <f aca="false">IF(AND(Y3961=1,W3961&lt;1),IF(AND(C3962=C3961,W3962=W3961+1),IF(Y3962=1,"",INDEX(DATAS,W3961+1)),INDEX(DATAS,W3961+1)),"")</f>
        <v/>
      </c>
    </row>
    <row r="3962" customFormat="false" ht="15" hidden="false" customHeight="false" outlineLevel="0" collapsed="false">
      <c r="A3962" s="33" t="n">
        <v>46309</v>
      </c>
      <c r="B3962" s="0" t="n">
        <v>15</v>
      </c>
      <c r="C3962" s="0" t="n">
        <v>30935</v>
      </c>
      <c r="E3962" s="0" t="n">
        <v>0</v>
      </c>
      <c r="F3962" s="27" t="s">
        <v>1672</v>
      </c>
      <c r="I3962" s="27" t="s">
        <v>136</v>
      </c>
      <c r="U3962" s="0" t="n">
        <v>12</v>
      </c>
      <c r="V3962" s="0" t="n">
        <v>0</v>
      </c>
      <c r="W3962" s="27" t="n">
        <f aca="false">MATCH(A3962,DATAS,0)</f>
        <v>1</v>
      </c>
      <c r="X3962" s="27" t="n">
        <f aca="false">IF(AND(E3962&gt;0,OR(AND(B3962&gt;=1,B3962&lt;=6),B3962=10)),1,0)</f>
        <v>0</v>
      </c>
      <c r="Y3962" s="27" t="n">
        <f aca="false">IF(AND(E3962&gt;0,B3962=10),1,0)</f>
        <v>0</v>
      </c>
      <c r="Z3962" s="0" t="str">
        <f aca="false">IF(AND(C3961=C3962,W3961=W3962-1),X3961,"")</f>
        <v/>
      </c>
      <c r="AA3962" s="0" t="str">
        <f aca="false">IF(AND(C3961=C3962,W3961=W3962-1),Y3961,"")</f>
        <v/>
      </c>
      <c r="AB3962" s="0" t="str">
        <f aca="false">IF(W3962=1,"",IF(AND(X3962=1,Z3962&lt;&gt;1),1,0))</f>
        <v/>
      </c>
      <c r="AC3962" s="0" t="str">
        <f aca="false">IF(W3962=1,"",IF(AND(Y3962=1,AA3962&lt;&gt;1),1,0))</f>
        <v/>
      </c>
      <c r="AD3962" s="33" t="str">
        <f aca="false">IF(AND(E3962&gt;0,W3962&lt;1,NOT(AND(C3963=C3962,W3963=W3962+1))),INDEX(DATAS,W3962+1),"")</f>
        <v/>
      </c>
      <c r="AE3962" s="33" t="str">
        <f aca="false">IF(AND(Y3962=1,W3962&lt;1),IF(AND(C3963=C3962,W3963=W3962+1),IF(Y3963=1,"",INDEX(DATAS,W3962+1)),INDEX(DATAS,W3962+1)),"")</f>
        <v/>
      </c>
    </row>
    <row r="3963" customFormat="false" ht="15" hidden="false" customHeight="false" outlineLevel="0" collapsed="false">
      <c r="A3963" s="33" t="n">
        <v>46309</v>
      </c>
      <c r="B3963" s="0" t="n">
        <v>15</v>
      </c>
      <c r="C3963" s="0" t="n">
        <v>30938</v>
      </c>
      <c r="E3963" s="0" t="n">
        <v>0</v>
      </c>
      <c r="F3963" s="27" t="s">
        <v>1677</v>
      </c>
      <c r="I3963" s="27" t="s">
        <v>136</v>
      </c>
      <c r="U3963" s="0" t="n">
        <v>7</v>
      </c>
      <c r="V3963" s="0" t="n">
        <v>0</v>
      </c>
      <c r="W3963" s="27" t="n">
        <f aca="false">MATCH(A3963,DATAS,0)</f>
        <v>1</v>
      </c>
      <c r="X3963" s="27" t="n">
        <f aca="false">IF(AND(E3963&gt;0,OR(AND(B3963&gt;=1,B3963&lt;=6),B3963=10)),1,0)</f>
        <v>0</v>
      </c>
      <c r="Y3963" s="27" t="n">
        <f aca="false">IF(AND(E3963&gt;0,B3963=10),1,0)</f>
        <v>0</v>
      </c>
      <c r="Z3963" s="0" t="str">
        <f aca="false">IF(AND(C3962=C3963,W3962=W3963-1),X3962,"")</f>
        <v/>
      </c>
      <c r="AA3963" s="0" t="str">
        <f aca="false">IF(AND(C3962=C3963,W3962=W3963-1),Y3962,"")</f>
        <v/>
      </c>
      <c r="AB3963" s="0" t="str">
        <f aca="false">IF(W3963=1,"",IF(AND(X3963=1,Z3963&lt;&gt;1),1,0))</f>
        <v/>
      </c>
      <c r="AC3963" s="0" t="str">
        <f aca="false">IF(W3963=1,"",IF(AND(Y3963=1,AA3963&lt;&gt;1),1,0))</f>
        <v/>
      </c>
      <c r="AD3963" s="33" t="str">
        <f aca="false">IF(AND(E3963&gt;0,W3963&lt;1,NOT(AND(C3964=C3963,W3964=W3963+1))),INDEX(DATAS,W3963+1),"")</f>
        <v/>
      </c>
      <c r="AE3963" s="33" t="str">
        <f aca="false">IF(AND(Y3963=1,W3963&lt;1),IF(AND(C3964=C3963,W3964=W3963+1),IF(Y3964=1,"",INDEX(DATAS,W3963+1)),INDEX(DATAS,W3963+1)),"")</f>
        <v/>
      </c>
    </row>
    <row r="3964" customFormat="false" ht="15" hidden="false" customHeight="false" outlineLevel="0" collapsed="false">
      <c r="A3964" s="33" t="n">
        <v>46309</v>
      </c>
      <c r="B3964" s="0" t="n">
        <v>15</v>
      </c>
      <c r="C3964" s="0" t="n">
        <v>30939</v>
      </c>
      <c r="E3964" s="0" t="n">
        <v>0</v>
      </c>
      <c r="F3964" s="27" t="s">
        <v>1678</v>
      </c>
      <c r="I3964" s="27" t="s">
        <v>136</v>
      </c>
      <c r="U3964" s="0" t="n">
        <v>6</v>
      </c>
      <c r="V3964" s="0" t="n">
        <v>0</v>
      </c>
      <c r="W3964" s="27" t="n">
        <f aca="false">MATCH(A3964,DATAS,0)</f>
        <v>1</v>
      </c>
      <c r="X3964" s="27" t="n">
        <f aca="false">IF(AND(E3964&gt;0,OR(AND(B3964&gt;=1,B3964&lt;=6),B3964=10)),1,0)</f>
        <v>0</v>
      </c>
      <c r="Y3964" s="27" t="n">
        <f aca="false">IF(AND(E3964&gt;0,B3964=10),1,0)</f>
        <v>0</v>
      </c>
      <c r="Z3964" s="0" t="str">
        <f aca="false">IF(AND(C3963=C3964,W3963=W3964-1),X3963,"")</f>
        <v/>
      </c>
      <c r="AA3964" s="0" t="str">
        <f aca="false">IF(AND(C3963=C3964,W3963=W3964-1),Y3963,"")</f>
        <v/>
      </c>
      <c r="AB3964" s="0" t="str">
        <f aca="false">IF(W3964=1,"",IF(AND(X3964=1,Z3964&lt;&gt;1),1,0))</f>
        <v/>
      </c>
      <c r="AC3964" s="0" t="str">
        <f aca="false">IF(W3964=1,"",IF(AND(Y3964=1,AA3964&lt;&gt;1),1,0))</f>
        <v/>
      </c>
      <c r="AD3964" s="33" t="str">
        <f aca="false">IF(AND(E3964&gt;0,W3964&lt;1,NOT(AND(C3965=C3964,W3965=W3964+1))),INDEX(DATAS,W3964+1),"")</f>
        <v/>
      </c>
      <c r="AE3964" s="33" t="str">
        <f aca="false">IF(AND(Y3964=1,W3964&lt;1),IF(AND(C3965=C3964,W3965=W3964+1),IF(Y3965=1,"",INDEX(DATAS,W3964+1)),INDEX(DATAS,W3964+1)),"")</f>
        <v/>
      </c>
    </row>
    <row r="3965" customFormat="false" ht="15" hidden="false" customHeight="false" outlineLevel="0" collapsed="false">
      <c r="A3965" s="33" t="n">
        <v>46309</v>
      </c>
      <c r="B3965" s="0" t="n">
        <v>15</v>
      </c>
      <c r="C3965" s="0" t="n">
        <v>30940</v>
      </c>
      <c r="E3965" s="0" t="n">
        <v>0</v>
      </c>
      <c r="F3965" s="27" t="s">
        <v>1678</v>
      </c>
      <c r="I3965" s="27" t="s">
        <v>136</v>
      </c>
      <c r="U3965" s="0" t="n">
        <v>6</v>
      </c>
      <c r="V3965" s="0" t="n">
        <v>0</v>
      </c>
      <c r="W3965" s="27" t="n">
        <f aca="false">MATCH(A3965,DATAS,0)</f>
        <v>1</v>
      </c>
      <c r="X3965" s="27" t="n">
        <f aca="false">IF(AND(E3965&gt;0,OR(AND(B3965&gt;=1,B3965&lt;=6),B3965=10)),1,0)</f>
        <v>0</v>
      </c>
      <c r="Y3965" s="27" t="n">
        <f aca="false">IF(AND(E3965&gt;0,B3965=10),1,0)</f>
        <v>0</v>
      </c>
      <c r="Z3965" s="0" t="str">
        <f aca="false">IF(AND(C3964=C3965,W3964=W3965-1),X3964,"")</f>
        <v/>
      </c>
      <c r="AA3965" s="0" t="str">
        <f aca="false">IF(AND(C3964=C3965,W3964=W3965-1),Y3964,"")</f>
        <v/>
      </c>
      <c r="AB3965" s="0" t="str">
        <f aca="false">IF(W3965=1,"",IF(AND(X3965=1,Z3965&lt;&gt;1),1,0))</f>
        <v/>
      </c>
      <c r="AC3965" s="0" t="str">
        <f aca="false">IF(W3965=1,"",IF(AND(Y3965=1,AA3965&lt;&gt;1),1,0))</f>
        <v/>
      </c>
      <c r="AD3965" s="33" t="str">
        <f aca="false">IF(AND(E3965&gt;0,W3965&lt;1,NOT(AND(C3966=C3965,W3966=W3965+1))),INDEX(DATAS,W3965+1),"")</f>
        <v/>
      </c>
      <c r="AE3965" s="33" t="str">
        <f aca="false">IF(AND(Y3965=1,W3965&lt;1),IF(AND(C3966=C3965,W3966=W3965+1),IF(Y3966=1,"",INDEX(DATAS,W3965+1)),INDEX(DATAS,W3965+1)),"")</f>
        <v/>
      </c>
    </row>
    <row r="3966" customFormat="false" ht="15" hidden="false" customHeight="false" outlineLevel="0" collapsed="false">
      <c r="A3966" s="33" t="n">
        <v>46309</v>
      </c>
      <c r="B3966" s="0" t="n">
        <v>15</v>
      </c>
      <c r="C3966" s="0" t="n">
        <v>30941</v>
      </c>
      <c r="E3966" s="0" t="n">
        <v>0</v>
      </c>
      <c r="F3966" s="27" t="s">
        <v>1678</v>
      </c>
      <c r="I3966" s="27" t="s">
        <v>136</v>
      </c>
      <c r="U3966" s="0" t="n">
        <v>6</v>
      </c>
      <c r="V3966" s="0" t="n">
        <v>0</v>
      </c>
      <c r="W3966" s="27" t="n">
        <f aca="false">MATCH(A3966,DATAS,0)</f>
        <v>1</v>
      </c>
      <c r="X3966" s="27" t="n">
        <f aca="false">IF(AND(E3966&gt;0,OR(AND(B3966&gt;=1,B3966&lt;=6),B3966=10)),1,0)</f>
        <v>0</v>
      </c>
      <c r="Y3966" s="27" t="n">
        <f aca="false">IF(AND(E3966&gt;0,B3966=10),1,0)</f>
        <v>0</v>
      </c>
      <c r="Z3966" s="0" t="str">
        <f aca="false">IF(AND(C3965=C3966,W3965=W3966-1),X3965,"")</f>
        <v/>
      </c>
      <c r="AA3966" s="0" t="str">
        <f aca="false">IF(AND(C3965=C3966,W3965=W3966-1),Y3965,"")</f>
        <v/>
      </c>
      <c r="AB3966" s="0" t="str">
        <f aca="false">IF(W3966=1,"",IF(AND(X3966=1,Z3966&lt;&gt;1),1,0))</f>
        <v/>
      </c>
      <c r="AC3966" s="0" t="str">
        <f aca="false">IF(W3966=1,"",IF(AND(Y3966=1,AA3966&lt;&gt;1),1,0))</f>
        <v/>
      </c>
      <c r="AD3966" s="33" t="str">
        <f aca="false">IF(AND(E3966&gt;0,W3966&lt;1,NOT(AND(C3967=C3966,W3967=W3966+1))),INDEX(DATAS,W3966+1),"")</f>
        <v/>
      </c>
      <c r="AE3966" s="33" t="str">
        <f aca="false">IF(AND(Y3966=1,W3966&lt;1),IF(AND(C3967=C3966,W3967=W3966+1),IF(Y3967=1,"",INDEX(DATAS,W3966+1)),INDEX(DATAS,W3966+1)),"")</f>
        <v/>
      </c>
    </row>
    <row r="3967" customFormat="false" ht="15" hidden="false" customHeight="false" outlineLevel="0" collapsed="false">
      <c r="A3967" s="33" t="n">
        <v>46309</v>
      </c>
      <c r="B3967" s="0" t="n">
        <v>15</v>
      </c>
      <c r="C3967" s="0" t="n">
        <v>30942</v>
      </c>
      <c r="E3967" s="0" t="n">
        <v>0</v>
      </c>
      <c r="F3967" s="27" t="s">
        <v>1680</v>
      </c>
      <c r="I3967" s="27" t="s">
        <v>136</v>
      </c>
      <c r="U3967" s="0" t="n">
        <v>3</v>
      </c>
      <c r="V3967" s="0" t="n">
        <v>0</v>
      </c>
      <c r="W3967" s="27" t="n">
        <f aca="false">MATCH(A3967,DATAS,0)</f>
        <v>1</v>
      </c>
      <c r="X3967" s="27" t="n">
        <f aca="false">IF(AND(E3967&gt;0,OR(AND(B3967&gt;=1,B3967&lt;=6),B3967=10)),1,0)</f>
        <v>0</v>
      </c>
      <c r="Y3967" s="27" t="n">
        <f aca="false">IF(AND(E3967&gt;0,B3967=10),1,0)</f>
        <v>0</v>
      </c>
      <c r="Z3967" s="0" t="str">
        <f aca="false">IF(AND(C3966=C3967,W3966=W3967-1),X3966,"")</f>
        <v/>
      </c>
      <c r="AA3967" s="0" t="str">
        <f aca="false">IF(AND(C3966=C3967,W3966=W3967-1),Y3966,"")</f>
        <v/>
      </c>
      <c r="AB3967" s="0" t="str">
        <f aca="false">IF(W3967=1,"",IF(AND(X3967=1,Z3967&lt;&gt;1),1,0))</f>
        <v/>
      </c>
      <c r="AC3967" s="0" t="str">
        <f aca="false">IF(W3967=1,"",IF(AND(Y3967=1,AA3967&lt;&gt;1),1,0))</f>
        <v/>
      </c>
      <c r="AD3967" s="33" t="str">
        <f aca="false">IF(AND(E3967&gt;0,W3967&lt;1,NOT(AND(C3968=C3967,W3968=W3967+1))),INDEX(DATAS,W3967+1),"")</f>
        <v/>
      </c>
      <c r="AE3967" s="33" t="str">
        <f aca="false">IF(AND(Y3967=1,W3967&lt;1),IF(AND(C3968=C3967,W3968=W3967+1),IF(Y3968=1,"",INDEX(DATAS,W3967+1)),INDEX(DATAS,W3967+1)),"")</f>
        <v/>
      </c>
    </row>
    <row r="3968" customFormat="false" ht="15" hidden="false" customHeight="false" outlineLevel="0" collapsed="false">
      <c r="A3968" s="33" t="n">
        <v>46309</v>
      </c>
      <c r="B3968" s="0" t="n">
        <v>15</v>
      </c>
      <c r="C3968" s="0" t="n">
        <v>30943</v>
      </c>
      <c r="E3968" s="0" t="n">
        <v>0</v>
      </c>
      <c r="F3968" s="27" t="s">
        <v>1680</v>
      </c>
      <c r="I3968" s="27" t="s">
        <v>136</v>
      </c>
      <c r="U3968" s="0" t="n">
        <v>3</v>
      </c>
      <c r="V3968" s="0" t="n">
        <v>0</v>
      </c>
      <c r="W3968" s="27" t="n">
        <f aca="false">MATCH(A3968,DATAS,0)</f>
        <v>1</v>
      </c>
      <c r="X3968" s="27" t="n">
        <f aca="false">IF(AND(E3968&gt;0,OR(AND(B3968&gt;=1,B3968&lt;=6),B3968=10)),1,0)</f>
        <v>0</v>
      </c>
      <c r="Y3968" s="27" t="n">
        <f aca="false">IF(AND(E3968&gt;0,B3968=10),1,0)</f>
        <v>0</v>
      </c>
      <c r="Z3968" s="0" t="str">
        <f aca="false">IF(AND(C3967=C3968,W3967=W3968-1),X3967,"")</f>
        <v/>
      </c>
      <c r="AA3968" s="0" t="str">
        <f aca="false">IF(AND(C3967=C3968,W3967=W3968-1),Y3967,"")</f>
        <v/>
      </c>
      <c r="AB3968" s="0" t="str">
        <f aca="false">IF(W3968=1,"",IF(AND(X3968=1,Z3968&lt;&gt;1),1,0))</f>
        <v/>
      </c>
      <c r="AC3968" s="0" t="str">
        <f aca="false">IF(W3968=1,"",IF(AND(Y3968=1,AA3968&lt;&gt;1),1,0))</f>
        <v/>
      </c>
      <c r="AD3968" s="33" t="str">
        <f aca="false">IF(AND(E3968&gt;0,W3968&lt;1,NOT(AND(C3969=C3968,W3969=W3968+1))),INDEX(DATAS,W3968+1),"")</f>
        <v/>
      </c>
      <c r="AE3968" s="33" t="str">
        <f aca="false">IF(AND(Y3968=1,W3968&lt;1),IF(AND(C3969=C3968,W3969=W3968+1),IF(Y3969=1,"",INDEX(DATAS,W3968+1)),INDEX(DATAS,W3968+1)),"")</f>
        <v/>
      </c>
    </row>
    <row r="3969" customFormat="false" ht="15" hidden="false" customHeight="false" outlineLevel="0" collapsed="false">
      <c r="A3969" s="33" t="n">
        <v>46309</v>
      </c>
      <c r="B3969" s="0" t="n">
        <v>15</v>
      </c>
      <c r="C3969" s="0" t="n">
        <v>30944</v>
      </c>
      <c r="E3969" s="0" t="n">
        <v>0</v>
      </c>
      <c r="F3969" s="27" t="s">
        <v>1681</v>
      </c>
      <c r="I3969" s="27" t="s">
        <v>136</v>
      </c>
      <c r="U3969" s="0" t="n">
        <v>2</v>
      </c>
      <c r="V3969" s="0" t="n">
        <v>0</v>
      </c>
      <c r="W3969" s="27" t="n">
        <f aca="false">MATCH(A3969,DATAS,0)</f>
        <v>1</v>
      </c>
      <c r="X3969" s="27" t="n">
        <f aca="false">IF(AND(E3969&gt;0,OR(AND(B3969&gt;=1,B3969&lt;=6),B3969=10)),1,0)</f>
        <v>0</v>
      </c>
      <c r="Y3969" s="27" t="n">
        <f aca="false">IF(AND(E3969&gt;0,B3969=10),1,0)</f>
        <v>0</v>
      </c>
      <c r="Z3969" s="0" t="str">
        <f aca="false">IF(AND(C3968=C3969,W3968=W3969-1),X3968,"")</f>
        <v/>
      </c>
      <c r="AA3969" s="0" t="str">
        <f aca="false">IF(AND(C3968=C3969,W3968=W3969-1),Y3968,"")</f>
        <v/>
      </c>
      <c r="AB3969" s="0" t="str">
        <f aca="false">IF(W3969=1,"",IF(AND(X3969=1,Z3969&lt;&gt;1),1,0))</f>
        <v/>
      </c>
      <c r="AC3969" s="0" t="str">
        <f aca="false">IF(W3969=1,"",IF(AND(Y3969=1,AA3969&lt;&gt;1),1,0))</f>
        <v/>
      </c>
      <c r="AD3969" s="33" t="str">
        <f aca="false">IF(AND(E3969&gt;0,W3969&lt;1,NOT(AND(C3970=C3969,W3970=W3969+1))),INDEX(DATAS,W3969+1),"")</f>
        <v/>
      </c>
      <c r="AE3969" s="33" t="str">
        <f aca="false">IF(AND(Y3969=1,W3969&lt;1),IF(AND(C3970=C3969,W3970=W3969+1),IF(Y3970=1,"",INDEX(DATAS,W3969+1)),INDEX(DATAS,W3969+1)),"")</f>
        <v/>
      </c>
    </row>
    <row r="3970" customFormat="false" ht="15" hidden="false" customHeight="false" outlineLevel="0" collapsed="false">
      <c r="A3970" s="33" t="n">
        <v>46309</v>
      </c>
      <c r="B3970" s="0" t="n">
        <v>15</v>
      </c>
      <c r="C3970" s="0" t="n">
        <v>31057</v>
      </c>
      <c r="E3970" s="0" t="n">
        <v>0</v>
      </c>
      <c r="F3970" s="27" t="s">
        <v>1221</v>
      </c>
      <c r="I3970" s="27" t="s">
        <v>136</v>
      </c>
      <c r="U3970" s="0" t="n">
        <v>517</v>
      </c>
      <c r="V3970" s="0" t="n">
        <v>0</v>
      </c>
      <c r="W3970" s="27" t="n">
        <f aca="false">MATCH(A3970,DATAS,0)</f>
        <v>1</v>
      </c>
      <c r="X3970" s="27" t="n">
        <f aca="false">IF(AND(E3970&gt;0,OR(AND(B3970&gt;=1,B3970&lt;=6),B3970=10)),1,0)</f>
        <v>0</v>
      </c>
      <c r="Y3970" s="27" t="n">
        <f aca="false">IF(AND(E3970&gt;0,B3970=10),1,0)</f>
        <v>0</v>
      </c>
      <c r="Z3970" s="0" t="str">
        <f aca="false">IF(AND(C3969=C3970,W3969=W3970-1),X3969,"")</f>
        <v/>
      </c>
      <c r="AA3970" s="0" t="str">
        <f aca="false">IF(AND(C3969=C3970,W3969=W3970-1),Y3969,"")</f>
        <v/>
      </c>
      <c r="AB3970" s="0" t="str">
        <f aca="false">IF(W3970=1,"",IF(AND(X3970=1,Z3970&lt;&gt;1),1,0))</f>
        <v/>
      </c>
      <c r="AC3970" s="0" t="str">
        <f aca="false">IF(W3970=1,"",IF(AND(Y3970=1,AA3970&lt;&gt;1),1,0))</f>
        <v/>
      </c>
      <c r="AD3970" s="33" t="str">
        <f aca="false">IF(AND(E3970&gt;0,W3970&lt;1,NOT(AND(C3971=C3970,W3971=W3970+1))),INDEX(DATAS,W3970+1),"")</f>
        <v/>
      </c>
      <c r="AE3970" s="33" t="str">
        <f aca="false">IF(AND(Y3970=1,W3970&lt;1),IF(AND(C3971=C3970,W3971=W3970+1),IF(Y3971=1,"",INDEX(DATAS,W3970+1)),INDEX(DATAS,W3970+1)),"")</f>
        <v/>
      </c>
    </row>
    <row r="3971" customFormat="false" ht="15" hidden="false" customHeight="false" outlineLevel="0" collapsed="false">
      <c r="A3971" s="33" t="n">
        <v>46309</v>
      </c>
      <c r="B3971" s="0" t="n">
        <v>13</v>
      </c>
      <c r="C3971" s="0" t="n">
        <v>997050</v>
      </c>
      <c r="E3971" s="0" t="n">
        <v>0</v>
      </c>
      <c r="F3971" s="27" t="s">
        <v>1351</v>
      </c>
      <c r="I3971" s="27" t="s">
        <v>166</v>
      </c>
      <c r="U3971" s="0" t="n">
        <v>360</v>
      </c>
      <c r="V3971" s="0" t="n">
        <v>0</v>
      </c>
      <c r="W3971" s="27" t="n">
        <f aca="false">MATCH(A3971,DATAS,0)</f>
        <v>1</v>
      </c>
      <c r="X3971" s="27" t="n">
        <f aca="false">IF(AND(E3971&gt;0,OR(AND(B3971&gt;=1,B3971&lt;=6),B3971=10)),1,0)</f>
        <v>0</v>
      </c>
      <c r="Y3971" s="27" t="n">
        <f aca="false">IF(AND(E3971&gt;0,B3971=10),1,0)</f>
        <v>0</v>
      </c>
      <c r="Z3971" s="0" t="str">
        <f aca="false">IF(AND(C3970=C3971,W3970=W3971-1),X3970,"")</f>
        <v/>
      </c>
      <c r="AA3971" s="0" t="str">
        <f aca="false">IF(AND(C3970=C3971,W3970=W3971-1),Y3970,"")</f>
        <v/>
      </c>
      <c r="AB3971" s="0" t="str">
        <f aca="false">IF(W3971=1,"",IF(AND(X3971=1,Z3971&lt;&gt;1),1,0))</f>
        <v/>
      </c>
      <c r="AC3971" s="0" t="str">
        <f aca="false">IF(W3971=1,"",IF(AND(Y3971=1,AA3971&lt;&gt;1),1,0))</f>
        <v/>
      </c>
      <c r="AD3971" s="33" t="str">
        <f aca="false">IF(AND(E3971&gt;0,W3971&lt;1,NOT(AND(C3972=C3971,W3972=W3971+1))),INDEX(DATAS,W3971+1),"")</f>
        <v/>
      </c>
      <c r="AE3971" s="33" t="str">
        <f aca="false">IF(AND(Y3971=1,W3971&lt;1),IF(AND(C3972=C3971,W3972=W3971+1),IF(Y3972=1,"",INDEX(DATAS,W3971+1)),INDEX(DATAS,W3971+1)),"")</f>
        <v/>
      </c>
    </row>
  </sheetData>
  <autoFilter ref="A1:AE39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1697</v>
      </c>
    </row>
    <row r="3" customFormat="false" ht="23.85" hidden="false" customHeight="false" outlineLevel="0" collapsed="false">
      <c r="A3" s="34" t="s">
        <v>1698</v>
      </c>
      <c r="B3" s="35" t="s">
        <v>1699</v>
      </c>
    </row>
    <row r="4" customFormat="false" ht="23.85" hidden="false" customHeight="false" outlineLevel="0" collapsed="false">
      <c r="A4" s="34" t="s">
        <v>1700</v>
      </c>
      <c r="B4" s="35" t="s">
        <v>1701</v>
      </c>
    </row>
    <row r="5" customFormat="false" ht="23.85" hidden="false" customHeight="false" outlineLevel="0" collapsed="false">
      <c r="A5" s="34" t="s">
        <v>1702</v>
      </c>
      <c r="B5" s="35" t="s">
        <v>1703</v>
      </c>
    </row>
    <row r="6" customFormat="false" ht="15" hidden="false" customHeight="false" outlineLevel="0" collapsed="false">
      <c r="A6" s="34" t="s">
        <v>1704</v>
      </c>
      <c r="B6" s="35" t="s">
        <v>1705</v>
      </c>
    </row>
    <row r="7" customFormat="false" ht="15" hidden="false" customHeight="false" outlineLevel="0" collapsed="false">
      <c r="A7" s="34" t="s">
        <v>1706</v>
      </c>
      <c r="B7" s="35" t="s">
        <v>1707</v>
      </c>
    </row>
    <row r="8" customFormat="false" ht="15" hidden="false" customHeight="false" outlineLevel="0" collapsed="false">
      <c r="A8" s="34" t="s">
        <v>1708</v>
      </c>
      <c r="B8" s="35" t="s">
        <v>1709</v>
      </c>
    </row>
    <row r="9" customFormat="false" ht="15" hidden="false" customHeight="false" outlineLevel="0" collapsed="false">
      <c r="A9" s="34" t="s">
        <v>1710</v>
      </c>
      <c r="B9" s="35" t="s">
        <v>1711</v>
      </c>
    </row>
    <row r="10" customFormat="false" ht="15" hidden="false" customHeight="false" outlineLevel="0" collapsed="false">
      <c r="A10" s="34" t="s">
        <v>20</v>
      </c>
      <c r="B10" s="35" t="s">
        <v>1712</v>
      </c>
    </row>
    <row r="11" customFormat="false" ht="15" hidden="false" customHeight="false" outlineLevel="0" collapsed="false">
      <c r="A11" s="34" t="s">
        <v>1713</v>
      </c>
      <c r="B11" s="35" t="s">
        <v>1714</v>
      </c>
    </row>
    <row r="12" customFormat="false" ht="15" hidden="false" customHeight="false" outlineLevel="0" collapsed="false">
      <c r="A12" s="34" t="s">
        <v>1715</v>
      </c>
      <c r="B12" s="35" t="s">
        <v>1716</v>
      </c>
    </row>
    <row r="13" customFormat="false" ht="15" hidden="false" customHeight="false" outlineLevel="0" collapsed="false">
      <c r="A13" s="34" t="s">
        <v>151</v>
      </c>
      <c r="B13" s="35" t="s">
        <v>1717</v>
      </c>
    </row>
    <row r="14" customFormat="false" ht="15" hidden="false" customHeight="false" outlineLevel="0" collapsed="false">
      <c r="A14" s="34" t="s">
        <v>1718</v>
      </c>
      <c r="B14" s="35" t="s">
        <v>1719</v>
      </c>
    </row>
    <row r="15" customFormat="false" ht="23.85" hidden="false" customHeight="false" outlineLevel="0" collapsed="false">
      <c r="A15" s="34" t="s">
        <v>1720</v>
      </c>
      <c r="B15" s="35" t="s">
        <v>1721</v>
      </c>
    </row>
    <row r="16" customFormat="false" ht="15" hidden="false" customHeight="false" outlineLevel="0" collapsed="false">
      <c r="A16" s="34" t="s">
        <v>1722</v>
      </c>
      <c r="B16" s="35" t="s">
        <v>1723</v>
      </c>
    </row>
    <row r="17" customFormat="false" ht="23.85" hidden="false" customHeight="false" outlineLevel="0" collapsed="false">
      <c r="A17" s="34" t="s">
        <v>83</v>
      </c>
      <c r="B17" s="35" t="s">
        <v>1724</v>
      </c>
    </row>
    <row r="18" customFormat="false" ht="23.85" hidden="false" customHeight="false" outlineLevel="0" collapsed="false">
      <c r="A18" s="34" t="s">
        <v>1725</v>
      </c>
      <c r="B18" s="35" t="s">
        <v>1726</v>
      </c>
    </row>
    <row r="19" customFormat="false" ht="23.85" hidden="false" customHeight="false" outlineLevel="0" collapsed="false">
      <c r="A19" s="34" t="s">
        <v>1727</v>
      </c>
      <c r="B19" s="35" t="s">
        <v>1728</v>
      </c>
    </row>
    <row r="20" customFormat="false" ht="23.85" hidden="false" customHeight="false" outlineLevel="0" collapsed="false">
      <c r="A20" s="34" t="s">
        <v>1729</v>
      </c>
      <c r="B20" s="35" t="s">
        <v>1730</v>
      </c>
    </row>
    <row r="21" customFormat="false" ht="15" hidden="false" customHeight="false" outlineLevel="0" collapsed="false">
      <c r="A21" s="34" t="s">
        <v>1731</v>
      </c>
      <c r="B21" s="35" t="s">
        <v>1732</v>
      </c>
    </row>
    <row r="22" customFormat="false" ht="15" hidden="false" customHeight="false" outlineLevel="0" collapsed="false">
      <c r="A22" s="34" t="s">
        <v>1733</v>
      </c>
      <c r="B22" s="35" t="s">
        <v>1734</v>
      </c>
    </row>
    <row r="23" customFormat="false" ht="15" hidden="false" customHeight="false" outlineLevel="0" collapsed="false">
      <c r="A23" s="34" t="s">
        <v>1735</v>
      </c>
      <c r="B23" s="35" t="s">
        <v>1736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2026-10-15T15:33:41Z</dcterms:created>
  <dc:creator>openpyxl</dc:creator>
  <dc:description/>
  <dc:language>en-US</dc:language>
  <cp:lastModifiedBy/>
  <dcterms:modified xsi:type="dcterms:W3CDTF">2026-10-15T15:33:42Z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